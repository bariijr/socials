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4856" tabRatio="812" firstSheet="6" activeTab="10" autoFilterDateGrouping="1"/>
  </bookViews>
  <sheets>
    <sheet name="TRIP MANAGER" sheetId="1" state="visible" r:id="rId1"/>
    <sheet name="admin" sheetId="2" state="visible" r:id="rId2"/>
    <sheet name="airports" sheetId="3" state="visible" r:id="rId3"/>
    <sheet name="VISA RULES" sheetId="4" state="visible" r:id="rId4"/>
    <sheet name="Vendors" sheetId="5" state="visible" r:id="rId5"/>
    <sheet name="SERVICE CATALOGUE" sheetId="6" state="visible" r:id="rId6"/>
    <sheet name="vendor_coverage_airports" sheetId="7" state="visible" r:id="rId7"/>
    <sheet name="vendor_coverage_countries" sheetId="8" state="visible" r:id="rId8"/>
    <sheet name="countries" sheetId="9" state="visible" r:id="rId9"/>
    <sheet name="Operators" sheetId="10" state="visible" r:id="rId10"/>
    <sheet name="Aircraft" sheetId="11" state="visible" r:id="rId11"/>
    <sheet name="geo_grid" sheetId="12" state="visible" r:id="rId12"/>
    <sheet name="route_calc" sheetId="13" state="visible" r:id="rId13"/>
    <sheet name="permit_calc" sheetId="14" state="visible" r:id="rId14"/>
    <sheet name="PAX &amp; CREW" sheetId="15" state="visible" r:id="rId15"/>
    <sheet name="Clients" sheetId="16" state="visible" r:id="rId16"/>
    <sheet name="Feasibility IQ" sheetId="17" state="visible" r:id="rId17"/>
    <sheet name="fiq_calc" sheetId="18" state="visible" r:id="rId18"/>
    <sheet name="mayfly" sheetId="19" state="visible" r:id="rId19"/>
    <sheet name="WEBAPP BRIEF" sheetId="20" state="visible" r:id="rId20"/>
    <sheet name="DOCUMENTS" sheetId="21" state="visible" r:id="rId21"/>
    <sheet name="VISA MATRIX" sheetId="22" state="visible" r:id="rId22"/>
    <sheet name="MESSAGE TEMPLATES" sheetId="23" state="visible" r:id="rId23"/>
    <sheet name="FLEET DOCUMENTS" sheetId="24" state="visible" r:id="rId24"/>
    <sheet name="USERS &amp; SETTINGS" sheetId="25" state="visible" r:id="rId25"/>
    <sheet name="HANDLERS" sheetId="26" state="visible" r:id="rId26"/>
    <sheet name="COUNTRY REQUIREMENTS" sheetId="27" state="visible" r:id="rId27"/>
    <sheet name="AIRCRAFT PERFORMANCE" sheetId="28" state="visible" r:id="rId28"/>
    <sheet name="DATA READINESS" sheetId="29" state="visible" r:id="rId29"/>
    <sheet name="JETELIO V3 PROMPT" sheetId="30" state="visible" r:id="rId30"/>
  </sheets>
  <definedNames>
    <definedName name="_xlnm._FilterDatabase" localSheetId="2" hidden="1">'airports'!$A$2:$AV$2</definedName>
  </definedNames>
  <calcPr calcId="191029" fullCalcOnLoad="1"/>
</workbook>
</file>

<file path=xl/styles.xml><?xml version="1.0" encoding="utf-8"?>
<styleSheet xmlns="http://schemas.openxmlformats.org/spreadsheetml/2006/main">
  <numFmts count="12">
    <numFmt numFmtId="164" formatCode="dd\-mmm\-yyyy"/>
    <numFmt numFmtId="165" formatCode="0.000000"/>
    <numFmt numFmtId="166" formatCode="\+0.0;\-0.0;0.0"/>
    <numFmt numFmtId="167" formatCode="hh:mm&quot;Z&quot;"/>
    <numFmt numFmtId="168" formatCode="#,##0;\(#,##0\);\-"/>
    <numFmt numFmtId="169" formatCode="0.00;\(0.00\);\-"/>
    <numFmt numFmtId="170" formatCode="0.0000"/>
    <numFmt numFmtId="171" formatCode="dd\-mmm\-yyyy\ hh:mm&quot;Z&quot;"/>
    <numFmt numFmtId="172" formatCode="0.0;\(0.0\);\-"/>
    <numFmt numFmtId="173" formatCode="0;\(0\);\-"/>
    <numFmt numFmtId="174" formatCode="dd\-mmm\-yyyy;;&quot;-&quot;"/>
    <numFmt numFmtId="175" formatCode="0.0%"/>
  </numFmts>
  <fonts count="32">
    <font>
      <name val="Aptos Narrow"/>
      <family val="2"/>
      <color theme="1"/>
      <sz val="11"/>
      <scheme val="minor"/>
    </font>
    <font>
      <name val="Aptos Narrow"/>
      <family val="2"/>
      <b val="1"/>
      <color theme="1"/>
      <sz val="11"/>
      <scheme val="minor"/>
    </font>
    <font>
      <name val="Aptos Narrow"/>
      <family val="2"/>
      <color rgb="FFFF0000"/>
      <sz val="11"/>
      <scheme val="minor"/>
    </font>
    <font>
      <name val="Aptos Narrow"/>
      <family val="2"/>
      <color rgb="FFFFFFFF"/>
      <sz val="11"/>
      <scheme val="minor"/>
    </font>
    <font>
      <name val="Aptos Narrow"/>
      <family val="2"/>
      <b val="1"/>
      <color rgb="FFFFFFFF"/>
      <sz val="11"/>
      <scheme val="minor"/>
    </font>
    <font>
      <name val="Aptos Narrow"/>
      <family val="2"/>
      <b val="1"/>
      <color rgb="FFFFFFFF"/>
      <sz val="10"/>
      <scheme val="minor"/>
    </font>
    <font>
      <name val="Aptos Narrow"/>
      <family val="2"/>
      <b val="1"/>
      <color theme="1"/>
      <sz val="10"/>
      <scheme val="minor"/>
    </font>
    <font>
      <name val="Aptos Narrow"/>
      <family val="2"/>
      <color rgb="FF0000FF"/>
      <sz val="11"/>
      <scheme val="minor"/>
    </font>
    <font>
      <name val="Aptos Narrow"/>
      <family val="2"/>
      <color rgb="FF000000"/>
      <sz val="11"/>
      <scheme val="minor"/>
    </font>
    <font>
      <name val="Aptos Narrow"/>
      <family val="2"/>
      <color rgb="FF008000"/>
      <sz val="11"/>
      <scheme val="minor"/>
    </font>
    <font>
      <name val="Aptos Narrow"/>
      <family val="2"/>
      <b val="1"/>
      <color theme="1"/>
      <sz val="13"/>
      <scheme val="minor"/>
    </font>
    <font>
      <name val="Aptos Narrow"/>
      <family val="2"/>
      <b val="1"/>
      <color theme="1"/>
      <sz val="16"/>
      <scheme val="minor"/>
    </font>
    <font>
      <name val="Aptos Narrow"/>
      <family val="2"/>
      <i val="1"/>
      <color theme="1"/>
      <sz val="11"/>
      <scheme val="minor"/>
    </font>
    <font>
      <name val="Aptos Narrow"/>
      <family val="2"/>
      <i val="1"/>
      <color rgb="FF808080"/>
      <sz val="11"/>
      <scheme val="minor"/>
    </font>
    <font>
      <name val="Aptos Narrow"/>
      <family val="2"/>
      <b val="1"/>
      <color theme="1"/>
      <sz val="14"/>
      <scheme val="minor"/>
    </font>
    <font>
      <name val="Aptos Narrow"/>
      <family val="2"/>
      <b val="1"/>
      <i val="1"/>
      <color rgb="FFFFFFFF"/>
      <sz val="11"/>
      <scheme val="minor"/>
    </font>
    <font>
      <name val="Aptos Narrow"/>
      <family val="2"/>
      <i val="1"/>
      <color rgb="FF008000"/>
      <sz val="11"/>
      <scheme val="minor"/>
    </font>
    <font>
      <name val="Aptos Narrow"/>
      <family val="2"/>
      <b val="1"/>
      <color rgb="FF008000"/>
      <sz val="11"/>
      <scheme val="minor"/>
    </font>
    <font>
      <name val="Aptos Narrow"/>
      <family val="2"/>
      <i val="1"/>
      <color rgb="FF808080"/>
      <sz val="8"/>
      <scheme val="minor"/>
    </font>
    <font>
      <name val="Aptos Narrow"/>
      <family val="2"/>
      <b val="1"/>
      <color rgb="FFC00000"/>
      <sz val="11"/>
      <scheme val="minor"/>
    </font>
    <font>
      <name val="Aptos Narrow"/>
      <family val="2"/>
      <b val="1"/>
      <i val="1"/>
      <color rgb="FFC00000"/>
      <sz val="11"/>
      <scheme val="minor"/>
    </font>
    <font>
      <name val="Aptos Narrow"/>
      <family val="2"/>
      <b val="1"/>
      <color rgb="FFFFFFFF"/>
      <sz val="12"/>
      <scheme val="minor"/>
    </font>
    <font>
      <name val="Aptos Narrow"/>
      <family val="2"/>
      <b val="1"/>
      <color rgb="FF000000"/>
      <sz val="11"/>
      <scheme val="minor"/>
    </font>
    <font>
      <name val="Consolas"/>
      <color theme="1"/>
      <sz val="9"/>
    </font>
    <font>
      <name val="Aptos Narrow"/>
      <family val="2"/>
      <i val="1"/>
      <color rgb="FFC00000"/>
      <sz val="11"/>
      <scheme val="minor"/>
    </font>
    <font>
      <name val="Aptos Narrow"/>
      <family val="2"/>
      <b val="1"/>
      <color rgb="FFC00000"/>
      <sz val="12"/>
      <scheme val="minor"/>
    </font>
    <font>
      <name val="Aptos Narrow"/>
      <family val="2"/>
      <b val="1"/>
      <color rgb="FFC8102E"/>
      <sz val="16"/>
      <scheme val="minor"/>
    </font>
    <font>
      <name val="Aptos Narrow"/>
      <family val="2"/>
      <i val="1"/>
      <color rgb="FF555555"/>
      <sz val="11"/>
      <scheme val="minor"/>
    </font>
    <font>
      <name val="Aptos Narrow"/>
      <family val="2"/>
      <b val="1"/>
      <color rgb="FF111111"/>
      <sz val="11"/>
      <scheme val="minor"/>
    </font>
    <font>
      <name val="Aptos Narrow"/>
      <family val="2"/>
      <b val="1"/>
      <color rgb="FFC8102E"/>
      <sz val="11"/>
      <scheme val="minor"/>
    </font>
    <font>
      <name val="Aptos Narrow"/>
      <family val="2"/>
      <b val="1"/>
      <color rgb="FF0000FF"/>
      <sz val="11"/>
      <scheme val="minor"/>
    </font>
    <font>
      <name val="Aptos Narrow"/>
      <family val="2"/>
      <b val="1"/>
      <color rgb="FFC8102E"/>
      <sz val="12"/>
      <scheme val="minor"/>
    </font>
  </fonts>
  <fills count="25">
    <fill>
      <patternFill/>
    </fill>
    <fill>
      <patternFill patternType="gray125"/>
    </fill>
    <fill>
      <patternFill patternType="solid">
        <fgColor rgb="FF1F3864"/>
        <bgColor indexed="64"/>
      </patternFill>
    </fill>
    <fill>
      <patternFill patternType="solid">
        <fgColor rgb="FF2E5C8A"/>
        <bgColor indexed="64"/>
      </patternFill>
    </fill>
    <fill>
      <patternFill patternType="solid">
        <fgColor rgb="FF1F6B4E"/>
        <bgColor indexed="64"/>
      </patternFill>
    </fill>
    <fill>
      <patternFill patternType="solid">
        <fgColor rgb="FF8A5A00"/>
        <bgColor indexed="64"/>
      </patternFill>
    </fill>
    <fill>
      <patternFill patternType="solid">
        <fgColor rgb="FF7B3F00"/>
        <bgColor indexed="64"/>
      </patternFill>
    </fill>
    <fill>
      <patternFill patternType="solid">
        <fgColor rgb="FF5B2C6F"/>
        <bgColor indexed="64"/>
      </patternFill>
    </fill>
    <fill>
      <patternFill patternType="solid">
        <fgColor rgb="FF00566B"/>
        <bgColor indexed="64"/>
      </patternFill>
    </fill>
    <fill>
      <patternFill patternType="solid">
        <fgColor rgb="FF4A4A4A"/>
        <bgColor indexed="64"/>
      </patternFill>
    </fill>
    <fill>
      <patternFill patternType="solid">
        <fgColor rgb="FF8A1C3B"/>
        <bgColor indexed="64"/>
      </patternFill>
    </fill>
    <fill>
      <patternFill patternType="solid">
        <fgColor rgb="FF333333"/>
        <bgColor indexed="64"/>
      </patternFill>
    </fill>
    <fill>
      <patternFill patternType="solid">
        <fgColor rgb="FFD9E2F3"/>
        <bgColor indexed="64"/>
      </patternFill>
    </fill>
    <fill>
      <patternFill patternType="solid">
        <fgColor rgb="FFFFF2CC"/>
        <bgColor indexed="64"/>
      </patternFill>
    </fill>
    <fill>
      <patternFill patternType="solid">
        <fgColor rgb="FFD9E1F2"/>
        <bgColor indexed="64"/>
      </patternFill>
    </fill>
    <fill>
      <patternFill patternType="solid">
        <fgColor rgb="FF375623"/>
        <bgColor indexed="64"/>
      </patternFill>
    </fill>
    <fill>
      <patternFill patternType="solid">
        <fgColor rgb="FFE2EFDA"/>
        <bgColor indexed="64"/>
      </patternFill>
    </fill>
    <fill>
      <patternFill patternType="solid">
        <fgColor rgb="FFC00000"/>
        <bgColor indexed="64"/>
      </patternFill>
    </fill>
    <fill>
      <patternFill patternType="solid">
        <fgColor rgb="FF7030A0"/>
        <bgColor indexed="64"/>
      </patternFill>
    </fill>
    <fill>
      <patternFill patternType="solid">
        <fgColor rgb="FFBF8F00"/>
        <bgColor indexed="64"/>
      </patternFill>
    </fill>
    <fill>
      <patternFill patternType="solid">
        <fgColor rgb="FFD9D9D9"/>
        <bgColor indexed="64"/>
      </patternFill>
    </fill>
    <fill>
      <patternFill patternType="solid">
        <fgColor rgb="FFC8102E"/>
        <bgColor indexed="64"/>
      </patternFill>
    </fill>
    <fill>
      <patternFill patternType="solid">
        <fgColor rgb="FF111111"/>
        <bgColor indexed="64"/>
      </patternFill>
    </fill>
    <fill>
      <patternFill patternType="solid">
        <fgColor rgb="FFF2F2F2"/>
        <bgColor indexed="64"/>
      </patternFill>
    </fill>
    <fill>
      <patternFill patternType="solid">
        <fgColor rgb="FFFFFF00"/>
        <bgColor indexed="64"/>
      </patternFill>
    </fill>
  </fills>
  <borders count="12">
    <border>
      <left/>
      <right/>
      <top/>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right style="thin">
        <color rgb="FFCCCCCC"/>
      </right>
      <top/>
      <bottom/>
      <diagonal/>
    </border>
    <border>
      <left/>
      <right/>
      <top/>
      <bottom style="thin">
        <color rgb="FFCCCCCC"/>
      </bottom>
      <diagonal/>
    </border>
  </borders>
  <cellStyleXfs count="1">
    <xf numFmtId="0" fontId="0" fillId="0" borderId="0"/>
  </cellStyleXfs>
  <cellXfs count="129">
    <xf numFmtId="0" fontId="0" fillId="0" borderId="0" pivotButton="0" quotePrefix="0" xfId="0"/>
    <xf numFmtId="0" fontId="1" fillId="0" borderId="0" pivotButton="0" quotePrefix="0" xfId="0"/>
    <xf numFmtId="0" fontId="1" fillId="12" borderId="0" pivotButton="0" quotePrefix="0" xfId="0"/>
    <xf numFmtId="0" fontId="6" fillId="12" borderId="0" applyAlignment="1" pivotButton="0" quotePrefix="0" xfId="0">
      <alignment horizontal="center" vertical="center" wrapText="1"/>
    </xf>
    <xf numFmtId="0" fontId="7" fillId="0" borderId="0" pivotButton="0" quotePrefix="0" xfId="0"/>
    <xf numFmtId="3" fontId="0" fillId="0" borderId="0" pivotButton="0" quotePrefix="0" xfId="0"/>
    <xf numFmtId="164" fontId="0" fillId="0" borderId="0" pivotButton="0" quotePrefix="0" xfId="0"/>
    <xf numFmtId="165" fontId="7" fillId="0" borderId="0" pivotButton="0" quotePrefix="0" xfId="0"/>
    <xf numFmtId="166" fontId="7" fillId="0" borderId="0" pivotButton="0" quotePrefix="0" xfId="0"/>
    <xf numFmtId="164" fontId="7" fillId="0" borderId="0" pivotButton="0" quotePrefix="0" xfId="0"/>
    <xf numFmtId="0" fontId="8" fillId="0" borderId="0" pivotButton="0" quotePrefix="0" xfId="0"/>
    <xf numFmtId="3" fontId="8" fillId="0" borderId="0" pivotButton="0" quotePrefix="0" xfId="0"/>
    <xf numFmtId="0" fontId="8" fillId="0" borderId="0" applyAlignment="1" pivotButton="0" quotePrefix="0" xfId="0">
      <alignment vertical="top"/>
    </xf>
    <xf numFmtId="3" fontId="8" fillId="0" borderId="0" applyAlignment="1" pivotButton="0" quotePrefix="0" xfId="0">
      <alignment vertical="top"/>
    </xf>
    <xf numFmtId="20" fontId="8" fillId="0" borderId="0" applyAlignment="1" pivotButton="0" quotePrefix="0" xfId="0">
      <alignment vertical="top"/>
    </xf>
    <xf numFmtId="164" fontId="8" fillId="0" borderId="0" applyAlignment="1" pivotButton="0" quotePrefix="0" xfId="0">
      <alignment vertical="top"/>
    </xf>
    <xf numFmtId="0" fontId="9" fillId="0" borderId="0" applyAlignment="1" pivotButton="0" quotePrefix="0" xfId="0">
      <alignment vertical="top"/>
    </xf>
    <xf numFmtId="16" fontId="7" fillId="0" borderId="0" pivotButton="0" quotePrefix="0" xfId="0"/>
    <xf numFmtId="0" fontId="5" fillId="12" borderId="0" applyAlignment="1" pivotButton="0" quotePrefix="0" xfId="0">
      <alignment horizontal="center"/>
    </xf>
    <xf numFmtId="0" fontId="6" fillId="12" borderId="0" applyAlignment="1" pivotButton="0" quotePrefix="0" xfId="0">
      <alignment horizontal="center"/>
    </xf>
    <xf numFmtId="49" fontId="0" fillId="0" borderId="0" pivotButton="0" quotePrefix="0" xfId="0"/>
    <xf numFmtId="14" fontId="0" fillId="0" borderId="0" pivotButton="0" quotePrefix="0" xfId="0"/>
    <xf numFmtId="0" fontId="1" fillId="12" borderId="0" applyAlignment="1" pivotButton="0" quotePrefix="0" xfId="0">
      <alignment horizontal="center"/>
    </xf>
    <xf numFmtId="0" fontId="2" fillId="0" borderId="0" pivotButton="0" quotePrefix="0" xfId="0"/>
    <xf numFmtId="0" fontId="3" fillId="2" borderId="0" pivotButton="0" quotePrefix="0" xfId="0"/>
    <xf numFmtId="0" fontId="4" fillId="2" borderId="0" pivotButton="0" quotePrefix="0" xfId="0"/>
    <xf numFmtId="0" fontId="0" fillId="13" borderId="0" pivotButton="0" quotePrefix="0" xfId="0"/>
    <xf numFmtId="0" fontId="1" fillId="13" borderId="0" pivotButton="0" quotePrefix="0" xfId="0"/>
    <xf numFmtId="0" fontId="9" fillId="0" borderId="0" pivotButton="0" quotePrefix="0" xfId="0"/>
    <xf numFmtId="0" fontId="1" fillId="13" borderId="0" applyAlignment="1" pivotButton="0" quotePrefix="0" xfId="0">
      <alignment horizontal="center"/>
    </xf>
    <xf numFmtId="0" fontId="11" fillId="0" borderId="0" pivotButton="0" quotePrefix="0" xfId="0"/>
    <xf numFmtId="0" fontId="12" fillId="0" borderId="0" pivotButton="0" quotePrefix="0" xfId="0"/>
    <xf numFmtId="0" fontId="13" fillId="0" borderId="0" pivotButton="0" quotePrefix="0" xfId="0"/>
    <xf numFmtId="0" fontId="1" fillId="14" borderId="0" pivotButton="0" quotePrefix="0" xfId="0"/>
    <xf numFmtId="167" fontId="7"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0" fontId="0" fillId="0" borderId="0" pivotButton="0" quotePrefix="0" xfId="0"/>
    <xf numFmtId="168" fontId="1" fillId="0" borderId="0" pivotButton="0" quotePrefix="0" xfId="0"/>
    <xf numFmtId="169" fontId="1" fillId="0" borderId="0" pivotButton="0" quotePrefix="0" xfId="0"/>
    <xf numFmtId="171" fontId="0" fillId="0" borderId="0" pivotButton="0" quotePrefix="0" xfId="0"/>
    <xf numFmtId="172" fontId="0" fillId="0" borderId="0" pivotButton="0" quotePrefix="0" xfId="0"/>
    <xf numFmtId="173" fontId="0" fillId="0" borderId="0" pivotButton="0" quotePrefix="0" xfId="0"/>
    <xf numFmtId="0" fontId="14" fillId="0" borderId="0" pivotButton="0" quotePrefix="0" xfId="0"/>
    <xf numFmtId="0" fontId="4" fillId="2" borderId="0" applyAlignment="1" pivotButton="0" quotePrefix="0" xfId="0">
      <alignment horizontal="center"/>
    </xf>
    <xf numFmtId="0" fontId="1" fillId="14" borderId="0" applyAlignment="1" pivotButton="0" quotePrefix="0" xfId="0">
      <alignment horizontal="center"/>
    </xf>
    <xf numFmtId="0" fontId="16" fillId="0" borderId="0" pivotButton="0" quotePrefix="0" xfId="0"/>
    <xf numFmtId="0" fontId="10" fillId="0" borderId="0" pivotButton="0" quotePrefix="0" xfId="0"/>
    <xf numFmtId="0" fontId="17" fillId="0" borderId="0" pivotButton="0" quotePrefix="0" xfId="0"/>
    <xf numFmtId="171" fontId="7" fillId="0" borderId="0" pivotButton="0" quotePrefix="0" xfId="0"/>
    <xf numFmtId="0" fontId="18" fillId="0" borderId="0" pivotButton="0" quotePrefix="0" xfId="0"/>
    <xf numFmtId="0" fontId="7" fillId="0" borderId="0" applyAlignment="1" pivotButton="0" quotePrefix="0" xfId="0">
      <alignment horizontal="center"/>
    </xf>
    <xf numFmtId="164" fontId="1" fillId="14" borderId="0" applyAlignment="1" pivotButton="0" quotePrefix="0" xfId="0">
      <alignment horizontal="center"/>
    </xf>
    <xf numFmtId="0" fontId="19" fillId="0" borderId="0" pivotButton="0" quotePrefix="0" xfId="0"/>
    <xf numFmtId="0" fontId="20" fillId="0" borderId="0" pivotButton="0" quotePrefix="0" xfId="0"/>
    <xf numFmtId="0" fontId="3" fillId="15" borderId="0" pivotButton="0" quotePrefix="0" xfId="0"/>
    <xf numFmtId="0" fontId="4" fillId="15" borderId="0" pivotButton="0" quotePrefix="0" xfId="0"/>
    <xf numFmtId="0" fontId="1" fillId="16" borderId="0" pivotButton="0" quotePrefix="0" xfId="0"/>
    <xf numFmtId="0" fontId="4" fillId="17" borderId="0" pivotButton="0" quotePrefix="0" xfId="0"/>
    <xf numFmtId="0" fontId="0" fillId="0" borderId="0" applyAlignment="1" pivotButton="0" quotePrefix="0" xfId="0">
      <alignment wrapText="1"/>
    </xf>
    <xf numFmtId="0" fontId="11" fillId="0" borderId="0" applyAlignment="1" pivotButton="0" quotePrefix="0" xfId="0">
      <alignment vertical="top" wrapText="1"/>
    </xf>
    <xf numFmtId="0" fontId="13" fillId="0" borderId="0" applyAlignment="1" pivotButton="0" quotePrefix="0" xfId="0">
      <alignment vertical="top" wrapText="1"/>
    </xf>
    <xf numFmtId="0" fontId="0" fillId="0" borderId="0" applyAlignment="1" pivotButton="0" quotePrefix="0" xfId="0">
      <alignment vertical="top" wrapText="1"/>
    </xf>
    <xf numFmtId="0" fontId="21" fillId="2" borderId="0" applyAlignment="1" pivotButton="0" quotePrefix="0" xfId="0">
      <alignment vertical="top" wrapText="1"/>
    </xf>
    <xf numFmtId="0" fontId="8" fillId="0" borderId="0" applyAlignment="1" pivotButton="0" quotePrefix="0" xfId="0">
      <alignment horizontal="center"/>
    </xf>
    <xf numFmtId="0" fontId="22" fillId="14" borderId="0" applyAlignment="1" pivotButton="0" quotePrefix="0" xfId="0">
      <alignment horizontal="center"/>
    </xf>
    <xf numFmtId="0" fontId="4" fillId="18" borderId="0" pivotButton="0" quotePrefix="0" xfId="0"/>
    <xf numFmtId="0" fontId="4" fillId="19" borderId="0" pivotButton="0" quotePrefix="0" xfId="0"/>
    <xf numFmtId="0" fontId="15" fillId="18" borderId="0" applyAlignment="1" pivotButton="0" quotePrefix="0" xfId="0">
      <alignment horizontal="center"/>
    </xf>
    <xf numFmtId="0" fontId="23" fillId="0" borderId="0" pivotButton="0" quotePrefix="0" xfId="0"/>
    <xf numFmtId="0" fontId="22" fillId="13" borderId="0" applyAlignment="1" pivotButton="0" quotePrefix="0" xfId="0">
      <alignment horizontal="center"/>
    </xf>
    <xf numFmtId="174" fontId="0" fillId="0" borderId="0" pivotButton="0" quotePrefix="0" xfId="0"/>
    <xf numFmtId="0" fontId="24" fillId="0" borderId="0" pivotButton="0" quotePrefix="0" xfId="0"/>
    <xf numFmtId="9" fontId="7" fillId="0" borderId="0" pivotButton="0" quotePrefix="0" xfId="0"/>
    <xf numFmtId="9" fontId="0" fillId="0" borderId="0" pivotButton="0" quotePrefix="0" xfId="0"/>
    <xf numFmtId="0" fontId="25" fillId="0" borderId="0" pivotButton="0" quotePrefix="0" xfId="0"/>
    <xf numFmtId="0" fontId="5" fillId="8" borderId="0" applyAlignment="1" pivotButton="0" quotePrefix="0" xfId="0">
      <alignment horizontal="center"/>
    </xf>
    <xf numFmtId="0" fontId="5" fillId="9" borderId="0" applyAlignment="1" pivotButton="0" quotePrefix="0" xfId="0">
      <alignment horizontal="center"/>
    </xf>
    <xf numFmtId="0" fontId="5" fillId="10" borderId="0" applyAlignment="1" pivotButton="0" quotePrefix="0" xfId="0">
      <alignment horizontal="center"/>
    </xf>
    <xf numFmtId="0" fontId="5" fillId="11" borderId="0" applyAlignment="1" pivotButton="0" quotePrefix="0" xfId="0">
      <alignment horizontal="center"/>
    </xf>
    <xf numFmtId="0" fontId="5" fillId="2" borderId="0" applyAlignment="1" pivotButton="0" quotePrefix="0" xfId="0">
      <alignment horizontal="center"/>
    </xf>
    <xf numFmtId="0" fontId="5" fillId="3" borderId="0" applyAlignment="1" pivotButton="0" quotePrefix="0" xfId="0">
      <alignment horizontal="center"/>
    </xf>
    <xf numFmtId="0" fontId="5" fillId="4" borderId="0" applyAlignment="1" pivotButton="0" quotePrefix="0" xfId="0">
      <alignment horizontal="center"/>
    </xf>
    <xf numFmtId="0" fontId="5" fillId="5" borderId="0" applyAlignment="1" pivotButton="0" quotePrefix="0" xfId="0">
      <alignment horizontal="center"/>
    </xf>
    <xf numFmtId="0" fontId="5" fillId="6" borderId="0" applyAlignment="1" pivotButton="0" quotePrefix="0" xfId="0">
      <alignment horizontal="center"/>
    </xf>
    <xf numFmtId="0" fontId="5" fillId="7" borderId="0" applyAlignment="1" pivotButton="0" quotePrefix="0" xfId="0">
      <alignment horizontal="center"/>
    </xf>
    <xf numFmtId="0" fontId="26" fillId="0" borderId="0" applyAlignment="1" pivotButton="0" quotePrefix="0" xfId="0">
      <alignment vertical="top" wrapText="1"/>
    </xf>
    <xf numFmtId="0" fontId="27" fillId="0" borderId="0" applyAlignment="1" pivotButton="0" quotePrefix="0" xfId="0">
      <alignment vertical="top" wrapText="1"/>
    </xf>
    <xf numFmtId="0" fontId="28" fillId="20" borderId="0" applyAlignment="1" pivotButton="0" quotePrefix="0" xfId="0">
      <alignment vertical="top" wrapText="1"/>
    </xf>
    <xf numFmtId="0" fontId="4" fillId="21" borderId="1" applyAlignment="1" pivotButton="0" quotePrefix="0" xfId="0">
      <alignment wrapText="1"/>
    </xf>
    <xf numFmtId="0" fontId="0" fillId="0" borderId="2" pivotButton="0" quotePrefix="0" xfId="0"/>
    <xf numFmtId="0" fontId="0" fillId="0" borderId="3" pivotButton="0" quotePrefix="0" xfId="0"/>
    <xf numFmtId="0" fontId="4" fillId="22" borderId="4" pivotButton="0" quotePrefix="0" xfId="0"/>
    <xf numFmtId="0" fontId="4" fillId="22" borderId="5" pivotButton="0" quotePrefix="0" xfId="0"/>
    <xf numFmtId="0" fontId="4" fillId="22" borderId="6" pivotButton="0" quotePrefix="0" xfId="0"/>
    <xf numFmtId="0" fontId="0" fillId="23" borderId="4" pivotButton="0" quotePrefix="0" xfId="0"/>
    <xf numFmtId="0" fontId="0" fillId="23" borderId="5" pivotButton="0" quotePrefix="0" xfId="0"/>
    <xf numFmtId="0" fontId="0" fillId="23" borderId="6"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29" fillId="0" borderId="0" pivotButton="0" quotePrefix="0" xfId="0"/>
    <xf numFmtId="0" fontId="7" fillId="24" borderId="0" pivotButton="0" quotePrefix="0" xfId="0"/>
    <xf numFmtId="175" fontId="7" fillId="0" borderId="0" pivotButton="0" quotePrefix="0" xfId="0"/>
    <xf numFmtId="0" fontId="30" fillId="0" borderId="0" pivotButton="0" quotePrefix="0" xfId="0"/>
    <xf numFmtId="1" fontId="0" fillId="0" borderId="0" pivotButton="0" quotePrefix="0" xfId="0"/>
    <xf numFmtId="0" fontId="31" fillId="0" borderId="0" pivotButton="0" quotePrefix="0" xfId="0"/>
    <xf numFmtId="0" fontId="27" fillId="0" borderId="0" pivotButton="0" quotePrefix="0" xfId="0"/>
    <xf numFmtId="0" fontId="1" fillId="20" borderId="0" pivotButton="0" quotePrefix="0" xfId="0"/>
    <xf numFmtId="0" fontId="1" fillId="20" borderId="0" applyAlignment="1" pivotButton="0" quotePrefix="0" xfId="0">
      <alignment vertical="top" wrapText="1"/>
    </xf>
    <xf numFmtId="164" fontId="7" fillId="0" borderId="0" pivotButton="0" quotePrefix="0" xfId="0"/>
    <xf numFmtId="167" fontId="7" fillId="0" borderId="0" pivotButton="0" quotePrefix="0" xfId="0"/>
    <xf numFmtId="168" fontId="0" fillId="0" borderId="0" pivotButton="0" quotePrefix="0" xfId="0"/>
    <xf numFmtId="169" fontId="0" fillId="0" borderId="0" pivotButton="0" quotePrefix="0" xfId="0"/>
    <xf numFmtId="164" fontId="0" fillId="0" borderId="0" pivotButton="0" quotePrefix="0" xfId="0"/>
    <xf numFmtId="167" fontId="0" fillId="0" borderId="0" pivotButton="0" quotePrefix="0" xfId="0"/>
    <xf numFmtId="170" fontId="0" fillId="0" borderId="0" pivotButton="0" quotePrefix="0" xfId="0"/>
    <xf numFmtId="168" fontId="1" fillId="0" borderId="0" pivotButton="0" quotePrefix="0" xfId="0"/>
    <xf numFmtId="169" fontId="1" fillId="0" borderId="0" pivotButton="0" quotePrefix="0" xfId="0"/>
    <xf numFmtId="164" fontId="1" fillId="14" borderId="0" applyAlignment="1" pivotButton="0" quotePrefix="0" xfId="0">
      <alignment horizontal="center"/>
    </xf>
    <xf numFmtId="164" fontId="8" fillId="0" borderId="0" applyAlignment="1" pivotButton="0" quotePrefix="0" xfId="0">
      <alignment vertical="top"/>
    </xf>
    <xf numFmtId="165" fontId="7" fillId="0" borderId="0" pivotButton="0" quotePrefix="0" xfId="0"/>
    <xf numFmtId="166" fontId="7" fillId="0" borderId="0" pivotButton="0" quotePrefix="0" xfId="0"/>
    <xf numFmtId="0" fontId="0" fillId="0" borderId="11" pivotButton="0" quotePrefix="0" xfId="0"/>
    <xf numFmtId="0" fontId="0" fillId="0" borderId="1"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R167"/>
  <sheetViews>
    <sheetView workbookViewId="0">
      <pane ySplit="2" topLeftCell="A87" activePane="bottomLeft" state="frozen"/>
      <selection pane="bottomLeft" activeCell="C106" sqref="C106"/>
    </sheetView>
  </sheetViews>
  <sheetFormatPr baseColWidth="8" defaultRowHeight="14.4"/>
  <cols>
    <col width="35.21875" customWidth="1" min="1" max="1"/>
    <col width="32.44140625" customWidth="1" min="2" max="2"/>
    <col width="37" customWidth="1" min="3" max="3"/>
    <col width="23.109375" customWidth="1" min="4" max="4"/>
    <col width="26.88671875" customWidth="1" min="5" max="10"/>
    <col width="11.44140625" customWidth="1" min="11" max="14"/>
    <col outlineLevel="1" width="11.44140625" customWidth="1" min="15" max="21"/>
    <col outlineLevel="1" width="29.6640625" customWidth="1" min="22" max="22"/>
    <col outlineLevel="1" width="32.44140625" customWidth="1" min="23" max="24"/>
    <col outlineLevel="1" width="55.5546875" customWidth="1" min="25" max="25"/>
    <col outlineLevel="1" width="32.44140625" customWidth="1" min="26" max="27"/>
    <col outlineLevel="1" width="27.77734375" customWidth="1" min="28" max="28"/>
    <col outlineLevel="1" width="38.88671875" customWidth="1" min="29" max="29"/>
    <col width="38.88671875" customWidth="1" min="30" max="30"/>
    <col outlineLevel="1" width="8.88671875" customWidth="1" min="31" max="36"/>
  </cols>
  <sheetData>
    <row r="1" ht="21" customHeight="1">
      <c r="A1" s="30" t="inlineStr">
        <is>
          <t>TRIP MANAGER — OVERFLIGHT &amp; LANDING PERMIT ENGINE</t>
        </is>
      </c>
    </row>
    <row r="2">
      <c r="A2" s="31" t="inlineStr">
        <is>
          <t>Enter DEP ICAO, ARR ICAO, ETD and REGISTRATION for each leg. Overflown countries and permit lines below recalculate automatically.</t>
        </is>
      </c>
    </row>
    <row r="4">
      <c r="A4" s="25" t="inlineStr">
        <is>
          <t>1 · TRIP &amp; AIRCRAFT</t>
        </is>
      </c>
      <c r="B4" s="25" t="n"/>
      <c r="C4" s="25" t="n"/>
      <c r="D4" s="25" t="n"/>
      <c r="E4" s="25" t="n"/>
      <c r="F4" s="25" t="n"/>
      <c r="G4" s="25" t="n"/>
      <c r="H4" s="25" t="n"/>
      <c r="I4" s="25" t="n"/>
      <c r="J4" s="25" t="n"/>
      <c r="K4" s="25" t="n"/>
      <c r="L4" s="25" t="n"/>
      <c r="M4" s="25" t="n"/>
    </row>
    <row r="5">
      <c r="A5" s="1" t="inlineStr">
        <is>
          <t>TRIP REFERENCE</t>
        </is>
      </c>
      <c r="B5" s="4" t="inlineStr">
        <is>
          <t>JTL-2608-001</t>
        </is>
      </c>
      <c r="C5" s="32" t="inlineStr">
        <is>
          <t>Register status →</t>
        </is>
      </c>
      <c r="D5" s="49">
        <f>IF($B$5="","",IFERROR(INDEX(mayfly!$C:$C,MATCH($B$5,mayfly!$A:$A,0))&amp;" | owner: "&amp;INDEX(mayfly!$D:$D,MATCH($B$5,mayfly!$A:$A,0))&amp;" | legs in register: "&amp;COUNTIF(mayfly!$A:$A,$B$5),"NOT IN THE MAYFLY REGISTER - add it there first"))</f>
        <v/>
      </c>
      <c r="E5" s="1" t="inlineStr">
        <is>
          <t>BILL TO — DEFAULT (CLIENT ID)</t>
        </is>
      </c>
      <c r="F5" s="4" t="inlineStr">
        <is>
          <t>CLI-001</t>
        </is>
      </c>
    </row>
    <row r="6">
      <c r="A6" s="1" t="inlineStr">
        <is>
          <t>OPERATOR</t>
        </is>
      </c>
      <c r="B6" s="4" t="inlineStr">
        <is>
          <t>JTL AVIATION, INC</t>
        </is>
      </c>
      <c r="C6" s="32" t="inlineStr">
        <is>
          <t>Operator on file for this tail →</t>
        </is>
      </c>
      <c r="E6" s="1" t="inlineStr">
        <is>
          <t>CLIENT / BILL-TO NAME</t>
        </is>
      </c>
      <c r="F6" s="28">
        <f>IF($F$5="","",IFERROR(INDEX(Clients!$D:$D,MATCH($F$5,Clients!$A:$A,0))&amp;"","UNKNOWN CLIENT ID"))</f>
        <v/>
      </c>
    </row>
    <row r="7">
      <c r="A7" s="1" t="inlineStr">
        <is>
          <t>REGISTRATION</t>
        </is>
      </c>
      <c r="B7" s="4" t="inlineStr">
        <is>
          <t>N450GA</t>
        </is>
      </c>
      <c r="C7" s="47">
        <f>IF($B$7="","",IFERROR(IF(INDEX(Aircraft!$T:$T,MATCH($B$7,Aircraft!$B:$B,0))="","OPERATOR NAME NOT SET ON Operators SHEET",INDEX(Aircraft!$T:$T,MATCH($B$7,Aircraft!$B:$B,0))),"TAIL NOT IN FLEET — OPERATOR CANNOT BE VERIFIED"))</f>
        <v/>
      </c>
      <c r="E7" s="1" t="inlineStr">
        <is>
          <t>BILLING ADDRESS</t>
        </is>
      </c>
      <c r="F7" s="28">
        <f>IF($F$5="","",IFERROR(INDEX(Clients!$E:$E,MATCH($F$5,Clients!$A:$A,0))&amp;IF(INDEX(Clients!$F:$F,MATCH($F$5,Clients!$A:$A,0))="","",", "&amp;INDEX(Clients!$F:$F,MATCH($F$5,Clients!$A:$A,0)))&amp;", "&amp;INDEX(Clients!$G:$G,MATCH($F$5,Clients!$A:$A,0))&amp;", "&amp;INDEX(Clients!$H:$H,MATCH($F$5,Clients!$A:$A,0)),"UNKNOWN CLIENT ID"))</f>
        <v/>
      </c>
    </row>
    <row r="8">
      <c r="A8" s="1" t="inlineStr">
        <is>
          <t>AIRCRAFT TYPE (ICAO)</t>
        </is>
      </c>
      <c r="B8" s="28">
        <f>IF($B$7="","",IFERROR(INDEX(Aircraft!$C:$C,MATCH($B$7,Aircraft!$B:$B,0)),"NOT IN FLEET"))</f>
        <v/>
      </c>
      <c r="E8" s="1" t="inlineStr">
        <is>
          <t>BILLING EMAIL</t>
        </is>
      </c>
      <c r="F8" s="28">
        <f>IF($F$5="","",IFERROR(INDEX(Clients!$K:$K,MATCH($F$5,Clients!$A:$A,0))&amp;"","UNKNOWN CLIENT ID"))</f>
        <v/>
      </c>
    </row>
    <row r="9">
      <c r="A9" s="1" t="inlineStr">
        <is>
          <t>MTOW (KG)</t>
        </is>
      </c>
      <c r="B9" s="28">
        <f>IF($B$7="","",IFERROR(INDEX(Aircraft!$H:$H,MATCH($B$7,Aircraft!$B:$B,0)),"NOT IN FLEET"))</f>
        <v/>
      </c>
      <c r="E9" s="1" t="inlineStr">
        <is>
          <t>CURRENCY</t>
        </is>
      </c>
      <c r="F9" s="28">
        <f>IF($F$5="","",IFERROR(INDEX(Clients!$M:$M,MATCH($F$5,Clients!$A:$A,0))&amp;"","UNKNOWN CLIENT ID"))</f>
        <v/>
      </c>
    </row>
    <row r="10">
      <c r="A10" s="1" t="inlineStr">
        <is>
          <t>BLOCK SPEED (KTS)</t>
        </is>
      </c>
      <c r="B10" s="4" t="n">
        <v>470</v>
      </c>
      <c r="C10" s="32">
        <f>IF($B$8="","",IFERROR("Published cruise for "&amp;$B$8&amp;" is "&amp;TEXT(INDEX('AIRCRAFT PERFORMANCE'!$E:$E,MATCH($B$8,'AIRCRAFT PERFORMANCE'!$A:$A,0)),"#,##0")&amp;" kts - indicative only","Type not in the performance table"))</f>
        <v/>
      </c>
      <c r="E10" s="1" t="inlineStr">
        <is>
          <t>PAYMENT TERMS</t>
        </is>
      </c>
      <c r="F10" s="28">
        <f>IF($F$5="","",IFERROR(INDEX(Clients!$N:$N,MATCH($F$5,Clients!$A:$A,0))&amp;"","UNKNOWN CLIENT ID"))</f>
        <v/>
      </c>
    </row>
    <row r="11">
      <c r="A11" s="1" t="inlineStr">
        <is>
          <t>TAXI / CLIMB ALLOWANCE (HRS)</t>
        </is>
      </c>
      <c r="B11" s="4" t="n">
        <v>0.4</v>
      </c>
      <c r="C11" s="32" t="inlineStr">
        <is>
          <t>Added to each leg's airborne time</t>
        </is>
      </c>
      <c r="E11" s="1" t="inlineStr">
        <is>
          <t>ACCOUNT OWNED BY OPERATOR</t>
        </is>
      </c>
      <c r="F11" s="28">
        <f>IF($F$5="","",IFERROR(INDEX(Clients!$B:$B,MATCH($F$5,Clients!$A:$A,0))&amp;"","UNKNOWN CLIENT ID"))</f>
        <v/>
      </c>
    </row>
    <row r="12">
      <c r="A12" s="1" t="inlineStr">
        <is>
          <t>DEFAULT PERMIT LEAD TIME (HRS)</t>
        </is>
      </c>
      <c r="B12" s="4" t="n">
        <v>72</v>
      </c>
      <c r="C12" s="32" t="inlineStr">
        <is>
          <t>Used when a country has no lead time in the countries sheet</t>
        </is>
      </c>
      <c r="E12" s="1" t="inlineStr">
        <is>
          <t>ACCOUNT CHECK</t>
        </is>
      </c>
      <c r="F12" s="49">
        <f>IF($F$5="","",IFERROR(IF(INDEX(Clients!$B:$B,MATCH($F$5,Clients!$A:$A,0))=INDEX(Aircraft!$N:$N,MATCH($B$7,Aircraft!$B:$B,0)),"OK","BILL-TO BELONGS TO A DIFFERENT OPERATOR"),"CANNOT VERIFY - TAIL NOT IN FLEET"))</f>
        <v/>
      </c>
    </row>
    <row r="13">
      <c r="A13" s="1" t="inlineStr">
        <is>
          <t>TRIP DISTANCE (NM)</t>
        </is>
      </c>
      <c r="B13">
        <f>SUM($J$18:$J$25)</f>
        <v/>
      </c>
    </row>
    <row r="14">
      <c r="A14" s="1" t="inlineStr">
        <is>
          <t>TRIP EET (HRS)</t>
        </is>
      </c>
      <c r="B14">
        <f>ROUND(SUM($K$18:$K$25),2)</f>
        <v/>
      </c>
    </row>
    <row r="16">
      <c r="A16" s="25" t="inlineStr">
        <is>
          <t>2 · LEGS   (up to 8 · leg 2+ departure defaults to the previous leg's arrival, overwrite if needed)</t>
        </is>
      </c>
      <c r="B16" s="25" t="n"/>
      <c r="C16" s="25" t="n"/>
      <c r="D16" s="25" t="n"/>
      <c r="E16" s="25" t="n"/>
      <c r="F16" s="25" t="n"/>
      <c r="G16" s="25" t="n"/>
      <c r="H16" s="25" t="n"/>
      <c r="I16" s="25" t="n"/>
      <c r="J16" s="25" t="n"/>
      <c r="K16" s="25" t="n"/>
      <c r="L16" s="25" t="n"/>
      <c r="M16" s="25" t="n"/>
      <c r="N16" s="25" t="n"/>
      <c r="O16" s="25" t="n"/>
      <c r="P16" s="25" t="n"/>
      <c r="Q16" s="25" t="n"/>
      <c r="R16" s="25" t="n"/>
      <c r="S16" s="25" t="n"/>
    </row>
    <row r="17">
      <c r="A17" s="33" t="inlineStr">
        <is>
          <t>LEG</t>
        </is>
      </c>
      <c r="B17" s="33" t="inlineStr">
        <is>
          <t>DEP ICAO</t>
        </is>
      </c>
      <c r="C17" s="33" t="inlineStr">
        <is>
          <t>DEP AIRPORT</t>
        </is>
      </c>
      <c r="D17" s="33" t="inlineStr">
        <is>
          <t>DEP COUNTRY</t>
        </is>
      </c>
      <c r="E17" s="33" t="inlineStr">
        <is>
          <t>ETD DATE</t>
        </is>
      </c>
      <c r="F17" s="33" t="inlineStr">
        <is>
          <t>ETD (Z)</t>
        </is>
      </c>
      <c r="G17" s="33" t="inlineStr">
        <is>
          <t>ARR ICAO</t>
        </is>
      </c>
      <c r="H17" s="33" t="inlineStr">
        <is>
          <t>ARR AIRPORT</t>
        </is>
      </c>
      <c r="I17" s="33" t="inlineStr">
        <is>
          <t>ARR COUNTRY</t>
        </is>
      </c>
      <c r="J17" s="33" t="inlineStr">
        <is>
          <t>DIST (NM)</t>
        </is>
      </c>
      <c r="K17" s="33" t="inlineStr">
        <is>
          <t>EET (HRS)</t>
        </is>
      </c>
      <c r="L17" s="33" t="inlineStr">
        <is>
          <t>ETA DATE</t>
        </is>
      </c>
      <c r="M17" s="33" t="inlineStr">
        <is>
          <t>ETA (Z)</t>
        </is>
      </c>
      <c r="N17" s="33" t="inlineStr">
        <is>
          <t>BILL TO (LEG)</t>
        </is>
      </c>
      <c r="O17" s="33" t="inlineStr">
        <is>
          <t>DEP LAT</t>
        </is>
      </c>
      <c r="P17" s="33" t="inlineStr">
        <is>
          <t>DEP LON</t>
        </is>
      </c>
      <c r="Q17" s="33" t="inlineStr">
        <is>
          <t>ARR LAT</t>
        </is>
      </c>
      <c r="R17" s="33" t="inlineStr">
        <is>
          <t>ARR LON</t>
        </is>
      </c>
      <c r="S17" s="33" t="inlineStr">
        <is>
          <t>GC ANGLE (RAD)</t>
        </is>
      </c>
      <c r="T17" s="33" t="inlineStr">
        <is>
          <t>DEP ISO3</t>
        </is>
      </c>
      <c r="U17" s="33" t="inlineStr">
        <is>
          <t>ARR ISO3</t>
        </is>
      </c>
      <c r="V17" s="33" t="inlineStr">
        <is>
          <t>AVOID STATES / FIR (country name)</t>
        </is>
      </c>
      <c r="W17" s="33" t="inlineStr">
        <is>
          <t>INCLUDE STATES / FIR (country name)</t>
        </is>
      </c>
      <c r="X17" s="33" t="inlineStr">
        <is>
          <t>ROUTE CHECK</t>
        </is>
      </c>
      <c r="Y17" s="33" t="inlineStr">
        <is>
          <t>RANGE CHECK</t>
        </is>
      </c>
      <c r="AH17" s="27" t="inlineStr">
        <is>
          <t>NATIONALITY</t>
        </is>
      </c>
      <c r="AI17" s="27" t="inlineStr">
        <is>
          <t>FIRST?</t>
        </is>
      </c>
      <c r="AJ17" s="27" t="inlineStr">
        <is>
          <t>NAT RANK</t>
        </is>
      </c>
      <c r="AK17" s="27" t="inlineStr">
        <is>
          <t>GROUND ISO3</t>
        </is>
      </c>
      <c r="AL17" s="27" t="inlineStr">
        <is>
          <t>GROUND AIRPORT</t>
        </is>
      </c>
      <c r="AM17" s="27" t="inlineStr">
        <is>
          <t>GROUND LEG</t>
        </is>
      </c>
      <c r="AN17" s="27" t="inlineStr">
        <is>
          <t>GROUND DATETIME</t>
        </is>
      </c>
      <c r="AO17" s="27" t="inlineStr">
        <is>
          <t>FIRST?</t>
        </is>
      </c>
      <c r="AP17" s="27" t="inlineStr">
        <is>
          <t>GH RANK</t>
        </is>
      </c>
    </row>
    <row r="18">
      <c r="A18" t="inlineStr">
        <is>
          <t>L1</t>
        </is>
      </c>
      <c r="B18" s="4" t="inlineStr">
        <is>
          <t>FALA</t>
        </is>
      </c>
      <c r="C18" s="28">
        <f>IF($B18="","",IFERROR(INDEX(airports!$E:$E,MATCH($B18,airports!$A:$A,0)),"ICAO NOT IN AIRPORTS"))</f>
        <v/>
      </c>
      <c r="D18" s="28">
        <f>IF($B18="","",IFERROR(INDEX(airports!$H:$H,MATCH($B18,airports!$A:$A,0)),""))</f>
        <v/>
      </c>
      <c r="E18" s="114" t="n">
        <v>46248</v>
      </c>
      <c r="F18" s="115" t="n">
        <v>0.375</v>
      </c>
      <c r="G18" s="4" t="inlineStr">
        <is>
          <t>FTTJ</t>
        </is>
      </c>
      <c r="H18" s="28">
        <f>IF($G18="","",IFERROR(INDEX(airports!$E:$E,MATCH($G18,airports!$A:$A,0)),"ICAO NOT IN AIRPORTS"))</f>
        <v/>
      </c>
      <c r="I18" s="28">
        <f>IF($G18="","",IFERROR(INDEX(airports!$H:$H,MATCH($G18,airports!$A:$A,0)),""))</f>
        <v/>
      </c>
      <c r="J18" s="116">
        <f>IF($S18="","",ROUND($S18*3440.065,0))</f>
        <v/>
      </c>
      <c r="K18" s="117">
        <f>IF(OR($J18="",$B$10=""),"",ROUND($J18/$B$10+$B$11,2))</f>
        <v/>
      </c>
      <c r="L18" s="118">
        <f>IF(OR($E18="",$K18=""),"",INT($E18+$F18+$K18/24))</f>
        <v/>
      </c>
      <c r="M18" s="119">
        <f>IF($L18="","",MOD($E18+$F18+$K18/24,1))</f>
        <v/>
      </c>
      <c r="N18" s="4">
        <f>IF($B18="","",$F$5)</f>
        <v/>
      </c>
      <c r="O18" s="120">
        <f>IF($B18="","",IFERROR(INDEX(airports!$O:$O,MATCH($B18,airports!$A:$A,0)),""))</f>
        <v/>
      </c>
      <c r="P18" s="120">
        <f>IF($B18="","",IFERROR(INDEX(airports!$P:$P,MATCH($B18,airports!$A:$A,0)),""))</f>
        <v/>
      </c>
      <c r="Q18" s="120">
        <f>IF($G18="","",IFERROR(INDEX(airports!$O:$O,MATCH($G18,airports!$A:$A,0)),""))</f>
        <v/>
      </c>
      <c r="R18" s="120">
        <f>IF($G18="","",IFERROR(INDEX(airports!$P:$P,MATCH($G18,airports!$A:$A,0)),""))</f>
        <v/>
      </c>
      <c r="S18" s="120">
        <f>IF(OR($O18="",$Q18=""),"",ACOS(MIN(1,SIN(RADIANS($O18))*SIN(RADIANS($Q18))+COS(RADIANS($O18))*COS(RADIANS($Q18))*COS(RADIANS($R18-$P18)))))</f>
        <v/>
      </c>
      <c r="T18">
        <f t="array" ref="T18">IF($O18="","",IFERROR(IF(INDEX(geo_grid!$B$2:$JU$231,INT(($O18+40)/0.5)+1,INT(($P18+30)/0.5)+1)="","",INDEX(geo_grid!$B$2:$JU$231,INT(($O18+40)/0.5)+1,INT(($P18+30)/0.5)+1)),"OUTSIDE GRID"))</f>
        <v/>
      </c>
      <c r="U18">
        <f t="array" ref="U18">IF($Q18="","",IFERROR(IF(INDEX(geo_grid!$B$2:$JU$231,INT(($Q18+40)/0.5)+1,INT(($R18+30)/0.5)+1)="","",INDEX(geo_grid!$B$2:$JU$231,INT(($Q18+40)/0.5)+1,INT(($R18+30)/0.5)+1)),"OUTSIDE GRID"))</f>
        <v/>
      </c>
      <c r="V18" s="4" t="n"/>
      <c r="W18" s="4" t="n"/>
      <c r="X18" s="1">
        <f t="array" ref="X18">IF($B18="","",IF(AND($V18="",$W18=""),"NO CONSTRAINT",TRIM(IF($V18="","",IF(SUMPRODUCT(--((ISNUMBER(SEARCH(","&amp;permit_calc!$A$3:$A$144&amp;",",","&amp;SUBSTITUTE(UPPER($V18)," ","")&amp;","))+ISNUMBER(SEARCH(","&amp;SUBSTITUTE(UPPER(permit_calc!$B$3:$B$144)," ","")&amp;",",","&amp;SUBSTITUTE(UPPER($V18)," ","")&amp;",")))&gt;0),--(INDEX(permit_calc!$C$3:$J$144,0,ROW()-17)&gt;0))&gt;0,"AVOID CONFLICT - track crosses an excluded state. ",""))&amp;IF($W18="","",IF(SUMPRODUCT(--((ISNUMBER(SEARCH(","&amp;permit_calc!$A$3:$A$144&amp;",",","&amp;SUBSTITUTE(UPPER($W18)," ","")&amp;","))+ISNUMBER(SEARCH(","&amp;SUBSTITUTE(UPPER(permit_calc!$B$3:$B$144)," ","")&amp;",",","&amp;SUBSTITUTE(UPPER($W18)," ","")&amp;",")))&gt;0),--(INDEX(permit_calc!$C$3:$J$144,0,ROW()-17)&gt;0))&lt;LEN($W18)-LEN(SUBSTITUTE($W18,",",""))+1,"INCLUDE NOT ON TRACK - required state not overflown. ","")))))</f>
        <v/>
      </c>
      <c r="Y18" s="1">
        <f>IF($B18="","",IFERROR(IF($J18&gt;INDEX('AIRCRAFT PERFORMANCE'!$I:$I,MATCH($B$8,'AIRCRAFT PERFORMANCE'!$A:$A,0)),"EXCEEDS PRACTICAL RANGE OF "&amp;TEXT(INDEX('AIRCRAFT PERFORMANCE'!$I:$I,MATCH($B$8,'AIRCRAFT PERFORMANCE'!$A:$A,0)),"#,##0")&amp;" NM - TECHNICAL STOP REQUIRED","WITHIN RANGE"),"TYPE NOT IN PERFORMANCE TABLE"))</f>
        <v/>
      </c>
      <c r="AH18">
        <f>IFERROR(INDEX('PAX &amp; CREW'!$L$3:$L$62,MATCH(ROW()-17,'PAX &amp; CREW'!$AJ$3:$AJ$62,0)),"")</f>
        <v/>
      </c>
      <c r="AI18">
        <f>IF($AH18="","",IF(COUNTIF($AH$18:$AH18,$AH18)=1,1,0))</f>
        <v/>
      </c>
      <c r="AJ18">
        <f>IF($AI18=1,SUM($AI$18:$AI18),"")</f>
        <v/>
      </c>
      <c r="AK18">
        <f>IF($B$18="","",$T$18)</f>
        <v/>
      </c>
      <c r="AL18">
        <f>IF($B$18="","",$B$18)</f>
        <v/>
      </c>
      <c r="AM18">
        <f>IF($B$18="","","L1")</f>
        <v/>
      </c>
      <c r="AN18">
        <f>IF($B$18="","",$E$18+$F$18)</f>
        <v/>
      </c>
      <c r="AO18">
        <f>IF($AK18="","",IF(COUNTIF($AK$18:$AK18,$AK18)=1,1,0))</f>
        <v/>
      </c>
      <c r="AP18">
        <f>IF($AO18=1,SUM($AO$18:$AO18),"")</f>
        <v/>
      </c>
    </row>
    <row r="19">
      <c r="A19" t="inlineStr">
        <is>
          <t>L2</t>
        </is>
      </c>
      <c r="B19" s="10" t="inlineStr">
        <is>
          <t>FTTJ</t>
        </is>
      </c>
      <c r="C19" s="28">
        <f>IF($B19="","",IFERROR(INDEX(airports!$E:$E,MATCH($B19,airports!$A:$A,0)),"ICAO NOT IN AIRPORTS"))</f>
        <v/>
      </c>
      <c r="D19" s="28">
        <f>IF($B19="","",IFERROR(INDEX(airports!$H:$H,MATCH($B19,airports!$A:$A,0)),""))</f>
        <v/>
      </c>
      <c r="E19" s="114" t="n">
        <v>46250</v>
      </c>
      <c r="F19" s="115" t="n">
        <v>0.25</v>
      </c>
      <c r="G19" s="4" t="inlineStr">
        <is>
          <t>HECA</t>
        </is>
      </c>
      <c r="H19" s="28">
        <f>IF($G19="","",IFERROR(INDEX(airports!$E:$E,MATCH($G19,airports!$A:$A,0)),"ICAO NOT IN AIRPORTS"))</f>
        <v/>
      </c>
      <c r="I19" s="28">
        <f>IF($G19="","",IFERROR(INDEX(airports!$H:$H,MATCH($G19,airports!$A:$A,0)),""))</f>
        <v/>
      </c>
      <c r="J19" s="116">
        <f>IF($S19="","",ROUND($S19*3440.065,0))</f>
        <v/>
      </c>
      <c r="K19" s="117">
        <f>IF(OR($J19="",$B$10=""),"",ROUND($J19/$B$10+$B$11,2))</f>
        <v/>
      </c>
      <c r="L19" s="118">
        <f>IF(OR($E19="",$K19=""),"",INT($E19+$F19+$K19/24))</f>
        <v/>
      </c>
      <c r="M19" s="119">
        <f>IF($L19="","",MOD($E19+$F19+$K19/24,1))</f>
        <v/>
      </c>
      <c r="N19" s="4">
        <f>IF($B19="","",$F$5)</f>
        <v/>
      </c>
      <c r="O19" s="120">
        <f>IF($B19="","",IFERROR(INDEX(airports!$O:$O,MATCH($B19,airports!$A:$A,0)),""))</f>
        <v/>
      </c>
      <c r="P19" s="120">
        <f>IF($B19="","",IFERROR(INDEX(airports!$P:$P,MATCH($B19,airports!$A:$A,0)),""))</f>
        <v/>
      </c>
      <c r="Q19" s="120">
        <f>IF($G19="","",IFERROR(INDEX(airports!$O:$O,MATCH($G19,airports!$A:$A,0)),""))</f>
        <v/>
      </c>
      <c r="R19" s="120">
        <f>IF($G19="","",IFERROR(INDEX(airports!$P:$P,MATCH($G19,airports!$A:$A,0)),""))</f>
        <v/>
      </c>
      <c r="S19" s="120">
        <f>IF(OR($O19="",$Q19=""),"",ACOS(MIN(1,SIN(RADIANS($O19))*SIN(RADIANS($Q19))+COS(RADIANS($O19))*COS(RADIANS($Q19))*COS(RADIANS($R19-$P19)))))</f>
        <v/>
      </c>
      <c r="T19">
        <f t="array" ref="T19">IF($O19="","",IFERROR(IF(INDEX(geo_grid!$B$2:$JU$231,INT(($O19+40)/0.5)+1,INT(($P19+30)/0.5)+1)="","",INDEX(geo_grid!$B$2:$JU$231,INT(($O19+40)/0.5)+1,INT(($P19+30)/0.5)+1)),"OUTSIDE GRID"))</f>
        <v/>
      </c>
      <c r="U19">
        <f t="array" ref="U19">IF($Q19="","",IFERROR(IF(INDEX(geo_grid!$B$2:$JU$231,INT(($Q19+40)/0.5)+1,INT(($R19+30)/0.5)+1)="","",INDEX(geo_grid!$B$2:$JU$231,INT(($Q19+40)/0.5)+1,INT(($R19+30)/0.5)+1)),"OUTSIDE GRID"))</f>
        <v/>
      </c>
      <c r="V19" s="4" t="n"/>
      <c r="W19" s="4" t="n"/>
      <c r="X19" s="1">
        <f t="array" ref="X19">IF($B19="","",IF(AND($V19="",$W19=""),"NO CONSTRAINT",TRIM(IF($V19="","",IF(SUMPRODUCT(--((ISNUMBER(SEARCH(","&amp;permit_calc!$A$3:$A$144&amp;",",","&amp;SUBSTITUTE(UPPER($V19)," ","")&amp;","))+ISNUMBER(SEARCH(","&amp;SUBSTITUTE(UPPER(permit_calc!$B$3:$B$144)," ","")&amp;",",","&amp;SUBSTITUTE(UPPER($V19)," ","")&amp;",")))&gt;0),--(INDEX(permit_calc!$C$3:$J$144,0,ROW()-17)&gt;0))&gt;0,"AVOID CONFLICT - track crosses an excluded state. ",""))&amp;IF($W19="","",IF(SUMPRODUCT(--((ISNUMBER(SEARCH(","&amp;permit_calc!$A$3:$A$144&amp;",",","&amp;SUBSTITUTE(UPPER($W19)," ","")&amp;","))+ISNUMBER(SEARCH(","&amp;SUBSTITUTE(UPPER(permit_calc!$B$3:$B$144)," ","")&amp;",",","&amp;SUBSTITUTE(UPPER($W19)," ","")&amp;",")))&gt;0),--(INDEX(permit_calc!$C$3:$J$144,0,ROW()-17)&gt;0))&lt;LEN($W19)-LEN(SUBSTITUTE($W19,",",""))+1,"INCLUDE NOT ON TRACK - required state not overflown. ","")))))</f>
        <v/>
      </c>
      <c r="Y19" s="1">
        <f>IF($B19="","",IFERROR(IF($J19&gt;INDEX('AIRCRAFT PERFORMANCE'!$I:$I,MATCH($B$8,'AIRCRAFT PERFORMANCE'!$A:$A,0)),"EXCEEDS PRACTICAL RANGE OF "&amp;TEXT(INDEX('AIRCRAFT PERFORMANCE'!$I:$I,MATCH($B$8,'AIRCRAFT PERFORMANCE'!$A:$A,0)),"#,##0")&amp;" NM - TECHNICAL STOP REQUIRED","WITHIN RANGE"),"TYPE NOT IN PERFORMANCE TABLE"))</f>
        <v/>
      </c>
      <c r="AH19">
        <f>IFERROR(INDEX('PAX &amp; CREW'!$L$3:$L$62,MATCH(ROW()-17,'PAX &amp; CREW'!$AJ$3:$AJ$62,0)),"")</f>
        <v/>
      </c>
      <c r="AI19">
        <f>IF($AH19="","",IF(COUNTIF($AH$18:$AH19,$AH19)=1,1,0))</f>
        <v/>
      </c>
      <c r="AJ19">
        <f>IF($AI19=1,SUM($AI$18:$AI19),"")</f>
        <v/>
      </c>
      <c r="AK19">
        <f>IF($U18="","",$U18)</f>
        <v/>
      </c>
      <c r="AL19">
        <f>IF($U18="","",$G18)</f>
        <v/>
      </c>
      <c r="AM19">
        <f>IF($U18="","",$A18)</f>
        <v/>
      </c>
      <c r="AN19">
        <f>IF($U18="","",$L18+$M18)</f>
        <v/>
      </c>
      <c r="AO19">
        <f>IF($AK19="","",IF(COUNTIF($AK$18:$AK19,$AK19)=1,1,0))</f>
        <v/>
      </c>
      <c r="AP19">
        <f>IF($AO19=1,SUM($AO$18:$AO19),"")</f>
        <v/>
      </c>
    </row>
    <row r="20">
      <c r="A20" t="inlineStr">
        <is>
          <t>L3</t>
        </is>
      </c>
      <c r="B20" s="10" t="inlineStr">
        <is>
          <t>HECA</t>
        </is>
      </c>
      <c r="C20" s="28">
        <f>IF($B20="","",IFERROR(INDEX(airports!$E:$E,MATCH($B20,airports!$A:$A,0)),"ICAO NOT IN AIRPORTS"))</f>
        <v/>
      </c>
      <c r="D20" s="28">
        <f>IF($B20="","",IFERROR(INDEX(airports!$H:$H,MATCH($B20,airports!$A:$A,0)),""))</f>
        <v/>
      </c>
      <c r="E20" s="114" t="n">
        <v>46251</v>
      </c>
      <c r="F20" s="115" t="n">
        <v>0.1666666666666667</v>
      </c>
      <c r="G20" s="4" t="inlineStr">
        <is>
          <t>GMAD</t>
        </is>
      </c>
      <c r="H20" s="28">
        <f>IF($G20="","",IFERROR(INDEX(airports!$E:$E,MATCH($G20,airports!$A:$A,0)),"ICAO NOT IN AIRPORTS"))</f>
        <v/>
      </c>
      <c r="I20" s="28">
        <f>IF($G20="","",IFERROR(INDEX(airports!$H:$H,MATCH($G20,airports!$A:$A,0)),""))</f>
        <v/>
      </c>
      <c r="J20" s="116">
        <f>IF($S20="","",ROUND($S20*3440.065,0))</f>
        <v/>
      </c>
      <c r="K20" s="117">
        <f>IF(OR($J20="",$B$10=""),"",ROUND($J20/$B$10+$B$11,2))</f>
        <v/>
      </c>
      <c r="L20" s="118">
        <f>IF(OR($E20="",$K20=""),"",INT($E20+$F20+$K20/24))</f>
        <v/>
      </c>
      <c r="M20" s="119">
        <f>IF($L20="","",MOD($E20+$F20+$K20/24,1))</f>
        <v/>
      </c>
      <c r="N20" s="4">
        <f>IF($B20="","",$F$5)</f>
        <v/>
      </c>
      <c r="O20" s="120">
        <f>IF($B20="","",IFERROR(INDEX(airports!$O:$O,MATCH($B20,airports!$A:$A,0)),""))</f>
        <v/>
      </c>
      <c r="P20" s="120">
        <f>IF($B20="","",IFERROR(INDEX(airports!$P:$P,MATCH($B20,airports!$A:$A,0)),""))</f>
        <v/>
      </c>
      <c r="Q20" s="120">
        <f>IF($G20="","",IFERROR(INDEX(airports!$O:$O,MATCH($G20,airports!$A:$A,0)),""))</f>
        <v/>
      </c>
      <c r="R20" s="120">
        <f>IF($G20="","",IFERROR(INDEX(airports!$P:$P,MATCH($G20,airports!$A:$A,0)),""))</f>
        <v/>
      </c>
      <c r="S20" s="120">
        <f>IF(OR($O20="",$Q20=""),"",ACOS(MIN(1,SIN(RADIANS($O20))*SIN(RADIANS($Q20))+COS(RADIANS($O20))*COS(RADIANS($Q20))*COS(RADIANS($R20-$P20)))))</f>
        <v/>
      </c>
      <c r="T20">
        <f t="array" ref="T20">IF($O20="","",IFERROR(IF(INDEX(geo_grid!$B$2:$JU$231,INT(($O20+40)/0.5)+1,INT(($P20+30)/0.5)+1)="","",INDEX(geo_grid!$B$2:$JU$231,INT(($O20+40)/0.5)+1,INT(($P20+30)/0.5)+1)),"OUTSIDE GRID"))</f>
        <v/>
      </c>
      <c r="U20">
        <f t="array" ref="U20">IF($Q20="","",IFERROR(IF(INDEX(geo_grid!$B$2:$JU$231,INT(($Q20+40)/0.5)+1,INT(($R20+30)/0.5)+1)="","",INDEX(geo_grid!$B$2:$JU$231,INT(($Q20+40)/0.5)+1,INT(($R20+30)/0.5)+1)),"OUTSIDE GRID"))</f>
        <v/>
      </c>
      <c r="V20" s="4" t="n"/>
      <c r="W20" s="4" t="n"/>
      <c r="X20" s="1">
        <f t="array" ref="X20">IF($B20="","",IF(AND($V20="",$W20=""),"NO CONSTRAINT",TRIM(IF($V20="","",IF(SUMPRODUCT(--((ISNUMBER(SEARCH(","&amp;permit_calc!$A$3:$A$144&amp;",",","&amp;SUBSTITUTE(UPPER($V20)," ","")&amp;","))+ISNUMBER(SEARCH(","&amp;SUBSTITUTE(UPPER(permit_calc!$B$3:$B$144)," ","")&amp;",",","&amp;SUBSTITUTE(UPPER($V20)," ","")&amp;",")))&gt;0),--(INDEX(permit_calc!$C$3:$J$144,0,ROW()-17)&gt;0))&gt;0,"AVOID CONFLICT - track crosses an excluded state. ",""))&amp;IF($W20="","",IF(SUMPRODUCT(--((ISNUMBER(SEARCH(","&amp;permit_calc!$A$3:$A$144&amp;",",","&amp;SUBSTITUTE(UPPER($W20)," ","")&amp;","))+ISNUMBER(SEARCH(","&amp;SUBSTITUTE(UPPER(permit_calc!$B$3:$B$144)," ","")&amp;",",","&amp;SUBSTITUTE(UPPER($W20)," ","")&amp;",")))&gt;0),--(INDEX(permit_calc!$C$3:$J$144,0,ROW()-17)&gt;0))&lt;LEN($W20)-LEN(SUBSTITUTE($W20,",",""))+1,"INCLUDE NOT ON TRACK - required state not overflown. ","")))))</f>
        <v/>
      </c>
      <c r="Y20" s="1">
        <f>IF($B20="","",IFERROR(IF($J20&gt;INDEX('AIRCRAFT PERFORMANCE'!$I:$I,MATCH($B$8,'AIRCRAFT PERFORMANCE'!$A:$A,0)),"EXCEEDS PRACTICAL RANGE OF "&amp;TEXT(INDEX('AIRCRAFT PERFORMANCE'!$I:$I,MATCH($B$8,'AIRCRAFT PERFORMANCE'!$A:$A,0)),"#,##0")&amp;" NM - TECHNICAL STOP REQUIRED","WITHIN RANGE"),"TYPE NOT IN PERFORMANCE TABLE"))</f>
        <v/>
      </c>
      <c r="AH20">
        <f>IFERROR(INDEX('PAX &amp; CREW'!$L$3:$L$62,MATCH(ROW()-17,'PAX &amp; CREW'!$AJ$3:$AJ$62,0)),"")</f>
        <v/>
      </c>
      <c r="AI20">
        <f>IF($AH20="","",IF(COUNTIF($AH$18:$AH20,$AH20)=1,1,0))</f>
        <v/>
      </c>
      <c r="AJ20">
        <f>IF($AI20=1,SUM($AI$18:$AI20),"")</f>
        <v/>
      </c>
      <c r="AK20">
        <f>IF($U19="","",$U19)</f>
        <v/>
      </c>
      <c r="AL20">
        <f>IF($U19="","",$G19)</f>
        <v/>
      </c>
      <c r="AM20">
        <f>IF($U19="","",$A19)</f>
        <v/>
      </c>
      <c r="AN20">
        <f>IF($U19="","",$L19+$M19)</f>
        <v/>
      </c>
      <c r="AO20">
        <f>IF($AK20="","",IF(COUNTIF($AK$18:$AK20,$AK20)=1,1,0))</f>
        <v/>
      </c>
      <c r="AP20">
        <f>IF($AO20=1,SUM($AO$18:$AO20),"")</f>
        <v/>
      </c>
    </row>
    <row r="21">
      <c r="A21" t="inlineStr">
        <is>
          <t>L4</t>
        </is>
      </c>
      <c r="B21" s="10" t="inlineStr">
        <is>
          <t>GMAD</t>
        </is>
      </c>
      <c r="C21" s="28">
        <f>IF($B21="","",IFERROR(INDEX(airports!$E:$E,MATCH($B21,airports!$A:$A,0)),"ICAO NOT IN AIRPORTS"))</f>
        <v/>
      </c>
      <c r="D21" s="28">
        <f>IF($B21="","",IFERROR(INDEX(airports!$H:$H,MATCH($B21,airports!$A:$A,0)),""))</f>
        <v/>
      </c>
      <c r="E21" s="114" t="n">
        <v>46253</v>
      </c>
      <c r="F21" s="115" t="n">
        <v>0.04166666666666666</v>
      </c>
      <c r="G21" s="4" t="inlineStr">
        <is>
          <t>FAOR</t>
        </is>
      </c>
      <c r="H21" s="28">
        <f>IF($G21="","",IFERROR(INDEX(airports!$E:$E,MATCH($G21,airports!$A:$A,0)),"ICAO NOT IN AIRPORTS"))</f>
        <v/>
      </c>
      <c r="I21" s="28">
        <f>IF($G21="","",IFERROR(INDEX(airports!$H:$H,MATCH($G21,airports!$A:$A,0)),""))</f>
        <v/>
      </c>
      <c r="J21" s="116">
        <f>IF($S21="","",ROUND($S21*3440.065,0))</f>
        <v/>
      </c>
      <c r="K21" s="117">
        <f>IF(OR($J21="",$B$10=""),"",ROUND($J21/$B$10+$B$11,2))</f>
        <v/>
      </c>
      <c r="L21" s="118">
        <f>IF(OR($E21="",$K21=""),"",INT($E21+$F21+$K21/24))</f>
        <v/>
      </c>
      <c r="M21" s="119">
        <f>IF($L21="","",MOD($E21+$F21+$K21/24,1))</f>
        <v/>
      </c>
      <c r="N21" s="4" t="inlineStr">
        <is>
          <t>CLI-002</t>
        </is>
      </c>
      <c r="O21" s="120">
        <f>IF($B21="","",IFERROR(INDEX(airports!$O:$O,MATCH($B21,airports!$A:$A,0)),""))</f>
        <v/>
      </c>
      <c r="P21" s="120">
        <f>IF($B21="","",IFERROR(INDEX(airports!$P:$P,MATCH($B21,airports!$A:$A,0)),""))</f>
        <v/>
      </c>
      <c r="Q21" s="120">
        <f>IF($G21="","",IFERROR(INDEX(airports!$O:$O,MATCH($G21,airports!$A:$A,0)),""))</f>
        <v/>
      </c>
      <c r="R21" s="120">
        <f>IF($G21="","",IFERROR(INDEX(airports!$P:$P,MATCH($G21,airports!$A:$A,0)),""))</f>
        <v/>
      </c>
      <c r="S21" s="120">
        <f>IF(OR($O21="",$Q21=""),"",ACOS(MIN(1,SIN(RADIANS($O21))*SIN(RADIANS($Q21))+COS(RADIANS($O21))*COS(RADIANS($Q21))*COS(RADIANS($R21-$P21)))))</f>
        <v/>
      </c>
      <c r="T21">
        <f t="array" ref="T21">IF($O21="","",IFERROR(IF(INDEX(geo_grid!$B$2:$JU$231,INT(($O21+40)/0.5)+1,INT(($P21+30)/0.5)+1)="","",INDEX(geo_grid!$B$2:$JU$231,INT(($O21+40)/0.5)+1,INT(($P21+30)/0.5)+1)),"OUTSIDE GRID"))</f>
        <v/>
      </c>
      <c r="U21">
        <f t="array" ref="U21">IF($Q21="","",IFERROR(IF(INDEX(geo_grid!$B$2:$JU$231,INT(($Q21+40)/0.5)+1,INT(($R21+30)/0.5)+1)="","",INDEX(geo_grid!$B$2:$JU$231,INT(($Q21+40)/0.5)+1,INT(($R21+30)/0.5)+1)),"OUTSIDE GRID"))</f>
        <v/>
      </c>
      <c r="V21" s="4" t="n"/>
      <c r="W21" s="4" t="n"/>
      <c r="X21" s="1">
        <f t="array" ref="X21">IF($B21="","",IF(AND($V21="",$W21=""),"NO CONSTRAINT",TRIM(IF($V21="","",IF(SUMPRODUCT(--((ISNUMBER(SEARCH(","&amp;permit_calc!$A$3:$A$144&amp;",",","&amp;SUBSTITUTE(UPPER($V21)," ","")&amp;","))+ISNUMBER(SEARCH(","&amp;SUBSTITUTE(UPPER(permit_calc!$B$3:$B$144)," ","")&amp;",",","&amp;SUBSTITUTE(UPPER($V21)," ","")&amp;",")))&gt;0),--(INDEX(permit_calc!$C$3:$J$144,0,ROW()-17)&gt;0))&gt;0,"AVOID CONFLICT - track crosses an excluded state. ",""))&amp;IF($W21="","",IF(SUMPRODUCT(--((ISNUMBER(SEARCH(","&amp;permit_calc!$A$3:$A$144&amp;",",","&amp;SUBSTITUTE(UPPER($W21)," ","")&amp;","))+ISNUMBER(SEARCH(","&amp;SUBSTITUTE(UPPER(permit_calc!$B$3:$B$144)," ","")&amp;",",","&amp;SUBSTITUTE(UPPER($W21)," ","")&amp;",")))&gt;0),--(INDEX(permit_calc!$C$3:$J$144,0,ROW()-17)&gt;0))&lt;LEN($W21)-LEN(SUBSTITUTE($W21,",",""))+1,"INCLUDE NOT ON TRACK - required state not overflown. ","")))))</f>
        <v/>
      </c>
      <c r="Y21" s="1">
        <f>IF($B21="","",IFERROR(IF($J21&gt;INDEX('AIRCRAFT PERFORMANCE'!$I:$I,MATCH($B$8,'AIRCRAFT PERFORMANCE'!$A:$A,0)),"EXCEEDS PRACTICAL RANGE OF "&amp;TEXT(INDEX('AIRCRAFT PERFORMANCE'!$I:$I,MATCH($B$8,'AIRCRAFT PERFORMANCE'!$A:$A,0)),"#,##0")&amp;" NM - TECHNICAL STOP REQUIRED","WITHIN RANGE"),"TYPE NOT IN PERFORMANCE TABLE"))</f>
        <v/>
      </c>
      <c r="AH21">
        <f>IFERROR(INDEX('PAX &amp; CREW'!$L$3:$L$62,MATCH(ROW()-17,'PAX &amp; CREW'!$AJ$3:$AJ$62,0)),"")</f>
        <v/>
      </c>
      <c r="AI21">
        <f>IF($AH21="","",IF(COUNTIF($AH$18:$AH21,$AH21)=1,1,0))</f>
        <v/>
      </c>
      <c r="AJ21">
        <f>IF($AI21=1,SUM($AI$18:$AI21),"")</f>
        <v/>
      </c>
      <c r="AK21">
        <f>IF($U20="","",$U20)</f>
        <v/>
      </c>
      <c r="AL21">
        <f>IF($U20="","",$G20)</f>
        <v/>
      </c>
      <c r="AM21">
        <f>IF($U20="","",$A20)</f>
        <v/>
      </c>
      <c r="AN21">
        <f>IF($U20="","",$L20+$M20)</f>
        <v/>
      </c>
      <c r="AO21">
        <f>IF($AK21="","",IF(COUNTIF($AK$18:$AK21,$AK21)=1,1,0))</f>
        <v/>
      </c>
      <c r="AP21">
        <f>IF($AO21=1,SUM($AO$18:$AO21),"")</f>
        <v/>
      </c>
    </row>
    <row r="22">
      <c r="A22" t="inlineStr">
        <is>
          <t>L5</t>
        </is>
      </c>
      <c r="B22" s="10" t="n"/>
      <c r="C22" s="28">
        <f>IF($B22="","",IFERROR(INDEX(airports!$E:$E,MATCH($B22,airports!$A:$A,0)),"ICAO NOT IN AIRPORTS"))</f>
        <v/>
      </c>
      <c r="D22" s="28">
        <f>IF($B22="","",IFERROR(INDEX(airports!$H:$H,MATCH($B22,airports!$A:$A,0)),""))</f>
        <v/>
      </c>
      <c r="E22" s="114" t="n"/>
      <c r="F22" s="115" t="n"/>
      <c r="G22" s="4" t="n"/>
      <c r="H22" s="28">
        <f>IF($G22="","",IFERROR(INDEX(airports!$E:$E,MATCH($G22,airports!$A:$A,0)),"ICAO NOT IN AIRPORTS"))</f>
        <v/>
      </c>
      <c r="I22" s="28">
        <f>IF($G22="","",IFERROR(INDEX(airports!$H:$H,MATCH($G22,airports!$A:$A,0)),""))</f>
        <v/>
      </c>
      <c r="J22" s="116">
        <f>IF($S22="","",ROUND($S22*3440.065,0))</f>
        <v/>
      </c>
      <c r="K22" s="117">
        <f>IF(OR($J22="",$B$10=""),"",ROUND($J22/$B$10+$B$11,2))</f>
        <v/>
      </c>
      <c r="L22" s="118">
        <f>IF(OR($E22="",$K22=""),"",INT($E22+$F22+$K22/24))</f>
        <v/>
      </c>
      <c r="M22" s="119">
        <f>IF($L22="","",MOD($E22+$F22+$K22/24,1))</f>
        <v/>
      </c>
      <c r="N22" s="4">
        <f>IF($B22="","",$F$5)</f>
        <v/>
      </c>
      <c r="O22" s="120">
        <f>IF($B22="","",IFERROR(INDEX(airports!$O:$O,MATCH($B22,airports!$A:$A,0)),""))</f>
        <v/>
      </c>
      <c r="P22" s="120">
        <f>IF($B22="","",IFERROR(INDEX(airports!$P:$P,MATCH($B22,airports!$A:$A,0)),""))</f>
        <v/>
      </c>
      <c r="Q22" s="120">
        <f>IF($G22="","",IFERROR(INDEX(airports!$O:$O,MATCH($G22,airports!$A:$A,0)),""))</f>
        <v/>
      </c>
      <c r="R22" s="120">
        <f>IF($G22="","",IFERROR(INDEX(airports!$P:$P,MATCH($G22,airports!$A:$A,0)),""))</f>
        <v/>
      </c>
      <c r="S22" s="120">
        <f>IF(OR($O22="",$Q22=""),"",ACOS(MIN(1,SIN(RADIANS($O22))*SIN(RADIANS($Q22))+COS(RADIANS($O22))*COS(RADIANS($Q22))*COS(RADIANS($R22-$P22)))))</f>
        <v/>
      </c>
      <c r="T22">
        <f t="array" ref="T22">IF($O22="","",IFERROR(IF(INDEX(geo_grid!$B$2:$JU$231,INT(($O22+40)/0.5)+1,INT(($P22+30)/0.5)+1)="","",INDEX(geo_grid!$B$2:$JU$231,INT(($O22+40)/0.5)+1,INT(($P22+30)/0.5)+1)),"OUTSIDE GRID"))</f>
        <v/>
      </c>
      <c r="U22">
        <f t="array" ref="U22">IF($Q22="","",IFERROR(IF(INDEX(geo_grid!$B$2:$JU$231,INT(($Q22+40)/0.5)+1,INT(($R22+30)/0.5)+1)="","",INDEX(geo_grid!$B$2:$JU$231,INT(($Q22+40)/0.5)+1,INT(($R22+30)/0.5)+1)),"OUTSIDE GRID"))</f>
        <v/>
      </c>
      <c r="V22" s="4" t="n"/>
      <c r="W22" s="4" t="n"/>
      <c r="X22" s="1">
        <f t="array" ref="X22">IF($B22="","",IF(AND($V22="",$W22=""),"NO CONSTRAINT",TRIM(IF($V22="","",IF(SUMPRODUCT(--((ISNUMBER(SEARCH(","&amp;permit_calc!$A$3:$A$144&amp;",",","&amp;SUBSTITUTE(UPPER($V22)," ","")&amp;","))+ISNUMBER(SEARCH(","&amp;SUBSTITUTE(UPPER(permit_calc!$B$3:$B$144)," ","")&amp;",",","&amp;SUBSTITUTE(UPPER($V22)," ","")&amp;",")))&gt;0),--(INDEX(permit_calc!$C$3:$J$144,0,ROW()-17)&gt;0))&gt;0,"AVOID CONFLICT - track crosses an excluded state. ",""))&amp;IF($W22="","",IF(SUMPRODUCT(--((ISNUMBER(SEARCH(","&amp;permit_calc!$A$3:$A$144&amp;",",","&amp;SUBSTITUTE(UPPER($W22)," ","")&amp;","))+ISNUMBER(SEARCH(","&amp;SUBSTITUTE(UPPER(permit_calc!$B$3:$B$144)," ","")&amp;",",","&amp;SUBSTITUTE(UPPER($W22)," ","")&amp;",")))&gt;0),--(INDEX(permit_calc!$C$3:$J$144,0,ROW()-17)&gt;0))&lt;LEN($W22)-LEN(SUBSTITUTE($W22,",",""))+1,"INCLUDE NOT ON TRACK - required state not overflown. ","")))))</f>
        <v/>
      </c>
      <c r="Y22" s="1">
        <f>IF($B22="","",IFERROR(IF($J22&gt;INDEX('AIRCRAFT PERFORMANCE'!$I:$I,MATCH($B$8,'AIRCRAFT PERFORMANCE'!$A:$A,0)),"EXCEEDS PRACTICAL RANGE OF "&amp;TEXT(INDEX('AIRCRAFT PERFORMANCE'!$I:$I,MATCH($B$8,'AIRCRAFT PERFORMANCE'!$A:$A,0)),"#,##0")&amp;" NM - TECHNICAL STOP REQUIRED","WITHIN RANGE"),"TYPE NOT IN PERFORMANCE TABLE"))</f>
        <v/>
      </c>
      <c r="AH22">
        <f>IFERROR(INDEX('PAX &amp; CREW'!$L$3:$L$62,MATCH(ROW()-17,'PAX &amp; CREW'!$AJ$3:$AJ$62,0)),"")</f>
        <v/>
      </c>
      <c r="AI22">
        <f>IF($AH22="","",IF(COUNTIF($AH$18:$AH22,$AH22)=1,1,0))</f>
        <v/>
      </c>
      <c r="AJ22">
        <f>IF($AI22=1,SUM($AI$18:$AI22),"")</f>
        <v/>
      </c>
      <c r="AK22">
        <f>IF($U21="","",$U21)</f>
        <v/>
      </c>
      <c r="AL22">
        <f>IF($U21="","",$G21)</f>
        <v/>
      </c>
      <c r="AM22">
        <f>IF($U21="","",$A21)</f>
        <v/>
      </c>
      <c r="AN22">
        <f>IF($U21="","",$L21+$M21)</f>
        <v/>
      </c>
      <c r="AO22">
        <f>IF($AK22="","",IF(COUNTIF($AK$18:$AK22,$AK22)=1,1,0))</f>
        <v/>
      </c>
      <c r="AP22">
        <f>IF($AO22=1,SUM($AO$18:$AO22),"")</f>
        <v/>
      </c>
    </row>
    <row r="23">
      <c r="A23" t="inlineStr">
        <is>
          <t>L6</t>
        </is>
      </c>
      <c r="B23" s="10">
        <f>IF($G22="","",$G22)</f>
        <v/>
      </c>
      <c r="C23" s="28">
        <f>IF($B23="","",IFERROR(INDEX(airports!$E:$E,MATCH($B23,airports!$A:$A,0)),"ICAO NOT IN AIRPORTS"))</f>
        <v/>
      </c>
      <c r="D23" s="28">
        <f>IF($B23="","",IFERROR(INDEX(airports!$H:$H,MATCH($B23,airports!$A:$A,0)),""))</f>
        <v/>
      </c>
      <c r="E23" s="114" t="n"/>
      <c r="F23" s="115" t="n"/>
      <c r="G23" s="4" t="n"/>
      <c r="H23" s="28">
        <f>IF($G23="","",IFERROR(INDEX(airports!$E:$E,MATCH($G23,airports!$A:$A,0)),"ICAO NOT IN AIRPORTS"))</f>
        <v/>
      </c>
      <c r="I23" s="28">
        <f>IF($G23="","",IFERROR(INDEX(airports!$H:$H,MATCH($G23,airports!$A:$A,0)),""))</f>
        <v/>
      </c>
      <c r="J23" s="116">
        <f>IF($S23="","",ROUND($S23*3440.065,0))</f>
        <v/>
      </c>
      <c r="K23" s="117">
        <f>IF(OR($J23="",$B$10=""),"",ROUND($J23/$B$10+$B$11,2))</f>
        <v/>
      </c>
      <c r="L23" s="118">
        <f>IF(OR($E23="",$K23=""),"",INT($E23+$F23+$K23/24))</f>
        <v/>
      </c>
      <c r="M23" s="119">
        <f>IF($L23="","",MOD($E23+$F23+$K23/24,1))</f>
        <v/>
      </c>
      <c r="N23" s="4">
        <f>IF($B23="","",$F$5)</f>
        <v/>
      </c>
      <c r="O23" s="120">
        <f>IF($B23="","",IFERROR(INDEX(airports!$O:$O,MATCH($B23,airports!$A:$A,0)),""))</f>
        <v/>
      </c>
      <c r="P23" s="120">
        <f>IF($B23="","",IFERROR(INDEX(airports!$P:$P,MATCH($B23,airports!$A:$A,0)),""))</f>
        <v/>
      </c>
      <c r="Q23" s="120">
        <f>IF($G23="","",IFERROR(INDEX(airports!$O:$O,MATCH($G23,airports!$A:$A,0)),""))</f>
        <v/>
      </c>
      <c r="R23" s="120">
        <f>IF($G23="","",IFERROR(INDEX(airports!$P:$P,MATCH($G23,airports!$A:$A,0)),""))</f>
        <v/>
      </c>
      <c r="S23" s="120">
        <f>IF(OR($O23="",$Q23=""),"",ACOS(MIN(1,SIN(RADIANS($O23))*SIN(RADIANS($Q23))+COS(RADIANS($O23))*COS(RADIANS($Q23))*COS(RADIANS($R23-$P23)))))</f>
        <v/>
      </c>
      <c r="T23">
        <f t="array" ref="T23">IF($O23="","",IFERROR(IF(INDEX(geo_grid!$B$2:$JU$231,INT(($O23+40)/0.5)+1,INT(($P23+30)/0.5)+1)="","",INDEX(geo_grid!$B$2:$JU$231,INT(($O23+40)/0.5)+1,INT(($P23+30)/0.5)+1)),"OUTSIDE GRID"))</f>
        <v/>
      </c>
      <c r="U23">
        <f t="array" ref="U23">IF($Q23="","",IFERROR(IF(INDEX(geo_grid!$B$2:$JU$231,INT(($Q23+40)/0.5)+1,INT(($R23+30)/0.5)+1)="","",INDEX(geo_grid!$B$2:$JU$231,INT(($Q23+40)/0.5)+1,INT(($R23+30)/0.5)+1)),"OUTSIDE GRID"))</f>
        <v/>
      </c>
      <c r="V23" s="4" t="n"/>
      <c r="W23" s="4" t="n"/>
      <c r="X23" s="1">
        <f t="array" ref="X23">IF($B23="","",IF(AND($V23="",$W23=""),"NO CONSTRAINT",TRIM(IF($V23="","",IF(SUMPRODUCT(--((ISNUMBER(SEARCH(","&amp;permit_calc!$A$3:$A$144&amp;",",","&amp;SUBSTITUTE(UPPER($V23)," ","")&amp;","))+ISNUMBER(SEARCH(","&amp;SUBSTITUTE(UPPER(permit_calc!$B$3:$B$144)," ","")&amp;",",","&amp;SUBSTITUTE(UPPER($V23)," ","")&amp;",")))&gt;0),--(INDEX(permit_calc!$C$3:$J$144,0,ROW()-17)&gt;0))&gt;0,"AVOID CONFLICT - track crosses an excluded state. ",""))&amp;IF($W23="","",IF(SUMPRODUCT(--((ISNUMBER(SEARCH(","&amp;permit_calc!$A$3:$A$144&amp;",",","&amp;SUBSTITUTE(UPPER($W23)," ","")&amp;","))+ISNUMBER(SEARCH(","&amp;SUBSTITUTE(UPPER(permit_calc!$B$3:$B$144)," ","")&amp;",",","&amp;SUBSTITUTE(UPPER($W23)," ","")&amp;",")))&gt;0),--(INDEX(permit_calc!$C$3:$J$144,0,ROW()-17)&gt;0))&lt;LEN($W23)-LEN(SUBSTITUTE($W23,",",""))+1,"INCLUDE NOT ON TRACK - required state not overflown. ","")))))</f>
        <v/>
      </c>
      <c r="Y23" s="1">
        <f>IF($B23="","",IFERROR(IF($J23&gt;INDEX('AIRCRAFT PERFORMANCE'!$I:$I,MATCH($B$8,'AIRCRAFT PERFORMANCE'!$A:$A,0)),"EXCEEDS PRACTICAL RANGE OF "&amp;TEXT(INDEX('AIRCRAFT PERFORMANCE'!$I:$I,MATCH($B$8,'AIRCRAFT PERFORMANCE'!$A:$A,0)),"#,##0")&amp;" NM - TECHNICAL STOP REQUIRED","WITHIN RANGE"),"TYPE NOT IN PERFORMANCE TABLE"))</f>
        <v/>
      </c>
      <c r="AH23">
        <f>IFERROR(INDEX('PAX &amp; CREW'!$L$3:$L$62,MATCH(ROW()-17,'PAX &amp; CREW'!$AJ$3:$AJ$62,0)),"")</f>
        <v/>
      </c>
      <c r="AI23">
        <f>IF($AH23="","",IF(COUNTIF($AH$18:$AH23,$AH23)=1,1,0))</f>
        <v/>
      </c>
      <c r="AJ23">
        <f>IF($AI23=1,SUM($AI$18:$AI23),"")</f>
        <v/>
      </c>
      <c r="AK23">
        <f>IF($U22="","",$U22)</f>
        <v/>
      </c>
      <c r="AL23">
        <f>IF($U22="","",$G22)</f>
        <v/>
      </c>
      <c r="AM23">
        <f>IF($U22="","",$A22)</f>
        <v/>
      </c>
      <c r="AN23">
        <f>IF($U22="","",$L22+$M22)</f>
        <v/>
      </c>
      <c r="AO23">
        <f>IF($AK23="","",IF(COUNTIF($AK$18:$AK23,$AK23)=1,1,0))</f>
        <v/>
      </c>
      <c r="AP23">
        <f>IF($AO23=1,SUM($AO$18:$AO23),"")</f>
        <v/>
      </c>
    </row>
    <row r="24">
      <c r="A24" t="inlineStr">
        <is>
          <t>L7</t>
        </is>
      </c>
      <c r="B24" s="10">
        <f>IF($G23="","",$G23)</f>
        <v/>
      </c>
      <c r="C24" s="28">
        <f>IF($B24="","",IFERROR(INDEX(airports!$E:$E,MATCH($B24,airports!$A:$A,0)),"ICAO NOT IN AIRPORTS"))</f>
        <v/>
      </c>
      <c r="D24" s="28">
        <f>IF($B24="","",IFERROR(INDEX(airports!$H:$H,MATCH($B24,airports!$A:$A,0)),""))</f>
        <v/>
      </c>
      <c r="E24" s="114" t="n"/>
      <c r="F24" s="115" t="n"/>
      <c r="G24" s="4" t="n"/>
      <c r="H24" s="28">
        <f>IF($G24="","",IFERROR(INDEX(airports!$E:$E,MATCH($G24,airports!$A:$A,0)),"ICAO NOT IN AIRPORTS"))</f>
        <v/>
      </c>
      <c r="I24" s="28">
        <f>IF($G24="","",IFERROR(INDEX(airports!$H:$H,MATCH($G24,airports!$A:$A,0)),""))</f>
        <v/>
      </c>
      <c r="J24" s="116">
        <f>IF($S24="","",ROUND($S24*3440.065,0))</f>
        <v/>
      </c>
      <c r="K24" s="117">
        <f>IF(OR($J24="",$B$10=""),"",ROUND($J24/$B$10+$B$11,2))</f>
        <v/>
      </c>
      <c r="L24" s="118">
        <f>IF(OR($E24="",$K24=""),"",INT($E24+$F24+$K24/24))</f>
        <v/>
      </c>
      <c r="M24" s="119">
        <f>IF($L24="","",MOD($E24+$F24+$K24/24,1))</f>
        <v/>
      </c>
      <c r="N24" s="4">
        <f>IF($B24="","",$F$5)</f>
        <v/>
      </c>
      <c r="O24" s="120">
        <f>IF($B24="","",IFERROR(INDEX(airports!$O:$O,MATCH($B24,airports!$A:$A,0)),""))</f>
        <v/>
      </c>
      <c r="P24" s="120">
        <f>IF($B24="","",IFERROR(INDEX(airports!$P:$P,MATCH($B24,airports!$A:$A,0)),""))</f>
        <v/>
      </c>
      <c r="Q24" s="120">
        <f>IF($G24="","",IFERROR(INDEX(airports!$O:$O,MATCH($G24,airports!$A:$A,0)),""))</f>
        <v/>
      </c>
      <c r="R24" s="120">
        <f>IF($G24="","",IFERROR(INDEX(airports!$P:$P,MATCH($G24,airports!$A:$A,0)),""))</f>
        <v/>
      </c>
      <c r="S24" s="120">
        <f>IF(OR($O24="",$Q24=""),"",ACOS(MIN(1,SIN(RADIANS($O24))*SIN(RADIANS($Q24))+COS(RADIANS($O24))*COS(RADIANS($Q24))*COS(RADIANS($R24-$P24)))))</f>
        <v/>
      </c>
      <c r="T24">
        <f t="array" ref="T24">IF($O24="","",IFERROR(IF(INDEX(geo_grid!$B$2:$JU$231,INT(($O24+40)/0.5)+1,INT(($P24+30)/0.5)+1)="","",INDEX(geo_grid!$B$2:$JU$231,INT(($O24+40)/0.5)+1,INT(($P24+30)/0.5)+1)),"OUTSIDE GRID"))</f>
        <v/>
      </c>
      <c r="U24">
        <f t="array" ref="U24">IF($Q24="","",IFERROR(IF(INDEX(geo_grid!$B$2:$JU$231,INT(($Q24+40)/0.5)+1,INT(($R24+30)/0.5)+1)="","",INDEX(geo_grid!$B$2:$JU$231,INT(($Q24+40)/0.5)+1,INT(($R24+30)/0.5)+1)),"OUTSIDE GRID"))</f>
        <v/>
      </c>
      <c r="V24" s="4" t="n"/>
      <c r="W24" s="4" t="n"/>
      <c r="X24" s="1">
        <f t="array" ref="X24">IF($B24="","",IF(AND($V24="",$W24=""),"NO CONSTRAINT",TRIM(IF($V24="","",IF(SUMPRODUCT(--((ISNUMBER(SEARCH(","&amp;permit_calc!$A$3:$A$144&amp;",",","&amp;SUBSTITUTE(UPPER($V24)," ","")&amp;","))+ISNUMBER(SEARCH(","&amp;SUBSTITUTE(UPPER(permit_calc!$B$3:$B$144)," ","")&amp;",",","&amp;SUBSTITUTE(UPPER($V24)," ","")&amp;",")))&gt;0),--(INDEX(permit_calc!$C$3:$J$144,0,ROW()-17)&gt;0))&gt;0,"AVOID CONFLICT - track crosses an excluded state. ",""))&amp;IF($W24="","",IF(SUMPRODUCT(--((ISNUMBER(SEARCH(","&amp;permit_calc!$A$3:$A$144&amp;",",","&amp;SUBSTITUTE(UPPER($W24)," ","")&amp;","))+ISNUMBER(SEARCH(","&amp;SUBSTITUTE(UPPER(permit_calc!$B$3:$B$144)," ","")&amp;",",","&amp;SUBSTITUTE(UPPER($W24)," ","")&amp;",")))&gt;0),--(INDEX(permit_calc!$C$3:$J$144,0,ROW()-17)&gt;0))&lt;LEN($W24)-LEN(SUBSTITUTE($W24,",",""))+1,"INCLUDE NOT ON TRACK - required state not overflown. ","")))))</f>
        <v/>
      </c>
      <c r="Y24" s="1">
        <f>IF($B24="","",IFERROR(IF($J24&gt;INDEX('AIRCRAFT PERFORMANCE'!$I:$I,MATCH($B$8,'AIRCRAFT PERFORMANCE'!$A:$A,0)),"EXCEEDS PRACTICAL RANGE OF "&amp;TEXT(INDEX('AIRCRAFT PERFORMANCE'!$I:$I,MATCH($B$8,'AIRCRAFT PERFORMANCE'!$A:$A,0)),"#,##0")&amp;" NM - TECHNICAL STOP REQUIRED","WITHIN RANGE"),"TYPE NOT IN PERFORMANCE TABLE"))</f>
        <v/>
      </c>
      <c r="AH24">
        <f>IFERROR(INDEX('PAX &amp; CREW'!$L$3:$L$62,MATCH(ROW()-17,'PAX &amp; CREW'!$AJ$3:$AJ$62,0)),"")</f>
        <v/>
      </c>
      <c r="AI24">
        <f>IF($AH24="","",IF(COUNTIF($AH$18:$AH24,$AH24)=1,1,0))</f>
        <v/>
      </c>
      <c r="AJ24">
        <f>IF($AI24=1,SUM($AI$18:$AI24),"")</f>
        <v/>
      </c>
      <c r="AK24">
        <f>IF($U23="","",$U23)</f>
        <v/>
      </c>
      <c r="AL24">
        <f>IF($U23="","",$G23)</f>
        <v/>
      </c>
      <c r="AM24">
        <f>IF($U23="","",$A23)</f>
        <v/>
      </c>
      <c r="AN24">
        <f>IF($U23="","",$L23+$M23)</f>
        <v/>
      </c>
      <c r="AO24">
        <f>IF($AK24="","",IF(COUNTIF($AK$18:$AK24,$AK24)=1,1,0))</f>
        <v/>
      </c>
      <c r="AP24">
        <f>IF($AO24=1,SUM($AO$18:$AO24),"")</f>
        <v/>
      </c>
    </row>
    <row r="25">
      <c r="A25" t="inlineStr">
        <is>
          <t>L8</t>
        </is>
      </c>
      <c r="B25" s="10">
        <f>IF($G24="","",$G24)</f>
        <v/>
      </c>
      <c r="C25" s="28">
        <f>IF($B25="","",IFERROR(INDEX(airports!$E:$E,MATCH($B25,airports!$A:$A,0)),"ICAO NOT IN AIRPORTS"))</f>
        <v/>
      </c>
      <c r="D25" s="28">
        <f>IF($B25="","",IFERROR(INDEX(airports!$H:$H,MATCH($B25,airports!$A:$A,0)),""))</f>
        <v/>
      </c>
      <c r="E25" s="114" t="n"/>
      <c r="F25" s="115" t="n"/>
      <c r="G25" s="4" t="n"/>
      <c r="H25" s="28">
        <f>IF($G25="","",IFERROR(INDEX(airports!$E:$E,MATCH($G25,airports!$A:$A,0)),"ICAO NOT IN AIRPORTS"))</f>
        <v/>
      </c>
      <c r="I25" s="28">
        <f>IF($G25="","",IFERROR(INDEX(airports!$H:$H,MATCH($G25,airports!$A:$A,0)),""))</f>
        <v/>
      </c>
      <c r="J25" s="116">
        <f>IF($S25="","",ROUND($S25*3440.065,0))</f>
        <v/>
      </c>
      <c r="K25" s="117">
        <f>IF(OR($J25="",$B$10=""),"",ROUND($J25/$B$10+$B$11,2))</f>
        <v/>
      </c>
      <c r="L25" s="118">
        <f>IF(OR($E25="",$K25=""),"",INT($E25+$F25+$K25/24))</f>
        <v/>
      </c>
      <c r="M25" s="119">
        <f>IF($L25="","",MOD($E25+$F25+$K25/24,1))</f>
        <v/>
      </c>
      <c r="N25" s="4">
        <f>IF($B25="","",$F$5)</f>
        <v/>
      </c>
      <c r="O25" s="120">
        <f>IF($B25="","",IFERROR(INDEX(airports!$O:$O,MATCH($B25,airports!$A:$A,0)),""))</f>
        <v/>
      </c>
      <c r="P25" s="120">
        <f>IF($B25="","",IFERROR(INDEX(airports!$P:$P,MATCH($B25,airports!$A:$A,0)),""))</f>
        <v/>
      </c>
      <c r="Q25" s="120">
        <f>IF($G25="","",IFERROR(INDEX(airports!$O:$O,MATCH($G25,airports!$A:$A,0)),""))</f>
        <v/>
      </c>
      <c r="R25" s="120">
        <f>IF($G25="","",IFERROR(INDEX(airports!$P:$P,MATCH($G25,airports!$A:$A,0)),""))</f>
        <v/>
      </c>
      <c r="S25" s="120">
        <f>IF(OR($O25="",$Q25=""),"",ACOS(MIN(1,SIN(RADIANS($O25))*SIN(RADIANS($Q25))+COS(RADIANS($O25))*COS(RADIANS($Q25))*COS(RADIANS($R25-$P25)))))</f>
        <v/>
      </c>
      <c r="T25">
        <f t="array" ref="T25">IF($O25="","",IFERROR(IF(INDEX(geo_grid!$B$2:$JU$231,INT(($O25+40)/0.5)+1,INT(($P25+30)/0.5)+1)="","",INDEX(geo_grid!$B$2:$JU$231,INT(($O25+40)/0.5)+1,INT(($P25+30)/0.5)+1)),"OUTSIDE GRID"))</f>
        <v/>
      </c>
      <c r="U25">
        <f t="array" ref="U25">IF($Q25="","",IFERROR(IF(INDEX(geo_grid!$B$2:$JU$231,INT(($Q25+40)/0.5)+1,INT(($R25+30)/0.5)+1)="","",INDEX(geo_grid!$B$2:$JU$231,INT(($Q25+40)/0.5)+1,INT(($R25+30)/0.5)+1)),"OUTSIDE GRID"))</f>
        <v/>
      </c>
      <c r="V25" s="4" t="n"/>
      <c r="W25" s="4" t="n"/>
      <c r="X25" s="1">
        <f t="array" ref="X25">IF($B25="","",IF(AND($V25="",$W25=""),"NO CONSTRAINT",TRIM(IF($V25="","",IF(SUMPRODUCT(--((ISNUMBER(SEARCH(","&amp;permit_calc!$A$3:$A$144&amp;",",","&amp;SUBSTITUTE(UPPER($V25)," ","")&amp;","))+ISNUMBER(SEARCH(","&amp;SUBSTITUTE(UPPER(permit_calc!$B$3:$B$144)," ","")&amp;",",","&amp;SUBSTITUTE(UPPER($V25)," ","")&amp;",")))&gt;0),--(INDEX(permit_calc!$C$3:$J$144,0,ROW()-17)&gt;0))&gt;0,"AVOID CONFLICT - track crosses an excluded state. ",""))&amp;IF($W25="","",IF(SUMPRODUCT(--((ISNUMBER(SEARCH(","&amp;permit_calc!$A$3:$A$144&amp;",",","&amp;SUBSTITUTE(UPPER($W25)," ","")&amp;","))+ISNUMBER(SEARCH(","&amp;SUBSTITUTE(UPPER(permit_calc!$B$3:$B$144)," ","")&amp;",",","&amp;SUBSTITUTE(UPPER($W25)," ","")&amp;",")))&gt;0),--(INDEX(permit_calc!$C$3:$J$144,0,ROW()-17)&gt;0))&lt;LEN($W25)-LEN(SUBSTITUTE($W25,",",""))+1,"INCLUDE NOT ON TRACK - required state not overflown. ","")))))</f>
        <v/>
      </c>
      <c r="Y25" s="1">
        <f>IF($B25="","",IFERROR(IF($J25&gt;INDEX('AIRCRAFT PERFORMANCE'!$I:$I,MATCH($B$8,'AIRCRAFT PERFORMANCE'!$A:$A,0)),"EXCEEDS PRACTICAL RANGE OF "&amp;TEXT(INDEX('AIRCRAFT PERFORMANCE'!$I:$I,MATCH($B$8,'AIRCRAFT PERFORMANCE'!$A:$A,0)),"#,##0")&amp;" NM - TECHNICAL STOP REQUIRED","WITHIN RANGE"),"TYPE NOT IN PERFORMANCE TABLE"))</f>
        <v/>
      </c>
      <c r="AH25">
        <f>IFERROR(INDEX('PAX &amp; CREW'!$L$3:$L$62,MATCH(ROW()-17,'PAX &amp; CREW'!$AJ$3:$AJ$62,0)),"")</f>
        <v/>
      </c>
      <c r="AI25">
        <f>IF($AH25="","",IF(COUNTIF($AH$18:$AH25,$AH25)=1,1,0))</f>
        <v/>
      </c>
      <c r="AJ25">
        <f>IF($AI25=1,SUM($AI$18:$AI25),"")</f>
        <v/>
      </c>
      <c r="AK25">
        <f>IF($U24="","",$U24)</f>
        <v/>
      </c>
      <c r="AL25">
        <f>IF($U24="","",$G24)</f>
        <v/>
      </c>
      <c r="AM25">
        <f>IF($U24="","",$A24)</f>
        <v/>
      </c>
      <c r="AN25">
        <f>IF($U24="","",$L24+$M24)</f>
        <v/>
      </c>
      <c r="AO25">
        <f>IF($AK25="","",IF(COUNTIF($AK$18:$AK25,$AK25)=1,1,0))</f>
        <v/>
      </c>
      <c r="AP25">
        <f>IF($AO25=1,SUM($AO$18:$AO25),"")</f>
        <v/>
      </c>
    </row>
    <row r="26">
      <c r="A26" s="1" t="inlineStr">
        <is>
          <t>TOTALS</t>
        </is>
      </c>
      <c r="J26" s="121">
        <f>SUM($J$18:$J$25)</f>
        <v/>
      </c>
      <c r="K26" s="122">
        <f>ROUND(SUM($K$18:$K$25),2)</f>
        <v/>
      </c>
      <c r="L26" s="118">
        <f>IF(OR($E26="",$K26=""),"",INT($E26+$F26+$K26/24))</f>
        <v/>
      </c>
      <c r="M26" s="119">
        <f>IF($L26="","",MOD($E26+$F26+$K26/24,1))</f>
        <v/>
      </c>
      <c r="AH26">
        <f>IFERROR(INDEX('PAX &amp; CREW'!$L$3:$L$62,MATCH(ROW()-17,'PAX &amp; CREW'!$AJ$3:$AJ$62,0)),"")</f>
        <v/>
      </c>
      <c r="AI26">
        <f>IF($AH26="","",IF(COUNTIF($AH$18:$AH26,$AH26)=1,1,0))</f>
        <v/>
      </c>
      <c r="AJ26">
        <f>IF($AI26=1,SUM($AI$18:$AI26),"")</f>
        <v/>
      </c>
      <c r="AK26">
        <f>IF($U25="","",$U25)</f>
        <v/>
      </c>
      <c r="AL26">
        <f>IF($U25="","",$G25)</f>
        <v/>
      </c>
      <c r="AM26">
        <f>IF($U25="","",$A25)</f>
        <v/>
      </c>
      <c r="AN26">
        <f>IF($U25="","",$L25+$M25)</f>
        <v/>
      </c>
      <c r="AO26">
        <f>IF($AK26="","",IF(COUNTIF($AK$18:$AK26,$AK26)=1,1,0))</f>
        <v/>
      </c>
      <c r="AP26">
        <f>IF($AO26=1,SUM($AO$18:$AO26),"")</f>
        <v/>
      </c>
    </row>
    <row r="27">
      <c r="V27" s="32" t="inlineStr">
        <is>
          <t>Enter ISO3 codes separated by commas, e.g. LBY, SDN. FIR boundaries are approximated by state airspace — verify against the AIP. AVOID flags a conflict when the great-circle track crosses an excluded state; INCLUDE flags when a required state is not on track. Re-route by inserting a technical stop or adjusting the leg.</t>
        </is>
      </c>
      <c r="AH27">
        <f>IFERROR(INDEX('PAX &amp; CREW'!$L$3:$L$62,MATCH(ROW()-17,'PAX &amp; CREW'!$AJ$3:$AJ$62,0)),"")</f>
        <v/>
      </c>
      <c r="AI27">
        <f>IF($AH27="","",IF(COUNTIF($AH$18:$AH27,$AH27)=1,1,0))</f>
        <v/>
      </c>
      <c r="AJ27">
        <f>IF($AI27=1,SUM($AI$18:$AI27),"")</f>
        <v/>
      </c>
    </row>
    <row r="28">
      <c r="A28" s="25" t="inlineStr">
        <is>
          <t>3 · PERMITS   (overflight for every en-route country except the leg's departure state and its destination; the destination raises a landing permit — ground services are in section 4)</t>
        </is>
      </c>
      <c r="B28" s="25" t="n"/>
      <c r="C28" s="25" t="n"/>
      <c r="D28" s="25" t="n"/>
      <c r="E28" s="25" t="n"/>
      <c r="F28" s="25" t="n"/>
      <c r="G28" s="25" t="n"/>
      <c r="H28" s="25" t="n"/>
      <c r="I28" s="25" t="n"/>
      <c r="J28" s="25" t="n"/>
      <c r="K28" s="25" t="n"/>
      <c r="L28" s="25" t="n"/>
      <c r="M28" s="25" t="n"/>
      <c r="AH28">
        <f>IFERROR(INDEX('PAX &amp; CREW'!$L$3:$L$62,MATCH(ROW()-17,'PAX &amp; CREW'!$AJ$3:$AJ$62,0)),"")</f>
        <v/>
      </c>
      <c r="AI28">
        <f>IF($AH28="","",IF(COUNTIF($AH$18:$AH28,$AH28)=1,1,0))</f>
        <v/>
      </c>
      <c r="AJ28">
        <f>IF($AI28=1,SUM($AI$18:$AI28),"")</f>
        <v/>
      </c>
    </row>
    <row r="29">
      <c r="A29" s="46" t="inlineStr">
        <is>
          <t>#</t>
        </is>
      </c>
      <c r="B29" s="46" t="inlineStr">
        <is>
          <t>COUNTRY</t>
        </is>
      </c>
      <c r="C29" s="46" t="inlineStr">
        <is>
          <t>ISO3</t>
        </is>
      </c>
      <c r="D29" s="46" t="inlineStr">
        <is>
          <t>PERMIT TYPE</t>
        </is>
      </c>
      <c r="E29" s="46" t="inlineStr">
        <is>
          <t>AIRPORT</t>
        </is>
      </c>
      <c r="F29" s="46" t="inlineStr">
        <is>
          <t>LEGS</t>
        </is>
      </c>
      <c r="G29" s="46" t="inlineStr">
        <is>
          <t>PROVIDER</t>
        </is>
      </c>
      <c r="H29" s="46" t="inlineStr">
        <is>
          <t>REF DATE (UTC)</t>
        </is>
      </c>
      <c r="I29" s="46" t="inlineStr">
        <is>
          <t>LEAD TIME (HRS)</t>
        </is>
      </c>
      <c r="J29" s="46" t="inlineStr">
        <is>
          <t>FILE BY (UTC)</t>
        </is>
      </c>
      <c r="K29" s="46" t="inlineStr">
        <is>
          <t>DAYS TO DEADLINE</t>
        </is>
      </c>
      <c r="L29" s="46" t="inlineStr">
        <is>
          <t>REQUIRED</t>
        </is>
      </c>
      <c r="M29" s="46" t="inlineStr">
        <is>
          <t>STATUS</t>
        </is>
      </c>
      <c r="AE29" s="27" t="inlineStr">
        <is>
          <t>ROW KIND</t>
        </is>
      </c>
      <c r="AF29" s="27" t="inlineStr">
        <is>
          <t>LEG INDEX</t>
        </is>
      </c>
      <c r="AH29">
        <f>IFERROR(INDEX('PAX &amp; CREW'!$L$3:$L$62,MATCH(ROW()-17,'PAX &amp; CREW'!$AJ$3:$AJ$62,0)),"")</f>
        <v/>
      </c>
      <c r="AI29">
        <f>IF($AH29="","",IF(COUNTIF($AH$18:$AH29,$AH29)=1,1,0))</f>
        <v/>
      </c>
      <c r="AJ29">
        <f>IF($AI29=1,SUM($AI$18:$AI29),"")</f>
        <v/>
      </c>
    </row>
    <row r="30">
      <c r="A30">
        <f>IF(ROW()-29&gt;COUNTIF(permit_calc!$L$3:$L$144,1)+COUNTA($G$18:$G$25),"",ROW()-29)</f>
        <v/>
      </c>
      <c r="B30">
        <f>IF($A30="","",IF($AE30="OVF",INDEX(permit_calc!$B$3:$B$144,MATCH($A30,permit_calc!$N$3:$N$144,0)),IFERROR(INDEX(countries!$B:$B,MATCH($C30,countries!$D:$D,0)),$C30)))</f>
        <v/>
      </c>
      <c r="C30">
        <f t="array" ref="C30">IF($A30="","",IF($AE30="OVF",INDEX(permit_calc!$A$3:$A$144,MATCH($A30,permit_calc!$N$3:$N$144,0)),INDEX($U$18:$U$25,$AF30)))</f>
        <v/>
      </c>
      <c r="D30">
        <f>IF($A30="","",$AE30)</f>
        <v/>
      </c>
      <c r="E30">
        <f t="array" ref="E30">IF($A30="","",IF($AE30="OVF","",INDEX($G$18:$G$25,$AF30)))</f>
        <v/>
      </c>
      <c r="F30">
        <f t="array" ref="F30">IF($A30="","",IF($AE30="OVF",INDEX(permit_calc!$M$3:$M$144,MATCH($A30,permit_calc!$N$3:$N$144,0)),INDEX($A$18:$A$25,$AF30)))</f>
        <v/>
      </c>
      <c r="G30" s="50" t="inlineStr">
        <is>
          <t>JTL</t>
        </is>
      </c>
      <c r="H30" s="41">
        <f t="array" ref="H30">IF($A30="","",IF($AE30="OVF",INDEX($E$18:$E$25,INDEX(permit_calc!$O$3:$O$144,MATCH($A30,permit_calc!$N$3:$N$144,0)))+INDEX($F$18:$F$25,INDEX(permit_calc!$O$3:$O$144,MATCH($A30,permit_calc!$N$3:$N$144,0))),INDEX($L$18:$L$25,$AF30)+INDEX($M$18:$M$25,$AF30)))</f>
        <v/>
      </c>
      <c r="I30" s="43">
        <f>IF($A30="","",IFERROR(IF(INDEX(countries!$I:$I,MATCH($C30,countries!$D:$D,0))=0,$B$12,INDEX(countries!$I:$I,MATCH($C30,countries!$D:$D,0))),$B$12))</f>
        <v/>
      </c>
      <c r="J30" s="41">
        <f>IF($A30="","",$H30-$I30/24)</f>
        <v/>
      </c>
      <c r="K30" s="42">
        <f>IF($A30="","",ROUND($J30-NOW(),1))</f>
        <v/>
      </c>
      <c r="L30">
        <f>IF($A30="","",IF($AE30="OVF",IFERROR(INDEX(countries!$G:$G,MATCH($C30,countries!$D:$D,0)),"VERIFY"),IFERROR(INDEX(countries!$H:$H,MATCH($C30,countries!$D:$D,0)),"VERIFY")))</f>
        <v/>
      </c>
      <c r="M30">
        <f>IF($A30="","",IF(OR(UPPER($G30)="OWN",UPPER($G30)="EXCLUDED"),"CLIENT ARRANGING",IF($K30&lt;0,"OVERDUE",IF($K30&lt;1,"URGENT - FILE NOW",IF($K30&lt;3,"DUE SOON","PENDING")))))</f>
        <v/>
      </c>
      <c r="AE30">
        <f>IF($A30="","",IF($A30&lt;=COUNTIF(permit_calc!$L$3:$L$144,1),"OVF","LDG"))</f>
        <v/>
      </c>
      <c r="AF30">
        <f>IF($AE30="","",IF($AE30="OVF","",$A30-COUNTIF(permit_calc!$L$3:$L$144,1)))</f>
        <v/>
      </c>
      <c r="AH30">
        <f>IFERROR(INDEX('PAX &amp; CREW'!$L$3:$L$62,MATCH(ROW()-17,'PAX &amp; CREW'!$AJ$3:$AJ$62,0)),"")</f>
        <v/>
      </c>
      <c r="AI30">
        <f>IF($AH30="","",IF(COUNTIF($AH$18:$AH30,$AH30)=1,1,0))</f>
        <v/>
      </c>
      <c r="AJ30">
        <f>IF($AI30=1,SUM($AI$18:$AI30),"")</f>
        <v/>
      </c>
    </row>
    <row r="31">
      <c r="A31">
        <f>IF(ROW()-29&gt;COUNTIF(permit_calc!$L$3:$L$144,1)+COUNTA($G$18:$G$25),"",ROW()-29)</f>
        <v/>
      </c>
      <c r="B31">
        <f>IF($A31="","",IF($AE31="OVF",INDEX(permit_calc!$B$3:$B$144,MATCH($A31,permit_calc!$N$3:$N$144,0)),IFERROR(INDEX(countries!$B:$B,MATCH($C31,countries!$D:$D,0)),$C31)))</f>
        <v/>
      </c>
      <c r="C31">
        <f t="array" ref="C31">IF($A31="","",IF($AE31="OVF",INDEX(permit_calc!$A$3:$A$144,MATCH($A31,permit_calc!$N$3:$N$144,0)),INDEX($U$18:$U$25,$AF31)))</f>
        <v/>
      </c>
      <c r="D31">
        <f>IF($A31="","",$AE31)</f>
        <v/>
      </c>
      <c r="E31">
        <f t="array" ref="E31">IF($A31="","",IF($AE31="OVF","",INDEX($G$18:$G$25,$AF31)))</f>
        <v/>
      </c>
      <c r="F31">
        <f t="array" ref="F31">IF($A31="","",IF($AE31="OVF",INDEX(permit_calc!$M$3:$M$144,MATCH($A31,permit_calc!$N$3:$N$144,0)),INDEX($A$18:$A$25,$AF31)))</f>
        <v/>
      </c>
      <c r="G31" s="50" t="inlineStr">
        <is>
          <t>JTL</t>
        </is>
      </c>
      <c r="H31" s="41">
        <f t="array" ref="H31">IF($A31="","",IF($AE31="OVF",INDEX($E$18:$E$25,INDEX(permit_calc!$O$3:$O$144,MATCH($A31,permit_calc!$N$3:$N$144,0)))+INDEX($F$18:$F$25,INDEX(permit_calc!$O$3:$O$144,MATCH($A31,permit_calc!$N$3:$N$144,0))),INDEX($L$18:$L$25,$AF31)+INDEX($M$18:$M$25,$AF31)))</f>
        <v/>
      </c>
      <c r="I31" s="43">
        <f>IF($A31="","",IFERROR(IF(INDEX(countries!$I:$I,MATCH($C31,countries!$D:$D,0))=0,$B$12,INDEX(countries!$I:$I,MATCH($C31,countries!$D:$D,0))),$B$12))</f>
        <v/>
      </c>
      <c r="J31" s="41">
        <f>IF($A31="","",$H31-$I31/24)</f>
        <v/>
      </c>
      <c r="K31" s="42">
        <f>IF($A31="","",ROUND($J31-NOW(),1))</f>
        <v/>
      </c>
      <c r="L31">
        <f>IF($A31="","",IF($AE31="OVF",IFERROR(INDEX(countries!$G:$G,MATCH($C31,countries!$D:$D,0)),"VERIFY"),IFERROR(INDEX(countries!$H:$H,MATCH($C31,countries!$D:$D,0)),"VERIFY")))</f>
        <v/>
      </c>
      <c r="M31">
        <f>IF($A31="","",IF(OR(UPPER($G31)="OWN",UPPER($G31)="EXCLUDED"),"CLIENT ARRANGING",IF($K31&lt;0,"OVERDUE",IF($K31&lt;1,"URGENT - FILE NOW",IF($K31&lt;3,"DUE SOON","PENDING")))))</f>
        <v/>
      </c>
      <c r="AE31">
        <f>IF($A31="","",IF($A31&lt;=COUNTIF(permit_calc!$L$3:$L$144,1),"OVF","LDG"))</f>
        <v/>
      </c>
      <c r="AF31">
        <f>IF($AE31="","",IF($AE31="OVF","",$A31-COUNTIF(permit_calc!$L$3:$L$144,1)))</f>
        <v/>
      </c>
      <c r="AH31">
        <f>IFERROR(INDEX('PAX &amp; CREW'!$L$3:$L$62,MATCH(ROW()-17,'PAX &amp; CREW'!$AJ$3:$AJ$62,0)),"")</f>
        <v/>
      </c>
      <c r="AI31">
        <f>IF($AH31="","",IF(COUNTIF($AH$18:$AH31,$AH31)=1,1,0))</f>
        <v/>
      </c>
      <c r="AJ31">
        <f>IF($AI31=1,SUM($AI$18:$AI31),"")</f>
        <v/>
      </c>
    </row>
    <row r="32">
      <c r="A32">
        <f>IF(ROW()-29&gt;COUNTIF(permit_calc!$L$3:$L$144,1)+COUNTA($G$18:$G$25),"",ROW()-29)</f>
        <v/>
      </c>
      <c r="B32">
        <f>IF($A32="","",IF($AE32="OVF",INDEX(permit_calc!$B$3:$B$144,MATCH($A32,permit_calc!$N$3:$N$144,0)),IFERROR(INDEX(countries!$B:$B,MATCH($C32,countries!$D:$D,0)),$C32)))</f>
        <v/>
      </c>
      <c r="C32">
        <f t="array" ref="C32">IF($A32="","",IF($AE32="OVF",INDEX(permit_calc!$A$3:$A$144,MATCH($A32,permit_calc!$N$3:$N$144,0)),INDEX($U$18:$U$25,$AF32)))</f>
        <v/>
      </c>
      <c r="D32">
        <f>IF($A32="","",$AE32)</f>
        <v/>
      </c>
      <c r="E32">
        <f t="array" ref="E32">IF($A32="","",IF($AE32="OVF","",INDEX($G$18:$G$25,$AF32)))</f>
        <v/>
      </c>
      <c r="F32">
        <f t="array" ref="F32">IF($A32="","",IF($AE32="OVF",INDEX(permit_calc!$M$3:$M$144,MATCH($A32,permit_calc!$N$3:$N$144,0)),INDEX($A$18:$A$25,$AF32)))</f>
        <v/>
      </c>
      <c r="G32" s="50" t="inlineStr">
        <is>
          <t>JTL</t>
        </is>
      </c>
      <c r="H32" s="41">
        <f t="array" ref="H32">IF($A32="","",IF($AE32="OVF",INDEX($E$18:$E$25,INDEX(permit_calc!$O$3:$O$144,MATCH($A32,permit_calc!$N$3:$N$144,0)))+INDEX($F$18:$F$25,INDEX(permit_calc!$O$3:$O$144,MATCH($A32,permit_calc!$N$3:$N$144,0))),INDEX($L$18:$L$25,$AF32)+INDEX($M$18:$M$25,$AF32)))</f>
        <v/>
      </c>
      <c r="I32" s="43">
        <f>IF($A32="","",IFERROR(IF(INDEX(countries!$I:$I,MATCH($C32,countries!$D:$D,0))=0,$B$12,INDEX(countries!$I:$I,MATCH($C32,countries!$D:$D,0))),$B$12))</f>
        <v/>
      </c>
      <c r="J32" s="41">
        <f>IF($A32="","",$H32-$I32/24)</f>
        <v/>
      </c>
      <c r="K32" s="42">
        <f>IF($A32="","",ROUND($J32-NOW(),1))</f>
        <v/>
      </c>
      <c r="L32">
        <f>IF($A32="","",IF($AE32="OVF",IFERROR(INDEX(countries!$G:$G,MATCH($C32,countries!$D:$D,0)),"VERIFY"),IFERROR(INDEX(countries!$H:$H,MATCH($C32,countries!$D:$D,0)),"VERIFY")))</f>
        <v/>
      </c>
      <c r="M32">
        <f>IF($A32="","",IF(OR(UPPER($G32)="OWN",UPPER($G32)="EXCLUDED"),"CLIENT ARRANGING",IF($K32&lt;0,"OVERDUE",IF($K32&lt;1,"URGENT - FILE NOW",IF($K32&lt;3,"DUE SOON","PENDING")))))</f>
        <v/>
      </c>
      <c r="AE32">
        <f>IF($A32="","",IF($A32&lt;=COUNTIF(permit_calc!$L$3:$L$144,1),"OVF","LDG"))</f>
        <v/>
      </c>
      <c r="AF32">
        <f>IF($AE32="","",IF($AE32="OVF","",$A32-COUNTIF(permit_calc!$L$3:$L$144,1)))</f>
        <v/>
      </c>
      <c r="AH32">
        <f>IFERROR(INDEX('PAX &amp; CREW'!$L$3:$L$62,MATCH(ROW()-17,'PAX &amp; CREW'!$AJ$3:$AJ$62,0)),"")</f>
        <v/>
      </c>
      <c r="AI32">
        <f>IF($AH32="","",IF(COUNTIF($AH$18:$AH32,$AH32)=1,1,0))</f>
        <v/>
      </c>
      <c r="AJ32">
        <f>IF($AI32=1,SUM($AI$18:$AI32),"")</f>
        <v/>
      </c>
    </row>
    <row r="33">
      <c r="A33">
        <f>IF(ROW()-29&gt;COUNTIF(permit_calc!$L$3:$L$144,1)+COUNTA($G$18:$G$25),"",ROW()-29)</f>
        <v/>
      </c>
      <c r="B33">
        <f>IF($A33="","",IF($AE33="OVF",INDEX(permit_calc!$B$3:$B$144,MATCH($A33,permit_calc!$N$3:$N$144,0)),IFERROR(INDEX(countries!$B:$B,MATCH($C33,countries!$D:$D,0)),$C33)))</f>
        <v/>
      </c>
      <c r="C33">
        <f t="array" ref="C33">IF($A33="","",IF($AE33="OVF",INDEX(permit_calc!$A$3:$A$144,MATCH($A33,permit_calc!$N$3:$N$144,0)),INDEX($U$18:$U$25,$AF33)))</f>
        <v/>
      </c>
      <c r="D33">
        <f>IF($A33="","",$AE33)</f>
        <v/>
      </c>
      <c r="E33">
        <f t="array" ref="E33">IF($A33="","",IF($AE33="OVF","",INDEX($G$18:$G$25,$AF33)))</f>
        <v/>
      </c>
      <c r="F33">
        <f t="array" ref="F33">IF($A33="","",IF($AE33="OVF",INDEX(permit_calc!$M$3:$M$144,MATCH($A33,permit_calc!$N$3:$N$144,0)),INDEX($A$18:$A$25,$AF33)))</f>
        <v/>
      </c>
      <c r="G33" s="50" t="inlineStr">
        <is>
          <t>JTL</t>
        </is>
      </c>
      <c r="H33" s="41">
        <f t="array" ref="H33">IF($A33="","",IF($AE33="OVF",INDEX($E$18:$E$25,INDEX(permit_calc!$O$3:$O$144,MATCH($A33,permit_calc!$N$3:$N$144,0)))+INDEX($F$18:$F$25,INDEX(permit_calc!$O$3:$O$144,MATCH($A33,permit_calc!$N$3:$N$144,0))),INDEX($L$18:$L$25,$AF33)+INDEX($M$18:$M$25,$AF33)))</f>
        <v/>
      </c>
      <c r="I33" s="43">
        <f>IF($A33="","",IFERROR(IF(INDEX(countries!$I:$I,MATCH($C33,countries!$D:$D,0))=0,$B$12,INDEX(countries!$I:$I,MATCH($C33,countries!$D:$D,0))),$B$12))</f>
        <v/>
      </c>
      <c r="J33" s="41">
        <f>IF($A33="","",$H33-$I33/24)</f>
        <v/>
      </c>
      <c r="K33" s="42">
        <f>IF($A33="","",ROUND($J33-NOW(),1))</f>
        <v/>
      </c>
      <c r="L33">
        <f>IF($A33="","",IF($AE33="OVF",IFERROR(INDEX(countries!$G:$G,MATCH($C33,countries!$D:$D,0)),"VERIFY"),IFERROR(INDEX(countries!$H:$H,MATCH($C33,countries!$D:$D,0)),"VERIFY")))</f>
        <v/>
      </c>
      <c r="M33">
        <f>IF($A33="","",IF(OR(UPPER($G33)="OWN",UPPER($G33)="EXCLUDED"),"CLIENT ARRANGING",IF($K33&lt;0,"OVERDUE",IF($K33&lt;1,"URGENT - FILE NOW",IF($K33&lt;3,"DUE SOON","PENDING")))))</f>
        <v/>
      </c>
      <c r="AE33">
        <f>IF($A33="","",IF($A33&lt;=COUNTIF(permit_calc!$L$3:$L$144,1),"OVF","LDG"))</f>
        <v/>
      </c>
      <c r="AF33">
        <f>IF($AE33="","",IF($AE33="OVF","",$A33-COUNTIF(permit_calc!$L$3:$L$144,1)))</f>
        <v/>
      </c>
      <c r="AH33">
        <f>IFERROR(INDEX('PAX &amp; CREW'!$L$3:$L$62,MATCH(ROW()-17,'PAX &amp; CREW'!$AJ$3:$AJ$62,0)),"")</f>
        <v/>
      </c>
      <c r="AI33">
        <f>IF($AH33="","",IF(COUNTIF($AH$18:$AH33,$AH33)=1,1,0))</f>
        <v/>
      </c>
      <c r="AJ33">
        <f>IF($AI33=1,SUM($AI$18:$AI33),"")</f>
        <v/>
      </c>
    </row>
    <row r="34">
      <c r="A34">
        <f>IF(ROW()-29&gt;COUNTIF(permit_calc!$L$3:$L$144,1)+COUNTA($G$18:$G$25),"",ROW()-29)</f>
        <v/>
      </c>
      <c r="B34">
        <f>IF($A34="","",IF($AE34="OVF",INDEX(permit_calc!$B$3:$B$144,MATCH($A34,permit_calc!$N$3:$N$144,0)),IFERROR(INDEX(countries!$B:$B,MATCH($C34,countries!$D:$D,0)),$C34)))</f>
        <v/>
      </c>
      <c r="C34">
        <f t="array" ref="C34">IF($A34="","",IF($AE34="OVF",INDEX(permit_calc!$A$3:$A$144,MATCH($A34,permit_calc!$N$3:$N$144,0)),INDEX($U$18:$U$25,$AF34)))</f>
        <v/>
      </c>
      <c r="D34">
        <f>IF($A34="","",$AE34)</f>
        <v/>
      </c>
      <c r="E34">
        <f t="array" ref="E34">IF($A34="","",IF($AE34="OVF","",INDEX($G$18:$G$25,$AF34)))</f>
        <v/>
      </c>
      <c r="F34">
        <f t="array" ref="F34">IF($A34="","",IF($AE34="OVF",INDEX(permit_calc!$M$3:$M$144,MATCH($A34,permit_calc!$N$3:$N$144,0)),INDEX($A$18:$A$25,$AF34)))</f>
        <v/>
      </c>
      <c r="G34" s="50" t="inlineStr">
        <is>
          <t>JTL</t>
        </is>
      </c>
      <c r="H34" s="41">
        <f t="array" ref="H34">IF($A34="","",IF($AE34="OVF",INDEX($E$18:$E$25,INDEX(permit_calc!$O$3:$O$144,MATCH($A34,permit_calc!$N$3:$N$144,0)))+INDEX($F$18:$F$25,INDEX(permit_calc!$O$3:$O$144,MATCH($A34,permit_calc!$N$3:$N$144,0))),INDEX($L$18:$L$25,$AF34)+INDEX($M$18:$M$25,$AF34)))</f>
        <v/>
      </c>
      <c r="I34" s="43">
        <f>IF($A34="","",IFERROR(IF(INDEX(countries!$I:$I,MATCH($C34,countries!$D:$D,0))=0,$B$12,INDEX(countries!$I:$I,MATCH($C34,countries!$D:$D,0))),$B$12))</f>
        <v/>
      </c>
      <c r="J34" s="41">
        <f>IF($A34="","",$H34-$I34/24)</f>
        <v/>
      </c>
      <c r="K34" s="42">
        <f>IF($A34="","",ROUND($J34-NOW(),1))</f>
        <v/>
      </c>
      <c r="L34">
        <f>IF($A34="","",IF($AE34="OVF",IFERROR(INDEX(countries!$G:$G,MATCH($C34,countries!$D:$D,0)),"VERIFY"),IFERROR(INDEX(countries!$H:$H,MATCH($C34,countries!$D:$D,0)),"VERIFY")))</f>
        <v/>
      </c>
      <c r="M34">
        <f>IF($A34="","",IF(OR(UPPER($G34)="OWN",UPPER($G34)="EXCLUDED"),"CLIENT ARRANGING",IF($K34&lt;0,"OVERDUE",IF($K34&lt;1,"URGENT - FILE NOW",IF($K34&lt;3,"DUE SOON","PENDING")))))</f>
        <v/>
      </c>
      <c r="AE34">
        <f>IF($A34="","",IF($A34&lt;=COUNTIF(permit_calc!$L$3:$L$144,1),"OVF","LDG"))</f>
        <v/>
      </c>
      <c r="AF34">
        <f>IF($AE34="","",IF($AE34="OVF","",$A34-COUNTIF(permit_calc!$L$3:$L$144,1)))</f>
        <v/>
      </c>
      <c r="AH34">
        <f>IFERROR(INDEX('PAX &amp; CREW'!$L$3:$L$62,MATCH(ROW()-17,'PAX &amp; CREW'!$AJ$3:$AJ$62,0)),"")</f>
        <v/>
      </c>
      <c r="AI34">
        <f>IF($AH34="","",IF(COUNTIF($AH$18:$AH34,$AH34)=1,1,0))</f>
        <v/>
      </c>
      <c r="AJ34">
        <f>IF($AI34=1,SUM($AI$18:$AI34),"")</f>
        <v/>
      </c>
    </row>
    <row r="35">
      <c r="A35">
        <f>IF(ROW()-29&gt;COUNTIF(permit_calc!$L$3:$L$144,1)+COUNTA($G$18:$G$25),"",ROW()-29)</f>
        <v/>
      </c>
      <c r="B35">
        <f>IF($A35="","",IF($AE35="OVF",INDEX(permit_calc!$B$3:$B$144,MATCH($A35,permit_calc!$N$3:$N$144,0)),IFERROR(INDEX(countries!$B:$B,MATCH($C35,countries!$D:$D,0)),$C35)))</f>
        <v/>
      </c>
      <c r="C35">
        <f t="array" ref="C35">IF($A35="","",IF($AE35="OVF",INDEX(permit_calc!$A$3:$A$144,MATCH($A35,permit_calc!$N$3:$N$144,0)),INDEX($U$18:$U$25,$AF35)))</f>
        <v/>
      </c>
      <c r="D35">
        <f>IF($A35="","",$AE35)</f>
        <v/>
      </c>
      <c r="E35">
        <f t="array" ref="E35">IF($A35="","",IF($AE35="OVF","",INDEX($G$18:$G$25,$AF35)))</f>
        <v/>
      </c>
      <c r="F35">
        <f t="array" ref="F35">IF($A35="","",IF($AE35="OVF",INDEX(permit_calc!$M$3:$M$144,MATCH($A35,permit_calc!$N$3:$N$144,0)),INDEX($A$18:$A$25,$AF35)))</f>
        <v/>
      </c>
      <c r="G35" s="50" t="inlineStr">
        <is>
          <t>JTL</t>
        </is>
      </c>
      <c r="H35" s="41">
        <f t="array" ref="H35">IF($A35="","",IF($AE35="OVF",INDEX($E$18:$E$25,INDEX(permit_calc!$O$3:$O$144,MATCH($A35,permit_calc!$N$3:$N$144,0)))+INDEX($F$18:$F$25,INDEX(permit_calc!$O$3:$O$144,MATCH($A35,permit_calc!$N$3:$N$144,0))),INDEX($L$18:$L$25,$AF35)+INDEX($M$18:$M$25,$AF35)))</f>
        <v/>
      </c>
      <c r="I35" s="43">
        <f>IF($A35="","",IFERROR(IF(INDEX(countries!$I:$I,MATCH($C35,countries!$D:$D,0))=0,$B$12,INDEX(countries!$I:$I,MATCH($C35,countries!$D:$D,0))),$B$12))</f>
        <v/>
      </c>
      <c r="J35" s="41">
        <f>IF($A35="","",$H35-$I35/24)</f>
        <v/>
      </c>
      <c r="K35" s="42">
        <f>IF($A35="","",ROUND($J35-NOW(),1))</f>
        <v/>
      </c>
      <c r="L35">
        <f>IF($A35="","",IF($AE35="OVF",IFERROR(INDEX(countries!$G:$G,MATCH($C35,countries!$D:$D,0)),"VERIFY"),IFERROR(INDEX(countries!$H:$H,MATCH($C35,countries!$D:$D,0)),"VERIFY")))</f>
        <v/>
      </c>
      <c r="M35">
        <f>IF($A35="","",IF(OR(UPPER($G35)="OWN",UPPER($G35)="EXCLUDED"),"CLIENT ARRANGING",IF($K35&lt;0,"OVERDUE",IF($K35&lt;1,"URGENT - FILE NOW",IF($K35&lt;3,"DUE SOON","PENDING")))))</f>
        <v/>
      </c>
      <c r="AE35">
        <f>IF($A35="","",IF($A35&lt;=COUNTIF(permit_calc!$L$3:$L$144,1),"OVF","LDG"))</f>
        <v/>
      </c>
      <c r="AF35">
        <f>IF($AE35="","",IF($AE35="OVF","",$A35-COUNTIF(permit_calc!$L$3:$L$144,1)))</f>
        <v/>
      </c>
      <c r="AH35">
        <f>IFERROR(INDEX('PAX &amp; CREW'!$L$3:$L$62,MATCH(ROW()-17,'PAX &amp; CREW'!$AJ$3:$AJ$62,0)),"")</f>
        <v/>
      </c>
      <c r="AI35">
        <f>IF($AH35="","",IF(COUNTIF($AH$18:$AH35,$AH35)=1,1,0))</f>
        <v/>
      </c>
      <c r="AJ35">
        <f>IF($AI35=1,SUM($AI$18:$AI35),"")</f>
        <v/>
      </c>
    </row>
    <row r="36">
      <c r="A36">
        <f>IF(ROW()-29&gt;COUNTIF(permit_calc!$L$3:$L$144,1)+COUNTA($G$18:$G$25),"",ROW()-29)</f>
        <v/>
      </c>
      <c r="B36">
        <f>IF($A36="","",IF($AE36="OVF",INDEX(permit_calc!$B$3:$B$144,MATCH($A36,permit_calc!$N$3:$N$144,0)),IFERROR(INDEX(countries!$B:$B,MATCH($C36,countries!$D:$D,0)),$C36)))</f>
        <v/>
      </c>
      <c r="C36">
        <f t="array" ref="C36">IF($A36="","",IF($AE36="OVF",INDEX(permit_calc!$A$3:$A$144,MATCH($A36,permit_calc!$N$3:$N$144,0)),INDEX($U$18:$U$25,$AF36)))</f>
        <v/>
      </c>
      <c r="D36">
        <f>IF($A36="","",$AE36)</f>
        <v/>
      </c>
      <c r="E36">
        <f t="array" ref="E36">IF($A36="","",IF($AE36="OVF","",INDEX($G$18:$G$25,$AF36)))</f>
        <v/>
      </c>
      <c r="F36">
        <f t="array" ref="F36">IF($A36="","",IF($AE36="OVF",INDEX(permit_calc!$M$3:$M$144,MATCH($A36,permit_calc!$N$3:$N$144,0)),INDEX($A$18:$A$25,$AF36)))</f>
        <v/>
      </c>
      <c r="G36" s="50" t="inlineStr">
        <is>
          <t>JTL</t>
        </is>
      </c>
      <c r="H36" s="41">
        <f t="array" ref="H36">IF($A36="","",IF($AE36="OVF",INDEX($E$18:$E$25,INDEX(permit_calc!$O$3:$O$144,MATCH($A36,permit_calc!$N$3:$N$144,0)))+INDEX($F$18:$F$25,INDEX(permit_calc!$O$3:$O$144,MATCH($A36,permit_calc!$N$3:$N$144,0))),INDEX($L$18:$L$25,$AF36)+INDEX($M$18:$M$25,$AF36)))</f>
        <v/>
      </c>
      <c r="I36" s="43">
        <f>IF($A36="","",IFERROR(IF(INDEX(countries!$I:$I,MATCH($C36,countries!$D:$D,0))=0,$B$12,INDEX(countries!$I:$I,MATCH($C36,countries!$D:$D,0))),$B$12))</f>
        <v/>
      </c>
      <c r="J36" s="41">
        <f>IF($A36="","",$H36-$I36/24)</f>
        <v/>
      </c>
      <c r="K36" s="42">
        <f>IF($A36="","",ROUND($J36-NOW(),1))</f>
        <v/>
      </c>
      <c r="L36">
        <f>IF($A36="","",IF($AE36="OVF",IFERROR(INDEX(countries!$G:$G,MATCH($C36,countries!$D:$D,0)),"VERIFY"),IFERROR(INDEX(countries!$H:$H,MATCH($C36,countries!$D:$D,0)),"VERIFY")))</f>
        <v/>
      </c>
      <c r="M36">
        <f>IF($A36="","",IF(OR(UPPER($G36)="OWN",UPPER($G36)="EXCLUDED"),"CLIENT ARRANGING",IF($K36&lt;0,"OVERDUE",IF($K36&lt;1,"URGENT - FILE NOW",IF($K36&lt;3,"DUE SOON","PENDING")))))</f>
        <v/>
      </c>
      <c r="AE36">
        <f>IF($A36="","",IF($A36&lt;=COUNTIF(permit_calc!$L$3:$L$144,1),"OVF","LDG"))</f>
        <v/>
      </c>
      <c r="AF36">
        <f>IF($AE36="","",IF($AE36="OVF","",$A36-COUNTIF(permit_calc!$L$3:$L$144,1)))</f>
        <v/>
      </c>
      <c r="AH36">
        <f>IFERROR(INDEX('PAX &amp; CREW'!$L$3:$L$62,MATCH(ROW()-17,'PAX &amp; CREW'!$AJ$3:$AJ$62,0)),"")</f>
        <v/>
      </c>
      <c r="AI36">
        <f>IF($AH36="","",IF(COUNTIF($AH$18:$AH36,$AH36)=1,1,0))</f>
        <v/>
      </c>
      <c r="AJ36">
        <f>IF($AI36=1,SUM($AI$18:$AI36),"")</f>
        <v/>
      </c>
    </row>
    <row r="37">
      <c r="A37">
        <f>IF(ROW()-29&gt;COUNTIF(permit_calc!$L$3:$L$144,1)+COUNTA($G$18:$G$25),"",ROW()-29)</f>
        <v/>
      </c>
      <c r="B37">
        <f>IF($A37="","",IF($AE37="OVF",INDEX(permit_calc!$B$3:$B$144,MATCH($A37,permit_calc!$N$3:$N$144,0)),IFERROR(INDEX(countries!$B:$B,MATCH($C37,countries!$D:$D,0)),$C37)))</f>
        <v/>
      </c>
      <c r="C37">
        <f t="array" ref="C37">IF($A37="","",IF($AE37="OVF",INDEX(permit_calc!$A$3:$A$144,MATCH($A37,permit_calc!$N$3:$N$144,0)),INDEX($U$18:$U$25,$AF37)))</f>
        <v/>
      </c>
      <c r="D37">
        <f>IF($A37="","",$AE37)</f>
        <v/>
      </c>
      <c r="E37">
        <f t="array" ref="E37">IF($A37="","",IF($AE37="OVF","",INDEX($G$18:$G$25,$AF37)))</f>
        <v/>
      </c>
      <c r="F37">
        <f t="array" ref="F37">IF($A37="","",IF($AE37="OVF",INDEX(permit_calc!$M$3:$M$144,MATCH($A37,permit_calc!$N$3:$N$144,0)),INDEX($A$18:$A$25,$AF37)))</f>
        <v/>
      </c>
      <c r="G37" s="50" t="inlineStr">
        <is>
          <t>JTL</t>
        </is>
      </c>
      <c r="H37" s="41">
        <f t="array" ref="H37">IF($A37="","",IF($AE37="OVF",INDEX($E$18:$E$25,INDEX(permit_calc!$O$3:$O$144,MATCH($A37,permit_calc!$N$3:$N$144,0)))+INDEX($F$18:$F$25,INDEX(permit_calc!$O$3:$O$144,MATCH($A37,permit_calc!$N$3:$N$144,0))),INDEX($L$18:$L$25,$AF37)+INDEX($M$18:$M$25,$AF37)))</f>
        <v/>
      </c>
      <c r="I37" s="43">
        <f>IF($A37="","",IFERROR(IF(INDEX(countries!$I:$I,MATCH($C37,countries!$D:$D,0))=0,$B$12,INDEX(countries!$I:$I,MATCH($C37,countries!$D:$D,0))),$B$12))</f>
        <v/>
      </c>
      <c r="J37" s="41">
        <f>IF($A37="","",$H37-$I37/24)</f>
        <v/>
      </c>
      <c r="K37" s="42">
        <f>IF($A37="","",ROUND($J37-NOW(),1))</f>
        <v/>
      </c>
      <c r="L37">
        <f>IF($A37="","",IF($AE37="OVF",IFERROR(INDEX(countries!$G:$G,MATCH($C37,countries!$D:$D,0)),"VERIFY"),IFERROR(INDEX(countries!$H:$H,MATCH($C37,countries!$D:$D,0)),"VERIFY")))</f>
        <v/>
      </c>
      <c r="M37">
        <f>IF($A37="","",IF(OR(UPPER($G37)="OWN",UPPER($G37)="EXCLUDED"),"CLIENT ARRANGING",IF($K37&lt;0,"OVERDUE",IF($K37&lt;1,"URGENT - FILE NOW",IF($K37&lt;3,"DUE SOON","PENDING")))))</f>
        <v/>
      </c>
      <c r="AE37">
        <f>IF($A37="","",IF($A37&lt;=COUNTIF(permit_calc!$L$3:$L$144,1),"OVF","LDG"))</f>
        <v/>
      </c>
      <c r="AF37">
        <f>IF($AE37="","",IF($AE37="OVF","",$A37-COUNTIF(permit_calc!$L$3:$L$144,1)))</f>
        <v/>
      </c>
      <c r="AH37">
        <f>IFERROR(INDEX('PAX &amp; CREW'!$L$3:$L$62,MATCH(ROW()-17,'PAX &amp; CREW'!$AJ$3:$AJ$62,0)),"")</f>
        <v/>
      </c>
      <c r="AI37">
        <f>IF($AH37="","",IF(COUNTIF($AH$18:$AH37,$AH37)=1,1,0))</f>
        <v/>
      </c>
      <c r="AJ37">
        <f>IF($AI37=1,SUM($AI$18:$AI37),"")</f>
        <v/>
      </c>
    </row>
    <row r="38">
      <c r="A38">
        <f>IF(ROW()-29&gt;COUNTIF(permit_calc!$L$3:$L$144,1)+COUNTA($G$18:$G$25),"",ROW()-29)</f>
        <v/>
      </c>
      <c r="B38">
        <f>IF($A38="","",IF($AE38="OVF",INDEX(permit_calc!$B$3:$B$144,MATCH($A38,permit_calc!$N$3:$N$144,0)),IFERROR(INDEX(countries!$B:$B,MATCH($C38,countries!$D:$D,0)),$C38)))</f>
        <v/>
      </c>
      <c r="C38">
        <f t="array" ref="C38">IF($A38="","",IF($AE38="OVF",INDEX(permit_calc!$A$3:$A$144,MATCH($A38,permit_calc!$N$3:$N$144,0)),INDEX($U$18:$U$25,$AF38)))</f>
        <v/>
      </c>
      <c r="D38">
        <f>IF($A38="","",$AE38)</f>
        <v/>
      </c>
      <c r="E38">
        <f t="array" ref="E38">IF($A38="","",IF($AE38="OVF","",INDEX($G$18:$G$25,$AF38)))</f>
        <v/>
      </c>
      <c r="F38">
        <f t="array" ref="F38">IF($A38="","",IF($AE38="OVF",INDEX(permit_calc!$M$3:$M$144,MATCH($A38,permit_calc!$N$3:$N$144,0)),INDEX($A$18:$A$25,$AF38)))</f>
        <v/>
      </c>
      <c r="G38" s="50" t="inlineStr">
        <is>
          <t>JTL</t>
        </is>
      </c>
      <c r="H38" s="41">
        <f t="array" ref="H38">IF($A38="","",IF($AE38="OVF",INDEX($E$18:$E$25,INDEX(permit_calc!$O$3:$O$144,MATCH($A38,permit_calc!$N$3:$N$144,0)))+INDEX($F$18:$F$25,INDEX(permit_calc!$O$3:$O$144,MATCH($A38,permit_calc!$N$3:$N$144,0))),INDEX($L$18:$L$25,$AF38)+INDEX($M$18:$M$25,$AF38)))</f>
        <v/>
      </c>
      <c r="I38" s="43">
        <f>IF($A38="","",IFERROR(IF(INDEX(countries!$I:$I,MATCH($C38,countries!$D:$D,0))=0,$B$12,INDEX(countries!$I:$I,MATCH($C38,countries!$D:$D,0))),$B$12))</f>
        <v/>
      </c>
      <c r="J38" s="41">
        <f>IF($A38="","",$H38-$I38/24)</f>
        <v/>
      </c>
      <c r="K38" s="42">
        <f>IF($A38="","",ROUND($J38-NOW(),1))</f>
        <v/>
      </c>
      <c r="L38">
        <f>IF($A38="","",IF($AE38="OVF",IFERROR(INDEX(countries!$G:$G,MATCH($C38,countries!$D:$D,0)),"VERIFY"),IFERROR(INDEX(countries!$H:$H,MATCH($C38,countries!$D:$D,0)),"VERIFY")))</f>
        <v/>
      </c>
      <c r="M38">
        <f>IF($A38="","",IF(OR(UPPER($G38)="OWN",UPPER($G38)="EXCLUDED"),"CLIENT ARRANGING",IF($K38&lt;0,"OVERDUE",IF($K38&lt;1,"URGENT - FILE NOW",IF($K38&lt;3,"DUE SOON","PENDING")))))</f>
        <v/>
      </c>
      <c r="AE38">
        <f>IF($A38="","",IF($A38&lt;=COUNTIF(permit_calc!$L$3:$L$144,1),"OVF","LDG"))</f>
        <v/>
      </c>
      <c r="AF38">
        <f>IF($AE38="","",IF($AE38="OVF","",$A38-COUNTIF(permit_calc!$L$3:$L$144,1)))</f>
        <v/>
      </c>
    </row>
    <row r="39">
      <c r="A39">
        <f>IF(ROW()-29&gt;COUNTIF(permit_calc!$L$3:$L$144,1)+COUNTA($G$18:$G$25),"",ROW()-29)</f>
        <v/>
      </c>
      <c r="B39">
        <f>IF($A39="","",IF($AE39="OVF",INDEX(permit_calc!$B$3:$B$144,MATCH($A39,permit_calc!$N$3:$N$144,0)),IFERROR(INDEX(countries!$B:$B,MATCH($C39,countries!$D:$D,0)),$C39)))</f>
        <v/>
      </c>
      <c r="C39">
        <f t="array" ref="C39">IF($A39="","",IF($AE39="OVF",INDEX(permit_calc!$A$3:$A$144,MATCH($A39,permit_calc!$N$3:$N$144,0)),INDEX($U$18:$U$25,$AF39)))</f>
        <v/>
      </c>
      <c r="D39">
        <f>IF($A39="","",$AE39)</f>
        <v/>
      </c>
      <c r="E39">
        <f t="array" ref="E39">IF($A39="","",IF($AE39="OVF","",INDEX($G$18:$G$25,$AF39)))</f>
        <v/>
      </c>
      <c r="F39">
        <f t="array" ref="F39">IF($A39="","",IF($AE39="OVF",INDEX(permit_calc!$M$3:$M$144,MATCH($A39,permit_calc!$N$3:$N$144,0)),INDEX($A$18:$A$25,$AF39)))</f>
        <v/>
      </c>
      <c r="G39" s="50" t="inlineStr">
        <is>
          <t>JTL</t>
        </is>
      </c>
      <c r="H39" s="41">
        <f t="array" ref="H39">IF($A39="","",IF($AE39="OVF",INDEX($E$18:$E$25,INDEX(permit_calc!$O$3:$O$144,MATCH($A39,permit_calc!$N$3:$N$144,0)))+INDEX($F$18:$F$25,INDEX(permit_calc!$O$3:$O$144,MATCH($A39,permit_calc!$N$3:$N$144,0))),INDEX($L$18:$L$25,$AF39)+INDEX($M$18:$M$25,$AF39)))</f>
        <v/>
      </c>
      <c r="I39" s="43">
        <f>IF($A39="","",IFERROR(IF(INDEX(countries!$I:$I,MATCH($C39,countries!$D:$D,0))=0,$B$12,INDEX(countries!$I:$I,MATCH($C39,countries!$D:$D,0))),$B$12))</f>
        <v/>
      </c>
      <c r="J39" s="41">
        <f>IF($A39="","",$H39-$I39/24)</f>
        <v/>
      </c>
      <c r="K39" s="42">
        <f>IF($A39="","",ROUND($J39-NOW(),1))</f>
        <v/>
      </c>
      <c r="L39">
        <f>IF($A39="","",IF($AE39="OVF",IFERROR(INDEX(countries!$G:$G,MATCH($C39,countries!$D:$D,0)),"VERIFY"),IFERROR(INDEX(countries!$H:$H,MATCH($C39,countries!$D:$D,0)),"VERIFY")))</f>
        <v/>
      </c>
      <c r="M39">
        <f>IF($A39="","",IF(OR(UPPER($G39)="OWN",UPPER($G39)="EXCLUDED"),"CLIENT ARRANGING",IF($K39&lt;0,"OVERDUE",IF($K39&lt;1,"URGENT - FILE NOW",IF($K39&lt;3,"DUE SOON","PENDING")))))</f>
        <v/>
      </c>
      <c r="AE39">
        <f>IF($A39="","",IF($A39&lt;=COUNTIF(permit_calc!$L$3:$L$144,1),"OVF","LDG"))</f>
        <v/>
      </c>
      <c r="AF39">
        <f>IF($AE39="","",IF($AE39="OVF","",$A39-COUNTIF(permit_calc!$L$3:$L$144,1)))</f>
        <v/>
      </c>
    </row>
    <row r="40">
      <c r="A40">
        <f>IF(ROW()-29&gt;COUNTIF(permit_calc!$L$3:$L$144,1)+COUNTA($G$18:$G$25),"",ROW()-29)</f>
        <v/>
      </c>
      <c r="B40">
        <f>IF($A40="","",IF($AE40="OVF",INDEX(permit_calc!$B$3:$B$144,MATCH($A40,permit_calc!$N$3:$N$144,0)),IFERROR(INDEX(countries!$B:$B,MATCH($C40,countries!$D:$D,0)),$C40)))</f>
        <v/>
      </c>
      <c r="C40">
        <f t="array" ref="C40">IF($A40="","",IF($AE40="OVF",INDEX(permit_calc!$A$3:$A$144,MATCH($A40,permit_calc!$N$3:$N$144,0)),INDEX($U$18:$U$25,$AF40)))</f>
        <v/>
      </c>
      <c r="D40">
        <f>IF($A40="","",$AE40)</f>
        <v/>
      </c>
      <c r="E40">
        <f t="array" ref="E40">IF($A40="","",IF($AE40="OVF","",INDEX($G$18:$G$25,$AF40)))</f>
        <v/>
      </c>
      <c r="F40">
        <f t="array" ref="F40">IF($A40="","",IF($AE40="OVF",INDEX(permit_calc!$M$3:$M$144,MATCH($A40,permit_calc!$N$3:$N$144,0)),INDEX($A$18:$A$25,$AF40)))</f>
        <v/>
      </c>
      <c r="G40" s="50" t="inlineStr">
        <is>
          <t>JTL</t>
        </is>
      </c>
      <c r="H40" s="41">
        <f t="array" ref="H40">IF($A40="","",IF($AE40="OVF",INDEX($E$18:$E$25,INDEX(permit_calc!$O$3:$O$144,MATCH($A40,permit_calc!$N$3:$N$144,0)))+INDEX($F$18:$F$25,INDEX(permit_calc!$O$3:$O$144,MATCH($A40,permit_calc!$N$3:$N$144,0))),INDEX($L$18:$L$25,$AF40)+INDEX($M$18:$M$25,$AF40)))</f>
        <v/>
      </c>
      <c r="I40" s="43">
        <f>IF($A40="","",IFERROR(IF(INDEX(countries!$I:$I,MATCH($C40,countries!$D:$D,0))=0,$B$12,INDEX(countries!$I:$I,MATCH($C40,countries!$D:$D,0))),$B$12))</f>
        <v/>
      </c>
      <c r="J40" s="41">
        <f>IF($A40="","",$H40-$I40/24)</f>
        <v/>
      </c>
      <c r="K40" s="42">
        <f>IF($A40="","",ROUND($J40-NOW(),1))</f>
        <v/>
      </c>
      <c r="L40">
        <f>IF($A40="","",IF($AE40="OVF",IFERROR(INDEX(countries!$G:$G,MATCH($C40,countries!$D:$D,0)),"VERIFY"),IFERROR(INDEX(countries!$H:$H,MATCH($C40,countries!$D:$D,0)),"VERIFY")))</f>
        <v/>
      </c>
      <c r="M40">
        <f>IF($A40="","",IF(OR(UPPER($G40)="OWN",UPPER($G40)="EXCLUDED"),"CLIENT ARRANGING",IF($K40&lt;0,"OVERDUE",IF($K40&lt;1,"URGENT - FILE NOW",IF($K40&lt;3,"DUE SOON","PENDING")))))</f>
        <v/>
      </c>
      <c r="AE40">
        <f>IF($A40="","",IF($A40&lt;=COUNTIF(permit_calc!$L$3:$L$144,1),"OVF","LDG"))</f>
        <v/>
      </c>
      <c r="AF40">
        <f>IF($AE40="","",IF($AE40="OVF","",$A40-COUNTIF(permit_calc!$L$3:$L$144,1)))</f>
        <v/>
      </c>
    </row>
    <row r="41">
      <c r="A41">
        <f>IF(ROW()-29&gt;COUNTIF(permit_calc!$L$3:$L$144,1)+COUNTA($G$18:$G$25),"",ROW()-29)</f>
        <v/>
      </c>
      <c r="B41">
        <f>IF($A41="","",IF($AE41="OVF",INDEX(permit_calc!$B$3:$B$144,MATCH($A41,permit_calc!$N$3:$N$144,0)),IFERROR(INDEX(countries!$B:$B,MATCH($C41,countries!$D:$D,0)),$C41)))</f>
        <v/>
      </c>
      <c r="C41">
        <f t="array" ref="C41">IF($A41="","",IF($AE41="OVF",INDEX(permit_calc!$A$3:$A$144,MATCH($A41,permit_calc!$N$3:$N$144,0)),INDEX($U$18:$U$25,$AF41)))</f>
        <v/>
      </c>
      <c r="D41">
        <f>IF($A41="","",$AE41)</f>
        <v/>
      </c>
      <c r="E41">
        <f t="array" ref="E41">IF($A41="","",IF($AE41="OVF","",INDEX($G$18:$G$25,$AF41)))</f>
        <v/>
      </c>
      <c r="F41">
        <f t="array" ref="F41">IF($A41="","",IF($AE41="OVF",INDEX(permit_calc!$M$3:$M$144,MATCH($A41,permit_calc!$N$3:$N$144,0)),INDEX($A$18:$A$25,$AF41)))</f>
        <v/>
      </c>
      <c r="G41" s="50" t="inlineStr">
        <is>
          <t>JTL</t>
        </is>
      </c>
      <c r="H41" s="41">
        <f t="array" ref="H41">IF($A41="","",IF($AE41="OVF",INDEX($E$18:$E$25,INDEX(permit_calc!$O$3:$O$144,MATCH($A41,permit_calc!$N$3:$N$144,0)))+INDEX($F$18:$F$25,INDEX(permit_calc!$O$3:$O$144,MATCH($A41,permit_calc!$N$3:$N$144,0))),INDEX($L$18:$L$25,$AF41)+INDEX($M$18:$M$25,$AF41)))</f>
        <v/>
      </c>
      <c r="I41" s="43">
        <f>IF($A41="","",IFERROR(IF(INDEX(countries!$I:$I,MATCH($C41,countries!$D:$D,0))=0,$B$12,INDEX(countries!$I:$I,MATCH($C41,countries!$D:$D,0))),$B$12))</f>
        <v/>
      </c>
      <c r="J41" s="41">
        <f>IF($A41="","",$H41-$I41/24)</f>
        <v/>
      </c>
      <c r="K41" s="42">
        <f>IF($A41="","",ROUND($J41-NOW(),1))</f>
        <v/>
      </c>
      <c r="L41">
        <f>IF($A41="","",IF($AE41="OVF",IFERROR(INDEX(countries!$G:$G,MATCH($C41,countries!$D:$D,0)),"VERIFY"),IFERROR(INDEX(countries!$H:$H,MATCH($C41,countries!$D:$D,0)),"VERIFY")))</f>
        <v/>
      </c>
      <c r="M41">
        <f>IF($A41="","",IF(OR(UPPER($G41)="OWN",UPPER($G41)="EXCLUDED"),"CLIENT ARRANGING",IF($K41&lt;0,"OVERDUE",IF($K41&lt;1,"URGENT - FILE NOW",IF($K41&lt;3,"DUE SOON","PENDING")))))</f>
        <v/>
      </c>
      <c r="AE41">
        <f>IF($A41="","",IF($A41&lt;=COUNTIF(permit_calc!$L$3:$L$144,1),"OVF","LDG"))</f>
        <v/>
      </c>
      <c r="AF41">
        <f>IF($AE41="","",IF($AE41="OVF","",$A41-COUNTIF(permit_calc!$L$3:$L$144,1)))</f>
        <v/>
      </c>
    </row>
    <row r="42">
      <c r="A42">
        <f>IF(ROW()-29&gt;COUNTIF(permit_calc!$L$3:$L$144,1)+COUNTA($G$18:$G$25),"",ROW()-29)</f>
        <v/>
      </c>
      <c r="B42">
        <f>IF($A42="","",IF($AE42="OVF",INDEX(permit_calc!$B$3:$B$144,MATCH($A42,permit_calc!$N$3:$N$144,0)),IFERROR(INDEX(countries!$B:$B,MATCH($C42,countries!$D:$D,0)),$C42)))</f>
        <v/>
      </c>
      <c r="C42">
        <f t="array" ref="C42">IF($A42="","",IF($AE42="OVF",INDEX(permit_calc!$A$3:$A$144,MATCH($A42,permit_calc!$N$3:$N$144,0)),INDEX($U$18:$U$25,$AF42)))</f>
        <v/>
      </c>
      <c r="D42">
        <f>IF($A42="","",$AE42)</f>
        <v/>
      </c>
      <c r="E42">
        <f t="array" ref="E42">IF($A42="","",IF($AE42="OVF","",INDEX($G$18:$G$25,$AF42)))</f>
        <v/>
      </c>
      <c r="F42">
        <f t="array" ref="F42">IF($A42="","",IF($AE42="OVF",INDEX(permit_calc!$M$3:$M$144,MATCH($A42,permit_calc!$N$3:$N$144,0)),INDEX($A$18:$A$25,$AF42)))</f>
        <v/>
      </c>
      <c r="G42" s="50" t="inlineStr">
        <is>
          <t>JTL</t>
        </is>
      </c>
      <c r="H42" s="41">
        <f t="array" ref="H42">IF($A42="","",IF($AE42="OVF",INDEX($E$18:$E$25,INDEX(permit_calc!$O$3:$O$144,MATCH($A42,permit_calc!$N$3:$N$144,0)))+INDEX($F$18:$F$25,INDEX(permit_calc!$O$3:$O$144,MATCH($A42,permit_calc!$N$3:$N$144,0))),INDEX($L$18:$L$25,$AF42)+INDEX($M$18:$M$25,$AF42)))</f>
        <v/>
      </c>
      <c r="I42" s="43">
        <f>IF($A42="","",IFERROR(IF(INDEX(countries!$I:$I,MATCH($C42,countries!$D:$D,0))=0,$B$12,INDEX(countries!$I:$I,MATCH($C42,countries!$D:$D,0))),$B$12))</f>
        <v/>
      </c>
      <c r="J42" s="41">
        <f>IF($A42="","",$H42-$I42/24)</f>
        <v/>
      </c>
      <c r="K42" s="42">
        <f>IF($A42="","",ROUND($J42-NOW(),1))</f>
        <v/>
      </c>
      <c r="L42">
        <f>IF($A42="","",IF($AE42="OVF",IFERROR(INDEX(countries!$G:$G,MATCH($C42,countries!$D:$D,0)),"VERIFY"),IFERROR(INDEX(countries!$H:$H,MATCH($C42,countries!$D:$D,0)),"VERIFY")))</f>
        <v/>
      </c>
      <c r="M42">
        <f>IF($A42="","",IF(OR(UPPER($G42)="OWN",UPPER($G42)="EXCLUDED"),"CLIENT ARRANGING",IF($K42&lt;0,"OVERDUE",IF($K42&lt;1,"URGENT - FILE NOW",IF($K42&lt;3,"DUE SOON","PENDING")))))</f>
        <v/>
      </c>
      <c r="AE42">
        <f>IF($A42="","",IF($A42&lt;=COUNTIF(permit_calc!$L$3:$L$144,1),"OVF","LDG"))</f>
        <v/>
      </c>
      <c r="AF42">
        <f>IF($AE42="","",IF($AE42="OVF","",$A42-COUNTIF(permit_calc!$L$3:$L$144,1)))</f>
        <v/>
      </c>
    </row>
    <row r="43">
      <c r="A43">
        <f>IF(ROW()-29&gt;COUNTIF(permit_calc!$L$3:$L$144,1)+COUNTA($G$18:$G$25),"",ROW()-29)</f>
        <v/>
      </c>
      <c r="B43">
        <f>IF($A43="","",IF($AE43="OVF",INDEX(permit_calc!$B$3:$B$144,MATCH($A43,permit_calc!$N$3:$N$144,0)),IFERROR(INDEX(countries!$B:$B,MATCH($C43,countries!$D:$D,0)),$C43)))</f>
        <v/>
      </c>
      <c r="C43">
        <f t="array" ref="C43">IF($A43="","",IF($AE43="OVF",INDEX(permit_calc!$A$3:$A$144,MATCH($A43,permit_calc!$N$3:$N$144,0)),INDEX($U$18:$U$25,$AF43)))</f>
        <v/>
      </c>
      <c r="D43">
        <f>IF($A43="","",$AE43)</f>
        <v/>
      </c>
      <c r="E43">
        <f t="array" ref="E43">IF($A43="","",IF($AE43="OVF","",INDEX($G$18:$G$25,$AF43)))</f>
        <v/>
      </c>
      <c r="F43">
        <f t="array" ref="F43">IF($A43="","",IF($AE43="OVF",INDEX(permit_calc!$M$3:$M$144,MATCH($A43,permit_calc!$N$3:$N$144,0)),INDEX($A$18:$A$25,$AF43)))</f>
        <v/>
      </c>
      <c r="G43" s="50" t="inlineStr">
        <is>
          <t>JTL</t>
        </is>
      </c>
      <c r="H43" s="41">
        <f t="array" ref="H43">IF($A43="","",IF($AE43="OVF",INDEX($E$18:$E$25,INDEX(permit_calc!$O$3:$O$144,MATCH($A43,permit_calc!$N$3:$N$144,0)))+INDEX($F$18:$F$25,INDEX(permit_calc!$O$3:$O$144,MATCH($A43,permit_calc!$N$3:$N$144,0))),INDEX($L$18:$L$25,$AF43)+INDEX($M$18:$M$25,$AF43)))</f>
        <v/>
      </c>
      <c r="I43" s="43">
        <f>IF($A43="","",IFERROR(IF(INDEX(countries!$I:$I,MATCH($C43,countries!$D:$D,0))=0,$B$12,INDEX(countries!$I:$I,MATCH($C43,countries!$D:$D,0))),$B$12))</f>
        <v/>
      </c>
      <c r="J43" s="41">
        <f>IF($A43="","",$H43-$I43/24)</f>
        <v/>
      </c>
      <c r="K43" s="42">
        <f>IF($A43="","",ROUND($J43-NOW(),1))</f>
        <v/>
      </c>
      <c r="L43">
        <f>IF($A43="","",IF($AE43="OVF",IFERROR(INDEX(countries!$G:$G,MATCH($C43,countries!$D:$D,0)),"VERIFY"),IFERROR(INDEX(countries!$H:$H,MATCH($C43,countries!$D:$D,0)),"VERIFY")))</f>
        <v/>
      </c>
      <c r="M43">
        <f>IF($A43="","",IF(OR(UPPER($G43)="OWN",UPPER($G43)="EXCLUDED"),"CLIENT ARRANGING",IF($K43&lt;0,"OVERDUE",IF($K43&lt;1,"URGENT - FILE NOW",IF($K43&lt;3,"DUE SOON","PENDING")))))</f>
        <v/>
      </c>
      <c r="AE43">
        <f>IF($A43="","",IF($A43&lt;=COUNTIF(permit_calc!$L$3:$L$144,1),"OVF","LDG"))</f>
        <v/>
      </c>
      <c r="AF43">
        <f>IF($AE43="","",IF($AE43="OVF","",$A43-COUNTIF(permit_calc!$L$3:$L$144,1)))</f>
        <v/>
      </c>
    </row>
    <row r="44">
      <c r="A44">
        <f>IF(ROW()-29&gt;COUNTIF(permit_calc!$L$3:$L$144,1)+COUNTA($G$18:$G$25),"",ROW()-29)</f>
        <v/>
      </c>
      <c r="B44">
        <f>IF($A44="","",IF($AE44="OVF",INDEX(permit_calc!$B$3:$B$144,MATCH($A44,permit_calc!$N$3:$N$144,0)),IFERROR(INDEX(countries!$B:$B,MATCH($C44,countries!$D:$D,0)),$C44)))</f>
        <v/>
      </c>
      <c r="C44">
        <f t="array" ref="C44">IF($A44="","",IF($AE44="OVF",INDEX(permit_calc!$A$3:$A$144,MATCH($A44,permit_calc!$N$3:$N$144,0)),INDEX($U$18:$U$25,$AF44)))</f>
        <v/>
      </c>
      <c r="D44">
        <f>IF($A44="","",$AE44)</f>
        <v/>
      </c>
      <c r="E44">
        <f t="array" ref="E44">IF($A44="","",IF($AE44="OVF","",INDEX($G$18:$G$25,$AF44)))</f>
        <v/>
      </c>
      <c r="F44">
        <f t="array" ref="F44">IF($A44="","",IF($AE44="OVF",INDEX(permit_calc!$M$3:$M$144,MATCH($A44,permit_calc!$N$3:$N$144,0)),INDEX($A$18:$A$25,$AF44)))</f>
        <v/>
      </c>
      <c r="G44" s="50" t="inlineStr">
        <is>
          <t>JTL</t>
        </is>
      </c>
      <c r="H44" s="41">
        <f t="array" ref="H44">IF($A44="","",IF($AE44="OVF",INDEX($E$18:$E$25,INDEX(permit_calc!$O$3:$O$144,MATCH($A44,permit_calc!$N$3:$N$144,0)))+INDEX($F$18:$F$25,INDEX(permit_calc!$O$3:$O$144,MATCH($A44,permit_calc!$N$3:$N$144,0))),INDEX($L$18:$L$25,$AF44)+INDEX($M$18:$M$25,$AF44)))</f>
        <v/>
      </c>
      <c r="I44" s="43">
        <f>IF($A44="","",IFERROR(IF(INDEX(countries!$I:$I,MATCH($C44,countries!$D:$D,0))=0,$B$12,INDEX(countries!$I:$I,MATCH($C44,countries!$D:$D,0))),$B$12))</f>
        <v/>
      </c>
      <c r="J44" s="41">
        <f>IF($A44="","",$H44-$I44/24)</f>
        <v/>
      </c>
      <c r="K44" s="42">
        <f>IF($A44="","",ROUND($J44-NOW(),1))</f>
        <v/>
      </c>
      <c r="L44">
        <f>IF($A44="","",IF($AE44="OVF",IFERROR(INDEX(countries!$G:$G,MATCH($C44,countries!$D:$D,0)),"VERIFY"),IFERROR(INDEX(countries!$H:$H,MATCH($C44,countries!$D:$D,0)),"VERIFY")))</f>
        <v/>
      </c>
      <c r="M44">
        <f>IF($A44="","",IF(OR(UPPER($G44)="OWN",UPPER($G44)="EXCLUDED"),"CLIENT ARRANGING",IF($K44&lt;0,"OVERDUE",IF($K44&lt;1,"URGENT - FILE NOW",IF($K44&lt;3,"DUE SOON","PENDING")))))</f>
        <v/>
      </c>
      <c r="AE44">
        <f>IF($A44="","",IF($A44&lt;=COUNTIF(permit_calc!$L$3:$L$144,1),"OVF","LDG"))</f>
        <v/>
      </c>
      <c r="AF44">
        <f>IF($AE44="","",IF($AE44="OVF","",$A44-COUNTIF(permit_calc!$L$3:$L$144,1)))</f>
        <v/>
      </c>
    </row>
    <row r="45">
      <c r="A45">
        <f>IF(ROW()-29&gt;COUNTIF(permit_calc!$L$3:$L$144,1)+COUNTA($G$18:$G$25),"",ROW()-29)</f>
        <v/>
      </c>
      <c r="B45">
        <f>IF($A45="","",IF($AE45="OVF",INDEX(permit_calc!$B$3:$B$144,MATCH($A45,permit_calc!$N$3:$N$144,0)),IFERROR(INDEX(countries!$B:$B,MATCH($C45,countries!$D:$D,0)),$C45)))</f>
        <v/>
      </c>
      <c r="C45">
        <f t="array" ref="C45">IF($A45="","",IF($AE45="OVF",INDEX(permit_calc!$A$3:$A$144,MATCH($A45,permit_calc!$N$3:$N$144,0)),INDEX($U$18:$U$25,$AF45)))</f>
        <v/>
      </c>
      <c r="D45">
        <f>IF($A45="","",$AE45)</f>
        <v/>
      </c>
      <c r="E45">
        <f t="array" ref="E45">IF($A45="","",IF($AE45="OVF","",INDEX($G$18:$G$25,$AF45)))</f>
        <v/>
      </c>
      <c r="F45">
        <f t="array" ref="F45">IF($A45="","",IF($AE45="OVF",INDEX(permit_calc!$M$3:$M$144,MATCH($A45,permit_calc!$N$3:$N$144,0)),INDEX($A$18:$A$25,$AF45)))</f>
        <v/>
      </c>
      <c r="G45" s="50" t="inlineStr">
        <is>
          <t>JTL</t>
        </is>
      </c>
      <c r="H45" s="41">
        <f t="array" ref="H45">IF($A45="","",IF($AE45="OVF",INDEX($E$18:$E$25,INDEX(permit_calc!$O$3:$O$144,MATCH($A45,permit_calc!$N$3:$N$144,0)))+INDEX($F$18:$F$25,INDEX(permit_calc!$O$3:$O$144,MATCH($A45,permit_calc!$N$3:$N$144,0))),INDEX($L$18:$L$25,$AF45)+INDEX($M$18:$M$25,$AF45)))</f>
        <v/>
      </c>
      <c r="I45" s="43">
        <f>IF($A45="","",IFERROR(IF(INDEX(countries!$I:$I,MATCH($C45,countries!$D:$D,0))=0,$B$12,INDEX(countries!$I:$I,MATCH($C45,countries!$D:$D,0))),$B$12))</f>
        <v/>
      </c>
      <c r="J45" s="41">
        <f>IF($A45="","",$H45-$I45/24)</f>
        <v/>
      </c>
      <c r="K45" s="42">
        <f>IF($A45="","",ROUND($J45-NOW(),1))</f>
        <v/>
      </c>
      <c r="L45">
        <f>IF($A45="","",IF($AE45="OVF",IFERROR(INDEX(countries!$G:$G,MATCH($C45,countries!$D:$D,0)),"VERIFY"),IFERROR(INDEX(countries!$H:$H,MATCH($C45,countries!$D:$D,0)),"VERIFY")))</f>
        <v/>
      </c>
      <c r="M45">
        <f>IF($A45="","",IF(OR(UPPER($G45)="OWN",UPPER($G45)="EXCLUDED"),"CLIENT ARRANGING",IF($K45&lt;0,"OVERDUE",IF($K45&lt;1,"URGENT - FILE NOW",IF($K45&lt;3,"DUE SOON","PENDING")))))</f>
        <v/>
      </c>
      <c r="AE45">
        <f>IF($A45="","",IF($A45&lt;=COUNTIF(permit_calc!$L$3:$L$144,1),"OVF","LDG"))</f>
        <v/>
      </c>
      <c r="AF45">
        <f>IF($AE45="","",IF($AE45="OVF","",$A45-COUNTIF(permit_calc!$L$3:$L$144,1)))</f>
        <v/>
      </c>
    </row>
    <row r="46">
      <c r="A46">
        <f>IF(ROW()-29&gt;COUNTIF(permit_calc!$L$3:$L$144,1)+COUNTA($G$18:$G$25),"",ROW()-29)</f>
        <v/>
      </c>
      <c r="B46">
        <f>IF($A46="","",IF($AE46="OVF",INDEX(permit_calc!$B$3:$B$144,MATCH($A46,permit_calc!$N$3:$N$144,0)),IFERROR(INDEX(countries!$B:$B,MATCH($C46,countries!$D:$D,0)),$C46)))</f>
        <v/>
      </c>
      <c r="C46">
        <f t="array" ref="C46">IF($A46="","",IF($AE46="OVF",INDEX(permit_calc!$A$3:$A$144,MATCH($A46,permit_calc!$N$3:$N$144,0)),INDEX($U$18:$U$25,$AF46)))</f>
        <v/>
      </c>
      <c r="D46">
        <f>IF($A46="","",$AE46)</f>
        <v/>
      </c>
      <c r="E46">
        <f t="array" ref="E46">IF($A46="","",IF($AE46="OVF","",INDEX($G$18:$G$25,$AF46)))</f>
        <v/>
      </c>
      <c r="F46">
        <f t="array" ref="F46">IF($A46="","",IF($AE46="OVF",INDEX(permit_calc!$M$3:$M$144,MATCH($A46,permit_calc!$N$3:$N$144,0)),INDEX($A$18:$A$25,$AF46)))</f>
        <v/>
      </c>
      <c r="G46" s="50" t="inlineStr">
        <is>
          <t>JTL</t>
        </is>
      </c>
      <c r="H46" s="41">
        <f t="array" ref="H46">IF($A46="","",IF($AE46="OVF",INDEX($E$18:$E$25,INDEX(permit_calc!$O$3:$O$144,MATCH($A46,permit_calc!$N$3:$N$144,0)))+INDEX($F$18:$F$25,INDEX(permit_calc!$O$3:$O$144,MATCH($A46,permit_calc!$N$3:$N$144,0))),INDEX($L$18:$L$25,$AF46)+INDEX($M$18:$M$25,$AF46)))</f>
        <v/>
      </c>
      <c r="I46" s="43">
        <f>IF($A46="","",IFERROR(IF(INDEX(countries!$I:$I,MATCH($C46,countries!$D:$D,0))=0,$B$12,INDEX(countries!$I:$I,MATCH($C46,countries!$D:$D,0))),$B$12))</f>
        <v/>
      </c>
      <c r="J46" s="41">
        <f>IF($A46="","",$H46-$I46/24)</f>
        <v/>
      </c>
      <c r="K46" s="42">
        <f>IF($A46="","",ROUND($J46-NOW(),1))</f>
        <v/>
      </c>
      <c r="L46">
        <f>IF($A46="","",IF($AE46="OVF",IFERROR(INDEX(countries!$G:$G,MATCH($C46,countries!$D:$D,0)),"VERIFY"),IFERROR(INDEX(countries!$H:$H,MATCH($C46,countries!$D:$D,0)),"VERIFY")))</f>
        <v/>
      </c>
      <c r="M46">
        <f>IF($A46="","",IF(OR(UPPER($G46)="OWN",UPPER($G46)="EXCLUDED"),"CLIENT ARRANGING",IF($K46&lt;0,"OVERDUE",IF($K46&lt;1,"URGENT - FILE NOW",IF($K46&lt;3,"DUE SOON","PENDING")))))</f>
        <v/>
      </c>
      <c r="AE46">
        <f>IF($A46="","",IF($A46&lt;=COUNTIF(permit_calc!$L$3:$L$144,1),"OVF","LDG"))</f>
        <v/>
      </c>
      <c r="AF46">
        <f>IF($AE46="","",IF($AE46="OVF","",$A46-COUNTIF(permit_calc!$L$3:$L$144,1)))</f>
        <v/>
      </c>
    </row>
    <row r="47">
      <c r="A47">
        <f>IF(ROW()-29&gt;COUNTIF(permit_calc!$L$3:$L$144,1)+COUNTA($G$18:$G$25),"",ROW()-29)</f>
        <v/>
      </c>
      <c r="B47">
        <f>IF($A47="","",IF($AE47="OVF",INDEX(permit_calc!$B$3:$B$144,MATCH($A47,permit_calc!$N$3:$N$144,0)),IFERROR(INDEX(countries!$B:$B,MATCH($C47,countries!$D:$D,0)),$C47)))</f>
        <v/>
      </c>
      <c r="C47">
        <f t="array" ref="C47">IF($A47="","",IF($AE47="OVF",INDEX(permit_calc!$A$3:$A$144,MATCH($A47,permit_calc!$N$3:$N$144,0)),INDEX($U$18:$U$25,$AF47)))</f>
        <v/>
      </c>
      <c r="D47">
        <f>IF($A47="","",$AE47)</f>
        <v/>
      </c>
      <c r="E47">
        <f t="array" ref="E47">IF($A47="","",IF($AE47="OVF","",INDEX($G$18:$G$25,$AF47)))</f>
        <v/>
      </c>
      <c r="F47">
        <f t="array" ref="F47">IF($A47="","",IF($AE47="OVF",INDEX(permit_calc!$M$3:$M$144,MATCH($A47,permit_calc!$N$3:$N$144,0)),INDEX($A$18:$A$25,$AF47)))</f>
        <v/>
      </c>
      <c r="G47" s="50" t="inlineStr">
        <is>
          <t>JTL</t>
        </is>
      </c>
      <c r="H47" s="41">
        <f t="array" ref="H47">IF($A47="","",IF($AE47="OVF",INDEX($E$18:$E$25,INDEX(permit_calc!$O$3:$O$144,MATCH($A47,permit_calc!$N$3:$N$144,0)))+INDEX($F$18:$F$25,INDEX(permit_calc!$O$3:$O$144,MATCH($A47,permit_calc!$N$3:$N$144,0))),INDEX($L$18:$L$25,$AF47)+INDEX($M$18:$M$25,$AF47)))</f>
        <v/>
      </c>
      <c r="I47" s="43">
        <f>IF($A47="","",IFERROR(IF(INDEX(countries!$I:$I,MATCH($C47,countries!$D:$D,0))=0,$B$12,INDEX(countries!$I:$I,MATCH($C47,countries!$D:$D,0))),$B$12))</f>
        <v/>
      </c>
      <c r="J47" s="41">
        <f>IF($A47="","",$H47-$I47/24)</f>
        <v/>
      </c>
      <c r="K47" s="42">
        <f>IF($A47="","",ROUND($J47-NOW(),1))</f>
        <v/>
      </c>
      <c r="L47">
        <f>IF($A47="","",IF($AE47="OVF",IFERROR(INDEX(countries!$G:$G,MATCH($C47,countries!$D:$D,0)),"VERIFY"),IFERROR(INDEX(countries!$H:$H,MATCH($C47,countries!$D:$D,0)),"VERIFY")))</f>
        <v/>
      </c>
      <c r="M47">
        <f>IF($A47="","",IF(OR(UPPER($G47)="OWN",UPPER($G47)="EXCLUDED"),"CLIENT ARRANGING",IF($K47&lt;0,"OVERDUE",IF($K47&lt;1,"URGENT - FILE NOW",IF($K47&lt;3,"DUE SOON","PENDING")))))</f>
        <v/>
      </c>
      <c r="AE47">
        <f>IF($A47="","",IF($A47&lt;=COUNTIF(permit_calc!$L$3:$L$144,1),"OVF","LDG"))</f>
        <v/>
      </c>
      <c r="AF47">
        <f>IF($AE47="","",IF($AE47="OVF","",$A47-COUNTIF(permit_calc!$L$3:$L$144,1)))</f>
        <v/>
      </c>
    </row>
    <row r="48">
      <c r="A48">
        <f>IF(ROW()-29&gt;COUNTIF(permit_calc!$L$3:$L$144,1)+COUNTA($G$18:$G$25),"",ROW()-29)</f>
        <v/>
      </c>
      <c r="B48">
        <f>IF($A48="","",IF($AE48="OVF",INDEX(permit_calc!$B$3:$B$144,MATCH($A48,permit_calc!$N$3:$N$144,0)),IFERROR(INDEX(countries!$B:$B,MATCH($C48,countries!$D:$D,0)),$C48)))</f>
        <v/>
      </c>
      <c r="C48">
        <f t="array" ref="C48">IF($A48="","",IF($AE48="OVF",INDEX(permit_calc!$A$3:$A$144,MATCH($A48,permit_calc!$N$3:$N$144,0)),INDEX($U$18:$U$25,$AF48)))</f>
        <v/>
      </c>
      <c r="D48">
        <f>IF($A48="","",$AE48)</f>
        <v/>
      </c>
      <c r="E48">
        <f t="array" ref="E48">IF($A48="","",IF($AE48="OVF","",INDEX($G$18:$G$25,$AF48)))</f>
        <v/>
      </c>
      <c r="F48">
        <f t="array" ref="F48">IF($A48="","",IF($AE48="OVF",INDEX(permit_calc!$M$3:$M$144,MATCH($A48,permit_calc!$N$3:$N$144,0)),INDEX($A$18:$A$25,$AF48)))</f>
        <v/>
      </c>
      <c r="G48" s="50" t="inlineStr">
        <is>
          <t>JTL</t>
        </is>
      </c>
      <c r="H48" s="41">
        <f t="array" ref="H48">IF($A48="","",IF($AE48="OVF",INDEX($E$18:$E$25,INDEX(permit_calc!$O$3:$O$144,MATCH($A48,permit_calc!$N$3:$N$144,0)))+INDEX($F$18:$F$25,INDEX(permit_calc!$O$3:$O$144,MATCH($A48,permit_calc!$N$3:$N$144,0))),INDEX($L$18:$L$25,$AF48)+INDEX($M$18:$M$25,$AF48)))</f>
        <v/>
      </c>
      <c r="I48" s="43">
        <f>IF($A48="","",IFERROR(IF(INDEX(countries!$I:$I,MATCH($C48,countries!$D:$D,0))=0,$B$12,INDEX(countries!$I:$I,MATCH($C48,countries!$D:$D,0))),$B$12))</f>
        <v/>
      </c>
      <c r="J48" s="41">
        <f>IF($A48="","",$H48-$I48/24)</f>
        <v/>
      </c>
      <c r="K48" s="42">
        <f>IF($A48="","",ROUND($J48-NOW(),1))</f>
        <v/>
      </c>
      <c r="L48">
        <f>IF($A48="","",IF($AE48="OVF",IFERROR(INDEX(countries!$G:$G,MATCH($C48,countries!$D:$D,0)),"VERIFY"),IFERROR(INDEX(countries!$H:$H,MATCH($C48,countries!$D:$D,0)),"VERIFY")))</f>
        <v/>
      </c>
      <c r="M48">
        <f>IF($A48="","",IF(OR(UPPER($G48)="OWN",UPPER($G48)="EXCLUDED"),"CLIENT ARRANGING",IF($K48&lt;0,"OVERDUE",IF($K48&lt;1,"URGENT - FILE NOW",IF($K48&lt;3,"DUE SOON","PENDING")))))</f>
        <v/>
      </c>
      <c r="AE48">
        <f>IF($A48="","",IF($A48&lt;=COUNTIF(permit_calc!$L$3:$L$144,1),"OVF","LDG"))</f>
        <v/>
      </c>
      <c r="AF48">
        <f>IF($AE48="","",IF($AE48="OVF","",$A48-COUNTIF(permit_calc!$L$3:$L$144,1)))</f>
        <v/>
      </c>
    </row>
    <row r="49">
      <c r="A49">
        <f>IF(ROW()-29&gt;COUNTIF(permit_calc!$L$3:$L$144,1)+COUNTA($G$18:$G$25),"",ROW()-29)</f>
        <v/>
      </c>
      <c r="B49">
        <f>IF($A49="","",IF($AE49="OVF",INDEX(permit_calc!$B$3:$B$144,MATCH($A49,permit_calc!$N$3:$N$144,0)),IFERROR(INDEX(countries!$B:$B,MATCH($C49,countries!$D:$D,0)),$C49)))</f>
        <v/>
      </c>
      <c r="C49">
        <f t="array" ref="C49">IF($A49="","",IF($AE49="OVF",INDEX(permit_calc!$A$3:$A$144,MATCH($A49,permit_calc!$N$3:$N$144,0)),INDEX($U$18:$U$25,$AF49)))</f>
        <v/>
      </c>
      <c r="D49">
        <f>IF($A49="","",$AE49)</f>
        <v/>
      </c>
      <c r="E49">
        <f t="array" ref="E49">IF($A49="","",IF($AE49="OVF","",INDEX($G$18:$G$25,$AF49)))</f>
        <v/>
      </c>
      <c r="F49">
        <f t="array" ref="F49">IF($A49="","",IF($AE49="OVF",INDEX(permit_calc!$M$3:$M$144,MATCH($A49,permit_calc!$N$3:$N$144,0)),INDEX($A$18:$A$25,$AF49)))</f>
        <v/>
      </c>
      <c r="G49" s="50" t="inlineStr">
        <is>
          <t>JTL</t>
        </is>
      </c>
      <c r="H49" s="41">
        <f t="array" ref="H49">IF($A49="","",IF($AE49="OVF",INDEX($E$18:$E$25,INDEX(permit_calc!$O$3:$O$144,MATCH($A49,permit_calc!$N$3:$N$144,0)))+INDEX($F$18:$F$25,INDEX(permit_calc!$O$3:$O$144,MATCH($A49,permit_calc!$N$3:$N$144,0))),INDEX($L$18:$L$25,$AF49)+INDEX($M$18:$M$25,$AF49)))</f>
        <v/>
      </c>
      <c r="I49" s="43">
        <f>IF($A49="","",IFERROR(IF(INDEX(countries!$I:$I,MATCH($C49,countries!$D:$D,0))=0,$B$12,INDEX(countries!$I:$I,MATCH($C49,countries!$D:$D,0))),$B$12))</f>
        <v/>
      </c>
      <c r="J49" s="41">
        <f>IF($A49="","",$H49-$I49/24)</f>
        <v/>
      </c>
      <c r="K49" s="42">
        <f>IF($A49="","",ROUND($J49-NOW(),1))</f>
        <v/>
      </c>
      <c r="L49">
        <f>IF($A49="","",IF($AE49="OVF",IFERROR(INDEX(countries!$G:$G,MATCH($C49,countries!$D:$D,0)),"VERIFY"),IFERROR(INDEX(countries!$H:$H,MATCH($C49,countries!$D:$D,0)),"VERIFY")))</f>
        <v/>
      </c>
      <c r="M49">
        <f>IF($A49="","",IF(OR(UPPER($G49)="OWN",UPPER($G49)="EXCLUDED"),"CLIENT ARRANGING",IF($K49&lt;0,"OVERDUE",IF($K49&lt;1,"URGENT - FILE NOW",IF($K49&lt;3,"DUE SOON","PENDING")))))</f>
        <v/>
      </c>
      <c r="AE49">
        <f>IF($A49="","",IF($A49&lt;=COUNTIF(permit_calc!$L$3:$L$144,1),"OVF","LDG"))</f>
        <v/>
      </c>
      <c r="AF49">
        <f>IF($AE49="","",IF($AE49="OVF","",$A49-COUNTIF(permit_calc!$L$3:$L$144,1)))</f>
        <v/>
      </c>
    </row>
    <row r="50">
      <c r="A50">
        <f>IF(ROW()-29&gt;COUNTIF(permit_calc!$L$3:$L$144,1)+COUNTA($G$18:$G$25),"",ROW()-29)</f>
        <v/>
      </c>
      <c r="B50">
        <f>IF($A50="","",IF($AE50="OVF",INDEX(permit_calc!$B$3:$B$144,MATCH($A50,permit_calc!$N$3:$N$144,0)),IFERROR(INDEX(countries!$B:$B,MATCH($C50,countries!$D:$D,0)),$C50)))</f>
        <v/>
      </c>
      <c r="C50">
        <f t="array" ref="C50">IF($A50="","",IF($AE50="OVF",INDEX(permit_calc!$A$3:$A$144,MATCH($A50,permit_calc!$N$3:$N$144,0)),INDEX($U$18:$U$25,$AF50)))</f>
        <v/>
      </c>
      <c r="D50">
        <f>IF($A50="","",$AE50)</f>
        <v/>
      </c>
      <c r="E50">
        <f t="array" ref="E50">IF($A50="","",IF($AE50="OVF","",INDEX($G$18:$G$25,$AF50)))</f>
        <v/>
      </c>
      <c r="F50">
        <f t="array" ref="F50">IF($A50="","",IF($AE50="OVF",INDEX(permit_calc!$M$3:$M$144,MATCH($A50,permit_calc!$N$3:$N$144,0)),INDEX($A$18:$A$25,$AF50)))</f>
        <v/>
      </c>
      <c r="G50" s="50" t="inlineStr">
        <is>
          <t>JTL</t>
        </is>
      </c>
      <c r="H50" s="41">
        <f t="array" ref="H50">IF($A50="","",IF($AE50="OVF",INDEX($E$18:$E$25,INDEX(permit_calc!$O$3:$O$144,MATCH($A50,permit_calc!$N$3:$N$144,0)))+INDEX($F$18:$F$25,INDEX(permit_calc!$O$3:$O$144,MATCH($A50,permit_calc!$N$3:$N$144,0))),INDEX($L$18:$L$25,$AF50)+INDEX($M$18:$M$25,$AF50)))</f>
        <v/>
      </c>
      <c r="I50" s="43">
        <f>IF($A50="","",IFERROR(IF(INDEX(countries!$I:$I,MATCH($C50,countries!$D:$D,0))=0,$B$12,INDEX(countries!$I:$I,MATCH($C50,countries!$D:$D,0))),$B$12))</f>
        <v/>
      </c>
      <c r="J50" s="41">
        <f>IF($A50="","",$H50-$I50/24)</f>
        <v/>
      </c>
      <c r="K50" s="42">
        <f>IF($A50="","",ROUND($J50-NOW(),1))</f>
        <v/>
      </c>
      <c r="L50">
        <f>IF($A50="","",IF($AE50="OVF",IFERROR(INDEX(countries!$G:$G,MATCH($C50,countries!$D:$D,0)),"VERIFY"),IFERROR(INDEX(countries!$H:$H,MATCH($C50,countries!$D:$D,0)),"VERIFY")))</f>
        <v/>
      </c>
      <c r="M50">
        <f>IF($A50="","",IF(OR(UPPER($G50)="OWN",UPPER($G50)="EXCLUDED"),"CLIENT ARRANGING",IF($K50&lt;0,"OVERDUE",IF($K50&lt;1,"URGENT - FILE NOW",IF($K50&lt;3,"DUE SOON","PENDING")))))</f>
        <v/>
      </c>
      <c r="AE50">
        <f>IF($A50="","",IF($A50&lt;=COUNTIF(permit_calc!$L$3:$L$144,1),"OVF","LDG"))</f>
        <v/>
      </c>
      <c r="AF50">
        <f>IF($AE50="","",IF($AE50="OVF","",$A50-COUNTIF(permit_calc!$L$3:$L$144,1)))</f>
        <v/>
      </c>
    </row>
    <row r="51">
      <c r="A51">
        <f>IF(ROW()-29&gt;COUNTIF(permit_calc!$L$3:$L$144,1)+COUNTA($G$18:$G$25),"",ROW()-29)</f>
        <v/>
      </c>
      <c r="B51">
        <f>IF($A51="","",IF($AE51="OVF",INDEX(permit_calc!$B$3:$B$144,MATCH($A51,permit_calc!$N$3:$N$144,0)),IFERROR(INDEX(countries!$B:$B,MATCH($C51,countries!$D:$D,0)),$C51)))</f>
        <v/>
      </c>
      <c r="C51">
        <f t="array" ref="C51">IF($A51="","",IF($AE51="OVF",INDEX(permit_calc!$A$3:$A$144,MATCH($A51,permit_calc!$N$3:$N$144,0)),INDEX($U$18:$U$25,$AF51)))</f>
        <v/>
      </c>
      <c r="D51">
        <f>IF($A51="","",$AE51)</f>
        <v/>
      </c>
      <c r="E51">
        <f t="array" ref="E51">IF($A51="","",IF($AE51="OVF","",INDEX($G$18:$G$25,$AF51)))</f>
        <v/>
      </c>
      <c r="F51">
        <f t="array" ref="F51">IF($A51="","",IF($AE51="OVF",INDEX(permit_calc!$M$3:$M$144,MATCH($A51,permit_calc!$N$3:$N$144,0)),INDEX($A$18:$A$25,$AF51)))</f>
        <v/>
      </c>
      <c r="G51" s="50" t="inlineStr">
        <is>
          <t>JTL</t>
        </is>
      </c>
      <c r="H51" s="41">
        <f t="array" ref="H51">IF($A51="","",IF($AE51="OVF",INDEX($E$18:$E$25,INDEX(permit_calc!$O$3:$O$144,MATCH($A51,permit_calc!$N$3:$N$144,0)))+INDEX($F$18:$F$25,INDEX(permit_calc!$O$3:$O$144,MATCH($A51,permit_calc!$N$3:$N$144,0))),INDEX($L$18:$L$25,$AF51)+INDEX($M$18:$M$25,$AF51)))</f>
        <v/>
      </c>
      <c r="I51" s="43">
        <f>IF($A51="","",IFERROR(IF(INDEX(countries!$I:$I,MATCH($C51,countries!$D:$D,0))=0,$B$12,INDEX(countries!$I:$I,MATCH($C51,countries!$D:$D,0))),$B$12))</f>
        <v/>
      </c>
      <c r="J51" s="41">
        <f>IF($A51="","",$H51-$I51/24)</f>
        <v/>
      </c>
      <c r="K51" s="42">
        <f>IF($A51="","",ROUND($J51-NOW(),1))</f>
        <v/>
      </c>
      <c r="L51">
        <f>IF($A51="","",IF($AE51="OVF",IFERROR(INDEX(countries!$G:$G,MATCH($C51,countries!$D:$D,0)),"VERIFY"),IFERROR(INDEX(countries!$H:$H,MATCH($C51,countries!$D:$D,0)),"VERIFY")))</f>
        <v/>
      </c>
      <c r="M51">
        <f>IF($A51="","",IF(OR(UPPER($G51)="OWN",UPPER($G51)="EXCLUDED"),"CLIENT ARRANGING",IF($K51&lt;0,"OVERDUE",IF($K51&lt;1,"URGENT - FILE NOW",IF($K51&lt;3,"DUE SOON","PENDING")))))</f>
        <v/>
      </c>
      <c r="AE51">
        <f>IF($A51="","",IF($A51&lt;=COUNTIF(permit_calc!$L$3:$L$144,1),"OVF","LDG"))</f>
        <v/>
      </c>
      <c r="AF51">
        <f>IF($AE51="","",IF($AE51="OVF","",$A51-COUNTIF(permit_calc!$L$3:$L$144,1)))</f>
        <v/>
      </c>
    </row>
    <row r="52">
      <c r="A52">
        <f>IF(ROW()-29&gt;COUNTIF(permit_calc!$L$3:$L$144,1)+COUNTA($G$18:$G$25),"",ROW()-29)</f>
        <v/>
      </c>
      <c r="B52">
        <f>IF($A52="","",IF($AE52="OVF",INDEX(permit_calc!$B$3:$B$144,MATCH($A52,permit_calc!$N$3:$N$144,0)),IFERROR(INDEX(countries!$B:$B,MATCH($C52,countries!$D:$D,0)),$C52)))</f>
        <v/>
      </c>
      <c r="C52">
        <f t="array" ref="C52">IF($A52="","",IF($AE52="OVF",INDEX(permit_calc!$A$3:$A$144,MATCH($A52,permit_calc!$N$3:$N$144,0)),INDEX($U$18:$U$25,$AF52)))</f>
        <v/>
      </c>
      <c r="D52">
        <f>IF($A52="","",$AE52)</f>
        <v/>
      </c>
      <c r="E52">
        <f t="array" ref="E52">IF($A52="","",IF($AE52="OVF","",INDEX($G$18:$G$25,$AF52)))</f>
        <v/>
      </c>
      <c r="F52">
        <f t="array" ref="F52">IF($A52="","",IF($AE52="OVF",INDEX(permit_calc!$M$3:$M$144,MATCH($A52,permit_calc!$N$3:$N$144,0)),INDEX($A$18:$A$25,$AF52)))</f>
        <v/>
      </c>
      <c r="G52" s="50" t="inlineStr">
        <is>
          <t>JTL</t>
        </is>
      </c>
      <c r="H52" s="41">
        <f t="array" ref="H52">IF($A52="","",IF($AE52="OVF",INDEX($E$18:$E$25,INDEX(permit_calc!$O$3:$O$144,MATCH($A52,permit_calc!$N$3:$N$144,0)))+INDEX($F$18:$F$25,INDEX(permit_calc!$O$3:$O$144,MATCH($A52,permit_calc!$N$3:$N$144,0))),INDEX($L$18:$L$25,$AF52)+INDEX($M$18:$M$25,$AF52)))</f>
        <v/>
      </c>
      <c r="I52" s="43">
        <f>IF($A52="","",IFERROR(IF(INDEX(countries!$I:$I,MATCH($C52,countries!$D:$D,0))=0,$B$12,INDEX(countries!$I:$I,MATCH($C52,countries!$D:$D,0))),$B$12))</f>
        <v/>
      </c>
      <c r="J52" s="41">
        <f>IF($A52="","",$H52-$I52/24)</f>
        <v/>
      </c>
      <c r="K52" s="42">
        <f>IF($A52="","",ROUND($J52-NOW(),1))</f>
        <v/>
      </c>
      <c r="L52">
        <f>IF($A52="","",IF($AE52="OVF",IFERROR(INDEX(countries!$G:$G,MATCH($C52,countries!$D:$D,0)),"VERIFY"),IFERROR(INDEX(countries!$H:$H,MATCH($C52,countries!$D:$D,0)),"VERIFY")))</f>
        <v/>
      </c>
      <c r="M52">
        <f>IF($A52="","",IF(OR(UPPER($G52)="OWN",UPPER($G52)="EXCLUDED"),"CLIENT ARRANGING",IF($K52&lt;0,"OVERDUE",IF($K52&lt;1,"URGENT - FILE NOW",IF($K52&lt;3,"DUE SOON","PENDING")))))</f>
        <v/>
      </c>
      <c r="AE52">
        <f>IF($A52="","",IF($A52&lt;=COUNTIF(permit_calc!$L$3:$L$144,1),"OVF","LDG"))</f>
        <v/>
      </c>
      <c r="AF52">
        <f>IF($AE52="","",IF($AE52="OVF","",$A52-COUNTIF(permit_calc!$L$3:$L$144,1)))</f>
        <v/>
      </c>
    </row>
    <row r="53">
      <c r="A53">
        <f>IF(ROW()-29&gt;COUNTIF(permit_calc!$L$3:$L$144,1)+COUNTA($G$18:$G$25),"",ROW()-29)</f>
        <v/>
      </c>
      <c r="B53">
        <f>IF($A53="","",IF($AE53="OVF",INDEX(permit_calc!$B$3:$B$144,MATCH($A53,permit_calc!$N$3:$N$144,0)),IFERROR(INDEX(countries!$B:$B,MATCH($C53,countries!$D:$D,0)),$C53)))</f>
        <v/>
      </c>
      <c r="C53">
        <f t="array" ref="C53">IF($A53="","",IF($AE53="OVF",INDEX(permit_calc!$A$3:$A$144,MATCH($A53,permit_calc!$N$3:$N$144,0)),INDEX($U$18:$U$25,$AF53)))</f>
        <v/>
      </c>
      <c r="D53">
        <f>IF($A53="","",$AE53)</f>
        <v/>
      </c>
      <c r="E53">
        <f t="array" ref="E53">IF($A53="","",IF($AE53="OVF","",INDEX($G$18:$G$25,$AF53)))</f>
        <v/>
      </c>
      <c r="F53">
        <f t="array" ref="F53">IF($A53="","",IF($AE53="OVF",INDEX(permit_calc!$M$3:$M$144,MATCH($A53,permit_calc!$N$3:$N$144,0)),INDEX($A$18:$A$25,$AF53)))</f>
        <v/>
      </c>
      <c r="G53" s="50" t="inlineStr">
        <is>
          <t>JTL</t>
        </is>
      </c>
      <c r="H53" s="41">
        <f t="array" ref="H53">IF($A53="","",IF($AE53="OVF",INDEX($E$18:$E$25,INDEX(permit_calc!$O$3:$O$144,MATCH($A53,permit_calc!$N$3:$N$144,0)))+INDEX($F$18:$F$25,INDEX(permit_calc!$O$3:$O$144,MATCH($A53,permit_calc!$N$3:$N$144,0))),INDEX($L$18:$L$25,$AF53)+INDEX($M$18:$M$25,$AF53)))</f>
        <v/>
      </c>
      <c r="I53" s="43">
        <f>IF($A53="","",IFERROR(IF(INDEX(countries!$I:$I,MATCH($C53,countries!$D:$D,0))=0,$B$12,INDEX(countries!$I:$I,MATCH($C53,countries!$D:$D,0))),$B$12))</f>
        <v/>
      </c>
      <c r="J53" s="41">
        <f>IF($A53="","",$H53-$I53/24)</f>
        <v/>
      </c>
      <c r="K53" s="42">
        <f>IF($A53="","",ROUND($J53-NOW(),1))</f>
        <v/>
      </c>
      <c r="L53">
        <f>IF($A53="","",IF($AE53="OVF",IFERROR(INDEX(countries!$G:$G,MATCH($C53,countries!$D:$D,0)),"VERIFY"),IFERROR(INDEX(countries!$H:$H,MATCH($C53,countries!$D:$D,0)),"VERIFY")))</f>
        <v/>
      </c>
      <c r="M53">
        <f>IF($A53="","",IF(OR(UPPER($G53)="OWN",UPPER($G53)="EXCLUDED"),"CLIENT ARRANGING",IF($K53&lt;0,"OVERDUE",IF($K53&lt;1,"URGENT - FILE NOW",IF($K53&lt;3,"DUE SOON","PENDING")))))</f>
        <v/>
      </c>
      <c r="AE53">
        <f>IF($A53="","",IF($A53&lt;=COUNTIF(permit_calc!$L$3:$L$144,1),"OVF","LDG"))</f>
        <v/>
      </c>
      <c r="AF53">
        <f>IF($AE53="","",IF($AE53="OVF","",$A53-COUNTIF(permit_calc!$L$3:$L$144,1)))</f>
        <v/>
      </c>
    </row>
    <row r="54">
      <c r="A54">
        <f>IF(ROW()-29&gt;COUNTIF(permit_calc!$L$3:$L$144,1)+COUNTA($G$18:$G$25),"",ROW()-29)</f>
        <v/>
      </c>
      <c r="B54">
        <f>IF($A54="","",IF($AE54="OVF",INDEX(permit_calc!$B$3:$B$144,MATCH($A54,permit_calc!$N$3:$N$144,0)),IFERROR(INDEX(countries!$B:$B,MATCH($C54,countries!$D:$D,0)),$C54)))</f>
        <v/>
      </c>
      <c r="C54">
        <f t="array" ref="C54">IF($A54="","",IF($AE54="OVF",INDEX(permit_calc!$A$3:$A$144,MATCH($A54,permit_calc!$N$3:$N$144,0)),INDEX($U$18:$U$25,$AF54)))</f>
        <v/>
      </c>
      <c r="D54">
        <f>IF($A54="","",$AE54)</f>
        <v/>
      </c>
      <c r="E54">
        <f t="array" ref="E54">IF($A54="","",IF($AE54="OVF","",INDEX($G$18:$G$25,$AF54)))</f>
        <v/>
      </c>
      <c r="F54">
        <f t="array" ref="F54">IF($A54="","",IF($AE54="OVF",INDEX(permit_calc!$M$3:$M$144,MATCH($A54,permit_calc!$N$3:$N$144,0)),INDEX($A$18:$A$25,$AF54)))</f>
        <v/>
      </c>
      <c r="G54" s="50" t="n"/>
      <c r="H54" s="41">
        <f t="array" ref="H54">IF($A54="","",IF($AE54="OVF",INDEX($E$18:$E$25,INDEX(permit_calc!$O$3:$O$144,MATCH($A54,permit_calc!$N$3:$N$144,0)))+INDEX($F$18:$F$25,INDEX(permit_calc!$O$3:$O$144,MATCH($A54,permit_calc!$N$3:$N$144,0))),INDEX($L$18:$L$25,$AF54)+INDEX($M$18:$M$25,$AF54)))</f>
        <v/>
      </c>
      <c r="I54" s="43">
        <f>IF($A54="","",IFERROR(IF(INDEX(countries!$I:$I,MATCH($C54,countries!$D:$D,0))=0,$B$12,INDEX(countries!$I:$I,MATCH($C54,countries!$D:$D,0))),$B$12))</f>
        <v/>
      </c>
      <c r="J54" s="41">
        <f>IF($A54="","",$H54-$I54/24)</f>
        <v/>
      </c>
      <c r="K54" s="42">
        <f>IF($A54="","",ROUND($J54-NOW(),1))</f>
        <v/>
      </c>
      <c r="L54">
        <f>IF($A54="","",IF($AE54="OVF",IFERROR(INDEX(countries!$G:$G,MATCH($C54,countries!$D:$D,0)),"VERIFY"),IFERROR(INDEX(countries!$H:$H,MATCH($C54,countries!$D:$D,0)),"VERIFY")))</f>
        <v/>
      </c>
      <c r="M54">
        <f>IF($A54="","",IF(OR(UPPER($G54)="OWN",UPPER($G54)="EXCLUDED"),"CLIENT ARRANGING",IF($K54&lt;0,"OVERDUE",IF($K54&lt;1,"URGENT - FILE NOW",IF($K54&lt;3,"DUE SOON","PENDING")))))</f>
        <v/>
      </c>
      <c r="AE54">
        <f>IF($A54="","",IF($A54&lt;=COUNTIF(permit_calc!$L$3:$L$144,1),"OVF","LDG"))</f>
        <v/>
      </c>
      <c r="AF54">
        <f>IF($AE54="","",IF($AE54="OVF","",$A54-COUNTIF(permit_calc!$L$3:$L$144,1)))</f>
        <v/>
      </c>
    </row>
    <row r="55">
      <c r="A55">
        <f>IF(ROW()-29&gt;COUNTIF(permit_calc!$L$3:$L$144,1)+COUNTA($G$18:$G$25),"",ROW()-29)</f>
        <v/>
      </c>
      <c r="B55">
        <f>IF($A55="","",IF($AE55="OVF",INDEX(permit_calc!$B$3:$B$144,MATCH($A55,permit_calc!$N$3:$N$144,0)),IFERROR(INDEX(countries!$B:$B,MATCH($C55,countries!$D:$D,0)),$C55)))</f>
        <v/>
      </c>
      <c r="C55">
        <f t="array" ref="C55">IF($A55="","",IF($AE55="OVF",INDEX(permit_calc!$A$3:$A$144,MATCH($A55,permit_calc!$N$3:$N$144,0)),INDEX($U$18:$U$25,$AF55)))</f>
        <v/>
      </c>
      <c r="D55">
        <f>IF($A55="","",$AE55)</f>
        <v/>
      </c>
      <c r="E55">
        <f t="array" ref="E55">IF($A55="","",IF($AE55="OVF","",INDEX($G$18:$G$25,$AF55)))</f>
        <v/>
      </c>
      <c r="F55">
        <f t="array" ref="F55">IF($A55="","",IF($AE55="OVF",INDEX(permit_calc!$M$3:$M$144,MATCH($A55,permit_calc!$N$3:$N$144,0)),INDEX($A$18:$A$25,$AF55)))</f>
        <v/>
      </c>
      <c r="G55" s="50" t="n"/>
      <c r="H55" s="41">
        <f t="array" ref="H55">IF($A55="","",IF($AE55="OVF",INDEX($E$18:$E$25,INDEX(permit_calc!$O$3:$O$144,MATCH($A55,permit_calc!$N$3:$N$144,0)))+INDEX($F$18:$F$25,INDEX(permit_calc!$O$3:$O$144,MATCH($A55,permit_calc!$N$3:$N$144,0))),INDEX($L$18:$L$25,$AF55)+INDEX($M$18:$M$25,$AF55)))</f>
        <v/>
      </c>
      <c r="I55" s="43">
        <f>IF($A55="","",IFERROR(IF(INDEX(countries!$I:$I,MATCH($C55,countries!$D:$D,0))=0,$B$12,INDEX(countries!$I:$I,MATCH($C55,countries!$D:$D,0))),$B$12))</f>
        <v/>
      </c>
      <c r="J55" s="41">
        <f>IF($A55="","",$H55-$I55/24)</f>
        <v/>
      </c>
      <c r="K55" s="42">
        <f>IF($A55="","",ROUND($J55-NOW(),1))</f>
        <v/>
      </c>
      <c r="L55">
        <f>IF($A55="","",IF($AE55="OVF",IFERROR(INDEX(countries!$G:$G,MATCH($C55,countries!$D:$D,0)),"VERIFY"),IFERROR(INDEX(countries!$H:$H,MATCH($C55,countries!$D:$D,0)),"VERIFY")))</f>
        <v/>
      </c>
      <c r="M55">
        <f>IF($A55="","",IF(OR(UPPER($G55)="OWN",UPPER($G55)="EXCLUDED"),"CLIENT ARRANGING",IF($K55&lt;0,"OVERDUE",IF($K55&lt;1,"URGENT - FILE NOW",IF($K55&lt;3,"DUE SOON","PENDING")))))</f>
        <v/>
      </c>
      <c r="AE55">
        <f>IF($A55="","",IF($A55&lt;=COUNTIF(permit_calc!$L$3:$L$144,1),"OVF","LDG"))</f>
        <v/>
      </c>
      <c r="AF55">
        <f>IF($AE55="","",IF($AE55="OVF","",$A55-COUNTIF(permit_calc!$L$3:$L$144,1)))</f>
        <v/>
      </c>
    </row>
    <row r="56">
      <c r="A56">
        <f>IF(ROW()-29&gt;COUNTIF(permit_calc!$L$3:$L$144,1)+COUNTA($G$18:$G$25),"",ROW()-29)</f>
        <v/>
      </c>
      <c r="B56">
        <f>IF($A56="","",IF($AE56="OVF",INDEX(permit_calc!$B$3:$B$144,MATCH($A56,permit_calc!$N$3:$N$144,0)),IFERROR(INDEX(countries!$B:$B,MATCH($C56,countries!$D:$D,0)),$C56)))</f>
        <v/>
      </c>
      <c r="C56">
        <f t="array" ref="C56">IF($A56="","",IF($AE56="OVF",INDEX(permit_calc!$A$3:$A$144,MATCH($A56,permit_calc!$N$3:$N$144,0)),INDEX($U$18:$U$25,$AF56)))</f>
        <v/>
      </c>
      <c r="D56">
        <f>IF($A56="","",$AE56)</f>
        <v/>
      </c>
      <c r="E56">
        <f t="array" ref="E56">IF($A56="","",IF($AE56="OVF","",INDEX($G$18:$G$25,$AF56)))</f>
        <v/>
      </c>
      <c r="F56">
        <f t="array" ref="F56">IF($A56="","",IF($AE56="OVF",INDEX(permit_calc!$M$3:$M$144,MATCH($A56,permit_calc!$N$3:$N$144,0)),INDEX($A$18:$A$25,$AF56)))</f>
        <v/>
      </c>
      <c r="G56" s="50" t="n"/>
      <c r="H56" s="41">
        <f t="array" ref="H56">IF($A56="","",IF($AE56="OVF",INDEX($E$18:$E$25,INDEX(permit_calc!$O$3:$O$144,MATCH($A56,permit_calc!$N$3:$N$144,0)))+INDEX($F$18:$F$25,INDEX(permit_calc!$O$3:$O$144,MATCH($A56,permit_calc!$N$3:$N$144,0))),INDEX($L$18:$L$25,$AF56)+INDEX($M$18:$M$25,$AF56)))</f>
        <v/>
      </c>
      <c r="I56" s="43">
        <f>IF($A56="","",IFERROR(IF(INDEX(countries!$I:$I,MATCH($C56,countries!$D:$D,0))=0,$B$12,INDEX(countries!$I:$I,MATCH($C56,countries!$D:$D,0))),$B$12))</f>
        <v/>
      </c>
      <c r="J56" s="41">
        <f>IF($A56="","",$H56-$I56/24)</f>
        <v/>
      </c>
      <c r="K56" s="42">
        <f>IF($A56="","",ROUND($J56-NOW(),1))</f>
        <v/>
      </c>
      <c r="L56">
        <f>IF($A56="","",IF($AE56="OVF",IFERROR(INDEX(countries!$G:$G,MATCH($C56,countries!$D:$D,0)),"VERIFY"),IFERROR(INDEX(countries!$H:$H,MATCH($C56,countries!$D:$D,0)),"VERIFY")))</f>
        <v/>
      </c>
      <c r="M56">
        <f>IF($A56="","",IF(OR(UPPER($G56)="OWN",UPPER($G56)="EXCLUDED"),"CLIENT ARRANGING",IF($K56&lt;0,"OVERDUE",IF($K56&lt;1,"URGENT - FILE NOW",IF($K56&lt;3,"DUE SOON","PENDING")))))</f>
        <v/>
      </c>
      <c r="AE56">
        <f>IF($A56="","",IF($A56&lt;=COUNTIF(permit_calc!$L$3:$L$144,1),"OVF","LDG"))</f>
        <v/>
      </c>
      <c r="AF56">
        <f>IF($AE56="","",IF($AE56="OVF","",$A56-COUNTIF(permit_calc!$L$3:$L$144,1)))</f>
        <v/>
      </c>
    </row>
    <row r="57">
      <c r="A57">
        <f>IF(ROW()-29&gt;COUNTIF(permit_calc!$L$3:$L$144,1)+COUNTA($G$18:$G$25),"",ROW()-29)</f>
        <v/>
      </c>
      <c r="B57">
        <f>IF($A57="","",IF($AE57="OVF",INDEX(permit_calc!$B$3:$B$144,MATCH($A57,permit_calc!$N$3:$N$144,0)),IFERROR(INDEX(countries!$B:$B,MATCH($C57,countries!$D:$D,0)),$C57)))</f>
        <v/>
      </c>
      <c r="C57">
        <f t="array" ref="C57">IF($A57="","",IF($AE57="OVF",INDEX(permit_calc!$A$3:$A$144,MATCH($A57,permit_calc!$N$3:$N$144,0)),INDEX($U$18:$U$25,$AF57)))</f>
        <v/>
      </c>
      <c r="D57">
        <f>IF($A57="","",$AE57)</f>
        <v/>
      </c>
      <c r="E57">
        <f t="array" ref="E57">IF($A57="","",IF($AE57="OVF","",INDEX($G$18:$G$25,$AF57)))</f>
        <v/>
      </c>
      <c r="F57">
        <f t="array" ref="F57">IF($A57="","",IF($AE57="OVF",INDEX(permit_calc!$M$3:$M$144,MATCH($A57,permit_calc!$N$3:$N$144,0)),INDEX($A$18:$A$25,$AF57)))</f>
        <v/>
      </c>
      <c r="G57" s="50" t="n"/>
      <c r="H57" s="41">
        <f t="array" ref="H57">IF($A57="","",IF($AE57="OVF",INDEX($E$18:$E$25,INDEX(permit_calc!$O$3:$O$144,MATCH($A57,permit_calc!$N$3:$N$144,0)))+INDEX($F$18:$F$25,INDEX(permit_calc!$O$3:$O$144,MATCH($A57,permit_calc!$N$3:$N$144,0))),INDEX($L$18:$L$25,$AF57)+INDEX($M$18:$M$25,$AF57)))</f>
        <v/>
      </c>
      <c r="I57" s="43">
        <f>IF($A57="","",IFERROR(IF(INDEX(countries!$I:$I,MATCH($C57,countries!$D:$D,0))=0,$B$12,INDEX(countries!$I:$I,MATCH($C57,countries!$D:$D,0))),$B$12))</f>
        <v/>
      </c>
      <c r="J57" s="41">
        <f>IF($A57="","",$H57-$I57/24)</f>
        <v/>
      </c>
      <c r="K57" s="42">
        <f>IF($A57="","",ROUND($J57-NOW(),1))</f>
        <v/>
      </c>
      <c r="L57">
        <f>IF($A57="","",IF($AE57="OVF",IFERROR(INDEX(countries!$G:$G,MATCH($C57,countries!$D:$D,0)),"VERIFY"),IFERROR(INDEX(countries!$H:$H,MATCH($C57,countries!$D:$D,0)),"VERIFY")))</f>
        <v/>
      </c>
      <c r="M57">
        <f>IF($A57="","",IF(OR(UPPER($G57)="OWN",UPPER($G57)="EXCLUDED"),"CLIENT ARRANGING",IF($K57&lt;0,"OVERDUE",IF($K57&lt;1,"URGENT - FILE NOW",IF($K57&lt;3,"DUE SOON","PENDING")))))</f>
        <v/>
      </c>
      <c r="AE57">
        <f>IF($A57="","",IF($A57&lt;=COUNTIF(permit_calc!$L$3:$L$144,1),"OVF","LDG"))</f>
        <v/>
      </c>
      <c r="AF57">
        <f>IF($AE57="","",IF($AE57="OVF","",$A57-COUNTIF(permit_calc!$L$3:$L$144,1)))</f>
        <v/>
      </c>
    </row>
    <row r="58">
      <c r="A58">
        <f>IF(ROW()-29&gt;COUNTIF(permit_calc!$L$3:$L$144,1)+COUNTA($G$18:$G$25),"",ROW()-29)</f>
        <v/>
      </c>
      <c r="B58">
        <f>IF($A58="","",IF($AE58="OVF",INDEX(permit_calc!$B$3:$B$144,MATCH($A58,permit_calc!$N$3:$N$144,0)),IFERROR(INDEX(countries!$B:$B,MATCH($C58,countries!$D:$D,0)),$C58)))</f>
        <v/>
      </c>
      <c r="C58">
        <f t="array" ref="C58">IF($A58="","",IF($AE58="OVF",INDEX(permit_calc!$A$3:$A$144,MATCH($A58,permit_calc!$N$3:$N$144,0)),INDEX($U$18:$U$25,$AF58)))</f>
        <v/>
      </c>
      <c r="D58">
        <f>IF($A58="","",$AE58)</f>
        <v/>
      </c>
      <c r="E58">
        <f t="array" ref="E58">IF($A58="","",IF($AE58="OVF","",INDEX($G$18:$G$25,$AF58)))</f>
        <v/>
      </c>
      <c r="F58">
        <f t="array" ref="F58">IF($A58="","",IF($AE58="OVF",INDEX(permit_calc!$M$3:$M$144,MATCH($A58,permit_calc!$N$3:$N$144,0)),INDEX($A$18:$A$25,$AF58)))</f>
        <v/>
      </c>
      <c r="G58" s="50" t="n"/>
      <c r="H58" s="41">
        <f t="array" ref="H58">IF($A58="","",IF($AE58="OVF",INDEX($E$18:$E$25,INDEX(permit_calc!$O$3:$O$144,MATCH($A58,permit_calc!$N$3:$N$144,0)))+INDEX($F$18:$F$25,INDEX(permit_calc!$O$3:$O$144,MATCH($A58,permit_calc!$N$3:$N$144,0))),INDEX($L$18:$L$25,$AF58)+INDEX($M$18:$M$25,$AF58)))</f>
        <v/>
      </c>
      <c r="I58" s="43">
        <f>IF($A58="","",IFERROR(IF(INDEX(countries!$I:$I,MATCH($C58,countries!$D:$D,0))=0,$B$12,INDEX(countries!$I:$I,MATCH($C58,countries!$D:$D,0))),$B$12))</f>
        <v/>
      </c>
      <c r="J58" s="41">
        <f>IF($A58="","",$H58-$I58/24)</f>
        <v/>
      </c>
      <c r="K58" s="42">
        <f>IF($A58="","",ROUND($J58-NOW(),1))</f>
        <v/>
      </c>
      <c r="L58">
        <f>IF($A58="","",IF($AE58="OVF",IFERROR(INDEX(countries!$G:$G,MATCH($C58,countries!$D:$D,0)),"VERIFY"),IFERROR(INDEX(countries!$H:$H,MATCH($C58,countries!$D:$D,0)),"VERIFY")))</f>
        <v/>
      </c>
      <c r="M58">
        <f>IF($A58="","",IF(OR(UPPER($G58)="OWN",UPPER($G58)="EXCLUDED"),"CLIENT ARRANGING",IF($K58&lt;0,"OVERDUE",IF($K58&lt;1,"URGENT - FILE NOW",IF($K58&lt;3,"DUE SOON","PENDING")))))</f>
        <v/>
      </c>
      <c r="AE58">
        <f>IF($A58="","",IF($A58&lt;=COUNTIF(permit_calc!$L$3:$L$144,1),"OVF","LDG"))</f>
        <v/>
      </c>
      <c r="AF58">
        <f>IF($AE58="","",IF($AE58="OVF","",$A58-COUNTIF(permit_calc!$L$3:$L$144,1)))</f>
        <v/>
      </c>
    </row>
    <row r="59">
      <c r="A59">
        <f>IF(ROW()-29&gt;COUNTIF(permit_calc!$L$3:$L$144,1)+COUNTA($G$18:$G$25),"",ROW()-29)</f>
        <v/>
      </c>
      <c r="B59">
        <f>IF($A59="","",IF($AE59="OVF",INDEX(permit_calc!$B$3:$B$144,MATCH($A59,permit_calc!$N$3:$N$144,0)),IFERROR(INDEX(countries!$B:$B,MATCH($C59,countries!$D:$D,0)),$C59)))</f>
        <v/>
      </c>
      <c r="C59">
        <f t="array" ref="C59">IF($A59="","",IF($AE59="OVF",INDEX(permit_calc!$A$3:$A$144,MATCH($A59,permit_calc!$N$3:$N$144,0)),INDEX($U$18:$U$25,$AF59)))</f>
        <v/>
      </c>
      <c r="D59">
        <f>IF($A59="","",$AE59)</f>
        <v/>
      </c>
      <c r="E59">
        <f t="array" ref="E59">IF($A59="","",IF($AE59="OVF","",INDEX($G$18:$G$25,$AF59)))</f>
        <v/>
      </c>
      <c r="F59">
        <f t="array" ref="F59">IF($A59="","",IF($AE59="OVF",INDEX(permit_calc!$M$3:$M$144,MATCH($A59,permit_calc!$N$3:$N$144,0)),INDEX($A$18:$A$25,$AF59)))</f>
        <v/>
      </c>
      <c r="G59" s="50" t="n"/>
      <c r="H59" s="41">
        <f t="array" ref="H59">IF($A59="","",IF($AE59="OVF",INDEX($E$18:$E$25,INDEX(permit_calc!$O$3:$O$144,MATCH($A59,permit_calc!$N$3:$N$144,0)))+INDEX($F$18:$F$25,INDEX(permit_calc!$O$3:$O$144,MATCH($A59,permit_calc!$N$3:$N$144,0))),INDEX($L$18:$L$25,$AF59)+INDEX($M$18:$M$25,$AF59)))</f>
        <v/>
      </c>
      <c r="I59" s="43">
        <f>IF($A59="","",IFERROR(IF(INDEX(countries!$I:$I,MATCH($C59,countries!$D:$D,0))=0,$B$12,INDEX(countries!$I:$I,MATCH($C59,countries!$D:$D,0))),$B$12))</f>
        <v/>
      </c>
      <c r="J59" s="41">
        <f>IF($A59="","",$H59-$I59/24)</f>
        <v/>
      </c>
      <c r="K59" s="42">
        <f>IF($A59="","",ROUND($J59-NOW(),1))</f>
        <v/>
      </c>
      <c r="L59">
        <f>IF($A59="","",IF($AE59="OVF",IFERROR(INDEX(countries!$G:$G,MATCH($C59,countries!$D:$D,0)),"VERIFY"),IFERROR(INDEX(countries!$H:$H,MATCH($C59,countries!$D:$D,0)),"VERIFY")))</f>
        <v/>
      </c>
      <c r="M59">
        <f>IF($A59="","",IF(OR(UPPER($G59)="OWN",UPPER($G59)="EXCLUDED"),"CLIENT ARRANGING",IF($K59&lt;0,"OVERDUE",IF($K59&lt;1,"URGENT - FILE NOW",IF($K59&lt;3,"DUE SOON","PENDING")))))</f>
        <v/>
      </c>
      <c r="AE59">
        <f>IF($A59="","",IF($A59&lt;=COUNTIF(permit_calc!$L$3:$L$144,1),"OVF","LDG"))</f>
        <v/>
      </c>
      <c r="AF59">
        <f>IF($AE59="","",IF($AE59="OVF","",$A59-COUNTIF(permit_calc!$L$3:$L$144,1)))</f>
        <v/>
      </c>
    </row>
    <row r="60">
      <c r="A60">
        <f>IF(ROW()-29&gt;COUNTIF(permit_calc!$L$3:$L$144,1)+COUNTA($G$18:$G$25),"",ROW()-29)</f>
        <v/>
      </c>
      <c r="B60">
        <f>IF($A60="","",IF($AE60="OVF",INDEX(permit_calc!$B$3:$B$144,MATCH($A60,permit_calc!$N$3:$N$144,0)),IFERROR(INDEX(countries!$B:$B,MATCH($C60,countries!$D:$D,0)),$C60)))</f>
        <v/>
      </c>
      <c r="C60">
        <f t="array" ref="C60">IF($A60="","",IF($AE60="OVF",INDEX(permit_calc!$A$3:$A$144,MATCH($A60,permit_calc!$N$3:$N$144,0)),INDEX($U$18:$U$25,$AF60)))</f>
        <v/>
      </c>
      <c r="D60">
        <f>IF($A60="","",$AE60)</f>
        <v/>
      </c>
      <c r="E60">
        <f t="array" ref="E60">IF($A60="","",IF($AE60="OVF","",INDEX($G$18:$G$25,$AF60)))</f>
        <v/>
      </c>
      <c r="F60">
        <f t="array" ref="F60">IF($A60="","",IF($AE60="OVF",INDEX(permit_calc!$M$3:$M$144,MATCH($A60,permit_calc!$N$3:$N$144,0)),INDEX($A$18:$A$25,$AF60)))</f>
        <v/>
      </c>
      <c r="G60" s="50" t="n"/>
      <c r="H60" s="41">
        <f t="array" ref="H60">IF($A60="","",IF($AE60="OVF",INDEX($E$18:$E$25,INDEX(permit_calc!$O$3:$O$144,MATCH($A60,permit_calc!$N$3:$N$144,0)))+INDEX($F$18:$F$25,INDEX(permit_calc!$O$3:$O$144,MATCH($A60,permit_calc!$N$3:$N$144,0))),INDEX($L$18:$L$25,$AF60)+INDEX($M$18:$M$25,$AF60)))</f>
        <v/>
      </c>
      <c r="I60" s="43">
        <f>IF($A60="","",IFERROR(IF(INDEX(countries!$I:$I,MATCH($C60,countries!$D:$D,0))=0,$B$12,INDEX(countries!$I:$I,MATCH($C60,countries!$D:$D,0))),$B$12))</f>
        <v/>
      </c>
      <c r="J60" s="41">
        <f>IF($A60="","",$H60-$I60/24)</f>
        <v/>
      </c>
      <c r="K60" s="42">
        <f>IF($A60="","",ROUND($J60-NOW(),1))</f>
        <v/>
      </c>
      <c r="L60">
        <f>IF($A60="","",IF($AE60="OVF",IFERROR(INDEX(countries!$G:$G,MATCH($C60,countries!$D:$D,0)),"VERIFY"),IFERROR(INDEX(countries!$H:$H,MATCH($C60,countries!$D:$D,0)),"VERIFY")))</f>
        <v/>
      </c>
      <c r="M60">
        <f>IF($A60="","",IF(OR(UPPER($G60)="OWN",UPPER($G60)="EXCLUDED"),"CLIENT ARRANGING",IF($K60&lt;0,"OVERDUE",IF($K60&lt;1,"URGENT - FILE NOW",IF($K60&lt;3,"DUE SOON","PENDING")))))</f>
        <v/>
      </c>
      <c r="AE60">
        <f>IF($A60="","",IF($A60&lt;=COUNTIF(permit_calc!$L$3:$L$144,1),"OVF","LDG"))</f>
        <v/>
      </c>
      <c r="AF60">
        <f>IF($AE60="","",IF($AE60="OVF","",$A60-COUNTIF(permit_calc!$L$3:$L$144,1)))</f>
        <v/>
      </c>
    </row>
    <row r="61">
      <c r="A61">
        <f>IF(ROW()-29&gt;COUNTIF(permit_calc!$L$3:$L$144,1)+COUNTA($G$18:$G$25),"",ROW()-29)</f>
        <v/>
      </c>
      <c r="B61">
        <f>IF($A61="","",IF($AE61="OVF",INDEX(permit_calc!$B$3:$B$144,MATCH($A61,permit_calc!$N$3:$N$144,0)),IFERROR(INDEX(countries!$B:$B,MATCH($C61,countries!$D:$D,0)),$C61)))</f>
        <v/>
      </c>
      <c r="C61">
        <f t="array" ref="C61">IF($A61="","",IF($AE61="OVF",INDEX(permit_calc!$A$3:$A$144,MATCH($A61,permit_calc!$N$3:$N$144,0)),INDEX($U$18:$U$25,$AF61)))</f>
        <v/>
      </c>
      <c r="D61">
        <f>IF($A61="","",$AE61)</f>
        <v/>
      </c>
      <c r="E61">
        <f t="array" ref="E61">IF($A61="","",IF($AE61="OVF","",INDEX($G$18:$G$25,$AF61)))</f>
        <v/>
      </c>
      <c r="F61">
        <f t="array" ref="F61">IF($A61="","",IF($AE61="OVF",INDEX(permit_calc!$M$3:$M$144,MATCH($A61,permit_calc!$N$3:$N$144,0)),INDEX($A$18:$A$25,$AF61)))</f>
        <v/>
      </c>
      <c r="G61" s="50" t="n"/>
      <c r="H61" s="41">
        <f t="array" ref="H61">IF($A61="","",IF($AE61="OVF",INDEX($E$18:$E$25,INDEX(permit_calc!$O$3:$O$144,MATCH($A61,permit_calc!$N$3:$N$144,0)))+INDEX($F$18:$F$25,INDEX(permit_calc!$O$3:$O$144,MATCH($A61,permit_calc!$N$3:$N$144,0))),INDEX($L$18:$L$25,$AF61)+INDEX($M$18:$M$25,$AF61)))</f>
        <v/>
      </c>
      <c r="I61" s="43">
        <f>IF($A61="","",IFERROR(IF(INDEX(countries!$I:$I,MATCH($C61,countries!$D:$D,0))=0,$B$12,INDEX(countries!$I:$I,MATCH($C61,countries!$D:$D,0))),$B$12))</f>
        <v/>
      </c>
      <c r="J61" s="41">
        <f>IF($A61="","",$H61-$I61/24)</f>
        <v/>
      </c>
      <c r="K61" s="42">
        <f>IF($A61="","",ROUND($J61-NOW(),1))</f>
        <v/>
      </c>
      <c r="L61">
        <f>IF($A61="","",IF($AE61="OVF",IFERROR(INDEX(countries!$G:$G,MATCH($C61,countries!$D:$D,0)),"VERIFY"),IFERROR(INDEX(countries!$H:$H,MATCH($C61,countries!$D:$D,0)),"VERIFY")))</f>
        <v/>
      </c>
      <c r="M61">
        <f>IF($A61="","",IF(OR(UPPER($G61)="OWN",UPPER($G61)="EXCLUDED"),"CLIENT ARRANGING",IF($K61&lt;0,"OVERDUE",IF($K61&lt;1,"URGENT - FILE NOW",IF($K61&lt;3,"DUE SOON","PENDING")))))</f>
        <v/>
      </c>
      <c r="AE61">
        <f>IF($A61="","",IF($A61&lt;=COUNTIF(permit_calc!$L$3:$L$144,1),"OVF","LDG"))</f>
        <v/>
      </c>
      <c r="AF61">
        <f>IF($AE61="","",IF($AE61="OVF","",$A61-COUNTIF(permit_calc!$L$3:$L$144,1)))</f>
        <v/>
      </c>
    </row>
    <row r="62">
      <c r="A62">
        <f>IF(ROW()-29&gt;COUNTIF(permit_calc!$L$3:$L$144,1)+COUNTA($G$18:$G$25),"",ROW()-29)</f>
        <v/>
      </c>
      <c r="B62">
        <f>IF($A62="","",IF($AE62="OVF",INDEX(permit_calc!$B$3:$B$144,MATCH($A62,permit_calc!$N$3:$N$144,0)),IFERROR(INDEX(countries!$B:$B,MATCH($C62,countries!$D:$D,0)),$C62)))</f>
        <v/>
      </c>
      <c r="C62">
        <f t="array" ref="C62">IF($A62="","",IF($AE62="OVF",INDEX(permit_calc!$A$3:$A$144,MATCH($A62,permit_calc!$N$3:$N$144,0)),INDEX($U$18:$U$25,$AF62)))</f>
        <v/>
      </c>
      <c r="D62">
        <f>IF($A62="","",$AE62)</f>
        <v/>
      </c>
      <c r="E62">
        <f t="array" ref="E62">IF($A62="","",IF($AE62="OVF","",INDEX($G$18:$G$25,$AF62)))</f>
        <v/>
      </c>
      <c r="F62">
        <f t="array" ref="F62">IF($A62="","",IF($AE62="OVF",INDEX(permit_calc!$M$3:$M$144,MATCH($A62,permit_calc!$N$3:$N$144,0)),INDEX($A$18:$A$25,$AF62)))</f>
        <v/>
      </c>
      <c r="G62" s="50" t="n"/>
      <c r="H62" s="41">
        <f t="array" ref="H62">IF($A62="","",IF($AE62="OVF",INDEX($E$18:$E$25,INDEX(permit_calc!$O$3:$O$144,MATCH($A62,permit_calc!$N$3:$N$144,0)))+INDEX($F$18:$F$25,INDEX(permit_calc!$O$3:$O$144,MATCH($A62,permit_calc!$N$3:$N$144,0))),INDEX($L$18:$L$25,$AF62)+INDEX($M$18:$M$25,$AF62)))</f>
        <v/>
      </c>
      <c r="I62" s="43">
        <f>IF($A62="","",IFERROR(IF(INDEX(countries!$I:$I,MATCH($C62,countries!$D:$D,0))=0,$B$12,INDEX(countries!$I:$I,MATCH($C62,countries!$D:$D,0))),$B$12))</f>
        <v/>
      </c>
      <c r="J62" s="41">
        <f>IF($A62="","",$H62-$I62/24)</f>
        <v/>
      </c>
      <c r="K62" s="42">
        <f>IF($A62="","",ROUND($J62-NOW(),1))</f>
        <v/>
      </c>
      <c r="L62">
        <f>IF($A62="","",IF($AE62="OVF",IFERROR(INDEX(countries!$G:$G,MATCH($C62,countries!$D:$D,0)),"VERIFY"),IFERROR(INDEX(countries!$H:$H,MATCH($C62,countries!$D:$D,0)),"VERIFY")))</f>
        <v/>
      </c>
      <c r="M62">
        <f>IF($A62="","",IF(OR(UPPER($G62)="OWN",UPPER($G62)="EXCLUDED"),"CLIENT ARRANGING",IF($K62&lt;0,"OVERDUE",IF($K62&lt;1,"URGENT - FILE NOW",IF($K62&lt;3,"DUE SOON","PENDING")))))</f>
        <v/>
      </c>
      <c r="AE62">
        <f>IF($A62="","",IF($A62&lt;=COUNTIF(permit_calc!$L$3:$L$144,1),"OVF","LDG"))</f>
        <v/>
      </c>
      <c r="AF62">
        <f>IF($AE62="","",IF($AE62="OVF","",$A62-COUNTIF(permit_calc!$L$3:$L$144,1)))</f>
        <v/>
      </c>
    </row>
    <row r="63">
      <c r="A63">
        <f>IF(ROW()-29&gt;COUNTIF(permit_calc!$L$3:$L$144,1)+COUNTA($G$18:$G$25),"",ROW()-29)</f>
        <v/>
      </c>
      <c r="B63">
        <f>IF($A63="","",IF($AE63="OVF",INDEX(permit_calc!$B$3:$B$144,MATCH($A63,permit_calc!$N$3:$N$144,0)),IFERROR(INDEX(countries!$B:$B,MATCH($C63,countries!$D:$D,0)),$C63)))</f>
        <v/>
      </c>
      <c r="C63">
        <f t="array" ref="C63">IF($A63="","",IF($AE63="OVF",INDEX(permit_calc!$A$3:$A$144,MATCH($A63,permit_calc!$N$3:$N$144,0)),INDEX($U$18:$U$25,$AF63)))</f>
        <v/>
      </c>
      <c r="D63">
        <f>IF($A63="","",$AE63)</f>
        <v/>
      </c>
      <c r="E63">
        <f t="array" ref="E63">IF($A63="","",IF($AE63="OVF","",INDEX($G$18:$G$25,$AF63)))</f>
        <v/>
      </c>
      <c r="F63">
        <f t="array" ref="F63">IF($A63="","",IF($AE63="OVF",INDEX(permit_calc!$M$3:$M$144,MATCH($A63,permit_calc!$N$3:$N$144,0)),INDEX($A$18:$A$25,$AF63)))</f>
        <v/>
      </c>
      <c r="G63" s="50" t="n"/>
      <c r="H63" s="41">
        <f t="array" ref="H63">IF($A63="","",IF($AE63="OVF",INDEX($E$18:$E$25,INDEX(permit_calc!$O$3:$O$144,MATCH($A63,permit_calc!$N$3:$N$144,0)))+INDEX($F$18:$F$25,INDEX(permit_calc!$O$3:$O$144,MATCH($A63,permit_calc!$N$3:$N$144,0))),INDEX($L$18:$L$25,$AF63)+INDEX($M$18:$M$25,$AF63)))</f>
        <v/>
      </c>
      <c r="I63" s="43">
        <f>IF($A63="","",IFERROR(IF(INDEX(countries!$I:$I,MATCH($C63,countries!$D:$D,0))=0,$B$12,INDEX(countries!$I:$I,MATCH($C63,countries!$D:$D,0))),$B$12))</f>
        <v/>
      </c>
      <c r="J63" s="41">
        <f>IF($A63="","",$H63-$I63/24)</f>
        <v/>
      </c>
      <c r="K63" s="42">
        <f>IF($A63="","",ROUND($J63-NOW(),1))</f>
        <v/>
      </c>
      <c r="L63">
        <f>IF($A63="","",IF($AE63="OVF",IFERROR(INDEX(countries!$G:$G,MATCH($C63,countries!$D:$D,0)),"VERIFY"),IFERROR(INDEX(countries!$H:$H,MATCH($C63,countries!$D:$D,0)),"VERIFY")))</f>
        <v/>
      </c>
      <c r="M63">
        <f>IF($A63="","",IF(OR(UPPER($G63)="OWN",UPPER($G63)="EXCLUDED"),"CLIENT ARRANGING",IF($K63&lt;0,"OVERDUE",IF($K63&lt;1,"URGENT - FILE NOW",IF($K63&lt;3,"DUE SOON","PENDING")))))</f>
        <v/>
      </c>
      <c r="AE63">
        <f>IF($A63="","",IF($A63&lt;=COUNTIF(permit_calc!$L$3:$L$144,1),"OVF","LDG"))</f>
        <v/>
      </c>
      <c r="AF63">
        <f>IF($AE63="","",IF($AE63="OVF","",$A63-COUNTIF(permit_calc!$L$3:$L$144,1)))</f>
        <v/>
      </c>
    </row>
    <row r="64">
      <c r="A64">
        <f>IF(ROW()-29&gt;COUNTIF(permit_calc!$L$3:$L$144,1)+COUNTA($G$18:$G$25),"",ROW()-29)</f>
        <v/>
      </c>
      <c r="B64">
        <f>IF($A64="","",IF($AE64="OVF",INDEX(permit_calc!$B$3:$B$144,MATCH($A64,permit_calc!$N$3:$N$144,0)),IFERROR(INDEX(countries!$B:$B,MATCH($C64,countries!$D:$D,0)),$C64)))</f>
        <v/>
      </c>
      <c r="C64">
        <f t="array" ref="C64">IF($A64="","",IF($AE64="OVF",INDEX(permit_calc!$A$3:$A$144,MATCH($A64,permit_calc!$N$3:$N$144,0)),INDEX($U$18:$U$25,$AF64)))</f>
        <v/>
      </c>
      <c r="D64">
        <f>IF($A64="","",$AE64)</f>
        <v/>
      </c>
      <c r="E64">
        <f t="array" ref="E64">IF($A64="","",IF($AE64="OVF","",INDEX($G$18:$G$25,$AF64)))</f>
        <v/>
      </c>
      <c r="F64">
        <f t="array" ref="F64">IF($A64="","",IF($AE64="OVF",INDEX(permit_calc!$M$3:$M$144,MATCH($A64,permit_calc!$N$3:$N$144,0)),INDEX($A$18:$A$25,$AF64)))</f>
        <v/>
      </c>
      <c r="G64" s="50" t="n"/>
      <c r="H64" s="41">
        <f t="array" ref="H64">IF($A64="","",IF($AE64="OVF",INDEX($E$18:$E$25,INDEX(permit_calc!$O$3:$O$144,MATCH($A64,permit_calc!$N$3:$N$144,0)))+INDEX($F$18:$F$25,INDEX(permit_calc!$O$3:$O$144,MATCH($A64,permit_calc!$N$3:$N$144,0))),INDEX($L$18:$L$25,$AF64)+INDEX($M$18:$M$25,$AF64)))</f>
        <v/>
      </c>
      <c r="I64" s="43">
        <f>IF($A64="","",IFERROR(IF(INDEX(countries!$I:$I,MATCH($C64,countries!$D:$D,0))=0,$B$12,INDEX(countries!$I:$I,MATCH($C64,countries!$D:$D,0))),$B$12))</f>
        <v/>
      </c>
      <c r="J64" s="41">
        <f>IF($A64="","",$H64-$I64/24)</f>
        <v/>
      </c>
      <c r="K64" s="42">
        <f>IF($A64="","",ROUND($J64-NOW(),1))</f>
        <v/>
      </c>
      <c r="L64">
        <f>IF($A64="","",IF($AE64="OVF",IFERROR(INDEX(countries!$G:$G,MATCH($C64,countries!$D:$D,0)),"VERIFY"),IFERROR(INDEX(countries!$H:$H,MATCH($C64,countries!$D:$D,0)),"VERIFY")))</f>
        <v/>
      </c>
      <c r="M64">
        <f>IF($A64="","",IF(OR(UPPER($G64)="OWN",UPPER($G64)="EXCLUDED"),"CLIENT ARRANGING",IF($K64&lt;0,"OVERDUE",IF($K64&lt;1,"URGENT - FILE NOW",IF($K64&lt;3,"DUE SOON","PENDING")))))</f>
        <v/>
      </c>
      <c r="AE64">
        <f>IF($A64="","",IF($A64&lt;=COUNTIF(permit_calc!$L$3:$L$144,1),"OVF","LDG"))</f>
        <v/>
      </c>
      <c r="AF64">
        <f>IF($AE64="","",IF($AE64="OVF","",$A64-COUNTIF(permit_calc!$L$3:$L$144,1)))</f>
        <v/>
      </c>
    </row>
    <row r="65">
      <c r="A65">
        <f>IF(ROW()-29&gt;COUNTIF(permit_calc!$L$3:$L$144,1)+COUNTA($G$18:$G$25),"",ROW()-29)</f>
        <v/>
      </c>
      <c r="B65">
        <f>IF($A65="","",IF($AE65="OVF",INDEX(permit_calc!$B$3:$B$144,MATCH($A65,permit_calc!$N$3:$N$144,0)),IFERROR(INDEX(countries!$B:$B,MATCH($C65,countries!$D:$D,0)),$C65)))</f>
        <v/>
      </c>
      <c r="C65">
        <f t="array" ref="C65">IF($A65="","",IF($AE65="OVF",INDEX(permit_calc!$A$3:$A$144,MATCH($A65,permit_calc!$N$3:$N$144,0)),INDEX($U$18:$U$25,$AF65)))</f>
        <v/>
      </c>
      <c r="D65">
        <f>IF($A65="","",$AE65)</f>
        <v/>
      </c>
      <c r="E65">
        <f t="array" ref="E65">IF($A65="","",IF($AE65="OVF","",INDEX($G$18:$G$25,$AF65)))</f>
        <v/>
      </c>
      <c r="F65">
        <f t="array" ref="F65">IF($A65="","",IF($AE65="OVF",INDEX(permit_calc!$M$3:$M$144,MATCH($A65,permit_calc!$N$3:$N$144,0)),INDEX($A$18:$A$25,$AF65)))</f>
        <v/>
      </c>
      <c r="G65" s="50" t="n"/>
      <c r="H65" s="41">
        <f t="array" ref="H65">IF($A65="","",IF($AE65="OVF",INDEX($E$18:$E$25,INDEX(permit_calc!$O$3:$O$144,MATCH($A65,permit_calc!$N$3:$N$144,0)))+INDEX($F$18:$F$25,INDEX(permit_calc!$O$3:$O$144,MATCH($A65,permit_calc!$N$3:$N$144,0))),INDEX($L$18:$L$25,$AF65)+INDEX($M$18:$M$25,$AF65)))</f>
        <v/>
      </c>
      <c r="I65" s="43">
        <f>IF($A65="","",IFERROR(IF(INDEX(countries!$I:$I,MATCH($C65,countries!$D:$D,0))=0,$B$12,INDEX(countries!$I:$I,MATCH($C65,countries!$D:$D,0))),$B$12))</f>
        <v/>
      </c>
      <c r="J65" s="41">
        <f>IF($A65="","",$H65-$I65/24)</f>
        <v/>
      </c>
      <c r="K65" s="42">
        <f>IF($A65="","",ROUND($J65-NOW(),1))</f>
        <v/>
      </c>
      <c r="L65">
        <f>IF($A65="","",IF($AE65="OVF",IFERROR(INDEX(countries!$G:$G,MATCH($C65,countries!$D:$D,0)),"VERIFY"),IFERROR(INDEX(countries!$H:$H,MATCH($C65,countries!$D:$D,0)),"VERIFY")))</f>
        <v/>
      </c>
      <c r="M65">
        <f>IF($A65="","",IF(OR(UPPER($G65)="OWN",UPPER($G65)="EXCLUDED"),"CLIENT ARRANGING",IF($K65&lt;0,"OVERDUE",IF($K65&lt;1,"URGENT - FILE NOW",IF($K65&lt;3,"DUE SOON","PENDING")))))</f>
        <v/>
      </c>
      <c r="AE65">
        <f>IF($A65="","",IF($A65&lt;=COUNTIF(permit_calc!$L$3:$L$144,1),"OVF","LDG"))</f>
        <v/>
      </c>
      <c r="AF65">
        <f>IF($AE65="","",IF($AE65="OVF","",$A65-COUNTIF(permit_calc!$L$3:$L$144,1)))</f>
        <v/>
      </c>
    </row>
    <row r="66">
      <c r="A66">
        <f>IF(ROW()-29&gt;COUNTIF(permit_calc!$L$3:$L$144,1)+COUNTA($G$18:$G$25),"",ROW()-29)</f>
        <v/>
      </c>
      <c r="B66">
        <f>IF($A66="","",IF($AE66="OVF",INDEX(permit_calc!$B$3:$B$144,MATCH($A66,permit_calc!$N$3:$N$144,0)),IFERROR(INDEX(countries!$B:$B,MATCH($C66,countries!$D:$D,0)),$C66)))</f>
        <v/>
      </c>
      <c r="C66">
        <f t="array" ref="C66">IF($A66="","",IF($AE66="OVF",INDEX(permit_calc!$A$3:$A$144,MATCH($A66,permit_calc!$N$3:$N$144,0)),INDEX($U$18:$U$25,$AF66)))</f>
        <v/>
      </c>
      <c r="D66">
        <f>IF($A66="","",$AE66)</f>
        <v/>
      </c>
      <c r="E66">
        <f t="array" ref="E66">IF($A66="","",IF($AE66="OVF","",INDEX($G$18:$G$25,$AF66)))</f>
        <v/>
      </c>
      <c r="F66">
        <f t="array" ref="F66">IF($A66="","",IF($AE66="OVF",INDEX(permit_calc!$M$3:$M$144,MATCH($A66,permit_calc!$N$3:$N$144,0)),INDEX($A$18:$A$25,$AF66)))</f>
        <v/>
      </c>
      <c r="G66" s="50" t="n"/>
      <c r="H66" s="41">
        <f t="array" ref="H66">IF($A66="","",IF($AE66="OVF",INDEX($E$18:$E$25,INDEX(permit_calc!$O$3:$O$144,MATCH($A66,permit_calc!$N$3:$N$144,0)))+INDEX($F$18:$F$25,INDEX(permit_calc!$O$3:$O$144,MATCH($A66,permit_calc!$N$3:$N$144,0))),INDEX($L$18:$L$25,$AF66)+INDEX($M$18:$M$25,$AF66)))</f>
        <v/>
      </c>
      <c r="I66" s="43">
        <f>IF($A66="","",IFERROR(IF(INDEX(countries!$I:$I,MATCH($C66,countries!$D:$D,0))=0,$B$12,INDEX(countries!$I:$I,MATCH($C66,countries!$D:$D,0))),$B$12))</f>
        <v/>
      </c>
      <c r="J66" s="41">
        <f>IF($A66="","",$H66-$I66/24)</f>
        <v/>
      </c>
      <c r="K66" s="42">
        <f>IF($A66="","",ROUND($J66-NOW(),1))</f>
        <v/>
      </c>
      <c r="L66">
        <f>IF($A66="","",IF($AE66="OVF",IFERROR(INDEX(countries!$G:$G,MATCH($C66,countries!$D:$D,0)),"VERIFY"),IFERROR(INDEX(countries!$H:$H,MATCH($C66,countries!$D:$D,0)),"VERIFY")))</f>
        <v/>
      </c>
      <c r="M66">
        <f>IF($A66="","",IF(OR(UPPER($G66)="OWN",UPPER($G66)="EXCLUDED"),"CLIENT ARRANGING",IF($K66&lt;0,"OVERDUE",IF($K66&lt;1,"URGENT - FILE NOW",IF($K66&lt;3,"DUE SOON","PENDING")))))</f>
        <v/>
      </c>
      <c r="AE66">
        <f>IF($A66="","",IF($A66&lt;=COUNTIF(permit_calc!$L$3:$L$144,1),"OVF","LDG"))</f>
        <v/>
      </c>
      <c r="AF66">
        <f>IF($AE66="","",IF($AE66="OVF","",$A66-COUNTIF(permit_calc!$L$3:$L$144,1)))</f>
        <v/>
      </c>
    </row>
    <row r="67">
      <c r="A67">
        <f>IF(ROW()-29&gt;COUNTIF(permit_calc!$L$3:$L$144,1)+COUNTA($G$18:$G$25),"",ROW()-29)</f>
        <v/>
      </c>
      <c r="B67">
        <f>IF($A67="","",IF($AE67="OVF",INDEX(permit_calc!$B$3:$B$144,MATCH($A67,permit_calc!$N$3:$N$144,0)),IFERROR(INDEX(countries!$B:$B,MATCH($C67,countries!$D:$D,0)),$C67)))</f>
        <v/>
      </c>
      <c r="C67">
        <f t="array" ref="C67">IF($A67="","",IF($AE67="OVF",INDEX(permit_calc!$A$3:$A$144,MATCH($A67,permit_calc!$N$3:$N$144,0)),INDEX($U$18:$U$25,$AF67)))</f>
        <v/>
      </c>
      <c r="D67">
        <f>IF($A67="","",$AE67)</f>
        <v/>
      </c>
      <c r="E67">
        <f t="array" ref="E67">IF($A67="","",IF($AE67="OVF","",INDEX($G$18:$G$25,$AF67)))</f>
        <v/>
      </c>
      <c r="F67">
        <f t="array" ref="F67">IF($A67="","",IF($AE67="OVF",INDEX(permit_calc!$M$3:$M$144,MATCH($A67,permit_calc!$N$3:$N$144,0)),INDEX($A$18:$A$25,$AF67)))</f>
        <v/>
      </c>
      <c r="G67" s="50" t="n"/>
      <c r="H67" s="41">
        <f t="array" ref="H67">IF($A67="","",IF($AE67="OVF",INDEX($E$18:$E$25,INDEX(permit_calc!$O$3:$O$144,MATCH($A67,permit_calc!$N$3:$N$144,0)))+INDEX($F$18:$F$25,INDEX(permit_calc!$O$3:$O$144,MATCH($A67,permit_calc!$N$3:$N$144,0))),INDEX($L$18:$L$25,$AF67)+INDEX($M$18:$M$25,$AF67)))</f>
        <v/>
      </c>
      <c r="I67" s="43">
        <f>IF($A67="","",IFERROR(IF(INDEX(countries!$I:$I,MATCH($C67,countries!$D:$D,0))=0,$B$12,INDEX(countries!$I:$I,MATCH($C67,countries!$D:$D,0))),$B$12))</f>
        <v/>
      </c>
      <c r="J67" s="41">
        <f>IF($A67="","",$H67-$I67/24)</f>
        <v/>
      </c>
      <c r="K67" s="42">
        <f>IF($A67="","",ROUND($J67-NOW(),1))</f>
        <v/>
      </c>
      <c r="L67">
        <f>IF($A67="","",IF($AE67="OVF",IFERROR(INDEX(countries!$G:$G,MATCH($C67,countries!$D:$D,0)),"VERIFY"),IFERROR(INDEX(countries!$H:$H,MATCH($C67,countries!$D:$D,0)),"VERIFY")))</f>
        <v/>
      </c>
      <c r="M67">
        <f>IF($A67="","",IF(OR(UPPER($G67)="OWN",UPPER($G67)="EXCLUDED"),"CLIENT ARRANGING",IF($K67&lt;0,"OVERDUE",IF($K67&lt;1,"URGENT - FILE NOW",IF($K67&lt;3,"DUE SOON","PENDING")))))</f>
        <v/>
      </c>
      <c r="AE67">
        <f>IF($A67="","",IF($A67&lt;=COUNTIF(permit_calc!$L$3:$L$144,1),"OVF","LDG"))</f>
        <v/>
      </c>
      <c r="AF67">
        <f>IF($AE67="","",IF($AE67="OVF","",$A67-COUNTIF(permit_calc!$L$3:$L$144,1)))</f>
        <v/>
      </c>
    </row>
    <row r="68">
      <c r="A68">
        <f>IF(ROW()-29&gt;COUNTIF(permit_calc!$L$3:$L$144,1)+COUNTA($G$18:$G$25),"",ROW()-29)</f>
        <v/>
      </c>
      <c r="B68">
        <f>IF($A68="","",IF($AE68="OVF",INDEX(permit_calc!$B$3:$B$144,MATCH($A68,permit_calc!$N$3:$N$144,0)),IFERROR(INDEX(countries!$B:$B,MATCH($C68,countries!$D:$D,0)),$C68)))</f>
        <v/>
      </c>
      <c r="C68">
        <f t="array" ref="C68">IF($A68="","",IF($AE68="OVF",INDEX(permit_calc!$A$3:$A$144,MATCH($A68,permit_calc!$N$3:$N$144,0)),INDEX($U$18:$U$25,$AF68)))</f>
        <v/>
      </c>
      <c r="D68">
        <f>IF($A68="","",$AE68)</f>
        <v/>
      </c>
      <c r="E68">
        <f t="array" ref="E68">IF($A68="","",IF($AE68="OVF","",INDEX($G$18:$G$25,$AF68)))</f>
        <v/>
      </c>
      <c r="F68">
        <f t="array" ref="F68">IF($A68="","",IF($AE68="OVF",INDEX(permit_calc!$M$3:$M$144,MATCH($A68,permit_calc!$N$3:$N$144,0)),INDEX($A$18:$A$25,$AF68)))</f>
        <v/>
      </c>
      <c r="G68" s="50" t="n"/>
      <c r="H68" s="41">
        <f t="array" ref="H68">IF($A68="","",IF($AE68="OVF",INDEX($E$18:$E$25,INDEX(permit_calc!$O$3:$O$144,MATCH($A68,permit_calc!$N$3:$N$144,0)))+INDEX($F$18:$F$25,INDEX(permit_calc!$O$3:$O$144,MATCH($A68,permit_calc!$N$3:$N$144,0))),INDEX($L$18:$L$25,$AF68)+INDEX($M$18:$M$25,$AF68)))</f>
        <v/>
      </c>
      <c r="I68" s="43">
        <f>IF($A68="","",IFERROR(IF(INDEX(countries!$I:$I,MATCH($C68,countries!$D:$D,0))=0,$B$12,INDEX(countries!$I:$I,MATCH($C68,countries!$D:$D,0))),$B$12))</f>
        <v/>
      </c>
      <c r="J68" s="41">
        <f>IF($A68="","",$H68-$I68/24)</f>
        <v/>
      </c>
      <c r="K68" s="42">
        <f>IF($A68="","",ROUND($J68-NOW(),1))</f>
        <v/>
      </c>
      <c r="L68">
        <f>IF($A68="","",IF($AE68="OVF",IFERROR(INDEX(countries!$G:$G,MATCH($C68,countries!$D:$D,0)),"VERIFY"),IFERROR(INDEX(countries!$H:$H,MATCH($C68,countries!$D:$D,0)),"VERIFY")))</f>
        <v/>
      </c>
      <c r="M68">
        <f>IF($A68="","",IF(OR(UPPER($G68)="OWN",UPPER($G68)="EXCLUDED"),"CLIENT ARRANGING",IF($K68&lt;0,"OVERDUE",IF($K68&lt;1,"URGENT - FILE NOW",IF($K68&lt;3,"DUE SOON","PENDING")))))</f>
        <v/>
      </c>
      <c r="AE68">
        <f>IF($A68="","",IF($A68&lt;=COUNTIF(permit_calc!$L$3:$L$144,1),"OVF","LDG"))</f>
        <v/>
      </c>
      <c r="AF68">
        <f>IF($AE68="","",IF($AE68="OVF","",$A68-COUNTIF(permit_calc!$L$3:$L$144,1)))</f>
        <v/>
      </c>
    </row>
    <row r="69">
      <c r="A69">
        <f>IF(ROW()-29&gt;COUNTIF(permit_calc!$L$3:$L$144,1)+COUNTA($G$18:$G$25),"",ROW()-29)</f>
        <v/>
      </c>
      <c r="B69">
        <f>IF($A69="","",IF($AE69="OVF",INDEX(permit_calc!$B$3:$B$144,MATCH($A69,permit_calc!$N$3:$N$144,0)),IFERROR(INDEX(countries!$B:$B,MATCH($C69,countries!$D:$D,0)),$C69)))</f>
        <v/>
      </c>
      <c r="C69">
        <f t="array" ref="C69">IF($A69="","",IF($AE69="OVF",INDEX(permit_calc!$A$3:$A$144,MATCH($A69,permit_calc!$N$3:$N$144,0)),INDEX($U$18:$U$25,$AF69)))</f>
        <v/>
      </c>
      <c r="D69">
        <f>IF($A69="","",$AE69)</f>
        <v/>
      </c>
      <c r="E69">
        <f t="array" ref="E69">IF($A69="","",IF($AE69="OVF","",INDEX($G$18:$G$25,$AF69)))</f>
        <v/>
      </c>
      <c r="F69">
        <f t="array" ref="F69">IF($A69="","",IF($AE69="OVF",INDEX(permit_calc!$M$3:$M$144,MATCH($A69,permit_calc!$N$3:$N$144,0)),INDEX($A$18:$A$25,$AF69)))</f>
        <v/>
      </c>
      <c r="G69" s="50" t="n"/>
      <c r="H69" s="41">
        <f t="array" ref="H69">IF($A69="","",IF($AE69="OVF",INDEX($E$18:$E$25,INDEX(permit_calc!$O$3:$O$144,MATCH($A69,permit_calc!$N$3:$N$144,0)))+INDEX($F$18:$F$25,INDEX(permit_calc!$O$3:$O$144,MATCH($A69,permit_calc!$N$3:$N$144,0))),INDEX($L$18:$L$25,$AF69)+INDEX($M$18:$M$25,$AF69)))</f>
        <v/>
      </c>
      <c r="I69" s="43">
        <f>IF($A69="","",IFERROR(IF(INDEX(countries!$I:$I,MATCH($C69,countries!$D:$D,0))=0,$B$12,INDEX(countries!$I:$I,MATCH($C69,countries!$D:$D,0))),$B$12))</f>
        <v/>
      </c>
      <c r="J69" s="41">
        <f>IF($A69="","",$H69-$I69/24)</f>
        <v/>
      </c>
      <c r="K69" s="42">
        <f>IF($A69="","",ROUND($J69-NOW(),1))</f>
        <v/>
      </c>
      <c r="L69">
        <f>IF($A69="","",IF($AE69="OVF",IFERROR(INDEX(countries!$G:$G,MATCH($C69,countries!$D:$D,0)),"VERIFY"),IFERROR(INDEX(countries!$H:$H,MATCH($C69,countries!$D:$D,0)),"VERIFY")))</f>
        <v/>
      </c>
      <c r="M69">
        <f>IF($A69="","",IF(OR(UPPER($G69)="OWN",UPPER($G69)="EXCLUDED"),"CLIENT ARRANGING",IF($K69&lt;0,"OVERDUE",IF($K69&lt;1,"URGENT - FILE NOW",IF($K69&lt;3,"DUE SOON","PENDING")))))</f>
        <v/>
      </c>
      <c r="AE69">
        <f>IF($A69="","",IF($A69&lt;=COUNTIF(permit_calc!$L$3:$L$144,1),"OVF","LDG"))</f>
        <v/>
      </c>
      <c r="AF69">
        <f>IF($AE69="","",IF($AE69="OVF","",$A69-COUNTIF(permit_calc!$L$3:$L$144,1)))</f>
        <v/>
      </c>
    </row>
    <row r="70">
      <c r="A70" s="54">
        <f>IF(COUNTIF(permit_calc!$L$3:$L$144,1)+COUNTA($G$18:$G$25)&gt;40,"WARNING: more permit lines than rows available in section 3 - extend the block below row 69","")</f>
        <v/>
      </c>
    </row>
    <row r="71">
      <c r="A71" s="25" t="inlineStr">
        <is>
          <t>4 · GROUND SERVICES BY STOP   (one line per country on the ground · enter the provider in a service column to order it — blank means not required)</t>
        </is>
      </c>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row>
    <row r="72">
      <c r="H72" s="51">
        <f>IFERROR(INDEX('SERVICE CATALOGUE'!$B$3:$B$100,MATCH(COLUMN()-7,'SERVICE CATALOGUE'!$F$3:$F$100,0)),"")</f>
        <v/>
      </c>
      <c r="I72" s="51">
        <f>IFERROR(INDEX('SERVICE CATALOGUE'!$B$3:$B$100,MATCH(COLUMN()-7,'SERVICE CATALOGUE'!$F$3:$F$100,0)),"")</f>
        <v/>
      </c>
      <c r="J72" s="51">
        <f>IFERROR(INDEX('SERVICE CATALOGUE'!$B$3:$B$100,MATCH(COLUMN()-7,'SERVICE CATALOGUE'!$F$3:$F$100,0)),"")</f>
        <v/>
      </c>
      <c r="K72" s="51">
        <f>IFERROR(INDEX('SERVICE CATALOGUE'!$B$3:$B$100,MATCH(COLUMN()-7,'SERVICE CATALOGUE'!$F$3:$F$100,0)),"")</f>
        <v/>
      </c>
      <c r="L72" s="51">
        <f>IFERROR(INDEX('SERVICE CATALOGUE'!$B$3:$B$100,MATCH(COLUMN()-7,'SERVICE CATALOGUE'!$F$3:$F$100,0)),"")</f>
        <v/>
      </c>
      <c r="M72" s="51">
        <f>IFERROR(INDEX('SERVICE CATALOGUE'!$B$3:$B$100,MATCH(COLUMN()-7,'SERVICE CATALOGUE'!$F$3:$F$100,0)),"")</f>
        <v/>
      </c>
      <c r="N72" s="51">
        <f>IFERROR(INDEX('SERVICE CATALOGUE'!$B$3:$B$100,MATCH(COLUMN()-7,'SERVICE CATALOGUE'!$F$3:$F$100,0)),"")</f>
        <v/>
      </c>
      <c r="O72" s="51">
        <f>IFERROR(INDEX('SERVICE CATALOGUE'!$B$3:$B$100,MATCH(COLUMN()-7,'SERVICE CATALOGUE'!$F$3:$F$100,0)),"")</f>
        <v/>
      </c>
      <c r="P72" s="51">
        <f>IFERROR(INDEX('SERVICE CATALOGUE'!$B$3:$B$100,MATCH(COLUMN()-7,'SERVICE CATALOGUE'!$F$3:$F$100,0)),"")</f>
        <v/>
      </c>
      <c r="Q72" s="51">
        <f>IFERROR(INDEX('SERVICE CATALOGUE'!$B$3:$B$100,MATCH(COLUMN()-7,'SERVICE CATALOGUE'!$F$3:$F$100,0)),"")</f>
        <v/>
      </c>
      <c r="R72" s="51">
        <f>IFERROR(INDEX('SERVICE CATALOGUE'!$B$3:$B$100,MATCH(COLUMN()-7,'SERVICE CATALOGUE'!$F$3:$F$100,0)),"")</f>
        <v/>
      </c>
      <c r="S72" s="51">
        <f>IFERROR(INDEX('SERVICE CATALOGUE'!$B$3:$B$100,MATCH(COLUMN()-7,'SERVICE CATALOGUE'!$F$3:$F$100,0)),"")</f>
        <v/>
      </c>
      <c r="T72" s="51">
        <f>IFERROR(INDEX('SERVICE CATALOGUE'!$B$3:$B$100,MATCH(COLUMN()-7,'SERVICE CATALOGUE'!$F$3:$F$100,0)),"")</f>
        <v/>
      </c>
      <c r="U72" s="51">
        <f>IFERROR(INDEX('SERVICE CATALOGUE'!$B$3:$B$100,MATCH(COLUMN()-7,'SERVICE CATALOGUE'!$F$3:$F$100,0)),"")</f>
        <v/>
      </c>
      <c r="V72" s="51">
        <f>IFERROR(INDEX('SERVICE CATALOGUE'!$B$3:$B$100,MATCH(COLUMN()-7,'SERVICE CATALOGUE'!$F$3:$F$100,0)),"")</f>
        <v/>
      </c>
      <c r="W72" s="51" t="inlineStr">
        <is>
          <t>stop and handling policy</t>
        </is>
      </c>
    </row>
    <row r="73">
      <c r="A73" s="46" t="inlineStr">
        <is>
          <t>STOP</t>
        </is>
      </c>
      <c r="B73" s="46" t="inlineStr">
        <is>
          <t>COUNTRY</t>
        </is>
      </c>
      <c r="C73" s="46" t="inlineStr">
        <is>
          <t>ISO3</t>
        </is>
      </c>
      <c r="D73" s="46" t="inlineStr">
        <is>
          <t>AIRPORT(S)</t>
        </is>
      </c>
      <c r="E73" s="46" t="inlineStr">
        <is>
          <t>LEGS</t>
        </is>
      </c>
      <c r="F73" s="46" t="inlineStr">
        <is>
          <t>FIRST ON GROUND (UTC)</t>
        </is>
      </c>
      <c r="G73" s="46" t="inlineStr">
        <is>
          <t>SERVICES ORDERED</t>
        </is>
      </c>
      <c r="H73" s="46">
        <f>IFERROR(INDEX('SERVICE CATALOGUE'!$C$3:$C$100,MATCH(COLUMN()-7,'SERVICE CATALOGUE'!$F$3:$F$100,0)),"")</f>
        <v/>
      </c>
      <c r="I73" s="46">
        <f>IFERROR(INDEX('SERVICE CATALOGUE'!$C$3:$C$100,MATCH(COLUMN()-7,'SERVICE CATALOGUE'!$F$3:$F$100,0)),"")</f>
        <v/>
      </c>
      <c r="J73" s="46">
        <f>IFERROR(INDEX('SERVICE CATALOGUE'!$C$3:$C$100,MATCH(COLUMN()-7,'SERVICE CATALOGUE'!$F$3:$F$100,0)),"")</f>
        <v/>
      </c>
      <c r="K73" s="46">
        <f>IFERROR(INDEX('SERVICE CATALOGUE'!$C$3:$C$100,MATCH(COLUMN()-7,'SERVICE CATALOGUE'!$F$3:$F$100,0)),"")</f>
        <v/>
      </c>
      <c r="L73" s="46">
        <f>IFERROR(INDEX('SERVICE CATALOGUE'!$C$3:$C$100,MATCH(COLUMN()-7,'SERVICE CATALOGUE'!$F$3:$F$100,0)),"")</f>
        <v/>
      </c>
      <c r="M73" s="46">
        <f>IFERROR(INDEX('SERVICE CATALOGUE'!$C$3:$C$100,MATCH(COLUMN()-7,'SERVICE CATALOGUE'!$F$3:$F$100,0)),"")</f>
        <v/>
      </c>
      <c r="N73" s="46">
        <f>IFERROR(INDEX('SERVICE CATALOGUE'!$C$3:$C$100,MATCH(COLUMN()-7,'SERVICE CATALOGUE'!$F$3:$F$100,0)),"")</f>
        <v/>
      </c>
      <c r="O73" s="46">
        <f>IFERROR(INDEX('SERVICE CATALOGUE'!$C$3:$C$100,MATCH(COLUMN()-7,'SERVICE CATALOGUE'!$F$3:$F$100,0)),"")</f>
        <v/>
      </c>
      <c r="P73" s="46">
        <f>IFERROR(INDEX('SERVICE CATALOGUE'!$C$3:$C$100,MATCH(COLUMN()-7,'SERVICE CATALOGUE'!$F$3:$F$100,0)),"")</f>
        <v/>
      </c>
      <c r="Q73" s="46">
        <f>IFERROR(INDEX('SERVICE CATALOGUE'!$C$3:$C$100,MATCH(COLUMN()-7,'SERVICE CATALOGUE'!$F$3:$F$100,0)),"")</f>
        <v/>
      </c>
      <c r="R73" s="46">
        <f>IFERROR(INDEX('SERVICE CATALOGUE'!$C$3:$C$100,MATCH(COLUMN()-7,'SERVICE CATALOGUE'!$F$3:$F$100,0)),"")</f>
        <v/>
      </c>
      <c r="S73" s="46">
        <f>IFERROR(INDEX('SERVICE CATALOGUE'!$C$3:$C$100,MATCH(COLUMN()-7,'SERVICE CATALOGUE'!$F$3:$F$100,0)),"")</f>
        <v/>
      </c>
      <c r="T73" s="46">
        <f>IFERROR(INDEX('SERVICE CATALOGUE'!$C$3:$C$100,MATCH(COLUMN()-7,'SERVICE CATALOGUE'!$F$3:$F$100,0)),"")</f>
        <v/>
      </c>
      <c r="U73" s="46">
        <f>IFERROR(INDEX('SERVICE CATALOGUE'!$C$3:$C$100,MATCH(COLUMN()-7,'SERVICE CATALOGUE'!$F$3:$F$100,0)),"")</f>
        <v/>
      </c>
      <c r="V73" s="46">
        <f>IFERROR(INDEX('SERVICE CATALOGUE'!$C$3:$C$100,MATCH(COLUMN()-7,'SERVICE CATALOGUE'!$F$3:$F$100,0)),"")</f>
        <v/>
      </c>
      <c r="W73" s="46" t="inlineStr">
        <is>
          <t>STOP TYPE</t>
        </is>
      </c>
      <c r="X73" s="46" t="inlineStr">
        <is>
          <t>HANDLING MANDATORY</t>
        </is>
      </c>
      <c r="Y73" s="46" t="inlineStr">
        <is>
          <t>SELF-HANDLING</t>
        </is>
      </c>
      <c r="Z73" s="46" t="inlineStr">
        <is>
          <t>PREFERRED VENDOR</t>
        </is>
      </c>
      <c r="AA73" s="46" t="inlineStr">
        <is>
          <t>VENDOR SOURCE</t>
        </is>
      </c>
      <c r="AB73" s="46" t="inlineStr">
        <is>
          <t>VENDORS AVAILABLE</t>
        </is>
      </c>
      <c r="AC73" s="46" t="inlineStr">
        <is>
          <t>STATION CONTACT</t>
        </is>
      </c>
      <c r="AD73" s="46" t="inlineStr">
        <is>
          <t>STATION EMAIL</t>
        </is>
      </c>
    </row>
    <row r="74">
      <c r="A74">
        <f>IF(ROW()-73&gt;SUM($AO$18:$AO$26),"",ROW()-73)</f>
        <v/>
      </c>
      <c r="B74">
        <f>IF($A74="","",IFERROR(INDEX(countries!$B:$B,MATCH($C74,countries!$D:$D,0)),$C74))</f>
        <v/>
      </c>
      <c r="C74">
        <f>IF($A74="","",INDEX($AK$18:$AK$26,MATCH($A74,$AP$18:$AP$26,0)))</f>
        <v/>
      </c>
      <c r="D74">
        <f t="array" ref="D74">IF($A74="","",_xlfn.TEXTJOIN(", ",TRUE,IF($AK$18:$AK$26=$C74,$AL$18:$AL$26,"")))</f>
        <v/>
      </c>
      <c r="E74">
        <f t="array" ref="E74">IF($A74="","",_xlfn.TEXTJOIN(", ",TRUE,IF($AK$18:$AK$26=$C74,$AM$18:$AM$26,"")))</f>
        <v/>
      </c>
      <c r="F74" s="41">
        <f>IF($A74="","",_xlfn.MINIFS($AN$18:$AN$26,$AK$18:$AK$26,$C74))</f>
        <v/>
      </c>
      <c r="G74" s="43">
        <f>IF($A74="","",COUNTA($H74:$V74))</f>
        <v/>
      </c>
      <c r="H74" s="52" t="inlineStr">
        <is>
          <t>JTL</t>
        </is>
      </c>
      <c r="I74" s="52" t="n"/>
      <c r="J74" s="52" t="n"/>
      <c r="K74" s="52" t="n"/>
      <c r="L74" s="52" t="n"/>
      <c r="M74" s="52" t="n"/>
      <c r="N74" s="52" t="n"/>
      <c r="O74" s="52" t="n"/>
      <c r="P74" s="52" t="n"/>
      <c r="Q74" s="52" t="n"/>
      <c r="R74" s="52" t="n"/>
      <c r="S74" s="52" t="n"/>
      <c r="T74" s="52" t="n"/>
      <c r="U74" s="52" t="n"/>
      <c r="V74" s="52" t="n"/>
      <c r="W74" s="4" t="inlineStr">
        <is>
          <t>RON (REMAINING OVERNIGHT)</t>
        </is>
      </c>
      <c r="X74">
        <f>IF($A74="","",IFERROR(INDEX(countries!$L:$L,MATCH($C74,countries!$D:$D,0)),"VERIFY"))</f>
        <v/>
      </c>
      <c r="Y74">
        <f>IF($A74="","",IFERROR(INDEX(countries!$M:$M,MATCH($C74,countries!$D:$D,0)),"VERIFY"))</f>
        <v/>
      </c>
      <c r="Z74">
        <f>IF($A74="","",IFERROR(INDEX(HANDLERS!$B$4:$B$250,MATCH(TRIM(LEFT($D74&amp;",",FIND(",",$D74&amp;",")-1)),HANDLERS!$C$4:$C$250,0)),IFERROR(INDEX(Vendors!$B:$B,MATCH(INDEX(vendor_coverage_countries!$B:$B,MATCH(IFERROR(INDEX(countries!$C:$C,MATCH($C74,countries!$D:$D,0)),""),vendor_coverage_countries!$C:$C,0)),Vendors!$A:$A,0)),"NO VENDOR ON FILE FOR THIS STATE")))</f>
        <v/>
      </c>
      <c r="AA74">
        <f>IF($A74="","",IF(ISNUMBER(MATCH(TRIM(LEFT($D74&amp;",",FIND(",",$D74&amp;",")-1)),HANDLERS!$C$4:$C$250,0)),"HANDLERS (station "&amp;TRIM(LEFT($D74&amp;",",FIND(",",$D74&amp;",")-1))&amp;")",IF($AB74=0,"-","vendor_coverage_countries")))</f>
        <v/>
      </c>
      <c r="AB74">
        <f>IF($A74="","",COUNTIF(vendor_coverage_countries!$C:$C,IFERROR(INDEX(countries!$C:$C,MATCH($C74,countries!$D:$D,0)),"")))</f>
        <v/>
      </c>
      <c r="AC74">
        <f>IF($A74="","",IFERROR(INDEX(HANDLERS!$D$4:$D$250,MATCH(TRIM(LEFT($D74&amp;",",FIND(",",$D74&amp;",")-1)),HANDLERS!$C$4:$C$250,0)),""))</f>
        <v/>
      </c>
      <c r="AD74">
        <f>IF($A74="","",IFERROR(INDEX(HANDLERS!$E$4:$E$250,MATCH(TRIM(LEFT($D74&amp;",",FIND(",",$D74&amp;",")-1)),HANDLERS!$C$4:$C$250,0)),""))</f>
        <v/>
      </c>
    </row>
    <row r="75">
      <c r="A75">
        <f>IF(ROW()-73&gt;SUM($AO$18:$AO$26),"",ROW()-73)</f>
        <v/>
      </c>
      <c r="B75">
        <f>IF($A75="","",IFERROR(INDEX(countries!$B:$B,MATCH($C75,countries!$D:$D,0)),$C75))</f>
        <v/>
      </c>
      <c r="C75">
        <f>IF($A75="","",INDEX($AK$18:$AK$26,MATCH($A75,$AP$18:$AP$26,0)))</f>
        <v/>
      </c>
      <c r="D75">
        <f t="array" ref="D75">IF($A75="","",_xlfn.TEXTJOIN(", ",TRUE,IF($AK$18:$AK$26=$C75,$AL$18:$AL$26,"")))</f>
        <v/>
      </c>
      <c r="E75">
        <f t="array" ref="E75">IF($A75="","",_xlfn.TEXTJOIN(", ",TRUE,IF($AK$18:$AK$26=$C75,$AM$18:$AM$26,"")))</f>
        <v/>
      </c>
      <c r="F75" s="41">
        <f>IF($A75="","",_xlfn.MINIFS($AN$18:$AN$26,$AK$18:$AK$26,$C75))</f>
        <v/>
      </c>
      <c r="G75" s="43">
        <f>IF($A75="","",COUNTA($H75:$V75))</f>
        <v/>
      </c>
      <c r="H75" s="52" t="inlineStr">
        <is>
          <t>JTL</t>
        </is>
      </c>
      <c r="I75" s="52" t="n"/>
      <c r="J75" s="52" t="n"/>
      <c r="K75" s="52" t="n"/>
      <c r="L75" s="52" t="n"/>
      <c r="M75" s="52" t="n"/>
      <c r="N75" s="52" t="n"/>
      <c r="O75" s="52" t="n"/>
      <c r="P75" s="52" t="n"/>
      <c r="Q75" s="52" t="n"/>
      <c r="R75" s="52" t="n"/>
      <c r="S75" s="52" t="n"/>
      <c r="T75" s="52" t="n"/>
      <c r="U75" s="52" t="n"/>
      <c r="V75" s="52" t="n"/>
      <c r="W75" s="4" t="inlineStr">
        <is>
          <t>TECH STOP</t>
        </is>
      </c>
      <c r="X75">
        <f>IF($A75="","",IFERROR(INDEX(countries!$L:$L,MATCH($C75,countries!$D:$D,0)),"VERIFY"))</f>
        <v/>
      </c>
      <c r="Y75">
        <f>IF($A75="","",IFERROR(INDEX(countries!$M:$M,MATCH($C75,countries!$D:$D,0)),"VERIFY"))</f>
        <v/>
      </c>
      <c r="Z75">
        <f>IF($A75="","",IFERROR(INDEX(HANDLERS!$B$4:$B$250,MATCH(TRIM(LEFT($D75&amp;",",FIND(",",$D75&amp;",")-1)),HANDLERS!$C$4:$C$250,0)),IFERROR(INDEX(Vendors!$B:$B,MATCH(INDEX(vendor_coverage_countries!$B:$B,MATCH(IFERROR(INDEX(countries!$C:$C,MATCH($C75,countries!$D:$D,0)),""),vendor_coverage_countries!$C:$C,0)),Vendors!$A:$A,0)),"NO VENDOR ON FILE FOR THIS STATE")))</f>
        <v/>
      </c>
      <c r="AA75">
        <f>IF($A75="","",IF(ISNUMBER(MATCH(TRIM(LEFT($D75&amp;",",FIND(",",$D75&amp;",")-1)),HANDLERS!$C$4:$C$250,0)),"HANDLERS (station "&amp;TRIM(LEFT($D75&amp;",",FIND(",",$D75&amp;",")-1))&amp;")",IF($AB75=0,"-","vendor_coverage_countries")))</f>
        <v/>
      </c>
      <c r="AB75">
        <f>IF($A75="","",COUNTIF(vendor_coverage_countries!$C:$C,IFERROR(INDEX(countries!$C:$C,MATCH($C75,countries!$D:$D,0)),"")))</f>
        <v/>
      </c>
      <c r="AC75">
        <f>IF($A75="","",IFERROR(INDEX(HANDLERS!$D$4:$D$250,MATCH(TRIM(LEFT($D75&amp;",",FIND(",",$D75&amp;",")-1)),HANDLERS!$C$4:$C$250,0)),""))</f>
        <v/>
      </c>
      <c r="AD75">
        <f>IF($A75="","",IFERROR(INDEX(HANDLERS!$E$4:$E$250,MATCH(TRIM(LEFT($D75&amp;",",FIND(",",$D75&amp;",")-1)),HANDLERS!$C$4:$C$250,0)),""))</f>
        <v/>
      </c>
    </row>
    <row r="76">
      <c r="A76">
        <f>IF(ROW()-73&gt;SUM($AO$18:$AO$26),"",ROW()-73)</f>
        <v/>
      </c>
      <c r="B76">
        <f>IF($A76="","",IFERROR(INDEX(countries!$B:$B,MATCH($C76,countries!$D:$D,0)),$C76))</f>
        <v/>
      </c>
      <c r="C76">
        <f>IF($A76="","",INDEX($AK$18:$AK$26,MATCH($A76,$AP$18:$AP$26,0)))</f>
        <v/>
      </c>
      <c r="D76">
        <f t="array" ref="D76">IF($A76="","",_xlfn.TEXTJOIN(", ",TRUE,IF($AK$18:$AK$26=$C76,$AL$18:$AL$26,"")))</f>
        <v/>
      </c>
      <c r="E76">
        <f t="array" ref="E76">IF($A76="","",_xlfn.TEXTJOIN(", ",TRUE,IF($AK$18:$AK$26=$C76,$AM$18:$AM$26,"")))</f>
        <v/>
      </c>
      <c r="F76" s="41">
        <f>IF($A76="","",_xlfn.MINIFS($AN$18:$AN$26,$AK$18:$AK$26,$C76))</f>
        <v/>
      </c>
      <c r="G76" s="43">
        <f>IF($A76="","",COUNTA($H76:$V76))</f>
        <v/>
      </c>
      <c r="H76" s="52" t="inlineStr">
        <is>
          <t>JTL</t>
        </is>
      </c>
      <c r="I76" s="52" t="n"/>
      <c r="J76" s="52" t="n"/>
      <c r="K76" s="52" t="n"/>
      <c r="L76" s="52" t="n"/>
      <c r="M76" s="52" t="n"/>
      <c r="N76" s="52" t="n"/>
      <c r="O76" s="52" t="n"/>
      <c r="P76" s="52" t="n"/>
      <c r="Q76" s="52" t="n"/>
      <c r="R76" s="52" t="n"/>
      <c r="S76" s="52" t="n"/>
      <c r="T76" s="52" t="n"/>
      <c r="U76" s="52" t="n"/>
      <c r="V76" s="52" t="n"/>
      <c r="W76" s="4" t="inlineStr">
        <is>
          <t>RON (REMAINING OVERNIGHT)</t>
        </is>
      </c>
      <c r="X76">
        <f>IF($A76="","",IFERROR(INDEX(countries!$L:$L,MATCH($C76,countries!$D:$D,0)),"VERIFY"))</f>
        <v/>
      </c>
      <c r="Y76">
        <f>IF($A76="","",IFERROR(INDEX(countries!$M:$M,MATCH($C76,countries!$D:$D,0)),"VERIFY"))</f>
        <v/>
      </c>
      <c r="Z76">
        <f>IF($A76="","",IFERROR(INDEX(HANDLERS!$B$4:$B$250,MATCH(TRIM(LEFT($D76&amp;",",FIND(",",$D76&amp;",")-1)),HANDLERS!$C$4:$C$250,0)),IFERROR(INDEX(Vendors!$B:$B,MATCH(INDEX(vendor_coverage_countries!$B:$B,MATCH(IFERROR(INDEX(countries!$C:$C,MATCH($C76,countries!$D:$D,0)),""),vendor_coverage_countries!$C:$C,0)),Vendors!$A:$A,0)),"NO VENDOR ON FILE FOR THIS STATE")))</f>
        <v/>
      </c>
      <c r="AA76">
        <f>IF($A76="","",IF(ISNUMBER(MATCH(TRIM(LEFT($D76&amp;",",FIND(",",$D76&amp;",")-1)),HANDLERS!$C$4:$C$250,0)),"HANDLERS (station "&amp;TRIM(LEFT($D76&amp;",",FIND(",",$D76&amp;",")-1))&amp;")",IF($AB76=0,"-","vendor_coverage_countries")))</f>
        <v/>
      </c>
      <c r="AB76">
        <f>IF($A76="","",COUNTIF(vendor_coverage_countries!$C:$C,IFERROR(INDEX(countries!$C:$C,MATCH($C76,countries!$D:$D,0)),"")))</f>
        <v/>
      </c>
      <c r="AC76">
        <f>IF($A76="","",IFERROR(INDEX(HANDLERS!$D$4:$D$250,MATCH(TRIM(LEFT($D76&amp;",",FIND(",",$D76&amp;",")-1)),HANDLERS!$C$4:$C$250,0)),""))</f>
        <v/>
      </c>
      <c r="AD76">
        <f>IF($A76="","",IFERROR(INDEX(HANDLERS!$E$4:$E$250,MATCH(TRIM(LEFT($D76&amp;",",FIND(",",$D76&amp;",")-1)),HANDLERS!$C$4:$C$250,0)),""))</f>
        <v/>
      </c>
    </row>
    <row r="77">
      <c r="A77">
        <f>IF(ROW()-73&gt;SUM($AO$18:$AO$26),"",ROW()-73)</f>
        <v/>
      </c>
      <c r="B77">
        <f>IF($A77="","",IFERROR(INDEX(countries!$B:$B,MATCH($C77,countries!$D:$D,0)),$C77))</f>
        <v/>
      </c>
      <c r="C77">
        <f>IF($A77="","",INDEX($AK$18:$AK$26,MATCH($A77,$AP$18:$AP$26,0)))</f>
        <v/>
      </c>
      <c r="D77">
        <f t="array" ref="D77">IF($A77="","",_xlfn.TEXTJOIN(", ",TRUE,IF($AK$18:$AK$26=$C77,$AL$18:$AL$26,"")))</f>
        <v/>
      </c>
      <c r="E77">
        <f t="array" ref="E77">IF($A77="","",_xlfn.TEXTJOIN(", ",TRUE,IF($AK$18:$AK$26=$C77,$AM$18:$AM$26,"")))</f>
        <v/>
      </c>
      <c r="F77" s="41">
        <f>IF($A77="","",_xlfn.MINIFS($AN$18:$AN$26,$AK$18:$AK$26,$C77))</f>
        <v/>
      </c>
      <c r="G77" s="43">
        <f>IF($A77="","",COUNTA($H77:$V77))</f>
        <v/>
      </c>
      <c r="H77" s="52" t="inlineStr">
        <is>
          <t>JTL</t>
        </is>
      </c>
      <c r="I77" s="52" t="n"/>
      <c r="J77" s="52" t="n"/>
      <c r="K77" s="52" t="n"/>
      <c r="L77" s="52" t="n"/>
      <c r="M77" s="52" t="n"/>
      <c r="N77" s="52" t="n"/>
      <c r="O77" s="52" t="n"/>
      <c r="P77" s="52" t="n"/>
      <c r="Q77" s="52" t="n"/>
      <c r="R77" s="52" t="n"/>
      <c r="S77" s="52" t="n"/>
      <c r="T77" s="52" t="n"/>
      <c r="U77" s="52" t="n"/>
      <c r="V77" s="52" t="n"/>
      <c r="W77" s="4" t="inlineStr">
        <is>
          <t>TURNAROUND</t>
        </is>
      </c>
      <c r="X77">
        <f>IF($A77="","",IFERROR(INDEX(countries!$L:$L,MATCH($C77,countries!$D:$D,0)),"VERIFY"))</f>
        <v/>
      </c>
      <c r="Y77">
        <f>IF($A77="","",IFERROR(INDEX(countries!$M:$M,MATCH($C77,countries!$D:$D,0)),"VERIFY"))</f>
        <v/>
      </c>
      <c r="Z77">
        <f>IF($A77="","",IFERROR(INDEX(HANDLERS!$B$4:$B$250,MATCH(TRIM(LEFT($D77&amp;",",FIND(",",$D77&amp;",")-1)),HANDLERS!$C$4:$C$250,0)),IFERROR(INDEX(Vendors!$B:$B,MATCH(INDEX(vendor_coverage_countries!$B:$B,MATCH(IFERROR(INDEX(countries!$C:$C,MATCH($C77,countries!$D:$D,0)),""),vendor_coverage_countries!$C:$C,0)),Vendors!$A:$A,0)),"NO VENDOR ON FILE FOR THIS STATE")))</f>
        <v/>
      </c>
      <c r="AA77">
        <f>IF($A77="","",IF(ISNUMBER(MATCH(TRIM(LEFT($D77&amp;",",FIND(",",$D77&amp;",")-1)),HANDLERS!$C$4:$C$250,0)),"HANDLERS (station "&amp;TRIM(LEFT($D77&amp;",",FIND(",",$D77&amp;",")-1))&amp;")",IF($AB77=0,"-","vendor_coverage_countries")))</f>
        <v/>
      </c>
      <c r="AB77">
        <f>IF($A77="","",COUNTIF(vendor_coverage_countries!$C:$C,IFERROR(INDEX(countries!$C:$C,MATCH($C77,countries!$D:$D,0)),"")))</f>
        <v/>
      </c>
      <c r="AC77">
        <f>IF($A77="","",IFERROR(INDEX(HANDLERS!$D$4:$D$250,MATCH(TRIM(LEFT($D77&amp;",",FIND(",",$D77&amp;",")-1)),HANDLERS!$C$4:$C$250,0)),""))</f>
        <v/>
      </c>
      <c r="AD77">
        <f>IF($A77="","",IFERROR(INDEX(HANDLERS!$E$4:$E$250,MATCH(TRIM(LEFT($D77&amp;",",FIND(",",$D77&amp;",")-1)),HANDLERS!$C$4:$C$250,0)),""))</f>
        <v/>
      </c>
    </row>
    <row r="78">
      <c r="A78">
        <f>IF(ROW()-73&gt;SUM($AO$18:$AO$26),"",ROW()-73)</f>
        <v/>
      </c>
      <c r="B78">
        <f>IF($A78="","",IFERROR(INDEX(countries!$B:$B,MATCH($C78,countries!$D:$D,0)),$C78))</f>
        <v/>
      </c>
      <c r="C78">
        <f>IF($A78="","",INDEX($AK$18:$AK$26,MATCH($A78,$AP$18:$AP$26,0)))</f>
        <v/>
      </c>
      <c r="D78">
        <f t="array" ref="D78">IF($A78="","",_xlfn.TEXTJOIN(", ",TRUE,IF($AK$18:$AK$26=$C78,$AL$18:$AL$26,"")))</f>
        <v/>
      </c>
      <c r="E78">
        <f t="array" ref="E78">IF($A78="","",_xlfn.TEXTJOIN(", ",TRUE,IF($AK$18:$AK$26=$C78,$AM$18:$AM$26,"")))</f>
        <v/>
      </c>
      <c r="F78" s="41">
        <f>IF($A78="","",_xlfn.MINIFS($AN$18:$AN$26,$AK$18:$AK$26,$C78))</f>
        <v/>
      </c>
      <c r="G78" s="43">
        <f>IF($A78="","",COUNTA($H78:$V78))</f>
        <v/>
      </c>
      <c r="H78" s="52" t="n"/>
      <c r="I78" s="52" t="n"/>
      <c r="J78" s="52" t="n"/>
      <c r="K78" s="52" t="n"/>
      <c r="L78" s="52" t="n"/>
      <c r="M78" s="52" t="n"/>
      <c r="N78" s="52" t="n"/>
      <c r="O78" s="52" t="n"/>
      <c r="P78" s="52" t="n"/>
      <c r="Q78" s="52" t="n"/>
      <c r="R78" s="52" t="n"/>
      <c r="S78" s="52" t="n"/>
      <c r="T78" s="52" t="n"/>
      <c r="U78" s="52" t="n"/>
      <c r="V78" s="52" t="n"/>
      <c r="W78" s="4" t="n"/>
      <c r="X78">
        <f>IF($A78="","",IFERROR(INDEX(countries!$L:$L,MATCH($C78,countries!$D:$D,0)),"VERIFY"))</f>
        <v/>
      </c>
      <c r="Y78">
        <f>IF($A78="","",IFERROR(INDEX(countries!$M:$M,MATCH($C78,countries!$D:$D,0)),"VERIFY"))</f>
        <v/>
      </c>
      <c r="Z78">
        <f>IF($A78="","",IFERROR(INDEX(HANDLERS!$B$4:$B$250,MATCH(TRIM(LEFT($D78&amp;",",FIND(",",$D78&amp;",")-1)),HANDLERS!$C$4:$C$250,0)),IFERROR(INDEX(Vendors!$B:$B,MATCH(INDEX(vendor_coverage_countries!$B:$B,MATCH(IFERROR(INDEX(countries!$C:$C,MATCH($C78,countries!$D:$D,0)),""),vendor_coverage_countries!$C:$C,0)),Vendors!$A:$A,0)),"NO VENDOR ON FILE FOR THIS STATE")))</f>
        <v/>
      </c>
      <c r="AA78">
        <f>IF($A78="","",IF(ISNUMBER(MATCH(TRIM(LEFT($D78&amp;",",FIND(",",$D78&amp;",")-1)),HANDLERS!$C$4:$C$250,0)),"HANDLERS (station "&amp;TRIM(LEFT($D78&amp;",",FIND(",",$D78&amp;",")-1))&amp;")",IF($AB78=0,"-","vendor_coverage_countries")))</f>
        <v/>
      </c>
      <c r="AB78">
        <f>IF($A78="","",COUNTIF(vendor_coverage_countries!$C:$C,IFERROR(INDEX(countries!$C:$C,MATCH($C78,countries!$D:$D,0)),"")))</f>
        <v/>
      </c>
      <c r="AC78">
        <f>IF($A78="","",IFERROR(INDEX(HANDLERS!$D$4:$D$250,MATCH(TRIM(LEFT($D78&amp;",",FIND(",",$D78&amp;",")-1)),HANDLERS!$C$4:$C$250,0)),""))</f>
        <v/>
      </c>
      <c r="AD78">
        <f>IF($A78="","",IFERROR(INDEX(HANDLERS!$E$4:$E$250,MATCH(TRIM(LEFT($D78&amp;",",FIND(",",$D78&amp;",")-1)),HANDLERS!$C$4:$C$250,0)),""))</f>
        <v/>
      </c>
    </row>
    <row r="79">
      <c r="A79">
        <f>IF(ROW()-73&gt;SUM($AO$18:$AO$26),"",ROW()-73)</f>
        <v/>
      </c>
      <c r="B79">
        <f>IF($A79="","",IFERROR(INDEX(countries!$B:$B,MATCH($C79,countries!$D:$D,0)),$C79))</f>
        <v/>
      </c>
      <c r="C79">
        <f>IF($A79="","",INDEX($AK$18:$AK$26,MATCH($A79,$AP$18:$AP$26,0)))</f>
        <v/>
      </c>
      <c r="D79">
        <f t="array" ref="D79">IF($A79="","",_xlfn.TEXTJOIN(", ",TRUE,IF($AK$18:$AK$26=$C79,$AL$18:$AL$26,"")))</f>
        <v/>
      </c>
      <c r="E79">
        <f t="array" ref="E79">IF($A79="","",_xlfn.TEXTJOIN(", ",TRUE,IF($AK$18:$AK$26=$C79,$AM$18:$AM$26,"")))</f>
        <v/>
      </c>
      <c r="F79" s="41">
        <f>IF($A79="","",_xlfn.MINIFS($AN$18:$AN$26,$AK$18:$AK$26,$C79))</f>
        <v/>
      </c>
      <c r="G79" s="43">
        <f>IF($A79="","",COUNTA($H79:$V79))</f>
        <v/>
      </c>
      <c r="H79" s="52" t="n"/>
      <c r="I79" s="52" t="n"/>
      <c r="J79" s="52" t="n"/>
      <c r="K79" s="52" t="n"/>
      <c r="L79" s="52" t="n"/>
      <c r="M79" s="52" t="n"/>
      <c r="N79" s="52" t="n"/>
      <c r="O79" s="52" t="n"/>
      <c r="P79" s="52" t="n"/>
      <c r="Q79" s="52" t="n"/>
      <c r="R79" s="52" t="n"/>
      <c r="S79" s="52" t="n"/>
      <c r="T79" s="52" t="n"/>
      <c r="U79" s="52" t="n"/>
      <c r="V79" s="52" t="n"/>
      <c r="W79" s="4" t="n"/>
      <c r="X79">
        <f>IF($A79="","",IFERROR(INDEX(countries!$L:$L,MATCH($C79,countries!$D:$D,0)),"VERIFY"))</f>
        <v/>
      </c>
      <c r="Y79">
        <f>IF($A79="","",IFERROR(INDEX(countries!$M:$M,MATCH($C79,countries!$D:$D,0)),"VERIFY"))</f>
        <v/>
      </c>
      <c r="Z79">
        <f>IF($A79="","",IFERROR(INDEX(HANDLERS!$B$4:$B$250,MATCH(TRIM(LEFT($D79&amp;",",FIND(",",$D79&amp;",")-1)),HANDLERS!$C$4:$C$250,0)),IFERROR(INDEX(Vendors!$B:$B,MATCH(INDEX(vendor_coverage_countries!$B:$B,MATCH(IFERROR(INDEX(countries!$C:$C,MATCH($C79,countries!$D:$D,0)),""),vendor_coverage_countries!$C:$C,0)),Vendors!$A:$A,0)),"NO VENDOR ON FILE FOR THIS STATE")))</f>
        <v/>
      </c>
      <c r="AA79">
        <f>IF($A79="","",IF(ISNUMBER(MATCH(TRIM(LEFT($D79&amp;",",FIND(",",$D79&amp;",")-1)),HANDLERS!$C$4:$C$250,0)),"HANDLERS (station "&amp;TRIM(LEFT($D79&amp;",",FIND(",",$D79&amp;",")-1))&amp;")",IF($AB79=0,"-","vendor_coverage_countries")))</f>
        <v/>
      </c>
      <c r="AB79">
        <f>IF($A79="","",COUNTIF(vendor_coverage_countries!$C:$C,IFERROR(INDEX(countries!$C:$C,MATCH($C79,countries!$D:$D,0)),"")))</f>
        <v/>
      </c>
      <c r="AC79">
        <f>IF($A79="","",IFERROR(INDEX(HANDLERS!$D$4:$D$250,MATCH(TRIM(LEFT($D79&amp;",",FIND(",",$D79&amp;",")-1)),HANDLERS!$C$4:$C$250,0)),""))</f>
        <v/>
      </c>
      <c r="AD79">
        <f>IF($A79="","",IFERROR(INDEX(HANDLERS!$E$4:$E$250,MATCH(TRIM(LEFT($D79&amp;",",FIND(",",$D79&amp;",")-1)),HANDLERS!$C$4:$C$250,0)),""))</f>
        <v/>
      </c>
    </row>
    <row r="80">
      <c r="A80">
        <f>IF(ROW()-73&gt;SUM($AO$18:$AO$26),"",ROW()-73)</f>
        <v/>
      </c>
      <c r="B80">
        <f>IF($A80="","",IFERROR(INDEX(countries!$B:$B,MATCH($C80,countries!$D:$D,0)),$C80))</f>
        <v/>
      </c>
      <c r="C80">
        <f>IF($A80="","",INDEX($AK$18:$AK$26,MATCH($A80,$AP$18:$AP$26,0)))</f>
        <v/>
      </c>
      <c r="D80">
        <f t="array" ref="D80">IF($A80="","",_xlfn.TEXTJOIN(", ",TRUE,IF($AK$18:$AK$26=$C80,$AL$18:$AL$26,"")))</f>
        <v/>
      </c>
      <c r="E80">
        <f t="array" ref="E80">IF($A80="","",_xlfn.TEXTJOIN(", ",TRUE,IF($AK$18:$AK$26=$C80,$AM$18:$AM$26,"")))</f>
        <v/>
      </c>
      <c r="F80" s="41">
        <f>IF($A80="","",_xlfn.MINIFS($AN$18:$AN$26,$AK$18:$AK$26,$C80))</f>
        <v/>
      </c>
      <c r="G80" s="43">
        <f>IF($A80="","",COUNTA($H80:$V80))</f>
        <v/>
      </c>
      <c r="H80" s="52" t="n"/>
      <c r="I80" s="52" t="n"/>
      <c r="J80" s="52" t="n"/>
      <c r="K80" s="52" t="n"/>
      <c r="L80" s="52" t="n"/>
      <c r="M80" s="52" t="n"/>
      <c r="N80" s="52" t="n"/>
      <c r="O80" s="52" t="n"/>
      <c r="P80" s="52" t="n"/>
      <c r="Q80" s="52" t="n"/>
      <c r="R80" s="52" t="n"/>
      <c r="S80" s="52" t="n"/>
      <c r="T80" s="52" t="n"/>
      <c r="U80" s="52" t="n"/>
      <c r="V80" s="52" t="n"/>
      <c r="W80" s="4" t="n"/>
      <c r="X80">
        <f>IF($A80="","",IFERROR(INDEX(countries!$L:$L,MATCH($C80,countries!$D:$D,0)),"VERIFY"))</f>
        <v/>
      </c>
      <c r="Y80">
        <f>IF($A80="","",IFERROR(INDEX(countries!$M:$M,MATCH($C80,countries!$D:$D,0)),"VERIFY"))</f>
        <v/>
      </c>
      <c r="Z80">
        <f>IF($A80="","",IFERROR(INDEX(HANDLERS!$B$4:$B$250,MATCH(TRIM(LEFT($D80&amp;",",FIND(",",$D80&amp;",")-1)),HANDLERS!$C$4:$C$250,0)),IFERROR(INDEX(Vendors!$B:$B,MATCH(INDEX(vendor_coverage_countries!$B:$B,MATCH(IFERROR(INDEX(countries!$C:$C,MATCH($C80,countries!$D:$D,0)),""),vendor_coverage_countries!$C:$C,0)),Vendors!$A:$A,0)),"NO VENDOR ON FILE FOR THIS STATE")))</f>
        <v/>
      </c>
      <c r="AA80">
        <f>IF($A80="","",IF(ISNUMBER(MATCH(TRIM(LEFT($D80&amp;",",FIND(",",$D80&amp;",")-1)),HANDLERS!$C$4:$C$250,0)),"HANDLERS (station "&amp;TRIM(LEFT($D80&amp;",",FIND(",",$D80&amp;",")-1))&amp;")",IF($AB80=0,"-","vendor_coverage_countries")))</f>
        <v/>
      </c>
      <c r="AB80">
        <f>IF($A80="","",COUNTIF(vendor_coverage_countries!$C:$C,IFERROR(INDEX(countries!$C:$C,MATCH($C80,countries!$D:$D,0)),"")))</f>
        <v/>
      </c>
      <c r="AC80">
        <f>IF($A80="","",IFERROR(INDEX(HANDLERS!$D$4:$D$250,MATCH(TRIM(LEFT($D80&amp;",",FIND(",",$D80&amp;",")-1)),HANDLERS!$C$4:$C$250,0)),""))</f>
        <v/>
      </c>
      <c r="AD80">
        <f>IF($A80="","",IFERROR(INDEX(HANDLERS!$E$4:$E$250,MATCH(TRIM(LEFT($D80&amp;",",FIND(",",$D80&amp;",")-1)),HANDLERS!$C$4:$C$250,0)),""))</f>
        <v/>
      </c>
    </row>
    <row r="81">
      <c r="A81">
        <f>IF(ROW()-73&gt;SUM($AO$18:$AO$26),"",ROW()-73)</f>
        <v/>
      </c>
      <c r="B81">
        <f>IF($A81="","",IFERROR(INDEX(countries!$B:$B,MATCH($C81,countries!$D:$D,0)),$C81))</f>
        <v/>
      </c>
      <c r="C81">
        <f>IF($A81="","",INDEX($AK$18:$AK$26,MATCH($A81,$AP$18:$AP$26,0)))</f>
        <v/>
      </c>
      <c r="D81">
        <f t="array" ref="D81">IF($A81="","",_xlfn.TEXTJOIN(", ",TRUE,IF($AK$18:$AK$26=$C81,$AL$18:$AL$26,"")))</f>
        <v/>
      </c>
      <c r="E81">
        <f t="array" ref="E81">IF($A81="","",_xlfn.TEXTJOIN(", ",TRUE,IF($AK$18:$AK$26=$C81,$AM$18:$AM$26,"")))</f>
        <v/>
      </c>
      <c r="F81" s="41">
        <f>IF($A81="","",_xlfn.MINIFS($AN$18:$AN$26,$AK$18:$AK$26,$C81))</f>
        <v/>
      </c>
      <c r="G81" s="43">
        <f>IF($A81="","",COUNTA($H81:$V81))</f>
        <v/>
      </c>
      <c r="H81" s="52" t="n"/>
      <c r="I81" s="52" t="n"/>
      <c r="J81" s="52" t="n"/>
      <c r="K81" s="52" t="n"/>
      <c r="L81" s="52" t="n"/>
      <c r="M81" s="52" t="n"/>
      <c r="N81" s="52" t="n"/>
      <c r="O81" s="52" t="n"/>
      <c r="P81" s="52" t="n"/>
      <c r="Q81" s="52" t="n"/>
      <c r="R81" s="52" t="n"/>
      <c r="S81" s="52" t="n"/>
      <c r="T81" s="52" t="n"/>
      <c r="U81" s="52" t="n"/>
      <c r="V81" s="52" t="n"/>
      <c r="W81" s="4" t="n"/>
      <c r="X81">
        <f>IF($A81="","",IFERROR(INDEX(countries!$L:$L,MATCH($C81,countries!$D:$D,0)),"VERIFY"))</f>
        <v/>
      </c>
      <c r="Y81">
        <f>IF($A81="","",IFERROR(INDEX(countries!$M:$M,MATCH($C81,countries!$D:$D,0)),"VERIFY"))</f>
        <v/>
      </c>
      <c r="Z81">
        <f>IF($A81="","",IFERROR(INDEX(HANDLERS!$B$4:$B$250,MATCH(TRIM(LEFT($D81&amp;",",FIND(",",$D81&amp;",")-1)),HANDLERS!$C$4:$C$250,0)),IFERROR(INDEX(Vendors!$B:$B,MATCH(INDEX(vendor_coverage_countries!$B:$B,MATCH(IFERROR(INDEX(countries!$C:$C,MATCH($C81,countries!$D:$D,0)),""),vendor_coverage_countries!$C:$C,0)),Vendors!$A:$A,0)),"NO VENDOR ON FILE FOR THIS STATE")))</f>
        <v/>
      </c>
      <c r="AA81">
        <f>IF($A81="","",IF(ISNUMBER(MATCH(TRIM(LEFT($D81&amp;",",FIND(",",$D81&amp;",")-1)),HANDLERS!$C$4:$C$250,0)),"HANDLERS (station "&amp;TRIM(LEFT($D81&amp;",",FIND(",",$D81&amp;",")-1))&amp;")",IF($AB81=0,"-","vendor_coverage_countries")))</f>
        <v/>
      </c>
      <c r="AB81">
        <f>IF($A81="","",COUNTIF(vendor_coverage_countries!$C:$C,IFERROR(INDEX(countries!$C:$C,MATCH($C81,countries!$D:$D,0)),"")))</f>
        <v/>
      </c>
      <c r="AC81">
        <f>IF($A81="","",IFERROR(INDEX(HANDLERS!$D$4:$D$250,MATCH(TRIM(LEFT($D81&amp;",",FIND(",",$D81&amp;",")-1)),HANDLERS!$C$4:$C$250,0)),""))</f>
        <v/>
      </c>
      <c r="AD81">
        <f>IF($A81="","",IFERROR(INDEX(HANDLERS!$E$4:$E$250,MATCH(TRIM(LEFT($D81&amp;",",FIND(",",$D81&amp;",")-1)),HANDLERS!$C$4:$C$250,0)),""))</f>
        <v/>
      </c>
    </row>
    <row r="82">
      <c r="A82">
        <f>IF(ROW()-73&gt;SUM($AO$18:$AO$26),"",ROW()-73)</f>
        <v/>
      </c>
      <c r="B82">
        <f>IF($A82="","",IFERROR(INDEX(countries!$B:$B,MATCH($C82,countries!$D:$D,0)),$C82))</f>
        <v/>
      </c>
      <c r="C82">
        <f>IF($A82="","",INDEX($AK$18:$AK$26,MATCH($A82,$AP$18:$AP$26,0)))</f>
        <v/>
      </c>
      <c r="D82">
        <f t="array" ref="D82">IF($A82="","",_xlfn.TEXTJOIN(", ",TRUE,IF($AK$18:$AK$26=$C82,$AL$18:$AL$26,"")))</f>
        <v/>
      </c>
      <c r="E82">
        <f t="array" ref="E82">IF($A82="","",_xlfn.TEXTJOIN(", ",TRUE,IF($AK$18:$AK$26=$C82,$AM$18:$AM$26,"")))</f>
        <v/>
      </c>
      <c r="F82" s="41">
        <f>IF($A82="","",_xlfn.MINIFS($AN$18:$AN$26,$AK$18:$AK$26,$C82))</f>
        <v/>
      </c>
      <c r="G82" s="43">
        <f>IF($A82="","",COUNTA($H82:$V82))</f>
        <v/>
      </c>
      <c r="H82" s="52" t="n"/>
      <c r="I82" s="52" t="n"/>
      <c r="J82" s="52" t="n"/>
      <c r="K82" s="52" t="n"/>
      <c r="L82" s="52" t="n"/>
      <c r="M82" s="52" t="n"/>
      <c r="N82" s="52" t="n"/>
      <c r="O82" s="52" t="n"/>
      <c r="P82" s="52" t="n"/>
      <c r="Q82" s="52" t="n"/>
      <c r="R82" s="52" t="n"/>
      <c r="S82" s="52" t="n"/>
      <c r="T82" s="52" t="n"/>
      <c r="U82" s="52" t="n"/>
      <c r="V82" s="52" t="n"/>
      <c r="W82" s="4" t="n"/>
      <c r="X82">
        <f>IF($A82="","",IFERROR(INDEX(countries!$L:$L,MATCH($C82,countries!$D:$D,0)),"VERIFY"))</f>
        <v/>
      </c>
      <c r="Y82">
        <f>IF($A82="","",IFERROR(INDEX(countries!$M:$M,MATCH($C82,countries!$D:$D,0)),"VERIFY"))</f>
        <v/>
      </c>
      <c r="Z82">
        <f>IF($A82="","",IFERROR(INDEX(HANDLERS!$B$4:$B$250,MATCH(TRIM(LEFT($D82&amp;",",FIND(",",$D82&amp;",")-1)),HANDLERS!$C$4:$C$250,0)),IFERROR(INDEX(Vendors!$B:$B,MATCH(INDEX(vendor_coverage_countries!$B:$B,MATCH(IFERROR(INDEX(countries!$C:$C,MATCH($C82,countries!$D:$D,0)),""),vendor_coverage_countries!$C:$C,0)),Vendors!$A:$A,0)),"NO VENDOR ON FILE FOR THIS STATE")))</f>
        <v/>
      </c>
      <c r="AA82">
        <f>IF($A82="","",IF(ISNUMBER(MATCH(TRIM(LEFT($D82&amp;",",FIND(",",$D82&amp;",")-1)),HANDLERS!$C$4:$C$250,0)),"HANDLERS (station "&amp;TRIM(LEFT($D82&amp;",",FIND(",",$D82&amp;",")-1))&amp;")",IF($AB82=0,"-","vendor_coverage_countries")))</f>
        <v/>
      </c>
      <c r="AB82">
        <f>IF($A82="","",COUNTIF(vendor_coverage_countries!$C:$C,IFERROR(INDEX(countries!$C:$C,MATCH($C82,countries!$D:$D,0)),"")))</f>
        <v/>
      </c>
      <c r="AC82">
        <f>IF($A82="","",IFERROR(INDEX(HANDLERS!$D$4:$D$250,MATCH(TRIM(LEFT($D82&amp;",",FIND(",",$D82&amp;",")-1)),HANDLERS!$C$4:$C$250,0)),""))</f>
        <v/>
      </c>
      <c r="AD82">
        <f>IF($A82="","",IFERROR(INDEX(HANDLERS!$E$4:$E$250,MATCH(TRIM(LEFT($D82&amp;",",FIND(",",$D82&amp;",")-1)),HANDLERS!$C$4:$C$250,0)),""))</f>
        <v/>
      </c>
    </row>
    <row r="84">
      <c r="A84" s="32" t="inlineStr">
        <is>
          <t>Service columns are driven by the services sheet: set category = GROUND and give a ground_grid_order to add or reorder a service. Enter JTL, OWN or THIRD PARTY in a cell to order it; blank means not required. Ground handling is one service per country even when several airports are involved. For finer detail enter a sub_services code (e.g. GH-DIC for de-icing).</t>
        </is>
      </c>
    </row>
    <row r="86">
      <c r="A86" s="25" t="inlineStr">
        <is>
          <t>5 · VISA &amp; IMMIGRATION   (one line per country on the ground × each nationality on board · headcount shown in the column header)</t>
        </is>
      </c>
      <c r="B86" s="25">
        <f>COUNTIFS('PAX &amp; CREW'!$B$3:$B$62,$B$5,'PAX &amp; CREW'!$C$3:$C$62,"CREW")</f>
        <v/>
      </c>
      <c r="C86" s="25" t="n"/>
      <c r="D86" s="25" t="n"/>
      <c r="E86" s="25" t="n"/>
      <c r="F86" s="25" t="n"/>
      <c r="G86" s="25" t="n"/>
      <c r="H86" s="25" t="n"/>
      <c r="I86" s="25" t="n"/>
      <c r="J86" s="25" t="n"/>
    </row>
    <row r="87">
      <c r="A87" s="46" t="inlineStr">
        <is>
          <t>STOP</t>
        </is>
      </c>
      <c r="B87" s="46" t="inlineStr">
        <is>
          <t>COUNTRY</t>
        </is>
      </c>
      <c r="C87" s="46" t="inlineStr">
        <is>
          <t>ISO3</t>
        </is>
      </c>
      <c r="D87" s="46" t="inlineStr">
        <is>
          <t>LEGS</t>
        </is>
      </c>
      <c r="E87" s="46">
        <f>IFERROR(INDEX($AH$18:$AH$37,MATCH(COLUMN()-4,$AJ$18:$AJ$37,0))&amp;" ("&amp;COUNTIFS('PAX &amp; CREW'!$B$3:$B$62,$B$5,'PAX &amp; CREW'!$L$3:$L$62,INDEX($AH$18:$AH$37,MATCH(COLUMN()-4,$AJ$18:$AJ$37,0)))&amp;")","")</f>
        <v/>
      </c>
      <c r="F87" s="46">
        <f>IFERROR(INDEX($AH$18:$AH$37,MATCH(COLUMN()-4,$AJ$18:$AJ$37,0))&amp;" ("&amp;COUNTIFS('PAX &amp; CREW'!$B$3:$B$62,$B$5,'PAX &amp; CREW'!$L$3:$L$62,INDEX($AH$18:$AH$37,MATCH(COLUMN()-4,$AJ$18:$AJ$37,0)))&amp;")","")</f>
        <v/>
      </c>
      <c r="G87" s="46">
        <f>IFERROR(INDEX($AH$18:$AH$37,MATCH(COLUMN()-4,$AJ$18:$AJ$37,0))&amp;" ("&amp;COUNTIFS('PAX &amp; CREW'!$B$3:$B$62,$B$5,'PAX &amp; CREW'!$L$3:$L$62,INDEX($AH$18:$AH$37,MATCH(COLUMN()-4,$AJ$18:$AJ$37,0)))&amp;")","")</f>
        <v/>
      </c>
      <c r="H87" s="46">
        <f>IFERROR(INDEX($AH$18:$AH$37,MATCH(COLUMN()-4,$AJ$18:$AJ$37,0))&amp;" ("&amp;COUNTIFS('PAX &amp; CREW'!$B$3:$B$62,$B$5,'PAX &amp; CREW'!$L$3:$L$62,INDEX($AH$18:$AH$37,MATCH(COLUMN()-4,$AJ$18:$AJ$37,0)))&amp;")","")</f>
        <v/>
      </c>
      <c r="I87" s="46">
        <f>IFERROR(INDEX($AH$18:$AH$37,MATCH(COLUMN()-4,$AJ$18:$AJ$37,0))&amp;" ("&amp;COUNTIFS('PAX &amp; CREW'!$B$3:$B$62,$B$5,'PAX &amp; CREW'!$L$3:$L$62,INDEX($AH$18:$AH$37,MATCH(COLUMN()-4,$AJ$18:$AJ$37,0)))&amp;")","")</f>
        <v/>
      </c>
      <c r="J87" s="46">
        <f>IFERROR(INDEX($AH$18:$AH$37,MATCH(COLUMN()-4,$AJ$18:$AJ$37,0))&amp;" ("&amp;COUNTIFS('PAX &amp; CREW'!$B$3:$B$62,$B$5,'PAX &amp; CREW'!$L$3:$L$62,INDEX($AH$18:$AH$37,MATCH(COLUMN()-4,$AJ$18:$AJ$37,0)))&amp;")","")</f>
        <v/>
      </c>
    </row>
    <row r="88">
      <c r="A88" s="1">
        <f>IF(ROW()-87&gt;SUM($AO$18:$AO$26),"",ROW()-87)</f>
        <v/>
      </c>
      <c r="B88">
        <f>IF($A88="","",IFERROR(INDEX(countries!$B:$B,MATCH($C88,countries!$D:$D,0)),$C88))</f>
        <v/>
      </c>
      <c r="C88">
        <f>IF($A88="","",INDEX($AK$18:$AK$26,MATCH($A88,$AP$18:$AP$26,0)))</f>
        <v/>
      </c>
      <c r="D88">
        <f t="array" ref="D88">IF($A88="","",_xlfn.TEXTJOIN(", ",TRUE,IF($AK$18:$AK$26=$C88,$AM$18:$AM$26,"")))</f>
        <v/>
      </c>
      <c r="E88" s="65">
        <f t="array" ref="E88">IF(OR($A88="",E$87=""),"",_xlfn.LET(_xlpm.nat,INDEX($AH$18:$AH$37,MATCH(COLUMN()-4,$AJ$18:$AJ$37,0)),_xlpm.ctry,$B88,_xlpm.apt,IFERROR(INDEX('VISA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88" s="65">
        <f t="array" ref="F88">IF(OR($A88="",F$87=""),"",_xlfn.LET(_xlpm.nat,INDEX($AH$18:$AH$37,MATCH(COLUMN()-4,$AJ$18:$AJ$37,0)),_xlpm.ctry,$B88,_xlpm.apt,IFERROR(INDEX('VISA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88" s="65">
        <f t="array" ref="G88">IF(OR($A88="",G$87=""),"",_xlfn.LET(_xlpm.nat,INDEX($AH$18:$AH$37,MATCH(COLUMN()-4,$AJ$18:$AJ$37,0)),_xlpm.ctry,$B88,_xlpm.apt,IFERROR(INDEX('VISA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88" s="65">
        <f t="array" ref="H88">IF(OR($A88="",H$87=""),"",_xlfn.LET(_xlpm.nat,INDEX($AH$18:$AH$37,MATCH(COLUMN()-4,$AJ$18:$AJ$37,0)),_xlpm.ctry,$B88,_xlpm.apt,IFERROR(INDEX('VISA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88" s="65">
        <f t="array" ref="I88">IF(OR($A88="",I$87=""),"",_xlfn.LET(_xlpm.nat,INDEX($AH$18:$AH$37,MATCH(COLUMN()-4,$AJ$18:$AJ$37,0)),_xlpm.ctry,$B88,_xlpm.apt,IFERROR(INDEX('VISA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88" s="65">
        <f t="array" ref="J88">IF(OR($A88="",J$87=""),"",_xlfn.LET(_xlpm.nat,INDEX($AH$18:$AH$37,MATCH(COLUMN()-4,$AJ$18:$AJ$37,0)),_xlpm.ctry,$B88,_xlpm.apt,IFERROR(INDEX('VISA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89">
      <c r="A89" s="1">
        <f>IF(ROW()-87&gt;SUM($AO$18:$AO$26),"",ROW()-87)</f>
        <v/>
      </c>
      <c r="B89">
        <f>IF($A89="","",IFERROR(INDEX(countries!$B:$B,MATCH($C89,countries!$D:$D,0)),$C89))</f>
        <v/>
      </c>
      <c r="C89">
        <f>IF($A89="","",INDEX($AK$18:$AK$26,MATCH($A89,$AP$18:$AP$26,0)))</f>
        <v/>
      </c>
      <c r="D89">
        <f t="array" ref="D89">IF($A89="","",_xlfn.TEXTJOIN(", ",TRUE,IF($AK$18:$AK$26=$C89,$AM$18:$AM$26,"")))</f>
        <v/>
      </c>
      <c r="E89" s="65">
        <f t="array" ref="E89">IF(OR($A89="",E$87=""),"",_xlfn.LET(_xlpm.nat,INDEX($AH$18:$AH$37,MATCH(COLUMN()-4,$AJ$18:$AJ$37,0)),_xlpm.ctry,$B89,_xlpm.apt,IFERROR(INDEX('VISA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89" s="65">
        <f t="array" ref="F89">IF(OR($A89="",F$87=""),"",_xlfn.LET(_xlpm.nat,INDEX($AH$18:$AH$37,MATCH(COLUMN()-4,$AJ$18:$AJ$37,0)),_xlpm.ctry,$B89,_xlpm.apt,IFERROR(INDEX('VISA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89" s="65">
        <f t="array" ref="G89">IF(OR($A89="",G$87=""),"",_xlfn.LET(_xlpm.nat,INDEX($AH$18:$AH$37,MATCH(COLUMN()-4,$AJ$18:$AJ$37,0)),_xlpm.ctry,$B89,_xlpm.apt,IFERROR(INDEX('VISA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89" s="65">
        <f t="array" ref="H89">IF(OR($A89="",H$87=""),"",_xlfn.LET(_xlpm.nat,INDEX($AH$18:$AH$37,MATCH(COLUMN()-4,$AJ$18:$AJ$37,0)),_xlpm.ctry,$B89,_xlpm.apt,IFERROR(INDEX('VISA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89" s="65">
        <f t="array" ref="I89">IF(OR($A89="",I$87=""),"",_xlfn.LET(_xlpm.nat,INDEX($AH$18:$AH$37,MATCH(COLUMN()-4,$AJ$18:$AJ$37,0)),_xlpm.ctry,$B89,_xlpm.apt,IFERROR(INDEX('VISA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89" s="65">
        <f t="array" ref="J89">IF(OR($A89="",J$87=""),"",_xlfn.LET(_xlpm.nat,INDEX($AH$18:$AH$37,MATCH(COLUMN()-4,$AJ$18:$AJ$37,0)),_xlpm.ctry,$B89,_xlpm.apt,IFERROR(INDEX('VISA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0">
      <c r="A90" s="1">
        <f>IF(ROW()-87&gt;SUM($AO$18:$AO$26),"",ROW()-87)</f>
        <v/>
      </c>
      <c r="B90">
        <f>IF($A90="","",IFERROR(INDEX(countries!$B:$B,MATCH($C90,countries!$D:$D,0)),$C90))</f>
        <v/>
      </c>
      <c r="C90">
        <f>IF($A90="","",INDEX($AK$18:$AK$26,MATCH($A90,$AP$18:$AP$26,0)))</f>
        <v/>
      </c>
      <c r="D90">
        <f t="array" ref="D90">IF($A90="","",_xlfn.TEXTJOIN(", ",TRUE,IF($AK$18:$AK$26=$C90,$AM$18:$AM$26,"")))</f>
        <v/>
      </c>
      <c r="E90" s="65">
        <f t="array" ref="E90">IF(OR($A90="",E$87=""),"",_xlfn.LET(_xlpm.nat,INDEX($AH$18:$AH$37,MATCH(COLUMN()-4,$AJ$18:$AJ$37,0)),_xlpm.ctry,$B90,_xlpm.apt,IFERROR(INDEX('VISA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90" s="65">
        <f t="array" ref="F90">IF(OR($A90="",F$87=""),"",_xlfn.LET(_xlpm.nat,INDEX($AH$18:$AH$37,MATCH(COLUMN()-4,$AJ$18:$AJ$37,0)),_xlpm.ctry,$B90,_xlpm.apt,IFERROR(INDEX('VISA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90" s="65">
        <f t="array" ref="G90">IF(OR($A90="",G$87=""),"",_xlfn.LET(_xlpm.nat,INDEX($AH$18:$AH$37,MATCH(COLUMN()-4,$AJ$18:$AJ$37,0)),_xlpm.ctry,$B90,_xlpm.apt,IFERROR(INDEX('VISA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90" s="65">
        <f t="array" ref="H90">IF(OR($A90="",H$87=""),"",_xlfn.LET(_xlpm.nat,INDEX($AH$18:$AH$37,MATCH(COLUMN()-4,$AJ$18:$AJ$37,0)),_xlpm.ctry,$B90,_xlpm.apt,IFERROR(INDEX('VISA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0" s="65">
        <f t="array" ref="I90">IF(OR($A90="",I$87=""),"",_xlfn.LET(_xlpm.nat,INDEX($AH$18:$AH$37,MATCH(COLUMN()-4,$AJ$18:$AJ$37,0)),_xlpm.ctry,$B90,_xlpm.apt,IFERROR(INDEX('VISA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0" s="65">
        <f t="array" ref="J90">IF(OR($A90="",J$87=""),"",_xlfn.LET(_xlpm.nat,INDEX($AH$18:$AH$37,MATCH(COLUMN()-4,$AJ$18:$AJ$37,0)),_xlpm.ctry,$B90,_xlpm.apt,IFERROR(INDEX('VISA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1">
      <c r="A91" s="1">
        <f>IF(ROW()-87&gt;SUM($AO$18:$AO$26),"",ROW()-87)</f>
        <v/>
      </c>
      <c r="B91">
        <f>IF($A91="","",IFERROR(INDEX(countries!$B:$B,MATCH($C91,countries!$D:$D,0)),$C91))</f>
        <v/>
      </c>
      <c r="C91">
        <f>IF($A91="","",INDEX($AK$18:$AK$26,MATCH($A91,$AP$18:$AP$26,0)))</f>
        <v/>
      </c>
      <c r="D91">
        <f t="array" ref="D91">IF($A91="","",_xlfn.TEXTJOIN(", ",TRUE,IF($AK$18:$AK$26=$C91,$AM$18:$AM$26,"")))</f>
        <v/>
      </c>
      <c r="E91" s="65">
        <f t="array" ref="E91">IF(OR($A91="",E$87=""),"",_xlfn.LET(_xlpm.nat,INDEX($AH$18:$AH$37,MATCH(COLUMN()-4,$AJ$18:$AJ$37,0)),_xlpm.ctry,$B91,_xlpm.apt,IFERROR(INDEX('VISA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91" s="65">
        <f t="array" ref="F91">IF(OR($A91="",F$87=""),"",_xlfn.LET(_xlpm.nat,INDEX($AH$18:$AH$37,MATCH(COLUMN()-4,$AJ$18:$AJ$37,0)),_xlpm.ctry,$B91,_xlpm.apt,IFERROR(INDEX('VISA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91" s="65">
        <f t="array" ref="G91">IF(OR($A91="",G$87=""),"",_xlfn.LET(_xlpm.nat,INDEX($AH$18:$AH$37,MATCH(COLUMN()-4,$AJ$18:$AJ$37,0)),_xlpm.ctry,$B91,_xlpm.apt,IFERROR(INDEX('VISA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91" s="65">
        <f t="array" ref="H91">IF(OR($A91="",H$87=""),"",_xlfn.LET(_xlpm.nat,INDEX($AH$18:$AH$37,MATCH(COLUMN()-4,$AJ$18:$AJ$37,0)),_xlpm.ctry,$B91,_xlpm.apt,IFERROR(INDEX('VISA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1" s="65">
        <f t="array" ref="I91">IF(OR($A91="",I$87=""),"",_xlfn.LET(_xlpm.nat,INDEX($AH$18:$AH$37,MATCH(COLUMN()-4,$AJ$18:$AJ$37,0)),_xlpm.ctry,$B91,_xlpm.apt,IFERROR(INDEX('VISA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1" s="65">
        <f t="array" ref="J91">IF(OR($A91="",J$87=""),"",_xlfn.LET(_xlpm.nat,INDEX($AH$18:$AH$37,MATCH(COLUMN()-4,$AJ$18:$AJ$37,0)),_xlpm.ctry,$B91,_xlpm.apt,IFERROR(INDEX('VISA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2">
      <c r="A92" s="1">
        <f>IF(ROW()-87&gt;SUM($AO$18:$AO$26),"",ROW()-87)</f>
        <v/>
      </c>
      <c r="B92">
        <f>IF($A92="","",IFERROR(INDEX(countries!$B:$B,MATCH($C92,countries!$D:$D,0)),$C92))</f>
        <v/>
      </c>
      <c r="C92">
        <f>IF($A92="","",INDEX($AK$18:$AK$26,MATCH($A92,$AP$18:$AP$26,0)))</f>
        <v/>
      </c>
      <c r="D92">
        <f t="array" ref="D92">IF($A92="","",_xlfn.TEXTJOIN(", ",TRUE,IF($AK$18:$AK$26=$C92,$AM$18:$AM$26,"")))</f>
        <v/>
      </c>
      <c r="E92" s="65">
        <f t="array" ref="E92">IF(OR($A92="",E$87=""),"",_xlfn.LET(_xlpm.nat,INDEX($AH$18:$AH$37,MATCH(COLUMN()-4,$AJ$18:$AJ$37,0)),_xlpm.ctry,$B92,_xlpm.apt,IFERROR(INDEX('VISA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F92" s="65">
        <f t="array" ref="F92">IF(OR($A92="",F$87=""),"",_xlfn.LET(_xlpm.nat,INDEX($AH$18:$AH$37,MATCH(COLUMN()-4,$AJ$18:$AJ$37,0)),_xlpm.ctry,$B92,_xlpm.apt,IFERROR(INDEX('VISA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G92" s="65">
        <f t="array" ref="G92">IF(OR($A92="",G$87=""),"",_xlfn.LET(_xlpm.nat,INDEX($AH$18:$AH$37,MATCH(COLUMN()-4,$AJ$18:$AJ$37,0)),_xlpm.ctry,$B92,_xlpm.apt,IFERROR(INDEX('VISA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H92" s="65">
        <f t="array" ref="H92">IF(OR($A92="",H$87=""),"",_xlfn.LET(_xlpm.nat,INDEX($AH$18:$AH$37,MATCH(COLUMN()-4,$AJ$18:$AJ$37,0)),_xlpm.ctry,$B92,_xlpm.apt,IFERROR(INDEX('VISA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I92" s="65">
        <f t="array" ref="I92">IF(OR($A92="",I$87=""),"",_xlfn.LET(_xlpm.nat,INDEX($AH$18:$AH$37,MATCH(COLUMN()-4,$AJ$18:$AJ$37,0)),_xlpm.ctry,$B92,_xlpm.apt,IFERROR(INDEX('VISA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c r="J92" s="65">
        <f t="array" ref="J92">IF(OR($A92="",J$87=""),"",_xlfn.LET(_xlpm.nat,INDEX($AH$18:$AH$37,MATCH(COLUMN()-4,$AJ$18:$AJ$37,0)),_xlpm.ctry,$B92,_xlpm.apt,IFERROR(INDEX('VISA RULES'!$E$2:$E$400,SUMPRODUCT(MATCH(1,('VISA RULES'!$B$2:$B$400=_xlpm.ctry)*('VISA RULES'!$C$2:$C$400=_xlpm.nat)*('VISA RULES'!$A$2:$A$400&lt;&gt;""),0))),""),_xlpm.rule,IFERROR(INDEX('VISA RULES'!$E$2:$E$400,SUMPRODUCT(MATCH(1,('VISA RULES'!$B$2:$B$400=_xlpm.ctry)*('VISA RULES'!$C$2:$C$400=_xlpm.nat)*('VISA RULES'!$A$2:$A$400=""),0))),""),_xlpm.mtx,IFERROR(INDEX('VISA MATRIX'!$B$4:$FS$145,MATCH(_xlpm.ctry,'VISA MATRIX'!$A$4:$A$145,0),MATCH(_xlpm.nat,'VISA MATRIX'!$B$3:$FS$3,0)),""),IF(_xlpm.apt&lt;&gt;"",_xlpm.apt&amp;" (APT OVERRIDE)",IF(_xlpm.rule&lt;&gt;"",_xlpm.rule,IF(_xlpm.mtx&lt;&gt;"",_xlpm.mtx,"NOT ON FILE - VERIFY")))))</f>
        <v/>
      </c>
    </row>
    <row r="93">
      <c r="A93" s="1">
        <f>IF(ROW()-87&gt;SUM($AO$18:$AO$26),"",ROW()-87)</f>
        <v/>
      </c>
      <c r="B93">
        <f>IF($A93="","",IFERROR(INDEX(countries!$B:$B,MATCH($C93,countries!$D:$D,0)),$C93))</f>
        <v/>
      </c>
      <c r="C93">
        <f>IF($A93="","",INDEX($AK$18:$AK$26,MATCH($A93,$AP$18:$AP$26,0)))</f>
        <v/>
      </c>
      <c r="D93">
        <f t="array" ref="D93">IF($A93="","",_xlfn.TEXTJOIN(", ",TRUE,IF($AK$18:$AK$26=$C93,$AM$18:$AM$26,"")))</f>
        <v/>
      </c>
      <c r="E93" s="65">
        <f t="array" ref="E93">IF(OR($A93="",E$87=""),"",IF(IFERROR(INDEX('VISA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F93" s="65">
        <f t="array" ref="F93">IF(OR($A93="",F$87=""),"",IF(IFERROR(INDEX('VISA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G93" s="65">
        <f t="array" ref="G93">IF(OR($A93="",G$87=""),"",IF(IFERROR(INDEX('VISA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H93" s="65">
        <f t="array" ref="H93">IF(OR($A93="",H$87=""),"",IF(IFERROR(INDEX('VISA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I93" s="65">
        <f t="array" ref="I93">IF(OR($A93="",I$87=""),"",IF(IFERROR(INDEX('VISA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c r="J93" s="65">
        <f t="array" ref="J93">IF(OR($A93="",J$87=""),"",IF(IFERROR(INDEX('VISA MATRIX'!$B$4:$FS$145,MATCH($B93,'VISA MATRIX'!$A$4:$A$145,0),MATCH(INDEX($AH$18:$AH$37,MATCH(COLUMN()-4,$AJ$18:$AJ$37,0)),'VISA MATRIX'!$B$3:$FS$3,0)),"")&lt;&gt;"",IFERROR(INDEX('VISA MATRIX'!$B$4:$FS$145,MATCH($B93,'VISA MATRIX'!$A$4:$A$145,0),MATCH(INDEX($AH$18:$AH$37,MATCH(COLUMN()-4,$AJ$18:$AJ$37,0)),'VISA MATRIX'!$B$3:$FS$3,0)),""),IF(IFERROR(INDEX('VISA RULES'!$E$2:$E$400,SUMPRODUCT(MATCH(1,($B93='VISA RULES'!$B$2:$B$400)*(INDEX($AH$18:$AH$37,MATCH(COLUMN()-4,$AJ$18:$AJ$37,0))='VISA RULES'!$C$2:$C$400),0))),"")&lt;&gt;"",IFERROR(INDEX('VISA RULES'!$E$2:$E$400,SUMPRODUCT(MATCH(1,($B93='VISA RULES'!$B$2:$B$400)*(INDEX($AH$18:$AH$37,MATCH(COLUMN()-4,$AJ$18:$AJ$37,0))='VISA RULES'!$C$2:$C$400),0))),""),"NOT ON FILE - VERIFY")))</f>
        <v/>
      </c>
    </row>
    <row r="94">
      <c r="A94">
        <f>IF(ROW()-87&gt;SUM($AO$18:$AO$26),"",ROW()-87)</f>
        <v/>
      </c>
      <c r="B94">
        <f>IF($A94="","",IFERROR(INDEX(countries!$B:$B,MATCH($C94,countries!$D:$D,0)),$C94))</f>
        <v/>
      </c>
      <c r="C94">
        <f>IF($A94="","",INDEX($AK$18:$AK$26,MATCH($A94,$AP$18:$AP$26,0)))</f>
        <v/>
      </c>
      <c r="D94">
        <f t="array" ref="D94">IF($A94="","",_xlfn.TEXTJOIN(", ",TRUE,IF($AK$18:$AK$26=$C94,$AM$18:$AM$26,"")))</f>
        <v/>
      </c>
      <c r="E94" s="65">
        <f t="array" ref="E94">IF(OR($A94="",E$87=""),"",IF(IFERROR(INDEX('VISA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F94" s="65">
        <f t="array" ref="F94">IF(OR($A94="",F$87=""),"",IF(IFERROR(INDEX('VISA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G94" s="65">
        <f t="array" ref="G94">IF(OR($A94="",G$87=""),"",IF(IFERROR(INDEX('VISA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H94" s="65">
        <f t="array" ref="H94">IF(OR($A94="",H$87=""),"",IF(IFERROR(INDEX('VISA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I94" s="65">
        <f t="array" ref="I94">IF(OR($A94="",I$87=""),"",IF(IFERROR(INDEX('VISA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c r="J94" s="65">
        <f t="array" ref="J94">IF(OR($A94="",J$87=""),"",IF(IFERROR(INDEX('VISA MATRIX'!$B$4:$FS$145,MATCH($B94,'VISA MATRIX'!$A$4:$A$145,0),MATCH(INDEX($AH$18:$AH$37,MATCH(COLUMN()-4,$AJ$18:$AJ$37,0)),'VISA MATRIX'!$B$3:$FS$3,0)),"")&lt;&gt;"",IFERROR(INDEX('VISA MATRIX'!$B$4:$FS$145,MATCH($B94,'VISA MATRIX'!$A$4:$A$145,0),MATCH(INDEX($AH$18:$AH$37,MATCH(COLUMN()-4,$AJ$18:$AJ$37,0)),'VISA MATRIX'!$B$3:$FS$3,0)),""),IF(IFERROR(INDEX('VISA RULES'!$E$2:$E$400,SUMPRODUCT(MATCH(1,($B94='VISA RULES'!$B$2:$B$400)*(INDEX($AH$18:$AH$37,MATCH(COLUMN()-4,$AJ$18:$AJ$37,0))='VISA RULES'!$C$2:$C$400),0))),"")&lt;&gt;"",IFERROR(INDEX('VISA RULES'!$E$2:$E$400,SUMPRODUCT(MATCH(1,($B94='VISA RULES'!$B$2:$B$400)*(INDEX($AH$18:$AH$37,MATCH(COLUMN()-4,$AJ$18:$AJ$37,0))='VISA RULES'!$C$2:$C$400),0))),""),"NOT ON FILE - VERIFY")))</f>
        <v/>
      </c>
    </row>
    <row r="95">
      <c r="A95" s="33">
        <f>IF(ROW()-87&gt;SUM($AO$18:$AO$26),"",ROW()-87)</f>
        <v/>
      </c>
      <c r="B95" s="33">
        <f>IF($A95="","",IFERROR(INDEX(countries!$B:$B,MATCH($C95,countries!$D:$D,0)),$C95))</f>
        <v/>
      </c>
      <c r="C95" s="33">
        <f>IF($A95="","",INDEX($AK$18:$AK$26,MATCH($A95,$AP$18:$AP$26,0)))</f>
        <v/>
      </c>
      <c r="D95" s="33">
        <f t="array" ref="D95">IF($A95="","",_xlfn.TEXTJOIN(", ",TRUE,IF($AK$18:$AK$26=$C95,$AM$18:$AM$26,"")))</f>
        <v/>
      </c>
      <c r="E95" s="66">
        <f t="array" ref="E95">IF(OR($A95="",E$87=""),"",IF(IFERROR(INDEX('VISA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F95" s="66">
        <f t="array" ref="F95">IF(OR($A95="",F$87=""),"",IF(IFERROR(INDEX('VISA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G95" s="66">
        <f t="array" ref="G95">IF(OR($A95="",G$87=""),"",IF(IFERROR(INDEX('VISA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H95" s="66">
        <f t="array" ref="H95">IF(OR($A95="",H$87=""),"",IF(IFERROR(INDEX('VISA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I95" s="66">
        <f t="array" ref="I95">IF(OR($A95="",I$87=""),"",IF(IFERROR(INDEX('VISA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J95" s="66">
        <f t="array" ref="J95">IF(OR($A95="",J$87=""),"",IF(IFERROR(INDEX('VISA MATRIX'!$B$4:$FS$145,MATCH($B95,'VISA MATRIX'!$A$4:$A$145,0),MATCH(INDEX($AH$18:$AH$37,MATCH(COLUMN()-4,$AJ$18:$AJ$37,0)),'VISA MATRIX'!$B$3:$FS$3,0)),"")&lt;&gt;"",IFERROR(INDEX('VISA MATRIX'!$B$4:$FS$145,MATCH($B95,'VISA MATRIX'!$A$4:$A$145,0),MATCH(INDEX($AH$18:$AH$37,MATCH(COLUMN()-4,$AJ$18:$AJ$37,0)),'VISA MATRIX'!$B$3:$FS$3,0)),""),IF(IFERROR(INDEX('VISA RULES'!$E$2:$E$400,SUMPRODUCT(MATCH(1,($B95='VISA RULES'!$B$2:$B$400)*(INDEX($AH$18:$AH$37,MATCH(COLUMN()-4,$AJ$18:$AJ$37,0))='VISA RULES'!$C$2:$C$400),0))),"")&lt;&gt;"",IFERROR(INDEX('VISA RULES'!$E$2:$E$400,SUMPRODUCT(MATCH(1,($B95='VISA RULES'!$B$2:$B$400)*(INDEX($AH$18:$AH$37,MATCH(COLUMN()-4,$AJ$18:$AJ$37,0))='VISA RULES'!$C$2:$C$400),0))),""),"NOT ON FILE - VERIFY")))</f>
        <v/>
      </c>
      <c r="K95" s="33" t="n"/>
      <c r="L95" s="33" t="n"/>
    </row>
    <row r="96">
      <c r="A96" s="33">
        <f>IF(ROW()-87&gt;SUM($AO$18:$AO$26),"",ROW()-87)</f>
        <v/>
      </c>
      <c r="B96" s="33">
        <f>IF($A96="","",IFERROR(INDEX(countries!$B:$B,MATCH($C96,countries!$D:$D,0)),$C96))</f>
        <v/>
      </c>
      <c r="C96" s="33">
        <f>IF($A96="","",INDEX($AK$18:$AK$26,MATCH($A96,$AP$18:$AP$26,0)))</f>
        <v/>
      </c>
      <c r="D96" s="33">
        <f t="array" ref="D96">IF($A96="","",_xlfn.TEXTJOIN(", ",TRUE,IF($AK$18:$AK$26=$C96,$AM$18:$AM$26,"")))</f>
        <v/>
      </c>
      <c r="E96" s="66">
        <f t="array" ref="E96">IF(OR($A96="",E$87=""),"",IF(IFERROR(INDEX('VISA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F96" s="66">
        <f t="array" ref="F96">IF(OR($A96="",F$87=""),"",IF(IFERROR(INDEX('VISA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G96" s="66">
        <f t="array" ref="G96">IF(OR($A96="",G$87=""),"",IF(IFERROR(INDEX('VISA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H96" s="66">
        <f t="array" ref="H96">IF(OR($A96="",H$87=""),"",IF(IFERROR(INDEX('VISA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I96" s="66">
        <f t="array" ref="I96">IF(OR($A96="",I$87=""),"",IF(IFERROR(INDEX('VISA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J96" s="66">
        <f t="array" ref="J96">IF(OR($A96="",J$87=""),"",IF(IFERROR(INDEX('VISA MATRIX'!$B$4:$FS$145,MATCH($B96,'VISA MATRIX'!$A$4:$A$145,0),MATCH(INDEX($AH$18:$AH$37,MATCH(COLUMN()-4,$AJ$18:$AJ$37,0)),'VISA MATRIX'!$B$3:$FS$3,0)),"")&lt;&gt;"",IFERROR(INDEX('VISA MATRIX'!$B$4:$FS$145,MATCH($B96,'VISA MATRIX'!$A$4:$A$145,0),MATCH(INDEX($AH$18:$AH$37,MATCH(COLUMN()-4,$AJ$18:$AJ$37,0)),'VISA MATRIX'!$B$3:$FS$3,0)),""),IF(IFERROR(INDEX('VISA RULES'!$E$2:$E$400,SUMPRODUCT(MATCH(1,($B96='VISA RULES'!$B$2:$B$400)*(INDEX($AH$18:$AH$37,MATCH(COLUMN()-4,$AJ$18:$AJ$37,0))='VISA RULES'!$C$2:$C$400),0))),"")&lt;&gt;"",IFERROR(INDEX('VISA RULES'!$E$2:$E$400,SUMPRODUCT(MATCH(1,($B96='VISA RULES'!$B$2:$B$400)*(INDEX($AH$18:$AH$37,MATCH(COLUMN()-4,$AJ$18:$AJ$37,0))='VISA RULES'!$C$2:$C$400),0))),""),"NOT ON FILE - VERIFY")))</f>
        <v/>
      </c>
      <c r="K96" s="33" t="inlineStr">
        <is>
          <t>DOCUMENT STATUS</t>
        </is>
      </c>
      <c r="L96" s="33" t="inlineStr">
        <is>
          <t>DOCS FOLDER</t>
        </is>
      </c>
    </row>
    <row r="97">
      <c r="A97" s="27" t="inlineStr">
        <is>
          <t>VISA REQUIRED ON THIS TRIP?</t>
        </is>
      </c>
      <c r="B97" s="26" t="n"/>
      <c r="C97" s="26" t="n"/>
      <c r="D97" s="26" t="n"/>
      <c r="E97" s="71">
        <f>IF(E$87="","",IF(COUNTIF(E$88:E$96,"REQUIRED")&gt;0,"YES",IF(COUNTIF(E$88:E$96,"NOT ON FILE - VERIFY")&gt;0,"VERIFY",IF(COUNTIF(E$88:E$96,"VISA ON ARRIVAL")+COUNTIF(E$88:E$96,"eVISA")&gt;0,"ON ARRIVAL / eVISA","NO"))))</f>
        <v/>
      </c>
      <c r="F97" s="27">
        <f>IF(F$87="","",IF(COUNTIF(F$88:F$96,"REQUIRED")&gt;0,"YES",IF(COUNTIF(F$88:F$96,"NOT ON FILE - VERIFY")&gt;0,"VERIFY",IF(COUNTIF(F$88:F$96,"VISA ON ARRIVAL")+COUNTIF(F$88:F$96,"eVISA")&gt;0,"ON ARRIVAL / eVISA","NO"))))</f>
        <v/>
      </c>
      <c r="G97" s="27">
        <f>IF(G$87="","",IF(COUNTIF(G$88:G$96,"REQUIRED")&gt;0,"YES",IF(COUNTIF(G$88:G$96,"NOT ON FILE - VERIFY")&gt;0,"VERIFY",IF(COUNTIF(G$88:G$96,"VISA ON ARRIVAL")+COUNTIF(G$88:G$96,"eVISA")&gt;0,"ON ARRIVAL / eVISA","NO"))))</f>
        <v/>
      </c>
      <c r="H97" s="27">
        <f>IF(H$87="","",IF(COUNTIF(H$88:H$96,"REQUIRED")&gt;0,"YES",IF(COUNTIF(H$88:H$96,"NOT ON FILE - VERIFY")&gt;0,"VERIFY",IF(COUNTIF(H$88:H$96,"VISA ON ARRIVAL")+COUNTIF(H$88:H$96,"eVISA")&gt;0,"ON ARRIVAL / eVISA","NO"))))</f>
        <v/>
      </c>
      <c r="I97" s="27">
        <f>IF(I$87="","",IF(COUNTIF(I$88:I$96,"REQUIRED")&gt;0,"YES",IF(COUNTIF(I$88:I$96,"NOT ON FILE - VERIFY")&gt;0,"VERIFY",IF(COUNTIF(I$88:I$96,"VISA ON ARRIVAL")+COUNTIF(I$88:I$96,"eVISA")&gt;0,"ON ARRIVAL / eVISA","NO"))))</f>
        <v/>
      </c>
      <c r="J97" s="27">
        <f>IF(J$87="","",IF(COUNTIF(J$88:J$96,"REQUIRED")&gt;0,"YES",IF(COUNTIF(J$88:J$96,"NOT ON FILE - VERIFY")&gt;0,"VERIFY",IF(COUNTIF(J$88:J$96,"VISA ON ARRIVAL")+COUNTIF(J$88:J$96,"eVISA")&gt;0,"ON ARRIVAL / eVISA","NO"))))</f>
        <v/>
      </c>
    </row>
    <row r="98">
      <c r="A98" s="32" t="inlineStr">
        <is>
          <t>Visa status is read from the VISA MATRIX sheet (destination state x nationality), falling back to the VISA sheet for pair-specific rules with lead time, maximum stay and airport overrides. NOT ON FILE means neither source has an answer yet. Type over a cell to override for this trip only.</t>
        </is>
      </c>
    </row>
    <row r="100">
      <c r="A100" s="25" t="inlineStr">
        <is>
          <t>6 · CREW &amp; PAX BY LEG   (a person counts on a leg when their LEGS field on the PAX &amp; CREW sheet is ALL or names that leg)</t>
        </is>
      </c>
      <c r="B100" s="25" t="n"/>
      <c r="C100" s="25" t="n"/>
      <c r="D100" s="25" t="n"/>
      <c r="E100" s="25" t="n"/>
      <c r="F100" s="25" t="n"/>
      <c r="G100" s="25" t="n"/>
      <c r="H100" s="25" t="n"/>
      <c r="I100" s="25" t="n"/>
      <c r="J100" s="25" t="n"/>
    </row>
    <row r="101">
      <c r="A101" s="46" t="inlineStr">
        <is>
          <t>LEG</t>
        </is>
      </c>
      <c r="B101" s="46" t="inlineStr">
        <is>
          <t>DEP</t>
        </is>
      </c>
      <c r="C101" s="46" t="inlineStr">
        <is>
          <t>ARR</t>
        </is>
      </c>
      <c r="D101" s="46" t="inlineStr">
        <is>
          <t>ETD (UTC)</t>
        </is>
      </c>
      <c r="E101" s="46" t="inlineStr">
        <is>
          <t>CREW</t>
        </is>
      </c>
      <c r="F101" s="46" t="inlineStr">
        <is>
          <t>PAX</t>
        </is>
      </c>
      <c r="G101" s="123" t="inlineStr">
        <is>
          <t>SOULS ON BOARD</t>
        </is>
      </c>
      <c r="H101" s="46" t="inlineStr">
        <is>
          <t>MAX PAX</t>
        </is>
      </c>
      <c r="I101" s="46" t="inlineStr">
        <is>
          <t>SEAT CHECK</t>
        </is>
      </c>
      <c r="J101" s="46" t="inlineStr">
        <is>
          <t>BILL TO</t>
        </is>
      </c>
    </row>
    <row r="102">
      <c r="A102">
        <f t="array" ref="A102">IF(INDEX($B$18:$B$25,ROW()-101)="","",INDEX($A$18:$A$25,ROW()-101))</f>
        <v/>
      </c>
      <c r="B102">
        <f t="array" ref="B102">IF($A102="","",INDEX($B$18:$B$25,ROW()-101))</f>
        <v/>
      </c>
      <c r="C102">
        <f t="array" ref="C102">IF($A102="","",INDEX($G$18:$G$25,ROW()-101))</f>
        <v/>
      </c>
      <c r="D102" s="41">
        <f t="array" ref="D102">IF($A102="","",INDEX($E$18:$E$25,ROW()-101)+INDEX($F$18:$F$25,ROW()-101))</f>
        <v/>
      </c>
      <c r="E102" s="43">
        <f t="array" ref="E102">IF($A102="","",SUMPRODUCT(('PAX &amp; CREW'!$B$3:$B$62=$B$5)*('PAX &amp; CREW'!$C$3:$C$62="CREW")*(((UPPER('PAX &amp; CREW'!$E$3:$E$62)="ALL")+ISNUMBER(SEARCH($A102,'PAX &amp; CREW'!$E$3:$E$62)))&gt;0)))</f>
        <v/>
      </c>
      <c r="F102" s="43">
        <f t="array" ref="F102">IF($A102="","",SUMPRODUCT(('PAX &amp; CREW'!$B$3:$B$62=$B$5)*('PAX &amp; CREW'!$C$3:$C$62="PAX")*(((UPPER('PAX &amp; CREW'!$E$3:$E$62)="ALL")+ISNUMBER(SEARCH($A102,'PAX &amp; CREW'!$E$3:$E$62)))&gt;0)))</f>
        <v/>
      </c>
      <c r="G102" s="43">
        <f>IF($A102="","",$E102+$F102)</f>
        <v/>
      </c>
      <c r="H102" s="43">
        <f>IF($A102="","",IFERROR(INDEX(Aircraft!$I:$I,MATCH($B$7,Aircraft!$B:$B,0)),"NOT IN FLEET"))</f>
        <v/>
      </c>
      <c r="I102">
        <f>IF($A102="","",IF($H102="NOT IN FLEET","CANNOT CHECK",IF($F102&gt;$H102,"OVER CAPACITY","OK")))</f>
        <v/>
      </c>
      <c r="J102">
        <f t="array" ref="J102">IF($A102="","",INDEX($N$18:$N$25,ROW()-101))</f>
        <v/>
      </c>
    </row>
    <row r="103">
      <c r="A103">
        <f t="array" ref="A103">IF(INDEX($B$18:$B$25,ROW()-101)="","",INDEX($A$18:$A$25,ROW()-101))</f>
        <v/>
      </c>
      <c r="B103">
        <f t="array" ref="B103">IF($A103="","",INDEX($B$18:$B$25,ROW()-101))</f>
        <v/>
      </c>
      <c r="C103">
        <f t="array" ref="C103">IF($A103="","",INDEX($G$18:$G$25,ROW()-101))</f>
        <v/>
      </c>
      <c r="D103" s="41">
        <f t="array" ref="D103">IF($A103="","",INDEX($E$18:$E$25,ROW()-101)+INDEX($F$18:$F$25,ROW()-101))</f>
        <v/>
      </c>
      <c r="E103" s="43">
        <f t="array" ref="E103">IF($A103="","",SUMPRODUCT(('PAX &amp; CREW'!$B$3:$B$62=$B$5)*('PAX &amp; CREW'!$C$3:$C$62="CREW")*(((UPPER('PAX &amp; CREW'!$E$3:$E$62)="ALL")+ISNUMBER(SEARCH($A103,'PAX &amp; CREW'!$E$3:$E$62)))&gt;0)))</f>
        <v/>
      </c>
      <c r="F103" s="43">
        <f t="array" ref="F103">IF($A103="","",SUMPRODUCT(('PAX &amp; CREW'!$B$3:$B$62=$B$5)*('PAX &amp; CREW'!$C$3:$C$62="PAX")*(((UPPER('PAX &amp; CREW'!$E$3:$E$62)="ALL")+ISNUMBER(SEARCH($A103,'PAX &amp; CREW'!$E$3:$E$62)))&gt;0)))</f>
        <v/>
      </c>
      <c r="G103" s="43">
        <f>IF($A103="","",$E103+$F103)</f>
        <v/>
      </c>
      <c r="H103" s="43">
        <f>IF($A103="","",IFERROR(INDEX(Aircraft!$I:$I,MATCH($B$7,Aircraft!$B:$B,0)),"NOT IN FLEET"))</f>
        <v/>
      </c>
      <c r="I103">
        <f>IF($A103="","",IF($H103="NOT IN FLEET","CANNOT CHECK",IF($F103&gt;$H103,"OVER CAPACITY","OK")))</f>
        <v/>
      </c>
      <c r="J103">
        <f t="array" ref="J103">IF($A103="","",INDEX($N$18:$N$25,ROW()-101))</f>
        <v/>
      </c>
    </row>
    <row r="104">
      <c r="A104">
        <f t="array" ref="A104">IF(INDEX($B$18:$B$25,ROW()-101)="","",INDEX($A$18:$A$25,ROW()-101))</f>
        <v/>
      </c>
      <c r="B104">
        <f t="array" ref="B104">IF($A104="","",INDEX($B$18:$B$25,ROW()-101))</f>
        <v/>
      </c>
      <c r="C104">
        <f t="array" ref="C104">IF($A104="","",INDEX($G$18:$G$25,ROW()-101))</f>
        <v/>
      </c>
      <c r="D104" s="41">
        <f t="array" ref="D104">IF($A104="","",INDEX($E$18:$E$25,ROW()-101)+INDEX($F$18:$F$25,ROW()-101))</f>
        <v/>
      </c>
      <c r="E104" s="43">
        <f t="array" ref="E104">IF($A104="","",SUMPRODUCT(('PAX &amp; CREW'!$B$3:$B$62=$B$5)*('PAX &amp; CREW'!$C$3:$C$62="CREW")*(((UPPER('PAX &amp; CREW'!$E$3:$E$62)="ALL")+ISNUMBER(SEARCH($A104,'PAX &amp; CREW'!$E$3:$E$62)))&gt;0)))</f>
        <v/>
      </c>
      <c r="F104" s="43">
        <f t="array" ref="F104">IF($A104="","",SUMPRODUCT(('PAX &amp; CREW'!$B$3:$B$62=$B$5)*('PAX &amp; CREW'!$C$3:$C$62="PAX")*(((UPPER('PAX &amp; CREW'!$E$3:$E$62)="ALL")+ISNUMBER(SEARCH($A104,'PAX &amp; CREW'!$E$3:$E$62)))&gt;0)))</f>
        <v/>
      </c>
      <c r="G104" s="43">
        <f>IF($A104="","",$E104+$F104)</f>
        <v/>
      </c>
      <c r="H104" s="43">
        <f>IF($A104="","",IFERROR(INDEX(Aircraft!$I:$I,MATCH($B$7,Aircraft!$B:$B,0)),"NOT IN FLEET"))</f>
        <v/>
      </c>
      <c r="I104">
        <f>IF($A104="","",IF($H104="NOT IN FLEET","CANNOT CHECK",IF($F104&gt;$H104,"OVER CAPACITY","OK")))</f>
        <v/>
      </c>
      <c r="J104">
        <f t="array" ref="J104">IF($A104="","",INDEX($N$18:$N$25,ROW()-101))</f>
        <v/>
      </c>
    </row>
    <row r="105">
      <c r="A105">
        <f t="array" ref="A105">IF(INDEX($B$18:$B$25,ROW()-101)="","",INDEX($A$18:$A$25,ROW()-101))</f>
        <v/>
      </c>
      <c r="B105">
        <f t="array" ref="B105">IF($A105="","",INDEX($B$18:$B$25,ROW()-101))</f>
        <v/>
      </c>
      <c r="C105">
        <f t="array" ref="C105">IF($A105="","",INDEX($G$18:$G$25,ROW()-101))</f>
        <v/>
      </c>
      <c r="D105" s="41">
        <f t="array" ref="D105">IF($A105="","",INDEX($E$18:$E$25,ROW()-101)+INDEX($F$18:$F$25,ROW()-101))</f>
        <v/>
      </c>
      <c r="E105" s="43">
        <f t="array" ref="E105">IF($A105="","",SUMPRODUCT(('PAX &amp; CREW'!$B$3:$B$62=$B$5)*('PAX &amp; CREW'!$C$3:$C$62="CREW")*(((UPPER('PAX &amp; CREW'!$E$3:$E$62)="ALL")+ISNUMBER(SEARCH($A105,'PAX &amp; CREW'!$E$3:$E$62)))&gt;0)))</f>
        <v/>
      </c>
      <c r="F105" s="43">
        <f t="array" ref="F105">IF($A105="","",SUMPRODUCT(('PAX &amp; CREW'!$B$3:$B$62=$B$5)*('PAX &amp; CREW'!$C$3:$C$62="PAX")*(((UPPER('PAX &amp; CREW'!$E$3:$E$62)="ALL")+ISNUMBER(SEARCH($A105,'PAX &amp; CREW'!$E$3:$E$62)))&gt;0)))</f>
        <v/>
      </c>
      <c r="G105" s="43">
        <f>IF($A105="","",$E105+$F105)</f>
        <v/>
      </c>
      <c r="H105" s="43">
        <f>IF($A105="","",IFERROR(INDEX(Aircraft!$I:$I,MATCH($B$7,Aircraft!$B:$B,0)),"NOT IN FLEET"))</f>
        <v/>
      </c>
      <c r="I105">
        <f>IF($A105="","",IF($H105="NOT IN FLEET","CANNOT CHECK",IF($F105&gt;$H105,"OVER CAPACITY","OK")))</f>
        <v/>
      </c>
      <c r="J105">
        <f t="array" ref="J105">IF($A105="","",INDEX($N$18:$N$25,ROW()-101))</f>
        <v/>
      </c>
    </row>
    <row r="106">
      <c r="A106">
        <f t="array" ref="A106">IF(INDEX($B$18:$B$25,ROW()-101)="","",INDEX($A$18:$A$25,ROW()-101))</f>
        <v/>
      </c>
      <c r="B106">
        <f t="array" ref="B106">IF($A106="","",INDEX($B$18:$B$25,ROW()-101))</f>
        <v/>
      </c>
      <c r="C106">
        <f t="array" ref="C106">IF($A106="","",INDEX($G$18:$G$25,ROW()-101))</f>
        <v/>
      </c>
      <c r="D106" s="41">
        <f t="array" ref="D106">IF($A106="","",INDEX($E$18:$E$25,ROW()-101)+INDEX($F$18:$F$25,ROW()-101))</f>
        <v/>
      </c>
      <c r="E106" s="43">
        <f t="array" ref="E106">IF($A106="","",SUMPRODUCT(('PAX &amp; CREW'!$B$3:$B$62=$B$5)*('PAX &amp; CREW'!$C$3:$C$62="CREW")*(((UPPER('PAX &amp; CREW'!$E$3:$E$62)="ALL")+ISNUMBER(SEARCH($A106,'PAX &amp; CREW'!$E$3:$E$62)))&gt;0)))</f>
        <v/>
      </c>
      <c r="F106" s="43">
        <f t="array" ref="F106">IF($A106="","",SUMPRODUCT(('PAX &amp; CREW'!$B$3:$B$62=$B$5)*('PAX &amp; CREW'!$C$3:$C$62="PAX")*(((UPPER('PAX &amp; CREW'!$E$3:$E$62)="ALL")+ISNUMBER(SEARCH($A106,'PAX &amp; CREW'!$E$3:$E$62)))&gt;0)))</f>
        <v/>
      </c>
      <c r="G106" s="43">
        <f>IF($A106="","",$E106+$F106)</f>
        <v/>
      </c>
      <c r="H106" s="43">
        <f>IF($A106="","",IFERROR(INDEX(Aircraft!$I:$I,MATCH($B$7,Aircraft!$B:$B,0)),"NOT IN FLEET"))</f>
        <v/>
      </c>
      <c r="I106">
        <f>IF($A106="","",IF($H106="NOT IN FLEET","CANNOT CHECK",IF($F106&gt;$H106,"OVER CAPACITY","OK")))</f>
        <v/>
      </c>
      <c r="J106">
        <f t="array" ref="J106">IF($A106="","",INDEX($N$18:$N$25,ROW()-101))</f>
        <v/>
      </c>
    </row>
    <row r="107">
      <c r="A107">
        <f t="array" ref="A107">IF(INDEX($B$18:$B$25,ROW()-101)="","",INDEX($A$18:$A$25,ROW()-101))</f>
        <v/>
      </c>
      <c r="B107">
        <f t="array" ref="B107">IF($A107="","",INDEX($B$18:$B$25,ROW()-101))</f>
        <v/>
      </c>
      <c r="C107">
        <f t="array" ref="C107">IF($A107="","",INDEX($G$18:$G$25,ROW()-101))</f>
        <v/>
      </c>
      <c r="D107" s="41">
        <f t="array" ref="D107">IF($A107="","",INDEX($E$18:$E$25,ROW()-101)+INDEX($F$18:$F$25,ROW()-101))</f>
        <v/>
      </c>
      <c r="E107" s="43">
        <f t="array" ref="E107">IF($A107="","",SUMPRODUCT(('PAX &amp; CREW'!$B$3:$B$62=$B$5)*('PAX &amp; CREW'!$C$3:$C$62="CREW")*(((UPPER('PAX &amp; CREW'!$E$3:$E$62)="ALL")+ISNUMBER(SEARCH($A107,'PAX &amp; CREW'!$E$3:$E$62)))&gt;0)))</f>
        <v/>
      </c>
      <c r="F107" s="43">
        <f t="array" ref="F107">IF($A107="","",SUMPRODUCT(('PAX &amp; CREW'!$B$3:$B$62=$B$5)*('PAX &amp; CREW'!$C$3:$C$62="PAX")*(((UPPER('PAX &amp; CREW'!$E$3:$E$62)="ALL")+ISNUMBER(SEARCH($A107,'PAX &amp; CREW'!$E$3:$E$62)))&gt;0)))</f>
        <v/>
      </c>
      <c r="G107" s="43">
        <f>IF($A107="","",$E107+$F107)</f>
        <v/>
      </c>
      <c r="H107" s="43">
        <f>IF($A107="","",IFERROR(INDEX(Aircraft!$I:$I,MATCH($B$7,Aircraft!$B:$B,0)),"NOT IN FLEET"))</f>
        <v/>
      </c>
      <c r="I107">
        <f>IF($A107="","",IF($H107="NOT IN FLEET","CANNOT CHECK",IF($F107&gt;$H107,"OVER CAPACITY","OK")))</f>
        <v/>
      </c>
      <c r="J107">
        <f t="array" ref="J107">IF($A107="","",INDEX($N$18:$N$25,ROW()-101))</f>
        <v/>
      </c>
    </row>
    <row r="108">
      <c r="A108">
        <f t="array" ref="A108">IF(INDEX($B$18:$B$25,ROW()-101)="","",INDEX($A$18:$A$25,ROW()-101))</f>
        <v/>
      </c>
      <c r="B108">
        <f t="array" ref="B108">IF($A108="","",INDEX($B$18:$B$25,ROW()-101))</f>
        <v/>
      </c>
      <c r="C108">
        <f t="array" ref="C108">IF($A108="","",INDEX($G$18:$G$25,ROW()-101))</f>
        <v/>
      </c>
      <c r="D108" s="41">
        <f t="array" ref="D108">IF($A108="","",INDEX($E$18:$E$25,ROW()-101)+INDEX($F$18:$F$25,ROW()-101))</f>
        <v/>
      </c>
      <c r="E108" s="43">
        <f t="array" ref="E108">IF($A108="","",SUMPRODUCT(('PAX &amp; CREW'!$B$3:$B$62=$B$5)*('PAX &amp; CREW'!$C$3:$C$62="CREW")*(((UPPER('PAX &amp; CREW'!$E$3:$E$62)="ALL")+ISNUMBER(SEARCH($A108,'PAX &amp; CREW'!$E$3:$E$62)))&gt;0)))</f>
        <v/>
      </c>
      <c r="F108" s="43">
        <f t="array" ref="F108">IF($A108="","",SUMPRODUCT(('PAX &amp; CREW'!$B$3:$B$62=$B$5)*('PAX &amp; CREW'!$C$3:$C$62="PAX")*(((UPPER('PAX &amp; CREW'!$E$3:$E$62)="ALL")+ISNUMBER(SEARCH($A108,'PAX &amp; CREW'!$E$3:$E$62)))&gt;0)))</f>
        <v/>
      </c>
      <c r="G108" s="43">
        <f>IF($A108="","",$E108+$F108)</f>
        <v/>
      </c>
      <c r="H108" s="43">
        <f>IF($A108="","",IFERROR(INDEX(Aircraft!$I:$I,MATCH($B$7,Aircraft!$B:$B,0)),"NOT IN FLEET"))</f>
        <v/>
      </c>
      <c r="I108">
        <f>IF($A108="","",IF($H108="NOT IN FLEET","CANNOT CHECK",IF($F108&gt;$H108,"OVER CAPACITY","OK")))</f>
        <v/>
      </c>
      <c r="J108">
        <f t="array" ref="J108">IF($A108="","",INDEX($N$18:$N$25,ROW()-101))</f>
        <v/>
      </c>
    </row>
    <row r="109">
      <c r="A109">
        <f t="array" ref="A109">IF(INDEX($B$18:$B$25,ROW()-101)="","",INDEX($A$18:$A$25,ROW()-101))</f>
        <v/>
      </c>
      <c r="B109">
        <f t="array" ref="B109">IF($A109="","",INDEX($B$18:$B$25,ROW()-101))</f>
        <v/>
      </c>
      <c r="C109">
        <f t="array" ref="C109">IF($A109="","",INDEX($G$18:$G$25,ROW()-101))</f>
        <v/>
      </c>
      <c r="D109" s="41">
        <f t="array" ref="D109">IF($A109="","",INDEX($E$18:$E$25,ROW()-101)+INDEX($F$18:$F$25,ROW()-101))</f>
        <v/>
      </c>
      <c r="E109" s="43">
        <f t="array" ref="E109">IF($A109="","",SUMPRODUCT(('PAX &amp; CREW'!$B$3:$B$62=$B$5)*('PAX &amp; CREW'!$C$3:$C$62="CREW")*(((UPPER('PAX &amp; CREW'!$E$3:$E$62)="ALL")+ISNUMBER(SEARCH($A109,'PAX &amp; CREW'!$E$3:$E$62)))&gt;0)))</f>
        <v/>
      </c>
      <c r="F109" s="43">
        <f t="array" ref="F109">IF($A109="","",SUMPRODUCT(('PAX &amp; CREW'!$B$3:$B$62=$B$5)*('PAX &amp; CREW'!$C$3:$C$62="PAX")*(((UPPER('PAX &amp; CREW'!$E$3:$E$62)="ALL")+ISNUMBER(SEARCH($A109,'PAX &amp; CREW'!$E$3:$E$62)))&gt;0)))</f>
        <v/>
      </c>
      <c r="G109" s="43">
        <f>IF($A109="","",$E109+$F109)</f>
        <v/>
      </c>
      <c r="H109" s="43">
        <f>IF($A109="","",IFERROR(INDEX(Aircraft!$I:$I,MATCH($B$7,Aircraft!$B:$B,0)),"NOT IN FLEET"))</f>
        <v/>
      </c>
      <c r="I109">
        <f>IF($A109="","",IF($H109="NOT IN FLEET","CANNOT CHECK",IF($F109&gt;$H109,"OVER CAPACITY","OK")))</f>
        <v/>
      </c>
      <c r="J109">
        <f t="array" ref="J109">IF($A109="","",INDEX($N$18:$N$25,ROW()-101))</f>
        <v/>
      </c>
    </row>
    <row r="111">
      <c r="A111" s="25" t="inlineStr">
        <is>
          <t>7 · CREW &amp; PAX SUMMARY   (trip totals · biodata, credentials and document folders live on the PAX &amp; CREW sheet)</t>
        </is>
      </c>
      <c r="B111" s="25" t="n"/>
      <c r="C111" s="25" t="n"/>
      <c r="D111" s="25" t="n"/>
      <c r="E111" s="25" t="n"/>
      <c r="F111" s="25" t="n"/>
      <c r="G111" s="25" t="n"/>
      <c r="H111" s="25" t="n"/>
      <c r="I111" s="25" t="n"/>
      <c r="J111" s="25" t="n"/>
      <c r="K111" s="25" t="n"/>
      <c r="L111" s="25" t="n"/>
    </row>
    <row r="112">
      <c r="A112" s="1" t="inlineStr">
        <is>
          <t>CREW ON BOARD (TRIP)</t>
        </is>
      </c>
      <c r="B112">
        <f>COUNTIFS('PAX &amp; CREW'!$B$3:$B$62,$B$5,'PAX &amp; CREW'!$C$3:$C$62,"CREW")</f>
        <v/>
      </c>
    </row>
    <row r="113">
      <c r="A113" s="1" t="inlineStr">
        <is>
          <t>PAX ON BOARD (TRIP)</t>
        </is>
      </c>
      <c r="B113">
        <f>COUNTIFS('PAX &amp; CREW'!$B$3:$B$62,$B$5,'PAX &amp; CREW'!$C$3:$C$62,"PAX")</f>
        <v/>
      </c>
    </row>
    <row r="114">
      <c r="A114" s="1" t="inlineStr">
        <is>
          <t>SOULS ON BOARD (TRIP)</t>
        </is>
      </c>
      <c r="B114">
        <f>$B$112+$B$113</f>
        <v/>
      </c>
    </row>
    <row r="115">
      <c r="A115" s="1" t="inlineStr">
        <is>
          <t>MAX PAX (AIRCRAFT)</t>
        </is>
      </c>
      <c r="B115">
        <f>IF($B$7="","",IFERROR(INDEX(Aircraft!$I:$I,MATCH($B$7,Aircraft!$B:$B,0)),"NOT IN FLEET"))</f>
        <v/>
      </c>
    </row>
    <row r="116">
      <c r="A116" s="1" t="inlineStr">
        <is>
          <t>SEAT CHECK</t>
        </is>
      </c>
      <c r="B116">
        <f>IF(OR($B$115="NOT IN FLEET",$B$115="",$B$113=0),"",IF($B$113&gt;$B$115,"OVER CAPACITY","OK"))</f>
        <v/>
      </c>
    </row>
    <row r="117">
      <c r="A117" s="1" t="inlineStr">
        <is>
          <t>DOCUMENT ISSUES — ACTION REQUIRED</t>
        </is>
      </c>
      <c r="B117">
        <f>COUNTIFS('PAX &amp; CREW'!$B$3:$B$62,$B$5,'PAX &amp; CREW'!$AI$3:$AI$62,"ACTION REQUIRED")</f>
        <v/>
      </c>
    </row>
    <row r="118">
      <c r="A118" s="1" t="inlineStr">
        <is>
          <t>DOCUMENTS TO CHECK</t>
        </is>
      </c>
      <c r="B118">
        <f>COUNTIFS('PAX &amp; CREW'!$B$3:$B$62,$B$5,'PAX &amp; CREW'!$AI$3:$AI$62,"CHECK")</f>
        <v/>
      </c>
    </row>
    <row r="119">
      <c r="A119" s="1" t="inlineStr">
        <is>
          <t>TRIP DOCUMENT FOLDER</t>
        </is>
      </c>
      <c r="B119">
        <f>IF($B$5="","",admin!$B$2&amp;"\PaxCrewDocs\"&amp;$B$5)</f>
        <v/>
      </c>
    </row>
    <row r="121">
      <c r="A121" s="33" t="inlineStr">
        <is>
          <t>MANIFEST</t>
        </is>
      </c>
      <c r="B121" s="33" t="n"/>
      <c r="C121" s="33" t="n"/>
      <c r="D121" s="33" t="n"/>
      <c r="E121" s="33" t="n"/>
      <c r="F121" s="33" t="n"/>
      <c r="G121" s="33" t="n"/>
      <c r="H121" s="33" t="n"/>
      <c r="I121" s="33" t="n"/>
      <c r="J121" s="33" t="n"/>
      <c r="K121" s="33" t="n"/>
      <c r="L121" s="33" t="n"/>
    </row>
    <row r="122">
      <c r="A122" s="33" t="inlineStr">
        <is>
          <t>#</t>
        </is>
      </c>
      <c r="B122" s="33" t="inlineStr">
        <is>
          <t>ROLE</t>
        </is>
      </c>
      <c r="C122" s="33" t="inlineStr">
        <is>
          <t>POSITION</t>
        </is>
      </c>
      <c r="D122" s="33" t="inlineStr">
        <is>
          <t>NAME</t>
        </is>
      </c>
      <c r="E122" s="33" t="inlineStr">
        <is>
          <t>NATIONALITY</t>
        </is>
      </c>
      <c r="F122" s="33" t="inlineStr">
        <is>
          <t>PASSPORT NO</t>
        </is>
      </c>
      <c r="G122" s="33" t="inlineStr">
        <is>
          <t>PASSPORT EXPIRY</t>
        </is>
      </c>
      <c r="H122" s="33" t="inlineStr">
        <is>
          <t>PASSPORT STATUS</t>
        </is>
      </c>
      <c r="I122" s="33" t="inlineStr">
        <is>
          <t>VISA STATUS</t>
        </is>
      </c>
      <c r="J122" s="33" t="inlineStr">
        <is>
          <t>CREW DOCS</t>
        </is>
      </c>
      <c r="K122" s="33" t="inlineStr">
        <is>
          <t>DOCUMENT STATUS</t>
        </is>
      </c>
      <c r="L122" s="33" t="inlineStr">
        <is>
          <t>DOCS FOLDER</t>
        </is>
      </c>
    </row>
    <row r="123">
      <c r="A123">
        <f>IF(ROW()-122&gt;COUNT('PAX &amp; CREW'!$AJ$3:$AJ$62),"",ROW()-122)</f>
        <v/>
      </c>
      <c r="B123">
        <f>IF($A123="","",INDEX('PAX &amp; CREW'!$C$3:$C$62,MATCH($A123,'PAX &amp; CREW'!$AJ$3:$AJ$62,0)))</f>
        <v/>
      </c>
      <c r="C123">
        <f>IF($A123="","",INDEX('PAX &amp; CREW'!$D$3:$D$62,MATCH($A123,'PAX &amp; CREW'!$AJ$3:$AJ$62,0)))</f>
        <v/>
      </c>
      <c r="D123">
        <f>IF($A123="","",INDEX('PAX &amp; CREW'!$G$3:$G$62,MATCH($A123,'PAX &amp; CREW'!$AJ$3:$AJ$62,0))&amp;", "&amp;INDEX('PAX &amp; CREW'!$H$3:$H$62,MATCH($A123,'PAX &amp; CREW'!$AJ$3:$AJ$62,0)))</f>
        <v/>
      </c>
      <c r="E123">
        <f>IF($A123="","",INDEX('PAX &amp; CREW'!$L$3:$L$62,MATCH($A123,'PAX &amp; CREW'!$AJ$3:$AJ$62,0)))</f>
        <v/>
      </c>
      <c r="F123">
        <f>IF($A123="","",INDEX('PAX &amp; CREW'!$M$3:$M$62,MATCH($A123,'PAX &amp; CREW'!$AJ$3:$AJ$62,0)))</f>
        <v/>
      </c>
      <c r="G123" s="118">
        <f>IF($A123="","",INDEX('PAX &amp; CREW'!$P$3:$P$62,MATCH($A123,'PAX &amp; CREW'!$AJ$3:$AJ$62,0)))</f>
        <v/>
      </c>
      <c r="H123">
        <f>IF($A123="","",INDEX('PAX &amp; CREW'!$Q$3:$Q$62,MATCH($A123,'PAX &amp; CREW'!$AJ$3:$AJ$62,0)))</f>
        <v/>
      </c>
      <c r="I123">
        <f>IF($A123="","",INDEX('PAX &amp; CREW'!$U$3:$U$62,MATCH($A123,'PAX &amp; CREW'!$AJ$3:$AJ$62,0)))</f>
        <v/>
      </c>
      <c r="J123">
        <f>IF($A123="","",INDEX('PAX &amp; CREW'!$Z$3:$Z$62,MATCH($A123,'PAX &amp; CREW'!$AJ$3:$AJ$62,0)))</f>
        <v/>
      </c>
      <c r="K123">
        <f>IF($A123="","",INDEX('PAX &amp; CREW'!$AI$3:$AI$62,MATCH($A123,'PAX &amp; CREW'!$AJ$3:$AJ$62,0)))</f>
        <v/>
      </c>
      <c r="L123">
        <f>IF($A123="","",INDEX('PAX &amp; CREW'!$AE$3:$AE$62,MATCH($A123,'PAX &amp; CREW'!$AJ$3:$AJ$62,0)))</f>
        <v/>
      </c>
    </row>
    <row r="124">
      <c r="A124">
        <f>IF(ROW()-122&gt;COUNT('PAX &amp; CREW'!$AJ$3:$AJ$62),"",ROW()-122)</f>
        <v/>
      </c>
      <c r="B124">
        <f>IF($A124="","",INDEX('PAX &amp; CREW'!$C$3:$C$62,MATCH($A124,'PAX &amp; CREW'!$AJ$3:$AJ$62,0)))</f>
        <v/>
      </c>
      <c r="C124">
        <f>IF($A124="","",INDEX('PAX &amp; CREW'!$D$3:$D$62,MATCH($A124,'PAX &amp; CREW'!$AJ$3:$AJ$62,0)))</f>
        <v/>
      </c>
      <c r="D124">
        <f>IF($A124="","",INDEX('PAX &amp; CREW'!$G$3:$G$62,MATCH($A124,'PAX &amp; CREW'!$AJ$3:$AJ$62,0))&amp;", "&amp;INDEX('PAX &amp; CREW'!$H$3:$H$62,MATCH($A124,'PAX &amp; CREW'!$AJ$3:$AJ$62,0)))</f>
        <v/>
      </c>
      <c r="E124">
        <f>IF($A124="","",INDEX('PAX &amp; CREW'!$L$3:$L$62,MATCH($A124,'PAX &amp; CREW'!$AJ$3:$AJ$62,0)))</f>
        <v/>
      </c>
      <c r="F124">
        <f>IF($A124="","",INDEX('PAX &amp; CREW'!$M$3:$M$62,MATCH($A124,'PAX &amp; CREW'!$AJ$3:$AJ$62,0)))</f>
        <v/>
      </c>
      <c r="G124" s="118">
        <f>IF($A124="","",INDEX('PAX &amp; CREW'!$P$3:$P$62,MATCH($A124,'PAX &amp; CREW'!$AJ$3:$AJ$62,0)))</f>
        <v/>
      </c>
      <c r="H124">
        <f>IF($A124="","",INDEX('PAX &amp; CREW'!$Q$3:$Q$62,MATCH($A124,'PAX &amp; CREW'!$AJ$3:$AJ$62,0)))</f>
        <v/>
      </c>
      <c r="I124">
        <f>IF($A124="","",INDEX('PAX &amp; CREW'!$U$3:$U$62,MATCH($A124,'PAX &amp; CREW'!$AJ$3:$AJ$62,0)))</f>
        <v/>
      </c>
      <c r="J124">
        <f>IF($A124="","",INDEX('PAX &amp; CREW'!$Z$3:$Z$62,MATCH($A124,'PAX &amp; CREW'!$AJ$3:$AJ$62,0)))</f>
        <v/>
      </c>
      <c r="K124">
        <f>IF($A124="","",INDEX('PAX &amp; CREW'!$AI$3:$AI$62,MATCH($A124,'PAX &amp; CREW'!$AJ$3:$AJ$62,0)))</f>
        <v/>
      </c>
      <c r="L124">
        <f>IF($A124="","",INDEX('PAX &amp; CREW'!$AE$3:$AE$62,MATCH($A124,'PAX &amp; CREW'!$AJ$3:$AJ$62,0)))</f>
        <v/>
      </c>
    </row>
    <row r="125">
      <c r="A125">
        <f>IF(ROW()-122&gt;COUNT('PAX &amp; CREW'!$AJ$3:$AJ$62),"",ROW()-122)</f>
        <v/>
      </c>
      <c r="B125">
        <f>IF($A125="","",INDEX('PAX &amp; CREW'!$C$3:$C$62,MATCH($A125,'PAX &amp; CREW'!$AJ$3:$AJ$62,0)))</f>
        <v/>
      </c>
      <c r="C125">
        <f>IF($A125="","",INDEX('PAX &amp; CREW'!$D$3:$D$62,MATCH($A125,'PAX &amp; CREW'!$AJ$3:$AJ$62,0)))</f>
        <v/>
      </c>
      <c r="D125">
        <f>IF($A125="","",INDEX('PAX &amp; CREW'!$G$3:$G$62,MATCH($A125,'PAX &amp; CREW'!$AJ$3:$AJ$62,0))&amp;", "&amp;INDEX('PAX &amp; CREW'!$H$3:$H$62,MATCH($A125,'PAX &amp; CREW'!$AJ$3:$AJ$62,0)))</f>
        <v/>
      </c>
      <c r="E125">
        <f>IF($A125="","",INDEX('PAX &amp; CREW'!$L$3:$L$62,MATCH($A125,'PAX &amp; CREW'!$AJ$3:$AJ$62,0)))</f>
        <v/>
      </c>
      <c r="F125">
        <f>IF($A125="","",INDEX('PAX &amp; CREW'!$M$3:$M$62,MATCH($A125,'PAX &amp; CREW'!$AJ$3:$AJ$62,0)))</f>
        <v/>
      </c>
      <c r="G125" s="118">
        <f>IF($A125="","",INDEX('PAX &amp; CREW'!$P$3:$P$62,MATCH($A125,'PAX &amp; CREW'!$AJ$3:$AJ$62,0)))</f>
        <v/>
      </c>
      <c r="H125">
        <f>IF($A125="","",INDEX('PAX &amp; CREW'!$Q$3:$Q$62,MATCH($A125,'PAX &amp; CREW'!$AJ$3:$AJ$62,0)))</f>
        <v/>
      </c>
      <c r="I125">
        <f>IF($A125="","",INDEX('PAX &amp; CREW'!$U$3:$U$62,MATCH($A125,'PAX &amp; CREW'!$AJ$3:$AJ$62,0)))</f>
        <v/>
      </c>
      <c r="J125">
        <f>IF($A125="","",INDEX('PAX &amp; CREW'!$Z$3:$Z$62,MATCH($A125,'PAX &amp; CREW'!$AJ$3:$AJ$62,0)))</f>
        <v/>
      </c>
      <c r="K125">
        <f>IF($A125="","",INDEX('PAX &amp; CREW'!$AI$3:$AI$62,MATCH($A125,'PAX &amp; CREW'!$AJ$3:$AJ$62,0)))</f>
        <v/>
      </c>
      <c r="L125">
        <f>IF($A125="","",INDEX('PAX &amp; CREW'!$AE$3:$AE$62,MATCH($A125,'PAX &amp; CREW'!$AJ$3:$AJ$62,0)))</f>
        <v/>
      </c>
    </row>
    <row r="126">
      <c r="A126">
        <f>IF(ROW()-122&gt;COUNT('PAX &amp; CREW'!$AJ$3:$AJ$62),"",ROW()-122)</f>
        <v/>
      </c>
      <c r="B126">
        <f>IF($A126="","",INDEX('PAX &amp; CREW'!$C$3:$C$62,MATCH($A126,'PAX &amp; CREW'!$AJ$3:$AJ$62,0)))</f>
        <v/>
      </c>
      <c r="C126">
        <f>IF($A126="","",INDEX('PAX &amp; CREW'!$D$3:$D$62,MATCH($A126,'PAX &amp; CREW'!$AJ$3:$AJ$62,0)))</f>
        <v/>
      </c>
      <c r="D126">
        <f>IF($A126="","",INDEX('PAX &amp; CREW'!$G$3:$G$62,MATCH($A126,'PAX &amp; CREW'!$AJ$3:$AJ$62,0))&amp;", "&amp;INDEX('PAX &amp; CREW'!$H$3:$H$62,MATCH($A126,'PAX &amp; CREW'!$AJ$3:$AJ$62,0)))</f>
        <v/>
      </c>
      <c r="E126">
        <f>IF($A126="","",INDEX('PAX &amp; CREW'!$L$3:$L$62,MATCH($A126,'PAX &amp; CREW'!$AJ$3:$AJ$62,0)))</f>
        <v/>
      </c>
      <c r="F126">
        <f>IF($A126="","",INDEX('PAX &amp; CREW'!$M$3:$M$62,MATCH($A126,'PAX &amp; CREW'!$AJ$3:$AJ$62,0)))</f>
        <v/>
      </c>
      <c r="G126" s="118">
        <f>IF($A126="","",INDEX('PAX &amp; CREW'!$P$3:$P$62,MATCH($A126,'PAX &amp; CREW'!$AJ$3:$AJ$62,0)))</f>
        <v/>
      </c>
      <c r="H126">
        <f>IF($A126="","",INDEX('PAX &amp; CREW'!$Q$3:$Q$62,MATCH($A126,'PAX &amp; CREW'!$AJ$3:$AJ$62,0)))</f>
        <v/>
      </c>
      <c r="I126">
        <f>IF($A126="","",INDEX('PAX &amp; CREW'!$U$3:$U$62,MATCH($A126,'PAX &amp; CREW'!$AJ$3:$AJ$62,0)))</f>
        <v/>
      </c>
      <c r="J126">
        <f>IF($A126="","",INDEX('PAX &amp; CREW'!$Z$3:$Z$62,MATCH($A126,'PAX &amp; CREW'!$AJ$3:$AJ$62,0)))</f>
        <v/>
      </c>
      <c r="K126">
        <f>IF($A126="","",INDEX('PAX &amp; CREW'!$AI$3:$AI$62,MATCH($A126,'PAX &amp; CREW'!$AJ$3:$AJ$62,0)))</f>
        <v/>
      </c>
      <c r="L126">
        <f>IF($A126="","",INDEX('PAX &amp; CREW'!$AE$3:$AE$62,MATCH($A126,'PAX &amp; CREW'!$AJ$3:$AJ$62,0)))</f>
        <v/>
      </c>
    </row>
    <row r="127">
      <c r="A127">
        <f>IF(ROW()-122&gt;COUNT('PAX &amp; CREW'!$AJ$3:$AJ$62),"",ROW()-122)</f>
        <v/>
      </c>
      <c r="B127">
        <f>IF($A127="","",INDEX('PAX &amp; CREW'!$C$3:$C$62,MATCH($A127,'PAX &amp; CREW'!$AJ$3:$AJ$62,0)))</f>
        <v/>
      </c>
      <c r="C127">
        <f>IF($A127="","",INDEX('PAX &amp; CREW'!$D$3:$D$62,MATCH($A127,'PAX &amp; CREW'!$AJ$3:$AJ$62,0)))</f>
        <v/>
      </c>
      <c r="D127">
        <f>IF($A127="","",INDEX('PAX &amp; CREW'!$G$3:$G$62,MATCH($A127,'PAX &amp; CREW'!$AJ$3:$AJ$62,0))&amp;", "&amp;INDEX('PAX &amp; CREW'!$H$3:$H$62,MATCH($A127,'PAX &amp; CREW'!$AJ$3:$AJ$62,0)))</f>
        <v/>
      </c>
      <c r="E127">
        <f>IF($A127="","",INDEX('PAX &amp; CREW'!$L$3:$L$62,MATCH($A127,'PAX &amp; CREW'!$AJ$3:$AJ$62,0)))</f>
        <v/>
      </c>
      <c r="F127">
        <f>IF($A127="","",INDEX('PAX &amp; CREW'!$M$3:$M$62,MATCH($A127,'PAX &amp; CREW'!$AJ$3:$AJ$62,0)))</f>
        <v/>
      </c>
      <c r="G127" s="118">
        <f>IF($A127="","",INDEX('PAX &amp; CREW'!$P$3:$P$62,MATCH($A127,'PAX &amp; CREW'!$AJ$3:$AJ$62,0)))</f>
        <v/>
      </c>
      <c r="H127">
        <f>IF($A127="","",INDEX('PAX &amp; CREW'!$Q$3:$Q$62,MATCH($A127,'PAX &amp; CREW'!$AJ$3:$AJ$62,0)))</f>
        <v/>
      </c>
      <c r="I127">
        <f>IF($A127="","",INDEX('PAX &amp; CREW'!$U$3:$U$62,MATCH($A127,'PAX &amp; CREW'!$AJ$3:$AJ$62,0)))</f>
        <v/>
      </c>
      <c r="J127">
        <f>IF($A127="","",INDEX('PAX &amp; CREW'!$Z$3:$Z$62,MATCH($A127,'PAX &amp; CREW'!$AJ$3:$AJ$62,0)))</f>
        <v/>
      </c>
      <c r="K127">
        <f>IF($A127="","",INDEX('PAX &amp; CREW'!$AI$3:$AI$62,MATCH($A127,'PAX &amp; CREW'!$AJ$3:$AJ$62,0)))</f>
        <v/>
      </c>
      <c r="L127">
        <f>IF($A127="","",INDEX('PAX &amp; CREW'!$AE$3:$AE$62,MATCH($A127,'PAX &amp; CREW'!$AJ$3:$AJ$62,0)))</f>
        <v/>
      </c>
    </row>
    <row r="128">
      <c r="A128">
        <f>IF(ROW()-122&gt;COUNT('PAX &amp; CREW'!$AJ$3:$AJ$62),"",ROW()-122)</f>
        <v/>
      </c>
      <c r="B128">
        <f>IF($A128="","",INDEX('PAX &amp; CREW'!$C$3:$C$62,MATCH($A128,'PAX &amp; CREW'!$AJ$3:$AJ$62,0)))</f>
        <v/>
      </c>
      <c r="C128">
        <f>IF($A128="","",INDEX('PAX &amp; CREW'!$D$3:$D$62,MATCH($A128,'PAX &amp; CREW'!$AJ$3:$AJ$62,0)))</f>
        <v/>
      </c>
      <c r="D128">
        <f>IF($A128="","",INDEX('PAX &amp; CREW'!$G$3:$G$62,MATCH($A128,'PAX &amp; CREW'!$AJ$3:$AJ$62,0))&amp;", "&amp;INDEX('PAX &amp; CREW'!$H$3:$H$62,MATCH($A128,'PAX &amp; CREW'!$AJ$3:$AJ$62,0)))</f>
        <v/>
      </c>
      <c r="E128">
        <f>IF($A128="","",INDEX('PAX &amp; CREW'!$L$3:$L$62,MATCH($A128,'PAX &amp; CREW'!$AJ$3:$AJ$62,0)))</f>
        <v/>
      </c>
      <c r="F128">
        <f>IF($A128="","",INDEX('PAX &amp; CREW'!$M$3:$M$62,MATCH($A128,'PAX &amp; CREW'!$AJ$3:$AJ$62,0)))</f>
        <v/>
      </c>
      <c r="G128" s="118">
        <f>IF($A128="","",INDEX('PAX &amp; CREW'!$P$3:$P$62,MATCH($A128,'PAX &amp; CREW'!$AJ$3:$AJ$62,0)))</f>
        <v/>
      </c>
      <c r="H128">
        <f>IF($A128="","",INDEX('PAX &amp; CREW'!$Q$3:$Q$62,MATCH($A128,'PAX &amp; CREW'!$AJ$3:$AJ$62,0)))</f>
        <v/>
      </c>
      <c r="I128">
        <f>IF($A128="","",INDEX('PAX &amp; CREW'!$U$3:$U$62,MATCH($A128,'PAX &amp; CREW'!$AJ$3:$AJ$62,0)))</f>
        <v/>
      </c>
      <c r="J128">
        <f>IF($A128="","",INDEX('PAX &amp; CREW'!$Z$3:$Z$62,MATCH($A128,'PAX &amp; CREW'!$AJ$3:$AJ$62,0)))</f>
        <v/>
      </c>
      <c r="K128">
        <f>IF($A128="","",INDEX('PAX &amp; CREW'!$AI$3:$AI$62,MATCH($A128,'PAX &amp; CREW'!$AJ$3:$AJ$62,0)))</f>
        <v/>
      </c>
      <c r="L128">
        <f>IF($A128="","",INDEX('PAX &amp; CREW'!$AE$3:$AE$62,MATCH($A128,'PAX &amp; CREW'!$AJ$3:$AJ$62,0)))</f>
        <v/>
      </c>
    </row>
    <row r="129">
      <c r="A129">
        <f>IF(ROW()-122&gt;COUNT('PAX &amp; CREW'!$AJ$3:$AJ$62),"",ROW()-122)</f>
        <v/>
      </c>
      <c r="B129">
        <f>IF($A129="","",INDEX('PAX &amp; CREW'!$C$3:$C$62,MATCH($A129,'PAX &amp; CREW'!$AJ$3:$AJ$62,0)))</f>
        <v/>
      </c>
      <c r="C129">
        <f>IF($A129="","",INDEX('PAX &amp; CREW'!$D$3:$D$62,MATCH($A129,'PAX &amp; CREW'!$AJ$3:$AJ$62,0)))</f>
        <v/>
      </c>
      <c r="D129">
        <f>IF($A129="","",INDEX('PAX &amp; CREW'!$G$3:$G$62,MATCH($A129,'PAX &amp; CREW'!$AJ$3:$AJ$62,0))&amp;", "&amp;INDEX('PAX &amp; CREW'!$H$3:$H$62,MATCH($A129,'PAX &amp; CREW'!$AJ$3:$AJ$62,0)))</f>
        <v/>
      </c>
      <c r="E129">
        <f>IF($A129="","",INDEX('PAX &amp; CREW'!$L$3:$L$62,MATCH($A129,'PAX &amp; CREW'!$AJ$3:$AJ$62,0)))</f>
        <v/>
      </c>
      <c r="F129">
        <f>IF($A129="","",INDEX('PAX &amp; CREW'!$M$3:$M$62,MATCH($A129,'PAX &amp; CREW'!$AJ$3:$AJ$62,0)))</f>
        <v/>
      </c>
      <c r="G129" s="118">
        <f>IF($A129="","",INDEX('PAX &amp; CREW'!$P$3:$P$62,MATCH($A129,'PAX &amp; CREW'!$AJ$3:$AJ$62,0)))</f>
        <v/>
      </c>
      <c r="H129">
        <f>IF($A129="","",INDEX('PAX &amp; CREW'!$Q$3:$Q$62,MATCH($A129,'PAX &amp; CREW'!$AJ$3:$AJ$62,0)))</f>
        <v/>
      </c>
      <c r="I129">
        <f>IF($A129="","",INDEX('PAX &amp; CREW'!$U$3:$U$62,MATCH($A129,'PAX &amp; CREW'!$AJ$3:$AJ$62,0)))</f>
        <v/>
      </c>
      <c r="J129">
        <f>IF($A129="","",INDEX('PAX &amp; CREW'!$Z$3:$Z$62,MATCH($A129,'PAX &amp; CREW'!$AJ$3:$AJ$62,0)))</f>
        <v/>
      </c>
      <c r="K129">
        <f>IF($A129="","",INDEX('PAX &amp; CREW'!$AI$3:$AI$62,MATCH($A129,'PAX &amp; CREW'!$AJ$3:$AJ$62,0)))</f>
        <v/>
      </c>
      <c r="L129">
        <f>IF($A129="","",INDEX('PAX &amp; CREW'!$AE$3:$AE$62,MATCH($A129,'PAX &amp; CREW'!$AJ$3:$AJ$62,0)))</f>
        <v/>
      </c>
    </row>
    <row r="130">
      <c r="A130">
        <f>IF(ROW()-122&gt;COUNT('PAX &amp; CREW'!$AJ$3:$AJ$62),"",ROW()-122)</f>
        <v/>
      </c>
      <c r="B130">
        <f>IF($A130="","",INDEX('PAX &amp; CREW'!$C$3:$C$62,MATCH($A130,'PAX &amp; CREW'!$AJ$3:$AJ$62,0)))</f>
        <v/>
      </c>
      <c r="C130">
        <f>IF($A130="","",INDEX('PAX &amp; CREW'!$D$3:$D$62,MATCH($A130,'PAX &amp; CREW'!$AJ$3:$AJ$62,0)))</f>
        <v/>
      </c>
      <c r="D130">
        <f>IF($A130="","",INDEX('PAX &amp; CREW'!$G$3:$G$62,MATCH($A130,'PAX &amp; CREW'!$AJ$3:$AJ$62,0))&amp;", "&amp;INDEX('PAX &amp; CREW'!$H$3:$H$62,MATCH($A130,'PAX &amp; CREW'!$AJ$3:$AJ$62,0)))</f>
        <v/>
      </c>
      <c r="E130">
        <f>IF($A130="","",INDEX('PAX &amp; CREW'!$L$3:$L$62,MATCH($A130,'PAX &amp; CREW'!$AJ$3:$AJ$62,0)))</f>
        <v/>
      </c>
      <c r="F130">
        <f>IF($A130="","",INDEX('PAX &amp; CREW'!$M$3:$M$62,MATCH($A130,'PAX &amp; CREW'!$AJ$3:$AJ$62,0)))</f>
        <v/>
      </c>
      <c r="G130" s="118">
        <f>IF($A130="","",INDEX('PAX &amp; CREW'!$P$3:$P$62,MATCH($A130,'PAX &amp; CREW'!$AJ$3:$AJ$62,0)))</f>
        <v/>
      </c>
      <c r="H130">
        <f>IF($A130="","",INDEX('PAX &amp; CREW'!$Q$3:$Q$62,MATCH($A130,'PAX &amp; CREW'!$AJ$3:$AJ$62,0)))</f>
        <v/>
      </c>
      <c r="I130">
        <f>IF($A130="","",INDEX('PAX &amp; CREW'!$U$3:$U$62,MATCH($A130,'PAX &amp; CREW'!$AJ$3:$AJ$62,0)))</f>
        <v/>
      </c>
      <c r="J130">
        <f>IF($A130="","",INDEX('PAX &amp; CREW'!$Z$3:$Z$62,MATCH($A130,'PAX &amp; CREW'!$AJ$3:$AJ$62,0)))</f>
        <v/>
      </c>
      <c r="K130">
        <f>IF($A130="","",INDEX('PAX &amp; CREW'!$AI$3:$AI$62,MATCH($A130,'PAX &amp; CREW'!$AJ$3:$AJ$62,0)))</f>
        <v/>
      </c>
      <c r="L130">
        <f>IF($A130="","",INDEX('PAX &amp; CREW'!$AE$3:$AE$62,MATCH($A130,'PAX &amp; CREW'!$AJ$3:$AJ$62,0)))</f>
        <v/>
      </c>
    </row>
    <row r="131">
      <c r="A131">
        <f>IF(ROW()-122&gt;COUNT('PAX &amp; CREW'!$AJ$3:$AJ$62),"",ROW()-122)</f>
        <v/>
      </c>
      <c r="B131">
        <f>IF($A131="","",INDEX('PAX &amp; CREW'!$C$3:$C$62,MATCH($A131,'PAX &amp; CREW'!$AJ$3:$AJ$62,0)))</f>
        <v/>
      </c>
      <c r="C131">
        <f>IF($A131="","",INDEX('PAX &amp; CREW'!$D$3:$D$62,MATCH($A131,'PAX &amp; CREW'!$AJ$3:$AJ$62,0)))</f>
        <v/>
      </c>
      <c r="D131">
        <f>IF($A131="","",INDEX('PAX &amp; CREW'!$G$3:$G$62,MATCH($A131,'PAX &amp; CREW'!$AJ$3:$AJ$62,0))&amp;", "&amp;INDEX('PAX &amp; CREW'!$H$3:$H$62,MATCH($A131,'PAX &amp; CREW'!$AJ$3:$AJ$62,0)))</f>
        <v/>
      </c>
      <c r="E131">
        <f>IF($A131="","",INDEX('PAX &amp; CREW'!$L$3:$L$62,MATCH($A131,'PAX &amp; CREW'!$AJ$3:$AJ$62,0)))</f>
        <v/>
      </c>
      <c r="F131">
        <f>IF($A131="","",INDEX('PAX &amp; CREW'!$M$3:$M$62,MATCH($A131,'PAX &amp; CREW'!$AJ$3:$AJ$62,0)))</f>
        <v/>
      </c>
      <c r="G131" s="118">
        <f>IF($A131="","",INDEX('PAX &amp; CREW'!$P$3:$P$62,MATCH($A131,'PAX &amp; CREW'!$AJ$3:$AJ$62,0)))</f>
        <v/>
      </c>
      <c r="H131">
        <f>IF($A131="","",INDEX('PAX &amp; CREW'!$Q$3:$Q$62,MATCH($A131,'PAX &amp; CREW'!$AJ$3:$AJ$62,0)))</f>
        <v/>
      </c>
      <c r="I131">
        <f>IF($A131="","",INDEX('PAX &amp; CREW'!$U$3:$U$62,MATCH($A131,'PAX &amp; CREW'!$AJ$3:$AJ$62,0)))</f>
        <v/>
      </c>
      <c r="J131">
        <f>IF($A131="","",INDEX('PAX &amp; CREW'!$Z$3:$Z$62,MATCH($A131,'PAX &amp; CREW'!$AJ$3:$AJ$62,0)))</f>
        <v/>
      </c>
      <c r="K131">
        <f>IF($A131="","",INDEX('PAX &amp; CREW'!$AI$3:$AI$62,MATCH($A131,'PAX &amp; CREW'!$AJ$3:$AJ$62,0)))</f>
        <v/>
      </c>
      <c r="L131">
        <f>IF($A131="","",INDEX('PAX &amp; CREW'!$AE$3:$AE$62,MATCH($A131,'PAX &amp; CREW'!$AJ$3:$AJ$62,0)))</f>
        <v/>
      </c>
    </row>
    <row r="132">
      <c r="A132">
        <f>IF(ROW()-122&gt;COUNT('PAX &amp; CREW'!$AJ$3:$AJ$62),"",ROW()-122)</f>
        <v/>
      </c>
      <c r="B132">
        <f>IF($A132="","",INDEX('PAX &amp; CREW'!$C$3:$C$62,MATCH($A132,'PAX &amp; CREW'!$AJ$3:$AJ$62,0)))</f>
        <v/>
      </c>
      <c r="C132">
        <f>IF($A132="","",INDEX('PAX &amp; CREW'!$D$3:$D$62,MATCH($A132,'PAX &amp; CREW'!$AJ$3:$AJ$62,0)))</f>
        <v/>
      </c>
      <c r="D132">
        <f>IF($A132="","",INDEX('PAX &amp; CREW'!$G$3:$G$62,MATCH($A132,'PAX &amp; CREW'!$AJ$3:$AJ$62,0))&amp;", "&amp;INDEX('PAX &amp; CREW'!$H$3:$H$62,MATCH($A132,'PAX &amp; CREW'!$AJ$3:$AJ$62,0)))</f>
        <v/>
      </c>
      <c r="E132">
        <f>IF($A132="","",INDEX('PAX &amp; CREW'!$L$3:$L$62,MATCH($A132,'PAX &amp; CREW'!$AJ$3:$AJ$62,0)))</f>
        <v/>
      </c>
      <c r="F132">
        <f>IF($A132="","",INDEX('PAX &amp; CREW'!$M$3:$M$62,MATCH($A132,'PAX &amp; CREW'!$AJ$3:$AJ$62,0)))</f>
        <v/>
      </c>
      <c r="G132" s="118">
        <f>IF($A132="","",INDEX('PAX &amp; CREW'!$P$3:$P$62,MATCH($A132,'PAX &amp; CREW'!$AJ$3:$AJ$62,0)))</f>
        <v/>
      </c>
      <c r="H132">
        <f>IF($A132="","",INDEX('PAX &amp; CREW'!$Q$3:$Q$62,MATCH($A132,'PAX &amp; CREW'!$AJ$3:$AJ$62,0)))</f>
        <v/>
      </c>
      <c r="I132">
        <f>IF($A132="","",INDEX('PAX &amp; CREW'!$U$3:$U$62,MATCH($A132,'PAX &amp; CREW'!$AJ$3:$AJ$62,0)))</f>
        <v/>
      </c>
      <c r="J132">
        <f>IF($A132="","",INDEX('PAX &amp; CREW'!$Z$3:$Z$62,MATCH($A132,'PAX &amp; CREW'!$AJ$3:$AJ$62,0)))</f>
        <v/>
      </c>
      <c r="K132">
        <f>IF($A132="","",INDEX('PAX &amp; CREW'!$AI$3:$AI$62,MATCH($A132,'PAX &amp; CREW'!$AJ$3:$AJ$62,0)))</f>
        <v/>
      </c>
      <c r="L132">
        <f>IF($A132="","",INDEX('PAX &amp; CREW'!$AE$3:$AE$62,MATCH($A132,'PAX &amp; CREW'!$AJ$3:$AJ$62,0)))</f>
        <v/>
      </c>
    </row>
    <row r="133">
      <c r="A133">
        <f>IF(ROW()-122&gt;COUNT('PAX &amp; CREW'!$AJ$3:$AJ$62),"",ROW()-122)</f>
        <v/>
      </c>
      <c r="B133">
        <f>IF($A133="","",INDEX('PAX &amp; CREW'!$C$3:$C$62,MATCH($A133,'PAX &amp; CREW'!$AJ$3:$AJ$62,0)))</f>
        <v/>
      </c>
      <c r="C133">
        <f>IF($A133="","",INDEX('PAX &amp; CREW'!$D$3:$D$62,MATCH($A133,'PAX &amp; CREW'!$AJ$3:$AJ$62,0)))</f>
        <v/>
      </c>
      <c r="D133">
        <f>IF($A133="","",INDEX('PAX &amp; CREW'!$G$3:$G$62,MATCH($A133,'PAX &amp; CREW'!$AJ$3:$AJ$62,0))&amp;", "&amp;INDEX('PAX &amp; CREW'!$H$3:$H$62,MATCH($A133,'PAX &amp; CREW'!$AJ$3:$AJ$62,0)))</f>
        <v/>
      </c>
      <c r="E133">
        <f>IF($A133="","",INDEX('PAX &amp; CREW'!$L$3:$L$62,MATCH($A133,'PAX &amp; CREW'!$AJ$3:$AJ$62,0)))</f>
        <v/>
      </c>
      <c r="F133">
        <f>IF($A133="","",INDEX('PAX &amp; CREW'!$M$3:$M$62,MATCH($A133,'PAX &amp; CREW'!$AJ$3:$AJ$62,0)))</f>
        <v/>
      </c>
      <c r="G133" s="118">
        <f>IF($A133="","",INDEX('PAX &amp; CREW'!$P$3:$P$62,MATCH($A133,'PAX &amp; CREW'!$AJ$3:$AJ$62,0)))</f>
        <v/>
      </c>
      <c r="H133">
        <f>IF($A133="","",INDEX('PAX &amp; CREW'!$Q$3:$Q$62,MATCH($A133,'PAX &amp; CREW'!$AJ$3:$AJ$62,0)))</f>
        <v/>
      </c>
      <c r="I133">
        <f>IF($A133="","",INDEX('PAX &amp; CREW'!$U$3:$U$62,MATCH($A133,'PAX &amp; CREW'!$AJ$3:$AJ$62,0)))</f>
        <v/>
      </c>
      <c r="J133">
        <f>IF($A133="","",INDEX('PAX &amp; CREW'!$Z$3:$Z$62,MATCH($A133,'PAX &amp; CREW'!$AJ$3:$AJ$62,0)))</f>
        <v/>
      </c>
      <c r="K133">
        <f>IF($A133="","",INDEX('PAX &amp; CREW'!$AI$3:$AI$62,MATCH($A133,'PAX &amp; CREW'!$AJ$3:$AJ$62,0)))</f>
        <v/>
      </c>
      <c r="L133">
        <f>IF($A133="","",INDEX('PAX &amp; CREW'!$AE$3:$AE$62,MATCH($A133,'PAX &amp; CREW'!$AJ$3:$AJ$62,0)))</f>
        <v/>
      </c>
    </row>
    <row r="134">
      <c r="A134">
        <f>IF(ROW()-122&gt;COUNT('PAX &amp; CREW'!$AJ$3:$AJ$62),"",ROW()-122)</f>
        <v/>
      </c>
      <c r="B134">
        <f>IF($A134="","",INDEX('PAX &amp; CREW'!$C$3:$C$62,MATCH($A134,'PAX &amp; CREW'!$AJ$3:$AJ$62,0)))</f>
        <v/>
      </c>
      <c r="C134">
        <f>IF($A134="","",INDEX('PAX &amp; CREW'!$D$3:$D$62,MATCH($A134,'PAX &amp; CREW'!$AJ$3:$AJ$62,0)))</f>
        <v/>
      </c>
      <c r="D134">
        <f>IF($A134="","",INDEX('PAX &amp; CREW'!$G$3:$G$62,MATCH($A134,'PAX &amp; CREW'!$AJ$3:$AJ$62,0))&amp;", "&amp;INDEX('PAX &amp; CREW'!$H$3:$H$62,MATCH($A134,'PAX &amp; CREW'!$AJ$3:$AJ$62,0)))</f>
        <v/>
      </c>
      <c r="E134">
        <f>IF($A134="","",INDEX('PAX &amp; CREW'!$L$3:$L$62,MATCH($A134,'PAX &amp; CREW'!$AJ$3:$AJ$62,0)))</f>
        <v/>
      </c>
      <c r="F134">
        <f>IF($A134="","",INDEX('PAX &amp; CREW'!$M$3:$M$62,MATCH($A134,'PAX &amp; CREW'!$AJ$3:$AJ$62,0)))</f>
        <v/>
      </c>
      <c r="G134" s="118">
        <f>IF($A134="","",INDEX('PAX &amp; CREW'!$P$3:$P$62,MATCH($A134,'PAX &amp; CREW'!$AJ$3:$AJ$62,0)))</f>
        <v/>
      </c>
      <c r="H134">
        <f>IF($A134="","",INDEX('PAX &amp; CREW'!$Q$3:$Q$62,MATCH($A134,'PAX &amp; CREW'!$AJ$3:$AJ$62,0)))</f>
        <v/>
      </c>
      <c r="I134">
        <f>IF($A134="","",INDEX('PAX &amp; CREW'!$U$3:$U$62,MATCH($A134,'PAX &amp; CREW'!$AJ$3:$AJ$62,0)))</f>
        <v/>
      </c>
      <c r="J134">
        <f>IF($A134="","",INDEX('PAX &amp; CREW'!$Z$3:$Z$62,MATCH($A134,'PAX &amp; CREW'!$AJ$3:$AJ$62,0)))</f>
        <v/>
      </c>
      <c r="K134">
        <f>IF($A134="","",INDEX('PAX &amp; CREW'!$AI$3:$AI$62,MATCH($A134,'PAX &amp; CREW'!$AJ$3:$AJ$62,0)))</f>
        <v/>
      </c>
      <c r="L134">
        <f>IF($A134="","",INDEX('PAX &amp; CREW'!$AE$3:$AE$62,MATCH($A134,'PAX &amp; CREW'!$AJ$3:$AJ$62,0)))</f>
        <v/>
      </c>
    </row>
    <row r="135">
      <c r="A135">
        <f>IF(ROW()-122&gt;COUNT('PAX &amp; CREW'!$AJ$3:$AJ$62),"",ROW()-122)</f>
        <v/>
      </c>
      <c r="B135">
        <f>IF($A135="","",INDEX('PAX &amp; CREW'!$C$3:$C$62,MATCH($A135,'PAX &amp; CREW'!$AJ$3:$AJ$62,0)))</f>
        <v/>
      </c>
      <c r="C135">
        <f>IF($A135="","",INDEX('PAX &amp; CREW'!$D$3:$D$62,MATCH($A135,'PAX &amp; CREW'!$AJ$3:$AJ$62,0)))</f>
        <v/>
      </c>
      <c r="D135">
        <f>IF($A135="","",INDEX('PAX &amp; CREW'!$G$3:$G$62,MATCH($A135,'PAX &amp; CREW'!$AJ$3:$AJ$62,0))&amp;", "&amp;INDEX('PAX &amp; CREW'!$H$3:$H$62,MATCH($A135,'PAX &amp; CREW'!$AJ$3:$AJ$62,0)))</f>
        <v/>
      </c>
      <c r="E135">
        <f>IF($A135="","",INDEX('PAX &amp; CREW'!$L$3:$L$62,MATCH($A135,'PAX &amp; CREW'!$AJ$3:$AJ$62,0)))</f>
        <v/>
      </c>
      <c r="F135">
        <f>IF($A135="","",INDEX('PAX &amp; CREW'!$M$3:$M$62,MATCH($A135,'PAX &amp; CREW'!$AJ$3:$AJ$62,0)))</f>
        <v/>
      </c>
      <c r="G135" s="118">
        <f>IF($A135="","",INDEX('PAX &amp; CREW'!$P$3:$P$62,MATCH($A135,'PAX &amp; CREW'!$AJ$3:$AJ$62,0)))</f>
        <v/>
      </c>
      <c r="H135">
        <f>IF($A135="","",INDEX('PAX &amp; CREW'!$Q$3:$Q$62,MATCH($A135,'PAX &amp; CREW'!$AJ$3:$AJ$62,0)))</f>
        <v/>
      </c>
      <c r="I135">
        <f>IF($A135="","",INDEX('PAX &amp; CREW'!$U$3:$U$62,MATCH($A135,'PAX &amp; CREW'!$AJ$3:$AJ$62,0)))</f>
        <v/>
      </c>
      <c r="J135">
        <f>IF($A135="","",INDEX('PAX &amp; CREW'!$Z$3:$Z$62,MATCH($A135,'PAX &amp; CREW'!$AJ$3:$AJ$62,0)))</f>
        <v/>
      </c>
      <c r="K135">
        <f>IF($A135="","",INDEX('PAX &amp; CREW'!$AI$3:$AI$62,MATCH($A135,'PAX &amp; CREW'!$AJ$3:$AJ$62,0)))</f>
        <v/>
      </c>
      <c r="L135">
        <f>IF($A135="","",INDEX('PAX &amp; CREW'!$AE$3:$AE$62,MATCH($A135,'PAX &amp; CREW'!$AJ$3:$AJ$62,0)))</f>
        <v/>
      </c>
    </row>
    <row r="136">
      <c r="A136">
        <f>IF(ROW()-122&gt;COUNT('PAX &amp; CREW'!$AJ$3:$AJ$62),"",ROW()-122)</f>
        <v/>
      </c>
      <c r="B136">
        <f>IF($A136="","",INDEX('PAX &amp; CREW'!$C$3:$C$62,MATCH($A136,'PAX &amp; CREW'!$AJ$3:$AJ$62,0)))</f>
        <v/>
      </c>
      <c r="C136">
        <f>IF($A136="","",INDEX('PAX &amp; CREW'!$D$3:$D$62,MATCH($A136,'PAX &amp; CREW'!$AJ$3:$AJ$62,0)))</f>
        <v/>
      </c>
      <c r="D136">
        <f>IF($A136="","",INDEX('PAX &amp; CREW'!$G$3:$G$62,MATCH($A136,'PAX &amp; CREW'!$AJ$3:$AJ$62,0))&amp;", "&amp;INDEX('PAX &amp; CREW'!$H$3:$H$62,MATCH($A136,'PAX &amp; CREW'!$AJ$3:$AJ$62,0)))</f>
        <v/>
      </c>
      <c r="E136">
        <f>IF($A136="","",INDEX('PAX &amp; CREW'!$L$3:$L$62,MATCH($A136,'PAX &amp; CREW'!$AJ$3:$AJ$62,0)))</f>
        <v/>
      </c>
      <c r="F136">
        <f>IF($A136="","",INDEX('PAX &amp; CREW'!$M$3:$M$62,MATCH($A136,'PAX &amp; CREW'!$AJ$3:$AJ$62,0)))</f>
        <v/>
      </c>
      <c r="G136" s="118">
        <f>IF($A136="","",INDEX('PAX &amp; CREW'!$P$3:$P$62,MATCH($A136,'PAX &amp; CREW'!$AJ$3:$AJ$62,0)))</f>
        <v/>
      </c>
      <c r="H136">
        <f>IF($A136="","",INDEX('PAX &amp; CREW'!$Q$3:$Q$62,MATCH($A136,'PAX &amp; CREW'!$AJ$3:$AJ$62,0)))</f>
        <v/>
      </c>
      <c r="I136">
        <f>IF($A136="","",INDEX('PAX &amp; CREW'!$U$3:$U$62,MATCH($A136,'PAX &amp; CREW'!$AJ$3:$AJ$62,0)))</f>
        <v/>
      </c>
      <c r="J136">
        <f>IF($A136="","",INDEX('PAX &amp; CREW'!$Z$3:$Z$62,MATCH($A136,'PAX &amp; CREW'!$AJ$3:$AJ$62,0)))</f>
        <v/>
      </c>
      <c r="K136">
        <f>IF($A136="","",INDEX('PAX &amp; CREW'!$AI$3:$AI$62,MATCH($A136,'PAX &amp; CREW'!$AJ$3:$AJ$62,0)))</f>
        <v/>
      </c>
      <c r="L136">
        <f>IF($A136="","",INDEX('PAX &amp; CREW'!$AE$3:$AE$62,MATCH($A136,'PAX &amp; CREW'!$AJ$3:$AJ$62,0)))</f>
        <v/>
      </c>
    </row>
    <row r="137">
      <c r="A137">
        <f>IF(ROW()-122&gt;COUNT('PAX &amp; CREW'!$AJ$3:$AJ$62),"",ROW()-122)</f>
        <v/>
      </c>
      <c r="B137">
        <f>IF($A137="","",INDEX('PAX &amp; CREW'!$C$3:$C$62,MATCH($A137,'PAX &amp; CREW'!$AJ$3:$AJ$62,0)))</f>
        <v/>
      </c>
      <c r="C137">
        <f>IF($A137="","",INDEX('PAX &amp; CREW'!$D$3:$D$62,MATCH($A137,'PAX &amp; CREW'!$AJ$3:$AJ$62,0)))</f>
        <v/>
      </c>
      <c r="D137">
        <f>IF($A137="","",INDEX('PAX &amp; CREW'!$G$3:$G$62,MATCH($A137,'PAX &amp; CREW'!$AJ$3:$AJ$62,0))&amp;", "&amp;INDEX('PAX &amp; CREW'!$H$3:$H$62,MATCH($A137,'PAX &amp; CREW'!$AJ$3:$AJ$62,0)))</f>
        <v/>
      </c>
      <c r="E137">
        <f>IF($A137="","",INDEX('PAX &amp; CREW'!$L$3:$L$62,MATCH($A137,'PAX &amp; CREW'!$AJ$3:$AJ$62,0)))</f>
        <v/>
      </c>
      <c r="F137">
        <f>IF($A137="","",INDEX('PAX &amp; CREW'!$M$3:$M$62,MATCH($A137,'PAX &amp; CREW'!$AJ$3:$AJ$62,0)))</f>
        <v/>
      </c>
      <c r="G137" s="118">
        <f>IF($A137="","",INDEX('PAX &amp; CREW'!$P$3:$P$62,MATCH($A137,'PAX &amp; CREW'!$AJ$3:$AJ$62,0)))</f>
        <v/>
      </c>
      <c r="H137">
        <f>IF($A137="","",INDEX('PAX &amp; CREW'!$Q$3:$Q$62,MATCH($A137,'PAX &amp; CREW'!$AJ$3:$AJ$62,0)))</f>
        <v/>
      </c>
      <c r="I137">
        <f>IF($A137="","",INDEX('PAX &amp; CREW'!$U$3:$U$62,MATCH($A137,'PAX &amp; CREW'!$AJ$3:$AJ$62,0)))</f>
        <v/>
      </c>
      <c r="J137">
        <f>IF($A137="","",INDEX('PAX &amp; CREW'!$Z$3:$Z$62,MATCH($A137,'PAX &amp; CREW'!$AJ$3:$AJ$62,0)))</f>
        <v/>
      </c>
      <c r="K137">
        <f>IF($A137="","",INDEX('PAX &amp; CREW'!$AI$3:$AI$62,MATCH($A137,'PAX &amp; CREW'!$AJ$3:$AJ$62,0)))</f>
        <v/>
      </c>
      <c r="L137">
        <f>IF($A137="","",INDEX('PAX &amp; CREW'!$AE$3:$AE$62,MATCH($A137,'PAX &amp; CREW'!$AJ$3:$AJ$62,0)))</f>
        <v/>
      </c>
    </row>
    <row r="138">
      <c r="A138">
        <f>IF(ROW()-122&gt;COUNT('PAX &amp; CREW'!$AJ$3:$AJ$62),"",ROW()-122)</f>
        <v/>
      </c>
      <c r="B138">
        <f>IF($A138="","",INDEX('PAX &amp; CREW'!$C$3:$C$62,MATCH($A138,'PAX &amp; CREW'!$AJ$3:$AJ$62,0)))</f>
        <v/>
      </c>
      <c r="C138">
        <f>IF($A138="","",INDEX('PAX &amp; CREW'!$D$3:$D$62,MATCH($A138,'PAX &amp; CREW'!$AJ$3:$AJ$62,0)))</f>
        <v/>
      </c>
      <c r="D138">
        <f>IF($A138="","",INDEX('PAX &amp; CREW'!$G$3:$G$62,MATCH($A138,'PAX &amp; CREW'!$AJ$3:$AJ$62,0))&amp;", "&amp;INDEX('PAX &amp; CREW'!$H$3:$H$62,MATCH($A138,'PAX &amp; CREW'!$AJ$3:$AJ$62,0)))</f>
        <v/>
      </c>
      <c r="E138">
        <f>IF($A138="","",INDEX('PAX &amp; CREW'!$L$3:$L$62,MATCH($A138,'PAX &amp; CREW'!$AJ$3:$AJ$62,0)))</f>
        <v/>
      </c>
      <c r="F138">
        <f>IF($A138="","",INDEX('PAX &amp; CREW'!$M$3:$M$62,MATCH($A138,'PAX &amp; CREW'!$AJ$3:$AJ$62,0)))</f>
        <v/>
      </c>
      <c r="G138" s="118">
        <f>IF($A138="","",INDEX('PAX &amp; CREW'!$P$3:$P$62,MATCH($A138,'PAX &amp; CREW'!$AJ$3:$AJ$62,0)))</f>
        <v/>
      </c>
      <c r="H138">
        <f>IF($A138="","",INDEX('PAX &amp; CREW'!$Q$3:$Q$62,MATCH($A138,'PAX &amp; CREW'!$AJ$3:$AJ$62,0)))</f>
        <v/>
      </c>
      <c r="I138">
        <f>IF($A138="","",INDEX('PAX &amp; CREW'!$U$3:$U$62,MATCH($A138,'PAX &amp; CREW'!$AJ$3:$AJ$62,0)))</f>
        <v/>
      </c>
      <c r="J138">
        <f>IF($A138="","",INDEX('PAX &amp; CREW'!$Z$3:$Z$62,MATCH($A138,'PAX &amp; CREW'!$AJ$3:$AJ$62,0)))</f>
        <v/>
      </c>
      <c r="K138">
        <f>IF($A138="","",INDEX('PAX &amp; CREW'!$AI$3:$AI$62,MATCH($A138,'PAX &amp; CREW'!$AJ$3:$AJ$62,0)))</f>
        <v/>
      </c>
      <c r="L138">
        <f>IF($A138="","",INDEX('PAX &amp; CREW'!$AE$3:$AE$62,MATCH($A138,'PAX &amp; CREW'!$AJ$3:$AJ$62,0)))</f>
        <v/>
      </c>
    </row>
    <row r="139">
      <c r="A139">
        <f>IF(ROW()-122&gt;COUNT('PAX &amp; CREW'!$AJ$3:$AJ$62),"",ROW()-122)</f>
        <v/>
      </c>
      <c r="B139">
        <f>IF($A139="","",INDEX('PAX &amp; CREW'!$C$3:$C$62,MATCH($A139,'PAX &amp; CREW'!$AJ$3:$AJ$62,0)))</f>
        <v/>
      </c>
      <c r="C139">
        <f>IF($A139="","",INDEX('PAX &amp; CREW'!$D$3:$D$62,MATCH($A139,'PAX &amp; CREW'!$AJ$3:$AJ$62,0)))</f>
        <v/>
      </c>
      <c r="D139">
        <f>IF($A139="","",INDEX('PAX &amp; CREW'!$G$3:$G$62,MATCH($A139,'PAX &amp; CREW'!$AJ$3:$AJ$62,0))&amp;", "&amp;INDEX('PAX &amp; CREW'!$H$3:$H$62,MATCH($A139,'PAX &amp; CREW'!$AJ$3:$AJ$62,0)))</f>
        <v/>
      </c>
      <c r="E139">
        <f>IF($A139="","",INDEX('PAX &amp; CREW'!$L$3:$L$62,MATCH($A139,'PAX &amp; CREW'!$AJ$3:$AJ$62,0)))</f>
        <v/>
      </c>
      <c r="F139">
        <f>IF($A139="","",INDEX('PAX &amp; CREW'!$M$3:$M$62,MATCH($A139,'PAX &amp; CREW'!$AJ$3:$AJ$62,0)))</f>
        <v/>
      </c>
      <c r="G139" s="118">
        <f>IF($A139="","",INDEX('PAX &amp; CREW'!$P$3:$P$62,MATCH($A139,'PAX &amp; CREW'!$AJ$3:$AJ$62,0)))</f>
        <v/>
      </c>
      <c r="H139">
        <f>IF($A139="","",INDEX('PAX &amp; CREW'!$Q$3:$Q$62,MATCH($A139,'PAX &amp; CREW'!$AJ$3:$AJ$62,0)))</f>
        <v/>
      </c>
      <c r="I139">
        <f>IF($A139="","",INDEX('PAX &amp; CREW'!$U$3:$U$62,MATCH($A139,'PAX &amp; CREW'!$AJ$3:$AJ$62,0)))</f>
        <v/>
      </c>
      <c r="J139">
        <f>IF($A139="","",INDEX('PAX &amp; CREW'!$Z$3:$Z$62,MATCH($A139,'PAX &amp; CREW'!$AJ$3:$AJ$62,0)))</f>
        <v/>
      </c>
      <c r="K139">
        <f>IF($A139="","",INDEX('PAX &amp; CREW'!$AI$3:$AI$62,MATCH($A139,'PAX &amp; CREW'!$AJ$3:$AJ$62,0)))</f>
        <v/>
      </c>
      <c r="L139">
        <f>IF($A139="","",INDEX('PAX &amp; CREW'!$AE$3:$AE$62,MATCH($A139,'PAX &amp; CREW'!$AJ$3:$AJ$62,0)))</f>
        <v/>
      </c>
    </row>
    <row r="140">
      <c r="A140">
        <f>IF(ROW()-122&gt;COUNT('PAX &amp; CREW'!$AJ$3:$AJ$62),"",ROW()-122)</f>
        <v/>
      </c>
      <c r="B140">
        <f>IF($A140="","",INDEX('PAX &amp; CREW'!$C$3:$C$62,MATCH($A140,'PAX &amp; CREW'!$AJ$3:$AJ$62,0)))</f>
        <v/>
      </c>
      <c r="C140">
        <f>IF($A140="","",INDEX('PAX &amp; CREW'!$D$3:$D$62,MATCH($A140,'PAX &amp; CREW'!$AJ$3:$AJ$62,0)))</f>
        <v/>
      </c>
      <c r="D140">
        <f>IF($A140="","",INDEX('PAX &amp; CREW'!$G$3:$G$62,MATCH($A140,'PAX &amp; CREW'!$AJ$3:$AJ$62,0))&amp;", "&amp;INDEX('PAX &amp; CREW'!$H$3:$H$62,MATCH($A140,'PAX &amp; CREW'!$AJ$3:$AJ$62,0)))</f>
        <v/>
      </c>
      <c r="E140">
        <f>IF($A140="","",INDEX('PAX &amp; CREW'!$L$3:$L$62,MATCH($A140,'PAX &amp; CREW'!$AJ$3:$AJ$62,0)))</f>
        <v/>
      </c>
      <c r="F140">
        <f>IF($A140="","",INDEX('PAX &amp; CREW'!$M$3:$M$62,MATCH($A140,'PAX &amp; CREW'!$AJ$3:$AJ$62,0)))</f>
        <v/>
      </c>
      <c r="G140" s="118">
        <f>IF($A140="","",INDEX('PAX &amp; CREW'!$P$3:$P$62,MATCH($A140,'PAX &amp; CREW'!$AJ$3:$AJ$62,0)))</f>
        <v/>
      </c>
      <c r="H140">
        <f>IF($A140="","",INDEX('PAX &amp; CREW'!$Q$3:$Q$62,MATCH($A140,'PAX &amp; CREW'!$AJ$3:$AJ$62,0)))</f>
        <v/>
      </c>
      <c r="I140">
        <f>IF($A140="","",INDEX('PAX &amp; CREW'!$U$3:$U$62,MATCH($A140,'PAX &amp; CREW'!$AJ$3:$AJ$62,0)))</f>
        <v/>
      </c>
      <c r="J140">
        <f>IF($A140="","",INDEX('PAX &amp; CREW'!$Z$3:$Z$62,MATCH($A140,'PAX &amp; CREW'!$AJ$3:$AJ$62,0)))</f>
        <v/>
      </c>
      <c r="K140">
        <f>IF($A140="","",INDEX('PAX &amp; CREW'!$AI$3:$AI$62,MATCH($A140,'PAX &amp; CREW'!$AJ$3:$AJ$62,0)))</f>
        <v/>
      </c>
      <c r="L140">
        <f>IF($A140="","",INDEX('PAX &amp; CREW'!$AE$3:$AE$62,MATCH($A140,'PAX &amp; CREW'!$AJ$3:$AJ$62,0)))</f>
        <v/>
      </c>
    </row>
    <row r="141">
      <c r="A141">
        <f>IF(ROW()-122&gt;COUNT('PAX &amp; CREW'!$AJ$3:$AJ$62),"",ROW()-122)</f>
        <v/>
      </c>
      <c r="B141">
        <f>IF($A141="","",INDEX('PAX &amp; CREW'!$C$3:$C$62,MATCH($A141,'PAX &amp; CREW'!$AJ$3:$AJ$62,0)))</f>
        <v/>
      </c>
      <c r="C141">
        <f>IF($A141="","",INDEX('PAX &amp; CREW'!$D$3:$D$62,MATCH($A141,'PAX &amp; CREW'!$AJ$3:$AJ$62,0)))</f>
        <v/>
      </c>
      <c r="D141">
        <f>IF($A141="","",INDEX('PAX &amp; CREW'!$G$3:$G$62,MATCH($A141,'PAX &amp; CREW'!$AJ$3:$AJ$62,0))&amp;", "&amp;INDEX('PAX &amp; CREW'!$H$3:$H$62,MATCH($A141,'PAX &amp; CREW'!$AJ$3:$AJ$62,0)))</f>
        <v/>
      </c>
      <c r="E141">
        <f>IF($A141="","",INDEX('PAX &amp; CREW'!$L$3:$L$62,MATCH($A141,'PAX &amp; CREW'!$AJ$3:$AJ$62,0)))</f>
        <v/>
      </c>
      <c r="F141">
        <f>IF($A141="","",INDEX('PAX &amp; CREW'!$M$3:$M$62,MATCH($A141,'PAX &amp; CREW'!$AJ$3:$AJ$62,0)))</f>
        <v/>
      </c>
      <c r="G141" s="118">
        <f>IF($A141="","",INDEX('PAX &amp; CREW'!$P$3:$P$62,MATCH($A141,'PAX &amp; CREW'!$AJ$3:$AJ$62,0)))</f>
        <v/>
      </c>
      <c r="H141">
        <f>IF($A141="","",INDEX('PAX &amp; CREW'!$Q$3:$Q$62,MATCH($A141,'PAX &amp; CREW'!$AJ$3:$AJ$62,0)))</f>
        <v/>
      </c>
      <c r="I141">
        <f>IF($A141="","",INDEX('PAX &amp; CREW'!$U$3:$U$62,MATCH($A141,'PAX &amp; CREW'!$AJ$3:$AJ$62,0)))</f>
        <v/>
      </c>
      <c r="J141">
        <f>IF($A141="","",INDEX('PAX &amp; CREW'!$Z$3:$Z$62,MATCH($A141,'PAX &amp; CREW'!$AJ$3:$AJ$62,0)))</f>
        <v/>
      </c>
      <c r="K141">
        <f>IF($A141="","",INDEX('PAX &amp; CREW'!$AI$3:$AI$62,MATCH($A141,'PAX &amp; CREW'!$AJ$3:$AJ$62,0)))</f>
        <v/>
      </c>
      <c r="L141">
        <f>IF($A141="","",INDEX('PAX &amp; CREW'!$AE$3:$AE$62,MATCH($A141,'PAX &amp; CREW'!$AJ$3:$AJ$62,0)))</f>
        <v/>
      </c>
    </row>
    <row r="142">
      <c r="A142">
        <f>IF(ROW()-122&gt;COUNT('PAX &amp; CREW'!$AJ$3:$AJ$62),"",ROW()-122)</f>
        <v/>
      </c>
      <c r="B142">
        <f>IF($A142="","",INDEX('PAX &amp; CREW'!$C$3:$C$62,MATCH($A142,'PAX &amp; CREW'!$AJ$3:$AJ$62,0)))</f>
        <v/>
      </c>
      <c r="C142">
        <f>IF($A142="","",INDEX('PAX &amp; CREW'!$D$3:$D$62,MATCH($A142,'PAX &amp; CREW'!$AJ$3:$AJ$62,0)))</f>
        <v/>
      </c>
      <c r="D142">
        <f>IF($A142="","",INDEX('PAX &amp; CREW'!$G$3:$G$62,MATCH($A142,'PAX &amp; CREW'!$AJ$3:$AJ$62,0))&amp;", "&amp;INDEX('PAX &amp; CREW'!$H$3:$H$62,MATCH($A142,'PAX &amp; CREW'!$AJ$3:$AJ$62,0)))</f>
        <v/>
      </c>
      <c r="E142">
        <f>IF($A142="","",INDEX('PAX &amp; CREW'!$L$3:$L$62,MATCH($A142,'PAX &amp; CREW'!$AJ$3:$AJ$62,0)))</f>
        <v/>
      </c>
      <c r="F142">
        <f>IF($A142="","",INDEX('PAX &amp; CREW'!$M$3:$M$62,MATCH($A142,'PAX &amp; CREW'!$AJ$3:$AJ$62,0)))</f>
        <v/>
      </c>
      <c r="G142" s="118">
        <f>IF($A142="","",INDEX('PAX &amp; CREW'!$P$3:$P$62,MATCH($A142,'PAX &amp; CREW'!$AJ$3:$AJ$62,0)))</f>
        <v/>
      </c>
      <c r="H142">
        <f>IF($A142="","",INDEX('PAX &amp; CREW'!$Q$3:$Q$62,MATCH($A142,'PAX &amp; CREW'!$AJ$3:$AJ$62,0)))</f>
        <v/>
      </c>
      <c r="I142">
        <f>IF($A142="","",INDEX('PAX &amp; CREW'!$U$3:$U$62,MATCH($A142,'PAX &amp; CREW'!$AJ$3:$AJ$62,0)))</f>
        <v/>
      </c>
      <c r="J142">
        <f>IF($A142="","",INDEX('PAX &amp; CREW'!$Z$3:$Z$62,MATCH($A142,'PAX &amp; CREW'!$AJ$3:$AJ$62,0)))</f>
        <v/>
      </c>
      <c r="K142">
        <f>IF($A142="","",INDEX('PAX &amp; CREW'!$AI$3:$AI$62,MATCH($A142,'PAX &amp; CREW'!$AJ$3:$AJ$62,0)))</f>
        <v/>
      </c>
      <c r="L142">
        <f>IF($A142="","",INDEX('PAX &amp; CREW'!$AE$3:$AE$62,MATCH($A142,'PAX &amp; CREW'!$AJ$3:$AJ$62,0)))</f>
        <v/>
      </c>
    </row>
    <row r="145">
      <c r="A145" s="25" t="inlineStr">
        <is>
          <t>8 · BILLING BY LEG   (each leg can be billed to a different account — set BILL TO (LEG) in the legs table)</t>
        </is>
      </c>
      <c r="B145" s="25" t="n"/>
      <c r="C145" s="25" t="n"/>
      <c r="D145" s="25" t="n"/>
      <c r="E145" s="25" t="n"/>
      <c r="F145" s="25" t="n"/>
      <c r="G145" s="25" t="n"/>
      <c r="H145" s="25" t="n"/>
    </row>
    <row r="146">
      <c r="A146" s="33" t="inlineStr">
        <is>
          <t>LEG</t>
        </is>
      </c>
      <c r="B146" s="33" t="inlineStr">
        <is>
          <t>BILL TO</t>
        </is>
      </c>
      <c r="C146" s="33" t="inlineStr">
        <is>
          <t>CLIENT / BILL-TO NAME</t>
        </is>
      </c>
      <c r="D146" s="33" t="inlineStr">
        <is>
          <t>BILLING ADDRESS</t>
        </is>
      </c>
      <c r="E146" s="33" t="inlineStr">
        <is>
          <t>BILLING EMAIL</t>
        </is>
      </c>
      <c r="F146" s="33" t="inlineStr">
        <is>
          <t>CURRENCY</t>
        </is>
      </c>
      <c r="G146" s="33" t="inlineStr">
        <is>
          <t>PAYMENT TERMS</t>
        </is>
      </c>
      <c r="H146" s="33" t="inlineStr">
        <is>
          <t>VS TRIP DEFAULT</t>
        </is>
      </c>
    </row>
    <row r="147">
      <c r="A147">
        <f t="array" ref="A147">IF(INDEX($B$18:$B$25,ROW()-146)="","",INDEX($A$18:$A$25,ROW()-146))</f>
        <v/>
      </c>
      <c r="B147">
        <f t="array" ref="B147">IF($A147="","",INDEX($N$18:$N$25,ROW()-146))</f>
        <v/>
      </c>
      <c r="C147">
        <f>IF($B147="","",IFERROR(INDEX(Clients!$D:$D,MATCH($B147,Clients!$A:$A,0))&amp;"","UNKNOWN CLIENT ID"))</f>
        <v/>
      </c>
      <c r="D147">
        <f>IF($B147="","",IFERROR(INDEX(Clients!$E:$E,MATCH($B147,Clients!$A:$A,0))&amp;", "&amp;INDEX(Clients!$G:$G,MATCH($B147,Clients!$A:$A,0))&amp;", "&amp;INDEX(Clients!$H:$H,MATCH($B147,Clients!$A:$A,0)),"UNKNOWN CLIENT ID"))</f>
        <v/>
      </c>
      <c r="E147">
        <f>IF($B147="","",IFERROR(INDEX(Clients!$K:$K,MATCH($B147,Clients!$A:$A,0))&amp;"","UNKNOWN CLIENT ID"))</f>
        <v/>
      </c>
      <c r="F147">
        <f>IF($B147="","",IFERROR(INDEX(Clients!$M:$M,MATCH($B147,Clients!$A:$A,0))&amp;"","UNKNOWN CLIENT ID"))</f>
        <v/>
      </c>
      <c r="G147">
        <f>IF($B147="","",IFERROR(INDEX(Clients!$N:$N,MATCH($B147,Clients!$A:$A,0))&amp;"","UNKNOWN CLIENT ID"))</f>
        <v/>
      </c>
      <c r="H147">
        <f>IF($A147="","",IF($B147=$F$5,"DEFAULT","OVERRIDE"))</f>
        <v/>
      </c>
    </row>
    <row r="148">
      <c r="A148">
        <f t="array" ref="A148">IF(INDEX($B$18:$B$25,ROW()-146)="","",INDEX($A$18:$A$25,ROW()-146))</f>
        <v/>
      </c>
      <c r="B148">
        <f t="array" ref="B148">IF($A148="","",INDEX($N$18:$N$25,ROW()-146))</f>
        <v/>
      </c>
      <c r="C148">
        <f>IF($B148="","",IFERROR(INDEX(Clients!$D:$D,MATCH($B148,Clients!$A:$A,0))&amp;"","UNKNOWN CLIENT ID"))</f>
        <v/>
      </c>
      <c r="D148">
        <f>IF($B148="","",IFERROR(INDEX(Clients!$E:$E,MATCH($B148,Clients!$A:$A,0))&amp;", "&amp;INDEX(Clients!$G:$G,MATCH($B148,Clients!$A:$A,0))&amp;", "&amp;INDEX(Clients!$H:$H,MATCH($B148,Clients!$A:$A,0)),"UNKNOWN CLIENT ID"))</f>
        <v/>
      </c>
      <c r="E148">
        <f>IF($B148="","",IFERROR(INDEX(Clients!$K:$K,MATCH($B148,Clients!$A:$A,0))&amp;"","UNKNOWN CLIENT ID"))</f>
        <v/>
      </c>
      <c r="F148">
        <f>IF($B148="","",IFERROR(INDEX(Clients!$M:$M,MATCH($B148,Clients!$A:$A,0))&amp;"","UNKNOWN CLIENT ID"))</f>
        <v/>
      </c>
      <c r="G148">
        <f>IF($B148="","",IFERROR(INDEX(Clients!$N:$N,MATCH($B148,Clients!$A:$A,0))&amp;"","UNKNOWN CLIENT ID"))</f>
        <v/>
      </c>
      <c r="H148">
        <f>IF($A148="","",IF($B148=$F$5,"DEFAULT","OVERRIDE"))</f>
        <v/>
      </c>
    </row>
    <row r="149">
      <c r="A149">
        <f t="array" ref="A149">IF(INDEX($B$18:$B$25,ROW()-146)="","",INDEX($A$18:$A$25,ROW()-146))</f>
        <v/>
      </c>
      <c r="B149">
        <f t="array" ref="B149">IF($A149="","",INDEX($N$18:$N$25,ROW()-146))</f>
        <v/>
      </c>
      <c r="C149">
        <f>IF($B149="","",IFERROR(INDEX(Clients!$D:$D,MATCH($B149,Clients!$A:$A,0))&amp;"","UNKNOWN CLIENT ID"))</f>
        <v/>
      </c>
      <c r="D149">
        <f>IF($B149="","",IFERROR(INDEX(Clients!$E:$E,MATCH($B149,Clients!$A:$A,0))&amp;", "&amp;INDEX(Clients!$G:$G,MATCH($B149,Clients!$A:$A,0))&amp;", "&amp;INDEX(Clients!$H:$H,MATCH($B149,Clients!$A:$A,0)),"UNKNOWN CLIENT ID"))</f>
        <v/>
      </c>
      <c r="E149">
        <f>IF($B149="","",IFERROR(INDEX(Clients!$K:$K,MATCH($B149,Clients!$A:$A,0))&amp;"","UNKNOWN CLIENT ID"))</f>
        <v/>
      </c>
      <c r="F149">
        <f>IF($B149="","",IFERROR(INDEX(Clients!$M:$M,MATCH($B149,Clients!$A:$A,0))&amp;"","UNKNOWN CLIENT ID"))</f>
        <v/>
      </c>
      <c r="G149">
        <f>IF($B149="","",IFERROR(INDEX(Clients!$N:$N,MATCH($B149,Clients!$A:$A,0))&amp;"","UNKNOWN CLIENT ID"))</f>
        <v/>
      </c>
      <c r="H149">
        <f>IF($A149="","",IF($B149=$F$5,"DEFAULT","OVERRIDE"))</f>
        <v/>
      </c>
    </row>
    <row r="150">
      <c r="A150">
        <f t="array" ref="A150">IF(INDEX($B$18:$B$25,ROW()-146)="","",INDEX($A$18:$A$25,ROW()-146))</f>
        <v/>
      </c>
      <c r="B150">
        <f t="array" ref="B150">IF($A150="","",INDEX($N$18:$N$25,ROW()-146))</f>
        <v/>
      </c>
      <c r="C150">
        <f>IF($B150="","",IFERROR(INDEX(Clients!$D:$D,MATCH($B150,Clients!$A:$A,0))&amp;"","UNKNOWN CLIENT ID"))</f>
        <v/>
      </c>
      <c r="D150">
        <f>IF($B150="","",IFERROR(INDEX(Clients!$E:$E,MATCH($B150,Clients!$A:$A,0))&amp;", "&amp;INDEX(Clients!$G:$G,MATCH($B150,Clients!$A:$A,0))&amp;", "&amp;INDEX(Clients!$H:$H,MATCH($B150,Clients!$A:$A,0)),"UNKNOWN CLIENT ID"))</f>
        <v/>
      </c>
      <c r="E150">
        <f>IF($B150="","",IFERROR(INDEX(Clients!$K:$K,MATCH($B150,Clients!$A:$A,0))&amp;"","UNKNOWN CLIENT ID"))</f>
        <v/>
      </c>
      <c r="F150">
        <f>IF($B150="","",IFERROR(INDEX(Clients!$M:$M,MATCH($B150,Clients!$A:$A,0))&amp;"","UNKNOWN CLIENT ID"))</f>
        <v/>
      </c>
      <c r="G150">
        <f>IF($B150="","",IFERROR(INDEX(Clients!$N:$N,MATCH($B150,Clients!$A:$A,0))&amp;"","UNKNOWN CLIENT ID"))</f>
        <v/>
      </c>
      <c r="H150">
        <f>IF($A150="","",IF($B150=$F$5,"DEFAULT","OVERRIDE"))</f>
        <v/>
      </c>
    </row>
    <row r="151">
      <c r="A151">
        <f t="array" ref="A151">IF(INDEX($B$18:$B$25,ROW()-146)="","",INDEX($A$18:$A$25,ROW()-146))</f>
        <v/>
      </c>
      <c r="B151">
        <f t="array" ref="B151">IF($A151="","",INDEX($N$18:$N$25,ROW()-146))</f>
        <v/>
      </c>
      <c r="C151">
        <f>IF($B151="","",IFERROR(INDEX(Clients!$D:$D,MATCH($B151,Clients!$A:$A,0))&amp;"","UNKNOWN CLIENT ID"))</f>
        <v/>
      </c>
      <c r="D151">
        <f>IF($B151="","",IFERROR(INDEX(Clients!$E:$E,MATCH($B151,Clients!$A:$A,0))&amp;", "&amp;INDEX(Clients!$G:$G,MATCH($B151,Clients!$A:$A,0))&amp;", "&amp;INDEX(Clients!$H:$H,MATCH($B151,Clients!$A:$A,0)),"UNKNOWN CLIENT ID"))</f>
        <v/>
      </c>
      <c r="E151">
        <f>IF($B151="","",IFERROR(INDEX(Clients!$K:$K,MATCH($B151,Clients!$A:$A,0))&amp;"","UNKNOWN CLIENT ID"))</f>
        <v/>
      </c>
      <c r="F151">
        <f>IF($B151="","",IFERROR(INDEX(Clients!$M:$M,MATCH($B151,Clients!$A:$A,0))&amp;"","UNKNOWN CLIENT ID"))</f>
        <v/>
      </c>
      <c r="G151">
        <f>IF($B151="","",IFERROR(INDEX(Clients!$N:$N,MATCH($B151,Clients!$A:$A,0))&amp;"","UNKNOWN CLIENT ID"))</f>
        <v/>
      </c>
      <c r="H151">
        <f>IF($A151="","",IF($B151=$F$5,"DEFAULT","OVERRIDE"))</f>
        <v/>
      </c>
    </row>
    <row r="152">
      <c r="A152">
        <f t="array" ref="A152">IF(INDEX($B$18:$B$25,ROW()-146)="","",INDEX($A$18:$A$25,ROW()-146))</f>
        <v/>
      </c>
      <c r="B152">
        <f t="array" ref="B152">IF($A152="","",INDEX($N$18:$N$25,ROW()-146))</f>
        <v/>
      </c>
      <c r="C152">
        <f>IF($B152="","",IFERROR(INDEX(Clients!$D:$D,MATCH($B152,Clients!$A:$A,0))&amp;"","UNKNOWN CLIENT ID"))</f>
        <v/>
      </c>
      <c r="D152">
        <f>IF($B152="","",IFERROR(INDEX(Clients!$E:$E,MATCH($B152,Clients!$A:$A,0))&amp;", "&amp;INDEX(Clients!$G:$G,MATCH($B152,Clients!$A:$A,0))&amp;", "&amp;INDEX(Clients!$H:$H,MATCH($B152,Clients!$A:$A,0)),"UNKNOWN CLIENT ID"))</f>
        <v/>
      </c>
      <c r="E152">
        <f>IF($B152="","",IFERROR(INDEX(Clients!$K:$K,MATCH($B152,Clients!$A:$A,0))&amp;"","UNKNOWN CLIENT ID"))</f>
        <v/>
      </c>
      <c r="F152">
        <f>IF($B152="","",IFERROR(INDEX(Clients!$M:$M,MATCH($B152,Clients!$A:$A,0))&amp;"","UNKNOWN CLIENT ID"))</f>
        <v/>
      </c>
      <c r="G152">
        <f>IF($B152="","",IFERROR(INDEX(Clients!$N:$N,MATCH($B152,Clients!$A:$A,0))&amp;"","UNKNOWN CLIENT ID"))</f>
        <v/>
      </c>
      <c r="H152">
        <f>IF($A152="","",IF($B152=$F$5,"DEFAULT","OVERRIDE"))</f>
        <v/>
      </c>
    </row>
    <row r="153">
      <c r="A153">
        <f t="array" ref="A153">IF(INDEX($B$18:$B$25,ROW()-146)="","",INDEX($A$18:$A$25,ROW()-146))</f>
        <v/>
      </c>
      <c r="B153">
        <f t="array" ref="B153">IF($A153="","",INDEX($N$18:$N$25,ROW()-146))</f>
        <v/>
      </c>
      <c r="C153">
        <f>IF($B153="","",IFERROR(INDEX(Clients!$D:$D,MATCH($B153,Clients!$A:$A,0))&amp;"","UNKNOWN CLIENT ID"))</f>
        <v/>
      </c>
      <c r="D153">
        <f>IF($B153="","",IFERROR(INDEX(Clients!$E:$E,MATCH($B153,Clients!$A:$A,0))&amp;", "&amp;INDEX(Clients!$G:$G,MATCH($B153,Clients!$A:$A,0))&amp;", "&amp;INDEX(Clients!$H:$H,MATCH($B153,Clients!$A:$A,0)),"UNKNOWN CLIENT ID"))</f>
        <v/>
      </c>
      <c r="E153">
        <f>IF($B153="","",IFERROR(INDEX(Clients!$K:$K,MATCH($B153,Clients!$A:$A,0))&amp;"","UNKNOWN CLIENT ID"))</f>
        <v/>
      </c>
      <c r="F153">
        <f>IF($B153="","",IFERROR(INDEX(Clients!$M:$M,MATCH($B153,Clients!$A:$A,0))&amp;"","UNKNOWN CLIENT ID"))</f>
        <v/>
      </c>
      <c r="G153">
        <f>IF($B153="","",IFERROR(INDEX(Clients!$N:$N,MATCH($B153,Clients!$A:$A,0))&amp;"","UNKNOWN CLIENT ID"))</f>
        <v/>
      </c>
      <c r="H153">
        <f>IF($A153="","",IF($B153=$F$5,"DEFAULT","OVERRIDE"))</f>
        <v/>
      </c>
    </row>
    <row r="154">
      <c r="A154">
        <f t="array" ref="A154">IF(INDEX($B$18:$B$25,ROW()-146)="","",INDEX($A$18:$A$25,ROW()-146))</f>
        <v/>
      </c>
      <c r="B154">
        <f t="array" ref="B154">IF($A154="","",INDEX($N$18:$N$25,ROW()-146))</f>
        <v/>
      </c>
      <c r="C154">
        <f>IF($B154="","",IFERROR(INDEX(Clients!$D:$D,MATCH($B154,Clients!$A:$A,0))&amp;"","UNKNOWN CLIENT ID"))</f>
        <v/>
      </c>
      <c r="D154">
        <f>IF($B154="","",IFERROR(INDEX(Clients!$E:$E,MATCH($B154,Clients!$A:$A,0))&amp;", "&amp;INDEX(Clients!$G:$G,MATCH($B154,Clients!$A:$A,0))&amp;", "&amp;INDEX(Clients!$H:$H,MATCH($B154,Clients!$A:$A,0)),"UNKNOWN CLIENT ID"))</f>
        <v/>
      </c>
      <c r="E154">
        <f>IF($B154="","",IFERROR(INDEX(Clients!$K:$K,MATCH($B154,Clients!$A:$A,0))&amp;"","UNKNOWN CLIENT ID"))</f>
        <v/>
      </c>
      <c r="F154">
        <f>IF($B154="","",IFERROR(INDEX(Clients!$M:$M,MATCH($B154,Clients!$A:$A,0))&amp;"","UNKNOWN CLIENT ID"))</f>
        <v/>
      </c>
      <c r="G154">
        <f>IF($B154="","",IFERROR(INDEX(Clients!$N:$N,MATCH($B154,Clients!$A:$A,0))&amp;"","UNKNOWN CLIENT ID"))</f>
        <v/>
      </c>
      <c r="H154">
        <f>IF($A154="","",IF($B154=$F$5,"DEFAULT","OVERRIDE"))</f>
        <v/>
      </c>
    </row>
    <row r="157">
      <c r="A157" s="59" t="inlineStr">
        <is>
          <t>9 · REGISTER RECORDS   (one row per leg in mayfly layout · copy rows 160-167 and paste-special as VALUES into the next free rows on the mayfly sheet)</t>
        </is>
      </c>
      <c r="B157" s="59" t="n"/>
      <c r="C157" s="59" t="n"/>
      <c r="D157" s="59" t="n"/>
      <c r="E157" s="59" t="n"/>
      <c r="F157" s="59" t="n"/>
      <c r="G157" s="59" t="n"/>
      <c r="H157" s="59" t="n"/>
      <c r="I157" s="59" t="n"/>
      <c r="J157" s="59" t="n"/>
      <c r="K157" s="59" t="n"/>
      <c r="L157" s="59" t="n"/>
      <c r="M157" s="59" t="n"/>
      <c r="N157" s="59" t="n"/>
      <c r="O157" s="59" t="n"/>
      <c r="P157" s="59" t="n"/>
      <c r="Q157" s="59" t="n"/>
      <c r="R157" s="59" t="n"/>
      <c r="S157" s="59" t="n"/>
      <c r="T157" s="59" t="n"/>
      <c r="U157" s="59" t="n"/>
      <c r="V157" s="59" t="n"/>
      <c r="W157" s="59" t="n"/>
      <c r="X157" s="59" t="n"/>
      <c r="Y157" s="59" t="n"/>
      <c r="Z157" s="59" t="n"/>
      <c r="AA157" s="59" t="n"/>
      <c r="AB157" s="59" t="n"/>
      <c r="AC157" s="59" t="n"/>
      <c r="AD157" s="59" t="n"/>
      <c r="AE157" s="59" t="n"/>
      <c r="AF157" s="59" t="n"/>
      <c r="AG157" s="59" t="n"/>
      <c r="AH157" s="59" t="n"/>
      <c r="AI157" s="59" t="n"/>
      <c r="AJ157" s="59" t="n"/>
      <c r="AK157" s="59" t="n"/>
      <c r="AL157" s="59" t="n"/>
      <c r="AM157" s="59" t="n"/>
      <c r="AN157" s="59" t="n"/>
      <c r="AO157" s="59" t="n"/>
      <c r="AP157" s="59" t="n"/>
      <c r="AQ157" s="59" t="n"/>
      <c r="AR157" s="59" t="n"/>
    </row>
    <row r="158">
      <c r="A158" s="24" t="inlineStr">
        <is>
          <t>TRIP INFORMATION (repeats on every leg)</t>
        </is>
      </c>
      <c r="B158" s="24" t="n"/>
      <c r="C158" s="24" t="n"/>
      <c r="D158" s="24" t="n"/>
      <c r="E158" s="24" t="n"/>
      <c r="F158" s="24" t="n"/>
      <c r="G158" s="24" t="n"/>
      <c r="H158" s="24" t="n"/>
      <c r="I158" s="24" t="n"/>
      <c r="J158" s="24" t="n"/>
      <c r="K158" s="24" t="n"/>
      <c r="L158" s="24" t="n"/>
      <c r="M158" s="24" t="n"/>
      <c r="N158" s="24" t="n"/>
      <c r="O158" s="24" t="n"/>
      <c r="P158" s="24" t="n"/>
      <c r="Q158" s="24" t="n"/>
      <c r="R158" s="24" t="n"/>
      <c r="S158" s="56" t="inlineStr">
        <is>
          <t>LEG INFORMATION</t>
        </is>
      </c>
      <c r="T158" s="56" t="n"/>
      <c r="U158" s="56" t="n"/>
      <c r="V158" s="56" t="n"/>
      <c r="W158" s="56" t="n"/>
      <c r="X158" s="56" t="n"/>
      <c r="Y158" s="56" t="n"/>
      <c r="Z158" s="56" t="n"/>
      <c r="AA158" s="56" t="n"/>
      <c r="AB158" s="56" t="n"/>
      <c r="AC158" s="56" t="n"/>
      <c r="AD158" s="56" t="n"/>
      <c r="AE158" s="56" t="n"/>
      <c r="AF158" s="56" t="n"/>
      <c r="AG158" s="56" t="n"/>
      <c r="AH158" s="56" t="n"/>
      <c r="AI158" s="56" t="n"/>
      <c r="AJ158" s="56" t="n"/>
      <c r="AK158" s="56" t="n"/>
      <c r="AL158" s="56" t="n"/>
      <c r="AM158" s="56" t="n"/>
      <c r="AN158" s="56" t="n"/>
      <c r="AO158" s="56" t="n"/>
      <c r="AP158" s="56" t="n"/>
      <c r="AQ158" s="56" t="n"/>
      <c r="AR158" s="56" t="n"/>
    </row>
    <row r="159">
      <c r="A159" s="33" t="inlineStr">
        <is>
          <t>trip_ref</t>
        </is>
      </c>
      <c r="B159" s="33" t="inlineStr">
        <is>
          <t>source</t>
        </is>
      </c>
      <c r="C159" s="33" t="inlineStr">
        <is>
          <t>trip_status</t>
        </is>
      </c>
      <c r="D159" s="33" t="inlineStr">
        <is>
          <t>owner</t>
        </is>
      </c>
      <c r="E159" s="33" t="inlineStr">
        <is>
          <t>request_date</t>
        </is>
      </c>
      <c r="F159" s="33" t="inlineStr">
        <is>
          <t>requester_company</t>
        </is>
      </c>
      <c r="G159" s="33" t="inlineStr">
        <is>
          <t>requester_name</t>
        </is>
      </c>
      <c r="H159" s="33" t="inlineStr">
        <is>
          <t>requester_email</t>
        </is>
      </c>
      <c r="I159" s="33" t="inlineStr">
        <is>
          <t>requester_phone</t>
        </is>
      </c>
      <c r="J159" s="33" t="inlineStr">
        <is>
          <t>operator_id</t>
        </is>
      </c>
      <c r="K159" s="33" t="inlineStr">
        <is>
          <t>operator_name</t>
        </is>
      </c>
      <c r="L159" s="33" t="inlineStr">
        <is>
          <t>bill_to_client_id</t>
        </is>
      </c>
      <c r="M159" s="33" t="inlineStr">
        <is>
          <t>aircraft_type</t>
        </is>
      </c>
      <c r="N159" s="33" t="inlineStr">
        <is>
          <t>registration</t>
        </is>
      </c>
      <c r="O159" s="33" t="inlineStr">
        <is>
          <t>total_legs</t>
        </is>
      </c>
      <c r="P159" s="33" t="inlineStr">
        <is>
          <t>trip_feasibility</t>
        </is>
      </c>
      <c r="Q159" s="33" t="inlineStr">
        <is>
          <t>last_update</t>
        </is>
      </c>
      <c r="R159" s="33" t="inlineStr">
        <is>
          <t>trip_notes</t>
        </is>
      </c>
      <c r="S159" s="58" t="inlineStr">
        <is>
          <t>leg_no</t>
        </is>
      </c>
      <c r="T159" s="58" t="inlineStr">
        <is>
          <t>leg_ref</t>
        </is>
      </c>
      <c r="U159" s="58" t="inlineStr">
        <is>
          <t>dep_icao</t>
        </is>
      </c>
      <c r="V159" s="58" t="inlineStr">
        <is>
          <t>dep_name</t>
        </is>
      </c>
      <c r="W159" s="58" t="inlineStr">
        <is>
          <t>dep_country</t>
        </is>
      </c>
      <c r="X159" s="58" t="inlineStr">
        <is>
          <t>etd_utc</t>
        </is>
      </c>
      <c r="Y159" s="58" t="inlineStr">
        <is>
          <t>arr_icao</t>
        </is>
      </c>
      <c r="Z159" s="58" t="inlineStr">
        <is>
          <t>arr_name</t>
        </is>
      </c>
      <c r="AA159" s="58" t="inlineStr">
        <is>
          <t>arr_country</t>
        </is>
      </c>
      <c r="AB159" s="58" t="inlineStr">
        <is>
          <t>eta_utc</t>
        </is>
      </c>
      <c r="AC159" s="58" t="inlineStr">
        <is>
          <t>dist_nm</t>
        </is>
      </c>
      <c r="AD159" s="58" t="inlineStr">
        <is>
          <t>eet_hrs</t>
        </is>
      </c>
      <c r="AE159" s="58" t="inlineStr">
        <is>
          <t>pax</t>
        </is>
      </c>
      <c r="AF159" s="58" t="inlineStr">
        <is>
          <t>crew</t>
        </is>
      </c>
      <c r="AG159" s="58" t="inlineStr">
        <is>
          <t>souls</t>
        </is>
      </c>
      <c r="AH159" s="58" t="inlineStr">
        <is>
          <t>avoid_fir</t>
        </is>
      </c>
      <c r="AI159" s="58" t="inlineStr">
        <is>
          <t>include_fir</t>
        </is>
      </c>
      <c r="AJ159" s="58" t="inlineStr">
        <is>
          <t>route_check</t>
        </is>
      </c>
      <c r="AK159" s="58" t="inlineStr">
        <is>
          <t>ovf_count</t>
        </is>
      </c>
      <c r="AL159" s="58" t="inlineStr">
        <is>
          <t>ovf_states</t>
        </is>
      </c>
      <c r="AM159" s="58" t="inlineStr">
        <is>
          <t>ldg_permit_state</t>
        </is>
      </c>
      <c r="AN159" s="58" t="inlineStr">
        <is>
          <t>gh_state</t>
        </is>
      </c>
      <c r="AO159" s="58" t="inlineStr">
        <is>
          <t>permit_status</t>
        </is>
      </c>
      <c r="AP159" s="58" t="inlineStr">
        <is>
          <t>leg_status</t>
        </is>
      </c>
      <c r="AQ159" s="58" t="inlineStr">
        <is>
          <t>bill_to_leg</t>
        </is>
      </c>
      <c r="AR159" s="58" t="inlineStr">
        <is>
          <t>leg_notes</t>
        </is>
      </c>
    </row>
    <row r="160">
      <c r="A160">
        <f>IF($S160="","",$B$5)</f>
        <v/>
      </c>
      <c r="B160">
        <f>IF($S160="","","JTL")</f>
        <v/>
      </c>
      <c r="C160">
        <f>IF($S160="","",IFERROR(INDEX(mayfly!$C:$C,MATCH($B$5,mayfly!$A:$A,0)),"ENQUIRY"))</f>
        <v/>
      </c>
      <c r="D160">
        <f>IF($S160="","",IFERROR(INDEX(mayfly!$D:$D,MATCH($B$5,mayfly!$A:$A,0)),"UNASSIGNED"))</f>
        <v/>
      </c>
      <c r="E160" s="118">
        <f>IF($S160="","",TODAY())</f>
        <v/>
      </c>
      <c r="F160">
        <f>IF($S160="","",IF($F$6="","",$F$6))</f>
        <v/>
      </c>
      <c r="G160">
        <f>IF($S160="","",$B$6)</f>
        <v/>
      </c>
      <c r="H160">
        <f>IF($S160="","",IF($F$8="","",$F$8))</f>
        <v/>
      </c>
      <c r="I160">
        <f>IF($S160="","",IF($F$7="","",$F$7))</f>
        <v/>
      </c>
      <c r="J160">
        <f>IF($S160="","",IFERROR(INDEX(Aircraft!$N:$N,MATCH($B$7,Aircraft!$B:$B,0)),""))</f>
        <v/>
      </c>
      <c r="K160">
        <f>IF($S160="","",IF($C$7="","",$C$7))</f>
        <v/>
      </c>
      <c r="L160">
        <f>IF($S160="","",$F$5)</f>
        <v/>
      </c>
      <c r="M160">
        <f>IF($S160="","",$B$8)</f>
        <v/>
      </c>
      <c r="N160">
        <f>IF($S160="","",$B$7)</f>
        <v/>
      </c>
      <c r="O160">
        <f>IF($S160="","",COUNTA($G$18:$G$25))</f>
        <v/>
      </c>
      <c r="P160">
        <f>IF($S160="","",IF(COUNTIF($X$18:$X$25,"NO CONSTRAINT")=COUNTA($G$18:$G$25),"FEASIBLE","REVIEW ROUTE CHECK"))</f>
        <v/>
      </c>
      <c r="Q160" s="118">
        <f>IF($S160="","",TODAY())</f>
        <v/>
      </c>
      <c r="R160">
        <f>IF($S160="","",IF($B$4="","",$B$4))</f>
        <v/>
      </c>
      <c r="S160">
        <f t="array" ref="S160">IF(INDEX($B$18:$B$25,ROW()-159)="","",ROW()-159)</f>
        <v/>
      </c>
      <c r="T160">
        <f>IF($S160="","",$B$5&amp;"-L"&amp;$S160)</f>
        <v/>
      </c>
      <c r="U160">
        <f t="array" ref="U160">IF($S160="","",INDEX($B$18:$B$25,ROW()-159))</f>
        <v/>
      </c>
      <c r="V160">
        <f t="array" ref="V160">IF($S160="","",INDEX($C$18:$C$25,ROW()-159))</f>
        <v/>
      </c>
      <c r="W160">
        <f t="array" ref="W160">IF($S160="","",INDEX($D$18:$D$25,ROW()-159))</f>
        <v/>
      </c>
      <c r="X160" s="41">
        <f t="array" ref="X160">IF($S160="","",INDEX($E$18:$E$25,ROW()-159)+INDEX($F$18:$F$25,ROW()-159))</f>
        <v/>
      </c>
      <c r="Y160">
        <f t="array" ref="Y160">IF($S160="","",INDEX($G$18:$G$25,ROW()-159))</f>
        <v/>
      </c>
      <c r="Z160">
        <f t="array" ref="Z160">IF($S160="","",INDEX($H$18:$H$25,ROW()-159))</f>
        <v/>
      </c>
      <c r="AA160">
        <f t="array" ref="AA160">IF($S160="","",INDEX($I$18:$I$25,ROW()-159))</f>
        <v/>
      </c>
      <c r="AB160" s="41">
        <f t="array" ref="AB160">IF($S160="","",INDEX($L$18:$L$25,ROW()-159)+INDEX($M$18:$M$25,ROW()-159))</f>
        <v/>
      </c>
      <c r="AC160">
        <f t="array" ref="AC160">IF($S160="","",INDEX($J$18:$J$25,ROW()-159))</f>
        <v/>
      </c>
      <c r="AD160">
        <f t="array" ref="AD160">IF($S160="","",INDEX($K$18:$K$25,ROW()-159))</f>
        <v/>
      </c>
      <c r="AE160">
        <f t="array" ref="AE160">IF($S160="","",INDEX($F$102:$F$109,ROW()-159))</f>
        <v/>
      </c>
      <c r="AF160">
        <f t="array" ref="AF160">IF($S160="","",INDEX($E$102:$E$109,ROW()-159))</f>
        <v/>
      </c>
      <c r="AG160">
        <f t="array" ref="AG160">IF($S160="","",INDEX($G$102:$G$109,ROW()-159))</f>
        <v/>
      </c>
      <c r="AH160">
        <f t="array" ref="AH160">IF($S160="","",INDEX($V$18:$V$25,ROW()-159))</f>
        <v/>
      </c>
      <c r="AI160">
        <f t="array" ref="AI160">IF($S160="","",INDEX($W$18:$W$25,ROW()-159))</f>
        <v/>
      </c>
      <c r="AJ160">
        <f t="array" ref="AJ160">IF($S160="","",INDEX($X$18:$X$25,ROW()-159))</f>
        <v/>
      </c>
      <c r="AK160">
        <f t="array" ref="AK160">IF($S160="","",SUMPRODUCT((INDEX(permit_calc!$R$3:$Y$144,0,ROW()-159)&gt;0)*1))</f>
        <v/>
      </c>
      <c r="AL160">
        <f t="array" ref="AL160">IF($S160="","",_xlfn.TEXTJOIN(", ",TRUE,IF(INDEX(permit_calc!$R$3:$Y$144,0,ROW()-159)&gt;0,permit_calc!$B$3:$B$144,"")))</f>
        <v/>
      </c>
      <c r="AM160">
        <f t="array" ref="AM160">IF($S160="","",IFERROR(INDEX(countries!$B:$B,MATCH(INDEX($U$18:$U$25,ROW()-159),countries!$D:$D,0)),INDEX($U$18:$U$25,ROW()-159)))</f>
        <v/>
      </c>
      <c r="AN160">
        <f t="array" ref="AN160">IF($S160="","",IF(INDEX($T$18:$T$25,ROW()-159)=INDEX($U$18:$U$25,ROW()-159),IFERROR(INDEX(countries!$B:$B,MATCH(INDEX($T$18:$T$25,ROW()-159),countries!$D:$D,0)),INDEX($T$18:$T$25,ROW()-159)),IFERROR(INDEX(countries!$B:$B,MATCH(INDEX($T$18:$T$25,ROW()-159),countries!$D:$D,0)),INDEX($T$18:$T$25,ROW()-159))&amp;", "&amp;IFERROR(INDEX(countries!$B:$B,MATCH(INDEX($U$18:$U$25,ROW()-159),countries!$D:$D,0)),INDEX($U$18:$U$25,ROW()-159))))</f>
        <v/>
      </c>
      <c r="AO160">
        <f>IF($S160="","","PENDING")</f>
        <v/>
      </c>
      <c r="AP160">
        <f>IF($S160="","","PLANNED")</f>
        <v/>
      </c>
      <c r="AQ160">
        <f t="array" ref="AQ160">IF($S160="","",INDEX($N$18:$N$25,ROW()-159))</f>
        <v/>
      </c>
      <c r="AR160">
        <f>IF($S160="","","")</f>
        <v/>
      </c>
    </row>
    <row r="161">
      <c r="A161">
        <f>IF($S161="","",$B$5)</f>
        <v/>
      </c>
      <c r="B161">
        <f>IF($S161="","","JTL")</f>
        <v/>
      </c>
      <c r="C161">
        <f>IF($S161="","",IFERROR(INDEX(mayfly!$C:$C,MATCH($B$5,mayfly!$A:$A,0)),"ENQUIRY"))</f>
        <v/>
      </c>
      <c r="D161">
        <f>IF($S161="","",IFERROR(INDEX(mayfly!$D:$D,MATCH($B$5,mayfly!$A:$A,0)),"UNASSIGNED"))</f>
        <v/>
      </c>
      <c r="E161" s="118">
        <f>IF($S161="","",TODAY())</f>
        <v/>
      </c>
      <c r="F161">
        <f>IF($S161="","",IF($F$6="","",$F$6))</f>
        <v/>
      </c>
      <c r="G161">
        <f>IF($S161="","",$B$6)</f>
        <v/>
      </c>
      <c r="H161">
        <f>IF($S161="","",IF($F$8="","",$F$8))</f>
        <v/>
      </c>
      <c r="I161">
        <f>IF($S161="","",IF($F$7="","",$F$7))</f>
        <v/>
      </c>
      <c r="J161">
        <f>IF($S161="","",IFERROR(INDEX(Aircraft!$N:$N,MATCH($B$7,Aircraft!$B:$B,0)),""))</f>
        <v/>
      </c>
      <c r="K161">
        <f>IF($S161="","",IF($C$7="","",$C$7))</f>
        <v/>
      </c>
      <c r="L161">
        <f>IF($S161="","",$F$5)</f>
        <v/>
      </c>
      <c r="M161">
        <f>IF($S161="","",$B$8)</f>
        <v/>
      </c>
      <c r="N161">
        <f>IF($S161="","",$B$7)</f>
        <v/>
      </c>
      <c r="O161">
        <f>IF($S161="","",COUNTA($G$18:$G$25))</f>
        <v/>
      </c>
      <c r="P161">
        <f>IF($S161="","",IF(COUNTIF($X$18:$X$25,"NO CONSTRAINT")=COUNTA($G$18:$G$25),"FEASIBLE","REVIEW ROUTE CHECK"))</f>
        <v/>
      </c>
      <c r="Q161" s="118">
        <f>IF($S161="","",TODAY())</f>
        <v/>
      </c>
      <c r="R161">
        <f>IF($S161="","",IF($B$4="","",$B$4))</f>
        <v/>
      </c>
      <c r="S161">
        <f t="array" ref="S161">IF(INDEX($B$18:$B$25,ROW()-159)="","",ROW()-159)</f>
        <v/>
      </c>
      <c r="T161">
        <f>IF($S161="","",$B$5&amp;"-L"&amp;$S161)</f>
        <v/>
      </c>
      <c r="U161">
        <f t="array" ref="U161">IF($S161="","",INDEX($B$18:$B$25,ROW()-159))</f>
        <v/>
      </c>
      <c r="V161">
        <f t="array" ref="V161">IF($S161="","",INDEX($C$18:$C$25,ROW()-159))</f>
        <v/>
      </c>
      <c r="W161">
        <f t="array" ref="W161">IF($S161="","",INDEX($D$18:$D$25,ROW()-159))</f>
        <v/>
      </c>
      <c r="X161" s="41">
        <f t="array" ref="X161">IF($S161="","",INDEX($E$18:$E$25,ROW()-159)+INDEX($F$18:$F$25,ROW()-159))</f>
        <v/>
      </c>
      <c r="Y161">
        <f t="array" ref="Y161">IF($S161="","",INDEX($G$18:$G$25,ROW()-159))</f>
        <v/>
      </c>
      <c r="Z161">
        <f t="array" ref="Z161">IF($S161="","",INDEX($H$18:$H$25,ROW()-159))</f>
        <v/>
      </c>
      <c r="AA161">
        <f t="array" ref="AA161">IF($S161="","",INDEX($I$18:$I$25,ROW()-159))</f>
        <v/>
      </c>
      <c r="AB161" s="41">
        <f t="array" ref="AB161">IF($S161="","",INDEX($L$18:$L$25,ROW()-159)+INDEX($M$18:$M$25,ROW()-159))</f>
        <v/>
      </c>
      <c r="AC161">
        <f t="array" ref="AC161">IF($S161="","",INDEX($J$18:$J$25,ROW()-159))</f>
        <v/>
      </c>
      <c r="AD161">
        <f t="array" ref="AD161">IF($S161="","",INDEX($K$18:$K$25,ROW()-159))</f>
        <v/>
      </c>
      <c r="AE161">
        <f t="array" ref="AE161">IF($S161="","",INDEX($F$102:$F$109,ROW()-159))</f>
        <v/>
      </c>
      <c r="AF161">
        <f t="array" ref="AF161">IF($S161="","",INDEX($E$102:$E$109,ROW()-159))</f>
        <v/>
      </c>
      <c r="AG161">
        <f t="array" ref="AG161">IF($S161="","",INDEX($G$102:$G$109,ROW()-159))</f>
        <v/>
      </c>
      <c r="AH161">
        <f t="array" ref="AH161">IF($S161="","",INDEX($V$18:$V$25,ROW()-159))</f>
        <v/>
      </c>
      <c r="AI161">
        <f t="array" ref="AI161">IF($S161="","",INDEX($W$18:$W$25,ROW()-159))</f>
        <v/>
      </c>
      <c r="AJ161">
        <f t="array" ref="AJ161">IF($S161="","",INDEX($X$18:$X$25,ROW()-159))</f>
        <v/>
      </c>
      <c r="AK161">
        <f t="array" ref="AK161">IF($S161="","",SUMPRODUCT((INDEX(permit_calc!$R$3:$Y$144,0,ROW()-159)&gt;0)*1))</f>
        <v/>
      </c>
      <c r="AL161">
        <f t="array" ref="AL161">IF($S161="","",_xlfn.TEXTJOIN(", ",TRUE,IF(INDEX(permit_calc!$R$3:$Y$144,0,ROW()-159)&gt;0,permit_calc!$B$3:$B$144,"")))</f>
        <v/>
      </c>
      <c r="AM161">
        <f t="array" ref="AM161">IF($S161="","",IFERROR(INDEX(countries!$B:$B,MATCH(INDEX($U$18:$U$25,ROW()-159),countries!$D:$D,0)),INDEX($U$18:$U$25,ROW()-159)))</f>
        <v/>
      </c>
      <c r="AN161">
        <f t="array" ref="AN161">IF($S161="","",IF(INDEX($T$18:$T$25,ROW()-159)=INDEX($U$18:$U$25,ROW()-159),IFERROR(INDEX(countries!$B:$B,MATCH(INDEX($T$18:$T$25,ROW()-159),countries!$D:$D,0)),INDEX($T$18:$T$25,ROW()-159)),IFERROR(INDEX(countries!$B:$B,MATCH(INDEX($T$18:$T$25,ROW()-159),countries!$D:$D,0)),INDEX($T$18:$T$25,ROW()-159))&amp;", "&amp;IFERROR(INDEX(countries!$B:$B,MATCH(INDEX($U$18:$U$25,ROW()-159),countries!$D:$D,0)),INDEX($U$18:$U$25,ROW()-159))))</f>
        <v/>
      </c>
      <c r="AO161">
        <f>IF($S161="","","PENDING")</f>
        <v/>
      </c>
      <c r="AP161">
        <f>IF($S161="","","PLANNED")</f>
        <v/>
      </c>
      <c r="AQ161">
        <f t="array" ref="AQ161">IF($S161="","",INDEX($N$18:$N$25,ROW()-159))</f>
        <v/>
      </c>
      <c r="AR161">
        <f>IF($S161="","","")</f>
        <v/>
      </c>
    </row>
    <row r="162">
      <c r="A162">
        <f>IF($S162="","",$B$5)</f>
        <v/>
      </c>
      <c r="B162">
        <f>IF($S162="","","JTL")</f>
        <v/>
      </c>
      <c r="C162">
        <f>IF($S162="","",IFERROR(INDEX(mayfly!$C:$C,MATCH($B$5,mayfly!$A:$A,0)),"ENQUIRY"))</f>
        <v/>
      </c>
      <c r="D162">
        <f>IF($S162="","",IFERROR(INDEX(mayfly!$D:$D,MATCH($B$5,mayfly!$A:$A,0)),"UNASSIGNED"))</f>
        <v/>
      </c>
      <c r="E162" s="118">
        <f>IF($S162="","",TODAY())</f>
        <v/>
      </c>
      <c r="F162">
        <f>IF($S162="","",IF($F$6="","",$F$6))</f>
        <v/>
      </c>
      <c r="G162">
        <f>IF($S162="","",$B$6)</f>
        <v/>
      </c>
      <c r="H162">
        <f>IF($S162="","",IF($F$8="","",$F$8))</f>
        <v/>
      </c>
      <c r="I162">
        <f>IF($S162="","",IF($F$7="","",$F$7))</f>
        <v/>
      </c>
      <c r="J162">
        <f>IF($S162="","",IFERROR(INDEX(Aircraft!$N:$N,MATCH($B$7,Aircraft!$B:$B,0)),""))</f>
        <v/>
      </c>
      <c r="K162">
        <f>IF($S162="","",IF($C$7="","",$C$7))</f>
        <v/>
      </c>
      <c r="L162">
        <f>IF($S162="","",$F$5)</f>
        <v/>
      </c>
      <c r="M162">
        <f>IF($S162="","",$B$8)</f>
        <v/>
      </c>
      <c r="N162">
        <f>IF($S162="","",$B$7)</f>
        <v/>
      </c>
      <c r="O162">
        <f>IF($S162="","",COUNTA($G$18:$G$25))</f>
        <v/>
      </c>
      <c r="P162">
        <f>IF($S162="","",IF(COUNTIF($X$18:$X$25,"NO CONSTRAINT")=COUNTA($G$18:$G$25),"FEASIBLE","REVIEW ROUTE CHECK"))</f>
        <v/>
      </c>
      <c r="Q162" s="118">
        <f>IF($S162="","",TODAY())</f>
        <v/>
      </c>
      <c r="R162">
        <f>IF($S162="","",IF($B$4="","",$B$4))</f>
        <v/>
      </c>
      <c r="S162">
        <f t="array" ref="S162">IF(INDEX($B$18:$B$25,ROW()-159)="","",ROW()-159)</f>
        <v/>
      </c>
      <c r="T162">
        <f>IF($S162="","",$B$5&amp;"-L"&amp;$S162)</f>
        <v/>
      </c>
      <c r="U162">
        <f t="array" ref="U162">IF($S162="","",INDEX($B$18:$B$25,ROW()-159))</f>
        <v/>
      </c>
      <c r="V162">
        <f t="array" ref="V162">IF($S162="","",INDEX($C$18:$C$25,ROW()-159))</f>
        <v/>
      </c>
      <c r="W162">
        <f t="array" ref="W162">IF($S162="","",INDEX($D$18:$D$25,ROW()-159))</f>
        <v/>
      </c>
      <c r="X162" s="41">
        <f t="array" ref="X162">IF($S162="","",INDEX($E$18:$E$25,ROW()-159)+INDEX($F$18:$F$25,ROW()-159))</f>
        <v/>
      </c>
      <c r="Y162">
        <f t="array" ref="Y162">IF($S162="","",INDEX($G$18:$G$25,ROW()-159))</f>
        <v/>
      </c>
      <c r="Z162">
        <f t="array" ref="Z162">IF($S162="","",INDEX($H$18:$H$25,ROW()-159))</f>
        <v/>
      </c>
      <c r="AA162">
        <f t="array" ref="AA162">IF($S162="","",INDEX($I$18:$I$25,ROW()-159))</f>
        <v/>
      </c>
      <c r="AB162" s="41">
        <f t="array" ref="AB162">IF($S162="","",INDEX($L$18:$L$25,ROW()-159)+INDEX($M$18:$M$25,ROW()-159))</f>
        <v/>
      </c>
      <c r="AC162">
        <f t="array" ref="AC162">IF($S162="","",INDEX($J$18:$J$25,ROW()-159))</f>
        <v/>
      </c>
      <c r="AD162">
        <f t="array" ref="AD162">IF($S162="","",INDEX($K$18:$K$25,ROW()-159))</f>
        <v/>
      </c>
      <c r="AE162">
        <f t="array" ref="AE162">IF($S162="","",INDEX($F$102:$F$109,ROW()-159))</f>
        <v/>
      </c>
      <c r="AF162">
        <f t="array" ref="AF162">IF($S162="","",INDEX($E$102:$E$109,ROW()-159))</f>
        <v/>
      </c>
      <c r="AG162">
        <f t="array" ref="AG162">IF($S162="","",INDEX($G$102:$G$109,ROW()-159))</f>
        <v/>
      </c>
      <c r="AH162">
        <f t="array" ref="AH162">IF($S162="","",INDEX($V$18:$V$25,ROW()-159))</f>
        <v/>
      </c>
      <c r="AI162">
        <f t="array" ref="AI162">IF($S162="","",INDEX($W$18:$W$25,ROW()-159))</f>
        <v/>
      </c>
      <c r="AJ162">
        <f t="array" ref="AJ162">IF($S162="","",INDEX($X$18:$X$25,ROW()-159))</f>
        <v/>
      </c>
      <c r="AK162">
        <f t="array" ref="AK162">IF($S162="","",SUMPRODUCT((INDEX(permit_calc!$R$3:$Y$144,0,ROW()-159)&gt;0)*1))</f>
        <v/>
      </c>
      <c r="AL162">
        <f t="array" ref="AL162">IF($S162="","",_xlfn.TEXTJOIN(", ",TRUE,IF(INDEX(permit_calc!$R$3:$Y$144,0,ROW()-159)&gt;0,permit_calc!$B$3:$B$144,"")))</f>
        <v/>
      </c>
      <c r="AM162">
        <f t="array" ref="AM162">IF($S162="","",IFERROR(INDEX(countries!$B:$B,MATCH(INDEX($U$18:$U$25,ROW()-159),countries!$D:$D,0)),INDEX($U$18:$U$25,ROW()-159)))</f>
        <v/>
      </c>
      <c r="AN162">
        <f t="array" ref="AN162">IF($S162="","",IF(INDEX($T$18:$T$25,ROW()-159)=INDEX($U$18:$U$25,ROW()-159),IFERROR(INDEX(countries!$B:$B,MATCH(INDEX($T$18:$T$25,ROW()-159),countries!$D:$D,0)),INDEX($T$18:$T$25,ROW()-159)),IFERROR(INDEX(countries!$B:$B,MATCH(INDEX($T$18:$T$25,ROW()-159),countries!$D:$D,0)),INDEX($T$18:$T$25,ROW()-159))&amp;", "&amp;IFERROR(INDEX(countries!$B:$B,MATCH(INDEX($U$18:$U$25,ROW()-159),countries!$D:$D,0)),INDEX($U$18:$U$25,ROW()-159))))</f>
        <v/>
      </c>
      <c r="AO162">
        <f>IF($S162="","","PENDING")</f>
        <v/>
      </c>
      <c r="AP162">
        <f>IF($S162="","","PLANNED")</f>
        <v/>
      </c>
      <c r="AQ162">
        <f t="array" ref="AQ162">IF($S162="","",INDEX($N$18:$N$25,ROW()-159))</f>
        <v/>
      </c>
      <c r="AR162">
        <f>IF($S162="","","")</f>
        <v/>
      </c>
    </row>
    <row r="163">
      <c r="A163">
        <f>IF($S163="","",$B$5)</f>
        <v/>
      </c>
      <c r="B163">
        <f>IF($S163="","","JTL")</f>
        <v/>
      </c>
      <c r="C163">
        <f>IF($S163="","",IFERROR(INDEX(mayfly!$C:$C,MATCH($B$5,mayfly!$A:$A,0)),"ENQUIRY"))</f>
        <v/>
      </c>
      <c r="D163">
        <f>IF($S163="","",IFERROR(INDEX(mayfly!$D:$D,MATCH($B$5,mayfly!$A:$A,0)),"UNASSIGNED"))</f>
        <v/>
      </c>
      <c r="E163" s="118">
        <f>IF($S163="","",TODAY())</f>
        <v/>
      </c>
      <c r="F163">
        <f>IF($S163="","",IF($F$6="","",$F$6))</f>
        <v/>
      </c>
      <c r="G163">
        <f>IF($S163="","",$B$6)</f>
        <v/>
      </c>
      <c r="H163">
        <f>IF($S163="","",IF($F$8="","",$F$8))</f>
        <v/>
      </c>
      <c r="I163">
        <f>IF($S163="","",IF($F$7="","",$F$7))</f>
        <v/>
      </c>
      <c r="J163">
        <f>IF($S163="","",IFERROR(INDEX(Aircraft!$N:$N,MATCH($B$7,Aircraft!$B:$B,0)),""))</f>
        <v/>
      </c>
      <c r="K163">
        <f>IF($S163="","",IF($C$7="","",$C$7))</f>
        <v/>
      </c>
      <c r="L163">
        <f>IF($S163="","",$F$5)</f>
        <v/>
      </c>
      <c r="M163">
        <f>IF($S163="","",$B$8)</f>
        <v/>
      </c>
      <c r="N163">
        <f>IF($S163="","",$B$7)</f>
        <v/>
      </c>
      <c r="O163">
        <f>IF($S163="","",COUNTA($G$18:$G$25))</f>
        <v/>
      </c>
      <c r="P163">
        <f>IF($S163="","",IF(COUNTIF($X$18:$X$25,"NO CONSTRAINT")=COUNTA($G$18:$G$25),"FEASIBLE","REVIEW ROUTE CHECK"))</f>
        <v/>
      </c>
      <c r="Q163" s="118">
        <f>IF($S163="","",TODAY())</f>
        <v/>
      </c>
      <c r="R163">
        <f>IF($S163="","",IF($B$4="","",$B$4))</f>
        <v/>
      </c>
      <c r="S163">
        <f t="array" ref="S163">IF(INDEX($B$18:$B$25,ROW()-159)="","",ROW()-159)</f>
        <v/>
      </c>
      <c r="T163">
        <f>IF($S163="","",$B$5&amp;"-L"&amp;$S163)</f>
        <v/>
      </c>
      <c r="U163">
        <f t="array" ref="U163">IF($S163="","",INDEX($B$18:$B$25,ROW()-159))</f>
        <v/>
      </c>
      <c r="V163">
        <f t="array" ref="V163">IF($S163="","",INDEX($C$18:$C$25,ROW()-159))</f>
        <v/>
      </c>
      <c r="W163">
        <f t="array" ref="W163">IF($S163="","",INDEX($D$18:$D$25,ROW()-159))</f>
        <v/>
      </c>
      <c r="X163" s="41">
        <f t="array" ref="X163">IF($S163="","",INDEX($E$18:$E$25,ROW()-159)+INDEX($F$18:$F$25,ROW()-159))</f>
        <v/>
      </c>
      <c r="Y163">
        <f t="array" ref="Y163">IF($S163="","",INDEX($G$18:$G$25,ROW()-159))</f>
        <v/>
      </c>
      <c r="Z163">
        <f t="array" ref="Z163">IF($S163="","",INDEX($H$18:$H$25,ROW()-159))</f>
        <v/>
      </c>
      <c r="AA163">
        <f t="array" ref="AA163">IF($S163="","",INDEX($I$18:$I$25,ROW()-159))</f>
        <v/>
      </c>
      <c r="AB163" s="41">
        <f t="array" ref="AB163">IF($S163="","",INDEX($L$18:$L$25,ROW()-159)+INDEX($M$18:$M$25,ROW()-159))</f>
        <v/>
      </c>
      <c r="AC163">
        <f t="array" ref="AC163">IF($S163="","",INDEX($J$18:$J$25,ROW()-159))</f>
        <v/>
      </c>
      <c r="AD163">
        <f t="array" ref="AD163">IF($S163="","",INDEX($K$18:$K$25,ROW()-159))</f>
        <v/>
      </c>
      <c r="AE163">
        <f t="array" ref="AE163">IF($S163="","",INDEX($F$102:$F$109,ROW()-159))</f>
        <v/>
      </c>
      <c r="AF163">
        <f t="array" ref="AF163">IF($S163="","",INDEX($E$102:$E$109,ROW()-159))</f>
        <v/>
      </c>
      <c r="AG163">
        <f t="array" ref="AG163">IF($S163="","",INDEX($G$102:$G$109,ROW()-159))</f>
        <v/>
      </c>
      <c r="AH163">
        <f t="array" ref="AH163">IF($S163="","",INDEX($V$18:$V$25,ROW()-159))</f>
        <v/>
      </c>
      <c r="AI163">
        <f t="array" ref="AI163">IF($S163="","",INDEX($W$18:$W$25,ROW()-159))</f>
        <v/>
      </c>
      <c r="AJ163">
        <f t="array" ref="AJ163">IF($S163="","",INDEX($X$18:$X$25,ROW()-159))</f>
        <v/>
      </c>
      <c r="AK163">
        <f t="array" ref="AK163">IF($S163="","",SUMPRODUCT((INDEX(permit_calc!$R$3:$Y$144,0,ROW()-159)&gt;0)*1))</f>
        <v/>
      </c>
      <c r="AL163">
        <f t="array" ref="AL163">IF($S163="","",_xlfn.TEXTJOIN(", ",TRUE,IF(INDEX(permit_calc!$R$3:$Y$144,0,ROW()-159)&gt;0,permit_calc!$B$3:$B$144,"")))</f>
        <v/>
      </c>
      <c r="AM163">
        <f t="array" ref="AM163">IF($S163="","",IFERROR(INDEX(countries!$B:$B,MATCH(INDEX($U$18:$U$25,ROW()-159),countries!$D:$D,0)),INDEX($U$18:$U$25,ROW()-159)))</f>
        <v/>
      </c>
      <c r="AN163">
        <f t="array" ref="AN163">IF($S163="","",IF(INDEX($T$18:$T$25,ROW()-159)=INDEX($U$18:$U$25,ROW()-159),IFERROR(INDEX(countries!$B:$B,MATCH(INDEX($T$18:$T$25,ROW()-159),countries!$D:$D,0)),INDEX($T$18:$T$25,ROW()-159)),IFERROR(INDEX(countries!$B:$B,MATCH(INDEX($T$18:$T$25,ROW()-159),countries!$D:$D,0)),INDEX($T$18:$T$25,ROW()-159))&amp;", "&amp;IFERROR(INDEX(countries!$B:$B,MATCH(INDEX($U$18:$U$25,ROW()-159),countries!$D:$D,0)),INDEX($U$18:$U$25,ROW()-159))))</f>
        <v/>
      </c>
      <c r="AO163">
        <f>IF($S163="","","PENDING")</f>
        <v/>
      </c>
      <c r="AP163">
        <f>IF($S163="","","PLANNED")</f>
        <v/>
      </c>
      <c r="AQ163">
        <f t="array" ref="AQ163">IF($S163="","",INDEX($N$18:$N$25,ROW()-159))</f>
        <v/>
      </c>
      <c r="AR163">
        <f>IF($S163="","","")</f>
        <v/>
      </c>
    </row>
    <row r="164">
      <c r="A164">
        <f>IF($S164="","",$B$5)</f>
        <v/>
      </c>
      <c r="B164">
        <f>IF($S164="","","JTL")</f>
        <v/>
      </c>
      <c r="C164">
        <f>IF($S164="","",IFERROR(INDEX(mayfly!$C:$C,MATCH($B$5,mayfly!$A:$A,0)),"ENQUIRY"))</f>
        <v/>
      </c>
      <c r="D164">
        <f>IF($S164="","",IFERROR(INDEX(mayfly!$D:$D,MATCH($B$5,mayfly!$A:$A,0)),"UNASSIGNED"))</f>
        <v/>
      </c>
      <c r="E164" s="118">
        <f>IF($S164="","",TODAY())</f>
        <v/>
      </c>
      <c r="F164">
        <f>IF($S164="","",IF($F$6="","",$F$6))</f>
        <v/>
      </c>
      <c r="G164">
        <f>IF($S164="","",$B$6)</f>
        <v/>
      </c>
      <c r="H164">
        <f>IF($S164="","",IF($F$8="","",$F$8))</f>
        <v/>
      </c>
      <c r="I164">
        <f>IF($S164="","",IF($F$7="","",$F$7))</f>
        <v/>
      </c>
      <c r="J164">
        <f>IF($S164="","",IFERROR(INDEX(Aircraft!$N:$N,MATCH($B$7,Aircraft!$B:$B,0)),""))</f>
        <v/>
      </c>
      <c r="K164">
        <f>IF($S164="","",IF($C$7="","",$C$7))</f>
        <v/>
      </c>
      <c r="L164">
        <f>IF($S164="","",$F$5)</f>
        <v/>
      </c>
      <c r="M164">
        <f>IF($S164="","",$B$8)</f>
        <v/>
      </c>
      <c r="N164">
        <f>IF($S164="","",$B$7)</f>
        <v/>
      </c>
      <c r="O164">
        <f>IF($S164="","",COUNTA($G$18:$G$25))</f>
        <v/>
      </c>
      <c r="P164">
        <f>IF($S164="","",IF(COUNTIF($X$18:$X$25,"NO CONSTRAINT")=COUNTA($G$18:$G$25),"FEASIBLE","REVIEW ROUTE CHECK"))</f>
        <v/>
      </c>
      <c r="Q164" s="118">
        <f>IF($S164="","",TODAY())</f>
        <v/>
      </c>
      <c r="R164">
        <f>IF($S164="","",IF($B$4="","",$B$4))</f>
        <v/>
      </c>
      <c r="S164">
        <f t="array" ref="S164">IF(INDEX($B$18:$B$25,ROW()-159)="","",ROW()-159)</f>
        <v/>
      </c>
      <c r="T164">
        <f>IF($S164="","",$B$5&amp;"-L"&amp;$S164)</f>
        <v/>
      </c>
      <c r="U164">
        <f t="array" ref="U164">IF($S164="","",INDEX($B$18:$B$25,ROW()-159))</f>
        <v/>
      </c>
      <c r="V164">
        <f t="array" ref="V164">IF($S164="","",INDEX($C$18:$C$25,ROW()-159))</f>
        <v/>
      </c>
      <c r="W164">
        <f t="array" ref="W164">IF($S164="","",INDEX($D$18:$D$25,ROW()-159))</f>
        <v/>
      </c>
      <c r="X164" s="41">
        <f t="array" ref="X164">IF($S164="","",INDEX($E$18:$E$25,ROW()-159)+INDEX($F$18:$F$25,ROW()-159))</f>
        <v/>
      </c>
      <c r="Y164">
        <f t="array" ref="Y164">IF($S164="","",INDEX($G$18:$G$25,ROW()-159))</f>
        <v/>
      </c>
      <c r="Z164">
        <f t="array" ref="Z164">IF($S164="","",INDEX($H$18:$H$25,ROW()-159))</f>
        <v/>
      </c>
      <c r="AA164">
        <f t="array" ref="AA164">IF($S164="","",INDEX($I$18:$I$25,ROW()-159))</f>
        <v/>
      </c>
      <c r="AB164" s="41">
        <f t="array" ref="AB164">IF($S164="","",INDEX($L$18:$L$25,ROW()-159)+INDEX($M$18:$M$25,ROW()-159))</f>
        <v/>
      </c>
      <c r="AC164">
        <f t="array" ref="AC164">IF($S164="","",INDEX($J$18:$J$25,ROW()-159))</f>
        <v/>
      </c>
      <c r="AD164">
        <f t="array" ref="AD164">IF($S164="","",INDEX($K$18:$K$25,ROW()-159))</f>
        <v/>
      </c>
      <c r="AE164">
        <f t="array" ref="AE164">IF($S164="","",INDEX($F$102:$F$109,ROW()-159))</f>
        <v/>
      </c>
      <c r="AF164">
        <f t="array" ref="AF164">IF($S164="","",INDEX($E$102:$E$109,ROW()-159))</f>
        <v/>
      </c>
      <c r="AG164">
        <f t="array" ref="AG164">IF($S164="","",INDEX($G$102:$G$109,ROW()-159))</f>
        <v/>
      </c>
      <c r="AH164">
        <f t="array" ref="AH164">IF($S164="","",INDEX($V$18:$V$25,ROW()-159))</f>
        <v/>
      </c>
      <c r="AI164">
        <f t="array" ref="AI164">IF($S164="","",INDEX($W$18:$W$25,ROW()-159))</f>
        <v/>
      </c>
      <c r="AJ164">
        <f t="array" ref="AJ164">IF($S164="","",INDEX($X$18:$X$25,ROW()-159))</f>
        <v/>
      </c>
      <c r="AK164">
        <f t="array" ref="AK164">IF($S164="","",SUMPRODUCT((INDEX(permit_calc!$R$3:$Y$144,0,ROW()-159)&gt;0)*1))</f>
        <v/>
      </c>
      <c r="AL164">
        <f t="array" ref="AL164">IF($S164="","",_xlfn.TEXTJOIN(", ",TRUE,IF(INDEX(permit_calc!$R$3:$Y$144,0,ROW()-159)&gt;0,permit_calc!$B$3:$B$144,"")))</f>
        <v/>
      </c>
      <c r="AM164">
        <f t="array" ref="AM164">IF($S164="","",IFERROR(INDEX(countries!$B:$B,MATCH(INDEX($U$18:$U$25,ROW()-159),countries!$D:$D,0)),INDEX($U$18:$U$25,ROW()-159)))</f>
        <v/>
      </c>
      <c r="AN164">
        <f t="array" ref="AN164">IF($S164="","",IF(INDEX($T$18:$T$25,ROW()-159)=INDEX($U$18:$U$25,ROW()-159),IFERROR(INDEX(countries!$B:$B,MATCH(INDEX($T$18:$T$25,ROW()-159),countries!$D:$D,0)),INDEX($T$18:$T$25,ROW()-159)),IFERROR(INDEX(countries!$B:$B,MATCH(INDEX($T$18:$T$25,ROW()-159),countries!$D:$D,0)),INDEX($T$18:$T$25,ROW()-159))&amp;", "&amp;IFERROR(INDEX(countries!$B:$B,MATCH(INDEX($U$18:$U$25,ROW()-159),countries!$D:$D,0)),INDEX($U$18:$U$25,ROW()-159))))</f>
        <v/>
      </c>
      <c r="AO164">
        <f>IF($S164="","","PENDING")</f>
        <v/>
      </c>
      <c r="AP164">
        <f>IF($S164="","","PLANNED")</f>
        <v/>
      </c>
      <c r="AQ164">
        <f t="array" ref="AQ164">IF($S164="","",INDEX($N$18:$N$25,ROW()-159))</f>
        <v/>
      </c>
      <c r="AR164">
        <f>IF($S164="","","")</f>
        <v/>
      </c>
    </row>
    <row r="165">
      <c r="A165">
        <f>IF($S165="","",$B$5)</f>
        <v/>
      </c>
      <c r="B165">
        <f>IF($S165="","","JTL")</f>
        <v/>
      </c>
      <c r="C165">
        <f>IF($S165="","",IFERROR(INDEX(mayfly!$C:$C,MATCH($B$5,mayfly!$A:$A,0)),"ENQUIRY"))</f>
        <v/>
      </c>
      <c r="D165">
        <f>IF($S165="","",IFERROR(INDEX(mayfly!$D:$D,MATCH($B$5,mayfly!$A:$A,0)),"UNASSIGNED"))</f>
        <v/>
      </c>
      <c r="E165" s="118">
        <f>IF($S165="","",TODAY())</f>
        <v/>
      </c>
      <c r="F165">
        <f>IF($S165="","",IF($F$6="","",$F$6))</f>
        <v/>
      </c>
      <c r="G165">
        <f>IF($S165="","",$B$6)</f>
        <v/>
      </c>
      <c r="H165">
        <f>IF($S165="","",IF($F$8="","",$F$8))</f>
        <v/>
      </c>
      <c r="I165">
        <f>IF($S165="","",IF($F$7="","",$F$7))</f>
        <v/>
      </c>
      <c r="J165">
        <f>IF($S165="","",IFERROR(INDEX(Aircraft!$N:$N,MATCH($B$7,Aircraft!$B:$B,0)),""))</f>
        <v/>
      </c>
      <c r="K165">
        <f>IF($S165="","",IF($C$7="","",$C$7))</f>
        <v/>
      </c>
      <c r="L165">
        <f>IF($S165="","",$F$5)</f>
        <v/>
      </c>
      <c r="M165">
        <f>IF($S165="","",$B$8)</f>
        <v/>
      </c>
      <c r="N165">
        <f>IF($S165="","",$B$7)</f>
        <v/>
      </c>
      <c r="O165">
        <f>IF($S165="","",COUNTA($G$18:$G$25))</f>
        <v/>
      </c>
      <c r="P165">
        <f>IF($S165="","",IF(COUNTIF($X$18:$X$25,"NO CONSTRAINT")=COUNTA($G$18:$G$25),"FEASIBLE","REVIEW ROUTE CHECK"))</f>
        <v/>
      </c>
      <c r="Q165" s="118">
        <f>IF($S165="","",TODAY())</f>
        <v/>
      </c>
      <c r="R165">
        <f>IF($S165="","",IF($B$4="","",$B$4))</f>
        <v/>
      </c>
      <c r="S165">
        <f t="array" ref="S165">IF(INDEX($B$18:$B$25,ROW()-159)="","",ROW()-159)</f>
        <v/>
      </c>
      <c r="T165">
        <f>IF($S165="","",$B$5&amp;"-L"&amp;$S165)</f>
        <v/>
      </c>
      <c r="U165">
        <f t="array" ref="U165">IF($S165="","",INDEX($B$18:$B$25,ROW()-159))</f>
        <v/>
      </c>
      <c r="V165">
        <f t="array" ref="V165">IF($S165="","",INDEX($C$18:$C$25,ROW()-159))</f>
        <v/>
      </c>
      <c r="W165">
        <f t="array" ref="W165">IF($S165="","",INDEX($D$18:$D$25,ROW()-159))</f>
        <v/>
      </c>
      <c r="X165" s="41">
        <f t="array" ref="X165">IF($S165="","",INDEX($E$18:$E$25,ROW()-159)+INDEX($F$18:$F$25,ROW()-159))</f>
        <v/>
      </c>
      <c r="Y165">
        <f t="array" ref="Y165">IF($S165="","",INDEX($G$18:$G$25,ROW()-159))</f>
        <v/>
      </c>
      <c r="Z165">
        <f t="array" ref="Z165">IF($S165="","",INDEX($H$18:$H$25,ROW()-159))</f>
        <v/>
      </c>
      <c r="AA165">
        <f t="array" ref="AA165">IF($S165="","",INDEX($I$18:$I$25,ROW()-159))</f>
        <v/>
      </c>
      <c r="AB165" s="41">
        <f t="array" ref="AB165">IF($S165="","",INDEX($L$18:$L$25,ROW()-159)+INDEX($M$18:$M$25,ROW()-159))</f>
        <v/>
      </c>
      <c r="AC165">
        <f t="array" ref="AC165">IF($S165="","",INDEX($J$18:$J$25,ROW()-159))</f>
        <v/>
      </c>
      <c r="AD165">
        <f t="array" ref="AD165">IF($S165="","",INDEX($K$18:$K$25,ROW()-159))</f>
        <v/>
      </c>
      <c r="AE165">
        <f t="array" ref="AE165">IF($S165="","",INDEX($F$102:$F$109,ROW()-159))</f>
        <v/>
      </c>
      <c r="AF165">
        <f t="array" ref="AF165">IF($S165="","",INDEX($E$102:$E$109,ROW()-159))</f>
        <v/>
      </c>
      <c r="AG165">
        <f t="array" ref="AG165">IF($S165="","",INDEX($G$102:$G$109,ROW()-159))</f>
        <v/>
      </c>
      <c r="AH165">
        <f t="array" ref="AH165">IF($S165="","",INDEX($V$18:$V$25,ROW()-159))</f>
        <v/>
      </c>
      <c r="AI165">
        <f t="array" ref="AI165">IF($S165="","",INDEX($W$18:$W$25,ROW()-159))</f>
        <v/>
      </c>
      <c r="AJ165">
        <f t="array" ref="AJ165">IF($S165="","",INDEX($X$18:$X$25,ROW()-159))</f>
        <v/>
      </c>
      <c r="AK165">
        <f t="array" ref="AK165">IF($S165="","",SUMPRODUCT((INDEX(permit_calc!$R$3:$Y$144,0,ROW()-159)&gt;0)*1))</f>
        <v/>
      </c>
      <c r="AL165">
        <f t="array" ref="AL165">IF($S165="","",_xlfn.TEXTJOIN(", ",TRUE,IF(INDEX(permit_calc!$R$3:$Y$144,0,ROW()-159)&gt;0,permit_calc!$B$3:$B$144,"")))</f>
        <v/>
      </c>
      <c r="AM165">
        <f t="array" ref="AM165">IF($S165="","",IFERROR(INDEX(countries!$B:$B,MATCH(INDEX($U$18:$U$25,ROW()-159),countries!$D:$D,0)),INDEX($U$18:$U$25,ROW()-159)))</f>
        <v/>
      </c>
      <c r="AN165">
        <f t="array" ref="AN165">IF($S165="","",IF(INDEX($T$18:$T$25,ROW()-159)=INDEX($U$18:$U$25,ROW()-159),IFERROR(INDEX(countries!$B:$B,MATCH(INDEX($T$18:$T$25,ROW()-159),countries!$D:$D,0)),INDEX($T$18:$T$25,ROW()-159)),IFERROR(INDEX(countries!$B:$B,MATCH(INDEX($T$18:$T$25,ROW()-159),countries!$D:$D,0)),INDEX($T$18:$T$25,ROW()-159))&amp;", "&amp;IFERROR(INDEX(countries!$B:$B,MATCH(INDEX($U$18:$U$25,ROW()-159),countries!$D:$D,0)),INDEX($U$18:$U$25,ROW()-159))))</f>
        <v/>
      </c>
      <c r="AO165">
        <f>IF($S165="","","PENDING")</f>
        <v/>
      </c>
      <c r="AP165">
        <f>IF($S165="","","PLANNED")</f>
        <v/>
      </c>
      <c r="AQ165">
        <f t="array" ref="AQ165">IF($S165="","",INDEX($N$18:$N$25,ROW()-159))</f>
        <v/>
      </c>
      <c r="AR165">
        <f>IF($S165="","","")</f>
        <v/>
      </c>
    </row>
    <row r="166">
      <c r="A166">
        <f>IF($S166="","",$B$5)</f>
        <v/>
      </c>
      <c r="B166">
        <f>IF($S166="","","JTL")</f>
        <v/>
      </c>
      <c r="C166">
        <f>IF($S166="","",IFERROR(INDEX(mayfly!$C:$C,MATCH($B$5,mayfly!$A:$A,0)),"ENQUIRY"))</f>
        <v/>
      </c>
      <c r="D166">
        <f>IF($S166="","",IFERROR(INDEX(mayfly!$D:$D,MATCH($B$5,mayfly!$A:$A,0)),"UNASSIGNED"))</f>
        <v/>
      </c>
      <c r="E166" s="118">
        <f>IF($S166="","",TODAY())</f>
        <v/>
      </c>
      <c r="F166">
        <f>IF($S166="","",IF($F$6="","",$F$6))</f>
        <v/>
      </c>
      <c r="G166">
        <f>IF($S166="","",$B$6)</f>
        <v/>
      </c>
      <c r="H166">
        <f>IF($S166="","",IF($F$8="","",$F$8))</f>
        <v/>
      </c>
      <c r="I166">
        <f>IF($S166="","",IF($F$7="","",$F$7))</f>
        <v/>
      </c>
      <c r="J166">
        <f>IF($S166="","",IFERROR(INDEX(Aircraft!$N:$N,MATCH($B$7,Aircraft!$B:$B,0)),""))</f>
        <v/>
      </c>
      <c r="K166">
        <f>IF($S166="","",IF($C$7="","",$C$7))</f>
        <v/>
      </c>
      <c r="L166">
        <f>IF($S166="","",$F$5)</f>
        <v/>
      </c>
      <c r="M166">
        <f>IF($S166="","",$B$8)</f>
        <v/>
      </c>
      <c r="N166">
        <f>IF($S166="","",$B$7)</f>
        <v/>
      </c>
      <c r="O166">
        <f>IF($S166="","",COUNTA($G$18:$G$25))</f>
        <v/>
      </c>
      <c r="P166">
        <f>IF($S166="","",IF(COUNTIF($X$18:$X$25,"NO CONSTRAINT")=COUNTA($G$18:$G$25),"FEASIBLE","REVIEW ROUTE CHECK"))</f>
        <v/>
      </c>
      <c r="Q166" s="118">
        <f>IF($S166="","",TODAY())</f>
        <v/>
      </c>
      <c r="R166">
        <f>IF($S166="","",IF($B$4="","",$B$4))</f>
        <v/>
      </c>
      <c r="S166">
        <f t="array" ref="S166">IF(INDEX($B$18:$B$25,ROW()-159)="","",ROW()-159)</f>
        <v/>
      </c>
      <c r="T166">
        <f>IF($S166="","",$B$5&amp;"-L"&amp;$S166)</f>
        <v/>
      </c>
      <c r="U166">
        <f t="array" ref="U166">IF($S166="","",INDEX($B$18:$B$25,ROW()-159))</f>
        <v/>
      </c>
      <c r="V166">
        <f t="array" ref="V166">IF($S166="","",INDEX($C$18:$C$25,ROW()-159))</f>
        <v/>
      </c>
      <c r="W166">
        <f t="array" ref="W166">IF($S166="","",INDEX($D$18:$D$25,ROW()-159))</f>
        <v/>
      </c>
      <c r="X166" s="41">
        <f t="array" ref="X166">IF($S166="","",INDEX($E$18:$E$25,ROW()-159)+INDEX($F$18:$F$25,ROW()-159))</f>
        <v/>
      </c>
      <c r="Y166">
        <f t="array" ref="Y166">IF($S166="","",INDEX($G$18:$G$25,ROW()-159))</f>
        <v/>
      </c>
      <c r="Z166">
        <f t="array" ref="Z166">IF($S166="","",INDEX($H$18:$H$25,ROW()-159))</f>
        <v/>
      </c>
      <c r="AA166">
        <f t="array" ref="AA166">IF($S166="","",INDEX($I$18:$I$25,ROW()-159))</f>
        <v/>
      </c>
      <c r="AB166" s="41">
        <f t="array" ref="AB166">IF($S166="","",INDEX($L$18:$L$25,ROW()-159)+INDEX($M$18:$M$25,ROW()-159))</f>
        <v/>
      </c>
      <c r="AC166">
        <f t="array" ref="AC166">IF($S166="","",INDEX($J$18:$J$25,ROW()-159))</f>
        <v/>
      </c>
      <c r="AD166">
        <f t="array" ref="AD166">IF($S166="","",INDEX($K$18:$K$25,ROW()-159))</f>
        <v/>
      </c>
      <c r="AE166">
        <f t="array" ref="AE166">IF($S166="","",INDEX($F$102:$F$109,ROW()-159))</f>
        <v/>
      </c>
      <c r="AF166">
        <f t="array" ref="AF166">IF($S166="","",INDEX($E$102:$E$109,ROW()-159))</f>
        <v/>
      </c>
      <c r="AG166">
        <f t="array" ref="AG166">IF($S166="","",INDEX($G$102:$G$109,ROW()-159))</f>
        <v/>
      </c>
      <c r="AH166">
        <f t="array" ref="AH166">IF($S166="","",INDEX($V$18:$V$25,ROW()-159))</f>
        <v/>
      </c>
      <c r="AI166">
        <f t="array" ref="AI166">IF($S166="","",INDEX($W$18:$W$25,ROW()-159))</f>
        <v/>
      </c>
      <c r="AJ166">
        <f t="array" ref="AJ166">IF($S166="","",INDEX($X$18:$X$25,ROW()-159))</f>
        <v/>
      </c>
      <c r="AK166">
        <f t="array" ref="AK166">IF($S166="","",SUMPRODUCT((INDEX(permit_calc!$R$3:$Y$144,0,ROW()-159)&gt;0)*1))</f>
        <v/>
      </c>
      <c r="AL166">
        <f t="array" ref="AL166">IF($S166="","",_xlfn.TEXTJOIN(", ",TRUE,IF(INDEX(permit_calc!$R$3:$Y$144,0,ROW()-159)&gt;0,permit_calc!$B$3:$B$144,"")))</f>
        <v/>
      </c>
      <c r="AM166">
        <f t="array" ref="AM166">IF($S166="","",IFERROR(INDEX(countries!$B:$B,MATCH(INDEX($U$18:$U$25,ROW()-159),countries!$D:$D,0)),INDEX($U$18:$U$25,ROW()-159)))</f>
        <v/>
      </c>
      <c r="AN166">
        <f t="array" ref="AN166">IF($S166="","",IF(INDEX($T$18:$T$25,ROW()-159)=INDEX($U$18:$U$25,ROW()-159),IFERROR(INDEX(countries!$B:$B,MATCH(INDEX($T$18:$T$25,ROW()-159),countries!$D:$D,0)),INDEX($T$18:$T$25,ROW()-159)),IFERROR(INDEX(countries!$B:$B,MATCH(INDEX($T$18:$T$25,ROW()-159),countries!$D:$D,0)),INDEX($T$18:$T$25,ROW()-159))&amp;", "&amp;IFERROR(INDEX(countries!$B:$B,MATCH(INDEX($U$18:$U$25,ROW()-159),countries!$D:$D,0)),INDEX($U$18:$U$25,ROW()-159))))</f>
        <v/>
      </c>
      <c r="AO166">
        <f>IF($S166="","","PENDING")</f>
        <v/>
      </c>
      <c r="AP166">
        <f>IF($S166="","","PLANNED")</f>
        <v/>
      </c>
      <c r="AQ166">
        <f t="array" ref="AQ166">IF($S166="","",INDEX($N$18:$N$25,ROW()-159))</f>
        <v/>
      </c>
      <c r="AR166">
        <f>IF($S166="","","")</f>
        <v/>
      </c>
    </row>
    <row r="167">
      <c r="A167">
        <f>IF($S167="","",$B$5)</f>
        <v/>
      </c>
      <c r="B167">
        <f>IF($S167="","","JTL")</f>
        <v/>
      </c>
      <c r="C167">
        <f>IF($S167="","",IFERROR(INDEX(mayfly!$C:$C,MATCH($B$5,mayfly!$A:$A,0)),"ENQUIRY"))</f>
        <v/>
      </c>
      <c r="D167">
        <f>IF($S167="","",IFERROR(INDEX(mayfly!$D:$D,MATCH($B$5,mayfly!$A:$A,0)),"UNASSIGNED"))</f>
        <v/>
      </c>
      <c r="E167" s="118">
        <f>IF($S167="","",TODAY())</f>
        <v/>
      </c>
      <c r="F167">
        <f>IF($S167="","",IF($F$6="","",$F$6))</f>
        <v/>
      </c>
      <c r="G167">
        <f>IF($S167="","",$B$6)</f>
        <v/>
      </c>
      <c r="H167">
        <f>IF($S167="","",IF($F$8="","",$F$8))</f>
        <v/>
      </c>
      <c r="I167">
        <f>IF($S167="","",IF($F$7="","",$F$7))</f>
        <v/>
      </c>
      <c r="J167">
        <f>IF($S167="","",IFERROR(INDEX(Aircraft!$N:$N,MATCH($B$7,Aircraft!$B:$B,0)),""))</f>
        <v/>
      </c>
      <c r="K167">
        <f>IF($S167="","",IF($C$7="","",$C$7))</f>
        <v/>
      </c>
      <c r="L167">
        <f>IF($S167="","",$F$5)</f>
        <v/>
      </c>
      <c r="M167">
        <f>IF($S167="","",$B$8)</f>
        <v/>
      </c>
      <c r="N167">
        <f>IF($S167="","",$B$7)</f>
        <v/>
      </c>
      <c r="O167">
        <f>IF($S167="","",COUNTA($G$18:$G$25))</f>
        <v/>
      </c>
      <c r="P167">
        <f>IF($S167="","",IF(COUNTIF($X$18:$X$25,"NO CONSTRAINT")=COUNTA($G$18:$G$25),"FEASIBLE","REVIEW ROUTE CHECK"))</f>
        <v/>
      </c>
      <c r="Q167" s="118">
        <f>IF($S167="","",TODAY())</f>
        <v/>
      </c>
      <c r="R167">
        <f>IF($S167="","",IF($B$4="","",$B$4))</f>
        <v/>
      </c>
      <c r="S167">
        <f t="array" ref="S167">IF(INDEX($B$18:$B$25,ROW()-159)="","",ROW()-159)</f>
        <v/>
      </c>
      <c r="T167">
        <f>IF($S167="","",$B$5&amp;"-L"&amp;$S167)</f>
        <v/>
      </c>
      <c r="U167">
        <f t="array" ref="U167">IF($S167="","",INDEX($B$18:$B$25,ROW()-159))</f>
        <v/>
      </c>
      <c r="V167">
        <f t="array" ref="V167">IF($S167="","",INDEX($C$18:$C$25,ROW()-159))</f>
        <v/>
      </c>
      <c r="W167">
        <f t="array" ref="W167">IF($S167="","",INDEX($D$18:$D$25,ROW()-159))</f>
        <v/>
      </c>
      <c r="X167" s="41">
        <f t="array" ref="X167">IF($S167="","",INDEX($E$18:$E$25,ROW()-159)+INDEX($F$18:$F$25,ROW()-159))</f>
        <v/>
      </c>
      <c r="Y167">
        <f t="array" ref="Y167">IF($S167="","",INDEX($G$18:$G$25,ROW()-159))</f>
        <v/>
      </c>
      <c r="Z167">
        <f t="array" ref="Z167">IF($S167="","",INDEX($H$18:$H$25,ROW()-159))</f>
        <v/>
      </c>
      <c r="AA167">
        <f t="array" ref="AA167">IF($S167="","",INDEX($I$18:$I$25,ROW()-159))</f>
        <v/>
      </c>
      <c r="AB167" s="41">
        <f t="array" ref="AB167">IF($S167="","",INDEX($L$18:$L$25,ROW()-159)+INDEX($M$18:$M$25,ROW()-159))</f>
        <v/>
      </c>
      <c r="AC167">
        <f t="array" ref="AC167">IF($S167="","",INDEX($J$18:$J$25,ROW()-159))</f>
        <v/>
      </c>
      <c r="AD167">
        <f t="array" ref="AD167">IF($S167="","",INDEX($K$18:$K$25,ROW()-159))</f>
        <v/>
      </c>
      <c r="AE167">
        <f t="array" ref="AE167">IF($S167="","",INDEX($F$102:$F$109,ROW()-159))</f>
        <v/>
      </c>
      <c r="AF167">
        <f t="array" ref="AF167">IF($S167="","",INDEX($E$102:$E$109,ROW()-159))</f>
        <v/>
      </c>
      <c r="AG167">
        <f t="array" ref="AG167">IF($S167="","",INDEX($G$102:$G$109,ROW()-159))</f>
        <v/>
      </c>
      <c r="AH167">
        <f t="array" ref="AH167">IF($S167="","",INDEX($V$18:$V$25,ROW()-159))</f>
        <v/>
      </c>
      <c r="AI167">
        <f t="array" ref="AI167">IF($S167="","",INDEX($W$18:$W$25,ROW()-159))</f>
        <v/>
      </c>
      <c r="AJ167">
        <f t="array" ref="AJ167">IF($S167="","",INDEX($X$18:$X$25,ROW()-159))</f>
        <v/>
      </c>
      <c r="AK167">
        <f t="array" ref="AK167">IF($S167="","",SUMPRODUCT((INDEX(permit_calc!$R$3:$Y$144,0,ROW()-159)&gt;0)*1))</f>
        <v/>
      </c>
      <c r="AL167">
        <f t="array" ref="AL167">IF($S167="","",_xlfn.TEXTJOIN(", ",TRUE,IF(INDEX(permit_calc!$R$3:$Y$144,0,ROW()-159)&gt;0,permit_calc!$B$3:$B$144,"")))</f>
        <v/>
      </c>
      <c r="AM167">
        <f t="array" ref="AM167">IF($S167="","",IFERROR(INDEX(countries!$B:$B,MATCH(INDEX($U$18:$U$25,ROW()-159),countries!$D:$D,0)),INDEX($U$18:$U$25,ROW()-159)))</f>
        <v/>
      </c>
      <c r="AN167">
        <f t="array" ref="AN167">IF($S167="","",IF(INDEX($T$18:$T$25,ROW()-159)=INDEX($U$18:$U$25,ROW()-159),IFERROR(INDEX(countries!$B:$B,MATCH(INDEX($T$18:$T$25,ROW()-159),countries!$D:$D,0)),INDEX($T$18:$T$25,ROW()-159)),IFERROR(INDEX(countries!$B:$B,MATCH(INDEX($T$18:$T$25,ROW()-159),countries!$D:$D,0)),INDEX($T$18:$T$25,ROW()-159))&amp;", "&amp;IFERROR(INDEX(countries!$B:$B,MATCH(INDEX($U$18:$U$25,ROW()-159),countries!$D:$D,0)),INDEX($U$18:$U$25,ROW()-159))))</f>
        <v/>
      </c>
      <c r="AO167">
        <f>IF($S167="","","PENDING")</f>
        <v/>
      </c>
      <c r="AP167">
        <f>IF($S167="","","PLANNED")</f>
        <v/>
      </c>
      <c r="AQ167">
        <f t="array" ref="AQ167">IF($S167="","",INDEX($N$18:$N$25,ROW()-159))</f>
        <v/>
      </c>
      <c r="AR167">
        <f>IF($S167="","","")</f>
        <v/>
      </c>
    </row>
  </sheetData>
  <conditionalFormatting sqref="L30:L69">
    <cfRule type="containsText" priority="1" operator="containsText" text="Text">
      <formula>NOT(ISERROR(SEARCH("Text",L30)))</formula>
    </cfRule>
    <cfRule type="containsText" priority="2" operator="containsText" text="OVERDUE">
      <formula>NOT(ISERROR(SEARCH("OVERDUE",L30)))</formula>
    </cfRule>
  </conditionalFormatting>
  <dataValidations count="5">
    <dataValidation sqref="G30:G69" showDropDown="0" showInputMessage="1" showErrorMessage="1" allowBlank="1" type="list">
      <formula1>"JTL,OWN,EXCLUDED,THIRD PARTY"</formula1>
    </dataValidation>
    <dataValidation sqref="H74:V82" showDropDown="0" showInputMessage="1" showErrorMessage="1" allowBlank="1" type="list">
      <formula1>"JTL,OWN,THIRD PARTY"</formula1>
    </dataValidation>
    <dataValidation sqref="E88:J96" showDropDown="0" showInputMessage="1" showErrorMessage="1" allowBlank="1" type="list">
      <formula1>"NOT REQUIRED,REQUIRED,VISA ON ARRIVAL,eVISA,TRANSIT ONLY,HELD - VALID,TIWB"</formula1>
    </dataValidation>
    <dataValidation sqref="W74:W82" showDropDown="0" showInputMessage="1" showErrorMessage="1" allowBlank="1" type="list">
      <formula1>"TURNAROUND,TECH STOP,RON (REMAINING OVERNIGHT),CREW REST STOP,MAINTENANCE STOP,DIVERSION"</formula1>
    </dataValidation>
    <dataValidation sqref="B5" showDropDown="0" showInputMessage="1" showErrorMessage="1" allowBlank="1" type="list">
      <formula1>#REF!</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B15" sqref="B15"/>
    </sheetView>
  </sheetViews>
  <sheetFormatPr baseColWidth="8" defaultRowHeight="14.4"/>
  <cols>
    <col width="25.88671875" customWidth="1" min="1" max="6"/>
  </cols>
  <sheetData>
    <row r="1">
      <c r="A1" s="1" t="inlineStr">
        <is>
          <t>Workstation UTC offset (hrs)</t>
        </is>
      </c>
      <c r="B1" s="4" t="n">
        <v>0</v>
      </c>
    </row>
    <row r="2">
      <c r="A2" s="1" t="inlineStr">
        <is>
          <t>Document root path</t>
        </is>
      </c>
      <c r="B2" s="4" t="inlineStr">
        <is>
          <t>C:\Backups\InsiderTechSol\Aviation\Jetelio_v3\.LAYOUT\resources</t>
        </is>
      </c>
    </row>
    <row r="3">
      <c r="A3" s="1" t="inlineStr">
        <is>
          <t>Reference lists</t>
        </is>
      </c>
    </row>
    <row r="4">
      <c r="A4" s="2" t="inlineStr">
        <is>
          <t>Airport Type</t>
        </is>
      </c>
      <c r="B4" s="2" t="inlineStr">
        <is>
          <t>PPR Required</t>
        </is>
      </c>
      <c r="C4" s="2" t="inlineStr">
        <is>
          <t>Location Type</t>
        </is>
      </c>
      <c r="D4" s="2" t="inlineStr">
        <is>
          <t>Airport of Entry</t>
        </is>
      </c>
      <c r="E4" s="2" t="inlineStr">
        <is>
          <t>Fuel Types</t>
        </is>
      </c>
      <c r="F4" s="2" t="inlineStr">
        <is>
          <t>Vendor Category</t>
        </is>
      </c>
    </row>
    <row r="5">
      <c r="A5" t="inlineStr">
        <is>
          <t>Civil</t>
        </is>
      </c>
      <c r="B5" t="inlineStr">
        <is>
          <t>Yes</t>
        </is>
      </c>
      <c r="C5" t="inlineStr">
        <is>
          <t>Airport</t>
        </is>
      </c>
      <c r="D5" t="inlineStr">
        <is>
          <t>Yes</t>
        </is>
      </c>
      <c r="E5" t="inlineStr">
        <is>
          <t>JET A-1</t>
        </is>
      </c>
      <c r="F5" t="inlineStr">
        <is>
          <t>Handler</t>
        </is>
      </c>
    </row>
    <row r="6">
      <c r="A6" t="inlineStr">
        <is>
          <t>Military</t>
        </is>
      </c>
      <c r="B6" t="inlineStr">
        <is>
          <t>No</t>
        </is>
      </c>
      <c r="C6" t="inlineStr">
        <is>
          <t>Airstrip</t>
        </is>
      </c>
      <c r="D6" t="inlineStr">
        <is>
          <t>No</t>
        </is>
      </c>
      <c r="E6" t="inlineStr">
        <is>
          <t>AVGAS</t>
        </is>
      </c>
      <c r="F6" t="inlineStr">
        <is>
          <t>Permit</t>
        </is>
      </c>
    </row>
    <row r="7">
      <c r="A7" t="inlineStr">
        <is>
          <t>Private</t>
        </is>
      </c>
      <c r="B7" t="inlineStr">
        <is>
          <t>Prior Notice</t>
        </is>
      </c>
      <c r="C7" t="inlineStr">
        <is>
          <t>Helipad</t>
        </is>
      </c>
      <c r="D7" t="inlineStr">
        <is>
          <t>Seasonal</t>
        </is>
      </c>
      <c r="E7" t="inlineStr">
        <is>
          <t>JET A-1 + AVGAS</t>
        </is>
      </c>
      <c r="F7" t="inlineStr">
        <is>
          <t>Supervisor</t>
        </is>
      </c>
    </row>
    <row r="8">
      <c r="A8" t="inlineStr">
        <is>
          <t>Joint</t>
        </is>
      </c>
      <c r="C8" t="inlineStr">
        <is>
          <t>Bulk Origin</t>
        </is>
      </c>
      <c r="E8" t="inlineStr">
        <is>
          <t>None</t>
        </is>
      </c>
      <c r="F8" t="inlineStr">
        <is>
          <t>Fuel</t>
        </is>
      </c>
    </row>
    <row r="9">
      <c r="A9" t="inlineStr">
        <is>
          <t>Other</t>
        </is>
      </c>
      <c r="C9" t="inlineStr">
        <is>
          <t>Bulk Destination</t>
        </is>
      </c>
      <c r="F9" t="inlineStr">
        <is>
          <t>Catering</t>
        </is>
      </c>
    </row>
    <row r="10">
      <c r="C10" t="inlineStr">
        <is>
          <t>Shipping Port</t>
        </is>
      </c>
      <c r="F10" t="inlineStr">
        <is>
          <t>Security</t>
        </is>
      </c>
    </row>
    <row r="11">
      <c r="C11" t="inlineStr">
        <is>
          <t>Aircraft Carrier</t>
        </is>
      </c>
      <c r="F11" t="inlineStr">
        <is>
          <t>Transport</t>
        </is>
      </c>
    </row>
    <row r="12">
      <c r="C12" t="inlineStr">
        <is>
          <t>Other</t>
        </is>
      </c>
      <c r="F12" t="inlineStr">
        <is>
          <t>Other</t>
        </is>
      </c>
    </row>
    <row r="14">
      <c r="A14" s="105" t="inlineStr">
        <is>
          <t>OPERATIONAL DEFAULTS — single source of truth for every fallback</t>
        </is>
      </c>
    </row>
    <row r="15">
      <c r="A15" t="inlineStr">
        <is>
          <t>Default permit lead time (hrs) — FALLBACK ONLY, not a verified figure</t>
        </is>
      </c>
      <c r="B15" s="106" t="inlineStr">
        <is>
          <t>72</t>
        </is>
      </c>
    </row>
    <row r="16">
      <c r="A16" t="inlineStr">
        <is>
          <t>Default ground service notice (hrs)</t>
        </is>
      </c>
      <c r="B16" s="4" t="inlineStr">
        <is>
          <t>24</t>
        </is>
      </c>
    </row>
    <row r="17">
      <c r="A17" t="inlineStr">
        <is>
          <t>Range reserve / safety margin (fraction of max range)</t>
        </is>
      </c>
      <c r="B17" s="107" t="inlineStr">
        <is>
          <t>0.15</t>
        </is>
      </c>
    </row>
    <row r="18">
      <c r="A18" t="inlineStr">
        <is>
          <t>Passport validity buffer beyond trip end (days)</t>
        </is>
      </c>
      <c r="B18" s="4" t="inlineStr">
        <is>
          <t>180</t>
        </is>
      </c>
    </row>
    <row r="19">
      <c r="A19" t="inlineStr">
        <is>
          <t>Document expiry alert thresholds (days before expiry)</t>
        </is>
      </c>
      <c r="B19" s="4" t="inlineStr">
        <is>
          <t>180,90,30,7</t>
        </is>
      </c>
    </row>
    <row r="20">
      <c r="A20" t="inlineStr">
        <is>
          <t>Visa rule staleness limit (days since verified)</t>
        </is>
      </c>
      <c r="B20" s="4" t="inlineStr">
        <is>
          <t>365</t>
        </is>
      </c>
    </row>
    <row r="21">
      <c r="A21" t="inlineStr">
        <is>
          <t>Unverified reference data may be used for planning?</t>
        </is>
      </c>
      <c r="B21" s="108" t="inlineStr">
        <is>
          <t>NO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Y382"/>
  <sheetViews>
    <sheetView workbookViewId="0">
      <pane ySplit="2" topLeftCell="A377" activePane="bottomLeft" state="frozen"/>
      <selection pane="bottomLeft" activeCell="E382" sqref="E382"/>
    </sheetView>
  </sheetViews>
  <sheetFormatPr baseColWidth="8" defaultRowHeight="14.4"/>
  <cols>
    <col width="13" customWidth="1" min="1" max="4"/>
    <col width="35.21875" customWidth="1" min="5" max="5"/>
    <col width="20.33203125" customWidth="1" min="6" max="13"/>
    <col width="31.44140625" customWidth="1" min="14" max="14"/>
    <col width="20.33203125" customWidth="1" min="15" max="46"/>
    <col width="48.109375" customWidth="1" min="47" max="47"/>
    <col width="20.33203125" customWidth="1" min="48" max="48"/>
  </cols>
  <sheetData>
    <row r="1">
      <c r="A1" s="81" t="inlineStr">
        <is>
          <t>IDENTIFIERS</t>
        </is>
      </c>
      <c r="E1" s="82" t="inlineStr">
        <is>
          <t>LOCATION &amp; CONTACT</t>
        </is>
      </c>
      <c r="N1" s="83" t="inlineStr">
        <is>
          <t>GEO &amp; TIME</t>
        </is>
      </c>
      <c r="W1" s="84" t="inlineStr">
        <is>
          <t>OPERATIONS</t>
        </is>
      </c>
      <c r="AE1" s="85" t="inlineStr">
        <is>
          <t>INFRASTRUCTURE</t>
        </is>
      </c>
      <c r="AJ1" s="86" t="inlineStr">
        <is>
          <t>LIVE DATA</t>
        </is>
      </c>
      <c r="AM1" s="77" t="inlineStr">
        <is>
          <t>BULLETINS</t>
        </is>
      </c>
      <c r="AO1" s="78" t="inlineStr">
        <is>
          <t>DOCUMENTS</t>
        </is>
      </c>
      <c r="AS1" s="79" t="inlineStr">
        <is>
          <t>RELATED RECORDS</t>
        </is>
      </c>
      <c r="AU1" s="80" t="inlineStr">
        <is>
          <t>OTHER</t>
        </is>
      </c>
    </row>
    <row r="2" ht="42" customHeight="1">
      <c r="A2" s="3" t="inlineStr">
        <is>
          <t>Airport ICAO</t>
        </is>
      </c>
      <c r="B2" s="3" t="inlineStr">
        <is>
          <t>Airport IATA</t>
        </is>
      </c>
      <c r="C2" s="3" t="inlineStr">
        <is>
          <t>FAA ID</t>
        </is>
      </c>
      <c r="D2" s="3" t="inlineStr">
        <is>
          <t>EIP ICAO</t>
        </is>
      </c>
      <c r="E2" s="3" t="inlineStr">
        <is>
          <t>Airport Name</t>
        </is>
      </c>
      <c r="F2" s="3" t="inlineStr">
        <is>
          <t>Location Type</t>
        </is>
      </c>
      <c r="G2" s="3" t="inlineStr">
        <is>
          <t>Airport Type</t>
        </is>
      </c>
      <c r="H2" s="3" t="inlineStr">
        <is>
          <t>Country</t>
        </is>
      </c>
      <c r="I2" s="3" t="inlineStr">
        <is>
          <t>City Name</t>
        </is>
      </c>
      <c r="J2" s="3" t="inlineStr">
        <is>
          <t>Location / Region</t>
        </is>
      </c>
      <c r="K2" s="3" t="inlineStr">
        <is>
          <t>Airport Address 1</t>
        </is>
      </c>
      <c r="L2" s="3" t="inlineStr">
        <is>
          <t>Airport Address 2</t>
        </is>
      </c>
      <c r="M2" s="3" t="inlineStr">
        <is>
          <t>Website</t>
        </is>
      </c>
      <c r="N2" s="3" t="inlineStr">
        <is>
          <t>Coordinates (DMS)</t>
        </is>
      </c>
      <c r="O2" s="3" t="inlineStr">
        <is>
          <t>Latitude (DD)</t>
        </is>
      </c>
      <c r="P2" s="3" t="inlineStr">
        <is>
          <t>Longitude (DD)</t>
        </is>
      </c>
      <c r="Q2" s="3" t="inlineStr">
        <is>
          <t>Elevation (m)</t>
        </is>
      </c>
      <c r="R2" s="3" t="inlineStr">
        <is>
          <t>Elevation (ft)</t>
        </is>
      </c>
      <c r="S2" s="3" t="inlineStr">
        <is>
          <t>Magnetic Variation</t>
        </is>
      </c>
      <c r="T2" s="3" t="inlineStr">
        <is>
          <t>Time Zone</t>
        </is>
      </c>
      <c r="U2" s="3" t="inlineStr">
        <is>
          <t>UTC Offset (hrs)</t>
        </is>
      </c>
      <c r="V2" s="3" t="inlineStr">
        <is>
          <t>Local Time (now)</t>
        </is>
      </c>
      <c r="W2" s="3" t="inlineStr">
        <is>
          <t>Airport Hours</t>
        </is>
      </c>
      <c r="X2" s="3" t="inlineStr">
        <is>
          <t>Operating Hours</t>
        </is>
      </c>
      <c r="Y2" s="3" t="inlineStr">
        <is>
          <t>Airport of Entry</t>
        </is>
      </c>
      <c r="Z2" s="3" t="inlineStr">
        <is>
          <t>PPR Required</t>
        </is>
      </c>
      <c r="AA2" s="3" t="inlineStr">
        <is>
          <t>CIQ Procedure</t>
        </is>
      </c>
      <c r="AB2" s="3" t="inlineStr">
        <is>
          <t>Arrival Slot</t>
        </is>
      </c>
      <c r="AC2" s="3" t="inlineStr">
        <is>
          <t>Departure Slot</t>
        </is>
      </c>
      <c r="AD2" s="3" t="inlineStr">
        <is>
          <t>Approaches</t>
        </is>
      </c>
      <c r="AE2" s="3" t="inlineStr">
        <is>
          <t>Runway(s)</t>
        </is>
      </c>
      <c r="AF2" s="3" t="inlineStr">
        <is>
          <t>PCN No.</t>
        </is>
      </c>
      <c r="AG2" s="3" t="inlineStr">
        <is>
          <t>Fuel Types Available</t>
        </is>
      </c>
      <c r="AH2" s="3" t="inlineStr">
        <is>
          <t>Security Rating</t>
        </is>
      </c>
      <c r="AI2" s="3" t="inlineStr">
        <is>
          <t>Alternates</t>
        </is>
      </c>
      <c r="AJ2" s="3" t="inlineStr">
        <is>
          <t>NOTAM</t>
        </is>
      </c>
      <c r="AK2" s="3" t="inlineStr">
        <is>
          <t>Airport OFP</t>
        </is>
      </c>
      <c r="AL2" s="3" t="inlineStr">
        <is>
          <t>Daily Weather</t>
        </is>
      </c>
      <c r="AM2" s="3" t="inlineStr">
        <is>
          <t>Country Bulletin</t>
        </is>
      </c>
      <c r="AN2" s="3" t="inlineStr">
        <is>
          <t>City Bulletin</t>
        </is>
      </c>
      <c r="AO2" s="3" t="inlineStr">
        <is>
          <t>Airport Charts (folder)</t>
        </is>
      </c>
      <c r="AP2" s="3" t="inlineStr">
        <is>
          <t>Runway Diagram</t>
        </is>
      </c>
      <c r="AQ2" s="3" t="inlineStr">
        <is>
          <t>Airport Images</t>
        </is>
      </c>
      <c r="AR2" s="3" t="inlineStr">
        <is>
          <t>City Map</t>
        </is>
      </c>
      <c r="AS2" s="3" t="inlineStr">
        <is>
          <t>VISA Info</t>
        </is>
      </c>
      <c r="AT2" s="3" t="inlineStr">
        <is>
          <t>Vendors</t>
        </is>
      </c>
      <c r="AU2" s="3" t="inlineStr">
        <is>
          <t>Strategic Role</t>
        </is>
      </c>
      <c r="AV2" s="3" t="inlineStr">
        <is>
          <t>Last Updated</t>
        </is>
      </c>
      <c r="AW2" s="1" t="inlineStr">
        <is>
          <t>ops_data_source</t>
        </is>
      </c>
      <c r="AX2" s="1" t="inlineStr">
        <is>
          <t>ops_data_verified_on</t>
        </is>
      </c>
      <c r="AY2" s="1" t="inlineStr">
        <is>
          <t>tech_stop_readiness</t>
        </is>
      </c>
    </row>
    <row r="3">
      <c r="A3" t="inlineStr">
        <is>
          <t>AGGH</t>
        </is>
      </c>
      <c r="B3" t="inlineStr">
        <is>
          <t>HIR</t>
        </is>
      </c>
      <c r="E3" t="inlineStr">
        <is>
          <t>Honiara International Airport</t>
        </is>
      </c>
      <c r="I3" t="inlineStr">
        <is>
          <t>Honiara</t>
        </is>
      </c>
      <c r="N3" s="12" t="n"/>
      <c r="O3" t="n">
        <v>-9.428000000000001</v>
      </c>
      <c r="P3" t="n">
        <v>160.05499</v>
      </c>
      <c r="Q3" s="13" t="n"/>
      <c r="R3" s="10" t="n">
        <v>28</v>
      </c>
      <c r="T3" t="inlineStr">
        <is>
          <t>Pacific/Guadalcanal</t>
        </is>
      </c>
      <c r="V3" s="14" t="n"/>
      <c r="AO3" s="12" t="n"/>
      <c r="AP3" s="12" t="n"/>
      <c r="AQ3" s="12" t="n"/>
      <c r="AR3" s="12" t="n"/>
      <c r="AS3" s="16" t="n"/>
      <c r="AT3" s="16" t="n"/>
      <c r="AV3" s="124" t="n"/>
      <c r="AX3" s="118" t="n"/>
    </row>
    <row r="4">
      <c r="A4" s="4" t="inlineStr">
        <is>
          <t>AYNZ</t>
        </is>
      </c>
      <c r="B4" s="4" t="inlineStr">
        <is>
          <t>LAE</t>
        </is>
      </c>
      <c r="C4" s="4" t="n"/>
      <c r="D4" s="4" t="n"/>
      <c r="E4" s="4" t="inlineStr">
        <is>
          <t>Nadzab Tomodachi International Airport</t>
        </is>
      </c>
      <c r="F4" s="4" t="n"/>
      <c r="G4" s="4" t="n"/>
      <c r="H4" s="4" t="n"/>
      <c r="I4" s="4" t="inlineStr">
        <is>
          <t>Lae</t>
        </is>
      </c>
      <c r="J4" s="4" t="n"/>
      <c r="K4" s="4" t="n"/>
      <c r="L4" s="4" t="n"/>
      <c r="M4" s="4" t="n"/>
      <c r="N4" s="12" t="n"/>
      <c r="O4" s="125" t="n">
        <v>-6.56799</v>
      </c>
      <c r="P4" s="125" t="n">
        <v>146.72654</v>
      </c>
      <c r="Q4" s="13" t="n"/>
      <c r="R4" s="11" t="n">
        <v>239</v>
      </c>
      <c r="S4" s="4" t="n"/>
      <c r="T4" s="4" t="inlineStr">
        <is>
          <t>Pacific/Port_Moresby</t>
        </is>
      </c>
      <c r="U4" s="126" t="n"/>
      <c r="V4" s="14" t="n"/>
      <c r="W4" s="4" t="n"/>
      <c r="X4" s="4" t="n"/>
      <c r="Y4" s="4" t="n"/>
      <c r="Z4" s="4" t="n"/>
      <c r="AA4" s="4" t="n"/>
      <c r="AB4" s="4" t="n"/>
      <c r="AC4" s="4" t="n"/>
      <c r="AD4" s="4" t="n"/>
      <c r="AE4" s="4" t="n"/>
      <c r="AF4" s="4" t="n"/>
      <c r="AG4" s="4" t="n"/>
      <c r="AH4" s="4" t="n"/>
      <c r="AI4" s="4" t="n"/>
      <c r="AJ4" s="4" t="n"/>
      <c r="AK4" s="4" t="n"/>
      <c r="AL4" s="4" t="n"/>
      <c r="AM4" s="4" t="n"/>
      <c r="AN4" s="4" t="n"/>
      <c r="AO4" s="12" t="n"/>
      <c r="AP4" s="12" t="n"/>
      <c r="AQ4" s="12" t="n"/>
      <c r="AR4" s="12" t="n"/>
      <c r="AS4" s="16" t="n"/>
      <c r="AT4" s="16" t="n"/>
      <c r="AU4" s="4" t="n"/>
      <c r="AV4" s="124" t="n"/>
      <c r="AX4" s="118" t="n"/>
    </row>
    <row r="5">
      <c r="A5" s="4" t="inlineStr">
        <is>
          <t>AYPY</t>
        </is>
      </c>
      <c r="B5" s="4" t="inlineStr">
        <is>
          <t>POM</t>
        </is>
      </c>
      <c r="C5" s="4" t="n"/>
      <c r="D5" s="4" t="n"/>
      <c r="E5" s="4" t="inlineStr">
        <is>
          <t>Port Moresby Jacksons International Airport</t>
        </is>
      </c>
      <c r="F5" s="4" t="n"/>
      <c r="G5" s="4" t="n"/>
      <c r="H5" s="4" t="n"/>
      <c r="I5" s="4" t="inlineStr">
        <is>
          <t>Port Moresby</t>
        </is>
      </c>
      <c r="J5" s="4" t="n"/>
      <c r="K5" s="4" t="n"/>
      <c r="L5" s="4" t="n"/>
      <c r="M5" s="4" t="n"/>
      <c r="N5" s="12" t="n"/>
      <c r="O5" s="125" t="n">
        <v>-9.443379999999999</v>
      </c>
      <c r="P5" s="125" t="n">
        <v>147.22</v>
      </c>
      <c r="Q5" s="13" t="n"/>
      <c r="R5" s="11" t="n">
        <v>146</v>
      </c>
      <c r="S5" s="4" t="n"/>
      <c r="T5" s="4" t="inlineStr">
        <is>
          <t>Pacific/Port_Moresby</t>
        </is>
      </c>
      <c r="U5" s="126" t="n"/>
      <c r="V5" s="14" t="n"/>
      <c r="W5" s="4" t="n"/>
      <c r="X5" s="4" t="n"/>
      <c r="Y5" s="4" t="n"/>
      <c r="Z5" s="4" t="n"/>
      <c r="AA5" s="4" t="n"/>
      <c r="AB5" s="4" t="n"/>
      <c r="AC5" s="4" t="n"/>
      <c r="AD5" s="4" t="n"/>
      <c r="AE5" s="4" t="n"/>
      <c r="AF5" s="4" t="n"/>
      <c r="AG5" s="4" t="n"/>
      <c r="AH5" s="4" t="n"/>
      <c r="AI5" s="4" t="n"/>
      <c r="AJ5" s="4" t="n"/>
      <c r="AK5" s="4" t="n"/>
      <c r="AL5" s="4" t="n"/>
      <c r="AM5" s="4" t="n"/>
      <c r="AN5" s="4" t="n"/>
      <c r="AO5" s="12" t="n"/>
      <c r="AP5" s="12" t="n"/>
      <c r="AQ5" s="12" t="n"/>
      <c r="AR5" s="12" t="n"/>
      <c r="AS5" s="16" t="n"/>
      <c r="AT5" s="16" t="n"/>
      <c r="AU5" s="4" t="n"/>
      <c r="AV5" s="124" t="n"/>
      <c r="AX5" s="118" t="n"/>
    </row>
    <row r="6">
      <c r="A6" s="4" t="inlineStr">
        <is>
          <t>BGGH</t>
        </is>
      </c>
      <c r="B6" s="4" t="inlineStr">
        <is>
          <t>GOH</t>
        </is>
      </c>
      <c r="C6" s="4" t="n"/>
      <c r="D6" s="4" t="n"/>
      <c r="E6" s="4" t="inlineStr">
        <is>
          <t>Nuuk International Airport</t>
        </is>
      </c>
      <c r="F6" s="4" t="n"/>
      <c r="G6" s="4" t="n"/>
      <c r="H6" s="4" t="inlineStr">
        <is>
          <t>Greenland</t>
        </is>
      </c>
      <c r="I6" s="4" t="inlineStr">
        <is>
          <t>Nuuk</t>
        </is>
      </c>
      <c r="J6" s="4" t="n"/>
      <c r="K6" s="4" t="n"/>
      <c r="L6" s="4" t="n"/>
      <c r="M6" s="4" t="n"/>
      <c r="N6" s="12" t="n"/>
      <c r="O6" s="125" t="n">
        <v>64.19107</v>
      </c>
      <c r="P6" s="125" t="n">
        <v>-51.67914</v>
      </c>
      <c r="Q6" s="13" t="n"/>
      <c r="R6" s="11" t="n">
        <v>283</v>
      </c>
      <c r="S6" s="4" t="n"/>
      <c r="T6" s="4" t="inlineStr">
        <is>
          <t>America/Godthab</t>
        </is>
      </c>
      <c r="U6" s="126" t="n"/>
      <c r="V6" s="14" t="n"/>
      <c r="W6" s="4" t="n"/>
      <c r="X6" s="4" t="n"/>
      <c r="Y6" s="4" t="n"/>
      <c r="Z6" s="4" t="n"/>
      <c r="AA6" s="4" t="n"/>
      <c r="AB6" s="4" t="n"/>
      <c r="AC6" s="4" t="n"/>
      <c r="AD6" s="4" t="n"/>
      <c r="AE6" s="4" t="n"/>
      <c r="AF6" s="4" t="n"/>
      <c r="AG6" s="4" t="n"/>
      <c r="AH6" s="4" t="n"/>
      <c r="AI6" s="4" t="n"/>
      <c r="AJ6" s="4" t="n"/>
      <c r="AK6" s="4" t="n"/>
      <c r="AL6" s="4" t="n"/>
      <c r="AM6" s="4" t="n"/>
      <c r="AN6" s="4" t="n"/>
      <c r="AO6" s="12" t="n"/>
      <c r="AP6" s="12" t="n"/>
      <c r="AQ6" s="12" t="n"/>
      <c r="AR6" s="12" t="n"/>
      <c r="AS6" s="16" t="n"/>
      <c r="AT6" s="16" t="n"/>
      <c r="AU6" s="4" t="n"/>
      <c r="AV6" s="124" t="n"/>
      <c r="AX6" s="118" t="n"/>
    </row>
    <row r="7">
      <c r="A7" s="4" t="inlineStr">
        <is>
          <t>BIAR</t>
        </is>
      </c>
      <c r="B7" s="4" t="inlineStr">
        <is>
          <t>AEY</t>
        </is>
      </c>
      <c r="C7" s="4" t="n"/>
      <c r="D7" s="4" t="n"/>
      <c r="E7" s="4" t="inlineStr">
        <is>
          <t>Akureyri International Airport</t>
        </is>
      </c>
      <c r="F7" s="4" t="n"/>
      <c r="G7" s="4" t="n"/>
      <c r="H7" s="4" t="inlineStr">
        <is>
          <t>Iceland</t>
        </is>
      </c>
      <c r="I7" s="4" t="inlineStr">
        <is>
          <t>Akureyri</t>
        </is>
      </c>
      <c r="J7" s="4" t="n"/>
      <c r="K7" s="4" t="n"/>
      <c r="L7" s="4" t="n"/>
      <c r="M7" s="4" t="n"/>
      <c r="N7" s="12" t="n"/>
      <c r="O7" s="125" t="n">
        <v>65.65657</v>
      </c>
      <c r="P7" s="125" t="n">
        <v>-18.07202</v>
      </c>
      <c r="Q7" s="13" t="n"/>
      <c r="R7" s="11" t="n">
        <v>6</v>
      </c>
      <c r="S7" s="4" t="n"/>
      <c r="T7" s="4" t="inlineStr">
        <is>
          <t>Atlantic/Reykjavik</t>
        </is>
      </c>
      <c r="U7" s="126" t="n"/>
      <c r="V7" s="14" t="n"/>
      <c r="W7" s="4" t="n"/>
      <c r="X7" s="4" t="n"/>
      <c r="Y7" s="4" t="n"/>
      <c r="Z7" s="4" t="n"/>
      <c r="AA7" s="4" t="n"/>
      <c r="AB7" s="4" t="n"/>
      <c r="AC7" s="4" t="n"/>
      <c r="AD7" s="4" t="n"/>
      <c r="AE7" s="4" t="n"/>
      <c r="AF7" s="4" t="n"/>
      <c r="AG7" s="4" t="n"/>
      <c r="AH7" s="4" t="n"/>
      <c r="AI7" s="4" t="n"/>
      <c r="AJ7" s="4" t="n"/>
      <c r="AK7" s="4" t="n"/>
      <c r="AL7" s="4" t="n"/>
      <c r="AM7" s="4" t="n"/>
      <c r="AN7" s="4" t="n"/>
      <c r="AO7" s="12" t="n"/>
      <c r="AP7" s="12" t="n"/>
      <c r="AQ7" s="12" t="n"/>
      <c r="AR7" s="12" t="n"/>
      <c r="AS7" s="16" t="n"/>
      <c r="AT7" s="16" t="n"/>
      <c r="AU7" s="4" t="n"/>
      <c r="AV7" s="124" t="n"/>
      <c r="AX7" s="118" t="n"/>
    </row>
    <row r="8">
      <c r="A8" s="4" t="inlineStr">
        <is>
          <t>BIKF</t>
        </is>
      </c>
      <c r="B8" s="4" t="inlineStr">
        <is>
          <t>KEF</t>
        </is>
      </c>
      <c r="C8" s="4" t="n"/>
      <c r="D8" s="4" t="n"/>
      <c r="E8" s="4" t="inlineStr">
        <is>
          <t>Keflavik International Airport</t>
        </is>
      </c>
      <c r="F8" s="4" t="n"/>
      <c r="G8" s="4" t="n"/>
      <c r="H8" s="4" t="inlineStr">
        <is>
          <t>Iceland</t>
        </is>
      </c>
      <c r="I8" s="4" t="inlineStr">
        <is>
          <t>Reykjavík</t>
        </is>
      </c>
      <c r="J8" s="4" t="n"/>
      <c r="K8" s="4" t="n"/>
      <c r="L8" s="4" t="n"/>
      <c r="M8" s="4" t="n"/>
      <c r="N8" s="12" t="n"/>
      <c r="O8" s="125" t="n">
        <v>63.985</v>
      </c>
      <c r="P8" s="125" t="n">
        <v>-22.6056</v>
      </c>
      <c r="Q8" s="13" t="n"/>
      <c r="R8" s="11" t="n">
        <v>171</v>
      </c>
      <c r="S8" s="4" t="n"/>
      <c r="T8" s="4" t="inlineStr">
        <is>
          <t>Atlantic/Reykjavik</t>
        </is>
      </c>
      <c r="U8" s="126" t="n"/>
      <c r="V8" s="14" t="n"/>
      <c r="W8" s="4" t="n"/>
      <c r="X8" s="4" t="n"/>
      <c r="Y8" s="4" t="n"/>
      <c r="Z8" s="4" t="n"/>
      <c r="AA8" s="4" t="n"/>
      <c r="AB8" s="4" t="n"/>
      <c r="AC8" s="4" t="n"/>
      <c r="AD8" s="4" t="n"/>
      <c r="AE8" s="4" t="n"/>
      <c r="AF8" s="4" t="n"/>
      <c r="AG8" s="4" t="n"/>
      <c r="AH8" s="4" t="n"/>
      <c r="AI8" s="4" t="n"/>
      <c r="AJ8" s="4" t="n"/>
      <c r="AK8" s="4" t="n"/>
      <c r="AL8" s="4" t="n"/>
      <c r="AM8" s="4" t="n"/>
      <c r="AN8" s="4" t="n"/>
      <c r="AO8" s="12" t="n"/>
      <c r="AP8" s="12" t="n"/>
      <c r="AQ8" s="12" t="n"/>
      <c r="AR8" s="12" t="n"/>
      <c r="AS8" s="16" t="n"/>
      <c r="AT8" s="16" t="n"/>
      <c r="AU8" s="4" t="n"/>
      <c r="AV8" s="124" t="n"/>
      <c r="AX8" s="118" t="n"/>
    </row>
    <row r="9">
      <c r="A9" s="4" t="inlineStr">
        <is>
          <t>BKPR</t>
        </is>
      </c>
      <c r="B9" s="4" t="inlineStr">
        <is>
          <t>PRN</t>
        </is>
      </c>
      <c r="C9" s="4" t="n"/>
      <c r="D9" s="4" t="n"/>
      <c r="E9" s="4" t="inlineStr">
        <is>
          <t>Priština Adem Jashari International Airport</t>
        </is>
      </c>
      <c r="F9" s="4" t="n"/>
      <c r="G9" s="4" t="n"/>
      <c r="H9" s="4" t="inlineStr">
        <is>
          <t>Kosovo</t>
        </is>
      </c>
      <c r="I9" s="4" t="inlineStr">
        <is>
          <t>Prishtina</t>
        </is>
      </c>
      <c r="J9" s="4" t="n"/>
      <c r="K9" s="4" t="n"/>
      <c r="L9" s="4" t="n"/>
      <c r="M9" s="4" t="n"/>
      <c r="N9" s="12" t="n"/>
      <c r="O9" s="125" t="n">
        <v>42.5728</v>
      </c>
      <c r="P9" s="125" t="n">
        <v>21.0358</v>
      </c>
      <c r="Q9" s="13" t="n"/>
      <c r="R9" s="11" t="n">
        <v>1789</v>
      </c>
      <c r="S9" s="4" t="n"/>
      <c r="T9" s="4" t="inlineStr">
        <is>
          <t>Europe/Belgrade</t>
        </is>
      </c>
      <c r="U9" s="126" t="n"/>
      <c r="V9" s="14" t="n"/>
      <c r="W9" s="4" t="n"/>
      <c r="X9" s="4" t="n"/>
      <c r="Y9" s="4" t="n"/>
      <c r="Z9" s="4" t="n"/>
      <c r="AA9" s="4" t="n"/>
      <c r="AB9" s="4" t="n"/>
      <c r="AC9" s="4" t="n"/>
      <c r="AD9" s="4" t="n"/>
      <c r="AE9" s="4" t="n"/>
      <c r="AF9" s="4" t="n"/>
      <c r="AG9" s="4" t="n"/>
      <c r="AH9" s="4" t="n"/>
      <c r="AI9" s="4" t="n"/>
      <c r="AJ9" s="4" t="n"/>
      <c r="AK9" s="4" t="n"/>
      <c r="AL9" s="4" t="n"/>
      <c r="AM9" s="4" t="n"/>
      <c r="AN9" s="4" t="n"/>
      <c r="AO9" s="12" t="n"/>
      <c r="AP9" s="12" t="n"/>
      <c r="AQ9" s="12" t="n"/>
      <c r="AR9" s="12" t="n"/>
      <c r="AS9" s="16" t="n"/>
      <c r="AT9" s="16" t="n"/>
      <c r="AU9" s="4" t="n"/>
      <c r="AV9" s="124" t="n"/>
      <c r="AX9" s="118" t="n"/>
    </row>
    <row r="10">
      <c r="A10" s="4" t="inlineStr">
        <is>
          <t>CYEG</t>
        </is>
      </c>
      <c r="B10" s="4" t="inlineStr">
        <is>
          <t>YEG</t>
        </is>
      </c>
      <c r="C10" s="4" t="n"/>
      <c r="D10" s="4" t="n"/>
      <c r="E10" s="4" t="inlineStr">
        <is>
          <t>Edmonton International Airport</t>
        </is>
      </c>
      <c r="F10" s="4" t="n"/>
      <c r="G10" s="4" t="n"/>
      <c r="H10" s="4" t="n"/>
      <c r="I10" s="4" t="inlineStr">
        <is>
          <t>Edmonton</t>
        </is>
      </c>
      <c r="J10" s="4" t="n"/>
      <c r="K10" s="4" t="n"/>
      <c r="L10" s="4" t="n"/>
      <c r="M10" s="4" t="n"/>
      <c r="N10" s="12" t="n"/>
      <c r="O10" s="125" t="n">
        <v>53.3097</v>
      </c>
      <c r="P10" s="125" t="n">
        <v>-113.58</v>
      </c>
      <c r="Q10" s="13" t="n"/>
      <c r="R10" s="11" t="n">
        <v>2373</v>
      </c>
      <c r="S10" s="4" t="n"/>
      <c r="T10" s="4" t="inlineStr">
        <is>
          <t>America/Edmonton</t>
        </is>
      </c>
      <c r="U10" s="126" t="n"/>
      <c r="V10" s="14" t="n"/>
      <c r="W10" s="4" t="n"/>
      <c r="X10" s="4" t="n"/>
      <c r="Y10" s="4" t="n"/>
      <c r="Z10" s="4" t="n"/>
      <c r="AA10" s="4" t="n"/>
      <c r="AB10" s="4" t="n"/>
      <c r="AC10" s="4" t="n"/>
      <c r="AD10" s="4" t="n"/>
      <c r="AE10" s="4" t="n"/>
      <c r="AF10" s="4" t="n"/>
      <c r="AG10" s="4" t="n"/>
      <c r="AH10" s="4" t="n"/>
      <c r="AI10" s="4" t="n"/>
      <c r="AJ10" s="4" t="n"/>
      <c r="AK10" s="4" t="n"/>
      <c r="AL10" s="4" t="n"/>
      <c r="AM10" s="4" t="n"/>
      <c r="AN10" s="4" t="n"/>
      <c r="AO10" s="12" t="n"/>
      <c r="AP10" s="12" t="n"/>
      <c r="AQ10" s="12" t="n"/>
      <c r="AR10" s="12" t="n"/>
      <c r="AS10" s="16" t="n"/>
      <c r="AT10" s="16" t="n"/>
      <c r="AU10" s="4" t="n"/>
      <c r="AV10" s="124" t="n"/>
      <c r="AX10" s="118" t="n"/>
    </row>
    <row r="11">
      <c r="A11" s="4" t="inlineStr">
        <is>
          <t>CYHZ</t>
        </is>
      </c>
      <c r="B11" s="4" t="inlineStr">
        <is>
          <t>YHZ</t>
        </is>
      </c>
      <c r="C11" s="4" t="n"/>
      <c r="D11" s="4" t="n"/>
      <c r="E11" s="4" t="inlineStr">
        <is>
          <t>Halifax / Stanfield International Airport</t>
        </is>
      </c>
      <c r="F11" s="4" t="n"/>
      <c r="G11" s="4" t="n"/>
      <c r="H11" s="4" t="n"/>
      <c r="I11" s="4" t="inlineStr">
        <is>
          <t>Halifax</t>
        </is>
      </c>
      <c r="J11" s="4" t="n"/>
      <c r="K11" s="4" t="n"/>
      <c r="L11" s="4" t="n"/>
      <c r="M11" s="4" t="n"/>
      <c r="N11" s="12" t="n"/>
      <c r="O11" s="125" t="n">
        <v>44.8808</v>
      </c>
      <c r="P11" s="125" t="n">
        <v>-63.5086</v>
      </c>
      <c r="Q11" s="13" t="n"/>
      <c r="R11" s="11" t="n">
        <v>477</v>
      </c>
      <c r="S11" s="4" t="n"/>
      <c r="T11" s="4" t="inlineStr">
        <is>
          <t>America/Halifax</t>
        </is>
      </c>
      <c r="U11" s="126" t="n"/>
      <c r="V11" s="14" t="n"/>
      <c r="W11" s="4" t="n"/>
      <c r="X11" s="4" t="n"/>
      <c r="Y11" s="4" t="n"/>
      <c r="Z11" s="4" t="n"/>
      <c r="AA11" s="4" t="n"/>
      <c r="AB11" s="4" t="n"/>
      <c r="AC11" s="4" t="n"/>
      <c r="AD11" s="4" t="n"/>
      <c r="AE11" s="4" t="n"/>
      <c r="AF11" s="4" t="n"/>
      <c r="AG11" s="4" t="n"/>
      <c r="AH11" s="4" t="n"/>
      <c r="AI11" s="4" t="n"/>
      <c r="AJ11" s="4" t="n"/>
      <c r="AK11" s="4" t="n"/>
      <c r="AL11" s="4" t="n"/>
      <c r="AM11" s="4" t="n"/>
      <c r="AN11" s="4" t="n"/>
      <c r="AO11" s="12" t="n"/>
      <c r="AP11" s="12" t="n"/>
      <c r="AQ11" s="12" t="n"/>
      <c r="AR11" s="12" t="n"/>
      <c r="AS11" s="16" t="n"/>
      <c r="AT11" s="16" t="n"/>
      <c r="AU11" s="4" t="n"/>
      <c r="AV11" s="124" t="n"/>
      <c r="AX11" s="118" t="n"/>
    </row>
    <row r="12">
      <c r="A12" s="4" t="inlineStr">
        <is>
          <t>DAAE</t>
        </is>
      </c>
      <c r="B12" s="4" t="inlineStr">
        <is>
          <t>BJA</t>
        </is>
      </c>
      <c r="C12" s="4" t="n"/>
      <c r="D12" s="4" t="n"/>
      <c r="E12" s="4" t="inlineStr">
        <is>
          <t>Soummam–Abane Ramdane Airport</t>
        </is>
      </c>
      <c r="F12" s="4" t="n"/>
      <c r="G12" s="4" t="n"/>
      <c r="H12" s="4" t="inlineStr">
        <is>
          <t>Algeria</t>
        </is>
      </c>
      <c r="I12" s="4" t="inlineStr">
        <is>
          <t>Béjaïa</t>
        </is>
      </c>
      <c r="J12" s="4" t="n"/>
      <c r="K12" s="4" t="n"/>
      <c r="L12" s="4" t="n"/>
      <c r="M12" s="4" t="n"/>
      <c r="N12" s="12" t="n"/>
      <c r="O12" s="125" t="n">
        <v>36.71255</v>
      </c>
      <c r="P12" s="125" t="n">
        <v>5.06991</v>
      </c>
      <c r="Q12" s="13" t="n"/>
      <c r="R12" s="11" t="n">
        <v>20</v>
      </c>
      <c r="S12" s="4" t="n"/>
      <c r="T12" s="4" t="inlineStr">
        <is>
          <t>Africa/Algiers</t>
        </is>
      </c>
      <c r="U12" s="126" t="n"/>
      <c r="V12" s="14" t="n"/>
      <c r="W12" s="4" t="n"/>
      <c r="X12" s="4" t="n"/>
      <c r="Y12" s="4" t="n"/>
      <c r="Z12" s="4" t="n"/>
      <c r="AA12" s="4" t="n"/>
      <c r="AB12" s="4" t="n"/>
      <c r="AC12" s="4" t="n"/>
      <c r="AD12" s="4" t="n"/>
      <c r="AE12" s="4" t="n"/>
      <c r="AF12" s="4" t="n"/>
      <c r="AG12" s="4" t="n"/>
      <c r="AH12" s="4" t="n"/>
      <c r="AI12" s="4" t="n"/>
      <c r="AJ12" s="4" t="n"/>
      <c r="AK12" s="4" t="n"/>
      <c r="AL12" s="4" t="n"/>
      <c r="AM12" s="4" t="n"/>
      <c r="AN12" s="4" t="n"/>
      <c r="AO12" s="12" t="n"/>
      <c r="AP12" s="12" t="n"/>
      <c r="AQ12" s="12" t="n"/>
      <c r="AR12" s="12" t="n"/>
      <c r="AS12" s="16" t="n"/>
      <c r="AT12" s="16" t="n"/>
      <c r="AU12" s="4" t="n"/>
      <c r="AV12" s="124" t="n"/>
      <c r="AX12" s="118" t="n"/>
    </row>
    <row r="13">
      <c r="A13" s="4" t="inlineStr">
        <is>
          <t>DAAG</t>
        </is>
      </c>
      <c r="B13" s="4" t="inlineStr">
        <is>
          <t>ALG</t>
        </is>
      </c>
      <c r="C13" s="4" t="n"/>
      <c r="D13" s="4" t="n"/>
      <c r="E13" s="4" t="inlineStr">
        <is>
          <t>Houari Boumediene Airport</t>
        </is>
      </c>
      <c r="F13" s="4" t="n"/>
      <c r="G13" s="4" t="n"/>
      <c r="H13" s="4" t="inlineStr">
        <is>
          <t>Algeria</t>
        </is>
      </c>
      <c r="I13" s="4" t="inlineStr">
        <is>
          <t>Algiers</t>
        </is>
      </c>
      <c r="J13" s="4" t="n"/>
      <c r="K13" s="4" t="n"/>
      <c r="L13" s="4" t="n"/>
      <c r="M13" s="4" t="n"/>
      <c r="N13" s="12" t="n"/>
      <c r="O13" s="125" t="n">
        <v>36.69389</v>
      </c>
      <c r="P13" s="125" t="n">
        <v>3.21453</v>
      </c>
      <c r="Q13" s="13" t="n"/>
      <c r="R13" s="11" t="n">
        <v>82</v>
      </c>
      <c r="S13" s="4" t="n"/>
      <c r="T13" s="4" t="inlineStr">
        <is>
          <t>Africa/Algiers</t>
        </is>
      </c>
      <c r="U13" s="126" t="n"/>
      <c r="V13" s="14" t="n"/>
      <c r="W13" s="4" t="n"/>
      <c r="X13" s="4" t="n"/>
      <c r="Y13" s="4" t="n"/>
      <c r="Z13" s="4" t="n"/>
      <c r="AA13" s="4" t="n"/>
      <c r="AB13" s="4" t="n"/>
      <c r="AC13" s="4" t="n"/>
      <c r="AD13" s="4" t="n"/>
      <c r="AE13" s="4" t="n"/>
      <c r="AF13" s="4" t="n"/>
      <c r="AG13" s="4" t="n"/>
      <c r="AH13" s="4" t="n"/>
      <c r="AI13" s="4" t="n"/>
      <c r="AJ13" s="4" t="n"/>
      <c r="AK13" s="4" t="n"/>
      <c r="AL13" s="4" t="n"/>
      <c r="AM13" s="4" t="n"/>
      <c r="AN13" s="4" t="n"/>
      <c r="AO13" s="12" t="n"/>
      <c r="AP13" s="12" t="n"/>
      <c r="AQ13" s="12" t="n"/>
      <c r="AR13" s="12" t="n"/>
      <c r="AS13" s="16" t="n"/>
      <c r="AT13" s="16" t="n"/>
      <c r="AU13" s="4" t="n"/>
      <c r="AV13" s="124" t="n"/>
      <c r="AX13" s="118" t="n"/>
    </row>
    <row r="14">
      <c r="A14" s="4" t="inlineStr">
        <is>
          <t>DBBB</t>
        </is>
      </c>
      <c r="B14" s="4" t="inlineStr">
        <is>
          <t>COO</t>
        </is>
      </c>
      <c r="C14" s="4" t="n"/>
      <c r="D14" s="4" t="n"/>
      <c r="E14" s="4" t="inlineStr">
        <is>
          <t>Cotonou Cadjehoun International Airport</t>
        </is>
      </c>
      <c r="F14" s="4" t="n"/>
      <c r="G14" s="4" t="n"/>
      <c r="H14" s="4" t="inlineStr">
        <is>
          <t>Benin</t>
        </is>
      </c>
      <c r="I14" s="4" t="inlineStr">
        <is>
          <t>Cotonou</t>
        </is>
      </c>
      <c r="J14" s="4" t="n"/>
      <c r="K14" s="4" t="n"/>
      <c r="L14" s="4" t="n"/>
      <c r="M14" s="4" t="n"/>
      <c r="N14" s="12" t="n"/>
      <c r="O14" s="125" t="n">
        <v>6.35723</v>
      </c>
      <c r="P14" s="125" t="n">
        <v>2.38435</v>
      </c>
      <c r="Q14" s="13" t="n"/>
      <c r="R14" s="11" t="n">
        <v>19</v>
      </c>
      <c r="S14" s="4" t="n"/>
      <c r="T14" s="4" t="inlineStr">
        <is>
          <t>Africa/Porto-Novo</t>
        </is>
      </c>
      <c r="U14" s="126" t="n"/>
      <c r="V14" s="14" t="n"/>
      <c r="W14" s="4" t="n"/>
      <c r="X14" s="4" t="n"/>
      <c r="Y14" s="4" t="n"/>
      <c r="Z14" s="4" t="n"/>
      <c r="AA14" s="4" t="n"/>
      <c r="AB14" s="4" t="n"/>
      <c r="AC14" s="4" t="n"/>
      <c r="AD14" s="4" t="n"/>
      <c r="AE14" s="4" t="n"/>
      <c r="AF14" s="4" t="n"/>
      <c r="AG14" s="4" t="n"/>
      <c r="AH14" s="4" t="n"/>
      <c r="AI14" s="4" t="n"/>
      <c r="AJ14" s="4" t="n"/>
      <c r="AK14" s="4" t="n"/>
      <c r="AL14" s="4" t="n"/>
      <c r="AM14" s="4" t="n"/>
      <c r="AN14" s="4" t="n"/>
      <c r="AO14" s="12" t="n"/>
      <c r="AP14" s="12" t="n"/>
      <c r="AQ14" s="12" t="n"/>
      <c r="AR14" s="12" t="n"/>
      <c r="AS14" s="16" t="n"/>
      <c r="AT14" s="16" t="n"/>
      <c r="AU14" s="4" t="n"/>
      <c r="AV14" s="124" t="n"/>
      <c r="AX14" s="118" t="n"/>
    </row>
    <row r="15">
      <c r="A15" s="4" t="inlineStr">
        <is>
          <t>DFFD</t>
        </is>
      </c>
      <c r="B15" s="4" t="inlineStr">
        <is>
          <t>OUA</t>
        </is>
      </c>
      <c r="C15" s="4" t="n"/>
      <c r="D15" s="4" t="n"/>
      <c r="E15" s="4" t="inlineStr">
        <is>
          <t>Ouagadougou Thomas Sankara International Airport</t>
        </is>
      </c>
      <c r="F15" s="4" t="n"/>
      <c r="G15" s="4" t="n"/>
      <c r="H15" s="4" t="inlineStr">
        <is>
          <t>Burkina Faso</t>
        </is>
      </c>
      <c r="I15" s="4" t="inlineStr">
        <is>
          <t>Ouagadougou</t>
        </is>
      </c>
      <c r="J15" s="4" t="n"/>
      <c r="K15" s="4" t="n"/>
      <c r="L15" s="4" t="n"/>
      <c r="M15" s="4" t="n"/>
      <c r="N15" s="12" t="n"/>
      <c r="O15" s="125" t="n">
        <v>12.3532</v>
      </c>
      <c r="P15" s="125" t="n">
        <v>-1.51242</v>
      </c>
      <c r="Q15" s="13" t="n"/>
      <c r="R15" s="11" t="n">
        <v>1037</v>
      </c>
      <c r="S15" s="4" t="n"/>
      <c r="T15" s="4" t="inlineStr">
        <is>
          <t>Africa/Ouagadougou</t>
        </is>
      </c>
      <c r="U15" s="126" t="n"/>
      <c r="V15" s="14" t="n"/>
      <c r="W15" s="4" t="n"/>
      <c r="X15" s="4" t="n"/>
      <c r="Y15" s="4" t="n"/>
      <c r="Z15" s="4" t="n"/>
      <c r="AA15" s="4" t="n"/>
      <c r="AB15" s="4" t="n"/>
      <c r="AC15" s="4" t="n"/>
      <c r="AD15" s="4" t="n"/>
      <c r="AE15" s="4" t="n"/>
      <c r="AF15" s="4" t="n"/>
      <c r="AG15" s="4" t="n"/>
      <c r="AH15" s="4" t="n"/>
      <c r="AI15" s="4" t="n"/>
      <c r="AJ15" s="4" t="n"/>
      <c r="AK15" s="4" t="n"/>
      <c r="AL15" s="4" t="n"/>
      <c r="AM15" s="4" t="n"/>
      <c r="AN15" s="4" t="n"/>
      <c r="AO15" s="12" t="n"/>
      <c r="AP15" s="12" t="n"/>
      <c r="AQ15" s="12" t="n"/>
      <c r="AR15" s="12" t="n"/>
      <c r="AS15" s="16" t="n"/>
      <c r="AT15" s="16" t="n"/>
      <c r="AU15" s="4" t="n"/>
      <c r="AV15" s="124" t="n"/>
      <c r="AX15" s="118" t="n"/>
    </row>
    <row r="16">
      <c r="A16" s="4" t="inlineStr">
        <is>
          <t>DFOO</t>
        </is>
      </c>
      <c r="B16" s="4" t="inlineStr">
        <is>
          <t>BOY</t>
        </is>
      </c>
      <c r="C16" s="4" t="n"/>
      <c r="D16" s="4" t="n"/>
      <c r="E16" s="4" t="inlineStr">
        <is>
          <t>Bobo Dioulasso Airport</t>
        </is>
      </c>
      <c r="F16" s="4" t="n"/>
      <c r="G16" s="4" t="n"/>
      <c r="H16" s="4" t="inlineStr">
        <is>
          <t>Burkina Faso</t>
        </is>
      </c>
      <c r="I16" s="4" t="inlineStr">
        <is>
          <t>Bobo Dioulasso</t>
        </is>
      </c>
      <c r="J16" s="4" t="n"/>
      <c r="K16" s="4" t="n"/>
      <c r="L16" s="4" t="n"/>
      <c r="M16" s="4" t="n"/>
      <c r="N16" s="12" t="n"/>
      <c r="O16" s="125" t="n">
        <v>11.1601</v>
      </c>
      <c r="P16" s="125" t="n">
        <v>-4.33097</v>
      </c>
      <c r="Q16" s="13" t="n"/>
      <c r="R16" s="11" t="n">
        <v>1511</v>
      </c>
      <c r="S16" s="4" t="n"/>
      <c r="T16" s="4" t="inlineStr">
        <is>
          <t>Africa/Ouagadougou</t>
        </is>
      </c>
      <c r="U16" s="126" t="n"/>
      <c r="V16" s="14" t="n"/>
      <c r="W16" s="4" t="n"/>
      <c r="X16" s="4" t="n"/>
      <c r="Y16" s="4" t="n"/>
      <c r="Z16" s="4" t="n"/>
      <c r="AA16" s="4" t="n"/>
      <c r="AB16" s="4" t="n"/>
      <c r="AC16" s="4" t="n"/>
      <c r="AD16" s="4" t="n"/>
      <c r="AE16" s="4" t="n"/>
      <c r="AF16" s="4" t="n"/>
      <c r="AG16" s="4" t="n"/>
      <c r="AH16" s="4" t="n"/>
      <c r="AI16" s="4" t="n"/>
      <c r="AJ16" s="4" t="n"/>
      <c r="AK16" s="4" t="n"/>
      <c r="AL16" s="4" t="n"/>
      <c r="AM16" s="4" t="n"/>
      <c r="AN16" s="4" t="n"/>
      <c r="AO16" s="12" t="n"/>
      <c r="AP16" s="12" t="n"/>
      <c r="AQ16" s="12" t="n"/>
      <c r="AR16" s="12" t="n"/>
      <c r="AS16" s="16" t="n"/>
      <c r="AT16" s="16" t="n"/>
      <c r="AU16" s="4" t="n"/>
      <c r="AV16" s="124" t="n"/>
      <c r="AX16" s="118" t="n"/>
    </row>
    <row r="17">
      <c r="A17" s="4" t="inlineStr">
        <is>
          <t>DGAA</t>
        </is>
      </c>
      <c r="B17" s="4" t="inlineStr">
        <is>
          <t>ACC</t>
        </is>
      </c>
      <c r="C17" s="4" t="n"/>
      <c r="D17" s="4" t="n"/>
      <c r="E17" s="4" t="inlineStr">
        <is>
          <t>Kotoka International Airport</t>
        </is>
      </c>
      <c r="F17" s="4" t="n"/>
      <c r="G17" s="4" t="n"/>
      <c r="H17" s="4" t="inlineStr">
        <is>
          <t>Ghana</t>
        </is>
      </c>
      <c r="I17" s="4" t="inlineStr">
        <is>
          <t>Accra</t>
        </is>
      </c>
      <c r="J17" s="4" t="n"/>
      <c r="K17" s="4" t="n"/>
      <c r="L17" s="4" t="n"/>
      <c r="M17" s="4" t="n"/>
      <c r="N17" s="12" t="n"/>
      <c r="O17" s="125" t="n">
        <v>5.60519</v>
      </c>
      <c r="P17" s="125" t="n">
        <v>-0.16679</v>
      </c>
      <c r="Q17" s="13" t="n"/>
      <c r="R17" s="11" t="n">
        <v>205</v>
      </c>
      <c r="S17" s="4" t="n"/>
      <c r="T17" s="4" t="inlineStr">
        <is>
          <t>Africa/Accra</t>
        </is>
      </c>
      <c r="U17" s="126" t="n"/>
      <c r="V17" s="14" t="n"/>
      <c r="W17" s="4" t="n"/>
      <c r="X17" s="4" t="n"/>
      <c r="Y17" s="4" t="n"/>
      <c r="Z17" s="4" t="n"/>
      <c r="AA17" s="4" t="n"/>
      <c r="AB17" s="4" t="n"/>
      <c r="AC17" s="4" t="n"/>
      <c r="AD17" s="4" t="n"/>
      <c r="AE17" s="4" t="n"/>
      <c r="AF17" s="4" t="n"/>
      <c r="AG17" s="4" t="n"/>
      <c r="AH17" s="4" t="n"/>
      <c r="AI17" s="4" t="n"/>
      <c r="AJ17" s="4" t="n"/>
      <c r="AK17" s="4" t="n"/>
      <c r="AL17" s="4" t="n"/>
      <c r="AM17" s="4" t="n"/>
      <c r="AN17" s="4" t="n"/>
      <c r="AO17" s="12" t="n"/>
      <c r="AP17" s="12" t="n"/>
      <c r="AQ17" s="12" t="n"/>
      <c r="AR17" s="12" t="n"/>
      <c r="AS17" s="16" t="n"/>
      <c r="AT17" s="16" t="n"/>
      <c r="AU17" s="4" t="n"/>
      <c r="AV17" s="124" t="n"/>
      <c r="AX17" s="118" t="n"/>
    </row>
    <row r="18">
      <c r="A18" s="4" t="inlineStr">
        <is>
          <t>DGLE</t>
        </is>
      </c>
      <c r="B18" s="4" t="inlineStr">
        <is>
          <t>TML</t>
        </is>
      </c>
      <c r="C18" s="4" t="n"/>
      <c r="D18" s="4" t="n"/>
      <c r="E18" s="4" t="inlineStr">
        <is>
          <t>Yakubu Tali International Airport</t>
        </is>
      </c>
      <c r="F18" s="4" t="n"/>
      <c r="G18" s="4" t="n"/>
      <c r="H18" s="4" t="inlineStr">
        <is>
          <t>Ghana</t>
        </is>
      </c>
      <c r="I18" s="4" t="inlineStr">
        <is>
          <t>Tamale</t>
        </is>
      </c>
      <c r="J18" s="4" t="n"/>
      <c r="K18" s="4" t="n"/>
      <c r="L18" s="4" t="n"/>
      <c r="M18" s="4" t="n"/>
      <c r="N18" s="12" t="n"/>
      <c r="O18" s="125" t="n">
        <v>9.55391</v>
      </c>
      <c r="P18" s="125" t="n">
        <v>-0.8660600000000001</v>
      </c>
      <c r="Q18" s="13" t="n"/>
      <c r="R18" s="11" t="n">
        <v>553</v>
      </c>
      <c r="S18" s="4" t="n"/>
      <c r="T18" s="4" t="inlineStr">
        <is>
          <t>Africa/Accra</t>
        </is>
      </c>
      <c r="U18" s="126" t="n"/>
      <c r="V18" s="14" t="n"/>
      <c r="W18" s="4" t="n"/>
      <c r="X18" s="4" t="n"/>
      <c r="Y18" s="4" t="n"/>
      <c r="Z18" s="4" t="n"/>
      <c r="AA18" s="4" t="n"/>
      <c r="AB18" s="4" t="n"/>
      <c r="AC18" s="4" t="n"/>
      <c r="AD18" s="4" t="n"/>
      <c r="AE18" s="4" t="n"/>
      <c r="AF18" s="4" t="n"/>
      <c r="AG18" s="4" t="n"/>
      <c r="AH18" s="4" t="n"/>
      <c r="AI18" s="4" t="n"/>
      <c r="AJ18" s="4" t="n"/>
      <c r="AK18" s="4" t="n"/>
      <c r="AL18" s="4" t="n"/>
      <c r="AM18" s="4" t="n"/>
      <c r="AN18" s="4" t="n"/>
      <c r="AO18" s="12" t="n"/>
      <c r="AP18" s="12" t="n"/>
      <c r="AQ18" s="12" t="n"/>
      <c r="AR18" s="12" t="n"/>
      <c r="AS18" s="16" t="n"/>
      <c r="AT18" s="16" t="n"/>
      <c r="AU18" s="4" t="n"/>
      <c r="AV18" s="124" t="n"/>
      <c r="AX18" s="118" t="n"/>
    </row>
    <row r="19">
      <c r="A19" s="4" t="inlineStr">
        <is>
          <t>DIAP</t>
        </is>
      </c>
      <c r="B19" s="4" t="inlineStr">
        <is>
          <t>ABJ</t>
        </is>
      </c>
      <c r="C19" s="4" t="n"/>
      <c r="D19" s="4" t="n"/>
      <c r="E19" s="4" t="inlineStr">
        <is>
          <t>Félix-Houphouët-Boigny International Airport</t>
        </is>
      </c>
      <c r="F19" s="4" t="n"/>
      <c r="G19" s="4" t="n"/>
      <c r="H19" s="4" t="inlineStr">
        <is>
          <t>Côte d'Ivoire</t>
        </is>
      </c>
      <c r="I19" s="4" t="inlineStr">
        <is>
          <t>Abidjan</t>
        </is>
      </c>
      <c r="J19" s="4" t="n"/>
      <c r="K19" s="4" t="n"/>
      <c r="L19" s="4" t="n"/>
      <c r="M19" s="4" t="n"/>
      <c r="N19" s="12" t="n"/>
      <c r="O19" s="125" t="n">
        <v>5.26139</v>
      </c>
      <c r="P19" s="125" t="n">
        <v>-3.92629</v>
      </c>
      <c r="Q19" s="13" t="n"/>
      <c r="R19" s="11" t="n">
        <v>21</v>
      </c>
      <c r="S19" s="4" t="n"/>
      <c r="T19" s="4" t="inlineStr">
        <is>
          <t>Africa/Abidjan</t>
        </is>
      </c>
      <c r="U19" s="126" t="n"/>
      <c r="V19" s="14" t="n"/>
      <c r="W19" s="4" t="n"/>
      <c r="X19" s="4" t="n"/>
      <c r="Y19" s="4" t="n"/>
      <c r="Z19" s="4" t="n"/>
      <c r="AA19" s="4" t="n"/>
      <c r="AB19" s="4" t="n"/>
      <c r="AC19" s="4" t="n"/>
      <c r="AD19" s="4" t="n"/>
      <c r="AE19" s="4" t="n"/>
      <c r="AF19" s="4" t="n"/>
      <c r="AG19" s="4" t="n"/>
      <c r="AH19" s="4" t="n"/>
      <c r="AI19" s="4" t="n"/>
      <c r="AJ19" s="4" t="n"/>
      <c r="AK19" s="4" t="n"/>
      <c r="AL19" s="4" t="n"/>
      <c r="AM19" s="4" t="n"/>
      <c r="AN19" s="4" t="n"/>
      <c r="AO19" s="12" t="n"/>
      <c r="AP19" s="12" t="n"/>
      <c r="AQ19" s="12" t="n"/>
      <c r="AR19" s="12" t="n"/>
      <c r="AS19" s="16" t="n"/>
      <c r="AT19" s="16" t="n"/>
      <c r="AU19" s="4" t="n"/>
      <c r="AV19" s="124" t="n"/>
      <c r="AX19" s="118" t="n"/>
    </row>
    <row r="20">
      <c r="A20" s="4" t="inlineStr">
        <is>
          <t>DIYO</t>
        </is>
      </c>
      <c r="B20" s="4" t="inlineStr">
        <is>
          <t>ASK</t>
        </is>
      </c>
      <c r="C20" s="4" t="n"/>
      <c r="D20" s="4" t="n"/>
      <c r="E20" s="4" t="inlineStr">
        <is>
          <t>Yamoussoukro International Airport</t>
        </is>
      </c>
      <c r="F20" s="4" t="n"/>
      <c r="G20" s="4" t="n"/>
      <c r="H20" s="4" t="inlineStr">
        <is>
          <t>Côte d'Ivoire</t>
        </is>
      </c>
      <c r="I20" s="4" t="inlineStr">
        <is>
          <t>Yamoussoukro</t>
        </is>
      </c>
      <c r="J20" s="4" t="n"/>
      <c r="K20" s="4" t="n"/>
      <c r="L20" s="4" t="n"/>
      <c r="M20" s="4" t="n"/>
      <c r="N20" s="12" t="n"/>
      <c r="O20" s="125" t="n">
        <v>6.90317</v>
      </c>
      <c r="P20" s="125" t="n">
        <v>-5.36558</v>
      </c>
      <c r="Q20" s="13" t="n"/>
      <c r="R20" s="11" t="n">
        <v>699</v>
      </c>
      <c r="S20" s="4" t="n"/>
      <c r="T20" s="4" t="inlineStr">
        <is>
          <t>Africa/Abidjan</t>
        </is>
      </c>
      <c r="U20" s="126" t="n"/>
      <c r="V20" s="14" t="n"/>
      <c r="W20" s="4" t="n"/>
      <c r="X20" s="4" t="n"/>
      <c r="Y20" s="4" t="n"/>
      <c r="Z20" s="4" t="n"/>
      <c r="AA20" s="4" t="n"/>
      <c r="AB20" s="4" t="n"/>
      <c r="AC20" s="4" t="n"/>
      <c r="AD20" s="4" t="n"/>
      <c r="AE20" s="4" t="n"/>
      <c r="AF20" s="4" t="n"/>
      <c r="AG20" s="4" t="n"/>
      <c r="AH20" s="4" t="n"/>
      <c r="AI20" s="4" t="n"/>
      <c r="AJ20" s="4" t="n"/>
      <c r="AK20" s="4" t="n"/>
      <c r="AL20" s="4" t="n"/>
      <c r="AM20" s="4" t="n"/>
      <c r="AN20" s="4" t="n"/>
      <c r="AO20" s="12" t="n"/>
      <c r="AP20" s="12" t="n"/>
      <c r="AQ20" s="12" t="n"/>
      <c r="AR20" s="12" t="n"/>
      <c r="AS20" s="16" t="n"/>
      <c r="AT20" s="16" t="n"/>
      <c r="AU20" s="4" t="n"/>
      <c r="AV20" s="124" t="n"/>
      <c r="AX20" s="118" t="n"/>
    </row>
    <row r="21">
      <c r="A21" s="4" t="inlineStr">
        <is>
          <t>DNAA</t>
        </is>
      </c>
      <c r="B21" s="4" t="inlineStr">
        <is>
          <t>ABV</t>
        </is>
      </c>
      <c r="C21" s="4" t="n"/>
      <c r="D21" s="4" t="n"/>
      <c r="E21" s="4" t="inlineStr">
        <is>
          <t>Nnamdi Azikiwe International Airport</t>
        </is>
      </c>
      <c r="F21" s="4" t="n"/>
      <c r="G21" s="4" t="n"/>
      <c r="H21" s="4" t="inlineStr">
        <is>
          <t>Nigeria</t>
        </is>
      </c>
      <c r="I21" s="4" t="inlineStr">
        <is>
          <t>Abuja</t>
        </is>
      </c>
      <c r="J21" s="4" t="n"/>
      <c r="K21" s="4" t="n"/>
      <c r="L21" s="4" t="n"/>
      <c r="M21" s="4" t="n"/>
      <c r="N21" s="12" t="n"/>
      <c r="O21" s="125" t="n">
        <v>9.006790000000001</v>
      </c>
      <c r="P21" s="125" t="n">
        <v>7.26317</v>
      </c>
      <c r="Q21" s="13" t="n"/>
      <c r="R21" s="11" t="n">
        <v>1123</v>
      </c>
      <c r="S21" s="4" t="n"/>
      <c r="T21" s="4" t="inlineStr">
        <is>
          <t>Africa/Lagos</t>
        </is>
      </c>
      <c r="U21" s="126" t="n"/>
      <c r="V21" s="14" t="n"/>
      <c r="W21" s="4" t="n"/>
      <c r="X21" s="4" t="n"/>
      <c r="Y21" s="4" t="n"/>
      <c r="Z21" s="4" t="n"/>
      <c r="AA21" s="4" t="n"/>
      <c r="AB21" s="4" t="n"/>
      <c r="AC21" s="4" t="n"/>
      <c r="AD21" s="4" t="n"/>
      <c r="AE21" s="4" t="n"/>
      <c r="AF21" s="4" t="n"/>
      <c r="AG21" s="4" t="n"/>
      <c r="AH21" s="4" t="n"/>
      <c r="AI21" s="4" t="n"/>
      <c r="AJ21" s="4" t="n"/>
      <c r="AK21" s="4" t="n"/>
      <c r="AL21" s="4" t="n"/>
      <c r="AM21" s="4" t="n"/>
      <c r="AN21" s="4" t="n"/>
      <c r="AO21" s="12" t="n"/>
      <c r="AP21" s="12" t="n"/>
      <c r="AQ21" s="12" t="n"/>
      <c r="AR21" s="12" t="n"/>
      <c r="AS21" s="16" t="n"/>
      <c r="AT21" s="16" t="n"/>
      <c r="AU21" s="4" t="n"/>
      <c r="AV21" s="124" t="n"/>
      <c r="AX21" s="118" t="n"/>
    </row>
    <row r="22">
      <c r="A22" s="4" t="inlineStr">
        <is>
          <t>DNAS</t>
        </is>
      </c>
      <c r="B22" s="4" t="inlineStr">
        <is>
          <t>ABB</t>
        </is>
      </c>
      <c r="C22" s="4" t="n"/>
      <c r="D22" s="4" t="n"/>
      <c r="E22" s="4" t="inlineStr">
        <is>
          <t>Asaba International Airport</t>
        </is>
      </c>
      <c r="F22" s="4" t="n"/>
      <c r="G22" s="4" t="n"/>
      <c r="H22" s="4" t="inlineStr">
        <is>
          <t>Nigeria</t>
        </is>
      </c>
      <c r="I22" s="4" t="inlineStr">
        <is>
          <t>Asaba</t>
        </is>
      </c>
      <c r="J22" s="4" t="n"/>
      <c r="K22" s="4" t="n"/>
      <c r="L22" s="4" t="n"/>
      <c r="M22" s="4" t="n"/>
      <c r="N22" s="12" t="n"/>
      <c r="O22" s="125" t="n">
        <v>6.20417</v>
      </c>
      <c r="P22" s="125" t="n">
        <v>6.66528</v>
      </c>
      <c r="Q22" s="13" t="n"/>
      <c r="R22" s="11" t="n">
        <v>305</v>
      </c>
      <c r="S22" s="4" t="n"/>
      <c r="T22" s="4" t="inlineStr">
        <is>
          <t>Africa/Lagos</t>
        </is>
      </c>
      <c r="U22" s="126" t="n"/>
      <c r="V22" s="14" t="n"/>
      <c r="W22" s="4" t="n"/>
      <c r="X22" s="4" t="n"/>
      <c r="Y22" s="4" t="n"/>
      <c r="Z22" s="4" t="n"/>
      <c r="AA22" s="4" t="n"/>
      <c r="AB22" s="4" t="n"/>
      <c r="AC22" s="4" t="n"/>
      <c r="AD22" s="4" t="n"/>
      <c r="AE22" s="4" t="n"/>
      <c r="AF22" s="4" t="n"/>
      <c r="AG22" s="4" t="n"/>
      <c r="AH22" s="4" t="n"/>
      <c r="AI22" s="4" t="n"/>
      <c r="AJ22" s="4" t="n"/>
      <c r="AK22" s="4" t="n"/>
      <c r="AL22" s="4" t="n"/>
      <c r="AM22" s="4" t="n"/>
      <c r="AN22" s="4" t="n"/>
      <c r="AO22" s="12" t="n"/>
      <c r="AP22" s="12" t="n"/>
      <c r="AQ22" s="12" t="n"/>
      <c r="AR22" s="12" t="n"/>
      <c r="AS22" s="16" t="n"/>
      <c r="AT22" s="16" t="n"/>
      <c r="AU22" s="4" t="n"/>
      <c r="AV22" s="124" t="n"/>
      <c r="AX22" s="118" t="n"/>
    </row>
    <row r="23">
      <c r="A23" s="4" t="inlineStr">
        <is>
          <t>DNMM</t>
        </is>
      </c>
      <c r="B23" s="4" t="inlineStr">
        <is>
          <t>LOS</t>
        </is>
      </c>
      <c r="C23" s="4" t="n"/>
      <c r="D23" s="4" t="n"/>
      <c r="E23" s="4" t="inlineStr">
        <is>
          <t>Murtala Muhammed International Airport</t>
        </is>
      </c>
      <c r="F23" s="4" t="n"/>
      <c r="G23" s="4" t="n"/>
      <c r="H23" s="4" t="inlineStr">
        <is>
          <t>Nigeria</t>
        </is>
      </c>
      <c r="I23" s="4" t="inlineStr">
        <is>
          <t>Lagos</t>
        </is>
      </c>
      <c r="J23" s="4" t="n"/>
      <c r="K23" s="4" t="n"/>
      <c r="L23" s="4" t="n"/>
      <c r="M23" s="4" t="n"/>
      <c r="N23" s="12" t="n"/>
      <c r="O23" s="125" t="n">
        <v>6.57737</v>
      </c>
      <c r="P23" s="125" t="n">
        <v>3.32116</v>
      </c>
      <c r="Q23" s="13" t="n"/>
      <c r="R23" s="11" t="n">
        <v>135</v>
      </c>
      <c r="S23" s="4" t="n"/>
      <c r="T23" s="4" t="inlineStr">
        <is>
          <t>Africa/Lagos</t>
        </is>
      </c>
      <c r="U23" s="126" t="n"/>
      <c r="V23" s="14" t="n"/>
      <c r="W23" s="4" t="n"/>
      <c r="X23" s="4" t="n"/>
      <c r="Y23" s="4" t="n"/>
      <c r="Z23" s="4" t="n"/>
      <c r="AA23" s="4" t="n"/>
      <c r="AB23" s="4" t="n"/>
      <c r="AC23" s="4" t="n"/>
      <c r="AD23" s="4" t="n"/>
      <c r="AE23" s="4" t="n"/>
      <c r="AF23" s="4" t="n"/>
      <c r="AG23" s="4" t="n"/>
      <c r="AH23" s="4" t="n"/>
      <c r="AI23" s="4" t="n"/>
      <c r="AJ23" s="4" t="n"/>
      <c r="AK23" s="4" t="n"/>
      <c r="AL23" s="4" t="n"/>
      <c r="AM23" s="4" t="n"/>
      <c r="AN23" s="4" t="n"/>
      <c r="AO23" s="12" t="n"/>
      <c r="AP23" s="12" t="n"/>
      <c r="AQ23" s="12" t="n"/>
      <c r="AR23" s="12" t="n"/>
      <c r="AS23" s="16" t="n"/>
      <c r="AT23" s="16" t="n"/>
      <c r="AU23" s="4" t="n"/>
      <c r="AV23" s="124" t="n"/>
      <c r="AX23" s="118" t="n"/>
    </row>
    <row r="24">
      <c r="A24" s="4" t="inlineStr">
        <is>
          <t>DRRN</t>
        </is>
      </c>
      <c r="B24" s="4" t="inlineStr">
        <is>
          <t>NIM</t>
        </is>
      </c>
      <c r="C24" s="4" t="n"/>
      <c r="D24" s="4" t="n"/>
      <c r="E24" s="4" t="inlineStr">
        <is>
          <t>Diori Hamani International Airport</t>
        </is>
      </c>
      <c r="F24" s="4" t="n"/>
      <c r="G24" s="4" t="n"/>
      <c r="H24" s="4" t="inlineStr">
        <is>
          <t>Niger</t>
        </is>
      </c>
      <c r="I24" s="4" t="inlineStr">
        <is>
          <t>Niamey</t>
        </is>
      </c>
      <c r="J24" s="4" t="n"/>
      <c r="K24" s="4" t="n"/>
      <c r="L24" s="4" t="n"/>
      <c r="M24" s="4" t="n"/>
      <c r="N24" s="12" t="n"/>
      <c r="O24" s="125" t="n">
        <v>13.4815</v>
      </c>
      <c r="P24" s="125" t="n">
        <v>2.18361</v>
      </c>
      <c r="Q24" s="13" t="n"/>
      <c r="R24" s="11" t="n">
        <v>732</v>
      </c>
      <c r="S24" s="4" t="n"/>
      <c r="T24" s="4" t="inlineStr">
        <is>
          <t>Africa/Niamey</t>
        </is>
      </c>
      <c r="U24" s="126" t="n"/>
      <c r="V24" s="14" t="n"/>
      <c r="W24" s="4" t="n"/>
      <c r="X24" s="4" t="n"/>
      <c r="Y24" s="4" t="n"/>
      <c r="Z24" s="4" t="n"/>
      <c r="AA24" s="4" t="n"/>
      <c r="AB24" s="4" t="n"/>
      <c r="AC24" s="4" t="n"/>
      <c r="AD24" s="4" t="n"/>
      <c r="AE24" s="4" t="n"/>
      <c r="AF24" s="4" t="n"/>
      <c r="AG24" s="4" t="n"/>
      <c r="AH24" s="4" t="n"/>
      <c r="AI24" s="4" t="n"/>
      <c r="AJ24" s="4" t="n"/>
      <c r="AK24" s="4" t="n"/>
      <c r="AL24" s="4" t="n"/>
      <c r="AM24" s="4" t="n"/>
      <c r="AN24" s="4" t="n"/>
      <c r="AO24" s="12" t="n"/>
      <c r="AP24" s="12" t="n"/>
      <c r="AQ24" s="12" t="n"/>
      <c r="AR24" s="12" t="n"/>
      <c r="AS24" s="16" t="n"/>
      <c r="AT24" s="16" t="n"/>
      <c r="AU24" s="4" t="n"/>
      <c r="AV24" s="124" t="n"/>
      <c r="AX24" s="118" t="n"/>
    </row>
    <row r="25">
      <c r="A25" s="4" t="inlineStr">
        <is>
          <t>DTTA</t>
        </is>
      </c>
      <c r="B25" s="4" t="inlineStr">
        <is>
          <t>TUN</t>
        </is>
      </c>
      <c r="C25" s="4" t="n"/>
      <c r="D25" s="4" t="n"/>
      <c r="E25" s="4" t="inlineStr">
        <is>
          <t>Tunis Carthage International Airport</t>
        </is>
      </c>
      <c r="F25" s="4" t="n"/>
      <c r="G25" s="4" t="n"/>
      <c r="H25" s="4" t="inlineStr">
        <is>
          <t>Tunisia</t>
        </is>
      </c>
      <c r="I25" s="4" t="inlineStr">
        <is>
          <t>Tunis</t>
        </is>
      </c>
      <c r="J25" s="4" t="n"/>
      <c r="K25" s="4" t="n"/>
      <c r="L25" s="4" t="n"/>
      <c r="M25" s="4" t="n"/>
      <c r="N25" s="12" t="n"/>
      <c r="O25" s="125" t="n">
        <v>36.851</v>
      </c>
      <c r="P25" s="125" t="n">
        <v>10.2272</v>
      </c>
      <c r="Q25" s="13" t="n"/>
      <c r="R25" s="11" t="n">
        <v>22</v>
      </c>
      <c r="S25" s="4" t="n"/>
      <c r="T25" s="4" t="inlineStr">
        <is>
          <t>Africa/Tunis</t>
        </is>
      </c>
      <c r="U25" s="126" t="n"/>
      <c r="V25" s="14" t="n"/>
      <c r="W25" s="4" t="n"/>
      <c r="X25" s="4" t="n"/>
      <c r="Y25" s="4" t="n"/>
      <c r="Z25" s="4" t="n"/>
      <c r="AA25" s="4" t="n"/>
      <c r="AB25" s="4" t="n"/>
      <c r="AC25" s="4" t="n"/>
      <c r="AD25" s="4" t="n"/>
      <c r="AE25" s="4" t="n"/>
      <c r="AF25" s="4" t="n"/>
      <c r="AG25" s="4" t="n"/>
      <c r="AH25" s="4" t="n"/>
      <c r="AI25" s="4" t="n"/>
      <c r="AJ25" s="4" t="n"/>
      <c r="AK25" s="4" t="n"/>
      <c r="AL25" s="4" t="n"/>
      <c r="AM25" s="4" t="n"/>
      <c r="AN25" s="4" t="n"/>
      <c r="AO25" s="12" t="n"/>
      <c r="AP25" s="12" t="n"/>
      <c r="AQ25" s="12" t="n"/>
      <c r="AR25" s="12" t="n"/>
      <c r="AS25" s="16" t="n"/>
      <c r="AT25" s="16" t="n"/>
      <c r="AU25" s="4" t="n"/>
      <c r="AV25" s="124" t="n"/>
      <c r="AX25" s="118" t="n"/>
    </row>
    <row r="26">
      <c r="A26" s="4" t="inlineStr">
        <is>
          <t>DTTJ</t>
        </is>
      </c>
      <c r="B26" s="4" t="inlineStr">
        <is>
          <t>DJE</t>
        </is>
      </c>
      <c r="C26" s="4" t="n"/>
      <c r="D26" s="4" t="n"/>
      <c r="E26" s="4" t="inlineStr">
        <is>
          <t>Djerba Zarzis International Airport</t>
        </is>
      </c>
      <c r="F26" s="4" t="n"/>
      <c r="G26" s="4" t="n"/>
      <c r="H26" s="4" t="inlineStr">
        <is>
          <t>Tunisia</t>
        </is>
      </c>
      <c r="I26" s="4" t="inlineStr">
        <is>
          <t>Mellita</t>
        </is>
      </c>
      <c r="J26" s="4" t="n"/>
      <c r="K26" s="4" t="n"/>
      <c r="L26" s="4" t="n"/>
      <c r="M26" s="4" t="n"/>
      <c r="N26" s="12" t="n"/>
      <c r="O26" s="125" t="n">
        <v>33.87372</v>
      </c>
      <c r="P26" s="125" t="n">
        <v>10.7773</v>
      </c>
      <c r="Q26" s="13" t="n"/>
      <c r="R26" s="11" t="n">
        <v>19</v>
      </c>
      <c r="S26" s="4" t="n"/>
      <c r="T26" s="4" t="inlineStr">
        <is>
          <t>Africa/Tunis</t>
        </is>
      </c>
      <c r="U26" s="126" t="n"/>
      <c r="V26" s="14" t="n"/>
      <c r="W26" s="4" t="n"/>
      <c r="X26" s="4" t="n"/>
      <c r="Y26" s="4" t="n"/>
      <c r="Z26" s="4" t="n"/>
      <c r="AA26" s="4" t="n"/>
      <c r="AB26" s="4" t="n"/>
      <c r="AC26" s="4" t="n"/>
      <c r="AD26" s="4" t="n"/>
      <c r="AE26" s="4" t="n"/>
      <c r="AF26" s="4" t="n"/>
      <c r="AG26" s="4" t="n"/>
      <c r="AH26" s="4" t="n"/>
      <c r="AI26" s="4" t="n"/>
      <c r="AJ26" s="4" t="n"/>
      <c r="AK26" s="4" t="n"/>
      <c r="AL26" s="4" t="n"/>
      <c r="AM26" s="4" t="n"/>
      <c r="AN26" s="4" t="n"/>
      <c r="AO26" s="12" t="n"/>
      <c r="AP26" s="12" t="n"/>
      <c r="AQ26" s="12" t="n"/>
      <c r="AR26" s="12" t="n"/>
      <c r="AS26" s="16" t="n"/>
      <c r="AT26" s="16" t="n"/>
      <c r="AU26" s="4" t="n"/>
      <c r="AV26" s="124" t="n"/>
      <c r="AX26" s="118" t="n"/>
    </row>
    <row r="27">
      <c r="A27" s="4" t="inlineStr">
        <is>
          <t>DXNG</t>
        </is>
      </c>
      <c r="B27" s="4" t="inlineStr">
        <is>
          <t>LRL</t>
        </is>
      </c>
      <c r="C27" s="4" t="n"/>
      <c r="D27" s="4" t="n"/>
      <c r="E27" s="4" t="inlineStr">
        <is>
          <t>Niamtougou International Airport</t>
        </is>
      </c>
      <c r="F27" s="4" t="n"/>
      <c r="G27" s="4" t="n"/>
      <c r="H27" s="4" t="inlineStr">
        <is>
          <t>Togo</t>
        </is>
      </c>
      <c r="I27" s="4" t="inlineStr">
        <is>
          <t>Niamtougou</t>
        </is>
      </c>
      <c r="J27" s="4" t="n"/>
      <c r="K27" s="4" t="n"/>
      <c r="L27" s="4" t="n"/>
      <c r="M27" s="4" t="n"/>
      <c r="N27" s="12" t="n"/>
      <c r="O27" s="125" t="n">
        <v>9.76667</v>
      </c>
      <c r="P27" s="125" t="n">
        <v>1.09094</v>
      </c>
      <c r="Q27" s="13" t="n"/>
      <c r="R27" s="11" t="n">
        <v>1515</v>
      </c>
      <c r="S27" s="4" t="n"/>
      <c r="T27" s="4" t="inlineStr">
        <is>
          <t>Africa/Lome</t>
        </is>
      </c>
      <c r="U27" s="126" t="n"/>
      <c r="V27" s="14" t="n"/>
      <c r="W27" s="4" t="n"/>
      <c r="X27" s="4" t="n"/>
      <c r="Y27" s="4" t="n"/>
      <c r="Z27" s="4" t="n"/>
      <c r="AA27" s="4" t="n"/>
      <c r="AB27" s="4" t="n"/>
      <c r="AC27" s="4" t="n"/>
      <c r="AD27" s="4" t="n"/>
      <c r="AE27" s="4" t="n"/>
      <c r="AF27" s="4" t="n"/>
      <c r="AG27" s="4" t="n"/>
      <c r="AH27" s="4" t="n"/>
      <c r="AI27" s="4" t="n"/>
      <c r="AJ27" s="4" t="n"/>
      <c r="AK27" s="4" t="n"/>
      <c r="AL27" s="4" t="n"/>
      <c r="AM27" s="4" t="n"/>
      <c r="AN27" s="4" t="n"/>
      <c r="AO27" s="12" t="n"/>
      <c r="AP27" s="12" t="n"/>
      <c r="AQ27" s="12" t="n"/>
      <c r="AR27" s="12" t="n"/>
      <c r="AS27" s="16" t="n"/>
      <c r="AT27" s="16" t="n"/>
      <c r="AU27" s="4" t="n"/>
      <c r="AV27" s="124" t="n"/>
      <c r="AX27" s="118" t="n"/>
    </row>
    <row r="28">
      <c r="A28" s="4" t="inlineStr">
        <is>
          <t>DXXX</t>
        </is>
      </c>
      <c r="B28" s="4" t="inlineStr">
        <is>
          <t>LFW</t>
        </is>
      </c>
      <c r="C28" s="4" t="n"/>
      <c r="D28" s="4" t="n"/>
      <c r="E28" s="4" t="inlineStr">
        <is>
          <t>Lomé–Tokoin International Airport</t>
        </is>
      </c>
      <c r="F28" s="4" t="n"/>
      <c r="G28" s="4" t="n"/>
      <c r="H28" s="4" t="inlineStr">
        <is>
          <t>Togo</t>
        </is>
      </c>
      <c r="I28" s="4" t="inlineStr">
        <is>
          <t>Lomé</t>
        </is>
      </c>
      <c r="J28" s="4" t="n"/>
      <c r="K28" s="4" t="n"/>
      <c r="L28" s="4" t="n"/>
      <c r="M28" s="4" t="n"/>
      <c r="N28" s="12" t="n"/>
      <c r="O28" s="125" t="n">
        <v>6.16561</v>
      </c>
      <c r="P28" s="125" t="n">
        <v>1.25451</v>
      </c>
      <c r="Q28" s="13" t="n"/>
      <c r="R28" s="11" t="n">
        <v>72</v>
      </c>
      <c r="S28" s="4" t="n"/>
      <c r="T28" s="4" t="inlineStr">
        <is>
          <t>Africa/Lome</t>
        </is>
      </c>
      <c r="U28" s="126" t="n"/>
      <c r="V28" s="14" t="n"/>
      <c r="W28" s="4" t="n"/>
      <c r="X28" s="4" t="n"/>
      <c r="Y28" s="4" t="n"/>
      <c r="Z28" s="4" t="n"/>
      <c r="AA28" s="4" t="n"/>
      <c r="AB28" s="4" t="n"/>
      <c r="AC28" s="4" t="n"/>
      <c r="AD28" s="4" t="n"/>
      <c r="AE28" s="4" t="n"/>
      <c r="AF28" s="4" t="n"/>
      <c r="AG28" s="4" t="n"/>
      <c r="AH28" s="4" t="n"/>
      <c r="AI28" s="4" t="n"/>
      <c r="AJ28" s="4" t="n"/>
      <c r="AK28" s="4" t="n"/>
      <c r="AL28" s="4" t="n"/>
      <c r="AM28" s="4" t="n"/>
      <c r="AN28" s="4" t="n"/>
      <c r="AO28" s="12" t="n"/>
      <c r="AP28" s="12" t="n"/>
      <c r="AQ28" s="12" t="n"/>
      <c r="AR28" s="12" t="n"/>
      <c r="AS28" s="16" t="n"/>
      <c r="AT28" s="16" t="n"/>
      <c r="AU28" s="4" t="n"/>
      <c r="AV28" s="124" t="n"/>
      <c r="AX28" s="118" t="n"/>
    </row>
    <row r="29">
      <c r="A29" s="4" t="inlineStr">
        <is>
          <t>EBBR</t>
        </is>
      </c>
      <c r="B29" s="4" t="inlineStr">
        <is>
          <t>BRU</t>
        </is>
      </c>
      <c r="C29" s="4" t="n"/>
      <c r="D29" s="4" t="n"/>
      <c r="E29" s="4" t="inlineStr">
        <is>
          <t>Brussels Airport</t>
        </is>
      </c>
      <c r="F29" s="4" t="n"/>
      <c r="G29" s="4" t="n"/>
      <c r="H29" s="4" t="inlineStr">
        <is>
          <t>Belgium</t>
        </is>
      </c>
      <c r="I29" s="4" t="inlineStr">
        <is>
          <t>Zaventem</t>
        </is>
      </c>
      <c r="J29" s="4" t="n"/>
      <c r="K29" s="4" t="n"/>
      <c r="L29" s="4" t="n"/>
      <c r="M29" s="4" t="n"/>
      <c r="N29" s="12" t="n"/>
      <c r="O29" s="125" t="n">
        <v>50.9014</v>
      </c>
      <c r="P29" s="125" t="n">
        <v>4.48444</v>
      </c>
      <c r="Q29" s="13" t="n"/>
      <c r="R29" s="11" t="n">
        <v>175</v>
      </c>
      <c r="S29" s="4" t="n"/>
      <c r="T29" s="4" t="inlineStr">
        <is>
          <t>Europe/Brussels</t>
        </is>
      </c>
      <c r="U29" s="126" t="n"/>
      <c r="V29" s="14" t="n"/>
      <c r="W29" s="4" t="n"/>
      <c r="X29" s="4" t="n"/>
      <c r="Y29" s="4" t="n"/>
      <c r="Z29" s="4" t="n"/>
      <c r="AA29" s="4" t="n"/>
      <c r="AB29" s="4" t="n"/>
      <c r="AC29" s="4" t="n"/>
      <c r="AD29" s="4" t="n"/>
      <c r="AE29" s="4" t="n"/>
      <c r="AF29" s="4" t="n"/>
      <c r="AG29" s="4" t="n"/>
      <c r="AH29" s="4" t="n"/>
      <c r="AI29" s="4" t="n"/>
      <c r="AJ29" s="4" t="n"/>
      <c r="AK29" s="4" t="n"/>
      <c r="AL29" s="4" t="n"/>
      <c r="AM29" s="4" t="n"/>
      <c r="AN29" s="4" t="n"/>
      <c r="AO29" s="12" t="n"/>
      <c r="AP29" s="12" t="n"/>
      <c r="AQ29" s="12" t="n"/>
      <c r="AR29" s="12" t="n"/>
      <c r="AS29" s="16" t="n"/>
      <c r="AT29" s="16" t="n"/>
      <c r="AU29" s="4" t="n"/>
      <c r="AV29" s="124" t="n"/>
      <c r="AX29" s="118" t="n"/>
    </row>
    <row r="30">
      <c r="A30" s="4" t="inlineStr">
        <is>
          <t>EBCI</t>
        </is>
      </c>
      <c r="B30" s="4" t="inlineStr">
        <is>
          <t>CRL</t>
        </is>
      </c>
      <c r="C30" s="4" t="n"/>
      <c r="D30" s="4" t="n"/>
      <c r="E30" s="4" t="inlineStr">
        <is>
          <t>Brussels South Charleroi Airport</t>
        </is>
      </c>
      <c r="F30" s="4" t="n"/>
      <c r="G30" s="4" t="n"/>
      <c r="H30" s="4" t="inlineStr">
        <is>
          <t>Belgium</t>
        </is>
      </c>
      <c r="I30" s="4" t="inlineStr">
        <is>
          <t>Charleroi</t>
        </is>
      </c>
      <c r="J30" s="4" t="n"/>
      <c r="K30" s="4" t="n"/>
      <c r="L30" s="4" t="n"/>
      <c r="M30" s="4" t="n"/>
      <c r="N30" s="12" t="n"/>
      <c r="O30" s="125" t="n">
        <v>50.46196</v>
      </c>
      <c r="P30" s="125" t="n">
        <v>4.45956</v>
      </c>
      <c r="Q30" s="13" t="n"/>
      <c r="R30" s="11" t="n">
        <v>614</v>
      </c>
      <c r="S30" s="4" t="n"/>
      <c r="T30" s="4" t="inlineStr">
        <is>
          <t>Europe/Brussels</t>
        </is>
      </c>
      <c r="U30" s="126" t="n"/>
      <c r="V30" s="14" t="n"/>
      <c r="W30" s="4" t="n"/>
      <c r="X30" s="4" t="n"/>
      <c r="Y30" s="4" t="n"/>
      <c r="Z30" s="4" t="n"/>
      <c r="AA30" s="4" t="n"/>
      <c r="AB30" s="4" t="n"/>
      <c r="AC30" s="4" t="n"/>
      <c r="AD30" s="4" t="n"/>
      <c r="AE30" s="4" t="n"/>
      <c r="AF30" s="4" t="n"/>
      <c r="AG30" s="4" t="n"/>
      <c r="AH30" s="4" t="n"/>
      <c r="AI30" s="4" t="n"/>
      <c r="AJ30" s="4" t="n"/>
      <c r="AK30" s="4" t="n"/>
      <c r="AL30" s="4" t="n"/>
      <c r="AM30" s="4" t="n"/>
      <c r="AN30" s="4" t="n"/>
      <c r="AO30" s="12" t="n"/>
      <c r="AP30" s="12" t="n"/>
      <c r="AQ30" s="12" t="n"/>
      <c r="AR30" s="12" t="n"/>
      <c r="AS30" s="16" t="n"/>
      <c r="AT30" s="16" t="n"/>
      <c r="AU30" s="4" t="n"/>
      <c r="AV30" s="124" t="n"/>
      <c r="AX30" s="118" t="n"/>
    </row>
    <row r="31">
      <c r="A31" s="4" t="inlineStr">
        <is>
          <t>EDDB</t>
        </is>
      </c>
      <c r="B31" s="4" t="inlineStr">
        <is>
          <t>BER</t>
        </is>
      </c>
      <c r="C31" s="4" t="n"/>
      <c r="D31" s="4" t="n"/>
      <c r="E31" s="4" t="inlineStr">
        <is>
          <t>Berlin Brandenburg Airport</t>
        </is>
      </c>
      <c r="F31" s="4" t="n"/>
      <c r="G31" s="4" t="n"/>
      <c r="H31" s="4" t="inlineStr">
        <is>
          <t>Germany</t>
        </is>
      </c>
      <c r="I31" s="4" t="inlineStr">
        <is>
          <t>Berlin</t>
        </is>
      </c>
      <c r="J31" s="4" t="n"/>
      <c r="K31" s="4" t="n"/>
      <c r="L31" s="4" t="n"/>
      <c r="M31" s="4" t="n"/>
      <c r="N31" s="12" t="n"/>
      <c r="O31" s="125" t="n">
        <v>52.36174</v>
      </c>
      <c r="P31" s="125" t="n">
        <v>13.50234</v>
      </c>
      <c r="Q31" s="13" t="n"/>
      <c r="R31" s="11" t="n">
        <v>157</v>
      </c>
      <c r="S31" s="4" t="n"/>
      <c r="T31" s="4" t="inlineStr">
        <is>
          <t>Europe/Berlin</t>
        </is>
      </c>
      <c r="U31" s="126" t="n"/>
      <c r="V31" s="14" t="n"/>
      <c r="W31" s="4" t="n"/>
      <c r="X31" s="4" t="n"/>
      <c r="Y31" s="4" t="n"/>
      <c r="Z31" s="4" t="n"/>
      <c r="AA31" s="4" t="n"/>
      <c r="AB31" s="4" t="n"/>
      <c r="AC31" s="4" t="n"/>
      <c r="AD31" s="4" t="n"/>
      <c r="AE31" s="4" t="n"/>
      <c r="AF31" s="4" t="n"/>
      <c r="AG31" s="4" t="n"/>
      <c r="AH31" s="4" t="n"/>
      <c r="AI31" s="4" t="n"/>
      <c r="AJ31" s="4" t="n"/>
      <c r="AK31" s="4" t="n"/>
      <c r="AL31" s="4" t="n"/>
      <c r="AM31" s="4" t="n"/>
      <c r="AN31" s="4" t="n"/>
      <c r="AO31" s="12" t="n"/>
      <c r="AP31" s="12" t="n"/>
      <c r="AQ31" s="12" t="n"/>
      <c r="AR31" s="12" t="n"/>
      <c r="AS31" s="16" t="n"/>
      <c r="AT31" s="16" t="n"/>
      <c r="AU31" s="4" t="n"/>
      <c r="AV31" s="124" t="n"/>
      <c r="AX31" s="118" t="n"/>
    </row>
    <row r="32">
      <c r="A32" s="4" t="inlineStr">
        <is>
          <t>EDDC</t>
        </is>
      </c>
      <c r="B32" s="4" t="inlineStr">
        <is>
          <t>DRS</t>
        </is>
      </c>
      <c r="C32" s="4" t="n"/>
      <c r="D32" s="4" t="n"/>
      <c r="E32" s="4" t="inlineStr">
        <is>
          <t>Dresden Airport</t>
        </is>
      </c>
      <c r="F32" s="4" t="n"/>
      <c r="G32" s="4" t="n"/>
      <c r="H32" s="4" t="inlineStr">
        <is>
          <t>Germany</t>
        </is>
      </c>
      <c r="I32" s="4" t="inlineStr">
        <is>
          <t>Dresden</t>
        </is>
      </c>
      <c r="J32" s="4" t="n"/>
      <c r="K32" s="4" t="n"/>
      <c r="L32" s="4" t="n"/>
      <c r="M32" s="4" t="n"/>
      <c r="N32" s="12" t="n"/>
      <c r="O32" s="125" t="n">
        <v>51.13412</v>
      </c>
      <c r="P32" s="125" t="n">
        <v>13.76783</v>
      </c>
      <c r="Q32" s="13" t="n"/>
      <c r="R32" s="11" t="n">
        <v>755</v>
      </c>
      <c r="S32" s="4" t="n"/>
      <c r="T32" s="4" t="inlineStr">
        <is>
          <t>Europe/Berlin</t>
        </is>
      </c>
      <c r="U32" s="126" t="n"/>
      <c r="V32" s="14" t="n"/>
      <c r="W32" s="4" t="n"/>
      <c r="X32" s="4" t="n"/>
      <c r="Y32" s="4" t="n"/>
      <c r="Z32" s="4" t="n"/>
      <c r="AA32" s="4" t="n"/>
      <c r="AB32" s="4" t="n"/>
      <c r="AC32" s="4" t="n"/>
      <c r="AD32" s="4" t="n"/>
      <c r="AE32" s="4" t="n"/>
      <c r="AF32" s="4" t="n"/>
      <c r="AG32" s="4" t="n"/>
      <c r="AH32" s="4" t="n"/>
      <c r="AI32" s="4" t="n"/>
      <c r="AJ32" s="4" t="n"/>
      <c r="AK32" s="4" t="n"/>
      <c r="AL32" s="4" t="n"/>
      <c r="AM32" s="4" t="n"/>
      <c r="AN32" s="4" t="n"/>
      <c r="AO32" s="12" t="n"/>
      <c r="AP32" s="12" t="n"/>
      <c r="AQ32" s="12" t="n"/>
      <c r="AR32" s="12" t="n"/>
      <c r="AS32" s="16" t="n"/>
      <c r="AT32" s="16" t="n"/>
      <c r="AU32" s="4" t="n"/>
      <c r="AV32" s="124" t="n"/>
      <c r="AX32" s="118" t="n"/>
    </row>
    <row r="33">
      <c r="A33" s="4" t="inlineStr">
        <is>
          <t>EETN</t>
        </is>
      </c>
      <c r="B33" s="4" t="inlineStr">
        <is>
          <t>TLL</t>
        </is>
      </c>
      <c r="C33" s="4" t="n"/>
      <c r="D33" s="4" t="n"/>
      <c r="E33" s="4" t="inlineStr">
        <is>
          <t>Lennart Meri Tallinn Airport</t>
        </is>
      </c>
      <c r="F33" s="4" t="n"/>
      <c r="G33" s="4" t="n"/>
      <c r="H33" s="4" t="inlineStr">
        <is>
          <t>Estonia</t>
        </is>
      </c>
      <c r="I33" s="4" t="inlineStr">
        <is>
          <t>Tallinn</t>
        </is>
      </c>
      <c r="J33" s="4" t="n"/>
      <c r="K33" s="4" t="n"/>
      <c r="L33" s="4" t="n"/>
      <c r="M33" s="4" t="n"/>
      <c r="N33" s="12" t="n"/>
      <c r="O33" s="125" t="n">
        <v>59.41325</v>
      </c>
      <c r="P33" s="125" t="n">
        <v>24.83264</v>
      </c>
      <c r="Q33" s="13" t="n"/>
      <c r="R33" s="11" t="n">
        <v>131</v>
      </c>
      <c r="S33" s="4" t="n"/>
      <c r="T33" s="4" t="inlineStr">
        <is>
          <t>Europe/Tallinn</t>
        </is>
      </c>
      <c r="U33" s="126" t="n"/>
      <c r="V33" s="14" t="n"/>
      <c r="W33" s="4" t="n"/>
      <c r="X33" s="4" t="n"/>
      <c r="Y33" s="4" t="n"/>
      <c r="Z33" s="4" t="n"/>
      <c r="AA33" s="4" t="n"/>
      <c r="AB33" s="4" t="n"/>
      <c r="AC33" s="4" t="n"/>
      <c r="AD33" s="4" t="n"/>
      <c r="AE33" s="4" t="n"/>
      <c r="AF33" s="4" t="n"/>
      <c r="AG33" s="4" t="n"/>
      <c r="AH33" s="4" t="n"/>
      <c r="AI33" s="4" t="n"/>
      <c r="AJ33" s="4" t="n"/>
      <c r="AK33" s="4" t="n"/>
      <c r="AL33" s="4" t="n"/>
      <c r="AM33" s="4" t="n"/>
      <c r="AN33" s="4" t="n"/>
      <c r="AO33" s="12" t="n"/>
      <c r="AP33" s="12" t="n"/>
      <c r="AQ33" s="12" t="n"/>
      <c r="AR33" s="12" t="n"/>
      <c r="AS33" s="16" t="n"/>
      <c r="AT33" s="16" t="n"/>
      <c r="AU33" s="4" t="n"/>
      <c r="AV33" s="124" t="n"/>
      <c r="AX33" s="118" t="n"/>
    </row>
    <row r="34">
      <c r="A34" s="4" t="inlineStr">
        <is>
          <t>EFHK</t>
        </is>
      </c>
      <c r="B34" s="4" t="inlineStr">
        <is>
          <t>HEL</t>
        </is>
      </c>
      <c r="C34" s="4" t="n"/>
      <c r="D34" s="4" t="n"/>
      <c r="E34" s="4" t="inlineStr">
        <is>
          <t>Helsinki Vantaa Airport</t>
        </is>
      </c>
      <c r="F34" s="4" t="n"/>
      <c r="G34" s="4" t="n"/>
      <c r="H34" s="4" t="inlineStr">
        <is>
          <t>Finland</t>
        </is>
      </c>
      <c r="I34" s="4" t="inlineStr">
        <is>
          <t>Helsinki</t>
        </is>
      </c>
      <c r="J34" s="4" t="n"/>
      <c r="K34" s="4" t="n"/>
      <c r="L34" s="4" t="n"/>
      <c r="M34" s="4" t="n"/>
      <c r="N34" s="12" t="n"/>
      <c r="O34" s="125" t="n">
        <v>60.31836</v>
      </c>
      <c r="P34" s="125" t="n">
        <v>24.96334</v>
      </c>
      <c r="Q34" s="13" t="n"/>
      <c r="R34" s="11" t="n">
        <v>179</v>
      </c>
      <c r="S34" s="4" t="n"/>
      <c r="T34" s="4" t="inlineStr">
        <is>
          <t>Europe/Helsinki</t>
        </is>
      </c>
      <c r="U34" s="126" t="n"/>
      <c r="V34" s="14" t="n"/>
      <c r="W34" s="4" t="n"/>
      <c r="X34" s="4" t="n"/>
      <c r="Y34" s="4" t="n"/>
      <c r="Z34" s="4" t="n"/>
      <c r="AA34" s="4" t="n"/>
      <c r="AB34" s="4" t="n"/>
      <c r="AC34" s="4" t="n"/>
      <c r="AD34" s="4" t="n"/>
      <c r="AE34" s="4" t="n"/>
      <c r="AF34" s="4" t="n"/>
      <c r="AG34" s="4" t="n"/>
      <c r="AH34" s="4" t="n"/>
      <c r="AI34" s="4" t="n"/>
      <c r="AJ34" s="4" t="n"/>
      <c r="AK34" s="4" t="n"/>
      <c r="AL34" s="4" t="n"/>
      <c r="AM34" s="4" t="n"/>
      <c r="AN34" s="4" t="n"/>
      <c r="AO34" s="12" t="n"/>
      <c r="AP34" s="12" t="n"/>
      <c r="AQ34" s="12" t="n"/>
      <c r="AR34" s="12" t="n"/>
      <c r="AS34" s="16" t="n"/>
      <c r="AT34" s="16" t="n"/>
      <c r="AU34" s="4" t="n"/>
      <c r="AV34" s="124" t="n"/>
      <c r="AX34" s="118" t="n"/>
    </row>
    <row r="35">
      <c r="A35" s="4" t="inlineStr">
        <is>
          <t>EFIV</t>
        </is>
      </c>
      <c r="B35" s="4" t="inlineStr">
        <is>
          <t>IVL</t>
        </is>
      </c>
      <c r="C35" s="4" t="n"/>
      <c r="D35" s="4" t="n"/>
      <c r="E35" s="4" t="inlineStr">
        <is>
          <t>Ivalo Airport</t>
        </is>
      </c>
      <c r="F35" s="4" t="n"/>
      <c r="G35" s="4" t="n"/>
      <c r="H35" s="4" t="inlineStr">
        <is>
          <t>Finland</t>
        </is>
      </c>
      <c r="I35" s="4" t="inlineStr">
        <is>
          <t>Ivalo</t>
        </is>
      </c>
      <c r="J35" s="4" t="n"/>
      <c r="K35" s="4" t="n"/>
      <c r="L35" s="4" t="n"/>
      <c r="M35" s="4" t="n"/>
      <c r="N35" s="12" t="n"/>
      <c r="O35" s="125" t="n">
        <v>68.6073</v>
      </c>
      <c r="P35" s="125" t="n">
        <v>27.4053</v>
      </c>
      <c r="Q35" s="13" t="n"/>
      <c r="R35" s="11" t="n">
        <v>481</v>
      </c>
      <c r="S35" s="4" t="n"/>
      <c r="T35" s="4" t="inlineStr">
        <is>
          <t>Europe/Helsinki</t>
        </is>
      </c>
      <c r="U35" s="126" t="n"/>
      <c r="V35" s="14" t="n"/>
      <c r="W35" s="4" t="n"/>
      <c r="X35" s="4" t="n"/>
      <c r="Y35" s="4" t="n"/>
      <c r="Z35" s="4" t="n"/>
      <c r="AA35" s="4" t="n"/>
      <c r="AB35" s="4" t="n"/>
      <c r="AC35" s="4" t="n"/>
      <c r="AD35" s="4" t="n"/>
      <c r="AE35" s="4" t="n"/>
      <c r="AF35" s="4" t="n"/>
      <c r="AG35" s="4" t="n"/>
      <c r="AH35" s="4" t="n"/>
      <c r="AI35" s="4" t="n"/>
      <c r="AJ35" s="4" t="n"/>
      <c r="AK35" s="4" t="n"/>
      <c r="AL35" s="4" t="n"/>
      <c r="AM35" s="4" t="n"/>
      <c r="AN35" s="4" t="n"/>
      <c r="AO35" s="12" t="n"/>
      <c r="AP35" s="12" t="n"/>
      <c r="AQ35" s="12" t="n"/>
      <c r="AR35" s="12" t="n"/>
      <c r="AS35" s="16" t="n"/>
      <c r="AT35" s="16" t="n"/>
      <c r="AU35" s="4" t="n"/>
      <c r="AV35" s="124" t="n"/>
      <c r="AX35" s="118" t="n"/>
    </row>
    <row r="36">
      <c r="A36" s="4" t="inlineStr">
        <is>
          <t>EGAA</t>
        </is>
      </c>
      <c r="B36" s="4" t="inlineStr">
        <is>
          <t>BFS</t>
        </is>
      </c>
      <c r="C36" s="4" t="n"/>
      <c r="D36" s="4" t="n"/>
      <c r="E36" s="4" t="inlineStr">
        <is>
          <t>Belfast International Airport</t>
        </is>
      </c>
      <c r="F36" s="4" t="n"/>
      <c r="G36" s="4" t="n"/>
      <c r="H36" s="4" t="inlineStr">
        <is>
          <t>United Kingdom</t>
        </is>
      </c>
      <c r="I36" s="4" t="inlineStr">
        <is>
          <t>Belfast</t>
        </is>
      </c>
      <c r="J36" s="4" t="n"/>
      <c r="K36" s="4" t="n"/>
      <c r="L36" s="4" t="n"/>
      <c r="M36" s="4" t="n"/>
      <c r="N36" s="12" t="n"/>
      <c r="O36" s="125" t="n">
        <v>54.6575</v>
      </c>
      <c r="P36" s="125" t="n">
        <v>-6.21583</v>
      </c>
      <c r="Q36" s="13" t="n"/>
      <c r="R36" s="11" t="n">
        <v>268</v>
      </c>
      <c r="S36" s="4" t="n"/>
      <c r="T36" s="4" t="inlineStr">
        <is>
          <t>Europe/London</t>
        </is>
      </c>
      <c r="U36" s="126" t="n"/>
      <c r="V36" s="14" t="n"/>
      <c r="W36" s="4" t="n"/>
      <c r="X36" s="4" t="n"/>
      <c r="Y36" s="4" t="n"/>
      <c r="Z36" s="4" t="n"/>
      <c r="AA36" s="4" t="n"/>
      <c r="AB36" s="4" t="n"/>
      <c r="AC36" s="4" t="n"/>
      <c r="AD36" s="4" t="n"/>
      <c r="AE36" s="4" t="n"/>
      <c r="AF36" s="4" t="n"/>
      <c r="AG36" s="4" t="n"/>
      <c r="AH36" s="4" t="n"/>
      <c r="AI36" s="4" t="n"/>
      <c r="AJ36" s="4" t="n"/>
      <c r="AK36" s="4" t="n"/>
      <c r="AL36" s="4" t="n"/>
      <c r="AM36" s="4" t="n"/>
      <c r="AN36" s="4" t="n"/>
      <c r="AO36" s="12" t="n"/>
      <c r="AP36" s="12" t="n"/>
      <c r="AQ36" s="12" t="n"/>
      <c r="AR36" s="12" t="n"/>
      <c r="AS36" s="16" t="n"/>
      <c r="AT36" s="16" t="n"/>
      <c r="AU36" s="4" t="n"/>
      <c r="AV36" s="124" t="n"/>
      <c r="AX36" s="118" t="n"/>
    </row>
    <row r="37">
      <c r="A37" s="4" t="inlineStr">
        <is>
          <t>EGBB</t>
        </is>
      </c>
      <c r="B37" s="4" t="inlineStr">
        <is>
          <t>BHX</t>
        </is>
      </c>
      <c r="C37" s="4" t="n"/>
      <c r="D37" s="4" t="n"/>
      <c r="E37" s="4" t="inlineStr">
        <is>
          <t>Birmingham Airport</t>
        </is>
      </c>
      <c r="F37" s="4" t="n"/>
      <c r="G37" s="4" t="n"/>
      <c r="H37" s="4" t="inlineStr">
        <is>
          <t>United Kingdom</t>
        </is>
      </c>
      <c r="I37" s="4" t="inlineStr">
        <is>
          <t>Birmingham</t>
        </is>
      </c>
      <c r="J37" s="4" t="n"/>
      <c r="K37" s="4" t="n"/>
      <c r="L37" s="4" t="n"/>
      <c r="M37" s="4" t="n"/>
      <c r="N37" s="12" t="n"/>
      <c r="O37" s="125" t="n">
        <v>52.4539</v>
      </c>
      <c r="P37" s="125" t="n">
        <v>-1.74803</v>
      </c>
      <c r="Q37" s="13" t="n"/>
      <c r="R37" s="11" t="n">
        <v>327</v>
      </c>
      <c r="S37" s="4" t="n"/>
      <c r="T37" s="4" t="inlineStr">
        <is>
          <t>Europe/London</t>
        </is>
      </c>
      <c r="U37" s="126" t="n"/>
      <c r="V37" s="14" t="n"/>
      <c r="W37" s="4" t="n"/>
      <c r="X37" s="4" t="n"/>
      <c r="Y37" s="4" t="n"/>
      <c r="Z37" s="4" t="n"/>
      <c r="AA37" s="4" t="n"/>
      <c r="AB37" s="4" t="n"/>
      <c r="AC37" s="4" t="n"/>
      <c r="AD37" s="4" t="n"/>
      <c r="AE37" s="4" t="n"/>
      <c r="AF37" s="4" t="n"/>
      <c r="AG37" s="4" t="n"/>
      <c r="AH37" s="4" t="n"/>
      <c r="AI37" s="4" t="n"/>
      <c r="AJ37" s="4" t="n"/>
      <c r="AK37" s="4" t="n"/>
      <c r="AL37" s="4" t="n"/>
      <c r="AM37" s="4" t="n"/>
      <c r="AN37" s="4" t="n"/>
      <c r="AO37" s="12" t="n"/>
      <c r="AP37" s="12" t="n"/>
      <c r="AQ37" s="12" t="n"/>
      <c r="AR37" s="12" t="n"/>
      <c r="AS37" s="16" t="n"/>
      <c r="AT37" s="16" t="n"/>
      <c r="AU37" s="4" t="n"/>
      <c r="AV37" s="124" t="n"/>
      <c r="AX37" s="118" t="n"/>
    </row>
    <row r="38">
      <c r="A38" s="4" t="inlineStr">
        <is>
          <t>EGGW</t>
        </is>
      </c>
      <c r="B38" s="4" t="inlineStr">
        <is>
          <t>LTN</t>
        </is>
      </c>
      <c r="C38" s="4" t="n"/>
      <c r="D38" s="4" t="n"/>
      <c r="E38" s="4" t="inlineStr">
        <is>
          <t>London Luton Airport</t>
        </is>
      </c>
      <c r="F38" s="4" t="n"/>
      <c r="G38" s="4" t="n"/>
      <c r="H38" s="4" t="inlineStr">
        <is>
          <t>United Kingdom</t>
        </is>
      </c>
      <c r="I38" s="4" t="inlineStr">
        <is>
          <t>Luton</t>
        </is>
      </c>
      <c r="J38" s="4" t="n"/>
      <c r="K38" s="4" t="n"/>
      <c r="L38" s="4" t="n"/>
      <c r="M38" s="4" t="n"/>
      <c r="N38" s="12" t="n"/>
      <c r="O38" s="125" t="n">
        <v>51.8747</v>
      </c>
      <c r="P38" s="125" t="n">
        <v>-0.36833</v>
      </c>
      <c r="Q38" s="13" t="n"/>
      <c r="R38" s="11" t="n">
        <v>526</v>
      </c>
      <c r="S38" s="4" t="n"/>
      <c r="T38" s="4" t="inlineStr">
        <is>
          <t>Europe/London</t>
        </is>
      </c>
      <c r="U38" s="126" t="n"/>
      <c r="V38" s="14" t="n"/>
      <c r="W38" s="4" t="n"/>
      <c r="X38" s="4" t="n"/>
      <c r="Y38" s="4" t="n"/>
      <c r="Z38" s="4" t="n"/>
      <c r="AA38" s="4" t="n"/>
      <c r="AB38" s="4" t="n"/>
      <c r="AC38" s="4" t="n"/>
      <c r="AD38" s="4" t="n"/>
      <c r="AE38" s="4" t="n"/>
      <c r="AF38" s="4" t="n"/>
      <c r="AG38" s="4" t="n"/>
      <c r="AH38" s="4" t="n"/>
      <c r="AI38" s="4" t="n"/>
      <c r="AJ38" s="4" t="n"/>
      <c r="AK38" s="4" t="n"/>
      <c r="AL38" s="4" t="n"/>
      <c r="AM38" s="4" t="n"/>
      <c r="AN38" s="4" t="n"/>
      <c r="AO38" s="12" t="n"/>
      <c r="AP38" s="12" t="n"/>
      <c r="AQ38" s="12" t="n"/>
      <c r="AR38" s="12" t="n"/>
      <c r="AS38" s="16" t="n"/>
      <c r="AT38" s="16" t="n"/>
      <c r="AU38" s="4" t="n"/>
      <c r="AV38" s="124" t="n"/>
      <c r="AX38" s="118" t="n"/>
    </row>
    <row r="39">
      <c r="A39" s="4" t="inlineStr">
        <is>
          <t>EGLF</t>
        </is>
      </c>
      <c r="B39" s="4" t="inlineStr">
        <is>
          <t>FAB</t>
        </is>
      </c>
      <c r="C39" s="4" t="n"/>
      <c r="D39" s="4" t="n"/>
      <c r="E39" s="4" t="inlineStr">
        <is>
          <t>Farnborough Airport</t>
        </is>
      </c>
      <c r="F39" s="4" t="n"/>
      <c r="G39" s="4" t="n"/>
      <c r="H39" s="4" t="inlineStr">
        <is>
          <t>United Kingdom</t>
        </is>
      </c>
      <c r="I39" s="4" t="inlineStr">
        <is>
          <t>Farnborough</t>
        </is>
      </c>
      <c r="J39" s="4" t="n"/>
      <c r="K39" s="4" t="n"/>
      <c r="L39" s="4" t="n"/>
      <c r="M39" s="4" t="n"/>
      <c r="N39" s="12" t="n"/>
      <c r="O39" s="125" t="n">
        <v>51.2758</v>
      </c>
      <c r="P39" s="125" t="n">
        <v>-0.77633</v>
      </c>
      <c r="Q39" s="13" t="n"/>
      <c r="R39" s="11" t="n">
        <v>238</v>
      </c>
      <c r="S39" s="4" t="n"/>
      <c r="T39" s="4" t="inlineStr">
        <is>
          <t>Europe/London</t>
        </is>
      </c>
      <c r="U39" s="126" t="n"/>
      <c r="V39" s="14" t="n"/>
      <c r="W39" s="4" t="n"/>
      <c r="X39" s="4" t="n"/>
      <c r="Y39" s="4" t="n"/>
      <c r="Z39" s="4" t="n"/>
      <c r="AA39" s="4" t="n"/>
      <c r="AB39" s="4" t="n"/>
      <c r="AC39" s="4" t="n"/>
      <c r="AD39" s="4" t="n"/>
      <c r="AE39" s="4" t="n"/>
      <c r="AF39" s="4" t="n"/>
      <c r="AG39" s="4" t="n"/>
      <c r="AH39" s="4" t="n"/>
      <c r="AI39" s="4" t="n"/>
      <c r="AJ39" s="4" t="n"/>
      <c r="AK39" s="4" t="n"/>
      <c r="AL39" s="4" t="n"/>
      <c r="AM39" s="4" t="n"/>
      <c r="AN39" s="4" t="n"/>
      <c r="AO39" s="12" t="n"/>
      <c r="AP39" s="12" t="n"/>
      <c r="AQ39" s="12" t="n"/>
      <c r="AR39" s="12" t="n"/>
      <c r="AS39" s="16" t="n"/>
      <c r="AT39" s="16" t="n"/>
      <c r="AU39" s="4" t="n"/>
      <c r="AV39" s="124" t="n"/>
      <c r="AX39" s="118" t="n"/>
    </row>
    <row r="40">
      <c r="A40" s="4" t="inlineStr">
        <is>
          <t>EGNS</t>
        </is>
      </c>
      <c r="B40" s="4" t="inlineStr">
        <is>
          <t>IOM</t>
        </is>
      </c>
      <c r="C40" s="4" t="n"/>
      <c r="D40" s="4" t="n"/>
      <c r="E40" s="4" t="inlineStr">
        <is>
          <t>Isle of Man Airport</t>
        </is>
      </c>
      <c r="F40" s="4" t="n"/>
      <c r="G40" s="4" t="n"/>
      <c r="H40" s="4" t="n"/>
      <c r="I40" s="4" t="inlineStr">
        <is>
          <t>Castletown</t>
        </is>
      </c>
      <c r="J40" s="4" t="n"/>
      <c r="K40" s="4" t="n"/>
      <c r="L40" s="4" t="n"/>
      <c r="M40" s="4" t="n"/>
      <c r="N40" s="12" t="n"/>
      <c r="O40" s="125" t="n">
        <v>54.08308</v>
      </c>
      <c r="P40" s="125" t="n">
        <v>-4.62387</v>
      </c>
      <c r="Q40" s="13" t="n"/>
      <c r="R40" s="11" t="n">
        <v>52</v>
      </c>
      <c r="S40" s="4" t="n"/>
      <c r="T40" s="4" t="inlineStr">
        <is>
          <t>Europe/Isle_of_Man</t>
        </is>
      </c>
      <c r="U40" s="126" t="n"/>
      <c r="V40" s="14" t="n"/>
      <c r="W40" s="4" t="n"/>
      <c r="X40" s="4" t="n"/>
      <c r="Y40" s="4" t="n"/>
      <c r="Z40" s="4" t="n"/>
      <c r="AA40" s="4" t="n"/>
      <c r="AB40" s="4" t="n"/>
      <c r="AC40" s="4" t="n"/>
      <c r="AD40" s="4" t="n"/>
      <c r="AE40" s="4" t="n"/>
      <c r="AF40" s="4" t="n"/>
      <c r="AG40" s="4" t="n"/>
      <c r="AH40" s="4" t="n"/>
      <c r="AI40" s="4" t="n"/>
      <c r="AJ40" s="4" t="n"/>
      <c r="AK40" s="4" t="n"/>
      <c r="AL40" s="4" t="n"/>
      <c r="AM40" s="4" t="n"/>
      <c r="AN40" s="4" t="n"/>
      <c r="AO40" s="12" t="n"/>
      <c r="AP40" s="12" t="n"/>
      <c r="AQ40" s="12" t="n"/>
      <c r="AR40" s="12" t="n"/>
      <c r="AS40" s="16" t="n"/>
      <c r="AT40" s="16" t="n"/>
      <c r="AU40" s="4" t="n"/>
      <c r="AV40" s="124" t="n"/>
      <c r="AX40" s="118" t="n"/>
    </row>
    <row r="41">
      <c r="A41" s="4" t="inlineStr">
        <is>
          <t>EGPK</t>
        </is>
      </c>
      <c r="B41" s="4" t="inlineStr">
        <is>
          <t>PIK</t>
        </is>
      </c>
      <c r="C41" s="4" t="n"/>
      <c r="D41" s="4" t="n"/>
      <c r="E41" s="4" t="inlineStr">
        <is>
          <t>Glasgow Prestwick Airport</t>
        </is>
      </c>
      <c r="F41" s="4" t="n"/>
      <c r="G41" s="4" t="n"/>
      <c r="H41" s="4" t="inlineStr">
        <is>
          <t>United Kingdom</t>
        </is>
      </c>
      <c r="I41" s="4" t="inlineStr">
        <is>
          <t>Prestwick</t>
        </is>
      </c>
      <c r="J41" s="4" t="n"/>
      <c r="K41" s="4" t="n"/>
      <c r="L41" s="4" t="n"/>
      <c r="M41" s="4" t="n"/>
      <c r="N41" s="12" t="n"/>
      <c r="O41" s="125" t="n">
        <v>55.5015</v>
      </c>
      <c r="P41" s="125" t="n">
        <v>-4.57718</v>
      </c>
      <c r="Q41" s="13" t="n"/>
      <c r="R41" s="11" t="n">
        <v>65</v>
      </c>
      <c r="S41" s="4" t="n"/>
      <c r="T41" s="4" t="inlineStr">
        <is>
          <t>Europe/London</t>
        </is>
      </c>
      <c r="U41" s="126" t="n"/>
      <c r="V41" s="14" t="n"/>
      <c r="W41" s="4" t="n"/>
      <c r="X41" s="4" t="n"/>
      <c r="Y41" s="4" t="n"/>
      <c r="Z41" s="4" t="n"/>
      <c r="AA41" s="4" t="n"/>
      <c r="AB41" s="4" t="n"/>
      <c r="AC41" s="4" t="n"/>
      <c r="AD41" s="4" t="n"/>
      <c r="AE41" s="4" t="n"/>
      <c r="AF41" s="4" t="n"/>
      <c r="AG41" s="4" t="n"/>
      <c r="AH41" s="4" t="n"/>
      <c r="AI41" s="4" t="n"/>
      <c r="AJ41" s="4" t="n"/>
      <c r="AK41" s="4" t="n"/>
      <c r="AL41" s="4" t="n"/>
      <c r="AM41" s="4" t="n"/>
      <c r="AN41" s="4" t="n"/>
      <c r="AO41" s="12" t="n"/>
      <c r="AP41" s="12" t="n"/>
      <c r="AQ41" s="12" t="n"/>
      <c r="AR41" s="12" t="n"/>
      <c r="AS41" s="16" t="n"/>
      <c r="AT41" s="16" t="n"/>
      <c r="AU41" s="4" t="n"/>
      <c r="AV41" s="124" t="n"/>
      <c r="AX41" s="118" t="n"/>
    </row>
    <row r="42">
      <c r="A42" s="4" t="inlineStr">
        <is>
          <t>EGYP</t>
        </is>
      </c>
      <c r="B42" s="4" t="inlineStr">
        <is>
          <t>MPN</t>
        </is>
      </c>
      <c r="C42" s="4" t="n"/>
      <c r="D42" s="4" t="n"/>
      <c r="E42" s="4" t="inlineStr">
        <is>
          <t>Mount Pleasant Airport / RAF Mount Pleasant</t>
        </is>
      </c>
      <c r="F42" s="4" t="n"/>
      <c r="G42" s="4" t="n"/>
      <c r="H42" s="4" t="n"/>
      <c r="I42" s="4" t="inlineStr">
        <is>
          <t>Mount Pleasant</t>
        </is>
      </c>
      <c r="J42" s="4" t="n"/>
      <c r="K42" s="4" t="n"/>
      <c r="L42" s="4" t="n"/>
      <c r="M42" s="4" t="n"/>
      <c r="N42" s="12" t="n"/>
      <c r="O42" s="125" t="n">
        <v>-51.82264</v>
      </c>
      <c r="P42" s="125" t="n">
        <v>-58.44578</v>
      </c>
      <c r="Q42" s="13" t="n"/>
      <c r="R42" s="11" t="n">
        <v>244</v>
      </c>
      <c r="S42" s="4" t="n"/>
      <c r="T42" s="4" t="inlineStr">
        <is>
          <t>Atlantic/Stanley</t>
        </is>
      </c>
      <c r="U42" s="126" t="n"/>
      <c r="V42" s="14" t="n"/>
      <c r="W42" s="4" t="n"/>
      <c r="X42" s="4" t="n"/>
      <c r="Y42" s="4" t="n"/>
      <c r="Z42" s="4" t="n"/>
      <c r="AA42" s="4" t="n"/>
      <c r="AB42" s="4" t="n"/>
      <c r="AC42" s="4" t="n"/>
      <c r="AD42" s="4" t="n"/>
      <c r="AE42" s="4" t="n"/>
      <c r="AF42" s="4" t="n"/>
      <c r="AG42" s="4" t="n"/>
      <c r="AH42" s="4" t="n"/>
      <c r="AI42" s="4" t="n"/>
      <c r="AJ42" s="4" t="n"/>
      <c r="AK42" s="4" t="n"/>
      <c r="AL42" s="4" t="n"/>
      <c r="AM42" s="4" t="n"/>
      <c r="AN42" s="4" t="n"/>
      <c r="AO42" s="12" t="n"/>
      <c r="AP42" s="12" t="n"/>
      <c r="AQ42" s="12" t="n"/>
      <c r="AR42" s="12" t="n"/>
      <c r="AS42" s="16" t="n"/>
      <c r="AT42" s="16" t="n"/>
      <c r="AU42" s="4" t="n"/>
      <c r="AV42" s="124" t="n"/>
      <c r="AX42" s="118" t="n"/>
    </row>
    <row r="43">
      <c r="A43" s="4" t="inlineStr">
        <is>
          <t>EHAM</t>
        </is>
      </c>
      <c r="B43" s="4" t="inlineStr">
        <is>
          <t>AMS</t>
        </is>
      </c>
      <c r="C43" s="4" t="n"/>
      <c r="D43" s="4" t="n"/>
      <c r="E43" s="4" t="inlineStr">
        <is>
          <t>Amsterdam Airport Schiphol</t>
        </is>
      </c>
      <c r="F43" s="4" t="n"/>
      <c r="G43" s="4" t="n"/>
      <c r="H43" s="4" t="inlineStr">
        <is>
          <t>Netherlands</t>
        </is>
      </c>
      <c r="I43" s="4" t="inlineStr">
        <is>
          <t>Amsterdam</t>
        </is>
      </c>
      <c r="J43" s="4" t="n"/>
      <c r="K43" s="4" t="n"/>
      <c r="L43" s="4" t="n"/>
      <c r="M43" s="4" t="n"/>
      <c r="N43" s="12" t="n"/>
      <c r="O43" s="125" t="n">
        <v>52.3086</v>
      </c>
      <c r="P43" s="125" t="n">
        <v>4.76389</v>
      </c>
      <c r="Q43" s="13" t="n"/>
      <c r="R43" s="11" t="n">
        <v>-11</v>
      </c>
      <c r="S43" s="4" t="n"/>
      <c r="T43" s="4" t="inlineStr">
        <is>
          <t>Europe/Amsterdam</t>
        </is>
      </c>
      <c r="U43" s="126" t="n"/>
      <c r="V43" s="14" t="n"/>
      <c r="W43" s="4" t="n"/>
      <c r="X43" s="4" t="n"/>
      <c r="Y43" s="4" t="n"/>
      <c r="Z43" s="4" t="n"/>
      <c r="AA43" s="4" t="n"/>
      <c r="AB43" s="4" t="n"/>
      <c r="AC43" s="4" t="n"/>
      <c r="AD43" s="4" t="n"/>
      <c r="AE43" s="4" t="n"/>
      <c r="AF43" s="4" t="n"/>
      <c r="AG43" s="4" t="n"/>
      <c r="AH43" s="4" t="n"/>
      <c r="AI43" s="4" t="n"/>
      <c r="AJ43" s="4" t="n"/>
      <c r="AK43" s="4" t="n"/>
      <c r="AL43" s="4" t="n"/>
      <c r="AM43" s="4" t="n"/>
      <c r="AN43" s="4" t="n"/>
      <c r="AO43" s="12" t="n"/>
      <c r="AP43" s="12" t="n"/>
      <c r="AQ43" s="12" t="n"/>
      <c r="AR43" s="12" t="n"/>
      <c r="AS43" s="16" t="n"/>
      <c r="AT43" s="16" t="n"/>
      <c r="AU43" s="4" t="n"/>
      <c r="AV43" s="124" t="n"/>
      <c r="AX43" s="118" t="n"/>
    </row>
    <row r="44">
      <c r="A44" s="4" t="inlineStr">
        <is>
          <t>EHBK</t>
        </is>
      </c>
      <c r="B44" s="4" t="inlineStr">
        <is>
          <t>MST</t>
        </is>
      </c>
      <c r="C44" s="4" t="n"/>
      <c r="D44" s="4" t="n"/>
      <c r="E44" s="4" t="inlineStr">
        <is>
          <t>Maastricht Aachen Airport</t>
        </is>
      </c>
      <c r="F44" s="4" t="n"/>
      <c r="G44" s="4" t="n"/>
      <c r="H44" s="4" t="inlineStr">
        <is>
          <t>Netherlands</t>
        </is>
      </c>
      <c r="I44" s="4" t="inlineStr">
        <is>
          <t>Maastricht</t>
        </is>
      </c>
      <c r="J44" s="4" t="n"/>
      <c r="K44" s="4" t="n"/>
      <c r="L44" s="4" t="n"/>
      <c r="M44" s="4" t="n"/>
      <c r="N44" s="12" t="n"/>
      <c r="O44" s="125" t="n">
        <v>50.91109</v>
      </c>
      <c r="P44" s="125" t="n">
        <v>5.7694</v>
      </c>
      <c r="Q44" s="13" t="n"/>
      <c r="R44" s="11" t="n">
        <v>375</v>
      </c>
      <c r="S44" s="4" t="n"/>
      <c r="T44" s="4" t="inlineStr">
        <is>
          <t>Europe/Amsterdam</t>
        </is>
      </c>
      <c r="U44" s="126" t="n"/>
      <c r="V44" s="14" t="n"/>
      <c r="W44" s="4" t="n"/>
      <c r="X44" s="4" t="n"/>
      <c r="Y44" s="4" t="n"/>
      <c r="Z44" s="4" t="n"/>
      <c r="AA44" s="4" t="n"/>
      <c r="AB44" s="4" t="n"/>
      <c r="AC44" s="4" t="n"/>
      <c r="AD44" s="4" t="n"/>
      <c r="AE44" s="4" t="n"/>
      <c r="AF44" s="4" t="n"/>
      <c r="AG44" s="4" t="n"/>
      <c r="AH44" s="4" t="n"/>
      <c r="AI44" s="4" t="n"/>
      <c r="AJ44" s="4" t="n"/>
      <c r="AK44" s="4" t="n"/>
      <c r="AL44" s="4" t="n"/>
      <c r="AM44" s="4" t="n"/>
      <c r="AN44" s="4" t="n"/>
      <c r="AO44" s="12" t="n"/>
      <c r="AP44" s="12" t="n"/>
      <c r="AQ44" s="12" t="n"/>
      <c r="AR44" s="12" t="n"/>
      <c r="AS44" s="16" t="n"/>
      <c r="AT44" s="16" t="n"/>
      <c r="AU44" s="4" t="n"/>
      <c r="AV44" s="124" t="n"/>
      <c r="AX44" s="118" t="n"/>
    </row>
    <row r="45">
      <c r="A45" s="4" t="inlineStr">
        <is>
          <t>EICK</t>
        </is>
      </c>
      <c r="B45" s="4" t="inlineStr">
        <is>
          <t>ORK</t>
        </is>
      </c>
      <c r="C45" s="4" t="n"/>
      <c r="D45" s="4" t="n"/>
      <c r="E45" s="4" t="inlineStr">
        <is>
          <t>Cork International Airport</t>
        </is>
      </c>
      <c r="F45" s="4" t="n"/>
      <c r="G45" s="4" t="n"/>
      <c r="H45" s="4" t="inlineStr">
        <is>
          <t>Ireland</t>
        </is>
      </c>
      <c r="I45" s="4" t="inlineStr">
        <is>
          <t>Cork</t>
        </is>
      </c>
      <c r="J45" s="4" t="n"/>
      <c r="K45" s="4" t="n"/>
      <c r="L45" s="4" t="n"/>
      <c r="M45" s="4" t="n"/>
      <c r="N45" s="12" t="n"/>
      <c r="O45" s="125" t="n">
        <v>51.8413</v>
      </c>
      <c r="P45" s="125" t="n">
        <v>-8.491110000000001</v>
      </c>
      <c r="Q45" s="13" t="n"/>
      <c r="R45" s="11" t="n">
        <v>502</v>
      </c>
      <c r="S45" s="4" t="n"/>
      <c r="T45" s="4" t="inlineStr">
        <is>
          <t>Europe/Dublin</t>
        </is>
      </c>
      <c r="U45" s="126" t="n"/>
      <c r="V45" s="14" t="n"/>
      <c r="W45" s="4" t="n"/>
      <c r="X45" s="4" t="n"/>
      <c r="Y45" s="4" t="n"/>
      <c r="Z45" s="4" t="n"/>
      <c r="AA45" s="4" t="n"/>
      <c r="AB45" s="4" t="n"/>
      <c r="AC45" s="4" t="n"/>
      <c r="AD45" s="4" t="n"/>
      <c r="AE45" s="4" t="n"/>
      <c r="AF45" s="4" t="n"/>
      <c r="AG45" s="4" t="n"/>
      <c r="AH45" s="4" t="n"/>
      <c r="AI45" s="4" t="n"/>
      <c r="AJ45" s="4" t="n"/>
      <c r="AK45" s="4" t="n"/>
      <c r="AL45" s="4" t="n"/>
      <c r="AM45" s="4" t="n"/>
      <c r="AN45" s="4" t="n"/>
      <c r="AO45" s="12" t="n"/>
      <c r="AP45" s="12" t="n"/>
      <c r="AQ45" s="12" t="n"/>
      <c r="AR45" s="12" t="n"/>
      <c r="AS45" s="16" t="n"/>
      <c r="AT45" s="16" t="n"/>
      <c r="AU45" s="4" t="n"/>
      <c r="AV45" s="124" t="n"/>
      <c r="AX45" s="118" t="n"/>
    </row>
    <row r="46">
      <c r="A46" s="4" t="inlineStr">
        <is>
          <t>EIDW</t>
        </is>
      </c>
      <c r="B46" s="4" t="inlineStr">
        <is>
          <t>DUB</t>
        </is>
      </c>
      <c r="C46" s="4" t="n"/>
      <c r="D46" s="4" t="n"/>
      <c r="E46" s="4" t="inlineStr">
        <is>
          <t>Dublin Airport</t>
        </is>
      </c>
      <c r="F46" s="4" t="n"/>
      <c r="G46" s="4" t="n"/>
      <c r="H46" s="4" t="inlineStr">
        <is>
          <t>Ireland</t>
        </is>
      </c>
      <c r="I46" s="4" t="inlineStr">
        <is>
          <t>Dublin</t>
        </is>
      </c>
      <c r="J46" s="4" t="n"/>
      <c r="K46" s="4" t="n"/>
      <c r="L46" s="4" t="n"/>
      <c r="M46" s="4" t="n"/>
      <c r="N46" s="12" t="n"/>
      <c r="O46" s="125" t="n">
        <v>53.42871</v>
      </c>
      <c r="P46" s="125" t="n">
        <v>-6.26212</v>
      </c>
      <c r="Q46" s="13" t="n"/>
      <c r="R46" s="11" t="n">
        <v>242</v>
      </c>
      <c r="S46" s="4" t="n"/>
      <c r="T46" s="4" t="inlineStr">
        <is>
          <t>Europe/Dublin</t>
        </is>
      </c>
      <c r="U46" s="126" t="n"/>
      <c r="V46" s="14" t="n"/>
      <c r="W46" s="4" t="n"/>
      <c r="X46" s="4" t="n"/>
      <c r="Y46" s="4" t="n"/>
      <c r="Z46" s="4" t="n"/>
      <c r="AA46" s="4" t="n"/>
      <c r="AB46" s="4" t="n"/>
      <c r="AC46" s="4" t="n"/>
      <c r="AD46" s="4" t="n"/>
      <c r="AE46" s="4" t="n"/>
      <c r="AF46" s="4" t="n"/>
      <c r="AG46" s="4" t="n"/>
      <c r="AH46" s="4" t="n"/>
      <c r="AI46" s="4" t="n"/>
      <c r="AJ46" s="4" t="n"/>
      <c r="AK46" s="4" t="n"/>
      <c r="AL46" s="4" t="n"/>
      <c r="AM46" s="4" t="n"/>
      <c r="AN46" s="4" t="n"/>
      <c r="AO46" s="12" t="n"/>
      <c r="AP46" s="12" t="n"/>
      <c r="AQ46" s="12" t="n"/>
      <c r="AR46" s="12" t="n"/>
      <c r="AS46" s="16" t="n"/>
      <c r="AT46" s="16" t="n"/>
      <c r="AU46" s="4" t="n"/>
      <c r="AV46" s="124" t="n"/>
      <c r="AX46" s="118" t="n"/>
    </row>
    <row r="47">
      <c r="A47" s="4" t="inlineStr">
        <is>
          <t>EKAH</t>
        </is>
      </c>
      <c r="B47" s="4" t="inlineStr">
        <is>
          <t>AAR</t>
        </is>
      </c>
      <c r="C47" s="4" t="n"/>
      <c r="D47" s="4" t="n"/>
      <c r="E47" s="4" t="inlineStr">
        <is>
          <t>Aarhus Airport</t>
        </is>
      </c>
      <c r="F47" s="4" t="n"/>
      <c r="G47" s="4" t="n"/>
      <c r="H47" s="4" t="inlineStr">
        <is>
          <t>Denmark</t>
        </is>
      </c>
      <c r="I47" s="4" t="inlineStr">
        <is>
          <t>Aarhus</t>
        </is>
      </c>
      <c r="J47" s="4" t="n"/>
      <c r="K47" s="4" t="n"/>
      <c r="L47" s="4" t="n"/>
      <c r="M47" s="4" t="n"/>
      <c r="N47" s="12" t="n"/>
      <c r="O47" s="125" t="n">
        <v>56.30333</v>
      </c>
      <c r="P47" s="125" t="n">
        <v>10.61829</v>
      </c>
      <c r="Q47" s="13" t="n"/>
      <c r="R47" s="11" t="n">
        <v>82</v>
      </c>
      <c r="S47" s="4" t="n"/>
      <c r="T47" s="4" t="inlineStr">
        <is>
          <t>Europe/Copenhagen</t>
        </is>
      </c>
      <c r="U47" s="126" t="n"/>
      <c r="V47" s="14" t="n"/>
      <c r="W47" s="4" t="n"/>
      <c r="X47" s="4" t="n"/>
      <c r="Y47" s="4" t="n"/>
      <c r="Z47" s="4" t="n"/>
      <c r="AA47" s="4" t="n"/>
      <c r="AB47" s="4" t="n"/>
      <c r="AC47" s="4" t="n"/>
      <c r="AD47" s="4" t="n"/>
      <c r="AE47" s="4" t="n"/>
      <c r="AF47" s="4" t="n"/>
      <c r="AG47" s="4" t="n"/>
      <c r="AH47" s="4" t="n"/>
      <c r="AI47" s="4" t="n"/>
      <c r="AJ47" s="4" t="n"/>
      <c r="AK47" s="4" t="n"/>
      <c r="AL47" s="4" t="n"/>
      <c r="AM47" s="4" t="n"/>
      <c r="AN47" s="4" t="n"/>
      <c r="AO47" s="12" t="n"/>
      <c r="AP47" s="12" t="n"/>
      <c r="AQ47" s="12" t="n"/>
      <c r="AR47" s="12" t="n"/>
      <c r="AS47" s="16" t="n"/>
      <c r="AT47" s="16" t="n"/>
      <c r="AU47" s="4" t="n"/>
      <c r="AV47" s="124" t="n"/>
      <c r="AX47" s="118" t="n"/>
    </row>
    <row r="48">
      <c r="A48" s="4" t="inlineStr">
        <is>
          <t>EKBI</t>
        </is>
      </c>
      <c r="B48" s="4" t="inlineStr">
        <is>
          <t>BLL</t>
        </is>
      </c>
      <c r="C48" s="4" t="n"/>
      <c r="D48" s="4" t="n"/>
      <c r="E48" s="4" t="inlineStr">
        <is>
          <t>Billund Airport</t>
        </is>
      </c>
      <c r="F48" s="4" t="n"/>
      <c r="G48" s="4" t="n"/>
      <c r="H48" s="4" t="inlineStr">
        <is>
          <t>Denmark</t>
        </is>
      </c>
      <c r="I48" s="4" t="inlineStr">
        <is>
          <t>Billund</t>
        </is>
      </c>
      <c r="J48" s="4" t="n"/>
      <c r="K48" s="4" t="n"/>
      <c r="L48" s="4" t="n"/>
      <c r="M48" s="4" t="n"/>
      <c r="N48" s="12" t="n"/>
      <c r="O48" s="125" t="n">
        <v>55.74034</v>
      </c>
      <c r="P48" s="125" t="n">
        <v>9.157019999999999</v>
      </c>
      <c r="Q48" s="13" t="n"/>
      <c r="R48" s="11" t="n">
        <v>247</v>
      </c>
      <c r="S48" s="4" t="n"/>
      <c r="T48" s="4" t="inlineStr">
        <is>
          <t>Europe/Copenhagen</t>
        </is>
      </c>
      <c r="U48" s="126" t="n"/>
      <c r="V48" s="14" t="n"/>
      <c r="W48" s="4" t="n"/>
      <c r="X48" s="4" t="n"/>
      <c r="Y48" s="4" t="n"/>
      <c r="Z48" s="4" t="n"/>
      <c r="AA48" s="4" t="n"/>
      <c r="AB48" s="4" t="n"/>
      <c r="AC48" s="4" t="n"/>
      <c r="AD48" s="4" t="n"/>
      <c r="AE48" s="4" t="n"/>
      <c r="AF48" s="4" t="n"/>
      <c r="AG48" s="4" t="n"/>
      <c r="AH48" s="4" t="n"/>
      <c r="AI48" s="4" t="n"/>
      <c r="AJ48" s="4" t="n"/>
      <c r="AK48" s="4" t="n"/>
      <c r="AL48" s="4" t="n"/>
      <c r="AM48" s="4" t="n"/>
      <c r="AN48" s="4" t="n"/>
      <c r="AO48" s="12" t="n"/>
      <c r="AP48" s="12" t="n"/>
      <c r="AQ48" s="12" t="n"/>
      <c r="AR48" s="12" t="n"/>
      <c r="AS48" s="16" t="n"/>
      <c r="AT48" s="16" t="n"/>
      <c r="AU48" s="4" t="n"/>
      <c r="AV48" s="124" t="n"/>
      <c r="AX48" s="118" t="n"/>
    </row>
    <row r="49">
      <c r="A49" s="4" t="inlineStr">
        <is>
          <t>EKVG</t>
        </is>
      </c>
      <c r="B49" s="4" t="inlineStr">
        <is>
          <t>FAE</t>
        </is>
      </c>
      <c r="C49" s="4" t="n"/>
      <c r="D49" s="4" t="n"/>
      <c r="E49" s="4" t="inlineStr">
        <is>
          <t>Vágar Airport</t>
        </is>
      </c>
      <c r="F49" s="4" t="n"/>
      <c r="G49" s="4" t="n"/>
      <c r="H49" s="4" t="n"/>
      <c r="I49" s="4" t="inlineStr">
        <is>
          <t>Vágar</t>
        </is>
      </c>
      <c r="J49" s="4" t="n"/>
      <c r="K49" s="4" t="n"/>
      <c r="L49" s="4" t="n"/>
      <c r="M49" s="4" t="n"/>
      <c r="N49" s="12" t="n"/>
      <c r="O49" s="125" t="n">
        <v>62.06326</v>
      </c>
      <c r="P49" s="125" t="n">
        <v>-7.27578</v>
      </c>
      <c r="Q49" s="13" t="n"/>
      <c r="R49" s="11" t="n">
        <v>280</v>
      </c>
      <c r="S49" s="4" t="n"/>
      <c r="T49" s="4" t="inlineStr">
        <is>
          <t>Atlantic/Faeroe</t>
        </is>
      </c>
      <c r="U49" s="126" t="n"/>
      <c r="V49" s="14" t="n"/>
      <c r="W49" s="4" t="n"/>
      <c r="X49" s="4" t="n"/>
      <c r="Y49" s="4" t="n"/>
      <c r="Z49" s="4" t="n"/>
      <c r="AA49" s="4" t="n"/>
      <c r="AB49" s="4" t="n"/>
      <c r="AC49" s="4" t="n"/>
      <c r="AD49" s="4" t="n"/>
      <c r="AE49" s="4" t="n"/>
      <c r="AF49" s="4" t="n"/>
      <c r="AG49" s="4" t="n"/>
      <c r="AH49" s="4" t="n"/>
      <c r="AI49" s="4" t="n"/>
      <c r="AJ49" s="4" t="n"/>
      <c r="AK49" s="4" t="n"/>
      <c r="AL49" s="4" t="n"/>
      <c r="AM49" s="4" t="n"/>
      <c r="AN49" s="4" t="n"/>
      <c r="AO49" s="12" t="n"/>
      <c r="AP49" s="12" t="n"/>
      <c r="AQ49" s="12" t="n"/>
      <c r="AR49" s="12" t="n"/>
      <c r="AS49" s="16" t="n"/>
      <c r="AT49" s="16" t="n"/>
      <c r="AU49" s="4" t="n"/>
      <c r="AV49" s="124" t="n"/>
      <c r="AX49" s="118" t="n"/>
    </row>
    <row r="50">
      <c r="A50" s="4" t="inlineStr">
        <is>
          <t>ELLX</t>
        </is>
      </c>
      <c r="B50" s="4" t="inlineStr">
        <is>
          <t>LUX</t>
        </is>
      </c>
      <c r="C50" s="4" t="n"/>
      <c r="D50" s="4" t="n"/>
      <c r="E50" s="4" t="inlineStr">
        <is>
          <t>Luxembourg-Findel International Airport</t>
        </is>
      </c>
      <c r="F50" s="4" t="n"/>
      <c r="G50" s="4" t="n"/>
      <c r="H50" s="4" t="inlineStr">
        <is>
          <t>Luxembourg</t>
        </is>
      </c>
      <c r="I50" s="4" t="inlineStr">
        <is>
          <t>Luxembourg</t>
        </is>
      </c>
      <c r="J50" s="4" t="n"/>
      <c r="K50" s="4" t="n"/>
      <c r="L50" s="4" t="n"/>
      <c r="M50" s="4" t="n"/>
      <c r="N50" s="12" t="n"/>
      <c r="O50" s="125" t="n">
        <v>49.62685</v>
      </c>
      <c r="P50" s="125" t="n">
        <v>6.21213</v>
      </c>
      <c r="Q50" s="13" t="n"/>
      <c r="R50" s="11" t="n">
        <v>1234</v>
      </c>
      <c r="S50" s="4" t="n"/>
      <c r="T50" s="4" t="inlineStr">
        <is>
          <t>Europe/Luxembourg</t>
        </is>
      </c>
      <c r="U50" s="126" t="n"/>
      <c r="V50" s="14" t="n"/>
      <c r="W50" s="4" t="n"/>
      <c r="X50" s="4" t="n"/>
      <c r="Y50" s="4" t="n"/>
      <c r="Z50" s="4" t="n"/>
      <c r="AA50" s="4" t="n"/>
      <c r="AB50" s="4" t="n"/>
      <c r="AC50" s="4" t="n"/>
      <c r="AD50" s="4" t="n"/>
      <c r="AE50" s="4" t="n"/>
      <c r="AF50" s="4" t="n"/>
      <c r="AG50" s="4" t="n"/>
      <c r="AH50" s="4" t="n"/>
      <c r="AI50" s="4" t="n"/>
      <c r="AJ50" s="4" t="n"/>
      <c r="AK50" s="4" t="n"/>
      <c r="AL50" s="4" t="n"/>
      <c r="AM50" s="4" t="n"/>
      <c r="AN50" s="4" t="n"/>
      <c r="AO50" s="12" t="n"/>
      <c r="AP50" s="12" t="n"/>
      <c r="AQ50" s="12" t="n"/>
      <c r="AR50" s="12" t="n"/>
      <c r="AS50" s="16" t="n"/>
      <c r="AT50" s="16" t="n"/>
      <c r="AU50" s="4" t="n"/>
      <c r="AV50" s="124" t="n"/>
      <c r="AX50" s="118" t="n"/>
    </row>
    <row r="51">
      <c r="A51" s="4" t="inlineStr">
        <is>
          <t>ENAL</t>
        </is>
      </c>
      <c r="B51" s="4" t="inlineStr">
        <is>
          <t>AES</t>
        </is>
      </c>
      <c r="C51" s="4" t="n"/>
      <c r="D51" s="4" t="n"/>
      <c r="E51" s="4" t="inlineStr">
        <is>
          <t>Ålesund Airport</t>
        </is>
      </c>
      <c r="F51" s="4" t="n"/>
      <c r="G51" s="4" t="n"/>
      <c r="H51" s="4" t="inlineStr">
        <is>
          <t>Norway</t>
        </is>
      </c>
      <c r="I51" s="4" t="inlineStr">
        <is>
          <t>Ålesund</t>
        </is>
      </c>
      <c r="J51" s="4" t="n"/>
      <c r="K51" s="4" t="n"/>
      <c r="L51" s="4" t="n"/>
      <c r="M51" s="4" t="n"/>
      <c r="N51" s="12" t="n"/>
      <c r="O51" s="125" t="n">
        <v>62.56044</v>
      </c>
      <c r="P51" s="125" t="n">
        <v>6.11085</v>
      </c>
      <c r="Q51" s="13" t="n"/>
      <c r="R51" s="11" t="n">
        <v>69</v>
      </c>
      <c r="S51" s="4" t="n"/>
      <c r="T51" s="4" t="inlineStr">
        <is>
          <t>Europe/Oslo</t>
        </is>
      </c>
      <c r="U51" s="126" t="n"/>
      <c r="V51" s="14" t="n"/>
      <c r="W51" s="4" t="n"/>
      <c r="X51" s="4" t="n"/>
      <c r="Y51" s="4" t="n"/>
      <c r="Z51" s="4" t="n"/>
      <c r="AA51" s="4" t="n"/>
      <c r="AB51" s="4" t="n"/>
      <c r="AC51" s="4" t="n"/>
      <c r="AD51" s="4" t="n"/>
      <c r="AE51" s="4" t="n"/>
      <c r="AF51" s="4" t="n"/>
      <c r="AG51" s="4" t="n"/>
      <c r="AH51" s="4" t="n"/>
      <c r="AI51" s="4" t="n"/>
      <c r="AJ51" s="4" t="n"/>
      <c r="AK51" s="4" t="n"/>
      <c r="AL51" s="4" t="n"/>
      <c r="AM51" s="4" t="n"/>
      <c r="AN51" s="4" t="n"/>
      <c r="AO51" s="12" t="n"/>
      <c r="AP51" s="12" t="n"/>
      <c r="AQ51" s="12" t="n"/>
      <c r="AR51" s="12" t="n"/>
      <c r="AS51" s="16" t="n"/>
      <c r="AT51" s="16" t="n"/>
      <c r="AU51" s="4" t="n"/>
      <c r="AV51" s="124" t="n"/>
      <c r="AX51" s="118" t="n"/>
    </row>
    <row r="52">
      <c r="A52" s="4" t="inlineStr">
        <is>
          <t>ENBO</t>
        </is>
      </c>
      <c r="B52" s="4" t="inlineStr">
        <is>
          <t>BOO</t>
        </is>
      </c>
      <c r="C52" s="4" t="n"/>
      <c r="D52" s="4" t="n"/>
      <c r="E52" s="4" t="inlineStr">
        <is>
          <t>Bodø Airport</t>
        </is>
      </c>
      <c r="F52" s="4" t="n"/>
      <c r="G52" s="4" t="n"/>
      <c r="H52" s="4" t="inlineStr">
        <is>
          <t>Norway</t>
        </is>
      </c>
      <c r="I52" s="4" t="inlineStr">
        <is>
          <t>Bodø</t>
        </is>
      </c>
      <c r="J52" s="4" t="n"/>
      <c r="K52" s="4" t="n"/>
      <c r="L52" s="4" t="n"/>
      <c r="M52" s="4" t="n"/>
      <c r="N52" s="12" t="n"/>
      <c r="O52" s="125" t="n">
        <v>67.2692</v>
      </c>
      <c r="P52" s="125" t="n">
        <v>14.3653</v>
      </c>
      <c r="Q52" s="13" t="n"/>
      <c r="R52" s="11" t="n">
        <v>42</v>
      </c>
      <c r="S52" s="4" t="n"/>
      <c r="T52" s="4" t="inlineStr">
        <is>
          <t>Europe/Oslo</t>
        </is>
      </c>
      <c r="U52" s="126" t="n"/>
      <c r="V52" s="14" t="n"/>
      <c r="W52" s="4" t="n"/>
      <c r="X52" s="4" t="n"/>
      <c r="Y52" s="4" t="n"/>
      <c r="Z52" s="4" t="n"/>
      <c r="AA52" s="4" t="n"/>
      <c r="AB52" s="4" t="n"/>
      <c r="AC52" s="4" t="n"/>
      <c r="AD52" s="4" t="n"/>
      <c r="AE52" s="4" t="n"/>
      <c r="AF52" s="4" t="n"/>
      <c r="AG52" s="4" t="n"/>
      <c r="AH52" s="4" t="n"/>
      <c r="AI52" s="4" t="n"/>
      <c r="AJ52" s="4" t="n"/>
      <c r="AK52" s="4" t="n"/>
      <c r="AL52" s="4" t="n"/>
      <c r="AM52" s="4" t="n"/>
      <c r="AN52" s="4" t="n"/>
      <c r="AO52" s="12" t="n"/>
      <c r="AP52" s="12" t="n"/>
      <c r="AQ52" s="12" t="n"/>
      <c r="AR52" s="12" t="n"/>
      <c r="AS52" s="16" t="n"/>
      <c r="AT52" s="16" t="n"/>
      <c r="AU52" s="4" t="n"/>
      <c r="AV52" s="124" t="n"/>
      <c r="AX52" s="118" t="n"/>
    </row>
    <row r="53">
      <c r="A53" s="4" t="inlineStr">
        <is>
          <t>EPGD</t>
        </is>
      </c>
      <c r="B53" s="4" t="inlineStr">
        <is>
          <t>GDN</t>
        </is>
      </c>
      <c r="C53" s="4" t="n"/>
      <c r="D53" s="4" t="n"/>
      <c r="E53" s="4" t="inlineStr">
        <is>
          <t>Gdańsk Lech Wałęsa Airport</t>
        </is>
      </c>
      <c r="F53" s="4" t="n"/>
      <c r="G53" s="4" t="n"/>
      <c r="H53" s="4" t="inlineStr">
        <is>
          <t>Poland</t>
        </is>
      </c>
      <c r="I53" s="4" t="inlineStr">
        <is>
          <t>Gdańsk</t>
        </is>
      </c>
      <c r="J53" s="4" t="n"/>
      <c r="K53" s="4" t="n"/>
      <c r="L53" s="4" t="n"/>
      <c r="M53" s="4" t="n"/>
      <c r="N53" s="12" t="n"/>
      <c r="O53" s="125" t="n">
        <v>54.3776</v>
      </c>
      <c r="P53" s="125" t="n">
        <v>18.4662</v>
      </c>
      <c r="Q53" s="13" t="n"/>
      <c r="R53" s="11" t="n">
        <v>489</v>
      </c>
      <c r="S53" s="4" t="n"/>
      <c r="T53" s="4" t="inlineStr">
        <is>
          <t>Europe/Warsaw</t>
        </is>
      </c>
      <c r="U53" s="126" t="n"/>
      <c r="V53" s="14" t="n"/>
      <c r="W53" s="4" t="n"/>
      <c r="X53" s="4" t="n"/>
      <c r="Y53" s="4" t="n"/>
      <c r="Z53" s="4" t="n"/>
      <c r="AA53" s="4" t="n"/>
      <c r="AB53" s="4" t="n"/>
      <c r="AC53" s="4" t="n"/>
      <c r="AD53" s="4" t="n"/>
      <c r="AE53" s="4" t="n"/>
      <c r="AF53" s="4" t="n"/>
      <c r="AG53" s="4" t="n"/>
      <c r="AH53" s="4" t="n"/>
      <c r="AI53" s="4" t="n"/>
      <c r="AJ53" s="4" t="n"/>
      <c r="AK53" s="4" t="n"/>
      <c r="AL53" s="4" t="n"/>
      <c r="AM53" s="4" t="n"/>
      <c r="AN53" s="4" t="n"/>
      <c r="AO53" s="12" t="n"/>
      <c r="AP53" s="12" t="n"/>
      <c r="AQ53" s="12" t="n"/>
      <c r="AR53" s="12" t="n"/>
      <c r="AS53" s="16" t="n"/>
      <c r="AT53" s="16" t="n"/>
      <c r="AU53" s="4" t="n"/>
      <c r="AV53" s="124" t="n"/>
      <c r="AX53" s="118" t="n"/>
    </row>
    <row r="54">
      <c r="A54" s="4" t="inlineStr">
        <is>
          <t>EPKK</t>
        </is>
      </c>
      <c r="B54" s="4" t="inlineStr">
        <is>
          <t>KRK</t>
        </is>
      </c>
      <c r="C54" s="4" t="n"/>
      <c r="D54" s="4" t="n"/>
      <c r="E54" s="4" t="inlineStr">
        <is>
          <t>Kraków John Paul II International Airport</t>
        </is>
      </c>
      <c r="F54" s="4" t="n"/>
      <c r="G54" s="4" t="n"/>
      <c r="H54" s="4" t="inlineStr">
        <is>
          <t>Poland</t>
        </is>
      </c>
      <c r="I54" s="4" t="inlineStr">
        <is>
          <t>Balice</t>
        </is>
      </c>
      <c r="J54" s="4" t="n"/>
      <c r="K54" s="4" t="n"/>
      <c r="L54" s="4" t="n"/>
      <c r="M54" s="4" t="n"/>
      <c r="N54" s="12" t="n"/>
      <c r="O54" s="125" t="n">
        <v>50.0777</v>
      </c>
      <c r="P54" s="125" t="n">
        <v>19.7848</v>
      </c>
      <c r="Q54" s="13" t="n"/>
      <c r="R54" s="11" t="n">
        <v>791</v>
      </c>
      <c r="S54" s="4" t="n"/>
      <c r="T54" s="4" t="inlineStr">
        <is>
          <t>Europe/Warsaw</t>
        </is>
      </c>
      <c r="U54" s="126" t="n"/>
      <c r="V54" s="14" t="n"/>
      <c r="W54" s="4" t="n"/>
      <c r="X54" s="4" t="n"/>
      <c r="Y54" s="4" t="n"/>
      <c r="Z54" s="4" t="n"/>
      <c r="AA54" s="4" t="n"/>
      <c r="AB54" s="4" t="n"/>
      <c r="AC54" s="4" t="n"/>
      <c r="AD54" s="4" t="n"/>
      <c r="AE54" s="4" t="n"/>
      <c r="AF54" s="4" t="n"/>
      <c r="AG54" s="4" t="n"/>
      <c r="AH54" s="4" t="n"/>
      <c r="AI54" s="4" t="n"/>
      <c r="AJ54" s="4" t="n"/>
      <c r="AK54" s="4" t="n"/>
      <c r="AL54" s="4" t="n"/>
      <c r="AM54" s="4" t="n"/>
      <c r="AN54" s="4" t="n"/>
      <c r="AO54" s="12" t="n"/>
      <c r="AP54" s="12" t="n"/>
      <c r="AQ54" s="12" t="n"/>
      <c r="AR54" s="12" t="n"/>
      <c r="AS54" s="16" t="n"/>
      <c r="AT54" s="16" t="n"/>
      <c r="AU54" s="4" t="n"/>
      <c r="AV54" s="124" t="n"/>
      <c r="AX54" s="118" t="n"/>
    </row>
    <row r="55">
      <c r="A55" s="4" t="inlineStr">
        <is>
          <t>ESGG</t>
        </is>
      </c>
      <c r="B55" s="4" t="inlineStr">
        <is>
          <t>GOT</t>
        </is>
      </c>
      <c r="C55" s="4" t="n"/>
      <c r="D55" s="4" t="n"/>
      <c r="E55" s="4" t="inlineStr">
        <is>
          <t>Göteborg Landvetter Airport</t>
        </is>
      </c>
      <c r="F55" s="4" t="n"/>
      <c r="G55" s="4" t="n"/>
      <c r="H55" s="4" t="inlineStr">
        <is>
          <t>Sweden</t>
        </is>
      </c>
      <c r="I55" s="4" t="inlineStr">
        <is>
          <t>Göteborg</t>
        </is>
      </c>
      <c r="J55" s="4" t="n"/>
      <c r="K55" s="4" t="n"/>
      <c r="L55" s="4" t="n"/>
      <c r="M55" s="4" t="n"/>
      <c r="N55" s="12" t="n"/>
      <c r="O55" s="125" t="n">
        <v>57.6628</v>
      </c>
      <c r="P55" s="125" t="n">
        <v>12.2798</v>
      </c>
      <c r="Q55" s="13" t="n"/>
      <c r="R55" s="11" t="n">
        <v>506</v>
      </c>
      <c r="S55" s="4" t="n"/>
      <c r="T55" s="4" t="inlineStr">
        <is>
          <t>Europe/Stockholm</t>
        </is>
      </c>
      <c r="U55" s="126" t="n"/>
      <c r="V55" s="14" t="n"/>
      <c r="W55" s="4" t="n"/>
      <c r="X55" s="4" t="n"/>
      <c r="Y55" s="4" t="n"/>
      <c r="Z55" s="4" t="n"/>
      <c r="AA55" s="4" t="n"/>
      <c r="AB55" s="4" t="n"/>
      <c r="AC55" s="4" t="n"/>
      <c r="AD55" s="4" t="n"/>
      <c r="AE55" s="4" t="n"/>
      <c r="AF55" s="4" t="n"/>
      <c r="AG55" s="4" t="n"/>
      <c r="AH55" s="4" t="n"/>
      <c r="AI55" s="4" t="n"/>
      <c r="AJ55" s="4" t="n"/>
      <c r="AK55" s="4" t="n"/>
      <c r="AL55" s="4" t="n"/>
      <c r="AM55" s="4" t="n"/>
      <c r="AN55" s="4" t="n"/>
      <c r="AO55" s="12" t="n"/>
      <c r="AP55" s="12" t="n"/>
      <c r="AQ55" s="12" t="n"/>
      <c r="AR55" s="12" t="n"/>
      <c r="AS55" s="16" t="n"/>
      <c r="AT55" s="16" t="n"/>
      <c r="AU55" s="4" t="n"/>
      <c r="AV55" s="124" t="n"/>
      <c r="AX55" s="118" t="n"/>
    </row>
    <row r="56">
      <c r="A56" s="4" t="inlineStr">
        <is>
          <t>ESKN</t>
        </is>
      </c>
      <c r="B56" s="4" t="inlineStr">
        <is>
          <t>NYO</t>
        </is>
      </c>
      <c r="C56" s="4" t="n"/>
      <c r="D56" s="4" t="n"/>
      <c r="E56" s="4" t="inlineStr">
        <is>
          <t>Stockholm Skavsta Airport</t>
        </is>
      </c>
      <c r="F56" s="4" t="n"/>
      <c r="G56" s="4" t="n"/>
      <c r="H56" s="4" t="inlineStr">
        <is>
          <t>Sweden</t>
        </is>
      </c>
      <c r="I56" s="4" t="inlineStr">
        <is>
          <t>Nyköping</t>
        </is>
      </c>
      <c r="J56" s="4" t="n"/>
      <c r="K56" s="4" t="n"/>
      <c r="L56" s="4" t="n"/>
      <c r="M56" s="4" t="n"/>
      <c r="N56" s="12" t="n"/>
      <c r="O56" s="125" t="n">
        <v>58.78966</v>
      </c>
      <c r="P56" s="125" t="n">
        <v>16.91148</v>
      </c>
      <c r="Q56" s="13" t="n"/>
      <c r="R56" s="11" t="n">
        <v>140</v>
      </c>
      <c r="S56" s="4" t="n"/>
      <c r="T56" s="4" t="inlineStr">
        <is>
          <t>Europe/Stockholm</t>
        </is>
      </c>
      <c r="U56" s="126" t="n"/>
      <c r="V56" s="14" t="n"/>
      <c r="W56" s="4" t="n"/>
      <c r="X56" s="4" t="n"/>
      <c r="Y56" s="4" t="n"/>
      <c r="Z56" s="4" t="n"/>
      <c r="AA56" s="4" t="n"/>
      <c r="AB56" s="4" t="n"/>
      <c r="AC56" s="4" t="n"/>
      <c r="AD56" s="4" t="n"/>
      <c r="AE56" s="4" t="n"/>
      <c r="AF56" s="4" t="n"/>
      <c r="AG56" s="4" t="n"/>
      <c r="AH56" s="4" t="n"/>
      <c r="AI56" s="4" t="n"/>
      <c r="AJ56" s="4" t="n"/>
      <c r="AK56" s="4" t="n"/>
      <c r="AL56" s="4" t="n"/>
      <c r="AM56" s="4" t="n"/>
      <c r="AN56" s="4" t="n"/>
      <c r="AO56" s="12" t="n"/>
      <c r="AP56" s="12" t="n"/>
      <c r="AQ56" s="12" t="n"/>
      <c r="AR56" s="12" t="n"/>
      <c r="AS56" s="16" t="n"/>
      <c r="AT56" s="16" t="n"/>
      <c r="AU56" s="4" t="n"/>
      <c r="AV56" s="124" t="n"/>
      <c r="AX56" s="118" t="n"/>
    </row>
    <row r="57">
      <c r="A57" s="4" t="inlineStr">
        <is>
          <t>EVLA</t>
        </is>
      </c>
      <c r="B57" s="4" t="inlineStr">
        <is>
          <t>LPX</t>
        </is>
      </c>
      <c r="C57" s="4" t="n"/>
      <c r="D57" s="4" t="n"/>
      <c r="E57" s="4" t="inlineStr">
        <is>
          <t>Liepāja International Airport</t>
        </is>
      </c>
      <c r="F57" s="4" t="n"/>
      <c r="G57" s="4" t="n"/>
      <c r="H57" s="4" t="inlineStr">
        <is>
          <t>Latvia</t>
        </is>
      </c>
      <c r="I57" s="4" t="inlineStr">
        <is>
          <t>Liepāja</t>
        </is>
      </c>
      <c r="J57" s="4" t="n"/>
      <c r="K57" s="4" t="n"/>
      <c r="L57" s="4" t="n"/>
      <c r="M57" s="4" t="n"/>
      <c r="N57" s="12" t="n"/>
      <c r="O57" s="125" t="n">
        <v>56.5175</v>
      </c>
      <c r="P57" s="125" t="n">
        <v>21.0969</v>
      </c>
      <c r="Q57" s="13" t="n"/>
      <c r="R57" s="11" t="n">
        <v>16</v>
      </c>
      <c r="S57" s="4" t="n"/>
      <c r="T57" s="4" t="inlineStr">
        <is>
          <t>Europe/Riga</t>
        </is>
      </c>
      <c r="U57" s="126" t="n"/>
      <c r="V57" s="14" t="n"/>
      <c r="W57" s="4" t="n"/>
      <c r="X57" s="4" t="n"/>
      <c r="Y57" s="4" t="n"/>
      <c r="Z57" s="4" t="n"/>
      <c r="AA57" s="4" t="n"/>
      <c r="AB57" s="4" t="n"/>
      <c r="AC57" s="4" t="n"/>
      <c r="AD57" s="4" t="n"/>
      <c r="AE57" s="4" t="n"/>
      <c r="AF57" s="4" t="n"/>
      <c r="AG57" s="4" t="n"/>
      <c r="AH57" s="4" t="n"/>
      <c r="AI57" s="4" t="n"/>
      <c r="AJ57" s="4" t="n"/>
      <c r="AK57" s="4" t="n"/>
      <c r="AL57" s="4" t="n"/>
      <c r="AM57" s="4" t="n"/>
      <c r="AN57" s="4" t="n"/>
      <c r="AO57" s="12" t="n"/>
      <c r="AP57" s="12" t="n"/>
      <c r="AQ57" s="12" t="n"/>
      <c r="AR57" s="12" t="n"/>
      <c r="AS57" s="16" t="n"/>
      <c r="AT57" s="16" t="n"/>
      <c r="AU57" s="4" t="n"/>
      <c r="AV57" s="124" t="n"/>
      <c r="AX57" s="118" t="n"/>
    </row>
    <row r="58">
      <c r="A58" s="4" t="inlineStr">
        <is>
          <t>EVRA</t>
        </is>
      </c>
      <c r="B58" s="4" t="inlineStr">
        <is>
          <t>RIX</t>
        </is>
      </c>
      <c r="C58" s="4" t="n"/>
      <c r="D58" s="4" t="n"/>
      <c r="E58" s="4" t="inlineStr">
        <is>
          <t>Riga International Airport</t>
        </is>
      </c>
      <c r="F58" s="4" t="n"/>
      <c r="G58" s="4" t="n"/>
      <c r="H58" s="4" t="inlineStr">
        <is>
          <t>Latvia</t>
        </is>
      </c>
      <c r="I58" s="4" t="inlineStr">
        <is>
          <t>Riga</t>
        </is>
      </c>
      <c r="J58" s="4" t="n"/>
      <c r="K58" s="4" t="n"/>
      <c r="L58" s="4" t="n"/>
      <c r="M58" s="4" t="n"/>
      <c r="N58" s="12" t="n"/>
      <c r="O58" s="125" t="n">
        <v>56.92075</v>
      </c>
      <c r="P58" s="125" t="n">
        <v>23.97071</v>
      </c>
      <c r="Q58" s="13" t="n"/>
      <c r="R58" s="11" t="n">
        <v>36</v>
      </c>
      <c r="S58" s="4" t="n"/>
      <c r="T58" s="4" t="inlineStr">
        <is>
          <t>Europe/Riga</t>
        </is>
      </c>
      <c r="U58" s="126" t="n"/>
      <c r="V58" s="14" t="n"/>
      <c r="W58" s="4" t="n"/>
      <c r="X58" s="4" t="n"/>
      <c r="Y58" s="4" t="n"/>
      <c r="Z58" s="4" t="n"/>
      <c r="AA58" s="4" t="n"/>
      <c r="AB58" s="4" t="n"/>
      <c r="AC58" s="4" t="n"/>
      <c r="AD58" s="4" t="n"/>
      <c r="AE58" s="4" t="n"/>
      <c r="AF58" s="4" t="n"/>
      <c r="AG58" s="4" t="n"/>
      <c r="AH58" s="4" t="n"/>
      <c r="AI58" s="4" t="n"/>
      <c r="AJ58" s="4" t="n"/>
      <c r="AK58" s="4" t="n"/>
      <c r="AL58" s="4" t="n"/>
      <c r="AM58" s="4" t="n"/>
      <c r="AN58" s="4" t="n"/>
      <c r="AO58" s="12" t="n"/>
      <c r="AP58" s="12" t="n"/>
      <c r="AQ58" s="12" t="n"/>
      <c r="AR58" s="12" t="n"/>
      <c r="AS58" s="16" t="n"/>
      <c r="AT58" s="16" t="n"/>
      <c r="AU58" s="4" t="n"/>
      <c r="AV58" s="124" t="n"/>
      <c r="AX58" s="118" t="n"/>
    </row>
    <row r="59">
      <c r="A59" s="4" t="inlineStr">
        <is>
          <t>EYKA</t>
        </is>
      </c>
      <c r="B59" s="4" t="inlineStr">
        <is>
          <t>KUN</t>
        </is>
      </c>
      <c r="C59" s="4" t="n"/>
      <c r="D59" s="4" t="n"/>
      <c r="E59" s="4" t="inlineStr">
        <is>
          <t>Kaunas International Airport</t>
        </is>
      </c>
      <c r="F59" s="4" t="n"/>
      <c r="G59" s="4" t="n"/>
      <c r="H59" s="4" t="inlineStr">
        <is>
          <t>Lithuania</t>
        </is>
      </c>
      <c r="I59" s="4" t="inlineStr">
        <is>
          <t>Kaunas</t>
        </is>
      </c>
      <c r="J59" s="4" t="n"/>
      <c r="K59" s="4" t="n"/>
      <c r="L59" s="4" t="n"/>
      <c r="M59" s="4" t="n"/>
      <c r="N59" s="12" t="n"/>
      <c r="O59" s="125" t="n">
        <v>54.96397</v>
      </c>
      <c r="P59" s="125" t="n">
        <v>24.08582</v>
      </c>
      <c r="Q59" s="13" t="n"/>
      <c r="R59" s="11" t="n">
        <v>256</v>
      </c>
      <c r="S59" s="4" t="n"/>
      <c r="T59" s="4" t="inlineStr">
        <is>
          <t>Europe/Vilnius</t>
        </is>
      </c>
      <c r="U59" s="126" t="n"/>
      <c r="V59" s="14" t="n"/>
      <c r="W59" s="4" t="n"/>
      <c r="X59" s="4" t="n"/>
      <c r="Y59" s="4" t="n"/>
      <c r="Z59" s="4" t="n"/>
      <c r="AA59" s="4" t="n"/>
      <c r="AB59" s="4" t="n"/>
      <c r="AC59" s="4" t="n"/>
      <c r="AD59" s="4" t="n"/>
      <c r="AE59" s="4" t="n"/>
      <c r="AF59" s="4" t="n"/>
      <c r="AG59" s="4" t="n"/>
      <c r="AH59" s="4" t="n"/>
      <c r="AI59" s="4" t="n"/>
      <c r="AJ59" s="4" t="n"/>
      <c r="AK59" s="4" t="n"/>
      <c r="AL59" s="4" t="n"/>
      <c r="AM59" s="4" t="n"/>
      <c r="AN59" s="4" t="n"/>
      <c r="AO59" s="12" t="n"/>
      <c r="AP59" s="12" t="n"/>
      <c r="AQ59" s="12" t="n"/>
      <c r="AR59" s="12" t="n"/>
      <c r="AS59" s="16" t="n"/>
      <c r="AT59" s="16" t="n"/>
      <c r="AU59" s="4" t="n"/>
      <c r="AV59" s="124" t="n"/>
      <c r="AX59" s="118" t="n"/>
    </row>
    <row r="60">
      <c r="A60" s="4" t="inlineStr">
        <is>
          <t>EYPA</t>
        </is>
      </c>
      <c r="B60" s="4" t="inlineStr">
        <is>
          <t>PLQ</t>
        </is>
      </c>
      <c r="C60" s="4" t="n"/>
      <c r="D60" s="4" t="n"/>
      <c r="E60" s="4" t="inlineStr">
        <is>
          <t>Palanga International Airport</t>
        </is>
      </c>
      <c r="F60" s="4" t="n"/>
      <c r="G60" s="4" t="n"/>
      <c r="H60" s="4" t="inlineStr">
        <is>
          <t>Lithuania</t>
        </is>
      </c>
      <c r="I60" s="4" t="inlineStr">
        <is>
          <t>Palanga</t>
        </is>
      </c>
      <c r="J60" s="4" t="n"/>
      <c r="K60" s="4" t="n"/>
      <c r="L60" s="4" t="n"/>
      <c r="M60" s="4" t="n"/>
      <c r="N60" s="12" t="n"/>
      <c r="O60" s="125" t="n">
        <v>55.9732</v>
      </c>
      <c r="P60" s="125" t="n">
        <v>21.0939</v>
      </c>
      <c r="Q60" s="13" t="n"/>
      <c r="R60" s="11" t="n">
        <v>33</v>
      </c>
      <c r="S60" s="4" t="n"/>
      <c r="T60" s="4" t="inlineStr">
        <is>
          <t>Europe/Vilnius</t>
        </is>
      </c>
      <c r="U60" s="126" t="n"/>
      <c r="V60" s="14" t="n"/>
      <c r="W60" s="4" t="n"/>
      <c r="X60" s="4" t="n"/>
      <c r="Y60" s="4" t="n"/>
      <c r="Z60" s="4" t="n"/>
      <c r="AA60" s="4" t="n"/>
      <c r="AB60" s="4" t="n"/>
      <c r="AC60" s="4" t="n"/>
      <c r="AD60" s="4" t="n"/>
      <c r="AE60" s="4" t="n"/>
      <c r="AF60" s="4" t="n"/>
      <c r="AG60" s="4" t="n"/>
      <c r="AH60" s="4" t="n"/>
      <c r="AI60" s="4" t="n"/>
      <c r="AJ60" s="4" t="n"/>
      <c r="AK60" s="4" t="n"/>
      <c r="AL60" s="4" t="n"/>
      <c r="AM60" s="4" t="n"/>
      <c r="AN60" s="4" t="n"/>
      <c r="AO60" s="12" t="n"/>
      <c r="AP60" s="12" t="n"/>
      <c r="AQ60" s="12" t="n"/>
      <c r="AR60" s="12" t="n"/>
      <c r="AS60" s="16" t="n"/>
      <c r="AT60" s="16" t="n"/>
      <c r="AU60" s="4" t="n"/>
      <c r="AV60" s="124" t="n"/>
      <c r="AX60" s="118" t="n"/>
    </row>
    <row r="61">
      <c r="A61" s="4" t="inlineStr">
        <is>
          <t>FABL</t>
        </is>
      </c>
      <c r="B61" s="4" t="inlineStr">
        <is>
          <t>BFN</t>
        </is>
      </c>
      <c r="C61" s="4" t="n"/>
      <c r="D61" s="4" t="n"/>
      <c r="E61" s="4" t="inlineStr">
        <is>
          <t>Bram Fischer International Airport</t>
        </is>
      </c>
      <c r="F61" s="4" t="n"/>
      <c r="G61" s="4" t="n"/>
      <c r="H61" s="4" t="inlineStr">
        <is>
          <t>South Africa</t>
        </is>
      </c>
      <c r="I61" s="4" t="inlineStr">
        <is>
          <t>Bloemfontein</t>
        </is>
      </c>
      <c r="J61" s="4" t="n"/>
      <c r="K61" s="4" t="n"/>
      <c r="L61" s="4" t="n"/>
      <c r="M61" s="4" t="n"/>
      <c r="N61" s="12" t="n"/>
      <c r="O61" s="125" t="n">
        <v>-29.0927</v>
      </c>
      <c r="P61" s="125" t="n">
        <v>26.3024</v>
      </c>
      <c r="Q61" s="13" t="n"/>
      <c r="R61" s="11" t="n">
        <v>4457</v>
      </c>
      <c r="S61" s="4" t="n"/>
      <c r="T61" s="4" t="inlineStr">
        <is>
          <t>Africa/Johannesburg</t>
        </is>
      </c>
      <c r="U61" s="126" t="n"/>
      <c r="V61" s="14" t="n"/>
      <c r="W61" s="4" t="n"/>
      <c r="X61" s="4" t="n"/>
      <c r="Y61" s="4" t="n"/>
      <c r="Z61" s="4" t="n"/>
      <c r="AA61" s="4" t="n"/>
      <c r="AB61" s="4" t="n"/>
      <c r="AC61" s="4" t="n"/>
      <c r="AD61" s="4" t="n"/>
      <c r="AE61" s="4" t="n"/>
      <c r="AF61" s="4" t="n"/>
      <c r="AG61" s="4" t="n"/>
      <c r="AH61" s="4" t="n"/>
      <c r="AI61" s="4" t="n"/>
      <c r="AJ61" s="4" t="n"/>
      <c r="AK61" s="4" t="n"/>
      <c r="AL61" s="4" t="n"/>
      <c r="AM61" s="4" t="n"/>
      <c r="AN61" s="4" t="n"/>
      <c r="AO61" s="12" t="n"/>
      <c r="AP61" s="12" t="n"/>
      <c r="AQ61" s="12" t="n"/>
      <c r="AR61" s="12" t="n"/>
      <c r="AS61" s="16" t="n"/>
      <c r="AT61" s="16" t="n"/>
      <c r="AU61" s="4" t="n"/>
      <c r="AV61" s="124" t="n"/>
      <c r="AX61" s="118" t="n"/>
    </row>
    <row r="62">
      <c r="A62" s="4" t="inlineStr">
        <is>
          <t>FACT</t>
        </is>
      </c>
      <c r="B62" s="4" t="inlineStr">
        <is>
          <t>CPT</t>
        </is>
      </c>
      <c r="C62" s="4" t="n"/>
      <c r="D62" s="4" t="n"/>
      <c r="E62" s="4" t="inlineStr">
        <is>
          <t>Cape Town International Airport</t>
        </is>
      </c>
      <c r="F62" s="4" t="n"/>
      <c r="G62" s="4" t="n"/>
      <c r="H62" s="4" t="inlineStr">
        <is>
          <t>South Africa</t>
        </is>
      </c>
      <c r="I62" s="4" t="inlineStr">
        <is>
          <t>Cape Town</t>
        </is>
      </c>
      <c r="J62" s="4" t="n"/>
      <c r="K62" s="4" t="n"/>
      <c r="L62" s="4" t="n"/>
      <c r="M62" s="4" t="n"/>
      <c r="N62" s="12" t="n"/>
      <c r="O62" s="125" t="n">
        <v>-33.97403</v>
      </c>
      <c r="P62" s="125" t="n">
        <v>18.60433</v>
      </c>
      <c r="Q62" s="13" t="n"/>
      <c r="R62" s="11" t="n">
        <v>151</v>
      </c>
      <c r="S62" s="4" t="n"/>
      <c r="T62" s="4" t="inlineStr">
        <is>
          <t>Africa/Johannesburg</t>
        </is>
      </c>
      <c r="U62" s="126" t="n"/>
      <c r="V62" s="14" t="n"/>
      <c r="W62" s="4" t="n"/>
      <c r="X62" s="4" t="n"/>
      <c r="Y62" s="4" t="n"/>
      <c r="Z62" s="4" t="n"/>
      <c r="AA62" s="4" t="n"/>
      <c r="AB62" s="4" t="n"/>
      <c r="AC62" s="4" t="n"/>
      <c r="AD62" s="4" t="n"/>
      <c r="AE62" s="4" t="n"/>
      <c r="AF62" s="4" t="n"/>
      <c r="AG62" s="4" t="n"/>
      <c r="AH62" s="4" t="n"/>
      <c r="AI62" s="4" t="n"/>
      <c r="AJ62" s="4" t="n"/>
      <c r="AK62" s="4" t="n"/>
      <c r="AL62" s="4" t="n"/>
      <c r="AM62" s="4" t="n"/>
      <c r="AN62" s="4" t="n"/>
      <c r="AO62" s="12" t="n"/>
      <c r="AP62" s="12" t="n"/>
      <c r="AQ62" s="12" t="n"/>
      <c r="AR62" s="12" t="n"/>
      <c r="AS62" s="16" t="n"/>
      <c r="AT62" s="16" t="n"/>
      <c r="AU62" s="4" t="n"/>
      <c r="AV62" s="124" t="n"/>
      <c r="AX62" s="118" t="n"/>
    </row>
    <row r="63">
      <c r="A63" s="4" t="inlineStr">
        <is>
          <t>FAGC</t>
        </is>
      </c>
      <c r="B63" s="4" t="inlineStr">
        <is>
          <t>GCJ</t>
        </is>
      </c>
      <c r="C63" s="4" t="n"/>
      <c r="D63" s="4" t="n"/>
      <c r="E63" s="4" t="inlineStr">
        <is>
          <t>Grand Central Airport</t>
        </is>
      </c>
      <c r="F63" s="4" t="n"/>
      <c r="G63" s="4" t="n"/>
      <c r="H63" s="4" t="inlineStr">
        <is>
          <t>South Africa</t>
        </is>
      </c>
      <c r="I63" s="4" t="inlineStr">
        <is>
          <t>Midrand</t>
        </is>
      </c>
      <c r="J63" s="4" t="n"/>
      <c r="K63" s="4" t="n"/>
      <c r="L63" s="4" t="n"/>
      <c r="M63" s="4" t="n"/>
      <c r="N63" s="12" t="n"/>
      <c r="O63" s="125" t="n">
        <v>-25.9863</v>
      </c>
      <c r="P63" s="125" t="n">
        <v>28.1401</v>
      </c>
      <c r="Q63" s="13" t="n"/>
      <c r="R63" s="11" t="n">
        <v>5325</v>
      </c>
      <c r="S63" s="4" t="n"/>
      <c r="T63" s="4" t="inlineStr">
        <is>
          <t>Africa/Johannesburg</t>
        </is>
      </c>
      <c r="U63" s="126" t="n"/>
      <c r="V63" s="14" t="n"/>
      <c r="W63" s="4" t="n"/>
      <c r="X63" s="4" t="n"/>
      <c r="Y63" s="4" t="n"/>
      <c r="Z63" s="4" t="n"/>
      <c r="AA63" s="4" t="n"/>
      <c r="AB63" s="4" t="n"/>
      <c r="AC63" s="4" t="n"/>
      <c r="AD63" s="4" t="n"/>
      <c r="AE63" s="4" t="n"/>
      <c r="AF63" s="4" t="n"/>
      <c r="AG63" s="4" t="n"/>
      <c r="AH63" s="4" t="n"/>
      <c r="AI63" s="4" t="n"/>
      <c r="AJ63" s="4" t="n"/>
      <c r="AK63" s="4" t="n"/>
      <c r="AL63" s="4" t="n"/>
      <c r="AM63" s="4" t="n"/>
      <c r="AN63" s="4" t="n"/>
      <c r="AO63" s="12" t="n"/>
      <c r="AP63" s="12" t="n"/>
      <c r="AQ63" s="12" t="n"/>
      <c r="AR63" s="12" t="n"/>
      <c r="AS63" s="16" t="n"/>
      <c r="AT63" s="16" t="n"/>
      <c r="AU63" s="4" t="n"/>
      <c r="AV63" s="124" t="n"/>
      <c r="AX63" s="118" t="n"/>
    </row>
    <row r="64">
      <c r="A64" s="4" t="inlineStr">
        <is>
          <t>FALA</t>
        </is>
      </c>
      <c r="B64" s="4" t="inlineStr">
        <is>
          <t>HLA</t>
        </is>
      </c>
      <c r="C64" s="4" t="n"/>
      <c r="D64" s="4" t="n"/>
      <c r="E64" s="4" t="inlineStr">
        <is>
          <t>Lanseria International Airport</t>
        </is>
      </c>
      <c r="F64" s="4" t="n"/>
      <c r="G64" s="4" t="n"/>
      <c r="H64" s="4" t="inlineStr">
        <is>
          <t>South Africa</t>
        </is>
      </c>
      <c r="I64" s="4" t="inlineStr">
        <is>
          <t>Johannesburg</t>
        </is>
      </c>
      <c r="J64" s="4" t="n"/>
      <c r="K64" s="4" t="n"/>
      <c r="L64" s="4" t="n"/>
      <c r="M64" s="4" t="n"/>
      <c r="N64" s="12" t="n"/>
      <c r="O64" s="125" t="n">
        <v>-25.93896</v>
      </c>
      <c r="P64" s="125" t="n">
        <v>27.92664</v>
      </c>
      <c r="Q64" s="13" t="n"/>
      <c r="R64" s="11" t="n">
        <v>4517</v>
      </c>
      <c r="S64" s="4" t="n"/>
      <c r="T64" s="4" t="inlineStr">
        <is>
          <t>Africa/Johannesburg</t>
        </is>
      </c>
      <c r="U64" s="126" t="n"/>
      <c r="V64" s="14" t="n"/>
      <c r="W64" s="4" t="n"/>
      <c r="X64" s="4" t="n"/>
      <c r="Y64" s="4" t="n"/>
      <c r="Z64" s="4" t="n"/>
      <c r="AA64" s="4" t="n"/>
      <c r="AB64" s="4" t="n"/>
      <c r="AC64" s="4" t="n"/>
      <c r="AD64" s="4" t="n"/>
      <c r="AE64" s="4" t="n"/>
      <c r="AF64" s="4" t="n"/>
      <c r="AG64" s="4" t="n"/>
      <c r="AH64" s="4" t="n"/>
      <c r="AI64" s="4" t="n"/>
      <c r="AJ64" s="4" t="n"/>
      <c r="AK64" s="4" t="n"/>
      <c r="AL64" s="4" t="n"/>
      <c r="AM64" s="4" t="n"/>
      <c r="AN64" s="4" t="n"/>
      <c r="AO64" s="12" t="n"/>
      <c r="AP64" s="12" t="n"/>
      <c r="AQ64" s="12" t="n"/>
      <c r="AR64" s="12" t="n"/>
      <c r="AS64" s="16" t="n"/>
      <c r="AT64" s="16" t="n"/>
      <c r="AU64" s="4" t="n"/>
      <c r="AV64" s="124" t="n"/>
      <c r="AX64" s="118" t="n"/>
    </row>
    <row r="65">
      <c r="A65" s="4" t="inlineStr">
        <is>
          <t>FAOR</t>
        </is>
      </c>
      <c r="B65" s="4" t="inlineStr">
        <is>
          <t>JNB</t>
        </is>
      </c>
      <c r="C65" s="4" t="n"/>
      <c r="D65" s="4" t="n"/>
      <c r="E65" s="4" t="inlineStr">
        <is>
          <t>O.R. Tambo International Airport</t>
        </is>
      </c>
      <c r="F65" s="4" t="n"/>
      <c r="G65" s="4" t="n"/>
      <c r="H65" s="4" t="inlineStr">
        <is>
          <t>South Africa</t>
        </is>
      </c>
      <c r="I65" s="4" t="inlineStr">
        <is>
          <t>Johannesburg</t>
        </is>
      </c>
      <c r="J65" s="4" t="n"/>
      <c r="K65" s="4" t="n"/>
      <c r="L65" s="4" t="n"/>
      <c r="M65" s="4" t="n"/>
      <c r="N65" s="12" t="n"/>
      <c r="O65" s="125" t="n">
        <v>-26.14008</v>
      </c>
      <c r="P65" s="125" t="n">
        <v>28.2468</v>
      </c>
      <c r="Q65" s="13" t="n"/>
      <c r="R65" s="11" t="n">
        <v>5558</v>
      </c>
      <c r="S65" s="4" t="n"/>
      <c r="T65" s="4" t="inlineStr">
        <is>
          <t>Africa/Johannesburg</t>
        </is>
      </c>
      <c r="U65" s="126" t="n"/>
      <c r="V65" s="14" t="n"/>
      <c r="W65" s="4" t="n"/>
      <c r="X65" s="4" t="n"/>
      <c r="Y65" s="4" t="n"/>
      <c r="Z65" s="4" t="n"/>
      <c r="AA65" s="4" t="n"/>
      <c r="AB65" s="4" t="n"/>
      <c r="AC65" s="4" t="n"/>
      <c r="AD65" s="4" t="n"/>
      <c r="AE65" s="4" t="n"/>
      <c r="AF65" s="4" t="n"/>
      <c r="AG65" s="4" t="n"/>
      <c r="AH65" s="4" t="n"/>
      <c r="AI65" s="4" t="n"/>
      <c r="AJ65" s="4" t="n"/>
      <c r="AK65" s="4" t="n"/>
      <c r="AL65" s="4" t="n"/>
      <c r="AM65" s="4" t="n"/>
      <c r="AN65" s="4" t="n"/>
      <c r="AO65" s="12" t="n"/>
      <c r="AP65" s="12" t="n"/>
      <c r="AQ65" s="12" t="n"/>
      <c r="AR65" s="12" t="n"/>
      <c r="AS65" s="16" t="n"/>
      <c r="AT65" s="16" t="n"/>
      <c r="AU65" s="4" t="n"/>
      <c r="AV65" s="124" t="n"/>
      <c r="AX65" s="118" t="n"/>
    </row>
    <row r="66">
      <c r="A66" s="4" t="inlineStr">
        <is>
          <t>FAUP</t>
        </is>
      </c>
      <c r="B66" s="4" t="inlineStr">
        <is>
          <t>UTN</t>
        </is>
      </c>
      <c r="C66" s="4" t="n"/>
      <c r="D66" s="4" t="n"/>
      <c r="E66" s="4" t="inlineStr">
        <is>
          <t>Upington Airport</t>
        </is>
      </c>
      <c r="F66" s="4" t="n"/>
      <c r="G66" s="4" t="n"/>
      <c r="H66" s="4" t="inlineStr">
        <is>
          <t>South Africa</t>
        </is>
      </c>
      <c r="I66" s="4" t="inlineStr">
        <is>
          <t>Upington</t>
        </is>
      </c>
      <c r="J66" s="4" t="n"/>
      <c r="K66" s="4" t="n"/>
      <c r="L66" s="4" t="n"/>
      <c r="M66" s="4" t="n"/>
      <c r="N66" s="12" t="n"/>
      <c r="O66" s="125" t="n">
        <v>-28.40025</v>
      </c>
      <c r="P66" s="125" t="n">
        <v>21.26359</v>
      </c>
      <c r="Q66" s="13" t="n"/>
      <c r="R66" s="11" t="n">
        <v>2782</v>
      </c>
      <c r="S66" s="4" t="n"/>
      <c r="T66" s="4" t="inlineStr">
        <is>
          <t>Africa/Johannesburg</t>
        </is>
      </c>
      <c r="U66" s="126" t="n"/>
      <c r="V66" s="14" t="n"/>
      <c r="W66" s="4" t="n"/>
      <c r="X66" s="4" t="n"/>
      <c r="Y66" s="4" t="n"/>
      <c r="Z66" s="4" t="n"/>
      <c r="AA66" s="4" t="n"/>
      <c r="AB66" s="4" t="n"/>
      <c r="AC66" s="4" t="n"/>
      <c r="AD66" s="4" t="n"/>
      <c r="AE66" s="4" t="n"/>
      <c r="AF66" s="4" t="n"/>
      <c r="AG66" s="4" t="n"/>
      <c r="AH66" s="4" t="n"/>
      <c r="AI66" s="4" t="n"/>
      <c r="AJ66" s="4" t="n"/>
      <c r="AK66" s="4" t="n"/>
      <c r="AL66" s="4" t="n"/>
      <c r="AM66" s="4" t="n"/>
      <c r="AN66" s="4" t="n"/>
      <c r="AO66" s="12" t="n"/>
      <c r="AP66" s="12" t="n"/>
      <c r="AQ66" s="12" t="n"/>
      <c r="AR66" s="12" t="n"/>
      <c r="AS66" s="16" t="n"/>
      <c r="AT66" s="16" t="n"/>
      <c r="AU66" s="4" t="n"/>
      <c r="AV66" s="124" t="n"/>
      <c r="AX66" s="118" t="n"/>
    </row>
    <row r="67">
      <c r="A67" s="4" t="inlineStr">
        <is>
          <t>FBKE</t>
        </is>
      </c>
      <c r="B67" s="4" t="inlineStr">
        <is>
          <t>BBK</t>
        </is>
      </c>
      <c r="C67" s="4" t="n"/>
      <c r="D67" s="4" t="n"/>
      <c r="E67" s="4" t="inlineStr">
        <is>
          <t>Kasane International Airport</t>
        </is>
      </c>
      <c r="F67" s="4" t="n"/>
      <c r="G67" s="4" t="n"/>
      <c r="H67" s="4" t="inlineStr">
        <is>
          <t>Botswana</t>
        </is>
      </c>
      <c r="I67" s="4" t="inlineStr">
        <is>
          <t>Kasane</t>
        </is>
      </c>
      <c r="J67" s="4" t="n"/>
      <c r="K67" s="4" t="n"/>
      <c r="L67" s="4" t="n"/>
      <c r="M67" s="4" t="n"/>
      <c r="N67" s="12" t="n"/>
      <c r="O67" s="125" t="n">
        <v>-17.83165</v>
      </c>
      <c r="P67" s="125" t="n">
        <v>25.16619</v>
      </c>
      <c r="Q67" s="13" t="n"/>
      <c r="R67" s="11" t="n">
        <v>3289</v>
      </c>
      <c r="S67" s="4" t="n"/>
      <c r="T67" s="4" t="inlineStr">
        <is>
          <t>Africa/Gaborone</t>
        </is>
      </c>
      <c r="U67" s="126" t="n"/>
      <c r="V67" s="14" t="n"/>
      <c r="W67" s="4" t="n"/>
      <c r="X67" s="4" t="n"/>
      <c r="Y67" s="4" t="n"/>
      <c r="Z67" s="4" t="n"/>
      <c r="AA67" s="4" t="n"/>
      <c r="AB67" s="4" t="n"/>
      <c r="AC67" s="4" t="n"/>
      <c r="AD67" s="4" t="n"/>
      <c r="AE67" s="4" t="n"/>
      <c r="AF67" s="4" t="n"/>
      <c r="AG67" s="4" t="n"/>
      <c r="AH67" s="4" t="n"/>
      <c r="AI67" s="4" t="n"/>
      <c r="AJ67" s="4" t="n"/>
      <c r="AK67" s="4" t="n"/>
      <c r="AL67" s="4" t="n"/>
      <c r="AM67" s="4" t="n"/>
      <c r="AN67" s="4" t="n"/>
      <c r="AO67" s="12" t="n"/>
      <c r="AP67" s="12" t="n"/>
      <c r="AQ67" s="12" t="n"/>
      <c r="AR67" s="12" t="n"/>
      <c r="AS67" s="16" t="n"/>
      <c r="AT67" s="16" t="n"/>
      <c r="AU67" s="4" t="n"/>
      <c r="AV67" s="124" t="n"/>
      <c r="AX67" s="118" t="n"/>
    </row>
    <row r="68">
      <c r="A68" s="4" t="inlineStr">
        <is>
          <t>FBMN</t>
        </is>
      </c>
      <c r="B68" s="4" t="inlineStr">
        <is>
          <t>MUB</t>
        </is>
      </c>
      <c r="C68" s="4" t="n"/>
      <c r="D68" s="4" t="n"/>
      <c r="E68" s="4" t="inlineStr">
        <is>
          <t>Maun International Airport</t>
        </is>
      </c>
      <c r="F68" s="4" t="n"/>
      <c r="G68" s="4" t="n"/>
      <c r="H68" s="4" t="inlineStr">
        <is>
          <t>Botswana</t>
        </is>
      </c>
      <c r="I68" s="4" t="inlineStr">
        <is>
          <t>Maun</t>
        </is>
      </c>
      <c r="J68" s="4" t="n"/>
      <c r="K68" s="4" t="n"/>
      <c r="L68" s="4" t="n"/>
      <c r="M68" s="4" t="n"/>
      <c r="N68" s="12" t="n"/>
      <c r="O68" s="125" t="n">
        <v>-19.97049</v>
      </c>
      <c r="P68" s="125" t="n">
        <v>23.43141</v>
      </c>
      <c r="Q68" s="13" t="n"/>
      <c r="R68" s="11" t="n">
        <v>3093</v>
      </c>
      <c r="S68" s="4" t="n"/>
      <c r="T68" s="4" t="inlineStr">
        <is>
          <t>Africa/Gaborone</t>
        </is>
      </c>
      <c r="U68" s="126" t="n"/>
      <c r="V68" s="14" t="n"/>
      <c r="W68" s="4" t="n"/>
      <c r="X68" s="4" t="n"/>
      <c r="Y68" s="4" t="n"/>
      <c r="Z68" s="4" t="n"/>
      <c r="AA68" s="4" t="n"/>
      <c r="AB68" s="4" t="n"/>
      <c r="AC68" s="4" t="n"/>
      <c r="AD68" s="4" t="n"/>
      <c r="AE68" s="4" t="n"/>
      <c r="AF68" s="4" t="n"/>
      <c r="AG68" s="4" t="n"/>
      <c r="AH68" s="4" t="n"/>
      <c r="AI68" s="4" t="n"/>
      <c r="AJ68" s="4" t="n"/>
      <c r="AK68" s="4" t="n"/>
      <c r="AL68" s="4" t="n"/>
      <c r="AM68" s="4" t="n"/>
      <c r="AN68" s="4" t="n"/>
      <c r="AO68" s="12" t="n"/>
      <c r="AP68" s="12" t="n"/>
      <c r="AQ68" s="12" t="n"/>
      <c r="AR68" s="12" t="n"/>
      <c r="AS68" s="16" t="n"/>
      <c r="AT68" s="16" t="n"/>
      <c r="AU68" s="4" t="n"/>
      <c r="AV68" s="124" t="n"/>
      <c r="AX68" s="118" t="n"/>
    </row>
    <row r="69">
      <c r="A69" s="4" t="inlineStr">
        <is>
          <t>FBSK</t>
        </is>
      </c>
      <c r="B69" s="4" t="inlineStr">
        <is>
          <t>GBE</t>
        </is>
      </c>
      <c r="C69" s="4" t="n"/>
      <c r="D69" s="4" t="n"/>
      <c r="E69" s="4" t="inlineStr">
        <is>
          <t>Sir Seretse Khama International Airport</t>
        </is>
      </c>
      <c r="F69" s="4" t="n"/>
      <c r="G69" s="4" t="n"/>
      <c r="H69" s="4" t="inlineStr">
        <is>
          <t>Botswana</t>
        </is>
      </c>
      <c r="I69" s="4" t="inlineStr">
        <is>
          <t>Gaborone</t>
        </is>
      </c>
      <c r="J69" s="4" t="n"/>
      <c r="K69" s="4" t="n"/>
      <c r="L69" s="4" t="n"/>
      <c r="M69" s="4" t="n"/>
      <c r="N69" s="12" t="n"/>
      <c r="O69" s="125" t="n">
        <v>-24.5552</v>
      </c>
      <c r="P69" s="125" t="n">
        <v>25.9182</v>
      </c>
      <c r="Q69" s="13" t="n"/>
      <c r="R69" s="11" t="n">
        <v>3299</v>
      </c>
      <c r="S69" s="4" t="n"/>
      <c r="T69" s="4" t="inlineStr">
        <is>
          <t>Africa/Gaborone</t>
        </is>
      </c>
      <c r="U69" s="126" t="n"/>
      <c r="V69" s="14" t="n"/>
      <c r="W69" s="4" t="n"/>
      <c r="X69" s="4" t="n"/>
      <c r="Y69" s="4" t="n"/>
      <c r="Z69" s="4" t="n"/>
      <c r="AA69" s="4" t="n"/>
      <c r="AB69" s="4" t="n"/>
      <c r="AC69" s="4" t="n"/>
      <c r="AD69" s="4" t="n"/>
      <c r="AE69" s="4" t="n"/>
      <c r="AF69" s="4" t="n"/>
      <c r="AG69" s="4" t="n"/>
      <c r="AH69" s="4" t="n"/>
      <c r="AI69" s="4" t="n"/>
      <c r="AJ69" s="4" t="n"/>
      <c r="AK69" s="4" t="n"/>
      <c r="AL69" s="4" t="n"/>
      <c r="AM69" s="4" t="n"/>
      <c r="AN69" s="4" t="n"/>
      <c r="AO69" s="12" t="n"/>
      <c r="AP69" s="12" t="n"/>
      <c r="AQ69" s="12" t="n"/>
      <c r="AR69" s="12" t="n"/>
      <c r="AS69" s="16" t="n"/>
      <c r="AT69" s="16" t="n"/>
      <c r="AU69" s="4" t="n"/>
      <c r="AV69" s="124" t="n"/>
      <c r="AX69" s="118" t="n"/>
    </row>
    <row r="70">
      <c r="A70" s="4" t="inlineStr">
        <is>
          <t>FCBB</t>
        </is>
      </c>
      <c r="B70" s="4" t="inlineStr">
        <is>
          <t>BZV</t>
        </is>
      </c>
      <c r="C70" s="4" t="n"/>
      <c r="D70" s="4" t="n"/>
      <c r="E70" s="4" t="inlineStr">
        <is>
          <t>Maya-Maya International Airport</t>
        </is>
      </c>
      <c r="F70" s="4" t="n"/>
      <c r="G70" s="4" t="n"/>
      <c r="H70" s="4" t="inlineStr">
        <is>
          <t>Republic of the Congo</t>
        </is>
      </c>
      <c r="I70" s="4" t="inlineStr">
        <is>
          <t>Brazzaville</t>
        </is>
      </c>
      <c r="J70" s="4" t="n"/>
      <c r="K70" s="4" t="n"/>
      <c r="L70" s="4" t="n"/>
      <c r="M70" s="4" t="n"/>
      <c r="N70" s="12" t="n"/>
      <c r="O70" s="125" t="n">
        <v>-4.2517</v>
      </c>
      <c r="P70" s="125" t="n">
        <v>15.253</v>
      </c>
      <c r="Q70" s="13" t="n"/>
      <c r="R70" s="11" t="n">
        <v>1048</v>
      </c>
      <c r="S70" s="4" t="n"/>
      <c r="T70" s="4" t="inlineStr">
        <is>
          <t>Africa/Brazzaville</t>
        </is>
      </c>
      <c r="U70" s="126" t="n"/>
      <c r="V70" s="14" t="n"/>
      <c r="W70" s="4" t="n"/>
      <c r="X70" s="4" t="n"/>
      <c r="Y70" s="4" t="n"/>
      <c r="Z70" s="4" t="n"/>
      <c r="AA70" s="4" t="n"/>
      <c r="AB70" s="4" t="n"/>
      <c r="AC70" s="4" t="n"/>
      <c r="AD70" s="4" t="n"/>
      <c r="AE70" s="4" t="n"/>
      <c r="AF70" s="4" t="n"/>
      <c r="AG70" s="4" t="n"/>
      <c r="AH70" s="4" t="n"/>
      <c r="AI70" s="4" t="n"/>
      <c r="AJ70" s="4" t="n"/>
      <c r="AK70" s="4" t="n"/>
      <c r="AL70" s="4" t="n"/>
      <c r="AM70" s="4" t="n"/>
      <c r="AN70" s="4" t="n"/>
      <c r="AO70" s="12" t="n"/>
      <c r="AP70" s="12" t="n"/>
      <c r="AQ70" s="12" t="n"/>
      <c r="AR70" s="12" t="n"/>
      <c r="AS70" s="16" t="n"/>
      <c r="AT70" s="16" t="n"/>
      <c r="AU70" s="4" t="n"/>
      <c r="AV70" s="124" t="n"/>
      <c r="AX70" s="118" t="n"/>
    </row>
    <row r="71">
      <c r="A71" s="4" t="inlineStr">
        <is>
          <t>FCPP</t>
        </is>
      </c>
      <c r="B71" s="4" t="inlineStr">
        <is>
          <t>PNR</t>
        </is>
      </c>
      <c r="C71" s="4" t="n"/>
      <c r="D71" s="4" t="n"/>
      <c r="E71" s="4" t="inlineStr">
        <is>
          <t>Antonio Agostinho-Neto International Airport</t>
        </is>
      </c>
      <c r="F71" s="4" t="n"/>
      <c r="G71" s="4" t="n"/>
      <c r="H71" s="4" t="inlineStr">
        <is>
          <t>Republic of the Congo</t>
        </is>
      </c>
      <c r="I71" s="4" t="inlineStr">
        <is>
          <t>Pointe Noire</t>
        </is>
      </c>
      <c r="J71" s="4" t="n"/>
      <c r="K71" s="4" t="n"/>
      <c r="L71" s="4" t="n"/>
      <c r="M71" s="4" t="n"/>
      <c r="N71" s="12" t="n"/>
      <c r="O71" s="125" t="n">
        <v>-4.81603</v>
      </c>
      <c r="P71" s="125" t="n">
        <v>11.8866</v>
      </c>
      <c r="Q71" s="13" t="n"/>
      <c r="R71" s="11" t="n">
        <v>55</v>
      </c>
      <c r="S71" s="4" t="n"/>
      <c r="T71" s="4" t="inlineStr">
        <is>
          <t>Africa/Brazzaville</t>
        </is>
      </c>
      <c r="U71" s="126" t="n"/>
      <c r="V71" s="14" t="n"/>
      <c r="W71" s="4" t="n"/>
      <c r="X71" s="4" t="n"/>
      <c r="Y71" s="4" t="n"/>
      <c r="Z71" s="4" t="n"/>
      <c r="AA71" s="4" t="n"/>
      <c r="AB71" s="4" t="n"/>
      <c r="AC71" s="4" t="n"/>
      <c r="AD71" s="4" t="n"/>
      <c r="AE71" s="4" t="n"/>
      <c r="AF71" s="4" t="n"/>
      <c r="AG71" s="4" t="n"/>
      <c r="AH71" s="4" t="n"/>
      <c r="AI71" s="4" t="n"/>
      <c r="AJ71" s="4" t="n"/>
      <c r="AK71" s="4" t="n"/>
      <c r="AL71" s="4" t="n"/>
      <c r="AM71" s="4" t="n"/>
      <c r="AN71" s="4" t="n"/>
      <c r="AO71" s="12" t="n"/>
      <c r="AP71" s="12" t="n"/>
      <c r="AQ71" s="12" t="n"/>
      <c r="AR71" s="12" t="n"/>
      <c r="AS71" s="16" t="n"/>
      <c r="AT71" s="16" t="n"/>
      <c r="AU71" s="4" t="n"/>
      <c r="AV71" s="124" t="n"/>
      <c r="AX71" s="118" t="n"/>
    </row>
    <row r="72">
      <c r="A72" s="4" t="inlineStr">
        <is>
          <t>FDSK</t>
        </is>
      </c>
      <c r="B72" s="4" t="inlineStr">
        <is>
          <t>SHO</t>
        </is>
      </c>
      <c r="C72" s="4" t="n"/>
      <c r="D72" s="4" t="n"/>
      <c r="E72" s="4" t="inlineStr">
        <is>
          <t>King Mswati III International Airport</t>
        </is>
      </c>
      <c r="F72" s="4" t="n"/>
      <c r="G72" s="4" t="n"/>
      <c r="H72" s="4" t="inlineStr">
        <is>
          <t>Eswatini</t>
        </is>
      </c>
      <c r="I72" s="4" t="inlineStr">
        <is>
          <t>Mpaka</t>
        </is>
      </c>
      <c r="J72" s="4" t="n"/>
      <c r="K72" s="4" t="n"/>
      <c r="L72" s="4" t="n"/>
      <c r="M72" s="4" t="n"/>
      <c r="N72" s="12" t="n"/>
      <c r="O72" s="125" t="n">
        <v>-26.35861</v>
      </c>
      <c r="P72" s="125" t="n">
        <v>31.71694</v>
      </c>
      <c r="Q72" s="13" t="n"/>
      <c r="R72" s="11" t="n">
        <v>1092</v>
      </c>
      <c r="S72" s="4" t="n"/>
      <c r="T72" s="4" t="n"/>
      <c r="U72" s="126" t="n"/>
      <c r="V72" s="14" t="n"/>
      <c r="W72" s="4" t="n"/>
      <c r="X72" s="4" t="n"/>
      <c r="Y72" s="4" t="n"/>
      <c r="Z72" s="4" t="n"/>
      <c r="AA72" s="4" t="n"/>
      <c r="AB72" s="4" t="n"/>
      <c r="AC72" s="4" t="n"/>
      <c r="AD72" s="4" t="n"/>
      <c r="AE72" s="4" t="n"/>
      <c r="AF72" s="4" t="n"/>
      <c r="AG72" s="4" t="n"/>
      <c r="AH72" s="4" t="n"/>
      <c r="AI72" s="4" t="n"/>
      <c r="AJ72" s="4" t="n"/>
      <c r="AK72" s="4" t="n"/>
      <c r="AL72" s="4" t="n"/>
      <c r="AM72" s="4" t="n"/>
      <c r="AN72" s="4" t="n"/>
      <c r="AO72" s="12" t="n"/>
      <c r="AP72" s="12" t="n"/>
      <c r="AQ72" s="12" t="n"/>
      <c r="AR72" s="12" t="n"/>
      <c r="AS72" s="16" t="n"/>
      <c r="AT72" s="16" t="n"/>
      <c r="AU72" s="4" t="n"/>
      <c r="AV72" s="124" t="n"/>
      <c r="AX72" s="118" t="n"/>
    </row>
    <row r="73">
      <c r="A73" s="4" t="inlineStr">
        <is>
          <t>FEFF</t>
        </is>
      </c>
      <c r="B73" s="4" t="inlineStr">
        <is>
          <t>BGF</t>
        </is>
      </c>
      <c r="C73" s="4" t="n"/>
      <c r="D73" s="4" t="n"/>
      <c r="E73" s="4" t="inlineStr">
        <is>
          <t>Bangui M'Poko International Airport</t>
        </is>
      </c>
      <c r="F73" s="4" t="n"/>
      <c r="G73" s="4" t="n"/>
      <c r="H73" s="4" t="inlineStr">
        <is>
          <t>Central African Republic</t>
        </is>
      </c>
      <c r="I73" s="4" t="inlineStr">
        <is>
          <t>Bangui</t>
        </is>
      </c>
      <c r="J73" s="4" t="n"/>
      <c r="K73" s="4" t="n"/>
      <c r="L73" s="4" t="n"/>
      <c r="M73" s="4" t="n"/>
      <c r="N73" s="12" t="n"/>
      <c r="O73" s="125" t="n">
        <v>4.39848</v>
      </c>
      <c r="P73" s="125" t="n">
        <v>18.5188</v>
      </c>
      <c r="Q73" s="13" t="n"/>
      <c r="R73" s="11" t="n">
        <v>1208</v>
      </c>
      <c r="S73" s="4" t="n"/>
      <c r="T73" s="4" t="inlineStr">
        <is>
          <t>Africa/Bangui</t>
        </is>
      </c>
      <c r="U73" s="126" t="n"/>
      <c r="V73" s="14" t="n"/>
      <c r="W73" s="4" t="n"/>
      <c r="X73" s="4" t="n"/>
      <c r="Y73" s="4" t="n"/>
      <c r="Z73" s="4" t="n"/>
      <c r="AA73" s="4" t="n"/>
      <c r="AB73" s="4" t="n"/>
      <c r="AC73" s="4" t="n"/>
      <c r="AD73" s="4" t="n"/>
      <c r="AE73" s="4" t="n"/>
      <c r="AF73" s="4" t="n"/>
      <c r="AG73" s="4" t="n"/>
      <c r="AH73" s="4" t="n"/>
      <c r="AI73" s="4" t="n"/>
      <c r="AJ73" s="4" t="n"/>
      <c r="AK73" s="4" t="n"/>
      <c r="AL73" s="4" t="n"/>
      <c r="AM73" s="4" t="n"/>
      <c r="AN73" s="4" t="n"/>
      <c r="AO73" s="12" t="n"/>
      <c r="AP73" s="12" t="n"/>
      <c r="AQ73" s="12" t="n"/>
      <c r="AR73" s="12" t="n"/>
      <c r="AS73" s="16" t="n"/>
      <c r="AT73" s="16" t="n"/>
      <c r="AU73" s="4" t="n"/>
      <c r="AV73" s="124" t="n"/>
      <c r="AX73" s="118" t="n"/>
    </row>
    <row r="74">
      <c r="A74" s="4" t="inlineStr">
        <is>
          <t>FGBT</t>
        </is>
      </c>
      <c r="B74" s="4" t="inlineStr">
        <is>
          <t>BSG</t>
        </is>
      </c>
      <c r="C74" s="4" t="n"/>
      <c r="D74" s="4" t="n"/>
      <c r="E74" s="4" t="inlineStr">
        <is>
          <t>Bata International Airport</t>
        </is>
      </c>
      <c r="F74" s="4" t="n"/>
      <c r="G74" s="4" t="n"/>
      <c r="H74" s="4" t="inlineStr">
        <is>
          <t>Equatorial Guinea</t>
        </is>
      </c>
      <c r="I74" s="4" t="inlineStr">
        <is>
          <t>Bata</t>
        </is>
      </c>
      <c r="J74" s="4" t="n"/>
      <c r="K74" s="4" t="n"/>
      <c r="L74" s="4" t="n"/>
      <c r="M74" s="4" t="n"/>
      <c r="N74" s="12" t="n"/>
      <c r="O74" s="125" t="n">
        <v>1.90547</v>
      </c>
      <c r="P74" s="125" t="n">
        <v>9.805680000000001</v>
      </c>
      <c r="Q74" s="13" t="n"/>
      <c r="R74" s="11" t="n">
        <v>13</v>
      </c>
      <c r="S74" s="4" t="n"/>
      <c r="T74" s="4" t="inlineStr">
        <is>
          <t>Africa/Malabo</t>
        </is>
      </c>
      <c r="U74" s="126" t="n"/>
      <c r="V74" s="14" t="n"/>
      <c r="W74" s="4" t="n"/>
      <c r="X74" s="4" t="n"/>
      <c r="Y74" s="4" t="n"/>
      <c r="Z74" s="4" t="n"/>
      <c r="AA74" s="4" t="n"/>
      <c r="AB74" s="4" t="n"/>
      <c r="AC74" s="4" t="n"/>
      <c r="AD74" s="4" t="n"/>
      <c r="AE74" s="4" t="n"/>
      <c r="AF74" s="4" t="n"/>
      <c r="AG74" s="4" t="n"/>
      <c r="AH74" s="4" t="n"/>
      <c r="AI74" s="4" t="n"/>
      <c r="AJ74" s="4" t="n"/>
      <c r="AK74" s="4" t="n"/>
      <c r="AL74" s="4" t="n"/>
      <c r="AM74" s="4" t="n"/>
      <c r="AN74" s="4" t="n"/>
      <c r="AO74" s="12" t="n"/>
      <c r="AP74" s="12" t="n"/>
      <c r="AQ74" s="12" t="n"/>
      <c r="AR74" s="12" t="n"/>
      <c r="AS74" s="16" t="n"/>
      <c r="AT74" s="16" t="n"/>
      <c r="AU74" s="4" t="n"/>
      <c r="AV74" s="124" t="n"/>
      <c r="AX74" s="118" t="n"/>
    </row>
    <row r="75">
      <c r="A75" s="4" t="inlineStr">
        <is>
          <t>FGCO</t>
        </is>
      </c>
      <c r="B75" s="4" t="inlineStr">
        <is>
          <t>OCS</t>
        </is>
      </c>
      <c r="C75" s="4" t="n"/>
      <c r="D75" s="4" t="n"/>
      <c r="E75" s="4" t="inlineStr">
        <is>
          <t>Corisco International Airport</t>
        </is>
      </c>
      <c r="F75" s="4" t="n"/>
      <c r="G75" s="4" t="n"/>
      <c r="H75" s="4" t="inlineStr">
        <is>
          <t>Equatorial Guinea</t>
        </is>
      </c>
      <c r="I75" s="4" t="inlineStr">
        <is>
          <t>Corisco Island</t>
        </is>
      </c>
      <c r="J75" s="4" t="n"/>
      <c r="K75" s="4" t="n"/>
      <c r="L75" s="4" t="n"/>
      <c r="M75" s="4" t="n"/>
      <c r="N75" s="12" t="n"/>
      <c r="O75" s="125" t="n">
        <v>0.91094</v>
      </c>
      <c r="P75" s="125" t="n">
        <v>9.330270000000001</v>
      </c>
      <c r="Q75" s="13" t="n"/>
      <c r="R75" s="11" t="n">
        <v>55</v>
      </c>
      <c r="S75" s="4" t="n"/>
      <c r="T75" s="4" t="n"/>
      <c r="U75" s="126" t="n"/>
      <c r="V75" s="14" t="n"/>
      <c r="W75" s="4" t="n"/>
      <c r="X75" s="4" t="n"/>
      <c r="Y75" s="4" t="n"/>
      <c r="Z75" s="4" t="n"/>
      <c r="AA75" s="4" t="n"/>
      <c r="AB75" s="4" t="n"/>
      <c r="AC75" s="4" t="n"/>
      <c r="AD75" s="4" t="n"/>
      <c r="AE75" s="4" t="n"/>
      <c r="AF75" s="4" t="n"/>
      <c r="AG75" s="4" t="n"/>
      <c r="AH75" s="4" t="n"/>
      <c r="AI75" s="4" t="n"/>
      <c r="AJ75" s="4" t="n"/>
      <c r="AK75" s="4" t="n"/>
      <c r="AL75" s="4" t="n"/>
      <c r="AM75" s="4" t="n"/>
      <c r="AN75" s="4" t="n"/>
      <c r="AO75" s="12" t="n"/>
      <c r="AP75" s="12" t="n"/>
      <c r="AQ75" s="12" t="n"/>
      <c r="AR75" s="12" t="n"/>
      <c r="AS75" s="16" t="n"/>
      <c r="AT75" s="16" t="n"/>
      <c r="AU75" s="4" t="n"/>
      <c r="AV75" s="124" t="n"/>
      <c r="AX75" s="118" t="n"/>
    </row>
    <row r="76">
      <c r="A76" s="4" t="inlineStr">
        <is>
          <t>FGSL</t>
        </is>
      </c>
      <c r="B76" s="4" t="inlineStr">
        <is>
          <t>SSG</t>
        </is>
      </c>
      <c r="C76" s="4" t="n"/>
      <c r="D76" s="4" t="n"/>
      <c r="E76" s="4" t="inlineStr">
        <is>
          <t>Malabo International Airport</t>
        </is>
      </c>
      <c r="F76" s="4" t="n"/>
      <c r="G76" s="4" t="n"/>
      <c r="H76" s="4" t="inlineStr">
        <is>
          <t>Equatorial Guinea</t>
        </is>
      </c>
      <c r="I76" s="4" t="inlineStr">
        <is>
          <t>Malabo</t>
        </is>
      </c>
      <c r="J76" s="4" t="n"/>
      <c r="K76" s="4" t="n"/>
      <c r="L76" s="4" t="n"/>
      <c r="M76" s="4" t="n"/>
      <c r="N76" s="12" t="n"/>
      <c r="O76" s="125" t="n">
        <v>3.75527</v>
      </c>
      <c r="P76" s="125" t="n">
        <v>8.70872</v>
      </c>
      <c r="Q76" s="13" t="n"/>
      <c r="R76" s="11" t="n">
        <v>76</v>
      </c>
      <c r="S76" s="4" t="n"/>
      <c r="T76" s="4" t="inlineStr">
        <is>
          <t>Africa/Malabo</t>
        </is>
      </c>
      <c r="U76" s="126" t="n"/>
      <c r="V76" s="14" t="n"/>
      <c r="W76" s="4" t="n"/>
      <c r="X76" s="4" t="n"/>
      <c r="Y76" s="4" t="n"/>
      <c r="Z76" s="4" t="n"/>
      <c r="AA76" s="4" t="n"/>
      <c r="AB76" s="4" t="n"/>
      <c r="AC76" s="4" t="n"/>
      <c r="AD76" s="4" t="n"/>
      <c r="AE76" s="4" t="n"/>
      <c r="AF76" s="4" t="n"/>
      <c r="AG76" s="4" t="n"/>
      <c r="AH76" s="4" t="n"/>
      <c r="AI76" s="4" t="n"/>
      <c r="AJ76" s="4" t="n"/>
      <c r="AK76" s="4" t="n"/>
      <c r="AL76" s="4" t="n"/>
      <c r="AM76" s="4" t="n"/>
      <c r="AN76" s="4" t="n"/>
      <c r="AO76" s="12" t="n"/>
      <c r="AP76" s="12" t="n"/>
      <c r="AQ76" s="12" t="n"/>
      <c r="AR76" s="12" t="n"/>
      <c r="AS76" s="16" t="n"/>
      <c r="AT76" s="16" t="n"/>
      <c r="AU76" s="4" t="n"/>
      <c r="AV76" s="124" t="n"/>
      <c r="AX76" s="118" t="n"/>
    </row>
    <row r="77">
      <c r="A77" s="4" t="inlineStr">
        <is>
          <t>FIMP</t>
        </is>
      </c>
      <c r="B77" s="4" t="inlineStr">
        <is>
          <t>MRU</t>
        </is>
      </c>
      <c r="C77" s="4" t="n"/>
      <c r="D77" s="4" t="n"/>
      <c r="E77" s="4" t="inlineStr">
        <is>
          <t>Sir Seewoosagur Ramgoolam International Airport</t>
        </is>
      </c>
      <c r="F77" s="4" t="n"/>
      <c r="G77" s="4" t="n"/>
      <c r="H77" s="4" t="inlineStr">
        <is>
          <t>Mauritius</t>
        </is>
      </c>
      <c r="I77" s="4" t="inlineStr">
        <is>
          <t>Plaine Magnien</t>
        </is>
      </c>
      <c r="J77" s="4" t="n"/>
      <c r="K77" s="4" t="n"/>
      <c r="L77" s="4" t="n"/>
      <c r="M77" s="4" t="n"/>
      <c r="N77" s="12" t="n"/>
      <c r="O77" s="125" t="n">
        <v>-20.4302</v>
      </c>
      <c r="P77" s="125" t="n">
        <v>57.6836</v>
      </c>
      <c r="Q77" s="13" t="n"/>
      <c r="R77" s="11" t="n">
        <v>186</v>
      </c>
      <c r="S77" s="4" t="n"/>
      <c r="T77" s="4" t="inlineStr">
        <is>
          <t>Indian/Mauritius</t>
        </is>
      </c>
      <c r="U77" s="126" t="n"/>
      <c r="V77" s="14" t="n"/>
      <c r="W77" s="4" t="n"/>
      <c r="X77" s="4" t="n"/>
      <c r="Y77" s="4" t="n"/>
      <c r="Z77" s="4" t="n"/>
      <c r="AA77" s="4" t="n"/>
      <c r="AB77" s="4" t="n"/>
      <c r="AC77" s="4" t="n"/>
      <c r="AD77" s="4" t="n"/>
      <c r="AE77" s="4" t="n"/>
      <c r="AF77" s="4" t="n"/>
      <c r="AG77" s="4" t="n"/>
      <c r="AH77" s="4" t="n"/>
      <c r="AI77" s="4" t="n"/>
      <c r="AJ77" s="4" t="n"/>
      <c r="AK77" s="4" t="n"/>
      <c r="AL77" s="4" t="n"/>
      <c r="AM77" s="4" t="n"/>
      <c r="AN77" s="4" t="n"/>
      <c r="AO77" s="12" t="n"/>
      <c r="AP77" s="12" t="n"/>
      <c r="AQ77" s="12" t="n"/>
      <c r="AR77" s="12" t="n"/>
      <c r="AS77" s="16" t="n"/>
      <c r="AT77" s="16" t="n"/>
      <c r="AU77" s="4" t="n"/>
      <c r="AV77" s="124" t="n"/>
      <c r="AX77" s="118" t="n"/>
    </row>
    <row r="78">
      <c r="A78" s="4" t="inlineStr">
        <is>
          <t>FKKD</t>
        </is>
      </c>
      <c r="B78" s="4" t="inlineStr">
        <is>
          <t>DLA</t>
        </is>
      </c>
      <c r="C78" s="4" t="n"/>
      <c r="D78" s="4" t="n"/>
      <c r="E78" s="4" t="inlineStr">
        <is>
          <t>Douala International Airport</t>
        </is>
      </c>
      <c r="F78" s="4" t="n"/>
      <c r="G78" s="4" t="n"/>
      <c r="H78" s="4" t="inlineStr">
        <is>
          <t>Cameroon</t>
        </is>
      </c>
      <c r="I78" s="4" t="inlineStr">
        <is>
          <t>Douala</t>
        </is>
      </c>
      <c r="J78" s="4" t="n"/>
      <c r="K78" s="4" t="n"/>
      <c r="L78" s="4" t="n"/>
      <c r="M78" s="4" t="n"/>
      <c r="N78" s="12" t="n"/>
      <c r="O78" s="125" t="n">
        <v>4.00608</v>
      </c>
      <c r="P78" s="125" t="n">
        <v>9.719480000000001</v>
      </c>
      <c r="Q78" s="13" t="n"/>
      <c r="R78" s="11" t="n">
        <v>33</v>
      </c>
      <c r="S78" s="4" t="n"/>
      <c r="T78" s="4" t="inlineStr">
        <is>
          <t>Africa/Douala</t>
        </is>
      </c>
      <c r="U78" s="126" t="n"/>
      <c r="V78" s="14" t="n"/>
      <c r="W78" s="4" t="n"/>
      <c r="X78" s="4" t="n"/>
      <c r="Y78" s="4" t="n"/>
      <c r="Z78" s="4" t="n"/>
      <c r="AA78" s="4" t="n"/>
      <c r="AB78" s="4" t="n"/>
      <c r="AC78" s="4" t="n"/>
      <c r="AD78" s="4" t="n"/>
      <c r="AE78" s="4" t="n"/>
      <c r="AF78" s="4" t="n"/>
      <c r="AG78" s="4" t="n"/>
      <c r="AH78" s="4" t="n"/>
      <c r="AI78" s="4" t="n"/>
      <c r="AJ78" s="4" t="n"/>
      <c r="AK78" s="4" t="n"/>
      <c r="AL78" s="4" t="n"/>
      <c r="AM78" s="4" t="n"/>
      <c r="AN78" s="4" t="n"/>
      <c r="AO78" s="12" t="n"/>
      <c r="AP78" s="12" t="n"/>
      <c r="AQ78" s="12" t="n"/>
      <c r="AR78" s="12" t="n"/>
      <c r="AS78" s="16" t="n"/>
      <c r="AT78" s="16" t="n"/>
      <c r="AU78" s="4" t="n"/>
      <c r="AV78" s="124" t="n"/>
      <c r="AX78" s="118" t="n"/>
    </row>
    <row r="79">
      <c r="A79" s="4" t="inlineStr">
        <is>
          <t>FKKR</t>
        </is>
      </c>
      <c r="B79" s="4" t="inlineStr">
        <is>
          <t>GOU</t>
        </is>
      </c>
      <c r="C79" s="4" t="n"/>
      <c r="D79" s="4" t="n"/>
      <c r="E79" s="4" t="inlineStr">
        <is>
          <t>Garoua International Airport</t>
        </is>
      </c>
      <c r="F79" s="4" t="n"/>
      <c r="G79" s="4" t="n"/>
      <c r="H79" s="4" t="inlineStr">
        <is>
          <t>Cameroon</t>
        </is>
      </c>
      <c r="I79" s="4" t="inlineStr">
        <is>
          <t>Garoua</t>
        </is>
      </c>
      <c r="J79" s="4" t="n"/>
      <c r="K79" s="4" t="n"/>
      <c r="L79" s="4" t="n"/>
      <c r="M79" s="4" t="n"/>
      <c r="N79" s="12" t="n"/>
      <c r="O79" s="125" t="n">
        <v>9.33479</v>
      </c>
      <c r="P79" s="125" t="n">
        <v>13.37213</v>
      </c>
      <c r="Q79" s="13" t="n"/>
      <c r="R79" s="11" t="n">
        <v>794</v>
      </c>
      <c r="S79" s="4" t="n"/>
      <c r="T79" s="4" t="inlineStr">
        <is>
          <t>Africa/Douala</t>
        </is>
      </c>
      <c r="U79" s="126" t="n"/>
      <c r="V79" s="14" t="n"/>
      <c r="W79" s="4" t="n"/>
      <c r="X79" s="4" t="n"/>
      <c r="Y79" s="4" t="n"/>
      <c r="Z79" s="4" t="n"/>
      <c r="AA79" s="4" t="n"/>
      <c r="AB79" s="4" t="n"/>
      <c r="AC79" s="4" t="n"/>
      <c r="AD79" s="4" t="n"/>
      <c r="AE79" s="4" t="n"/>
      <c r="AF79" s="4" t="n"/>
      <c r="AG79" s="4" t="n"/>
      <c r="AH79" s="4" t="n"/>
      <c r="AI79" s="4" t="n"/>
      <c r="AJ79" s="4" t="n"/>
      <c r="AK79" s="4" t="n"/>
      <c r="AL79" s="4" t="n"/>
      <c r="AM79" s="4" t="n"/>
      <c r="AN79" s="4" t="n"/>
      <c r="AO79" s="12" t="n"/>
      <c r="AP79" s="12" t="n"/>
      <c r="AQ79" s="12" t="n"/>
      <c r="AR79" s="12" t="n"/>
      <c r="AS79" s="16" t="n"/>
      <c r="AT79" s="16" t="n"/>
      <c r="AU79" s="4" t="n"/>
      <c r="AV79" s="124" t="n"/>
      <c r="AX79" s="118" t="n"/>
    </row>
    <row r="80">
      <c r="A80" s="4" t="inlineStr">
        <is>
          <t>FLHN</t>
        </is>
      </c>
      <c r="B80" s="4" t="inlineStr">
        <is>
          <t>LVI</t>
        </is>
      </c>
      <c r="C80" s="4" t="n"/>
      <c r="D80" s="4" t="n"/>
      <c r="E80" s="4" t="inlineStr">
        <is>
          <t>Harry Mwanga Nkumbula International Airport</t>
        </is>
      </c>
      <c r="F80" s="4" t="n"/>
      <c r="G80" s="4" t="n"/>
      <c r="H80" s="4" t="inlineStr">
        <is>
          <t>Zambia</t>
        </is>
      </c>
      <c r="I80" s="4" t="inlineStr">
        <is>
          <t>Livingstone</t>
        </is>
      </c>
      <c r="J80" s="4" t="n"/>
      <c r="K80" s="4" t="n"/>
      <c r="L80" s="4" t="n"/>
      <c r="M80" s="4" t="n"/>
      <c r="N80" s="12" t="n"/>
      <c r="O80" s="125" t="n">
        <v>-17.82152</v>
      </c>
      <c r="P80" s="125" t="n">
        <v>25.81964</v>
      </c>
      <c r="Q80" s="13" t="n"/>
      <c r="R80" s="11" t="n">
        <v>3302</v>
      </c>
      <c r="S80" s="4" t="n"/>
      <c r="T80" s="4" t="n"/>
      <c r="U80" s="126" t="n"/>
      <c r="V80" s="14" t="n"/>
      <c r="W80" s="4" t="n"/>
      <c r="X80" s="4" t="n"/>
      <c r="Y80" s="4" t="n"/>
      <c r="Z80" s="4" t="n"/>
      <c r="AA80" s="4" t="n"/>
      <c r="AB80" s="4" t="n"/>
      <c r="AC80" s="4" t="n"/>
      <c r="AD80" s="4" t="n"/>
      <c r="AE80" s="4" t="n"/>
      <c r="AF80" s="4" t="n"/>
      <c r="AG80" s="4" t="n"/>
      <c r="AH80" s="4" t="n"/>
      <c r="AI80" s="4" t="n"/>
      <c r="AJ80" s="4" t="n"/>
      <c r="AK80" s="4" t="n"/>
      <c r="AL80" s="4" t="n"/>
      <c r="AM80" s="4" t="n"/>
      <c r="AN80" s="4" t="n"/>
      <c r="AO80" s="12" t="n"/>
      <c r="AP80" s="12" t="n"/>
      <c r="AQ80" s="12" t="n"/>
      <c r="AR80" s="12" t="n"/>
      <c r="AS80" s="16" t="n"/>
      <c r="AT80" s="16" t="n"/>
      <c r="AU80" s="4" t="n"/>
      <c r="AV80" s="124" t="n"/>
      <c r="AX80" s="118" t="n"/>
    </row>
    <row r="81">
      <c r="A81" s="4" t="inlineStr">
        <is>
          <t>FLKK</t>
        </is>
      </c>
      <c r="B81" s="4" t="inlineStr">
        <is>
          <t>LUN</t>
        </is>
      </c>
      <c r="C81" s="4" t="n"/>
      <c r="D81" s="4" t="n"/>
      <c r="E81" s="4" t="inlineStr">
        <is>
          <t>Kenneth Kaunda International Airport</t>
        </is>
      </c>
      <c r="F81" s="4" t="n"/>
      <c r="G81" s="4" t="n"/>
      <c r="H81" s="4" t="inlineStr">
        <is>
          <t>Zambia</t>
        </is>
      </c>
      <c r="I81" s="4" t="inlineStr">
        <is>
          <t>Lusaka</t>
        </is>
      </c>
      <c r="J81" s="4" t="n"/>
      <c r="K81" s="4" t="n"/>
      <c r="L81" s="4" t="n"/>
      <c r="M81" s="4" t="n"/>
      <c r="N81" s="12" t="n"/>
      <c r="O81" s="125" t="n">
        <v>-15.33083</v>
      </c>
      <c r="P81" s="125" t="n">
        <v>28.45272</v>
      </c>
      <c r="Q81" s="13" t="n"/>
      <c r="R81" s="11" t="n">
        <v>3779</v>
      </c>
      <c r="S81" s="4" t="n"/>
      <c r="T81" s="4" t="n"/>
      <c r="U81" s="126" t="n"/>
      <c r="V81" s="14" t="n"/>
      <c r="W81" s="4" t="n"/>
      <c r="X81" s="4" t="n"/>
      <c r="Y81" s="4" t="n"/>
      <c r="Z81" s="4" t="n"/>
      <c r="AA81" s="4" t="n"/>
      <c r="AB81" s="4" t="n"/>
      <c r="AC81" s="4" t="n"/>
      <c r="AD81" s="4" t="n"/>
      <c r="AE81" s="4" t="n"/>
      <c r="AF81" s="4" t="n"/>
      <c r="AG81" s="4" t="n"/>
      <c r="AH81" s="4" t="n"/>
      <c r="AI81" s="4" t="n"/>
      <c r="AJ81" s="4" t="n"/>
      <c r="AK81" s="4" t="n"/>
      <c r="AL81" s="4" t="n"/>
      <c r="AM81" s="4" t="n"/>
      <c r="AN81" s="4" t="n"/>
      <c r="AO81" s="12" t="n"/>
      <c r="AP81" s="12" t="n"/>
      <c r="AQ81" s="12" t="n"/>
      <c r="AR81" s="12" t="n"/>
      <c r="AS81" s="16" t="n"/>
      <c r="AT81" s="16" t="n"/>
      <c r="AU81" s="4" t="n"/>
      <c r="AV81" s="124" t="n"/>
      <c r="AX81" s="118" t="n"/>
    </row>
    <row r="82">
      <c r="A82" s="4" t="inlineStr">
        <is>
          <t>FMCH</t>
        </is>
      </c>
      <c r="B82" s="4" t="inlineStr">
        <is>
          <t>HAH</t>
        </is>
      </c>
      <c r="C82" s="4" t="n"/>
      <c r="D82" s="4" t="n"/>
      <c r="E82" s="4" t="inlineStr">
        <is>
          <t>Prince Said Ibrahim International Airport</t>
        </is>
      </c>
      <c r="F82" s="4" t="n"/>
      <c r="G82" s="4" t="n"/>
      <c r="H82" s="4" t="inlineStr">
        <is>
          <t>Comoros</t>
        </is>
      </c>
      <c r="I82" s="4" t="inlineStr">
        <is>
          <t>Moroni</t>
        </is>
      </c>
      <c r="J82" s="4" t="n"/>
      <c r="K82" s="4" t="n"/>
      <c r="L82" s="4" t="n"/>
      <c r="M82" s="4" t="n"/>
      <c r="N82" s="12" t="n"/>
      <c r="O82" s="125" t="n">
        <v>-11.5337</v>
      </c>
      <c r="P82" s="125" t="n">
        <v>43.2719</v>
      </c>
      <c r="Q82" s="13" t="n"/>
      <c r="R82" s="11" t="n">
        <v>93</v>
      </c>
      <c r="S82" s="4" t="n"/>
      <c r="T82" s="4" t="inlineStr">
        <is>
          <t>Indian/Comoro</t>
        </is>
      </c>
      <c r="U82" s="126" t="n"/>
      <c r="V82" s="14" t="n"/>
      <c r="W82" s="4" t="n"/>
      <c r="X82" s="4" t="n"/>
      <c r="Y82" s="4" t="n"/>
      <c r="Z82" s="4" t="n"/>
      <c r="AA82" s="4" t="n"/>
      <c r="AB82" s="4" t="n"/>
      <c r="AC82" s="4" t="n"/>
      <c r="AD82" s="4" t="n"/>
      <c r="AE82" s="4" t="n"/>
      <c r="AF82" s="4" t="n"/>
      <c r="AG82" s="4" t="n"/>
      <c r="AH82" s="4" t="n"/>
      <c r="AI82" s="4" t="n"/>
      <c r="AJ82" s="4" t="n"/>
      <c r="AK82" s="4" t="n"/>
      <c r="AL82" s="4" t="n"/>
      <c r="AM82" s="4" t="n"/>
      <c r="AN82" s="4" t="n"/>
      <c r="AO82" s="12" t="n"/>
      <c r="AP82" s="12" t="n"/>
      <c r="AQ82" s="12" t="n"/>
      <c r="AR82" s="12" t="n"/>
      <c r="AS82" s="16" t="n"/>
      <c r="AT82" s="16" t="n"/>
      <c r="AU82" s="4" t="n"/>
      <c r="AV82" s="124" t="n"/>
      <c r="AX82" s="118" t="n"/>
    </row>
    <row r="83">
      <c r="A83" s="4" t="inlineStr">
        <is>
          <t>FMCZ</t>
        </is>
      </c>
      <c r="B83" s="4" t="inlineStr">
        <is>
          <t>DZA</t>
        </is>
      </c>
      <c r="C83" s="4" t="n"/>
      <c r="D83" s="4" t="n"/>
      <c r="E83" s="4" t="inlineStr">
        <is>
          <t>Dzaoudzi Pamandzi International Airport</t>
        </is>
      </c>
      <c r="F83" s="4" t="n"/>
      <c r="G83" s="4" t="n"/>
      <c r="H83" s="4" t="inlineStr">
        <is>
          <t>Mayotte</t>
        </is>
      </c>
      <c r="I83" s="4" t="inlineStr">
        <is>
          <t>Dzaoudzi</t>
        </is>
      </c>
      <c r="J83" s="4" t="n"/>
      <c r="K83" s="4" t="n"/>
      <c r="L83" s="4" t="n"/>
      <c r="M83" s="4" t="n"/>
      <c r="N83" s="12" t="n"/>
      <c r="O83" s="125" t="n">
        <v>-12.80932</v>
      </c>
      <c r="P83" s="125" t="n">
        <v>45.28182</v>
      </c>
      <c r="Q83" s="13" t="n"/>
      <c r="R83" s="11" t="n">
        <v>23</v>
      </c>
      <c r="S83" s="4" t="n"/>
      <c r="T83" s="4" t="inlineStr">
        <is>
          <t>Indian/Mayotte</t>
        </is>
      </c>
      <c r="U83" s="126" t="n"/>
      <c r="V83" s="14" t="n"/>
      <c r="W83" s="4" t="n"/>
      <c r="X83" s="4" t="n"/>
      <c r="Y83" s="4" t="n"/>
      <c r="Z83" s="4" t="n"/>
      <c r="AA83" s="4" t="n"/>
      <c r="AB83" s="4" t="n"/>
      <c r="AC83" s="4" t="n"/>
      <c r="AD83" s="4" t="n"/>
      <c r="AE83" s="4" t="n"/>
      <c r="AF83" s="4" t="n"/>
      <c r="AG83" s="4" t="n"/>
      <c r="AH83" s="4" t="n"/>
      <c r="AI83" s="4" t="n"/>
      <c r="AJ83" s="4" t="n"/>
      <c r="AK83" s="4" t="n"/>
      <c r="AL83" s="4" t="n"/>
      <c r="AM83" s="4" t="n"/>
      <c r="AN83" s="4" t="n"/>
      <c r="AO83" s="12" t="n"/>
      <c r="AP83" s="12" t="n"/>
      <c r="AQ83" s="12" t="n"/>
      <c r="AR83" s="12" t="n"/>
      <c r="AS83" s="16" t="n"/>
      <c r="AT83" s="16" t="n"/>
      <c r="AU83" s="4" t="n"/>
      <c r="AV83" s="124" t="n"/>
      <c r="AX83" s="118" t="n"/>
    </row>
    <row r="84">
      <c r="A84" s="4" t="inlineStr">
        <is>
          <t>FMEE</t>
        </is>
      </c>
      <c r="B84" s="4" t="inlineStr">
        <is>
          <t>RUN</t>
        </is>
      </c>
      <c r="C84" s="4" t="n"/>
      <c r="D84" s="4" t="n"/>
      <c r="E84" s="4" t="inlineStr">
        <is>
          <t>Roland Garros Airport</t>
        </is>
      </c>
      <c r="F84" s="4" t="n"/>
      <c r="G84" s="4" t="n"/>
      <c r="H84" s="4" t="inlineStr">
        <is>
          <t>Réunion</t>
        </is>
      </c>
      <c r="I84" s="4" t="inlineStr">
        <is>
          <t>Sainte-Marie</t>
        </is>
      </c>
      <c r="J84" s="4" t="n"/>
      <c r="K84" s="4" t="n"/>
      <c r="L84" s="4" t="n"/>
      <c r="M84" s="4" t="n"/>
      <c r="N84" s="12" t="n"/>
      <c r="O84" s="125" t="n">
        <v>-20.89009</v>
      </c>
      <c r="P84" s="125" t="n">
        <v>55.51889</v>
      </c>
      <c r="Q84" s="13" t="n"/>
      <c r="R84" s="11" t="n">
        <v>66</v>
      </c>
      <c r="S84" s="4" t="n"/>
      <c r="T84" s="4" t="inlineStr">
        <is>
          <t>Indian/Reunion</t>
        </is>
      </c>
      <c r="U84" s="126" t="n"/>
      <c r="V84" s="14" t="n"/>
      <c r="W84" s="4" t="n"/>
      <c r="X84" s="4" t="n"/>
      <c r="Y84" s="4" t="n"/>
      <c r="Z84" s="4" t="n"/>
      <c r="AA84" s="4" t="n"/>
      <c r="AB84" s="4" t="n"/>
      <c r="AC84" s="4" t="n"/>
      <c r="AD84" s="4" t="n"/>
      <c r="AE84" s="4" t="n"/>
      <c r="AF84" s="4" t="n"/>
      <c r="AG84" s="4" t="n"/>
      <c r="AH84" s="4" t="n"/>
      <c r="AI84" s="4" t="n"/>
      <c r="AJ84" s="4" t="n"/>
      <c r="AK84" s="4" t="n"/>
      <c r="AL84" s="4" t="n"/>
      <c r="AM84" s="4" t="n"/>
      <c r="AN84" s="4" t="n"/>
      <c r="AO84" s="12" t="n"/>
      <c r="AP84" s="12" t="n"/>
      <c r="AQ84" s="12" t="n"/>
      <c r="AR84" s="12" t="n"/>
      <c r="AS84" s="16" t="n"/>
      <c r="AT84" s="16" t="n"/>
      <c r="AU84" s="4" t="n"/>
      <c r="AV84" s="124" t="n"/>
      <c r="AX84" s="118" t="n"/>
    </row>
    <row r="85">
      <c r="A85" s="4" t="inlineStr">
        <is>
          <t>FMEP</t>
        </is>
      </c>
      <c r="B85" s="4" t="inlineStr">
        <is>
          <t>ZSE</t>
        </is>
      </c>
      <c r="C85" s="4" t="n"/>
      <c r="D85" s="4" t="n"/>
      <c r="E85" s="4" t="inlineStr">
        <is>
          <t>Saint-Pierre Pierrefonds Airport</t>
        </is>
      </c>
      <c r="F85" s="4" t="n"/>
      <c r="G85" s="4" t="n"/>
      <c r="H85" s="4" t="inlineStr">
        <is>
          <t>Réunion</t>
        </is>
      </c>
      <c r="I85" s="4" t="inlineStr">
        <is>
          <t>Saint-Pierre</t>
        </is>
      </c>
      <c r="J85" s="4" t="n"/>
      <c r="K85" s="4" t="n"/>
      <c r="L85" s="4" t="n"/>
      <c r="M85" s="4" t="n"/>
      <c r="N85" s="12" t="n"/>
      <c r="O85" s="125" t="n">
        <v>-21.31936</v>
      </c>
      <c r="P85" s="125" t="n">
        <v>55.42251</v>
      </c>
      <c r="Q85" s="13" t="n"/>
      <c r="R85" s="11" t="n">
        <v>59</v>
      </c>
      <c r="S85" s="4" t="n"/>
      <c r="T85" s="4" t="inlineStr">
        <is>
          <t>Indian/Reunion</t>
        </is>
      </c>
      <c r="U85" s="126" t="n"/>
      <c r="V85" s="14" t="n"/>
      <c r="W85" s="4" t="n"/>
      <c r="X85" s="4" t="n"/>
      <c r="Y85" s="4" t="n"/>
      <c r="Z85" s="4" t="n"/>
      <c r="AA85" s="4" t="n"/>
      <c r="AB85" s="4" t="n"/>
      <c r="AC85" s="4" t="n"/>
      <c r="AD85" s="4" t="n"/>
      <c r="AE85" s="4" t="n"/>
      <c r="AF85" s="4" t="n"/>
      <c r="AG85" s="4" t="n"/>
      <c r="AH85" s="4" t="n"/>
      <c r="AI85" s="4" t="n"/>
      <c r="AJ85" s="4" t="n"/>
      <c r="AK85" s="4" t="n"/>
      <c r="AL85" s="4" t="n"/>
      <c r="AM85" s="4" t="n"/>
      <c r="AN85" s="4" t="n"/>
      <c r="AO85" s="12" t="n"/>
      <c r="AP85" s="12" t="n"/>
      <c r="AQ85" s="12" t="n"/>
      <c r="AR85" s="12" t="n"/>
      <c r="AS85" s="16" t="n"/>
      <c r="AT85" s="16" t="n"/>
      <c r="AU85" s="4" t="n"/>
      <c r="AV85" s="124" t="n"/>
      <c r="AX85" s="118" t="n"/>
    </row>
    <row r="86">
      <c r="A86" s="4" t="inlineStr">
        <is>
          <t>FMMI</t>
        </is>
      </c>
      <c r="B86" s="4" t="inlineStr">
        <is>
          <t>TNR</t>
        </is>
      </c>
      <c r="C86" s="4" t="n"/>
      <c r="D86" s="4" t="n"/>
      <c r="E86" s="4" t="inlineStr">
        <is>
          <t>Ivato International Airport</t>
        </is>
      </c>
      <c r="F86" s="4" t="n"/>
      <c r="G86" s="4" t="n"/>
      <c r="H86" s="4" t="inlineStr">
        <is>
          <t>Madagascar</t>
        </is>
      </c>
      <c r="I86" s="4" t="inlineStr">
        <is>
          <t>Antananarivo</t>
        </is>
      </c>
      <c r="J86" s="4" t="n"/>
      <c r="K86" s="4" t="n"/>
      <c r="L86" s="4" t="n"/>
      <c r="M86" s="4" t="n"/>
      <c r="N86" s="12" t="n"/>
      <c r="O86" s="125" t="n">
        <v>-18.7969</v>
      </c>
      <c r="P86" s="125" t="n">
        <v>47.4788</v>
      </c>
      <c r="Q86" s="13" t="n"/>
      <c r="R86" s="11" t="n">
        <v>4198</v>
      </c>
      <c r="S86" s="4" t="n"/>
      <c r="T86" s="4" t="inlineStr">
        <is>
          <t>Indian/Antananarivo</t>
        </is>
      </c>
      <c r="U86" s="126" t="n"/>
      <c r="V86" s="14" t="n"/>
      <c r="W86" s="4" t="n"/>
      <c r="X86" s="4" t="n"/>
      <c r="Y86" s="4" t="n"/>
      <c r="Z86" s="4" t="n"/>
      <c r="AA86" s="4" t="n"/>
      <c r="AB86" s="4" t="n"/>
      <c r="AC86" s="4" t="n"/>
      <c r="AD86" s="4" t="n"/>
      <c r="AE86" s="4" t="n"/>
      <c r="AF86" s="4" t="n"/>
      <c r="AG86" s="4" t="n"/>
      <c r="AH86" s="4" t="n"/>
      <c r="AI86" s="4" t="n"/>
      <c r="AJ86" s="4" t="n"/>
      <c r="AK86" s="4" t="n"/>
      <c r="AL86" s="4" t="n"/>
      <c r="AM86" s="4" t="n"/>
      <c r="AN86" s="4" t="n"/>
      <c r="AO86" s="12" t="n"/>
      <c r="AP86" s="12" t="n"/>
      <c r="AQ86" s="12" t="n"/>
      <c r="AR86" s="12" t="n"/>
      <c r="AS86" s="16" t="n"/>
      <c r="AT86" s="16" t="n"/>
      <c r="AU86" s="4" t="n"/>
      <c r="AV86" s="124" t="n"/>
      <c r="AX86" s="118" t="n"/>
    </row>
    <row r="87">
      <c r="A87" s="4" t="inlineStr">
        <is>
          <t>FMMT</t>
        </is>
      </c>
      <c r="B87" s="4" t="inlineStr">
        <is>
          <t>TMM</t>
        </is>
      </c>
      <c r="C87" s="4" t="n"/>
      <c r="D87" s="4" t="n"/>
      <c r="E87" s="4" t="inlineStr">
        <is>
          <t>Toamasina Ambalamanasy Airport</t>
        </is>
      </c>
      <c r="F87" s="4" t="n"/>
      <c r="G87" s="4" t="n"/>
      <c r="H87" s="4" t="inlineStr">
        <is>
          <t>Madagascar</t>
        </is>
      </c>
      <c r="I87" s="4" t="inlineStr">
        <is>
          <t>Toamasina</t>
        </is>
      </c>
      <c r="J87" s="4" t="n"/>
      <c r="K87" s="4" t="n"/>
      <c r="L87" s="4" t="n"/>
      <c r="M87" s="4" t="n"/>
      <c r="N87" s="12" t="n"/>
      <c r="O87" s="125" t="n">
        <v>-18.11354</v>
      </c>
      <c r="P87" s="125" t="n">
        <v>49.39226</v>
      </c>
      <c r="Q87" s="13" t="n"/>
      <c r="R87" s="11" t="n">
        <v>22</v>
      </c>
      <c r="S87" s="4" t="n"/>
      <c r="T87" s="4" t="inlineStr">
        <is>
          <t>Indian/Antananarivo</t>
        </is>
      </c>
      <c r="U87" s="126" t="n"/>
      <c r="V87" s="14" t="n"/>
      <c r="W87" s="4" t="n"/>
      <c r="X87" s="4" t="n"/>
      <c r="Y87" s="4" t="n"/>
      <c r="Z87" s="4" t="n"/>
      <c r="AA87" s="4" t="n"/>
      <c r="AB87" s="4" t="n"/>
      <c r="AC87" s="4" t="n"/>
      <c r="AD87" s="4" t="n"/>
      <c r="AE87" s="4" t="n"/>
      <c r="AF87" s="4" t="n"/>
      <c r="AG87" s="4" t="n"/>
      <c r="AH87" s="4" t="n"/>
      <c r="AI87" s="4" t="n"/>
      <c r="AJ87" s="4" t="n"/>
      <c r="AK87" s="4" t="n"/>
      <c r="AL87" s="4" t="n"/>
      <c r="AM87" s="4" t="n"/>
      <c r="AN87" s="4" t="n"/>
      <c r="AO87" s="12" t="n"/>
      <c r="AP87" s="12" t="n"/>
      <c r="AQ87" s="12" t="n"/>
      <c r="AR87" s="12" t="n"/>
      <c r="AS87" s="16" t="n"/>
      <c r="AT87" s="16" t="n"/>
      <c r="AU87" s="4" t="n"/>
      <c r="AV87" s="124" t="n"/>
      <c r="AX87" s="118" t="n"/>
    </row>
    <row r="88">
      <c r="A88" s="4" t="inlineStr">
        <is>
          <t>FNBJ</t>
        </is>
      </c>
      <c r="B88" s="4" t="inlineStr">
        <is>
          <t>NBJ</t>
        </is>
      </c>
      <c r="C88" s="4" t="n"/>
      <c r="D88" s="4" t="n"/>
      <c r="E88" s="4" t="inlineStr">
        <is>
          <t>Dr. Antonio Agostinho Neto International Airport</t>
        </is>
      </c>
      <c r="F88" s="4" t="n"/>
      <c r="G88" s="4" t="n"/>
      <c r="H88" s="4" t="inlineStr">
        <is>
          <t>Angola</t>
        </is>
      </c>
      <c r="I88" s="4" t="inlineStr">
        <is>
          <t>Luanda</t>
        </is>
      </c>
      <c r="J88" s="4" t="n"/>
      <c r="K88" s="4" t="n"/>
      <c r="L88" s="4" t="n"/>
      <c r="M88" s="4" t="n"/>
      <c r="N88" s="12" t="n"/>
      <c r="O88" s="125" t="n">
        <v>-9.05073</v>
      </c>
      <c r="P88" s="125" t="n">
        <v>13.49908</v>
      </c>
      <c r="Q88" s="13" t="n"/>
      <c r="R88" s="11" t="n">
        <v>550</v>
      </c>
      <c r="S88" s="4" t="n"/>
      <c r="T88" s="4" t="n"/>
      <c r="U88" s="126" t="n"/>
      <c r="V88" s="14" t="n"/>
      <c r="W88" s="4" t="n"/>
      <c r="X88" s="4" t="n"/>
      <c r="Y88" s="4" t="n"/>
      <c r="Z88" s="4" t="n"/>
      <c r="AA88" s="4" t="n"/>
      <c r="AB88" s="4" t="n"/>
      <c r="AC88" s="4" t="n"/>
      <c r="AD88" s="4" t="n"/>
      <c r="AE88" s="4" t="n"/>
      <c r="AF88" s="4" t="n"/>
      <c r="AG88" s="4" t="n"/>
      <c r="AH88" s="4" t="n"/>
      <c r="AI88" s="4" t="n"/>
      <c r="AJ88" s="4" t="n"/>
      <c r="AK88" s="4" t="n"/>
      <c r="AL88" s="4" t="n"/>
      <c r="AM88" s="4" t="n"/>
      <c r="AN88" s="4" t="n"/>
      <c r="AO88" s="12" t="n"/>
      <c r="AP88" s="12" t="n"/>
      <c r="AQ88" s="12" t="n"/>
      <c r="AR88" s="12" t="n"/>
      <c r="AS88" s="16" t="n"/>
      <c r="AT88" s="16" t="n"/>
      <c r="AU88" s="4" t="n"/>
      <c r="AV88" s="124" t="n"/>
      <c r="AX88" s="118" t="n"/>
    </row>
    <row r="89">
      <c r="A89" s="4" t="inlineStr">
        <is>
          <t>FNLU</t>
        </is>
      </c>
      <c r="B89" s="4" t="inlineStr">
        <is>
          <t>LAD</t>
        </is>
      </c>
      <c r="C89" s="4" t="n"/>
      <c r="D89" s="4" t="n"/>
      <c r="E89" s="4" t="inlineStr">
        <is>
          <t>Quatro de Fevereiro International Airport</t>
        </is>
      </c>
      <c r="F89" s="4" t="n"/>
      <c r="G89" s="4" t="n"/>
      <c r="H89" s="4" t="inlineStr">
        <is>
          <t>Angola</t>
        </is>
      </c>
      <c r="I89" s="4" t="inlineStr">
        <is>
          <t>Luanda</t>
        </is>
      </c>
      <c r="J89" s="4" t="n"/>
      <c r="K89" s="4" t="n"/>
      <c r="L89" s="4" t="n"/>
      <c r="M89" s="4" t="n"/>
      <c r="N89" s="12" t="n"/>
      <c r="O89" s="125" t="n">
        <v>-8.858370000000001</v>
      </c>
      <c r="P89" s="125" t="n">
        <v>13.2312</v>
      </c>
      <c r="Q89" s="13" t="n"/>
      <c r="R89" s="11" t="n">
        <v>243</v>
      </c>
      <c r="S89" s="4" t="n"/>
      <c r="T89" s="4" t="inlineStr">
        <is>
          <t>Africa/Luanda</t>
        </is>
      </c>
      <c r="U89" s="126" t="n"/>
      <c r="V89" s="14" t="n"/>
      <c r="W89" s="4" t="n"/>
      <c r="X89" s="4" t="n"/>
      <c r="Y89" s="4" t="n"/>
      <c r="Z89" s="4" t="n"/>
      <c r="AA89" s="4" t="n"/>
      <c r="AB89" s="4" t="n"/>
      <c r="AC89" s="4" t="n"/>
      <c r="AD89" s="4" t="n"/>
      <c r="AE89" s="4" t="n"/>
      <c r="AF89" s="4" t="n"/>
      <c r="AG89" s="4" t="n"/>
      <c r="AH89" s="4" t="n"/>
      <c r="AI89" s="4" t="n"/>
      <c r="AJ89" s="4" t="n"/>
      <c r="AK89" s="4" t="n"/>
      <c r="AL89" s="4" t="n"/>
      <c r="AM89" s="4" t="n"/>
      <c r="AN89" s="4" t="n"/>
      <c r="AO89" s="12" t="n"/>
      <c r="AP89" s="12" t="n"/>
      <c r="AQ89" s="12" t="n"/>
      <c r="AR89" s="12" t="n"/>
      <c r="AS89" s="16" t="n"/>
      <c r="AT89" s="16" t="n"/>
      <c r="AU89" s="4" t="n"/>
      <c r="AV89" s="124" t="n"/>
      <c r="AX89" s="118" t="n"/>
    </row>
    <row r="90">
      <c r="A90" s="4" t="inlineStr">
        <is>
          <t>FOOG</t>
        </is>
      </c>
      <c r="B90" s="4" t="inlineStr">
        <is>
          <t>POG</t>
        </is>
      </c>
      <c r="C90" s="4" t="n"/>
      <c r="D90" s="4" t="n"/>
      <c r="E90" s="4" t="inlineStr">
        <is>
          <t>Port Gentil International Airport</t>
        </is>
      </c>
      <c r="F90" s="4" t="n"/>
      <c r="G90" s="4" t="n"/>
      <c r="H90" s="4" t="inlineStr">
        <is>
          <t>Gabon</t>
        </is>
      </c>
      <c r="I90" s="4" t="inlineStr">
        <is>
          <t>Port Gentil</t>
        </is>
      </c>
      <c r="J90" s="4" t="n"/>
      <c r="K90" s="4" t="n"/>
      <c r="L90" s="4" t="n"/>
      <c r="M90" s="4" t="n"/>
      <c r="N90" s="12" t="n"/>
      <c r="O90" s="125" t="n">
        <v>-0.71174</v>
      </c>
      <c r="P90" s="125" t="n">
        <v>8.754379999999999</v>
      </c>
      <c r="Q90" s="13" t="n"/>
      <c r="R90" s="11" t="n">
        <v>13</v>
      </c>
      <c r="S90" s="4" t="n"/>
      <c r="T90" s="4" t="inlineStr">
        <is>
          <t>Africa/Libreville</t>
        </is>
      </c>
      <c r="U90" s="126" t="n"/>
      <c r="V90" s="14" t="n"/>
      <c r="W90" s="4" t="n"/>
      <c r="X90" s="4" t="n"/>
      <c r="Y90" s="4" t="n"/>
      <c r="Z90" s="4" t="n"/>
      <c r="AA90" s="4" t="n"/>
      <c r="AB90" s="4" t="n"/>
      <c r="AC90" s="4" t="n"/>
      <c r="AD90" s="4" t="n"/>
      <c r="AE90" s="4" t="n"/>
      <c r="AF90" s="4" t="n"/>
      <c r="AG90" s="4" t="n"/>
      <c r="AH90" s="4" t="n"/>
      <c r="AI90" s="4" t="n"/>
      <c r="AJ90" s="4" t="n"/>
      <c r="AK90" s="4" t="n"/>
      <c r="AL90" s="4" t="n"/>
      <c r="AM90" s="4" t="n"/>
      <c r="AN90" s="4" t="n"/>
      <c r="AO90" s="12" t="n"/>
      <c r="AP90" s="12" t="n"/>
      <c r="AQ90" s="12" t="n"/>
      <c r="AR90" s="12" t="n"/>
      <c r="AS90" s="16" t="n"/>
      <c r="AT90" s="16" t="n"/>
      <c r="AU90" s="4" t="n"/>
      <c r="AV90" s="124" t="n"/>
      <c r="AX90" s="118" t="n"/>
    </row>
    <row r="91">
      <c r="A91" s="4" t="inlineStr">
        <is>
          <t>FOOL</t>
        </is>
      </c>
      <c r="B91" s="4" t="inlineStr">
        <is>
          <t>LBV</t>
        </is>
      </c>
      <c r="C91" s="4" t="n"/>
      <c r="D91" s="4" t="n"/>
      <c r="E91" s="4" t="inlineStr">
        <is>
          <t>Libreville Leon M'ba International Airport</t>
        </is>
      </c>
      <c r="F91" s="4" t="n"/>
      <c r="G91" s="4" t="n"/>
      <c r="H91" s="4" t="inlineStr">
        <is>
          <t>Gabon</t>
        </is>
      </c>
      <c r="I91" s="4" t="inlineStr">
        <is>
          <t>Libreville</t>
        </is>
      </c>
      <c r="J91" s="4" t="n"/>
      <c r="K91" s="4" t="n"/>
      <c r="L91" s="4" t="n"/>
      <c r="M91" s="4" t="n"/>
      <c r="N91" s="12" t="n"/>
      <c r="O91" s="125" t="n">
        <v>0.45895</v>
      </c>
      <c r="P91" s="125" t="n">
        <v>9.412140000000001</v>
      </c>
      <c r="Q91" s="13" t="n"/>
      <c r="R91" s="11" t="n">
        <v>39</v>
      </c>
      <c r="S91" s="4" t="n"/>
      <c r="T91" s="4" t="inlineStr">
        <is>
          <t>Africa/Libreville</t>
        </is>
      </c>
      <c r="U91" s="126" t="n"/>
      <c r="V91" s="14" t="n"/>
      <c r="W91" s="4" t="n"/>
      <c r="X91" s="4" t="n"/>
      <c r="Y91" s="4" t="n"/>
      <c r="Z91" s="4" t="n"/>
      <c r="AA91" s="4" t="n"/>
      <c r="AB91" s="4" t="n"/>
      <c r="AC91" s="4" t="n"/>
      <c r="AD91" s="4" t="n"/>
      <c r="AE91" s="4" t="n"/>
      <c r="AF91" s="4" t="n"/>
      <c r="AG91" s="4" t="n"/>
      <c r="AH91" s="4" t="n"/>
      <c r="AI91" s="4" t="n"/>
      <c r="AJ91" s="4" t="n"/>
      <c r="AK91" s="4" t="n"/>
      <c r="AL91" s="4" t="n"/>
      <c r="AM91" s="4" t="n"/>
      <c r="AN91" s="4" t="n"/>
      <c r="AO91" s="12" t="n"/>
      <c r="AP91" s="12" t="n"/>
      <c r="AQ91" s="12" t="n"/>
      <c r="AR91" s="12" t="n"/>
      <c r="AS91" s="16" t="n"/>
      <c r="AT91" s="16" t="n"/>
      <c r="AU91" s="4" t="n"/>
      <c r="AV91" s="124" t="n"/>
      <c r="AX91" s="118" t="n"/>
    </row>
    <row r="92">
      <c r="A92" s="4" t="inlineStr">
        <is>
          <t>FPST</t>
        </is>
      </c>
      <c r="B92" s="4" t="inlineStr">
        <is>
          <t>TMS</t>
        </is>
      </c>
      <c r="C92" s="4" t="n"/>
      <c r="D92" s="4" t="n"/>
      <c r="E92" s="4" t="inlineStr">
        <is>
          <t>São Tomé International Airport</t>
        </is>
      </c>
      <c r="F92" s="4" t="n"/>
      <c r="G92" s="4" t="n"/>
      <c r="H92" s="4" t="n"/>
      <c r="I92" s="4" t="inlineStr">
        <is>
          <t>São Tomé</t>
        </is>
      </c>
      <c r="J92" s="4" t="n"/>
      <c r="K92" s="4" t="n"/>
      <c r="L92" s="4" t="n"/>
      <c r="M92" s="4" t="n"/>
      <c r="N92" s="12" t="n"/>
      <c r="O92" s="125" t="n">
        <v>0.37817</v>
      </c>
      <c r="P92" s="125" t="n">
        <v>6.71215</v>
      </c>
      <c r="Q92" s="13" t="n"/>
      <c r="R92" s="11" t="n">
        <v>33</v>
      </c>
      <c r="S92" s="4" t="n"/>
      <c r="T92" s="4" t="inlineStr">
        <is>
          <t>Africa/Sao_Tome</t>
        </is>
      </c>
      <c r="U92" s="126" t="n"/>
      <c r="V92" s="14" t="n"/>
      <c r="W92" s="4" t="n"/>
      <c r="X92" s="4" t="n"/>
      <c r="Y92" s="4" t="n"/>
      <c r="Z92" s="4" t="n"/>
      <c r="AA92" s="4" t="n"/>
      <c r="AB92" s="4" t="n"/>
      <c r="AC92" s="4" t="n"/>
      <c r="AD92" s="4" t="n"/>
      <c r="AE92" s="4" t="n"/>
      <c r="AF92" s="4" t="n"/>
      <c r="AG92" s="4" t="n"/>
      <c r="AH92" s="4" t="n"/>
      <c r="AI92" s="4" t="n"/>
      <c r="AJ92" s="4" t="n"/>
      <c r="AK92" s="4" t="n"/>
      <c r="AL92" s="4" t="n"/>
      <c r="AM92" s="4" t="n"/>
      <c r="AN92" s="4" t="n"/>
      <c r="AO92" s="12" t="n"/>
      <c r="AP92" s="12" t="n"/>
      <c r="AQ92" s="12" t="n"/>
      <c r="AR92" s="12" t="n"/>
      <c r="AS92" s="16" t="n"/>
      <c r="AT92" s="16" t="n"/>
      <c r="AU92" s="4" t="n"/>
      <c r="AV92" s="124" t="n"/>
      <c r="AX92" s="118" t="n"/>
    </row>
    <row r="93">
      <c r="A93" s="4" t="inlineStr">
        <is>
          <t>FQBR</t>
        </is>
      </c>
      <c r="B93" s="4" t="inlineStr">
        <is>
          <t>BEW</t>
        </is>
      </c>
      <c r="C93" s="4" t="n"/>
      <c r="D93" s="4" t="n"/>
      <c r="E93" s="4" t="inlineStr">
        <is>
          <t>Beira International Airport</t>
        </is>
      </c>
      <c r="F93" s="4" t="n"/>
      <c r="G93" s="4" t="n"/>
      <c r="H93" s="4" t="inlineStr">
        <is>
          <t>Mozambique</t>
        </is>
      </c>
      <c r="I93" s="4" t="inlineStr">
        <is>
          <t>Beira</t>
        </is>
      </c>
      <c r="J93" s="4" t="n"/>
      <c r="K93" s="4" t="n"/>
      <c r="L93" s="4" t="n"/>
      <c r="M93" s="4" t="n"/>
      <c r="N93" s="12" t="n"/>
      <c r="O93" s="125" t="n">
        <v>-19.7964</v>
      </c>
      <c r="P93" s="125" t="n">
        <v>34.9076</v>
      </c>
      <c r="Q93" s="13" t="n"/>
      <c r="R93" s="11" t="n">
        <v>33</v>
      </c>
      <c r="S93" s="4" t="n"/>
      <c r="T93" s="4" t="inlineStr">
        <is>
          <t>Africa/Maputo</t>
        </is>
      </c>
      <c r="U93" s="126" t="n"/>
      <c r="V93" s="14" t="n"/>
      <c r="W93" s="4" t="n"/>
      <c r="X93" s="4" t="n"/>
      <c r="Y93" s="4" t="n"/>
      <c r="Z93" s="4" t="n"/>
      <c r="AA93" s="4" t="n"/>
      <c r="AB93" s="4" t="n"/>
      <c r="AC93" s="4" t="n"/>
      <c r="AD93" s="4" t="n"/>
      <c r="AE93" s="4" t="n"/>
      <c r="AF93" s="4" t="n"/>
      <c r="AG93" s="4" t="n"/>
      <c r="AH93" s="4" t="n"/>
      <c r="AI93" s="4" t="n"/>
      <c r="AJ93" s="4" t="n"/>
      <c r="AK93" s="4" t="n"/>
      <c r="AL93" s="4" t="n"/>
      <c r="AM93" s="4" t="n"/>
      <c r="AN93" s="4" t="n"/>
      <c r="AO93" s="12" t="n"/>
      <c r="AP93" s="12" t="n"/>
      <c r="AQ93" s="12" t="n"/>
      <c r="AR93" s="12" t="n"/>
      <c r="AS93" s="16" t="n"/>
      <c r="AT93" s="16" t="n"/>
      <c r="AU93" s="4" t="n"/>
      <c r="AV93" s="124" t="n"/>
      <c r="AX93" s="118" t="n"/>
    </row>
    <row r="94">
      <c r="A94" s="4" t="inlineStr">
        <is>
          <t>FQMA</t>
        </is>
      </c>
      <c r="B94" s="4" t="inlineStr">
        <is>
          <t>MPM</t>
        </is>
      </c>
      <c r="C94" s="4" t="n"/>
      <c r="D94" s="4" t="n"/>
      <c r="E94" s="4" t="inlineStr">
        <is>
          <t>Maputo Airport</t>
        </is>
      </c>
      <c r="F94" s="4" t="n"/>
      <c r="G94" s="4" t="n"/>
      <c r="H94" s="4" t="inlineStr">
        <is>
          <t>Mozambique</t>
        </is>
      </c>
      <c r="I94" s="4" t="inlineStr">
        <is>
          <t>Maputo</t>
        </is>
      </c>
      <c r="J94" s="4" t="n"/>
      <c r="K94" s="4" t="n"/>
      <c r="L94" s="4" t="n"/>
      <c r="M94" s="4" t="n"/>
      <c r="N94" s="12" t="n"/>
      <c r="O94" s="125" t="n">
        <v>-25.9208</v>
      </c>
      <c r="P94" s="125" t="n">
        <v>32.5726</v>
      </c>
      <c r="Q94" s="13" t="n"/>
      <c r="R94" s="11" t="n">
        <v>145</v>
      </c>
      <c r="S94" s="4" t="n"/>
      <c r="T94" s="4" t="inlineStr">
        <is>
          <t>Africa/Maputo</t>
        </is>
      </c>
      <c r="U94" s="126" t="n"/>
      <c r="V94" s="14" t="n"/>
      <c r="W94" s="4" t="n"/>
      <c r="X94" s="4" t="n"/>
      <c r="Y94" s="4" t="n"/>
      <c r="Z94" s="4" t="n"/>
      <c r="AA94" s="4" t="n"/>
      <c r="AB94" s="4" t="n"/>
      <c r="AC94" s="4" t="n"/>
      <c r="AD94" s="4" t="n"/>
      <c r="AE94" s="4" t="n"/>
      <c r="AF94" s="4" t="n"/>
      <c r="AG94" s="4" t="n"/>
      <c r="AH94" s="4" t="n"/>
      <c r="AI94" s="4" t="n"/>
      <c r="AJ94" s="4" t="n"/>
      <c r="AK94" s="4" t="n"/>
      <c r="AL94" s="4" t="n"/>
      <c r="AM94" s="4" t="n"/>
      <c r="AN94" s="4" t="n"/>
      <c r="AO94" s="12" t="n"/>
      <c r="AP94" s="12" t="n"/>
      <c r="AQ94" s="12" t="n"/>
      <c r="AR94" s="12" t="n"/>
      <c r="AS94" s="16" t="n"/>
      <c r="AT94" s="16" t="n"/>
      <c r="AU94" s="4" t="n"/>
      <c r="AV94" s="124" t="n"/>
      <c r="AX94" s="118" t="n"/>
    </row>
    <row r="95">
      <c r="A95" s="4" t="inlineStr">
        <is>
          <t>FSIA</t>
        </is>
      </c>
      <c r="B95" s="4" t="inlineStr">
        <is>
          <t>SEZ</t>
        </is>
      </c>
      <c r="C95" s="4" t="n"/>
      <c r="D95" s="4" t="n"/>
      <c r="E95" s="4" t="inlineStr">
        <is>
          <t>Seychelles International Airport</t>
        </is>
      </c>
      <c r="F95" s="4" t="n"/>
      <c r="G95" s="4" t="n"/>
      <c r="H95" s="4" t="inlineStr">
        <is>
          <t>Seychelles</t>
        </is>
      </c>
      <c r="I95" s="4" t="inlineStr">
        <is>
          <t>Victoria</t>
        </is>
      </c>
      <c r="J95" s="4" t="n"/>
      <c r="K95" s="4" t="n"/>
      <c r="L95" s="4" t="n"/>
      <c r="M95" s="4" t="n"/>
      <c r="N95" s="12" t="n"/>
      <c r="O95" s="125" t="n">
        <v>-4.67434</v>
      </c>
      <c r="P95" s="125" t="n">
        <v>55.5218</v>
      </c>
      <c r="Q95" s="13" t="n"/>
      <c r="R95" s="11" t="n">
        <v>10</v>
      </c>
      <c r="S95" s="4" t="n"/>
      <c r="T95" s="4" t="inlineStr">
        <is>
          <t>Indian/Mahe</t>
        </is>
      </c>
      <c r="U95" s="126" t="n"/>
      <c r="V95" s="14" t="n"/>
      <c r="W95" s="4" t="n"/>
      <c r="X95" s="4" t="n"/>
      <c r="Y95" s="4" t="n"/>
      <c r="Z95" s="4" t="n"/>
      <c r="AA95" s="4" t="n"/>
      <c r="AB95" s="4" t="n"/>
      <c r="AC95" s="4" t="n"/>
      <c r="AD95" s="4" t="n"/>
      <c r="AE95" s="4" t="n"/>
      <c r="AF95" s="4" t="n"/>
      <c r="AG95" s="4" t="n"/>
      <c r="AH95" s="4" t="n"/>
      <c r="AI95" s="4" t="n"/>
      <c r="AJ95" s="4" t="n"/>
      <c r="AK95" s="4" t="n"/>
      <c r="AL95" s="4" t="n"/>
      <c r="AM95" s="4" t="n"/>
      <c r="AN95" s="4" t="n"/>
      <c r="AO95" s="12" t="n"/>
      <c r="AP95" s="12" t="n"/>
      <c r="AQ95" s="12" t="n"/>
      <c r="AR95" s="12" t="n"/>
      <c r="AS95" s="16" t="n"/>
      <c r="AT95" s="16" t="n"/>
      <c r="AU95" s="4" t="n"/>
      <c r="AV95" s="124" t="n"/>
      <c r="AX95" s="118" t="n"/>
    </row>
    <row r="96">
      <c r="A96" s="4" t="inlineStr">
        <is>
          <t>FTTJ</t>
        </is>
      </c>
      <c r="B96" s="4" t="inlineStr">
        <is>
          <t>NDJ</t>
        </is>
      </c>
      <c r="C96" s="4" t="n"/>
      <c r="D96" s="4" t="n"/>
      <c r="E96" s="4" t="inlineStr">
        <is>
          <t>N'Djamena International Airport</t>
        </is>
      </c>
      <c r="F96" s="4" t="n"/>
      <c r="G96" s="4" t="n"/>
      <c r="H96" s="4" t="inlineStr">
        <is>
          <t>Chad</t>
        </is>
      </c>
      <c r="I96" s="4" t="inlineStr">
        <is>
          <t>N'Djamena</t>
        </is>
      </c>
      <c r="J96" s="4" t="n"/>
      <c r="K96" s="4" t="n"/>
      <c r="L96" s="4" t="n"/>
      <c r="M96" s="4" t="n"/>
      <c r="N96" s="12" t="n"/>
      <c r="O96" s="125" t="n">
        <v>12.1337</v>
      </c>
      <c r="P96" s="125" t="n">
        <v>15.034</v>
      </c>
      <c r="Q96" s="13" t="n"/>
      <c r="R96" s="11" t="n">
        <v>968</v>
      </c>
      <c r="S96" s="4" t="n"/>
      <c r="T96" s="4" t="inlineStr">
        <is>
          <t>Africa/Ndjamena</t>
        </is>
      </c>
      <c r="U96" s="126" t="n"/>
      <c r="V96" s="14" t="n"/>
      <c r="W96" s="4" t="n"/>
      <c r="X96" s="4" t="n"/>
      <c r="Y96" s="4" t="n"/>
      <c r="Z96" s="4" t="n"/>
      <c r="AA96" s="4" t="n"/>
      <c r="AB96" s="4" t="n"/>
      <c r="AC96" s="4" t="n"/>
      <c r="AD96" s="4" t="n"/>
      <c r="AE96" s="4" t="n"/>
      <c r="AF96" s="4" t="n"/>
      <c r="AG96" s="4" t="n"/>
      <c r="AH96" s="4" t="n"/>
      <c r="AI96" s="4" t="n"/>
      <c r="AJ96" s="4" t="n"/>
      <c r="AK96" s="4" t="n"/>
      <c r="AL96" s="4" t="n"/>
      <c r="AM96" s="4" t="n"/>
      <c r="AN96" s="4" t="n"/>
      <c r="AO96" s="12" t="n"/>
      <c r="AP96" s="12" t="n"/>
      <c r="AQ96" s="12" t="n"/>
      <c r="AR96" s="12" t="n"/>
      <c r="AS96" s="16" t="n"/>
      <c r="AT96" s="16" t="n"/>
      <c r="AU96" s="4" t="n"/>
      <c r="AV96" s="124" t="n"/>
      <c r="AX96" s="118" t="n"/>
    </row>
    <row r="97">
      <c r="A97" s="4" t="inlineStr">
        <is>
          <t>FVFA</t>
        </is>
      </c>
      <c r="B97" s="4" t="inlineStr">
        <is>
          <t>VFA</t>
        </is>
      </c>
      <c r="C97" s="4" t="n"/>
      <c r="D97" s="4" t="n"/>
      <c r="E97" s="4" t="inlineStr">
        <is>
          <t>Victoria Falls International Airport</t>
        </is>
      </c>
      <c r="F97" s="4" t="n"/>
      <c r="G97" s="4" t="n"/>
      <c r="H97" s="4" t="inlineStr">
        <is>
          <t>Zimbabwe</t>
        </is>
      </c>
      <c r="I97" s="4" t="inlineStr">
        <is>
          <t>Victoria Falls</t>
        </is>
      </c>
      <c r="J97" s="4" t="n"/>
      <c r="K97" s="4" t="n"/>
      <c r="L97" s="4" t="n"/>
      <c r="M97" s="4" t="n"/>
      <c r="N97" s="12" t="n"/>
      <c r="O97" s="125" t="n">
        <v>-18.09744</v>
      </c>
      <c r="P97" s="125" t="n">
        <v>25.83687</v>
      </c>
      <c r="Q97" s="13" t="n"/>
      <c r="R97" s="11" t="n">
        <v>3490</v>
      </c>
      <c r="S97" s="4" t="n"/>
      <c r="T97" s="4" t="inlineStr">
        <is>
          <t>Africa/Harare</t>
        </is>
      </c>
      <c r="U97" s="126" t="n"/>
      <c r="V97" s="14" t="n"/>
      <c r="W97" s="4" t="n"/>
      <c r="X97" s="4" t="n"/>
      <c r="Y97" s="4" t="n"/>
      <c r="Z97" s="4" t="n"/>
      <c r="AA97" s="4" t="n"/>
      <c r="AB97" s="4" t="n"/>
      <c r="AC97" s="4" t="n"/>
      <c r="AD97" s="4" t="n"/>
      <c r="AE97" s="4" t="n"/>
      <c r="AF97" s="4" t="n"/>
      <c r="AG97" s="4" t="n"/>
      <c r="AH97" s="4" t="n"/>
      <c r="AI97" s="4" t="n"/>
      <c r="AJ97" s="4" t="n"/>
      <c r="AK97" s="4" t="n"/>
      <c r="AL97" s="4" t="n"/>
      <c r="AM97" s="4" t="n"/>
      <c r="AN97" s="4" t="n"/>
      <c r="AO97" s="12" t="n"/>
      <c r="AP97" s="12" t="n"/>
      <c r="AQ97" s="12" t="n"/>
      <c r="AR97" s="12" t="n"/>
      <c r="AS97" s="16" t="n"/>
      <c r="AT97" s="16" t="n"/>
      <c r="AU97" s="4" t="n"/>
      <c r="AV97" s="124" t="n"/>
      <c r="AX97" s="118" t="n"/>
    </row>
    <row r="98">
      <c r="A98" s="4" t="inlineStr">
        <is>
          <t>FVJN</t>
        </is>
      </c>
      <c r="B98" s="4" t="inlineStr">
        <is>
          <t>BUQ</t>
        </is>
      </c>
      <c r="C98" s="4" t="n"/>
      <c r="D98" s="4" t="n"/>
      <c r="E98" s="4" t="inlineStr">
        <is>
          <t>Joshua Mqabuko Nkomo International Airport</t>
        </is>
      </c>
      <c r="F98" s="4" t="n"/>
      <c r="G98" s="4" t="n"/>
      <c r="H98" s="4" t="inlineStr">
        <is>
          <t>Zimbabwe</t>
        </is>
      </c>
      <c r="I98" s="4" t="inlineStr">
        <is>
          <t>Bulawayo</t>
        </is>
      </c>
      <c r="J98" s="4" t="n"/>
      <c r="K98" s="4" t="n"/>
      <c r="L98" s="4" t="n"/>
      <c r="M98" s="4" t="n"/>
      <c r="N98" s="12" t="n"/>
      <c r="O98" s="125" t="n">
        <v>-20.01628</v>
      </c>
      <c r="P98" s="125" t="n">
        <v>28.6229</v>
      </c>
      <c r="Q98" s="13" t="n"/>
      <c r="R98" s="11" t="n">
        <v>4359</v>
      </c>
      <c r="S98" s="4" t="n"/>
      <c r="T98" s="4" t="n"/>
      <c r="U98" s="126" t="n"/>
      <c r="V98" s="14" t="n"/>
      <c r="W98" s="4" t="n"/>
      <c r="X98" s="4" t="n"/>
      <c r="Y98" s="4" t="n"/>
      <c r="Z98" s="4" t="n"/>
      <c r="AA98" s="4" t="n"/>
      <c r="AB98" s="4" t="n"/>
      <c r="AC98" s="4" t="n"/>
      <c r="AD98" s="4" t="n"/>
      <c r="AE98" s="4" t="n"/>
      <c r="AF98" s="4" t="n"/>
      <c r="AG98" s="4" t="n"/>
      <c r="AH98" s="4" t="n"/>
      <c r="AI98" s="4" t="n"/>
      <c r="AJ98" s="4" t="n"/>
      <c r="AK98" s="4" t="n"/>
      <c r="AL98" s="4" t="n"/>
      <c r="AM98" s="4" t="n"/>
      <c r="AN98" s="4" t="n"/>
      <c r="AO98" s="12" t="n"/>
      <c r="AP98" s="12" t="n"/>
      <c r="AQ98" s="12" t="n"/>
      <c r="AR98" s="12" t="n"/>
      <c r="AS98" s="16" t="n"/>
      <c r="AT98" s="16" t="n"/>
      <c r="AU98" s="4" t="n"/>
      <c r="AV98" s="124" t="n"/>
      <c r="AX98" s="118" t="n"/>
    </row>
    <row r="99">
      <c r="A99" s="4" t="inlineStr">
        <is>
          <t>FVRG</t>
        </is>
      </c>
      <c r="B99" s="4" t="inlineStr">
        <is>
          <t>HRE</t>
        </is>
      </c>
      <c r="C99" s="4" t="n"/>
      <c r="D99" s="4" t="n"/>
      <c r="E99" s="4" t="inlineStr">
        <is>
          <t>Robert Gabriel Mugabe International Airport</t>
        </is>
      </c>
      <c r="F99" s="4" t="n"/>
      <c r="G99" s="4" t="n"/>
      <c r="H99" s="4" t="inlineStr">
        <is>
          <t>Zimbabwe</t>
        </is>
      </c>
      <c r="I99" s="4" t="inlineStr">
        <is>
          <t>Harare</t>
        </is>
      </c>
      <c r="J99" s="4" t="n"/>
      <c r="K99" s="4" t="n"/>
      <c r="L99" s="4" t="n"/>
      <c r="M99" s="4" t="n"/>
      <c r="N99" s="12" t="n"/>
      <c r="O99" s="125" t="n">
        <v>-17.9318</v>
      </c>
      <c r="P99" s="125" t="n">
        <v>31.0928</v>
      </c>
      <c r="Q99" s="13" t="n"/>
      <c r="R99" s="11" t="n">
        <v>4887</v>
      </c>
      <c r="S99" s="4" t="n"/>
      <c r="T99" s="4" t="inlineStr">
        <is>
          <t>Africa/Harare</t>
        </is>
      </c>
      <c r="U99" s="126" t="n"/>
      <c r="V99" s="14" t="n"/>
      <c r="W99" s="4" t="n"/>
      <c r="X99" s="4" t="n"/>
      <c r="Y99" s="4" t="n"/>
      <c r="Z99" s="4" t="n"/>
      <c r="AA99" s="4" t="n"/>
      <c r="AB99" s="4" t="n"/>
      <c r="AC99" s="4" t="n"/>
      <c r="AD99" s="4" t="n"/>
      <c r="AE99" s="4" t="n"/>
      <c r="AF99" s="4" t="n"/>
      <c r="AG99" s="4" t="n"/>
      <c r="AH99" s="4" t="n"/>
      <c r="AI99" s="4" t="n"/>
      <c r="AJ99" s="4" t="n"/>
      <c r="AK99" s="4" t="n"/>
      <c r="AL99" s="4" t="n"/>
      <c r="AM99" s="4" t="n"/>
      <c r="AN99" s="4" t="n"/>
      <c r="AO99" s="12" t="n"/>
      <c r="AP99" s="12" t="n"/>
      <c r="AQ99" s="12" t="n"/>
      <c r="AR99" s="12" t="n"/>
      <c r="AS99" s="16" t="n"/>
      <c r="AT99" s="16" t="n"/>
      <c r="AU99" s="4" t="n"/>
      <c r="AV99" s="124" t="n"/>
      <c r="AX99" s="118" t="n"/>
    </row>
    <row r="100">
      <c r="A100" s="4" t="inlineStr">
        <is>
          <t>FWCL</t>
        </is>
      </c>
      <c r="B100" s="4" t="inlineStr">
        <is>
          <t>BLZ</t>
        </is>
      </c>
      <c r="C100" s="4" t="n"/>
      <c r="D100" s="4" t="n"/>
      <c r="E100" s="4" t="inlineStr">
        <is>
          <t>Chileka International Airport</t>
        </is>
      </c>
      <c r="F100" s="4" t="n"/>
      <c r="G100" s="4" t="n"/>
      <c r="H100" s="4" t="inlineStr">
        <is>
          <t>Malawi</t>
        </is>
      </c>
      <c r="I100" s="4" t="inlineStr">
        <is>
          <t>Blantyre</t>
        </is>
      </c>
      <c r="J100" s="4" t="n"/>
      <c r="K100" s="4" t="n"/>
      <c r="L100" s="4" t="n"/>
      <c r="M100" s="4" t="n"/>
      <c r="N100" s="12" t="n"/>
      <c r="O100" s="125" t="n">
        <v>-15.67719</v>
      </c>
      <c r="P100" s="125" t="n">
        <v>34.97232</v>
      </c>
      <c r="Q100" s="13" t="n"/>
      <c r="R100" s="11" t="n">
        <v>2555</v>
      </c>
      <c r="S100" s="4" t="n"/>
      <c r="T100" s="4" t="inlineStr">
        <is>
          <t>Africa/Blantyre</t>
        </is>
      </c>
      <c r="U100" s="126" t="n"/>
      <c r="V100" s="14" t="n"/>
      <c r="W100" s="4" t="n"/>
      <c r="X100" s="4" t="n"/>
      <c r="Y100" s="4" t="n"/>
      <c r="Z100" s="4" t="n"/>
      <c r="AA100" s="4" t="n"/>
      <c r="AB100" s="4" t="n"/>
      <c r="AC100" s="4" t="n"/>
      <c r="AD100" s="4" t="n"/>
      <c r="AE100" s="4" t="n"/>
      <c r="AF100" s="4" t="n"/>
      <c r="AG100" s="4" t="n"/>
      <c r="AH100" s="4" t="n"/>
      <c r="AI100" s="4" t="n"/>
      <c r="AJ100" s="4" t="n"/>
      <c r="AK100" s="4" t="n"/>
      <c r="AL100" s="4" t="n"/>
      <c r="AM100" s="4" t="n"/>
      <c r="AN100" s="4" t="n"/>
      <c r="AO100" s="12" t="n"/>
      <c r="AP100" s="12" t="n"/>
      <c r="AQ100" s="12" t="n"/>
      <c r="AR100" s="12" t="n"/>
      <c r="AS100" s="16" t="n"/>
      <c r="AT100" s="16" t="n"/>
      <c r="AU100" s="4" t="n"/>
      <c r="AV100" s="124" t="n"/>
      <c r="AX100" s="118" t="n"/>
    </row>
    <row r="101">
      <c r="A101" s="4" t="inlineStr">
        <is>
          <t>FWKI</t>
        </is>
      </c>
      <c r="B101" s="4" t="inlineStr">
        <is>
          <t>LLW</t>
        </is>
      </c>
      <c r="C101" s="4" t="n"/>
      <c r="D101" s="4" t="n"/>
      <c r="E101" s="4" t="inlineStr">
        <is>
          <t>Kamuzu International Airport</t>
        </is>
      </c>
      <c r="F101" s="4" t="n"/>
      <c r="G101" s="4" t="n"/>
      <c r="H101" s="4" t="inlineStr">
        <is>
          <t>Malawi</t>
        </is>
      </c>
      <c r="I101" s="4" t="inlineStr">
        <is>
          <t>Lumbadzi</t>
        </is>
      </c>
      <c r="J101" s="4" t="n"/>
      <c r="K101" s="4" t="n"/>
      <c r="L101" s="4" t="n"/>
      <c r="M101" s="4" t="n"/>
      <c r="N101" s="12" t="n"/>
      <c r="O101" s="125" t="n">
        <v>-13.7894</v>
      </c>
      <c r="P101" s="125" t="n">
        <v>33.781</v>
      </c>
      <c r="Q101" s="13" t="n"/>
      <c r="R101" s="11" t="n">
        <v>4035</v>
      </c>
      <c r="S101" s="4" t="n"/>
      <c r="T101" s="4" t="inlineStr">
        <is>
          <t>Africa/Blantyre</t>
        </is>
      </c>
      <c r="U101" s="126" t="n"/>
      <c r="V101" s="14" t="n"/>
      <c r="W101" s="4" t="n"/>
      <c r="X101" s="4" t="n"/>
      <c r="Y101" s="4" t="n"/>
      <c r="Z101" s="4" t="n"/>
      <c r="AA101" s="4" t="n"/>
      <c r="AB101" s="4" t="n"/>
      <c r="AC101" s="4" t="n"/>
      <c r="AD101" s="4" t="n"/>
      <c r="AE101" s="4" t="n"/>
      <c r="AF101" s="4" t="n"/>
      <c r="AG101" s="4" t="n"/>
      <c r="AH101" s="4" t="n"/>
      <c r="AI101" s="4" t="n"/>
      <c r="AJ101" s="4" t="n"/>
      <c r="AK101" s="4" t="n"/>
      <c r="AL101" s="4" t="n"/>
      <c r="AM101" s="4" t="n"/>
      <c r="AN101" s="4" t="n"/>
      <c r="AO101" s="12" t="n"/>
      <c r="AP101" s="12" t="n"/>
      <c r="AQ101" s="12" t="n"/>
      <c r="AR101" s="12" t="n"/>
      <c r="AS101" s="16" t="n"/>
      <c r="AT101" s="16" t="n"/>
      <c r="AU101" s="4" t="n"/>
      <c r="AV101" s="124" t="n"/>
      <c r="AX101" s="118" t="n"/>
    </row>
    <row r="102">
      <c r="A102" s="4" t="inlineStr">
        <is>
          <t>FXMM</t>
        </is>
      </c>
      <c r="B102" s="4" t="inlineStr">
        <is>
          <t>MSU</t>
        </is>
      </c>
      <c r="C102" s="4" t="n"/>
      <c r="D102" s="4" t="n"/>
      <c r="E102" s="4" t="inlineStr">
        <is>
          <t>Moshoeshoe I International Airport</t>
        </is>
      </c>
      <c r="F102" s="4" t="n"/>
      <c r="G102" s="4" t="n"/>
      <c r="H102" s="4" t="inlineStr">
        <is>
          <t>Lesotho</t>
        </is>
      </c>
      <c r="I102" s="4" t="inlineStr">
        <is>
          <t>Maseru</t>
        </is>
      </c>
      <c r="J102" s="4" t="n"/>
      <c r="K102" s="4" t="n"/>
      <c r="L102" s="4" t="n"/>
      <c r="M102" s="4" t="n"/>
      <c r="N102" s="12" t="n"/>
      <c r="O102" s="125" t="n">
        <v>-29.45628</v>
      </c>
      <c r="P102" s="125" t="n">
        <v>27.55446</v>
      </c>
      <c r="Q102" s="13" t="n"/>
      <c r="R102" s="11" t="n">
        <v>5348</v>
      </c>
      <c r="S102" s="4" t="n"/>
      <c r="T102" s="4" t="inlineStr">
        <is>
          <t>Africa/Maseru</t>
        </is>
      </c>
      <c r="U102" s="126" t="n"/>
      <c r="V102" s="14" t="n"/>
      <c r="W102" s="4" t="n"/>
      <c r="X102" s="4" t="n"/>
      <c r="Y102" s="4" t="n"/>
      <c r="Z102" s="4" t="n"/>
      <c r="AA102" s="4" t="n"/>
      <c r="AB102" s="4" t="n"/>
      <c r="AC102" s="4" t="n"/>
      <c r="AD102" s="4" t="n"/>
      <c r="AE102" s="4" t="n"/>
      <c r="AF102" s="4" t="n"/>
      <c r="AG102" s="4" t="n"/>
      <c r="AH102" s="4" t="n"/>
      <c r="AI102" s="4" t="n"/>
      <c r="AJ102" s="4" t="n"/>
      <c r="AK102" s="4" t="n"/>
      <c r="AL102" s="4" t="n"/>
      <c r="AM102" s="4" t="n"/>
      <c r="AN102" s="4" t="n"/>
      <c r="AO102" s="12" t="n"/>
      <c r="AP102" s="12" t="n"/>
      <c r="AQ102" s="12" t="n"/>
      <c r="AR102" s="12" t="n"/>
      <c r="AS102" s="16" t="n"/>
      <c r="AT102" s="16" t="n"/>
      <c r="AU102" s="4" t="n"/>
      <c r="AV102" s="124" t="n"/>
      <c r="AX102" s="118" t="n"/>
    </row>
    <row r="103">
      <c r="A103" s="4" t="inlineStr">
        <is>
          <t>FYWE</t>
        </is>
      </c>
      <c r="B103" s="4" t="inlineStr">
        <is>
          <t>ERS</t>
        </is>
      </c>
      <c r="C103" s="4" t="n"/>
      <c r="D103" s="4" t="n"/>
      <c r="E103" s="4" t="inlineStr">
        <is>
          <t>Eros Airport</t>
        </is>
      </c>
      <c r="F103" s="4" t="n"/>
      <c r="G103" s="4" t="n"/>
      <c r="H103" s="4" t="inlineStr">
        <is>
          <t>Namibia</t>
        </is>
      </c>
      <c r="I103" s="4" t="inlineStr">
        <is>
          <t>Windhoek</t>
        </is>
      </c>
      <c r="J103" s="4" t="n"/>
      <c r="K103" s="4" t="n"/>
      <c r="L103" s="4" t="n"/>
      <c r="M103" s="4" t="n"/>
      <c r="N103" s="12" t="n"/>
      <c r="O103" s="125" t="n">
        <v>-22.60492</v>
      </c>
      <c r="P103" s="125" t="n">
        <v>17.079</v>
      </c>
      <c r="Q103" s="13" t="n"/>
      <c r="R103" s="11" t="n">
        <v>5575</v>
      </c>
      <c r="S103" s="4" t="n"/>
      <c r="T103" s="4" t="inlineStr">
        <is>
          <t>Africa/Windhoek</t>
        </is>
      </c>
      <c r="U103" s="126" t="n"/>
      <c r="V103" s="14" t="n"/>
      <c r="W103" s="4" t="n"/>
      <c r="X103" s="4" t="n"/>
      <c r="Y103" s="4" t="n"/>
      <c r="Z103" s="4" t="n"/>
      <c r="AA103" s="4" t="n"/>
      <c r="AB103" s="4" t="n"/>
      <c r="AC103" s="4" t="n"/>
      <c r="AD103" s="4" t="n"/>
      <c r="AE103" s="4" t="n"/>
      <c r="AF103" s="4" t="n"/>
      <c r="AG103" s="4" t="n"/>
      <c r="AH103" s="4" t="n"/>
      <c r="AI103" s="4" t="n"/>
      <c r="AJ103" s="4" t="n"/>
      <c r="AK103" s="4" t="n"/>
      <c r="AL103" s="4" t="n"/>
      <c r="AM103" s="4" t="n"/>
      <c r="AN103" s="4" t="n"/>
      <c r="AO103" s="12" t="n"/>
      <c r="AP103" s="12" t="n"/>
      <c r="AQ103" s="12" t="n"/>
      <c r="AR103" s="12" t="n"/>
      <c r="AS103" s="16" t="n"/>
      <c r="AT103" s="16" t="n"/>
      <c r="AU103" s="4" t="n"/>
      <c r="AV103" s="124" t="n"/>
      <c r="AX103" s="118" t="n"/>
    </row>
    <row r="104">
      <c r="A104" s="4" t="inlineStr">
        <is>
          <t>FYWH</t>
        </is>
      </c>
      <c r="B104" s="4" t="inlineStr">
        <is>
          <t>WDH</t>
        </is>
      </c>
      <c r="C104" s="4" t="n"/>
      <c r="D104" s="4" t="n"/>
      <c r="E104" s="4" t="inlineStr">
        <is>
          <t>Hosea Kutako International Airport</t>
        </is>
      </c>
      <c r="F104" s="4" t="n"/>
      <c r="G104" s="4" t="n"/>
      <c r="H104" s="4" t="inlineStr">
        <is>
          <t>Namibia</t>
        </is>
      </c>
      <c r="I104" s="4" t="inlineStr">
        <is>
          <t>Windhoek</t>
        </is>
      </c>
      <c r="J104" s="4" t="n"/>
      <c r="K104" s="4" t="n"/>
      <c r="L104" s="4" t="n"/>
      <c r="M104" s="4" t="n"/>
      <c r="N104" s="12" t="n"/>
      <c r="O104" s="125" t="n">
        <v>-22.4799</v>
      </c>
      <c r="P104" s="125" t="n">
        <v>17.4709</v>
      </c>
      <c r="Q104" s="13" t="n"/>
      <c r="R104" s="11" t="n">
        <v>5640</v>
      </c>
      <c r="S104" s="4" t="n"/>
      <c r="T104" s="4" t="inlineStr">
        <is>
          <t>Africa/Windhoek</t>
        </is>
      </c>
      <c r="U104" s="126" t="n"/>
      <c r="V104" s="14" t="n"/>
      <c r="W104" s="4" t="n"/>
      <c r="X104" s="4" t="n"/>
      <c r="Y104" s="4" t="n"/>
      <c r="Z104" s="4" t="n"/>
      <c r="AA104" s="4" t="n"/>
      <c r="AB104" s="4" t="n"/>
      <c r="AC104" s="4" t="n"/>
      <c r="AD104" s="4" t="n"/>
      <c r="AE104" s="4" t="n"/>
      <c r="AF104" s="4" t="n"/>
      <c r="AG104" s="4" t="n"/>
      <c r="AH104" s="4" t="n"/>
      <c r="AI104" s="4" t="n"/>
      <c r="AJ104" s="4" t="n"/>
      <c r="AK104" s="4" t="n"/>
      <c r="AL104" s="4" t="n"/>
      <c r="AM104" s="4" t="n"/>
      <c r="AN104" s="4" t="n"/>
      <c r="AO104" s="12" t="n"/>
      <c r="AP104" s="12" t="n"/>
      <c r="AQ104" s="12" t="n"/>
      <c r="AR104" s="12" t="n"/>
      <c r="AS104" s="16" t="n"/>
      <c r="AT104" s="16" t="n"/>
      <c r="AU104" s="4" t="n"/>
      <c r="AV104" s="124" t="n"/>
      <c r="AX104" s="118" t="n"/>
    </row>
    <row r="105">
      <c r="A105" s="4" t="inlineStr">
        <is>
          <t>FZAA</t>
        </is>
      </c>
      <c r="B105" s="4" t="inlineStr">
        <is>
          <t>FIH</t>
        </is>
      </c>
      <c r="C105" s="4" t="n"/>
      <c r="D105" s="4" t="n"/>
      <c r="E105" s="4" t="inlineStr">
        <is>
          <t>Ndjili International Airport</t>
        </is>
      </c>
      <c r="F105" s="4" t="n"/>
      <c r="G105" s="4" t="n"/>
      <c r="H105" s="4" t="inlineStr">
        <is>
          <t>Democratic Republic of the Congo</t>
        </is>
      </c>
      <c r="I105" s="4" t="inlineStr">
        <is>
          <t>Kinshasa</t>
        </is>
      </c>
      <c r="J105" s="4" t="n"/>
      <c r="K105" s="4" t="n"/>
      <c r="L105" s="4" t="n"/>
      <c r="M105" s="4" t="n"/>
      <c r="N105" s="12" t="n"/>
      <c r="O105" s="125" t="n">
        <v>-4.38575</v>
      </c>
      <c r="P105" s="125" t="n">
        <v>15.4446</v>
      </c>
      <c r="Q105" s="13" t="n"/>
      <c r="R105" s="11" t="n">
        <v>1027</v>
      </c>
      <c r="S105" s="4" t="n"/>
      <c r="T105" s="4" t="inlineStr">
        <is>
          <t>Africa/Kinshasa</t>
        </is>
      </c>
      <c r="U105" s="126" t="n"/>
      <c r="V105" s="14" t="n"/>
      <c r="W105" s="4" t="n"/>
      <c r="X105" s="4" t="n"/>
      <c r="Y105" s="4" t="n"/>
      <c r="Z105" s="4" t="n"/>
      <c r="AA105" s="4" t="n"/>
      <c r="AB105" s="4" t="n"/>
      <c r="AC105" s="4" t="n"/>
      <c r="AD105" s="4" t="n"/>
      <c r="AE105" s="4" t="n"/>
      <c r="AF105" s="4" t="n"/>
      <c r="AG105" s="4" t="n"/>
      <c r="AH105" s="4" t="n"/>
      <c r="AI105" s="4" t="n"/>
      <c r="AJ105" s="4" t="n"/>
      <c r="AK105" s="4" t="n"/>
      <c r="AL105" s="4" t="n"/>
      <c r="AM105" s="4" t="n"/>
      <c r="AN105" s="4" t="n"/>
      <c r="AO105" s="12" t="n"/>
      <c r="AP105" s="12" t="n"/>
      <c r="AQ105" s="12" t="n"/>
      <c r="AR105" s="12" t="n"/>
      <c r="AS105" s="16" t="n"/>
      <c r="AT105" s="16" t="n"/>
      <c r="AU105" s="4" t="n"/>
      <c r="AV105" s="124" t="n"/>
      <c r="AX105" s="118" t="n"/>
    </row>
    <row r="106">
      <c r="A106" s="4" t="inlineStr">
        <is>
          <t>FZIC</t>
        </is>
      </c>
      <c r="B106" s="4" t="inlineStr">
        <is>
          <t>FKI</t>
        </is>
      </c>
      <c r="C106" s="4" t="n"/>
      <c r="D106" s="4" t="n"/>
      <c r="E106" s="4" t="inlineStr">
        <is>
          <t>Bangoka International Airport</t>
        </is>
      </c>
      <c r="F106" s="4" t="n"/>
      <c r="G106" s="4" t="n"/>
      <c r="H106" s="4" t="inlineStr">
        <is>
          <t>Democratic Republic of the Congo</t>
        </is>
      </c>
      <c r="I106" s="4" t="inlineStr">
        <is>
          <t>Kisangani</t>
        </is>
      </c>
      <c r="J106" s="4" t="n"/>
      <c r="K106" s="4" t="n"/>
      <c r="L106" s="4" t="n"/>
      <c r="M106" s="4" t="n"/>
      <c r="N106" s="12" t="n"/>
      <c r="O106" s="125" t="n">
        <v>0.48164</v>
      </c>
      <c r="P106" s="125" t="n">
        <v>25.338</v>
      </c>
      <c r="Q106" s="13" t="n"/>
      <c r="R106" s="11" t="n">
        <v>1417</v>
      </c>
      <c r="S106" s="4" t="n"/>
      <c r="T106" s="4" t="inlineStr">
        <is>
          <t>Africa/Lubumbashi</t>
        </is>
      </c>
      <c r="U106" s="126" t="n"/>
      <c r="V106" s="14" t="n"/>
      <c r="W106" s="4" t="n"/>
      <c r="X106" s="4" t="n"/>
      <c r="Y106" s="4" t="n"/>
      <c r="Z106" s="4" t="n"/>
      <c r="AA106" s="4" t="n"/>
      <c r="AB106" s="4" t="n"/>
      <c r="AC106" s="4" t="n"/>
      <c r="AD106" s="4" t="n"/>
      <c r="AE106" s="4" t="n"/>
      <c r="AF106" s="4" t="n"/>
      <c r="AG106" s="4" t="n"/>
      <c r="AH106" s="4" t="n"/>
      <c r="AI106" s="4" t="n"/>
      <c r="AJ106" s="4" t="n"/>
      <c r="AK106" s="4" t="n"/>
      <c r="AL106" s="4" t="n"/>
      <c r="AM106" s="4" t="n"/>
      <c r="AN106" s="4" t="n"/>
      <c r="AO106" s="12" t="n"/>
      <c r="AP106" s="12" t="n"/>
      <c r="AQ106" s="12" t="n"/>
      <c r="AR106" s="12" t="n"/>
      <c r="AS106" s="16" t="n"/>
      <c r="AT106" s="16" t="n"/>
      <c r="AU106" s="4" t="n"/>
      <c r="AV106" s="124" t="n"/>
      <c r="AX106" s="118" t="n"/>
    </row>
    <row r="107">
      <c r="A107" s="4" t="inlineStr">
        <is>
          <t>GABS</t>
        </is>
      </c>
      <c r="B107" s="4" t="inlineStr">
        <is>
          <t>BKO</t>
        </is>
      </c>
      <c r="C107" s="4" t="n"/>
      <c r="D107" s="4" t="n"/>
      <c r="E107" s="4" t="inlineStr">
        <is>
          <t>Modibo Keita International Airport</t>
        </is>
      </c>
      <c r="F107" s="4" t="n"/>
      <c r="G107" s="4" t="n"/>
      <c r="H107" s="4" t="inlineStr">
        <is>
          <t>Mali</t>
        </is>
      </c>
      <c r="I107" s="4" t="inlineStr">
        <is>
          <t>Bamako</t>
        </is>
      </c>
      <c r="J107" s="4" t="n"/>
      <c r="K107" s="4" t="n"/>
      <c r="L107" s="4" t="n"/>
      <c r="M107" s="4" t="n"/>
      <c r="N107" s="12" t="n"/>
      <c r="O107" s="125" t="n">
        <v>12.5335</v>
      </c>
      <c r="P107" s="125" t="n">
        <v>-7.94994</v>
      </c>
      <c r="Q107" s="13" t="n"/>
      <c r="R107" s="11" t="n">
        <v>1247</v>
      </c>
      <c r="S107" s="4" t="n"/>
      <c r="T107" s="4" t="inlineStr">
        <is>
          <t>Africa/Bamako</t>
        </is>
      </c>
      <c r="U107" s="126" t="n"/>
      <c r="V107" s="14" t="n"/>
      <c r="W107" s="4" t="n"/>
      <c r="X107" s="4" t="n"/>
      <c r="Y107" s="4" t="n"/>
      <c r="Z107" s="4" t="n"/>
      <c r="AA107" s="4" t="n"/>
      <c r="AB107" s="4" t="n"/>
      <c r="AC107" s="4" t="n"/>
      <c r="AD107" s="4" t="n"/>
      <c r="AE107" s="4" t="n"/>
      <c r="AF107" s="4" t="n"/>
      <c r="AG107" s="4" t="n"/>
      <c r="AH107" s="4" t="n"/>
      <c r="AI107" s="4" t="n"/>
      <c r="AJ107" s="4" t="n"/>
      <c r="AK107" s="4" t="n"/>
      <c r="AL107" s="4" t="n"/>
      <c r="AM107" s="4" t="n"/>
      <c r="AN107" s="4" t="n"/>
      <c r="AO107" s="12" t="n"/>
      <c r="AP107" s="12" t="n"/>
      <c r="AQ107" s="12" t="n"/>
      <c r="AR107" s="12" t="n"/>
      <c r="AS107" s="16" t="n"/>
      <c r="AT107" s="16" t="n"/>
      <c r="AU107" s="4" t="n"/>
      <c r="AV107" s="124" t="n"/>
      <c r="AX107" s="118" t="n"/>
    </row>
    <row r="108">
      <c r="A108" s="4" t="inlineStr">
        <is>
          <t>GATB</t>
        </is>
      </c>
      <c r="B108" s="4" t="inlineStr">
        <is>
          <t>TOM</t>
        </is>
      </c>
      <c r="C108" s="4" t="n"/>
      <c r="D108" s="4" t="n"/>
      <c r="E108" s="4" t="inlineStr">
        <is>
          <t>Tombouktou Airport</t>
        </is>
      </c>
      <c r="F108" s="4" t="n"/>
      <c r="G108" s="4" t="n"/>
      <c r="H108" s="4" t="inlineStr">
        <is>
          <t>Mali</t>
        </is>
      </c>
      <c r="I108" s="4" t="inlineStr">
        <is>
          <t>Timbuktu</t>
        </is>
      </c>
      <c r="J108" s="4" t="n"/>
      <c r="K108" s="4" t="n"/>
      <c r="L108" s="4" t="n"/>
      <c r="M108" s="4" t="n"/>
      <c r="N108" s="12" t="n"/>
      <c r="O108" s="125" t="n">
        <v>16.7305</v>
      </c>
      <c r="P108" s="125" t="n">
        <v>-3.00758</v>
      </c>
      <c r="Q108" s="13" t="n"/>
      <c r="R108" s="11" t="n">
        <v>863</v>
      </c>
      <c r="S108" s="4" t="n"/>
      <c r="T108" s="4" t="inlineStr">
        <is>
          <t>Africa/Bamako</t>
        </is>
      </c>
      <c r="U108" s="126" t="n"/>
      <c r="V108" s="14" t="n"/>
      <c r="W108" s="4" t="n"/>
      <c r="X108" s="4" t="n"/>
      <c r="Y108" s="4" t="n"/>
      <c r="Z108" s="4" t="n"/>
      <c r="AA108" s="4" t="n"/>
      <c r="AB108" s="4" t="n"/>
      <c r="AC108" s="4" t="n"/>
      <c r="AD108" s="4" t="n"/>
      <c r="AE108" s="4" t="n"/>
      <c r="AF108" s="4" t="n"/>
      <c r="AG108" s="4" t="n"/>
      <c r="AH108" s="4" t="n"/>
      <c r="AI108" s="4" t="n"/>
      <c r="AJ108" s="4" t="n"/>
      <c r="AK108" s="4" t="n"/>
      <c r="AL108" s="4" t="n"/>
      <c r="AM108" s="4" t="n"/>
      <c r="AN108" s="4" t="n"/>
      <c r="AO108" s="12" t="n"/>
      <c r="AP108" s="12" t="n"/>
      <c r="AQ108" s="12" t="n"/>
      <c r="AR108" s="12" t="n"/>
      <c r="AS108" s="16" t="n"/>
      <c r="AT108" s="16" t="n"/>
      <c r="AU108" s="4" t="n"/>
      <c r="AV108" s="124" t="n"/>
      <c r="AX108" s="118" t="n"/>
    </row>
    <row r="109">
      <c r="A109" s="4" t="inlineStr">
        <is>
          <t>GBYD</t>
        </is>
      </c>
      <c r="B109" s="4" t="inlineStr">
        <is>
          <t>BJL</t>
        </is>
      </c>
      <c r="C109" s="4" t="n"/>
      <c r="D109" s="4" t="n"/>
      <c r="E109" s="4" t="inlineStr">
        <is>
          <t>Banjul International Airport</t>
        </is>
      </c>
      <c r="F109" s="4" t="n"/>
      <c r="G109" s="4" t="n"/>
      <c r="H109" s="4" t="inlineStr">
        <is>
          <t>Gambia</t>
        </is>
      </c>
      <c r="I109" s="4" t="inlineStr">
        <is>
          <t>Banjul</t>
        </is>
      </c>
      <c r="J109" s="4" t="n"/>
      <c r="K109" s="4" t="n"/>
      <c r="L109" s="4" t="n"/>
      <c r="M109" s="4" t="n"/>
      <c r="N109" s="12" t="n"/>
      <c r="O109" s="125" t="n">
        <v>13.338</v>
      </c>
      <c r="P109" s="125" t="n">
        <v>-16.6522</v>
      </c>
      <c r="Q109" s="13" t="n"/>
      <c r="R109" s="11" t="n">
        <v>95</v>
      </c>
      <c r="S109" s="4" t="n"/>
      <c r="T109" s="4" t="inlineStr">
        <is>
          <t>Africa/Banjul</t>
        </is>
      </c>
      <c r="U109" s="126" t="n"/>
      <c r="V109" s="14" t="n"/>
      <c r="W109" s="4" t="n"/>
      <c r="X109" s="4" t="n"/>
      <c r="Y109" s="4" t="n"/>
      <c r="Z109" s="4" t="n"/>
      <c r="AA109" s="4" t="n"/>
      <c r="AB109" s="4" t="n"/>
      <c r="AC109" s="4" t="n"/>
      <c r="AD109" s="4" t="n"/>
      <c r="AE109" s="4" t="n"/>
      <c r="AF109" s="4" t="n"/>
      <c r="AG109" s="4" t="n"/>
      <c r="AH109" s="4" t="n"/>
      <c r="AI109" s="4" t="n"/>
      <c r="AJ109" s="4" t="n"/>
      <c r="AK109" s="4" t="n"/>
      <c r="AL109" s="4" t="n"/>
      <c r="AM109" s="4" t="n"/>
      <c r="AN109" s="4" t="n"/>
      <c r="AO109" s="12" t="n"/>
      <c r="AP109" s="12" t="n"/>
      <c r="AQ109" s="12" t="n"/>
      <c r="AR109" s="12" t="n"/>
      <c r="AS109" s="16" t="n"/>
      <c r="AT109" s="16" t="n"/>
      <c r="AU109" s="4" t="n"/>
      <c r="AV109" s="124" t="n"/>
      <c r="AX109" s="118" t="n"/>
    </row>
    <row r="110">
      <c r="A110" s="4" t="inlineStr">
        <is>
          <t>GCFV</t>
        </is>
      </c>
      <c r="B110" s="4" t="inlineStr">
        <is>
          <t>FUE</t>
        </is>
      </c>
      <c r="C110" s="4" t="n"/>
      <c r="D110" s="4" t="n"/>
      <c r="E110" s="4" t="inlineStr">
        <is>
          <t>Fuerteventura Airport</t>
        </is>
      </c>
      <c r="F110" s="4" t="n"/>
      <c r="G110" s="4" t="n"/>
      <c r="H110" s="4" t="inlineStr">
        <is>
          <t>Spain</t>
        </is>
      </c>
      <c r="I110" s="4" t="inlineStr">
        <is>
          <t>El Matorral</t>
        </is>
      </c>
      <c r="J110" s="4" t="n"/>
      <c r="K110" s="4" t="n"/>
      <c r="L110" s="4" t="n"/>
      <c r="M110" s="4" t="n"/>
      <c r="N110" s="12" t="n"/>
      <c r="O110" s="125" t="n">
        <v>28.4527</v>
      </c>
      <c r="P110" s="125" t="n">
        <v>-13.8638</v>
      </c>
      <c r="Q110" s="13" t="n"/>
      <c r="R110" s="11" t="n">
        <v>85</v>
      </c>
      <c r="S110" s="4" t="n"/>
      <c r="T110" s="4" t="inlineStr">
        <is>
          <t>Atlantic/Canary</t>
        </is>
      </c>
      <c r="U110" s="126" t="n"/>
      <c r="V110" s="14" t="n"/>
      <c r="W110" s="4" t="n"/>
      <c r="X110" s="4" t="n"/>
      <c r="Y110" s="4" t="n"/>
      <c r="Z110" s="4" t="n"/>
      <c r="AA110" s="4" t="n"/>
      <c r="AB110" s="4" t="n"/>
      <c r="AC110" s="4" t="n"/>
      <c r="AD110" s="4" t="n"/>
      <c r="AE110" s="4" t="n"/>
      <c r="AF110" s="4" t="n"/>
      <c r="AG110" s="4" t="n"/>
      <c r="AH110" s="4" t="n"/>
      <c r="AI110" s="4" t="n"/>
      <c r="AJ110" s="4" t="n"/>
      <c r="AK110" s="4" t="n"/>
      <c r="AL110" s="4" t="n"/>
      <c r="AM110" s="4" t="n"/>
      <c r="AN110" s="4" t="n"/>
      <c r="AO110" s="12" t="n"/>
      <c r="AP110" s="12" t="n"/>
      <c r="AQ110" s="12" t="n"/>
      <c r="AR110" s="12" t="n"/>
      <c r="AS110" s="16" t="n"/>
      <c r="AT110" s="16" t="n"/>
      <c r="AU110" s="4" t="n"/>
      <c r="AV110" s="124" t="n"/>
      <c r="AX110" s="118" t="n"/>
    </row>
    <row r="111">
      <c r="A111" s="4" t="inlineStr">
        <is>
          <t>GCLP</t>
        </is>
      </c>
      <c r="B111" s="4" t="inlineStr">
        <is>
          <t>LPA</t>
        </is>
      </c>
      <c r="C111" s="4" t="n"/>
      <c r="D111" s="4" t="n"/>
      <c r="E111" s="4" t="inlineStr">
        <is>
          <t>Gran Canaria Airport</t>
        </is>
      </c>
      <c r="F111" s="4" t="n"/>
      <c r="G111" s="4" t="n"/>
      <c r="H111" s="4" t="inlineStr">
        <is>
          <t>Spain</t>
        </is>
      </c>
      <c r="I111" s="4" t="inlineStr">
        <is>
          <t>Gran Canaria Island</t>
        </is>
      </c>
      <c r="J111" s="4" t="n"/>
      <c r="K111" s="4" t="n"/>
      <c r="L111" s="4" t="n"/>
      <c r="M111" s="4" t="n"/>
      <c r="N111" s="12" t="n"/>
      <c r="O111" s="125" t="n">
        <v>27.9319</v>
      </c>
      <c r="P111" s="125" t="n">
        <v>-15.3866</v>
      </c>
      <c r="Q111" s="13" t="n"/>
      <c r="R111" s="11" t="n">
        <v>78</v>
      </c>
      <c r="S111" s="4" t="n"/>
      <c r="T111" s="4" t="inlineStr">
        <is>
          <t>Atlantic/Canary</t>
        </is>
      </c>
      <c r="U111" s="126" t="n"/>
      <c r="V111" s="14" t="n"/>
      <c r="W111" s="4" t="n"/>
      <c r="X111" s="4" t="n"/>
      <c r="Y111" s="4" t="n"/>
      <c r="Z111" s="4" t="n"/>
      <c r="AA111" s="4" t="n"/>
      <c r="AB111" s="4" t="n"/>
      <c r="AC111" s="4" t="n"/>
      <c r="AD111" s="4" t="n"/>
      <c r="AE111" s="4" t="n"/>
      <c r="AF111" s="4" t="n"/>
      <c r="AG111" s="4" t="n"/>
      <c r="AH111" s="4" t="n"/>
      <c r="AI111" s="4" t="n"/>
      <c r="AJ111" s="4" t="n"/>
      <c r="AK111" s="4" t="n"/>
      <c r="AL111" s="4" t="n"/>
      <c r="AM111" s="4" t="n"/>
      <c r="AN111" s="4" t="n"/>
      <c r="AO111" s="12" t="n"/>
      <c r="AP111" s="12" t="n"/>
      <c r="AQ111" s="12" t="n"/>
      <c r="AR111" s="12" t="n"/>
      <c r="AS111" s="16" t="n"/>
      <c r="AT111" s="16" t="n"/>
      <c r="AU111" s="4" t="n"/>
      <c r="AV111" s="124" t="n"/>
      <c r="AX111" s="118" t="n"/>
    </row>
    <row r="112">
      <c r="A112" s="4" t="inlineStr">
        <is>
          <t>GFLL</t>
        </is>
      </c>
      <c r="B112" s="4" t="inlineStr">
        <is>
          <t>FNA</t>
        </is>
      </c>
      <c r="C112" s="4" t="n"/>
      <c r="D112" s="4" t="n"/>
      <c r="E112" s="4" t="inlineStr">
        <is>
          <t>Lungi International Airport</t>
        </is>
      </c>
      <c r="F112" s="4" t="n"/>
      <c r="G112" s="4" t="n"/>
      <c r="H112" s="4" t="inlineStr">
        <is>
          <t>Sierra Leone</t>
        </is>
      </c>
      <c r="I112" s="4" t="inlineStr">
        <is>
          <t>Freetown</t>
        </is>
      </c>
      <c r="J112" s="4" t="n"/>
      <c r="K112" s="4" t="n"/>
      <c r="L112" s="4" t="n"/>
      <c r="M112" s="4" t="n"/>
      <c r="N112" s="12" t="n"/>
      <c r="O112" s="125" t="n">
        <v>8.616440000000001</v>
      </c>
      <c r="P112" s="125" t="n">
        <v>-13.1955</v>
      </c>
      <c r="Q112" s="13" t="n"/>
      <c r="R112" s="11" t="n">
        <v>84</v>
      </c>
      <c r="S112" s="4" t="n"/>
      <c r="T112" s="4" t="inlineStr">
        <is>
          <t>Africa/Freetown</t>
        </is>
      </c>
      <c r="U112" s="126" t="n"/>
      <c r="V112" s="14" t="n"/>
      <c r="W112" s="4" t="n"/>
      <c r="X112" s="4" t="n"/>
      <c r="Y112" s="4" t="n"/>
      <c r="Z112" s="4" t="n"/>
      <c r="AA112" s="4" t="n"/>
      <c r="AB112" s="4" t="n"/>
      <c r="AC112" s="4" t="n"/>
      <c r="AD112" s="4" t="n"/>
      <c r="AE112" s="4" t="n"/>
      <c r="AF112" s="4" t="n"/>
      <c r="AG112" s="4" t="n"/>
      <c r="AH112" s="4" t="n"/>
      <c r="AI112" s="4" t="n"/>
      <c r="AJ112" s="4" t="n"/>
      <c r="AK112" s="4" t="n"/>
      <c r="AL112" s="4" t="n"/>
      <c r="AM112" s="4" t="n"/>
      <c r="AN112" s="4" t="n"/>
      <c r="AO112" s="12" t="n"/>
      <c r="AP112" s="12" t="n"/>
      <c r="AQ112" s="12" t="n"/>
      <c r="AR112" s="12" t="n"/>
      <c r="AS112" s="16" t="n"/>
      <c r="AT112" s="16" t="n"/>
      <c r="AU112" s="4" t="n"/>
      <c r="AV112" s="124" t="n"/>
      <c r="AX112" s="118" t="n"/>
    </row>
    <row r="113">
      <c r="A113" s="4" t="inlineStr">
        <is>
          <t>GGOV</t>
        </is>
      </c>
      <c r="B113" s="4" t="inlineStr">
        <is>
          <t>OXB</t>
        </is>
      </c>
      <c r="C113" s="4" t="n"/>
      <c r="D113" s="4" t="n"/>
      <c r="E113" s="4" t="inlineStr">
        <is>
          <t>Osvaldo Vieira International Airport</t>
        </is>
      </c>
      <c r="F113" s="4" t="n"/>
      <c r="G113" s="4" t="n"/>
      <c r="H113" s="4" t="inlineStr">
        <is>
          <t>Guinea-Bissau</t>
        </is>
      </c>
      <c r="I113" s="4" t="inlineStr">
        <is>
          <t>Bissau</t>
        </is>
      </c>
      <c r="J113" s="4" t="n"/>
      <c r="K113" s="4" t="n"/>
      <c r="L113" s="4" t="n"/>
      <c r="M113" s="4" t="n"/>
      <c r="N113" s="12" t="n"/>
      <c r="O113" s="125" t="n">
        <v>11.89426</v>
      </c>
      <c r="P113" s="125" t="n">
        <v>-15.6536</v>
      </c>
      <c r="Q113" s="13" t="n"/>
      <c r="R113" s="11" t="n">
        <v>129</v>
      </c>
      <c r="S113" s="4" t="n"/>
      <c r="T113" s="4" t="inlineStr">
        <is>
          <t>Africa/Bissau</t>
        </is>
      </c>
      <c r="U113" s="126" t="n"/>
      <c r="V113" s="14" t="n"/>
      <c r="W113" s="4" t="n"/>
      <c r="X113" s="4" t="n"/>
      <c r="Y113" s="4" t="n"/>
      <c r="Z113" s="4" t="n"/>
      <c r="AA113" s="4" t="n"/>
      <c r="AB113" s="4" t="n"/>
      <c r="AC113" s="4" t="n"/>
      <c r="AD113" s="4" t="n"/>
      <c r="AE113" s="4" t="n"/>
      <c r="AF113" s="4" t="n"/>
      <c r="AG113" s="4" t="n"/>
      <c r="AH113" s="4" t="n"/>
      <c r="AI113" s="4" t="n"/>
      <c r="AJ113" s="4" t="n"/>
      <c r="AK113" s="4" t="n"/>
      <c r="AL113" s="4" t="n"/>
      <c r="AM113" s="4" t="n"/>
      <c r="AN113" s="4" t="n"/>
      <c r="AO113" s="12" t="n"/>
      <c r="AP113" s="12" t="n"/>
      <c r="AQ113" s="12" t="n"/>
      <c r="AR113" s="12" t="n"/>
      <c r="AS113" s="16" t="n"/>
      <c r="AT113" s="16" t="n"/>
      <c r="AU113" s="4" t="n"/>
      <c r="AV113" s="124" t="n"/>
      <c r="AX113" s="118" t="n"/>
    </row>
    <row r="114">
      <c r="A114" s="4" t="inlineStr">
        <is>
          <t>GLRB</t>
        </is>
      </c>
      <c r="B114" s="4" t="inlineStr">
        <is>
          <t>ROB</t>
        </is>
      </c>
      <c r="C114" s="4" t="n"/>
      <c r="D114" s="4" t="n"/>
      <c r="E114" s="4" t="inlineStr">
        <is>
          <t>Roberts International Airport</t>
        </is>
      </c>
      <c r="F114" s="4" t="n"/>
      <c r="G114" s="4" t="n"/>
      <c r="H114" s="4" t="inlineStr">
        <is>
          <t>Liberia</t>
        </is>
      </c>
      <c r="I114" s="4" t="inlineStr">
        <is>
          <t>Monrovia</t>
        </is>
      </c>
      <c r="J114" s="4" t="n"/>
      <c r="K114" s="4" t="n"/>
      <c r="L114" s="4" t="n"/>
      <c r="M114" s="4" t="n"/>
      <c r="N114" s="12" t="n"/>
      <c r="O114" s="125" t="n">
        <v>6.23379</v>
      </c>
      <c r="P114" s="125" t="n">
        <v>-10.3623</v>
      </c>
      <c r="Q114" s="13" t="n"/>
      <c r="R114" s="11" t="n">
        <v>31</v>
      </c>
      <c r="S114" s="4" t="n"/>
      <c r="T114" s="4" t="inlineStr">
        <is>
          <t>Africa/Monrovia</t>
        </is>
      </c>
      <c r="U114" s="126" t="n"/>
      <c r="V114" s="14" t="n"/>
      <c r="W114" s="4" t="n"/>
      <c r="X114" s="4" t="n"/>
      <c r="Y114" s="4" t="n"/>
      <c r="Z114" s="4" t="n"/>
      <c r="AA114" s="4" t="n"/>
      <c r="AB114" s="4" t="n"/>
      <c r="AC114" s="4" t="n"/>
      <c r="AD114" s="4" t="n"/>
      <c r="AE114" s="4" t="n"/>
      <c r="AF114" s="4" t="n"/>
      <c r="AG114" s="4" t="n"/>
      <c r="AH114" s="4" t="n"/>
      <c r="AI114" s="4" t="n"/>
      <c r="AJ114" s="4" t="n"/>
      <c r="AK114" s="4" t="n"/>
      <c r="AL114" s="4" t="n"/>
      <c r="AM114" s="4" t="n"/>
      <c r="AN114" s="4" t="n"/>
      <c r="AO114" s="12" t="n"/>
      <c r="AP114" s="12" t="n"/>
      <c r="AQ114" s="12" t="n"/>
      <c r="AR114" s="12" t="n"/>
      <c r="AS114" s="16" t="n"/>
      <c r="AT114" s="16" t="n"/>
      <c r="AU114" s="4" t="n"/>
      <c r="AV114" s="124" t="n"/>
      <c r="AX114" s="118" t="n"/>
    </row>
    <row r="115">
      <c r="A115" s="4" t="inlineStr">
        <is>
          <t>GMAD</t>
        </is>
      </c>
      <c r="B115" s="4" t="inlineStr">
        <is>
          <t>AGA</t>
        </is>
      </c>
      <c r="C115" s="4" t="n"/>
      <c r="D115" s="4" t="n"/>
      <c r="E115" s="4" t="inlineStr">
        <is>
          <t>Al Massira Airport</t>
        </is>
      </c>
      <c r="F115" s="4" t="n"/>
      <c r="G115" s="4" t="n"/>
      <c r="H115" s="4" t="inlineStr">
        <is>
          <t>Morocco</t>
        </is>
      </c>
      <c r="I115" s="4" t="inlineStr">
        <is>
          <t>Agadir</t>
        </is>
      </c>
      <c r="J115" s="4" t="n"/>
      <c r="K115" s="4" t="n"/>
      <c r="L115" s="4" t="n"/>
      <c r="M115" s="4" t="n"/>
      <c r="N115" s="12" t="n"/>
      <c r="O115" s="125" t="n">
        <v>30.32248</v>
      </c>
      <c r="P115" s="125" t="n">
        <v>-9.412000000000001</v>
      </c>
      <c r="Q115" s="13" t="n"/>
      <c r="R115" s="11" t="n">
        <v>250</v>
      </c>
      <c r="S115" s="4" t="n"/>
      <c r="T115" s="4" t="inlineStr">
        <is>
          <t>Africa/Casablanca</t>
        </is>
      </c>
      <c r="U115" s="126" t="n"/>
      <c r="V115" s="14" t="n"/>
      <c r="W115" s="4" t="n"/>
      <c r="X115" s="4" t="n"/>
      <c r="Y115" s="4" t="n"/>
      <c r="Z115" s="4" t="n"/>
      <c r="AA115" s="4" t="n"/>
      <c r="AB115" s="4" t="n"/>
      <c r="AC115" s="4" t="n"/>
      <c r="AD115" s="4" t="n"/>
      <c r="AE115" s="4" t="n"/>
      <c r="AF115" s="4" t="n"/>
      <c r="AG115" s="4" t="n"/>
      <c r="AH115" s="4" t="n"/>
      <c r="AI115" s="4" t="n"/>
      <c r="AJ115" s="4" t="n"/>
      <c r="AK115" s="4" t="n"/>
      <c r="AL115" s="4" t="n"/>
      <c r="AM115" s="4" t="n"/>
      <c r="AN115" s="4" t="n"/>
      <c r="AO115" s="12" t="n"/>
      <c r="AP115" s="12" t="n"/>
      <c r="AQ115" s="12" t="n"/>
      <c r="AR115" s="12" t="n"/>
      <c r="AS115" s="16" t="n"/>
      <c r="AT115" s="16" t="n"/>
      <c r="AU115" s="4" t="n"/>
      <c r="AV115" s="124" t="n"/>
      <c r="AX115" s="118" t="n"/>
    </row>
    <row r="116">
      <c r="A116" s="4" t="inlineStr">
        <is>
          <t>GMAZ</t>
        </is>
      </c>
      <c r="B116" s="4" t="inlineStr">
        <is>
          <t>OZG</t>
        </is>
      </c>
      <c r="C116" s="4" t="n"/>
      <c r="D116" s="4" t="n"/>
      <c r="E116" s="4" t="inlineStr">
        <is>
          <t>Zagora Airport</t>
        </is>
      </c>
      <c r="F116" s="4" t="n"/>
      <c r="G116" s="4" t="n"/>
      <c r="H116" s="4" t="inlineStr">
        <is>
          <t>Morocco</t>
        </is>
      </c>
      <c r="I116" s="4" t="inlineStr">
        <is>
          <t>Zagora</t>
        </is>
      </c>
      <c r="J116" s="4" t="n"/>
      <c r="K116" s="4" t="n"/>
      <c r="L116" s="4" t="n"/>
      <c r="M116" s="4" t="n"/>
      <c r="N116" s="12" t="n"/>
      <c r="O116" s="125" t="n">
        <v>30.26579</v>
      </c>
      <c r="P116" s="125" t="n">
        <v>-5.86081</v>
      </c>
      <c r="Q116" s="13" t="n"/>
      <c r="R116" s="11" t="n">
        <v>2414</v>
      </c>
      <c r="S116" s="4" t="n"/>
      <c r="T116" s="4" t="inlineStr">
        <is>
          <t>Africa/Casablanca</t>
        </is>
      </c>
      <c r="U116" s="126" t="n"/>
      <c r="V116" s="14" t="n"/>
      <c r="W116" s="4" t="n"/>
      <c r="X116" s="4" t="n"/>
      <c r="Y116" s="4" t="n"/>
      <c r="Z116" s="4" t="n"/>
      <c r="AA116" s="4" t="n"/>
      <c r="AB116" s="4" t="n"/>
      <c r="AC116" s="4" t="n"/>
      <c r="AD116" s="4" t="n"/>
      <c r="AE116" s="4" t="n"/>
      <c r="AF116" s="4" t="n"/>
      <c r="AG116" s="4" t="n"/>
      <c r="AH116" s="4" t="n"/>
      <c r="AI116" s="4" t="n"/>
      <c r="AJ116" s="4" t="n"/>
      <c r="AK116" s="4" t="n"/>
      <c r="AL116" s="4" t="n"/>
      <c r="AM116" s="4" t="n"/>
      <c r="AN116" s="4" t="n"/>
      <c r="AO116" s="12" t="n"/>
      <c r="AP116" s="12" t="n"/>
      <c r="AQ116" s="12" t="n"/>
      <c r="AR116" s="12" t="n"/>
      <c r="AS116" s="16" t="n"/>
      <c r="AT116" s="16" t="n"/>
      <c r="AU116" s="4" t="n"/>
      <c r="AV116" s="124" t="n"/>
      <c r="AX116" s="118" t="n"/>
    </row>
    <row r="117">
      <c r="A117" s="4" t="inlineStr">
        <is>
          <t>GMMH</t>
        </is>
      </c>
      <c r="B117" s="4" t="inlineStr">
        <is>
          <t>VIL</t>
        </is>
      </c>
      <c r="C117" s="4" t="n"/>
      <c r="D117" s="4" t="n"/>
      <c r="E117" s="4" t="inlineStr">
        <is>
          <t>Dakhla Airport</t>
        </is>
      </c>
      <c r="F117" s="4" t="n"/>
      <c r="G117" s="4" t="n"/>
      <c r="H117" s="4" t="inlineStr">
        <is>
          <t>Western Sahara</t>
        </is>
      </c>
      <c r="I117" s="4" t="inlineStr">
        <is>
          <t>Dakhla</t>
        </is>
      </c>
      <c r="J117" s="4" t="n"/>
      <c r="K117" s="4" t="n"/>
      <c r="L117" s="4" t="n"/>
      <c r="M117" s="4" t="n"/>
      <c r="N117" s="12" t="n"/>
      <c r="O117" s="125" t="n">
        <v>23.7183</v>
      </c>
      <c r="P117" s="125" t="n">
        <v>-15.932</v>
      </c>
      <c r="Q117" s="13" t="n"/>
      <c r="R117" s="11" t="n">
        <v>36</v>
      </c>
      <c r="S117" s="4" t="n"/>
      <c r="T117" s="4" t="inlineStr">
        <is>
          <t>Africa/El_Aaiun</t>
        </is>
      </c>
      <c r="U117" s="126" t="n"/>
      <c r="V117" s="14" t="n"/>
      <c r="W117" s="4" t="n"/>
      <c r="X117" s="4" t="n"/>
      <c r="Y117" s="4" t="n"/>
      <c r="Z117" s="4" t="n"/>
      <c r="AA117" s="4" t="n"/>
      <c r="AB117" s="4" t="n"/>
      <c r="AC117" s="4" t="n"/>
      <c r="AD117" s="4" t="n"/>
      <c r="AE117" s="4" t="n"/>
      <c r="AF117" s="4" t="n"/>
      <c r="AG117" s="4" t="n"/>
      <c r="AH117" s="4" t="n"/>
      <c r="AI117" s="4" t="n"/>
      <c r="AJ117" s="4" t="n"/>
      <c r="AK117" s="4" t="n"/>
      <c r="AL117" s="4" t="n"/>
      <c r="AM117" s="4" t="n"/>
      <c r="AN117" s="4" t="n"/>
      <c r="AO117" s="12" t="n"/>
      <c r="AP117" s="12" t="n"/>
      <c r="AQ117" s="12" t="n"/>
      <c r="AR117" s="12" t="n"/>
      <c r="AS117" s="16" t="n"/>
      <c r="AT117" s="16" t="n"/>
      <c r="AU117" s="4" t="n"/>
      <c r="AV117" s="124" t="n"/>
      <c r="AX117" s="118" t="n"/>
    </row>
    <row r="118">
      <c r="A118" s="4" t="inlineStr">
        <is>
          <t>GMML</t>
        </is>
      </c>
      <c r="B118" s="4" t="inlineStr">
        <is>
          <t>EUN</t>
        </is>
      </c>
      <c r="C118" s="4" t="n"/>
      <c r="D118" s="4" t="n"/>
      <c r="E118" s="4" t="inlineStr">
        <is>
          <t>Laayoune Hassan I International Airport</t>
        </is>
      </c>
      <c r="F118" s="4" t="n"/>
      <c r="G118" s="4" t="n"/>
      <c r="H118" s="4" t="inlineStr">
        <is>
          <t>Western Sahara</t>
        </is>
      </c>
      <c r="I118" s="4" t="inlineStr">
        <is>
          <t>El Aaiún</t>
        </is>
      </c>
      <c r="J118" s="4" t="n"/>
      <c r="K118" s="4" t="n"/>
      <c r="L118" s="4" t="n"/>
      <c r="M118" s="4" t="n"/>
      <c r="N118" s="12" t="n"/>
      <c r="O118" s="125" t="n">
        <v>27.14247</v>
      </c>
      <c r="P118" s="125" t="n">
        <v>-13.22495</v>
      </c>
      <c r="Q118" s="13" t="n"/>
      <c r="R118" s="11" t="n">
        <v>207</v>
      </c>
      <c r="S118" s="4" t="n"/>
      <c r="T118" s="4" t="inlineStr">
        <is>
          <t>Africa/El_Aaiun</t>
        </is>
      </c>
      <c r="U118" s="126" t="n"/>
      <c r="V118" s="14" t="n"/>
      <c r="W118" s="4" t="n"/>
      <c r="X118" s="4" t="n"/>
      <c r="Y118" s="4" t="n"/>
      <c r="Z118" s="4" t="n"/>
      <c r="AA118" s="4" t="n"/>
      <c r="AB118" s="4" t="n"/>
      <c r="AC118" s="4" t="n"/>
      <c r="AD118" s="4" t="n"/>
      <c r="AE118" s="4" t="n"/>
      <c r="AF118" s="4" t="n"/>
      <c r="AG118" s="4" t="n"/>
      <c r="AH118" s="4" t="n"/>
      <c r="AI118" s="4" t="n"/>
      <c r="AJ118" s="4" t="n"/>
      <c r="AK118" s="4" t="n"/>
      <c r="AL118" s="4" t="n"/>
      <c r="AM118" s="4" t="n"/>
      <c r="AN118" s="4" t="n"/>
      <c r="AO118" s="12" t="n"/>
      <c r="AP118" s="12" t="n"/>
      <c r="AQ118" s="12" t="n"/>
      <c r="AR118" s="12" t="n"/>
      <c r="AS118" s="16" t="n"/>
      <c r="AT118" s="16" t="n"/>
      <c r="AU118" s="4" t="n"/>
      <c r="AV118" s="124" t="n"/>
      <c r="AX118" s="118" t="n"/>
    </row>
    <row r="119">
      <c r="A119" s="4" t="inlineStr">
        <is>
          <t>GMMN</t>
        </is>
      </c>
      <c r="B119" s="4" t="inlineStr">
        <is>
          <t>CMN</t>
        </is>
      </c>
      <c r="C119" s="4" t="n"/>
      <c r="D119" s="4" t="n"/>
      <c r="E119" s="4" t="inlineStr">
        <is>
          <t>Mohammed V International Airport</t>
        </is>
      </c>
      <c r="F119" s="4" t="n"/>
      <c r="G119" s="4" t="n"/>
      <c r="H119" s="4" t="inlineStr">
        <is>
          <t>Morocco</t>
        </is>
      </c>
      <c r="I119" s="4" t="inlineStr">
        <is>
          <t>Casablanca</t>
        </is>
      </c>
      <c r="J119" s="4" t="n"/>
      <c r="K119" s="4" t="n"/>
      <c r="L119" s="4" t="n"/>
      <c r="M119" s="4" t="n"/>
      <c r="N119" s="12" t="n"/>
      <c r="O119" s="125" t="n">
        <v>33.3675</v>
      </c>
      <c r="P119" s="125" t="n">
        <v>-7.58997</v>
      </c>
      <c r="Q119" s="13" t="n"/>
      <c r="R119" s="11" t="n">
        <v>656</v>
      </c>
      <c r="S119" s="4" t="n"/>
      <c r="T119" s="4" t="inlineStr">
        <is>
          <t>Africa/Casablanca</t>
        </is>
      </c>
      <c r="U119" s="126" t="n"/>
      <c r="V119" s="14" t="n"/>
      <c r="W119" s="4" t="n"/>
      <c r="X119" s="4" t="n"/>
      <c r="Y119" s="4" t="n"/>
      <c r="Z119" s="4" t="n"/>
      <c r="AA119" s="4" t="n"/>
      <c r="AB119" s="4" t="n"/>
      <c r="AC119" s="4" t="n"/>
      <c r="AD119" s="4" t="n"/>
      <c r="AE119" s="4" t="n"/>
      <c r="AF119" s="4" t="n"/>
      <c r="AG119" s="4" t="n"/>
      <c r="AH119" s="4" t="n"/>
      <c r="AI119" s="4" t="n"/>
      <c r="AJ119" s="4" t="n"/>
      <c r="AK119" s="4" t="n"/>
      <c r="AL119" s="4" t="n"/>
      <c r="AM119" s="4" t="n"/>
      <c r="AN119" s="4" t="n"/>
      <c r="AO119" s="12" t="n"/>
      <c r="AP119" s="12" t="n"/>
      <c r="AQ119" s="12" t="n"/>
      <c r="AR119" s="12" t="n"/>
      <c r="AS119" s="16" t="n"/>
      <c r="AT119" s="16" t="n"/>
      <c r="AU119" s="4" t="n"/>
      <c r="AV119" s="124" t="n"/>
      <c r="AX119" s="118" t="n"/>
    </row>
    <row r="120">
      <c r="A120" s="4" t="inlineStr">
        <is>
          <t>GOBD</t>
        </is>
      </c>
      <c r="B120" s="4" t="inlineStr">
        <is>
          <t>DSS</t>
        </is>
      </c>
      <c r="C120" s="4" t="n"/>
      <c r="D120" s="4" t="n"/>
      <c r="E120" s="4" t="inlineStr">
        <is>
          <t>Blaise Diagne International Airport</t>
        </is>
      </c>
      <c r="F120" s="4" t="n"/>
      <c r="G120" s="4" t="n"/>
      <c r="H120" s="4" t="inlineStr">
        <is>
          <t>Senegal</t>
        </is>
      </c>
      <c r="I120" s="4" t="inlineStr">
        <is>
          <t>Dakar</t>
        </is>
      </c>
      <c r="J120" s="4" t="n"/>
      <c r="K120" s="4" t="n"/>
      <c r="L120" s="4" t="n"/>
      <c r="M120" s="4" t="n"/>
      <c r="N120" s="12" t="n"/>
      <c r="O120" s="125" t="n">
        <v>14.67088</v>
      </c>
      <c r="P120" s="125" t="n">
        <v>-17.07283</v>
      </c>
      <c r="Q120" s="13" t="n"/>
      <c r="R120" s="11" t="n">
        <v>290</v>
      </c>
      <c r="S120" s="4" t="n"/>
      <c r="T120" s="4" t="n"/>
      <c r="U120" s="126" t="n"/>
      <c r="V120" s="14" t="n"/>
      <c r="W120" s="4" t="n"/>
      <c r="X120" s="4" t="n"/>
      <c r="Y120" s="4" t="n"/>
      <c r="Z120" s="4" t="n"/>
      <c r="AA120" s="4" t="n"/>
      <c r="AB120" s="4" t="n"/>
      <c r="AC120" s="4" t="n"/>
      <c r="AD120" s="4" t="n"/>
      <c r="AE120" s="4" t="n"/>
      <c r="AF120" s="4" t="n"/>
      <c r="AG120" s="4" t="n"/>
      <c r="AH120" s="4" t="n"/>
      <c r="AI120" s="4" t="n"/>
      <c r="AJ120" s="4" t="n"/>
      <c r="AK120" s="4" t="n"/>
      <c r="AL120" s="4" t="n"/>
      <c r="AM120" s="4" t="n"/>
      <c r="AN120" s="4" t="n"/>
      <c r="AO120" s="12" t="n"/>
      <c r="AP120" s="12" t="n"/>
      <c r="AQ120" s="12" t="n"/>
      <c r="AR120" s="12" t="n"/>
      <c r="AS120" s="16" t="n"/>
      <c r="AT120" s="16" t="n"/>
      <c r="AU120" s="4" t="n"/>
      <c r="AV120" s="124" t="n"/>
      <c r="AX120" s="118" t="n"/>
    </row>
    <row r="121">
      <c r="A121" s="4" t="inlineStr">
        <is>
          <t>GOOY</t>
        </is>
      </c>
      <c r="B121" s="4" t="inlineStr">
        <is>
          <t>DKR</t>
        </is>
      </c>
      <c r="C121" s="4" t="n"/>
      <c r="D121" s="4" t="n"/>
      <c r="E121" s="4" t="inlineStr">
        <is>
          <t>Léopold Sédar Senghor International Airport</t>
        </is>
      </c>
      <c r="F121" s="4" t="n"/>
      <c r="G121" s="4" t="n"/>
      <c r="H121" s="4" t="inlineStr">
        <is>
          <t>Senegal</t>
        </is>
      </c>
      <c r="I121" s="4" t="inlineStr">
        <is>
          <t>Dakar</t>
        </is>
      </c>
      <c r="J121" s="4" t="n"/>
      <c r="K121" s="4" t="n"/>
      <c r="L121" s="4" t="n"/>
      <c r="M121" s="4" t="n"/>
      <c r="N121" s="12" t="n"/>
      <c r="O121" s="125" t="n">
        <v>14.74234</v>
      </c>
      <c r="P121" s="125" t="n">
        <v>-17.47922</v>
      </c>
      <c r="Q121" s="13" t="n"/>
      <c r="R121" s="11" t="n">
        <v>85</v>
      </c>
      <c r="S121" s="4" t="n"/>
      <c r="T121" s="4" t="inlineStr">
        <is>
          <t>Africa/Dakar</t>
        </is>
      </c>
      <c r="U121" s="126" t="n"/>
      <c r="V121" s="14" t="n"/>
      <c r="W121" s="4" t="n"/>
      <c r="X121" s="4" t="n"/>
      <c r="Y121" s="4" t="n"/>
      <c r="Z121" s="4" t="n"/>
      <c r="AA121" s="4" t="n"/>
      <c r="AB121" s="4" t="n"/>
      <c r="AC121" s="4" t="n"/>
      <c r="AD121" s="4" t="n"/>
      <c r="AE121" s="4" t="n"/>
      <c r="AF121" s="4" t="n"/>
      <c r="AG121" s="4" t="n"/>
      <c r="AH121" s="4" t="n"/>
      <c r="AI121" s="4" t="n"/>
      <c r="AJ121" s="4" t="n"/>
      <c r="AK121" s="4" t="n"/>
      <c r="AL121" s="4" t="n"/>
      <c r="AM121" s="4" t="n"/>
      <c r="AN121" s="4" t="n"/>
      <c r="AO121" s="12" t="n"/>
      <c r="AP121" s="12" t="n"/>
      <c r="AQ121" s="12" t="n"/>
      <c r="AR121" s="12" t="n"/>
      <c r="AS121" s="16" t="n"/>
      <c r="AT121" s="16" t="n"/>
      <c r="AU121" s="4" t="n"/>
      <c r="AV121" s="124" t="n"/>
      <c r="AX121" s="118" t="n"/>
    </row>
    <row r="122">
      <c r="A122" s="4" t="inlineStr">
        <is>
          <t>GQNO</t>
        </is>
      </c>
      <c r="B122" s="4" t="inlineStr">
        <is>
          <t>NKC</t>
        </is>
      </c>
      <c r="C122" s="4" t="n"/>
      <c r="D122" s="4" t="n"/>
      <c r="E122" s="4" t="inlineStr">
        <is>
          <t>Nouakchott–Oumtounsy International Airport</t>
        </is>
      </c>
      <c r="F122" s="4" t="n"/>
      <c r="G122" s="4" t="n"/>
      <c r="H122" s="4" t="inlineStr">
        <is>
          <t>Mauritania</t>
        </is>
      </c>
      <c r="I122" s="4" t="inlineStr">
        <is>
          <t>Nouakchott</t>
        </is>
      </c>
      <c r="J122" s="4" t="n"/>
      <c r="K122" s="4" t="n"/>
      <c r="L122" s="4" t="n"/>
      <c r="M122" s="4" t="n"/>
      <c r="N122" s="12" t="n"/>
      <c r="O122" s="125" t="n">
        <v>18.31</v>
      </c>
      <c r="P122" s="125" t="n">
        <v>-15.96972</v>
      </c>
      <c r="Q122" s="13" t="n"/>
      <c r="R122" s="11" t="n">
        <v>9</v>
      </c>
      <c r="S122" s="4" t="n"/>
      <c r="T122" s="4" t="inlineStr">
        <is>
          <t>Africa/Nouakchott</t>
        </is>
      </c>
      <c r="U122" s="126" t="n"/>
      <c r="V122" s="14" t="n"/>
      <c r="W122" s="4" t="n"/>
      <c r="X122" s="4" t="n"/>
      <c r="Y122" s="4" t="n"/>
      <c r="Z122" s="4" t="n"/>
      <c r="AA122" s="4" t="n"/>
      <c r="AB122" s="4" t="n"/>
      <c r="AC122" s="4" t="n"/>
      <c r="AD122" s="4" t="n"/>
      <c r="AE122" s="4" t="n"/>
      <c r="AF122" s="4" t="n"/>
      <c r="AG122" s="4" t="n"/>
      <c r="AH122" s="4" t="n"/>
      <c r="AI122" s="4" t="n"/>
      <c r="AJ122" s="4" t="n"/>
      <c r="AK122" s="4" t="n"/>
      <c r="AL122" s="4" t="n"/>
      <c r="AM122" s="4" t="n"/>
      <c r="AN122" s="4" t="n"/>
      <c r="AO122" s="12" t="n"/>
      <c r="AP122" s="12" t="n"/>
      <c r="AQ122" s="12" t="n"/>
      <c r="AR122" s="12" t="n"/>
      <c r="AS122" s="16" t="n"/>
      <c r="AT122" s="16" t="n"/>
      <c r="AU122" s="4" t="n"/>
      <c r="AV122" s="124" t="n"/>
      <c r="AX122" s="118" t="n"/>
    </row>
    <row r="123">
      <c r="A123" s="4" t="inlineStr">
        <is>
          <t>GQPP</t>
        </is>
      </c>
      <c r="B123" s="4" t="inlineStr">
        <is>
          <t>NDB</t>
        </is>
      </c>
      <c r="C123" s="4" t="n"/>
      <c r="D123" s="4" t="n"/>
      <c r="E123" s="4" t="inlineStr">
        <is>
          <t>Nouadhibou International Airport</t>
        </is>
      </c>
      <c r="F123" s="4" t="n"/>
      <c r="G123" s="4" t="n"/>
      <c r="H123" s="4" t="inlineStr">
        <is>
          <t>Mauritania</t>
        </is>
      </c>
      <c r="I123" s="4" t="inlineStr">
        <is>
          <t>Nouadhibou</t>
        </is>
      </c>
      <c r="J123" s="4" t="n"/>
      <c r="K123" s="4" t="n"/>
      <c r="L123" s="4" t="n"/>
      <c r="M123" s="4" t="n"/>
      <c r="N123" s="12" t="n"/>
      <c r="O123" s="125" t="n">
        <v>20.9324</v>
      </c>
      <c r="P123" s="125" t="n">
        <v>-17.0302</v>
      </c>
      <c r="Q123" s="13" t="n"/>
      <c r="R123" s="11" t="n">
        <v>24</v>
      </c>
      <c r="S123" s="4" t="n"/>
      <c r="T123" s="4" t="inlineStr">
        <is>
          <t>Africa/Nouakchott</t>
        </is>
      </c>
      <c r="U123" s="126" t="n"/>
      <c r="V123" s="14" t="n"/>
      <c r="W123" s="4" t="n"/>
      <c r="X123" s="4" t="n"/>
      <c r="Y123" s="4" t="n"/>
      <c r="Z123" s="4" t="n"/>
      <c r="AA123" s="4" t="n"/>
      <c r="AB123" s="4" t="n"/>
      <c r="AC123" s="4" t="n"/>
      <c r="AD123" s="4" t="n"/>
      <c r="AE123" s="4" t="n"/>
      <c r="AF123" s="4" t="n"/>
      <c r="AG123" s="4" t="n"/>
      <c r="AH123" s="4" t="n"/>
      <c r="AI123" s="4" t="n"/>
      <c r="AJ123" s="4" t="n"/>
      <c r="AK123" s="4" t="n"/>
      <c r="AL123" s="4" t="n"/>
      <c r="AM123" s="4" t="n"/>
      <c r="AN123" s="4" t="n"/>
      <c r="AO123" s="12" t="n"/>
      <c r="AP123" s="12" t="n"/>
      <c r="AQ123" s="12" t="n"/>
      <c r="AR123" s="12" t="n"/>
      <c r="AS123" s="16" t="n"/>
      <c r="AT123" s="16" t="n"/>
      <c r="AU123" s="4" t="n"/>
      <c r="AV123" s="124" t="n"/>
      <c r="AX123" s="118" t="n"/>
    </row>
    <row r="124">
      <c r="A124" s="4" t="inlineStr">
        <is>
          <t>GUCY</t>
        </is>
      </c>
      <c r="B124" s="4" t="inlineStr">
        <is>
          <t>CKY</t>
        </is>
      </c>
      <c r="C124" s="4" t="n"/>
      <c r="D124" s="4" t="n"/>
      <c r="E124" s="4" t="inlineStr">
        <is>
          <t>Ahmed Sékou Touré International Airport</t>
        </is>
      </c>
      <c r="F124" s="4" t="n"/>
      <c r="G124" s="4" t="n"/>
      <c r="H124" s="4" t="inlineStr">
        <is>
          <t>Guinea</t>
        </is>
      </c>
      <c r="I124" s="4" t="inlineStr">
        <is>
          <t>Conakry</t>
        </is>
      </c>
      <c r="J124" s="4" t="n"/>
      <c r="K124" s="4" t="n"/>
      <c r="L124" s="4" t="n"/>
      <c r="M124" s="4" t="n"/>
      <c r="N124" s="12" t="n"/>
      <c r="O124" s="125" t="n">
        <v>9.576890000000001</v>
      </c>
      <c r="P124" s="125" t="n">
        <v>-13.612</v>
      </c>
      <c r="Q124" s="13" t="n"/>
      <c r="R124" s="11" t="n">
        <v>72</v>
      </c>
      <c r="S124" s="4" t="n"/>
      <c r="T124" s="4" t="inlineStr">
        <is>
          <t>Africa/Conakry</t>
        </is>
      </c>
      <c r="U124" s="126" t="n"/>
      <c r="V124" s="14" t="n"/>
      <c r="W124" s="4" t="n"/>
      <c r="X124" s="4" t="n"/>
      <c r="Y124" s="4" t="n"/>
      <c r="Z124" s="4" t="n"/>
      <c r="AA124" s="4" t="n"/>
      <c r="AB124" s="4" t="n"/>
      <c r="AC124" s="4" t="n"/>
      <c r="AD124" s="4" t="n"/>
      <c r="AE124" s="4" t="n"/>
      <c r="AF124" s="4" t="n"/>
      <c r="AG124" s="4" t="n"/>
      <c r="AH124" s="4" t="n"/>
      <c r="AI124" s="4" t="n"/>
      <c r="AJ124" s="4" t="n"/>
      <c r="AK124" s="4" t="n"/>
      <c r="AL124" s="4" t="n"/>
      <c r="AM124" s="4" t="n"/>
      <c r="AN124" s="4" t="n"/>
      <c r="AO124" s="12" t="n"/>
      <c r="AP124" s="12" t="n"/>
      <c r="AQ124" s="12" t="n"/>
      <c r="AR124" s="12" t="n"/>
      <c r="AS124" s="16" t="n"/>
      <c r="AT124" s="16" t="n"/>
      <c r="AU124" s="4" t="n"/>
      <c r="AV124" s="124" t="n"/>
      <c r="AX124" s="118" t="n"/>
    </row>
    <row r="125">
      <c r="A125" s="4" t="inlineStr">
        <is>
          <t>GVAC</t>
        </is>
      </c>
      <c r="B125" s="4" t="inlineStr">
        <is>
          <t>SID</t>
        </is>
      </c>
      <c r="C125" s="4" t="n"/>
      <c r="D125" s="4" t="n"/>
      <c r="E125" s="4" t="inlineStr">
        <is>
          <t>Amílcar Cabral International Airport</t>
        </is>
      </c>
      <c r="F125" s="4" t="n"/>
      <c r="G125" s="4" t="n"/>
      <c r="H125" s="4" t="inlineStr">
        <is>
          <t>Cape Verde</t>
        </is>
      </c>
      <c r="I125" s="4" t="inlineStr">
        <is>
          <t>Espargos</t>
        </is>
      </c>
      <c r="J125" s="4" t="n"/>
      <c r="K125" s="4" t="n"/>
      <c r="L125" s="4" t="n"/>
      <c r="M125" s="4" t="n"/>
      <c r="N125" s="12" t="n"/>
      <c r="O125" s="125" t="n">
        <v>16.7414</v>
      </c>
      <c r="P125" s="125" t="n">
        <v>-22.9494</v>
      </c>
      <c r="Q125" s="13" t="n"/>
      <c r="R125" s="11" t="n">
        <v>177</v>
      </c>
      <c r="S125" s="4" t="n"/>
      <c r="T125" s="4" t="inlineStr">
        <is>
          <t>Atlantic/Cape_Verde</t>
        </is>
      </c>
      <c r="U125" s="126" t="n"/>
      <c r="V125" s="14" t="n"/>
      <c r="W125" s="4" t="n"/>
      <c r="X125" s="4" t="n"/>
      <c r="Y125" s="4" t="n"/>
      <c r="Z125" s="4" t="n"/>
      <c r="AA125" s="4" t="n"/>
      <c r="AB125" s="4" t="n"/>
      <c r="AC125" s="4" t="n"/>
      <c r="AD125" s="4" t="n"/>
      <c r="AE125" s="4" t="n"/>
      <c r="AF125" s="4" t="n"/>
      <c r="AG125" s="4" t="n"/>
      <c r="AH125" s="4" t="n"/>
      <c r="AI125" s="4" t="n"/>
      <c r="AJ125" s="4" t="n"/>
      <c r="AK125" s="4" t="n"/>
      <c r="AL125" s="4" t="n"/>
      <c r="AM125" s="4" t="n"/>
      <c r="AN125" s="4" t="n"/>
      <c r="AO125" s="12" t="n"/>
      <c r="AP125" s="12" t="n"/>
      <c r="AQ125" s="12" t="n"/>
      <c r="AR125" s="12" t="n"/>
      <c r="AS125" s="16" t="n"/>
      <c r="AT125" s="16" t="n"/>
      <c r="AU125" s="4" t="n"/>
      <c r="AV125" s="124" t="n"/>
      <c r="AX125" s="118" t="n"/>
    </row>
    <row r="126">
      <c r="A126" s="4" t="inlineStr">
        <is>
          <t>GVBA</t>
        </is>
      </c>
      <c r="B126" s="4" t="inlineStr">
        <is>
          <t>BVC</t>
        </is>
      </c>
      <c r="C126" s="4" t="n"/>
      <c r="D126" s="4" t="n"/>
      <c r="E126" s="4" t="inlineStr">
        <is>
          <t>Aristides Pereira International Airport</t>
        </is>
      </c>
      <c r="F126" s="4" t="n"/>
      <c r="G126" s="4" t="n"/>
      <c r="H126" s="4" t="inlineStr">
        <is>
          <t>Cape Verde</t>
        </is>
      </c>
      <c r="I126" s="4" t="inlineStr">
        <is>
          <t>Rabil</t>
        </is>
      </c>
      <c r="J126" s="4" t="n"/>
      <c r="K126" s="4" t="n"/>
      <c r="L126" s="4" t="n"/>
      <c r="M126" s="4" t="n"/>
      <c r="N126" s="12" t="n"/>
      <c r="O126" s="125" t="n">
        <v>16.1365</v>
      </c>
      <c r="P126" s="125" t="n">
        <v>-22.8889</v>
      </c>
      <c r="Q126" s="13" t="n"/>
      <c r="R126" s="11" t="n">
        <v>69</v>
      </c>
      <c r="S126" s="4" t="n"/>
      <c r="T126" s="4" t="inlineStr">
        <is>
          <t>Atlantic/Cape_Verde</t>
        </is>
      </c>
      <c r="U126" s="126" t="n"/>
      <c r="V126" s="14" t="n"/>
      <c r="W126" s="4" t="n"/>
      <c r="X126" s="4" t="n"/>
      <c r="Y126" s="4" t="n"/>
      <c r="Z126" s="4" t="n"/>
      <c r="AA126" s="4" t="n"/>
      <c r="AB126" s="4" t="n"/>
      <c r="AC126" s="4" t="n"/>
      <c r="AD126" s="4" t="n"/>
      <c r="AE126" s="4" t="n"/>
      <c r="AF126" s="4" t="n"/>
      <c r="AG126" s="4" t="n"/>
      <c r="AH126" s="4" t="n"/>
      <c r="AI126" s="4" t="n"/>
      <c r="AJ126" s="4" t="n"/>
      <c r="AK126" s="4" t="n"/>
      <c r="AL126" s="4" t="n"/>
      <c r="AM126" s="4" t="n"/>
      <c r="AN126" s="4" t="n"/>
      <c r="AO126" s="12" t="n"/>
      <c r="AP126" s="12" t="n"/>
      <c r="AQ126" s="12" t="n"/>
      <c r="AR126" s="12" t="n"/>
      <c r="AS126" s="16" t="n"/>
      <c r="AT126" s="16" t="n"/>
      <c r="AU126" s="4" t="n"/>
      <c r="AV126" s="124" t="n"/>
      <c r="AX126" s="118" t="n"/>
    </row>
    <row r="127">
      <c r="A127" s="4" t="inlineStr">
        <is>
          <t>HAAB</t>
        </is>
      </c>
      <c r="B127" s="4" t="inlineStr">
        <is>
          <t>ADD</t>
        </is>
      </c>
      <c r="C127" s="4" t="n"/>
      <c r="D127" s="4" t="n"/>
      <c r="E127" s="4" t="inlineStr">
        <is>
          <t>Addis Ababa Bole International Airport</t>
        </is>
      </c>
      <c r="F127" s="4" t="n"/>
      <c r="G127" s="4" t="n"/>
      <c r="H127" s="4" t="inlineStr">
        <is>
          <t>Ethiopia</t>
        </is>
      </c>
      <c r="I127" s="4" t="inlineStr">
        <is>
          <t>Addis Ababa</t>
        </is>
      </c>
      <c r="J127" s="4" t="n"/>
      <c r="K127" s="4" t="n"/>
      <c r="L127" s="4" t="n"/>
      <c r="M127" s="4" t="n"/>
      <c r="N127" s="12" t="n"/>
      <c r="O127" s="125" t="n">
        <v>8.97789</v>
      </c>
      <c r="P127" s="125" t="n">
        <v>38.7993</v>
      </c>
      <c r="Q127" s="13" t="n"/>
      <c r="R127" s="11" t="n">
        <v>7630</v>
      </c>
      <c r="S127" s="4" t="n"/>
      <c r="T127" s="4" t="inlineStr">
        <is>
          <t>Africa/Addis_Ababa</t>
        </is>
      </c>
      <c r="U127" s="126" t="n"/>
      <c r="V127" s="14" t="n"/>
      <c r="W127" s="4" t="n"/>
      <c r="X127" s="4" t="n"/>
      <c r="Y127" s="4" t="n"/>
      <c r="Z127" s="4" t="n"/>
      <c r="AA127" s="4" t="n"/>
      <c r="AB127" s="4" t="n"/>
      <c r="AC127" s="4" t="n"/>
      <c r="AD127" s="4" t="n"/>
      <c r="AE127" s="4" t="n"/>
      <c r="AF127" s="4" t="n"/>
      <c r="AG127" s="4" t="n"/>
      <c r="AH127" s="4" t="n"/>
      <c r="AI127" s="4" t="n"/>
      <c r="AJ127" s="4" t="n"/>
      <c r="AK127" s="4" t="n"/>
      <c r="AL127" s="4" t="n"/>
      <c r="AM127" s="4" t="n"/>
      <c r="AN127" s="4" t="n"/>
      <c r="AO127" s="12" t="n"/>
      <c r="AP127" s="12" t="n"/>
      <c r="AQ127" s="12" t="n"/>
      <c r="AR127" s="12" t="n"/>
      <c r="AS127" s="16" t="n"/>
      <c r="AT127" s="16" t="n"/>
      <c r="AU127" s="4" t="n"/>
      <c r="AV127" s="124" t="n"/>
      <c r="AX127" s="118" t="n"/>
    </row>
    <row r="128">
      <c r="A128" s="4" t="inlineStr">
        <is>
          <t>HADR</t>
        </is>
      </c>
      <c r="B128" s="4" t="inlineStr">
        <is>
          <t>DIR</t>
        </is>
      </c>
      <c r="C128" s="4" t="n"/>
      <c r="D128" s="4" t="n"/>
      <c r="E128" s="4" t="inlineStr">
        <is>
          <t>Aba Tenna Dejazmach Yilma International Airport</t>
        </is>
      </c>
      <c r="F128" s="4" t="n"/>
      <c r="G128" s="4" t="n"/>
      <c r="H128" s="4" t="inlineStr">
        <is>
          <t>Ethiopia</t>
        </is>
      </c>
      <c r="I128" s="4" t="inlineStr">
        <is>
          <t>Dire Dawa</t>
        </is>
      </c>
      <c r="J128" s="4" t="n"/>
      <c r="K128" s="4" t="n"/>
      <c r="L128" s="4" t="n"/>
      <c r="M128" s="4" t="n"/>
      <c r="N128" s="12" t="n"/>
      <c r="O128" s="125" t="n">
        <v>9.62355</v>
      </c>
      <c r="P128" s="125" t="n">
        <v>41.85503</v>
      </c>
      <c r="Q128" s="13" t="n"/>
      <c r="R128" s="11" t="n">
        <v>3827</v>
      </c>
      <c r="S128" s="4" t="n"/>
      <c r="T128" s="4" t="inlineStr">
        <is>
          <t>Africa/Addis_Ababa</t>
        </is>
      </c>
      <c r="U128" s="126" t="n"/>
      <c r="V128" s="14" t="n"/>
      <c r="W128" s="4" t="n"/>
      <c r="X128" s="4" t="n"/>
      <c r="Y128" s="4" t="n"/>
      <c r="Z128" s="4" t="n"/>
      <c r="AA128" s="4" t="n"/>
      <c r="AB128" s="4" t="n"/>
      <c r="AC128" s="4" t="n"/>
      <c r="AD128" s="4" t="n"/>
      <c r="AE128" s="4" t="n"/>
      <c r="AF128" s="4" t="n"/>
      <c r="AG128" s="4" t="n"/>
      <c r="AH128" s="4" t="n"/>
      <c r="AI128" s="4" t="n"/>
      <c r="AJ128" s="4" t="n"/>
      <c r="AK128" s="4" t="n"/>
      <c r="AL128" s="4" t="n"/>
      <c r="AM128" s="4" t="n"/>
      <c r="AN128" s="4" t="n"/>
      <c r="AO128" s="12" t="n"/>
      <c r="AP128" s="12" t="n"/>
      <c r="AQ128" s="12" t="n"/>
      <c r="AR128" s="12" t="n"/>
      <c r="AS128" s="16" t="n"/>
      <c r="AT128" s="16" t="n"/>
      <c r="AU128" s="4" t="n"/>
      <c r="AV128" s="124" t="n"/>
      <c r="AX128" s="118" t="n"/>
    </row>
    <row r="129">
      <c r="A129" s="4" t="inlineStr">
        <is>
          <t>HBBA</t>
        </is>
      </c>
      <c r="B129" s="4" t="inlineStr">
        <is>
          <t>BJM</t>
        </is>
      </c>
      <c r="C129" s="4" t="n"/>
      <c r="D129" s="4" t="n"/>
      <c r="E129" s="4" t="inlineStr">
        <is>
          <t>Bujumbura Melchior Ndadaye International Airport</t>
        </is>
      </c>
      <c r="F129" s="4" t="n"/>
      <c r="G129" s="4" t="n"/>
      <c r="H129" s="4" t="inlineStr">
        <is>
          <t>Burundi</t>
        </is>
      </c>
      <c r="I129" s="4" t="inlineStr">
        <is>
          <t>Bujumbura</t>
        </is>
      </c>
      <c r="J129" s="4" t="n"/>
      <c r="K129" s="4" t="n"/>
      <c r="L129" s="4" t="n"/>
      <c r="M129" s="4" t="n"/>
      <c r="N129" s="12" t="n"/>
      <c r="O129" s="125" t="n">
        <v>-3.32402</v>
      </c>
      <c r="P129" s="125" t="n">
        <v>29.3185</v>
      </c>
      <c r="Q129" s="13" t="n"/>
      <c r="R129" s="11" t="n">
        <v>2582</v>
      </c>
      <c r="S129" s="4" t="n"/>
      <c r="T129" s="4" t="inlineStr">
        <is>
          <t>Africa/Bujumbura</t>
        </is>
      </c>
      <c r="U129" s="126" t="n"/>
      <c r="V129" s="14" t="n"/>
      <c r="W129" s="4" t="n"/>
      <c r="X129" s="4" t="n"/>
      <c r="Y129" s="4" t="n"/>
      <c r="Z129" s="4" t="n"/>
      <c r="AA129" s="4" t="n"/>
      <c r="AB129" s="4" t="n"/>
      <c r="AC129" s="4" t="n"/>
      <c r="AD129" s="4" t="n"/>
      <c r="AE129" s="4" t="n"/>
      <c r="AF129" s="4" t="n"/>
      <c r="AG129" s="4" t="n"/>
      <c r="AH129" s="4" t="n"/>
      <c r="AI129" s="4" t="n"/>
      <c r="AJ129" s="4" t="n"/>
      <c r="AK129" s="4" t="n"/>
      <c r="AL129" s="4" t="n"/>
      <c r="AM129" s="4" t="n"/>
      <c r="AN129" s="4" t="n"/>
      <c r="AO129" s="12" t="n"/>
      <c r="AP129" s="12" t="n"/>
      <c r="AQ129" s="12" t="n"/>
      <c r="AR129" s="12" t="n"/>
      <c r="AS129" s="16" t="n"/>
      <c r="AT129" s="16" t="n"/>
      <c r="AU129" s="4" t="n"/>
      <c r="AV129" s="124" t="n"/>
      <c r="AX129" s="118" t="n"/>
    </row>
    <row r="130">
      <c r="A130" s="4" t="inlineStr">
        <is>
          <t>HCMF</t>
        </is>
      </c>
      <c r="B130" s="4" t="inlineStr">
        <is>
          <t>BSA</t>
        </is>
      </c>
      <c r="C130" s="4" t="n"/>
      <c r="D130" s="4" t="n"/>
      <c r="E130" s="4" t="inlineStr">
        <is>
          <t>Bender Qassim International Airport</t>
        </is>
      </c>
      <c r="F130" s="4" t="n"/>
      <c r="G130" s="4" t="n"/>
      <c r="H130" s="4" t="inlineStr">
        <is>
          <t>Somalia</t>
        </is>
      </c>
      <c r="I130" s="4" t="inlineStr">
        <is>
          <t>Bosaso</t>
        </is>
      </c>
      <c r="J130" s="4" t="n"/>
      <c r="K130" s="4" t="n"/>
      <c r="L130" s="4" t="n"/>
      <c r="M130" s="4" t="n"/>
      <c r="N130" s="12" t="n"/>
      <c r="O130" s="125" t="n">
        <v>11.27524</v>
      </c>
      <c r="P130" s="125" t="n">
        <v>49.13923</v>
      </c>
      <c r="Q130" s="13" t="n"/>
      <c r="R130" s="11" t="n">
        <v>3</v>
      </c>
      <c r="S130" s="4" t="n"/>
      <c r="T130" s="4" t="inlineStr">
        <is>
          <t>Africa/Mogadishu</t>
        </is>
      </c>
      <c r="U130" s="126" t="n"/>
      <c r="V130" s="14" t="n"/>
      <c r="W130" s="4" t="n"/>
      <c r="X130" s="4" t="n"/>
      <c r="Y130" s="4" t="n"/>
      <c r="Z130" s="4" t="n"/>
      <c r="AA130" s="4" t="n"/>
      <c r="AB130" s="4" t="n"/>
      <c r="AC130" s="4" t="n"/>
      <c r="AD130" s="4" t="n"/>
      <c r="AE130" s="4" t="n"/>
      <c r="AF130" s="4" t="n"/>
      <c r="AG130" s="4" t="n"/>
      <c r="AH130" s="4" t="n"/>
      <c r="AI130" s="4" t="n"/>
      <c r="AJ130" s="4" t="n"/>
      <c r="AK130" s="4" t="n"/>
      <c r="AL130" s="4" t="n"/>
      <c r="AM130" s="4" t="n"/>
      <c r="AN130" s="4" t="n"/>
      <c r="AO130" s="12" t="n"/>
      <c r="AP130" s="12" t="n"/>
      <c r="AQ130" s="12" t="n"/>
      <c r="AR130" s="12" t="n"/>
      <c r="AS130" s="16" t="n"/>
      <c r="AT130" s="16" t="n"/>
      <c r="AU130" s="4" t="n"/>
      <c r="AV130" s="124" t="n"/>
      <c r="AX130" s="118" t="n"/>
    </row>
    <row r="131">
      <c r="A131" s="4" t="inlineStr">
        <is>
          <t>HCMH</t>
        </is>
      </c>
      <c r="B131" s="4" t="inlineStr">
        <is>
          <t>HGA</t>
        </is>
      </c>
      <c r="C131" s="4" t="n"/>
      <c r="D131" s="4" t="n"/>
      <c r="E131" s="4" t="inlineStr">
        <is>
          <t>Egal International Airport</t>
        </is>
      </c>
      <c r="F131" s="4" t="n"/>
      <c r="G131" s="4" t="n"/>
      <c r="H131" s="4" t="inlineStr">
        <is>
          <t>Somalia</t>
        </is>
      </c>
      <c r="I131" s="4" t="inlineStr">
        <is>
          <t>Hargeisa</t>
        </is>
      </c>
      <c r="J131" s="4" t="n"/>
      <c r="K131" s="4" t="n"/>
      <c r="L131" s="4" t="n"/>
      <c r="M131" s="4" t="n"/>
      <c r="N131" s="12" t="n"/>
      <c r="O131" s="125" t="n">
        <v>9.51408</v>
      </c>
      <c r="P131" s="125" t="n">
        <v>44.08347</v>
      </c>
      <c r="Q131" s="13" t="n"/>
      <c r="R131" s="11" t="n">
        <v>4471</v>
      </c>
      <c r="S131" s="4" t="n"/>
      <c r="T131" s="4" t="inlineStr">
        <is>
          <t>Africa/Mogadishu</t>
        </is>
      </c>
      <c r="U131" s="126" t="n"/>
      <c r="V131" s="14" t="n"/>
      <c r="W131" s="4" t="n"/>
      <c r="X131" s="4" t="n"/>
      <c r="Y131" s="4" t="n"/>
      <c r="Z131" s="4" t="n"/>
      <c r="AA131" s="4" t="n"/>
      <c r="AB131" s="4" t="n"/>
      <c r="AC131" s="4" t="n"/>
      <c r="AD131" s="4" t="n"/>
      <c r="AE131" s="4" t="n"/>
      <c r="AF131" s="4" t="n"/>
      <c r="AG131" s="4" t="n"/>
      <c r="AH131" s="4" t="n"/>
      <c r="AI131" s="4" t="n"/>
      <c r="AJ131" s="4" t="n"/>
      <c r="AK131" s="4" t="n"/>
      <c r="AL131" s="4" t="n"/>
      <c r="AM131" s="4" t="n"/>
      <c r="AN131" s="4" t="n"/>
      <c r="AO131" s="12" t="n"/>
      <c r="AP131" s="12" t="n"/>
      <c r="AQ131" s="12" t="n"/>
      <c r="AR131" s="12" t="n"/>
      <c r="AS131" s="16" t="n"/>
      <c r="AT131" s="16" t="n"/>
      <c r="AU131" s="4" t="n"/>
      <c r="AV131" s="124" t="n"/>
      <c r="AX131" s="118" t="n"/>
    </row>
    <row r="132">
      <c r="A132" s="4" t="inlineStr">
        <is>
          <t>HCMM</t>
        </is>
      </c>
      <c r="B132" s="4" t="inlineStr">
        <is>
          <t>MGQ</t>
        </is>
      </c>
      <c r="C132" s="4" t="n"/>
      <c r="D132" s="4" t="n"/>
      <c r="E132" s="4" t="inlineStr">
        <is>
          <t>Aden Adde International Airport</t>
        </is>
      </c>
      <c r="F132" s="4" t="n"/>
      <c r="G132" s="4" t="n"/>
      <c r="H132" s="4" t="inlineStr">
        <is>
          <t>Somalia</t>
        </is>
      </c>
      <c r="I132" s="4" t="inlineStr">
        <is>
          <t>Mogadishu</t>
        </is>
      </c>
      <c r="J132" s="4" t="n"/>
      <c r="K132" s="4" t="n"/>
      <c r="L132" s="4" t="n"/>
      <c r="M132" s="4" t="n"/>
      <c r="N132" s="12" t="n"/>
      <c r="O132" s="125" t="n">
        <v>2.01444</v>
      </c>
      <c r="P132" s="125" t="n">
        <v>45.3047</v>
      </c>
      <c r="Q132" s="13" t="n"/>
      <c r="R132" s="11" t="n">
        <v>29</v>
      </c>
      <c r="S132" s="4" t="n"/>
      <c r="T132" s="4" t="inlineStr">
        <is>
          <t>Africa/Mogadishu</t>
        </is>
      </c>
      <c r="U132" s="126" t="n"/>
      <c r="V132" s="14" t="n"/>
      <c r="W132" s="4" t="n"/>
      <c r="X132" s="4" t="n"/>
      <c r="Y132" s="4" t="n"/>
      <c r="Z132" s="4" t="n"/>
      <c r="AA132" s="4" t="n"/>
      <c r="AB132" s="4" t="n"/>
      <c r="AC132" s="4" t="n"/>
      <c r="AD132" s="4" t="n"/>
      <c r="AE132" s="4" t="n"/>
      <c r="AF132" s="4" t="n"/>
      <c r="AG132" s="4" t="n"/>
      <c r="AH132" s="4" t="n"/>
      <c r="AI132" s="4" t="n"/>
      <c r="AJ132" s="4" t="n"/>
      <c r="AK132" s="4" t="n"/>
      <c r="AL132" s="4" t="n"/>
      <c r="AM132" s="4" t="n"/>
      <c r="AN132" s="4" t="n"/>
      <c r="AO132" s="12" t="n"/>
      <c r="AP132" s="12" t="n"/>
      <c r="AQ132" s="12" t="n"/>
      <c r="AR132" s="12" t="n"/>
      <c r="AS132" s="16" t="n"/>
      <c r="AT132" s="16" t="n"/>
      <c r="AU132" s="4" t="n"/>
      <c r="AV132" s="124" t="n"/>
      <c r="AX132" s="118" t="n"/>
    </row>
    <row r="133">
      <c r="A133" s="4" t="inlineStr">
        <is>
          <t>HDAM</t>
        </is>
      </c>
      <c r="B133" s="4" t="inlineStr">
        <is>
          <t>JIB</t>
        </is>
      </c>
      <c r="C133" s="4" t="n"/>
      <c r="D133" s="4" t="n"/>
      <c r="E133" s="4" t="inlineStr">
        <is>
          <t>Djibouti-Ambouli Airport</t>
        </is>
      </c>
      <c r="F133" s="4" t="n"/>
      <c r="G133" s="4" t="n"/>
      <c r="H133" s="4" t="inlineStr">
        <is>
          <t>Djibouti</t>
        </is>
      </c>
      <c r="I133" s="4" t="inlineStr">
        <is>
          <t>Djibouti City</t>
        </is>
      </c>
      <c r="J133" s="4" t="n"/>
      <c r="K133" s="4" t="n"/>
      <c r="L133" s="4" t="n"/>
      <c r="M133" s="4" t="n"/>
      <c r="N133" s="12" t="n"/>
      <c r="O133" s="125" t="n">
        <v>11.5473</v>
      </c>
      <c r="P133" s="125" t="n">
        <v>43.1595</v>
      </c>
      <c r="Q133" s="13" t="n"/>
      <c r="R133" s="11" t="n">
        <v>49</v>
      </c>
      <c r="S133" s="4" t="n"/>
      <c r="T133" s="4" t="inlineStr">
        <is>
          <t>Africa/Djibouti</t>
        </is>
      </c>
      <c r="U133" s="126" t="n"/>
      <c r="V133" s="14" t="n"/>
      <c r="W133" s="4" t="n"/>
      <c r="X133" s="4" t="n"/>
      <c r="Y133" s="4" t="n"/>
      <c r="Z133" s="4" t="n"/>
      <c r="AA133" s="4" t="n"/>
      <c r="AB133" s="4" t="n"/>
      <c r="AC133" s="4" t="n"/>
      <c r="AD133" s="4" t="n"/>
      <c r="AE133" s="4" t="n"/>
      <c r="AF133" s="4" t="n"/>
      <c r="AG133" s="4" t="n"/>
      <c r="AH133" s="4" t="n"/>
      <c r="AI133" s="4" t="n"/>
      <c r="AJ133" s="4" t="n"/>
      <c r="AK133" s="4" t="n"/>
      <c r="AL133" s="4" t="n"/>
      <c r="AM133" s="4" t="n"/>
      <c r="AN133" s="4" t="n"/>
      <c r="AO133" s="12" t="n"/>
      <c r="AP133" s="12" t="n"/>
      <c r="AQ133" s="12" t="n"/>
      <c r="AR133" s="12" t="n"/>
      <c r="AS133" s="16" t="n"/>
      <c r="AT133" s="16" t="n"/>
      <c r="AU133" s="4" t="n"/>
      <c r="AV133" s="124" t="n"/>
      <c r="AX133" s="118" t="n"/>
    </row>
    <row r="134">
      <c r="A134" s="4" t="inlineStr">
        <is>
          <t>HEAL</t>
        </is>
      </c>
      <c r="B134" s="4" t="inlineStr">
        <is>
          <t>DBB</t>
        </is>
      </c>
      <c r="C134" s="4" t="n"/>
      <c r="D134" s="4" t="n"/>
      <c r="E134" s="4" t="inlineStr">
        <is>
          <t>El Alamein International Airport</t>
        </is>
      </c>
      <c r="F134" s="4" t="n"/>
      <c r="G134" s="4" t="n"/>
      <c r="H134" s="4" t="inlineStr">
        <is>
          <t>Egypt</t>
        </is>
      </c>
      <c r="I134" s="4" t="inlineStr">
        <is>
          <t>El Alamein</t>
        </is>
      </c>
      <c r="J134" s="4" t="n"/>
      <c r="K134" s="4" t="n"/>
      <c r="L134" s="4" t="n"/>
      <c r="M134" s="4" t="n"/>
      <c r="N134" s="12" t="n"/>
      <c r="O134" s="125" t="n">
        <v>30.92432</v>
      </c>
      <c r="P134" s="125" t="n">
        <v>28.46161</v>
      </c>
      <c r="Q134" s="13" t="n"/>
      <c r="R134" s="11" t="n">
        <v>154</v>
      </c>
      <c r="S134" s="4" t="n"/>
      <c r="T134" s="4" t="inlineStr">
        <is>
          <t>Africa/Cairo</t>
        </is>
      </c>
      <c r="U134" s="126" t="n"/>
      <c r="V134" s="14" t="n"/>
      <c r="W134" s="4" t="n"/>
      <c r="X134" s="4" t="n"/>
      <c r="Y134" s="4" t="n"/>
      <c r="Z134" s="4" t="n"/>
      <c r="AA134" s="4" t="n"/>
      <c r="AB134" s="4" t="n"/>
      <c r="AC134" s="4" t="n"/>
      <c r="AD134" s="4" t="n"/>
      <c r="AE134" s="4" t="n"/>
      <c r="AF134" s="4" t="n"/>
      <c r="AG134" s="4" t="n"/>
      <c r="AH134" s="4" t="n"/>
      <c r="AI134" s="4" t="n"/>
      <c r="AJ134" s="4" t="n"/>
      <c r="AK134" s="4" t="n"/>
      <c r="AL134" s="4" t="n"/>
      <c r="AM134" s="4" t="n"/>
      <c r="AN134" s="4" t="n"/>
      <c r="AO134" s="12" t="n"/>
      <c r="AP134" s="12" t="n"/>
      <c r="AQ134" s="12" t="n"/>
      <c r="AR134" s="12" t="n"/>
      <c r="AS134" s="16" t="n"/>
      <c r="AT134" s="16" t="n"/>
      <c r="AU134" s="4" t="n"/>
      <c r="AV134" s="124" t="n"/>
      <c r="AX134" s="118" t="n"/>
    </row>
    <row r="135">
      <c r="A135" s="4" t="inlineStr">
        <is>
          <t>HEAR</t>
        </is>
      </c>
      <c r="B135" s="4" t="inlineStr">
        <is>
          <t>AAC</t>
        </is>
      </c>
      <c r="C135" s="4" t="n"/>
      <c r="D135" s="4" t="n"/>
      <c r="E135" s="4" t="inlineStr">
        <is>
          <t>El Arish International Airport</t>
        </is>
      </c>
      <c r="F135" s="4" t="n"/>
      <c r="G135" s="4" t="n"/>
      <c r="H135" s="4" t="inlineStr">
        <is>
          <t>Egypt</t>
        </is>
      </c>
      <c r="I135" s="4" t="inlineStr">
        <is>
          <t>El Arish</t>
        </is>
      </c>
      <c r="J135" s="4" t="n"/>
      <c r="K135" s="4" t="n"/>
      <c r="L135" s="4" t="n"/>
      <c r="M135" s="4" t="n"/>
      <c r="N135" s="12" t="n"/>
      <c r="O135" s="125" t="n">
        <v>31.05532</v>
      </c>
      <c r="P135" s="125" t="n">
        <v>33.82796</v>
      </c>
      <c r="Q135" s="13" t="n"/>
      <c r="R135" s="11" t="n">
        <v>118</v>
      </c>
      <c r="S135" s="4" t="n"/>
      <c r="T135" s="4" t="inlineStr">
        <is>
          <t>Africa/Cairo</t>
        </is>
      </c>
      <c r="U135" s="126" t="n"/>
      <c r="V135" s="14" t="n"/>
      <c r="W135" s="4" t="n"/>
      <c r="X135" s="4" t="n"/>
      <c r="Y135" s="4" t="n"/>
      <c r="Z135" s="4" t="n"/>
      <c r="AA135" s="4" t="n"/>
      <c r="AB135" s="4" t="n"/>
      <c r="AC135" s="4" t="n"/>
      <c r="AD135" s="4" t="n"/>
      <c r="AE135" s="4" t="n"/>
      <c r="AF135" s="4" t="n"/>
      <c r="AG135" s="4" t="n"/>
      <c r="AH135" s="4" t="n"/>
      <c r="AI135" s="4" t="n"/>
      <c r="AJ135" s="4" t="n"/>
      <c r="AK135" s="4" t="n"/>
      <c r="AL135" s="4" t="n"/>
      <c r="AM135" s="4" t="n"/>
      <c r="AN135" s="4" t="n"/>
      <c r="AO135" s="12" t="n"/>
      <c r="AP135" s="12" t="n"/>
      <c r="AQ135" s="12" t="n"/>
      <c r="AR135" s="12" t="n"/>
      <c r="AS135" s="16" t="n"/>
      <c r="AT135" s="16" t="n"/>
      <c r="AU135" s="4" t="n"/>
      <c r="AV135" s="124" t="n"/>
      <c r="AX135" s="118" t="n"/>
    </row>
    <row r="136">
      <c r="A136" s="4" t="inlineStr">
        <is>
          <t>HECA</t>
        </is>
      </c>
      <c r="B136" s="4" t="inlineStr">
        <is>
          <t>CAI</t>
        </is>
      </c>
      <c r="C136" s="4" t="n"/>
      <c r="D136" s="4" t="n"/>
      <c r="E136" s="4" t="inlineStr">
        <is>
          <t>Cairo International Airport</t>
        </is>
      </c>
      <c r="F136" s="4" t="n"/>
      <c r="G136" s="4" t="n"/>
      <c r="H136" s="4" t="inlineStr">
        <is>
          <t>Egypt</t>
        </is>
      </c>
      <c r="I136" s="4" t="inlineStr">
        <is>
          <t>Cairo</t>
        </is>
      </c>
      <c r="J136" s="4" t="n"/>
      <c r="K136" s="4" t="n"/>
      <c r="L136" s="4" t="n"/>
      <c r="M136" s="4" t="n"/>
      <c r="N136" s="12" t="n"/>
      <c r="O136" s="125" t="n">
        <v>30.11153</v>
      </c>
      <c r="P136" s="125" t="n">
        <v>31.39669</v>
      </c>
      <c r="Q136" s="13" t="n"/>
      <c r="R136" s="11" t="n">
        <v>322</v>
      </c>
      <c r="S136" s="4" t="n"/>
      <c r="T136" s="4" t="inlineStr">
        <is>
          <t>Africa/Cairo</t>
        </is>
      </c>
      <c r="U136" s="126" t="n"/>
      <c r="V136" s="14" t="n"/>
      <c r="W136" s="4" t="n"/>
      <c r="X136" s="4" t="n"/>
      <c r="Y136" s="4" t="n"/>
      <c r="Z136" s="4" t="n"/>
      <c r="AA136" s="4" t="n"/>
      <c r="AB136" s="4" t="n"/>
      <c r="AC136" s="4" t="n"/>
      <c r="AD136" s="4" t="n"/>
      <c r="AE136" s="4" t="n"/>
      <c r="AF136" s="4" t="n"/>
      <c r="AG136" s="4" t="n"/>
      <c r="AH136" s="4" t="n"/>
      <c r="AI136" s="4" t="n"/>
      <c r="AJ136" s="4" t="n"/>
      <c r="AK136" s="4" t="n"/>
      <c r="AL136" s="4" t="n"/>
      <c r="AM136" s="4" t="n"/>
      <c r="AN136" s="4" t="n"/>
      <c r="AO136" s="12" t="n"/>
      <c r="AP136" s="12" t="n"/>
      <c r="AQ136" s="12" t="n"/>
      <c r="AR136" s="12" t="n"/>
      <c r="AS136" s="16" t="n"/>
      <c r="AT136" s="16" t="n"/>
      <c r="AU136" s="4" t="n"/>
      <c r="AV136" s="124" t="n"/>
      <c r="AX136" s="118" t="n"/>
    </row>
    <row r="137">
      <c r="A137" s="4" t="inlineStr">
        <is>
          <t>HHAS</t>
        </is>
      </c>
      <c r="B137" s="4" t="inlineStr">
        <is>
          <t>ASM</t>
        </is>
      </c>
      <c r="C137" s="4" t="n"/>
      <c r="D137" s="4" t="n"/>
      <c r="E137" s="4" t="inlineStr">
        <is>
          <t>Asmara International Airport</t>
        </is>
      </c>
      <c r="F137" s="4" t="n"/>
      <c r="G137" s="4" t="n"/>
      <c r="H137" s="4" t="inlineStr">
        <is>
          <t>Eritrea</t>
        </is>
      </c>
      <c r="I137" s="4" t="inlineStr">
        <is>
          <t>Asmara</t>
        </is>
      </c>
      <c r="J137" s="4" t="n"/>
      <c r="K137" s="4" t="n"/>
      <c r="L137" s="4" t="n"/>
      <c r="M137" s="4" t="n"/>
      <c r="N137" s="12" t="n"/>
      <c r="O137" s="125" t="n">
        <v>15.2919</v>
      </c>
      <c r="P137" s="125" t="n">
        <v>38.9107</v>
      </c>
      <c r="Q137" s="13" t="n"/>
      <c r="R137" s="11" t="n">
        <v>7661</v>
      </c>
      <c r="S137" s="4" t="n"/>
      <c r="T137" s="4" t="inlineStr">
        <is>
          <t>Africa/Asmera</t>
        </is>
      </c>
      <c r="U137" s="126" t="n"/>
      <c r="V137" s="14" t="n"/>
      <c r="W137" s="4" t="n"/>
      <c r="X137" s="4" t="n"/>
      <c r="Y137" s="4" t="n"/>
      <c r="Z137" s="4" t="n"/>
      <c r="AA137" s="4" t="n"/>
      <c r="AB137" s="4" t="n"/>
      <c r="AC137" s="4" t="n"/>
      <c r="AD137" s="4" t="n"/>
      <c r="AE137" s="4" t="n"/>
      <c r="AF137" s="4" t="n"/>
      <c r="AG137" s="4" t="n"/>
      <c r="AH137" s="4" t="n"/>
      <c r="AI137" s="4" t="n"/>
      <c r="AJ137" s="4" t="n"/>
      <c r="AK137" s="4" t="n"/>
      <c r="AL137" s="4" t="n"/>
      <c r="AM137" s="4" t="n"/>
      <c r="AN137" s="4" t="n"/>
      <c r="AO137" s="12" t="n"/>
      <c r="AP137" s="12" t="n"/>
      <c r="AQ137" s="12" t="n"/>
      <c r="AR137" s="12" t="n"/>
      <c r="AS137" s="16" t="n"/>
      <c r="AT137" s="16" t="n"/>
      <c r="AU137" s="4" t="n"/>
      <c r="AV137" s="124" t="n"/>
      <c r="AX137" s="118" t="n"/>
    </row>
    <row r="138">
      <c r="A138" s="4" t="inlineStr">
        <is>
          <t>HJJJ</t>
        </is>
      </c>
      <c r="B138" s="4" t="inlineStr">
        <is>
          <t>JUB</t>
        </is>
      </c>
      <c r="C138" s="4" t="n"/>
      <c r="D138" s="4" t="n"/>
      <c r="E138" s="4" t="inlineStr">
        <is>
          <t>Juba International Airport</t>
        </is>
      </c>
      <c r="F138" s="4" t="n"/>
      <c r="G138" s="4" t="n"/>
      <c r="H138" s="4" t="inlineStr">
        <is>
          <t>South Sudan</t>
        </is>
      </c>
      <c r="I138" s="4" t="inlineStr">
        <is>
          <t>Juba</t>
        </is>
      </c>
      <c r="J138" s="4" t="n"/>
      <c r="K138" s="4" t="n"/>
      <c r="L138" s="4" t="n"/>
      <c r="M138" s="4" t="n"/>
      <c r="N138" s="12" t="n"/>
      <c r="O138" s="125" t="n">
        <v>4.87201</v>
      </c>
      <c r="P138" s="125" t="n">
        <v>31.6011</v>
      </c>
      <c r="Q138" s="13" t="n"/>
      <c r="R138" s="11" t="n">
        <v>1513</v>
      </c>
      <c r="S138" s="4" t="n"/>
      <c r="T138" s="4" t="n"/>
      <c r="U138" s="126" t="n"/>
      <c r="V138" s="14" t="n"/>
      <c r="W138" s="4" t="n"/>
      <c r="X138" s="4" t="n"/>
      <c r="Y138" s="4" t="n"/>
      <c r="Z138" s="4" t="n"/>
      <c r="AA138" s="4" t="n"/>
      <c r="AB138" s="4" t="n"/>
      <c r="AC138" s="4" t="n"/>
      <c r="AD138" s="4" t="n"/>
      <c r="AE138" s="4" t="n"/>
      <c r="AF138" s="4" t="n"/>
      <c r="AG138" s="4" t="n"/>
      <c r="AH138" s="4" t="n"/>
      <c r="AI138" s="4" t="n"/>
      <c r="AJ138" s="4" t="n"/>
      <c r="AK138" s="4" t="n"/>
      <c r="AL138" s="4" t="n"/>
      <c r="AM138" s="4" t="n"/>
      <c r="AN138" s="4" t="n"/>
      <c r="AO138" s="12" t="n"/>
      <c r="AP138" s="12" t="n"/>
      <c r="AQ138" s="12" t="n"/>
      <c r="AR138" s="12" t="n"/>
      <c r="AS138" s="16" t="n"/>
      <c r="AT138" s="16" t="n"/>
      <c r="AU138" s="4" t="n"/>
      <c r="AV138" s="124" t="n"/>
      <c r="AX138" s="118" t="n"/>
    </row>
    <row r="139">
      <c r="A139" s="4" t="inlineStr">
        <is>
          <t>HKEL</t>
        </is>
      </c>
      <c r="B139" s="4" t="inlineStr">
        <is>
          <t>EDL</t>
        </is>
      </c>
      <c r="C139" s="4" t="n"/>
      <c r="D139" s="4" t="n"/>
      <c r="E139" s="4" t="inlineStr">
        <is>
          <t>Eldoret International Airport</t>
        </is>
      </c>
      <c r="F139" s="4" t="n"/>
      <c r="G139" s="4" t="n"/>
      <c r="H139" s="4" t="inlineStr">
        <is>
          <t>Kenya</t>
        </is>
      </c>
      <c r="I139" s="4" t="inlineStr">
        <is>
          <t>Eldoret</t>
        </is>
      </c>
      <c r="J139" s="4" t="n"/>
      <c r="K139" s="4" t="n"/>
      <c r="L139" s="4" t="n"/>
      <c r="M139" s="4" t="n"/>
      <c r="N139" s="12" t="n"/>
      <c r="O139" s="125" t="n">
        <v>0.40446</v>
      </c>
      <c r="P139" s="125" t="n">
        <v>35.2389</v>
      </c>
      <c r="Q139" s="13" t="n"/>
      <c r="R139" s="11" t="n">
        <v>6941</v>
      </c>
      <c r="S139" s="4" t="n"/>
      <c r="T139" s="4" t="inlineStr">
        <is>
          <t>Africa/Nairobi</t>
        </is>
      </c>
      <c r="U139" s="126" t="n"/>
      <c r="V139" s="14" t="n"/>
      <c r="W139" s="4" t="n"/>
      <c r="X139" s="4" t="n"/>
      <c r="Y139" s="4" t="n"/>
      <c r="Z139" s="4" t="n"/>
      <c r="AA139" s="4" t="n"/>
      <c r="AB139" s="4" t="n"/>
      <c r="AC139" s="4" t="n"/>
      <c r="AD139" s="4" t="n"/>
      <c r="AE139" s="4" t="n"/>
      <c r="AF139" s="4" t="n"/>
      <c r="AG139" s="4" t="n"/>
      <c r="AH139" s="4" t="n"/>
      <c r="AI139" s="4" t="n"/>
      <c r="AJ139" s="4" t="n"/>
      <c r="AK139" s="4" t="n"/>
      <c r="AL139" s="4" t="n"/>
      <c r="AM139" s="4" t="n"/>
      <c r="AN139" s="4" t="n"/>
      <c r="AO139" s="12" t="n"/>
      <c r="AP139" s="12" t="n"/>
      <c r="AQ139" s="12" t="n"/>
      <c r="AR139" s="12" t="n"/>
      <c r="AS139" s="16" t="n"/>
      <c r="AT139" s="16" t="n"/>
      <c r="AU139" s="4" t="n"/>
      <c r="AV139" s="124" t="n"/>
      <c r="AX139" s="118" t="n"/>
    </row>
    <row r="140">
      <c r="A140" s="4" t="inlineStr">
        <is>
          <t>HKJK</t>
        </is>
      </c>
      <c r="B140" s="4" t="inlineStr">
        <is>
          <t>NBO</t>
        </is>
      </c>
      <c r="C140" s="4" t="n"/>
      <c r="D140" s="4" t="n"/>
      <c r="E140" s="4" t="inlineStr">
        <is>
          <t>Jomo Kenyatta International Airport</t>
        </is>
      </c>
      <c r="F140" s="4" t="n"/>
      <c r="G140" s="4" t="n"/>
      <c r="H140" s="4" t="inlineStr">
        <is>
          <t>Kenya</t>
        </is>
      </c>
      <c r="I140" s="4" t="inlineStr">
        <is>
          <t>Nairobi</t>
        </is>
      </c>
      <c r="J140" s="4" t="n"/>
      <c r="K140" s="4" t="n"/>
      <c r="L140" s="4" t="n"/>
      <c r="M140" s="4" t="n"/>
      <c r="N140" s="12" t="n"/>
      <c r="O140" s="125" t="n">
        <v>-1.31889</v>
      </c>
      <c r="P140" s="125" t="n">
        <v>36.92823</v>
      </c>
      <c r="Q140" s="13" t="n"/>
      <c r="R140" s="11" t="n">
        <v>5330</v>
      </c>
      <c r="S140" s="4" t="n"/>
      <c r="T140" s="4" t="inlineStr">
        <is>
          <t>Africa/Nairobi</t>
        </is>
      </c>
      <c r="U140" s="126" t="n"/>
      <c r="V140" s="14" t="n"/>
      <c r="W140" s="4" t="n"/>
      <c r="X140" s="4" t="n"/>
      <c r="Y140" s="4" t="n"/>
      <c r="Z140" s="4" t="n"/>
      <c r="AA140" s="4" t="n"/>
      <c r="AB140" s="4" t="n"/>
      <c r="AC140" s="4" t="n"/>
      <c r="AD140" s="4" t="n"/>
      <c r="AE140" s="4" t="n"/>
      <c r="AF140" s="4" t="n"/>
      <c r="AG140" s="4" t="n"/>
      <c r="AH140" s="4" t="n"/>
      <c r="AI140" s="4" t="n"/>
      <c r="AJ140" s="4" t="n"/>
      <c r="AK140" s="4" t="n"/>
      <c r="AL140" s="4" t="n"/>
      <c r="AM140" s="4" t="n"/>
      <c r="AN140" s="4" t="n"/>
      <c r="AO140" s="12" t="n"/>
      <c r="AP140" s="12" t="n"/>
      <c r="AQ140" s="12" t="n"/>
      <c r="AR140" s="12" t="n"/>
      <c r="AS140" s="16" t="n"/>
      <c r="AT140" s="16" t="n"/>
      <c r="AU140" s="4" t="n"/>
      <c r="AV140" s="124" t="n"/>
      <c r="AX140" s="118" t="n"/>
    </row>
    <row r="141">
      <c r="A141" s="4" t="inlineStr">
        <is>
          <t>HKMO</t>
        </is>
      </c>
      <c r="B141" s="4" t="inlineStr">
        <is>
          <t>MBA</t>
        </is>
      </c>
      <c r="C141" s="4" t="n"/>
      <c r="D141" s="4" t="n"/>
      <c r="E141" s="4" t="inlineStr">
        <is>
          <t>Moi International Airport</t>
        </is>
      </c>
      <c r="F141" s="4" t="n"/>
      <c r="G141" s="4" t="n"/>
      <c r="H141" s="4" t="inlineStr">
        <is>
          <t>Kenya</t>
        </is>
      </c>
      <c r="I141" s="4" t="inlineStr">
        <is>
          <t>Mombasa</t>
        </is>
      </c>
      <c r="J141" s="4" t="n"/>
      <c r="K141" s="4" t="n"/>
      <c r="L141" s="4" t="n"/>
      <c r="M141" s="4" t="n"/>
      <c r="N141" s="12" t="n"/>
      <c r="O141" s="125" t="n">
        <v>-4.03483</v>
      </c>
      <c r="P141" s="125" t="n">
        <v>39.5942</v>
      </c>
      <c r="Q141" s="13" t="n"/>
      <c r="R141" s="11" t="n">
        <v>200</v>
      </c>
      <c r="S141" s="4" t="n"/>
      <c r="T141" s="4" t="inlineStr">
        <is>
          <t>Africa/Nairobi</t>
        </is>
      </c>
      <c r="U141" s="126" t="n"/>
      <c r="V141" s="14" t="n"/>
      <c r="W141" s="4" t="n"/>
      <c r="X141" s="4" t="n"/>
      <c r="Y141" s="4" t="n"/>
      <c r="Z141" s="4" t="n"/>
      <c r="AA141" s="4" t="n"/>
      <c r="AB141" s="4" t="n"/>
      <c r="AC141" s="4" t="n"/>
      <c r="AD141" s="4" t="n"/>
      <c r="AE141" s="4" t="n"/>
      <c r="AF141" s="4" t="n"/>
      <c r="AG141" s="4" t="n"/>
      <c r="AH141" s="4" t="n"/>
      <c r="AI141" s="4" t="n"/>
      <c r="AJ141" s="4" t="n"/>
      <c r="AK141" s="4" t="n"/>
      <c r="AL141" s="4" t="n"/>
      <c r="AM141" s="4" t="n"/>
      <c r="AN141" s="4" t="n"/>
      <c r="AO141" s="12" t="n"/>
      <c r="AP141" s="12" t="n"/>
      <c r="AQ141" s="12" t="n"/>
      <c r="AR141" s="12" t="n"/>
      <c r="AS141" s="16" t="n"/>
      <c r="AT141" s="16" t="n"/>
      <c r="AU141" s="4" t="n"/>
      <c r="AV141" s="124" t="n"/>
      <c r="AX141" s="118" t="n"/>
    </row>
    <row r="142">
      <c r="A142" s="4" t="inlineStr">
        <is>
          <t>HLGD</t>
        </is>
      </c>
      <c r="B142" s="4" t="inlineStr">
        <is>
          <t>SRX</t>
        </is>
      </c>
      <c r="C142" s="4" t="n"/>
      <c r="D142" s="4" t="n"/>
      <c r="E142" s="4" t="inlineStr">
        <is>
          <t>Sirt International Airport / Ghardabiya Airbase</t>
        </is>
      </c>
      <c r="F142" s="4" t="n"/>
      <c r="G142" s="4" t="n"/>
      <c r="H142" s="4" t="inlineStr">
        <is>
          <t>Libya</t>
        </is>
      </c>
      <c r="I142" s="4" t="inlineStr">
        <is>
          <t>Sirt</t>
        </is>
      </c>
      <c r="J142" s="4" t="n"/>
      <c r="K142" s="4" t="n"/>
      <c r="L142" s="4" t="n"/>
      <c r="M142" s="4" t="n"/>
      <c r="N142" s="12" t="n"/>
      <c r="O142" s="125" t="n">
        <v>31.05858</v>
      </c>
      <c r="P142" s="125" t="n">
        <v>16.59709</v>
      </c>
      <c r="Q142" s="13" t="n"/>
      <c r="R142" s="11" t="n">
        <v>267</v>
      </c>
      <c r="S142" s="4" t="n"/>
      <c r="T142" s="4" t="inlineStr">
        <is>
          <t>Africa/Tripoli</t>
        </is>
      </c>
      <c r="U142" s="126" t="n"/>
      <c r="V142" s="14" t="n"/>
      <c r="W142" s="4" t="n"/>
      <c r="X142" s="4" t="n"/>
      <c r="Y142" s="4" t="n"/>
      <c r="Z142" s="4" t="n"/>
      <c r="AA142" s="4" t="n"/>
      <c r="AB142" s="4" t="n"/>
      <c r="AC142" s="4" t="n"/>
      <c r="AD142" s="4" t="n"/>
      <c r="AE142" s="4" t="n"/>
      <c r="AF142" s="4" t="n"/>
      <c r="AG142" s="4" t="n"/>
      <c r="AH142" s="4" t="n"/>
      <c r="AI142" s="4" t="n"/>
      <c r="AJ142" s="4" t="n"/>
      <c r="AK142" s="4" t="n"/>
      <c r="AL142" s="4" t="n"/>
      <c r="AM142" s="4" t="n"/>
      <c r="AN142" s="4" t="n"/>
      <c r="AO142" s="12" t="n"/>
      <c r="AP142" s="12" t="n"/>
      <c r="AQ142" s="12" t="n"/>
      <c r="AR142" s="12" t="n"/>
      <c r="AS142" s="16" t="n"/>
      <c r="AT142" s="16" t="n"/>
      <c r="AU142" s="4" t="n"/>
      <c r="AV142" s="124" t="n"/>
      <c r="AX142" s="118" t="n"/>
    </row>
    <row r="143">
      <c r="A143" s="4" t="inlineStr">
        <is>
          <t>HLLB</t>
        </is>
      </c>
      <c r="B143" s="4" t="inlineStr">
        <is>
          <t>BEN</t>
        </is>
      </c>
      <c r="C143" s="4" t="n"/>
      <c r="D143" s="4" t="n"/>
      <c r="E143" s="4" t="inlineStr">
        <is>
          <t>Benina International Airport</t>
        </is>
      </c>
      <c r="F143" s="4" t="n"/>
      <c r="G143" s="4" t="n"/>
      <c r="H143" s="4" t="inlineStr">
        <is>
          <t>Libya</t>
        </is>
      </c>
      <c r="I143" s="4" t="inlineStr">
        <is>
          <t>Benina</t>
        </is>
      </c>
      <c r="J143" s="4" t="n"/>
      <c r="K143" s="4" t="n"/>
      <c r="L143" s="4" t="n"/>
      <c r="M143" s="4" t="n"/>
      <c r="N143" s="12" t="n"/>
      <c r="O143" s="125" t="n">
        <v>32.0968</v>
      </c>
      <c r="P143" s="125" t="n">
        <v>20.2695</v>
      </c>
      <c r="Q143" s="13" t="n"/>
      <c r="R143" s="11" t="n">
        <v>433</v>
      </c>
      <c r="S143" s="4" t="n"/>
      <c r="T143" s="4" t="inlineStr">
        <is>
          <t>Africa/Tripoli</t>
        </is>
      </c>
      <c r="U143" s="126" t="n"/>
      <c r="V143" s="14" t="n"/>
      <c r="W143" s="4" t="n"/>
      <c r="X143" s="4" t="n"/>
      <c r="Y143" s="4" t="n"/>
      <c r="Z143" s="4" t="n"/>
      <c r="AA143" s="4" t="n"/>
      <c r="AB143" s="4" t="n"/>
      <c r="AC143" s="4" t="n"/>
      <c r="AD143" s="4" t="n"/>
      <c r="AE143" s="4" t="n"/>
      <c r="AF143" s="4" t="n"/>
      <c r="AG143" s="4" t="n"/>
      <c r="AH143" s="4" t="n"/>
      <c r="AI143" s="4" t="n"/>
      <c r="AJ143" s="4" t="n"/>
      <c r="AK143" s="4" t="n"/>
      <c r="AL143" s="4" t="n"/>
      <c r="AM143" s="4" t="n"/>
      <c r="AN143" s="4" t="n"/>
      <c r="AO143" s="12" t="n"/>
      <c r="AP143" s="12" t="n"/>
      <c r="AQ143" s="12" t="n"/>
      <c r="AR143" s="12" t="n"/>
      <c r="AS143" s="16" t="n"/>
      <c r="AT143" s="16" t="n"/>
      <c r="AU143" s="4" t="n"/>
      <c r="AV143" s="124" t="n"/>
      <c r="AX143" s="118" t="n"/>
    </row>
    <row r="144">
      <c r="A144" s="4" t="inlineStr">
        <is>
          <t>HRYR</t>
        </is>
      </c>
      <c r="B144" s="4" t="inlineStr">
        <is>
          <t>KGL</t>
        </is>
      </c>
      <c r="C144" s="4" t="n"/>
      <c r="D144" s="4" t="n"/>
      <c r="E144" s="4" t="inlineStr">
        <is>
          <t>Kigali International Airport</t>
        </is>
      </c>
      <c r="F144" s="4" t="n"/>
      <c r="G144" s="4" t="n"/>
      <c r="H144" s="4" t="inlineStr">
        <is>
          <t>Rwanda</t>
        </is>
      </c>
      <c r="I144" s="4" t="inlineStr">
        <is>
          <t>Kigali</t>
        </is>
      </c>
      <c r="J144" s="4" t="n"/>
      <c r="K144" s="4" t="n"/>
      <c r="L144" s="4" t="n"/>
      <c r="M144" s="4" t="n"/>
      <c r="N144" s="12" t="n"/>
      <c r="O144" s="125" t="n">
        <v>-1.96863</v>
      </c>
      <c r="P144" s="125" t="n">
        <v>30.1395</v>
      </c>
      <c r="Q144" s="13" t="n"/>
      <c r="R144" s="11" t="n">
        <v>4859</v>
      </c>
      <c r="S144" s="4" t="n"/>
      <c r="T144" s="4" t="inlineStr">
        <is>
          <t>Africa/Kigali</t>
        </is>
      </c>
      <c r="U144" s="126" t="n"/>
      <c r="V144" s="14" t="n"/>
      <c r="W144" s="4" t="n"/>
      <c r="X144" s="4" t="n"/>
      <c r="Y144" s="4" t="n"/>
      <c r="Z144" s="4" t="n"/>
      <c r="AA144" s="4" t="n"/>
      <c r="AB144" s="4" t="n"/>
      <c r="AC144" s="4" t="n"/>
      <c r="AD144" s="4" t="n"/>
      <c r="AE144" s="4" t="n"/>
      <c r="AF144" s="4" t="n"/>
      <c r="AG144" s="4" t="n"/>
      <c r="AH144" s="4" t="n"/>
      <c r="AI144" s="4" t="n"/>
      <c r="AJ144" s="4" t="n"/>
      <c r="AK144" s="4" t="n"/>
      <c r="AL144" s="4" t="n"/>
      <c r="AM144" s="4" t="n"/>
      <c r="AN144" s="4" t="n"/>
      <c r="AO144" s="12" t="n"/>
      <c r="AP144" s="12" t="n"/>
      <c r="AQ144" s="12" t="n"/>
      <c r="AR144" s="12" t="n"/>
      <c r="AS144" s="16" t="n"/>
      <c r="AT144" s="16" t="n"/>
      <c r="AU144" s="4" t="n"/>
      <c r="AV144" s="124" t="n"/>
      <c r="AX144" s="118" t="n"/>
    </row>
    <row r="145">
      <c r="A145" s="4" t="inlineStr">
        <is>
          <t>HSPN</t>
        </is>
      </c>
      <c r="B145" s="4" t="inlineStr">
        <is>
          <t>PZU</t>
        </is>
      </c>
      <c r="C145" s="4" t="n"/>
      <c r="D145" s="4" t="n"/>
      <c r="E145" s="4" t="inlineStr">
        <is>
          <t>Port Sudan New International Airport</t>
        </is>
      </c>
      <c r="F145" s="4" t="n"/>
      <c r="G145" s="4" t="n"/>
      <c r="H145" s="4" t="inlineStr">
        <is>
          <t>Sudan</t>
        </is>
      </c>
      <c r="I145" s="4" t="inlineStr">
        <is>
          <t>Port Sudan</t>
        </is>
      </c>
      <c r="J145" s="4" t="n"/>
      <c r="K145" s="4" t="n"/>
      <c r="L145" s="4" t="n"/>
      <c r="M145" s="4" t="n"/>
      <c r="N145" s="12" t="n"/>
      <c r="O145" s="125" t="n">
        <v>19.43456</v>
      </c>
      <c r="P145" s="125" t="n">
        <v>37.23412</v>
      </c>
      <c r="Q145" s="13" t="n"/>
      <c r="R145" s="11" t="n">
        <v>135</v>
      </c>
      <c r="S145" s="4" t="n"/>
      <c r="T145" s="4" t="inlineStr">
        <is>
          <t>Africa/Khartoum</t>
        </is>
      </c>
      <c r="U145" s="126" t="n"/>
      <c r="V145" s="14" t="n"/>
      <c r="W145" s="4" t="n"/>
      <c r="X145" s="4" t="n"/>
      <c r="Y145" s="4" t="n"/>
      <c r="Z145" s="4" t="n"/>
      <c r="AA145" s="4" t="n"/>
      <c r="AB145" s="4" t="n"/>
      <c r="AC145" s="4" t="n"/>
      <c r="AD145" s="4" t="n"/>
      <c r="AE145" s="4" t="n"/>
      <c r="AF145" s="4" t="n"/>
      <c r="AG145" s="4" t="n"/>
      <c r="AH145" s="4" t="n"/>
      <c r="AI145" s="4" t="n"/>
      <c r="AJ145" s="4" t="n"/>
      <c r="AK145" s="4" t="n"/>
      <c r="AL145" s="4" t="n"/>
      <c r="AM145" s="4" t="n"/>
      <c r="AN145" s="4" t="n"/>
      <c r="AO145" s="12" t="n"/>
      <c r="AP145" s="12" t="n"/>
      <c r="AQ145" s="12" t="n"/>
      <c r="AR145" s="12" t="n"/>
      <c r="AS145" s="16" t="n"/>
      <c r="AT145" s="16" t="n"/>
      <c r="AU145" s="4" t="n"/>
      <c r="AV145" s="124" t="n"/>
      <c r="AX145" s="118" t="n"/>
    </row>
    <row r="146">
      <c r="A146" s="4" t="inlineStr">
        <is>
          <t>HSSK</t>
        </is>
      </c>
      <c r="B146" s="4" t="inlineStr">
        <is>
          <t>KRT</t>
        </is>
      </c>
      <c r="C146" s="4" t="n"/>
      <c r="D146" s="4" t="n"/>
      <c r="E146" s="4" t="inlineStr">
        <is>
          <t>Khartoum International Airport</t>
        </is>
      </c>
      <c r="F146" s="4" t="n"/>
      <c r="G146" s="4" t="n"/>
      <c r="H146" s="4" t="inlineStr">
        <is>
          <t>Sudan</t>
        </is>
      </c>
      <c r="I146" s="4" t="inlineStr">
        <is>
          <t>Khartoum</t>
        </is>
      </c>
      <c r="J146" s="4" t="n"/>
      <c r="K146" s="4" t="n"/>
      <c r="L146" s="4" t="n"/>
      <c r="M146" s="4" t="n"/>
      <c r="N146" s="12" t="n"/>
      <c r="O146" s="125" t="n">
        <v>15.5895</v>
      </c>
      <c r="P146" s="125" t="n">
        <v>32.5532</v>
      </c>
      <c r="Q146" s="13" t="n"/>
      <c r="R146" s="11" t="n">
        <v>1265</v>
      </c>
      <c r="S146" s="4" t="n"/>
      <c r="T146" s="4" t="n"/>
      <c r="U146" s="126" t="n"/>
      <c r="V146" s="14" t="n"/>
      <c r="W146" s="4" t="n"/>
      <c r="X146" s="4" t="n"/>
      <c r="Y146" s="4" t="n"/>
      <c r="Z146" s="4" t="n"/>
      <c r="AA146" s="4" t="n"/>
      <c r="AB146" s="4" t="n"/>
      <c r="AC146" s="4" t="n"/>
      <c r="AD146" s="4" t="n"/>
      <c r="AE146" s="4" t="n"/>
      <c r="AF146" s="4" t="n"/>
      <c r="AG146" s="4" t="n"/>
      <c r="AH146" s="4" t="n"/>
      <c r="AI146" s="4" t="n"/>
      <c r="AJ146" s="4" t="n"/>
      <c r="AK146" s="4" t="n"/>
      <c r="AL146" s="4" t="n"/>
      <c r="AM146" s="4" t="n"/>
      <c r="AN146" s="4" t="n"/>
      <c r="AO146" s="12" t="n"/>
      <c r="AP146" s="12" t="n"/>
      <c r="AQ146" s="12" t="n"/>
      <c r="AR146" s="12" t="n"/>
      <c r="AS146" s="16" t="n"/>
      <c r="AT146" s="16" t="n"/>
      <c r="AU146" s="4" t="n"/>
      <c r="AV146" s="124" t="n"/>
      <c r="AX146" s="118" t="n"/>
    </row>
    <row r="147">
      <c r="A147" s="4" t="inlineStr">
        <is>
          <t>HTAR</t>
        </is>
      </c>
      <c r="B147" s="4" t="inlineStr">
        <is>
          <t>ARK</t>
        </is>
      </c>
      <c r="C147" s="4" t="n"/>
      <c r="D147" s="4" t="n"/>
      <c r="E147" s="4" t="inlineStr">
        <is>
          <t>Arusha Airport</t>
        </is>
      </c>
      <c r="F147" s="4" t="n"/>
      <c r="G147" s="4" t="n"/>
      <c r="H147" s="4" t="inlineStr">
        <is>
          <t>Tanzania</t>
        </is>
      </c>
      <c r="I147" s="4" t="inlineStr">
        <is>
          <t>Arusha</t>
        </is>
      </c>
      <c r="J147" s="4" t="n"/>
      <c r="K147" s="4" t="n"/>
      <c r="L147" s="4" t="n"/>
      <c r="M147" s="4" t="n"/>
      <c r="N147" s="12" t="n"/>
      <c r="O147" s="125" t="n">
        <v>-3.36779</v>
      </c>
      <c r="P147" s="125" t="n">
        <v>36.6333</v>
      </c>
      <c r="Q147" s="13" t="n"/>
      <c r="R147" s="11" t="n">
        <v>4550</v>
      </c>
      <c r="S147" s="4" t="n"/>
      <c r="T147" s="4" t="inlineStr">
        <is>
          <t>Africa/Dar_es_Salaam</t>
        </is>
      </c>
      <c r="U147" s="126" t="n"/>
      <c r="V147" s="14" t="n"/>
      <c r="W147" s="4" t="n"/>
      <c r="X147" s="4" t="n"/>
      <c r="Y147" s="4" t="n"/>
      <c r="Z147" s="4" t="n"/>
      <c r="AA147" s="4" t="n"/>
      <c r="AB147" s="4" t="n"/>
      <c r="AC147" s="4" t="n"/>
      <c r="AD147" s="4" t="n"/>
      <c r="AE147" s="4" t="n"/>
      <c r="AF147" s="4" t="n"/>
      <c r="AG147" s="4" t="n"/>
      <c r="AH147" s="4" t="n"/>
      <c r="AI147" s="4" t="n"/>
      <c r="AJ147" s="4" t="n"/>
      <c r="AK147" s="4" t="n"/>
      <c r="AL147" s="4" t="n"/>
      <c r="AM147" s="4" t="n"/>
      <c r="AN147" s="4" t="n"/>
      <c r="AO147" s="12" t="n"/>
      <c r="AP147" s="12" t="n"/>
      <c r="AQ147" s="12" t="n"/>
      <c r="AR147" s="12" t="n"/>
      <c r="AS147" s="16" t="n"/>
      <c r="AT147" s="16" t="n"/>
      <c r="AU147" s="4" t="n"/>
      <c r="AV147" s="124" t="n"/>
      <c r="AX147" s="118" t="n"/>
    </row>
    <row r="148">
      <c r="A148" s="4" t="inlineStr">
        <is>
          <t>HTDA</t>
        </is>
      </c>
      <c r="B148" s="4" t="inlineStr">
        <is>
          <t>DAR</t>
        </is>
      </c>
      <c r="C148" s="4" t="n"/>
      <c r="D148" s="4" t="n"/>
      <c r="E148" s="4" t="inlineStr">
        <is>
          <t>Julius Nyerere International Airport</t>
        </is>
      </c>
      <c r="F148" s="4" t="n"/>
      <c r="G148" s="4" t="n"/>
      <c r="H148" s="4" t="inlineStr">
        <is>
          <t>Tanzania</t>
        </is>
      </c>
      <c r="I148" s="4" t="inlineStr">
        <is>
          <t>Dar es Salaam</t>
        </is>
      </c>
      <c r="J148" s="4" t="n"/>
      <c r="K148" s="4" t="n"/>
      <c r="L148" s="4" t="n"/>
      <c r="M148" s="4" t="n"/>
      <c r="N148" s="12" t="n"/>
      <c r="O148" s="125" t="n">
        <v>-6.8735</v>
      </c>
      <c r="P148" s="125" t="n">
        <v>39.20729</v>
      </c>
      <c r="Q148" s="13" t="n"/>
      <c r="R148" s="11" t="n">
        <v>182</v>
      </c>
      <c r="S148" s="4" t="n"/>
      <c r="T148" s="4" t="inlineStr">
        <is>
          <t>Africa/Dar_es_Salaam</t>
        </is>
      </c>
      <c r="U148" s="126" t="n"/>
      <c r="V148" s="14" t="n"/>
      <c r="W148" s="4" t="n"/>
      <c r="X148" s="4" t="n"/>
      <c r="Y148" s="4" t="n"/>
      <c r="Z148" s="4" t="n"/>
      <c r="AA148" s="4" t="n"/>
      <c r="AB148" s="4" t="n"/>
      <c r="AC148" s="4" t="n"/>
      <c r="AD148" s="4" t="n"/>
      <c r="AE148" s="4" t="n"/>
      <c r="AF148" s="4" t="n"/>
      <c r="AG148" s="4" t="n"/>
      <c r="AH148" s="4" t="n"/>
      <c r="AI148" s="4" t="n"/>
      <c r="AJ148" s="4" t="n"/>
      <c r="AK148" s="4" t="n"/>
      <c r="AL148" s="4" t="n"/>
      <c r="AM148" s="4" t="n"/>
      <c r="AN148" s="4" t="n"/>
      <c r="AO148" s="12" t="n"/>
      <c r="AP148" s="12" t="n"/>
      <c r="AQ148" s="12" t="n"/>
      <c r="AR148" s="12" t="n"/>
      <c r="AS148" s="16" t="n"/>
      <c r="AT148" s="16" t="n"/>
      <c r="AU148" s="4" t="n"/>
      <c r="AV148" s="124" t="n"/>
      <c r="AX148" s="118" t="n"/>
    </row>
    <row r="149">
      <c r="A149" s="4" t="inlineStr">
        <is>
          <t>HTKJ</t>
        </is>
      </c>
      <c r="B149" s="4" t="inlineStr">
        <is>
          <t>JRO</t>
        </is>
      </c>
      <c r="C149" s="4" t="n"/>
      <c r="D149" s="4" t="n"/>
      <c r="E149" s="4" t="inlineStr">
        <is>
          <t>Kilimanjaro International Airport</t>
        </is>
      </c>
      <c r="F149" s="4" t="n"/>
      <c r="G149" s="4" t="n"/>
      <c r="H149" s="4" t="inlineStr">
        <is>
          <t>Tanzania</t>
        </is>
      </c>
      <c r="I149" s="4" t="inlineStr">
        <is>
          <t>Arusha</t>
        </is>
      </c>
      <c r="J149" s="4" t="n"/>
      <c r="K149" s="4" t="n"/>
      <c r="L149" s="4" t="n"/>
      <c r="M149" s="4" t="n"/>
      <c r="N149" s="12" t="n"/>
      <c r="O149" s="125" t="n">
        <v>-3.42705</v>
      </c>
      <c r="P149" s="125" t="n">
        <v>37.07353</v>
      </c>
      <c r="Q149" s="13" t="n"/>
      <c r="R149" s="11" t="n">
        <v>2932</v>
      </c>
      <c r="S149" s="4" t="n"/>
      <c r="T149" s="4" t="inlineStr">
        <is>
          <t>Africa/Dar_es_Salaam</t>
        </is>
      </c>
      <c r="U149" s="126" t="n"/>
      <c r="V149" s="14" t="n"/>
      <c r="W149" s="4" t="n"/>
      <c r="X149" s="4" t="n"/>
      <c r="Y149" s="4" t="n"/>
      <c r="Z149" s="4" t="n"/>
      <c r="AA149" s="4" t="n"/>
      <c r="AB149" s="4" t="n"/>
      <c r="AC149" s="4" t="n"/>
      <c r="AD149" s="4" t="n"/>
      <c r="AE149" s="4" t="n"/>
      <c r="AF149" s="4" t="n"/>
      <c r="AG149" s="4" t="n"/>
      <c r="AH149" s="4" t="n"/>
      <c r="AI149" s="4" t="n"/>
      <c r="AJ149" s="4" t="n"/>
      <c r="AK149" s="4" t="n"/>
      <c r="AL149" s="4" t="n"/>
      <c r="AM149" s="4" t="n"/>
      <c r="AN149" s="4" t="n"/>
      <c r="AO149" s="12" t="n"/>
      <c r="AP149" s="12" t="n"/>
      <c r="AQ149" s="12" t="n"/>
      <c r="AR149" s="12" t="n"/>
      <c r="AS149" s="16" t="n"/>
      <c r="AT149" s="16" t="n"/>
      <c r="AU149" s="4" t="n"/>
      <c r="AV149" s="124" t="n"/>
      <c r="AX149" s="118" t="n"/>
    </row>
    <row r="150">
      <c r="A150" s="4" t="inlineStr">
        <is>
          <t>HUEN</t>
        </is>
      </c>
      <c r="B150" s="4" t="inlineStr">
        <is>
          <t>EBB</t>
        </is>
      </c>
      <c r="C150" s="4" t="n"/>
      <c r="D150" s="4" t="n"/>
      <c r="E150" s="4" t="inlineStr">
        <is>
          <t>Entebbe International Airport</t>
        </is>
      </c>
      <c r="F150" s="4" t="n"/>
      <c r="G150" s="4" t="n"/>
      <c r="H150" s="4" t="inlineStr">
        <is>
          <t>Uganda</t>
        </is>
      </c>
      <c r="I150" s="4" t="inlineStr">
        <is>
          <t>Entebbe</t>
        </is>
      </c>
      <c r="J150" s="4" t="n"/>
      <c r="K150" s="4" t="n"/>
      <c r="L150" s="4" t="n"/>
      <c r="M150" s="4" t="n"/>
      <c r="N150" s="12" t="n"/>
      <c r="O150" s="125" t="n">
        <v>0.04239</v>
      </c>
      <c r="P150" s="125" t="n">
        <v>32.4435</v>
      </c>
      <c r="Q150" s="13" t="n"/>
      <c r="R150" s="11" t="n">
        <v>3782</v>
      </c>
      <c r="S150" s="4" t="n"/>
      <c r="T150" s="4" t="inlineStr">
        <is>
          <t>Africa/Kampala</t>
        </is>
      </c>
      <c r="U150" s="126" t="n"/>
      <c r="V150" s="14" t="n"/>
      <c r="W150" s="4" t="n"/>
      <c r="X150" s="4" t="n"/>
      <c r="Y150" s="4" t="n"/>
      <c r="Z150" s="4" t="n"/>
      <c r="AA150" s="4" t="n"/>
      <c r="AB150" s="4" t="n"/>
      <c r="AC150" s="4" t="n"/>
      <c r="AD150" s="4" t="n"/>
      <c r="AE150" s="4" t="n"/>
      <c r="AF150" s="4" t="n"/>
      <c r="AG150" s="4" t="n"/>
      <c r="AH150" s="4" t="n"/>
      <c r="AI150" s="4" t="n"/>
      <c r="AJ150" s="4" t="n"/>
      <c r="AK150" s="4" t="n"/>
      <c r="AL150" s="4" t="n"/>
      <c r="AM150" s="4" t="n"/>
      <c r="AN150" s="4" t="n"/>
      <c r="AO150" s="12" t="n"/>
      <c r="AP150" s="12" t="n"/>
      <c r="AQ150" s="12" t="n"/>
      <c r="AR150" s="12" t="n"/>
      <c r="AS150" s="16" t="n"/>
      <c r="AT150" s="16" t="n"/>
      <c r="AU150" s="4" t="n"/>
      <c r="AV150" s="124" t="n"/>
      <c r="AX150" s="118" t="n"/>
    </row>
    <row r="151">
      <c r="A151" s="4" t="inlineStr">
        <is>
          <t>KABQ</t>
        </is>
      </c>
      <c r="B151" s="4" t="inlineStr">
        <is>
          <t>ABQ</t>
        </is>
      </c>
      <c r="C151" s="4" t="n"/>
      <c r="D151" s="4" t="n"/>
      <c r="E151" s="4" t="inlineStr">
        <is>
          <t>Albuquerque International Sunport</t>
        </is>
      </c>
      <c r="F151" s="4" t="n"/>
      <c r="G151" s="4" t="n"/>
      <c r="H151" s="4" t="n"/>
      <c r="I151" s="4" t="inlineStr">
        <is>
          <t>Albuquerque</t>
        </is>
      </c>
      <c r="J151" s="4" t="n"/>
      <c r="K151" s="4" t="n"/>
      <c r="L151" s="4" t="n"/>
      <c r="M151" s="4" t="n"/>
      <c r="N151" s="12" t="n"/>
      <c r="O151" s="125" t="n">
        <v>35.03998</v>
      </c>
      <c r="P151" s="125" t="n">
        <v>-106.60892</v>
      </c>
      <c r="Q151" s="13" t="n"/>
      <c r="R151" s="11" t="n">
        <v>5355</v>
      </c>
      <c r="S151" s="4" t="n"/>
      <c r="T151" s="4" t="inlineStr">
        <is>
          <t>America/Denver</t>
        </is>
      </c>
      <c r="U151" s="126" t="n"/>
      <c r="V151" s="14" t="n"/>
      <c r="W151" s="4" t="n"/>
      <c r="X151" s="4" t="n"/>
      <c r="Y151" s="4" t="n"/>
      <c r="Z151" s="4" t="n"/>
      <c r="AA151" s="4" t="n"/>
      <c r="AB151" s="4" t="n"/>
      <c r="AC151" s="4" t="n"/>
      <c r="AD151" s="4" t="n"/>
      <c r="AE151" s="4" t="n"/>
      <c r="AF151" s="4" t="n"/>
      <c r="AG151" s="4" t="n"/>
      <c r="AH151" s="4" t="n"/>
      <c r="AI151" s="4" t="n"/>
      <c r="AJ151" s="4" t="n"/>
      <c r="AK151" s="4" t="n"/>
      <c r="AL151" s="4" t="n"/>
      <c r="AM151" s="4" t="n"/>
      <c r="AN151" s="4" t="n"/>
      <c r="AO151" s="12" t="n"/>
      <c r="AP151" s="12" t="n"/>
      <c r="AQ151" s="12" t="n"/>
      <c r="AR151" s="12" t="n"/>
      <c r="AS151" s="16" t="n"/>
      <c r="AT151" s="16" t="n"/>
      <c r="AU151" s="4" t="n"/>
      <c r="AV151" s="124" t="n"/>
      <c r="AX151" s="118" t="n"/>
    </row>
    <row r="152">
      <c r="A152" s="4" t="inlineStr">
        <is>
          <t>KALB</t>
        </is>
      </c>
      <c r="B152" s="4" t="inlineStr">
        <is>
          <t>ALB</t>
        </is>
      </c>
      <c r="C152" s="4" t="n"/>
      <c r="D152" s="4" t="n"/>
      <c r="E152" s="4" t="inlineStr">
        <is>
          <t>Albany International Airport</t>
        </is>
      </c>
      <c r="F152" s="4" t="n"/>
      <c r="G152" s="4" t="n"/>
      <c r="H152" s="4" t="n"/>
      <c r="I152" s="4" t="inlineStr">
        <is>
          <t>Albany</t>
        </is>
      </c>
      <c r="J152" s="4" t="n"/>
      <c r="K152" s="4" t="n"/>
      <c r="L152" s="4" t="n"/>
      <c r="M152" s="4" t="n"/>
      <c r="N152" s="12" t="n"/>
      <c r="O152" s="125" t="n">
        <v>42.7483</v>
      </c>
      <c r="P152" s="125" t="n">
        <v>-73.8017</v>
      </c>
      <c r="Q152" s="13" t="n"/>
      <c r="R152" s="11" t="n">
        <v>285</v>
      </c>
      <c r="S152" s="4" t="n"/>
      <c r="T152" s="4" t="inlineStr">
        <is>
          <t>America/New_York</t>
        </is>
      </c>
      <c r="U152" s="126" t="n"/>
      <c r="V152" s="14" t="n"/>
      <c r="W152" s="4" t="n"/>
      <c r="X152" s="4" t="n"/>
      <c r="Y152" s="4" t="n"/>
      <c r="Z152" s="4" t="n"/>
      <c r="AA152" s="4" t="n"/>
      <c r="AB152" s="4" t="n"/>
      <c r="AC152" s="4" t="n"/>
      <c r="AD152" s="4" t="n"/>
      <c r="AE152" s="17" t="n"/>
      <c r="AF152" s="4" t="n"/>
      <c r="AG152" s="4" t="n"/>
      <c r="AH152" s="4" t="n"/>
      <c r="AI152" s="4" t="n"/>
      <c r="AJ152" s="4" t="n"/>
      <c r="AK152" s="4" t="n"/>
      <c r="AL152" s="4" t="n"/>
      <c r="AM152" s="4" t="n"/>
      <c r="AN152" s="4" t="n"/>
      <c r="AO152" s="12" t="n"/>
      <c r="AP152" s="12" t="n"/>
      <c r="AQ152" s="12" t="n"/>
      <c r="AR152" s="12" t="n"/>
      <c r="AS152" s="16" t="n"/>
      <c r="AT152" s="16" t="n"/>
      <c r="AU152" s="4" t="n"/>
      <c r="AV152" s="124" t="n"/>
      <c r="AX152" s="118" t="n"/>
    </row>
    <row r="153">
      <c r="A153" s="4" t="inlineStr">
        <is>
          <t>KCMH</t>
        </is>
      </c>
      <c r="B153" s="4" t="inlineStr">
        <is>
          <t>CMH</t>
        </is>
      </c>
      <c r="C153" s="4" t="n"/>
      <c r="D153" s="4" t="n"/>
      <c r="E153" s="4" t="inlineStr">
        <is>
          <t>John Glenn Columbus International Airport</t>
        </is>
      </c>
      <c r="F153" s="4" t="n"/>
      <c r="G153" s="4" t="n"/>
      <c r="H153" s="4" t="n"/>
      <c r="I153" s="4" t="inlineStr">
        <is>
          <t>Columbus</t>
        </is>
      </c>
      <c r="J153" s="4" t="n"/>
      <c r="K153" s="4" t="n"/>
      <c r="L153" s="4" t="n"/>
      <c r="M153" s="4" t="n"/>
      <c r="N153" s="12" t="n"/>
      <c r="O153" s="125" t="n">
        <v>39.998</v>
      </c>
      <c r="P153" s="125" t="n">
        <v>-82.89190000000001</v>
      </c>
      <c r="Q153" s="13" t="n"/>
      <c r="R153" s="11" t="n">
        <v>815</v>
      </c>
      <c r="S153" s="4" t="n"/>
      <c r="T153" s="4" t="inlineStr">
        <is>
          <t>America/New_York</t>
        </is>
      </c>
      <c r="U153" s="126" t="n"/>
      <c r="V153" s="14" t="n"/>
      <c r="W153" s="4" t="n"/>
      <c r="X153" s="4" t="n"/>
      <c r="Y153" s="4" t="n"/>
      <c r="Z153" s="4" t="n"/>
      <c r="AA153" s="4" t="n"/>
      <c r="AB153" s="4" t="n"/>
      <c r="AC153" s="4" t="n"/>
      <c r="AD153" s="4" t="n"/>
      <c r="AE153" s="4" t="n"/>
      <c r="AF153" s="4" t="n"/>
      <c r="AG153" s="4" t="n"/>
      <c r="AH153" s="4" t="n"/>
      <c r="AI153" s="4" t="n"/>
      <c r="AJ153" s="4" t="n"/>
      <c r="AK153" s="4" t="n"/>
      <c r="AL153" s="4" t="n"/>
      <c r="AM153" s="4" t="n"/>
      <c r="AN153" s="4" t="n"/>
      <c r="AO153" s="12" t="n"/>
      <c r="AP153" s="12" t="n"/>
      <c r="AQ153" s="12" t="n"/>
      <c r="AR153" s="12" t="n"/>
      <c r="AS153" s="16" t="n"/>
      <c r="AT153" s="16" t="n"/>
      <c r="AU153" s="4" t="n"/>
      <c r="AV153" s="124" t="n"/>
      <c r="AX153" s="118" t="n"/>
    </row>
    <row r="154">
      <c r="A154" s="4" t="inlineStr">
        <is>
          <t>KFXE</t>
        </is>
      </c>
      <c r="B154" s="4" t="inlineStr">
        <is>
          <t>FXE</t>
        </is>
      </c>
      <c r="C154" s="4" t="n"/>
      <c r="D154" s="4" t="n"/>
      <c r="E154" s="4" t="inlineStr">
        <is>
          <t>Fort Lauderdale Executive Airport</t>
        </is>
      </c>
      <c r="F154" s="4" t="n"/>
      <c r="G154" s="4" t="n"/>
      <c r="H154" s="4" t="n"/>
      <c r="I154" s="4" t="inlineStr">
        <is>
          <t>Fort Lauderdale</t>
        </is>
      </c>
      <c r="J154" s="4" t="n"/>
      <c r="K154" s="4" t="n"/>
      <c r="L154" s="4" t="n"/>
      <c r="M154" s="4" t="n"/>
      <c r="N154" s="12" t="n"/>
      <c r="O154" s="125" t="n">
        <v>26.1973</v>
      </c>
      <c r="P154" s="125" t="n">
        <v>-80.1707</v>
      </c>
      <c r="Q154" s="13" t="n"/>
      <c r="R154" s="11" t="n">
        <v>13</v>
      </c>
      <c r="S154" s="4" t="n"/>
      <c r="T154" s="4" t="inlineStr">
        <is>
          <t>America/New_York</t>
        </is>
      </c>
      <c r="U154" s="126" t="n"/>
      <c r="V154" s="14" t="n"/>
      <c r="W154" s="4" t="n"/>
      <c r="X154" s="4" t="n"/>
      <c r="Y154" s="4" t="n"/>
      <c r="Z154" s="4" t="n"/>
      <c r="AA154" s="4" t="n"/>
      <c r="AB154" s="4" t="n"/>
      <c r="AC154" s="4" t="n"/>
      <c r="AD154" s="4" t="n"/>
      <c r="AE154" s="4" t="n"/>
      <c r="AF154" s="4" t="n"/>
      <c r="AG154" s="4" t="n"/>
      <c r="AH154" s="4" t="n"/>
      <c r="AI154" s="4" t="n"/>
      <c r="AJ154" s="4" t="n"/>
      <c r="AK154" s="4" t="n"/>
      <c r="AL154" s="4" t="n"/>
      <c r="AM154" s="4" t="n"/>
      <c r="AN154" s="4" t="n"/>
      <c r="AO154" s="12" t="n"/>
      <c r="AP154" s="12" t="n"/>
      <c r="AQ154" s="12" t="n"/>
      <c r="AR154" s="12" t="n"/>
      <c r="AS154" s="16" t="n"/>
      <c r="AT154" s="16" t="n"/>
      <c r="AU154" s="4" t="n"/>
      <c r="AV154" s="124" t="n"/>
      <c r="AX154" s="118" t="n"/>
    </row>
    <row r="155">
      <c r="A155" s="4" t="inlineStr">
        <is>
          <t>KHOU</t>
        </is>
      </c>
      <c r="B155" s="4" t="inlineStr">
        <is>
          <t>HOU</t>
        </is>
      </c>
      <c r="C155" s="4" t="n"/>
      <c r="D155" s="4" t="n"/>
      <c r="E155" s="4" t="inlineStr">
        <is>
          <t>William P. Hobby Airport</t>
        </is>
      </c>
      <c r="F155" s="4" t="n"/>
      <c r="G155" s="4" t="n"/>
      <c r="H155" s="4" t="n"/>
      <c r="I155" s="4" t="inlineStr">
        <is>
          <t>Houston</t>
        </is>
      </c>
      <c r="J155" s="4" t="n"/>
      <c r="K155" s="4" t="n"/>
      <c r="L155" s="4" t="n"/>
      <c r="M155" s="4" t="n"/>
      <c r="N155" s="12" t="n"/>
      <c r="O155" s="125" t="n">
        <v>29.64534</v>
      </c>
      <c r="P155" s="125" t="n">
        <v>-95.27681</v>
      </c>
      <c r="Q155" s="13" t="n"/>
      <c r="R155" s="11" t="n">
        <v>46</v>
      </c>
      <c r="S155" s="4" t="n"/>
      <c r="T155" s="4" t="inlineStr">
        <is>
          <t>America/Chicago</t>
        </is>
      </c>
      <c r="U155" s="126" t="n"/>
      <c r="V155" s="14" t="n"/>
      <c r="W155" s="4" t="n"/>
      <c r="X155" s="4" t="n"/>
      <c r="Y155" s="4" t="n"/>
      <c r="Z155" s="4" t="n"/>
      <c r="AA155" s="4" t="n"/>
      <c r="AB155" s="4" t="n"/>
      <c r="AC155" s="4" t="n"/>
      <c r="AD155" s="4" t="n"/>
      <c r="AE155" s="4" t="n"/>
      <c r="AF155" s="4" t="n"/>
      <c r="AG155" s="4" t="n"/>
      <c r="AH155" s="4" t="n"/>
      <c r="AI155" s="4" t="n"/>
      <c r="AJ155" s="4" t="n"/>
      <c r="AK155" s="4" t="n"/>
      <c r="AL155" s="4" t="n"/>
      <c r="AM155" s="4" t="n"/>
      <c r="AN155" s="4" t="n"/>
      <c r="AO155" s="12" t="n"/>
      <c r="AP155" s="12" t="n"/>
      <c r="AQ155" s="12" t="n"/>
      <c r="AR155" s="12" t="n"/>
      <c r="AS155" s="16" t="n"/>
      <c r="AT155" s="16" t="n"/>
      <c r="AU155" s="4" t="n"/>
      <c r="AV155" s="124" t="n"/>
      <c r="AX155" s="118" t="n"/>
    </row>
    <row r="156">
      <c r="A156" s="4" t="inlineStr">
        <is>
          <t>KLAS</t>
        </is>
      </c>
      <c r="B156" s="4" t="inlineStr">
        <is>
          <t>LAS</t>
        </is>
      </c>
      <c r="C156" s="4" t="n"/>
      <c r="D156" s="4" t="n"/>
      <c r="E156" s="4" t="inlineStr">
        <is>
          <t>Harry Reid International Airport</t>
        </is>
      </c>
      <c r="F156" s="4" t="n"/>
      <c r="G156" s="4" t="n"/>
      <c r="H156" s="4" t="n"/>
      <c r="I156" s="4" t="inlineStr">
        <is>
          <t>Las Vegas</t>
        </is>
      </c>
      <c r="J156" s="4" t="n"/>
      <c r="K156" s="4" t="n"/>
      <c r="L156" s="4" t="n"/>
      <c r="M156" s="4" t="n"/>
      <c r="N156" s="12" t="n"/>
      <c r="O156" s="125" t="n">
        <v>36.08336</v>
      </c>
      <c r="P156" s="125" t="n">
        <v>-115.15182</v>
      </c>
      <c r="Q156" s="13" t="n"/>
      <c r="R156" s="11" t="n">
        <v>2181</v>
      </c>
      <c r="S156" s="4" t="n"/>
      <c r="T156" s="4" t="inlineStr">
        <is>
          <t>America/Los_Angeles</t>
        </is>
      </c>
      <c r="U156" s="126" t="n"/>
      <c r="V156" s="14" t="n"/>
      <c r="W156" s="4" t="n"/>
      <c r="X156" s="4" t="n"/>
      <c r="Y156" s="4" t="n"/>
      <c r="Z156" s="4" t="n"/>
      <c r="AA156" s="4" t="n"/>
      <c r="AB156" s="4" t="n"/>
      <c r="AC156" s="4" t="n"/>
      <c r="AD156" s="4" t="n"/>
      <c r="AE156" s="4" t="n"/>
      <c r="AF156" s="4" t="n"/>
      <c r="AG156" s="4" t="n"/>
      <c r="AH156" s="4" t="n"/>
      <c r="AI156" s="4" t="n"/>
      <c r="AJ156" s="4" t="n"/>
      <c r="AK156" s="4" t="n"/>
      <c r="AL156" s="4" t="n"/>
      <c r="AM156" s="4" t="n"/>
      <c r="AN156" s="4" t="n"/>
      <c r="AO156" s="12" t="n"/>
      <c r="AP156" s="12" t="n"/>
      <c r="AQ156" s="12" t="n"/>
      <c r="AR156" s="12" t="n"/>
      <c r="AS156" s="16" t="n"/>
      <c r="AT156" s="16" t="n"/>
      <c r="AU156" s="4" t="n"/>
      <c r="AV156" s="124" t="n"/>
      <c r="AX156" s="118" t="n"/>
    </row>
    <row r="157">
      <c r="A157" s="4" t="inlineStr">
        <is>
          <t>KTEB</t>
        </is>
      </c>
      <c r="B157" s="4" t="inlineStr">
        <is>
          <t>TEB</t>
        </is>
      </c>
      <c r="C157" s="4" t="n"/>
      <c r="D157" s="4" t="n"/>
      <c r="E157" s="4" t="inlineStr">
        <is>
          <t>Teterboro Airport</t>
        </is>
      </c>
      <c r="F157" s="4" t="n"/>
      <c r="G157" s="4" t="n"/>
      <c r="H157" s="4" t="n"/>
      <c r="I157" s="4" t="inlineStr">
        <is>
          <t>Teterboro</t>
        </is>
      </c>
      <c r="J157" s="4" t="n"/>
      <c r="K157" s="4" t="n"/>
      <c r="L157" s="4" t="n"/>
      <c r="M157" s="4" t="n"/>
      <c r="N157" s="12" t="n"/>
      <c r="O157" s="125" t="n">
        <v>40.8501</v>
      </c>
      <c r="P157" s="125" t="n">
        <v>-74.0608</v>
      </c>
      <c r="Q157" s="13" t="n"/>
      <c r="R157" s="11" t="n">
        <v>9</v>
      </c>
      <c r="S157" s="4" t="n"/>
      <c r="T157" s="4" t="inlineStr">
        <is>
          <t>America/New_York</t>
        </is>
      </c>
      <c r="U157" s="126" t="n"/>
      <c r="V157" s="14" t="n"/>
      <c r="W157" s="4" t="n"/>
      <c r="X157" s="4" t="n"/>
      <c r="Y157" s="4" t="n"/>
      <c r="Z157" s="4" t="n"/>
      <c r="AA157" s="4" t="n"/>
      <c r="AB157" s="4" t="n"/>
      <c r="AC157" s="4" t="n"/>
      <c r="AD157" s="4" t="n"/>
      <c r="AE157" s="4" t="n"/>
      <c r="AF157" s="4" t="n"/>
      <c r="AG157" s="4" t="n"/>
      <c r="AH157" s="4" t="n"/>
      <c r="AI157" s="4" t="n"/>
      <c r="AJ157" s="4" t="n"/>
      <c r="AK157" s="4" t="n"/>
      <c r="AL157" s="4" t="n"/>
      <c r="AM157" s="4" t="n"/>
      <c r="AN157" s="4" t="n"/>
      <c r="AO157" s="12" t="n"/>
      <c r="AP157" s="12" t="n"/>
      <c r="AQ157" s="12" t="n"/>
      <c r="AR157" s="12" t="n"/>
      <c r="AS157" s="16" t="n"/>
      <c r="AT157" s="16" t="n"/>
      <c r="AU157" s="4" t="n"/>
      <c r="AV157" s="124" t="n"/>
      <c r="AX157" s="118" t="n"/>
    </row>
    <row r="158">
      <c r="A158" s="4" t="inlineStr">
        <is>
          <t>LATI</t>
        </is>
      </c>
      <c r="B158" s="4" t="inlineStr">
        <is>
          <t>TIA</t>
        </is>
      </c>
      <c r="C158" s="4" t="n"/>
      <c r="D158" s="4" t="n"/>
      <c r="E158" s="4" t="inlineStr">
        <is>
          <t>Tirana International Airport Mother Teresa</t>
        </is>
      </c>
      <c r="F158" s="4" t="n"/>
      <c r="G158" s="4" t="n"/>
      <c r="H158" s="4" t="inlineStr">
        <is>
          <t>Albania</t>
        </is>
      </c>
      <c r="I158" s="4" t="inlineStr">
        <is>
          <t>Rinas</t>
        </is>
      </c>
      <c r="J158" s="4" t="n"/>
      <c r="K158" s="4" t="n"/>
      <c r="L158" s="4" t="n"/>
      <c r="M158" s="4" t="n"/>
      <c r="N158" s="12" t="n"/>
      <c r="O158" s="125" t="n">
        <v>41.4147</v>
      </c>
      <c r="P158" s="125" t="n">
        <v>19.7206</v>
      </c>
      <c r="Q158" s="13" t="n"/>
      <c r="R158" s="11" t="n">
        <v>126</v>
      </c>
      <c r="S158" s="4" t="n"/>
      <c r="T158" s="4" t="inlineStr">
        <is>
          <t>Europe/Tirane</t>
        </is>
      </c>
      <c r="U158" s="126" t="n"/>
      <c r="V158" s="14" t="n"/>
      <c r="W158" s="4" t="n"/>
      <c r="X158" s="4" t="n"/>
      <c r="Y158" s="4" t="n"/>
      <c r="Z158" s="4" t="n"/>
      <c r="AA158" s="4" t="n"/>
      <c r="AB158" s="4" t="n"/>
      <c r="AC158" s="4" t="n"/>
      <c r="AD158" s="4" t="n"/>
      <c r="AE158" s="4" t="n"/>
      <c r="AF158" s="4" t="n"/>
      <c r="AG158" s="4" t="n"/>
      <c r="AH158" s="4" t="n"/>
      <c r="AI158" s="4" t="n"/>
      <c r="AJ158" s="4" t="n"/>
      <c r="AK158" s="4" t="n"/>
      <c r="AL158" s="4" t="n"/>
      <c r="AM158" s="4" t="n"/>
      <c r="AN158" s="4" t="n"/>
      <c r="AO158" s="12" t="n"/>
      <c r="AP158" s="12" t="n"/>
      <c r="AQ158" s="12" t="n"/>
      <c r="AR158" s="12" t="n"/>
      <c r="AS158" s="16" t="n"/>
      <c r="AT158" s="16" t="n"/>
      <c r="AU158" s="4" t="n"/>
      <c r="AV158" s="124" t="n"/>
      <c r="AX158" s="118" t="n"/>
    </row>
    <row r="159">
      <c r="A159" s="4" t="inlineStr">
        <is>
          <t>LBBG</t>
        </is>
      </c>
      <c r="B159" s="4" t="inlineStr">
        <is>
          <t>BOJ</t>
        </is>
      </c>
      <c r="C159" s="4" t="n"/>
      <c r="D159" s="4" t="n"/>
      <c r="E159" s="4" t="inlineStr">
        <is>
          <t>Burgas Airport</t>
        </is>
      </c>
      <c r="F159" s="4" t="n"/>
      <c r="G159" s="4" t="n"/>
      <c r="H159" s="4" t="inlineStr">
        <is>
          <t>Bulgaria</t>
        </is>
      </c>
      <c r="I159" s="4" t="inlineStr">
        <is>
          <t>Burgas</t>
        </is>
      </c>
      <c r="J159" s="4" t="n"/>
      <c r="K159" s="4" t="n"/>
      <c r="L159" s="4" t="n"/>
      <c r="M159" s="4" t="n"/>
      <c r="N159" s="12" t="n"/>
      <c r="O159" s="125" t="n">
        <v>42.56992</v>
      </c>
      <c r="P159" s="125" t="n">
        <v>27.51517</v>
      </c>
      <c r="Q159" s="13" t="n"/>
      <c r="R159" s="11" t="n">
        <v>135</v>
      </c>
      <c r="S159" s="4" t="n"/>
      <c r="T159" s="4" t="inlineStr">
        <is>
          <t>Europe/Sofia</t>
        </is>
      </c>
      <c r="U159" s="126" t="n"/>
      <c r="V159" s="14" t="n"/>
      <c r="W159" s="4" t="n"/>
      <c r="X159" s="4" t="n"/>
      <c r="Y159" s="4" t="n"/>
      <c r="Z159" s="4" t="n"/>
      <c r="AA159" s="4" t="n"/>
      <c r="AB159" s="4" t="n"/>
      <c r="AC159" s="4" t="n"/>
      <c r="AD159" s="4" t="n"/>
      <c r="AE159" s="4" t="n"/>
      <c r="AF159" s="4" t="n"/>
      <c r="AG159" s="4" t="n"/>
      <c r="AH159" s="4" t="n"/>
      <c r="AI159" s="4" t="n"/>
      <c r="AJ159" s="4" t="n"/>
      <c r="AK159" s="4" t="n"/>
      <c r="AL159" s="4" t="n"/>
      <c r="AM159" s="4" t="n"/>
      <c r="AN159" s="4" t="n"/>
      <c r="AO159" s="12" t="n"/>
      <c r="AP159" s="12" t="n"/>
      <c r="AQ159" s="12" t="n"/>
      <c r="AR159" s="12" t="n"/>
      <c r="AS159" s="16" t="n"/>
      <c r="AT159" s="16" t="n"/>
      <c r="AU159" s="4" t="n"/>
      <c r="AV159" s="124" t="n"/>
      <c r="AX159" s="118" t="n"/>
    </row>
    <row r="160">
      <c r="A160" s="4" t="inlineStr">
        <is>
          <t>LBPD</t>
        </is>
      </c>
      <c r="B160" s="4" t="inlineStr">
        <is>
          <t>PDV</t>
        </is>
      </c>
      <c r="C160" s="4" t="n"/>
      <c r="D160" s="4" t="n"/>
      <c r="E160" s="4" t="inlineStr">
        <is>
          <t>Plovdiv International Airport</t>
        </is>
      </c>
      <c r="F160" s="4" t="n"/>
      <c r="G160" s="4" t="n"/>
      <c r="H160" s="4" t="inlineStr">
        <is>
          <t>Bulgaria</t>
        </is>
      </c>
      <c r="I160" s="4" t="inlineStr">
        <is>
          <t>Plovdiv</t>
        </is>
      </c>
      <c r="J160" s="4" t="n"/>
      <c r="K160" s="4" t="n"/>
      <c r="L160" s="4" t="n"/>
      <c r="M160" s="4" t="n"/>
      <c r="N160" s="12" t="n"/>
      <c r="O160" s="125" t="n">
        <v>42.0678</v>
      </c>
      <c r="P160" s="125" t="n">
        <v>24.8508</v>
      </c>
      <c r="Q160" s="13" t="n"/>
      <c r="R160" s="11" t="n">
        <v>597</v>
      </c>
      <c r="S160" s="4" t="n"/>
      <c r="T160" s="4" t="inlineStr">
        <is>
          <t>Europe/Sofia</t>
        </is>
      </c>
      <c r="U160" s="126" t="n"/>
      <c r="V160" s="14" t="n"/>
      <c r="W160" s="4" t="n"/>
      <c r="X160" s="4" t="n"/>
      <c r="Y160" s="4" t="n"/>
      <c r="Z160" s="4" t="n"/>
      <c r="AA160" s="4" t="n"/>
      <c r="AB160" s="4" t="n"/>
      <c r="AC160" s="4" t="n"/>
      <c r="AD160" s="4" t="n"/>
      <c r="AE160" s="4" t="n"/>
      <c r="AF160" s="4" t="n"/>
      <c r="AG160" s="4" t="n"/>
      <c r="AH160" s="4" t="n"/>
      <c r="AI160" s="4" t="n"/>
      <c r="AJ160" s="4" t="n"/>
      <c r="AK160" s="4" t="n"/>
      <c r="AL160" s="4" t="n"/>
      <c r="AM160" s="4" t="n"/>
      <c r="AN160" s="4" t="n"/>
      <c r="AO160" s="12" t="n"/>
      <c r="AP160" s="12" t="n"/>
      <c r="AQ160" s="12" t="n"/>
      <c r="AR160" s="12" t="n"/>
      <c r="AS160" s="16" t="n"/>
      <c r="AT160" s="16" t="n"/>
      <c r="AU160" s="4" t="n"/>
      <c r="AV160" s="124" t="n"/>
      <c r="AX160" s="118" t="n"/>
    </row>
    <row r="161">
      <c r="A161" s="4" t="inlineStr">
        <is>
          <t>LCEN</t>
        </is>
      </c>
      <c r="B161" s="4" t="inlineStr">
        <is>
          <t>ECN</t>
        </is>
      </c>
      <c r="C161" s="4" t="n"/>
      <c r="D161" s="4" t="n"/>
      <c r="E161" s="4" t="inlineStr">
        <is>
          <t>Ercan International Airport</t>
        </is>
      </c>
      <c r="F161" s="4" t="n"/>
      <c r="G161" s="4" t="n"/>
      <c r="H161" s="4" t="inlineStr">
        <is>
          <t>Cyprus</t>
        </is>
      </c>
      <c r="I161" s="4" t="inlineStr">
        <is>
          <t>Tymbou</t>
        </is>
      </c>
      <c r="J161" s="4" t="n"/>
      <c r="K161" s="4" t="n"/>
      <c r="L161" s="4" t="n"/>
      <c r="M161" s="4" t="n"/>
      <c r="N161" s="12" t="n"/>
      <c r="O161" s="125" t="n">
        <v>35.15306</v>
      </c>
      <c r="P161" s="125" t="n">
        <v>33.50735</v>
      </c>
      <c r="Q161" s="13" t="n"/>
      <c r="R161" s="11" t="n">
        <v>404</v>
      </c>
      <c r="S161" s="4" t="n"/>
      <c r="T161" s="4" t="inlineStr">
        <is>
          <t>Asia/Nicosia</t>
        </is>
      </c>
      <c r="U161" s="126" t="n"/>
      <c r="V161" s="14" t="n"/>
      <c r="W161" s="4" t="n"/>
      <c r="X161" s="4" t="n"/>
      <c r="Y161" s="4" t="n"/>
      <c r="Z161" s="4" t="n"/>
      <c r="AA161" s="4" t="n"/>
      <c r="AB161" s="4" t="n"/>
      <c r="AC161" s="4" t="n"/>
      <c r="AD161" s="4" t="n"/>
      <c r="AE161" s="4" t="n"/>
      <c r="AF161" s="4" t="n"/>
      <c r="AG161" s="4" t="n"/>
      <c r="AH161" s="4" t="n"/>
      <c r="AI161" s="4" t="n"/>
      <c r="AJ161" s="4" t="n"/>
      <c r="AK161" s="4" t="n"/>
      <c r="AL161" s="4" t="n"/>
      <c r="AM161" s="4" t="n"/>
      <c r="AN161" s="4" t="n"/>
      <c r="AO161" s="12" t="n"/>
      <c r="AP161" s="12" t="n"/>
      <c r="AQ161" s="12" t="n"/>
      <c r="AR161" s="12" t="n"/>
      <c r="AS161" s="16" t="n"/>
      <c r="AT161" s="16" t="n"/>
      <c r="AU161" s="4" t="n"/>
      <c r="AV161" s="124" t="n"/>
      <c r="AX161" s="118" t="n"/>
    </row>
    <row r="162">
      <c r="A162" s="4" t="inlineStr">
        <is>
          <t>LCLK</t>
        </is>
      </c>
      <c r="B162" s="4" t="inlineStr">
        <is>
          <t>LCA</t>
        </is>
      </c>
      <c r="C162" s="4" t="n"/>
      <c r="D162" s="4" t="n"/>
      <c r="E162" s="4" t="inlineStr">
        <is>
          <t>Larnaca International Airport</t>
        </is>
      </c>
      <c r="F162" s="4" t="n"/>
      <c r="G162" s="4" t="n"/>
      <c r="H162" s="4" t="inlineStr">
        <is>
          <t>Cyprus</t>
        </is>
      </c>
      <c r="I162" s="4" t="inlineStr">
        <is>
          <t>Larnaca</t>
        </is>
      </c>
      <c r="J162" s="4" t="n"/>
      <c r="K162" s="4" t="n"/>
      <c r="L162" s="4" t="n"/>
      <c r="M162" s="4" t="n"/>
      <c r="N162" s="12" t="n"/>
      <c r="O162" s="125" t="n">
        <v>34.8751</v>
      </c>
      <c r="P162" s="125" t="n">
        <v>33.6249</v>
      </c>
      <c r="Q162" s="13" t="n"/>
      <c r="R162" s="11" t="n">
        <v>8</v>
      </c>
      <c r="S162" s="4" t="n"/>
      <c r="T162" s="4" t="inlineStr">
        <is>
          <t>Asia/Nicosia</t>
        </is>
      </c>
      <c r="U162" s="126" t="n"/>
      <c r="V162" s="14" t="n"/>
      <c r="W162" s="4" t="n"/>
      <c r="X162" s="4" t="n"/>
      <c r="Y162" s="4" t="n"/>
      <c r="Z162" s="4" t="n"/>
      <c r="AA162" s="4" t="n"/>
      <c r="AB162" s="4" t="n"/>
      <c r="AC162" s="4" t="n"/>
      <c r="AD162" s="4" t="n"/>
      <c r="AE162" s="4" t="n"/>
      <c r="AF162" s="4" t="n"/>
      <c r="AG162" s="4" t="n"/>
      <c r="AH162" s="4" t="n"/>
      <c r="AI162" s="4" t="n"/>
      <c r="AJ162" s="4" t="n"/>
      <c r="AK162" s="4" t="n"/>
      <c r="AL162" s="4" t="n"/>
      <c r="AM162" s="4" t="n"/>
      <c r="AN162" s="4" t="n"/>
      <c r="AO162" s="12" t="n"/>
      <c r="AP162" s="12" t="n"/>
      <c r="AQ162" s="12" t="n"/>
      <c r="AR162" s="12" t="n"/>
      <c r="AS162" s="16" t="n"/>
      <c r="AT162" s="16" t="n"/>
      <c r="AU162" s="4" t="n"/>
      <c r="AV162" s="124" t="n"/>
      <c r="AX162" s="118" t="n"/>
    </row>
    <row r="163">
      <c r="A163" s="4" t="inlineStr">
        <is>
          <t>LDDU</t>
        </is>
      </c>
      <c r="B163" s="4" t="inlineStr">
        <is>
          <t>DBV</t>
        </is>
      </c>
      <c r="C163" s="4" t="n"/>
      <c r="D163" s="4" t="n"/>
      <c r="E163" s="4" t="inlineStr">
        <is>
          <t>Dubrovnik Ruđer Bošković Airport</t>
        </is>
      </c>
      <c r="F163" s="4" t="n"/>
      <c r="G163" s="4" t="n"/>
      <c r="H163" s="4" t="inlineStr">
        <is>
          <t>Croatia</t>
        </is>
      </c>
      <c r="I163" s="4" t="inlineStr">
        <is>
          <t>Dubrovnik</t>
        </is>
      </c>
      <c r="J163" s="4" t="n"/>
      <c r="K163" s="4" t="n"/>
      <c r="L163" s="4" t="n"/>
      <c r="M163" s="4" t="n"/>
      <c r="N163" s="12" t="n"/>
      <c r="O163" s="125" t="n">
        <v>42.56225</v>
      </c>
      <c r="P163" s="125" t="n">
        <v>18.26554</v>
      </c>
      <c r="Q163" s="13" t="n"/>
      <c r="R163" s="11" t="n">
        <v>527</v>
      </c>
      <c r="S163" s="4" t="n"/>
      <c r="T163" s="4" t="inlineStr">
        <is>
          <t>Europe/Zagreb</t>
        </is>
      </c>
      <c r="U163" s="126" t="n"/>
      <c r="V163" s="14" t="n"/>
      <c r="W163" s="4" t="n"/>
      <c r="X163" s="4" t="n"/>
      <c r="Y163" s="4" t="n"/>
      <c r="Z163" s="4" t="n"/>
      <c r="AA163" s="4" t="n"/>
      <c r="AB163" s="4" t="n"/>
      <c r="AC163" s="4" t="n"/>
      <c r="AD163" s="4" t="n"/>
      <c r="AE163" s="4" t="n"/>
      <c r="AF163" s="4" t="n"/>
      <c r="AG163" s="4" t="n"/>
      <c r="AH163" s="4" t="n"/>
      <c r="AI163" s="4" t="n"/>
      <c r="AJ163" s="4" t="n"/>
      <c r="AK163" s="4" t="n"/>
      <c r="AL163" s="4" t="n"/>
      <c r="AM163" s="4" t="n"/>
      <c r="AN163" s="4" t="n"/>
      <c r="AO163" s="12" t="n"/>
      <c r="AP163" s="12" t="n"/>
      <c r="AQ163" s="12" t="n"/>
      <c r="AR163" s="12" t="n"/>
      <c r="AS163" s="16" t="n"/>
      <c r="AT163" s="16" t="n"/>
      <c r="AU163" s="4" t="n"/>
      <c r="AV163" s="124" t="n"/>
      <c r="AX163" s="118" t="n"/>
    </row>
    <row r="164">
      <c r="A164" s="4" t="inlineStr">
        <is>
          <t>LDPL</t>
        </is>
      </c>
      <c r="B164" s="4" t="inlineStr">
        <is>
          <t>PUY</t>
        </is>
      </c>
      <c r="C164" s="4" t="n"/>
      <c r="D164" s="4" t="n"/>
      <c r="E164" s="4" t="inlineStr">
        <is>
          <t>Pula Airport</t>
        </is>
      </c>
      <c r="F164" s="4" t="n"/>
      <c r="G164" s="4" t="n"/>
      <c r="H164" s="4" t="inlineStr">
        <is>
          <t>Croatia</t>
        </is>
      </c>
      <c r="I164" s="4" t="inlineStr">
        <is>
          <t>Pula</t>
        </is>
      </c>
      <c r="J164" s="4" t="n"/>
      <c r="K164" s="4" t="n"/>
      <c r="L164" s="4" t="n"/>
      <c r="M164" s="4" t="n"/>
      <c r="N164" s="12" t="n"/>
      <c r="O164" s="125" t="n">
        <v>44.8935</v>
      </c>
      <c r="P164" s="125" t="n">
        <v>13.9222</v>
      </c>
      <c r="Q164" s="13" t="n"/>
      <c r="R164" s="11" t="n">
        <v>274</v>
      </c>
      <c r="S164" s="4" t="n"/>
      <c r="T164" s="4" t="inlineStr">
        <is>
          <t>Europe/Zagreb</t>
        </is>
      </c>
      <c r="U164" s="126" t="n"/>
      <c r="V164" s="14" t="n"/>
      <c r="W164" s="4" t="n"/>
      <c r="X164" s="4" t="n"/>
      <c r="Y164" s="4" t="n"/>
      <c r="Z164" s="4" t="n"/>
      <c r="AA164" s="4" t="n"/>
      <c r="AB164" s="4" t="n"/>
      <c r="AC164" s="4" t="n"/>
      <c r="AD164" s="4" t="n"/>
      <c r="AE164" s="4" t="n"/>
      <c r="AF164" s="4" t="n"/>
      <c r="AG164" s="4" t="n"/>
      <c r="AH164" s="4" t="n"/>
      <c r="AI164" s="4" t="n"/>
      <c r="AJ164" s="4" t="n"/>
      <c r="AK164" s="4" t="n"/>
      <c r="AL164" s="4" t="n"/>
      <c r="AM164" s="4" t="n"/>
      <c r="AN164" s="4" t="n"/>
      <c r="AO164" s="12" t="n"/>
      <c r="AP164" s="12" t="n"/>
      <c r="AQ164" s="12" t="n"/>
      <c r="AR164" s="12" t="n"/>
      <c r="AS164" s="16" t="n"/>
      <c r="AT164" s="16" t="n"/>
      <c r="AU164" s="4" t="n"/>
      <c r="AV164" s="124" t="n"/>
      <c r="AX164" s="118" t="n"/>
    </row>
    <row r="165">
      <c r="A165" s="4" t="inlineStr">
        <is>
          <t>LFBD</t>
        </is>
      </c>
      <c r="B165" s="4" t="inlineStr">
        <is>
          <t>BOD</t>
        </is>
      </c>
      <c r="C165" s="4" t="n"/>
      <c r="D165" s="4" t="n"/>
      <c r="E165" s="4" t="inlineStr">
        <is>
          <t>Bordeaux–Mérignac Airport</t>
        </is>
      </c>
      <c r="F165" s="4" t="n"/>
      <c r="G165" s="4" t="n"/>
      <c r="H165" s="4" t="inlineStr">
        <is>
          <t>France</t>
        </is>
      </c>
      <c r="I165" s="4" t="inlineStr">
        <is>
          <t>Bordeaux</t>
        </is>
      </c>
      <c r="J165" s="4" t="n"/>
      <c r="K165" s="4" t="n"/>
      <c r="L165" s="4" t="n"/>
      <c r="M165" s="4" t="n"/>
      <c r="N165" s="12" t="n"/>
      <c r="O165" s="125" t="n">
        <v>44.82865</v>
      </c>
      <c r="P165" s="125" t="n">
        <v>-0.71536</v>
      </c>
      <c r="Q165" s="13" t="n"/>
      <c r="R165" s="11" t="n">
        <v>162</v>
      </c>
      <c r="S165" s="4" t="n"/>
      <c r="T165" s="4" t="inlineStr">
        <is>
          <t>Europe/Paris</t>
        </is>
      </c>
      <c r="U165" s="126" t="n"/>
      <c r="V165" s="14" t="n"/>
      <c r="W165" s="4" t="n"/>
      <c r="X165" s="4" t="n"/>
      <c r="Y165" s="4" t="n"/>
      <c r="Z165" s="4" t="n"/>
      <c r="AA165" s="4" t="n"/>
      <c r="AB165" s="4" t="n"/>
      <c r="AC165" s="4" t="n"/>
      <c r="AD165" s="4" t="n"/>
      <c r="AE165" s="4" t="n"/>
      <c r="AF165" s="4" t="n"/>
      <c r="AG165" s="4" t="n"/>
      <c r="AH165" s="4" t="n"/>
      <c r="AI165" s="4" t="n"/>
      <c r="AJ165" s="4" t="n"/>
      <c r="AK165" s="4" t="n"/>
      <c r="AL165" s="4" t="n"/>
      <c r="AM165" s="4" t="n"/>
      <c r="AN165" s="4" t="n"/>
      <c r="AO165" s="12" t="n"/>
      <c r="AP165" s="12" t="n"/>
      <c r="AQ165" s="12" t="n"/>
      <c r="AR165" s="12" t="n"/>
      <c r="AS165" s="16" t="n"/>
      <c r="AT165" s="16" t="n"/>
      <c r="AU165" s="4" t="n"/>
      <c r="AV165" s="124" t="n"/>
      <c r="AX165" s="118" t="n"/>
    </row>
    <row r="166">
      <c r="A166" s="4" t="inlineStr">
        <is>
          <t>LFBO</t>
        </is>
      </c>
      <c r="B166" s="4" t="inlineStr">
        <is>
          <t>TLS</t>
        </is>
      </c>
      <c r="C166" s="4" t="n"/>
      <c r="D166" s="4" t="n"/>
      <c r="E166" s="4" t="inlineStr">
        <is>
          <t>Toulouse-Blagnac Airport</t>
        </is>
      </c>
      <c r="F166" s="4" t="n"/>
      <c r="G166" s="4" t="n"/>
      <c r="H166" s="4" t="inlineStr">
        <is>
          <t>France</t>
        </is>
      </c>
      <c r="I166" s="4" t="inlineStr">
        <is>
          <t>Toulouse</t>
        </is>
      </c>
      <c r="J166" s="4" t="n"/>
      <c r="K166" s="4" t="n"/>
      <c r="L166" s="4" t="n"/>
      <c r="M166" s="4" t="n"/>
      <c r="N166" s="12" t="n"/>
      <c r="O166" s="125" t="n">
        <v>43.6291</v>
      </c>
      <c r="P166" s="125" t="n">
        <v>1.36382</v>
      </c>
      <c r="Q166" s="13" t="n"/>
      <c r="R166" s="11" t="n">
        <v>499</v>
      </c>
      <c r="S166" s="4" t="n"/>
      <c r="T166" s="4" t="inlineStr">
        <is>
          <t>Europe/Paris</t>
        </is>
      </c>
      <c r="U166" s="126" t="n"/>
      <c r="V166" s="14" t="n"/>
      <c r="W166" s="4" t="n"/>
      <c r="X166" s="4" t="n"/>
      <c r="Y166" s="4" t="n"/>
      <c r="Z166" s="4" t="n"/>
      <c r="AA166" s="4" t="n"/>
      <c r="AB166" s="4" t="n"/>
      <c r="AC166" s="4" t="n"/>
      <c r="AD166" s="4" t="n"/>
      <c r="AE166" s="4" t="n"/>
      <c r="AF166" s="4" t="n"/>
      <c r="AG166" s="4" t="n"/>
      <c r="AH166" s="4" t="n"/>
      <c r="AI166" s="4" t="n"/>
      <c r="AJ166" s="4" t="n"/>
      <c r="AK166" s="4" t="n"/>
      <c r="AL166" s="4" t="n"/>
      <c r="AM166" s="4" t="n"/>
      <c r="AN166" s="4" t="n"/>
      <c r="AO166" s="12" t="n"/>
      <c r="AP166" s="12" t="n"/>
      <c r="AQ166" s="12" t="n"/>
      <c r="AR166" s="12" t="n"/>
      <c r="AS166" s="16" t="n"/>
      <c r="AT166" s="16" t="n"/>
      <c r="AU166" s="4" t="n"/>
      <c r="AV166" s="124" t="n"/>
      <c r="AX166" s="118" t="n"/>
    </row>
    <row r="167">
      <c r="A167" s="4" t="inlineStr">
        <is>
          <t>LGAV</t>
        </is>
      </c>
      <c r="B167" s="4" t="inlineStr">
        <is>
          <t>ATH</t>
        </is>
      </c>
      <c r="C167" s="4" t="n"/>
      <c r="D167" s="4" t="n"/>
      <c r="E167" s="4" t="inlineStr">
        <is>
          <t>Athens Eleftherios Venizelos International Airport</t>
        </is>
      </c>
      <c r="F167" s="4" t="n"/>
      <c r="G167" s="4" t="n"/>
      <c r="H167" s="4" t="inlineStr">
        <is>
          <t>Greece</t>
        </is>
      </c>
      <c r="I167" s="4" t="inlineStr">
        <is>
          <t>Spata-Artemida</t>
        </is>
      </c>
      <c r="J167" s="4" t="n"/>
      <c r="K167" s="4" t="n"/>
      <c r="L167" s="4" t="n"/>
      <c r="M167" s="4" t="n"/>
      <c r="N167" s="12" t="n"/>
      <c r="O167" s="125" t="n">
        <v>37.9364</v>
      </c>
      <c r="P167" s="125" t="n">
        <v>23.9445</v>
      </c>
      <c r="Q167" s="13" t="n"/>
      <c r="R167" s="11" t="n">
        <v>308</v>
      </c>
      <c r="S167" s="4" t="n"/>
      <c r="T167" s="4" t="inlineStr">
        <is>
          <t>Europe/Athens</t>
        </is>
      </c>
      <c r="U167" s="126" t="n"/>
      <c r="V167" s="14" t="n"/>
      <c r="W167" s="4" t="n"/>
      <c r="X167" s="4" t="n"/>
      <c r="Y167" s="4" t="n"/>
      <c r="Z167" s="4" t="n"/>
      <c r="AA167" s="4" t="n"/>
      <c r="AB167" s="4" t="n"/>
      <c r="AC167" s="4" t="n"/>
      <c r="AD167" s="4" t="n"/>
      <c r="AE167" s="4" t="n"/>
      <c r="AF167" s="4" t="n"/>
      <c r="AG167" s="4" t="n"/>
      <c r="AH167" s="4" t="n"/>
      <c r="AI167" s="4" t="n"/>
      <c r="AJ167" s="4" t="n"/>
      <c r="AK167" s="4" t="n"/>
      <c r="AL167" s="4" t="n"/>
      <c r="AM167" s="4" t="n"/>
      <c r="AN167" s="4" t="n"/>
      <c r="AO167" s="12" t="n"/>
      <c r="AP167" s="12" t="n"/>
      <c r="AQ167" s="12" t="n"/>
      <c r="AR167" s="12" t="n"/>
      <c r="AS167" s="16" t="n"/>
      <c r="AT167" s="16" t="n"/>
      <c r="AU167" s="4" t="n"/>
      <c r="AV167" s="124" t="n"/>
      <c r="AX167" s="118" t="n"/>
    </row>
    <row r="168">
      <c r="A168" s="4" t="inlineStr">
        <is>
          <t>LGIR</t>
        </is>
      </c>
      <c r="B168" s="4" t="inlineStr">
        <is>
          <t>HER</t>
        </is>
      </c>
      <c r="C168" s="4" t="n"/>
      <c r="D168" s="4" t="n"/>
      <c r="E168" s="4" t="inlineStr">
        <is>
          <t>Heraklion International Nikos Kazantzakis Airport</t>
        </is>
      </c>
      <c r="F168" s="4" t="n"/>
      <c r="G168" s="4" t="n"/>
      <c r="H168" s="4" t="inlineStr">
        <is>
          <t>Greece</t>
        </is>
      </c>
      <c r="I168" s="4" t="inlineStr">
        <is>
          <t>Heraklion</t>
        </is>
      </c>
      <c r="J168" s="4" t="n"/>
      <c r="K168" s="4" t="n"/>
      <c r="L168" s="4" t="n"/>
      <c r="M168" s="4" t="n"/>
      <c r="N168" s="12" t="n"/>
      <c r="O168" s="125" t="n">
        <v>35.3397</v>
      </c>
      <c r="P168" s="125" t="n">
        <v>25.1803</v>
      </c>
      <c r="Q168" s="13" t="n"/>
      <c r="R168" s="11" t="n">
        <v>115</v>
      </c>
      <c r="S168" s="4" t="n"/>
      <c r="T168" s="4" t="inlineStr">
        <is>
          <t>Europe/Athens</t>
        </is>
      </c>
      <c r="U168" s="126" t="n"/>
      <c r="V168" s="14" t="n"/>
      <c r="W168" s="4" t="n"/>
      <c r="X168" s="4" t="n"/>
      <c r="Y168" s="4" t="n"/>
      <c r="Z168" s="4" t="n"/>
      <c r="AA168" s="4" t="n"/>
      <c r="AB168" s="4" t="n"/>
      <c r="AC168" s="4" t="n"/>
      <c r="AD168" s="4" t="n"/>
      <c r="AE168" s="4" t="n"/>
      <c r="AF168" s="4" t="n"/>
      <c r="AG168" s="4" t="n"/>
      <c r="AH168" s="4" t="n"/>
      <c r="AI168" s="4" t="n"/>
      <c r="AJ168" s="4" t="n"/>
      <c r="AK168" s="4" t="n"/>
      <c r="AL168" s="4" t="n"/>
      <c r="AM168" s="4" t="n"/>
      <c r="AN168" s="4" t="n"/>
      <c r="AO168" s="12" t="n"/>
      <c r="AP168" s="12" t="n"/>
      <c r="AQ168" s="12" t="n"/>
      <c r="AR168" s="12" t="n"/>
      <c r="AS168" s="16" t="n"/>
      <c r="AT168" s="16" t="n"/>
      <c r="AU168" s="4" t="n"/>
      <c r="AV168" s="124" t="n"/>
      <c r="AX168" s="118" t="n"/>
    </row>
    <row r="169">
      <c r="A169" s="4" t="inlineStr">
        <is>
          <t>LHBP</t>
        </is>
      </c>
      <c r="B169" s="4" t="inlineStr">
        <is>
          <t>BUD</t>
        </is>
      </c>
      <c r="C169" s="4" t="n"/>
      <c r="D169" s="4" t="n"/>
      <c r="E169" s="4" t="inlineStr">
        <is>
          <t>Budapest Liszt Ferenc International Airport</t>
        </is>
      </c>
      <c r="F169" s="4" t="n"/>
      <c r="G169" s="4" t="n"/>
      <c r="H169" s="4" t="inlineStr">
        <is>
          <t>Hungary</t>
        </is>
      </c>
      <c r="I169" s="4" t="inlineStr">
        <is>
          <t>Budapest</t>
        </is>
      </c>
      <c r="J169" s="4" t="n"/>
      <c r="K169" s="4" t="n"/>
      <c r="L169" s="4" t="n"/>
      <c r="M169" s="4" t="n"/>
      <c r="N169" s="12" t="n"/>
      <c r="O169" s="125" t="n">
        <v>47.43018</v>
      </c>
      <c r="P169" s="125" t="n">
        <v>19.26239</v>
      </c>
      <c r="Q169" s="13" t="n"/>
      <c r="R169" s="11" t="n">
        <v>495</v>
      </c>
      <c r="S169" s="4" t="n"/>
      <c r="T169" s="4" t="inlineStr">
        <is>
          <t>Europe/Budapest</t>
        </is>
      </c>
      <c r="U169" s="126" t="n"/>
      <c r="V169" s="14" t="n"/>
      <c r="W169" s="4" t="n"/>
      <c r="X169" s="4" t="n"/>
      <c r="Y169" s="4" t="n"/>
      <c r="Z169" s="4" t="n"/>
      <c r="AA169" s="4" t="n"/>
      <c r="AB169" s="4" t="n"/>
      <c r="AC169" s="4" t="n"/>
      <c r="AD169" s="4" t="n"/>
      <c r="AE169" s="4" t="n"/>
      <c r="AF169" s="4" t="n"/>
      <c r="AG169" s="4" t="n"/>
      <c r="AH169" s="4" t="n"/>
      <c r="AI169" s="4" t="n"/>
      <c r="AJ169" s="4" t="n"/>
      <c r="AK169" s="4" t="n"/>
      <c r="AL169" s="4" t="n"/>
      <c r="AM169" s="4" t="n"/>
      <c r="AN169" s="4" t="n"/>
      <c r="AO169" s="12" t="n"/>
      <c r="AP169" s="12" t="n"/>
      <c r="AQ169" s="12" t="n"/>
      <c r="AR169" s="12" t="n"/>
      <c r="AS169" s="16" t="n"/>
      <c r="AT169" s="16" t="n"/>
      <c r="AU169" s="4" t="n"/>
      <c r="AV169" s="124" t="n"/>
      <c r="AX169" s="118" t="n"/>
    </row>
    <row r="170">
      <c r="A170" s="4" t="inlineStr">
        <is>
          <t>LHDC</t>
        </is>
      </c>
      <c r="B170" s="4" t="inlineStr">
        <is>
          <t>DEB</t>
        </is>
      </c>
      <c r="C170" s="4" t="n"/>
      <c r="D170" s="4" t="n"/>
      <c r="E170" s="4" t="inlineStr">
        <is>
          <t>Debrecen International Airport</t>
        </is>
      </c>
      <c r="F170" s="4" t="n"/>
      <c r="G170" s="4" t="n"/>
      <c r="H170" s="4" t="inlineStr">
        <is>
          <t>Hungary</t>
        </is>
      </c>
      <c r="I170" s="4" t="inlineStr">
        <is>
          <t>Debrecen</t>
        </is>
      </c>
      <c r="J170" s="4" t="n"/>
      <c r="K170" s="4" t="n"/>
      <c r="L170" s="4" t="n"/>
      <c r="M170" s="4" t="n"/>
      <c r="N170" s="12" t="n"/>
      <c r="O170" s="125" t="n">
        <v>47.48947</v>
      </c>
      <c r="P170" s="125" t="n">
        <v>21.61628</v>
      </c>
      <c r="Q170" s="13" t="n"/>
      <c r="R170" s="11" t="n">
        <v>359</v>
      </c>
      <c r="S170" s="4" t="n"/>
      <c r="T170" s="4" t="inlineStr">
        <is>
          <t>Europe/Budapest</t>
        </is>
      </c>
      <c r="U170" s="126" t="n"/>
      <c r="V170" s="14" t="n"/>
      <c r="W170" s="4" t="n"/>
      <c r="X170" s="4" t="n"/>
      <c r="Y170" s="4" t="n"/>
      <c r="Z170" s="4" t="n"/>
      <c r="AA170" s="4" t="n"/>
      <c r="AB170" s="4" t="n"/>
      <c r="AC170" s="4" t="n"/>
      <c r="AD170" s="4" t="n"/>
      <c r="AE170" s="4" t="n"/>
      <c r="AF170" s="4" t="n"/>
      <c r="AG170" s="4" t="n"/>
      <c r="AH170" s="4" t="n"/>
      <c r="AI170" s="4" t="n"/>
      <c r="AJ170" s="4" t="n"/>
      <c r="AK170" s="4" t="n"/>
      <c r="AL170" s="4" t="n"/>
      <c r="AM170" s="4" t="n"/>
      <c r="AN170" s="4" t="n"/>
      <c r="AO170" s="12" t="n"/>
      <c r="AP170" s="12" t="n"/>
      <c r="AQ170" s="12" t="n"/>
      <c r="AR170" s="12" t="n"/>
      <c r="AS170" s="16" t="n"/>
      <c r="AT170" s="16" t="n"/>
      <c r="AU170" s="4" t="n"/>
      <c r="AV170" s="124" t="n"/>
      <c r="AX170" s="118" t="n"/>
    </row>
    <row r="171">
      <c r="A171" s="4" t="inlineStr">
        <is>
          <t>LIBD</t>
        </is>
      </c>
      <c r="B171" s="4" t="inlineStr">
        <is>
          <t>BRI</t>
        </is>
      </c>
      <c r="C171" s="4" t="n"/>
      <c r="D171" s="4" t="n"/>
      <c r="E171" s="4" t="inlineStr">
        <is>
          <t>Bari Karol Wojtyła International Airport</t>
        </is>
      </c>
      <c r="F171" s="4" t="n"/>
      <c r="G171" s="4" t="n"/>
      <c r="H171" s="4" t="inlineStr">
        <is>
          <t>Italy</t>
        </is>
      </c>
      <c r="I171" s="4" t="inlineStr">
        <is>
          <t>Bari</t>
        </is>
      </c>
      <c r="J171" s="4" t="n"/>
      <c r="K171" s="4" t="n"/>
      <c r="L171" s="4" t="n"/>
      <c r="M171" s="4" t="n"/>
      <c r="N171" s="12" t="n"/>
      <c r="O171" s="125" t="n">
        <v>41.1389</v>
      </c>
      <c r="P171" s="125" t="n">
        <v>16.7606</v>
      </c>
      <c r="Q171" s="13" t="n"/>
      <c r="R171" s="11" t="n">
        <v>193</v>
      </c>
      <c r="S171" s="4" t="n"/>
      <c r="T171" s="4" t="inlineStr">
        <is>
          <t>Europe/Rome</t>
        </is>
      </c>
      <c r="U171" s="126" t="n"/>
      <c r="V171" s="14" t="n"/>
      <c r="W171" s="4" t="n"/>
      <c r="X171" s="4" t="n"/>
      <c r="Y171" s="4" t="n"/>
      <c r="Z171" s="4" t="n"/>
      <c r="AA171" s="4" t="n"/>
      <c r="AB171" s="4" t="n"/>
      <c r="AC171" s="4" t="n"/>
      <c r="AD171" s="4" t="n"/>
      <c r="AE171" s="4" t="n"/>
      <c r="AF171" s="4" t="n"/>
      <c r="AG171" s="4" t="n"/>
      <c r="AH171" s="4" t="n"/>
      <c r="AI171" s="4" t="n"/>
      <c r="AJ171" s="4" t="n"/>
      <c r="AK171" s="4" t="n"/>
      <c r="AL171" s="4" t="n"/>
      <c r="AM171" s="4" t="n"/>
      <c r="AN171" s="4" t="n"/>
      <c r="AO171" s="12" t="n"/>
      <c r="AP171" s="12" t="n"/>
      <c r="AQ171" s="12" t="n"/>
      <c r="AR171" s="12" t="n"/>
      <c r="AS171" s="16" t="n"/>
      <c r="AT171" s="16" t="n"/>
      <c r="AU171" s="4" t="n"/>
      <c r="AV171" s="124" t="n"/>
      <c r="AX171" s="118" t="n"/>
    </row>
    <row r="172">
      <c r="A172" s="4" t="inlineStr">
        <is>
          <t>LIBP</t>
        </is>
      </c>
      <c r="B172" s="4" t="inlineStr">
        <is>
          <t>PSR</t>
        </is>
      </c>
      <c r="C172" s="4" t="n"/>
      <c r="D172" s="4" t="n"/>
      <c r="E172" s="4" t="inlineStr">
        <is>
          <t>Abruzzo Airport</t>
        </is>
      </c>
      <c r="F172" s="4" t="n"/>
      <c r="G172" s="4" t="n"/>
      <c r="H172" s="4" t="inlineStr">
        <is>
          <t>Italy</t>
        </is>
      </c>
      <c r="I172" s="4" t="inlineStr">
        <is>
          <t>Pescara</t>
        </is>
      </c>
      <c r="J172" s="4" t="n"/>
      <c r="K172" s="4" t="n"/>
      <c r="L172" s="4" t="n"/>
      <c r="M172" s="4" t="n"/>
      <c r="N172" s="12" t="n"/>
      <c r="O172" s="125" t="n">
        <v>42.43108</v>
      </c>
      <c r="P172" s="125" t="n">
        <v>14.18298</v>
      </c>
      <c r="Q172" s="13" t="n"/>
      <c r="R172" s="11" t="n">
        <v>48</v>
      </c>
      <c r="S172" s="4" t="n"/>
      <c r="T172" s="4" t="inlineStr">
        <is>
          <t>Europe/Rome</t>
        </is>
      </c>
      <c r="U172" s="126" t="n"/>
      <c r="V172" s="14" t="n"/>
      <c r="W172" s="4" t="n"/>
      <c r="X172" s="4" t="n"/>
      <c r="Y172" s="4" t="n"/>
      <c r="Z172" s="4" t="n"/>
      <c r="AA172" s="4" t="n"/>
      <c r="AB172" s="4" t="n"/>
      <c r="AC172" s="4" t="n"/>
      <c r="AD172" s="4" t="n"/>
      <c r="AE172" s="4" t="n"/>
      <c r="AF172" s="4" t="n"/>
      <c r="AG172" s="4" t="n"/>
      <c r="AH172" s="4" t="n"/>
      <c r="AI172" s="4" t="n"/>
      <c r="AJ172" s="4" t="n"/>
      <c r="AK172" s="4" t="n"/>
      <c r="AL172" s="4" t="n"/>
      <c r="AM172" s="4" t="n"/>
      <c r="AN172" s="4" t="n"/>
      <c r="AO172" s="12" t="n"/>
      <c r="AP172" s="12" t="n"/>
      <c r="AQ172" s="12" t="n"/>
      <c r="AR172" s="12" t="n"/>
      <c r="AS172" s="16" t="n"/>
      <c r="AT172" s="16" t="n"/>
      <c r="AU172" s="4" t="n"/>
      <c r="AV172" s="124" t="n"/>
      <c r="AX172" s="118" t="n"/>
    </row>
    <row r="173">
      <c r="A173" s="4" t="inlineStr">
        <is>
          <t>LJLJ</t>
        </is>
      </c>
      <c r="B173" s="4" t="inlineStr">
        <is>
          <t>LJU</t>
        </is>
      </c>
      <c r="C173" s="4" t="n"/>
      <c r="D173" s="4" t="n"/>
      <c r="E173" s="4" t="inlineStr">
        <is>
          <t>Ljubljana Jože Pučnik Airport</t>
        </is>
      </c>
      <c r="F173" s="4" t="n"/>
      <c r="G173" s="4" t="n"/>
      <c r="H173" s="4" t="inlineStr">
        <is>
          <t>Slovenia</t>
        </is>
      </c>
      <c r="I173" s="4" t="inlineStr">
        <is>
          <t>Zgornji Brnik</t>
        </is>
      </c>
      <c r="J173" s="4" t="n"/>
      <c r="K173" s="4" t="n"/>
      <c r="L173" s="4" t="n"/>
      <c r="M173" s="4" t="n"/>
      <c r="N173" s="12" t="n"/>
      <c r="O173" s="125" t="n">
        <v>46.2237</v>
      </c>
      <c r="P173" s="125" t="n">
        <v>14.4576</v>
      </c>
      <c r="Q173" s="13" t="n"/>
      <c r="R173" s="11" t="n">
        <v>1273</v>
      </c>
      <c r="S173" s="4" t="n"/>
      <c r="T173" s="4" t="inlineStr">
        <is>
          <t>Europe/Ljubljana</t>
        </is>
      </c>
      <c r="U173" s="126" t="n"/>
      <c r="V173" s="14" t="n"/>
      <c r="W173" s="4" t="n"/>
      <c r="X173" s="4" t="n"/>
      <c r="Y173" s="4" t="n"/>
      <c r="Z173" s="4" t="n"/>
      <c r="AA173" s="4" t="n"/>
      <c r="AB173" s="4" t="n"/>
      <c r="AC173" s="4" t="n"/>
      <c r="AD173" s="4" t="n"/>
      <c r="AE173" s="4" t="n"/>
      <c r="AF173" s="4" t="n"/>
      <c r="AG173" s="4" t="n"/>
      <c r="AH173" s="4" t="n"/>
      <c r="AI173" s="4" t="n"/>
      <c r="AJ173" s="4" t="n"/>
      <c r="AK173" s="4" t="n"/>
      <c r="AL173" s="4" t="n"/>
      <c r="AM173" s="4" t="n"/>
      <c r="AN173" s="4" t="n"/>
      <c r="AO173" s="12" t="n"/>
      <c r="AP173" s="12" t="n"/>
      <c r="AQ173" s="12" t="n"/>
      <c r="AR173" s="12" t="n"/>
      <c r="AS173" s="16" t="n"/>
      <c r="AT173" s="16" t="n"/>
      <c r="AU173" s="4" t="n"/>
      <c r="AV173" s="124" t="n"/>
      <c r="AX173" s="118" t="n"/>
    </row>
    <row r="174">
      <c r="A174" s="4" t="inlineStr">
        <is>
          <t>LKCS</t>
        </is>
      </c>
      <c r="B174" s="4" t="inlineStr">
        <is>
          <t>JCL</t>
        </is>
      </c>
      <c r="C174" s="4" t="n"/>
      <c r="D174" s="4" t="n"/>
      <c r="E174" s="4" t="inlineStr">
        <is>
          <t>České Budějovice South Bohemian Airport</t>
        </is>
      </c>
      <c r="F174" s="4" t="n"/>
      <c r="G174" s="4" t="n"/>
      <c r="H174" s="4" t="n"/>
      <c r="I174" s="4" t="inlineStr">
        <is>
          <t>České Budějovice</t>
        </is>
      </c>
      <c r="J174" s="4" t="n"/>
      <c r="K174" s="4" t="n"/>
      <c r="L174" s="4" t="n"/>
      <c r="M174" s="4" t="n"/>
      <c r="N174" s="12" t="n"/>
      <c r="O174" s="125" t="n">
        <v>48.94817</v>
      </c>
      <c r="P174" s="125" t="n">
        <v>14.42832</v>
      </c>
      <c r="Q174" s="13" t="n"/>
      <c r="R174" s="11" t="n">
        <v>1417</v>
      </c>
      <c r="S174" s="4" t="n"/>
      <c r="T174" s="4" t="inlineStr">
        <is>
          <t>Europe/Prague</t>
        </is>
      </c>
      <c r="U174" s="126" t="n"/>
      <c r="V174" s="14" t="n"/>
      <c r="W174" s="4" t="n"/>
      <c r="X174" s="4" t="n"/>
      <c r="Y174" s="4" t="n"/>
      <c r="Z174" s="4" t="n"/>
      <c r="AA174" s="4" t="n"/>
      <c r="AB174" s="4" t="n"/>
      <c r="AC174" s="4" t="n"/>
      <c r="AD174" s="4" t="n"/>
      <c r="AE174" s="4" t="n"/>
      <c r="AF174" s="4" t="n"/>
      <c r="AG174" s="4" t="n"/>
      <c r="AH174" s="4" t="n"/>
      <c r="AI174" s="4" t="n"/>
      <c r="AJ174" s="4" t="n"/>
      <c r="AK174" s="4" t="n"/>
      <c r="AL174" s="4" t="n"/>
      <c r="AM174" s="4" t="n"/>
      <c r="AN174" s="4" t="n"/>
      <c r="AO174" s="12" t="n"/>
      <c r="AP174" s="12" t="n"/>
      <c r="AQ174" s="12" t="n"/>
      <c r="AR174" s="12" t="n"/>
      <c r="AS174" s="16" t="n"/>
      <c r="AT174" s="16" t="n"/>
      <c r="AU174" s="4" t="n"/>
      <c r="AV174" s="124" t="n"/>
      <c r="AX174" s="118" t="n"/>
    </row>
    <row r="175">
      <c r="A175" s="4" t="inlineStr">
        <is>
          <t>LKKV</t>
        </is>
      </c>
      <c r="B175" s="4" t="inlineStr">
        <is>
          <t>KLV</t>
        </is>
      </c>
      <c r="C175" s="4" t="n"/>
      <c r="D175" s="4" t="n"/>
      <c r="E175" s="4" t="inlineStr">
        <is>
          <t>Karlovy Vary Airport</t>
        </is>
      </c>
      <c r="F175" s="4" t="n"/>
      <c r="G175" s="4" t="n"/>
      <c r="H175" s="4" t="n"/>
      <c r="I175" s="4" t="inlineStr">
        <is>
          <t>Karlovy Vary</t>
        </is>
      </c>
      <c r="J175" s="4" t="n"/>
      <c r="K175" s="4" t="n"/>
      <c r="L175" s="4" t="n"/>
      <c r="M175" s="4" t="n"/>
      <c r="N175" s="12" t="n"/>
      <c r="O175" s="125" t="n">
        <v>50.203</v>
      </c>
      <c r="P175" s="125" t="n">
        <v>12.915</v>
      </c>
      <c r="Q175" s="13" t="n"/>
      <c r="R175" s="11" t="n">
        <v>1989</v>
      </c>
      <c r="S175" s="4" t="n"/>
      <c r="T175" s="4" t="inlineStr">
        <is>
          <t>Europe/Prague</t>
        </is>
      </c>
      <c r="U175" s="126" t="n"/>
      <c r="V175" s="14" t="n"/>
      <c r="W175" s="4" t="n"/>
      <c r="X175" s="4" t="n"/>
      <c r="Y175" s="4" t="n"/>
      <c r="Z175" s="4" t="n"/>
      <c r="AA175" s="4" t="n"/>
      <c r="AB175" s="4" t="n"/>
      <c r="AC175" s="4" t="n"/>
      <c r="AD175" s="4" t="n"/>
      <c r="AE175" s="4" t="n"/>
      <c r="AF175" s="4" t="n"/>
      <c r="AG175" s="4" t="n"/>
      <c r="AH175" s="4" t="n"/>
      <c r="AI175" s="4" t="n"/>
      <c r="AJ175" s="4" t="n"/>
      <c r="AK175" s="4" t="n"/>
      <c r="AL175" s="4" t="n"/>
      <c r="AM175" s="4" t="n"/>
      <c r="AN175" s="4" t="n"/>
      <c r="AO175" s="12" t="n"/>
      <c r="AP175" s="12" t="n"/>
      <c r="AQ175" s="12" t="n"/>
      <c r="AR175" s="12" t="n"/>
      <c r="AS175" s="16" t="n"/>
      <c r="AT175" s="16" t="n"/>
      <c r="AU175" s="4" t="n"/>
      <c r="AV175" s="124" t="n"/>
      <c r="AX175" s="118" t="n"/>
    </row>
    <row r="176">
      <c r="A176" s="4" t="inlineStr">
        <is>
          <t>LLBG</t>
        </is>
      </c>
      <c r="B176" s="4" t="inlineStr">
        <is>
          <t>TLV</t>
        </is>
      </c>
      <c r="C176" s="4" t="n"/>
      <c r="D176" s="4" t="n"/>
      <c r="E176" s="4" t="inlineStr">
        <is>
          <t>Ben Gurion International Airport</t>
        </is>
      </c>
      <c r="F176" s="4" t="n"/>
      <c r="G176" s="4" t="n"/>
      <c r="H176" s="4" t="inlineStr">
        <is>
          <t>Israel</t>
        </is>
      </c>
      <c r="I176" s="4" t="inlineStr">
        <is>
          <t>Tel Aviv</t>
        </is>
      </c>
      <c r="J176" s="4" t="n"/>
      <c r="K176" s="4" t="n"/>
      <c r="L176" s="4" t="n"/>
      <c r="M176" s="4" t="n"/>
      <c r="N176" s="12" t="n"/>
      <c r="O176" s="125" t="n">
        <v>32.0114</v>
      </c>
      <c r="P176" s="125" t="n">
        <v>34.8867</v>
      </c>
      <c r="Q176" s="13" t="n"/>
      <c r="R176" s="11" t="n">
        <v>135</v>
      </c>
      <c r="S176" s="4" t="n"/>
      <c r="T176" s="4" t="inlineStr">
        <is>
          <t>Asia/Jerusalem</t>
        </is>
      </c>
      <c r="U176" s="126" t="n"/>
      <c r="V176" s="14" t="n"/>
      <c r="W176" s="4" t="n"/>
      <c r="X176" s="4" t="n"/>
      <c r="Y176" s="4" t="n"/>
      <c r="Z176" s="4" t="n"/>
      <c r="AA176" s="4" t="n"/>
      <c r="AB176" s="4" t="n"/>
      <c r="AC176" s="4" t="n"/>
      <c r="AD176" s="4" t="n"/>
      <c r="AE176" s="4" t="n"/>
      <c r="AF176" s="4" t="n"/>
      <c r="AG176" s="4" t="n"/>
      <c r="AH176" s="4" t="n"/>
      <c r="AI176" s="4" t="n"/>
      <c r="AJ176" s="4" t="n"/>
      <c r="AK176" s="4" t="n"/>
      <c r="AL176" s="4" t="n"/>
      <c r="AM176" s="4" t="n"/>
      <c r="AN176" s="4" t="n"/>
      <c r="AO176" s="12" t="n"/>
      <c r="AP176" s="12" t="n"/>
      <c r="AQ176" s="12" t="n"/>
      <c r="AR176" s="12" t="n"/>
      <c r="AS176" s="16" t="n"/>
      <c r="AT176" s="16" t="n"/>
      <c r="AU176" s="4" t="n"/>
      <c r="AV176" s="124" t="n"/>
      <c r="AX176" s="118" t="n"/>
    </row>
    <row r="177">
      <c r="A177" s="4" t="inlineStr">
        <is>
          <t>LLER</t>
        </is>
      </c>
      <c r="B177" s="4" t="inlineStr">
        <is>
          <t>ETM</t>
        </is>
      </c>
      <c r="C177" s="4" t="n"/>
      <c r="D177" s="4" t="n"/>
      <c r="E177" s="4" t="inlineStr">
        <is>
          <t>Ramon International Airport</t>
        </is>
      </c>
      <c r="F177" s="4" t="n"/>
      <c r="G177" s="4" t="n"/>
      <c r="H177" s="4" t="inlineStr">
        <is>
          <t>Israel</t>
        </is>
      </c>
      <c r="I177" s="4" t="inlineStr">
        <is>
          <t>Eilat</t>
        </is>
      </c>
      <c r="J177" s="4" t="n"/>
      <c r="K177" s="4" t="n"/>
      <c r="L177" s="4" t="n"/>
      <c r="M177" s="4" t="n"/>
      <c r="N177" s="12" t="n"/>
      <c r="O177" s="125" t="n">
        <v>29.72701</v>
      </c>
      <c r="P177" s="125" t="n">
        <v>35.01412</v>
      </c>
      <c r="Q177" s="13" t="n"/>
      <c r="R177" s="11" t="n">
        <v>288</v>
      </c>
      <c r="S177" s="4" t="n"/>
      <c r="T177" s="4" t="n"/>
      <c r="U177" s="126" t="n"/>
      <c r="V177" s="14" t="n"/>
      <c r="W177" s="4" t="n"/>
      <c r="X177" s="4" t="n"/>
      <c r="Y177" s="4" t="n"/>
      <c r="Z177" s="4" t="n"/>
      <c r="AA177" s="4" t="n"/>
      <c r="AB177" s="4" t="n"/>
      <c r="AC177" s="4" t="n"/>
      <c r="AD177" s="4" t="n"/>
      <c r="AE177" s="4" t="n"/>
      <c r="AF177" s="4" t="n"/>
      <c r="AG177" s="4" t="n"/>
      <c r="AH177" s="4" t="n"/>
      <c r="AI177" s="4" t="n"/>
      <c r="AJ177" s="4" t="n"/>
      <c r="AK177" s="4" t="n"/>
      <c r="AL177" s="4" t="n"/>
      <c r="AM177" s="4" t="n"/>
      <c r="AN177" s="4" t="n"/>
      <c r="AO177" s="12" t="n"/>
      <c r="AP177" s="12" t="n"/>
      <c r="AQ177" s="12" t="n"/>
      <c r="AR177" s="12" t="n"/>
      <c r="AS177" s="16" t="n"/>
      <c r="AT177" s="16" t="n"/>
      <c r="AU177" s="4" t="n"/>
      <c r="AV177" s="124" t="n"/>
      <c r="AX177" s="118" t="n"/>
    </row>
    <row r="178">
      <c r="A178" s="4" t="inlineStr">
        <is>
          <t>LMML</t>
        </is>
      </c>
      <c r="B178" s="4" t="inlineStr">
        <is>
          <t>MLA</t>
        </is>
      </c>
      <c r="C178" s="4" t="n"/>
      <c r="D178" s="4" t="n"/>
      <c r="E178" s="4" t="inlineStr">
        <is>
          <t>Malta International Airport</t>
        </is>
      </c>
      <c r="F178" s="4" t="n"/>
      <c r="G178" s="4" t="n"/>
      <c r="H178" s="4" t="inlineStr">
        <is>
          <t>Malta</t>
        </is>
      </c>
      <c r="I178" s="4" t="inlineStr">
        <is>
          <t>Valletta</t>
        </is>
      </c>
      <c r="J178" s="4" t="n"/>
      <c r="K178" s="4" t="n"/>
      <c r="L178" s="4" t="n"/>
      <c r="M178" s="4" t="n"/>
      <c r="N178" s="12" t="n"/>
      <c r="O178" s="125" t="n">
        <v>35.84593</v>
      </c>
      <c r="P178" s="125" t="n">
        <v>14.49155</v>
      </c>
      <c r="Q178" s="13" t="n"/>
      <c r="R178" s="11" t="n">
        <v>300</v>
      </c>
      <c r="S178" s="4" t="n"/>
      <c r="T178" s="4" t="inlineStr">
        <is>
          <t>Europe/Malta</t>
        </is>
      </c>
      <c r="U178" s="126" t="n"/>
      <c r="V178" s="14" t="n"/>
      <c r="W178" s="4" t="n"/>
      <c r="X178" s="4" t="n"/>
      <c r="Y178" s="4" t="n"/>
      <c r="Z178" s="4" t="n"/>
      <c r="AA178" s="4" t="n"/>
      <c r="AB178" s="4" t="n"/>
      <c r="AC178" s="4" t="n"/>
      <c r="AD178" s="4" t="n"/>
      <c r="AE178" s="4" t="n"/>
      <c r="AF178" s="4" t="n"/>
      <c r="AG178" s="4" t="n"/>
      <c r="AH178" s="4" t="n"/>
      <c r="AI178" s="4" t="n"/>
      <c r="AJ178" s="4" t="n"/>
      <c r="AK178" s="4" t="n"/>
      <c r="AL178" s="4" t="n"/>
      <c r="AM178" s="4" t="n"/>
      <c r="AN178" s="4" t="n"/>
      <c r="AO178" s="12" t="n"/>
      <c r="AP178" s="12" t="n"/>
      <c r="AQ178" s="12" t="n"/>
      <c r="AR178" s="12" t="n"/>
      <c r="AS178" s="16" t="n"/>
      <c r="AT178" s="16" t="n"/>
      <c r="AU178" s="4" t="n"/>
      <c r="AV178" s="124" t="n"/>
      <c r="AX178" s="118" t="n"/>
    </row>
    <row r="179">
      <c r="A179" s="4" t="inlineStr">
        <is>
          <t>LOWG</t>
        </is>
      </c>
      <c r="B179" s="4" t="inlineStr">
        <is>
          <t>GRZ</t>
        </is>
      </c>
      <c r="C179" s="4" t="n"/>
      <c r="D179" s="4" t="n"/>
      <c r="E179" s="4" t="inlineStr">
        <is>
          <t>Graz Airport</t>
        </is>
      </c>
      <c r="F179" s="4" t="n"/>
      <c r="G179" s="4" t="n"/>
      <c r="H179" s="4" t="inlineStr">
        <is>
          <t>Austria</t>
        </is>
      </c>
      <c r="I179" s="4" t="inlineStr">
        <is>
          <t>Feldkirchen bei Graz</t>
        </is>
      </c>
      <c r="J179" s="4" t="n"/>
      <c r="K179" s="4" t="n"/>
      <c r="L179" s="4" t="n"/>
      <c r="M179" s="4" t="n"/>
      <c r="N179" s="12" t="n"/>
      <c r="O179" s="125" t="n">
        <v>46.9911</v>
      </c>
      <c r="P179" s="125" t="n">
        <v>15.4396</v>
      </c>
      <c r="Q179" s="13" t="n"/>
      <c r="R179" s="11" t="n">
        <v>1115</v>
      </c>
      <c r="S179" s="4" t="n"/>
      <c r="T179" s="4" t="inlineStr">
        <is>
          <t>Europe/Vienna</t>
        </is>
      </c>
      <c r="U179" s="126" t="n"/>
      <c r="V179" s="14" t="n"/>
      <c r="W179" s="4" t="n"/>
      <c r="X179" s="4" t="n"/>
      <c r="Y179" s="4" t="n"/>
      <c r="Z179" s="4" t="n"/>
      <c r="AA179" s="4" t="n"/>
      <c r="AB179" s="4" t="n"/>
      <c r="AC179" s="4" t="n"/>
      <c r="AD179" s="4" t="n"/>
      <c r="AE179" s="4" t="n"/>
      <c r="AF179" s="4" t="n"/>
      <c r="AG179" s="4" t="n"/>
      <c r="AH179" s="4" t="n"/>
      <c r="AI179" s="4" t="n"/>
      <c r="AJ179" s="4" t="n"/>
      <c r="AK179" s="4" t="n"/>
      <c r="AL179" s="4" t="n"/>
      <c r="AM179" s="4" t="n"/>
      <c r="AN179" s="4" t="n"/>
      <c r="AO179" s="12" t="n"/>
      <c r="AP179" s="12" t="n"/>
      <c r="AQ179" s="12" t="n"/>
      <c r="AR179" s="12" t="n"/>
      <c r="AS179" s="16" t="n"/>
      <c r="AT179" s="16" t="n"/>
      <c r="AU179" s="4" t="n"/>
      <c r="AV179" s="124" t="n"/>
      <c r="AX179" s="118" t="n"/>
    </row>
    <row r="180">
      <c r="A180" s="4" t="inlineStr">
        <is>
          <t>LOWI</t>
        </is>
      </c>
      <c r="B180" s="4" t="inlineStr">
        <is>
          <t>INN</t>
        </is>
      </c>
      <c r="C180" s="4" t="n"/>
      <c r="D180" s="4" t="n"/>
      <c r="E180" s="4" t="inlineStr">
        <is>
          <t>Innsbruck Airport</t>
        </is>
      </c>
      <c r="F180" s="4" t="n"/>
      <c r="G180" s="4" t="n"/>
      <c r="H180" s="4" t="inlineStr">
        <is>
          <t>Austria</t>
        </is>
      </c>
      <c r="I180" s="4" t="inlineStr">
        <is>
          <t>Innsbruck</t>
        </is>
      </c>
      <c r="J180" s="4" t="n"/>
      <c r="K180" s="4" t="n"/>
      <c r="L180" s="4" t="n"/>
      <c r="M180" s="4" t="n"/>
      <c r="N180" s="12" t="n"/>
      <c r="O180" s="125" t="n">
        <v>47.2602</v>
      </c>
      <c r="P180" s="125" t="n">
        <v>11.344</v>
      </c>
      <c r="Q180" s="13" t="n"/>
      <c r="R180" s="11" t="n">
        <v>1907</v>
      </c>
      <c r="S180" s="4" t="n"/>
      <c r="T180" s="4" t="inlineStr">
        <is>
          <t>Europe/Vienna</t>
        </is>
      </c>
      <c r="U180" s="126" t="n"/>
      <c r="V180" s="14" t="n"/>
      <c r="W180" s="4" t="n"/>
      <c r="X180" s="4" t="n"/>
      <c r="Y180" s="4" t="n"/>
      <c r="Z180" s="4" t="n"/>
      <c r="AA180" s="4" t="n"/>
      <c r="AB180" s="4" t="n"/>
      <c r="AC180" s="4" t="n"/>
      <c r="AD180" s="4" t="n"/>
      <c r="AE180" s="4" t="n"/>
      <c r="AF180" s="4" t="n"/>
      <c r="AG180" s="4" t="n"/>
      <c r="AH180" s="4" t="n"/>
      <c r="AI180" s="4" t="n"/>
      <c r="AJ180" s="4" t="n"/>
      <c r="AK180" s="4" t="n"/>
      <c r="AL180" s="4" t="n"/>
      <c r="AM180" s="4" t="n"/>
      <c r="AN180" s="4" t="n"/>
      <c r="AO180" s="12" t="n"/>
      <c r="AP180" s="12" t="n"/>
      <c r="AQ180" s="12" t="n"/>
      <c r="AR180" s="12" t="n"/>
      <c r="AS180" s="16" t="n"/>
      <c r="AT180" s="16" t="n"/>
      <c r="AU180" s="4" t="n"/>
      <c r="AV180" s="124" t="n"/>
      <c r="AX180" s="118" t="n"/>
    </row>
    <row r="181">
      <c r="A181" s="4" t="inlineStr">
        <is>
          <t>LPFR</t>
        </is>
      </c>
      <c r="B181" s="4" t="inlineStr">
        <is>
          <t>FAO</t>
        </is>
      </c>
      <c r="C181" s="4" t="n"/>
      <c r="D181" s="4" t="n"/>
      <c r="E181" s="4" t="inlineStr">
        <is>
          <t>Faro - Gago Coutinho International Airport</t>
        </is>
      </c>
      <c r="F181" s="4" t="n"/>
      <c r="G181" s="4" t="n"/>
      <c r="H181" s="4" t="inlineStr">
        <is>
          <t>Portugal</t>
        </is>
      </c>
      <c r="I181" s="4" t="inlineStr">
        <is>
          <t>Faro</t>
        </is>
      </c>
      <c r="J181" s="4" t="n"/>
      <c r="K181" s="4" t="n"/>
      <c r="L181" s="4" t="n"/>
      <c r="M181" s="4" t="n"/>
      <c r="N181" s="12" t="n"/>
      <c r="O181" s="125" t="n">
        <v>37.01591</v>
      </c>
      <c r="P181" s="125" t="n">
        <v>-7.97094</v>
      </c>
      <c r="Q181" s="13" t="n"/>
      <c r="R181" s="11" t="n">
        <v>24</v>
      </c>
      <c r="S181" s="4" t="n"/>
      <c r="T181" s="4" t="inlineStr">
        <is>
          <t>Europe/Lisbon</t>
        </is>
      </c>
      <c r="U181" s="126" t="n"/>
      <c r="V181" s="14" t="n"/>
      <c r="W181" s="4" t="n"/>
      <c r="X181" s="4" t="n"/>
      <c r="Y181" s="4" t="n"/>
      <c r="Z181" s="4" t="n"/>
      <c r="AA181" s="4" t="n"/>
      <c r="AB181" s="4" t="n"/>
      <c r="AC181" s="4" t="n"/>
      <c r="AD181" s="4" t="n"/>
      <c r="AE181" s="4" t="n"/>
      <c r="AF181" s="4" t="n"/>
      <c r="AG181" s="4" t="n"/>
      <c r="AH181" s="4" t="n"/>
      <c r="AI181" s="4" t="n"/>
      <c r="AJ181" s="4" t="n"/>
      <c r="AK181" s="4" t="n"/>
      <c r="AL181" s="4" t="n"/>
      <c r="AM181" s="4" t="n"/>
      <c r="AN181" s="4" t="n"/>
      <c r="AO181" s="12" t="n"/>
      <c r="AP181" s="12" t="n"/>
      <c r="AQ181" s="12" t="n"/>
      <c r="AR181" s="12" t="n"/>
      <c r="AS181" s="16" t="n"/>
      <c r="AT181" s="16" t="n"/>
      <c r="AU181" s="4" t="n"/>
      <c r="AV181" s="124" t="n"/>
      <c r="AX181" s="118" t="n"/>
    </row>
    <row r="182">
      <c r="A182" s="4" t="inlineStr">
        <is>
          <t>LPMA</t>
        </is>
      </c>
      <c r="B182" s="4" t="inlineStr">
        <is>
          <t>FNC</t>
        </is>
      </c>
      <c r="C182" s="4" t="n"/>
      <c r="D182" s="4" t="n"/>
      <c r="E182" s="4" t="inlineStr">
        <is>
          <t>Cristiano Ronaldo International Airport</t>
        </is>
      </c>
      <c r="F182" s="4" t="n"/>
      <c r="G182" s="4" t="n"/>
      <c r="H182" s="4" t="inlineStr">
        <is>
          <t>Portugal</t>
        </is>
      </c>
      <c r="I182" s="4" t="inlineStr">
        <is>
          <t>Funchal</t>
        </is>
      </c>
      <c r="J182" s="4" t="n"/>
      <c r="K182" s="4" t="n"/>
      <c r="L182" s="4" t="n"/>
      <c r="M182" s="4" t="n"/>
      <c r="N182" s="12" t="n"/>
      <c r="O182" s="125" t="n">
        <v>32.69781</v>
      </c>
      <c r="P182" s="125" t="n">
        <v>-16.77461</v>
      </c>
      <c r="Q182" s="13" t="n"/>
      <c r="R182" s="11" t="n">
        <v>192</v>
      </c>
      <c r="S182" s="4" t="n"/>
      <c r="T182" s="4" t="inlineStr">
        <is>
          <t>Europe/Lisbon</t>
        </is>
      </c>
      <c r="U182" s="126" t="n"/>
      <c r="V182" s="14" t="n"/>
      <c r="W182" s="4" t="n"/>
      <c r="X182" s="4" t="n"/>
      <c r="Y182" s="4" t="n"/>
      <c r="Z182" s="4" t="n"/>
      <c r="AA182" s="4" t="n"/>
      <c r="AB182" s="4" t="n"/>
      <c r="AC182" s="4" t="n"/>
      <c r="AD182" s="4" t="n"/>
      <c r="AE182" s="4" t="n"/>
      <c r="AF182" s="4" t="n"/>
      <c r="AG182" s="4" t="n"/>
      <c r="AH182" s="4" t="n"/>
      <c r="AI182" s="4" t="n"/>
      <c r="AJ182" s="4" t="n"/>
      <c r="AK182" s="4" t="n"/>
      <c r="AL182" s="4" t="n"/>
      <c r="AM182" s="4" t="n"/>
      <c r="AN182" s="4" t="n"/>
      <c r="AO182" s="12" t="n"/>
      <c r="AP182" s="12" t="n"/>
      <c r="AQ182" s="12" t="n"/>
      <c r="AR182" s="12" t="n"/>
      <c r="AS182" s="16" t="n"/>
      <c r="AT182" s="16" t="n"/>
      <c r="AU182" s="4" t="n"/>
      <c r="AV182" s="124" t="n"/>
      <c r="AX182" s="118" t="n"/>
    </row>
    <row r="183">
      <c r="A183" s="4" t="inlineStr">
        <is>
          <t>LQBK</t>
        </is>
      </c>
      <c r="B183" s="4" t="inlineStr">
        <is>
          <t>BNX</t>
        </is>
      </c>
      <c r="C183" s="4" t="n"/>
      <c r="D183" s="4" t="n"/>
      <c r="E183" s="4" t="inlineStr">
        <is>
          <t>Banja Luka International Airport</t>
        </is>
      </c>
      <c r="F183" s="4" t="n"/>
      <c r="G183" s="4" t="n"/>
      <c r="H183" s="4" t="inlineStr">
        <is>
          <t>Bosnia and Herzegovina</t>
        </is>
      </c>
      <c r="I183" s="4" t="inlineStr">
        <is>
          <t>Mahovljani</t>
        </is>
      </c>
      <c r="J183" s="4" t="n"/>
      <c r="K183" s="4" t="n"/>
      <c r="L183" s="4" t="n"/>
      <c r="M183" s="4" t="n"/>
      <c r="N183" s="12" t="n"/>
      <c r="O183" s="125" t="n">
        <v>44.9414</v>
      </c>
      <c r="P183" s="125" t="n">
        <v>17.2975</v>
      </c>
      <c r="Q183" s="13" t="n"/>
      <c r="R183" s="11" t="n">
        <v>400</v>
      </c>
      <c r="S183" s="4" t="n"/>
      <c r="T183" s="4" t="inlineStr">
        <is>
          <t>Europe/Sarajevo</t>
        </is>
      </c>
      <c r="U183" s="126" t="n"/>
      <c r="V183" s="14" t="n"/>
      <c r="W183" s="4" t="n"/>
      <c r="X183" s="4" t="n"/>
      <c r="Y183" s="4" t="n"/>
      <c r="Z183" s="4" t="n"/>
      <c r="AA183" s="4" t="n"/>
      <c r="AB183" s="4" t="n"/>
      <c r="AC183" s="4" t="n"/>
      <c r="AD183" s="4" t="n"/>
      <c r="AE183" s="4" t="n"/>
      <c r="AF183" s="4" t="n"/>
      <c r="AG183" s="4" t="n"/>
      <c r="AH183" s="4" t="n"/>
      <c r="AI183" s="4" t="n"/>
      <c r="AJ183" s="4" t="n"/>
      <c r="AK183" s="4" t="n"/>
      <c r="AL183" s="4" t="n"/>
      <c r="AM183" s="4" t="n"/>
      <c r="AN183" s="4" t="n"/>
      <c r="AO183" s="12" t="n"/>
      <c r="AP183" s="12" t="n"/>
      <c r="AQ183" s="12" t="n"/>
      <c r="AR183" s="12" t="n"/>
      <c r="AS183" s="16" t="n"/>
      <c r="AT183" s="16" t="n"/>
      <c r="AU183" s="4" t="n"/>
      <c r="AV183" s="124" t="n"/>
      <c r="AX183" s="118" t="n"/>
    </row>
    <row r="184">
      <c r="A184" s="4" t="inlineStr">
        <is>
          <t>LQMO</t>
        </is>
      </c>
      <c r="B184" s="4" t="inlineStr">
        <is>
          <t>OMO</t>
        </is>
      </c>
      <c r="C184" s="4" t="n"/>
      <c r="D184" s="4" t="n"/>
      <c r="E184" s="4" t="inlineStr">
        <is>
          <t>Mostar International Airport</t>
        </is>
      </c>
      <c r="F184" s="4" t="n"/>
      <c r="G184" s="4" t="n"/>
      <c r="H184" s="4" t="inlineStr">
        <is>
          <t>Bosnia and Herzegovina</t>
        </is>
      </c>
      <c r="I184" s="4" t="inlineStr">
        <is>
          <t>Mostar</t>
        </is>
      </c>
      <c r="J184" s="4" t="n"/>
      <c r="K184" s="4" t="n"/>
      <c r="L184" s="4" t="n"/>
      <c r="M184" s="4" t="n"/>
      <c r="N184" s="12" t="n"/>
      <c r="O184" s="125" t="n">
        <v>43.28249</v>
      </c>
      <c r="P184" s="125" t="n">
        <v>17.8461</v>
      </c>
      <c r="Q184" s="13" t="n"/>
      <c r="R184" s="11" t="n">
        <v>156</v>
      </c>
      <c r="S184" s="4" t="n"/>
      <c r="T184" s="4" t="inlineStr">
        <is>
          <t>Europe/Sarajevo</t>
        </is>
      </c>
      <c r="U184" s="126" t="n"/>
      <c r="V184" s="14" t="n"/>
      <c r="W184" s="4" t="n"/>
      <c r="X184" s="4" t="n"/>
      <c r="Y184" s="4" t="n"/>
      <c r="Z184" s="4" t="n"/>
      <c r="AA184" s="4" t="n"/>
      <c r="AB184" s="4" t="n"/>
      <c r="AC184" s="4" t="n"/>
      <c r="AD184" s="4" t="n"/>
      <c r="AE184" s="4" t="n"/>
      <c r="AF184" s="4" t="n"/>
      <c r="AG184" s="4" t="n"/>
      <c r="AH184" s="4" t="n"/>
      <c r="AI184" s="4" t="n"/>
      <c r="AJ184" s="4" t="n"/>
      <c r="AK184" s="4" t="n"/>
      <c r="AL184" s="4" t="n"/>
      <c r="AM184" s="4" t="n"/>
      <c r="AN184" s="4" t="n"/>
      <c r="AO184" s="12" t="n"/>
      <c r="AP184" s="12" t="n"/>
      <c r="AQ184" s="12" t="n"/>
      <c r="AR184" s="12" t="n"/>
      <c r="AS184" s="16" t="n"/>
      <c r="AT184" s="16" t="n"/>
      <c r="AU184" s="4" t="n"/>
      <c r="AV184" s="124" t="n"/>
      <c r="AX184" s="118" t="n"/>
    </row>
    <row r="185">
      <c r="A185" s="4" t="inlineStr">
        <is>
          <t>LRBC</t>
        </is>
      </c>
      <c r="B185" s="4" t="inlineStr">
        <is>
          <t>BCM</t>
        </is>
      </c>
      <c r="C185" s="4" t="n"/>
      <c r="D185" s="4" t="n"/>
      <c r="E185" s="4" t="inlineStr">
        <is>
          <t>Bacău George Enescu International Airport</t>
        </is>
      </c>
      <c r="F185" s="4" t="n"/>
      <c r="G185" s="4" t="n"/>
      <c r="H185" s="4" t="inlineStr">
        <is>
          <t>Romania</t>
        </is>
      </c>
      <c r="I185" s="4" t="inlineStr">
        <is>
          <t>Bacău</t>
        </is>
      </c>
      <c r="J185" s="4" t="n"/>
      <c r="K185" s="4" t="n"/>
      <c r="L185" s="4" t="n"/>
      <c r="M185" s="4" t="n"/>
      <c r="N185" s="12" t="n"/>
      <c r="O185" s="125" t="n">
        <v>46.5219</v>
      </c>
      <c r="P185" s="125" t="n">
        <v>26.9103</v>
      </c>
      <c r="Q185" s="13" t="n"/>
      <c r="R185" s="11" t="n">
        <v>607</v>
      </c>
      <c r="S185" s="4" t="n"/>
      <c r="T185" s="4" t="inlineStr">
        <is>
          <t>Europe/Bucharest</t>
        </is>
      </c>
      <c r="U185" s="126" t="n"/>
      <c r="V185" s="14" t="n"/>
      <c r="W185" s="4" t="n"/>
      <c r="X185" s="4" t="n"/>
      <c r="Y185" s="4" t="n"/>
      <c r="Z185" s="4" t="n"/>
      <c r="AA185" s="4" t="n"/>
      <c r="AB185" s="4" t="n"/>
      <c r="AC185" s="4" t="n"/>
      <c r="AD185" s="4" t="n"/>
      <c r="AE185" s="4" t="n"/>
      <c r="AF185" s="4" t="n"/>
      <c r="AG185" s="4" t="n"/>
      <c r="AH185" s="4" t="n"/>
      <c r="AI185" s="4" t="n"/>
      <c r="AJ185" s="4" t="n"/>
      <c r="AK185" s="4" t="n"/>
      <c r="AL185" s="4" t="n"/>
      <c r="AM185" s="4" t="n"/>
      <c r="AN185" s="4" t="n"/>
      <c r="AO185" s="12" t="n"/>
      <c r="AP185" s="12" t="n"/>
      <c r="AQ185" s="12" t="n"/>
      <c r="AR185" s="12" t="n"/>
      <c r="AS185" s="16" t="n"/>
      <c r="AT185" s="16" t="n"/>
      <c r="AU185" s="4" t="n"/>
      <c r="AV185" s="124" t="n"/>
      <c r="AX185" s="118" t="n"/>
    </row>
    <row r="186">
      <c r="A186" s="4" t="inlineStr">
        <is>
          <t>LRBS</t>
        </is>
      </c>
      <c r="B186" s="4" t="inlineStr">
        <is>
          <t>BBU</t>
        </is>
      </c>
      <c r="C186" s="4" t="n"/>
      <c r="D186" s="4" t="n"/>
      <c r="E186" s="4" t="inlineStr">
        <is>
          <t>Bucharest Băneasa Aurel Vlaicu International</t>
        </is>
      </c>
      <c r="F186" s="4" t="n"/>
      <c r="G186" s="4" t="n"/>
      <c r="H186" s="4" t="inlineStr">
        <is>
          <t>Romania</t>
        </is>
      </c>
      <c r="I186" s="4" t="inlineStr">
        <is>
          <t>Bucharest</t>
        </is>
      </c>
      <c r="J186" s="4" t="n"/>
      <c r="K186" s="4" t="n"/>
      <c r="L186" s="4" t="n"/>
      <c r="M186" s="4" t="n"/>
      <c r="N186" s="12" t="n"/>
      <c r="O186" s="125" t="n">
        <v>44.50313</v>
      </c>
      <c r="P186" s="125" t="n">
        <v>26.10294</v>
      </c>
      <c r="Q186" s="13" t="n"/>
      <c r="R186" s="11" t="n">
        <v>297</v>
      </c>
      <c r="S186" s="4" t="n"/>
      <c r="T186" s="4" t="inlineStr">
        <is>
          <t>Europe/Bucharest</t>
        </is>
      </c>
      <c r="U186" s="126" t="n"/>
      <c r="V186" s="14" t="n"/>
      <c r="W186" s="4" t="n"/>
      <c r="X186" s="4" t="n"/>
      <c r="Y186" s="4" t="n"/>
      <c r="Z186" s="4" t="n"/>
      <c r="AA186" s="4" t="n"/>
      <c r="AB186" s="4" t="n"/>
      <c r="AC186" s="4" t="n"/>
      <c r="AD186" s="4" t="n"/>
      <c r="AE186" s="4" t="n"/>
      <c r="AF186" s="4" t="n"/>
      <c r="AG186" s="4" t="n"/>
      <c r="AH186" s="4" t="n"/>
      <c r="AI186" s="4" t="n"/>
      <c r="AJ186" s="4" t="n"/>
      <c r="AK186" s="4" t="n"/>
      <c r="AL186" s="4" t="n"/>
      <c r="AM186" s="4" t="n"/>
      <c r="AN186" s="4" t="n"/>
      <c r="AO186" s="12" t="n"/>
      <c r="AP186" s="12" t="n"/>
      <c r="AQ186" s="12" t="n"/>
      <c r="AR186" s="12" t="n"/>
      <c r="AS186" s="16" t="n"/>
      <c r="AT186" s="16" t="n"/>
      <c r="AU186" s="4" t="n"/>
      <c r="AV186" s="124" t="n"/>
      <c r="AX186" s="118" t="n"/>
    </row>
    <row r="187">
      <c r="A187" s="4" t="inlineStr">
        <is>
          <t>LSGG</t>
        </is>
      </c>
      <c r="B187" s="4" t="inlineStr">
        <is>
          <t>GVA</t>
        </is>
      </c>
      <c r="C187" s="4" t="n"/>
      <c r="D187" s="4" t="n"/>
      <c r="E187" s="4" t="inlineStr">
        <is>
          <t>Geneva International Airport</t>
        </is>
      </c>
      <c r="F187" s="4" t="n"/>
      <c r="G187" s="4" t="n"/>
      <c r="H187" s="4" t="inlineStr">
        <is>
          <t>Switzerland</t>
        </is>
      </c>
      <c r="I187" s="4" t="inlineStr">
        <is>
          <t>Geneva</t>
        </is>
      </c>
      <c r="J187" s="4" t="n"/>
      <c r="K187" s="4" t="n"/>
      <c r="L187" s="4" t="n"/>
      <c r="M187" s="4" t="n"/>
      <c r="N187" s="12" t="n"/>
      <c r="O187" s="125" t="n">
        <v>46.2381</v>
      </c>
      <c r="P187" s="125" t="n">
        <v>6.10895</v>
      </c>
      <c r="Q187" s="13" t="n"/>
      <c r="R187" s="11" t="n">
        <v>1411</v>
      </c>
      <c r="S187" s="4" t="n"/>
      <c r="T187" s="4" t="inlineStr">
        <is>
          <t>Europe/Paris</t>
        </is>
      </c>
      <c r="U187" s="126" t="n"/>
      <c r="V187" s="14" t="n"/>
      <c r="W187" s="4" t="n"/>
      <c r="X187" s="4" t="n"/>
      <c r="Y187" s="4" t="n"/>
      <c r="Z187" s="4" t="n"/>
      <c r="AA187" s="4" t="n"/>
      <c r="AB187" s="4" t="n"/>
      <c r="AC187" s="4" t="n"/>
      <c r="AD187" s="4" t="n"/>
      <c r="AE187" s="4" t="n"/>
      <c r="AF187" s="4" t="n"/>
      <c r="AG187" s="4" t="n"/>
      <c r="AH187" s="4" t="n"/>
      <c r="AI187" s="4" t="n"/>
      <c r="AJ187" s="4" t="n"/>
      <c r="AK187" s="4" t="n"/>
      <c r="AL187" s="4" t="n"/>
      <c r="AM187" s="4" t="n"/>
      <c r="AN187" s="4" t="n"/>
      <c r="AO187" s="12" t="n"/>
      <c r="AP187" s="12" t="n"/>
      <c r="AQ187" s="12" t="n"/>
      <c r="AR187" s="12" t="n"/>
      <c r="AS187" s="16" t="n"/>
      <c r="AT187" s="16" t="n"/>
      <c r="AU187" s="4" t="n"/>
      <c r="AV187" s="124" t="n"/>
      <c r="AX187" s="118" t="n"/>
    </row>
    <row r="188">
      <c r="A188" s="4" t="inlineStr">
        <is>
          <t>LSZH</t>
        </is>
      </c>
      <c r="B188" s="4" t="inlineStr">
        <is>
          <t>ZRH</t>
        </is>
      </c>
      <c r="C188" s="4" t="n"/>
      <c r="D188" s="4" t="n"/>
      <c r="E188" s="4" t="inlineStr">
        <is>
          <t>Zürich Airport</t>
        </is>
      </c>
      <c r="F188" s="4" t="n"/>
      <c r="G188" s="4" t="n"/>
      <c r="H188" s="4" t="inlineStr">
        <is>
          <t>Switzerland</t>
        </is>
      </c>
      <c r="I188" s="4" t="inlineStr">
        <is>
          <t>Zurich</t>
        </is>
      </c>
      <c r="J188" s="4" t="n"/>
      <c r="K188" s="4" t="n"/>
      <c r="L188" s="4" t="n"/>
      <c r="M188" s="4" t="n"/>
      <c r="N188" s="12" t="n"/>
      <c r="O188" s="125" t="n">
        <v>47.45806</v>
      </c>
      <c r="P188" s="125" t="n">
        <v>8.54806</v>
      </c>
      <c r="Q188" s="13" t="n"/>
      <c r="R188" s="11" t="n">
        <v>1417</v>
      </c>
      <c r="S188" s="4" t="n"/>
      <c r="T188" s="4" t="inlineStr">
        <is>
          <t>Europe/Zurich</t>
        </is>
      </c>
      <c r="U188" s="126" t="n"/>
      <c r="V188" s="14" t="n"/>
      <c r="W188" s="4" t="n"/>
      <c r="X188" s="4" t="n"/>
      <c r="Y188" s="4" t="n"/>
      <c r="Z188" s="4" t="n"/>
      <c r="AA188" s="4" t="n"/>
      <c r="AB188" s="4" t="n"/>
      <c r="AC188" s="4" t="n"/>
      <c r="AD188" s="4" t="n"/>
      <c r="AE188" s="4" t="n"/>
      <c r="AF188" s="4" t="n"/>
      <c r="AG188" s="4" t="n"/>
      <c r="AH188" s="4" t="n"/>
      <c r="AI188" s="4" t="n"/>
      <c r="AJ188" s="4" t="n"/>
      <c r="AK188" s="4" t="n"/>
      <c r="AL188" s="4" t="n"/>
      <c r="AM188" s="4" t="n"/>
      <c r="AN188" s="4" t="n"/>
      <c r="AO188" s="12" t="n"/>
      <c r="AP188" s="12" t="n"/>
      <c r="AQ188" s="12" t="n"/>
      <c r="AR188" s="12" t="n"/>
      <c r="AS188" s="16" t="n"/>
      <c r="AT188" s="16" t="n"/>
      <c r="AU188" s="4" t="n"/>
      <c r="AV188" s="124" t="n"/>
      <c r="AX188" s="118" t="n"/>
    </row>
    <row r="189">
      <c r="A189" s="4" t="inlineStr">
        <is>
          <t>LTAC</t>
        </is>
      </c>
      <c r="B189" s="4" t="inlineStr">
        <is>
          <t>ESB</t>
        </is>
      </c>
      <c r="C189" s="4" t="n"/>
      <c r="D189" s="4" t="n"/>
      <c r="E189" s="4" t="inlineStr">
        <is>
          <t>Esenboğa International Airport</t>
        </is>
      </c>
      <c r="F189" s="4" t="n"/>
      <c r="G189" s="4" t="n"/>
      <c r="H189" s="4" t="inlineStr">
        <is>
          <t>Turkey</t>
        </is>
      </c>
      <c r="I189" s="4" t="inlineStr">
        <is>
          <t>Ankara</t>
        </is>
      </c>
      <c r="J189" s="4" t="n"/>
      <c r="K189" s="4" t="n"/>
      <c r="L189" s="4" t="n"/>
      <c r="M189" s="4" t="n"/>
      <c r="N189" s="12" t="n"/>
      <c r="O189" s="125" t="n">
        <v>40.1281</v>
      </c>
      <c r="P189" s="125" t="n">
        <v>32.9951</v>
      </c>
      <c r="Q189" s="13" t="n"/>
      <c r="R189" s="11" t="n">
        <v>3125</v>
      </c>
      <c r="S189" s="4" t="n"/>
      <c r="T189" s="4" t="inlineStr">
        <is>
          <t>Europe/Istanbul</t>
        </is>
      </c>
      <c r="U189" s="126" t="n"/>
      <c r="V189" s="14" t="n"/>
      <c r="W189" s="4" t="n"/>
      <c r="X189" s="4" t="n"/>
      <c r="Y189" s="4" t="n"/>
      <c r="Z189" s="4" t="n"/>
      <c r="AA189" s="4" t="n"/>
      <c r="AB189" s="4" t="n"/>
      <c r="AC189" s="4" t="n"/>
      <c r="AD189" s="4" t="n"/>
      <c r="AE189" s="4" t="n"/>
      <c r="AF189" s="4" t="n"/>
      <c r="AG189" s="4" t="n"/>
      <c r="AH189" s="4" t="n"/>
      <c r="AI189" s="4" t="n"/>
      <c r="AJ189" s="4" t="n"/>
      <c r="AK189" s="4" t="n"/>
      <c r="AL189" s="4" t="n"/>
      <c r="AM189" s="4" t="n"/>
      <c r="AN189" s="4" t="n"/>
      <c r="AO189" s="12" t="n"/>
      <c r="AP189" s="12" t="n"/>
      <c r="AQ189" s="12" t="n"/>
      <c r="AR189" s="12" t="n"/>
      <c r="AS189" s="16" t="n"/>
      <c r="AT189" s="16" t="n"/>
      <c r="AU189" s="4" t="n"/>
      <c r="AV189" s="124" t="n"/>
      <c r="AX189" s="118" t="n"/>
    </row>
    <row r="190">
      <c r="A190" s="4" t="inlineStr">
        <is>
          <t>LTAI</t>
        </is>
      </c>
      <c r="B190" s="4" t="inlineStr">
        <is>
          <t>AYT</t>
        </is>
      </c>
      <c r="C190" s="4" t="n"/>
      <c r="D190" s="4" t="n"/>
      <c r="E190" s="4" t="inlineStr">
        <is>
          <t>Antalya International Airport</t>
        </is>
      </c>
      <c r="F190" s="4" t="n"/>
      <c r="G190" s="4" t="n"/>
      <c r="H190" s="4" t="inlineStr">
        <is>
          <t>Turkey</t>
        </is>
      </c>
      <c r="I190" s="4" t="inlineStr">
        <is>
          <t>Antalya</t>
        </is>
      </c>
      <c r="J190" s="4" t="n"/>
      <c r="K190" s="4" t="n"/>
      <c r="L190" s="4" t="n"/>
      <c r="M190" s="4" t="n"/>
      <c r="N190" s="12" t="n"/>
      <c r="O190" s="125" t="n">
        <v>36.8987</v>
      </c>
      <c r="P190" s="125" t="n">
        <v>30.8005</v>
      </c>
      <c r="Q190" s="13" t="n"/>
      <c r="R190" s="11" t="n">
        <v>177</v>
      </c>
      <c r="S190" s="4" t="n"/>
      <c r="T190" s="4" t="inlineStr">
        <is>
          <t>Europe/Istanbul</t>
        </is>
      </c>
      <c r="U190" s="126" t="n"/>
      <c r="V190" s="14" t="n"/>
      <c r="W190" s="4" t="n"/>
      <c r="X190" s="4" t="n"/>
      <c r="Y190" s="4" t="n"/>
      <c r="Z190" s="4" t="n"/>
      <c r="AA190" s="4" t="n"/>
      <c r="AB190" s="4" t="n"/>
      <c r="AC190" s="4" t="n"/>
      <c r="AD190" s="4" t="n"/>
      <c r="AE190" s="4" t="n"/>
      <c r="AF190" s="4" t="n"/>
      <c r="AG190" s="4" t="n"/>
      <c r="AH190" s="4" t="n"/>
      <c r="AI190" s="4" t="n"/>
      <c r="AJ190" s="4" t="n"/>
      <c r="AK190" s="4" t="n"/>
      <c r="AL190" s="4" t="n"/>
      <c r="AM190" s="4" t="n"/>
      <c r="AN190" s="4" t="n"/>
      <c r="AO190" s="12" t="n"/>
      <c r="AP190" s="12" t="n"/>
      <c r="AQ190" s="12" t="n"/>
      <c r="AR190" s="12" t="n"/>
      <c r="AS190" s="16" t="n"/>
      <c r="AT190" s="16" t="n"/>
      <c r="AU190" s="4" t="n"/>
      <c r="AV190" s="124" t="n"/>
      <c r="AX190" s="118" t="n"/>
    </row>
    <row r="191">
      <c r="A191" s="4" t="inlineStr">
        <is>
          <t>LUKK</t>
        </is>
      </c>
      <c r="B191" s="4" t="inlineStr">
        <is>
          <t>RMO</t>
        </is>
      </c>
      <c r="C191" s="4" t="n"/>
      <c r="D191" s="4" t="n"/>
      <c r="E191" s="4" t="inlineStr">
        <is>
          <t>Chişinău International Airport</t>
        </is>
      </c>
      <c r="F191" s="4" t="n"/>
      <c r="G191" s="4" t="n"/>
      <c r="H191" s="4" t="inlineStr">
        <is>
          <t>Moldova</t>
        </is>
      </c>
      <c r="I191" s="4" t="inlineStr">
        <is>
          <t>Chişinău</t>
        </is>
      </c>
      <c r="J191" s="4" t="n"/>
      <c r="K191" s="4" t="n"/>
      <c r="L191" s="4" t="n"/>
      <c r="M191" s="4" t="n"/>
      <c r="N191" s="12" t="n"/>
      <c r="O191" s="125" t="n">
        <v>46.92774</v>
      </c>
      <c r="P191" s="125" t="n">
        <v>28.9317</v>
      </c>
      <c r="Q191" s="13" t="n"/>
      <c r="R191" s="11" t="n">
        <v>399</v>
      </c>
      <c r="S191" s="4" t="n"/>
      <c r="T191" s="4" t="inlineStr">
        <is>
          <t>Europe/Chisinau</t>
        </is>
      </c>
      <c r="U191" s="126" t="n"/>
      <c r="V191" s="14" t="n"/>
      <c r="W191" s="4" t="n"/>
      <c r="X191" s="4" t="n"/>
      <c r="Y191" s="4" t="n"/>
      <c r="Z191" s="4" t="n"/>
      <c r="AA191" s="4" t="n"/>
      <c r="AB191" s="4" t="n"/>
      <c r="AC191" s="4" t="n"/>
      <c r="AD191" s="4" t="n"/>
      <c r="AE191" s="4" t="n"/>
      <c r="AF191" s="4" t="n"/>
      <c r="AG191" s="4" t="n"/>
      <c r="AH191" s="4" t="n"/>
      <c r="AI191" s="4" t="n"/>
      <c r="AJ191" s="4" t="n"/>
      <c r="AK191" s="4" t="n"/>
      <c r="AL191" s="4" t="n"/>
      <c r="AM191" s="4" t="n"/>
      <c r="AN191" s="4" t="n"/>
      <c r="AO191" s="12" t="n"/>
      <c r="AP191" s="12" t="n"/>
      <c r="AQ191" s="12" t="n"/>
      <c r="AR191" s="12" t="n"/>
      <c r="AS191" s="16" t="n"/>
      <c r="AT191" s="16" t="n"/>
      <c r="AU191" s="4" t="n"/>
      <c r="AV191" s="124" t="n"/>
      <c r="AX191" s="118" t="n"/>
    </row>
    <row r="192">
      <c r="A192" s="4" t="inlineStr">
        <is>
          <t>LWOH</t>
        </is>
      </c>
      <c r="B192" s="4" t="inlineStr">
        <is>
          <t>OHD</t>
        </is>
      </c>
      <c r="C192" s="4" t="n"/>
      <c r="D192" s="4" t="n"/>
      <c r="E192" s="4" t="inlineStr">
        <is>
          <t>Ohrid St. Paul the Apostle Airport</t>
        </is>
      </c>
      <c r="F192" s="4" t="n"/>
      <c r="G192" s="4" t="n"/>
      <c r="H192" s="4" t="inlineStr">
        <is>
          <t>North Macedonia</t>
        </is>
      </c>
      <c r="I192" s="4" t="inlineStr">
        <is>
          <t>Ohrid</t>
        </is>
      </c>
      <c r="J192" s="4" t="n"/>
      <c r="K192" s="4" t="n"/>
      <c r="L192" s="4" t="n"/>
      <c r="M192" s="4" t="n"/>
      <c r="N192" s="12" t="n"/>
      <c r="O192" s="125" t="n">
        <v>41.18</v>
      </c>
      <c r="P192" s="125" t="n">
        <v>20.7423</v>
      </c>
      <c r="Q192" s="13" t="n"/>
      <c r="R192" s="11" t="n">
        <v>2313</v>
      </c>
      <c r="S192" s="4" t="n"/>
      <c r="T192" s="4" t="inlineStr">
        <is>
          <t>Europe/Skopje</t>
        </is>
      </c>
      <c r="U192" s="126" t="n"/>
      <c r="V192" s="14" t="n"/>
      <c r="W192" s="4" t="n"/>
      <c r="X192" s="4" t="n"/>
      <c r="Y192" s="4" t="n"/>
      <c r="Z192" s="4" t="n"/>
      <c r="AA192" s="4" t="n"/>
      <c r="AB192" s="4" t="n"/>
      <c r="AC192" s="4" t="n"/>
      <c r="AD192" s="4" t="n"/>
      <c r="AE192" s="4" t="n"/>
      <c r="AF192" s="4" t="n"/>
      <c r="AG192" s="4" t="n"/>
      <c r="AH192" s="4" t="n"/>
      <c r="AI192" s="4" t="n"/>
      <c r="AJ192" s="4" t="n"/>
      <c r="AK192" s="4" t="n"/>
      <c r="AL192" s="4" t="n"/>
      <c r="AM192" s="4" t="n"/>
      <c r="AN192" s="4" t="n"/>
      <c r="AO192" s="12" t="n"/>
      <c r="AP192" s="12" t="n"/>
      <c r="AQ192" s="12" t="n"/>
      <c r="AR192" s="12" t="n"/>
      <c r="AS192" s="16" t="n"/>
      <c r="AT192" s="16" t="n"/>
      <c r="AU192" s="4" t="n"/>
      <c r="AV192" s="124" t="n"/>
      <c r="AX192" s="118" t="n"/>
    </row>
    <row r="193">
      <c r="A193" s="4" t="inlineStr">
        <is>
          <t>LWSK</t>
        </is>
      </c>
      <c r="B193" s="4" t="inlineStr">
        <is>
          <t>SKP</t>
        </is>
      </c>
      <c r="C193" s="4" t="n"/>
      <c r="D193" s="4" t="n"/>
      <c r="E193" s="4" t="inlineStr">
        <is>
          <t>Skopje International Airport</t>
        </is>
      </c>
      <c r="F193" s="4" t="n"/>
      <c r="G193" s="4" t="n"/>
      <c r="H193" s="4" t="inlineStr">
        <is>
          <t>North Macedonia</t>
        </is>
      </c>
      <c r="I193" s="4" t="inlineStr">
        <is>
          <t>Ilinden</t>
        </is>
      </c>
      <c r="J193" s="4" t="n"/>
      <c r="K193" s="4" t="n"/>
      <c r="L193" s="4" t="n"/>
      <c r="M193" s="4" t="n"/>
      <c r="N193" s="12" t="n"/>
      <c r="O193" s="125" t="n">
        <v>41.95809</v>
      </c>
      <c r="P193" s="125" t="n">
        <v>21.62258</v>
      </c>
      <c r="Q193" s="13" t="n"/>
      <c r="R193" s="11" t="n">
        <v>781</v>
      </c>
      <c r="S193" s="4" t="n"/>
      <c r="T193" s="4" t="inlineStr">
        <is>
          <t>Europe/Skopje</t>
        </is>
      </c>
      <c r="U193" s="126" t="n"/>
      <c r="V193" s="14" t="n"/>
      <c r="W193" s="4" t="n"/>
      <c r="X193" s="4" t="n"/>
      <c r="Y193" s="4" t="n"/>
      <c r="Z193" s="4" t="n"/>
      <c r="AA193" s="4" t="n"/>
      <c r="AB193" s="4" t="n"/>
      <c r="AC193" s="4" t="n"/>
      <c r="AD193" s="4" t="n"/>
      <c r="AE193" s="4" t="n"/>
      <c r="AF193" s="4" t="n"/>
      <c r="AG193" s="4" t="n"/>
      <c r="AH193" s="4" t="n"/>
      <c r="AI193" s="4" t="n"/>
      <c r="AJ193" s="4" t="n"/>
      <c r="AK193" s="4" t="n"/>
      <c r="AL193" s="4" t="n"/>
      <c r="AM193" s="4" t="n"/>
      <c r="AN193" s="4" t="n"/>
      <c r="AO193" s="12" t="n"/>
      <c r="AP193" s="12" t="n"/>
      <c r="AQ193" s="12" t="n"/>
      <c r="AR193" s="12" t="n"/>
      <c r="AS193" s="16" t="n"/>
      <c r="AT193" s="16" t="n"/>
      <c r="AU193" s="4" t="n"/>
      <c r="AV193" s="124" t="n"/>
      <c r="AX193" s="118" t="n"/>
    </row>
    <row r="194">
      <c r="A194" s="4" t="inlineStr">
        <is>
          <t>LXGB</t>
        </is>
      </c>
      <c r="B194" s="4" t="inlineStr">
        <is>
          <t>GIB</t>
        </is>
      </c>
      <c r="C194" s="4" t="n"/>
      <c r="D194" s="4" t="n"/>
      <c r="E194" s="4" t="inlineStr">
        <is>
          <t>Gibraltar Airport</t>
        </is>
      </c>
      <c r="F194" s="4" t="n"/>
      <c r="G194" s="4" t="n"/>
      <c r="H194" s="4" t="n"/>
      <c r="I194" s="4" t="inlineStr">
        <is>
          <t>Gibraltar</t>
        </is>
      </c>
      <c r="J194" s="4" t="n"/>
      <c r="K194" s="4" t="n"/>
      <c r="L194" s="4" t="n"/>
      <c r="M194" s="4" t="n"/>
      <c r="N194" s="12" t="n"/>
      <c r="O194" s="125" t="n">
        <v>36.15168</v>
      </c>
      <c r="P194" s="125" t="n">
        <v>-5.34978</v>
      </c>
      <c r="Q194" s="13" t="n"/>
      <c r="R194" s="11" t="n">
        <v>12</v>
      </c>
      <c r="S194" s="4" t="n"/>
      <c r="T194" s="4" t="inlineStr">
        <is>
          <t>Europe/Gibraltar</t>
        </is>
      </c>
      <c r="U194" s="126" t="n"/>
      <c r="V194" s="14" t="n"/>
      <c r="W194" s="4" t="n"/>
      <c r="X194" s="4" t="n"/>
      <c r="Y194" s="4" t="n"/>
      <c r="Z194" s="4" t="n"/>
      <c r="AA194" s="4" t="n"/>
      <c r="AB194" s="4" t="n"/>
      <c r="AC194" s="4" t="n"/>
      <c r="AD194" s="4" t="n"/>
      <c r="AE194" s="4" t="n"/>
      <c r="AF194" s="4" t="n"/>
      <c r="AG194" s="4" t="n"/>
      <c r="AH194" s="4" t="n"/>
      <c r="AI194" s="4" t="n"/>
      <c r="AJ194" s="4" t="n"/>
      <c r="AK194" s="4" t="n"/>
      <c r="AL194" s="4" t="n"/>
      <c r="AM194" s="4" t="n"/>
      <c r="AN194" s="4" t="n"/>
      <c r="AO194" s="12" t="n"/>
      <c r="AP194" s="12" t="n"/>
      <c r="AQ194" s="12" t="n"/>
      <c r="AR194" s="12" t="n"/>
      <c r="AS194" s="16" t="n"/>
      <c r="AT194" s="16" t="n"/>
      <c r="AU194" s="4" t="n"/>
      <c r="AV194" s="124" t="n"/>
      <c r="AX194" s="118" t="n"/>
    </row>
    <row r="195">
      <c r="A195" s="4" t="inlineStr">
        <is>
          <t>LYBE</t>
        </is>
      </c>
      <c r="B195" s="4" t="inlineStr">
        <is>
          <t>BEG</t>
        </is>
      </c>
      <c r="C195" s="4" t="n"/>
      <c r="D195" s="4" t="n"/>
      <c r="E195" s="4" t="inlineStr">
        <is>
          <t>Belgrade Nikola Tesla Airport</t>
        </is>
      </c>
      <c r="F195" s="4" t="n"/>
      <c r="G195" s="4" t="n"/>
      <c r="H195" s="4" t="inlineStr">
        <is>
          <t>Serbia</t>
        </is>
      </c>
      <c r="I195" s="4" t="inlineStr">
        <is>
          <t>Belgrade</t>
        </is>
      </c>
      <c r="J195" s="4" t="n"/>
      <c r="K195" s="4" t="n"/>
      <c r="L195" s="4" t="n"/>
      <c r="M195" s="4" t="n"/>
      <c r="N195" s="12" t="n"/>
      <c r="O195" s="125" t="n">
        <v>44.8184</v>
      </c>
      <c r="P195" s="125" t="n">
        <v>20.3091</v>
      </c>
      <c r="Q195" s="13" t="n"/>
      <c r="R195" s="11" t="n">
        <v>335</v>
      </c>
      <c r="S195" s="4" t="n"/>
      <c r="T195" s="4" t="inlineStr">
        <is>
          <t>Europe/Belgrade</t>
        </is>
      </c>
      <c r="U195" s="126" t="n"/>
      <c r="V195" s="14" t="n"/>
      <c r="W195" s="4" t="n"/>
      <c r="X195" s="4" t="n"/>
      <c r="Y195" s="4" t="n"/>
      <c r="Z195" s="4" t="n"/>
      <c r="AA195" s="4" t="n"/>
      <c r="AB195" s="4" t="n"/>
      <c r="AC195" s="4" t="n"/>
      <c r="AD195" s="4" t="n"/>
      <c r="AE195" s="4" t="n"/>
      <c r="AF195" s="4" t="n"/>
      <c r="AG195" s="4" t="n"/>
      <c r="AH195" s="4" t="n"/>
      <c r="AI195" s="4" t="n"/>
      <c r="AJ195" s="4" t="n"/>
      <c r="AK195" s="4" t="n"/>
      <c r="AL195" s="4" t="n"/>
      <c r="AM195" s="4" t="n"/>
      <c r="AN195" s="4" t="n"/>
      <c r="AO195" s="12" t="n"/>
      <c r="AP195" s="12" t="n"/>
      <c r="AQ195" s="12" t="n"/>
      <c r="AR195" s="12" t="n"/>
      <c r="AS195" s="16" t="n"/>
      <c r="AT195" s="16" t="n"/>
      <c r="AU195" s="4" t="n"/>
      <c r="AV195" s="124" t="n"/>
      <c r="AX195" s="118" t="n"/>
    </row>
    <row r="196">
      <c r="A196" s="4" t="inlineStr">
        <is>
          <t>LYNI</t>
        </is>
      </c>
      <c r="B196" s="4" t="inlineStr">
        <is>
          <t>INI</t>
        </is>
      </c>
      <c r="C196" s="4" t="n"/>
      <c r="D196" s="4" t="n"/>
      <c r="E196" s="4" t="inlineStr">
        <is>
          <t>Niš Constantine the Great Airport</t>
        </is>
      </c>
      <c r="F196" s="4" t="n"/>
      <c r="G196" s="4" t="n"/>
      <c r="H196" s="4" t="inlineStr">
        <is>
          <t>Serbia</t>
        </is>
      </c>
      <c r="I196" s="4" t="inlineStr">
        <is>
          <t>Niš</t>
        </is>
      </c>
      <c r="J196" s="4" t="n"/>
      <c r="K196" s="4" t="n"/>
      <c r="L196" s="4" t="n"/>
      <c r="M196" s="4" t="n"/>
      <c r="N196" s="12" t="n"/>
      <c r="O196" s="125" t="n">
        <v>43.33654</v>
      </c>
      <c r="P196" s="125" t="n">
        <v>21.85624</v>
      </c>
      <c r="Q196" s="13" t="n"/>
      <c r="R196" s="11" t="n">
        <v>648</v>
      </c>
      <c r="S196" s="4" t="n"/>
      <c r="T196" s="4" t="inlineStr">
        <is>
          <t>Europe/Belgrade</t>
        </is>
      </c>
      <c r="U196" s="126" t="n"/>
      <c r="V196" s="14" t="n"/>
      <c r="W196" s="4" t="n"/>
      <c r="X196" s="4" t="n"/>
      <c r="Y196" s="4" t="n"/>
      <c r="Z196" s="4" t="n"/>
      <c r="AA196" s="4" t="n"/>
      <c r="AB196" s="4" t="n"/>
      <c r="AC196" s="4" t="n"/>
      <c r="AD196" s="4" t="n"/>
      <c r="AE196" s="4" t="n"/>
      <c r="AF196" s="4" t="n"/>
      <c r="AG196" s="4" t="n"/>
      <c r="AH196" s="4" t="n"/>
      <c r="AI196" s="4" t="n"/>
      <c r="AJ196" s="4" t="n"/>
      <c r="AK196" s="4" t="n"/>
      <c r="AL196" s="4" t="n"/>
      <c r="AM196" s="4" t="n"/>
      <c r="AN196" s="4" t="n"/>
      <c r="AO196" s="12" t="n"/>
      <c r="AP196" s="12" t="n"/>
      <c r="AQ196" s="12" t="n"/>
      <c r="AR196" s="12" t="n"/>
      <c r="AS196" s="16" t="n"/>
      <c r="AT196" s="16" t="n"/>
      <c r="AU196" s="4" t="n"/>
      <c r="AV196" s="124" t="n"/>
      <c r="AX196" s="118" t="n"/>
    </row>
    <row r="197">
      <c r="A197" s="4" t="inlineStr">
        <is>
          <t>LYPG</t>
        </is>
      </c>
      <c r="B197" s="4" t="inlineStr">
        <is>
          <t>TGD</t>
        </is>
      </c>
      <c r="C197" s="4" t="n"/>
      <c r="D197" s="4" t="n"/>
      <c r="E197" s="4" t="inlineStr">
        <is>
          <t>Podgorica Airport</t>
        </is>
      </c>
      <c r="F197" s="4" t="n"/>
      <c r="G197" s="4" t="n"/>
      <c r="H197" s="4" t="inlineStr">
        <is>
          <t>Montenegro</t>
        </is>
      </c>
      <c r="I197" s="4" t="inlineStr">
        <is>
          <t>Podgorica</t>
        </is>
      </c>
      <c r="J197" s="4" t="n"/>
      <c r="K197" s="4" t="n"/>
      <c r="L197" s="4" t="n"/>
      <c r="M197" s="4" t="n"/>
      <c r="N197" s="12" t="n"/>
      <c r="O197" s="125" t="n">
        <v>42.3594</v>
      </c>
      <c r="P197" s="125" t="n">
        <v>19.2519</v>
      </c>
      <c r="Q197" s="13" t="n"/>
      <c r="R197" s="11" t="n">
        <v>141</v>
      </c>
      <c r="S197" s="4" t="n"/>
      <c r="T197" s="4" t="inlineStr">
        <is>
          <t>Europe/Podgorica</t>
        </is>
      </c>
      <c r="U197" s="126" t="n"/>
      <c r="V197" s="14" t="n"/>
      <c r="W197" s="4" t="n"/>
      <c r="X197" s="4" t="n"/>
      <c r="Y197" s="4" t="n"/>
      <c r="Z197" s="4" t="n"/>
      <c r="AA197" s="4" t="n"/>
      <c r="AB197" s="4" t="n"/>
      <c r="AC197" s="4" t="n"/>
      <c r="AD197" s="4" t="n"/>
      <c r="AE197" s="4" t="n"/>
      <c r="AF197" s="4" t="n"/>
      <c r="AG197" s="4" t="n"/>
      <c r="AH197" s="4" t="n"/>
      <c r="AI197" s="4" t="n"/>
      <c r="AJ197" s="4" t="n"/>
      <c r="AK197" s="4" t="n"/>
      <c r="AL197" s="4" t="n"/>
      <c r="AM197" s="4" t="n"/>
      <c r="AN197" s="4" t="n"/>
      <c r="AO197" s="12" t="n"/>
      <c r="AP197" s="12" t="n"/>
      <c r="AQ197" s="12" t="n"/>
      <c r="AR197" s="12" t="n"/>
      <c r="AS197" s="16" t="n"/>
      <c r="AT197" s="16" t="n"/>
      <c r="AU197" s="4" t="n"/>
      <c r="AV197" s="124" t="n"/>
      <c r="AX197" s="118" t="n"/>
    </row>
    <row r="198">
      <c r="A198" s="4" t="inlineStr">
        <is>
          <t>LZIB</t>
        </is>
      </c>
      <c r="B198" s="4" t="inlineStr">
        <is>
          <t>BTS</t>
        </is>
      </c>
      <c r="C198" s="4" t="n"/>
      <c r="D198" s="4" t="n"/>
      <c r="E198" s="4" t="inlineStr">
        <is>
          <t>M. R. Štefánik Airport</t>
        </is>
      </c>
      <c r="F198" s="4" t="n"/>
      <c r="G198" s="4" t="n"/>
      <c r="H198" s="4" t="inlineStr">
        <is>
          <t>Slovakia</t>
        </is>
      </c>
      <c r="I198" s="4" t="inlineStr">
        <is>
          <t>Bratislava</t>
        </is>
      </c>
      <c r="J198" s="4" t="n"/>
      <c r="K198" s="4" t="n"/>
      <c r="L198" s="4" t="n"/>
      <c r="M198" s="4" t="n"/>
      <c r="N198" s="12" t="n"/>
      <c r="O198" s="125" t="n">
        <v>48.1702</v>
      </c>
      <c r="P198" s="125" t="n">
        <v>17.2127</v>
      </c>
      <c r="Q198" s="13" t="n"/>
      <c r="R198" s="11" t="n">
        <v>436</v>
      </c>
      <c r="S198" s="4" t="n"/>
      <c r="T198" s="4" t="inlineStr">
        <is>
          <t>Europe/Bratislava</t>
        </is>
      </c>
      <c r="U198" s="126" t="n"/>
      <c r="V198" s="14" t="n"/>
      <c r="W198" s="4" t="n"/>
      <c r="X198" s="4" t="n"/>
      <c r="Y198" s="4" t="n"/>
      <c r="Z198" s="4" t="n"/>
      <c r="AA198" s="4" t="n"/>
      <c r="AB198" s="4" t="n"/>
      <c r="AC198" s="4" t="n"/>
      <c r="AD198" s="4" t="n"/>
      <c r="AE198" s="4" t="n"/>
      <c r="AF198" s="4" t="n"/>
      <c r="AG198" s="4" t="n"/>
      <c r="AH198" s="4" t="n"/>
      <c r="AI198" s="4" t="n"/>
      <c r="AJ198" s="4" t="n"/>
      <c r="AK198" s="4" t="n"/>
      <c r="AL198" s="4" t="n"/>
      <c r="AM198" s="4" t="n"/>
      <c r="AN198" s="4" t="n"/>
      <c r="AO198" s="12" t="n"/>
      <c r="AP198" s="12" t="n"/>
      <c r="AQ198" s="12" t="n"/>
      <c r="AR198" s="12" t="n"/>
      <c r="AS198" s="16" t="n"/>
      <c r="AT198" s="16" t="n"/>
      <c r="AU198" s="4" t="n"/>
      <c r="AV198" s="124" t="n"/>
      <c r="AX198" s="118" t="n"/>
    </row>
    <row r="199">
      <c r="A199" s="4" t="inlineStr">
        <is>
          <t>MBPV</t>
        </is>
      </c>
      <c r="B199" s="4" t="inlineStr">
        <is>
          <t>PLS</t>
        </is>
      </c>
      <c r="C199" s="4" t="n"/>
      <c r="D199" s="4" t="n"/>
      <c r="E199" s="4" t="inlineStr">
        <is>
          <t>Providenciales International Airport</t>
        </is>
      </c>
      <c r="F199" s="4" t="n"/>
      <c r="G199" s="4" t="n"/>
      <c r="H199" s="4" t="n"/>
      <c r="I199" s="4" t="inlineStr">
        <is>
          <t>Providenciales</t>
        </is>
      </c>
      <c r="J199" s="4" t="n"/>
      <c r="K199" s="4" t="n"/>
      <c r="L199" s="4" t="n"/>
      <c r="M199" s="4" t="n"/>
      <c r="N199" s="12" t="n"/>
      <c r="O199" s="125" t="n">
        <v>21.7737</v>
      </c>
      <c r="P199" s="125" t="n">
        <v>-72.26832</v>
      </c>
      <c r="Q199" s="13" t="n"/>
      <c r="R199" s="11" t="n">
        <v>15</v>
      </c>
      <c r="S199" s="4" t="n"/>
      <c r="T199" s="4" t="inlineStr">
        <is>
          <t>America/Grand_Turk</t>
        </is>
      </c>
      <c r="U199" s="126" t="n"/>
      <c r="V199" s="14" t="n"/>
      <c r="W199" s="4" t="n"/>
      <c r="X199" s="4" t="n"/>
      <c r="Y199" s="4" t="n"/>
      <c r="Z199" s="4" t="n"/>
      <c r="AA199" s="4" t="n"/>
      <c r="AB199" s="4" t="n"/>
      <c r="AC199" s="4" t="n"/>
      <c r="AD199" s="4" t="n"/>
      <c r="AE199" s="4" t="n"/>
      <c r="AF199" s="4" t="n"/>
      <c r="AG199" s="4" t="n"/>
      <c r="AH199" s="4" t="n"/>
      <c r="AI199" s="4" t="n"/>
      <c r="AJ199" s="4" t="n"/>
      <c r="AK199" s="4" t="n"/>
      <c r="AL199" s="4" t="n"/>
      <c r="AM199" s="4" t="n"/>
      <c r="AN199" s="4" t="n"/>
      <c r="AO199" s="12" t="n"/>
      <c r="AP199" s="12" t="n"/>
      <c r="AQ199" s="12" t="n"/>
      <c r="AR199" s="12" t="n"/>
      <c r="AS199" s="16" t="n"/>
      <c r="AT199" s="16" t="n"/>
      <c r="AU199" s="4" t="n"/>
      <c r="AV199" s="124" t="n"/>
      <c r="AX199" s="118" t="n"/>
    </row>
    <row r="200">
      <c r="A200" s="4" t="inlineStr">
        <is>
          <t>MDLR</t>
        </is>
      </c>
      <c r="B200" s="4" t="inlineStr">
        <is>
          <t>LRM</t>
        </is>
      </c>
      <c r="C200" s="4" t="n"/>
      <c r="D200" s="4" t="n"/>
      <c r="E200" s="4" t="inlineStr">
        <is>
          <t>Casa De Campo International Airport</t>
        </is>
      </c>
      <c r="F200" s="4" t="n"/>
      <c r="G200" s="4" t="n"/>
      <c r="H200" s="4" t="n"/>
      <c r="I200" s="4" t="inlineStr">
        <is>
          <t>La Romana</t>
        </is>
      </c>
      <c r="J200" s="4" t="n"/>
      <c r="K200" s="4" t="n"/>
      <c r="L200" s="4" t="n"/>
      <c r="M200" s="4" t="n"/>
      <c r="N200" s="12" t="n"/>
      <c r="O200" s="125" t="n">
        <v>18.45222</v>
      </c>
      <c r="P200" s="125" t="n">
        <v>-68.91110999999999</v>
      </c>
      <c r="Q200" s="13" t="n"/>
      <c r="R200" s="11" t="n">
        <v>213</v>
      </c>
      <c r="S200" s="4" t="n"/>
      <c r="T200" s="4" t="inlineStr">
        <is>
          <t>America/Santo_Domingo</t>
        </is>
      </c>
      <c r="U200" s="126" t="n"/>
      <c r="V200" s="14" t="n"/>
      <c r="W200" s="4" t="n"/>
      <c r="X200" s="4" t="n"/>
      <c r="Y200" s="4" t="n"/>
      <c r="Z200" s="4" t="n"/>
      <c r="AA200" s="4" t="n"/>
      <c r="AB200" s="4" t="n"/>
      <c r="AC200" s="4" t="n"/>
      <c r="AD200" s="4" t="n"/>
      <c r="AE200" s="4" t="n"/>
      <c r="AF200" s="4" t="n"/>
      <c r="AG200" s="4" t="n"/>
      <c r="AH200" s="4" t="n"/>
      <c r="AI200" s="4" t="n"/>
      <c r="AJ200" s="4" t="n"/>
      <c r="AK200" s="4" t="n"/>
      <c r="AL200" s="4" t="n"/>
      <c r="AM200" s="4" t="n"/>
      <c r="AN200" s="4" t="n"/>
      <c r="AO200" s="12" t="n"/>
      <c r="AP200" s="12" t="n"/>
      <c r="AQ200" s="12" t="n"/>
      <c r="AR200" s="12" t="n"/>
      <c r="AS200" s="16" t="n"/>
      <c r="AT200" s="16" t="n"/>
      <c r="AU200" s="4" t="n"/>
      <c r="AV200" s="124" t="n"/>
      <c r="AX200" s="118" t="n"/>
    </row>
    <row r="201">
      <c r="A201" s="4" t="inlineStr">
        <is>
          <t>MDPC</t>
        </is>
      </c>
      <c r="B201" s="4" t="inlineStr">
        <is>
          <t>PUJ</t>
        </is>
      </c>
      <c r="C201" s="4" t="n"/>
      <c r="D201" s="4" t="n"/>
      <c r="E201" s="4" t="inlineStr">
        <is>
          <t>Punta Cana International Airport</t>
        </is>
      </c>
      <c r="F201" s="4" t="n"/>
      <c r="G201" s="4" t="n"/>
      <c r="H201" s="4" t="n"/>
      <c r="I201" s="4" t="inlineStr">
        <is>
          <t>Punta Cana</t>
        </is>
      </c>
      <c r="J201" s="4" t="n"/>
      <c r="K201" s="4" t="n"/>
      <c r="L201" s="4" t="n"/>
      <c r="M201" s="4" t="n"/>
      <c r="N201" s="12" t="n"/>
      <c r="O201" s="125" t="n">
        <v>18.56709</v>
      </c>
      <c r="P201" s="125" t="n">
        <v>-68.36456</v>
      </c>
      <c r="Q201" s="13" t="n"/>
      <c r="R201" s="11" t="n">
        <v>47</v>
      </c>
      <c r="S201" s="4" t="n"/>
      <c r="T201" s="4" t="inlineStr">
        <is>
          <t>America/Santo_Domingo</t>
        </is>
      </c>
      <c r="U201" s="126" t="n"/>
      <c r="V201" s="14" t="n"/>
      <c r="W201" s="4" t="n"/>
      <c r="X201" s="4" t="n"/>
      <c r="Y201" s="4" t="n"/>
      <c r="Z201" s="4" t="n"/>
      <c r="AA201" s="4" t="n"/>
      <c r="AB201" s="4" t="n"/>
      <c r="AC201" s="4" t="n"/>
      <c r="AD201" s="4" t="n"/>
      <c r="AE201" s="4" t="n"/>
      <c r="AF201" s="4" t="n"/>
      <c r="AG201" s="4" t="n"/>
      <c r="AH201" s="4" t="n"/>
      <c r="AI201" s="4" t="n"/>
      <c r="AJ201" s="4" t="n"/>
      <c r="AK201" s="4" t="n"/>
      <c r="AL201" s="4" t="n"/>
      <c r="AM201" s="4" t="n"/>
      <c r="AN201" s="4" t="n"/>
      <c r="AO201" s="12" t="n"/>
      <c r="AP201" s="12" t="n"/>
      <c r="AQ201" s="12" t="n"/>
      <c r="AR201" s="12" t="n"/>
      <c r="AS201" s="16" t="n"/>
      <c r="AT201" s="16" t="n"/>
      <c r="AU201" s="4" t="n"/>
      <c r="AV201" s="124" t="n"/>
      <c r="AX201" s="118" t="n"/>
    </row>
    <row r="202">
      <c r="A202" s="4" t="inlineStr">
        <is>
          <t>MGGT</t>
        </is>
      </c>
      <c r="B202" s="4" t="inlineStr">
        <is>
          <t>GUA</t>
        </is>
      </c>
      <c r="C202" s="4" t="n"/>
      <c r="D202" s="4" t="n"/>
      <c r="E202" s="4" t="inlineStr">
        <is>
          <t>La Aurora International Airport</t>
        </is>
      </c>
      <c r="F202" s="4" t="n"/>
      <c r="G202" s="4" t="n"/>
      <c r="H202" s="4" t="n"/>
      <c r="I202" s="4" t="inlineStr">
        <is>
          <t>Guatemala City</t>
        </is>
      </c>
      <c r="J202" s="4" t="n"/>
      <c r="K202" s="4" t="n"/>
      <c r="L202" s="4" t="n"/>
      <c r="M202" s="4" t="n"/>
      <c r="N202" s="12" t="n"/>
      <c r="O202" s="125" t="n">
        <v>14.5829</v>
      </c>
      <c r="P202" s="125" t="n">
        <v>-90.52751000000001</v>
      </c>
      <c r="Q202" s="13" t="n"/>
      <c r="R202" s="11" t="n">
        <v>4952</v>
      </c>
      <c r="S202" s="4" t="n"/>
      <c r="T202" s="4" t="inlineStr">
        <is>
          <t>America/Guatemala</t>
        </is>
      </c>
      <c r="U202" s="126" t="n"/>
      <c r="V202" s="14" t="n"/>
      <c r="W202" s="4" t="n"/>
      <c r="X202" s="4" t="n"/>
      <c r="Y202" s="4" t="n"/>
      <c r="Z202" s="4" t="n"/>
      <c r="AA202" s="4" t="n"/>
      <c r="AB202" s="4" t="n"/>
      <c r="AC202" s="4" t="n"/>
      <c r="AD202" s="4" t="n"/>
      <c r="AE202" s="4" t="n"/>
      <c r="AF202" s="4" t="n"/>
      <c r="AG202" s="4" t="n"/>
      <c r="AH202" s="4" t="n"/>
      <c r="AI202" s="4" t="n"/>
      <c r="AJ202" s="4" t="n"/>
      <c r="AK202" s="4" t="n"/>
      <c r="AL202" s="4" t="n"/>
      <c r="AM202" s="4" t="n"/>
      <c r="AN202" s="4" t="n"/>
      <c r="AO202" s="12" t="n"/>
      <c r="AP202" s="12" t="n"/>
      <c r="AQ202" s="12" t="n"/>
      <c r="AR202" s="12" t="n"/>
      <c r="AS202" s="16" t="n"/>
      <c r="AT202" s="16" t="n"/>
      <c r="AU202" s="4" t="n"/>
      <c r="AV202" s="124" t="n"/>
      <c r="AX202" s="118" t="n"/>
    </row>
    <row r="203">
      <c r="A203" s="4" t="inlineStr">
        <is>
          <t>MHLM</t>
        </is>
      </c>
      <c r="B203" s="4" t="inlineStr">
        <is>
          <t>SAP</t>
        </is>
      </c>
      <c r="C203" s="4" t="n"/>
      <c r="D203" s="4" t="n"/>
      <c r="E203" s="4" t="inlineStr">
        <is>
          <t>Ramón Villeda Morales International Airport</t>
        </is>
      </c>
      <c r="F203" s="4" t="n"/>
      <c r="G203" s="4" t="n"/>
      <c r="H203" s="4" t="n"/>
      <c r="I203" s="4" t="inlineStr">
        <is>
          <t>San Pedro Sula</t>
        </is>
      </c>
      <c r="J203" s="4" t="n"/>
      <c r="K203" s="4" t="n"/>
      <c r="L203" s="4" t="n"/>
      <c r="M203" s="4" t="n"/>
      <c r="N203" s="12" t="n"/>
      <c r="O203" s="125" t="n">
        <v>15.4526</v>
      </c>
      <c r="P203" s="125" t="n">
        <v>-87.92359999999999</v>
      </c>
      <c r="Q203" s="13" t="n"/>
      <c r="R203" s="11" t="n">
        <v>91</v>
      </c>
      <c r="S203" s="4" t="n"/>
      <c r="T203" s="4" t="inlineStr">
        <is>
          <t>America/Tegucigalpa</t>
        </is>
      </c>
      <c r="U203" s="126" t="n"/>
      <c r="V203" s="14" t="n"/>
      <c r="W203" s="4" t="n"/>
      <c r="X203" s="4" t="n"/>
      <c r="Y203" s="4" t="n"/>
      <c r="Z203" s="4" t="n"/>
      <c r="AA203" s="4" t="n"/>
      <c r="AB203" s="4" t="n"/>
      <c r="AC203" s="4" t="n"/>
      <c r="AD203" s="4" t="n"/>
      <c r="AE203" s="4" t="n"/>
      <c r="AF203" s="4" t="n"/>
      <c r="AG203" s="4" t="n"/>
      <c r="AH203" s="4" t="n"/>
      <c r="AI203" s="4" t="n"/>
      <c r="AJ203" s="4" t="n"/>
      <c r="AK203" s="4" t="n"/>
      <c r="AL203" s="4" t="n"/>
      <c r="AM203" s="4" t="n"/>
      <c r="AN203" s="4" t="n"/>
      <c r="AO203" s="12" t="n"/>
      <c r="AP203" s="12" t="n"/>
      <c r="AQ203" s="12" t="n"/>
      <c r="AR203" s="12" t="n"/>
      <c r="AS203" s="16" t="n"/>
      <c r="AT203" s="16" t="n"/>
      <c r="AU203" s="4" t="n"/>
      <c r="AV203" s="124" t="n"/>
      <c r="AX203" s="118" t="n"/>
    </row>
    <row r="204">
      <c r="A204" s="4" t="inlineStr">
        <is>
          <t>MHPR</t>
        </is>
      </c>
      <c r="B204" s="4" t="inlineStr">
        <is>
          <t>XPL</t>
        </is>
      </c>
      <c r="C204" s="4" t="n"/>
      <c r="D204" s="4" t="n"/>
      <c r="E204" s="4" t="inlineStr">
        <is>
          <t>Palmerola International Airport</t>
        </is>
      </c>
      <c r="F204" s="4" t="n"/>
      <c r="G204" s="4" t="n"/>
      <c r="H204" s="4" t="n"/>
      <c r="I204" s="4" t="inlineStr">
        <is>
          <t>Palmerola</t>
        </is>
      </c>
      <c r="J204" s="4" t="n"/>
      <c r="K204" s="4" t="n"/>
      <c r="L204" s="4" t="n"/>
      <c r="M204" s="4" t="n"/>
      <c r="N204" s="12" t="n"/>
      <c r="O204" s="125" t="n">
        <v>14.3824</v>
      </c>
      <c r="P204" s="125" t="n">
        <v>-87.6212</v>
      </c>
      <c r="Q204" s="13" t="n"/>
      <c r="R204" s="11" t="n">
        <v>2061</v>
      </c>
      <c r="S204" s="4" t="n"/>
      <c r="T204" s="4" t="n"/>
      <c r="U204" s="126" t="n"/>
      <c r="V204" s="14" t="n"/>
      <c r="W204" s="4" t="n"/>
      <c r="X204" s="4" t="n"/>
      <c r="Y204" s="4" t="n"/>
      <c r="Z204" s="4" t="n"/>
      <c r="AA204" s="4" t="n"/>
      <c r="AB204" s="4" t="n"/>
      <c r="AC204" s="4" t="n"/>
      <c r="AD204" s="4" t="n"/>
      <c r="AE204" s="4" t="n"/>
      <c r="AF204" s="4" t="n"/>
      <c r="AG204" s="4" t="n"/>
      <c r="AH204" s="4" t="n"/>
      <c r="AI204" s="4" t="n"/>
      <c r="AJ204" s="4" t="n"/>
      <c r="AK204" s="4" t="n"/>
      <c r="AL204" s="4" t="n"/>
      <c r="AM204" s="4" t="n"/>
      <c r="AN204" s="4" t="n"/>
      <c r="AO204" s="12" t="n"/>
      <c r="AP204" s="12" t="n"/>
      <c r="AQ204" s="12" t="n"/>
      <c r="AR204" s="12" t="n"/>
      <c r="AS204" s="16" t="n"/>
      <c r="AT204" s="16" t="n"/>
      <c r="AU204" s="4" t="n"/>
      <c r="AV204" s="124" t="n"/>
      <c r="AX204" s="118" t="n"/>
    </row>
    <row r="205">
      <c r="A205" s="4" t="inlineStr">
        <is>
          <t>MKJP</t>
        </is>
      </c>
      <c r="B205" s="4" t="inlineStr">
        <is>
          <t>KIN</t>
        </is>
      </c>
      <c r="C205" s="4" t="n"/>
      <c r="D205" s="4" t="n"/>
      <c r="E205" s="4" t="inlineStr">
        <is>
          <t>Norman Manley International Airport</t>
        </is>
      </c>
      <c r="F205" s="4" t="n"/>
      <c r="G205" s="4" t="n"/>
      <c r="H205" s="4" t="n"/>
      <c r="I205" s="4" t="inlineStr">
        <is>
          <t>Kingston</t>
        </is>
      </c>
      <c r="J205" s="4" t="n"/>
      <c r="K205" s="4" t="n"/>
      <c r="L205" s="4" t="n"/>
      <c r="M205" s="4" t="n"/>
      <c r="N205" s="12" t="n"/>
      <c r="O205" s="125" t="n">
        <v>17.9357</v>
      </c>
      <c r="P205" s="125" t="n">
        <v>-76.78749999999999</v>
      </c>
      <c r="Q205" s="13" t="n"/>
      <c r="R205" s="11" t="n">
        <v>10</v>
      </c>
      <c r="S205" s="4" t="n"/>
      <c r="T205" s="4" t="inlineStr">
        <is>
          <t>America/Jamaica</t>
        </is>
      </c>
      <c r="U205" s="126" t="n"/>
      <c r="V205" s="14" t="n"/>
      <c r="W205" s="4" t="n"/>
      <c r="X205" s="4" t="n"/>
      <c r="Y205" s="4" t="n"/>
      <c r="Z205" s="4" t="n"/>
      <c r="AA205" s="4" t="n"/>
      <c r="AB205" s="4" t="n"/>
      <c r="AC205" s="4" t="n"/>
      <c r="AD205" s="4" t="n"/>
      <c r="AE205" s="4" t="n"/>
      <c r="AF205" s="4" t="n"/>
      <c r="AG205" s="4" t="n"/>
      <c r="AH205" s="4" t="n"/>
      <c r="AI205" s="4" t="n"/>
      <c r="AJ205" s="4" t="n"/>
      <c r="AK205" s="4" t="n"/>
      <c r="AL205" s="4" t="n"/>
      <c r="AM205" s="4" t="n"/>
      <c r="AN205" s="4" t="n"/>
      <c r="AO205" s="12" t="n"/>
      <c r="AP205" s="12" t="n"/>
      <c r="AQ205" s="12" t="n"/>
      <c r="AR205" s="12" t="n"/>
      <c r="AS205" s="16" t="n"/>
      <c r="AT205" s="16" t="n"/>
      <c r="AU205" s="4" t="n"/>
      <c r="AV205" s="124" t="n"/>
      <c r="AX205" s="118" t="n"/>
    </row>
    <row r="206">
      <c r="A206" s="4" t="inlineStr">
        <is>
          <t>MKJS</t>
        </is>
      </c>
      <c r="B206" s="4" t="inlineStr">
        <is>
          <t>MBJ</t>
        </is>
      </c>
      <c r="C206" s="4" t="n"/>
      <c r="D206" s="4" t="n"/>
      <c r="E206" s="4" t="inlineStr">
        <is>
          <t>Sangster International Airport</t>
        </is>
      </c>
      <c r="F206" s="4" t="n"/>
      <c r="G206" s="4" t="n"/>
      <c r="H206" s="4" t="n"/>
      <c r="I206" s="4" t="inlineStr">
        <is>
          <t>Montego Bay</t>
        </is>
      </c>
      <c r="J206" s="4" t="n"/>
      <c r="K206" s="4" t="n"/>
      <c r="L206" s="4" t="n"/>
      <c r="M206" s="4" t="n"/>
      <c r="N206" s="12" t="n"/>
      <c r="O206" s="125" t="n">
        <v>18.50342</v>
      </c>
      <c r="P206" s="125" t="n">
        <v>-77.91323</v>
      </c>
      <c r="Q206" s="13" t="n"/>
      <c r="R206" s="11" t="n">
        <v>4</v>
      </c>
      <c r="S206" s="4" t="n"/>
      <c r="T206" s="4" t="inlineStr">
        <is>
          <t>America/Jamaica</t>
        </is>
      </c>
      <c r="U206" s="126" t="n"/>
      <c r="V206" s="14" t="n"/>
      <c r="W206" s="4" t="n"/>
      <c r="X206" s="4" t="n"/>
      <c r="Y206" s="4" t="n"/>
      <c r="Z206" s="4" t="n"/>
      <c r="AA206" s="4" t="n"/>
      <c r="AB206" s="4" t="n"/>
      <c r="AC206" s="4" t="n"/>
      <c r="AD206" s="4" t="n"/>
      <c r="AE206" s="4" t="n"/>
      <c r="AF206" s="4" t="n"/>
      <c r="AG206" s="4" t="n"/>
      <c r="AH206" s="4" t="n"/>
      <c r="AI206" s="4" t="n"/>
      <c r="AJ206" s="4" t="n"/>
      <c r="AK206" s="4" t="n"/>
      <c r="AL206" s="4" t="n"/>
      <c r="AM206" s="4" t="n"/>
      <c r="AN206" s="4" t="n"/>
      <c r="AO206" s="12" t="n"/>
      <c r="AP206" s="12" t="n"/>
      <c r="AQ206" s="12" t="n"/>
      <c r="AR206" s="12" t="n"/>
      <c r="AS206" s="16" t="n"/>
      <c r="AT206" s="16" t="n"/>
      <c r="AU206" s="4" t="n"/>
      <c r="AV206" s="124" t="n"/>
      <c r="AX206" s="118" t="n"/>
    </row>
    <row r="207">
      <c r="A207" s="4" t="inlineStr">
        <is>
          <t>MMAA</t>
        </is>
      </c>
      <c r="B207" s="4" t="inlineStr">
        <is>
          <t>ACA</t>
        </is>
      </c>
      <c r="C207" s="4" t="n"/>
      <c r="D207" s="4" t="n"/>
      <c r="E207" s="4" t="inlineStr">
        <is>
          <t>General Juan N. Álvarez International Airport</t>
        </is>
      </c>
      <c r="F207" s="4" t="n"/>
      <c r="G207" s="4" t="n"/>
      <c r="H207" s="4" t="n"/>
      <c r="I207" s="4" t="inlineStr">
        <is>
          <t>Acapulco</t>
        </is>
      </c>
      <c r="J207" s="4" t="n"/>
      <c r="K207" s="4" t="n"/>
      <c r="L207" s="4" t="n"/>
      <c r="M207" s="4" t="n"/>
      <c r="N207" s="12" t="n"/>
      <c r="O207" s="125" t="n">
        <v>16.75713</v>
      </c>
      <c r="P207" s="125" t="n">
        <v>-99.75311000000001</v>
      </c>
      <c r="Q207" s="13" t="n"/>
      <c r="R207" s="11" t="n">
        <v>16</v>
      </c>
      <c r="S207" s="4" t="n"/>
      <c r="T207" s="4" t="inlineStr">
        <is>
          <t>America/Mexico_City</t>
        </is>
      </c>
      <c r="U207" s="126" t="n"/>
      <c r="V207" s="14" t="n"/>
      <c r="W207" s="4" t="n"/>
      <c r="X207" s="4" t="n"/>
      <c r="Y207" s="4" t="n"/>
      <c r="Z207" s="4" t="n"/>
      <c r="AA207" s="4" t="n"/>
      <c r="AB207" s="4" t="n"/>
      <c r="AC207" s="4" t="n"/>
      <c r="AD207" s="4" t="n"/>
      <c r="AE207" s="4" t="n"/>
      <c r="AF207" s="4" t="n"/>
      <c r="AG207" s="4" t="n"/>
      <c r="AH207" s="4" t="n"/>
      <c r="AI207" s="4" t="n"/>
      <c r="AJ207" s="4" t="n"/>
      <c r="AK207" s="4" t="n"/>
      <c r="AL207" s="4" t="n"/>
      <c r="AM207" s="4" t="n"/>
      <c r="AN207" s="4" t="n"/>
      <c r="AO207" s="12" t="n"/>
      <c r="AP207" s="12" t="n"/>
      <c r="AQ207" s="12" t="n"/>
      <c r="AR207" s="12" t="n"/>
      <c r="AS207" s="16" t="n"/>
      <c r="AT207" s="16" t="n"/>
      <c r="AU207" s="4" t="n"/>
      <c r="AV207" s="124" t="n"/>
      <c r="AX207" s="118" t="n"/>
    </row>
    <row r="208">
      <c r="A208" s="4" t="inlineStr">
        <is>
          <t>MMAS</t>
        </is>
      </c>
      <c r="B208" s="4" t="inlineStr">
        <is>
          <t>AGU</t>
        </is>
      </c>
      <c r="C208" s="4" t="n"/>
      <c r="D208" s="4" t="n"/>
      <c r="E208" s="4" t="inlineStr">
        <is>
          <t>Aguascalientes International Airport</t>
        </is>
      </c>
      <c r="F208" s="4" t="n"/>
      <c r="G208" s="4" t="n"/>
      <c r="H208" s="4" t="n"/>
      <c r="I208" s="4" t="inlineStr">
        <is>
          <t>Aguascalientes</t>
        </is>
      </c>
      <c r="J208" s="4" t="n"/>
      <c r="K208" s="4" t="n"/>
      <c r="L208" s="4" t="n"/>
      <c r="M208" s="4" t="n"/>
      <c r="N208" s="12" t="n"/>
      <c r="O208" s="125" t="n">
        <v>21.69959</v>
      </c>
      <c r="P208" s="125" t="n">
        <v>-102.31837</v>
      </c>
      <c r="Q208" s="13" t="n"/>
      <c r="R208" s="11" t="n">
        <v>6112</v>
      </c>
      <c r="S208" s="4" t="n"/>
      <c r="T208" s="4" t="inlineStr">
        <is>
          <t>America/Mexico_City</t>
        </is>
      </c>
      <c r="U208" s="126" t="n"/>
      <c r="V208" s="14" t="n"/>
      <c r="W208" s="4" t="n"/>
      <c r="X208" s="4" t="n"/>
      <c r="Y208" s="4" t="n"/>
      <c r="Z208" s="4" t="n"/>
      <c r="AA208" s="4" t="n"/>
      <c r="AB208" s="4" t="n"/>
      <c r="AC208" s="4" t="n"/>
      <c r="AD208" s="4" t="n"/>
      <c r="AE208" s="4" t="n"/>
      <c r="AF208" s="4" t="n"/>
      <c r="AG208" s="4" t="n"/>
      <c r="AH208" s="4" t="n"/>
      <c r="AI208" s="4" t="n"/>
      <c r="AJ208" s="4" t="n"/>
      <c r="AK208" s="4" t="n"/>
      <c r="AL208" s="4" t="n"/>
      <c r="AM208" s="4" t="n"/>
      <c r="AN208" s="4" t="n"/>
      <c r="AO208" s="12" t="n"/>
      <c r="AP208" s="12" t="n"/>
      <c r="AQ208" s="12" t="n"/>
      <c r="AR208" s="12" t="n"/>
      <c r="AS208" s="16" t="n"/>
      <c r="AT208" s="16" t="n"/>
      <c r="AU208" s="4" t="n"/>
      <c r="AV208" s="124" t="n"/>
      <c r="AX208" s="118" t="n"/>
    </row>
    <row r="209">
      <c r="A209" s="4" t="inlineStr">
        <is>
          <t>MNMG</t>
        </is>
      </c>
      <c r="B209" s="4" t="inlineStr">
        <is>
          <t>MGA</t>
        </is>
      </c>
      <c r="C209" s="4" t="n"/>
      <c r="D209" s="4" t="n"/>
      <c r="E209" s="4" t="inlineStr">
        <is>
          <t>Augusto C. Sandino International Airport</t>
        </is>
      </c>
      <c r="F209" s="4" t="n"/>
      <c r="G209" s="4" t="n"/>
      <c r="H209" s="4" t="n"/>
      <c r="I209" s="4" t="inlineStr">
        <is>
          <t>Managua</t>
        </is>
      </c>
      <c r="J209" s="4" t="n"/>
      <c r="K209" s="4" t="n"/>
      <c r="L209" s="4" t="n"/>
      <c r="M209" s="4" t="n"/>
      <c r="N209" s="12" t="n"/>
      <c r="O209" s="125" t="n">
        <v>12.1415</v>
      </c>
      <c r="P209" s="125" t="n">
        <v>-86.1682</v>
      </c>
      <c r="Q209" s="13" t="n"/>
      <c r="R209" s="11" t="n">
        <v>194</v>
      </c>
      <c r="S209" s="4" t="n"/>
      <c r="T209" s="4" t="inlineStr">
        <is>
          <t>America/Managua</t>
        </is>
      </c>
      <c r="U209" s="126" t="n"/>
      <c r="V209" s="14" t="n"/>
      <c r="W209" s="4" t="n"/>
      <c r="X209" s="4" t="n"/>
      <c r="Y209" s="4" t="n"/>
      <c r="Z209" s="4" t="n"/>
      <c r="AA209" s="4" t="n"/>
      <c r="AB209" s="4" t="n"/>
      <c r="AC209" s="4" t="n"/>
      <c r="AD209" s="4" t="n"/>
      <c r="AE209" s="4" t="n"/>
      <c r="AF209" s="4" t="n"/>
      <c r="AG209" s="4" t="n"/>
      <c r="AH209" s="4" t="n"/>
      <c r="AI209" s="4" t="n"/>
      <c r="AJ209" s="4" t="n"/>
      <c r="AK209" s="4" t="n"/>
      <c r="AL209" s="4" t="n"/>
      <c r="AM209" s="4" t="n"/>
      <c r="AN209" s="4" t="n"/>
      <c r="AO209" s="12" t="n"/>
      <c r="AP209" s="12" t="n"/>
      <c r="AQ209" s="12" t="n"/>
      <c r="AR209" s="12" t="n"/>
      <c r="AS209" s="16" t="n"/>
      <c r="AT209" s="16" t="n"/>
      <c r="AU209" s="4" t="n"/>
      <c r="AV209" s="124" t="n"/>
      <c r="AX209" s="118" t="n"/>
    </row>
    <row r="210">
      <c r="A210" s="4" t="inlineStr">
        <is>
          <t>MPTO</t>
        </is>
      </c>
      <c r="B210" s="4" t="inlineStr">
        <is>
          <t>PTY</t>
        </is>
      </c>
      <c r="C210" s="4" t="n"/>
      <c r="D210" s="4" t="n"/>
      <c r="E210" s="4" t="inlineStr">
        <is>
          <t>Tocumen International Airport</t>
        </is>
      </c>
      <c r="F210" s="4" t="n"/>
      <c r="G210" s="4" t="n"/>
      <c r="H210" s="4" t="n"/>
      <c r="I210" s="4" t="inlineStr">
        <is>
          <t>Tocumen</t>
        </is>
      </c>
      <c r="J210" s="4" t="n"/>
      <c r="K210" s="4" t="n"/>
      <c r="L210" s="4" t="n"/>
      <c r="M210" s="4" t="n"/>
      <c r="N210" s="12" t="n"/>
      <c r="O210" s="125" t="n">
        <v>9.07136</v>
      </c>
      <c r="P210" s="125" t="n">
        <v>-79.3835</v>
      </c>
      <c r="Q210" s="13" t="n"/>
      <c r="R210" s="11" t="n">
        <v>135</v>
      </c>
      <c r="S210" s="4" t="n"/>
      <c r="T210" s="4" t="inlineStr">
        <is>
          <t>America/Panama</t>
        </is>
      </c>
      <c r="U210" s="126" t="n"/>
      <c r="V210" s="14" t="n"/>
      <c r="W210" s="4" t="n"/>
      <c r="X210" s="4" t="n"/>
      <c r="Y210" s="4" t="n"/>
      <c r="Z210" s="4" t="n"/>
      <c r="AA210" s="4" t="n"/>
      <c r="AB210" s="4" t="n"/>
      <c r="AC210" s="4" t="n"/>
      <c r="AD210" s="4" t="n"/>
      <c r="AE210" s="4" t="n"/>
      <c r="AF210" s="4" t="n"/>
      <c r="AG210" s="4" t="n"/>
      <c r="AH210" s="4" t="n"/>
      <c r="AI210" s="4" t="n"/>
      <c r="AJ210" s="4" t="n"/>
      <c r="AK210" s="4" t="n"/>
      <c r="AL210" s="4" t="n"/>
      <c r="AM210" s="4" t="n"/>
      <c r="AN210" s="4" t="n"/>
      <c r="AO210" s="12" t="n"/>
      <c r="AP210" s="12" t="n"/>
      <c r="AQ210" s="12" t="n"/>
      <c r="AR210" s="12" t="n"/>
      <c r="AS210" s="16" t="n"/>
      <c r="AT210" s="16" t="n"/>
      <c r="AU210" s="4" t="n"/>
      <c r="AV210" s="124" t="n"/>
      <c r="AX210" s="118" t="n"/>
    </row>
    <row r="211">
      <c r="A211" s="4" t="inlineStr">
        <is>
          <t>MRLB</t>
        </is>
      </c>
      <c r="B211" s="4" t="inlineStr">
        <is>
          <t>LIR</t>
        </is>
      </c>
      <c r="C211" s="4" t="n"/>
      <c r="D211" s="4" t="n"/>
      <c r="E211" s="4" t="inlineStr">
        <is>
          <t>Daniel Oduber Quirós International Airport</t>
        </is>
      </c>
      <c r="F211" s="4" t="n"/>
      <c r="G211" s="4" t="n"/>
      <c r="H211" s="4" t="n"/>
      <c r="I211" s="4" t="inlineStr">
        <is>
          <t>Liberia</t>
        </is>
      </c>
      <c r="J211" s="4" t="n"/>
      <c r="K211" s="4" t="n"/>
      <c r="L211" s="4" t="n"/>
      <c r="M211" s="4" t="n"/>
      <c r="N211" s="12" t="n"/>
      <c r="O211" s="125" t="n">
        <v>10.5933</v>
      </c>
      <c r="P211" s="125" t="n">
        <v>-85.5444</v>
      </c>
      <c r="Q211" s="13" t="n"/>
      <c r="R211" s="11" t="n">
        <v>270</v>
      </c>
      <c r="S211" s="4" t="n"/>
      <c r="T211" s="4" t="inlineStr">
        <is>
          <t>America/Costa_Rica</t>
        </is>
      </c>
      <c r="U211" s="126" t="n"/>
      <c r="V211" s="14" t="n"/>
      <c r="W211" s="4" t="n"/>
      <c r="X211" s="4" t="n"/>
      <c r="Y211" s="4" t="n"/>
      <c r="Z211" s="4" t="n"/>
      <c r="AA211" s="4" t="n"/>
      <c r="AB211" s="4" t="n"/>
      <c r="AC211" s="4" t="n"/>
      <c r="AD211" s="4" t="n"/>
      <c r="AE211" s="4" t="n"/>
      <c r="AF211" s="4" t="n"/>
      <c r="AG211" s="4" t="n"/>
      <c r="AH211" s="4" t="n"/>
      <c r="AI211" s="4" t="n"/>
      <c r="AJ211" s="4" t="n"/>
      <c r="AK211" s="4" t="n"/>
      <c r="AL211" s="4" t="n"/>
      <c r="AM211" s="4" t="n"/>
      <c r="AN211" s="4" t="n"/>
      <c r="AO211" s="12" t="n"/>
      <c r="AP211" s="12" t="n"/>
      <c r="AQ211" s="12" t="n"/>
      <c r="AR211" s="12" t="n"/>
      <c r="AS211" s="16" t="n"/>
      <c r="AT211" s="16" t="n"/>
      <c r="AU211" s="4" t="n"/>
      <c r="AV211" s="124" t="n"/>
      <c r="AX211" s="118" t="n"/>
    </row>
    <row r="212">
      <c r="A212" s="4" t="inlineStr">
        <is>
          <t>MROC</t>
        </is>
      </c>
      <c r="B212" s="4" t="inlineStr">
        <is>
          <t>SJO</t>
        </is>
      </c>
      <c r="C212" s="4" t="n"/>
      <c r="D212" s="4" t="n"/>
      <c r="E212" s="4" t="inlineStr">
        <is>
          <t>Juan Santamaría International Airport</t>
        </is>
      </c>
      <c r="F212" s="4" t="n"/>
      <c r="G212" s="4" t="n"/>
      <c r="H212" s="4" t="n"/>
      <c r="I212" s="4" t="inlineStr">
        <is>
          <t>San José</t>
        </is>
      </c>
      <c r="J212" s="4" t="n"/>
      <c r="K212" s="4" t="n"/>
      <c r="L212" s="4" t="n"/>
      <c r="M212" s="4" t="n"/>
      <c r="N212" s="12" t="n"/>
      <c r="O212" s="125" t="n">
        <v>9.99386</v>
      </c>
      <c r="P212" s="125" t="n">
        <v>-84.2088</v>
      </c>
      <c r="Q212" s="13" t="n"/>
      <c r="R212" s="11" t="n">
        <v>3021</v>
      </c>
      <c r="S212" s="4" t="n"/>
      <c r="T212" s="4" t="inlineStr">
        <is>
          <t>America/Costa_Rica</t>
        </is>
      </c>
      <c r="U212" s="126" t="n"/>
      <c r="V212" s="14" t="n"/>
      <c r="W212" s="4" t="n"/>
      <c r="X212" s="4" t="n"/>
      <c r="Y212" s="4" t="n"/>
      <c r="Z212" s="4" t="n"/>
      <c r="AA212" s="4" t="n"/>
      <c r="AB212" s="4" t="n"/>
      <c r="AC212" s="4" t="n"/>
      <c r="AD212" s="4" t="n"/>
      <c r="AE212" s="4" t="n"/>
      <c r="AF212" s="4" t="n"/>
      <c r="AG212" s="4" t="n"/>
      <c r="AH212" s="4" t="n"/>
      <c r="AI212" s="4" t="n"/>
      <c r="AJ212" s="4" t="n"/>
      <c r="AK212" s="4" t="n"/>
      <c r="AL212" s="4" t="n"/>
      <c r="AM212" s="4" t="n"/>
      <c r="AN212" s="4" t="n"/>
      <c r="AO212" s="12" t="n"/>
      <c r="AP212" s="12" t="n"/>
      <c r="AQ212" s="12" t="n"/>
      <c r="AR212" s="12" t="n"/>
      <c r="AS212" s="16" t="n"/>
      <c r="AT212" s="16" t="n"/>
      <c r="AU212" s="4" t="n"/>
      <c r="AV212" s="124" t="n"/>
      <c r="AX212" s="118" t="n"/>
    </row>
    <row r="213">
      <c r="A213" s="4" t="inlineStr">
        <is>
          <t>MSLP</t>
        </is>
      </c>
      <c r="B213" s="4" t="inlineStr">
        <is>
          <t>SAL</t>
        </is>
      </c>
      <c r="C213" s="4" t="n"/>
      <c r="D213" s="4" t="n"/>
      <c r="E213" s="4" t="inlineStr">
        <is>
          <t>El Salvador International Airport</t>
        </is>
      </c>
      <c r="F213" s="4" t="n"/>
      <c r="G213" s="4" t="n"/>
      <c r="H213" s="4" t="n"/>
      <c r="I213" s="4" t="inlineStr">
        <is>
          <t>San Luis Talpa</t>
        </is>
      </c>
      <c r="J213" s="4" t="n"/>
      <c r="K213" s="4" t="n"/>
      <c r="L213" s="4" t="n"/>
      <c r="M213" s="4" t="n"/>
      <c r="N213" s="12" t="n"/>
      <c r="O213" s="125" t="n">
        <v>13.44447</v>
      </c>
      <c r="P213" s="125" t="n">
        <v>-89.05578</v>
      </c>
      <c r="Q213" s="13" t="n"/>
      <c r="R213" s="11" t="n">
        <v>101</v>
      </c>
      <c r="S213" s="4" t="n"/>
      <c r="T213" s="4" t="inlineStr">
        <is>
          <t>America/El_Salvador</t>
        </is>
      </c>
      <c r="U213" s="126" t="n"/>
      <c r="V213" s="14" t="n"/>
      <c r="W213" s="4" t="n"/>
      <c r="X213" s="4" t="n"/>
      <c r="Y213" s="4" t="n"/>
      <c r="Z213" s="4" t="n"/>
      <c r="AA213" s="4" t="n"/>
      <c r="AB213" s="4" t="n"/>
      <c r="AC213" s="4" t="n"/>
      <c r="AD213" s="4" t="n"/>
      <c r="AE213" s="4" t="n"/>
      <c r="AF213" s="4" t="n"/>
      <c r="AG213" s="4" t="n"/>
      <c r="AH213" s="4" t="n"/>
      <c r="AI213" s="4" t="n"/>
      <c r="AJ213" s="4" t="n"/>
      <c r="AK213" s="4" t="n"/>
      <c r="AL213" s="4" t="n"/>
      <c r="AM213" s="4" t="n"/>
      <c r="AN213" s="4" t="n"/>
      <c r="AO213" s="12" t="n"/>
      <c r="AP213" s="12" t="n"/>
      <c r="AQ213" s="12" t="n"/>
      <c r="AR213" s="12" t="n"/>
      <c r="AS213" s="16" t="n"/>
      <c r="AT213" s="16" t="n"/>
      <c r="AU213" s="4" t="n"/>
      <c r="AV213" s="124" t="n"/>
      <c r="AX213" s="118" t="n"/>
    </row>
    <row r="214">
      <c r="A214" s="4" t="inlineStr">
        <is>
          <t>MTCH</t>
        </is>
      </c>
      <c r="B214" s="4" t="inlineStr">
        <is>
          <t>CAP</t>
        </is>
      </c>
      <c r="C214" s="4" t="n"/>
      <c r="D214" s="4" t="n"/>
      <c r="E214" s="4" t="inlineStr">
        <is>
          <t>Cap Haitien International Airport</t>
        </is>
      </c>
      <c r="F214" s="4" t="n"/>
      <c r="G214" s="4" t="n"/>
      <c r="H214" s="4" t="n"/>
      <c r="I214" s="4" t="inlineStr">
        <is>
          <t>Cap Haitien</t>
        </is>
      </c>
      <c r="J214" s="4" t="n"/>
      <c r="K214" s="4" t="n"/>
      <c r="L214" s="4" t="n"/>
      <c r="M214" s="4" t="n"/>
      <c r="N214" s="12" t="n"/>
      <c r="O214" s="125" t="n">
        <v>19.72555</v>
      </c>
      <c r="P214" s="125" t="n">
        <v>-72.20071</v>
      </c>
      <c r="Q214" s="13" t="n"/>
      <c r="R214" s="11" t="n">
        <v>10</v>
      </c>
      <c r="S214" s="4" t="n"/>
      <c r="T214" s="4" t="inlineStr">
        <is>
          <t>America/Port-au-Prince</t>
        </is>
      </c>
      <c r="U214" s="126" t="n"/>
      <c r="V214" s="14" t="n"/>
      <c r="W214" s="4" t="n"/>
      <c r="X214" s="4" t="n"/>
      <c r="Y214" s="4" t="n"/>
      <c r="Z214" s="4" t="n"/>
      <c r="AA214" s="4" t="n"/>
      <c r="AB214" s="4" t="n"/>
      <c r="AC214" s="4" t="n"/>
      <c r="AD214" s="4" t="n"/>
      <c r="AE214" s="4" t="n"/>
      <c r="AF214" s="4" t="n"/>
      <c r="AG214" s="4" t="n"/>
      <c r="AH214" s="4" t="n"/>
      <c r="AI214" s="4" t="n"/>
      <c r="AJ214" s="4" t="n"/>
      <c r="AK214" s="4" t="n"/>
      <c r="AL214" s="4" t="n"/>
      <c r="AM214" s="4" t="n"/>
      <c r="AN214" s="4" t="n"/>
      <c r="AO214" s="12" t="n"/>
      <c r="AP214" s="12" t="n"/>
      <c r="AQ214" s="12" t="n"/>
      <c r="AR214" s="12" t="n"/>
      <c r="AS214" s="16" t="n"/>
      <c r="AT214" s="16" t="n"/>
      <c r="AU214" s="4" t="n"/>
      <c r="AV214" s="124" t="n"/>
      <c r="AX214" s="118" t="n"/>
    </row>
    <row r="215">
      <c r="A215" s="4" t="inlineStr">
        <is>
          <t>MTPP</t>
        </is>
      </c>
      <c r="B215" s="4" t="inlineStr">
        <is>
          <t>PAP</t>
        </is>
      </c>
      <c r="C215" s="4" t="n"/>
      <c r="D215" s="4" t="n"/>
      <c r="E215" s="4" t="inlineStr">
        <is>
          <t>Toussaint Louverture International Airport</t>
        </is>
      </c>
      <c r="F215" s="4" t="n"/>
      <c r="G215" s="4" t="n"/>
      <c r="H215" s="4" t="n"/>
      <c r="I215" s="4" t="inlineStr">
        <is>
          <t>Port-au-Prince</t>
        </is>
      </c>
      <c r="J215" s="4" t="n"/>
      <c r="K215" s="4" t="n"/>
      <c r="L215" s="4" t="n"/>
      <c r="M215" s="4" t="n"/>
      <c r="N215" s="12" t="n"/>
      <c r="O215" s="125" t="n">
        <v>18.58002</v>
      </c>
      <c r="P215" s="125" t="n">
        <v>-72.29259999999999</v>
      </c>
      <c r="Q215" s="13" t="n"/>
      <c r="R215" s="11" t="n">
        <v>122</v>
      </c>
      <c r="S215" s="4" t="n"/>
      <c r="T215" s="4" t="inlineStr">
        <is>
          <t>America/Port-au-Prince</t>
        </is>
      </c>
      <c r="U215" s="126" t="n"/>
      <c r="V215" s="14" t="n"/>
      <c r="W215" s="4" t="n"/>
      <c r="X215" s="4" t="n"/>
      <c r="Y215" s="4" t="n"/>
      <c r="Z215" s="4" t="n"/>
      <c r="AA215" s="4" t="n"/>
      <c r="AB215" s="4" t="n"/>
      <c r="AC215" s="4" t="n"/>
      <c r="AD215" s="4" t="n"/>
      <c r="AE215" s="4" t="n"/>
      <c r="AF215" s="4" t="n"/>
      <c r="AG215" s="4" t="n"/>
      <c r="AH215" s="4" t="n"/>
      <c r="AI215" s="4" t="n"/>
      <c r="AJ215" s="4" t="n"/>
      <c r="AK215" s="4" t="n"/>
      <c r="AL215" s="4" t="n"/>
      <c r="AM215" s="4" t="n"/>
      <c r="AN215" s="4" t="n"/>
      <c r="AO215" s="12" t="n"/>
      <c r="AP215" s="12" t="n"/>
      <c r="AQ215" s="12" t="n"/>
      <c r="AR215" s="12" t="n"/>
      <c r="AS215" s="16" t="n"/>
      <c r="AT215" s="16" t="n"/>
      <c r="AU215" s="4" t="n"/>
      <c r="AV215" s="124" t="n"/>
      <c r="AX215" s="118" t="n"/>
    </row>
    <row r="216">
      <c r="A216" s="4" t="inlineStr">
        <is>
          <t>MUCM</t>
        </is>
      </c>
      <c r="B216" s="4" t="inlineStr">
        <is>
          <t>CMW</t>
        </is>
      </c>
      <c r="C216" s="4" t="n"/>
      <c r="D216" s="4" t="n"/>
      <c r="E216" s="4" t="inlineStr">
        <is>
          <t>Ignacio Agramonte International Airport</t>
        </is>
      </c>
      <c r="F216" s="4" t="n"/>
      <c r="G216" s="4" t="n"/>
      <c r="H216" s="4" t="n"/>
      <c r="I216" s="4" t="inlineStr">
        <is>
          <t>Camaguey</t>
        </is>
      </c>
      <c r="J216" s="4" t="n"/>
      <c r="K216" s="4" t="n"/>
      <c r="L216" s="4" t="n"/>
      <c r="M216" s="4" t="n"/>
      <c r="N216" s="12" t="n"/>
      <c r="O216" s="125" t="n">
        <v>21.41991</v>
      </c>
      <c r="P216" s="125" t="n">
        <v>-77.84804</v>
      </c>
      <c r="Q216" s="13" t="n"/>
      <c r="R216" s="11" t="n">
        <v>413</v>
      </c>
      <c r="S216" s="4" t="n"/>
      <c r="T216" s="4" t="inlineStr">
        <is>
          <t>America/Havana</t>
        </is>
      </c>
      <c r="U216" s="126" t="n"/>
      <c r="V216" s="14" t="n"/>
      <c r="W216" s="4" t="n"/>
      <c r="X216" s="4" t="n"/>
      <c r="Y216" s="4" t="n"/>
      <c r="Z216" s="4" t="n"/>
      <c r="AA216" s="4" t="n"/>
      <c r="AB216" s="4" t="n"/>
      <c r="AC216" s="4" t="n"/>
      <c r="AD216" s="4" t="n"/>
      <c r="AE216" s="4" t="n"/>
      <c r="AF216" s="4" t="n"/>
      <c r="AG216" s="4" t="n"/>
      <c r="AH216" s="4" t="n"/>
      <c r="AI216" s="4" t="n"/>
      <c r="AJ216" s="4" t="n"/>
      <c r="AK216" s="4" t="n"/>
      <c r="AL216" s="4" t="n"/>
      <c r="AM216" s="4" t="n"/>
      <c r="AN216" s="4" t="n"/>
      <c r="AO216" s="12" t="n"/>
      <c r="AP216" s="12" t="n"/>
      <c r="AQ216" s="12" t="n"/>
      <c r="AR216" s="12" t="n"/>
      <c r="AS216" s="16" t="n"/>
      <c r="AT216" s="16" t="n"/>
      <c r="AU216" s="4" t="n"/>
      <c r="AV216" s="124" t="n"/>
      <c r="AX216" s="118" t="n"/>
    </row>
    <row r="217">
      <c r="A217" s="4" t="inlineStr">
        <is>
          <t>MUCU</t>
        </is>
      </c>
      <c r="B217" s="4" t="inlineStr">
        <is>
          <t>SCU</t>
        </is>
      </c>
      <c r="C217" s="4" t="n"/>
      <c r="D217" s="4" t="n"/>
      <c r="E217" s="4" t="inlineStr">
        <is>
          <t>Antonio Maceo International Airport</t>
        </is>
      </c>
      <c r="F217" s="4" t="n"/>
      <c r="G217" s="4" t="n"/>
      <c r="H217" s="4" t="n"/>
      <c r="I217" s="4" t="inlineStr">
        <is>
          <t>Santiago</t>
        </is>
      </c>
      <c r="J217" s="4" t="n"/>
      <c r="K217" s="4" t="n"/>
      <c r="L217" s="4" t="n"/>
      <c r="M217" s="4" t="n"/>
      <c r="N217" s="12" t="n"/>
      <c r="O217" s="125" t="n">
        <v>19.97474</v>
      </c>
      <c r="P217" s="125" t="n">
        <v>-75.8355</v>
      </c>
      <c r="Q217" s="13" t="n"/>
      <c r="R217" s="11" t="n">
        <v>249</v>
      </c>
      <c r="S217" s="4" t="n"/>
      <c r="T217" s="4" t="inlineStr">
        <is>
          <t>America/Havana</t>
        </is>
      </c>
      <c r="U217" s="126" t="n"/>
      <c r="V217" s="14" t="n"/>
      <c r="W217" s="4" t="n"/>
      <c r="X217" s="4" t="n"/>
      <c r="Y217" s="4" t="n"/>
      <c r="Z217" s="4" t="n"/>
      <c r="AA217" s="4" t="n"/>
      <c r="AB217" s="4" t="n"/>
      <c r="AC217" s="4" t="n"/>
      <c r="AD217" s="4" t="n"/>
      <c r="AE217" s="4" t="n"/>
      <c r="AF217" s="4" t="n"/>
      <c r="AG217" s="4" t="n"/>
      <c r="AH217" s="4" t="n"/>
      <c r="AI217" s="4" t="n"/>
      <c r="AJ217" s="4" t="n"/>
      <c r="AK217" s="4" t="n"/>
      <c r="AL217" s="4" t="n"/>
      <c r="AM217" s="4" t="n"/>
      <c r="AN217" s="4" t="n"/>
      <c r="AO217" s="12" t="n"/>
      <c r="AP217" s="12" t="n"/>
      <c r="AQ217" s="12" t="n"/>
      <c r="AR217" s="12" t="n"/>
      <c r="AS217" s="16" t="n"/>
      <c r="AT217" s="16" t="n"/>
      <c r="AU217" s="4" t="n"/>
      <c r="AV217" s="124" t="n"/>
      <c r="AX217" s="118" t="n"/>
    </row>
    <row r="218">
      <c r="A218" s="4" t="inlineStr">
        <is>
          <t>MWCR</t>
        </is>
      </c>
      <c r="B218" s="4" t="inlineStr">
        <is>
          <t>GCM</t>
        </is>
      </c>
      <c r="C218" s="4" t="n"/>
      <c r="D218" s="4" t="n"/>
      <c r="E218" s="4" t="inlineStr">
        <is>
          <t>Owen Roberts International Airport</t>
        </is>
      </c>
      <c r="F218" s="4" t="n"/>
      <c r="G218" s="4" t="n"/>
      <c r="H218" s="4" t="n"/>
      <c r="I218" s="4" t="inlineStr">
        <is>
          <t>George Town</t>
        </is>
      </c>
      <c r="J218" s="4" t="n"/>
      <c r="K218" s="4" t="n"/>
      <c r="L218" s="4" t="n"/>
      <c r="M218" s="4" t="n"/>
      <c r="N218" s="12" t="n"/>
      <c r="O218" s="125" t="n">
        <v>19.2928</v>
      </c>
      <c r="P218" s="125" t="n">
        <v>-81.35769999999999</v>
      </c>
      <c r="Q218" s="13" t="n"/>
      <c r="R218" s="11" t="n">
        <v>8</v>
      </c>
      <c r="S218" s="4" t="n"/>
      <c r="T218" s="4" t="inlineStr">
        <is>
          <t>America/Cayman</t>
        </is>
      </c>
      <c r="U218" s="126" t="n"/>
      <c r="V218" s="14" t="n"/>
      <c r="W218" s="4" t="n"/>
      <c r="X218" s="4" t="n"/>
      <c r="Y218" s="4" t="n"/>
      <c r="Z218" s="4" t="n"/>
      <c r="AA218" s="4" t="n"/>
      <c r="AB218" s="4" t="n"/>
      <c r="AC218" s="4" t="n"/>
      <c r="AD218" s="4" t="n"/>
      <c r="AE218" s="4" t="n"/>
      <c r="AF218" s="4" t="n"/>
      <c r="AG218" s="4" t="n"/>
      <c r="AH218" s="4" t="n"/>
      <c r="AI218" s="4" t="n"/>
      <c r="AJ218" s="4" t="n"/>
      <c r="AK218" s="4" t="n"/>
      <c r="AL218" s="4" t="n"/>
      <c r="AM218" s="4" t="n"/>
      <c r="AN218" s="4" t="n"/>
      <c r="AO218" s="12" t="n"/>
      <c r="AP218" s="12" t="n"/>
      <c r="AQ218" s="12" t="n"/>
      <c r="AR218" s="12" t="n"/>
      <c r="AS218" s="16" t="n"/>
      <c r="AT218" s="16" t="n"/>
      <c r="AU218" s="4" t="n"/>
      <c r="AV218" s="124" t="n"/>
      <c r="AX218" s="118" t="n"/>
    </row>
    <row r="219">
      <c r="A219" s="4" t="inlineStr">
        <is>
          <t>MYGF</t>
        </is>
      </c>
      <c r="B219" s="4" t="inlineStr">
        <is>
          <t>FPO</t>
        </is>
      </c>
      <c r="C219" s="4" t="n"/>
      <c r="D219" s="4" t="n"/>
      <c r="E219" s="4" t="inlineStr">
        <is>
          <t>Grand Bahama International Airport</t>
        </is>
      </c>
      <c r="F219" s="4" t="n"/>
      <c r="G219" s="4" t="n"/>
      <c r="H219" s="4" t="n"/>
      <c r="I219" s="4" t="inlineStr">
        <is>
          <t>Freeport</t>
        </is>
      </c>
      <c r="J219" s="4" t="n"/>
      <c r="K219" s="4" t="n"/>
      <c r="L219" s="4" t="n"/>
      <c r="M219" s="4" t="n"/>
      <c r="N219" s="12" t="n"/>
      <c r="O219" s="125" t="n">
        <v>26.558</v>
      </c>
      <c r="P219" s="125" t="n">
        <v>-78.69558000000001</v>
      </c>
      <c r="Q219" s="13" t="n"/>
      <c r="R219" s="11" t="n">
        <v>7</v>
      </c>
      <c r="S219" s="4" t="n"/>
      <c r="T219" s="4" t="inlineStr">
        <is>
          <t>America/Nassau</t>
        </is>
      </c>
      <c r="U219" s="126" t="n"/>
      <c r="V219" s="14" t="n"/>
      <c r="W219" s="4" t="n"/>
      <c r="X219" s="4" t="n"/>
      <c r="Y219" s="4" t="n"/>
      <c r="Z219" s="4" t="n"/>
      <c r="AA219" s="4" t="n"/>
      <c r="AB219" s="4" t="n"/>
      <c r="AC219" s="4" t="n"/>
      <c r="AD219" s="4" t="n"/>
      <c r="AE219" s="4" t="n"/>
      <c r="AF219" s="4" t="n"/>
      <c r="AG219" s="4" t="n"/>
      <c r="AH219" s="4" t="n"/>
      <c r="AI219" s="4" t="n"/>
      <c r="AJ219" s="4" t="n"/>
      <c r="AK219" s="4" t="n"/>
      <c r="AL219" s="4" t="n"/>
      <c r="AM219" s="4" t="n"/>
      <c r="AN219" s="4" t="n"/>
      <c r="AO219" s="12" t="n"/>
      <c r="AP219" s="12" t="n"/>
      <c r="AQ219" s="12" t="n"/>
      <c r="AR219" s="12" t="n"/>
      <c r="AS219" s="16" t="n"/>
      <c r="AT219" s="16" t="n"/>
      <c r="AU219" s="4" t="n"/>
      <c r="AV219" s="124" t="n"/>
      <c r="AX219" s="118" t="n"/>
    </row>
    <row r="220">
      <c r="A220" s="4" t="inlineStr">
        <is>
          <t>MYNN</t>
        </is>
      </c>
      <c r="B220" s="4" t="inlineStr">
        <is>
          <t>NAS</t>
        </is>
      </c>
      <c r="C220" s="4" t="n"/>
      <c r="D220" s="4" t="n"/>
      <c r="E220" s="4" t="inlineStr">
        <is>
          <t>Lynden Pindling International Airport</t>
        </is>
      </c>
      <c r="F220" s="4" t="n"/>
      <c r="G220" s="4" t="n"/>
      <c r="H220" s="4" t="n"/>
      <c r="I220" s="4" t="inlineStr">
        <is>
          <t>Nassau</t>
        </is>
      </c>
      <c r="J220" s="4" t="n"/>
      <c r="K220" s="4" t="n"/>
      <c r="L220" s="4" t="n"/>
      <c r="M220" s="4" t="n"/>
      <c r="N220" s="12" t="n"/>
      <c r="O220" s="125" t="n">
        <v>25.039</v>
      </c>
      <c r="P220" s="125" t="n">
        <v>-77.4662</v>
      </c>
      <c r="Q220" s="13" t="n"/>
      <c r="R220" s="11" t="n">
        <v>16</v>
      </c>
      <c r="S220" s="4" t="n"/>
      <c r="T220" s="4" t="inlineStr">
        <is>
          <t>America/Nassau</t>
        </is>
      </c>
      <c r="U220" s="126" t="n"/>
      <c r="V220" s="14" t="n"/>
      <c r="W220" s="4" t="n"/>
      <c r="X220" s="4" t="n"/>
      <c r="Y220" s="4" t="n"/>
      <c r="Z220" s="4" t="n"/>
      <c r="AA220" s="4" t="n"/>
      <c r="AB220" s="4" t="n"/>
      <c r="AC220" s="4" t="n"/>
      <c r="AD220" s="4" t="n"/>
      <c r="AE220" s="4" t="n"/>
      <c r="AF220" s="4" t="n"/>
      <c r="AG220" s="4" t="n"/>
      <c r="AH220" s="4" t="n"/>
      <c r="AI220" s="4" t="n"/>
      <c r="AJ220" s="4" t="n"/>
      <c r="AK220" s="4" t="n"/>
      <c r="AL220" s="4" t="n"/>
      <c r="AM220" s="4" t="n"/>
      <c r="AN220" s="4" t="n"/>
      <c r="AO220" s="12" t="n"/>
      <c r="AP220" s="12" t="n"/>
      <c r="AQ220" s="12" t="n"/>
      <c r="AR220" s="12" t="n"/>
      <c r="AS220" s="16" t="n"/>
      <c r="AT220" s="16" t="n"/>
      <c r="AU220" s="4" t="n"/>
      <c r="AV220" s="124" t="n"/>
      <c r="AX220" s="118" t="n"/>
    </row>
    <row r="221">
      <c r="A221" s="4" t="inlineStr">
        <is>
          <t>MZBZ</t>
        </is>
      </c>
      <c r="B221" s="4" t="inlineStr">
        <is>
          <t>BZE</t>
        </is>
      </c>
      <c r="C221" s="4" t="n"/>
      <c r="D221" s="4" t="n"/>
      <c r="E221" s="4" t="inlineStr">
        <is>
          <t>Philip S. W. Goldson International Airport</t>
        </is>
      </c>
      <c r="F221" s="4" t="n"/>
      <c r="G221" s="4" t="n"/>
      <c r="H221" s="4" t="n"/>
      <c r="I221" s="4" t="inlineStr">
        <is>
          <t>Belize City</t>
        </is>
      </c>
      <c r="J221" s="4" t="n"/>
      <c r="K221" s="4" t="n"/>
      <c r="L221" s="4" t="n"/>
      <c r="M221" s="4" t="n"/>
      <c r="N221" s="12" t="n"/>
      <c r="O221" s="125" t="n">
        <v>17.53995</v>
      </c>
      <c r="P221" s="125" t="n">
        <v>-88.30356</v>
      </c>
      <c r="Q221" s="13" t="n"/>
      <c r="R221" s="11" t="n">
        <v>15</v>
      </c>
      <c r="S221" s="4" t="n"/>
      <c r="T221" s="4" t="inlineStr">
        <is>
          <t>America/Belize</t>
        </is>
      </c>
      <c r="U221" s="126" t="n"/>
      <c r="V221" s="14" t="n"/>
      <c r="W221" s="4" t="n"/>
      <c r="X221" s="4" t="n"/>
      <c r="Y221" s="4" t="n"/>
      <c r="Z221" s="4" t="n"/>
      <c r="AA221" s="4" t="n"/>
      <c r="AB221" s="4" t="n"/>
      <c r="AC221" s="4" t="n"/>
      <c r="AD221" s="4" t="n"/>
      <c r="AE221" s="4" t="n"/>
      <c r="AF221" s="4" t="n"/>
      <c r="AG221" s="4" t="n"/>
      <c r="AH221" s="4" t="n"/>
      <c r="AI221" s="4" t="n"/>
      <c r="AJ221" s="4" t="n"/>
      <c r="AK221" s="4" t="n"/>
      <c r="AL221" s="4" t="n"/>
      <c r="AM221" s="4" t="n"/>
      <c r="AN221" s="4" t="n"/>
      <c r="AO221" s="12" t="n"/>
      <c r="AP221" s="12" t="n"/>
      <c r="AQ221" s="12" t="n"/>
      <c r="AR221" s="12" t="n"/>
      <c r="AS221" s="16" t="n"/>
      <c r="AT221" s="16" t="n"/>
      <c r="AU221" s="4" t="n"/>
      <c r="AV221" s="124" t="n"/>
      <c r="AX221" s="118" t="n"/>
    </row>
    <row r="222">
      <c r="A222" s="4" t="inlineStr">
        <is>
          <t>NCRG</t>
        </is>
      </c>
      <c r="B222" s="4" t="inlineStr">
        <is>
          <t>RAR</t>
        </is>
      </c>
      <c r="C222" s="4" t="n"/>
      <c r="D222" s="4" t="n"/>
      <c r="E222" s="4" t="inlineStr">
        <is>
          <t>Rarotonga International Airport</t>
        </is>
      </c>
      <c r="F222" s="4" t="n"/>
      <c r="G222" s="4" t="n"/>
      <c r="H222" s="4" t="n"/>
      <c r="I222" s="4" t="inlineStr">
        <is>
          <t>Avarua</t>
        </is>
      </c>
      <c r="J222" s="4" t="n"/>
      <c r="K222" s="4" t="n"/>
      <c r="L222" s="4" t="n"/>
      <c r="M222" s="4" t="n"/>
      <c r="N222" s="12" t="n"/>
      <c r="O222" s="125" t="n">
        <v>-21.2027</v>
      </c>
      <c r="P222" s="125" t="n">
        <v>-159.806</v>
      </c>
      <c r="Q222" s="13" t="n"/>
      <c r="R222" s="11" t="n">
        <v>19</v>
      </c>
      <c r="S222" s="4" t="n"/>
      <c r="T222" s="4" t="inlineStr">
        <is>
          <t>Pacific/Rarotonga</t>
        </is>
      </c>
      <c r="U222" s="126" t="n"/>
      <c r="V222" s="14" t="n"/>
      <c r="W222" s="4" t="n"/>
      <c r="X222" s="4" t="n"/>
      <c r="Y222" s="4" t="n"/>
      <c r="Z222" s="4" t="n"/>
      <c r="AA222" s="4" t="n"/>
      <c r="AB222" s="4" t="n"/>
      <c r="AC222" s="4" t="n"/>
      <c r="AD222" s="4" t="n"/>
      <c r="AE222" s="4" t="n"/>
      <c r="AF222" s="4" t="n"/>
      <c r="AG222" s="4" t="n"/>
      <c r="AH222" s="4" t="n"/>
      <c r="AI222" s="4" t="n"/>
      <c r="AJ222" s="4" t="n"/>
      <c r="AK222" s="4" t="n"/>
      <c r="AL222" s="4" t="n"/>
      <c r="AM222" s="4" t="n"/>
      <c r="AN222" s="4" t="n"/>
      <c r="AO222" s="12" t="n"/>
      <c r="AP222" s="12" t="n"/>
      <c r="AQ222" s="12" t="n"/>
      <c r="AR222" s="12" t="n"/>
      <c r="AS222" s="16" t="n"/>
      <c r="AT222" s="16" t="n"/>
      <c r="AU222" s="4" t="n"/>
      <c r="AV222" s="124" t="n"/>
      <c r="AX222" s="118" t="n"/>
    </row>
    <row r="223">
      <c r="A223" s="4" t="inlineStr">
        <is>
          <t>NFFN</t>
        </is>
      </c>
      <c r="B223" s="4" t="inlineStr">
        <is>
          <t>NAN</t>
        </is>
      </c>
      <c r="C223" s="4" t="n"/>
      <c r="D223" s="4" t="n"/>
      <c r="E223" s="4" t="inlineStr">
        <is>
          <t>Nadi International Airport</t>
        </is>
      </c>
      <c r="F223" s="4" t="n"/>
      <c r="G223" s="4" t="n"/>
      <c r="H223" s="4" t="n"/>
      <c r="I223" s="4" t="inlineStr">
        <is>
          <t>Nadi</t>
        </is>
      </c>
      <c r="J223" s="4" t="n"/>
      <c r="K223" s="4" t="n"/>
      <c r="L223" s="4" t="n"/>
      <c r="M223" s="4" t="n"/>
      <c r="N223" s="12" t="n"/>
      <c r="O223" s="125" t="n">
        <v>-17.76182</v>
      </c>
      <c r="P223" s="125" t="n">
        <v>177.43784</v>
      </c>
      <c r="Q223" s="13" t="n"/>
      <c r="R223" s="11" t="n">
        <v>59</v>
      </c>
      <c r="S223" s="4" t="n"/>
      <c r="T223" s="4" t="inlineStr">
        <is>
          <t>Pacific/Fiji</t>
        </is>
      </c>
      <c r="U223" s="126" t="n"/>
      <c r="V223" s="14" t="n"/>
      <c r="W223" s="4" t="n"/>
      <c r="X223" s="4" t="n"/>
      <c r="Y223" s="4" t="n"/>
      <c r="Z223" s="4" t="n"/>
      <c r="AA223" s="4" t="n"/>
      <c r="AB223" s="4" t="n"/>
      <c r="AC223" s="4" t="n"/>
      <c r="AD223" s="4" t="n"/>
      <c r="AE223" s="4" t="n"/>
      <c r="AF223" s="4" t="n"/>
      <c r="AG223" s="4" t="n"/>
      <c r="AH223" s="4" t="n"/>
      <c r="AI223" s="4" t="n"/>
      <c r="AJ223" s="4" t="n"/>
      <c r="AK223" s="4" t="n"/>
      <c r="AL223" s="4" t="n"/>
      <c r="AM223" s="4" t="n"/>
      <c r="AN223" s="4" t="n"/>
      <c r="AO223" s="12" t="n"/>
      <c r="AP223" s="12" t="n"/>
      <c r="AQ223" s="12" t="n"/>
      <c r="AR223" s="12" t="n"/>
      <c r="AS223" s="16" t="n"/>
      <c r="AT223" s="16" t="n"/>
      <c r="AU223" s="4" t="n"/>
      <c r="AV223" s="124" t="n"/>
      <c r="AX223" s="118" t="n"/>
    </row>
    <row r="224">
      <c r="A224" s="4" t="inlineStr">
        <is>
          <t>NFNA</t>
        </is>
      </c>
      <c r="B224" s="4" t="inlineStr">
        <is>
          <t>SUV</t>
        </is>
      </c>
      <c r="C224" s="4" t="n"/>
      <c r="D224" s="4" t="n"/>
      <c r="E224" s="4" t="inlineStr">
        <is>
          <t>Nausori International Airport</t>
        </is>
      </c>
      <c r="F224" s="4" t="n"/>
      <c r="G224" s="4" t="n"/>
      <c r="H224" s="4" t="n"/>
      <c r="I224" s="4" t="inlineStr">
        <is>
          <t>Nausori</t>
        </is>
      </c>
      <c r="J224" s="4" t="n"/>
      <c r="K224" s="4" t="n"/>
      <c r="L224" s="4" t="n"/>
      <c r="M224" s="4" t="n"/>
      <c r="N224" s="12" t="n"/>
      <c r="O224" s="125" t="n">
        <v>-18.04423</v>
      </c>
      <c r="P224" s="125" t="n">
        <v>178.56149</v>
      </c>
      <c r="Q224" s="13" t="n"/>
      <c r="R224" s="11" t="n">
        <v>17</v>
      </c>
      <c r="S224" s="4" t="n"/>
      <c r="T224" s="4" t="inlineStr">
        <is>
          <t>Pacific/Fiji</t>
        </is>
      </c>
      <c r="U224" s="126" t="n"/>
      <c r="V224" s="14" t="n"/>
      <c r="W224" s="4" t="n"/>
      <c r="X224" s="4" t="n"/>
      <c r="Y224" s="4" t="n"/>
      <c r="Z224" s="4" t="n"/>
      <c r="AA224" s="4" t="n"/>
      <c r="AB224" s="4" t="n"/>
      <c r="AC224" s="4" t="n"/>
      <c r="AD224" s="4" t="n"/>
      <c r="AE224" s="4" t="n"/>
      <c r="AF224" s="4" t="n"/>
      <c r="AG224" s="4" t="n"/>
      <c r="AH224" s="4" t="n"/>
      <c r="AI224" s="4" t="n"/>
      <c r="AJ224" s="4" t="n"/>
      <c r="AK224" s="4" t="n"/>
      <c r="AL224" s="4" t="n"/>
      <c r="AM224" s="4" t="n"/>
      <c r="AN224" s="4" t="n"/>
      <c r="AO224" s="12" t="n"/>
      <c r="AP224" s="12" t="n"/>
      <c r="AQ224" s="12" t="n"/>
      <c r="AR224" s="12" t="n"/>
      <c r="AS224" s="16" t="n"/>
      <c r="AT224" s="16" t="n"/>
      <c r="AU224" s="4" t="n"/>
      <c r="AV224" s="124" t="n"/>
      <c r="AX224" s="118" t="n"/>
    </row>
    <row r="225">
      <c r="A225" s="4" t="inlineStr">
        <is>
          <t>NFTF</t>
        </is>
      </c>
      <c r="B225" s="4" t="inlineStr">
        <is>
          <t>TBU</t>
        </is>
      </c>
      <c r="C225" s="4" t="n"/>
      <c r="D225" s="4" t="n"/>
      <c r="E225" s="4" t="inlineStr">
        <is>
          <t>Fua'amotu International Airport</t>
        </is>
      </c>
      <c r="F225" s="4" t="n"/>
      <c r="G225" s="4" t="n"/>
      <c r="H225" s="4" t="n"/>
      <c r="I225" s="4" t="inlineStr">
        <is>
          <t>Nuku'alofa</t>
        </is>
      </c>
      <c r="J225" s="4" t="n"/>
      <c r="K225" s="4" t="n"/>
      <c r="L225" s="4" t="n"/>
      <c r="M225" s="4" t="n"/>
      <c r="N225" s="12" t="n"/>
      <c r="O225" s="125" t="n">
        <v>-21.24144</v>
      </c>
      <c r="P225" s="125" t="n">
        <v>-175.14916</v>
      </c>
      <c r="Q225" s="13" t="n"/>
      <c r="R225" s="11" t="n">
        <v>126</v>
      </c>
      <c r="S225" s="4" t="n"/>
      <c r="T225" s="4" t="inlineStr">
        <is>
          <t>Pacific/Tongatapu</t>
        </is>
      </c>
      <c r="U225" s="126" t="n"/>
      <c r="V225" s="14" t="n"/>
      <c r="W225" s="4" t="n"/>
      <c r="X225" s="4" t="n"/>
      <c r="Y225" s="4" t="n"/>
      <c r="Z225" s="4" t="n"/>
      <c r="AA225" s="4" t="n"/>
      <c r="AB225" s="4" t="n"/>
      <c r="AC225" s="4" t="n"/>
      <c r="AD225" s="4" t="n"/>
      <c r="AE225" s="4" t="n"/>
      <c r="AF225" s="4" t="n"/>
      <c r="AG225" s="4" t="n"/>
      <c r="AH225" s="4" t="n"/>
      <c r="AI225" s="4" t="n"/>
      <c r="AJ225" s="4" t="n"/>
      <c r="AK225" s="4" t="n"/>
      <c r="AL225" s="4" t="n"/>
      <c r="AM225" s="4" t="n"/>
      <c r="AN225" s="4" t="n"/>
      <c r="AO225" s="12" t="n"/>
      <c r="AP225" s="12" t="n"/>
      <c r="AQ225" s="12" t="n"/>
      <c r="AR225" s="12" t="n"/>
      <c r="AS225" s="16" t="n"/>
      <c r="AT225" s="16" t="n"/>
      <c r="AU225" s="4" t="n"/>
      <c r="AV225" s="124" t="n"/>
      <c r="AX225" s="118" t="n"/>
    </row>
    <row r="226">
      <c r="A226" s="4" t="inlineStr">
        <is>
          <t>NFTV</t>
        </is>
      </c>
      <c r="B226" s="4" t="inlineStr">
        <is>
          <t>VAV</t>
        </is>
      </c>
      <c r="C226" s="4" t="n"/>
      <c r="D226" s="4" t="n"/>
      <c r="E226" s="4" t="inlineStr">
        <is>
          <t>Vava'u International Airport</t>
        </is>
      </c>
      <c r="F226" s="4" t="n"/>
      <c r="G226" s="4" t="n"/>
      <c r="H226" s="4" t="n"/>
      <c r="I226" s="4" t="inlineStr">
        <is>
          <t>Vava'u Island</t>
        </is>
      </c>
      <c r="J226" s="4" t="n"/>
      <c r="K226" s="4" t="n"/>
      <c r="L226" s="4" t="n"/>
      <c r="M226" s="4" t="n"/>
      <c r="N226" s="12" t="n"/>
      <c r="O226" s="125" t="n">
        <v>-18.5853</v>
      </c>
      <c r="P226" s="125" t="n">
        <v>-173.96201</v>
      </c>
      <c r="Q226" s="13" t="n"/>
      <c r="R226" s="11" t="n">
        <v>236</v>
      </c>
      <c r="S226" s="4" t="n"/>
      <c r="T226" s="4" t="inlineStr">
        <is>
          <t>Pacific/Tongatapu</t>
        </is>
      </c>
      <c r="U226" s="126" t="n"/>
      <c r="V226" s="14" t="n"/>
      <c r="W226" s="4" t="n"/>
      <c r="X226" s="4" t="n"/>
      <c r="Y226" s="4" t="n"/>
      <c r="Z226" s="4" t="n"/>
      <c r="AA226" s="4" t="n"/>
      <c r="AB226" s="4" t="n"/>
      <c r="AC226" s="4" t="n"/>
      <c r="AD226" s="4" t="n"/>
      <c r="AE226" s="4" t="n"/>
      <c r="AF226" s="4" t="n"/>
      <c r="AG226" s="4" t="n"/>
      <c r="AH226" s="4" t="n"/>
      <c r="AI226" s="4" t="n"/>
      <c r="AJ226" s="4" t="n"/>
      <c r="AK226" s="4" t="n"/>
      <c r="AL226" s="4" t="n"/>
      <c r="AM226" s="4" t="n"/>
      <c r="AN226" s="4" t="n"/>
      <c r="AO226" s="12" t="n"/>
      <c r="AP226" s="12" t="n"/>
      <c r="AQ226" s="12" t="n"/>
      <c r="AR226" s="12" t="n"/>
      <c r="AS226" s="16" t="n"/>
      <c r="AT226" s="16" t="n"/>
      <c r="AU226" s="4" t="n"/>
      <c r="AV226" s="124" t="n"/>
      <c r="AX226" s="118" t="n"/>
    </row>
    <row r="227">
      <c r="A227" s="4" t="inlineStr">
        <is>
          <t>NGTA</t>
        </is>
      </c>
      <c r="B227" s="4" t="inlineStr">
        <is>
          <t>TRW</t>
        </is>
      </c>
      <c r="C227" s="4" t="n"/>
      <c r="D227" s="4" t="n"/>
      <c r="E227" s="4" t="inlineStr">
        <is>
          <t>Bonriki International Airport</t>
        </is>
      </c>
      <c r="F227" s="4" t="n"/>
      <c r="G227" s="4" t="n"/>
      <c r="H227" s="4" t="n"/>
      <c r="I227" s="4" t="inlineStr">
        <is>
          <t>South Tarawa</t>
        </is>
      </c>
      <c r="J227" s="4" t="n"/>
      <c r="K227" s="4" t="n"/>
      <c r="L227" s="4" t="n"/>
      <c r="M227" s="4" t="n"/>
      <c r="N227" s="12" t="n"/>
      <c r="O227" s="125" t="n">
        <v>1.38164</v>
      </c>
      <c r="P227" s="125" t="n">
        <v>173.147</v>
      </c>
      <c r="Q227" s="13" t="n"/>
      <c r="R227" s="11" t="n">
        <v>9</v>
      </c>
      <c r="S227" s="4" t="n"/>
      <c r="T227" s="4" t="inlineStr">
        <is>
          <t>Pacific/Tarawa</t>
        </is>
      </c>
      <c r="U227" s="126" t="n"/>
      <c r="V227" s="14" t="n"/>
      <c r="W227" s="4" t="n"/>
      <c r="X227" s="4" t="n"/>
      <c r="Y227" s="4" t="n"/>
      <c r="Z227" s="4" t="n"/>
      <c r="AA227" s="4" t="n"/>
      <c r="AB227" s="4" t="n"/>
      <c r="AC227" s="4" t="n"/>
      <c r="AD227" s="4" t="n"/>
      <c r="AE227" s="4" t="n"/>
      <c r="AF227" s="4" t="n"/>
      <c r="AG227" s="4" t="n"/>
      <c r="AH227" s="4" t="n"/>
      <c r="AI227" s="4" t="n"/>
      <c r="AJ227" s="4" t="n"/>
      <c r="AK227" s="4" t="n"/>
      <c r="AL227" s="4" t="n"/>
      <c r="AM227" s="4" t="n"/>
      <c r="AN227" s="4" t="n"/>
      <c r="AO227" s="12" t="n"/>
      <c r="AP227" s="12" t="n"/>
      <c r="AQ227" s="12" t="n"/>
      <c r="AR227" s="12" t="n"/>
      <c r="AS227" s="16" t="n"/>
      <c r="AT227" s="16" t="n"/>
      <c r="AU227" s="4" t="n"/>
      <c r="AV227" s="124" t="n"/>
      <c r="AX227" s="118" t="n"/>
    </row>
    <row r="228">
      <c r="A228" s="4" t="inlineStr">
        <is>
          <t>NLWW</t>
        </is>
      </c>
      <c r="B228" s="4" t="inlineStr">
        <is>
          <t>WLS</t>
        </is>
      </c>
      <c r="C228" s="4" t="n"/>
      <c r="D228" s="4" t="n"/>
      <c r="E228" s="4" t="inlineStr">
        <is>
          <t>Hihifo Airport</t>
        </is>
      </c>
      <c r="F228" s="4" t="n"/>
      <c r="G228" s="4" t="n"/>
      <c r="H228" s="4" t="n"/>
      <c r="I228" s="4" t="inlineStr">
        <is>
          <t>Wallis Island</t>
        </is>
      </c>
      <c r="J228" s="4" t="n"/>
      <c r="K228" s="4" t="n"/>
      <c r="L228" s="4" t="n"/>
      <c r="M228" s="4" t="n"/>
      <c r="N228" s="12" t="n"/>
      <c r="O228" s="125" t="n">
        <v>-13.23944</v>
      </c>
      <c r="P228" s="125" t="n">
        <v>-176.19865</v>
      </c>
      <c r="Q228" s="13" t="n"/>
      <c r="R228" s="11" t="n">
        <v>79</v>
      </c>
      <c r="S228" s="4" t="n"/>
      <c r="T228" s="4" t="inlineStr">
        <is>
          <t>Pacific/Wallis</t>
        </is>
      </c>
      <c r="U228" s="126" t="n"/>
      <c r="V228" s="14" t="n"/>
      <c r="W228" s="4" t="n"/>
      <c r="X228" s="4" t="n"/>
      <c r="Y228" s="4" t="n"/>
      <c r="Z228" s="4" t="n"/>
      <c r="AA228" s="4" t="n"/>
      <c r="AB228" s="4" t="n"/>
      <c r="AC228" s="4" t="n"/>
      <c r="AD228" s="4" t="n"/>
      <c r="AE228" s="4" t="n"/>
      <c r="AF228" s="4" t="n"/>
      <c r="AG228" s="4" t="n"/>
      <c r="AH228" s="4" t="n"/>
      <c r="AI228" s="4" t="n"/>
      <c r="AJ228" s="4" t="n"/>
      <c r="AK228" s="4" t="n"/>
      <c r="AL228" s="4" t="n"/>
      <c r="AM228" s="4" t="n"/>
      <c r="AN228" s="4" t="n"/>
      <c r="AO228" s="12" t="n"/>
      <c r="AP228" s="12" t="n"/>
      <c r="AQ228" s="12" t="n"/>
      <c r="AR228" s="12" t="n"/>
      <c r="AS228" s="16" t="n"/>
      <c r="AT228" s="16" t="n"/>
      <c r="AU228" s="4" t="n"/>
      <c r="AV228" s="124" t="n"/>
      <c r="AX228" s="118" t="n"/>
    </row>
    <row r="229">
      <c r="A229" s="4" t="inlineStr">
        <is>
          <t>NSFA</t>
        </is>
      </c>
      <c r="B229" s="4" t="inlineStr">
        <is>
          <t>APW</t>
        </is>
      </c>
      <c r="C229" s="4" t="n"/>
      <c r="D229" s="4" t="n"/>
      <c r="E229" s="4" t="inlineStr">
        <is>
          <t>Faleolo International Airport</t>
        </is>
      </c>
      <c r="F229" s="4" t="n"/>
      <c r="G229" s="4" t="n"/>
      <c r="H229" s="4" t="n"/>
      <c r="I229" s="4" t="inlineStr">
        <is>
          <t>Apia</t>
        </is>
      </c>
      <c r="J229" s="4" t="n"/>
      <c r="K229" s="4" t="n"/>
      <c r="L229" s="4" t="n"/>
      <c r="M229" s="4" t="n"/>
      <c r="N229" s="12" t="n"/>
      <c r="O229" s="125" t="n">
        <v>-13.83</v>
      </c>
      <c r="P229" s="125" t="n">
        <v>-172.008</v>
      </c>
      <c r="Q229" s="13" t="n"/>
      <c r="R229" s="11" t="n">
        <v>58</v>
      </c>
      <c r="S229" s="4" t="n"/>
      <c r="T229" s="4" t="inlineStr">
        <is>
          <t>Pacific/Apia</t>
        </is>
      </c>
      <c r="U229" s="126" t="n"/>
      <c r="V229" s="14" t="n"/>
      <c r="W229" s="4" t="n"/>
      <c r="X229" s="4" t="n"/>
      <c r="Y229" s="4" t="n"/>
      <c r="Z229" s="4" t="n"/>
      <c r="AA229" s="4" t="n"/>
      <c r="AB229" s="4" t="n"/>
      <c r="AC229" s="4" t="n"/>
      <c r="AD229" s="4" t="n"/>
      <c r="AE229" s="4" t="n"/>
      <c r="AF229" s="4" t="n"/>
      <c r="AG229" s="4" t="n"/>
      <c r="AH229" s="4" t="n"/>
      <c r="AI229" s="4" t="n"/>
      <c r="AJ229" s="4" t="n"/>
      <c r="AK229" s="4" t="n"/>
      <c r="AL229" s="4" t="n"/>
      <c r="AM229" s="4" t="n"/>
      <c r="AN229" s="4" t="n"/>
      <c r="AO229" s="12" t="n"/>
      <c r="AP229" s="12" t="n"/>
      <c r="AQ229" s="12" t="n"/>
      <c r="AR229" s="12" t="n"/>
      <c r="AS229" s="16" t="n"/>
      <c r="AT229" s="16" t="n"/>
      <c r="AU229" s="4" t="n"/>
      <c r="AV229" s="124" t="n"/>
      <c r="AX229" s="118" t="n"/>
    </row>
    <row r="230">
      <c r="A230" s="4" t="inlineStr">
        <is>
          <t>NSTU</t>
        </is>
      </c>
      <c r="B230" s="4" t="inlineStr">
        <is>
          <t>PPG</t>
        </is>
      </c>
      <c r="C230" s="4" t="n"/>
      <c r="D230" s="4" t="n"/>
      <c r="E230" s="4" t="inlineStr">
        <is>
          <t>Pago Pago International Airport</t>
        </is>
      </c>
      <c r="F230" s="4" t="n"/>
      <c r="G230" s="4" t="n"/>
      <c r="H230" s="4" t="n"/>
      <c r="I230" s="4" t="inlineStr">
        <is>
          <t>Pago Pago</t>
        </is>
      </c>
      <c r="J230" s="4" t="n"/>
      <c r="K230" s="4" t="n"/>
      <c r="L230" s="4" t="n"/>
      <c r="M230" s="4" t="n"/>
      <c r="N230" s="12" t="n"/>
      <c r="O230" s="125" t="n">
        <v>-14.331</v>
      </c>
      <c r="P230" s="125" t="n">
        <v>-170.71001</v>
      </c>
      <c r="Q230" s="13" t="n"/>
      <c r="R230" s="11" t="n">
        <v>32</v>
      </c>
      <c r="S230" s="4" t="n"/>
      <c r="T230" s="4" t="inlineStr">
        <is>
          <t>Pacific/Pago_Pago</t>
        </is>
      </c>
      <c r="U230" s="126" t="n"/>
      <c r="V230" s="14" t="n"/>
      <c r="W230" s="4" t="n"/>
      <c r="X230" s="4" t="n"/>
      <c r="Y230" s="4" t="n"/>
      <c r="Z230" s="4" t="n"/>
      <c r="AA230" s="4" t="n"/>
      <c r="AB230" s="4" t="n"/>
      <c r="AC230" s="4" t="n"/>
      <c r="AD230" s="4" t="n"/>
      <c r="AE230" s="4" t="n"/>
      <c r="AF230" s="4" t="n"/>
      <c r="AG230" s="4" t="n"/>
      <c r="AH230" s="4" t="n"/>
      <c r="AI230" s="4" t="n"/>
      <c r="AJ230" s="4" t="n"/>
      <c r="AK230" s="4" t="n"/>
      <c r="AL230" s="4" t="n"/>
      <c r="AM230" s="4" t="n"/>
      <c r="AN230" s="4" t="n"/>
      <c r="AO230" s="12" t="n"/>
      <c r="AP230" s="12" t="n"/>
      <c r="AQ230" s="12" t="n"/>
      <c r="AR230" s="12" t="n"/>
      <c r="AS230" s="16" t="n"/>
      <c r="AT230" s="16" t="n"/>
      <c r="AU230" s="4" t="n"/>
      <c r="AV230" s="124" t="n"/>
      <c r="AX230" s="118" t="n"/>
    </row>
    <row r="231">
      <c r="A231" s="4" t="inlineStr">
        <is>
          <t>NTAA</t>
        </is>
      </c>
      <c r="B231" s="4" t="inlineStr">
        <is>
          <t>PPT</t>
        </is>
      </c>
      <c r="C231" s="4" t="n"/>
      <c r="D231" s="4" t="n"/>
      <c r="E231" s="4" t="inlineStr">
        <is>
          <t>Fa'a'ā International Airport</t>
        </is>
      </c>
      <c r="F231" s="4" t="n"/>
      <c r="G231" s="4" t="n"/>
      <c r="H231" s="4" t="n"/>
      <c r="I231" s="4" t="inlineStr">
        <is>
          <t>Papeete</t>
        </is>
      </c>
      <c r="J231" s="4" t="n"/>
      <c r="K231" s="4" t="n"/>
      <c r="L231" s="4" t="n"/>
      <c r="M231" s="4" t="n"/>
      <c r="N231" s="12" t="n"/>
      <c r="O231" s="125" t="n">
        <v>-17.55347</v>
      </c>
      <c r="P231" s="125" t="n">
        <v>-149.60694</v>
      </c>
      <c r="Q231" s="13" t="n"/>
      <c r="R231" s="11" t="n">
        <v>5</v>
      </c>
      <c r="S231" s="4" t="n"/>
      <c r="T231" s="4" t="inlineStr">
        <is>
          <t>Pacific/Tahiti</t>
        </is>
      </c>
      <c r="U231" s="126" t="n"/>
      <c r="V231" s="14" t="n"/>
      <c r="W231" s="4" t="n"/>
      <c r="X231" s="4" t="n"/>
      <c r="Y231" s="4" t="n"/>
      <c r="Z231" s="4" t="n"/>
      <c r="AA231" s="4" t="n"/>
      <c r="AB231" s="4" t="n"/>
      <c r="AC231" s="4" t="n"/>
      <c r="AD231" s="4" t="n"/>
      <c r="AE231" s="4" t="n"/>
      <c r="AF231" s="4" t="n"/>
      <c r="AG231" s="4" t="n"/>
      <c r="AH231" s="4" t="n"/>
      <c r="AI231" s="4" t="n"/>
      <c r="AJ231" s="4" t="n"/>
      <c r="AK231" s="4" t="n"/>
      <c r="AL231" s="4" t="n"/>
      <c r="AM231" s="4" t="n"/>
      <c r="AN231" s="4" t="n"/>
      <c r="AO231" s="12" t="n"/>
      <c r="AP231" s="12" t="n"/>
      <c r="AQ231" s="12" t="n"/>
      <c r="AR231" s="12" t="n"/>
      <c r="AS231" s="16" t="n"/>
      <c r="AT231" s="16" t="n"/>
      <c r="AU231" s="4" t="n"/>
      <c r="AV231" s="124" t="n"/>
      <c r="AX231" s="118" t="n"/>
    </row>
    <row r="232">
      <c r="A232" s="4" t="inlineStr">
        <is>
          <t>NVVV</t>
        </is>
      </c>
      <c r="B232" s="4" t="inlineStr">
        <is>
          <t>VLI</t>
        </is>
      </c>
      <c r="C232" s="4" t="n"/>
      <c r="D232" s="4" t="n"/>
      <c r="E232" s="4" t="inlineStr">
        <is>
          <t>Bauerfield International Airport</t>
        </is>
      </c>
      <c r="F232" s="4" t="n"/>
      <c r="G232" s="4" t="n"/>
      <c r="H232" s="4" t="n"/>
      <c r="I232" s="4" t="inlineStr">
        <is>
          <t>Port Vila</t>
        </is>
      </c>
      <c r="J232" s="4" t="n"/>
      <c r="K232" s="4" t="n"/>
      <c r="L232" s="4" t="n"/>
      <c r="M232" s="4" t="n"/>
      <c r="N232" s="12" t="n"/>
      <c r="O232" s="125" t="n">
        <v>-17.6993</v>
      </c>
      <c r="P232" s="125" t="n">
        <v>168.32001</v>
      </c>
      <c r="Q232" s="13" t="n"/>
      <c r="R232" s="11" t="n">
        <v>70</v>
      </c>
      <c r="S232" s="4" t="n"/>
      <c r="T232" s="4" t="inlineStr">
        <is>
          <t>Pacific/Efate</t>
        </is>
      </c>
      <c r="U232" s="126" t="n"/>
      <c r="V232" s="14" t="n"/>
      <c r="W232" s="4" t="n"/>
      <c r="X232" s="4" t="n"/>
      <c r="Y232" s="4" t="n"/>
      <c r="Z232" s="4" t="n"/>
      <c r="AA232" s="4" t="n"/>
      <c r="AB232" s="4" t="n"/>
      <c r="AC232" s="4" t="n"/>
      <c r="AD232" s="4" t="n"/>
      <c r="AE232" s="4" t="n"/>
      <c r="AF232" s="4" t="n"/>
      <c r="AG232" s="4" t="n"/>
      <c r="AH232" s="4" t="n"/>
      <c r="AI232" s="4" t="n"/>
      <c r="AJ232" s="4" t="n"/>
      <c r="AK232" s="4" t="n"/>
      <c r="AL232" s="4" t="n"/>
      <c r="AM232" s="4" t="n"/>
      <c r="AN232" s="4" t="n"/>
      <c r="AO232" s="12" t="n"/>
      <c r="AP232" s="12" t="n"/>
      <c r="AQ232" s="12" t="n"/>
      <c r="AR232" s="12" t="n"/>
      <c r="AS232" s="16" t="n"/>
      <c r="AT232" s="16" t="n"/>
      <c r="AU232" s="4" t="n"/>
      <c r="AV232" s="124" t="n"/>
      <c r="AX232" s="118" t="n"/>
    </row>
    <row r="233">
      <c r="A233" s="4" t="inlineStr">
        <is>
          <t>NWWW</t>
        </is>
      </c>
      <c r="B233" s="4" t="inlineStr">
        <is>
          <t>NOU</t>
        </is>
      </c>
      <c r="C233" s="4" t="n"/>
      <c r="D233" s="4" t="n"/>
      <c r="E233" s="4" t="inlineStr">
        <is>
          <t>La Tontouta International Airport</t>
        </is>
      </c>
      <c r="F233" s="4" t="n"/>
      <c r="G233" s="4" t="n"/>
      <c r="H233" s="4" t="n"/>
      <c r="I233" s="4" t="inlineStr">
        <is>
          <t>Nouméa</t>
        </is>
      </c>
      <c r="J233" s="4" t="n"/>
      <c r="K233" s="4" t="n"/>
      <c r="L233" s="4" t="n"/>
      <c r="M233" s="4" t="n"/>
      <c r="N233" s="12" t="n"/>
      <c r="O233" s="125" t="n">
        <v>-22.0146</v>
      </c>
      <c r="P233" s="125" t="n">
        <v>166.213</v>
      </c>
      <c r="Q233" s="13" t="n"/>
      <c r="R233" s="11" t="n">
        <v>52</v>
      </c>
      <c r="S233" s="4" t="n"/>
      <c r="T233" s="4" t="inlineStr">
        <is>
          <t>Pacific/Noumea</t>
        </is>
      </c>
      <c r="U233" s="126" t="n"/>
      <c r="V233" s="14" t="n"/>
      <c r="W233" s="4" t="n"/>
      <c r="X233" s="4" t="n"/>
      <c r="Y233" s="4" t="n"/>
      <c r="Z233" s="4" t="n"/>
      <c r="AA233" s="4" t="n"/>
      <c r="AB233" s="4" t="n"/>
      <c r="AC233" s="4" t="n"/>
      <c r="AD233" s="4" t="n"/>
      <c r="AE233" s="4" t="n"/>
      <c r="AF233" s="4" t="n"/>
      <c r="AG233" s="4" t="n"/>
      <c r="AH233" s="4" t="n"/>
      <c r="AI233" s="4" t="n"/>
      <c r="AJ233" s="4" t="n"/>
      <c r="AK233" s="4" t="n"/>
      <c r="AL233" s="4" t="n"/>
      <c r="AM233" s="4" t="n"/>
      <c r="AN233" s="4" t="n"/>
      <c r="AO233" s="12" t="n"/>
      <c r="AP233" s="12" t="n"/>
      <c r="AQ233" s="12" t="n"/>
      <c r="AR233" s="12" t="n"/>
      <c r="AS233" s="16" t="n"/>
      <c r="AT233" s="16" t="n"/>
      <c r="AU233" s="4" t="n"/>
      <c r="AV233" s="124" t="n"/>
      <c r="AX233" s="118" t="n"/>
    </row>
    <row r="234">
      <c r="A234" s="4" t="inlineStr">
        <is>
          <t>NZAA</t>
        </is>
      </c>
      <c r="B234" s="4" t="inlineStr">
        <is>
          <t>AKL</t>
        </is>
      </c>
      <c r="C234" s="4" t="n"/>
      <c r="D234" s="4" t="n"/>
      <c r="E234" s="4" t="inlineStr">
        <is>
          <t>Auckland International Airport</t>
        </is>
      </c>
      <c r="F234" s="4" t="n"/>
      <c r="G234" s="4" t="n"/>
      <c r="H234" s="4" t="n"/>
      <c r="I234" s="4" t="inlineStr">
        <is>
          <t>Auckland</t>
        </is>
      </c>
      <c r="J234" s="4" t="n"/>
      <c r="K234" s="4" t="n"/>
      <c r="L234" s="4" t="n"/>
      <c r="M234" s="4" t="n"/>
      <c r="N234" s="12" t="n"/>
      <c r="O234" s="125" t="n">
        <v>-37.01199</v>
      </c>
      <c r="P234" s="125" t="n">
        <v>174.78633</v>
      </c>
      <c r="Q234" s="13" t="n"/>
      <c r="R234" s="11" t="n">
        <v>23</v>
      </c>
      <c r="S234" s="4" t="n"/>
      <c r="T234" s="4" t="inlineStr">
        <is>
          <t>Pacific/Auckland</t>
        </is>
      </c>
      <c r="U234" s="126" t="n"/>
      <c r="V234" s="14" t="n"/>
      <c r="W234" s="4" t="n"/>
      <c r="X234" s="4" t="n"/>
      <c r="Y234" s="4" t="n"/>
      <c r="Z234" s="4" t="n"/>
      <c r="AA234" s="4" t="n"/>
      <c r="AB234" s="4" t="n"/>
      <c r="AC234" s="4" t="n"/>
      <c r="AD234" s="4" t="n"/>
      <c r="AE234" s="4" t="n"/>
      <c r="AF234" s="4" t="n"/>
      <c r="AG234" s="4" t="n"/>
      <c r="AH234" s="4" t="n"/>
      <c r="AI234" s="4" t="n"/>
      <c r="AJ234" s="4" t="n"/>
      <c r="AK234" s="4" t="n"/>
      <c r="AL234" s="4" t="n"/>
      <c r="AM234" s="4" t="n"/>
      <c r="AN234" s="4" t="n"/>
      <c r="AO234" s="12" t="n"/>
      <c r="AP234" s="12" t="n"/>
      <c r="AQ234" s="12" t="n"/>
      <c r="AR234" s="12" t="n"/>
      <c r="AS234" s="16" t="n"/>
      <c r="AT234" s="16" t="n"/>
      <c r="AU234" s="4" t="n"/>
      <c r="AV234" s="124" t="n"/>
      <c r="AX234" s="118" t="n"/>
    </row>
    <row r="235">
      <c r="A235" s="4" t="inlineStr">
        <is>
          <t>NZCH</t>
        </is>
      </c>
      <c r="B235" s="4" t="inlineStr">
        <is>
          <t>CHC</t>
        </is>
      </c>
      <c r="C235" s="4" t="n"/>
      <c r="D235" s="4" t="n"/>
      <c r="E235" s="4" t="inlineStr">
        <is>
          <t>Christchurch International Airport</t>
        </is>
      </c>
      <c r="F235" s="4" t="n"/>
      <c r="G235" s="4" t="n"/>
      <c r="H235" s="4" t="n"/>
      <c r="I235" s="4" t="inlineStr">
        <is>
          <t>Christchurch</t>
        </is>
      </c>
      <c r="J235" s="4" t="n"/>
      <c r="K235" s="4" t="n"/>
      <c r="L235" s="4" t="n"/>
      <c r="M235" s="4" t="n"/>
      <c r="N235" s="12" t="n"/>
      <c r="O235" s="125" t="n">
        <v>-43.48903</v>
      </c>
      <c r="P235" s="125" t="n">
        <v>172.53206</v>
      </c>
      <c r="Q235" s="13" t="n"/>
      <c r="R235" s="11" t="n">
        <v>123</v>
      </c>
      <c r="S235" s="4" t="n"/>
      <c r="T235" s="4" t="inlineStr">
        <is>
          <t>Pacific/Auckland</t>
        </is>
      </c>
      <c r="U235" s="126" t="n"/>
      <c r="V235" s="14" t="n"/>
      <c r="W235" s="4" t="n"/>
      <c r="X235" s="4" t="n"/>
      <c r="Y235" s="4" t="n"/>
      <c r="Z235" s="4" t="n"/>
      <c r="AA235" s="4" t="n"/>
      <c r="AB235" s="4" t="n"/>
      <c r="AC235" s="4" t="n"/>
      <c r="AD235" s="4" t="n"/>
      <c r="AE235" s="4" t="n"/>
      <c r="AF235" s="4" t="n"/>
      <c r="AG235" s="4" t="n"/>
      <c r="AH235" s="4" t="n"/>
      <c r="AI235" s="4" t="n"/>
      <c r="AJ235" s="4" t="n"/>
      <c r="AK235" s="4" t="n"/>
      <c r="AL235" s="4" t="n"/>
      <c r="AM235" s="4" t="n"/>
      <c r="AN235" s="4" t="n"/>
      <c r="AO235" s="12" t="n"/>
      <c r="AP235" s="12" t="n"/>
      <c r="AQ235" s="12" t="n"/>
      <c r="AR235" s="12" t="n"/>
      <c r="AS235" s="16" t="n"/>
      <c r="AT235" s="16" t="n"/>
      <c r="AU235" s="4" t="n"/>
      <c r="AV235" s="124" t="n"/>
      <c r="AX235" s="118" t="n"/>
    </row>
    <row r="236">
      <c r="A236" s="4" t="inlineStr">
        <is>
          <t>OAHR</t>
        </is>
      </c>
      <c r="B236" s="4" t="inlineStr">
        <is>
          <t>HEA</t>
        </is>
      </c>
      <c r="C236" s="4" t="n"/>
      <c r="D236" s="4" t="n"/>
      <c r="E236" s="4" t="inlineStr">
        <is>
          <t>Herat - Khwaja Abdullah Ansari International</t>
        </is>
      </c>
      <c r="F236" s="4" t="n"/>
      <c r="G236" s="4" t="n"/>
      <c r="H236" s="4" t="inlineStr">
        <is>
          <t>Afghanistan</t>
        </is>
      </c>
      <c r="I236" s="4" t="inlineStr">
        <is>
          <t>Guzara</t>
        </is>
      </c>
      <c r="J236" s="4" t="n"/>
      <c r="K236" s="4" t="n"/>
      <c r="L236" s="4" t="n"/>
      <c r="M236" s="4" t="n"/>
      <c r="N236" s="12" t="n"/>
      <c r="O236" s="125" t="n">
        <v>34.21</v>
      </c>
      <c r="P236" s="125" t="n">
        <v>62.2283</v>
      </c>
      <c r="Q236" s="13" t="n"/>
      <c r="R236" s="11" t="n">
        <v>3206</v>
      </c>
      <c r="S236" s="4" t="n"/>
      <c r="T236" s="4" t="inlineStr">
        <is>
          <t>Asia/Kabul</t>
        </is>
      </c>
      <c r="U236" s="126" t="n"/>
      <c r="V236" s="14" t="n"/>
      <c r="W236" s="4" t="n"/>
      <c r="X236" s="4" t="n"/>
      <c r="Y236" s="4" t="n"/>
      <c r="Z236" s="4" t="n"/>
      <c r="AA236" s="4" t="n"/>
      <c r="AB236" s="4" t="n"/>
      <c r="AC236" s="4" t="n"/>
      <c r="AD236" s="4" t="n"/>
      <c r="AE236" s="4" t="n"/>
      <c r="AF236" s="4" t="n"/>
      <c r="AG236" s="4" t="n"/>
      <c r="AH236" s="4" t="n"/>
      <c r="AI236" s="4" t="n"/>
      <c r="AJ236" s="4" t="n"/>
      <c r="AK236" s="4" t="n"/>
      <c r="AL236" s="4" t="n"/>
      <c r="AM236" s="4" t="n"/>
      <c r="AN236" s="4" t="n"/>
      <c r="AO236" s="12" t="n"/>
      <c r="AP236" s="12" t="n"/>
      <c r="AQ236" s="12" t="n"/>
      <c r="AR236" s="12" t="n"/>
      <c r="AS236" s="16" t="n"/>
      <c r="AT236" s="16" t="n"/>
      <c r="AU236" s="4" t="n"/>
      <c r="AV236" s="124" t="n"/>
      <c r="AX236" s="118" t="n"/>
    </row>
    <row r="237">
      <c r="A237" s="4" t="inlineStr">
        <is>
          <t>OAKB</t>
        </is>
      </c>
      <c r="B237" s="4" t="inlineStr">
        <is>
          <t>KBL</t>
        </is>
      </c>
      <c r="C237" s="4" t="n"/>
      <c r="D237" s="4" t="n"/>
      <c r="E237" s="4" t="inlineStr">
        <is>
          <t>Kabul International Airport</t>
        </is>
      </c>
      <c r="F237" s="4" t="n"/>
      <c r="G237" s="4" t="n"/>
      <c r="H237" s="4" t="inlineStr">
        <is>
          <t>Afghanistan</t>
        </is>
      </c>
      <c r="I237" s="4" t="inlineStr">
        <is>
          <t>Kabul</t>
        </is>
      </c>
      <c r="J237" s="4" t="n"/>
      <c r="K237" s="4" t="n"/>
      <c r="L237" s="4" t="n"/>
      <c r="M237" s="4" t="n"/>
      <c r="N237" s="12" t="n"/>
      <c r="O237" s="125" t="n">
        <v>34.5659</v>
      </c>
      <c r="P237" s="125" t="n">
        <v>69.2123</v>
      </c>
      <c r="Q237" s="13" t="n"/>
      <c r="R237" s="11" t="n">
        <v>5877</v>
      </c>
      <c r="S237" s="4" t="n"/>
      <c r="T237" s="4" t="inlineStr">
        <is>
          <t>Asia/Kabul</t>
        </is>
      </c>
      <c r="U237" s="126" t="n"/>
      <c r="V237" s="14" t="n"/>
      <c r="W237" s="4" t="n"/>
      <c r="X237" s="4" t="n"/>
      <c r="Y237" s="4" t="n"/>
      <c r="Z237" s="4" t="n"/>
      <c r="AA237" s="4" t="n"/>
      <c r="AB237" s="4" t="n"/>
      <c r="AC237" s="4" t="n"/>
      <c r="AD237" s="4" t="n"/>
      <c r="AE237" s="4" t="n"/>
      <c r="AF237" s="4" t="n"/>
      <c r="AG237" s="4" t="n"/>
      <c r="AH237" s="4" t="n"/>
      <c r="AI237" s="4" t="n"/>
      <c r="AJ237" s="4" t="n"/>
      <c r="AK237" s="4" t="n"/>
      <c r="AL237" s="4" t="n"/>
      <c r="AM237" s="4" t="n"/>
      <c r="AN237" s="4" t="n"/>
      <c r="AO237" s="12" t="n"/>
      <c r="AP237" s="12" t="n"/>
      <c r="AQ237" s="12" t="n"/>
      <c r="AR237" s="12" t="n"/>
      <c r="AS237" s="16" t="n"/>
      <c r="AT237" s="16" t="n"/>
      <c r="AU237" s="4" t="n"/>
      <c r="AV237" s="124" t="n"/>
      <c r="AX237" s="118" t="n"/>
    </row>
    <row r="238">
      <c r="A238" s="4" t="inlineStr">
        <is>
          <t>OBBI</t>
        </is>
      </c>
      <c r="B238" s="4" t="inlineStr">
        <is>
          <t>BAH</t>
        </is>
      </c>
      <c r="C238" s="4" t="n"/>
      <c r="D238" s="4" t="n"/>
      <c r="E238" s="4" t="inlineStr">
        <is>
          <t>Bahrain International Airport</t>
        </is>
      </c>
      <c r="F238" s="4" t="n"/>
      <c r="G238" s="4" t="n"/>
      <c r="H238" s="4" t="inlineStr">
        <is>
          <t>Bahrain</t>
        </is>
      </c>
      <c r="I238" s="4" t="inlineStr">
        <is>
          <t>Manama</t>
        </is>
      </c>
      <c r="J238" s="4" t="n"/>
      <c r="K238" s="4" t="n"/>
      <c r="L238" s="4" t="n"/>
      <c r="M238" s="4" t="n"/>
      <c r="N238" s="12" t="n"/>
      <c r="O238" s="125" t="n">
        <v>26.2673</v>
      </c>
      <c r="P238" s="125" t="n">
        <v>50.63764</v>
      </c>
      <c r="Q238" s="13" t="n"/>
      <c r="R238" s="11" t="n">
        <v>6</v>
      </c>
      <c r="S238" s="4" t="n"/>
      <c r="T238" s="4" t="inlineStr">
        <is>
          <t>Asia/Bahrain</t>
        </is>
      </c>
      <c r="U238" s="126" t="n"/>
      <c r="V238" s="14" t="n"/>
      <c r="W238" s="4" t="n"/>
      <c r="X238" s="4" t="n"/>
      <c r="Y238" s="4" t="n"/>
      <c r="Z238" s="4" t="n"/>
      <c r="AA238" s="4" t="n"/>
      <c r="AB238" s="4" t="n"/>
      <c r="AC238" s="4" t="n"/>
      <c r="AD238" s="4" t="n"/>
      <c r="AE238" s="4" t="n"/>
      <c r="AF238" s="4" t="n"/>
      <c r="AG238" s="4" t="n"/>
      <c r="AH238" s="4" t="n"/>
      <c r="AI238" s="4" t="n"/>
      <c r="AJ238" s="4" t="n"/>
      <c r="AK238" s="4" t="n"/>
      <c r="AL238" s="4" t="n"/>
      <c r="AM238" s="4" t="n"/>
      <c r="AN238" s="4" t="n"/>
      <c r="AO238" s="12" t="n"/>
      <c r="AP238" s="12" t="n"/>
      <c r="AQ238" s="12" t="n"/>
      <c r="AR238" s="12" t="n"/>
      <c r="AS238" s="16" t="n"/>
      <c r="AT238" s="16" t="n"/>
      <c r="AU238" s="4" t="n"/>
      <c r="AV238" s="124" t="n"/>
      <c r="AX238" s="118" t="n"/>
    </row>
    <row r="239">
      <c r="A239" s="4" t="inlineStr">
        <is>
          <t>OEAB</t>
        </is>
      </c>
      <c r="B239" s="4" t="inlineStr">
        <is>
          <t>AHB</t>
        </is>
      </c>
      <c r="C239" s="4" t="n"/>
      <c r="D239" s="4" t="n"/>
      <c r="E239" s="4" t="inlineStr">
        <is>
          <t>Abha International Airport</t>
        </is>
      </c>
      <c r="F239" s="4" t="n"/>
      <c r="G239" s="4" t="n"/>
      <c r="H239" s="4" t="inlineStr">
        <is>
          <t>Saudi Arabia</t>
        </is>
      </c>
      <c r="I239" s="4" t="inlineStr">
        <is>
          <t>Abha</t>
        </is>
      </c>
      <c r="J239" s="4" t="n"/>
      <c r="K239" s="4" t="n"/>
      <c r="L239" s="4" t="n"/>
      <c r="M239" s="4" t="n"/>
      <c r="N239" s="12" t="n"/>
      <c r="O239" s="125" t="n">
        <v>18.2404</v>
      </c>
      <c r="P239" s="125" t="n">
        <v>42.6566</v>
      </c>
      <c r="Q239" s="13" t="n"/>
      <c r="R239" s="11" t="n">
        <v>6858</v>
      </c>
      <c r="S239" s="4" t="n"/>
      <c r="T239" s="4" t="inlineStr">
        <is>
          <t>Asia/Riyadh</t>
        </is>
      </c>
      <c r="U239" s="126" t="n"/>
      <c r="V239" s="14" t="n"/>
      <c r="W239" s="4" t="n"/>
      <c r="X239" s="4" t="n"/>
      <c r="Y239" s="4" t="n"/>
      <c r="Z239" s="4" t="n"/>
      <c r="AA239" s="4" t="n"/>
      <c r="AB239" s="4" t="n"/>
      <c r="AC239" s="4" t="n"/>
      <c r="AD239" s="4" t="n"/>
      <c r="AE239" s="4" t="n"/>
      <c r="AF239" s="4" t="n"/>
      <c r="AG239" s="4" t="n"/>
      <c r="AH239" s="4" t="n"/>
      <c r="AI239" s="4" t="n"/>
      <c r="AJ239" s="4" t="n"/>
      <c r="AK239" s="4" t="n"/>
      <c r="AL239" s="4" t="n"/>
      <c r="AM239" s="4" t="n"/>
      <c r="AN239" s="4" t="n"/>
      <c r="AO239" s="12" t="n"/>
      <c r="AP239" s="12" t="n"/>
      <c r="AQ239" s="12" t="n"/>
      <c r="AR239" s="12" t="n"/>
      <c r="AS239" s="16" t="n"/>
      <c r="AT239" s="16" t="n"/>
      <c r="AU239" s="4" t="n"/>
      <c r="AV239" s="124" t="n"/>
      <c r="AX239" s="118" t="n"/>
    </row>
    <row r="240">
      <c r="A240" s="4" t="inlineStr">
        <is>
          <t>OEAH</t>
        </is>
      </c>
      <c r="B240" s="4" t="inlineStr">
        <is>
          <t>HOF</t>
        </is>
      </c>
      <c r="C240" s="4" t="n"/>
      <c r="D240" s="4" t="n"/>
      <c r="E240" s="4" t="inlineStr">
        <is>
          <t>Al-Ahsa International Airport</t>
        </is>
      </c>
      <c r="F240" s="4" t="n"/>
      <c r="G240" s="4" t="n"/>
      <c r="H240" s="4" t="inlineStr">
        <is>
          <t>Saudi Arabia</t>
        </is>
      </c>
      <c r="I240" s="4" t="inlineStr">
        <is>
          <t>Hofuf</t>
        </is>
      </c>
      <c r="J240" s="4" t="n"/>
      <c r="K240" s="4" t="n"/>
      <c r="L240" s="4" t="n"/>
      <c r="M240" s="4" t="n"/>
      <c r="N240" s="12" t="n"/>
      <c r="O240" s="125" t="n">
        <v>25.2853</v>
      </c>
      <c r="P240" s="125" t="n">
        <v>49.4852</v>
      </c>
      <c r="Q240" s="13" t="n"/>
      <c r="R240" s="11" t="n">
        <v>588</v>
      </c>
      <c r="S240" s="4" t="n"/>
      <c r="T240" s="4" t="inlineStr">
        <is>
          <t>Asia/Riyadh</t>
        </is>
      </c>
      <c r="U240" s="126" t="n"/>
      <c r="V240" s="14" t="n"/>
      <c r="W240" s="4" t="n"/>
      <c r="X240" s="4" t="n"/>
      <c r="Y240" s="4" t="n"/>
      <c r="Z240" s="4" t="n"/>
      <c r="AA240" s="4" t="n"/>
      <c r="AB240" s="4" t="n"/>
      <c r="AC240" s="4" t="n"/>
      <c r="AD240" s="4" t="n"/>
      <c r="AE240" s="4" t="n"/>
      <c r="AF240" s="4" t="n"/>
      <c r="AG240" s="4" t="n"/>
      <c r="AH240" s="4" t="n"/>
      <c r="AI240" s="4" t="n"/>
      <c r="AJ240" s="4" t="n"/>
      <c r="AK240" s="4" t="n"/>
      <c r="AL240" s="4" t="n"/>
      <c r="AM240" s="4" t="n"/>
      <c r="AN240" s="4" t="n"/>
      <c r="AO240" s="12" t="n"/>
      <c r="AP240" s="12" t="n"/>
      <c r="AQ240" s="12" t="n"/>
      <c r="AR240" s="12" t="n"/>
      <c r="AS240" s="16" t="n"/>
      <c r="AT240" s="16" t="n"/>
      <c r="AU240" s="4" t="n"/>
      <c r="AV240" s="124" t="n"/>
      <c r="AX240" s="118" t="n"/>
    </row>
    <row r="241">
      <c r="A241" s="4" t="inlineStr">
        <is>
          <t>OEJN</t>
        </is>
      </c>
      <c r="B241" s="4" t="inlineStr">
        <is>
          <t>JED</t>
        </is>
      </c>
      <c r="C241" s="4" t="n"/>
      <c r="D241" s="4" t="n"/>
      <c r="E241" s="4" t="inlineStr">
        <is>
          <t>King Abdulaziz International Airport</t>
        </is>
      </c>
      <c r="F241" s="4" t="n"/>
      <c r="G241" s="4" t="n"/>
      <c r="H241" s="4" t="inlineStr">
        <is>
          <t>Saudi Arabia</t>
        </is>
      </c>
      <c r="I241" s="4" t="inlineStr">
        <is>
          <t>Jeddah</t>
        </is>
      </c>
      <c r="J241" s="4" t="n"/>
      <c r="K241" s="4" t="n"/>
      <c r="L241" s="4" t="n"/>
      <c r="M241" s="4" t="n"/>
      <c r="N241" s="12" t="n"/>
      <c r="O241" s="125" t="n">
        <v>21.68024</v>
      </c>
      <c r="P241" s="125" t="n">
        <v>39.15744</v>
      </c>
      <c r="Q241" s="13" t="n"/>
      <c r="R241" s="11" t="n">
        <v>48</v>
      </c>
      <c r="S241" s="4" t="n"/>
      <c r="T241" s="4" t="inlineStr">
        <is>
          <t>Asia/Riyadh</t>
        </is>
      </c>
      <c r="U241" s="126" t="n"/>
      <c r="V241" s="14" t="n"/>
      <c r="W241" s="4" t="n"/>
      <c r="X241" s="4" t="n"/>
      <c r="Y241" s="4" t="n"/>
      <c r="Z241" s="4" t="n"/>
      <c r="AA241" s="4" t="n"/>
      <c r="AB241" s="4" t="n"/>
      <c r="AC241" s="4" t="n"/>
      <c r="AD241" s="4" t="n"/>
      <c r="AE241" s="4" t="n"/>
      <c r="AF241" s="4" t="n"/>
      <c r="AG241" s="4" t="n"/>
      <c r="AH241" s="4" t="n"/>
      <c r="AI241" s="4" t="n"/>
      <c r="AJ241" s="4" t="n"/>
      <c r="AK241" s="4" t="n"/>
      <c r="AL241" s="4" t="n"/>
      <c r="AM241" s="4" t="n"/>
      <c r="AN241" s="4" t="n"/>
      <c r="AO241" s="12" t="n"/>
      <c r="AP241" s="12" t="n"/>
      <c r="AQ241" s="12" t="n"/>
      <c r="AR241" s="12" t="n"/>
      <c r="AS241" s="16" t="n"/>
      <c r="AT241" s="16" t="n"/>
      <c r="AU241" s="4" t="n"/>
      <c r="AV241" s="124" t="n"/>
      <c r="AX241" s="118" t="n"/>
    </row>
    <row r="242">
      <c r="A242" s="4" t="inlineStr">
        <is>
          <t>OERK</t>
        </is>
      </c>
      <c r="B242" s="4" t="inlineStr">
        <is>
          <t>RUH</t>
        </is>
      </c>
      <c r="C242" s="4" t="n"/>
      <c r="D242" s="4" t="n"/>
      <c r="E242" s="4" t="inlineStr">
        <is>
          <t>King Khalid International Airport</t>
        </is>
      </c>
      <c r="F242" s="4" t="n"/>
      <c r="G242" s="4" t="n"/>
      <c r="H242" s="4" t="inlineStr">
        <is>
          <t>Saudi Arabia</t>
        </is>
      </c>
      <c r="I242" s="4" t="inlineStr">
        <is>
          <t>Riyadh</t>
        </is>
      </c>
      <c r="J242" s="4" t="n"/>
      <c r="K242" s="4" t="n"/>
      <c r="L242" s="4" t="n"/>
      <c r="M242" s="4" t="n"/>
      <c r="N242" s="12" t="n"/>
      <c r="O242" s="125" t="n">
        <v>24.9576</v>
      </c>
      <c r="P242" s="125" t="n">
        <v>46.6988</v>
      </c>
      <c r="Q242" s="13" t="n"/>
      <c r="R242" s="11" t="n">
        <v>2049</v>
      </c>
      <c r="S242" s="4" t="n"/>
      <c r="T242" s="4" t="inlineStr">
        <is>
          <t>Asia/Riyadh</t>
        </is>
      </c>
      <c r="U242" s="126" t="n"/>
      <c r="V242" s="14" t="n"/>
      <c r="W242" s="4" t="n"/>
      <c r="X242" s="4" t="n"/>
      <c r="Y242" s="4" t="n"/>
      <c r="Z242" s="4" t="n"/>
      <c r="AA242" s="4" t="n"/>
      <c r="AB242" s="4" t="n"/>
      <c r="AC242" s="4" t="n"/>
      <c r="AD242" s="4" t="n"/>
      <c r="AE242" s="4" t="n"/>
      <c r="AF242" s="4" t="n"/>
      <c r="AG242" s="4" t="n"/>
      <c r="AH242" s="4" t="n"/>
      <c r="AI242" s="4" t="n"/>
      <c r="AJ242" s="4" t="n"/>
      <c r="AK242" s="4" t="n"/>
      <c r="AL242" s="4" t="n"/>
      <c r="AM242" s="4" t="n"/>
      <c r="AN242" s="4" t="n"/>
      <c r="AO242" s="12" t="n"/>
      <c r="AP242" s="12" t="n"/>
      <c r="AQ242" s="12" t="n"/>
      <c r="AR242" s="12" t="n"/>
      <c r="AS242" s="16" t="n"/>
      <c r="AT242" s="16" t="n"/>
      <c r="AU242" s="4" t="n"/>
      <c r="AV242" s="124" t="n"/>
      <c r="AX242" s="118" t="n"/>
    </row>
    <row r="243">
      <c r="A243" s="4" t="inlineStr">
        <is>
          <t>OIAA</t>
        </is>
      </c>
      <c r="B243" s="4" t="inlineStr">
        <is>
          <t>ABD</t>
        </is>
      </c>
      <c r="C243" s="4" t="n"/>
      <c r="D243" s="4" t="n"/>
      <c r="E243" s="4" t="inlineStr">
        <is>
          <t>Abadan Ayatollah Jami International Airport</t>
        </is>
      </c>
      <c r="F243" s="4" t="n"/>
      <c r="G243" s="4" t="n"/>
      <c r="H243" s="4" t="inlineStr">
        <is>
          <t>Iran</t>
        </is>
      </c>
      <c r="I243" s="4" t="inlineStr">
        <is>
          <t>Abadan</t>
        </is>
      </c>
      <c r="J243" s="4" t="n"/>
      <c r="K243" s="4" t="n"/>
      <c r="L243" s="4" t="n"/>
      <c r="M243" s="4" t="n"/>
      <c r="N243" s="12" t="n"/>
      <c r="O243" s="125" t="n">
        <v>30.36789</v>
      </c>
      <c r="P243" s="125" t="n">
        <v>48.23007</v>
      </c>
      <c r="Q243" s="13" t="n"/>
      <c r="R243" s="11" t="n">
        <v>10</v>
      </c>
      <c r="S243" s="4" t="n"/>
      <c r="T243" s="4" t="inlineStr">
        <is>
          <t>Asia/Tehran</t>
        </is>
      </c>
      <c r="U243" s="126" t="n"/>
      <c r="V243" s="14" t="n"/>
      <c r="W243" s="4" t="n"/>
      <c r="X243" s="4" t="n"/>
      <c r="Y243" s="4" t="n"/>
      <c r="Z243" s="4" t="n"/>
      <c r="AA243" s="4" t="n"/>
      <c r="AB243" s="4" t="n"/>
      <c r="AC243" s="4" t="n"/>
      <c r="AD243" s="4" t="n"/>
      <c r="AE243" s="4" t="n"/>
      <c r="AF243" s="4" t="n"/>
      <c r="AG243" s="4" t="n"/>
      <c r="AH243" s="4" t="n"/>
      <c r="AI243" s="4" t="n"/>
      <c r="AJ243" s="4" t="n"/>
      <c r="AK243" s="4" t="n"/>
      <c r="AL243" s="4" t="n"/>
      <c r="AM243" s="4" t="n"/>
      <c r="AN243" s="4" t="n"/>
      <c r="AO243" s="12" t="n"/>
      <c r="AP243" s="12" t="n"/>
      <c r="AQ243" s="12" t="n"/>
      <c r="AR243" s="12" t="n"/>
      <c r="AS243" s="16" t="n"/>
      <c r="AT243" s="16" t="n"/>
      <c r="AU243" s="4" t="n"/>
      <c r="AV243" s="124" t="n"/>
      <c r="AX243" s="118" t="n"/>
    </row>
    <row r="244">
      <c r="A244" s="4" t="inlineStr">
        <is>
          <t>OIAW</t>
        </is>
      </c>
      <c r="B244" s="4" t="inlineStr">
        <is>
          <t>AWZ</t>
        </is>
      </c>
      <c r="C244" s="4" t="n"/>
      <c r="D244" s="4" t="n"/>
      <c r="E244" s="4" t="inlineStr">
        <is>
          <t>Qasem Soleimani International Airport</t>
        </is>
      </c>
      <c r="F244" s="4" t="n"/>
      <c r="G244" s="4" t="n"/>
      <c r="H244" s="4" t="inlineStr">
        <is>
          <t>Iran</t>
        </is>
      </c>
      <c r="I244" s="4" t="inlineStr">
        <is>
          <t>Ahvaz</t>
        </is>
      </c>
      <c r="J244" s="4" t="n"/>
      <c r="K244" s="4" t="n"/>
      <c r="L244" s="4" t="n"/>
      <c r="M244" s="4" t="n"/>
      <c r="N244" s="12" t="n"/>
      <c r="O244" s="125" t="n">
        <v>31.3364</v>
      </c>
      <c r="P244" s="125" t="n">
        <v>48.76379</v>
      </c>
      <c r="Q244" s="13" t="n"/>
      <c r="R244" s="11" t="n">
        <v>66</v>
      </c>
      <c r="S244" s="4" t="n"/>
      <c r="T244" s="4" t="inlineStr">
        <is>
          <t>Asia/Tehran</t>
        </is>
      </c>
      <c r="U244" s="126" t="n"/>
      <c r="V244" s="14" t="n"/>
      <c r="W244" s="4" t="n"/>
      <c r="X244" s="4" t="n"/>
      <c r="Y244" s="4" t="n"/>
      <c r="Z244" s="4" t="n"/>
      <c r="AA244" s="4" t="n"/>
      <c r="AB244" s="4" t="n"/>
      <c r="AC244" s="4" t="n"/>
      <c r="AD244" s="4" t="n"/>
      <c r="AE244" s="4" t="n"/>
      <c r="AF244" s="4" t="n"/>
      <c r="AG244" s="4" t="n"/>
      <c r="AH244" s="4" t="n"/>
      <c r="AI244" s="4" t="n"/>
      <c r="AJ244" s="4" t="n"/>
      <c r="AK244" s="4" t="n"/>
      <c r="AL244" s="4" t="n"/>
      <c r="AM244" s="4" t="n"/>
      <c r="AN244" s="4" t="n"/>
      <c r="AO244" s="12" t="n"/>
      <c r="AP244" s="12" t="n"/>
      <c r="AQ244" s="12" t="n"/>
      <c r="AR244" s="12" t="n"/>
      <c r="AS244" s="16" t="n"/>
      <c r="AT244" s="16" t="n"/>
      <c r="AU244" s="4" t="n"/>
      <c r="AV244" s="124" t="n"/>
      <c r="AX244" s="118" t="n"/>
    </row>
    <row r="245">
      <c r="A245" s="4" t="inlineStr">
        <is>
          <t>OJAI</t>
        </is>
      </c>
      <c r="B245" s="4" t="inlineStr">
        <is>
          <t>AMM</t>
        </is>
      </c>
      <c r="C245" s="4" t="n"/>
      <c r="D245" s="4" t="n"/>
      <c r="E245" s="4" t="inlineStr">
        <is>
          <t>Queen Alia International Airport</t>
        </is>
      </c>
      <c r="F245" s="4" t="n"/>
      <c r="G245" s="4" t="n"/>
      <c r="H245" s="4" t="inlineStr">
        <is>
          <t>Jordan</t>
        </is>
      </c>
      <c r="I245" s="4" t="inlineStr">
        <is>
          <t>Amman</t>
        </is>
      </c>
      <c r="J245" s="4" t="n"/>
      <c r="K245" s="4" t="n"/>
      <c r="L245" s="4" t="n"/>
      <c r="M245" s="4" t="n"/>
      <c r="N245" s="12" t="n"/>
      <c r="O245" s="125" t="n">
        <v>31.7226</v>
      </c>
      <c r="P245" s="125" t="n">
        <v>35.9932</v>
      </c>
      <c r="Q245" s="13" t="n"/>
      <c r="R245" s="11" t="n">
        <v>2395</v>
      </c>
      <c r="S245" s="4" t="n"/>
      <c r="T245" s="4" t="inlineStr">
        <is>
          <t>Asia/Amman</t>
        </is>
      </c>
      <c r="U245" s="126" t="n"/>
      <c r="V245" s="14" t="n"/>
      <c r="W245" s="4" t="n"/>
      <c r="X245" s="4" t="n"/>
      <c r="Y245" s="4" t="n"/>
      <c r="Z245" s="4" t="n"/>
      <c r="AA245" s="4" t="n"/>
      <c r="AB245" s="4" t="n"/>
      <c r="AC245" s="4" t="n"/>
      <c r="AD245" s="4" t="n"/>
      <c r="AE245" s="4" t="n"/>
      <c r="AF245" s="4" t="n"/>
      <c r="AG245" s="4" t="n"/>
      <c r="AH245" s="4" t="n"/>
      <c r="AI245" s="4" t="n"/>
      <c r="AJ245" s="4" t="n"/>
      <c r="AK245" s="4" t="n"/>
      <c r="AL245" s="4" t="n"/>
      <c r="AM245" s="4" t="n"/>
      <c r="AN245" s="4" t="n"/>
      <c r="AO245" s="12" t="n"/>
      <c r="AP245" s="12" t="n"/>
      <c r="AQ245" s="12" t="n"/>
      <c r="AR245" s="12" t="n"/>
      <c r="AS245" s="16" t="n"/>
      <c r="AT245" s="16" t="n"/>
      <c r="AU245" s="4" t="n"/>
      <c r="AV245" s="124" t="n"/>
      <c r="AX245" s="118" t="n"/>
    </row>
    <row r="246">
      <c r="A246" s="4" t="inlineStr">
        <is>
          <t>OJAM</t>
        </is>
      </c>
      <c r="B246" s="4" t="inlineStr">
        <is>
          <t>ADJ</t>
        </is>
      </c>
      <c r="C246" s="4" t="n"/>
      <c r="D246" s="4" t="n"/>
      <c r="E246" s="4" t="inlineStr">
        <is>
          <t>Marka International Airport</t>
        </is>
      </c>
      <c r="F246" s="4" t="n"/>
      <c r="G246" s="4" t="n"/>
      <c r="H246" s="4" t="inlineStr">
        <is>
          <t>Jordan</t>
        </is>
      </c>
      <c r="I246" s="4" t="inlineStr">
        <is>
          <t>Amman</t>
        </is>
      </c>
      <c r="J246" s="4" t="n"/>
      <c r="K246" s="4" t="n"/>
      <c r="L246" s="4" t="n"/>
      <c r="M246" s="4" t="n"/>
      <c r="N246" s="12" t="n"/>
      <c r="O246" s="125" t="n">
        <v>31.9727</v>
      </c>
      <c r="P246" s="125" t="n">
        <v>35.9916</v>
      </c>
      <c r="Q246" s="13" t="n"/>
      <c r="R246" s="11" t="n">
        <v>2555</v>
      </c>
      <c r="S246" s="4" t="n"/>
      <c r="T246" s="4" t="inlineStr">
        <is>
          <t>Asia/Amman</t>
        </is>
      </c>
      <c r="U246" s="126" t="n"/>
      <c r="V246" s="14" t="n"/>
      <c r="W246" s="4" t="n"/>
      <c r="X246" s="4" t="n"/>
      <c r="Y246" s="4" t="n"/>
      <c r="Z246" s="4" t="n"/>
      <c r="AA246" s="4" t="n"/>
      <c r="AB246" s="4" t="n"/>
      <c r="AC246" s="4" t="n"/>
      <c r="AD246" s="4" t="n"/>
      <c r="AE246" s="4" t="n"/>
      <c r="AF246" s="4" t="n"/>
      <c r="AG246" s="4" t="n"/>
      <c r="AH246" s="4" t="n"/>
      <c r="AI246" s="4" t="n"/>
      <c r="AJ246" s="4" t="n"/>
      <c r="AK246" s="4" t="n"/>
      <c r="AL246" s="4" t="n"/>
      <c r="AM246" s="4" t="n"/>
      <c r="AN246" s="4" t="n"/>
      <c r="AO246" s="12" t="n"/>
      <c r="AP246" s="12" t="n"/>
      <c r="AQ246" s="12" t="n"/>
      <c r="AR246" s="12" t="n"/>
      <c r="AS246" s="16" t="n"/>
      <c r="AT246" s="16" t="n"/>
      <c r="AU246" s="4" t="n"/>
      <c r="AV246" s="124" t="n"/>
      <c r="AX246" s="118" t="n"/>
    </row>
    <row r="247">
      <c r="A247" s="4" t="inlineStr">
        <is>
          <t>OKKK</t>
        </is>
      </c>
      <c r="B247" s="4" t="inlineStr">
        <is>
          <t>KWI</t>
        </is>
      </c>
      <c r="C247" s="4" t="n"/>
      <c r="D247" s="4" t="n"/>
      <c r="E247" s="4" t="inlineStr">
        <is>
          <t>Kuwait International Airport</t>
        </is>
      </c>
      <c r="F247" s="4" t="n"/>
      <c r="G247" s="4" t="n"/>
      <c r="H247" s="4" t="inlineStr">
        <is>
          <t>Kuwait</t>
        </is>
      </c>
      <c r="I247" s="4" t="inlineStr">
        <is>
          <t>Kuwait City</t>
        </is>
      </c>
      <c r="J247" s="4" t="n"/>
      <c r="K247" s="4" t="n"/>
      <c r="L247" s="4" t="n"/>
      <c r="M247" s="4" t="n"/>
      <c r="N247" s="12" t="n"/>
      <c r="O247" s="125" t="n">
        <v>29.22449</v>
      </c>
      <c r="P247" s="125" t="n">
        <v>47.96981</v>
      </c>
      <c r="Q247" s="13" t="n"/>
      <c r="R247" s="11" t="n">
        <v>206</v>
      </c>
      <c r="S247" s="4" t="n"/>
      <c r="T247" s="4" t="n"/>
      <c r="U247" s="126" t="n"/>
      <c r="V247" s="14" t="n"/>
      <c r="W247" s="4" t="n"/>
      <c r="X247" s="4" t="n"/>
      <c r="Y247" s="4" t="n"/>
      <c r="Z247" s="4" t="n"/>
      <c r="AA247" s="4" t="n"/>
      <c r="AB247" s="4" t="n"/>
      <c r="AC247" s="4" t="n"/>
      <c r="AD247" s="4" t="n"/>
      <c r="AE247" s="4" t="n"/>
      <c r="AF247" s="4" t="n"/>
      <c r="AG247" s="4" t="n"/>
      <c r="AH247" s="4" t="n"/>
      <c r="AI247" s="4" t="n"/>
      <c r="AJ247" s="4" t="n"/>
      <c r="AK247" s="4" t="n"/>
      <c r="AL247" s="4" t="n"/>
      <c r="AM247" s="4" t="n"/>
      <c r="AN247" s="4" t="n"/>
      <c r="AO247" s="12" t="n"/>
      <c r="AP247" s="12" t="n"/>
      <c r="AQ247" s="12" t="n"/>
      <c r="AR247" s="12" t="n"/>
      <c r="AS247" s="16" t="n"/>
      <c r="AT247" s="16" t="n"/>
      <c r="AU247" s="4" t="n"/>
      <c r="AV247" s="124" t="n"/>
      <c r="AX247" s="118" t="n"/>
    </row>
    <row r="248">
      <c r="A248" s="4" t="inlineStr">
        <is>
          <t>OLBA</t>
        </is>
      </c>
      <c r="B248" s="4" t="inlineStr">
        <is>
          <t>BEY</t>
        </is>
      </c>
      <c r="C248" s="4" t="n"/>
      <c r="D248" s="4" t="n"/>
      <c r="E248" s="4" t="inlineStr">
        <is>
          <t>Beirut Rafic Hariri International Airport</t>
        </is>
      </c>
      <c r="F248" s="4" t="n"/>
      <c r="G248" s="4" t="n"/>
      <c r="H248" s="4" t="inlineStr">
        <is>
          <t>Lebanon</t>
        </is>
      </c>
      <c r="I248" s="4" t="inlineStr">
        <is>
          <t>Beirut</t>
        </is>
      </c>
      <c r="J248" s="4" t="n"/>
      <c r="K248" s="4" t="n"/>
      <c r="L248" s="4" t="n"/>
      <c r="M248" s="4" t="n"/>
      <c r="N248" s="12" t="n"/>
      <c r="O248" s="125" t="n">
        <v>33.81983</v>
      </c>
      <c r="P248" s="125" t="n">
        <v>35.48744</v>
      </c>
      <c r="Q248" s="13" t="n"/>
      <c r="R248" s="11" t="n">
        <v>87</v>
      </c>
      <c r="S248" s="4" t="n"/>
      <c r="T248" s="4" t="inlineStr">
        <is>
          <t>Asia/Beirut</t>
        </is>
      </c>
      <c r="U248" s="126" t="n"/>
      <c r="V248" s="14" t="n"/>
      <c r="W248" s="4" t="n"/>
      <c r="X248" s="4" t="n"/>
      <c r="Y248" s="4" t="n"/>
      <c r="Z248" s="4" t="n"/>
      <c r="AA248" s="4" t="n"/>
      <c r="AB248" s="4" t="n"/>
      <c r="AC248" s="4" t="n"/>
      <c r="AD248" s="4" t="n"/>
      <c r="AE248" s="4" t="n"/>
      <c r="AF248" s="4" t="n"/>
      <c r="AG248" s="4" t="n"/>
      <c r="AH248" s="4" t="n"/>
      <c r="AI248" s="4" t="n"/>
      <c r="AJ248" s="4" t="n"/>
      <c r="AK248" s="4" t="n"/>
      <c r="AL248" s="4" t="n"/>
      <c r="AM248" s="4" t="n"/>
      <c r="AN248" s="4" t="n"/>
      <c r="AO248" s="12" t="n"/>
      <c r="AP248" s="12" t="n"/>
      <c r="AQ248" s="12" t="n"/>
      <c r="AR248" s="12" t="n"/>
      <c r="AS248" s="16" t="n"/>
      <c r="AT248" s="16" t="n"/>
      <c r="AU248" s="4" t="n"/>
      <c r="AV248" s="124" t="n"/>
      <c r="AX248" s="118" t="n"/>
    </row>
    <row r="249">
      <c r="A249" s="4" t="inlineStr">
        <is>
          <t>OMAA</t>
        </is>
      </c>
      <c r="B249" s="4" t="inlineStr">
        <is>
          <t>AUH</t>
        </is>
      </c>
      <c r="C249" s="4" t="n"/>
      <c r="D249" s="4" t="n"/>
      <c r="E249" s="4" t="inlineStr">
        <is>
          <t>Zayed International Airport</t>
        </is>
      </c>
      <c r="F249" s="4" t="n"/>
      <c r="G249" s="4" t="n"/>
      <c r="H249" s="4" t="inlineStr">
        <is>
          <t>United Arab Emirates</t>
        </is>
      </c>
      <c r="I249" s="4" t="inlineStr">
        <is>
          <t>Abu Dhabi</t>
        </is>
      </c>
      <c r="J249" s="4" t="n"/>
      <c r="K249" s="4" t="n"/>
      <c r="L249" s="4" t="n"/>
      <c r="M249" s="4" t="n"/>
      <c r="N249" s="12" t="n"/>
      <c r="O249" s="125" t="n">
        <v>24.44097</v>
      </c>
      <c r="P249" s="125" t="n">
        <v>54.64924</v>
      </c>
      <c r="Q249" s="13" t="n"/>
      <c r="R249" s="11" t="n">
        <v>88</v>
      </c>
      <c r="S249" s="4" t="n"/>
      <c r="T249" s="4" t="inlineStr">
        <is>
          <t>Asia/Dubai</t>
        </is>
      </c>
      <c r="U249" s="126" t="n"/>
      <c r="V249" s="14" t="n"/>
      <c r="W249" s="4" t="n"/>
      <c r="X249" s="4" t="n"/>
      <c r="Y249" s="4" t="n"/>
      <c r="Z249" s="4" t="n"/>
      <c r="AA249" s="4" t="n"/>
      <c r="AB249" s="4" t="n"/>
      <c r="AC249" s="4" t="n"/>
      <c r="AD249" s="4" t="n"/>
      <c r="AE249" s="4" t="n"/>
      <c r="AF249" s="4" t="n"/>
      <c r="AG249" s="4" t="n"/>
      <c r="AH249" s="4" t="n"/>
      <c r="AI249" s="4" t="n"/>
      <c r="AJ249" s="4" t="n"/>
      <c r="AK249" s="4" t="n"/>
      <c r="AL249" s="4" t="n"/>
      <c r="AM249" s="4" t="n"/>
      <c r="AN249" s="4" t="n"/>
      <c r="AO249" s="12" t="n"/>
      <c r="AP249" s="12" t="n"/>
      <c r="AQ249" s="12" t="n"/>
      <c r="AR249" s="12" t="n"/>
      <c r="AS249" s="16" t="n"/>
      <c r="AT249" s="16" t="n"/>
      <c r="AU249" s="4" t="n"/>
      <c r="AV249" s="124" t="n"/>
      <c r="AX249" s="118" t="n"/>
    </row>
    <row r="250">
      <c r="A250" s="4" t="inlineStr">
        <is>
          <t>OMAD</t>
        </is>
      </c>
      <c r="B250" s="4" t="inlineStr">
        <is>
          <t>AZI</t>
        </is>
      </c>
      <c r="C250" s="4" t="n"/>
      <c r="D250" s="4" t="n"/>
      <c r="E250" s="4" t="inlineStr">
        <is>
          <t>Al Bateen Executive Airport</t>
        </is>
      </c>
      <c r="F250" s="4" t="n"/>
      <c r="G250" s="4" t="n"/>
      <c r="H250" s="4" t="inlineStr">
        <is>
          <t>United Arab Emirates</t>
        </is>
      </c>
      <c r="I250" s="4" t="inlineStr">
        <is>
          <t>Abu Dhabi</t>
        </is>
      </c>
      <c r="J250" s="4" t="n"/>
      <c r="K250" s="4" t="n"/>
      <c r="L250" s="4" t="n"/>
      <c r="M250" s="4" t="n"/>
      <c r="N250" s="12" t="n"/>
      <c r="O250" s="125" t="n">
        <v>24.42706</v>
      </c>
      <c r="P250" s="125" t="n">
        <v>54.45987</v>
      </c>
      <c r="Q250" s="13" t="n"/>
      <c r="R250" s="11" t="n">
        <v>16</v>
      </c>
      <c r="S250" s="4" t="n"/>
      <c r="T250" s="4" t="inlineStr">
        <is>
          <t>Asia/Dubai</t>
        </is>
      </c>
      <c r="U250" s="126" t="n"/>
      <c r="V250" s="14" t="n"/>
      <c r="W250" s="4" t="n"/>
      <c r="X250" s="4" t="n"/>
      <c r="Y250" s="4" t="n"/>
      <c r="Z250" s="4" t="n"/>
      <c r="AA250" s="4" t="n"/>
      <c r="AB250" s="4" t="n"/>
      <c r="AC250" s="4" t="n"/>
      <c r="AD250" s="4" t="n"/>
      <c r="AE250" s="4" t="n"/>
      <c r="AF250" s="4" t="n"/>
      <c r="AG250" s="4" t="n"/>
      <c r="AH250" s="4" t="n"/>
      <c r="AI250" s="4" t="n"/>
      <c r="AJ250" s="4" t="n"/>
      <c r="AK250" s="4" t="n"/>
      <c r="AL250" s="4" t="n"/>
      <c r="AM250" s="4" t="n"/>
      <c r="AN250" s="4" t="n"/>
      <c r="AO250" s="12" t="n"/>
      <c r="AP250" s="12" t="n"/>
      <c r="AQ250" s="12" t="n"/>
      <c r="AR250" s="12" t="n"/>
      <c r="AS250" s="16" t="n"/>
      <c r="AT250" s="16" t="n"/>
      <c r="AU250" s="4" t="n"/>
      <c r="AV250" s="124" t="n"/>
      <c r="AX250" s="118" t="n"/>
    </row>
    <row r="251">
      <c r="A251" s="4" t="inlineStr">
        <is>
          <t>OMDB</t>
        </is>
      </c>
      <c r="B251" s="4" t="inlineStr">
        <is>
          <t>DXB</t>
        </is>
      </c>
      <c r="C251" s="4" t="n"/>
      <c r="D251" s="4" t="n"/>
      <c r="E251" s="4" t="inlineStr">
        <is>
          <t>Dubai International Airport</t>
        </is>
      </c>
      <c r="F251" s="4" t="n"/>
      <c r="G251" s="4" t="n"/>
      <c r="H251" s="4" t="inlineStr">
        <is>
          <t>United Arab Emirates</t>
        </is>
      </c>
      <c r="I251" s="4" t="inlineStr">
        <is>
          <t>Dubai</t>
        </is>
      </c>
      <c r="J251" s="4" t="n"/>
      <c r="K251" s="4" t="n"/>
      <c r="L251" s="4" t="n"/>
      <c r="M251" s="4" t="n"/>
      <c r="N251" s="12" t="n"/>
      <c r="O251" s="125" t="n">
        <v>25.24979</v>
      </c>
      <c r="P251" s="125" t="n">
        <v>55.37099</v>
      </c>
      <c r="Q251" s="13" t="n"/>
      <c r="R251" s="11" t="n">
        <v>62</v>
      </c>
      <c r="S251" s="4" t="n"/>
      <c r="T251" s="4" t="inlineStr">
        <is>
          <t>Asia/Dubai</t>
        </is>
      </c>
      <c r="U251" s="126" t="n"/>
      <c r="V251" s="14" t="n"/>
      <c r="W251" s="4" t="n"/>
      <c r="X251" s="4" t="n"/>
      <c r="Y251" s="4" t="n"/>
      <c r="Z251" s="4" t="n"/>
      <c r="AA251" s="4" t="n"/>
      <c r="AB251" s="4" t="n"/>
      <c r="AC251" s="4" t="n"/>
      <c r="AD251" s="4" t="n"/>
      <c r="AE251" s="4" t="n"/>
      <c r="AF251" s="4" t="n"/>
      <c r="AG251" s="4" t="n"/>
      <c r="AH251" s="4" t="n"/>
      <c r="AI251" s="4" t="n"/>
      <c r="AJ251" s="4" t="n"/>
      <c r="AK251" s="4" t="n"/>
      <c r="AL251" s="4" t="n"/>
      <c r="AM251" s="4" t="n"/>
      <c r="AN251" s="4" t="n"/>
      <c r="AO251" s="12" t="n"/>
      <c r="AP251" s="12" t="n"/>
      <c r="AQ251" s="12" t="n"/>
      <c r="AR251" s="12" t="n"/>
      <c r="AS251" s="16" t="n"/>
      <c r="AT251" s="16" t="n"/>
      <c r="AU251" s="4" t="n"/>
      <c r="AV251" s="124" t="n"/>
      <c r="AX251" s="118" t="n"/>
    </row>
    <row r="252">
      <c r="A252" s="4" t="inlineStr">
        <is>
          <t>OODQ</t>
        </is>
      </c>
      <c r="B252" s="4" t="inlineStr">
        <is>
          <t>DQM</t>
        </is>
      </c>
      <c r="C252" s="4" t="n"/>
      <c r="D252" s="4" t="n"/>
      <c r="E252" s="4" t="inlineStr">
        <is>
          <t>Duqm International Airport</t>
        </is>
      </c>
      <c r="F252" s="4" t="n"/>
      <c r="G252" s="4" t="n"/>
      <c r="H252" s="4" t="inlineStr">
        <is>
          <t>Oman</t>
        </is>
      </c>
      <c r="I252" s="4" t="inlineStr">
        <is>
          <t>Duqm</t>
        </is>
      </c>
      <c r="J252" s="4" t="n"/>
      <c r="K252" s="4" t="n"/>
      <c r="L252" s="4" t="n"/>
      <c r="M252" s="4" t="n"/>
      <c r="N252" s="12" t="n"/>
      <c r="O252" s="125" t="n">
        <v>19.50194</v>
      </c>
      <c r="P252" s="125" t="n">
        <v>57.63417</v>
      </c>
      <c r="Q252" s="13" t="n"/>
      <c r="R252" s="11" t="n">
        <v>364</v>
      </c>
      <c r="S252" s="4" t="n"/>
      <c r="T252" s="4" t="n"/>
      <c r="U252" s="126" t="n"/>
      <c r="V252" s="14" t="n"/>
      <c r="W252" s="4" t="n"/>
      <c r="X252" s="4" t="n"/>
      <c r="Y252" s="4" t="n"/>
      <c r="Z252" s="4" t="n"/>
      <c r="AA252" s="4" t="n"/>
      <c r="AB252" s="4" t="n"/>
      <c r="AC252" s="4" t="n"/>
      <c r="AD252" s="4" t="n"/>
      <c r="AE252" s="4" t="n"/>
      <c r="AF252" s="4" t="n"/>
      <c r="AG252" s="4" t="n"/>
      <c r="AH252" s="4" t="n"/>
      <c r="AI252" s="4" t="n"/>
      <c r="AJ252" s="4" t="n"/>
      <c r="AK252" s="4" t="n"/>
      <c r="AL252" s="4" t="n"/>
      <c r="AM252" s="4" t="n"/>
      <c r="AN252" s="4" t="n"/>
      <c r="AO252" s="12" t="n"/>
      <c r="AP252" s="12" t="n"/>
      <c r="AQ252" s="12" t="n"/>
      <c r="AR252" s="12" t="n"/>
      <c r="AS252" s="16" t="n"/>
      <c r="AT252" s="16" t="n"/>
      <c r="AU252" s="4" t="n"/>
      <c r="AV252" s="124" t="n"/>
      <c r="AX252" s="118" t="n"/>
    </row>
    <row r="253">
      <c r="A253" s="4" t="inlineStr">
        <is>
          <t>OOMS</t>
        </is>
      </c>
      <c r="B253" s="4" t="inlineStr">
        <is>
          <t>MCT</t>
        </is>
      </c>
      <c r="C253" s="4" t="n"/>
      <c r="D253" s="4" t="n"/>
      <c r="E253" s="4" t="inlineStr">
        <is>
          <t>Muscat International Airport</t>
        </is>
      </c>
      <c r="F253" s="4" t="n"/>
      <c r="G253" s="4" t="n"/>
      <c r="H253" s="4" t="inlineStr">
        <is>
          <t>Oman</t>
        </is>
      </c>
      <c r="I253" s="4" t="inlineStr">
        <is>
          <t>Muscat/Seeb</t>
        </is>
      </c>
      <c r="J253" s="4" t="n"/>
      <c r="K253" s="4" t="n"/>
      <c r="L253" s="4" t="n"/>
      <c r="M253" s="4" t="n"/>
      <c r="N253" s="12" t="n"/>
      <c r="O253" s="125" t="n">
        <v>23.60022</v>
      </c>
      <c r="P253" s="125" t="n">
        <v>58.28527</v>
      </c>
      <c r="Q253" s="13" t="n"/>
      <c r="R253" s="11" t="n">
        <v>48</v>
      </c>
      <c r="S253" s="4" t="n"/>
      <c r="T253" s="4" t="inlineStr">
        <is>
          <t>Asia/Muscat</t>
        </is>
      </c>
      <c r="U253" s="126" t="n"/>
      <c r="V253" s="14" t="n"/>
      <c r="W253" s="4" t="n"/>
      <c r="X253" s="4" t="n"/>
      <c r="Y253" s="4" t="n"/>
      <c r="Z253" s="4" t="n"/>
      <c r="AA253" s="4" t="n"/>
      <c r="AB253" s="4" t="n"/>
      <c r="AC253" s="4" t="n"/>
      <c r="AD253" s="4" t="n"/>
      <c r="AE253" s="4" t="n"/>
      <c r="AF253" s="4" t="n"/>
      <c r="AG253" s="4" t="n"/>
      <c r="AH253" s="4" t="n"/>
      <c r="AI253" s="4" t="n"/>
      <c r="AJ253" s="4" t="n"/>
      <c r="AK253" s="4" t="n"/>
      <c r="AL253" s="4" t="n"/>
      <c r="AM253" s="4" t="n"/>
      <c r="AN253" s="4" t="n"/>
      <c r="AO253" s="12" t="n"/>
      <c r="AP253" s="12" t="n"/>
      <c r="AQ253" s="12" t="n"/>
      <c r="AR253" s="12" t="n"/>
      <c r="AS253" s="16" t="n"/>
      <c r="AT253" s="16" t="n"/>
      <c r="AU253" s="4" t="n"/>
      <c r="AV253" s="124" t="n"/>
      <c r="AX253" s="118" t="n"/>
    </row>
    <row r="254">
      <c r="A254" s="4" t="inlineStr">
        <is>
          <t>OOTH</t>
        </is>
      </c>
      <c r="B254" s="4" t="inlineStr">
        <is>
          <t>TTH</t>
        </is>
      </c>
      <c r="C254" s="4" t="n"/>
      <c r="D254" s="4" t="n"/>
      <c r="E254" s="4" t="inlineStr">
        <is>
          <t>Thumrait Air Base</t>
        </is>
      </c>
      <c r="F254" s="4" t="n"/>
      <c r="G254" s="4" t="inlineStr">
        <is>
          <t>Military</t>
        </is>
      </c>
      <c r="H254" s="4" t="inlineStr">
        <is>
          <t>Oman</t>
        </is>
      </c>
      <c r="I254" s="4" t="inlineStr">
        <is>
          <t>Thumrait</t>
        </is>
      </c>
      <c r="J254" s="4" t="n"/>
      <c r="K254" s="4" t="n"/>
      <c r="L254" s="4" t="n"/>
      <c r="M254" s="4" t="n"/>
      <c r="N254" s="12" t="n"/>
      <c r="O254" s="125" t="n">
        <v>17.665833</v>
      </c>
      <c r="P254" s="125" t="n">
        <v>54.025</v>
      </c>
      <c r="Q254" s="13" t="n"/>
      <c r="R254" s="11" t="n">
        <v>1526</v>
      </c>
      <c r="S254" s="4" t="n"/>
      <c r="T254" s="4" t="inlineStr">
        <is>
          <t>Asia/Muscat</t>
        </is>
      </c>
      <c r="U254" s="126" t="n"/>
      <c r="V254" s="14" t="n"/>
      <c r="W254" s="4" t="n"/>
      <c r="X254" s="4" t="inlineStr">
        <is>
          <t>Open 24 hours (H24)</t>
        </is>
      </c>
      <c r="Y254" s="4" t="inlineStr">
        <is>
          <t>NO</t>
        </is>
      </c>
      <c r="Z254" s="4" t="n"/>
      <c r="AA254" s="4" t="n"/>
      <c r="AB254" s="4" t="n"/>
      <c r="AC254" s="4" t="n"/>
      <c r="AD254" s="4" t="n"/>
      <c r="AE254" s="4" t="n"/>
      <c r="AF254" s="4" t="n"/>
      <c r="AG254" s="4" t="inlineStr">
        <is>
          <t>JET A-1</t>
        </is>
      </c>
      <c r="AH254" s="4" t="n"/>
      <c r="AI254" s="4" t="n"/>
      <c r="AJ254" s="4" t="n"/>
      <c r="AK254" s="4" t="n"/>
      <c r="AL254" s="4" t="n"/>
      <c r="AM254" s="4" t="n"/>
      <c r="AN254" s="4" t="n"/>
      <c r="AO254" s="12" t="n"/>
      <c r="AP254" s="12" t="n"/>
      <c r="AQ254" s="12" t="n"/>
      <c r="AR254" s="12" t="n"/>
      <c r="AS254" s="16" t="n"/>
      <c r="AT254" s="16" t="n"/>
      <c r="AU254" s="4" t="n"/>
      <c r="AV254" s="124" t="n"/>
      <c r="AX254" s="118" t="n"/>
    </row>
    <row r="255">
      <c r="A255" s="4" t="inlineStr">
        <is>
          <t>OPFA</t>
        </is>
      </c>
      <c r="B255" s="4" t="inlineStr">
        <is>
          <t>LYP</t>
        </is>
      </c>
      <c r="C255" s="4" t="n"/>
      <c r="D255" s="4" t="n"/>
      <c r="E255" s="4" t="inlineStr">
        <is>
          <t>Faisalabad International Airport</t>
        </is>
      </c>
      <c r="F255" s="4" t="n"/>
      <c r="G255" s="4" t="n"/>
      <c r="H255" s="4" t="inlineStr">
        <is>
          <t>Pakistan</t>
        </is>
      </c>
      <c r="I255" s="4" t="inlineStr">
        <is>
          <t>Faisalabad</t>
        </is>
      </c>
      <c r="J255" s="4" t="n"/>
      <c r="K255" s="4" t="n"/>
      <c r="L255" s="4" t="n"/>
      <c r="M255" s="4" t="n"/>
      <c r="N255" s="12" t="n"/>
      <c r="O255" s="125" t="n">
        <v>31.36492</v>
      </c>
      <c r="P255" s="125" t="n">
        <v>72.99532000000001</v>
      </c>
      <c r="Q255" s="13" t="n"/>
      <c r="R255" s="11" t="n">
        <v>591</v>
      </c>
      <c r="S255" s="4" t="n"/>
      <c r="T255" s="4" t="inlineStr">
        <is>
          <t>Asia/Karachi</t>
        </is>
      </c>
      <c r="U255" s="126" t="n"/>
      <c r="V255" s="14" t="n"/>
      <c r="W255" s="4" t="n"/>
      <c r="X255" s="4" t="n"/>
      <c r="Y255" s="4" t="n"/>
      <c r="Z255" s="4" t="n"/>
      <c r="AA255" s="4" t="n"/>
      <c r="AB255" s="4" t="n"/>
      <c r="AC255" s="4" t="n"/>
      <c r="AD255" s="4" t="n"/>
      <c r="AE255" s="4" t="n"/>
      <c r="AF255" s="4" t="n"/>
      <c r="AG255" s="4" t="n"/>
      <c r="AH255" s="4" t="n"/>
      <c r="AI255" s="4" t="n"/>
      <c r="AJ255" s="4" t="n"/>
      <c r="AK255" s="4" t="n"/>
      <c r="AL255" s="4" t="n"/>
      <c r="AM255" s="4" t="n"/>
      <c r="AN255" s="4" t="n"/>
      <c r="AO255" s="12" t="n"/>
      <c r="AP255" s="12" t="n"/>
      <c r="AQ255" s="12" t="n"/>
      <c r="AR255" s="12" t="n"/>
      <c r="AS255" s="16" t="n"/>
      <c r="AT255" s="16" t="n"/>
      <c r="AU255" s="4" t="n"/>
      <c r="AV255" s="124" t="n"/>
      <c r="AX255" s="118" t="n"/>
    </row>
    <row r="256">
      <c r="A256" s="4" t="inlineStr">
        <is>
          <t>OPGW</t>
        </is>
      </c>
      <c r="B256" s="4" t="inlineStr">
        <is>
          <t>GWD</t>
        </is>
      </c>
      <c r="C256" s="4" t="n"/>
      <c r="D256" s="4" t="n"/>
      <c r="E256" s="4" t="inlineStr">
        <is>
          <t>New Gwadar International Airport</t>
        </is>
      </c>
      <c r="F256" s="4" t="n"/>
      <c r="G256" s="4" t="n"/>
      <c r="H256" s="4" t="inlineStr">
        <is>
          <t>Pakistan</t>
        </is>
      </c>
      <c r="I256" s="4" t="inlineStr">
        <is>
          <t>Gurandani</t>
        </is>
      </c>
      <c r="J256" s="4" t="n"/>
      <c r="K256" s="4" t="n"/>
      <c r="L256" s="4" t="n"/>
      <c r="M256" s="4" t="n"/>
      <c r="N256" s="12" t="n"/>
      <c r="O256" s="125" t="n">
        <v>25.29673</v>
      </c>
      <c r="P256" s="125" t="n">
        <v>62.49882</v>
      </c>
      <c r="Q256" s="13" t="n"/>
      <c r="R256" s="11" t="n">
        <v>61</v>
      </c>
      <c r="S256" s="4" t="n"/>
      <c r="T256" s="4" t="n"/>
      <c r="U256" s="126" t="n"/>
      <c r="V256" s="14" t="n"/>
      <c r="W256" s="4" t="n"/>
      <c r="X256" s="4" t="n"/>
      <c r="Y256" s="4" t="n"/>
      <c r="Z256" s="4" t="n"/>
      <c r="AA256" s="4" t="n"/>
      <c r="AB256" s="4" t="n"/>
      <c r="AC256" s="4" t="n"/>
      <c r="AD256" s="4" t="n"/>
      <c r="AE256" s="4" t="n"/>
      <c r="AF256" s="4" t="n"/>
      <c r="AG256" s="4" t="n"/>
      <c r="AH256" s="4" t="n"/>
      <c r="AI256" s="4" t="n"/>
      <c r="AJ256" s="4" t="n"/>
      <c r="AK256" s="4" t="n"/>
      <c r="AL256" s="4" t="n"/>
      <c r="AM256" s="4" t="n"/>
      <c r="AN256" s="4" t="n"/>
      <c r="AO256" s="12" t="n"/>
      <c r="AP256" s="12" t="n"/>
      <c r="AQ256" s="12" t="n"/>
      <c r="AR256" s="12" t="n"/>
      <c r="AS256" s="16" t="n"/>
      <c r="AT256" s="16" t="n"/>
      <c r="AU256" s="4" t="n"/>
      <c r="AV256" s="124" t="n"/>
      <c r="AX256" s="118" t="n"/>
    </row>
    <row r="257">
      <c r="A257" s="4" t="inlineStr">
        <is>
          <t>ORBI</t>
        </is>
      </c>
      <c r="B257" s="4" t="inlineStr">
        <is>
          <t>BGW</t>
        </is>
      </c>
      <c r="C257" s="4" t="n"/>
      <c r="D257" s="4" t="n"/>
      <c r="E257" s="4" t="inlineStr">
        <is>
          <t>Baghdad International Airport</t>
        </is>
      </c>
      <c r="F257" s="4" t="n"/>
      <c r="G257" s="4" t="n"/>
      <c r="H257" s="4" t="inlineStr">
        <is>
          <t>Iraq</t>
        </is>
      </c>
      <c r="I257" s="4" t="inlineStr">
        <is>
          <t>Baghdad</t>
        </is>
      </c>
      <c r="J257" s="4" t="n"/>
      <c r="K257" s="4" t="n"/>
      <c r="L257" s="4" t="n"/>
      <c r="M257" s="4" t="n"/>
      <c r="N257" s="12" t="n"/>
      <c r="O257" s="125" t="n">
        <v>33.2625</v>
      </c>
      <c r="P257" s="125" t="n">
        <v>44.2346</v>
      </c>
      <c r="Q257" s="13" t="n"/>
      <c r="R257" s="11" t="n">
        <v>114</v>
      </c>
      <c r="S257" s="4" t="n"/>
      <c r="T257" s="4" t="inlineStr">
        <is>
          <t>Asia/Baghdad</t>
        </is>
      </c>
      <c r="U257" s="126" t="n"/>
      <c r="V257" s="14" t="n"/>
      <c r="W257" s="4" t="n"/>
      <c r="X257" s="4" t="n"/>
      <c r="Y257" s="4" t="n"/>
      <c r="Z257" s="4" t="n"/>
      <c r="AA257" s="4" t="n"/>
      <c r="AB257" s="4" t="n"/>
      <c r="AC257" s="4" t="n"/>
      <c r="AD257" s="4" t="n"/>
      <c r="AE257" s="4" t="n"/>
      <c r="AF257" s="4" t="n"/>
      <c r="AG257" s="4" t="n"/>
      <c r="AH257" s="4" t="n"/>
      <c r="AI257" s="4" t="n"/>
      <c r="AJ257" s="4" t="n"/>
      <c r="AK257" s="4" t="n"/>
      <c r="AL257" s="4" t="n"/>
      <c r="AM257" s="4" t="n"/>
      <c r="AN257" s="4" t="n"/>
      <c r="AO257" s="12" t="n"/>
      <c r="AP257" s="12" t="n"/>
      <c r="AQ257" s="12" t="n"/>
      <c r="AR257" s="12" t="n"/>
      <c r="AS257" s="16" t="n"/>
      <c r="AT257" s="16" t="n"/>
      <c r="AU257" s="4" t="n"/>
      <c r="AV257" s="124" t="n"/>
      <c r="AX257" s="118" t="n"/>
    </row>
    <row r="258">
      <c r="A258" s="4" t="inlineStr">
        <is>
          <t>ORBM</t>
        </is>
      </c>
      <c r="B258" s="4" t="inlineStr">
        <is>
          <t>OSM</t>
        </is>
      </c>
      <c r="C258" s="4" t="n"/>
      <c r="D258" s="4" t="n"/>
      <c r="E258" s="4" t="inlineStr">
        <is>
          <t>Mosul International Airport</t>
        </is>
      </c>
      <c r="F258" s="4" t="n"/>
      <c r="G258" s="4" t="n"/>
      <c r="H258" s="4" t="inlineStr">
        <is>
          <t>Iraq</t>
        </is>
      </c>
      <c r="I258" s="4" t="inlineStr">
        <is>
          <t>Mosul</t>
        </is>
      </c>
      <c r="J258" s="4" t="n"/>
      <c r="K258" s="4" t="n"/>
      <c r="L258" s="4" t="n"/>
      <c r="M258" s="4" t="n"/>
      <c r="N258" s="12" t="n"/>
      <c r="O258" s="125" t="n">
        <v>36.3058</v>
      </c>
      <c r="P258" s="125" t="n">
        <v>43.1474</v>
      </c>
      <c r="Q258" s="13" t="n"/>
      <c r="R258" s="11" t="n">
        <v>719</v>
      </c>
      <c r="S258" s="4" t="n"/>
      <c r="T258" s="4" t="inlineStr">
        <is>
          <t>Asia/Baghdad</t>
        </is>
      </c>
      <c r="U258" s="126" t="n"/>
      <c r="V258" s="14" t="n"/>
      <c r="W258" s="4" t="n"/>
      <c r="X258" s="4" t="n"/>
      <c r="Y258" s="4" t="n"/>
      <c r="Z258" s="4" t="n"/>
      <c r="AA258" s="4" t="n"/>
      <c r="AB258" s="4" t="n"/>
      <c r="AC258" s="4" t="n"/>
      <c r="AD258" s="4" t="n"/>
      <c r="AE258" s="4" t="n"/>
      <c r="AF258" s="4" t="n"/>
      <c r="AG258" s="4" t="n"/>
      <c r="AH258" s="4" t="n"/>
      <c r="AI258" s="4" t="n"/>
      <c r="AJ258" s="4" t="n"/>
      <c r="AK258" s="4" t="n"/>
      <c r="AL258" s="4" t="n"/>
      <c r="AM258" s="4" t="n"/>
      <c r="AN258" s="4" t="n"/>
      <c r="AO258" s="12" t="n"/>
      <c r="AP258" s="12" t="n"/>
      <c r="AQ258" s="12" t="n"/>
      <c r="AR258" s="12" t="n"/>
      <c r="AS258" s="16" t="n"/>
      <c r="AT258" s="16" t="n"/>
      <c r="AU258" s="4" t="n"/>
      <c r="AV258" s="124" t="n"/>
      <c r="AX258" s="118" t="n"/>
    </row>
    <row r="259">
      <c r="A259" s="4" t="inlineStr">
        <is>
          <t>OSAP</t>
        </is>
      </c>
      <c r="B259" s="4" t="inlineStr">
        <is>
          <t>ALP</t>
        </is>
      </c>
      <c r="C259" s="4" t="n"/>
      <c r="D259" s="4" t="n"/>
      <c r="E259" s="4" t="inlineStr">
        <is>
          <t>Aleppo International Airport</t>
        </is>
      </c>
      <c r="F259" s="4" t="n"/>
      <c r="G259" s="4" t="n"/>
      <c r="H259" s="4" t="inlineStr">
        <is>
          <t>Syria</t>
        </is>
      </c>
      <c r="I259" s="4" t="inlineStr">
        <is>
          <t>Aleppo</t>
        </is>
      </c>
      <c r="J259" s="4" t="n"/>
      <c r="K259" s="4" t="n"/>
      <c r="L259" s="4" t="n"/>
      <c r="M259" s="4" t="n"/>
      <c r="N259" s="12" t="n"/>
      <c r="O259" s="125" t="n">
        <v>36.18126</v>
      </c>
      <c r="P259" s="125" t="n">
        <v>37.22687</v>
      </c>
      <c r="Q259" s="13" t="n"/>
      <c r="R259" s="11" t="n">
        <v>1276</v>
      </c>
      <c r="S259" s="4" t="n"/>
      <c r="T259" s="4" t="inlineStr">
        <is>
          <t>Asia/Damascus</t>
        </is>
      </c>
      <c r="U259" s="126" t="n"/>
      <c r="V259" s="14" t="n"/>
      <c r="W259" s="4" t="n"/>
      <c r="X259" s="4" t="n"/>
      <c r="Y259" s="4" t="n"/>
      <c r="Z259" s="4" t="n"/>
      <c r="AA259" s="4" t="n"/>
      <c r="AB259" s="4" t="n"/>
      <c r="AC259" s="4" t="n"/>
      <c r="AD259" s="4" t="n"/>
      <c r="AE259" s="4" t="n"/>
      <c r="AF259" s="4" t="n"/>
      <c r="AG259" s="4" t="n"/>
      <c r="AH259" s="4" t="n"/>
      <c r="AI259" s="4" t="n"/>
      <c r="AJ259" s="4" t="n"/>
      <c r="AK259" s="4" t="n"/>
      <c r="AL259" s="4" t="n"/>
      <c r="AM259" s="4" t="n"/>
      <c r="AN259" s="4" t="n"/>
      <c r="AO259" s="12" t="n"/>
      <c r="AP259" s="12" t="n"/>
      <c r="AQ259" s="12" t="n"/>
      <c r="AR259" s="12" t="n"/>
      <c r="AS259" s="16" t="n"/>
      <c r="AT259" s="16" t="n"/>
      <c r="AU259" s="4" t="n"/>
      <c r="AV259" s="124" t="n"/>
      <c r="AX259" s="118" t="n"/>
    </row>
    <row r="260">
      <c r="A260" s="4" t="inlineStr">
        <is>
          <t>OSDI</t>
        </is>
      </c>
      <c r="B260" s="4" t="inlineStr">
        <is>
          <t>DAM</t>
        </is>
      </c>
      <c r="C260" s="4" t="n"/>
      <c r="D260" s="4" t="n"/>
      <c r="E260" s="4" t="inlineStr">
        <is>
          <t>Damascus International Airport</t>
        </is>
      </c>
      <c r="F260" s="4" t="n"/>
      <c r="G260" s="4" t="n"/>
      <c r="H260" s="4" t="inlineStr">
        <is>
          <t>Syria</t>
        </is>
      </c>
      <c r="I260" s="4" t="inlineStr">
        <is>
          <t>Damascus</t>
        </is>
      </c>
      <c r="J260" s="4" t="n"/>
      <c r="K260" s="4" t="n"/>
      <c r="L260" s="4" t="n"/>
      <c r="M260" s="4" t="n"/>
      <c r="N260" s="12" t="n"/>
      <c r="O260" s="125" t="n">
        <v>33.4115</v>
      </c>
      <c r="P260" s="125" t="n">
        <v>36.5156</v>
      </c>
      <c r="Q260" s="13" t="n"/>
      <c r="R260" s="11" t="n">
        <v>2020</v>
      </c>
      <c r="S260" s="4" t="n"/>
      <c r="T260" s="4" t="inlineStr">
        <is>
          <t>Asia/Damascus</t>
        </is>
      </c>
      <c r="U260" s="126" t="n"/>
      <c r="V260" s="14" t="n"/>
      <c r="W260" s="4" t="n"/>
      <c r="X260" s="4" t="n"/>
      <c r="Y260" s="4" t="n"/>
      <c r="Z260" s="4" t="n"/>
      <c r="AA260" s="4" t="n"/>
      <c r="AB260" s="4" t="n"/>
      <c r="AC260" s="4" t="n"/>
      <c r="AD260" s="4" t="n"/>
      <c r="AE260" s="4" t="n"/>
      <c r="AF260" s="4" t="n"/>
      <c r="AG260" s="4" t="n"/>
      <c r="AH260" s="4" t="n"/>
      <c r="AI260" s="4" t="n"/>
      <c r="AJ260" s="4" t="n"/>
      <c r="AK260" s="4" t="n"/>
      <c r="AL260" s="4" t="n"/>
      <c r="AM260" s="4" t="n"/>
      <c r="AN260" s="4" t="n"/>
      <c r="AO260" s="12" t="n"/>
      <c r="AP260" s="12" t="n"/>
      <c r="AQ260" s="12" t="n"/>
      <c r="AR260" s="12" t="n"/>
      <c r="AS260" s="16" t="n"/>
      <c r="AT260" s="16" t="n"/>
      <c r="AU260" s="4" t="n"/>
      <c r="AV260" s="124" t="n"/>
      <c r="AX260" s="118" t="n"/>
    </row>
    <row r="261">
      <c r="A261" s="4" t="inlineStr">
        <is>
          <t>OTBD</t>
        </is>
      </c>
      <c r="B261" s="4" t="inlineStr">
        <is>
          <t>DIA</t>
        </is>
      </c>
      <c r="C261" s="4" t="n"/>
      <c r="D261" s="4" t="n"/>
      <c r="E261" s="4" t="inlineStr">
        <is>
          <t>Doha International Airport</t>
        </is>
      </c>
      <c r="F261" s="4" t="n"/>
      <c r="G261" s="4" t="n"/>
      <c r="H261" s="4" t="inlineStr">
        <is>
          <t>Qatar</t>
        </is>
      </c>
      <c r="I261" s="4" t="inlineStr">
        <is>
          <t>Doha</t>
        </is>
      </c>
      <c r="J261" s="4" t="n"/>
      <c r="K261" s="4" t="n"/>
      <c r="L261" s="4" t="n"/>
      <c r="M261" s="4" t="n"/>
      <c r="N261" s="12" t="n"/>
      <c r="O261" s="125" t="n">
        <v>25.25943</v>
      </c>
      <c r="P261" s="125" t="n">
        <v>51.56553</v>
      </c>
      <c r="Q261" s="13" t="n"/>
      <c r="R261" s="11" t="n">
        <v>35</v>
      </c>
      <c r="S261" s="4" t="n"/>
      <c r="T261" s="4" t="inlineStr">
        <is>
          <t>Asia/Qatar</t>
        </is>
      </c>
      <c r="U261" s="126" t="n"/>
      <c r="V261" s="14" t="n"/>
      <c r="W261" s="4" t="n"/>
      <c r="X261" s="4" t="n"/>
      <c r="Y261" s="4" t="n"/>
      <c r="Z261" s="4" t="n"/>
      <c r="AA261" s="4" t="n"/>
      <c r="AB261" s="4" t="n"/>
      <c r="AC261" s="4" t="n"/>
      <c r="AD261" s="4" t="n"/>
      <c r="AE261" s="4" t="n"/>
      <c r="AF261" s="4" t="n"/>
      <c r="AG261" s="4" t="n"/>
      <c r="AH261" s="4" t="n"/>
      <c r="AI261" s="4" t="n"/>
      <c r="AJ261" s="4" t="n"/>
      <c r="AK261" s="4" t="n"/>
      <c r="AL261" s="4" t="n"/>
      <c r="AM261" s="4" t="n"/>
      <c r="AN261" s="4" t="n"/>
      <c r="AO261" s="12" t="n"/>
      <c r="AP261" s="12" t="n"/>
      <c r="AQ261" s="12" t="n"/>
      <c r="AR261" s="12" t="n"/>
      <c r="AS261" s="16" t="n"/>
      <c r="AT261" s="16" t="n"/>
      <c r="AU261" s="4" t="n"/>
      <c r="AV261" s="124" t="n"/>
      <c r="AX261" s="118" t="n"/>
    </row>
    <row r="262">
      <c r="A262" s="4" t="inlineStr">
        <is>
          <t>OTHH</t>
        </is>
      </c>
      <c r="B262" s="4" t="inlineStr">
        <is>
          <t>DOH</t>
        </is>
      </c>
      <c r="C262" s="4" t="n"/>
      <c r="D262" s="4" t="n"/>
      <c r="E262" s="4" t="inlineStr">
        <is>
          <t>Hamad International Airport</t>
        </is>
      </c>
      <c r="F262" s="4" t="n"/>
      <c r="G262" s="4" t="n"/>
      <c r="H262" s="4" t="inlineStr">
        <is>
          <t>Qatar</t>
        </is>
      </c>
      <c r="I262" s="4" t="inlineStr">
        <is>
          <t>Doha</t>
        </is>
      </c>
      <c r="J262" s="4" t="n"/>
      <c r="K262" s="4" t="n"/>
      <c r="L262" s="4" t="n"/>
      <c r="M262" s="4" t="n"/>
      <c r="N262" s="12" t="n"/>
      <c r="O262" s="125" t="n">
        <v>25.27306</v>
      </c>
      <c r="P262" s="125" t="n">
        <v>51.60806</v>
      </c>
      <c r="Q262" s="13" t="n"/>
      <c r="R262" s="11" t="n">
        <v>13</v>
      </c>
      <c r="S262" s="4" t="n"/>
      <c r="T262" s="4" t="n"/>
      <c r="U262" s="126" t="n"/>
      <c r="V262" s="14" t="n"/>
      <c r="W262" s="4" t="n"/>
      <c r="X262" s="4" t="n"/>
      <c r="Y262" s="4" t="n"/>
      <c r="Z262" s="4" t="n"/>
      <c r="AA262" s="4" t="n"/>
      <c r="AB262" s="4" t="n"/>
      <c r="AC262" s="4" t="n"/>
      <c r="AD262" s="4" t="n"/>
      <c r="AE262" s="4" t="n"/>
      <c r="AF262" s="4" t="n"/>
      <c r="AG262" s="4" t="n"/>
      <c r="AH262" s="4" t="n"/>
      <c r="AI262" s="4" t="n"/>
      <c r="AJ262" s="4" t="n"/>
      <c r="AK262" s="4" t="n"/>
      <c r="AL262" s="4" t="n"/>
      <c r="AM262" s="4" t="n"/>
      <c r="AN262" s="4" t="n"/>
      <c r="AO262" s="12" t="n"/>
      <c r="AP262" s="12" t="n"/>
      <c r="AQ262" s="12" t="n"/>
      <c r="AR262" s="12" t="n"/>
      <c r="AS262" s="16" t="n"/>
      <c r="AT262" s="16" t="n"/>
      <c r="AU262" s="4" t="n"/>
      <c r="AV262" s="124" t="n"/>
      <c r="AX262" s="118" t="n"/>
    </row>
    <row r="263">
      <c r="A263" s="4" t="inlineStr">
        <is>
          <t>OYAA</t>
        </is>
      </c>
      <c r="B263" s="4" t="inlineStr">
        <is>
          <t>ADE</t>
        </is>
      </c>
      <c r="C263" s="4" t="n"/>
      <c r="D263" s="4" t="n"/>
      <c r="E263" s="4" t="inlineStr">
        <is>
          <t>Aden International Airport</t>
        </is>
      </c>
      <c r="F263" s="4" t="n"/>
      <c r="G263" s="4" t="n"/>
      <c r="H263" s="4" t="inlineStr">
        <is>
          <t>Yemen</t>
        </is>
      </c>
      <c r="I263" s="4" t="inlineStr">
        <is>
          <t>Aden</t>
        </is>
      </c>
      <c r="J263" s="4" t="n"/>
      <c r="K263" s="4" t="n"/>
      <c r="L263" s="4" t="n"/>
      <c r="M263" s="4" t="n"/>
      <c r="N263" s="12" t="n"/>
      <c r="O263" s="125" t="n">
        <v>12.82956</v>
      </c>
      <c r="P263" s="125" t="n">
        <v>45.02998</v>
      </c>
      <c r="Q263" s="13" t="n"/>
      <c r="R263" s="11" t="n">
        <v>7</v>
      </c>
      <c r="S263" s="4" t="n"/>
      <c r="T263" s="4" t="inlineStr">
        <is>
          <t>Asia/Aden</t>
        </is>
      </c>
      <c r="U263" s="126" t="n"/>
      <c r="V263" s="14" t="n"/>
      <c r="W263" s="4" t="n"/>
      <c r="X263" s="4" t="n"/>
      <c r="Y263" s="4" t="n"/>
      <c r="Z263" s="4" t="n"/>
      <c r="AA263" s="4" t="n"/>
      <c r="AB263" s="4" t="n"/>
      <c r="AC263" s="4" t="n"/>
      <c r="AD263" s="4" t="n"/>
      <c r="AE263" s="4" t="n"/>
      <c r="AF263" s="4" t="n"/>
      <c r="AG263" s="4" t="n"/>
      <c r="AH263" s="4" t="n"/>
      <c r="AI263" s="4" t="n"/>
      <c r="AJ263" s="4" t="n"/>
      <c r="AK263" s="4" t="n"/>
      <c r="AL263" s="4" t="n"/>
      <c r="AM263" s="4" t="n"/>
      <c r="AN263" s="4" t="n"/>
      <c r="AO263" s="12" t="n"/>
      <c r="AP263" s="12" t="n"/>
      <c r="AQ263" s="12" t="n"/>
      <c r="AR263" s="12" t="n"/>
      <c r="AS263" s="16" t="n"/>
      <c r="AT263" s="16" t="n"/>
      <c r="AU263" s="4" t="n"/>
      <c r="AV263" s="124" t="n"/>
      <c r="AX263" s="118" t="n"/>
    </row>
    <row r="264">
      <c r="A264" s="4" t="inlineStr">
        <is>
          <t>OYRN</t>
        </is>
      </c>
      <c r="B264" s="4" t="inlineStr">
        <is>
          <t>RIY</t>
        </is>
      </c>
      <c r="C264" s="4" t="n"/>
      <c r="D264" s="4" t="n"/>
      <c r="E264" s="4" t="inlineStr">
        <is>
          <t>Riyan International Airport</t>
        </is>
      </c>
      <c r="F264" s="4" t="n"/>
      <c r="G264" s="4" t="n"/>
      <c r="H264" s="4" t="inlineStr">
        <is>
          <t>Yemen</t>
        </is>
      </c>
      <c r="I264" s="4" t="inlineStr">
        <is>
          <t>Mukalla</t>
        </is>
      </c>
      <c r="J264" s="4" t="n"/>
      <c r="K264" s="4" t="n"/>
      <c r="L264" s="4" t="n"/>
      <c r="M264" s="4" t="n"/>
      <c r="N264" s="12" t="n"/>
      <c r="O264" s="125" t="n">
        <v>14.66224</v>
      </c>
      <c r="P264" s="125" t="n">
        <v>49.37529</v>
      </c>
      <c r="Q264" s="13" t="n"/>
      <c r="R264" s="11" t="n">
        <v>54</v>
      </c>
      <c r="S264" s="4" t="n"/>
      <c r="T264" s="4" t="inlineStr">
        <is>
          <t>Asia/Aden</t>
        </is>
      </c>
      <c r="U264" s="126" t="n"/>
      <c r="V264" s="14" t="n"/>
      <c r="W264" s="4" t="n"/>
      <c r="X264" s="4" t="n"/>
      <c r="Y264" s="4" t="n"/>
      <c r="Z264" s="4" t="n"/>
      <c r="AA264" s="4" t="n"/>
      <c r="AB264" s="4" t="n"/>
      <c r="AC264" s="4" t="n"/>
      <c r="AD264" s="4" t="n"/>
      <c r="AE264" s="4" t="n"/>
      <c r="AF264" s="4" t="n"/>
      <c r="AG264" s="4" t="n"/>
      <c r="AH264" s="4" t="n"/>
      <c r="AI264" s="4" t="n"/>
      <c r="AJ264" s="4" t="n"/>
      <c r="AK264" s="4" t="n"/>
      <c r="AL264" s="4" t="n"/>
      <c r="AM264" s="4" t="n"/>
      <c r="AN264" s="4" t="n"/>
      <c r="AO264" s="12" t="n"/>
      <c r="AP264" s="12" t="n"/>
      <c r="AQ264" s="12" t="n"/>
      <c r="AR264" s="12" t="n"/>
      <c r="AS264" s="16" t="n"/>
      <c r="AT264" s="16" t="n"/>
      <c r="AU264" s="4" t="n"/>
      <c r="AV264" s="124" t="n"/>
      <c r="AX264" s="118" t="n"/>
    </row>
    <row r="265">
      <c r="A265" s="4" t="inlineStr">
        <is>
          <t>OYSN</t>
        </is>
      </c>
      <c r="B265" s="4" t="inlineStr">
        <is>
          <t>SAH</t>
        </is>
      </c>
      <c r="C265" s="4" t="n"/>
      <c r="D265" s="4" t="n"/>
      <c r="E265" s="4" t="inlineStr">
        <is>
          <t>Sanaa International Airport</t>
        </is>
      </c>
      <c r="F265" s="4" t="n"/>
      <c r="G265" s="4" t="n"/>
      <c r="H265" s="4" t="inlineStr">
        <is>
          <t>Yemen</t>
        </is>
      </c>
      <c r="I265" s="4" t="inlineStr">
        <is>
          <t>Sanaa</t>
        </is>
      </c>
      <c r="J265" s="4" t="n"/>
      <c r="K265" s="4" t="n"/>
      <c r="L265" s="4" t="n"/>
      <c r="M265" s="4" t="n"/>
      <c r="N265" s="12" t="n"/>
      <c r="O265" s="125" t="n">
        <v>15.4763</v>
      </c>
      <c r="P265" s="125" t="n">
        <v>44.2197</v>
      </c>
      <c r="Q265" s="13" t="n"/>
      <c r="R265" s="11" t="n">
        <v>7216</v>
      </c>
      <c r="S265" s="4" t="n"/>
      <c r="T265" s="4" t="inlineStr">
        <is>
          <t>Asia/Aden</t>
        </is>
      </c>
      <c r="U265" s="126" t="n"/>
      <c r="V265" s="14" t="n"/>
      <c r="W265" s="4" t="n"/>
      <c r="X265" s="4" t="n"/>
      <c r="Y265" s="4" t="n"/>
      <c r="Z265" s="4" t="n"/>
      <c r="AA265" s="4" t="n"/>
      <c r="AB265" s="4" t="n"/>
      <c r="AC265" s="4" t="n"/>
      <c r="AD265" s="4" t="n"/>
      <c r="AE265" s="4" t="n"/>
      <c r="AF265" s="4" t="n"/>
      <c r="AG265" s="4" t="n"/>
      <c r="AH265" s="4" t="n"/>
      <c r="AI265" s="4" t="n"/>
      <c r="AJ265" s="4" t="n"/>
      <c r="AK265" s="4" t="n"/>
      <c r="AL265" s="4" t="n"/>
      <c r="AM265" s="4" t="n"/>
      <c r="AN265" s="4" t="n"/>
      <c r="AO265" s="12" t="n"/>
      <c r="AP265" s="12" t="n"/>
      <c r="AQ265" s="12" t="n"/>
      <c r="AR265" s="12" t="n"/>
      <c r="AS265" s="16" t="n"/>
      <c r="AT265" s="16" t="n"/>
      <c r="AU265" s="4" t="n"/>
      <c r="AV265" s="124" t="n"/>
      <c r="AX265" s="118" t="n"/>
    </row>
    <row r="266">
      <c r="A266" s="4" t="inlineStr">
        <is>
          <t>PGRO</t>
        </is>
      </c>
      <c r="B266" s="4" t="inlineStr">
        <is>
          <t>ROP</t>
        </is>
      </c>
      <c r="C266" s="4" t="n"/>
      <c r="D266" s="4" t="n"/>
      <c r="E266" s="4" t="inlineStr">
        <is>
          <t>Rota International Airport</t>
        </is>
      </c>
      <c r="F266" s="4" t="n"/>
      <c r="G266" s="4" t="n"/>
      <c r="H266" s="4" t="n"/>
      <c r="I266" s="4" t="inlineStr">
        <is>
          <t>Rota Island</t>
        </is>
      </c>
      <c r="J266" s="4" t="n"/>
      <c r="K266" s="4" t="n"/>
      <c r="L266" s="4" t="n"/>
      <c r="M266" s="4" t="n"/>
      <c r="N266" s="12" t="n"/>
      <c r="O266" s="125" t="n">
        <v>14.17327</v>
      </c>
      <c r="P266" s="125" t="n">
        <v>145.2411</v>
      </c>
      <c r="Q266" s="13" t="n"/>
      <c r="R266" s="11" t="n">
        <v>607</v>
      </c>
      <c r="S266" s="4" t="n"/>
      <c r="T266" s="4" t="inlineStr">
        <is>
          <t>Pacific/Saipan</t>
        </is>
      </c>
      <c r="U266" s="126" t="n"/>
      <c r="V266" s="14" t="n"/>
      <c r="W266" s="4" t="n"/>
      <c r="X266" s="4" t="n"/>
      <c r="Y266" s="4" t="n"/>
      <c r="Z266" s="4" t="n"/>
      <c r="AA266" s="4" t="n"/>
      <c r="AB266" s="4" t="n"/>
      <c r="AC266" s="4" t="n"/>
      <c r="AD266" s="4" t="n"/>
      <c r="AE266" s="4" t="n"/>
      <c r="AF266" s="4" t="n"/>
      <c r="AG266" s="4" t="n"/>
      <c r="AH266" s="4" t="n"/>
      <c r="AI266" s="4" t="n"/>
      <c r="AJ266" s="4" t="n"/>
      <c r="AK266" s="4" t="n"/>
      <c r="AL266" s="4" t="n"/>
      <c r="AM266" s="4" t="n"/>
      <c r="AN266" s="4" t="n"/>
      <c r="AO266" s="12" t="n"/>
      <c r="AP266" s="12" t="n"/>
      <c r="AQ266" s="12" t="n"/>
      <c r="AR266" s="12" t="n"/>
      <c r="AS266" s="16" t="n"/>
      <c r="AT266" s="16" t="n"/>
      <c r="AU266" s="4" t="n"/>
      <c r="AV266" s="124" t="n"/>
      <c r="AX266" s="118" t="n"/>
    </row>
    <row r="267">
      <c r="A267" s="4" t="inlineStr">
        <is>
          <t>PGUM</t>
        </is>
      </c>
      <c r="B267" s="4" t="inlineStr">
        <is>
          <t>GUM</t>
        </is>
      </c>
      <c r="C267" s="4" t="n"/>
      <c r="D267" s="4" t="n"/>
      <c r="E267" s="4" t="inlineStr">
        <is>
          <t>Antonio B. Won Pat International Airport</t>
        </is>
      </c>
      <c r="F267" s="4" t="n"/>
      <c r="G267" s="4" t="n"/>
      <c r="H267" s="4" t="n"/>
      <c r="I267" s="4" t="inlineStr">
        <is>
          <t>Hagåtña</t>
        </is>
      </c>
      <c r="J267" s="4" t="n"/>
      <c r="K267" s="4" t="n"/>
      <c r="L267" s="4" t="n"/>
      <c r="M267" s="4" t="n"/>
      <c r="N267" s="12" t="n"/>
      <c r="O267" s="125" t="n">
        <v>13.485</v>
      </c>
      <c r="P267" s="125" t="n">
        <v>144.79728</v>
      </c>
      <c r="Q267" s="13" t="n"/>
      <c r="R267" s="11" t="n">
        <v>298</v>
      </c>
      <c r="S267" s="4" t="n"/>
      <c r="T267" s="4" t="inlineStr">
        <is>
          <t>Pacific/Guam</t>
        </is>
      </c>
      <c r="U267" s="126" t="n"/>
      <c r="V267" s="14" t="n"/>
      <c r="W267" s="4" t="n"/>
      <c r="X267" s="4" t="n"/>
      <c r="Y267" s="4" t="n"/>
      <c r="Z267" s="4" t="n"/>
      <c r="AA267" s="4" t="n"/>
      <c r="AB267" s="4" t="n"/>
      <c r="AC267" s="4" t="n"/>
      <c r="AD267" s="4" t="n"/>
      <c r="AE267" s="4" t="n"/>
      <c r="AF267" s="4" t="n"/>
      <c r="AG267" s="4" t="n"/>
      <c r="AH267" s="4" t="n"/>
      <c r="AI267" s="4" t="n"/>
      <c r="AJ267" s="4" t="n"/>
      <c r="AK267" s="4" t="n"/>
      <c r="AL267" s="4" t="n"/>
      <c r="AM267" s="4" t="n"/>
      <c r="AN267" s="4" t="n"/>
      <c r="AO267" s="12" t="n"/>
      <c r="AP267" s="12" t="n"/>
      <c r="AQ267" s="12" t="n"/>
      <c r="AR267" s="12" t="n"/>
      <c r="AS267" s="16" t="n"/>
      <c r="AT267" s="16" t="n"/>
      <c r="AU267" s="4" t="n"/>
      <c r="AV267" s="124" t="n"/>
      <c r="AX267" s="118" t="n"/>
    </row>
    <row r="268">
      <c r="A268" s="4" t="inlineStr">
        <is>
          <t>PKMJ</t>
        </is>
      </c>
      <c r="B268" s="4" t="inlineStr">
        <is>
          <t>MAJ</t>
        </is>
      </c>
      <c r="C268" s="4" t="n"/>
      <c r="D268" s="4" t="n"/>
      <c r="E268" s="4" t="inlineStr">
        <is>
          <t>Marshall Islands International Airport</t>
        </is>
      </c>
      <c r="F268" s="4" t="n"/>
      <c r="G268" s="4" t="n"/>
      <c r="H268" s="4" t="n"/>
      <c r="I268" s="4" t="inlineStr">
        <is>
          <t>Majuro Atoll</t>
        </is>
      </c>
      <c r="J268" s="4" t="n"/>
      <c r="K268" s="4" t="n"/>
      <c r="L268" s="4" t="n"/>
      <c r="M268" s="4" t="n"/>
      <c r="N268" s="12" t="n"/>
      <c r="O268" s="125" t="n">
        <v>7.06511</v>
      </c>
      <c r="P268" s="125" t="n">
        <v>171.27166</v>
      </c>
      <c r="Q268" s="13" t="n"/>
      <c r="R268" s="11" t="n">
        <v>6</v>
      </c>
      <c r="S268" s="4" t="n"/>
      <c r="T268" s="4" t="inlineStr">
        <is>
          <t>Pacific/Majuro</t>
        </is>
      </c>
      <c r="U268" s="126" t="n"/>
      <c r="V268" s="14" t="n"/>
      <c r="W268" s="4" t="n"/>
      <c r="X268" s="4" t="n"/>
      <c r="Y268" s="4" t="n"/>
      <c r="Z268" s="4" t="n"/>
      <c r="AA268" s="4" t="n"/>
      <c r="AB268" s="4" t="n"/>
      <c r="AC268" s="4" t="n"/>
      <c r="AD268" s="4" t="n"/>
      <c r="AE268" s="4" t="n"/>
      <c r="AF268" s="4" t="n"/>
      <c r="AG268" s="4" t="n"/>
      <c r="AH268" s="4" t="n"/>
      <c r="AI268" s="4" t="n"/>
      <c r="AJ268" s="4" t="n"/>
      <c r="AK268" s="4" t="n"/>
      <c r="AL268" s="4" t="n"/>
      <c r="AM268" s="4" t="n"/>
      <c r="AN268" s="4" t="n"/>
      <c r="AO268" s="12" t="n"/>
      <c r="AP268" s="12" t="n"/>
      <c r="AQ268" s="12" t="n"/>
      <c r="AR268" s="12" t="n"/>
      <c r="AS268" s="16" t="n"/>
      <c r="AT268" s="16" t="n"/>
      <c r="AU268" s="4" t="n"/>
      <c r="AV268" s="124" t="n"/>
      <c r="AX268" s="118" t="n"/>
    </row>
    <row r="269">
      <c r="A269" s="4" t="inlineStr">
        <is>
          <t>PLCH</t>
        </is>
      </c>
      <c r="B269" s="4" t="inlineStr">
        <is>
          <t>CXI</t>
        </is>
      </c>
      <c r="C269" s="4" t="n"/>
      <c r="D269" s="4" t="n"/>
      <c r="E269" s="4" t="inlineStr">
        <is>
          <t>Cassidy International Airport</t>
        </is>
      </c>
      <c r="F269" s="4" t="n"/>
      <c r="G269" s="4" t="n"/>
      <c r="H269" s="4" t="n"/>
      <c r="I269" s="4" t="inlineStr">
        <is>
          <t>Kiritimati</t>
        </is>
      </c>
      <c r="J269" s="4" t="n"/>
      <c r="K269" s="4" t="n"/>
      <c r="L269" s="4" t="n"/>
      <c r="M269" s="4" t="n"/>
      <c r="N269" s="12" t="n"/>
      <c r="O269" s="125" t="n">
        <v>1.98628</v>
      </c>
      <c r="P269" s="125" t="n">
        <v>-157.35001</v>
      </c>
      <c r="Q269" s="13" t="n"/>
      <c r="R269" s="11" t="n">
        <v>5</v>
      </c>
      <c r="S269" s="4" t="n"/>
      <c r="T269" s="4" t="n"/>
      <c r="U269" s="126" t="n"/>
      <c r="V269" s="14" t="n"/>
      <c r="W269" s="4" t="n"/>
      <c r="X269" s="4" t="n"/>
      <c r="Y269" s="4" t="n"/>
      <c r="Z269" s="4" t="n"/>
      <c r="AA269" s="4" t="n"/>
      <c r="AB269" s="4" t="n"/>
      <c r="AC269" s="4" t="n"/>
      <c r="AD269" s="4" t="n"/>
      <c r="AE269" s="4" t="n"/>
      <c r="AF269" s="4" t="n"/>
      <c r="AG269" s="4" t="n"/>
      <c r="AH269" s="4" t="n"/>
      <c r="AI269" s="4" t="n"/>
      <c r="AJ269" s="4" t="n"/>
      <c r="AK269" s="4" t="n"/>
      <c r="AL269" s="4" t="n"/>
      <c r="AM269" s="4" t="n"/>
      <c r="AN269" s="4" t="n"/>
      <c r="AO269" s="12" t="n"/>
      <c r="AP269" s="12" t="n"/>
      <c r="AQ269" s="12" t="n"/>
      <c r="AR269" s="12" t="n"/>
      <c r="AS269" s="16" t="n"/>
      <c r="AT269" s="16" t="n"/>
      <c r="AU269" s="4" t="n"/>
      <c r="AV269" s="124" t="n"/>
      <c r="AX269" s="118" t="n"/>
    </row>
    <row r="270">
      <c r="A270" s="4" t="inlineStr">
        <is>
          <t>PTKK</t>
        </is>
      </c>
      <c r="B270" s="4" t="inlineStr">
        <is>
          <t>TKK</t>
        </is>
      </c>
      <c r="C270" s="4" t="n"/>
      <c r="D270" s="4" t="n"/>
      <c r="E270" s="4" t="inlineStr">
        <is>
          <t>Chuuk International Airport</t>
        </is>
      </c>
      <c r="F270" s="4" t="n"/>
      <c r="G270" s="4" t="n"/>
      <c r="H270" s="4" t="n"/>
      <c r="I270" s="4" t="inlineStr">
        <is>
          <t>Weno Island</t>
        </is>
      </c>
      <c r="J270" s="4" t="n"/>
      <c r="K270" s="4" t="n"/>
      <c r="L270" s="4" t="n"/>
      <c r="M270" s="4" t="n"/>
      <c r="N270" s="12" t="n"/>
      <c r="O270" s="125" t="n">
        <v>7.46187</v>
      </c>
      <c r="P270" s="125" t="n">
        <v>151.843</v>
      </c>
      <c r="Q270" s="13" t="n"/>
      <c r="R270" s="11" t="n">
        <v>11</v>
      </c>
      <c r="S270" s="4" t="n"/>
      <c r="T270" s="4" t="inlineStr">
        <is>
          <t>Pacific/Truk</t>
        </is>
      </c>
      <c r="U270" s="126" t="n"/>
      <c r="V270" s="14" t="n"/>
      <c r="W270" s="4" t="n"/>
      <c r="X270" s="4" t="n"/>
      <c r="Y270" s="4" t="n"/>
      <c r="Z270" s="4" t="n"/>
      <c r="AA270" s="4" t="n"/>
      <c r="AB270" s="4" t="n"/>
      <c r="AC270" s="4" t="n"/>
      <c r="AD270" s="4" t="n"/>
      <c r="AE270" s="4" t="n"/>
      <c r="AF270" s="4" t="n"/>
      <c r="AG270" s="4" t="n"/>
      <c r="AH270" s="4" t="n"/>
      <c r="AI270" s="4" t="n"/>
      <c r="AJ270" s="4" t="n"/>
      <c r="AK270" s="4" t="n"/>
      <c r="AL270" s="4" t="n"/>
      <c r="AM270" s="4" t="n"/>
      <c r="AN270" s="4" t="n"/>
      <c r="AO270" s="12" t="n"/>
      <c r="AP270" s="12" t="n"/>
      <c r="AQ270" s="12" t="n"/>
      <c r="AR270" s="12" t="n"/>
      <c r="AS270" s="16" t="n"/>
      <c r="AT270" s="16" t="n"/>
      <c r="AU270" s="4" t="n"/>
      <c r="AV270" s="124" t="n"/>
      <c r="AX270" s="118" t="n"/>
    </row>
    <row r="271">
      <c r="A271" s="4" t="inlineStr">
        <is>
          <t>PTRO</t>
        </is>
      </c>
      <c r="B271" s="4" t="inlineStr">
        <is>
          <t>ROR</t>
        </is>
      </c>
      <c r="C271" s="4" t="n"/>
      <c r="D271" s="4" t="n"/>
      <c r="E271" s="4" t="inlineStr">
        <is>
          <t>Roman Tmetuchl International Airport</t>
        </is>
      </c>
      <c r="F271" s="4" t="n"/>
      <c r="G271" s="4" t="n"/>
      <c r="H271" s="4" t="n"/>
      <c r="I271" s="4" t="inlineStr">
        <is>
          <t>Babelthuap Island</t>
        </is>
      </c>
      <c r="J271" s="4" t="n"/>
      <c r="K271" s="4" t="n"/>
      <c r="L271" s="4" t="n"/>
      <c r="M271" s="4" t="n"/>
      <c r="N271" s="12" t="n"/>
      <c r="O271" s="125" t="n">
        <v>7.36697</v>
      </c>
      <c r="P271" s="125" t="n">
        <v>134.54408</v>
      </c>
      <c r="Q271" s="13" t="n"/>
      <c r="R271" s="11" t="n">
        <v>176</v>
      </c>
      <c r="S271" s="4" t="n"/>
      <c r="T271" s="4" t="inlineStr">
        <is>
          <t>Pacific/Palau</t>
        </is>
      </c>
      <c r="U271" s="126" t="n"/>
      <c r="V271" s="14" t="n"/>
      <c r="W271" s="4" t="n"/>
      <c r="X271" s="4" t="n"/>
      <c r="Y271" s="4" t="n"/>
      <c r="Z271" s="4" t="n"/>
      <c r="AA271" s="4" t="n"/>
      <c r="AB271" s="4" t="n"/>
      <c r="AC271" s="4" t="n"/>
      <c r="AD271" s="4" t="n"/>
      <c r="AE271" s="4" t="n"/>
      <c r="AF271" s="4" t="n"/>
      <c r="AG271" s="4" t="n"/>
      <c r="AH271" s="4" t="n"/>
      <c r="AI271" s="4" t="n"/>
      <c r="AJ271" s="4" t="n"/>
      <c r="AK271" s="4" t="n"/>
      <c r="AL271" s="4" t="n"/>
      <c r="AM271" s="4" t="n"/>
      <c r="AN271" s="4" t="n"/>
      <c r="AO271" s="12" t="n"/>
      <c r="AP271" s="12" t="n"/>
      <c r="AQ271" s="12" t="n"/>
      <c r="AR271" s="12" t="n"/>
      <c r="AS271" s="16" t="n"/>
      <c r="AT271" s="16" t="n"/>
      <c r="AU271" s="4" t="n"/>
      <c r="AV271" s="124" t="n"/>
      <c r="AX271" s="118" t="n"/>
    </row>
    <row r="272">
      <c r="A272" s="4" t="inlineStr">
        <is>
          <t>PTSA</t>
        </is>
      </c>
      <c r="B272" s="4" t="inlineStr">
        <is>
          <t>KSA</t>
        </is>
      </c>
      <c r="C272" s="4" t="n"/>
      <c r="D272" s="4" t="n"/>
      <c r="E272" s="4" t="inlineStr">
        <is>
          <t>Kosrae International Airport</t>
        </is>
      </c>
      <c r="F272" s="4" t="n"/>
      <c r="G272" s="4" t="n"/>
      <c r="H272" s="4" t="n"/>
      <c r="I272" s="4" t="inlineStr">
        <is>
          <t>Okat</t>
        </is>
      </c>
      <c r="J272" s="4" t="n"/>
      <c r="K272" s="4" t="n"/>
      <c r="L272" s="4" t="n"/>
      <c r="M272" s="4" t="n"/>
      <c r="N272" s="12" t="n"/>
      <c r="O272" s="125" t="n">
        <v>5.35698</v>
      </c>
      <c r="P272" s="125" t="n">
        <v>162.95799</v>
      </c>
      <c r="Q272" s="13" t="n"/>
      <c r="R272" s="11" t="n">
        <v>11</v>
      </c>
      <c r="S272" s="4" t="n"/>
      <c r="T272" s="4" t="inlineStr">
        <is>
          <t>Pacific/Kosrae</t>
        </is>
      </c>
      <c r="U272" s="126" t="n"/>
      <c r="V272" s="14" t="n"/>
      <c r="W272" s="4" t="n"/>
      <c r="X272" s="4" t="n"/>
      <c r="Y272" s="4" t="n"/>
      <c r="Z272" s="4" t="n"/>
      <c r="AA272" s="4" t="n"/>
      <c r="AB272" s="4" t="n"/>
      <c r="AC272" s="4" t="n"/>
      <c r="AD272" s="4" t="n"/>
      <c r="AE272" s="4" t="n"/>
      <c r="AF272" s="4" t="n"/>
      <c r="AG272" s="4" t="n"/>
      <c r="AH272" s="4" t="n"/>
      <c r="AI272" s="4" t="n"/>
      <c r="AJ272" s="4" t="n"/>
      <c r="AK272" s="4" t="n"/>
      <c r="AL272" s="4" t="n"/>
      <c r="AM272" s="4" t="n"/>
      <c r="AN272" s="4" t="n"/>
      <c r="AO272" s="12" t="n"/>
      <c r="AP272" s="12" t="n"/>
      <c r="AQ272" s="12" t="n"/>
      <c r="AR272" s="12" t="n"/>
      <c r="AS272" s="16" t="n"/>
      <c r="AT272" s="16" t="n"/>
      <c r="AU272" s="4" t="n"/>
      <c r="AV272" s="124" t="n"/>
      <c r="AX272" s="118" t="n"/>
    </row>
    <row r="273">
      <c r="A273" s="4" t="inlineStr">
        <is>
          <t>RCKH</t>
        </is>
      </c>
      <c r="B273" s="4" t="inlineStr">
        <is>
          <t>KHH</t>
        </is>
      </c>
      <c r="C273" s="4" t="n"/>
      <c r="D273" s="4" t="n"/>
      <c r="E273" s="4" t="inlineStr">
        <is>
          <t>Kaohsiung International Airport</t>
        </is>
      </c>
      <c r="F273" s="4" t="n"/>
      <c r="G273" s="4" t="n"/>
      <c r="H273" s="4" t="n"/>
      <c r="I273" s="4" t="inlineStr">
        <is>
          <t>Kaohsiung</t>
        </is>
      </c>
      <c r="J273" s="4" t="n"/>
      <c r="K273" s="4" t="n"/>
      <c r="L273" s="4" t="n"/>
      <c r="M273" s="4" t="n"/>
      <c r="N273" s="12" t="n"/>
      <c r="O273" s="125" t="n">
        <v>22.5771</v>
      </c>
      <c r="P273" s="125" t="n">
        <v>120.35</v>
      </c>
      <c r="Q273" s="13" t="n"/>
      <c r="R273" s="11" t="n">
        <v>31</v>
      </c>
      <c r="S273" s="4" t="n"/>
      <c r="T273" s="4" t="inlineStr">
        <is>
          <t>Asia/Taipei</t>
        </is>
      </c>
      <c r="U273" s="126" t="n"/>
      <c r="V273" s="14" t="n"/>
      <c r="W273" s="4" t="n"/>
      <c r="X273" s="4" t="n"/>
      <c r="Y273" s="4" t="n"/>
      <c r="Z273" s="4" t="n"/>
      <c r="AA273" s="4" t="n"/>
      <c r="AB273" s="4" t="n"/>
      <c r="AC273" s="4" t="n"/>
      <c r="AD273" s="4" t="n"/>
      <c r="AE273" s="4" t="n"/>
      <c r="AF273" s="4" t="n"/>
      <c r="AG273" s="4" t="n"/>
      <c r="AH273" s="4" t="n"/>
      <c r="AI273" s="4" t="n"/>
      <c r="AJ273" s="4" t="n"/>
      <c r="AK273" s="4" t="n"/>
      <c r="AL273" s="4" t="n"/>
      <c r="AM273" s="4" t="n"/>
      <c r="AN273" s="4" t="n"/>
      <c r="AO273" s="12" t="n"/>
      <c r="AP273" s="12" t="n"/>
      <c r="AQ273" s="12" t="n"/>
      <c r="AR273" s="12" t="n"/>
      <c r="AS273" s="16" t="n"/>
      <c r="AT273" s="16" t="n"/>
      <c r="AU273" s="4" t="n"/>
      <c r="AV273" s="124" t="n"/>
      <c r="AX273" s="118" t="n"/>
    </row>
    <row r="274">
      <c r="A274" s="4" t="inlineStr">
        <is>
          <t>RCMQ</t>
        </is>
      </c>
      <c r="B274" s="4" t="inlineStr">
        <is>
          <t>RMQ</t>
        </is>
      </c>
      <c r="C274" s="4" t="n"/>
      <c r="D274" s="4" t="n"/>
      <c r="E274" s="4" t="inlineStr">
        <is>
          <t>Taichung International Airport</t>
        </is>
      </c>
      <c r="F274" s="4" t="n"/>
      <c r="G274" s="4" t="n"/>
      <c r="H274" s="4" t="n"/>
      <c r="I274" s="4" t="inlineStr">
        <is>
          <t>Taichung</t>
        </is>
      </c>
      <c r="J274" s="4" t="n"/>
      <c r="K274" s="4" t="n"/>
      <c r="L274" s="4" t="n"/>
      <c r="M274" s="4" t="n"/>
      <c r="N274" s="12" t="n"/>
      <c r="O274" s="125" t="n">
        <v>24.2647</v>
      </c>
      <c r="P274" s="125" t="n">
        <v>120.621</v>
      </c>
      <c r="Q274" s="13" t="n"/>
      <c r="R274" s="11" t="n">
        <v>663</v>
      </c>
      <c r="S274" s="4" t="n"/>
      <c r="T274" s="4" t="inlineStr">
        <is>
          <t>Asia/Taipei</t>
        </is>
      </c>
      <c r="U274" s="126" t="n"/>
      <c r="V274" s="14" t="n"/>
      <c r="W274" s="4" t="n"/>
      <c r="X274" s="4" t="n"/>
      <c r="Y274" s="4" t="n"/>
      <c r="Z274" s="4" t="n"/>
      <c r="AA274" s="4" t="n"/>
      <c r="AB274" s="4" t="n"/>
      <c r="AC274" s="4" t="n"/>
      <c r="AD274" s="4" t="n"/>
      <c r="AE274" s="4" t="n"/>
      <c r="AF274" s="4" t="n"/>
      <c r="AG274" s="4" t="n"/>
      <c r="AH274" s="4" t="n"/>
      <c r="AI274" s="4" t="n"/>
      <c r="AJ274" s="4" t="n"/>
      <c r="AK274" s="4" t="n"/>
      <c r="AL274" s="4" t="n"/>
      <c r="AM274" s="4" t="n"/>
      <c r="AN274" s="4" t="n"/>
      <c r="AO274" s="12" t="n"/>
      <c r="AP274" s="12" t="n"/>
      <c r="AQ274" s="12" t="n"/>
      <c r="AR274" s="12" t="n"/>
      <c r="AS274" s="16" t="n"/>
      <c r="AT274" s="16" t="n"/>
      <c r="AU274" s="4" t="n"/>
      <c r="AV274" s="124" t="n"/>
      <c r="AX274" s="118" t="n"/>
    </row>
    <row r="275">
      <c r="A275" s="4" t="inlineStr">
        <is>
          <t>RJAA</t>
        </is>
      </c>
      <c r="B275" s="4" t="inlineStr">
        <is>
          <t>NRT</t>
        </is>
      </c>
      <c r="C275" s="4" t="n"/>
      <c r="D275" s="4" t="n"/>
      <c r="E275" s="4" t="inlineStr">
        <is>
          <t>Narita International Airport</t>
        </is>
      </c>
      <c r="F275" s="4" t="n"/>
      <c r="G275" s="4" t="n"/>
      <c r="H275" s="4" t="n"/>
      <c r="I275" s="4" t="inlineStr">
        <is>
          <t>Narita</t>
        </is>
      </c>
      <c r="J275" s="4" t="n"/>
      <c r="K275" s="4" t="n"/>
      <c r="L275" s="4" t="n"/>
      <c r="M275" s="4" t="n"/>
      <c r="N275" s="12" t="n"/>
      <c r="O275" s="125" t="n">
        <v>35.76858</v>
      </c>
      <c r="P275" s="125" t="n">
        <v>140.38871</v>
      </c>
      <c r="Q275" s="13" t="n"/>
      <c r="R275" s="11" t="n">
        <v>141</v>
      </c>
      <c r="S275" s="4" t="n"/>
      <c r="T275" s="4" t="inlineStr">
        <is>
          <t>Asia/Tokyo</t>
        </is>
      </c>
      <c r="U275" s="126" t="n"/>
      <c r="V275" s="14" t="n"/>
      <c r="W275" s="4" t="n"/>
      <c r="X275" s="4" t="n"/>
      <c r="Y275" s="4" t="n"/>
      <c r="Z275" s="4" t="n"/>
      <c r="AA275" s="4" t="n"/>
      <c r="AB275" s="4" t="n"/>
      <c r="AC275" s="4" t="n"/>
      <c r="AD275" s="4" t="n"/>
      <c r="AE275" s="4" t="n"/>
      <c r="AF275" s="4" t="n"/>
      <c r="AG275" s="4" t="n"/>
      <c r="AH275" s="4" t="n"/>
      <c r="AI275" s="4" t="n"/>
      <c r="AJ275" s="4" t="n"/>
      <c r="AK275" s="4" t="n"/>
      <c r="AL275" s="4" t="n"/>
      <c r="AM275" s="4" t="n"/>
      <c r="AN275" s="4" t="n"/>
      <c r="AO275" s="12" t="n"/>
      <c r="AP275" s="12" t="n"/>
      <c r="AQ275" s="12" t="n"/>
      <c r="AR275" s="12" t="n"/>
      <c r="AS275" s="16" t="n"/>
      <c r="AT275" s="16" t="n"/>
      <c r="AU275" s="4" t="n"/>
      <c r="AV275" s="124" t="n"/>
      <c r="AX275" s="118" t="n"/>
    </row>
    <row r="276">
      <c r="A276" s="4" t="inlineStr">
        <is>
          <t>RJAH</t>
        </is>
      </c>
      <c r="B276" s="4" t="inlineStr">
        <is>
          <t>IBR</t>
        </is>
      </c>
      <c r="C276" s="4" t="n"/>
      <c r="D276" s="4" t="n"/>
      <c r="E276" s="4" t="inlineStr">
        <is>
          <t>Ibaraki Airport</t>
        </is>
      </c>
      <c r="F276" s="4" t="n"/>
      <c r="G276" s="4" t="n"/>
      <c r="H276" s="4" t="n"/>
      <c r="I276" s="4" t="inlineStr">
        <is>
          <t>Omitama</t>
        </is>
      </c>
      <c r="J276" s="4" t="n"/>
      <c r="K276" s="4" t="n"/>
      <c r="L276" s="4" t="n"/>
      <c r="M276" s="4" t="n"/>
      <c r="N276" s="12" t="n"/>
      <c r="O276" s="125" t="n">
        <v>36.18146</v>
      </c>
      <c r="P276" s="125" t="n">
        <v>140.41443</v>
      </c>
      <c r="Q276" s="13" t="n"/>
      <c r="R276" s="11" t="n">
        <v>105</v>
      </c>
      <c r="S276" s="4" t="n"/>
      <c r="T276" s="4" t="inlineStr">
        <is>
          <t>Asia/Tokyo</t>
        </is>
      </c>
      <c r="U276" s="126" t="n"/>
      <c r="V276" s="14" t="n"/>
      <c r="W276" s="4" t="n"/>
      <c r="X276" s="4" t="n"/>
      <c r="Y276" s="4" t="n"/>
      <c r="Z276" s="4" t="n"/>
      <c r="AA276" s="4" t="n"/>
      <c r="AB276" s="4" t="n"/>
      <c r="AC276" s="4" t="n"/>
      <c r="AD276" s="4" t="n"/>
      <c r="AE276" s="4" t="n"/>
      <c r="AF276" s="4" t="n"/>
      <c r="AG276" s="4" t="n"/>
      <c r="AH276" s="4" t="n"/>
      <c r="AI276" s="4" t="n"/>
      <c r="AJ276" s="4" t="n"/>
      <c r="AK276" s="4" t="n"/>
      <c r="AL276" s="4" t="n"/>
      <c r="AM276" s="4" t="n"/>
      <c r="AN276" s="4" t="n"/>
      <c r="AO276" s="12" t="n"/>
      <c r="AP276" s="12" t="n"/>
      <c r="AQ276" s="12" t="n"/>
      <c r="AR276" s="12" t="n"/>
      <c r="AS276" s="16" t="n"/>
      <c r="AT276" s="16" t="n"/>
      <c r="AU276" s="4" t="n"/>
      <c r="AV276" s="124" t="n"/>
      <c r="AX276" s="118" t="n"/>
    </row>
    <row r="277">
      <c r="A277" s="4" t="inlineStr">
        <is>
          <t>RKJB</t>
        </is>
      </c>
      <c r="B277" s="4" t="inlineStr">
        <is>
          <t>MWX</t>
        </is>
      </c>
      <c r="C277" s="4" t="n"/>
      <c r="D277" s="4" t="n"/>
      <c r="E277" s="4" t="inlineStr">
        <is>
          <t>Muan International Airport</t>
        </is>
      </c>
      <c r="F277" s="4" t="n"/>
      <c r="G277" s="4" t="n"/>
      <c r="H277" s="4" t="n"/>
      <c r="I277" s="4" t="inlineStr">
        <is>
          <t>Muan</t>
        </is>
      </c>
      <c r="J277" s="4" t="n"/>
      <c r="K277" s="4" t="n"/>
      <c r="L277" s="4" t="n"/>
      <c r="M277" s="4" t="n"/>
      <c r="N277" s="12" t="n"/>
      <c r="O277" s="125" t="n">
        <v>34.99141</v>
      </c>
      <c r="P277" s="125" t="n">
        <v>126.38281</v>
      </c>
      <c r="Q277" s="13" t="n"/>
      <c r="R277" s="11" t="n">
        <v>35</v>
      </c>
      <c r="S277" s="4" t="n"/>
      <c r="T277" s="4" t="inlineStr">
        <is>
          <t>Asia/Seoul</t>
        </is>
      </c>
      <c r="U277" s="126" t="n"/>
      <c r="V277" s="14" t="n"/>
      <c r="W277" s="4" t="n"/>
      <c r="X277" s="4" t="n"/>
      <c r="Y277" s="4" t="n"/>
      <c r="Z277" s="4" t="n"/>
      <c r="AA277" s="4" t="n"/>
      <c r="AB277" s="4" t="n"/>
      <c r="AC277" s="4" t="n"/>
      <c r="AD277" s="4" t="n"/>
      <c r="AE277" s="4" t="n"/>
      <c r="AF277" s="4" t="n"/>
      <c r="AG277" s="4" t="n"/>
      <c r="AH277" s="4" t="n"/>
      <c r="AI277" s="4" t="n"/>
      <c r="AJ277" s="4" t="n"/>
      <c r="AK277" s="4" t="n"/>
      <c r="AL277" s="4" t="n"/>
      <c r="AM277" s="4" t="n"/>
      <c r="AN277" s="4" t="n"/>
      <c r="AO277" s="12" t="n"/>
      <c r="AP277" s="12" t="n"/>
      <c r="AQ277" s="12" t="n"/>
      <c r="AR277" s="12" t="n"/>
      <c r="AS277" s="16" t="n"/>
      <c r="AT277" s="16" t="n"/>
      <c r="AU277" s="4" t="n"/>
      <c r="AV277" s="124" t="n"/>
      <c r="AX277" s="118" t="n"/>
    </row>
    <row r="278">
      <c r="A278" s="4" t="inlineStr">
        <is>
          <t>RKNY</t>
        </is>
      </c>
      <c r="B278" s="4" t="inlineStr">
        <is>
          <t>YNY</t>
        </is>
      </c>
      <c r="C278" s="4" t="n"/>
      <c r="D278" s="4" t="n"/>
      <c r="E278" s="4" t="inlineStr">
        <is>
          <t>Yangyang International Airport</t>
        </is>
      </c>
      <c r="F278" s="4" t="n"/>
      <c r="G278" s="4" t="n"/>
      <c r="H278" s="4" t="n"/>
      <c r="I278" s="4" t="inlineStr">
        <is>
          <t>Gonghang-ro</t>
        </is>
      </c>
      <c r="J278" s="4" t="n"/>
      <c r="K278" s="4" t="n"/>
      <c r="L278" s="4" t="n"/>
      <c r="M278" s="4" t="n"/>
      <c r="N278" s="12" t="n"/>
      <c r="O278" s="125" t="n">
        <v>38.06048</v>
      </c>
      <c r="P278" s="125" t="n">
        <v>128.66982</v>
      </c>
      <c r="Q278" s="13" t="n"/>
      <c r="R278" s="11" t="n">
        <v>241</v>
      </c>
      <c r="S278" s="4" t="n"/>
      <c r="T278" s="4" t="inlineStr">
        <is>
          <t>Asia/Seoul</t>
        </is>
      </c>
      <c r="U278" s="126" t="n"/>
      <c r="V278" s="14" t="n"/>
      <c r="W278" s="4" t="n"/>
      <c r="X278" s="4" t="n"/>
      <c r="Y278" s="4" t="n"/>
      <c r="Z278" s="4" t="n"/>
      <c r="AA278" s="4" t="n"/>
      <c r="AB278" s="4" t="n"/>
      <c r="AC278" s="4" t="n"/>
      <c r="AD278" s="4" t="n"/>
      <c r="AE278" s="4" t="n"/>
      <c r="AF278" s="4" t="n"/>
      <c r="AG278" s="4" t="n"/>
      <c r="AH278" s="4" t="n"/>
      <c r="AI278" s="4" t="n"/>
      <c r="AJ278" s="4" t="n"/>
      <c r="AK278" s="4" t="n"/>
      <c r="AL278" s="4" t="n"/>
      <c r="AM278" s="4" t="n"/>
      <c r="AN278" s="4" t="n"/>
      <c r="AO278" s="12" t="n"/>
      <c r="AP278" s="12" t="n"/>
      <c r="AQ278" s="12" t="n"/>
      <c r="AR278" s="12" t="n"/>
      <c r="AS278" s="16" t="n"/>
      <c r="AT278" s="16" t="n"/>
      <c r="AU278" s="4" t="n"/>
      <c r="AV278" s="124" t="n"/>
      <c r="AX278" s="118" t="n"/>
    </row>
    <row r="279">
      <c r="A279" s="4" t="inlineStr">
        <is>
          <t>RPLB</t>
        </is>
      </c>
      <c r="B279" s="4" t="inlineStr">
        <is>
          <t>SFS</t>
        </is>
      </c>
      <c r="C279" s="4" t="n"/>
      <c r="D279" s="4" t="n"/>
      <c r="E279" s="4" t="inlineStr">
        <is>
          <t>Subic Bay International Airport</t>
        </is>
      </c>
      <c r="F279" s="4" t="n"/>
      <c r="G279" s="4" t="n"/>
      <c r="H279" s="4" t="n"/>
      <c r="I279" s="4" t="inlineStr">
        <is>
          <t>Olongapo</t>
        </is>
      </c>
      <c r="J279" s="4" t="n"/>
      <c r="K279" s="4" t="n"/>
      <c r="L279" s="4" t="n"/>
      <c r="M279" s="4" t="n"/>
      <c r="N279" s="12" t="n"/>
      <c r="O279" s="125" t="n">
        <v>14.79483</v>
      </c>
      <c r="P279" s="125" t="n">
        <v>120.27188</v>
      </c>
      <c r="Q279" s="13" t="n"/>
      <c r="R279" s="11" t="n">
        <v>64</v>
      </c>
      <c r="S279" s="4" t="n"/>
      <c r="T279" s="4" t="inlineStr">
        <is>
          <t>Asia/Manila</t>
        </is>
      </c>
      <c r="U279" s="126" t="n"/>
      <c r="V279" s="14" t="n"/>
      <c r="W279" s="4" t="n"/>
      <c r="X279" s="4" t="n"/>
      <c r="Y279" s="4" t="n"/>
      <c r="Z279" s="4" t="n"/>
      <c r="AA279" s="4" t="n"/>
      <c r="AB279" s="4" t="n"/>
      <c r="AC279" s="4" t="n"/>
      <c r="AD279" s="4" t="n"/>
      <c r="AE279" s="4" t="n"/>
      <c r="AF279" s="4" t="n"/>
      <c r="AG279" s="4" t="n"/>
      <c r="AH279" s="4" t="n"/>
      <c r="AI279" s="4" t="n"/>
      <c r="AJ279" s="4" t="n"/>
      <c r="AK279" s="4" t="n"/>
      <c r="AL279" s="4" t="n"/>
      <c r="AM279" s="4" t="n"/>
      <c r="AN279" s="4" t="n"/>
      <c r="AO279" s="12" t="n"/>
      <c r="AP279" s="12" t="n"/>
      <c r="AQ279" s="12" t="n"/>
      <c r="AR279" s="12" t="n"/>
      <c r="AS279" s="16" t="n"/>
      <c r="AT279" s="16" t="n"/>
      <c r="AU279" s="4" t="n"/>
      <c r="AV279" s="124" t="n"/>
      <c r="AX279" s="118" t="n"/>
    </row>
    <row r="280">
      <c r="A280" s="4" t="inlineStr">
        <is>
          <t>RPLC</t>
        </is>
      </c>
      <c r="B280" s="4" t="inlineStr">
        <is>
          <t>CRK</t>
        </is>
      </c>
      <c r="C280" s="4" t="n"/>
      <c r="D280" s="4" t="n"/>
      <c r="E280" s="4" t="inlineStr">
        <is>
          <t>Clark International Airport / Clark Air Base</t>
        </is>
      </c>
      <c r="F280" s="4" t="n"/>
      <c r="G280" s="4" t="n"/>
      <c r="H280" s="4" t="n"/>
      <c r="I280" s="4" t="inlineStr">
        <is>
          <t>Mabalacat</t>
        </is>
      </c>
      <c r="J280" s="4" t="n"/>
      <c r="K280" s="4" t="n"/>
      <c r="L280" s="4" t="n"/>
      <c r="M280" s="4" t="n"/>
      <c r="N280" s="12" t="n"/>
      <c r="O280" s="125" t="n">
        <v>15.186</v>
      </c>
      <c r="P280" s="125" t="n">
        <v>120.56</v>
      </c>
      <c r="Q280" s="13" t="n"/>
      <c r="R280" s="11" t="n">
        <v>484</v>
      </c>
      <c r="S280" s="4" t="n"/>
      <c r="T280" s="4" t="inlineStr">
        <is>
          <t>Asia/Manila</t>
        </is>
      </c>
      <c r="U280" s="126" t="n"/>
      <c r="V280" s="14" t="n"/>
      <c r="W280" s="4" t="n"/>
      <c r="X280" s="4" t="n"/>
      <c r="Y280" s="4" t="n"/>
      <c r="Z280" s="4" t="n"/>
      <c r="AA280" s="4" t="n"/>
      <c r="AB280" s="4" t="n"/>
      <c r="AC280" s="4" t="n"/>
      <c r="AD280" s="4" t="n"/>
      <c r="AE280" s="4" t="n"/>
      <c r="AF280" s="4" t="n"/>
      <c r="AG280" s="4" t="n"/>
      <c r="AH280" s="4" t="n"/>
      <c r="AI280" s="4" t="n"/>
      <c r="AJ280" s="4" t="n"/>
      <c r="AK280" s="4" t="n"/>
      <c r="AL280" s="4" t="n"/>
      <c r="AM280" s="4" t="n"/>
      <c r="AN280" s="4" t="n"/>
      <c r="AO280" s="12" t="n"/>
      <c r="AP280" s="12" t="n"/>
      <c r="AQ280" s="12" t="n"/>
      <c r="AR280" s="12" t="n"/>
      <c r="AS280" s="16" t="n"/>
      <c r="AT280" s="16" t="n"/>
      <c r="AU280" s="4" t="n"/>
      <c r="AV280" s="124" t="n"/>
      <c r="AX280" s="118" t="n"/>
    </row>
    <row r="281">
      <c r="A281" s="4" t="inlineStr">
        <is>
          <t>SAAR</t>
        </is>
      </c>
      <c r="B281" s="4" t="inlineStr">
        <is>
          <t>ROS</t>
        </is>
      </c>
      <c r="C281" s="4" t="n"/>
      <c r="D281" s="4" t="n"/>
      <c r="E281" s="4" t="inlineStr">
        <is>
          <t>Rosario Islas Malvinas International Airport</t>
        </is>
      </c>
      <c r="F281" s="4" t="n"/>
      <c r="G281" s="4" t="n"/>
      <c r="H281" s="4" t="n"/>
      <c r="I281" s="4" t="inlineStr">
        <is>
          <t>Rosario</t>
        </is>
      </c>
      <c r="J281" s="4" t="n"/>
      <c r="K281" s="4" t="n"/>
      <c r="L281" s="4" t="n"/>
      <c r="M281" s="4" t="n"/>
      <c r="N281" s="12" t="n"/>
      <c r="O281" s="125" t="n">
        <v>-32.9036</v>
      </c>
      <c r="P281" s="125" t="n">
        <v>-60.785</v>
      </c>
      <c r="Q281" s="13" t="n"/>
      <c r="R281" s="11" t="n">
        <v>85</v>
      </c>
      <c r="S281" s="4" t="n"/>
      <c r="T281" s="4" t="inlineStr">
        <is>
          <t>America/Cordoba</t>
        </is>
      </c>
      <c r="U281" s="126" t="n"/>
      <c r="V281" s="14" t="n"/>
      <c r="W281" s="4" t="n"/>
      <c r="X281" s="4" t="n"/>
      <c r="Y281" s="4" t="n"/>
      <c r="Z281" s="4" t="n"/>
      <c r="AA281" s="4" t="n"/>
      <c r="AB281" s="4" t="n"/>
      <c r="AC281" s="4" t="n"/>
      <c r="AD281" s="4" t="n"/>
      <c r="AE281" s="4" t="n"/>
      <c r="AF281" s="4" t="n"/>
      <c r="AG281" s="4" t="n"/>
      <c r="AH281" s="4" t="n"/>
      <c r="AI281" s="4" t="n"/>
      <c r="AJ281" s="4" t="n"/>
      <c r="AK281" s="4" t="n"/>
      <c r="AL281" s="4" t="n"/>
      <c r="AM281" s="4" t="n"/>
      <c r="AN281" s="4" t="n"/>
      <c r="AO281" s="12" t="n"/>
      <c r="AP281" s="12" t="n"/>
      <c r="AQ281" s="12" t="n"/>
      <c r="AR281" s="12" t="n"/>
      <c r="AS281" s="16" t="n"/>
      <c r="AT281" s="16" t="n"/>
      <c r="AU281" s="4" t="n"/>
      <c r="AV281" s="124" t="n"/>
      <c r="AX281" s="118" t="n"/>
    </row>
    <row r="282">
      <c r="A282" s="4" t="inlineStr">
        <is>
          <t>SABE</t>
        </is>
      </c>
      <c r="B282" s="4" t="inlineStr">
        <is>
          <t>AEP</t>
        </is>
      </c>
      <c r="C282" s="4" t="n"/>
      <c r="D282" s="4" t="n"/>
      <c r="E282" s="4" t="inlineStr">
        <is>
          <t>Aeroparque Jorge Newbery</t>
        </is>
      </c>
      <c r="F282" s="4" t="n"/>
      <c r="G282" s="4" t="n"/>
      <c r="H282" s="4" t="n"/>
      <c r="I282" s="4" t="inlineStr">
        <is>
          <t>Buenos Aires</t>
        </is>
      </c>
      <c r="J282" s="4" t="n"/>
      <c r="K282" s="4" t="n"/>
      <c r="L282" s="4" t="n"/>
      <c r="M282" s="4" t="n"/>
      <c r="N282" s="12" t="n"/>
      <c r="O282" s="125" t="n">
        <v>-34.55942</v>
      </c>
      <c r="P282" s="125" t="n">
        <v>-58.41554</v>
      </c>
      <c r="Q282" s="13" t="n"/>
      <c r="R282" s="11" t="n">
        <v>18</v>
      </c>
      <c r="S282" s="4" t="n"/>
      <c r="T282" s="4" t="inlineStr">
        <is>
          <t>America/Buenos_Aires</t>
        </is>
      </c>
      <c r="U282" s="126" t="n"/>
      <c r="V282" s="14" t="n"/>
      <c r="W282" s="4" t="n"/>
      <c r="X282" s="4" t="n"/>
      <c r="Y282" s="4" t="n"/>
      <c r="Z282" s="4" t="n"/>
      <c r="AA282" s="4" t="n"/>
      <c r="AB282" s="4" t="n"/>
      <c r="AC282" s="4" t="n"/>
      <c r="AD282" s="4" t="n"/>
      <c r="AE282" s="4" t="n"/>
      <c r="AF282" s="4" t="n"/>
      <c r="AG282" s="4" t="n"/>
      <c r="AH282" s="4" t="n"/>
      <c r="AI282" s="4" t="n"/>
      <c r="AJ282" s="4" t="n"/>
      <c r="AK282" s="4" t="n"/>
      <c r="AL282" s="4" t="n"/>
      <c r="AM282" s="4" t="n"/>
      <c r="AN282" s="4" t="n"/>
      <c r="AO282" s="12" t="n"/>
      <c r="AP282" s="12" t="n"/>
      <c r="AQ282" s="12" t="n"/>
      <c r="AR282" s="12" t="n"/>
      <c r="AS282" s="16" t="n"/>
      <c r="AT282" s="16" t="n"/>
      <c r="AU282" s="4" t="n"/>
      <c r="AV282" s="124" t="n"/>
      <c r="AX282" s="118" t="n"/>
    </row>
    <row r="283">
      <c r="A283" s="4" t="inlineStr">
        <is>
          <t>SBBE</t>
        </is>
      </c>
      <c r="B283" s="4" t="inlineStr">
        <is>
          <t>BEL</t>
        </is>
      </c>
      <c r="C283" s="4" t="n"/>
      <c r="D283" s="4" t="n"/>
      <c r="E283" s="4" t="inlineStr">
        <is>
          <t>Val de Cans/Júlio Cezar Ribeiro International</t>
        </is>
      </c>
      <c r="F283" s="4" t="n"/>
      <c r="G283" s="4" t="n"/>
      <c r="H283" s="4" t="n"/>
      <c r="I283" s="4" t="inlineStr">
        <is>
          <t>Belém</t>
        </is>
      </c>
      <c r="J283" s="4" t="n"/>
      <c r="K283" s="4" t="n"/>
      <c r="L283" s="4" t="n"/>
      <c r="M283" s="4" t="n"/>
      <c r="N283" s="12" t="n"/>
      <c r="O283" s="125" t="n">
        <v>-1.37928</v>
      </c>
      <c r="P283" s="125" t="n">
        <v>-48.47621</v>
      </c>
      <c r="Q283" s="13" t="n"/>
      <c r="R283" s="11" t="n">
        <v>54</v>
      </c>
      <c r="S283" s="4" t="n"/>
      <c r="T283" s="4" t="inlineStr">
        <is>
          <t>America/Belem</t>
        </is>
      </c>
      <c r="U283" s="126" t="n"/>
      <c r="V283" s="14" t="n"/>
      <c r="W283" s="4" t="n"/>
      <c r="X283" s="4" t="n"/>
      <c r="Y283" s="4" t="n"/>
      <c r="Z283" s="4" t="n"/>
      <c r="AA283" s="4" t="n"/>
      <c r="AB283" s="4" t="n"/>
      <c r="AC283" s="4" t="n"/>
      <c r="AD283" s="4" t="n"/>
      <c r="AE283" s="4" t="n"/>
      <c r="AF283" s="4" t="n"/>
      <c r="AG283" s="4" t="n"/>
      <c r="AH283" s="4" t="n"/>
      <c r="AI283" s="4" t="n"/>
      <c r="AJ283" s="4" t="n"/>
      <c r="AK283" s="4" t="n"/>
      <c r="AL283" s="4" t="n"/>
      <c r="AM283" s="4" t="n"/>
      <c r="AN283" s="4" t="n"/>
      <c r="AO283" s="12" t="n"/>
      <c r="AP283" s="12" t="n"/>
      <c r="AQ283" s="12" t="n"/>
      <c r="AR283" s="12" t="n"/>
      <c r="AS283" s="16" t="n"/>
      <c r="AT283" s="16" t="n"/>
      <c r="AU283" s="4" t="n"/>
      <c r="AV283" s="124" t="n"/>
      <c r="AX283" s="118" t="n"/>
    </row>
    <row r="284">
      <c r="A284" s="4" t="inlineStr">
        <is>
          <t>SBBR</t>
        </is>
      </c>
      <c r="B284" s="4" t="inlineStr">
        <is>
          <t>BSB</t>
        </is>
      </c>
      <c r="C284" s="4" t="n"/>
      <c r="D284" s="4" t="n"/>
      <c r="E284" s="4" t="inlineStr">
        <is>
          <t>Presidente Juscelino Kubitschek International</t>
        </is>
      </c>
      <c r="F284" s="4" t="n"/>
      <c r="G284" s="4" t="n"/>
      <c r="H284" s="4" t="n"/>
      <c r="I284" s="4" t="inlineStr">
        <is>
          <t>Brasília</t>
        </is>
      </c>
      <c r="J284" s="4" t="n"/>
      <c r="K284" s="4" t="n"/>
      <c r="L284" s="4" t="n"/>
      <c r="M284" s="4" t="n"/>
      <c r="N284" s="12" t="n"/>
      <c r="O284" s="125" t="n">
        <v>-15.86917</v>
      </c>
      <c r="P284" s="125" t="n">
        <v>-47.92083</v>
      </c>
      <c r="Q284" s="13" t="n"/>
      <c r="R284" s="11" t="n">
        <v>3497</v>
      </c>
      <c r="S284" s="4" t="n"/>
      <c r="T284" s="4" t="inlineStr">
        <is>
          <t>America/Sao_Paulo</t>
        </is>
      </c>
      <c r="U284" s="126" t="n"/>
      <c r="V284" s="14" t="n"/>
      <c r="W284" s="4" t="n"/>
      <c r="X284" s="4" t="n"/>
      <c r="Y284" s="4" t="n"/>
      <c r="Z284" s="4" t="n"/>
      <c r="AA284" s="4" t="n"/>
      <c r="AB284" s="4" t="n"/>
      <c r="AC284" s="4" t="n"/>
      <c r="AD284" s="4" t="n"/>
      <c r="AE284" s="4" t="n"/>
      <c r="AF284" s="4" t="n"/>
      <c r="AG284" s="4" t="n"/>
      <c r="AH284" s="4" t="n"/>
      <c r="AI284" s="4" t="n"/>
      <c r="AJ284" s="4" t="n"/>
      <c r="AK284" s="4" t="n"/>
      <c r="AL284" s="4" t="n"/>
      <c r="AM284" s="4" t="n"/>
      <c r="AN284" s="4" t="n"/>
      <c r="AO284" s="12" t="n"/>
      <c r="AP284" s="12" t="n"/>
      <c r="AQ284" s="12" t="n"/>
      <c r="AR284" s="12" t="n"/>
      <c r="AS284" s="16" t="n"/>
      <c r="AT284" s="16" t="n"/>
      <c r="AU284" s="4" t="n"/>
      <c r="AV284" s="124" t="n"/>
      <c r="AX284" s="118" t="n"/>
    </row>
    <row r="285">
      <c r="A285" s="4" t="inlineStr">
        <is>
          <t>SCCI</t>
        </is>
      </c>
      <c r="B285" s="4" t="inlineStr">
        <is>
          <t>PUQ</t>
        </is>
      </c>
      <c r="C285" s="4" t="n"/>
      <c r="D285" s="4" t="n"/>
      <c r="E285" s="4" t="inlineStr">
        <is>
          <t>President Carlos Ibáñez International Airport</t>
        </is>
      </c>
      <c r="F285" s="4" t="n"/>
      <c r="G285" s="4" t="n"/>
      <c r="H285" s="4" t="n"/>
      <c r="I285" s="4" t="inlineStr">
        <is>
          <t>Punta Arenas</t>
        </is>
      </c>
      <c r="J285" s="4" t="n"/>
      <c r="K285" s="4" t="n"/>
      <c r="L285" s="4" t="n"/>
      <c r="M285" s="4" t="n"/>
      <c r="N285" s="12" t="n"/>
      <c r="O285" s="125" t="n">
        <v>-53.0026</v>
      </c>
      <c r="P285" s="125" t="n">
        <v>-70.8546</v>
      </c>
      <c r="Q285" s="13" t="n"/>
      <c r="R285" s="11" t="n">
        <v>139</v>
      </c>
      <c r="S285" s="4" t="n"/>
      <c r="T285" s="4" t="inlineStr">
        <is>
          <t>America/Santiago</t>
        </is>
      </c>
      <c r="U285" s="126" t="n"/>
      <c r="V285" s="14" t="n"/>
      <c r="W285" s="4" t="n"/>
      <c r="X285" s="4" t="n"/>
      <c r="Y285" s="4" t="n"/>
      <c r="Z285" s="4" t="n"/>
      <c r="AA285" s="4" t="n"/>
      <c r="AB285" s="4" t="n"/>
      <c r="AC285" s="4" t="n"/>
      <c r="AD285" s="4" t="n"/>
      <c r="AE285" s="4" t="n"/>
      <c r="AF285" s="4" t="n"/>
      <c r="AG285" s="4" t="n"/>
      <c r="AH285" s="4" t="n"/>
      <c r="AI285" s="4" t="n"/>
      <c r="AJ285" s="4" t="n"/>
      <c r="AK285" s="4" t="n"/>
      <c r="AL285" s="4" t="n"/>
      <c r="AM285" s="4" t="n"/>
      <c r="AN285" s="4" t="n"/>
      <c r="AO285" s="12" t="n"/>
      <c r="AP285" s="12" t="n"/>
      <c r="AQ285" s="12" t="n"/>
      <c r="AR285" s="12" t="n"/>
      <c r="AS285" s="16" t="n"/>
      <c r="AT285" s="16" t="n"/>
      <c r="AU285" s="4" t="n"/>
      <c r="AV285" s="124" t="n"/>
      <c r="AX285" s="118" t="n"/>
    </row>
    <row r="286">
      <c r="A286" s="4" t="inlineStr">
        <is>
          <t>SCDA</t>
        </is>
      </c>
      <c r="B286" s="4" t="inlineStr">
        <is>
          <t>IQQ</t>
        </is>
      </c>
      <c r="C286" s="4" t="n"/>
      <c r="D286" s="4" t="n"/>
      <c r="E286" s="4" t="inlineStr">
        <is>
          <t>Diego Aracena International Airport</t>
        </is>
      </c>
      <c r="F286" s="4" t="n"/>
      <c r="G286" s="4" t="n"/>
      <c r="H286" s="4" t="n"/>
      <c r="I286" s="4" t="inlineStr">
        <is>
          <t>Iquique</t>
        </is>
      </c>
      <c r="J286" s="4" t="n"/>
      <c r="K286" s="4" t="n"/>
      <c r="L286" s="4" t="n"/>
      <c r="M286" s="4" t="n"/>
      <c r="N286" s="12" t="n"/>
      <c r="O286" s="125" t="n">
        <v>-20.53627</v>
      </c>
      <c r="P286" s="125" t="n">
        <v>-70.18137</v>
      </c>
      <c r="Q286" s="13" t="n"/>
      <c r="R286" s="11" t="n">
        <v>155</v>
      </c>
      <c r="S286" s="4" t="n"/>
      <c r="T286" s="4" t="inlineStr">
        <is>
          <t>America/Santiago</t>
        </is>
      </c>
      <c r="U286" s="126" t="n"/>
      <c r="V286" s="14" t="n"/>
      <c r="W286" s="4" t="n"/>
      <c r="X286" s="4" t="n"/>
      <c r="Y286" s="4" t="n"/>
      <c r="Z286" s="4" t="n"/>
      <c r="AA286" s="4" t="n"/>
      <c r="AB286" s="4" t="n"/>
      <c r="AC286" s="4" t="n"/>
      <c r="AD286" s="4" t="n"/>
      <c r="AE286" s="4" t="n"/>
      <c r="AF286" s="4" t="n"/>
      <c r="AG286" s="4" t="n"/>
      <c r="AH286" s="4" t="n"/>
      <c r="AI286" s="4" t="n"/>
      <c r="AJ286" s="4" t="n"/>
      <c r="AK286" s="4" t="n"/>
      <c r="AL286" s="4" t="n"/>
      <c r="AM286" s="4" t="n"/>
      <c r="AN286" s="4" t="n"/>
      <c r="AO286" s="12" t="n"/>
      <c r="AP286" s="12" t="n"/>
      <c r="AQ286" s="12" t="n"/>
      <c r="AR286" s="12" t="n"/>
      <c r="AS286" s="16" t="n"/>
      <c r="AT286" s="16" t="n"/>
      <c r="AU286" s="4" t="n"/>
      <c r="AV286" s="124" t="n"/>
      <c r="AX286" s="118" t="n"/>
    </row>
    <row r="287">
      <c r="A287" s="4" t="inlineStr">
        <is>
          <t>SEGU</t>
        </is>
      </c>
      <c r="B287" s="4" t="inlineStr">
        <is>
          <t>GYE</t>
        </is>
      </c>
      <c r="C287" s="4" t="n"/>
      <c r="D287" s="4" t="n"/>
      <c r="E287" s="4" t="inlineStr">
        <is>
          <t>José Joaquín de Olmedo International Airport</t>
        </is>
      </c>
      <c r="F287" s="4" t="n"/>
      <c r="G287" s="4" t="n"/>
      <c r="H287" s="4" t="n"/>
      <c r="I287" s="4" t="inlineStr">
        <is>
          <t>Guayaquil</t>
        </is>
      </c>
      <c r="J287" s="4" t="n"/>
      <c r="K287" s="4" t="n"/>
      <c r="L287" s="4" t="n"/>
      <c r="M287" s="4" t="n"/>
      <c r="N287" s="12" t="n"/>
      <c r="O287" s="125" t="n">
        <v>-2.15742</v>
      </c>
      <c r="P287" s="125" t="n">
        <v>-79.8836</v>
      </c>
      <c r="Q287" s="13" t="n"/>
      <c r="R287" s="11" t="n">
        <v>19</v>
      </c>
      <c r="S287" s="4" t="n"/>
      <c r="T287" s="4" t="inlineStr">
        <is>
          <t>America/Guayaquil</t>
        </is>
      </c>
      <c r="U287" s="126" t="n"/>
      <c r="V287" s="14" t="n"/>
      <c r="W287" s="4" t="n"/>
      <c r="X287" s="4" t="n"/>
      <c r="Y287" s="4" t="n"/>
      <c r="Z287" s="4" t="n"/>
      <c r="AA287" s="4" t="n"/>
      <c r="AB287" s="4" t="n"/>
      <c r="AC287" s="4" t="n"/>
      <c r="AD287" s="4" t="n"/>
      <c r="AE287" s="4" t="n"/>
      <c r="AF287" s="4" t="n"/>
      <c r="AG287" s="4" t="n"/>
      <c r="AH287" s="4" t="n"/>
      <c r="AI287" s="4" t="n"/>
      <c r="AJ287" s="4" t="n"/>
      <c r="AK287" s="4" t="n"/>
      <c r="AL287" s="4" t="n"/>
      <c r="AM287" s="4" t="n"/>
      <c r="AN287" s="4" t="n"/>
      <c r="AO287" s="12" t="n"/>
      <c r="AP287" s="12" t="n"/>
      <c r="AQ287" s="12" t="n"/>
      <c r="AR287" s="12" t="n"/>
      <c r="AS287" s="16" t="n"/>
      <c r="AT287" s="16" t="n"/>
      <c r="AU287" s="4" t="n"/>
      <c r="AV287" s="124" t="n"/>
      <c r="AX287" s="118" t="n"/>
    </row>
    <row r="288">
      <c r="A288" s="4" t="inlineStr">
        <is>
          <t>SEQM</t>
        </is>
      </c>
      <c r="B288" s="4" t="inlineStr">
        <is>
          <t>UIO</t>
        </is>
      </c>
      <c r="C288" s="4" t="n"/>
      <c r="D288" s="4" t="n"/>
      <c r="E288" s="4" t="inlineStr">
        <is>
          <t>Mariscal Sucre International Airport</t>
        </is>
      </c>
      <c r="F288" s="4" t="n"/>
      <c r="G288" s="4" t="n"/>
      <c r="H288" s="4" t="n"/>
      <c r="I288" s="4" t="inlineStr">
        <is>
          <t>Quito</t>
        </is>
      </c>
      <c r="J288" s="4" t="n"/>
      <c r="K288" s="4" t="n"/>
      <c r="L288" s="4" t="n"/>
      <c r="M288" s="4" t="n"/>
      <c r="N288" s="12" t="n"/>
      <c r="O288" s="125" t="n">
        <v>-0.1254</v>
      </c>
      <c r="P288" s="125" t="n">
        <v>-78.35431</v>
      </c>
      <c r="Q288" s="13" t="n"/>
      <c r="R288" s="11" t="n">
        <v>7841</v>
      </c>
      <c r="S288" s="4" t="n"/>
      <c r="T288" s="4" t="inlineStr">
        <is>
          <t>America/Guayaquil</t>
        </is>
      </c>
      <c r="U288" s="126" t="n"/>
      <c r="V288" s="14" t="n"/>
      <c r="W288" s="4" t="n"/>
      <c r="X288" s="4" t="n"/>
      <c r="Y288" s="4" t="n"/>
      <c r="Z288" s="4" t="n"/>
      <c r="AA288" s="4" t="n"/>
      <c r="AB288" s="4" t="n"/>
      <c r="AC288" s="4" t="n"/>
      <c r="AD288" s="4" t="n"/>
      <c r="AE288" s="4" t="n"/>
      <c r="AF288" s="4" t="n"/>
      <c r="AG288" s="4" t="n"/>
      <c r="AH288" s="4" t="n"/>
      <c r="AI288" s="4" t="n"/>
      <c r="AJ288" s="4" t="n"/>
      <c r="AK288" s="4" t="n"/>
      <c r="AL288" s="4" t="n"/>
      <c r="AM288" s="4" t="n"/>
      <c r="AN288" s="4" t="n"/>
      <c r="AO288" s="12" t="n"/>
      <c r="AP288" s="12" t="n"/>
      <c r="AQ288" s="12" t="n"/>
      <c r="AR288" s="12" t="n"/>
      <c r="AS288" s="16" t="n"/>
      <c r="AT288" s="16" t="n"/>
      <c r="AU288" s="4" t="n"/>
      <c r="AV288" s="124" t="n"/>
      <c r="AX288" s="118" t="n"/>
    </row>
    <row r="289">
      <c r="A289" s="4" t="inlineStr">
        <is>
          <t>SGAS</t>
        </is>
      </c>
      <c r="B289" s="4" t="inlineStr">
        <is>
          <t>ASU</t>
        </is>
      </c>
      <c r="C289" s="4" t="n"/>
      <c r="D289" s="4" t="n"/>
      <c r="E289" s="4" t="inlineStr">
        <is>
          <t>Silvio Pettirossi International Airport</t>
        </is>
      </c>
      <c r="F289" s="4" t="n"/>
      <c r="G289" s="4" t="n"/>
      <c r="H289" s="4" t="n"/>
      <c r="I289" s="4" t="inlineStr">
        <is>
          <t>Asunción</t>
        </is>
      </c>
      <c r="J289" s="4" t="n"/>
      <c r="K289" s="4" t="n"/>
      <c r="L289" s="4" t="n"/>
      <c r="M289" s="4" t="n"/>
      <c r="N289" s="12" t="n"/>
      <c r="O289" s="125" t="n">
        <v>-25.24016</v>
      </c>
      <c r="P289" s="125" t="n">
        <v>-57.51923</v>
      </c>
      <c r="Q289" s="13" t="n"/>
      <c r="R289" s="11" t="n">
        <v>292</v>
      </c>
      <c r="S289" s="4" t="n"/>
      <c r="T289" s="4" t="inlineStr">
        <is>
          <t>America/Asuncion</t>
        </is>
      </c>
      <c r="U289" s="126" t="n"/>
      <c r="V289" s="14" t="n"/>
      <c r="W289" s="4" t="n"/>
      <c r="X289" s="4" t="n"/>
      <c r="Y289" s="4" t="n"/>
      <c r="Z289" s="4" t="n"/>
      <c r="AA289" s="4" t="n"/>
      <c r="AB289" s="4" t="n"/>
      <c r="AC289" s="4" t="n"/>
      <c r="AD289" s="4" t="n"/>
      <c r="AE289" s="4" t="n"/>
      <c r="AF289" s="4" t="n"/>
      <c r="AG289" s="4" t="n"/>
      <c r="AH289" s="4" t="n"/>
      <c r="AI289" s="4" t="n"/>
      <c r="AJ289" s="4" t="n"/>
      <c r="AK289" s="4" t="n"/>
      <c r="AL289" s="4" t="n"/>
      <c r="AM289" s="4" t="n"/>
      <c r="AN289" s="4" t="n"/>
      <c r="AO289" s="12" t="n"/>
      <c r="AP289" s="12" t="n"/>
      <c r="AQ289" s="12" t="n"/>
      <c r="AR289" s="12" t="n"/>
      <c r="AS289" s="16" t="n"/>
      <c r="AT289" s="16" t="n"/>
      <c r="AU289" s="4" t="n"/>
      <c r="AV289" s="124" t="n"/>
      <c r="AX289" s="118" t="n"/>
    </row>
    <row r="290">
      <c r="A290" s="4" t="inlineStr">
        <is>
          <t>SGEN</t>
        </is>
      </c>
      <c r="B290" s="4" t="inlineStr">
        <is>
          <t>ENO</t>
        </is>
      </c>
      <c r="C290" s="4" t="n"/>
      <c r="D290" s="4" t="n"/>
      <c r="E290" s="4" t="inlineStr">
        <is>
          <t>Teniente Ramon A. Ayub Gonzalez International</t>
        </is>
      </c>
      <c r="F290" s="4" t="n"/>
      <c r="G290" s="4" t="n"/>
      <c r="H290" s="4" t="n"/>
      <c r="I290" s="4" t="inlineStr">
        <is>
          <t>Encarnación</t>
        </is>
      </c>
      <c r="J290" s="4" t="n"/>
      <c r="K290" s="4" t="n"/>
      <c r="L290" s="4" t="n"/>
      <c r="M290" s="4" t="n"/>
      <c r="N290" s="12" t="n"/>
      <c r="O290" s="125" t="n">
        <v>-27.22754</v>
      </c>
      <c r="P290" s="125" t="n">
        <v>-55.83758</v>
      </c>
      <c r="Q290" s="13" t="n"/>
      <c r="R290" s="11" t="n">
        <v>659</v>
      </c>
      <c r="S290" s="4" t="n"/>
      <c r="T290" s="4" t="n"/>
      <c r="U290" s="126" t="n"/>
      <c r="V290" s="14" t="n"/>
      <c r="W290" s="4" t="n"/>
      <c r="X290" s="4" t="n"/>
      <c r="Y290" s="4" t="n"/>
      <c r="Z290" s="4" t="n"/>
      <c r="AA290" s="4" t="n"/>
      <c r="AB290" s="4" t="n"/>
      <c r="AC290" s="4" t="n"/>
      <c r="AD290" s="4" t="n"/>
      <c r="AE290" s="4" t="n"/>
      <c r="AF290" s="4" t="n"/>
      <c r="AG290" s="4" t="n"/>
      <c r="AH290" s="4" t="n"/>
      <c r="AI290" s="4" t="n"/>
      <c r="AJ290" s="4" t="n"/>
      <c r="AK290" s="4" t="n"/>
      <c r="AL290" s="4" t="n"/>
      <c r="AM290" s="4" t="n"/>
      <c r="AN290" s="4" t="n"/>
      <c r="AO290" s="12" t="n"/>
      <c r="AP290" s="12" t="n"/>
      <c r="AQ290" s="12" t="n"/>
      <c r="AR290" s="12" t="n"/>
      <c r="AS290" s="16" t="n"/>
      <c r="AT290" s="16" t="n"/>
      <c r="AU290" s="4" t="n"/>
      <c r="AV290" s="124" t="n"/>
      <c r="AX290" s="118" t="n"/>
    </row>
    <row r="291">
      <c r="A291" s="4" t="inlineStr">
        <is>
          <t>SKBO</t>
        </is>
      </c>
      <c r="B291" s="4" t="inlineStr">
        <is>
          <t>BOG</t>
        </is>
      </c>
      <c r="C291" s="4" t="n"/>
      <c r="D291" s="4" t="n"/>
      <c r="E291" s="4" t="inlineStr">
        <is>
          <t>El Dorado International Airport</t>
        </is>
      </c>
      <c r="F291" s="4" t="n"/>
      <c r="G291" s="4" t="n"/>
      <c r="H291" s="4" t="n"/>
      <c r="I291" s="4" t="inlineStr">
        <is>
          <t>Bogota</t>
        </is>
      </c>
      <c r="J291" s="4" t="n"/>
      <c r="K291" s="4" t="n"/>
      <c r="L291" s="4" t="n"/>
      <c r="M291" s="4" t="n"/>
      <c r="N291" s="12" t="n"/>
      <c r="O291" s="125" t="n">
        <v>4.70159</v>
      </c>
      <c r="P291" s="125" t="n">
        <v>-74.1469</v>
      </c>
      <c r="Q291" s="13" t="n"/>
      <c r="R291" s="11" t="n">
        <v>8361</v>
      </c>
      <c r="S291" s="4" t="n"/>
      <c r="T291" s="4" t="inlineStr">
        <is>
          <t>America/Bogota</t>
        </is>
      </c>
      <c r="U291" s="126" t="n"/>
      <c r="V291" s="14" t="n"/>
      <c r="W291" s="4" t="n"/>
      <c r="X291" s="4" t="n"/>
      <c r="Y291" s="4" t="n"/>
      <c r="Z291" s="4" t="n"/>
      <c r="AA291" s="4" t="n"/>
      <c r="AB291" s="4" t="n"/>
      <c r="AC291" s="4" t="n"/>
      <c r="AD291" s="4" t="n"/>
      <c r="AE291" s="4" t="n"/>
      <c r="AF291" s="4" t="n"/>
      <c r="AG291" s="4" t="n"/>
      <c r="AH291" s="4" t="n"/>
      <c r="AI291" s="4" t="n"/>
      <c r="AJ291" s="4" t="n"/>
      <c r="AK291" s="4" t="n"/>
      <c r="AL291" s="4" t="n"/>
      <c r="AM291" s="4" t="n"/>
      <c r="AN291" s="4" t="n"/>
      <c r="AO291" s="12" t="n"/>
      <c r="AP291" s="12" t="n"/>
      <c r="AQ291" s="12" t="n"/>
      <c r="AR291" s="12" t="n"/>
      <c r="AS291" s="16" t="n"/>
      <c r="AT291" s="16" t="n"/>
      <c r="AU291" s="4" t="n"/>
      <c r="AV291" s="124" t="n"/>
      <c r="AX291" s="118" t="n"/>
    </row>
    <row r="292">
      <c r="A292" s="4" t="inlineStr">
        <is>
          <t>SKBQ</t>
        </is>
      </c>
      <c r="B292" s="4" t="inlineStr">
        <is>
          <t>BAQ</t>
        </is>
      </c>
      <c r="C292" s="4" t="n"/>
      <c r="D292" s="4" t="n"/>
      <c r="E292" s="4" t="inlineStr">
        <is>
          <t>Ernesto Cortissoz International Airport</t>
        </is>
      </c>
      <c r="F292" s="4" t="n"/>
      <c r="G292" s="4" t="n"/>
      <c r="H292" s="4" t="n"/>
      <c r="I292" s="4" t="inlineStr">
        <is>
          <t>Barranquilla</t>
        </is>
      </c>
      <c r="J292" s="4" t="n"/>
      <c r="K292" s="4" t="n"/>
      <c r="L292" s="4" t="n"/>
      <c r="M292" s="4" t="n"/>
      <c r="N292" s="12" t="n"/>
      <c r="O292" s="125" t="n">
        <v>10.8896</v>
      </c>
      <c r="P292" s="125" t="n">
        <v>-74.7808</v>
      </c>
      <c r="Q292" s="13" t="n"/>
      <c r="R292" s="11" t="n">
        <v>98</v>
      </c>
      <c r="S292" s="4" t="n"/>
      <c r="T292" s="4" t="inlineStr">
        <is>
          <t>America/Bogota</t>
        </is>
      </c>
      <c r="U292" s="126" t="n"/>
      <c r="V292" s="14" t="n"/>
      <c r="W292" s="4" t="n"/>
      <c r="X292" s="4" t="n"/>
      <c r="Y292" s="4" t="n"/>
      <c r="Z292" s="4" t="n"/>
      <c r="AA292" s="4" t="n"/>
      <c r="AB292" s="4" t="n"/>
      <c r="AC292" s="4" t="n"/>
      <c r="AD292" s="4" t="n"/>
      <c r="AE292" s="4" t="n"/>
      <c r="AF292" s="4" t="n"/>
      <c r="AG292" s="4" t="n"/>
      <c r="AH292" s="4" t="n"/>
      <c r="AI292" s="4" t="n"/>
      <c r="AJ292" s="4" t="n"/>
      <c r="AK292" s="4" t="n"/>
      <c r="AL292" s="4" t="n"/>
      <c r="AM292" s="4" t="n"/>
      <c r="AN292" s="4" t="n"/>
      <c r="AO292" s="12" t="n"/>
      <c r="AP292" s="12" t="n"/>
      <c r="AQ292" s="12" t="n"/>
      <c r="AR292" s="12" t="n"/>
      <c r="AS292" s="16" t="n"/>
      <c r="AT292" s="16" t="n"/>
      <c r="AU292" s="4" t="n"/>
      <c r="AV292" s="124" t="n"/>
      <c r="AX292" s="118" t="n"/>
    </row>
    <row r="293">
      <c r="A293" s="4" t="inlineStr">
        <is>
          <t>SLAL</t>
        </is>
      </c>
      <c r="B293" s="4" t="inlineStr">
        <is>
          <t>SRE</t>
        </is>
      </c>
      <c r="C293" s="4" t="n"/>
      <c r="D293" s="4" t="n"/>
      <c r="E293" s="4" t="inlineStr">
        <is>
          <t>Alcantarí International Airport</t>
        </is>
      </c>
      <c r="F293" s="4" t="n"/>
      <c r="G293" s="4" t="n"/>
      <c r="H293" s="4" t="n"/>
      <c r="I293" s="4" t="inlineStr">
        <is>
          <t>Sucre</t>
        </is>
      </c>
      <c r="J293" s="4" t="n"/>
      <c r="K293" s="4" t="n"/>
      <c r="L293" s="4" t="n"/>
      <c r="M293" s="4" t="n"/>
      <c r="N293" s="12" t="n"/>
      <c r="O293" s="125" t="n">
        <v>-19.24684</v>
      </c>
      <c r="P293" s="125" t="n">
        <v>-65.14961</v>
      </c>
      <c r="Q293" s="13" t="n"/>
      <c r="R293" s="11" t="n">
        <v>10184</v>
      </c>
      <c r="S293" s="4" t="n"/>
      <c r="T293" s="4" t="n"/>
      <c r="U293" s="126" t="n"/>
      <c r="V293" s="14" t="n"/>
      <c r="W293" s="4" t="n"/>
      <c r="X293" s="4" t="n"/>
      <c r="Y293" s="4" t="n"/>
      <c r="Z293" s="4" t="n"/>
      <c r="AA293" s="4" t="n"/>
      <c r="AB293" s="4" t="n"/>
      <c r="AC293" s="4" t="n"/>
      <c r="AD293" s="4" t="n"/>
      <c r="AE293" s="4" t="n"/>
      <c r="AF293" s="4" t="n"/>
      <c r="AG293" s="4" t="n"/>
      <c r="AH293" s="4" t="n"/>
      <c r="AI293" s="4" t="n"/>
      <c r="AJ293" s="4" t="n"/>
      <c r="AK293" s="4" t="n"/>
      <c r="AL293" s="4" t="n"/>
      <c r="AM293" s="4" t="n"/>
      <c r="AN293" s="4" t="n"/>
      <c r="AO293" s="12" t="n"/>
      <c r="AP293" s="12" t="n"/>
      <c r="AQ293" s="12" t="n"/>
      <c r="AR293" s="12" t="n"/>
      <c r="AS293" s="16" t="n"/>
      <c r="AT293" s="16" t="n"/>
      <c r="AU293" s="4" t="n"/>
      <c r="AV293" s="124" t="n"/>
      <c r="AX293" s="118" t="n"/>
    </row>
    <row r="294">
      <c r="A294" s="4" t="inlineStr">
        <is>
          <t>SLCB</t>
        </is>
      </c>
      <c r="B294" s="4" t="inlineStr">
        <is>
          <t>CBB</t>
        </is>
      </c>
      <c r="C294" s="4" t="n"/>
      <c r="D294" s="4" t="n"/>
      <c r="E294" s="4" t="inlineStr">
        <is>
          <t>Jorge Wilsterman International Airport</t>
        </is>
      </c>
      <c r="F294" s="4" t="n"/>
      <c r="G294" s="4" t="n"/>
      <c r="H294" s="4" t="n"/>
      <c r="I294" s="4" t="inlineStr">
        <is>
          <t>Cochabamba</t>
        </is>
      </c>
      <c r="J294" s="4" t="n"/>
      <c r="K294" s="4" t="n"/>
      <c r="L294" s="4" t="n"/>
      <c r="M294" s="4" t="n"/>
      <c r="N294" s="12" t="n"/>
      <c r="O294" s="125" t="n">
        <v>-17.42111</v>
      </c>
      <c r="P294" s="125" t="n">
        <v>-66.1771</v>
      </c>
      <c r="Q294" s="13" t="n"/>
      <c r="R294" s="11" t="n">
        <v>8360</v>
      </c>
      <c r="S294" s="4" t="n"/>
      <c r="T294" s="4" t="inlineStr">
        <is>
          <t>America/La_Paz</t>
        </is>
      </c>
      <c r="U294" s="126" t="n"/>
      <c r="V294" s="14" t="n"/>
      <c r="W294" s="4" t="n"/>
      <c r="X294" s="4" t="n"/>
      <c r="Y294" s="4" t="n"/>
      <c r="Z294" s="4" t="n"/>
      <c r="AA294" s="4" t="n"/>
      <c r="AB294" s="4" t="n"/>
      <c r="AC294" s="4" t="n"/>
      <c r="AD294" s="4" t="n"/>
      <c r="AE294" s="4" t="n"/>
      <c r="AF294" s="4" t="n"/>
      <c r="AG294" s="4" t="n"/>
      <c r="AH294" s="4" t="n"/>
      <c r="AI294" s="4" t="n"/>
      <c r="AJ294" s="4" t="n"/>
      <c r="AK294" s="4" t="n"/>
      <c r="AL294" s="4" t="n"/>
      <c r="AM294" s="4" t="n"/>
      <c r="AN294" s="4" t="n"/>
      <c r="AO294" s="12" t="n"/>
      <c r="AP294" s="12" t="n"/>
      <c r="AQ294" s="12" t="n"/>
      <c r="AR294" s="12" t="n"/>
      <c r="AS294" s="16" t="n"/>
      <c r="AT294" s="16" t="n"/>
      <c r="AU294" s="4" t="n"/>
      <c r="AV294" s="124" t="n"/>
      <c r="AX294" s="118" t="n"/>
    </row>
    <row r="295">
      <c r="A295" s="4" t="inlineStr">
        <is>
          <t>SMJP</t>
        </is>
      </c>
      <c r="B295" s="4" t="inlineStr">
        <is>
          <t>PBM</t>
        </is>
      </c>
      <c r="C295" s="4" t="n"/>
      <c r="D295" s="4" t="n"/>
      <c r="E295" s="4" t="inlineStr">
        <is>
          <t>Johan Adolf Pengel International Airport</t>
        </is>
      </c>
      <c r="F295" s="4" t="n"/>
      <c r="G295" s="4" t="n"/>
      <c r="H295" s="4" t="n"/>
      <c r="I295" s="4" t="inlineStr">
        <is>
          <t>Paramaribo</t>
        </is>
      </c>
      <c r="J295" s="4" t="n"/>
      <c r="K295" s="4" t="n"/>
      <c r="L295" s="4" t="n"/>
      <c r="M295" s="4" t="n"/>
      <c r="N295" s="12" t="n"/>
      <c r="O295" s="125" t="n">
        <v>5.45283</v>
      </c>
      <c r="P295" s="125" t="n">
        <v>-55.1878</v>
      </c>
      <c r="Q295" s="13" t="n"/>
      <c r="R295" s="11" t="n">
        <v>59</v>
      </c>
      <c r="S295" s="4" t="n"/>
      <c r="T295" s="4" t="inlineStr">
        <is>
          <t>America/Paramaribo</t>
        </is>
      </c>
      <c r="U295" s="126" t="n"/>
      <c r="V295" s="14" t="n"/>
      <c r="W295" s="4" t="n"/>
      <c r="X295" s="4" t="n"/>
      <c r="Y295" s="4" t="n"/>
      <c r="Z295" s="4" t="n"/>
      <c r="AA295" s="4" t="n"/>
      <c r="AB295" s="4" t="n"/>
      <c r="AC295" s="4" t="n"/>
      <c r="AD295" s="4" t="n"/>
      <c r="AE295" s="4" t="n"/>
      <c r="AF295" s="4" t="n"/>
      <c r="AG295" s="4" t="n"/>
      <c r="AH295" s="4" t="n"/>
      <c r="AI295" s="4" t="n"/>
      <c r="AJ295" s="4" t="n"/>
      <c r="AK295" s="4" t="n"/>
      <c r="AL295" s="4" t="n"/>
      <c r="AM295" s="4" t="n"/>
      <c r="AN295" s="4" t="n"/>
      <c r="AO295" s="12" t="n"/>
      <c r="AP295" s="12" t="n"/>
      <c r="AQ295" s="12" t="n"/>
      <c r="AR295" s="12" t="n"/>
      <c r="AS295" s="16" t="n"/>
      <c r="AT295" s="16" t="n"/>
      <c r="AU295" s="4" t="n"/>
      <c r="AV295" s="124" t="n"/>
      <c r="AX295" s="118" t="n"/>
    </row>
    <row r="296">
      <c r="A296" s="4" t="inlineStr">
        <is>
          <t>SOCA</t>
        </is>
      </c>
      <c r="B296" s="4" t="inlineStr">
        <is>
          <t>CAY</t>
        </is>
      </c>
      <c r="C296" s="4" t="n"/>
      <c r="D296" s="4" t="n"/>
      <c r="E296" s="4" t="inlineStr">
        <is>
          <t>Cayenne – Félix Eboué Airport</t>
        </is>
      </c>
      <c r="F296" s="4" t="n"/>
      <c r="G296" s="4" t="n"/>
      <c r="H296" s="4" t="n"/>
      <c r="I296" s="4" t="inlineStr">
        <is>
          <t>Matoury</t>
        </is>
      </c>
      <c r="J296" s="4" t="n"/>
      <c r="K296" s="4" t="n"/>
      <c r="L296" s="4" t="n"/>
      <c r="M296" s="4" t="n"/>
      <c r="N296" s="12" t="n"/>
      <c r="O296" s="125" t="n">
        <v>4.81996</v>
      </c>
      <c r="P296" s="125" t="n">
        <v>-52.36133</v>
      </c>
      <c r="Q296" s="13" t="n"/>
      <c r="R296" s="11" t="n">
        <v>26</v>
      </c>
      <c r="S296" s="4" t="n"/>
      <c r="T296" s="4" t="inlineStr">
        <is>
          <t>America/Cayenne</t>
        </is>
      </c>
      <c r="U296" s="126" t="n"/>
      <c r="V296" s="14" t="n"/>
      <c r="W296" s="4" t="n"/>
      <c r="X296" s="4" t="n"/>
      <c r="Y296" s="4" t="n"/>
      <c r="Z296" s="4" t="n"/>
      <c r="AA296" s="4" t="n"/>
      <c r="AB296" s="4" t="n"/>
      <c r="AC296" s="4" t="n"/>
      <c r="AD296" s="4" t="n"/>
      <c r="AE296" s="4" t="n"/>
      <c r="AF296" s="4" t="n"/>
      <c r="AG296" s="4" t="n"/>
      <c r="AH296" s="4" t="n"/>
      <c r="AI296" s="4" t="n"/>
      <c r="AJ296" s="4" t="n"/>
      <c r="AK296" s="4" t="n"/>
      <c r="AL296" s="4" t="n"/>
      <c r="AM296" s="4" t="n"/>
      <c r="AN296" s="4" t="n"/>
      <c r="AO296" s="12" t="n"/>
      <c r="AP296" s="12" t="n"/>
      <c r="AQ296" s="12" t="n"/>
      <c r="AR296" s="12" t="n"/>
      <c r="AS296" s="16" t="n"/>
      <c r="AT296" s="16" t="n"/>
      <c r="AU296" s="4" t="n"/>
      <c r="AV296" s="124" t="n"/>
      <c r="AX296" s="118" t="n"/>
    </row>
    <row r="297">
      <c r="A297" s="4" t="inlineStr">
        <is>
          <t>SPCL</t>
        </is>
      </c>
      <c r="B297" s="4" t="inlineStr">
        <is>
          <t>PCL</t>
        </is>
      </c>
      <c r="C297" s="4" t="n"/>
      <c r="D297" s="4" t="n"/>
      <c r="E297" s="4" t="inlineStr">
        <is>
          <t>Cap FAP David Abenzur Rengifo International Airport</t>
        </is>
      </c>
      <c r="F297" s="4" t="n"/>
      <c r="G297" s="4" t="n"/>
      <c r="H297" s="4" t="n"/>
      <c r="I297" s="4" t="inlineStr">
        <is>
          <t>Pucallpa</t>
        </is>
      </c>
      <c r="J297" s="4" t="n"/>
      <c r="K297" s="4" t="n"/>
      <c r="L297" s="4" t="n"/>
      <c r="M297" s="4" t="n"/>
      <c r="N297" s="12" t="n"/>
      <c r="O297" s="125" t="n">
        <v>-8.37806</v>
      </c>
      <c r="P297" s="125" t="n">
        <v>-74.57449</v>
      </c>
      <c r="Q297" s="13" t="n"/>
      <c r="R297" s="11" t="n">
        <v>513</v>
      </c>
      <c r="S297" s="4" t="n"/>
      <c r="T297" s="4" t="inlineStr">
        <is>
          <t>America/Lima</t>
        </is>
      </c>
      <c r="U297" s="126" t="n"/>
      <c r="V297" s="14" t="n"/>
      <c r="W297" s="4" t="n"/>
      <c r="X297" s="4" t="n"/>
      <c r="Y297" s="4" t="n"/>
      <c r="Z297" s="4" t="n"/>
      <c r="AA297" s="4" t="n"/>
      <c r="AB297" s="4" t="n"/>
      <c r="AC297" s="4" t="n"/>
      <c r="AD297" s="4" t="n"/>
      <c r="AE297" s="4" t="n"/>
      <c r="AF297" s="4" t="n"/>
      <c r="AG297" s="4" t="n"/>
      <c r="AH297" s="4" t="n"/>
      <c r="AI297" s="4" t="n"/>
      <c r="AJ297" s="4" t="n"/>
      <c r="AK297" s="4" t="n"/>
      <c r="AL297" s="4" t="n"/>
      <c r="AM297" s="4" t="n"/>
      <c r="AN297" s="4" t="n"/>
      <c r="AO297" s="12" t="n"/>
      <c r="AP297" s="12" t="n"/>
      <c r="AQ297" s="12" t="n"/>
      <c r="AR297" s="12" t="n"/>
      <c r="AS297" s="16" t="n"/>
      <c r="AT297" s="16" t="n"/>
      <c r="AU297" s="4" t="n"/>
      <c r="AV297" s="124" t="n"/>
      <c r="AX297" s="118" t="n"/>
    </row>
    <row r="298">
      <c r="A298" s="4" t="inlineStr">
        <is>
          <t>SPHI</t>
        </is>
      </c>
      <c r="B298" s="4" t="inlineStr">
        <is>
          <t>CIX</t>
        </is>
      </c>
      <c r="C298" s="4" t="n"/>
      <c r="D298" s="4" t="n"/>
      <c r="E298" s="4" t="inlineStr">
        <is>
          <t>Capitán FAP José A. Quiñones González Airport</t>
        </is>
      </c>
      <c r="F298" s="4" t="n"/>
      <c r="G298" s="4" t="n"/>
      <c r="H298" s="4" t="n"/>
      <c r="I298" s="4" t="inlineStr">
        <is>
          <t>Chiclayo</t>
        </is>
      </c>
      <c r="J298" s="4" t="n"/>
      <c r="K298" s="4" t="n"/>
      <c r="L298" s="4" t="n"/>
      <c r="M298" s="4" t="n"/>
      <c r="N298" s="12" t="n"/>
      <c r="O298" s="125" t="n">
        <v>-6.78922</v>
      </c>
      <c r="P298" s="125" t="n">
        <v>-79.82825</v>
      </c>
      <c r="Q298" s="13" t="n"/>
      <c r="R298" s="11" t="n">
        <v>97</v>
      </c>
      <c r="S298" s="4" t="n"/>
      <c r="T298" s="4" t="inlineStr">
        <is>
          <t>America/Lima</t>
        </is>
      </c>
      <c r="U298" s="126" t="n"/>
      <c r="V298" s="14" t="n"/>
      <c r="W298" s="4" t="n"/>
      <c r="X298" s="4" t="n"/>
      <c r="Y298" s="4" t="n"/>
      <c r="Z298" s="4" t="n"/>
      <c r="AA298" s="4" t="n"/>
      <c r="AB298" s="4" t="n"/>
      <c r="AC298" s="4" t="n"/>
      <c r="AD298" s="4" t="n"/>
      <c r="AE298" s="4" t="n"/>
      <c r="AF298" s="4" t="n"/>
      <c r="AG298" s="4" t="n"/>
      <c r="AH298" s="4" t="n"/>
      <c r="AI298" s="4" t="n"/>
      <c r="AJ298" s="4" t="n"/>
      <c r="AK298" s="4" t="n"/>
      <c r="AL298" s="4" t="n"/>
      <c r="AM298" s="4" t="n"/>
      <c r="AN298" s="4" t="n"/>
      <c r="AO298" s="12" t="n"/>
      <c r="AP298" s="12" t="n"/>
      <c r="AQ298" s="12" t="n"/>
      <c r="AR298" s="12" t="n"/>
      <c r="AS298" s="16" t="n"/>
      <c r="AT298" s="16" t="n"/>
      <c r="AU298" s="4" t="n"/>
      <c r="AV298" s="124" t="n"/>
      <c r="AX298" s="118" t="n"/>
    </row>
    <row r="299">
      <c r="A299" s="4" t="inlineStr">
        <is>
          <t>SUMU</t>
        </is>
      </c>
      <c r="B299" s="4" t="inlineStr">
        <is>
          <t>MVD</t>
        </is>
      </c>
      <c r="C299" s="4" t="n"/>
      <c r="D299" s="4" t="n"/>
      <c r="E299" s="4" t="inlineStr">
        <is>
          <t>Carrasco General Cesáreo L. Berisso Airport</t>
        </is>
      </c>
      <c r="F299" s="4" t="n"/>
      <c r="G299" s="4" t="n"/>
      <c r="H299" s="4" t="n"/>
      <c r="I299" s="4" t="inlineStr">
        <is>
          <t>Ciudad de la Costa</t>
        </is>
      </c>
      <c r="J299" s="4" t="n"/>
      <c r="K299" s="4" t="n"/>
      <c r="L299" s="4" t="n"/>
      <c r="M299" s="4" t="n"/>
      <c r="N299" s="12" t="n"/>
      <c r="O299" s="125" t="n">
        <v>-34.83565</v>
      </c>
      <c r="P299" s="125" t="n">
        <v>-56.0265</v>
      </c>
      <c r="Q299" s="13" t="n"/>
      <c r="R299" s="11" t="n">
        <v>105</v>
      </c>
      <c r="S299" s="4" t="n"/>
      <c r="T299" s="4" t="inlineStr">
        <is>
          <t>America/Montevideo</t>
        </is>
      </c>
      <c r="U299" s="126" t="n"/>
      <c r="V299" s="14" t="n"/>
      <c r="W299" s="4" t="n"/>
      <c r="X299" s="4" t="n"/>
      <c r="Y299" s="4" t="n"/>
      <c r="Z299" s="4" t="n"/>
      <c r="AA299" s="4" t="n"/>
      <c r="AB299" s="4" t="n"/>
      <c r="AC299" s="4" t="n"/>
      <c r="AD299" s="4" t="n"/>
      <c r="AE299" s="4" t="n"/>
      <c r="AF299" s="4" t="n"/>
      <c r="AG299" s="4" t="n"/>
      <c r="AH299" s="4" t="n"/>
      <c r="AI299" s="4" t="n"/>
      <c r="AJ299" s="4" t="n"/>
      <c r="AK299" s="4" t="n"/>
      <c r="AL299" s="4" t="n"/>
      <c r="AM299" s="4" t="n"/>
      <c r="AN299" s="4" t="n"/>
      <c r="AO299" s="12" t="n"/>
      <c r="AP299" s="12" t="n"/>
      <c r="AQ299" s="12" t="n"/>
      <c r="AR299" s="12" t="n"/>
      <c r="AS299" s="16" t="n"/>
      <c r="AT299" s="16" t="n"/>
      <c r="AU299" s="4" t="n"/>
      <c r="AV299" s="124" t="n"/>
      <c r="AX299" s="118" t="n"/>
    </row>
    <row r="300">
      <c r="A300" s="4" t="inlineStr">
        <is>
          <t>SVBC</t>
        </is>
      </c>
      <c r="B300" s="4" t="inlineStr">
        <is>
          <t>BLA</t>
        </is>
      </c>
      <c r="C300" s="4" t="n"/>
      <c r="D300" s="4" t="n"/>
      <c r="E300" s="4" t="inlineStr">
        <is>
          <t>General José Antonio Anzoategui International</t>
        </is>
      </c>
      <c r="F300" s="4" t="n"/>
      <c r="G300" s="4" t="n"/>
      <c r="H300" s="4" t="n"/>
      <c r="I300" s="4" t="inlineStr">
        <is>
          <t>Barcelona</t>
        </is>
      </c>
      <c r="J300" s="4" t="n"/>
      <c r="K300" s="4" t="n"/>
      <c r="L300" s="4" t="n"/>
      <c r="M300" s="4" t="n"/>
      <c r="N300" s="12" t="n"/>
      <c r="O300" s="125" t="n">
        <v>10.11111</v>
      </c>
      <c r="P300" s="125" t="n">
        <v>-64.69222000000001</v>
      </c>
      <c r="Q300" s="13" t="n"/>
      <c r="R300" s="11" t="n">
        <v>30</v>
      </c>
      <c r="S300" s="4" t="n"/>
      <c r="T300" s="4" t="inlineStr">
        <is>
          <t>America/Caracas</t>
        </is>
      </c>
      <c r="U300" s="126" t="n"/>
      <c r="V300" s="14" t="n"/>
      <c r="W300" s="4" t="n"/>
      <c r="X300" s="4" t="n"/>
      <c r="Y300" s="4" t="n"/>
      <c r="Z300" s="4" t="n"/>
      <c r="AA300" s="4" t="n"/>
      <c r="AB300" s="4" t="n"/>
      <c r="AC300" s="4" t="n"/>
      <c r="AD300" s="4" t="n"/>
      <c r="AE300" s="4" t="n"/>
      <c r="AF300" s="4" t="n"/>
      <c r="AG300" s="4" t="n"/>
      <c r="AH300" s="4" t="n"/>
      <c r="AI300" s="4" t="n"/>
      <c r="AJ300" s="4" t="n"/>
      <c r="AK300" s="4" t="n"/>
      <c r="AL300" s="4" t="n"/>
      <c r="AM300" s="4" t="n"/>
      <c r="AN300" s="4" t="n"/>
      <c r="AO300" s="12" t="n"/>
      <c r="AP300" s="12" t="n"/>
      <c r="AQ300" s="12" t="n"/>
      <c r="AR300" s="12" t="n"/>
      <c r="AS300" s="16" t="n"/>
      <c r="AT300" s="16" t="n"/>
      <c r="AU300" s="4" t="n"/>
      <c r="AV300" s="124" t="n"/>
      <c r="AX300" s="118" t="n"/>
    </row>
    <row r="301">
      <c r="A301" s="4" t="inlineStr">
        <is>
          <t>SVBM</t>
        </is>
      </c>
      <c r="B301" s="4" t="inlineStr">
        <is>
          <t>BRM</t>
        </is>
      </c>
      <c r="C301" s="4" t="n"/>
      <c r="D301" s="4" t="n"/>
      <c r="E301" s="4" t="inlineStr">
        <is>
          <t>Jacinto Lara International Airport</t>
        </is>
      </c>
      <c r="F301" s="4" t="n"/>
      <c r="G301" s="4" t="n"/>
      <c r="H301" s="4" t="n"/>
      <c r="I301" s="4" t="inlineStr">
        <is>
          <t>Barquisimeto</t>
        </is>
      </c>
      <c r="J301" s="4" t="n"/>
      <c r="K301" s="4" t="n"/>
      <c r="L301" s="4" t="n"/>
      <c r="M301" s="4" t="n"/>
      <c r="N301" s="12" t="n"/>
      <c r="O301" s="125" t="n">
        <v>10.04275</v>
      </c>
      <c r="P301" s="125" t="n">
        <v>-69.35862</v>
      </c>
      <c r="Q301" s="13" t="n"/>
      <c r="R301" s="11" t="n">
        <v>2042</v>
      </c>
      <c r="S301" s="4" t="n"/>
      <c r="T301" s="4" t="inlineStr">
        <is>
          <t>America/Caracas</t>
        </is>
      </c>
      <c r="U301" s="126" t="n"/>
      <c r="V301" s="14" t="n"/>
      <c r="W301" s="4" t="n"/>
      <c r="X301" s="4" t="n"/>
      <c r="Y301" s="4" t="n"/>
      <c r="Z301" s="4" t="n"/>
      <c r="AA301" s="4" t="n"/>
      <c r="AB301" s="4" t="n"/>
      <c r="AC301" s="4" t="n"/>
      <c r="AD301" s="4" t="n"/>
      <c r="AE301" s="4" t="n"/>
      <c r="AF301" s="4" t="n"/>
      <c r="AG301" s="4" t="n"/>
      <c r="AH301" s="4" t="n"/>
      <c r="AI301" s="4" t="n"/>
      <c r="AJ301" s="4" t="n"/>
      <c r="AK301" s="4" t="n"/>
      <c r="AL301" s="4" t="n"/>
      <c r="AM301" s="4" t="n"/>
      <c r="AN301" s="4" t="n"/>
      <c r="AO301" s="12" t="n"/>
      <c r="AP301" s="12" t="n"/>
      <c r="AQ301" s="12" t="n"/>
      <c r="AR301" s="12" t="n"/>
      <c r="AS301" s="16" t="n"/>
      <c r="AT301" s="16" t="n"/>
      <c r="AU301" s="4" t="n"/>
      <c r="AV301" s="124" t="n"/>
      <c r="AX301" s="118" t="n"/>
    </row>
    <row r="302">
      <c r="A302" s="4" t="inlineStr">
        <is>
          <t>SYCJ</t>
        </is>
      </c>
      <c r="B302" s="4" t="inlineStr">
        <is>
          <t>GEO</t>
        </is>
      </c>
      <c r="C302" s="4" t="n"/>
      <c r="D302" s="4" t="n"/>
      <c r="E302" s="4" t="inlineStr">
        <is>
          <t>Cheddi Jagan International Airport</t>
        </is>
      </c>
      <c r="F302" s="4" t="n"/>
      <c r="G302" s="4" t="n"/>
      <c r="H302" s="4" t="n"/>
      <c r="I302" s="4" t="inlineStr">
        <is>
          <t>Georgetown</t>
        </is>
      </c>
      <c r="J302" s="4" t="n"/>
      <c r="K302" s="4" t="n"/>
      <c r="L302" s="4" t="n"/>
      <c r="M302" s="4" t="n"/>
      <c r="N302" s="12" t="n"/>
      <c r="O302" s="125" t="n">
        <v>6.49855</v>
      </c>
      <c r="P302" s="125" t="n">
        <v>-58.2541</v>
      </c>
      <c r="Q302" s="13" t="n"/>
      <c r="R302" s="11" t="n">
        <v>95</v>
      </c>
      <c r="S302" s="4" t="n"/>
      <c r="T302" s="4" t="inlineStr">
        <is>
          <t>America/Guyana</t>
        </is>
      </c>
      <c r="U302" s="126" t="n"/>
      <c r="V302" s="14" t="n"/>
      <c r="W302" s="4" t="n"/>
      <c r="X302" s="4" t="n"/>
      <c r="Y302" s="4" t="n"/>
      <c r="Z302" s="4" t="n"/>
      <c r="AA302" s="4" t="n"/>
      <c r="AB302" s="4" t="n"/>
      <c r="AC302" s="4" t="n"/>
      <c r="AD302" s="4" t="n"/>
      <c r="AE302" s="4" t="n"/>
      <c r="AF302" s="4" t="n"/>
      <c r="AG302" s="4" t="n"/>
      <c r="AH302" s="4" t="n"/>
      <c r="AI302" s="4" t="n"/>
      <c r="AJ302" s="4" t="n"/>
      <c r="AK302" s="4" t="n"/>
      <c r="AL302" s="4" t="n"/>
      <c r="AM302" s="4" t="n"/>
      <c r="AN302" s="4" t="n"/>
      <c r="AO302" s="12" t="n"/>
      <c r="AP302" s="12" t="n"/>
      <c r="AQ302" s="12" t="n"/>
      <c r="AR302" s="12" t="n"/>
      <c r="AS302" s="16" t="n"/>
      <c r="AT302" s="16" t="n"/>
      <c r="AU302" s="4" t="n"/>
      <c r="AV302" s="124" t="n"/>
      <c r="AX302" s="118" t="n"/>
    </row>
    <row r="303">
      <c r="A303" s="4" t="inlineStr">
        <is>
          <t>TAPA</t>
        </is>
      </c>
      <c r="B303" s="4" t="inlineStr">
        <is>
          <t>ANU</t>
        </is>
      </c>
      <c r="C303" s="4" t="n"/>
      <c r="D303" s="4" t="n"/>
      <c r="E303" s="4" t="inlineStr">
        <is>
          <t>V. C. Bird International Airport</t>
        </is>
      </c>
      <c r="F303" s="4" t="n"/>
      <c r="G303" s="4" t="n"/>
      <c r="H303" s="4" t="n"/>
      <c r="I303" s="4" t="inlineStr">
        <is>
          <t>Osbourn</t>
        </is>
      </c>
      <c r="J303" s="4" t="n"/>
      <c r="K303" s="4" t="n"/>
      <c r="L303" s="4" t="n"/>
      <c r="M303" s="4" t="n"/>
      <c r="N303" s="12" t="n"/>
      <c r="O303" s="125" t="n">
        <v>17.1367</v>
      </c>
      <c r="P303" s="125" t="n">
        <v>-61.7927</v>
      </c>
      <c r="Q303" s="13" t="n"/>
      <c r="R303" s="11" t="n">
        <v>62</v>
      </c>
      <c r="S303" s="4" t="n"/>
      <c r="T303" s="4" t="inlineStr">
        <is>
          <t>America/Antigua</t>
        </is>
      </c>
      <c r="U303" s="126" t="n"/>
      <c r="V303" s="14" t="n"/>
      <c r="W303" s="4" t="n"/>
      <c r="X303" s="4" t="n"/>
      <c r="Y303" s="4" t="n"/>
      <c r="Z303" s="4" t="n"/>
      <c r="AA303" s="4" t="n"/>
      <c r="AB303" s="4" t="n"/>
      <c r="AC303" s="4" t="n"/>
      <c r="AD303" s="4" t="n"/>
      <c r="AE303" s="4" t="n"/>
      <c r="AF303" s="4" t="n"/>
      <c r="AG303" s="4" t="n"/>
      <c r="AH303" s="4" t="n"/>
      <c r="AI303" s="4" t="n"/>
      <c r="AJ303" s="4" t="n"/>
      <c r="AK303" s="4" t="n"/>
      <c r="AL303" s="4" t="n"/>
      <c r="AM303" s="4" t="n"/>
      <c r="AN303" s="4" t="n"/>
      <c r="AO303" s="12" t="n"/>
      <c r="AP303" s="12" t="n"/>
      <c r="AQ303" s="12" t="n"/>
      <c r="AR303" s="12" t="n"/>
      <c r="AS303" s="16" t="n"/>
      <c r="AT303" s="16" t="n"/>
      <c r="AU303" s="4" t="n"/>
      <c r="AV303" s="124" t="n"/>
      <c r="AX303" s="118" t="n"/>
    </row>
    <row r="304">
      <c r="A304" s="4" t="inlineStr">
        <is>
          <t>TBPB</t>
        </is>
      </c>
      <c r="B304" s="4" t="inlineStr">
        <is>
          <t>BGI</t>
        </is>
      </c>
      <c r="C304" s="4" t="n"/>
      <c r="D304" s="4" t="n"/>
      <c r="E304" s="4" t="inlineStr">
        <is>
          <t>Grantley Adams International Airport</t>
        </is>
      </c>
      <c r="F304" s="4" t="n"/>
      <c r="G304" s="4" t="n"/>
      <c r="H304" s="4" t="n"/>
      <c r="I304" s="4" t="inlineStr">
        <is>
          <t>Bridgetown</t>
        </is>
      </c>
      <c r="J304" s="4" t="n"/>
      <c r="K304" s="4" t="n"/>
      <c r="L304" s="4" t="n"/>
      <c r="M304" s="4" t="n"/>
      <c r="N304" s="12" t="n"/>
      <c r="O304" s="125" t="n">
        <v>13.07467</v>
      </c>
      <c r="P304" s="125" t="n">
        <v>-59.49103</v>
      </c>
      <c r="Q304" s="13" t="n"/>
      <c r="R304" s="11" t="n">
        <v>169</v>
      </c>
      <c r="S304" s="4" t="n"/>
      <c r="T304" s="4" t="inlineStr">
        <is>
          <t>America/Barbados</t>
        </is>
      </c>
      <c r="U304" s="126" t="n"/>
      <c r="V304" s="14" t="n"/>
      <c r="W304" s="4" t="n"/>
      <c r="X304" s="4" t="n"/>
      <c r="Y304" s="4" t="n"/>
      <c r="Z304" s="4" t="n"/>
      <c r="AA304" s="4" t="n"/>
      <c r="AB304" s="4" t="n"/>
      <c r="AC304" s="4" t="n"/>
      <c r="AD304" s="4" t="n"/>
      <c r="AE304" s="4" t="n"/>
      <c r="AF304" s="4" t="n"/>
      <c r="AG304" s="4" t="n"/>
      <c r="AH304" s="4" t="n"/>
      <c r="AI304" s="4" t="n"/>
      <c r="AJ304" s="4" t="n"/>
      <c r="AK304" s="4" t="n"/>
      <c r="AL304" s="4" t="n"/>
      <c r="AM304" s="4" t="n"/>
      <c r="AN304" s="4" t="n"/>
      <c r="AO304" s="12" t="n"/>
      <c r="AP304" s="12" t="n"/>
      <c r="AQ304" s="12" t="n"/>
      <c r="AR304" s="12" t="n"/>
      <c r="AS304" s="16" t="n"/>
      <c r="AT304" s="16" t="n"/>
      <c r="AU304" s="4" t="n"/>
      <c r="AV304" s="124" t="n"/>
      <c r="AX304" s="118" t="n"/>
    </row>
    <row r="305">
      <c r="A305" s="4" t="inlineStr">
        <is>
          <t>TFFF</t>
        </is>
      </c>
      <c r="B305" s="4" t="inlineStr">
        <is>
          <t>FDF</t>
        </is>
      </c>
      <c r="C305" s="4" t="n"/>
      <c r="D305" s="4" t="n"/>
      <c r="E305" s="4" t="inlineStr">
        <is>
          <t>Martinique Aimé Césaire International Airport</t>
        </is>
      </c>
      <c r="F305" s="4" t="n"/>
      <c r="G305" s="4" t="n"/>
      <c r="H305" s="4" t="n"/>
      <c r="I305" s="4" t="inlineStr">
        <is>
          <t>Fort-de-France</t>
        </is>
      </c>
      <c r="J305" s="4" t="n"/>
      <c r="K305" s="4" t="n"/>
      <c r="L305" s="4" t="n"/>
      <c r="M305" s="4" t="n"/>
      <c r="N305" s="12" t="n"/>
      <c r="O305" s="125" t="n">
        <v>14.591</v>
      </c>
      <c r="P305" s="125" t="n">
        <v>-61.0032</v>
      </c>
      <c r="Q305" s="13" t="n"/>
      <c r="R305" s="11" t="n">
        <v>16</v>
      </c>
      <c r="S305" s="4" t="n"/>
      <c r="T305" s="4" t="inlineStr">
        <is>
          <t>America/Martinique</t>
        </is>
      </c>
      <c r="U305" s="126" t="n"/>
      <c r="V305" s="14" t="n"/>
      <c r="W305" s="4" t="n"/>
      <c r="X305" s="4" t="n"/>
      <c r="Y305" s="4" t="n"/>
      <c r="Z305" s="4" t="n"/>
      <c r="AA305" s="4" t="n"/>
      <c r="AB305" s="4" t="n"/>
      <c r="AC305" s="4" t="n"/>
      <c r="AD305" s="4" t="n"/>
      <c r="AE305" s="4" t="n"/>
      <c r="AF305" s="4" t="n"/>
      <c r="AG305" s="4" t="n"/>
      <c r="AH305" s="4" t="n"/>
      <c r="AI305" s="4" t="n"/>
      <c r="AJ305" s="4" t="n"/>
      <c r="AK305" s="4" t="n"/>
      <c r="AL305" s="4" t="n"/>
      <c r="AM305" s="4" t="n"/>
      <c r="AN305" s="4" t="n"/>
      <c r="AO305" s="12" t="n"/>
      <c r="AP305" s="12" t="n"/>
      <c r="AQ305" s="12" t="n"/>
      <c r="AR305" s="12" t="n"/>
      <c r="AS305" s="16" t="n"/>
      <c r="AT305" s="16" t="n"/>
      <c r="AU305" s="4" t="n"/>
      <c r="AV305" s="124" t="n"/>
      <c r="AX305" s="118" t="n"/>
    </row>
    <row r="306">
      <c r="A306" s="4" t="inlineStr">
        <is>
          <t>TFFR</t>
        </is>
      </c>
      <c r="B306" s="4" t="inlineStr">
        <is>
          <t>PTP</t>
        </is>
      </c>
      <c r="C306" s="4" t="n"/>
      <c r="D306" s="4" t="n"/>
      <c r="E306" s="4" t="inlineStr">
        <is>
          <t>Maryse Condé International Airport</t>
        </is>
      </c>
      <c r="F306" s="4" t="n"/>
      <c r="G306" s="4" t="n"/>
      <c r="H306" s="4" t="n"/>
      <c r="I306" s="4" t="inlineStr">
        <is>
          <t>Pointe-à-Pitre</t>
        </is>
      </c>
      <c r="J306" s="4" t="n"/>
      <c r="K306" s="4" t="n"/>
      <c r="L306" s="4" t="n"/>
      <c r="M306" s="4" t="n"/>
      <c r="N306" s="12" t="n"/>
      <c r="O306" s="125" t="n">
        <v>16.26544</v>
      </c>
      <c r="P306" s="125" t="n">
        <v>-61.53275</v>
      </c>
      <c r="Q306" s="13" t="n"/>
      <c r="R306" s="11" t="n">
        <v>36</v>
      </c>
      <c r="S306" s="4" t="n"/>
      <c r="T306" s="4" t="inlineStr">
        <is>
          <t>America/Guadeloupe</t>
        </is>
      </c>
      <c r="U306" s="126" t="n"/>
      <c r="V306" s="14" t="n"/>
      <c r="W306" s="4" t="n"/>
      <c r="X306" s="4" t="n"/>
      <c r="Y306" s="4" t="n"/>
      <c r="Z306" s="4" t="n"/>
      <c r="AA306" s="4" t="n"/>
      <c r="AB306" s="4" t="n"/>
      <c r="AC306" s="4" t="n"/>
      <c r="AD306" s="4" t="n"/>
      <c r="AE306" s="4" t="n"/>
      <c r="AF306" s="4" t="n"/>
      <c r="AG306" s="4" t="n"/>
      <c r="AH306" s="4" t="n"/>
      <c r="AI306" s="4" t="n"/>
      <c r="AJ306" s="4" t="n"/>
      <c r="AK306" s="4" t="n"/>
      <c r="AL306" s="4" t="n"/>
      <c r="AM306" s="4" t="n"/>
      <c r="AN306" s="4" t="n"/>
      <c r="AO306" s="12" t="n"/>
      <c r="AP306" s="12" t="n"/>
      <c r="AQ306" s="12" t="n"/>
      <c r="AR306" s="12" t="n"/>
      <c r="AS306" s="16" t="n"/>
      <c r="AT306" s="16" t="n"/>
      <c r="AU306" s="4" t="n"/>
      <c r="AV306" s="124" t="n"/>
      <c r="AX306" s="118" t="n"/>
    </row>
    <row r="307">
      <c r="A307" s="4" t="inlineStr">
        <is>
          <t>TGPY</t>
        </is>
      </c>
      <c r="B307" s="4" t="inlineStr">
        <is>
          <t>GND</t>
        </is>
      </c>
      <c r="C307" s="4" t="n"/>
      <c r="D307" s="4" t="n"/>
      <c r="E307" s="4" t="inlineStr">
        <is>
          <t>Maurice Bishop International Airport</t>
        </is>
      </c>
      <c r="F307" s="4" t="n"/>
      <c r="G307" s="4" t="n"/>
      <c r="H307" s="4" t="n"/>
      <c r="I307" s="4" t="inlineStr">
        <is>
          <t>Saint George's</t>
        </is>
      </c>
      <c r="J307" s="4" t="n"/>
      <c r="K307" s="4" t="n"/>
      <c r="L307" s="4" t="n"/>
      <c r="M307" s="4" t="n"/>
      <c r="N307" s="12" t="n"/>
      <c r="O307" s="125" t="n">
        <v>12.004</v>
      </c>
      <c r="P307" s="125" t="n">
        <v>-61.7853</v>
      </c>
      <c r="Q307" s="13" t="n"/>
      <c r="R307" s="11" t="n">
        <v>41</v>
      </c>
      <c r="S307" s="4" t="n"/>
      <c r="T307" s="4" t="inlineStr">
        <is>
          <t>America/Grenada</t>
        </is>
      </c>
      <c r="U307" s="126" t="n"/>
      <c r="V307" s="14" t="n"/>
      <c r="W307" s="4" t="n"/>
      <c r="X307" s="4" t="n"/>
      <c r="Y307" s="4" t="n"/>
      <c r="Z307" s="4" t="n"/>
      <c r="AA307" s="4" t="n"/>
      <c r="AB307" s="4" t="n"/>
      <c r="AC307" s="4" t="n"/>
      <c r="AD307" s="4" t="n"/>
      <c r="AE307" s="4" t="n"/>
      <c r="AF307" s="4" t="n"/>
      <c r="AG307" s="4" t="n"/>
      <c r="AH307" s="4" t="n"/>
      <c r="AI307" s="4" t="n"/>
      <c r="AJ307" s="4" t="n"/>
      <c r="AK307" s="4" t="n"/>
      <c r="AL307" s="4" t="n"/>
      <c r="AM307" s="4" t="n"/>
      <c r="AN307" s="4" t="n"/>
      <c r="AO307" s="12" t="n"/>
      <c r="AP307" s="12" t="n"/>
      <c r="AQ307" s="12" t="n"/>
      <c r="AR307" s="12" t="n"/>
      <c r="AS307" s="16" t="n"/>
      <c r="AT307" s="16" t="n"/>
      <c r="AU307" s="4" t="n"/>
      <c r="AV307" s="124" t="n"/>
      <c r="AX307" s="118" t="n"/>
    </row>
    <row r="308">
      <c r="A308" s="4" t="inlineStr">
        <is>
          <t>TIST</t>
        </is>
      </c>
      <c r="B308" s="4" t="inlineStr">
        <is>
          <t>STT</t>
        </is>
      </c>
      <c r="C308" s="4" t="n"/>
      <c r="D308" s="4" t="n"/>
      <c r="E308" s="4" t="inlineStr">
        <is>
          <t>Cyril E. King Airport</t>
        </is>
      </c>
      <c r="F308" s="4" t="n"/>
      <c r="G308" s="4" t="n"/>
      <c r="H308" s="4" t="n"/>
      <c r="I308" s="4" t="inlineStr">
        <is>
          <t>Charlotte Amalie</t>
        </is>
      </c>
      <c r="J308" s="4" t="n"/>
      <c r="K308" s="4" t="n"/>
      <c r="L308" s="4" t="n"/>
      <c r="M308" s="4" t="n"/>
      <c r="N308" s="12" t="n"/>
      <c r="O308" s="125" t="n">
        <v>18.33709</v>
      </c>
      <c r="P308" s="125" t="n">
        <v>-64.97725</v>
      </c>
      <c r="Q308" s="13" t="n"/>
      <c r="R308" s="11" t="n">
        <v>23</v>
      </c>
      <c r="S308" s="4" t="n"/>
      <c r="T308" s="4" t="inlineStr">
        <is>
          <t>America/St_Thomas</t>
        </is>
      </c>
      <c r="U308" s="126" t="n"/>
      <c r="V308" s="14" t="n"/>
      <c r="W308" s="4" t="n"/>
      <c r="X308" s="4" t="n"/>
      <c r="Y308" s="4" t="n"/>
      <c r="Z308" s="4" t="n"/>
      <c r="AA308" s="4" t="n"/>
      <c r="AB308" s="4" t="n"/>
      <c r="AC308" s="4" t="n"/>
      <c r="AD308" s="4" t="n"/>
      <c r="AE308" s="4" t="n"/>
      <c r="AF308" s="4" t="n"/>
      <c r="AG308" s="4" t="n"/>
      <c r="AH308" s="4" t="n"/>
      <c r="AI308" s="4" t="n"/>
      <c r="AJ308" s="4" t="n"/>
      <c r="AK308" s="4" t="n"/>
      <c r="AL308" s="4" t="n"/>
      <c r="AM308" s="4" t="n"/>
      <c r="AN308" s="4" t="n"/>
      <c r="AO308" s="12" t="n"/>
      <c r="AP308" s="12" t="n"/>
      <c r="AQ308" s="12" t="n"/>
      <c r="AR308" s="12" t="n"/>
      <c r="AS308" s="16" t="n"/>
      <c r="AT308" s="16" t="n"/>
      <c r="AU308" s="4" t="n"/>
      <c r="AV308" s="124" t="n"/>
      <c r="AX308" s="118" t="n"/>
    </row>
    <row r="309">
      <c r="A309" s="4" t="inlineStr">
        <is>
          <t>TJSJ</t>
        </is>
      </c>
      <c r="B309" s="4" t="inlineStr">
        <is>
          <t>SJU</t>
        </is>
      </c>
      <c r="C309" s="4" t="n"/>
      <c r="D309" s="4" t="n"/>
      <c r="E309" s="4" t="inlineStr">
        <is>
          <t>Luis Munoz Marin International Airport</t>
        </is>
      </c>
      <c r="F309" s="4" t="n"/>
      <c r="G309" s="4" t="n"/>
      <c r="H309" s="4" t="n"/>
      <c r="I309" s="4" t="inlineStr">
        <is>
          <t>San Juan</t>
        </is>
      </c>
      <c r="J309" s="4" t="n"/>
      <c r="K309" s="4" t="n"/>
      <c r="L309" s="4" t="n"/>
      <c r="M309" s="4" t="n"/>
      <c r="N309" s="12" t="n"/>
      <c r="O309" s="125" t="n">
        <v>18.4394</v>
      </c>
      <c r="P309" s="125" t="n">
        <v>-66.0018</v>
      </c>
      <c r="Q309" s="13" t="n"/>
      <c r="R309" s="11" t="n">
        <v>9</v>
      </c>
      <c r="S309" s="4" t="n"/>
      <c r="T309" s="4" t="inlineStr">
        <is>
          <t>America/Puerto_Rico</t>
        </is>
      </c>
      <c r="U309" s="126" t="n"/>
      <c r="V309" s="14" t="n"/>
      <c r="W309" s="4" t="n"/>
      <c r="X309" s="4" t="n"/>
      <c r="Y309" s="4" t="n"/>
      <c r="Z309" s="4" t="n"/>
      <c r="AA309" s="4" t="n"/>
      <c r="AB309" s="4" t="n"/>
      <c r="AC309" s="4" t="n"/>
      <c r="AD309" s="4" t="n"/>
      <c r="AE309" s="4" t="n"/>
      <c r="AF309" s="4" t="n"/>
      <c r="AG309" s="4" t="n"/>
      <c r="AH309" s="4" t="n"/>
      <c r="AI309" s="4" t="n"/>
      <c r="AJ309" s="4" t="n"/>
      <c r="AK309" s="4" t="n"/>
      <c r="AL309" s="4" t="n"/>
      <c r="AM309" s="4" t="n"/>
      <c r="AN309" s="4" t="n"/>
      <c r="AO309" s="12" t="n"/>
      <c r="AP309" s="12" t="n"/>
      <c r="AQ309" s="12" t="n"/>
      <c r="AR309" s="12" t="n"/>
      <c r="AS309" s="16" t="n"/>
      <c r="AT309" s="16" t="n"/>
      <c r="AU309" s="4" t="n"/>
      <c r="AV309" s="124" t="n"/>
      <c r="AX309" s="118" t="n"/>
    </row>
    <row r="310">
      <c r="A310" s="4" t="inlineStr">
        <is>
          <t>TKPK</t>
        </is>
      </c>
      <c r="B310" s="4" t="inlineStr">
        <is>
          <t>SKB</t>
        </is>
      </c>
      <c r="C310" s="4" t="n"/>
      <c r="D310" s="4" t="n"/>
      <c r="E310" s="4" t="inlineStr">
        <is>
          <t>Robert L. Bradshaw International Airport</t>
        </is>
      </c>
      <c r="F310" s="4" t="n"/>
      <c r="G310" s="4" t="n"/>
      <c r="H310" s="4" t="n"/>
      <c r="I310" s="4" t="inlineStr">
        <is>
          <t>Basseterre</t>
        </is>
      </c>
      <c r="J310" s="4" t="n"/>
      <c r="K310" s="4" t="n"/>
      <c r="L310" s="4" t="n"/>
      <c r="M310" s="4" t="n"/>
      <c r="N310" s="12" t="n"/>
      <c r="O310" s="125" t="n">
        <v>17.31085</v>
      </c>
      <c r="P310" s="125" t="n">
        <v>-62.71912</v>
      </c>
      <c r="Q310" s="13" t="n"/>
      <c r="R310" s="11" t="n">
        <v>170</v>
      </c>
      <c r="S310" s="4" t="n"/>
      <c r="T310" s="4" t="inlineStr">
        <is>
          <t>America/St_Kitts</t>
        </is>
      </c>
      <c r="U310" s="126" t="n"/>
      <c r="V310" s="14" t="n"/>
      <c r="W310" s="4" t="n"/>
      <c r="X310" s="4" t="n"/>
      <c r="Y310" s="4" t="n"/>
      <c r="Z310" s="4" t="n"/>
      <c r="AA310" s="4" t="n"/>
      <c r="AB310" s="4" t="n"/>
      <c r="AC310" s="4" t="n"/>
      <c r="AD310" s="4" t="n"/>
      <c r="AE310" s="4" t="n"/>
      <c r="AF310" s="4" t="n"/>
      <c r="AG310" s="4" t="n"/>
      <c r="AH310" s="4" t="n"/>
      <c r="AI310" s="4" t="n"/>
      <c r="AJ310" s="4" t="n"/>
      <c r="AK310" s="4" t="n"/>
      <c r="AL310" s="4" t="n"/>
      <c r="AM310" s="4" t="n"/>
      <c r="AN310" s="4" t="n"/>
      <c r="AO310" s="12" t="n"/>
      <c r="AP310" s="12" t="n"/>
      <c r="AQ310" s="12" t="n"/>
      <c r="AR310" s="12" t="n"/>
      <c r="AS310" s="16" t="n"/>
      <c r="AT310" s="16" t="n"/>
      <c r="AU310" s="4" t="n"/>
      <c r="AV310" s="124" t="n"/>
      <c r="AX310" s="118" t="n"/>
    </row>
    <row r="311">
      <c r="A311" s="4" t="inlineStr">
        <is>
          <t>TLPL</t>
        </is>
      </c>
      <c r="B311" s="4" t="inlineStr">
        <is>
          <t>UVF</t>
        </is>
      </c>
      <c r="C311" s="4" t="n"/>
      <c r="D311" s="4" t="n"/>
      <c r="E311" s="4" t="inlineStr">
        <is>
          <t>Hewanorra International Airport</t>
        </is>
      </c>
      <c r="F311" s="4" t="n"/>
      <c r="G311" s="4" t="n"/>
      <c r="H311" s="4" t="n"/>
      <c r="I311" s="4" t="inlineStr">
        <is>
          <t>Vieux Fort</t>
        </is>
      </c>
      <c r="J311" s="4" t="n"/>
      <c r="K311" s="4" t="n"/>
      <c r="L311" s="4" t="n"/>
      <c r="M311" s="4" t="n"/>
      <c r="N311" s="12" t="n"/>
      <c r="O311" s="125" t="n">
        <v>13.7332</v>
      </c>
      <c r="P311" s="125" t="n">
        <v>-60.9526</v>
      </c>
      <c r="Q311" s="13" t="n"/>
      <c r="R311" s="11" t="n">
        <v>14</v>
      </c>
      <c r="S311" s="4" t="n"/>
      <c r="T311" s="4" t="inlineStr">
        <is>
          <t>America/St_Lucia</t>
        </is>
      </c>
      <c r="U311" s="126" t="n"/>
      <c r="V311" s="14" t="n"/>
      <c r="W311" s="4" t="n"/>
      <c r="X311" s="4" t="n"/>
      <c r="Y311" s="4" t="n"/>
      <c r="Z311" s="4" t="n"/>
      <c r="AA311" s="4" t="n"/>
      <c r="AB311" s="4" t="n"/>
      <c r="AC311" s="4" t="n"/>
      <c r="AD311" s="4" t="n"/>
      <c r="AE311" s="4" t="n"/>
      <c r="AF311" s="4" t="n"/>
      <c r="AG311" s="4" t="n"/>
      <c r="AH311" s="4" t="n"/>
      <c r="AI311" s="4" t="n"/>
      <c r="AJ311" s="4" t="n"/>
      <c r="AK311" s="4" t="n"/>
      <c r="AL311" s="4" t="n"/>
      <c r="AM311" s="4" t="n"/>
      <c r="AN311" s="4" t="n"/>
      <c r="AO311" s="12" t="n"/>
      <c r="AP311" s="12" t="n"/>
      <c r="AQ311" s="12" t="n"/>
      <c r="AR311" s="12" t="n"/>
      <c r="AS311" s="16" t="n"/>
      <c r="AT311" s="16" t="n"/>
      <c r="AU311" s="4" t="n"/>
      <c r="AV311" s="124" t="n"/>
      <c r="AX311" s="118" t="n"/>
    </row>
    <row r="312">
      <c r="A312" s="4" t="inlineStr">
        <is>
          <t>TNCA</t>
        </is>
      </c>
      <c r="B312" s="4" t="inlineStr">
        <is>
          <t>AUA</t>
        </is>
      </c>
      <c r="C312" s="4" t="n"/>
      <c r="D312" s="4" t="n"/>
      <c r="E312" s="4" t="inlineStr">
        <is>
          <t>Queen Beatrix International Airport</t>
        </is>
      </c>
      <c r="F312" s="4" t="n"/>
      <c r="G312" s="4" t="n"/>
      <c r="H312" s="4" t="n"/>
      <c r="I312" s="4" t="inlineStr">
        <is>
          <t>Oranjestad</t>
        </is>
      </c>
      <c r="J312" s="4" t="n"/>
      <c r="K312" s="4" t="n"/>
      <c r="L312" s="4" t="n"/>
      <c r="M312" s="4" t="n"/>
      <c r="N312" s="12" t="n"/>
      <c r="O312" s="125" t="n">
        <v>12.50106</v>
      </c>
      <c r="P312" s="125" t="n">
        <v>-70.01428</v>
      </c>
      <c r="Q312" s="13" t="n"/>
      <c r="R312" s="11" t="n">
        <v>60</v>
      </c>
      <c r="S312" s="4" t="n"/>
      <c r="T312" s="4" t="inlineStr">
        <is>
          <t>America/Aruba</t>
        </is>
      </c>
      <c r="U312" s="126" t="n"/>
      <c r="V312" s="14" t="n"/>
      <c r="W312" s="4" t="n"/>
      <c r="X312" s="4" t="n"/>
      <c r="Y312" s="4" t="n"/>
      <c r="Z312" s="4" t="n"/>
      <c r="AA312" s="4" t="n"/>
      <c r="AB312" s="4" t="n"/>
      <c r="AC312" s="4" t="n"/>
      <c r="AD312" s="4" t="n"/>
      <c r="AE312" s="4" t="n"/>
      <c r="AF312" s="4" t="n"/>
      <c r="AG312" s="4" t="n"/>
      <c r="AH312" s="4" t="n"/>
      <c r="AI312" s="4" t="n"/>
      <c r="AJ312" s="4" t="n"/>
      <c r="AK312" s="4" t="n"/>
      <c r="AL312" s="4" t="n"/>
      <c r="AM312" s="4" t="n"/>
      <c r="AN312" s="4" t="n"/>
      <c r="AO312" s="12" t="n"/>
      <c r="AP312" s="12" t="n"/>
      <c r="AQ312" s="12" t="n"/>
      <c r="AR312" s="12" t="n"/>
      <c r="AS312" s="16" t="n"/>
      <c r="AT312" s="16" t="n"/>
      <c r="AU312" s="4" t="n"/>
      <c r="AV312" s="124" t="n"/>
      <c r="AX312" s="118" t="n"/>
    </row>
    <row r="313">
      <c r="A313" s="4" t="inlineStr">
        <is>
          <t>TNCB</t>
        </is>
      </c>
      <c r="B313" s="4" t="inlineStr">
        <is>
          <t>BON</t>
        </is>
      </c>
      <c r="C313" s="4" t="n"/>
      <c r="D313" s="4" t="n"/>
      <c r="E313" s="4" t="inlineStr">
        <is>
          <t>Flamingo International Airport</t>
        </is>
      </c>
      <c r="F313" s="4" t="n"/>
      <c r="G313" s="4" t="n"/>
      <c r="H313" s="4" t="n"/>
      <c r="I313" s="4" t="inlineStr">
        <is>
          <t>Kralendijk</t>
        </is>
      </c>
      <c r="J313" s="4" t="n"/>
      <c r="K313" s="4" t="n"/>
      <c r="L313" s="4" t="n"/>
      <c r="M313" s="4" t="n"/>
      <c r="N313" s="12" t="n"/>
      <c r="O313" s="125" t="n">
        <v>12.131</v>
      </c>
      <c r="P313" s="125" t="n">
        <v>-68.2685</v>
      </c>
      <c r="Q313" s="13" t="n"/>
      <c r="R313" s="11" t="n">
        <v>20</v>
      </c>
      <c r="S313" s="4" t="n"/>
      <c r="T313" s="4" t="inlineStr">
        <is>
          <t>America/Curacao</t>
        </is>
      </c>
      <c r="U313" s="126" t="n"/>
      <c r="V313" s="14" t="n"/>
      <c r="W313" s="4" t="n"/>
      <c r="X313" s="4" t="n"/>
      <c r="Y313" s="4" t="n"/>
      <c r="Z313" s="4" t="n"/>
      <c r="AA313" s="4" t="n"/>
      <c r="AB313" s="4" t="n"/>
      <c r="AC313" s="4" t="n"/>
      <c r="AD313" s="4" t="n"/>
      <c r="AE313" s="4" t="n"/>
      <c r="AF313" s="4" t="n"/>
      <c r="AG313" s="4" t="n"/>
      <c r="AH313" s="4" t="n"/>
      <c r="AI313" s="4" t="n"/>
      <c r="AJ313" s="4" t="n"/>
      <c r="AK313" s="4" t="n"/>
      <c r="AL313" s="4" t="n"/>
      <c r="AM313" s="4" t="n"/>
      <c r="AN313" s="4" t="n"/>
      <c r="AO313" s="12" t="n"/>
      <c r="AP313" s="12" t="n"/>
      <c r="AQ313" s="12" t="n"/>
      <c r="AR313" s="12" t="n"/>
      <c r="AS313" s="16" t="n"/>
      <c r="AT313" s="16" t="n"/>
      <c r="AU313" s="4" t="n"/>
      <c r="AV313" s="124" t="n"/>
      <c r="AX313" s="118" t="n"/>
    </row>
    <row r="314">
      <c r="A314" s="4" t="inlineStr">
        <is>
          <t>TNCC</t>
        </is>
      </c>
      <c r="B314" s="4" t="inlineStr">
        <is>
          <t>CUR</t>
        </is>
      </c>
      <c r="C314" s="4" t="n"/>
      <c r="D314" s="4" t="n"/>
      <c r="E314" s="4" t="inlineStr">
        <is>
          <t>Hato International Airport</t>
        </is>
      </c>
      <c r="F314" s="4" t="n"/>
      <c r="G314" s="4" t="n"/>
      <c r="H314" s="4" t="n"/>
      <c r="I314" s="4" t="inlineStr">
        <is>
          <t>Willemstad</t>
        </is>
      </c>
      <c r="J314" s="4" t="n"/>
      <c r="K314" s="4" t="n"/>
      <c r="L314" s="4" t="n"/>
      <c r="M314" s="4" t="n"/>
      <c r="N314" s="12" t="n"/>
      <c r="O314" s="125" t="n">
        <v>12.1889</v>
      </c>
      <c r="P314" s="125" t="n">
        <v>-68.9598</v>
      </c>
      <c r="Q314" s="13" t="n"/>
      <c r="R314" s="11" t="n">
        <v>29</v>
      </c>
      <c r="S314" s="4" t="n"/>
      <c r="T314" s="4" t="inlineStr">
        <is>
          <t>America/Curacao</t>
        </is>
      </c>
      <c r="U314" s="126" t="n"/>
      <c r="V314" s="14" t="n"/>
      <c r="W314" s="4" t="n"/>
      <c r="X314" s="4" t="n"/>
      <c r="Y314" s="4" t="n"/>
      <c r="Z314" s="4" t="n"/>
      <c r="AA314" s="4" t="n"/>
      <c r="AB314" s="4" t="n"/>
      <c r="AC314" s="4" t="n"/>
      <c r="AD314" s="4" t="n"/>
      <c r="AE314" s="4" t="n"/>
      <c r="AF314" s="4" t="n"/>
      <c r="AG314" s="4" t="n"/>
      <c r="AH314" s="4" t="n"/>
      <c r="AI314" s="4" t="n"/>
      <c r="AJ314" s="4" t="n"/>
      <c r="AK314" s="4" t="n"/>
      <c r="AL314" s="4" t="n"/>
      <c r="AM314" s="4" t="n"/>
      <c r="AN314" s="4" t="n"/>
      <c r="AO314" s="12" t="n"/>
      <c r="AP314" s="12" t="n"/>
      <c r="AQ314" s="12" t="n"/>
      <c r="AR314" s="12" t="n"/>
      <c r="AS314" s="16" t="n"/>
      <c r="AT314" s="16" t="n"/>
      <c r="AU314" s="4" t="n"/>
      <c r="AV314" s="124" t="n"/>
      <c r="AX314" s="118" t="n"/>
    </row>
    <row r="315">
      <c r="A315" s="4" t="inlineStr">
        <is>
          <t>TNCM</t>
        </is>
      </c>
      <c r="B315" s="4" t="inlineStr">
        <is>
          <t>SXM</t>
        </is>
      </c>
      <c r="C315" s="4" t="n"/>
      <c r="D315" s="4" t="n"/>
      <c r="E315" s="4" t="inlineStr">
        <is>
          <t>Princess Juliana International Airport</t>
        </is>
      </c>
      <c r="F315" s="4" t="n"/>
      <c r="G315" s="4" t="n"/>
      <c r="H315" s="4" t="n"/>
      <c r="I315" s="4" t="inlineStr">
        <is>
          <t>Sint Maarten</t>
        </is>
      </c>
      <c r="J315" s="4" t="n"/>
      <c r="K315" s="4" t="n"/>
      <c r="L315" s="4" t="n"/>
      <c r="M315" s="4" t="n"/>
      <c r="N315" s="12" t="n"/>
      <c r="O315" s="125" t="n">
        <v>18.041</v>
      </c>
      <c r="P315" s="125" t="n">
        <v>-63.1089</v>
      </c>
      <c r="Q315" s="13" t="n"/>
      <c r="R315" s="11" t="n">
        <v>13</v>
      </c>
      <c r="S315" s="4" t="n"/>
      <c r="T315" s="4" t="inlineStr">
        <is>
          <t>America/Curacao</t>
        </is>
      </c>
      <c r="U315" s="126" t="n"/>
      <c r="V315" s="14" t="n"/>
      <c r="W315" s="4" t="n"/>
      <c r="X315" s="4" t="n"/>
      <c r="Y315" s="4" t="n"/>
      <c r="Z315" s="4" t="n"/>
      <c r="AA315" s="4" t="n"/>
      <c r="AB315" s="4" t="n"/>
      <c r="AC315" s="4" t="n"/>
      <c r="AD315" s="4" t="n"/>
      <c r="AE315" s="4" t="n"/>
      <c r="AF315" s="4" t="n"/>
      <c r="AG315" s="4" t="n"/>
      <c r="AH315" s="4" t="n"/>
      <c r="AI315" s="4" t="n"/>
      <c r="AJ315" s="4" t="n"/>
      <c r="AK315" s="4" t="n"/>
      <c r="AL315" s="4" t="n"/>
      <c r="AM315" s="4" t="n"/>
      <c r="AN315" s="4" t="n"/>
      <c r="AO315" s="12" t="n"/>
      <c r="AP315" s="12" t="n"/>
      <c r="AQ315" s="12" t="n"/>
      <c r="AR315" s="12" t="n"/>
      <c r="AS315" s="16" t="n"/>
      <c r="AT315" s="16" t="n"/>
      <c r="AU315" s="4" t="n"/>
      <c r="AV315" s="124" t="n"/>
      <c r="AX315" s="118" t="n"/>
    </row>
    <row r="316">
      <c r="A316" s="4" t="inlineStr">
        <is>
          <t>TRPG</t>
        </is>
      </c>
      <c r="B316" s="4" t="inlineStr">
        <is>
          <t>MNI</t>
        </is>
      </c>
      <c r="C316" s="4" t="n"/>
      <c r="D316" s="4" t="n"/>
      <c r="E316" s="4" t="inlineStr">
        <is>
          <t>John A. Osborne Airport</t>
        </is>
      </c>
      <c r="F316" s="4" t="n"/>
      <c r="G316" s="4" t="n"/>
      <c r="H316" s="4" t="n"/>
      <c r="I316" s="4" t="inlineStr">
        <is>
          <t>Gerald's Park</t>
        </is>
      </c>
      <c r="J316" s="4" t="n"/>
      <c r="K316" s="4" t="n"/>
      <c r="L316" s="4" t="n"/>
      <c r="M316" s="4" t="n"/>
      <c r="N316" s="12" t="n"/>
      <c r="O316" s="125" t="n">
        <v>16.79183</v>
      </c>
      <c r="P316" s="125" t="n">
        <v>-62.1932</v>
      </c>
      <c r="Q316" s="13" t="n"/>
      <c r="R316" s="11" t="n">
        <v>550</v>
      </c>
      <c r="S316" s="4" t="n"/>
      <c r="T316" s="4" t="inlineStr">
        <is>
          <t>America/Montserrat</t>
        </is>
      </c>
      <c r="U316" s="126" t="n"/>
      <c r="V316" s="14" t="n"/>
      <c r="W316" s="4" t="n"/>
      <c r="X316" s="4" t="n"/>
      <c r="Y316" s="4" t="n"/>
      <c r="Z316" s="4" t="n"/>
      <c r="AA316" s="4" t="n"/>
      <c r="AB316" s="4" t="n"/>
      <c r="AC316" s="4" t="n"/>
      <c r="AD316" s="4" t="n"/>
      <c r="AE316" s="4" t="n"/>
      <c r="AF316" s="4" t="n"/>
      <c r="AG316" s="4" t="n"/>
      <c r="AH316" s="4" t="n"/>
      <c r="AI316" s="4" t="n"/>
      <c r="AJ316" s="4" t="n"/>
      <c r="AK316" s="4" t="n"/>
      <c r="AL316" s="4" t="n"/>
      <c r="AM316" s="4" t="n"/>
      <c r="AN316" s="4" t="n"/>
      <c r="AO316" s="12" t="n"/>
      <c r="AP316" s="12" t="n"/>
      <c r="AQ316" s="12" t="n"/>
      <c r="AR316" s="12" t="n"/>
      <c r="AS316" s="16" t="n"/>
      <c r="AT316" s="16" t="n"/>
      <c r="AU316" s="4" t="n"/>
      <c r="AV316" s="124" t="n"/>
      <c r="AX316" s="118" t="n"/>
    </row>
    <row r="317">
      <c r="A317" s="4" t="inlineStr">
        <is>
          <t>TTCP</t>
        </is>
      </c>
      <c r="B317" s="4" t="inlineStr">
        <is>
          <t>TAB</t>
        </is>
      </c>
      <c r="C317" s="4" t="n"/>
      <c r="D317" s="4" t="n"/>
      <c r="E317" s="4" t="inlineStr">
        <is>
          <t>A.N.R. Robinson International Airport</t>
        </is>
      </c>
      <c r="F317" s="4" t="n"/>
      <c r="G317" s="4" t="n"/>
      <c r="H317" s="4" t="n"/>
      <c r="I317" s="4" t="inlineStr">
        <is>
          <t>Scarborough</t>
        </is>
      </c>
      <c r="J317" s="4" t="n"/>
      <c r="K317" s="4" t="n"/>
      <c r="L317" s="4" t="n"/>
      <c r="M317" s="4" t="n"/>
      <c r="N317" s="12" t="n"/>
      <c r="O317" s="125" t="n">
        <v>11.14957</v>
      </c>
      <c r="P317" s="125" t="n">
        <v>-60.8313</v>
      </c>
      <c r="Q317" s="13" t="n"/>
      <c r="R317" s="11" t="n">
        <v>38</v>
      </c>
      <c r="S317" s="4" t="n"/>
      <c r="T317" s="4" t="inlineStr">
        <is>
          <t>America/Port_of_Spain</t>
        </is>
      </c>
      <c r="U317" s="126" t="n"/>
      <c r="V317" s="14" t="n"/>
      <c r="W317" s="4" t="n"/>
      <c r="X317" s="4" t="n"/>
      <c r="Y317" s="4" t="n"/>
      <c r="Z317" s="4" t="n"/>
      <c r="AA317" s="4" t="n"/>
      <c r="AB317" s="4" t="n"/>
      <c r="AC317" s="4" t="n"/>
      <c r="AD317" s="4" t="n"/>
      <c r="AE317" s="4" t="n"/>
      <c r="AF317" s="4" t="n"/>
      <c r="AG317" s="4" t="n"/>
      <c r="AH317" s="4" t="n"/>
      <c r="AI317" s="4" t="n"/>
      <c r="AJ317" s="4" t="n"/>
      <c r="AK317" s="4" t="n"/>
      <c r="AL317" s="4" t="n"/>
      <c r="AM317" s="4" t="n"/>
      <c r="AN317" s="4" t="n"/>
      <c r="AO317" s="12" t="n"/>
      <c r="AP317" s="12" t="n"/>
      <c r="AQ317" s="12" t="n"/>
      <c r="AR317" s="12" t="n"/>
      <c r="AS317" s="16" t="n"/>
      <c r="AT317" s="16" t="n"/>
      <c r="AU317" s="4" t="n"/>
      <c r="AV317" s="124" t="n"/>
      <c r="AX317" s="118" t="n"/>
    </row>
    <row r="318">
      <c r="A318" s="4" t="inlineStr">
        <is>
          <t>TTPP</t>
        </is>
      </c>
      <c r="B318" s="4" t="inlineStr">
        <is>
          <t>POS</t>
        </is>
      </c>
      <c r="C318" s="4" t="n"/>
      <c r="D318" s="4" t="n"/>
      <c r="E318" s="4" t="inlineStr">
        <is>
          <t>Piarco International Airport</t>
        </is>
      </c>
      <c r="F318" s="4" t="n"/>
      <c r="G318" s="4" t="n"/>
      <c r="H318" s="4" t="n"/>
      <c r="I318" s="4" t="inlineStr">
        <is>
          <t>Port of Spain</t>
        </is>
      </c>
      <c r="J318" s="4" t="n"/>
      <c r="K318" s="4" t="n"/>
      <c r="L318" s="4" t="n"/>
      <c r="M318" s="4" t="n"/>
      <c r="N318" s="12" t="n"/>
      <c r="O318" s="125" t="n">
        <v>10.59535</v>
      </c>
      <c r="P318" s="125" t="n">
        <v>-61.33757</v>
      </c>
      <c r="Q318" s="13" t="n"/>
      <c r="R318" s="11" t="n">
        <v>58</v>
      </c>
      <c r="S318" s="4" t="n"/>
      <c r="T318" s="4" t="inlineStr">
        <is>
          <t>America/Port_of_Spain</t>
        </is>
      </c>
      <c r="U318" s="126" t="n"/>
      <c r="V318" s="14" t="n"/>
      <c r="W318" s="4" t="n"/>
      <c r="X318" s="4" t="n"/>
      <c r="Y318" s="4" t="n"/>
      <c r="Z318" s="4" t="n"/>
      <c r="AA318" s="4" t="n"/>
      <c r="AB318" s="4" t="n"/>
      <c r="AC318" s="4" t="n"/>
      <c r="AD318" s="4" t="n"/>
      <c r="AE318" s="4" t="n"/>
      <c r="AF318" s="4" t="n"/>
      <c r="AG318" s="4" t="n"/>
      <c r="AH318" s="4" t="n"/>
      <c r="AI318" s="4" t="n"/>
      <c r="AJ318" s="4" t="n"/>
      <c r="AK318" s="4" t="n"/>
      <c r="AL318" s="4" t="n"/>
      <c r="AM318" s="4" t="n"/>
      <c r="AN318" s="4" t="n"/>
      <c r="AO318" s="12" t="n"/>
      <c r="AP318" s="12" t="n"/>
      <c r="AQ318" s="12" t="n"/>
      <c r="AR318" s="12" t="n"/>
      <c r="AS318" s="16" t="n"/>
      <c r="AT318" s="16" t="n"/>
      <c r="AU318" s="4" t="n"/>
      <c r="AV318" s="124" t="n"/>
      <c r="AX318" s="118" t="n"/>
    </row>
    <row r="319">
      <c r="A319" s="4" t="inlineStr">
        <is>
          <t>TUPJ</t>
        </is>
      </c>
      <c r="B319" s="4" t="inlineStr">
        <is>
          <t>EIS</t>
        </is>
      </c>
      <c r="C319" s="4" t="n"/>
      <c r="D319" s="4" t="n"/>
      <c r="E319" s="4" t="inlineStr">
        <is>
          <t>Terrance B. Lettsome International Airport</t>
        </is>
      </c>
      <c r="F319" s="4" t="n"/>
      <c r="G319" s="4" t="n"/>
      <c r="H319" s="4" t="n"/>
      <c r="I319" s="4" t="inlineStr">
        <is>
          <t>Beef Island</t>
        </is>
      </c>
      <c r="J319" s="4" t="n"/>
      <c r="K319" s="4" t="n"/>
      <c r="L319" s="4" t="n"/>
      <c r="M319" s="4" t="n"/>
      <c r="N319" s="12" t="n"/>
      <c r="O319" s="125" t="n">
        <v>18.44549</v>
      </c>
      <c r="P319" s="125" t="n">
        <v>-64.54170999999999</v>
      </c>
      <c r="Q319" s="13" t="n"/>
      <c r="R319" s="11" t="n">
        <v>15</v>
      </c>
      <c r="S319" s="4" t="n"/>
      <c r="T319" s="4" t="inlineStr">
        <is>
          <t>America/Tortola</t>
        </is>
      </c>
      <c r="U319" s="126" t="n"/>
      <c r="V319" s="14" t="n"/>
      <c r="W319" s="4" t="n"/>
      <c r="X319" s="4" t="n"/>
      <c r="Y319" s="4" t="n"/>
      <c r="Z319" s="4" t="n"/>
      <c r="AA319" s="4" t="n"/>
      <c r="AB319" s="4" t="n"/>
      <c r="AC319" s="4" t="n"/>
      <c r="AD319" s="4" t="n"/>
      <c r="AE319" s="4" t="n"/>
      <c r="AF319" s="4" t="n"/>
      <c r="AG319" s="4" t="n"/>
      <c r="AH319" s="4" t="n"/>
      <c r="AI319" s="4" t="n"/>
      <c r="AJ319" s="4" t="n"/>
      <c r="AK319" s="4" t="n"/>
      <c r="AL319" s="4" t="n"/>
      <c r="AM319" s="4" t="n"/>
      <c r="AN319" s="4" t="n"/>
      <c r="AO319" s="12" t="n"/>
      <c r="AP319" s="12" t="n"/>
      <c r="AQ319" s="12" t="n"/>
      <c r="AR319" s="12" t="n"/>
      <c r="AS319" s="16" t="n"/>
      <c r="AT319" s="16" t="n"/>
      <c r="AU319" s="4" t="n"/>
      <c r="AV319" s="124" t="n"/>
      <c r="AX319" s="118" t="n"/>
    </row>
    <row r="320">
      <c r="A320" s="4" t="inlineStr">
        <is>
          <t>TVSA</t>
        </is>
      </c>
      <c r="B320" s="4" t="inlineStr">
        <is>
          <t>SVD</t>
        </is>
      </c>
      <c r="C320" s="4" t="n"/>
      <c r="D320" s="4" t="n"/>
      <c r="E320" s="4" t="inlineStr">
        <is>
          <t>Argyle International Airport</t>
        </is>
      </c>
      <c r="F320" s="4" t="n"/>
      <c r="G320" s="4" t="n"/>
      <c r="H320" s="4" t="n"/>
      <c r="I320" s="4" t="inlineStr">
        <is>
          <t>Kingstown</t>
        </is>
      </c>
      <c r="J320" s="4" t="n"/>
      <c r="K320" s="4" t="n"/>
      <c r="L320" s="4" t="n"/>
      <c r="M320" s="4" t="n"/>
      <c r="N320" s="12" t="n"/>
      <c r="O320" s="125" t="n">
        <v>13.15972</v>
      </c>
      <c r="P320" s="125" t="n">
        <v>-61.1488</v>
      </c>
      <c r="Q320" s="13" t="n"/>
      <c r="R320" s="11" t="n">
        <v>136</v>
      </c>
      <c r="S320" s="4" t="n"/>
      <c r="T320" s="4" t="inlineStr">
        <is>
          <t>America/St_Vincent</t>
        </is>
      </c>
      <c r="U320" s="126" t="n"/>
      <c r="V320" s="14" t="n"/>
      <c r="W320" s="4" t="n"/>
      <c r="X320" s="4" t="n"/>
      <c r="Y320" s="4" t="n"/>
      <c r="Z320" s="4" t="n"/>
      <c r="AA320" s="4" t="n"/>
      <c r="AB320" s="4" t="n"/>
      <c r="AC320" s="4" t="n"/>
      <c r="AD320" s="4" t="n"/>
      <c r="AE320" s="4" t="n"/>
      <c r="AF320" s="4" t="n"/>
      <c r="AG320" s="4" t="n"/>
      <c r="AH320" s="4" t="n"/>
      <c r="AI320" s="4" t="n"/>
      <c r="AJ320" s="4" t="n"/>
      <c r="AK320" s="4" t="n"/>
      <c r="AL320" s="4" t="n"/>
      <c r="AM320" s="4" t="n"/>
      <c r="AN320" s="4" t="n"/>
      <c r="AO320" s="12" t="n"/>
      <c r="AP320" s="12" t="n"/>
      <c r="AQ320" s="12" t="n"/>
      <c r="AR320" s="12" t="n"/>
      <c r="AS320" s="16" t="n"/>
      <c r="AT320" s="16" t="n"/>
      <c r="AU320" s="4" t="n"/>
      <c r="AV320" s="124" t="n"/>
      <c r="AX320" s="118" t="n"/>
    </row>
    <row r="321">
      <c r="A321" s="4" t="inlineStr">
        <is>
          <t>TXKF</t>
        </is>
      </c>
      <c r="B321" s="4" t="inlineStr">
        <is>
          <t>BDA</t>
        </is>
      </c>
      <c r="C321" s="4" t="n"/>
      <c r="D321" s="4" t="n"/>
      <c r="E321" s="4" t="inlineStr">
        <is>
          <t>L.F. Wade International Airport</t>
        </is>
      </c>
      <c r="F321" s="4" t="n"/>
      <c r="G321" s="4" t="n"/>
      <c r="H321" s="4" t="n"/>
      <c r="I321" s="4" t="inlineStr">
        <is>
          <t>Hamilton</t>
        </is>
      </c>
      <c r="J321" s="4" t="n"/>
      <c r="K321" s="4" t="n"/>
      <c r="L321" s="4" t="n"/>
      <c r="M321" s="4" t="n"/>
      <c r="N321" s="12" t="n"/>
      <c r="O321" s="125" t="n">
        <v>32.3638</v>
      </c>
      <c r="P321" s="125" t="n">
        <v>-64.67824</v>
      </c>
      <c r="Q321" s="13" t="n"/>
      <c r="R321" s="11" t="n">
        <v>12</v>
      </c>
      <c r="S321" s="4" t="n"/>
      <c r="T321" s="4" t="inlineStr">
        <is>
          <t>Atlantic/Bermuda</t>
        </is>
      </c>
      <c r="U321" s="126" t="n"/>
      <c r="V321" s="14" t="n"/>
      <c r="W321" s="4" t="n"/>
      <c r="X321" s="4" t="n"/>
      <c r="Y321" s="4" t="n"/>
      <c r="Z321" s="4" t="n"/>
      <c r="AA321" s="4" t="n"/>
      <c r="AB321" s="4" t="n"/>
      <c r="AC321" s="4" t="n"/>
      <c r="AD321" s="4" t="n"/>
      <c r="AE321" s="4" t="n"/>
      <c r="AF321" s="4" t="n"/>
      <c r="AG321" s="4" t="n"/>
      <c r="AH321" s="4" t="n"/>
      <c r="AI321" s="4" t="n"/>
      <c r="AJ321" s="4" t="n"/>
      <c r="AK321" s="4" t="n"/>
      <c r="AL321" s="4" t="n"/>
      <c r="AM321" s="4" t="n"/>
      <c r="AN321" s="4" t="n"/>
      <c r="AO321" s="12" t="n"/>
      <c r="AP321" s="12" t="n"/>
      <c r="AQ321" s="12" t="n"/>
      <c r="AR321" s="12" t="n"/>
      <c r="AS321" s="16" t="n"/>
      <c r="AT321" s="16" t="n"/>
      <c r="AU321" s="4" t="n"/>
      <c r="AV321" s="124" t="n"/>
      <c r="AX321" s="118" t="n"/>
    </row>
    <row r="322">
      <c r="A322" s="4" t="inlineStr">
        <is>
          <t>UAAA</t>
        </is>
      </c>
      <c r="B322" s="4" t="inlineStr">
        <is>
          <t>ALA</t>
        </is>
      </c>
      <c r="C322" s="4" t="n"/>
      <c r="D322" s="4" t="n"/>
      <c r="E322" s="4" t="inlineStr">
        <is>
          <t>Almaty International Airport</t>
        </is>
      </c>
      <c r="F322" s="4" t="n"/>
      <c r="G322" s="4" t="n"/>
      <c r="H322" s="4" t="inlineStr">
        <is>
          <t>Kazakhstan</t>
        </is>
      </c>
      <c r="I322" s="4" t="inlineStr">
        <is>
          <t>Almaty</t>
        </is>
      </c>
      <c r="J322" s="4" t="n"/>
      <c r="K322" s="4" t="n"/>
      <c r="L322" s="4" t="n"/>
      <c r="M322" s="4" t="n"/>
      <c r="N322" s="12" t="n"/>
      <c r="O322" s="125" t="n">
        <v>43.35427</v>
      </c>
      <c r="P322" s="125" t="n">
        <v>77.04283</v>
      </c>
      <c r="Q322" s="13" t="n"/>
      <c r="R322" s="11" t="n">
        <v>2234</v>
      </c>
      <c r="S322" s="4" t="n"/>
      <c r="T322" s="4" t="inlineStr">
        <is>
          <t>Asia/Qyzylorda</t>
        </is>
      </c>
      <c r="U322" s="126" t="n"/>
      <c r="V322" s="14" t="n"/>
      <c r="W322" s="4" t="n"/>
      <c r="X322" s="4" t="n"/>
      <c r="Y322" s="4" t="n"/>
      <c r="Z322" s="4" t="n"/>
      <c r="AA322" s="4" t="n"/>
      <c r="AB322" s="4" t="n"/>
      <c r="AC322" s="4" t="n"/>
      <c r="AD322" s="4" t="n"/>
      <c r="AE322" s="4" t="n"/>
      <c r="AF322" s="4" t="n"/>
      <c r="AG322" s="4" t="n"/>
      <c r="AH322" s="4" t="n"/>
      <c r="AI322" s="4" t="n"/>
      <c r="AJ322" s="4" t="n"/>
      <c r="AK322" s="4" t="n"/>
      <c r="AL322" s="4" t="n"/>
      <c r="AM322" s="4" t="n"/>
      <c r="AN322" s="4" t="n"/>
      <c r="AO322" s="12" t="n"/>
      <c r="AP322" s="12" t="n"/>
      <c r="AQ322" s="12" t="n"/>
      <c r="AR322" s="12" t="n"/>
      <c r="AS322" s="16" t="n"/>
      <c r="AT322" s="16" t="n"/>
      <c r="AU322" s="4" t="n"/>
      <c r="AV322" s="124" t="n"/>
      <c r="AX322" s="118" t="n"/>
    </row>
    <row r="323">
      <c r="A323" s="4" t="inlineStr">
        <is>
          <t>UACC</t>
        </is>
      </c>
      <c r="B323" s="4" t="inlineStr">
        <is>
          <t>NQZ</t>
        </is>
      </c>
      <c r="C323" s="4" t="n"/>
      <c r="D323" s="4" t="n"/>
      <c r="E323" s="4" t="inlineStr">
        <is>
          <t>Nursultan Nazarbayev International Airport</t>
        </is>
      </c>
      <c r="F323" s="4" t="n"/>
      <c r="G323" s="4" t="n"/>
      <c r="H323" s="4" t="inlineStr">
        <is>
          <t>Kazakhstan</t>
        </is>
      </c>
      <c r="I323" s="4" t="inlineStr">
        <is>
          <t>Astana</t>
        </is>
      </c>
      <c r="J323" s="4" t="n"/>
      <c r="K323" s="4" t="n"/>
      <c r="L323" s="4" t="n"/>
      <c r="M323" s="4" t="n"/>
      <c r="N323" s="12" t="n"/>
      <c r="O323" s="125" t="n">
        <v>51.02703</v>
      </c>
      <c r="P323" s="125" t="n">
        <v>71.46709</v>
      </c>
      <c r="Q323" s="13" t="n"/>
      <c r="R323" s="11" t="n">
        <v>1165</v>
      </c>
      <c r="S323" s="4" t="n"/>
      <c r="T323" s="4" t="inlineStr">
        <is>
          <t>Asia/Qyzylorda</t>
        </is>
      </c>
      <c r="U323" s="126" t="n"/>
      <c r="V323" s="14" t="n"/>
      <c r="W323" s="4" t="n"/>
      <c r="X323" s="4" t="n"/>
      <c r="Y323" s="4" t="n"/>
      <c r="Z323" s="4" t="n"/>
      <c r="AA323" s="4" t="n"/>
      <c r="AB323" s="4" t="n"/>
      <c r="AC323" s="4" t="n"/>
      <c r="AD323" s="4" t="n"/>
      <c r="AE323" s="4" t="n"/>
      <c r="AF323" s="4" t="n"/>
      <c r="AG323" s="4" t="n"/>
      <c r="AH323" s="4" t="n"/>
      <c r="AI323" s="4" t="n"/>
      <c r="AJ323" s="4" t="n"/>
      <c r="AK323" s="4" t="n"/>
      <c r="AL323" s="4" t="n"/>
      <c r="AM323" s="4" t="n"/>
      <c r="AN323" s="4" t="n"/>
      <c r="AO323" s="12" t="n"/>
      <c r="AP323" s="12" t="n"/>
      <c r="AQ323" s="12" t="n"/>
      <c r="AR323" s="12" t="n"/>
      <c r="AS323" s="16" t="n"/>
      <c r="AT323" s="16" t="n"/>
      <c r="AU323" s="4" t="n"/>
      <c r="AV323" s="124" t="n"/>
      <c r="AX323" s="118" t="n"/>
    </row>
    <row r="324">
      <c r="A324" s="4" t="inlineStr">
        <is>
          <t>UBBB</t>
        </is>
      </c>
      <c r="B324" s="4" t="inlineStr">
        <is>
          <t>GYD</t>
        </is>
      </c>
      <c r="C324" s="4" t="n"/>
      <c r="D324" s="4" t="n"/>
      <c r="E324" s="4" t="inlineStr">
        <is>
          <t>Heydar Aliyev International Airport</t>
        </is>
      </c>
      <c r="F324" s="4" t="n"/>
      <c r="G324" s="4" t="n"/>
      <c r="H324" s="4" t="inlineStr">
        <is>
          <t>Azerbaijan</t>
        </is>
      </c>
      <c r="I324" s="4" t="inlineStr">
        <is>
          <t>Baku</t>
        </is>
      </c>
      <c r="J324" s="4" t="n"/>
      <c r="K324" s="4" t="n"/>
      <c r="L324" s="4" t="n"/>
      <c r="M324" s="4" t="n"/>
      <c r="N324" s="12" t="n"/>
      <c r="O324" s="125" t="n">
        <v>40.47278</v>
      </c>
      <c r="P324" s="125" t="n">
        <v>50.05093</v>
      </c>
      <c r="Q324" s="13" t="n"/>
      <c r="R324" s="11" t="n">
        <v>10</v>
      </c>
      <c r="S324" s="4" t="n"/>
      <c r="T324" s="4" t="inlineStr">
        <is>
          <t>Asia/Baku</t>
        </is>
      </c>
      <c r="U324" s="126" t="n"/>
      <c r="V324" s="14" t="n"/>
      <c r="W324" s="4" t="n"/>
      <c r="X324" s="4" t="n"/>
      <c r="Y324" s="4" t="n"/>
      <c r="Z324" s="4" t="n"/>
      <c r="AA324" s="4" t="n"/>
      <c r="AB324" s="4" t="n"/>
      <c r="AC324" s="4" t="n"/>
      <c r="AD324" s="4" t="n"/>
      <c r="AE324" s="4" t="n"/>
      <c r="AF324" s="4" t="n"/>
      <c r="AG324" s="4" t="n"/>
      <c r="AH324" s="4" t="n"/>
      <c r="AI324" s="4" t="n"/>
      <c r="AJ324" s="4" t="n"/>
      <c r="AK324" s="4" t="n"/>
      <c r="AL324" s="4" t="n"/>
      <c r="AM324" s="4" t="n"/>
      <c r="AN324" s="4" t="n"/>
      <c r="AO324" s="12" t="n"/>
      <c r="AP324" s="12" t="n"/>
      <c r="AQ324" s="12" t="n"/>
      <c r="AR324" s="12" t="n"/>
      <c r="AS324" s="16" t="n"/>
      <c r="AT324" s="16" t="n"/>
      <c r="AU324" s="4" t="n"/>
      <c r="AV324" s="124" t="n"/>
      <c r="AX324" s="118" t="n"/>
    </row>
    <row r="325">
      <c r="A325" s="4" t="inlineStr">
        <is>
          <t>UBBG</t>
        </is>
      </c>
      <c r="B325" s="4" t="inlineStr">
        <is>
          <t>GNJ</t>
        </is>
      </c>
      <c r="C325" s="4" t="n"/>
      <c r="D325" s="4" t="n"/>
      <c r="E325" s="4" t="inlineStr">
        <is>
          <t>Ganja International Airport</t>
        </is>
      </c>
      <c r="F325" s="4" t="n"/>
      <c r="G325" s="4" t="n"/>
      <c r="H325" s="4" t="inlineStr">
        <is>
          <t>Azerbaijan</t>
        </is>
      </c>
      <c r="I325" s="4" t="inlineStr">
        <is>
          <t>Ganja</t>
        </is>
      </c>
      <c r="J325" s="4" t="n"/>
      <c r="K325" s="4" t="n"/>
      <c r="L325" s="4" t="n"/>
      <c r="M325" s="4" t="n"/>
      <c r="N325" s="12" t="n"/>
      <c r="O325" s="125" t="n">
        <v>40.73869</v>
      </c>
      <c r="P325" s="125" t="n">
        <v>46.32038</v>
      </c>
      <c r="Q325" s="13" t="n"/>
      <c r="R325" s="11" t="n">
        <v>1083</v>
      </c>
      <c r="S325" s="4" t="n"/>
      <c r="T325" s="4" t="inlineStr">
        <is>
          <t>Asia/Baku</t>
        </is>
      </c>
      <c r="U325" s="126" t="n"/>
      <c r="V325" s="14" t="n"/>
      <c r="W325" s="4" t="n"/>
      <c r="X325" s="4" t="n"/>
      <c r="Y325" s="4" t="n"/>
      <c r="Z325" s="4" t="n"/>
      <c r="AA325" s="4" t="n"/>
      <c r="AB325" s="4" t="n"/>
      <c r="AC325" s="4" t="n"/>
      <c r="AD325" s="4" t="n"/>
      <c r="AE325" s="4" t="n"/>
      <c r="AF325" s="4" t="n"/>
      <c r="AG325" s="4" t="n"/>
      <c r="AH325" s="4" t="n"/>
      <c r="AI325" s="4" t="n"/>
      <c r="AJ325" s="4" t="n"/>
      <c r="AK325" s="4" t="n"/>
      <c r="AL325" s="4" t="n"/>
      <c r="AM325" s="4" t="n"/>
      <c r="AN325" s="4" t="n"/>
      <c r="AO325" s="12" t="n"/>
      <c r="AP325" s="12" t="n"/>
      <c r="AQ325" s="12" t="n"/>
      <c r="AR325" s="12" t="n"/>
      <c r="AS325" s="16" t="n"/>
      <c r="AT325" s="16" t="n"/>
      <c r="AU325" s="4" t="n"/>
      <c r="AV325" s="124" t="n"/>
      <c r="AX325" s="118" t="n"/>
    </row>
    <row r="326">
      <c r="A326" s="4" t="inlineStr">
        <is>
          <t>UCFL</t>
        </is>
      </c>
      <c r="B326" s="4" t="inlineStr">
        <is>
          <t>IKU</t>
        </is>
      </c>
      <c r="C326" s="4" t="n"/>
      <c r="D326" s="4" t="n"/>
      <c r="E326" s="4" t="inlineStr">
        <is>
          <t>Issyk-Kul International Airport</t>
        </is>
      </c>
      <c r="F326" s="4" t="n"/>
      <c r="G326" s="4" t="n"/>
      <c r="H326" s="4" t="inlineStr">
        <is>
          <t>Kyrgyzstan</t>
        </is>
      </c>
      <c r="I326" s="4" t="inlineStr">
        <is>
          <t>Tamchy</t>
        </is>
      </c>
      <c r="J326" s="4" t="n"/>
      <c r="K326" s="4" t="n"/>
      <c r="L326" s="4" t="n"/>
      <c r="M326" s="4" t="n"/>
      <c r="N326" s="12" t="n"/>
      <c r="O326" s="125" t="n">
        <v>42.58558</v>
      </c>
      <c r="P326" s="125" t="n">
        <v>76.70117999999999</v>
      </c>
      <c r="Q326" s="13" t="n"/>
      <c r="R326" s="11" t="n">
        <v>5425</v>
      </c>
      <c r="S326" s="4" t="n"/>
      <c r="T326" s="4" t="n"/>
      <c r="U326" s="126" t="n"/>
      <c r="V326" s="14" t="n"/>
      <c r="W326" s="4" t="n"/>
      <c r="X326" s="4" t="n"/>
      <c r="Y326" s="4" t="n"/>
      <c r="Z326" s="4" t="n"/>
      <c r="AA326" s="4" t="n"/>
      <c r="AB326" s="4" t="n"/>
      <c r="AC326" s="4" t="n"/>
      <c r="AD326" s="4" t="n"/>
      <c r="AE326" s="4" t="n"/>
      <c r="AF326" s="4" t="n"/>
      <c r="AG326" s="4" t="n"/>
      <c r="AH326" s="4" t="n"/>
      <c r="AI326" s="4" t="n"/>
      <c r="AJ326" s="4" t="n"/>
      <c r="AK326" s="4" t="n"/>
      <c r="AL326" s="4" t="n"/>
      <c r="AM326" s="4" t="n"/>
      <c r="AN326" s="4" t="n"/>
      <c r="AO326" s="12" t="n"/>
      <c r="AP326" s="12" t="n"/>
      <c r="AQ326" s="12" t="n"/>
      <c r="AR326" s="12" t="n"/>
      <c r="AS326" s="16" t="n"/>
      <c r="AT326" s="16" t="n"/>
      <c r="AU326" s="4" t="n"/>
      <c r="AV326" s="124" t="n"/>
      <c r="AX326" s="118" t="n"/>
    </row>
    <row r="327">
      <c r="A327" s="4" t="inlineStr">
        <is>
          <t>UCFM</t>
        </is>
      </c>
      <c r="B327" s="4" t="inlineStr">
        <is>
          <t>BSZ</t>
        </is>
      </c>
      <c r="C327" s="4" t="n"/>
      <c r="D327" s="4" t="n"/>
      <c r="E327" s="4" t="inlineStr">
        <is>
          <t>Manas International Airport</t>
        </is>
      </c>
      <c r="F327" s="4" t="n"/>
      <c r="G327" s="4" t="n"/>
      <c r="H327" s="4" t="inlineStr">
        <is>
          <t>Kyrgyzstan</t>
        </is>
      </c>
      <c r="I327" s="4" t="inlineStr">
        <is>
          <t>Bishkek</t>
        </is>
      </c>
      <c r="J327" s="4" t="n"/>
      <c r="K327" s="4" t="n"/>
      <c r="L327" s="4" t="n"/>
      <c r="M327" s="4" t="n"/>
      <c r="N327" s="12" t="n"/>
      <c r="O327" s="125" t="n">
        <v>43.0613</v>
      </c>
      <c r="P327" s="125" t="n">
        <v>74.4776</v>
      </c>
      <c r="Q327" s="13" t="n"/>
      <c r="R327" s="11" t="n">
        <v>2058</v>
      </c>
      <c r="S327" s="4" t="n"/>
      <c r="T327" s="4" t="n"/>
      <c r="U327" s="126" t="n"/>
      <c r="V327" s="14" t="n"/>
      <c r="W327" s="4" t="n"/>
      <c r="X327" s="4" t="n"/>
      <c r="Y327" s="4" t="n"/>
      <c r="Z327" s="4" t="n"/>
      <c r="AA327" s="4" t="n"/>
      <c r="AB327" s="4" t="n"/>
      <c r="AC327" s="4" t="n"/>
      <c r="AD327" s="4" t="n"/>
      <c r="AE327" s="4" t="n"/>
      <c r="AF327" s="4" t="n"/>
      <c r="AG327" s="4" t="n"/>
      <c r="AH327" s="4" t="n"/>
      <c r="AI327" s="4" t="n"/>
      <c r="AJ327" s="4" t="n"/>
      <c r="AK327" s="4" t="n"/>
      <c r="AL327" s="4" t="n"/>
      <c r="AM327" s="4" t="n"/>
      <c r="AN327" s="4" t="n"/>
      <c r="AO327" s="12" t="n"/>
      <c r="AP327" s="12" t="n"/>
      <c r="AQ327" s="12" t="n"/>
      <c r="AR327" s="12" t="n"/>
      <c r="AS327" s="16" t="n"/>
      <c r="AT327" s="16" t="n"/>
      <c r="AU327" s="4" t="n"/>
      <c r="AV327" s="124" t="n"/>
      <c r="AX327" s="118" t="n"/>
    </row>
    <row r="328">
      <c r="A328" s="4" t="inlineStr">
        <is>
          <t>UDSG</t>
        </is>
      </c>
      <c r="B328" s="4" t="inlineStr">
        <is>
          <t>LWN</t>
        </is>
      </c>
      <c r="C328" s="4" t="n"/>
      <c r="D328" s="4" t="n"/>
      <c r="E328" s="4" t="inlineStr">
        <is>
          <t>Shirak International Airport</t>
        </is>
      </c>
      <c r="F328" s="4" t="n"/>
      <c r="G328" s="4" t="n"/>
      <c r="H328" s="4" t="inlineStr">
        <is>
          <t>Armenia</t>
        </is>
      </c>
      <c r="I328" s="4" t="inlineStr">
        <is>
          <t>Gyumri</t>
        </is>
      </c>
      <c r="J328" s="4" t="n"/>
      <c r="K328" s="4" t="n"/>
      <c r="L328" s="4" t="n"/>
      <c r="M328" s="4" t="n"/>
      <c r="N328" s="12" t="n"/>
      <c r="O328" s="125" t="n">
        <v>40.7504</v>
      </c>
      <c r="P328" s="125" t="n">
        <v>43.8593</v>
      </c>
      <c r="Q328" s="13" t="n"/>
      <c r="R328" s="11" t="n">
        <v>5000</v>
      </c>
      <c r="S328" s="4" t="n"/>
      <c r="T328" s="4" t="inlineStr">
        <is>
          <t>Asia/Yerevan</t>
        </is>
      </c>
      <c r="U328" s="126" t="n"/>
      <c r="V328" s="14" t="n"/>
      <c r="W328" s="4" t="n"/>
      <c r="X328" s="4" t="n"/>
      <c r="Y328" s="4" t="n"/>
      <c r="Z328" s="4" t="n"/>
      <c r="AA328" s="4" t="n"/>
      <c r="AB328" s="4" t="n"/>
      <c r="AC328" s="4" t="n"/>
      <c r="AD328" s="4" t="n"/>
      <c r="AE328" s="4" t="n"/>
      <c r="AF328" s="4" t="n"/>
      <c r="AG328" s="4" t="n"/>
      <c r="AH328" s="4" t="n"/>
      <c r="AI328" s="4" t="n"/>
      <c r="AJ328" s="4" t="n"/>
      <c r="AK328" s="4" t="n"/>
      <c r="AL328" s="4" t="n"/>
      <c r="AM328" s="4" t="n"/>
      <c r="AN328" s="4" t="n"/>
      <c r="AO328" s="12" t="n"/>
      <c r="AP328" s="12" t="n"/>
      <c r="AQ328" s="12" t="n"/>
      <c r="AR328" s="12" t="n"/>
      <c r="AS328" s="16" t="n"/>
      <c r="AT328" s="16" t="n"/>
      <c r="AU328" s="4" t="n"/>
      <c r="AV328" s="124" t="n"/>
      <c r="AX328" s="118" t="n"/>
    </row>
    <row r="329">
      <c r="A329" s="4" t="inlineStr">
        <is>
          <t>UDYZ</t>
        </is>
      </c>
      <c r="B329" s="4" t="inlineStr">
        <is>
          <t>EVN</t>
        </is>
      </c>
      <c r="C329" s="4" t="n"/>
      <c r="D329" s="4" t="n"/>
      <c r="E329" s="4" t="inlineStr">
        <is>
          <t>Zvartnots International Airport</t>
        </is>
      </c>
      <c r="F329" s="4" t="n"/>
      <c r="G329" s="4" t="n"/>
      <c r="H329" s="4" t="inlineStr">
        <is>
          <t>Armenia</t>
        </is>
      </c>
      <c r="I329" s="4" t="inlineStr">
        <is>
          <t>Yerevan</t>
        </is>
      </c>
      <c r="J329" s="4" t="n"/>
      <c r="K329" s="4" t="n"/>
      <c r="L329" s="4" t="n"/>
      <c r="M329" s="4" t="n"/>
      <c r="N329" s="12" t="n"/>
      <c r="O329" s="125" t="n">
        <v>40.14894</v>
      </c>
      <c r="P329" s="125" t="n">
        <v>44.39789</v>
      </c>
      <c r="Q329" s="13" t="n"/>
      <c r="R329" s="11" t="n">
        <v>2838</v>
      </c>
      <c r="S329" s="4" t="n"/>
      <c r="T329" s="4" t="inlineStr">
        <is>
          <t>Asia/Yerevan</t>
        </is>
      </c>
      <c r="U329" s="126" t="n"/>
      <c r="V329" s="14" t="n"/>
      <c r="W329" s="4" t="n"/>
      <c r="X329" s="4" t="n"/>
      <c r="Y329" s="4" t="n"/>
      <c r="Z329" s="4" t="n"/>
      <c r="AA329" s="4" t="n"/>
      <c r="AB329" s="4" t="n"/>
      <c r="AC329" s="4" t="n"/>
      <c r="AD329" s="4" t="n"/>
      <c r="AE329" s="4" t="n"/>
      <c r="AF329" s="4" t="n"/>
      <c r="AG329" s="4" t="n"/>
      <c r="AH329" s="4" t="n"/>
      <c r="AI329" s="4" t="n"/>
      <c r="AJ329" s="4" t="n"/>
      <c r="AK329" s="4" t="n"/>
      <c r="AL329" s="4" t="n"/>
      <c r="AM329" s="4" t="n"/>
      <c r="AN329" s="4" t="n"/>
      <c r="AO329" s="12" t="n"/>
      <c r="AP329" s="12" t="n"/>
      <c r="AQ329" s="12" t="n"/>
      <c r="AR329" s="12" t="n"/>
      <c r="AS329" s="16" t="n"/>
      <c r="AT329" s="16" t="n"/>
      <c r="AU329" s="4" t="n"/>
      <c r="AV329" s="124" t="n"/>
      <c r="AX329" s="118" t="n"/>
    </row>
    <row r="330">
      <c r="A330" s="4" t="inlineStr">
        <is>
          <t>UEEE</t>
        </is>
      </c>
      <c r="B330" s="4" t="inlineStr">
        <is>
          <t>YKS</t>
        </is>
      </c>
      <c r="C330" s="4" t="n"/>
      <c r="D330" s="4" t="n"/>
      <c r="E330" s="4" t="inlineStr">
        <is>
          <t>Platon Oyunsky Yakutsk International Airport</t>
        </is>
      </c>
      <c r="F330" s="4" t="n"/>
      <c r="G330" s="4" t="n"/>
      <c r="H330" s="4" t="inlineStr">
        <is>
          <t>Russia</t>
        </is>
      </c>
      <c r="I330" s="4" t="inlineStr">
        <is>
          <t>Yakutsk</t>
        </is>
      </c>
      <c r="J330" s="4" t="n"/>
      <c r="K330" s="4" t="n"/>
      <c r="L330" s="4" t="n"/>
      <c r="M330" s="4" t="n"/>
      <c r="N330" s="12" t="n"/>
      <c r="O330" s="125" t="n">
        <v>62.0933</v>
      </c>
      <c r="P330" s="125" t="n">
        <v>129.771</v>
      </c>
      <c r="Q330" s="13" t="n"/>
      <c r="R330" s="11" t="n">
        <v>325</v>
      </c>
      <c r="S330" s="4" t="n"/>
      <c r="T330" s="4" t="inlineStr">
        <is>
          <t>Asia/Yakutsk</t>
        </is>
      </c>
      <c r="U330" s="126" t="n"/>
      <c r="V330" s="14" t="n"/>
      <c r="W330" s="4" t="n"/>
      <c r="X330" s="4" t="n"/>
      <c r="Y330" s="4" t="n"/>
      <c r="Z330" s="4" t="n"/>
      <c r="AA330" s="4" t="n"/>
      <c r="AB330" s="4" t="n"/>
      <c r="AC330" s="4" t="n"/>
      <c r="AD330" s="4" t="n"/>
      <c r="AE330" s="4" t="n"/>
      <c r="AF330" s="4" t="n"/>
      <c r="AG330" s="4" t="n"/>
      <c r="AH330" s="4" t="n"/>
      <c r="AI330" s="4" t="n"/>
      <c r="AJ330" s="4" t="n"/>
      <c r="AK330" s="4" t="n"/>
      <c r="AL330" s="4" t="n"/>
      <c r="AM330" s="4" t="n"/>
      <c r="AN330" s="4" t="n"/>
      <c r="AO330" s="12" t="n"/>
      <c r="AP330" s="12" t="n"/>
      <c r="AQ330" s="12" t="n"/>
      <c r="AR330" s="12" t="n"/>
      <c r="AS330" s="16" t="n"/>
      <c r="AT330" s="16" t="n"/>
      <c r="AU330" s="4" t="n"/>
      <c r="AV330" s="124" t="n"/>
      <c r="AX330" s="118" t="n"/>
    </row>
    <row r="331">
      <c r="A331" s="4" t="inlineStr">
        <is>
          <t>UGKO</t>
        </is>
      </c>
      <c r="B331" s="4" t="inlineStr">
        <is>
          <t>KUT</t>
        </is>
      </c>
      <c r="C331" s="4" t="n"/>
      <c r="D331" s="4" t="n"/>
      <c r="E331" s="4" t="inlineStr">
        <is>
          <t>David the Builder Kutaisi International Airport</t>
        </is>
      </c>
      <c r="F331" s="4" t="n"/>
      <c r="G331" s="4" t="n"/>
      <c r="H331" s="4" t="inlineStr">
        <is>
          <t>Georgia</t>
        </is>
      </c>
      <c r="I331" s="4" t="inlineStr">
        <is>
          <t>Kopitnari</t>
        </is>
      </c>
      <c r="J331" s="4" t="n"/>
      <c r="K331" s="4" t="n"/>
      <c r="L331" s="4" t="n"/>
      <c r="M331" s="4" t="n"/>
      <c r="N331" s="12" t="n"/>
      <c r="O331" s="125" t="n">
        <v>42.17745</v>
      </c>
      <c r="P331" s="125" t="n">
        <v>42.48535</v>
      </c>
      <c r="Q331" s="13" t="n"/>
      <c r="R331" s="11" t="n">
        <v>223</v>
      </c>
      <c r="S331" s="4" t="n"/>
      <c r="T331" s="4" t="inlineStr">
        <is>
          <t>Asia/Tbilisi</t>
        </is>
      </c>
      <c r="U331" s="126" t="n"/>
      <c r="V331" s="14" t="n"/>
      <c r="W331" s="4" t="n"/>
      <c r="X331" s="4" t="n"/>
      <c r="Y331" s="4" t="n"/>
      <c r="Z331" s="4" t="n"/>
      <c r="AA331" s="4" t="n"/>
      <c r="AB331" s="4" t="n"/>
      <c r="AC331" s="4" t="n"/>
      <c r="AD331" s="4" t="n"/>
      <c r="AE331" s="4" t="n"/>
      <c r="AF331" s="4" t="n"/>
      <c r="AG331" s="4" t="n"/>
      <c r="AH331" s="4" t="n"/>
      <c r="AI331" s="4" t="n"/>
      <c r="AJ331" s="4" t="n"/>
      <c r="AK331" s="4" t="n"/>
      <c r="AL331" s="4" t="n"/>
      <c r="AM331" s="4" t="n"/>
      <c r="AN331" s="4" t="n"/>
      <c r="AO331" s="12" t="n"/>
      <c r="AP331" s="12" t="n"/>
      <c r="AQ331" s="12" t="n"/>
      <c r="AR331" s="12" t="n"/>
      <c r="AS331" s="16" t="n"/>
      <c r="AT331" s="16" t="n"/>
      <c r="AU331" s="4" t="n"/>
      <c r="AV331" s="124" t="n"/>
      <c r="AX331" s="118" t="n"/>
    </row>
    <row r="332">
      <c r="A332" s="4" t="inlineStr">
        <is>
          <t>UGSB</t>
        </is>
      </c>
      <c r="B332" s="4" t="inlineStr">
        <is>
          <t>BUS</t>
        </is>
      </c>
      <c r="C332" s="4" t="n"/>
      <c r="D332" s="4" t="n"/>
      <c r="E332" s="4" t="inlineStr">
        <is>
          <t>Alexander Kartveli Batumi International Airport</t>
        </is>
      </c>
      <c r="F332" s="4" t="n"/>
      <c r="G332" s="4" t="n"/>
      <c r="H332" s="4" t="inlineStr">
        <is>
          <t>Georgia</t>
        </is>
      </c>
      <c r="I332" s="4" t="inlineStr">
        <is>
          <t>Batumi</t>
        </is>
      </c>
      <c r="J332" s="4" t="n"/>
      <c r="K332" s="4" t="n"/>
      <c r="L332" s="4" t="n"/>
      <c r="M332" s="4" t="n"/>
      <c r="N332" s="12" t="n"/>
      <c r="O332" s="125" t="n">
        <v>41.60939</v>
      </c>
      <c r="P332" s="125" t="n">
        <v>41.60032</v>
      </c>
      <c r="Q332" s="13" t="n"/>
      <c r="R332" s="11" t="n">
        <v>105</v>
      </c>
      <c r="S332" s="4" t="n"/>
      <c r="T332" s="4" t="inlineStr">
        <is>
          <t>Asia/Tbilisi</t>
        </is>
      </c>
      <c r="U332" s="126" t="n"/>
      <c r="V332" s="14" t="n"/>
      <c r="W332" s="4" t="n"/>
      <c r="X332" s="4" t="n"/>
      <c r="Y332" s="4" t="n"/>
      <c r="Z332" s="4" t="n"/>
      <c r="AA332" s="4" t="n"/>
      <c r="AB332" s="4" t="n"/>
      <c r="AC332" s="4" t="n"/>
      <c r="AD332" s="4" t="n"/>
      <c r="AE332" s="4" t="n"/>
      <c r="AF332" s="4" t="n"/>
      <c r="AG332" s="4" t="n"/>
      <c r="AH332" s="4" t="n"/>
      <c r="AI332" s="4" t="n"/>
      <c r="AJ332" s="4" t="n"/>
      <c r="AK332" s="4" t="n"/>
      <c r="AL332" s="4" t="n"/>
      <c r="AM332" s="4" t="n"/>
      <c r="AN332" s="4" t="n"/>
      <c r="AO332" s="12" t="n"/>
      <c r="AP332" s="12" t="n"/>
      <c r="AQ332" s="12" t="n"/>
      <c r="AR332" s="12" t="n"/>
      <c r="AS332" s="16" t="n"/>
      <c r="AT332" s="16" t="n"/>
      <c r="AU332" s="4" t="n"/>
      <c r="AV332" s="124" t="n"/>
      <c r="AX332" s="118" t="n"/>
    </row>
    <row r="333">
      <c r="A333" s="4" t="inlineStr">
        <is>
          <t>UHPP</t>
        </is>
      </c>
      <c r="B333" s="4" t="inlineStr">
        <is>
          <t>PKC</t>
        </is>
      </c>
      <c r="C333" s="4" t="n"/>
      <c r="D333" s="4" t="n"/>
      <c r="E333" s="4" t="inlineStr">
        <is>
          <t>Yelizovo Airport</t>
        </is>
      </c>
      <c r="F333" s="4" t="n"/>
      <c r="G333" s="4" t="n"/>
      <c r="H333" s="4" t="inlineStr">
        <is>
          <t>Russia</t>
        </is>
      </c>
      <c r="I333" s="4" t="inlineStr">
        <is>
          <t>Petropavlovsk-Kamchatsky</t>
        </is>
      </c>
      <c r="J333" s="4" t="n"/>
      <c r="K333" s="4" t="n"/>
      <c r="L333" s="4" t="n"/>
      <c r="M333" s="4" t="n"/>
      <c r="N333" s="12" t="n"/>
      <c r="O333" s="125" t="n">
        <v>53.16872</v>
      </c>
      <c r="P333" s="125" t="n">
        <v>158.45107</v>
      </c>
      <c r="Q333" s="13" t="n"/>
      <c r="R333" s="11" t="n">
        <v>131</v>
      </c>
      <c r="S333" s="4" t="n"/>
      <c r="T333" s="4" t="inlineStr">
        <is>
          <t>Asia/Anadyr</t>
        </is>
      </c>
      <c r="U333" s="126" t="n"/>
      <c r="V333" s="14" t="n"/>
      <c r="W333" s="4" t="n"/>
      <c r="X333" s="4" t="n"/>
      <c r="Y333" s="4" t="n"/>
      <c r="Z333" s="4" t="n"/>
      <c r="AA333" s="4" t="n"/>
      <c r="AB333" s="4" t="n"/>
      <c r="AC333" s="4" t="n"/>
      <c r="AD333" s="4" t="n"/>
      <c r="AE333" s="4" t="n"/>
      <c r="AF333" s="4" t="n"/>
      <c r="AG333" s="4" t="n"/>
      <c r="AH333" s="4" t="n"/>
      <c r="AI333" s="4" t="n"/>
      <c r="AJ333" s="4" t="n"/>
      <c r="AK333" s="4" t="n"/>
      <c r="AL333" s="4" t="n"/>
      <c r="AM333" s="4" t="n"/>
      <c r="AN333" s="4" t="n"/>
      <c r="AO333" s="12" t="n"/>
      <c r="AP333" s="12" t="n"/>
      <c r="AQ333" s="12" t="n"/>
      <c r="AR333" s="12" t="n"/>
      <c r="AS333" s="16" t="n"/>
      <c r="AT333" s="16" t="n"/>
      <c r="AU333" s="4" t="n"/>
      <c r="AV333" s="124" t="n"/>
      <c r="AX333" s="118" t="n"/>
    </row>
    <row r="334">
      <c r="A334" s="4" t="inlineStr">
        <is>
          <t>UKDE</t>
        </is>
      </c>
      <c r="B334" s="4" t="inlineStr">
        <is>
          <t>OZH</t>
        </is>
      </c>
      <c r="C334" s="4" t="n"/>
      <c r="D334" s="4" t="n"/>
      <c r="E334" s="4" t="inlineStr">
        <is>
          <t>Zaporizhzhia International Airport</t>
        </is>
      </c>
      <c r="F334" s="4" t="n"/>
      <c r="G334" s="4" t="n"/>
      <c r="H334" s="4" t="inlineStr">
        <is>
          <t>Ukraine</t>
        </is>
      </c>
      <c r="I334" s="4" t="inlineStr">
        <is>
          <t>Zaporizhia</t>
        </is>
      </c>
      <c r="J334" s="4" t="n"/>
      <c r="K334" s="4" t="n"/>
      <c r="L334" s="4" t="n"/>
      <c r="M334" s="4" t="n"/>
      <c r="N334" s="12" t="n"/>
      <c r="O334" s="125" t="n">
        <v>47.86696</v>
      </c>
      <c r="P334" s="125" t="n">
        <v>35.31472</v>
      </c>
      <c r="Q334" s="13" t="n"/>
      <c r="R334" s="11" t="n">
        <v>373</v>
      </c>
      <c r="S334" s="4" t="n"/>
      <c r="T334" s="4" t="inlineStr">
        <is>
          <t>Europe/Kiev</t>
        </is>
      </c>
      <c r="U334" s="126" t="n"/>
      <c r="V334" s="14" t="n"/>
      <c r="W334" s="4" t="n"/>
      <c r="X334" s="4" t="n"/>
      <c r="Y334" s="4" t="n"/>
      <c r="Z334" s="4" t="n"/>
      <c r="AA334" s="4" t="n"/>
      <c r="AB334" s="4" t="n"/>
      <c r="AC334" s="4" t="n"/>
      <c r="AD334" s="4" t="n"/>
      <c r="AE334" s="4" t="n"/>
      <c r="AF334" s="4" t="n"/>
      <c r="AG334" s="4" t="n"/>
      <c r="AH334" s="4" t="n"/>
      <c r="AI334" s="4" t="n"/>
      <c r="AJ334" s="4" t="n"/>
      <c r="AK334" s="4" t="n"/>
      <c r="AL334" s="4" t="n"/>
      <c r="AM334" s="4" t="n"/>
      <c r="AN334" s="4" t="n"/>
      <c r="AO334" s="12" t="n"/>
      <c r="AP334" s="12" t="n"/>
      <c r="AQ334" s="12" t="n"/>
      <c r="AR334" s="12" t="n"/>
      <c r="AS334" s="16" t="n"/>
      <c r="AT334" s="16" t="n"/>
      <c r="AU334" s="4" t="n"/>
      <c r="AV334" s="124" t="n"/>
      <c r="AX334" s="118" t="n"/>
    </row>
    <row r="335">
      <c r="A335" s="4" t="inlineStr">
        <is>
          <t>UKFF</t>
        </is>
      </c>
      <c r="B335" s="4" t="inlineStr">
        <is>
          <t>SIP</t>
        </is>
      </c>
      <c r="C335" s="4" t="n"/>
      <c r="D335" s="4" t="n"/>
      <c r="E335" s="4" t="inlineStr">
        <is>
          <t>Simferopol International Airport</t>
        </is>
      </c>
      <c r="F335" s="4" t="n"/>
      <c r="G335" s="4" t="n"/>
      <c r="H335" s="4" t="inlineStr">
        <is>
          <t>Ukraine</t>
        </is>
      </c>
      <c r="I335" s="4" t="inlineStr">
        <is>
          <t>Simferopol</t>
        </is>
      </c>
      <c r="J335" s="4" t="n"/>
      <c r="K335" s="4" t="n"/>
      <c r="L335" s="4" t="n"/>
      <c r="M335" s="4" t="n"/>
      <c r="N335" s="12" t="n"/>
      <c r="O335" s="125" t="n">
        <v>45.0522</v>
      </c>
      <c r="P335" s="125" t="n">
        <v>33.9751</v>
      </c>
      <c r="Q335" s="13" t="n"/>
      <c r="R335" s="11" t="n">
        <v>639</v>
      </c>
      <c r="S335" s="4" t="n"/>
      <c r="T335" s="4" t="inlineStr">
        <is>
          <t>Europe/Simferopol</t>
        </is>
      </c>
      <c r="U335" s="126" t="n"/>
      <c r="V335" s="14" t="n"/>
      <c r="W335" s="4" t="n"/>
      <c r="X335" s="4" t="n"/>
      <c r="Y335" s="4" t="n"/>
      <c r="Z335" s="4" t="n"/>
      <c r="AA335" s="4" t="n"/>
      <c r="AB335" s="4" t="n"/>
      <c r="AC335" s="4" t="n"/>
      <c r="AD335" s="4" t="n"/>
      <c r="AE335" s="4" t="n"/>
      <c r="AF335" s="4" t="n"/>
      <c r="AG335" s="4" t="n"/>
      <c r="AH335" s="4" t="n"/>
      <c r="AI335" s="4" t="n"/>
      <c r="AJ335" s="4" t="n"/>
      <c r="AK335" s="4" t="n"/>
      <c r="AL335" s="4" t="n"/>
      <c r="AM335" s="4" t="n"/>
      <c r="AN335" s="4" t="n"/>
      <c r="AO335" s="12" t="n"/>
      <c r="AP335" s="12" t="n"/>
      <c r="AQ335" s="12" t="n"/>
      <c r="AR335" s="12" t="n"/>
      <c r="AS335" s="16" t="n"/>
      <c r="AT335" s="16" t="n"/>
      <c r="AU335" s="4" t="n"/>
      <c r="AV335" s="124" t="n"/>
      <c r="AX335" s="118" t="n"/>
    </row>
    <row r="336">
      <c r="A336" s="4" t="inlineStr">
        <is>
          <t>UMBB</t>
        </is>
      </c>
      <c r="B336" s="4" t="inlineStr">
        <is>
          <t>BQT</t>
        </is>
      </c>
      <c r="C336" s="4" t="n"/>
      <c r="D336" s="4" t="n"/>
      <c r="E336" s="4" t="inlineStr">
        <is>
          <t>Brest International Airport</t>
        </is>
      </c>
      <c r="F336" s="4" t="n"/>
      <c r="G336" s="4" t="n"/>
      <c r="H336" s="4" t="inlineStr">
        <is>
          <t>Belarus</t>
        </is>
      </c>
      <c r="I336" s="4" t="inlineStr">
        <is>
          <t>Brest</t>
        </is>
      </c>
      <c r="J336" s="4" t="n"/>
      <c r="K336" s="4" t="n"/>
      <c r="L336" s="4" t="n"/>
      <c r="M336" s="4" t="n"/>
      <c r="N336" s="12" t="n"/>
      <c r="O336" s="125" t="n">
        <v>52.10814</v>
      </c>
      <c r="P336" s="125" t="n">
        <v>23.89676</v>
      </c>
      <c r="Q336" s="13" t="n"/>
      <c r="R336" s="11" t="n">
        <v>468</v>
      </c>
      <c r="S336" s="4" t="n"/>
      <c r="T336" s="4" t="inlineStr">
        <is>
          <t>Europe/Minsk</t>
        </is>
      </c>
      <c r="U336" s="126" t="n"/>
      <c r="V336" s="14" t="n"/>
      <c r="W336" s="4" t="n"/>
      <c r="X336" s="4" t="n"/>
      <c r="Y336" s="4" t="n"/>
      <c r="Z336" s="4" t="n"/>
      <c r="AA336" s="4" t="n"/>
      <c r="AB336" s="4" t="n"/>
      <c r="AC336" s="4" t="n"/>
      <c r="AD336" s="4" t="n"/>
      <c r="AE336" s="4" t="n"/>
      <c r="AF336" s="4" t="n"/>
      <c r="AG336" s="4" t="n"/>
      <c r="AH336" s="4" t="n"/>
      <c r="AI336" s="4" t="n"/>
      <c r="AJ336" s="4" t="n"/>
      <c r="AK336" s="4" t="n"/>
      <c r="AL336" s="4" t="n"/>
      <c r="AM336" s="4" t="n"/>
      <c r="AN336" s="4" t="n"/>
      <c r="AO336" s="12" t="n"/>
      <c r="AP336" s="12" t="n"/>
      <c r="AQ336" s="12" t="n"/>
      <c r="AR336" s="12" t="n"/>
      <c r="AS336" s="16" t="n"/>
      <c r="AT336" s="16" t="n"/>
      <c r="AU336" s="4" t="n"/>
      <c r="AV336" s="124" t="n"/>
      <c r="AX336" s="118" t="n"/>
    </row>
    <row r="337">
      <c r="A337" s="4" t="inlineStr">
        <is>
          <t>UMMS</t>
        </is>
      </c>
      <c r="B337" s="4" t="inlineStr">
        <is>
          <t>MSQ</t>
        </is>
      </c>
      <c r="C337" s="4" t="n"/>
      <c r="D337" s="4" t="n"/>
      <c r="E337" s="4" t="inlineStr">
        <is>
          <t>Minsk National Airport</t>
        </is>
      </c>
      <c r="F337" s="4" t="n"/>
      <c r="G337" s="4" t="n"/>
      <c r="H337" s="4" t="inlineStr">
        <is>
          <t>Belarus</t>
        </is>
      </c>
      <c r="I337" s="4" t="inlineStr">
        <is>
          <t>Minsk</t>
        </is>
      </c>
      <c r="J337" s="4" t="n"/>
      <c r="K337" s="4" t="n"/>
      <c r="L337" s="4" t="n"/>
      <c r="M337" s="4" t="n"/>
      <c r="N337" s="12" t="n"/>
      <c r="O337" s="125" t="n">
        <v>53.88807</v>
      </c>
      <c r="P337" s="125" t="n">
        <v>28.03996</v>
      </c>
      <c r="Q337" s="13" t="n"/>
      <c r="R337" s="11" t="n">
        <v>670</v>
      </c>
      <c r="S337" s="4" t="n"/>
      <c r="T337" s="4" t="inlineStr">
        <is>
          <t>Europe/Minsk</t>
        </is>
      </c>
      <c r="U337" s="126" t="n"/>
      <c r="V337" s="14" t="n"/>
      <c r="W337" s="4" t="n"/>
      <c r="X337" s="4" t="n"/>
      <c r="Y337" s="4" t="n"/>
      <c r="Z337" s="4" t="n"/>
      <c r="AA337" s="4" t="n"/>
      <c r="AB337" s="4" t="n"/>
      <c r="AC337" s="4" t="n"/>
      <c r="AD337" s="4" t="n"/>
      <c r="AE337" s="4" t="n"/>
      <c r="AF337" s="4" t="n"/>
      <c r="AG337" s="4" t="n"/>
      <c r="AH337" s="4" t="n"/>
      <c r="AI337" s="4" t="n"/>
      <c r="AJ337" s="4" t="n"/>
      <c r="AK337" s="4" t="n"/>
      <c r="AL337" s="4" t="n"/>
      <c r="AM337" s="4" t="n"/>
      <c r="AN337" s="4" t="n"/>
      <c r="AO337" s="12" t="n"/>
      <c r="AP337" s="12" t="n"/>
      <c r="AQ337" s="12" t="n"/>
      <c r="AR337" s="12" t="n"/>
      <c r="AS337" s="16" t="n"/>
      <c r="AT337" s="16" t="n"/>
      <c r="AU337" s="4" t="n"/>
      <c r="AV337" s="124" t="n"/>
      <c r="AX337" s="118" t="n"/>
    </row>
    <row r="338">
      <c r="A338" s="4" t="inlineStr">
        <is>
          <t>UTAA</t>
        </is>
      </c>
      <c r="B338" s="4" t="inlineStr">
        <is>
          <t>ASB</t>
        </is>
      </c>
      <c r="C338" s="4" t="n"/>
      <c r="D338" s="4" t="n"/>
      <c r="E338" s="4" t="inlineStr">
        <is>
          <t>Ashgabat International Airport</t>
        </is>
      </c>
      <c r="F338" s="4" t="n"/>
      <c r="G338" s="4" t="n"/>
      <c r="H338" s="4" t="inlineStr">
        <is>
          <t>Turkmenistan</t>
        </is>
      </c>
      <c r="I338" s="4" t="inlineStr">
        <is>
          <t>Ashgabat</t>
        </is>
      </c>
      <c r="J338" s="4" t="n"/>
      <c r="K338" s="4" t="n"/>
      <c r="L338" s="4" t="n"/>
      <c r="M338" s="4" t="n"/>
      <c r="N338" s="12" t="n"/>
      <c r="O338" s="125" t="n">
        <v>37.9868</v>
      </c>
      <c r="P338" s="125" t="n">
        <v>58.361</v>
      </c>
      <c r="Q338" s="13" t="n"/>
      <c r="R338" s="11" t="n">
        <v>692</v>
      </c>
      <c r="S338" s="4" t="n"/>
      <c r="T338" s="4" t="inlineStr">
        <is>
          <t>Asia/Ashgabat</t>
        </is>
      </c>
      <c r="U338" s="126" t="n"/>
      <c r="V338" s="14" t="n"/>
      <c r="W338" s="4" t="n"/>
      <c r="X338" s="4" t="n"/>
      <c r="Y338" s="4" t="n"/>
      <c r="Z338" s="4" t="n"/>
      <c r="AA338" s="4" t="n"/>
      <c r="AB338" s="4" t="n"/>
      <c r="AC338" s="4" t="n"/>
      <c r="AD338" s="4" t="n"/>
      <c r="AE338" s="4" t="n"/>
      <c r="AF338" s="4" t="n"/>
      <c r="AG338" s="4" t="n"/>
      <c r="AH338" s="4" t="n"/>
      <c r="AI338" s="4" t="n"/>
      <c r="AJ338" s="4" t="n"/>
      <c r="AK338" s="4" t="n"/>
      <c r="AL338" s="4" t="n"/>
      <c r="AM338" s="4" t="n"/>
      <c r="AN338" s="4" t="n"/>
      <c r="AO338" s="12" t="n"/>
      <c r="AP338" s="12" t="n"/>
      <c r="AQ338" s="12" t="n"/>
      <c r="AR338" s="12" t="n"/>
      <c r="AS338" s="16" t="n"/>
      <c r="AT338" s="16" t="n"/>
      <c r="AU338" s="4" t="n"/>
      <c r="AV338" s="124" t="n"/>
      <c r="AX338" s="118" t="n"/>
    </row>
    <row r="339">
      <c r="A339" s="4" t="inlineStr">
        <is>
          <t>UTAT</t>
        </is>
      </c>
      <c r="B339" s="4" t="inlineStr">
        <is>
          <t>TAZ</t>
        </is>
      </c>
      <c r="C339" s="4" t="n"/>
      <c r="D339" s="4" t="n"/>
      <c r="E339" s="4" t="inlineStr">
        <is>
          <t>Dashoguz International Airport</t>
        </is>
      </c>
      <c r="F339" s="4" t="n"/>
      <c r="G339" s="4" t="n"/>
      <c r="H339" s="4" t="inlineStr">
        <is>
          <t>Turkmenistan</t>
        </is>
      </c>
      <c r="I339" s="4" t="inlineStr">
        <is>
          <t>Daşoguz</t>
        </is>
      </c>
      <c r="J339" s="4" t="n"/>
      <c r="K339" s="4" t="n"/>
      <c r="L339" s="4" t="n"/>
      <c r="M339" s="4" t="n"/>
      <c r="N339" s="12" t="n"/>
      <c r="O339" s="125" t="n">
        <v>41.75985</v>
      </c>
      <c r="P339" s="125" t="n">
        <v>59.83615</v>
      </c>
      <c r="Q339" s="13" t="n"/>
      <c r="R339" s="11" t="n">
        <v>272</v>
      </c>
      <c r="S339" s="4" t="n"/>
      <c r="T339" s="4" t="inlineStr">
        <is>
          <t>Asia/Ashgabat</t>
        </is>
      </c>
      <c r="U339" s="126" t="n"/>
      <c r="V339" s="14" t="n"/>
      <c r="W339" s="4" t="n"/>
      <c r="X339" s="4" t="n"/>
      <c r="Y339" s="4" t="n"/>
      <c r="Z339" s="4" t="n"/>
      <c r="AA339" s="4" t="n"/>
      <c r="AB339" s="4" t="n"/>
      <c r="AC339" s="4" t="n"/>
      <c r="AD339" s="4" t="n"/>
      <c r="AE339" s="4" t="n"/>
      <c r="AF339" s="4" t="n"/>
      <c r="AG339" s="4" t="n"/>
      <c r="AH339" s="4" t="n"/>
      <c r="AI339" s="4" t="n"/>
      <c r="AJ339" s="4" t="n"/>
      <c r="AK339" s="4" t="n"/>
      <c r="AL339" s="4" t="n"/>
      <c r="AM339" s="4" t="n"/>
      <c r="AN339" s="4" t="n"/>
      <c r="AO339" s="12" t="n"/>
      <c r="AP339" s="12" t="n"/>
      <c r="AQ339" s="12" t="n"/>
      <c r="AR339" s="12" t="n"/>
      <c r="AS339" s="16" t="n"/>
      <c r="AT339" s="16" t="n"/>
      <c r="AU339" s="4" t="n"/>
      <c r="AV339" s="124" t="n"/>
      <c r="AX339" s="118" t="n"/>
    </row>
    <row r="340">
      <c r="A340" s="4" t="inlineStr">
        <is>
          <t>UTDD</t>
        </is>
      </c>
      <c r="B340" s="4" t="inlineStr">
        <is>
          <t>DYU</t>
        </is>
      </c>
      <c r="C340" s="4" t="n"/>
      <c r="D340" s="4" t="n"/>
      <c r="E340" s="4" t="inlineStr">
        <is>
          <t>Dushanbe International Airport</t>
        </is>
      </c>
      <c r="F340" s="4" t="n"/>
      <c r="G340" s="4" t="n"/>
      <c r="H340" s="4" t="inlineStr">
        <is>
          <t>Tajikistan</t>
        </is>
      </c>
      <c r="I340" s="4" t="inlineStr">
        <is>
          <t>Dushanbe</t>
        </is>
      </c>
      <c r="J340" s="4" t="n"/>
      <c r="K340" s="4" t="n"/>
      <c r="L340" s="4" t="n"/>
      <c r="M340" s="4" t="n"/>
      <c r="N340" s="12" t="n"/>
      <c r="O340" s="125" t="n">
        <v>38.54375</v>
      </c>
      <c r="P340" s="125" t="n">
        <v>68.82298</v>
      </c>
      <c r="Q340" s="13" t="n"/>
      <c r="R340" s="11" t="n">
        <v>2575</v>
      </c>
      <c r="S340" s="4" t="n"/>
      <c r="T340" s="4" t="inlineStr">
        <is>
          <t>Asia/Dushanbe</t>
        </is>
      </c>
      <c r="U340" s="126" t="n"/>
      <c r="V340" s="14" t="n"/>
      <c r="W340" s="4" t="n"/>
      <c r="X340" s="4" t="n"/>
      <c r="Y340" s="4" t="n"/>
      <c r="Z340" s="4" t="n"/>
      <c r="AA340" s="4" t="n"/>
      <c r="AB340" s="4" t="n"/>
      <c r="AC340" s="4" t="n"/>
      <c r="AD340" s="4" t="n"/>
      <c r="AE340" s="4" t="n"/>
      <c r="AF340" s="4" t="n"/>
      <c r="AG340" s="4" t="n"/>
      <c r="AH340" s="4" t="n"/>
      <c r="AI340" s="4" t="n"/>
      <c r="AJ340" s="4" t="n"/>
      <c r="AK340" s="4" t="n"/>
      <c r="AL340" s="4" t="n"/>
      <c r="AM340" s="4" t="n"/>
      <c r="AN340" s="4" t="n"/>
      <c r="AO340" s="12" t="n"/>
      <c r="AP340" s="12" t="n"/>
      <c r="AQ340" s="12" t="n"/>
      <c r="AR340" s="12" t="n"/>
      <c r="AS340" s="16" t="n"/>
      <c r="AT340" s="16" t="n"/>
      <c r="AU340" s="4" t="n"/>
      <c r="AV340" s="124" t="n"/>
      <c r="AX340" s="118" t="n"/>
    </row>
    <row r="341">
      <c r="A341" s="4" t="inlineStr">
        <is>
          <t>UTDK</t>
        </is>
      </c>
      <c r="B341" s="4" t="inlineStr">
        <is>
          <t>TJU</t>
        </is>
      </c>
      <c r="C341" s="4" t="n"/>
      <c r="D341" s="4" t="n"/>
      <c r="E341" s="4" t="inlineStr">
        <is>
          <t>Kulob International Airport</t>
        </is>
      </c>
      <c r="F341" s="4" t="n"/>
      <c r="G341" s="4" t="n"/>
      <c r="H341" s="4" t="inlineStr">
        <is>
          <t>Tajikistan</t>
        </is>
      </c>
      <c r="I341" s="4" t="inlineStr">
        <is>
          <t>Kulob</t>
        </is>
      </c>
      <c r="J341" s="4" t="n"/>
      <c r="K341" s="4" t="n"/>
      <c r="L341" s="4" t="n"/>
      <c r="M341" s="4" t="n"/>
      <c r="N341" s="12" t="n"/>
      <c r="O341" s="125" t="n">
        <v>37.9881</v>
      </c>
      <c r="P341" s="125" t="n">
        <v>69.80500000000001</v>
      </c>
      <c r="Q341" s="13" t="n"/>
      <c r="R341" s="11" t="n">
        <v>2293</v>
      </c>
      <c r="S341" s="4" t="n"/>
      <c r="T341" s="4" t="inlineStr">
        <is>
          <t>Asia/Dushanbe</t>
        </is>
      </c>
      <c r="U341" s="126" t="n"/>
      <c r="V341" s="14" t="n"/>
      <c r="W341" s="4" t="n"/>
      <c r="X341" s="4" t="n"/>
      <c r="Y341" s="4" t="n"/>
      <c r="Z341" s="4" t="n"/>
      <c r="AA341" s="4" t="n"/>
      <c r="AB341" s="4" t="n"/>
      <c r="AC341" s="4" t="n"/>
      <c r="AD341" s="4" t="n"/>
      <c r="AE341" s="4" t="n"/>
      <c r="AF341" s="4" t="n"/>
      <c r="AG341" s="4" t="n"/>
      <c r="AH341" s="4" t="n"/>
      <c r="AI341" s="4" t="n"/>
      <c r="AJ341" s="4" t="n"/>
      <c r="AK341" s="4" t="n"/>
      <c r="AL341" s="4" t="n"/>
      <c r="AM341" s="4" t="n"/>
      <c r="AN341" s="4" t="n"/>
      <c r="AO341" s="12" t="n"/>
      <c r="AP341" s="12" t="n"/>
      <c r="AQ341" s="12" t="n"/>
      <c r="AR341" s="12" t="n"/>
      <c r="AS341" s="16" t="n"/>
      <c r="AT341" s="16" t="n"/>
      <c r="AU341" s="4" t="n"/>
      <c r="AV341" s="124" t="n"/>
      <c r="AX341" s="118" t="n"/>
    </row>
    <row r="342">
      <c r="A342" s="4" t="inlineStr">
        <is>
          <t>UZFN</t>
        </is>
      </c>
      <c r="B342" s="4" t="inlineStr">
        <is>
          <t>NMA</t>
        </is>
      </c>
      <c r="C342" s="4" t="n"/>
      <c r="D342" s="4" t="n"/>
      <c r="E342" s="4" t="inlineStr">
        <is>
          <t>Namangan International Airport</t>
        </is>
      </c>
      <c r="F342" s="4" t="n"/>
      <c r="G342" s="4" t="n"/>
      <c r="H342" s="4" t="inlineStr">
        <is>
          <t>Uzbekistan</t>
        </is>
      </c>
      <c r="I342" s="4" t="inlineStr">
        <is>
          <t>Namangan</t>
        </is>
      </c>
      <c r="J342" s="4" t="n"/>
      <c r="K342" s="4" t="n"/>
      <c r="L342" s="4" t="n"/>
      <c r="M342" s="4" t="n"/>
      <c r="N342" s="12" t="n"/>
      <c r="O342" s="125" t="n">
        <v>40.98462</v>
      </c>
      <c r="P342" s="125" t="n">
        <v>71.5578</v>
      </c>
      <c r="Q342" s="13" t="n"/>
      <c r="R342" s="11" t="n">
        <v>1555</v>
      </c>
      <c r="S342" s="4" t="n"/>
      <c r="T342" s="4" t="n"/>
      <c r="U342" s="126" t="n"/>
      <c r="V342" s="14" t="n"/>
      <c r="W342" s="4" t="n"/>
      <c r="X342" s="4" t="n"/>
      <c r="Y342" s="4" t="n"/>
      <c r="Z342" s="4" t="n"/>
      <c r="AA342" s="4" t="n"/>
      <c r="AB342" s="4" t="n"/>
      <c r="AC342" s="4" t="n"/>
      <c r="AD342" s="4" t="n"/>
      <c r="AE342" s="4" t="n"/>
      <c r="AF342" s="4" t="n"/>
      <c r="AG342" s="4" t="n"/>
      <c r="AH342" s="4" t="n"/>
      <c r="AI342" s="4" t="n"/>
      <c r="AJ342" s="4" t="n"/>
      <c r="AK342" s="4" t="n"/>
      <c r="AL342" s="4" t="n"/>
      <c r="AM342" s="4" t="n"/>
      <c r="AN342" s="4" t="n"/>
      <c r="AO342" s="12" t="n"/>
      <c r="AP342" s="12" t="n"/>
      <c r="AQ342" s="12" t="n"/>
      <c r="AR342" s="12" t="n"/>
      <c r="AS342" s="16" t="n"/>
      <c r="AT342" s="16" t="n"/>
      <c r="AU342" s="4" t="n"/>
      <c r="AV342" s="124" t="n"/>
      <c r="AX342" s="118" t="n"/>
    </row>
    <row r="343">
      <c r="A343" s="4" t="inlineStr">
        <is>
          <t>UZNN</t>
        </is>
      </c>
      <c r="B343" s="4" t="inlineStr">
        <is>
          <t>NCU</t>
        </is>
      </c>
      <c r="C343" s="4" t="n"/>
      <c r="D343" s="4" t="n"/>
      <c r="E343" s="4" t="inlineStr">
        <is>
          <t>Nukus International Airport</t>
        </is>
      </c>
      <c r="F343" s="4" t="n"/>
      <c r="G343" s="4" t="n"/>
      <c r="H343" s="4" t="inlineStr">
        <is>
          <t>Uzbekistan</t>
        </is>
      </c>
      <c r="I343" s="4" t="inlineStr">
        <is>
          <t>Nukus</t>
        </is>
      </c>
      <c r="J343" s="4" t="n"/>
      <c r="K343" s="4" t="n"/>
      <c r="L343" s="4" t="n"/>
      <c r="M343" s="4" t="n"/>
      <c r="N343" s="12" t="n"/>
      <c r="O343" s="125" t="n">
        <v>42.4884</v>
      </c>
      <c r="P343" s="125" t="n">
        <v>59.6233</v>
      </c>
      <c r="Q343" s="13" t="n"/>
      <c r="R343" s="11" t="n">
        <v>246</v>
      </c>
      <c r="S343" s="4" t="n"/>
      <c r="T343" s="4" t="n"/>
      <c r="U343" s="126" t="n"/>
      <c r="V343" s="14" t="n"/>
      <c r="W343" s="4" t="n"/>
      <c r="X343" s="4" t="n"/>
      <c r="Y343" s="4" t="n"/>
      <c r="Z343" s="4" t="n"/>
      <c r="AA343" s="4" t="n"/>
      <c r="AB343" s="4" t="n"/>
      <c r="AC343" s="4" t="n"/>
      <c r="AD343" s="4" t="n"/>
      <c r="AE343" s="4" t="n"/>
      <c r="AF343" s="4" t="n"/>
      <c r="AG343" s="4" t="n"/>
      <c r="AH343" s="4" t="n"/>
      <c r="AI343" s="4" t="n"/>
      <c r="AJ343" s="4" t="n"/>
      <c r="AK343" s="4" t="n"/>
      <c r="AL343" s="4" t="n"/>
      <c r="AM343" s="4" t="n"/>
      <c r="AN343" s="4" t="n"/>
      <c r="AO343" s="12" t="n"/>
      <c r="AP343" s="12" t="n"/>
      <c r="AQ343" s="12" t="n"/>
      <c r="AR343" s="12" t="n"/>
      <c r="AS343" s="16" t="n"/>
      <c r="AT343" s="16" t="n"/>
      <c r="AU343" s="4" t="n"/>
      <c r="AV343" s="124" t="n"/>
      <c r="AX343" s="118" t="n"/>
    </row>
    <row r="344">
      <c r="A344" s="4" t="inlineStr">
        <is>
          <t>VAAH</t>
        </is>
      </c>
      <c r="B344" s="4" t="inlineStr">
        <is>
          <t>AMD</t>
        </is>
      </c>
      <c r="C344" s="4" t="n"/>
      <c r="D344" s="4" t="n"/>
      <c r="E344" s="4" t="inlineStr">
        <is>
          <t>Sardar Vallabh Patel International Airport</t>
        </is>
      </c>
      <c r="F344" s="4" t="n"/>
      <c r="G344" s="4" t="n"/>
      <c r="H344" s="4" t="inlineStr">
        <is>
          <t>India</t>
        </is>
      </c>
      <c r="I344" s="4" t="inlineStr">
        <is>
          <t>Ahmedabad</t>
        </is>
      </c>
      <c r="J344" s="4" t="n"/>
      <c r="K344" s="4" t="n"/>
      <c r="L344" s="4" t="n"/>
      <c r="M344" s="4" t="n"/>
      <c r="N344" s="12" t="n"/>
      <c r="O344" s="125" t="n">
        <v>23.0772</v>
      </c>
      <c r="P344" s="125" t="n">
        <v>72.6347</v>
      </c>
      <c r="Q344" s="13" t="n"/>
      <c r="R344" s="11" t="n">
        <v>189</v>
      </c>
      <c r="S344" s="4" t="n"/>
      <c r="T344" s="4" t="inlineStr">
        <is>
          <t>Asia/Calcutta</t>
        </is>
      </c>
      <c r="U344" s="126" t="n"/>
      <c r="V344" s="14" t="n"/>
      <c r="W344" s="4" t="n"/>
      <c r="X344" s="4" t="n"/>
      <c r="Y344" s="4" t="n"/>
      <c r="Z344" s="4" t="n"/>
      <c r="AA344" s="4" t="n"/>
      <c r="AB344" s="4" t="n"/>
      <c r="AC344" s="4" t="n"/>
      <c r="AD344" s="4" t="n"/>
      <c r="AE344" s="4" t="n"/>
      <c r="AF344" s="4" t="n"/>
      <c r="AG344" s="4" t="n"/>
      <c r="AH344" s="4" t="n"/>
      <c r="AI344" s="4" t="n"/>
      <c r="AJ344" s="4" t="n"/>
      <c r="AK344" s="4" t="n"/>
      <c r="AL344" s="4" t="n"/>
      <c r="AM344" s="4" t="n"/>
      <c r="AN344" s="4" t="n"/>
      <c r="AO344" s="12" t="n"/>
      <c r="AP344" s="12" t="n"/>
      <c r="AQ344" s="12" t="n"/>
      <c r="AR344" s="12" t="n"/>
      <c r="AS344" s="16" t="n"/>
      <c r="AT344" s="16" t="n"/>
      <c r="AU344" s="4" t="n"/>
      <c r="AV344" s="124" t="n"/>
      <c r="AX344" s="118" t="n"/>
    </row>
    <row r="345">
      <c r="A345" s="4" t="inlineStr">
        <is>
          <t>VABB</t>
        </is>
      </c>
      <c r="B345" s="4" t="inlineStr">
        <is>
          <t>BOM</t>
        </is>
      </c>
      <c r="C345" s="4" t="n"/>
      <c r="D345" s="4" t="n"/>
      <c r="E345" s="4" t="inlineStr">
        <is>
          <t>Chhatrapati Shivaji Maharaj International Airport</t>
        </is>
      </c>
      <c r="F345" s="4" t="n"/>
      <c r="G345" s="4" t="n"/>
      <c r="H345" s="4" t="inlineStr">
        <is>
          <t>India</t>
        </is>
      </c>
      <c r="I345" s="4" t="inlineStr">
        <is>
          <t>Mumbai</t>
        </is>
      </c>
      <c r="J345" s="4" t="n"/>
      <c r="K345" s="4" t="n"/>
      <c r="L345" s="4" t="n"/>
      <c r="M345" s="4" t="n"/>
      <c r="N345" s="12" t="n"/>
      <c r="O345" s="125" t="n">
        <v>19.0887</v>
      </c>
      <c r="P345" s="125" t="n">
        <v>72.86790000000001</v>
      </c>
      <c r="Q345" s="13" t="n"/>
      <c r="R345" s="11" t="n">
        <v>39</v>
      </c>
      <c r="S345" s="4" t="n"/>
      <c r="T345" s="4" t="inlineStr">
        <is>
          <t>Asia/Calcutta</t>
        </is>
      </c>
      <c r="U345" s="126" t="n"/>
      <c r="V345" s="14" t="n"/>
      <c r="W345" s="4" t="n"/>
      <c r="X345" s="4" t="n"/>
      <c r="Y345" s="4" t="n"/>
      <c r="Z345" s="4" t="n"/>
      <c r="AA345" s="4" t="n"/>
      <c r="AB345" s="4" t="n"/>
      <c r="AC345" s="4" t="n"/>
      <c r="AD345" s="4" t="n"/>
      <c r="AE345" s="4" t="n"/>
      <c r="AF345" s="4" t="n"/>
      <c r="AG345" s="4" t="n"/>
      <c r="AH345" s="4" t="n"/>
      <c r="AI345" s="4" t="n"/>
      <c r="AJ345" s="4" t="n"/>
      <c r="AK345" s="4" t="n"/>
      <c r="AL345" s="4" t="n"/>
      <c r="AM345" s="4" t="n"/>
      <c r="AN345" s="4" t="n"/>
      <c r="AO345" s="12" t="n"/>
      <c r="AP345" s="12" t="n"/>
      <c r="AQ345" s="12" t="n"/>
      <c r="AR345" s="12" t="n"/>
      <c r="AS345" s="16" t="n"/>
      <c r="AT345" s="16" t="n"/>
      <c r="AU345" s="4" t="n"/>
      <c r="AV345" s="124" t="n"/>
      <c r="AX345" s="118" t="n"/>
    </row>
    <row r="346">
      <c r="A346" s="4" t="inlineStr">
        <is>
          <t>VCBI</t>
        </is>
      </c>
      <c r="B346" s="4" t="inlineStr">
        <is>
          <t>CMB</t>
        </is>
      </c>
      <c r="C346" s="4" t="n"/>
      <c r="D346" s="4" t="n"/>
      <c r="E346" s="4" t="inlineStr">
        <is>
          <t>Bandaranaike International Colombo Airport</t>
        </is>
      </c>
      <c r="F346" s="4" t="n"/>
      <c r="G346" s="4" t="n"/>
      <c r="H346" s="4" t="inlineStr">
        <is>
          <t>Sri Lanka</t>
        </is>
      </c>
      <c r="I346" s="4" t="inlineStr">
        <is>
          <t>Colombo</t>
        </is>
      </c>
      <c r="J346" s="4" t="n"/>
      <c r="K346" s="4" t="n"/>
      <c r="L346" s="4" t="n"/>
      <c r="M346" s="4" t="n"/>
      <c r="N346" s="12" t="n"/>
      <c r="O346" s="125" t="n">
        <v>7.18076</v>
      </c>
      <c r="P346" s="125" t="n">
        <v>79.8841</v>
      </c>
      <c r="Q346" s="13" t="n"/>
      <c r="R346" s="11" t="n">
        <v>30</v>
      </c>
      <c r="S346" s="4" t="n"/>
      <c r="T346" s="4" t="inlineStr">
        <is>
          <t>Asia/Colombo</t>
        </is>
      </c>
      <c r="U346" s="126" t="n"/>
      <c r="V346" s="14" t="n"/>
      <c r="W346" s="4" t="n"/>
      <c r="X346" s="4" t="n"/>
      <c r="Y346" s="4" t="n"/>
      <c r="Z346" s="4" t="n"/>
      <c r="AA346" s="4" t="n"/>
      <c r="AB346" s="4" t="n"/>
      <c r="AC346" s="4" t="n"/>
      <c r="AD346" s="4" t="n"/>
      <c r="AE346" s="4" t="n"/>
      <c r="AF346" s="4" t="n"/>
      <c r="AG346" s="4" t="n"/>
      <c r="AH346" s="4" t="n"/>
      <c r="AI346" s="4" t="n"/>
      <c r="AJ346" s="4" t="n"/>
      <c r="AK346" s="4" t="n"/>
      <c r="AL346" s="4" t="n"/>
      <c r="AM346" s="4" t="n"/>
      <c r="AN346" s="4" t="n"/>
      <c r="AO346" s="12" t="n"/>
      <c r="AP346" s="12" t="n"/>
      <c r="AQ346" s="12" t="n"/>
      <c r="AR346" s="12" t="n"/>
      <c r="AS346" s="16" t="n"/>
      <c r="AT346" s="16" t="n"/>
      <c r="AU346" s="4" t="n"/>
      <c r="AV346" s="124" t="n"/>
      <c r="AX346" s="118" t="n"/>
    </row>
    <row r="347">
      <c r="A347" s="4" t="inlineStr">
        <is>
          <t>VCCC</t>
        </is>
      </c>
      <c r="B347" s="4" t="inlineStr">
        <is>
          <t>RML</t>
        </is>
      </c>
      <c r="C347" s="4" t="n"/>
      <c r="D347" s="4" t="n"/>
      <c r="E347" s="4" t="inlineStr">
        <is>
          <t>Colombo Ratmalana International Airport</t>
        </is>
      </c>
      <c r="F347" s="4" t="n"/>
      <c r="G347" s="4" t="n"/>
      <c r="H347" s="4" t="inlineStr">
        <is>
          <t>Sri Lanka</t>
        </is>
      </c>
      <c r="I347" s="4" t="inlineStr">
        <is>
          <t>Colombo</t>
        </is>
      </c>
      <c r="J347" s="4" t="n"/>
      <c r="K347" s="4" t="n"/>
      <c r="L347" s="4" t="n"/>
      <c r="M347" s="4" t="n"/>
      <c r="N347" s="12" t="n"/>
      <c r="O347" s="125" t="n">
        <v>6.82164</v>
      </c>
      <c r="P347" s="125" t="n">
        <v>79.88585999999999</v>
      </c>
      <c r="Q347" s="13" t="n"/>
      <c r="R347" s="11" t="n">
        <v>22</v>
      </c>
      <c r="S347" s="4" t="n"/>
      <c r="T347" s="4" t="inlineStr">
        <is>
          <t>Asia/Colombo</t>
        </is>
      </c>
      <c r="U347" s="126" t="n"/>
      <c r="V347" s="14" t="n"/>
      <c r="W347" s="4" t="n"/>
      <c r="X347" s="4" t="n"/>
      <c r="Y347" s="4" t="n"/>
      <c r="Z347" s="4" t="n"/>
      <c r="AA347" s="4" t="n"/>
      <c r="AB347" s="4" t="n"/>
      <c r="AC347" s="4" t="n"/>
      <c r="AD347" s="4" t="n"/>
      <c r="AE347" s="4" t="n"/>
      <c r="AF347" s="4" t="n"/>
      <c r="AG347" s="4" t="n"/>
      <c r="AH347" s="4" t="n"/>
      <c r="AI347" s="4" t="n"/>
      <c r="AJ347" s="4" t="n"/>
      <c r="AK347" s="4" t="n"/>
      <c r="AL347" s="4" t="n"/>
      <c r="AM347" s="4" t="n"/>
      <c r="AN347" s="4" t="n"/>
      <c r="AO347" s="12" t="n"/>
      <c r="AP347" s="12" t="n"/>
      <c r="AQ347" s="12" t="n"/>
      <c r="AR347" s="12" t="n"/>
      <c r="AS347" s="16" t="n"/>
      <c r="AT347" s="16" t="n"/>
      <c r="AU347" s="4" t="n"/>
      <c r="AV347" s="124" t="n"/>
      <c r="AX347" s="118" t="n"/>
    </row>
    <row r="348">
      <c r="A348" s="4" t="inlineStr">
        <is>
          <t>VDDS</t>
        </is>
      </c>
      <c r="B348" s="4" t="inlineStr">
        <is>
          <t>DSY</t>
        </is>
      </c>
      <c r="C348" s="4" t="n"/>
      <c r="D348" s="4" t="n"/>
      <c r="E348" s="4" t="inlineStr">
        <is>
          <t>Dara Sakor International Airport</t>
        </is>
      </c>
      <c r="F348" s="4" t="n"/>
      <c r="G348" s="4" t="n"/>
      <c r="H348" s="4" t="inlineStr">
        <is>
          <t>Cambodia</t>
        </is>
      </c>
      <c r="I348" s="4" t="inlineStr">
        <is>
          <t>Ta Noun</t>
        </is>
      </c>
      <c r="J348" s="4" t="n"/>
      <c r="K348" s="4" t="n"/>
      <c r="L348" s="4" t="n"/>
      <c r="M348" s="4" t="n"/>
      <c r="N348" s="12" t="n"/>
      <c r="O348" s="125" t="n">
        <v>10.91424</v>
      </c>
      <c r="P348" s="125" t="n">
        <v>103.22665</v>
      </c>
      <c r="Q348" s="13" t="n"/>
      <c r="R348" s="11" t="n">
        <v>60</v>
      </c>
      <c r="S348" s="4" t="n"/>
      <c r="T348" s="4" t="n"/>
      <c r="U348" s="126" t="n"/>
      <c r="V348" s="14" t="n"/>
      <c r="W348" s="4" t="n"/>
      <c r="X348" s="4" t="n"/>
      <c r="Y348" s="4" t="n"/>
      <c r="Z348" s="4" t="n"/>
      <c r="AA348" s="4" t="n"/>
      <c r="AB348" s="4" t="n"/>
      <c r="AC348" s="4" t="n"/>
      <c r="AD348" s="4" t="n"/>
      <c r="AE348" s="4" t="n"/>
      <c r="AF348" s="4" t="n"/>
      <c r="AG348" s="4" t="n"/>
      <c r="AH348" s="4" t="n"/>
      <c r="AI348" s="4" t="n"/>
      <c r="AJ348" s="4" t="n"/>
      <c r="AK348" s="4" t="n"/>
      <c r="AL348" s="4" t="n"/>
      <c r="AM348" s="4" t="n"/>
      <c r="AN348" s="4" t="n"/>
      <c r="AO348" s="12" t="n"/>
      <c r="AP348" s="12" t="n"/>
      <c r="AQ348" s="12" t="n"/>
      <c r="AR348" s="12" t="n"/>
      <c r="AS348" s="16" t="n"/>
      <c r="AT348" s="16" t="n"/>
      <c r="AU348" s="4" t="n"/>
      <c r="AV348" s="124" t="n"/>
      <c r="AX348" s="118" t="n"/>
    </row>
    <row r="349">
      <c r="A349" s="4" t="inlineStr">
        <is>
          <t>VDPP</t>
        </is>
      </c>
      <c r="B349" s="4" t="inlineStr">
        <is>
          <t>PNH</t>
        </is>
      </c>
      <c r="C349" s="4" t="n"/>
      <c r="D349" s="4" t="n"/>
      <c r="E349" s="4" t="inlineStr">
        <is>
          <t>Phnom Penh International Airport</t>
        </is>
      </c>
      <c r="F349" s="4" t="n"/>
      <c r="G349" s="4" t="n"/>
      <c r="H349" s="4" t="inlineStr">
        <is>
          <t>Cambodia</t>
        </is>
      </c>
      <c r="I349" s="4" t="inlineStr">
        <is>
          <t>Phnom Penh</t>
        </is>
      </c>
      <c r="J349" s="4" t="n"/>
      <c r="K349" s="4" t="n"/>
      <c r="L349" s="4" t="n"/>
      <c r="M349" s="4" t="n"/>
      <c r="N349" s="12" t="n"/>
      <c r="O349" s="125" t="n">
        <v>11.54716</v>
      </c>
      <c r="P349" s="125" t="n">
        <v>104.8447</v>
      </c>
      <c r="Q349" s="13" t="n"/>
      <c r="R349" s="11" t="n">
        <v>40</v>
      </c>
      <c r="S349" s="4" t="n"/>
      <c r="T349" s="4" t="inlineStr">
        <is>
          <t>Asia/Phnom_Penh</t>
        </is>
      </c>
      <c r="U349" s="126" t="n"/>
      <c r="V349" s="14" t="n"/>
      <c r="W349" s="4" t="n"/>
      <c r="X349" s="4" t="n"/>
      <c r="Y349" s="4" t="n"/>
      <c r="Z349" s="4" t="n"/>
      <c r="AA349" s="4" t="n"/>
      <c r="AB349" s="4" t="n"/>
      <c r="AC349" s="4" t="n"/>
      <c r="AD349" s="4" t="n"/>
      <c r="AE349" s="4" t="n"/>
      <c r="AF349" s="4" t="n"/>
      <c r="AG349" s="4" t="n"/>
      <c r="AH349" s="4" t="n"/>
      <c r="AI349" s="4" t="n"/>
      <c r="AJ349" s="4" t="n"/>
      <c r="AK349" s="4" t="n"/>
      <c r="AL349" s="4" t="n"/>
      <c r="AM349" s="4" t="n"/>
      <c r="AN349" s="4" t="n"/>
      <c r="AO349" s="12" t="n"/>
      <c r="AP349" s="12" t="n"/>
      <c r="AQ349" s="12" t="n"/>
      <c r="AR349" s="12" t="n"/>
      <c r="AS349" s="16" t="n"/>
      <c r="AT349" s="16" t="n"/>
      <c r="AU349" s="4" t="n"/>
      <c r="AV349" s="124" t="n"/>
      <c r="AX349" s="118" t="n"/>
    </row>
    <row r="350">
      <c r="A350" s="4" t="inlineStr">
        <is>
          <t>VGEG</t>
        </is>
      </c>
      <c r="B350" s="4" t="inlineStr">
        <is>
          <t>CGP</t>
        </is>
      </c>
      <c r="C350" s="4" t="n"/>
      <c r="D350" s="4" t="n"/>
      <c r="E350" s="4" t="inlineStr">
        <is>
          <t>Shah Amanat International Airport</t>
        </is>
      </c>
      <c r="F350" s="4" t="n"/>
      <c r="G350" s="4" t="n"/>
      <c r="H350" s="4" t="inlineStr">
        <is>
          <t>Bangladesh</t>
        </is>
      </c>
      <c r="I350" s="4" t="inlineStr">
        <is>
          <t>Chattogram</t>
        </is>
      </c>
      <c r="J350" s="4" t="n"/>
      <c r="K350" s="4" t="n"/>
      <c r="L350" s="4" t="n"/>
      <c r="M350" s="4" t="n"/>
      <c r="N350" s="12" t="n"/>
      <c r="O350" s="125" t="n">
        <v>22.2496</v>
      </c>
      <c r="P350" s="125" t="n">
        <v>91.8133</v>
      </c>
      <c r="Q350" s="13" t="n"/>
      <c r="R350" s="11" t="n">
        <v>12</v>
      </c>
      <c r="S350" s="4" t="n"/>
      <c r="T350" s="4" t="inlineStr">
        <is>
          <t>Asia/Dhaka</t>
        </is>
      </c>
      <c r="U350" s="126" t="n"/>
      <c r="V350" s="14" t="n"/>
      <c r="W350" s="4" t="n"/>
      <c r="X350" s="4" t="n"/>
      <c r="Y350" s="4" t="n"/>
      <c r="Z350" s="4" t="n"/>
      <c r="AA350" s="4" t="n"/>
      <c r="AB350" s="4" t="n"/>
      <c r="AC350" s="4" t="n"/>
      <c r="AD350" s="4" t="n"/>
      <c r="AE350" s="4" t="n"/>
      <c r="AF350" s="4" t="n"/>
      <c r="AG350" s="4" t="n"/>
      <c r="AH350" s="4" t="n"/>
      <c r="AI350" s="4" t="n"/>
      <c r="AJ350" s="4" t="n"/>
      <c r="AK350" s="4" t="n"/>
      <c r="AL350" s="4" t="n"/>
      <c r="AM350" s="4" t="n"/>
      <c r="AN350" s="4" t="n"/>
      <c r="AO350" s="12" t="n"/>
      <c r="AP350" s="12" t="n"/>
      <c r="AQ350" s="12" t="n"/>
      <c r="AR350" s="12" t="n"/>
      <c r="AS350" s="16" t="n"/>
      <c r="AT350" s="16" t="n"/>
      <c r="AU350" s="4" t="n"/>
      <c r="AV350" s="124" t="n"/>
      <c r="AX350" s="118" t="n"/>
    </row>
    <row r="351">
      <c r="A351" s="4" t="inlineStr">
        <is>
          <t>VGHS</t>
        </is>
      </c>
      <c r="B351" s="4" t="inlineStr">
        <is>
          <t>DAC</t>
        </is>
      </c>
      <c r="C351" s="4" t="n"/>
      <c r="D351" s="4" t="n"/>
      <c r="E351" s="4" t="inlineStr">
        <is>
          <t>Hazrat Shahjalal International Airport</t>
        </is>
      </c>
      <c r="F351" s="4" t="n"/>
      <c r="G351" s="4" t="n"/>
      <c r="H351" s="4" t="inlineStr">
        <is>
          <t>Bangladesh</t>
        </is>
      </c>
      <c r="I351" s="4" t="inlineStr">
        <is>
          <t>Dhaka</t>
        </is>
      </c>
      <c r="J351" s="4" t="n"/>
      <c r="K351" s="4" t="n"/>
      <c r="L351" s="4" t="n"/>
      <c r="M351" s="4" t="n"/>
      <c r="N351" s="12" t="n"/>
      <c r="O351" s="125" t="n">
        <v>23.84335</v>
      </c>
      <c r="P351" s="125" t="n">
        <v>90.39778</v>
      </c>
      <c r="Q351" s="13" t="n"/>
      <c r="R351" s="11" t="n">
        <v>30</v>
      </c>
      <c r="S351" s="4" t="n"/>
      <c r="T351" s="4" t="n"/>
      <c r="U351" s="126" t="n"/>
      <c r="V351" s="14" t="n"/>
      <c r="W351" s="4" t="n"/>
      <c r="X351" s="4" t="n"/>
      <c r="Y351" s="4" t="n"/>
      <c r="Z351" s="4" t="n"/>
      <c r="AA351" s="4" t="n"/>
      <c r="AB351" s="4" t="n"/>
      <c r="AC351" s="4" t="n"/>
      <c r="AD351" s="4" t="n"/>
      <c r="AE351" s="4" t="n"/>
      <c r="AF351" s="4" t="n"/>
      <c r="AG351" s="4" t="n"/>
      <c r="AH351" s="4" t="n"/>
      <c r="AI351" s="4" t="n"/>
      <c r="AJ351" s="4" t="n"/>
      <c r="AK351" s="4" t="n"/>
      <c r="AL351" s="4" t="n"/>
      <c r="AM351" s="4" t="n"/>
      <c r="AN351" s="4" t="n"/>
      <c r="AO351" s="12" t="n"/>
      <c r="AP351" s="12" t="n"/>
      <c r="AQ351" s="12" t="n"/>
      <c r="AR351" s="12" t="n"/>
      <c r="AS351" s="16" t="n"/>
      <c r="AT351" s="16" t="n"/>
      <c r="AU351" s="4" t="n"/>
      <c r="AV351" s="124" t="n"/>
      <c r="AX351" s="118" t="n"/>
    </row>
    <row r="352">
      <c r="A352" s="4" t="inlineStr">
        <is>
          <t>VHHH</t>
        </is>
      </c>
      <c r="B352" s="4" t="inlineStr">
        <is>
          <t>HKG</t>
        </is>
      </c>
      <c r="C352" s="4" t="n"/>
      <c r="D352" s="4" t="n"/>
      <c r="E352" s="4" t="inlineStr">
        <is>
          <t>Hong Kong International Airport</t>
        </is>
      </c>
      <c r="F352" s="4" t="n"/>
      <c r="G352" s="4" t="n"/>
      <c r="H352" s="4" t="n"/>
      <c r="I352" s="4" t="inlineStr">
        <is>
          <t>Hong Kong</t>
        </is>
      </c>
      <c r="J352" s="4" t="n"/>
      <c r="K352" s="4" t="n"/>
      <c r="L352" s="4" t="n"/>
      <c r="M352" s="4" t="n"/>
      <c r="N352" s="12" t="n"/>
      <c r="O352" s="125" t="n">
        <v>22.31184</v>
      </c>
      <c r="P352" s="125" t="n">
        <v>113.91486</v>
      </c>
      <c r="Q352" s="13" t="n"/>
      <c r="R352" s="11" t="n">
        <v>28</v>
      </c>
      <c r="S352" s="4" t="n"/>
      <c r="T352" s="4" t="inlineStr">
        <is>
          <t>Asia/Hong_Kong</t>
        </is>
      </c>
      <c r="U352" s="126" t="n"/>
      <c r="V352" s="14" t="n"/>
      <c r="W352" s="4" t="n"/>
      <c r="X352" s="4" t="n"/>
      <c r="Y352" s="4" t="n"/>
      <c r="Z352" s="4" t="n"/>
      <c r="AA352" s="4" t="n"/>
      <c r="AB352" s="4" t="n"/>
      <c r="AC352" s="4" t="n"/>
      <c r="AD352" s="4" t="n"/>
      <c r="AE352" s="4" t="n"/>
      <c r="AF352" s="4" t="n"/>
      <c r="AG352" s="4" t="n"/>
      <c r="AH352" s="4" t="n"/>
      <c r="AI352" s="4" t="n"/>
      <c r="AJ352" s="4" t="n"/>
      <c r="AK352" s="4" t="n"/>
      <c r="AL352" s="4" t="n"/>
      <c r="AM352" s="4" t="n"/>
      <c r="AN352" s="4" t="n"/>
      <c r="AO352" s="12" t="n"/>
      <c r="AP352" s="12" t="n"/>
      <c r="AQ352" s="12" t="n"/>
      <c r="AR352" s="12" t="n"/>
      <c r="AS352" s="16" t="n"/>
      <c r="AT352" s="16" t="n"/>
      <c r="AU352" s="4" t="n"/>
      <c r="AV352" s="124" t="n"/>
      <c r="AX352" s="118" t="n"/>
    </row>
    <row r="353">
      <c r="A353" s="4" t="inlineStr">
        <is>
          <t>VLLB</t>
        </is>
      </c>
      <c r="B353" s="4" t="inlineStr">
        <is>
          <t>LPQ</t>
        </is>
      </c>
      <c r="C353" s="4" t="n"/>
      <c r="D353" s="4" t="n"/>
      <c r="E353" s="4" t="inlineStr">
        <is>
          <t>Luang Phabang International Airport</t>
        </is>
      </c>
      <c r="F353" s="4" t="n"/>
      <c r="G353" s="4" t="n"/>
      <c r="H353" s="4" t="inlineStr">
        <is>
          <t>Laos</t>
        </is>
      </c>
      <c r="I353" s="4" t="inlineStr">
        <is>
          <t>Luang Phabang</t>
        </is>
      </c>
      <c r="J353" s="4" t="n"/>
      <c r="K353" s="4" t="n"/>
      <c r="L353" s="4" t="n"/>
      <c r="M353" s="4" t="n"/>
      <c r="N353" s="12" t="n"/>
      <c r="O353" s="125" t="n">
        <v>19.90427</v>
      </c>
      <c r="P353" s="125" t="n">
        <v>102.16719</v>
      </c>
      <c r="Q353" s="13" t="n"/>
      <c r="R353" s="11" t="n">
        <v>955</v>
      </c>
      <c r="S353" s="4" t="n"/>
      <c r="T353" s="4" t="inlineStr">
        <is>
          <t>Asia/Vientiane</t>
        </is>
      </c>
      <c r="U353" s="126" t="n"/>
      <c r="V353" s="14" t="n"/>
      <c r="W353" s="4" t="n"/>
      <c r="X353" s="4" t="n"/>
      <c r="Y353" s="4" t="n"/>
      <c r="Z353" s="4" t="n"/>
      <c r="AA353" s="4" t="n"/>
      <c r="AB353" s="4" t="n"/>
      <c r="AC353" s="4" t="n"/>
      <c r="AD353" s="4" t="n"/>
      <c r="AE353" s="4" t="n"/>
      <c r="AF353" s="4" t="n"/>
      <c r="AG353" s="4" t="n"/>
      <c r="AH353" s="4" t="n"/>
      <c r="AI353" s="4" t="n"/>
      <c r="AJ353" s="4" t="n"/>
      <c r="AK353" s="4" t="n"/>
      <c r="AL353" s="4" t="n"/>
      <c r="AM353" s="4" t="n"/>
      <c r="AN353" s="4" t="n"/>
      <c r="AO353" s="12" t="n"/>
      <c r="AP353" s="12" t="n"/>
      <c r="AQ353" s="12" t="n"/>
      <c r="AR353" s="12" t="n"/>
      <c r="AS353" s="16" t="n"/>
      <c r="AT353" s="16" t="n"/>
      <c r="AU353" s="4" t="n"/>
      <c r="AV353" s="124" t="n"/>
      <c r="AX353" s="118" t="n"/>
    </row>
    <row r="354">
      <c r="A354" s="4" t="inlineStr">
        <is>
          <t>VLPS</t>
        </is>
      </c>
      <c r="B354" s="4" t="inlineStr">
        <is>
          <t>PKZ</t>
        </is>
      </c>
      <c r="C354" s="4" t="n"/>
      <c r="D354" s="4" t="n"/>
      <c r="E354" s="4" t="inlineStr">
        <is>
          <t>Pakse International Airport</t>
        </is>
      </c>
      <c r="F354" s="4" t="n"/>
      <c r="G354" s="4" t="n"/>
      <c r="H354" s="4" t="inlineStr">
        <is>
          <t>Laos</t>
        </is>
      </c>
      <c r="I354" s="4" t="inlineStr">
        <is>
          <t>Pakse</t>
        </is>
      </c>
      <c r="J354" s="4" t="n"/>
      <c r="K354" s="4" t="n"/>
      <c r="L354" s="4" t="n"/>
      <c r="M354" s="4" t="n"/>
      <c r="N354" s="12" t="n"/>
      <c r="O354" s="125" t="n">
        <v>15.13397</v>
      </c>
      <c r="P354" s="125" t="n">
        <v>105.77987</v>
      </c>
      <c r="Q354" s="13" t="n"/>
      <c r="R354" s="11" t="n">
        <v>351</v>
      </c>
      <c r="S354" s="4" t="n"/>
      <c r="T354" s="4" t="inlineStr">
        <is>
          <t>Asia/Vientiane</t>
        </is>
      </c>
      <c r="U354" s="126" t="n"/>
      <c r="V354" s="14" t="n"/>
      <c r="W354" s="4" t="n"/>
      <c r="X354" s="4" t="n"/>
      <c r="Y354" s="4" t="n"/>
      <c r="Z354" s="4" t="n"/>
      <c r="AA354" s="4" t="n"/>
      <c r="AB354" s="4" t="n"/>
      <c r="AC354" s="4" t="n"/>
      <c r="AD354" s="4" t="n"/>
      <c r="AE354" s="4" t="n"/>
      <c r="AF354" s="4" t="n"/>
      <c r="AG354" s="4" t="n"/>
      <c r="AH354" s="4" t="n"/>
      <c r="AI354" s="4" t="n"/>
      <c r="AJ354" s="4" t="n"/>
      <c r="AK354" s="4" t="n"/>
      <c r="AL354" s="4" t="n"/>
      <c r="AM354" s="4" t="n"/>
      <c r="AN354" s="4" t="n"/>
      <c r="AO354" s="12" t="n"/>
      <c r="AP354" s="12" t="n"/>
      <c r="AQ354" s="12" t="n"/>
      <c r="AR354" s="12" t="n"/>
      <c r="AS354" s="16" t="n"/>
      <c r="AT354" s="16" t="n"/>
      <c r="AU354" s="4" t="n"/>
      <c r="AV354" s="124" t="n"/>
      <c r="AX354" s="118" t="n"/>
    </row>
    <row r="355">
      <c r="A355" t="inlineStr">
        <is>
          <t>VMMC</t>
        </is>
      </c>
      <c r="B355" t="inlineStr">
        <is>
          <t>MFM</t>
        </is>
      </c>
      <c r="E355" t="inlineStr">
        <is>
          <t>Macau International Airport</t>
        </is>
      </c>
      <c r="I355" t="inlineStr">
        <is>
          <t>Nossa Senhora do Carmo</t>
        </is>
      </c>
      <c r="N355" s="12" t="n"/>
      <c r="O355" t="n">
        <v>22.1496</v>
      </c>
      <c r="P355" t="n">
        <v>113.592</v>
      </c>
      <c r="Q355" s="13" t="n"/>
      <c r="R355" t="n">
        <v>20</v>
      </c>
      <c r="T355" t="inlineStr">
        <is>
          <t>Asia/Macau</t>
        </is>
      </c>
      <c r="V355" s="14" t="n"/>
      <c r="AO355" s="12" t="n"/>
      <c r="AP355" s="12" t="n"/>
      <c r="AQ355" s="12" t="n"/>
      <c r="AR355" s="12" t="n"/>
      <c r="AS355" s="16" t="n"/>
      <c r="AT355" s="16" t="n"/>
      <c r="AV355" s="124" t="n"/>
      <c r="AX355" s="118" t="n"/>
    </row>
    <row r="356">
      <c r="A356" t="inlineStr">
        <is>
          <t>VNBW</t>
        </is>
      </c>
      <c r="B356" t="inlineStr">
        <is>
          <t>BWA</t>
        </is>
      </c>
      <c r="E356" t="inlineStr">
        <is>
          <t>Gautam Buddha International Airport</t>
        </is>
      </c>
      <c r="H356" t="inlineStr">
        <is>
          <t>Nepal</t>
        </is>
      </c>
      <c r="I356" t="inlineStr">
        <is>
          <t>Siddharthanagar</t>
        </is>
      </c>
      <c r="N356" s="12" t="n"/>
      <c r="O356" t="n">
        <v>27.50464</v>
      </c>
      <c r="P356" t="n">
        <v>83.41038</v>
      </c>
      <c r="Q356" s="13" t="n"/>
      <c r="R356" t="n">
        <v>358</v>
      </c>
      <c r="T356" t="inlineStr">
        <is>
          <t>Asia/Katmandu</t>
        </is>
      </c>
      <c r="V356" s="14" t="n"/>
      <c r="AO356" s="12" t="n"/>
      <c r="AP356" s="12" t="n"/>
      <c r="AQ356" s="12" t="n"/>
      <c r="AR356" s="12" t="n"/>
      <c r="AS356" s="16" t="n"/>
      <c r="AT356" s="16" t="n"/>
      <c r="AV356" s="124" t="n"/>
      <c r="AX356" s="118" t="n"/>
    </row>
    <row r="357">
      <c r="A357" t="inlineStr">
        <is>
          <t>VNKT</t>
        </is>
      </c>
      <c r="B357" t="inlineStr">
        <is>
          <t>KTM</t>
        </is>
      </c>
      <c r="E357" t="inlineStr">
        <is>
          <t>Tribhuvan International Airport</t>
        </is>
      </c>
      <c r="H357" t="inlineStr">
        <is>
          <t>Nepal</t>
        </is>
      </c>
      <c r="I357" t="inlineStr">
        <is>
          <t>Kathmandu</t>
        </is>
      </c>
      <c r="N357" s="12" t="n"/>
      <c r="O357" t="n">
        <v>27.6966</v>
      </c>
      <c r="P357" t="n">
        <v>85.3591</v>
      </c>
      <c r="Q357" s="13" t="n"/>
      <c r="R357" t="n">
        <v>4390</v>
      </c>
      <c r="T357" t="inlineStr">
        <is>
          <t>Asia/Katmandu</t>
        </is>
      </c>
      <c r="V357" s="14" t="n"/>
      <c r="AO357" s="12" t="n"/>
      <c r="AP357" s="12" t="n"/>
      <c r="AQ357" s="12" t="n"/>
      <c r="AR357" s="12" t="n"/>
      <c r="AS357" s="16" t="n"/>
      <c r="AT357" s="16" t="n"/>
      <c r="AV357" s="124" t="n"/>
      <c r="AX357" s="118" t="n"/>
    </row>
    <row r="358">
      <c r="A358" t="inlineStr">
        <is>
          <t>VQPR</t>
        </is>
      </c>
      <c r="B358" t="inlineStr">
        <is>
          <t>PBH</t>
        </is>
      </c>
      <c r="E358" t="inlineStr">
        <is>
          <t>Paro International Airport</t>
        </is>
      </c>
      <c r="H358" t="inlineStr">
        <is>
          <t>Bhutan</t>
        </is>
      </c>
      <c r="I358" t="inlineStr">
        <is>
          <t>Paro</t>
        </is>
      </c>
      <c r="N358" s="12" t="n"/>
      <c r="O358" t="n">
        <v>27.4032</v>
      </c>
      <c r="P358" t="n">
        <v>89.4246</v>
      </c>
      <c r="Q358" s="13" t="n"/>
      <c r="R358" t="n">
        <v>7364</v>
      </c>
      <c r="T358" t="inlineStr">
        <is>
          <t>Asia/Thimphu</t>
        </is>
      </c>
      <c r="V358" s="14" t="n"/>
      <c r="AO358" s="12" t="n"/>
      <c r="AP358" s="12" t="n"/>
      <c r="AQ358" s="12" t="n"/>
      <c r="AR358" s="12" t="n"/>
      <c r="AS358" s="16" t="n"/>
      <c r="AT358" s="16" t="n"/>
      <c r="AV358" s="124" t="n"/>
      <c r="AX358" s="118" t="n"/>
    </row>
    <row r="359">
      <c r="A359" t="inlineStr">
        <is>
          <t>VRMG</t>
        </is>
      </c>
      <c r="B359" t="inlineStr">
        <is>
          <t>GAN</t>
        </is>
      </c>
      <c r="E359" t="inlineStr">
        <is>
          <t>Gan International Airport</t>
        </is>
      </c>
      <c r="H359" t="inlineStr">
        <is>
          <t>Maldives</t>
        </is>
      </c>
      <c r="I359" t="inlineStr">
        <is>
          <t>Gan</t>
        </is>
      </c>
      <c r="N359" s="12" t="n"/>
      <c r="O359" t="n">
        <v>-0.69298</v>
      </c>
      <c r="P359" t="n">
        <v>73.15263</v>
      </c>
      <c r="Q359" s="13" t="n"/>
      <c r="R359" t="n">
        <v>6</v>
      </c>
      <c r="T359" t="inlineStr">
        <is>
          <t>Indian/Maldives</t>
        </is>
      </c>
      <c r="V359" s="14" t="n"/>
      <c r="AO359" s="12" t="n"/>
      <c r="AP359" s="12" t="n"/>
      <c r="AQ359" s="12" t="n"/>
      <c r="AR359" s="12" t="n"/>
      <c r="AS359" s="16" t="n"/>
      <c r="AT359" s="16" t="n"/>
      <c r="AV359" s="124" t="n"/>
      <c r="AX359" s="118" t="n"/>
    </row>
    <row r="360">
      <c r="A360" t="inlineStr">
        <is>
          <t>VRMH</t>
        </is>
      </c>
      <c r="B360" t="inlineStr">
        <is>
          <t>HAQ</t>
        </is>
      </c>
      <c r="E360" t="inlineStr">
        <is>
          <t>Hanimaadhoo International Airport</t>
        </is>
      </c>
      <c r="H360" t="inlineStr">
        <is>
          <t>Maldives</t>
        </is>
      </c>
      <c r="I360" t="inlineStr">
        <is>
          <t>Haa Dhaalu Atoll</t>
        </is>
      </c>
      <c r="N360" s="12" t="n"/>
      <c r="O360" t="n">
        <v>6.74324</v>
      </c>
      <c r="P360" t="n">
        <v>73.16707</v>
      </c>
      <c r="Q360" s="13" t="n"/>
      <c r="R360" t="n">
        <v>4</v>
      </c>
      <c r="T360" t="inlineStr">
        <is>
          <t>Indian/Maldives</t>
        </is>
      </c>
      <c r="V360" s="14" t="n"/>
      <c r="AO360" s="12" t="n"/>
      <c r="AP360" s="12" t="n"/>
      <c r="AQ360" s="12" t="n"/>
      <c r="AR360" s="12" t="n"/>
      <c r="AS360" s="16" t="n"/>
      <c r="AT360" s="16" t="n"/>
      <c r="AV360" s="124" t="n"/>
      <c r="AX360" s="118" t="n"/>
    </row>
    <row r="361">
      <c r="A361" t="inlineStr">
        <is>
          <t>VTBD</t>
        </is>
      </c>
      <c r="B361" t="inlineStr">
        <is>
          <t>DMK</t>
        </is>
      </c>
      <c r="E361" t="inlineStr">
        <is>
          <t>Don Mueang International Airport</t>
        </is>
      </c>
      <c r="H361" t="inlineStr">
        <is>
          <t>Thailand</t>
        </is>
      </c>
      <c r="I361" t="inlineStr">
        <is>
          <t>Bangkok</t>
        </is>
      </c>
      <c r="N361" s="12" t="n"/>
      <c r="O361" t="n">
        <v>13.9126</v>
      </c>
      <c r="P361" t="n">
        <v>100.607</v>
      </c>
      <c r="Q361" s="13" t="n"/>
      <c r="R361" t="n">
        <v>9</v>
      </c>
      <c r="T361" t="inlineStr">
        <is>
          <t>Asia/Bangkok</t>
        </is>
      </c>
      <c r="V361" s="14" t="n"/>
      <c r="AO361" s="12" t="n"/>
      <c r="AP361" s="12" t="n"/>
      <c r="AQ361" s="12" t="n"/>
      <c r="AR361" s="12" t="n"/>
      <c r="AS361" s="16" t="n"/>
      <c r="AT361" s="16" t="n"/>
      <c r="AV361" s="124" t="n"/>
      <c r="AX361" s="118" t="n"/>
    </row>
    <row r="362">
      <c r="A362" t="inlineStr">
        <is>
          <t>VTBS</t>
        </is>
      </c>
      <c r="B362" t="inlineStr">
        <is>
          <t>BKK</t>
        </is>
      </c>
      <c r="E362" t="inlineStr">
        <is>
          <t>Suvarnabhumi Airport</t>
        </is>
      </c>
      <c r="H362" t="inlineStr">
        <is>
          <t>Thailand</t>
        </is>
      </c>
      <c r="I362" t="inlineStr">
        <is>
          <t>Bangkok</t>
        </is>
      </c>
      <c r="N362" s="12" t="n"/>
      <c r="O362" t="n">
        <v>13.6811</v>
      </c>
      <c r="P362" t="n">
        <v>100.747</v>
      </c>
      <c r="Q362" s="13" t="n"/>
      <c r="R362" t="n">
        <v>5</v>
      </c>
      <c r="T362" t="inlineStr">
        <is>
          <t>Asia/Bangkok</t>
        </is>
      </c>
      <c r="V362" s="14" t="n"/>
      <c r="AO362" s="12" t="n"/>
      <c r="AP362" s="12" t="n"/>
      <c r="AQ362" s="12" t="n"/>
      <c r="AR362" s="12" t="n"/>
      <c r="AS362" s="16" t="n"/>
      <c r="AT362" s="16" t="n"/>
      <c r="AV362" s="124" t="n"/>
      <c r="AX362" s="118" t="n"/>
    </row>
    <row r="363">
      <c r="A363" t="inlineStr">
        <is>
          <t>VVCI</t>
        </is>
      </c>
      <c r="B363" t="inlineStr">
        <is>
          <t>HPH</t>
        </is>
      </c>
      <c r="E363" t="inlineStr">
        <is>
          <t>Cat Bi International Airport</t>
        </is>
      </c>
      <c r="H363" t="inlineStr">
        <is>
          <t>Vietnam</t>
        </is>
      </c>
      <c r="I363" t="inlineStr">
        <is>
          <t>Haiphong</t>
        </is>
      </c>
      <c r="N363" s="12" t="n"/>
      <c r="O363" t="n">
        <v>20.81743</v>
      </c>
      <c r="P363" t="n">
        <v>106.72432</v>
      </c>
      <c r="Q363" s="13" t="n"/>
      <c r="R363" t="n">
        <v>6</v>
      </c>
      <c r="T363" t="inlineStr">
        <is>
          <t>Asia/Saigon</t>
        </is>
      </c>
      <c r="V363" s="14" t="n"/>
      <c r="AO363" s="12" t="n"/>
      <c r="AP363" s="12" t="n"/>
      <c r="AQ363" s="12" t="n"/>
      <c r="AR363" s="12" t="n"/>
      <c r="AS363" s="16" t="n"/>
      <c r="AT363" s="16" t="n"/>
      <c r="AV363" s="124" t="n"/>
      <c r="AX363" s="118" t="n"/>
    </row>
    <row r="364">
      <c r="A364" t="inlineStr">
        <is>
          <t>VVCR</t>
        </is>
      </c>
      <c r="B364" t="inlineStr">
        <is>
          <t>CXR</t>
        </is>
      </c>
      <c r="E364" t="inlineStr">
        <is>
          <t>Cam Ranh International Airport</t>
        </is>
      </c>
      <c r="H364" t="inlineStr">
        <is>
          <t>Vietnam</t>
        </is>
      </c>
      <c r="I364" t="inlineStr">
        <is>
          <t>Cam Ranh</t>
        </is>
      </c>
      <c r="N364" s="12" t="n"/>
      <c r="O364" t="n">
        <v>11.9982</v>
      </c>
      <c r="P364" t="n">
        <v>109.219</v>
      </c>
      <c r="Q364" s="13" t="n"/>
      <c r="R364" t="n">
        <v>40</v>
      </c>
      <c r="T364" t="inlineStr">
        <is>
          <t>Asia/Saigon</t>
        </is>
      </c>
      <c r="V364" s="14" t="n"/>
      <c r="AO364" s="12" t="n"/>
      <c r="AP364" s="12" t="n"/>
      <c r="AQ364" s="12" t="n"/>
      <c r="AR364" s="12" t="n"/>
      <c r="AS364" s="16" t="n"/>
      <c r="AT364" s="16" t="n"/>
      <c r="AV364" s="124" t="n"/>
      <c r="AX364" s="118" t="n"/>
    </row>
    <row r="365">
      <c r="A365" t="inlineStr">
        <is>
          <t>VYMD</t>
        </is>
      </c>
      <c r="B365" t="inlineStr">
        <is>
          <t>MDL</t>
        </is>
      </c>
      <c r="E365" t="inlineStr">
        <is>
          <t>Mandalay International Airport</t>
        </is>
      </c>
      <c r="H365" t="inlineStr">
        <is>
          <t>Myanmar</t>
        </is>
      </c>
      <c r="I365" t="inlineStr">
        <is>
          <t>Mandalay</t>
        </is>
      </c>
      <c r="N365" s="12" t="n"/>
      <c r="O365" t="n">
        <v>21.7022</v>
      </c>
      <c r="P365" t="n">
        <v>95.97790000000001</v>
      </c>
      <c r="Q365" s="13" t="n"/>
      <c r="R365" t="n">
        <v>300</v>
      </c>
      <c r="T365" t="inlineStr">
        <is>
          <t>Asia/Rangoon</t>
        </is>
      </c>
      <c r="V365" s="14" t="n"/>
      <c r="AO365" s="12" t="n"/>
      <c r="AP365" s="12" t="n"/>
      <c r="AQ365" s="12" t="n"/>
      <c r="AR365" s="12" t="n"/>
      <c r="AS365" s="16" t="n"/>
      <c r="AT365" s="16" t="n"/>
      <c r="AV365" s="124" t="n"/>
      <c r="AX365" s="118" t="n"/>
    </row>
    <row r="366">
      <c r="A366" t="inlineStr">
        <is>
          <t>VYNT</t>
        </is>
      </c>
      <c r="B366" t="inlineStr">
        <is>
          <t>NYT</t>
        </is>
      </c>
      <c r="E366" t="inlineStr">
        <is>
          <t>Nay Pyi Taw International Airport</t>
        </is>
      </c>
      <c r="H366" t="inlineStr">
        <is>
          <t>Myanmar</t>
        </is>
      </c>
      <c r="I366" t="inlineStr">
        <is>
          <t>Naypyitaw</t>
        </is>
      </c>
      <c r="N366" s="12" t="n"/>
      <c r="O366" t="n">
        <v>19.6235</v>
      </c>
      <c r="P366" t="n">
        <v>96.20099999999999</v>
      </c>
      <c r="Q366" s="13" t="n"/>
      <c r="R366" t="n">
        <v>302</v>
      </c>
      <c r="T366" t="inlineStr">
        <is>
          <t>Asia/Rangoon</t>
        </is>
      </c>
      <c r="V366" s="14" t="n"/>
      <c r="AO366" s="12" t="n"/>
      <c r="AP366" s="12" t="n"/>
      <c r="AQ366" s="12" t="n"/>
      <c r="AR366" s="12" t="n"/>
      <c r="AS366" s="16" t="n"/>
      <c r="AT366" s="16" t="n"/>
      <c r="AV366" s="124" t="n"/>
      <c r="AX366" s="118" t="n"/>
    </row>
    <row r="367">
      <c r="A367" t="inlineStr">
        <is>
          <t>WAAA</t>
        </is>
      </c>
      <c r="B367" t="inlineStr">
        <is>
          <t>UPG</t>
        </is>
      </c>
      <c r="E367" t="inlineStr">
        <is>
          <t>Sultan Hasanuddin International Airport</t>
        </is>
      </c>
      <c r="H367" t="inlineStr">
        <is>
          <t>Indonesia</t>
        </is>
      </c>
      <c r="I367" t="inlineStr">
        <is>
          <t>Makassar</t>
        </is>
      </c>
      <c r="N367" s="12" t="n"/>
      <c r="O367" t="n">
        <v>-5.07554</v>
      </c>
      <c r="P367" t="n">
        <v>119.5537</v>
      </c>
      <c r="Q367" s="13" t="n"/>
      <c r="R367" t="n">
        <v>47</v>
      </c>
      <c r="T367" t="inlineStr">
        <is>
          <t>Asia/Makassar</t>
        </is>
      </c>
      <c r="V367" s="14" t="n"/>
      <c r="AO367" s="12" t="n"/>
      <c r="AP367" s="12" t="n"/>
      <c r="AQ367" s="12" t="n"/>
      <c r="AR367" s="12" t="n"/>
      <c r="AS367" s="16" t="n"/>
      <c r="AT367" s="16" t="n"/>
      <c r="AV367" s="124" t="n"/>
      <c r="AX367" s="118" t="n"/>
    </row>
    <row r="368">
      <c r="A368" t="inlineStr">
        <is>
          <t>WADD</t>
        </is>
      </c>
      <c r="B368" t="inlineStr">
        <is>
          <t>DPS</t>
        </is>
      </c>
      <c r="E368" t="inlineStr">
        <is>
          <t>Denpasar I Gusti Ngurah Rai International Airport</t>
        </is>
      </c>
      <c r="H368" t="inlineStr">
        <is>
          <t>Indonesia</t>
        </is>
      </c>
      <c r="I368" t="inlineStr">
        <is>
          <t>Kuta, Badung</t>
        </is>
      </c>
      <c r="N368" s="12" t="n"/>
      <c r="O368" t="n">
        <v>-8.74841</v>
      </c>
      <c r="P368" t="n">
        <v>115.16712</v>
      </c>
      <c r="Q368" s="13" t="n"/>
      <c r="R368" t="n">
        <v>14</v>
      </c>
      <c r="T368" t="inlineStr">
        <is>
          <t>Asia/Makassar</t>
        </is>
      </c>
      <c r="V368" s="14" t="n"/>
      <c r="AO368" s="12" t="n"/>
      <c r="AP368" s="12" t="n"/>
      <c r="AQ368" s="12" t="n"/>
      <c r="AR368" s="12" t="n"/>
      <c r="AS368" s="16" t="n"/>
      <c r="AT368" s="16" t="n"/>
      <c r="AV368" s="124" t="n"/>
      <c r="AX368" s="118" t="n"/>
    </row>
    <row r="369">
      <c r="A369" t="inlineStr">
        <is>
          <t>WBGG</t>
        </is>
      </c>
      <c r="B369" t="inlineStr">
        <is>
          <t>KCH</t>
        </is>
      </c>
      <c r="E369" t="inlineStr">
        <is>
          <t>Kuching International Airport</t>
        </is>
      </c>
      <c r="H369" t="inlineStr">
        <is>
          <t>Malaysia</t>
        </is>
      </c>
      <c r="I369" t="inlineStr">
        <is>
          <t>Kuching</t>
        </is>
      </c>
      <c r="N369" s="12" t="n"/>
      <c r="O369" t="n">
        <v>1.48736</v>
      </c>
      <c r="P369" t="n">
        <v>110.35286</v>
      </c>
      <c r="Q369" s="13" t="n"/>
      <c r="R369" t="n">
        <v>89</v>
      </c>
      <c r="T369" t="inlineStr">
        <is>
          <t>Asia/Kuala_Lumpur</t>
        </is>
      </c>
      <c r="V369" s="14" t="n"/>
      <c r="AO369" s="12" t="n"/>
      <c r="AP369" s="12" t="n"/>
      <c r="AQ369" s="12" t="n"/>
      <c r="AR369" s="12" t="n"/>
      <c r="AS369" s="16" t="n"/>
      <c r="AT369" s="16" t="n"/>
      <c r="AV369" s="124" t="n"/>
      <c r="AX369" s="118" t="n"/>
    </row>
    <row r="370">
      <c r="A370" t="inlineStr">
        <is>
          <t>WBKK</t>
        </is>
      </c>
      <c r="B370" t="inlineStr">
        <is>
          <t>BKI</t>
        </is>
      </c>
      <c r="E370" t="inlineStr">
        <is>
          <t>Kota Kinabalu International Airport</t>
        </is>
      </c>
      <c r="H370" t="inlineStr">
        <is>
          <t>Malaysia</t>
        </is>
      </c>
      <c r="I370" t="inlineStr">
        <is>
          <t>Kota Kinabalu</t>
        </is>
      </c>
      <c r="N370" s="12" t="n"/>
      <c r="O370" t="n">
        <v>5.93274</v>
      </c>
      <c r="P370" t="n">
        <v>116.04932</v>
      </c>
      <c r="Q370" s="13" t="n"/>
      <c r="R370" t="n">
        <v>10</v>
      </c>
      <c r="T370" t="inlineStr">
        <is>
          <t>Asia/Kuala_Lumpur</t>
        </is>
      </c>
      <c r="V370" s="14" t="n"/>
      <c r="AO370" s="12" t="n"/>
      <c r="AP370" s="12" t="n"/>
      <c r="AQ370" s="12" t="n"/>
      <c r="AR370" s="12" t="n"/>
      <c r="AS370" s="16" t="n"/>
      <c r="AT370" s="16" t="n"/>
      <c r="AV370" s="124" t="n"/>
      <c r="AX370" s="118" t="n"/>
    </row>
    <row r="371">
      <c r="A371" t="inlineStr">
        <is>
          <t>WBSB</t>
        </is>
      </c>
      <c r="B371" t="inlineStr">
        <is>
          <t>BWN</t>
        </is>
      </c>
      <c r="E371" t="inlineStr">
        <is>
          <t>Brunei International Airport</t>
        </is>
      </c>
      <c r="I371" t="inlineStr">
        <is>
          <t>Bandar Seri Begawan</t>
        </is>
      </c>
      <c r="N371" s="12" t="n"/>
      <c r="O371" t="n">
        <v>4.9442</v>
      </c>
      <c r="P371" t="n">
        <v>114.928</v>
      </c>
      <c r="Q371" s="13" t="n"/>
      <c r="R371" t="n">
        <v>73</v>
      </c>
      <c r="T371" t="inlineStr">
        <is>
          <t>Asia/Brunei</t>
        </is>
      </c>
      <c r="V371" s="14" t="n"/>
      <c r="AO371" s="12" t="n"/>
      <c r="AP371" s="12" t="n"/>
      <c r="AQ371" s="12" t="n"/>
      <c r="AR371" s="12" t="n"/>
      <c r="AS371" s="16" t="n"/>
      <c r="AT371" s="16" t="n"/>
      <c r="AV371" s="124" t="n"/>
      <c r="AX371" s="118" t="n"/>
    </row>
    <row r="372">
      <c r="A372" t="inlineStr">
        <is>
          <t>WPDL</t>
        </is>
      </c>
      <c r="B372" t="inlineStr">
        <is>
          <t>DIL</t>
        </is>
      </c>
      <c r="E372" t="inlineStr">
        <is>
          <t>Presidente Nicolau Lobato International Airport</t>
        </is>
      </c>
      <c r="I372" t="inlineStr">
        <is>
          <t>Dili</t>
        </is>
      </c>
      <c r="N372" s="12" t="n"/>
      <c r="O372" t="n">
        <v>-8.546559999999999</v>
      </c>
      <c r="P372" t="n">
        <v>125.52451</v>
      </c>
      <c r="Q372" s="13" t="n"/>
      <c r="R372" t="n">
        <v>154</v>
      </c>
      <c r="T372" t="inlineStr">
        <is>
          <t>Asia/Dili</t>
        </is>
      </c>
      <c r="V372" s="14" t="n"/>
      <c r="AO372" s="12" t="n"/>
      <c r="AP372" s="12" t="n"/>
      <c r="AQ372" s="12" t="n"/>
      <c r="AR372" s="12" t="n"/>
      <c r="AS372" s="16" t="n"/>
      <c r="AT372" s="16" t="n"/>
      <c r="AV372" s="124" t="n"/>
      <c r="AX372" s="118" t="n"/>
    </row>
    <row r="373">
      <c r="A373" t="inlineStr">
        <is>
          <t>WPOC</t>
        </is>
      </c>
      <c r="B373" t="inlineStr">
        <is>
          <t>OEC</t>
        </is>
      </c>
      <c r="E373" t="inlineStr">
        <is>
          <t>Oecusse International Airport</t>
        </is>
      </c>
      <c r="I373" t="inlineStr">
        <is>
          <t>Oecussi-Ambeno</t>
        </is>
      </c>
      <c r="N373" s="12" t="n"/>
      <c r="O373" t="n">
        <v>-9.19842</v>
      </c>
      <c r="P373" t="n">
        <v>124.33787</v>
      </c>
      <c r="Q373" s="13" t="n"/>
      <c r="V373" s="14" t="n"/>
      <c r="AO373" s="12" t="n"/>
      <c r="AP373" s="12" t="n"/>
      <c r="AQ373" s="12" t="n"/>
      <c r="AR373" s="12" t="n"/>
      <c r="AS373" s="16" t="n"/>
      <c r="AT373" s="16" t="n"/>
      <c r="AV373" s="124" t="n"/>
      <c r="AX373" s="118" t="n"/>
    </row>
    <row r="374">
      <c r="A374" t="inlineStr">
        <is>
          <t>WSSS</t>
        </is>
      </c>
      <c r="B374" t="inlineStr">
        <is>
          <t>SIN</t>
        </is>
      </c>
      <c r="E374" t="inlineStr">
        <is>
          <t>Singapore Changi Airport</t>
        </is>
      </c>
      <c r="I374" t="inlineStr">
        <is>
          <t>Singapore</t>
        </is>
      </c>
      <c r="N374" s="12" t="n"/>
      <c r="O374" t="n">
        <v>1.35019</v>
      </c>
      <c r="P374" t="n">
        <v>103.994</v>
      </c>
      <c r="Q374" s="13" t="n"/>
      <c r="R374" t="n">
        <v>22</v>
      </c>
      <c r="T374" t="inlineStr">
        <is>
          <t>Asia/Singapore</t>
        </is>
      </c>
      <c r="V374" s="14" t="n"/>
      <c r="AO374" s="12" t="n"/>
      <c r="AP374" s="12" t="n"/>
      <c r="AQ374" s="12" t="n"/>
      <c r="AR374" s="12" t="n"/>
      <c r="AS374" s="16" t="n"/>
      <c r="AT374" s="16" t="n"/>
      <c r="AV374" s="124" t="n"/>
      <c r="AX374" s="118" t="n"/>
    </row>
    <row r="375">
      <c r="A375" t="inlineStr">
        <is>
          <t>YBBN</t>
        </is>
      </c>
      <c r="B375" t="inlineStr">
        <is>
          <t>BNE</t>
        </is>
      </c>
      <c r="E375" t="inlineStr">
        <is>
          <t>Brisbane International Airport</t>
        </is>
      </c>
      <c r="I375" t="inlineStr">
        <is>
          <t>Brisbane</t>
        </is>
      </c>
      <c r="N375" s="12" t="n"/>
      <c r="O375" t="n">
        <v>-27.3842</v>
      </c>
      <c r="P375" t="n">
        <v>153.117</v>
      </c>
      <c r="Q375" s="13" t="n"/>
      <c r="R375" t="n">
        <v>13</v>
      </c>
      <c r="T375" t="inlineStr">
        <is>
          <t>Australia/Brisbane</t>
        </is>
      </c>
      <c r="V375" s="14" t="n"/>
      <c r="AO375" s="12" t="n"/>
      <c r="AP375" s="12" t="n"/>
      <c r="AQ375" s="12" t="n"/>
      <c r="AR375" s="12" t="n"/>
      <c r="AS375" s="16" t="n"/>
      <c r="AT375" s="16" t="n"/>
      <c r="AV375" s="124" t="n"/>
      <c r="AX375" s="118" t="n"/>
    </row>
    <row r="376">
      <c r="A376" t="inlineStr">
        <is>
          <t>YBCG</t>
        </is>
      </c>
      <c r="B376" t="inlineStr">
        <is>
          <t>OOL</t>
        </is>
      </c>
      <c r="E376" t="inlineStr">
        <is>
          <t>Gold Coast Airport</t>
        </is>
      </c>
      <c r="I376" t="inlineStr">
        <is>
          <t>Gold Coast</t>
        </is>
      </c>
      <c r="N376" s="12" t="n"/>
      <c r="O376" t="n">
        <v>-28.16596</v>
      </c>
      <c r="P376" t="n">
        <v>153.50664</v>
      </c>
      <c r="Q376" s="13" t="n"/>
      <c r="R376" t="n">
        <v>21</v>
      </c>
      <c r="T376" t="inlineStr">
        <is>
          <t>Australia/Brisbane</t>
        </is>
      </c>
      <c r="V376" s="14" t="n"/>
      <c r="AO376" s="12" t="n"/>
      <c r="AP376" s="12" t="n"/>
      <c r="AQ376" s="12" t="n"/>
      <c r="AR376" s="12" t="n"/>
      <c r="AS376" s="16" t="n"/>
      <c r="AT376" s="16" t="n"/>
      <c r="AV376" s="124" t="n"/>
      <c r="AX376" s="118" t="n"/>
    </row>
    <row r="377">
      <c r="A377" t="inlineStr">
        <is>
          <t>YPCC</t>
        </is>
      </c>
      <c r="B377" t="inlineStr">
        <is>
          <t>CCK</t>
        </is>
      </c>
      <c r="E377" t="inlineStr">
        <is>
          <t>Cocos (Keeling) Islands Airport</t>
        </is>
      </c>
      <c r="I377" t="inlineStr">
        <is>
          <t>West Island</t>
        </is>
      </c>
      <c r="N377" s="12" t="n"/>
      <c r="O377" t="n">
        <v>-12.19222</v>
      </c>
      <c r="P377" t="n">
        <v>96.83410000000001</v>
      </c>
      <c r="Q377" s="13" t="n"/>
      <c r="R377" t="n">
        <v>10</v>
      </c>
      <c r="T377" t="inlineStr">
        <is>
          <t>Indian/Cocos</t>
        </is>
      </c>
      <c r="V377" s="14" t="n"/>
      <c r="AO377" s="12" t="n"/>
      <c r="AP377" s="12" t="n"/>
      <c r="AQ377" s="12" t="n"/>
      <c r="AR377" s="12" t="n"/>
      <c r="AS377" s="16" t="n"/>
      <c r="AT377" s="16" t="n"/>
      <c r="AV377" s="124" t="n"/>
      <c r="AX377" s="118" t="n"/>
    </row>
    <row r="378">
      <c r="A378" t="inlineStr">
        <is>
          <t>ZBAA</t>
        </is>
      </c>
      <c r="B378" t="inlineStr">
        <is>
          <t>PEK</t>
        </is>
      </c>
      <c r="E378" t="inlineStr">
        <is>
          <t>Beijing Capital International Airport</t>
        </is>
      </c>
      <c r="H378" t="inlineStr">
        <is>
          <t>China</t>
        </is>
      </c>
      <c r="I378" t="inlineStr">
        <is>
          <t>Beijing</t>
        </is>
      </c>
      <c r="N378" s="12" t="n"/>
      <c r="O378" t="n">
        <v>40.07735</v>
      </c>
      <c r="P378" t="n">
        <v>116.5967</v>
      </c>
      <c r="Q378" s="13" t="n"/>
      <c r="R378" t="n">
        <v>116</v>
      </c>
      <c r="T378" t="inlineStr">
        <is>
          <t>Asia/Shanghai</t>
        </is>
      </c>
      <c r="V378" s="14" t="n"/>
      <c r="AO378" s="12" t="n"/>
      <c r="AP378" s="12" t="n"/>
      <c r="AQ378" s="12" t="n"/>
      <c r="AR378" s="12" t="n"/>
      <c r="AS378" s="16" t="n"/>
      <c r="AT378" s="16" t="n"/>
      <c r="AV378" s="124" t="n"/>
      <c r="AX378" s="118" t="n"/>
    </row>
    <row r="379">
      <c r="A379" t="inlineStr">
        <is>
          <t>ZBAD</t>
        </is>
      </c>
      <c r="B379" t="inlineStr">
        <is>
          <t>PKX</t>
        </is>
      </c>
      <c r="E379" t="inlineStr">
        <is>
          <t>Beijing Daxing International Airport</t>
        </is>
      </c>
      <c r="H379" t="inlineStr">
        <is>
          <t>China</t>
        </is>
      </c>
      <c r="I379" t="inlineStr">
        <is>
          <t>Beijing</t>
        </is>
      </c>
      <c r="N379" s="12" t="n"/>
      <c r="O379" t="n">
        <v>39.50129</v>
      </c>
      <c r="P379" t="n">
        <v>116.41397</v>
      </c>
      <c r="Q379" s="13" t="n"/>
      <c r="R379" t="n">
        <v>98</v>
      </c>
      <c r="V379" s="14" t="n"/>
      <c r="AO379" s="12" t="n"/>
      <c r="AP379" s="12" t="n"/>
      <c r="AQ379" s="12" t="n"/>
      <c r="AR379" s="12" t="n"/>
      <c r="AS379" s="16" t="n"/>
      <c r="AT379" s="16" t="n"/>
      <c r="AV379" s="124" t="n"/>
      <c r="AX379" s="118" t="n"/>
    </row>
    <row r="380">
      <c r="A380" t="inlineStr">
        <is>
          <t>ZKPY</t>
        </is>
      </c>
      <c r="B380" t="inlineStr">
        <is>
          <t>FNJ</t>
        </is>
      </c>
      <c r="E380" t="inlineStr">
        <is>
          <t>Pyongyang Sunan International Airport</t>
        </is>
      </c>
      <c r="I380" t="inlineStr">
        <is>
          <t>Pyongyang</t>
        </is>
      </c>
      <c r="N380" s="12" t="n"/>
      <c r="O380" t="n">
        <v>39.2241</v>
      </c>
      <c r="P380" t="n">
        <v>125.67</v>
      </c>
      <c r="Q380" s="13" t="n"/>
      <c r="R380" t="n">
        <v>117</v>
      </c>
      <c r="T380" t="inlineStr">
        <is>
          <t>Asia/Pyongyang</t>
        </is>
      </c>
      <c r="V380" s="14" t="n"/>
      <c r="AO380" s="12" t="n"/>
      <c r="AP380" s="12" t="n"/>
      <c r="AQ380" s="12" t="n"/>
      <c r="AR380" s="12" t="n"/>
      <c r="AS380" s="16" t="n"/>
      <c r="AT380" s="16" t="n"/>
      <c r="AV380" s="124" t="n"/>
      <c r="AX380" s="118" t="n"/>
    </row>
    <row r="381">
      <c r="A381" t="inlineStr">
        <is>
          <t>ZMCK</t>
        </is>
      </c>
      <c r="B381" t="inlineStr">
        <is>
          <t>UBN</t>
        </is>
      </c>
      <c r="E381" t="inlineStr">
        <is>
          <t>Ulaanbaatar Chinggis Khaan International Airport</t>
        </is>
      </c>
      <c r="H381" t="inlineStr">
        <is>
          <t>Mongolia</t>
        </is>
      </c>
      <c r="I381" t="inlineStr">
        <is>
          <t>Ulaanbaatar</t>
        </is>
      </c>
      <c r="N381" s="12" t="n"/>
      <c r="O381" t="n">
        <v>47.64692</v>
      </c>
      <c r="P381" t="n">
        <v>106.81983</v>
      </c>
      <c r="Q381" s="13" t="n"/>
      <c r="R381" t="n">
        <v>4482</v>
      </c>
      <c r="V381" s="14" t="n"/>
      <c r="AO381" s="12" t="n"/>
      <c r="AP381" s="12" t="n"/>
      <c r="AQ381" s="12" t="n"/>
      <c r="AR381" s="12" t="n"/>
      <c r="AS381" s="16" t="n"/>
      <c r="AT381" s="16" t="n"/>
      <c r="AV381" s="124" t="n"/>
      <c r="AX381" s="118" t="n"/>
    </row>
    <row r="382">
      <c r="A382" t="inlineStr">
        <is>
          <t>ZMUB</t>
        </is>
      </c>
      <c r="B382" t="inlineStr">
        <is>
          <t>ULN</t>
        </is>
      </c>
      <c r="E382" t="inlineStr">
        <is>
          <t>Buyant-Ukhaa International Airport</t>
        </is>
      </c>
      <c r="H382" t="inlineStr">
        <is>
          <t>Mongolia</t>
        </is>
      </c>
      <c r="I382" t="inlineStr">
        <is>
          <t>Ulaanbaatar</t>
        </is>
      </c>
      <c r="N382" s="12" t="n"/>
      <c r="O382" t="n">
        <v>47.8431</v>
      </c>
      <c r="P382" t="n">
        <v>106.767</v>
      </c>
      <c r="Q382" s="13" t="n"/>
      <c r="R382" t="n">
        <v>4364</v>
      </c>
      <c r="T382" t="inlineStr">
        <is>
          <t>Asia/Ulaanbaatar</t>
        </is>
      </c>
      <c r="V382" s="14" t="n"/>
      <c r="AO382" s="12" t="n"/>
      <c r="AP382" s="12" t="n"/>
      <c r="AQ382" s="12" t="n"/>
      <c r="AR382" s="12" t="n"/>
      <c r="AS382" s="16" t="n"/>
      <c r="AT382" s="16" t="n"/>
      <c r="AV382" s="124" t="n"/>
      <c r="AX382" s="118" t="n"/>
    </row>
  </sheetData>
  <autoFilter ref="A2:AV2"/>
  <mergeCells count="10">
    <mergeCell ref="AU1:AV1"/>
    <mergeCell ref="A1:D1"/>
    <mergeCell ref="AJ1:AL1"/>
    <mergeCell ref="E1:M1"/>
    <mergeCell ref="AE1:AI1"/>
    <mergeCell ref="AS1:AT1"/>
    <mergeCell ref="N1:V1"/>
    <mergeCell ref="W1:AD1"/>
    <mergeCell ref="AO1:AR1"/>
    <mergeCell ref="AM1:AN1"/>
  </mergeCells>
  <dataValidations count="5">
    <dataValidation sqref="G3:G500" showDropDown="0" showInputMessage="1" showErrorMessage="1" allowBlank="1" type="list">
      <formula1>"admin!$A$5:$A$9"</formula1>
    </dataValidation>
    <dataValidation sqref="Z3:Z500" showDropDown="0" showInputMessage="1" showErrorMessage="1" allowBlank="1" type="list">
      <formula1>"admin!$B$5:$B$7"</formula1>
    </dataValidation>
    <dataValidation sqref="F3:F500" showDropDown="0" showInputMessage="1" showErrorMessage="1" allowBlank="1" type="list">
      <formula1>"admin!$C$5:$C$12"</formula1>
    </dataValidation>
    <dataValidation sqref="Y3:Y500" showDropDown="0" showInputMessage="1" showErrorMessage="1" allowBlank="1" type="list">
      <formula1>"admin!$D$5:$D$7"</formula1>
    </dataValidation>
    <dataValidation sqref="AG3:AG500" showDropDown="0" showInputMessage="1" showErrorMessage="1" allowBlank="1" type="list">
      <formula1>"admin!$E$5:$E$8"</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B3" sqref="B3"/>
    </sheetView>
  </sheetViews>
  <sheetFormatPr baseColWidth="8" defaultRowHeight="14.4"/>
  <cols>
    <col width="27.77734375" customWidth="1" min="1" max="8"/>
  </cols>
  <sheetData>
    <row r="1">
      <c r="A1" s="25" t="inlineStr">
        <is>
          <t>Airport ICAO (optional)</t>
        </is>
      </c>
      <c r="B1" s="25" t="inlineStr">
        <is>
          <t>Country</t>
        </is>
      </c>
      <c r="C1" s="25" t="inlineStr">
        <is>
          <t>Nationality</t>
        </is>
      </c>
      <c r="D1" s="25" t="inlineStr">
        <is>
          <t>Visa Type</t>
        </is>
      </c>
      <c r="E1" s="25" t="inlineStr">
        <is>
          <t>Required?</t>
        </is>
      </c>
      <c r="F1" s="25" t="inlineStr">
        <is>
          <t>Lead Time (days)</t>
        </is>
      </c>
      <c r="G1" s="25" t="inlineStr">
        <is>
          <t>Max Stay (days)</t>
        </is>
      </c>
      <c r="H1" s="25" t="inlineStr">
        <is>
          <t>Notes / Conditions</t>
        </is>
      </c>
    </row>
    <row r="2"/>
    <row r="3"/>
    <row r="4"/>
    <row r="5"/>
    <row r="6"/>
    <row r="7"/>
    <row r="8"/>
    <row r="9"/>
    <row r="10"/>
    <row r="11"/>
    <row r="12"/>
    <row r="13"/>
    <row r="14"/>
  </sheetData>
  <dataValidations count="1">
    <dataValidation sqref="E2:E400" showDropDown="0" showInputMessage="1" showErrorMessage="1" allowBlank="1" type="list">
      <formula1>"NOT REQUIRED,REQUIRED,VISA ON ARRIVAL,eVISA,TRANSIT ONLY,TIWB"</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F137"/>
  <sheetViews>
    <sheetView workbookViewId="0">
      <pane ySplit="1" topLeftCell="A107" activePane="bottomLeft" state="frozen"/>
      <selection pane="bottomLeft" activeCell="D101" sqref="D101"/>
    </sheetView>
  </sheetViews>
  <sheetFormatPr baseColWidth="8" defaultRowHeight="14.4"/>
  <cols>
    <col width="8.77734375" bestFit="1" customWidth="1" min="1" max="1"/>
    <col width="60.6640625" bestFit="1" customWidth="1" min="2" max="2"/>
    <col width="10.109375" bestFit="1" customWidth="1" min="3" max="3"/>
    <col width="8.6640625" bestFit="1" customWidth="1" min="4" max="4"/>
    <col width="7.21875" bestFit="1" customWidth="1" min="5" max="5"/>
    <col width="13.5546875" bestFit="1" customWidth="1" min="6" max="6"/>
    <col width="16.44140625" bestFit="1" customWidth="1" min="7" max="7"/>
    <col width="7.77734375" bestFit="1" customWidth="1" min="8" max="8"/>
    <col width="13.77734375" bestFit="1" customWidth="1" min="9" max="9"/>
    <col width="5.44140625" bestFit="1" customWidth="1" min="10" max="10"/>
    <col width="10.5546875" bestFit="1" customWidth="1" min="11" max="11"/>
    <col width="10.88671875" bestFit="1" customWidth="1" min="12" max="12"/>
    <col width="11.109375" bestFit="1" customWidth="1" min="13" max="13"/>
    <col width="13.44140625" bestFit="1" customWidth="1" min="14" max="14"/>
    <col width="8" bestFit="1" customWidth="1" min="15" max="15"/>
    <col width="39.44140625" bestFit="1" customWidth="1" min="16" max="16"/>
    <col width="10.33203125" bestFit="1" customWidth="1" min="17" max="18"/>
    <col width="15.77734375" bestFit="1" customWidth="1" min="19" max="19"/>
    <col width="32.44140625" customWidth="1" min="24" max="32"/>
  </cols>
  <sheetData>
    <row r="1">
      <c r="A1" s="18" t="inlineStr">
        <is>
          <t>vendor_id</t>
        </is>
      </c>
      <c r="B1" s="18" t="inlineStr">
        <is>
          <t>company_name</t>
        </is>
      </c>
      <c r="C1" s="18" t="inlineStr">
        <is>
          <t>legal_name</t>
        </is>
      </c>
      <c r="D1" s="18" t="inlineStr">
        <is>
          <t>tax_id_vat</t>
        </is>
      </c>
      <c r="E1" s="18" t="inlineStr">
        <is>
          <t>website</t>
        </is>
      </c>
      <c r="F1" s="18" t="inlineStr">
        <is>
          <t>account_type</t>
        </is>
      </c>
      <c r="G1" s="18" t="inlineStr">
        <is>
          <t>credit_rating_status</t>
        </is>
      </c>
      <c r="H1" s="18" t="inlineStr">
        <is>
          <t>is_active</t>
        </is>
      </c>
      <c r="I1" s="18" t="inlineStr">
        <is>
          <t>primary_contact</t>
        </is>
      </c>
      <c r="J1" s="19" t="inlineStr">
        <is>
          <t>email</t>
        </is>
      </c>
      <c r="K1" s="19" t="inlineStr">
        <is>
          <t>phone_24_7</t>
        </is>
      </c>
      <c r="L1" s="19" t="inlineStr">
        <is>
          <t>sita_address</t>
        </is>
      </c>
      <c r="M1" s="19" t="inlineStr">
        <is>
          <t>aftn_address</t>
        </is>
      </c>
      <c r="N1" s="19" t="inlineStr">
        <is>
          <t>payment_terms</t>
        </is>
      </c>
      <c r="O1" s="19" t="inlineStr">
        <is>
          <t>currency</t>
        </is>
      </c>
      <c r="P1" s="19" t="inlineStr">
        <is>
          <t>notes</t>
        </is>
      </c>
      <c r="Q1" s="19" t="inlineStr">
        <is>
          <t>created_at</t>
        </is>
      </c>
      <c r="R1" s="19" t="inlineStr">
        <is>
          <t>updated_at</t>
        </is>
      </c>
      <c r="S1" s="19" t="inlineStr">
        <is>
          <t>countries_covered</t>
        </is>
      </c>
      <c r="T1" s="22" t="inlineStr">
        <is>
          <t>countries_covered_list</t>
        </is>
      </c>
      <c r="U1" s="22" t="inlineStr">
        <is>
          <t>primary_icao</t>
        </is>
      </c>
      <c r="V1" s="22" t="inlineStr">
        <is>
          <t>airports_covered</t>
        </is>
      </c>
      <c r="X1" s="67" t="inlineStr">
        <is>
          <t>questionnaire_sent_on</t>
        </is>
      </c>
      <c r="Y1" s="67" t="inlineStr">
        <is>
          <t>questionnaire_returned_on</t>
        </is>
      </c>
      <c r="Z1" s="67" t="inlineStr">
        <is>
          <t>services_offered_codes</t>
        </is>
      </c>
      <c r="AA1" s="67" t="inlineStr">
        <is>
          <t>stations_covered</t>
        </is>
      </c>
      <c r="AB1" s="67" t="inlineStr">
        <is>
          <t>caa_direct_account_states</t>
        </is>
      </c>
      <c r="AC1" s="67" t="inlineStr">
        <is>
          <t>approved_by</t>
        </is>
      </c>
      <c r="AD1" s="67" t="inlineStr">
        <is>
          <t>approved_on</t>
        </is>
      </c>
      <c r="AE1" s="67" t="inlineStr">
        <is>
          <t>capability_status</t>
        </is>
      </c>
      <c r="AF1" s="67" t="inlineStr">
        <is>
          <t>preference_rank</t>
        </is>
      </c>
    </row>
    <row r="2">
      <c r="A2" t="inlineStr">
        <is>
          <t>VND-001</t>
        </is>
      </c>
      <c r="B2" t="inlineStr">
        <is>
          <t>ZAS Z AVIATION SERVICES</t>
        </is>
      </c>
      <c r="Q2" s="21" t="n"/>
      <c r="R2" s="21" t="n"/>
      <c r="X2" s="114" t="n"/>
      <c r="Y2" s="114" t="n"/>
      <c r="Z2" s="4" t="n"/>
      <c r="AC2" s="4" t="n"/>
      <c r="AD2" s="114" t="n"/>
      <c r="AE2" t="inlineStr">
        <is>
          <t>PENDING</t>
        </is>
      </c>
      <c r="AF2" s="4" t="n"/>
    </row>
    <row r="3">
      <c r="A3" t="inlineStr">
        <is>
          <t>VND-002</t>
        </is>
      </c>
      <c r="B3" t="inlineStr">
        <is>
          <t>NILE VALLEY AVIATION</t>
        </is>
      </c>
      <c r="Q3" s="21" t="n"/>
      <c r="R3" s="21" t="n"/>
      <c r="X3" s="114" t="n"/>
      <c r="Y3" s="114" t="n"/>
      <c r="Z3" s="4" t="n"/>
      <c r="AC3" s="4" t="n"/>
      <c r="AD3" s="114" t="n"/>
      <c r="AE3" t="inlineStr">
        <is>
          <t>PENDING</t>
        </is>
      </c>
      <c r="AF3" s="4" t="n"/>
    </row>
    <row r="4">
      <c r="A4" t="inlineStr">
        <is>
          <t>VND-003</t>
        </is>
      </c>
      <c r="B4" t="inlineStr">
        <is>
          <t>CLEOPATRA AVIATION</t>
        </is>
      </c>
      <c r="Q4" s="21" t="n"/>
      <c r="R4" s="21" t="n"/>
      <c r="X4" s="114" t="n"/>
      <c r="Y4" s="114" t="n"/>
      <c r="Z4" s="4" t="n"/>
      <c r="AC4" s="4" t="n"/>
      <c r="AD4" s="114" t="n"/>
      <c r="AE4" t="inlineStr">
        <is>
          <t>PENDING</t>
        </is>
      </c>
      <c r="AF4" s="4" t="n"/>
    </row>
    <row r="5">
      <c r="A5" t="inlineStr">
        <is>
          <t>VND-004</t>
        </is>
      </c>
      <c r="B5" t="inlineStr">
        <is>
          <t>NATIONAL AVIATION</t>
        </is>
      </c>
      <c r="Q5" s="21" t="n"/>
      <c r="R5" s="21" t="n"/>
      <c r="X5" s="114" t="n"/>
      <c r="Y5" s="114" t="n"/>
      <c r="Z5" s="4" t="n"/>
      <c r="AC5" s="4" t="n"/>
      <c r="AD5" s="114" t="n"/>
      <c r="AE5" t="inlineStr">
        <is>
          <t>PENDING</t>
        </is>
      </c>
      <c r="AF5" s="4" t="n"/>
    </row>
    <row r="6">
      <c r="A6" t="inlineStr">
        <is>
          <t>VND-005</t>
        </is>
      </c>
      <c r="B6" t="inlineStr">
        <is>
          <t>EGYPT JET AVIATION</t>
        </is>
      </c>
      <c r="Q6" s="21" t="n"/>
      <c r="R6" s="21" t="n"/>
      <c r="X6" s="114" t="n"/>
      <c r="Y6" s="114" t="n"/>
      <c r="Z6" s="4" t="n"/>
      <c r="AC6" s="4" t="n"/>
      <c r="AD6" s="114" t="n"/>
      <c r="AE6" t="inlineStr">
        <is>
          <t>PENDING</t>
        </is>
      </c>
      <c r="AF6" s="4" t="n"/>
    </row>
    <row r="7">
      <c r="A7" t="inlineStr">
        <is>
          <t>VND-006</t>
        </is>
      </c>
      <c r="B7" t="inlineStr">
        <is>
          <t>TIGER AVIATION SERVICES</t>
        </is>
      </c>
      <c r="Q7" s="21" t="n"/>
      <c r="R7" s="21" t="n"/>
      <c r="X7" s="114" t="n"/>
      <c r="Y7" s="114" t="n"/>
      <c r="Z7" s="4" t="n"/>
      <c r="AC7" s="4" t="n"/>
      <c r="AD7" s="114" t="n"/>
      <c r="AE7" t="inlineStr">
        <is>
          <t>PENDING</t>
        </is>
      </c>
      <c r="AF7" s="4" t="n"/>
    </row>
    <row r="8">
      <c r="A8" t="inlineStr">
        <is>
          <t>VND-007</t>
        </is>
      </c>
      <c r="B8" t="inlineStr">
        <is>
          <t>AIR SERVICES TOURISM L.L.C.</t>
        </is>
      </c>
      <c r="Q8" s="21" t="n"/>
      <c r="R8" s="21" t="n"/>
      <c r="X8" s="114" t="n"/>
      <c r="Y8" s="114" t="n"/>
      <c r="Z8" s="4" t="n"/>
      <c r="AC8" s="4" t="n"/>
      <c r="AD8" s="114" t="n"/>
      <c r="AE8" t="inlineStr">
        <is>
          <t>PENDING</t>
        </is>
      </c>
      <c r="AF8" s="4" t="n"/>
    </row>
    <row r="9">
      <c r="A9" t="inlineStr">
        <is>
          <t>VND-008</t>
        </is>
      </c>
      <c r="B9" t="inlineStr">
        <is>
          <t>JETEX FLIGHT SUPPORT</t>
        </is>
      </c>
      <c r="Q9" s="21" t="n"/>
      <c r="R9" s="21" t="n"/>
      <c r="X9" s="114" t="n"/>
      <c r="Y9" s="114" t="n"/>
      <c r="Z9" s="4" t="n"/>
      <c r="AC9" s="4" t="n"/>
      <c r="AD9" s="114" t="n"/>
      <c r="AE9" t="inlineStr">
        <is>
          <t>PENDING</t>
        </is>
      </c>
      <c r="AF9" s="4" t="n"/>
    </row>
    <row r="10">
      <c r="A10" t="inlineStr">
        <is>
          <t>VND-009</t>
        </is>
      </c>
      <c r="B10" t="inlineStr">
        <is>
          <t>JET AVIATION (EMEA)</t>
        </is>
      </c>
      <c r="Q10" s="21" t="n"/>
      <c r="R10" s="21" t="n"/>
      <c r="X10" s="114" t="n"/>
      <c r="Y10" s="114" t="n"/>
      <c r="Z10" s="4" t="n"/>
      <c r="AC10" s="4" t="n"/>
      <c r="AD10" s="114" t="n"/>
      <c r="AE10" t="inlineStr">
        <is>
          <t>PENDING</t>
        </is>
      </c>
      <c r="AF10" s="4" t="n"/>
    </row>
    <row r="11">
      <c r="A11" t="inlineStr">
        <is>
          <t>VND-010</t>
        </is>
      </c>
      <c r="B11" t="inlineStr">
        <is>
          <t>AVIARY</t>
        </is>
      </c>
      <c r="Q11" s="21" t="n"/>
      <c r="R11" s="21" t="n"/>
      <c r="X11" s="114" t="n"/>
      <c r="Y11" s="114" t="n"/>
      <c r="Z11" s="4" t="n"/>
      <c r="AC11" s="4" t="n"/>
      <c r="AD11" s="114" t="n"/>
      <c r="AE11" t="inlineStr">
        <is>
          <t>PENDING</t>
        </is>
      </c>
      <c r="AF11" s="4" t="n"/>
    </row>
    <row r="12">
      <c r="A12" t="inlineStr">
        <is>
          <t>VND-011</t>
        </is>
      </c>
      <c r="B12" t="inlineStr">
        <is>
          <t>MENZIES</t>
        </is>
      </c>
      <c r="Q12" s="21" t="n"/>
      <c r="R12" s="21" t="n"/>
      <c r="X12" s="114" t="n"/>
      <c r="Y12" s="114" t="n"/>
      <c r="Z12" s="4" t="n"/>
      <c r="AC12" s="4" t="n"/>
      <c r="AD12" s="114" t="n"/>
      <c r="AE12" t="inlineStr">
        <is>
          <t>PENDING</t>
        </is>
      </c>
      <c r="AF12" s="4" t="n"/>
    </row>
    <row r="13">
      <c r="A13" t="inlineStr">
        <is>
          <t>VND-012</t>
        </is>
      </c>
      <c r="B13" t="inlineStr">
        <is>
          <t>EXECUJET</t>
        </is>
      </c>
      <c r="Q13" s="21" t="n"/>
      <c r="R13" s="21" t="n"/>
      <c r="X13" s="114" t="n"/>
      <c r="Y13" s="114" t="n"/>
      <c r="Z13" s="4" t="n"/>
      <c r="AC13" s="4" t="n"/>
      <c r="AD13" s="114" t="n"/>
      <c r="AE13" t="inlineStr">
        <is>
          <t>PENDING</t>
        </is>
      </c>
      <c r="AF13" s="4" t="n"/>
    </row>
    <row r="14">
      <c r="A14" t="inlineStr">
        <is>
          <t>VND-013</t>
        </is>
      </c>
      <c r="B14" t="inlineStr">
        <is>
          <t>LANSERIA INTERNATIONAL AIRPORT (PTY) LTD</t>
        </is>
      </c>
      <c r="Q14" s="21" t="n"/>
      <c r="R14" s="21" t="n"/>
      <c r="X14" s="114" t="n"/>
      <c r="Y14" s="114" t="n"/>
      <c r="Z14" s="4" t="n"/>
      <c r="AC14" s="4" t="n"/>
      <c r="AD14" s="114" t="n"/>
      <c r="AE14" t="inlineStr">
        <is>
          <t>PENDING</t>
        </is>
      </c>
      <c r="AF14" s="4" t="n"/>
    </row>
    <row r="15">
      <c r="A15" t="inlineStr">
        <is>
          <t>VND-014</t>
        </is>
      </c>
      <c r="B15" t="inlineStr">
        <is>
          <t>FIRE BLADE AVIATION PROPRIETARY LIMITED</t>
        </is>
      </c>
      <c r="F15" s="1" t="n"/>
      <c r="Q15" s="21" t="n"/>
      <c r="R15" s="21" t="n"/>
      <c r="X15" s="114" t="n"/>
      <c r="Y15" s="114" t="n"/>
      <c r="Z15" s="4" t="n"/>
      <c r="AC15" s="4" t="n"/>
      <c r="AD15" s="114" t="n"/>
      <c r="AE15" t="inlineStr">
        <is>
          <t>PENDING</t>
        </is>
      </c>
      <c r="AF15" s="4" t="n"/>
    </row>
    <row r="16">
      <c r="A16" t="inlineStr">
        <is>
          <t>VND-015</t>
        </is>
      </c>
      <c r="B16" t="inlineStr">
        <is>
          <t>SIGNATURE FLIGHT SUPPORT (EMEA)</t>
        </is>
      </c>
      <c r="Q16" s="21" t="n"/>
      <c r="R16" s="21" t="n"/>
      <c r="X16" s="114" t="n"/>
      <c r="Y16" s="114" t="n"/>
      <c r="Z16" s="4" t="n"/>
      <c r="AC16" s="4" t="n"/>
      <c r="AD16" s="114" t="n"/>
      <c r="AE16" t="inlineStr">
        <is>
          <t>PENDING</t>
        </is>
      </c>
      <c r="AF16" s="4" t="n"/>
    </row>
    <row r="17">
      <c r="A17" t="inlineStr">
        <is>
          <t>VND-016</t>
        </is>
      </c>
      <c r="B17" t="inlineStr">
        <is>
          <t>PRIMKOP AIRPORT MANAGEMENT PTY LTD</t>
        </is>
      </c>
      <c r="Q17" s="21" t="n"/>
      <c r="R17" s="21" t="n"/>
      <c r="X17" s="114" t="n"/>
      <c r="Y17" s="114" t="n"/>
      <c r="Z17" s="4" t="n"/>
      <c r="AC17" s="4" t="n"/>
      <c r="AD17" s="114" t="n"/>
      <c r="AE17" t="inlineStr">
        <is>
          <t>PENDING</t>
        </is>
      </c>
      <c r="AF17" s="4" t="n"/>
    </row>
    <row r="18">
      <c r="A18" t="inlineStr">
        <is>
          <t>VND-017</t>
        </is>
      </c>
      <c r="B18" t="inlineStr">
        <is>
          <t>ABSOLUTE AVIATION</t>
        </is>
      </c>
      <c r="Q18" s="21" t="n"/>
      <c r="R18" s="21" t="n"/>
      <c r="X18" s="114" t="n"/>
      <c r="Y18" s="114" t="n"/>
      <c r="Z18" s="4" t="n"/>
      <c r="AC18" s="4" t="n"/>
      <c r="AD18" s="114" t="n"/>
      <c r="AE18" t="inlineStr">
        <is>
          <t>PENDING</t>
        </is>
      </c>
      <c r="AF18" s="4" t="n"/>
    </row>
    <row r="19">
      <c r="A19" t="inlineStr">
        <is>
          <t>VND-018</t>
        </is>
      </c>
      <c r="B19" t="inlineStr">
        <is>
          <t>FLIGHT MANAGEMENT LTD</t>
        </is>
      </c>
      <c r="Q19" s="21" t="n"/>
      <c r="R19" s="21" t="n"/>
      <c r="X19" s="114" t="n"/>
      <c r="Y19" s="114" t="n"/>
      <c r="Z19" s="4" t="n"/>
      <c r="AC19" s="4" t="n"/>
      <c r="AD19" s="114" t="n"/>
      <c r="AE19" t="inlineStr">
        <is>
          <t>PENDING</t>
        </is>
      </c>
      <c r="AF19" s="4" t="n"/>
    </row>
    <row r="20">
      <c r="A20" t="inlineStr">
        <is>
          <t>VND-019</t>
        </is>
      </c>
      <c r="B20" t="inlineStr">
        <is>
          <t>NAS COLOSSAL AVIATION SERVICES PTY LTD</t>
        </is>
      </c>
      <c r="Q20" s="21" t="n"/>
      <c r="R20" s="21" t="n"/>
      <c r="X20" s="114" t="n"/>
      <c r="Y20" s="114" t="n"/>
      <c r="Z20" s="4" t="n"/>
      <c r="AC20" s="4" t="n"/>
      <c r="AD20" s="114" t="n"/>
      <c r="AE20" t="inlineStr">
        <is>
          <t>PENDING</t>
        </is>
      </c>
      <c r="AF20" s="4" t="n"/>
    </row>
    <row r="21">
      <c r="A21" t="inlineStr">
        <is>
          <t>VND-020</t>
        </is>
      </c>
      <c r="B21" t="inlineStr">
        <is>
          <t>UPINGTON GROUND HANDLING CO (PTY) LTD</t>
        </is>
      </c>
      <c r="Q21" s="21" t="n"/>
      <c r="R21" s="21" t="n"/>
      <c r="X21" s="114" t="n"/>
      <c r="Y21" s="114" t="n"/>
      <c r="Z21" s="4" t="n"/>
      <c r="AC21" s="4" t="n"/>
      <c r="AD21" s="114" t="n"/>
      <c r="AE21" t="inlineStr">
        <is>
          <t>PENDING</t>
        </is>
      </c>
      <c r="AF21" s="4" t="n"/>
    </row>
    <row r="22">
      <c r="A22" t="inlineStr">
        <is>
          <t>VND-021</t>
        </is>
      </c>
      <c r="B22" t="inlineStr">
        <is>
          <t>DH AVIATION SERVICES</t>
        </is>
      </c>
      <c r="Q22" s="21" t="n"/>
      <c r="R22" s="21" t="n"/>
      <c r="X22" s="114" t="n"/>
      <c r="Y22" s="114" t="n"/>
      <c r="Z22" s="4" t="n"/>
      <c r="AC22" s="4" t="n"/>
      <c r="AD22" s="114" t="n"/>
      <c r="AE22" t="inlineStr">
        <is>
          <t>PENDING</t>
        </is>
      </c>
      <c r="AF22" s="4" t="n"/>
    </row>
    <row r="23">
      <c r="A23" t="inlineStr">
        <is>
          <t>VND-022</t>
        </is>
      </c>
      <c r="B23" t="inlineStr">
        <is>
          <t>GRAND CENTRAL AIRPORT PTY LTD</t>
        </is>
      </c>
      <c r="Q23" s="21" t="n"/>
      <c r="R23" s="21" t="n"/>
      <c r="X23" s="114" t="n"/>
      <c r="Y23" s="114" t="n"/>
      <c r="Z23" s="4" t="n"/>
      <c r="AC23" s="4" t="n"/>
      <c r="AD23" s="114" t="n"/>
      <c r="AE23" t="inlineStr">
        <is>
          <t>PENDING</t>
        </is>
      </c>
      <c r="AF23" s="4" t="n"/>
    </row>
    <row r="24">
      <c r="A24" t="inlineStr">
        <is>
          <t>VND-023</t>
        </is>
      </c>
      <c r="B24" t="inlineStr">
        <is>
          <t>VIA AVIATION LTD</t>
        </is>
      </c>
      <c r="Q24" s="21" t="n"/>
      <c r="R24" s="21" t="n"/>
      <c r="X24" s="114" t="n"/>
      <c r="Y24" s="114" t="n"/>
      <c r="Z24" s="4" t="n"/>
      <c r="AC24" s="4" t="n"/>
      <c r="AD24" s="114" t="n"/>
      <c r="AE24" t="inlineStr">
        <is>
          <t>PENDING</t>
        </is>
      </c>
      <c r="AF24" s="4" t="n"/>
    </row>
    <row r="25">
      <c r="A25" t="inlineStr">
        <is>
          <t>VND-024</t>
        </is>
      </c>
      <c r="B25" t="inlineStr">
        <is>
          <t>EQUITY AVIATION SERVICES (T) LTD</t>
        </is>
      </c>
      <c r="Q25" s="21" t="n"/>
      <c r="R25" s="21" t="n"/>
      <c r="X25" s="114" t="n"/>
      <c r="Y25" s="114" t="n"/>
      <c r="Z25" s="4" t="n"/>
      <c r="AC25" s="4" t="n"/>
      <c r="AD25" s="114" t="n"/>
      <c r="AE25" t="inlineStr">
        <is>
          <t>PENDING</t>
        </is>
      </c>
      <c r="AF25" s="4" t="n"/>
    </row>
    <row r="26">
      <c r="A26" t="inlineStr">
        <is>
          <t>VND-025</t>
        </is>
      </c>
      <c r="B26" t="inlineStr">
        <is>
          <t>AFRICAN AVIATION SERVICES</t>
        </is>
      </c>
      <c r="Q26" s="21" t="n"/>
      <c r="R26" s="21" t="n"/>
      <c r="X26" s="114" t="n"/>
      <c r="Y26" s="114" t="n"/>
      <c r="Z26" s="4" t="n"/>
      <c r="AC26" s="4" t="n"/>
      <c r="AD26" s="114" t="n"/>
      <c r="AE26" t="inlineStr">
        <is>
          <t>PENDING</t>
        </is>
      </c>
      <c r="AF26" s="4" t="n"/>
    </row>
    <row r="27">
      <c r="A27" t="inlineStr">
        <is>
          <t>VND-026</t>
        </is>
      </c>
      <c r="B27" t="inlineStr">
        <is>
          <t>LAKE AVIATION COMPANY LIMITED</t>
        </is>
      </c>
      <c r="Q27" s="21" t="n"/>
      <c r="R27" s="21" t="n"/>
      <c r="X27" s="114" t="n"/>
      <c r="Y27" s="114" t="n"/>
      <c r="Z27" s="4" t="n"/>
      <c r="AC27" s="4" t="n"/>
      <c r="AD27" s="114" t="n"/>
      <c r="AE27" t="inlineStr">
        <is>
          <t>PENDING</t>
        </is>
      </c>
      <c r="AF27" s="4" t="n"/>
    </row>
    <row r="28">
      <c r="A28" t="inlineStr">
        <is>
          <t>VND-027</t>
        </is>
      </c>
      <c r="B28" t="inlineStr">
        <is>
          <t>SWISSPORT (EMEA)</t>
        </is>
      </c>
      <c r="Q28" s="21" t="n"/>
      <c r="R28" s="21" t="n"/>
      <c r="X28" s="114" t="n"/>
      <c r="Y28" s="114" t="n"/>
      <c r="Z28" s="4" t="n"/>
      <c r="AC28" s="4" t="n"/>
      <c r="AD28" s="114" t="n"/>
      <c r="AE28" t="inlineStr">
        <is>
          <t>PENDING</t>
        </is>
      </c>
      <c r="AF28" s="4" t="n"/>
    </row>
    <row r="29">
      <c r="A29" t="inlineStr">
        <is>
          <t>VND-028</t>
        </is>
      </c>
      <c r="B29" t="inlineStr">
        <is>
          <t>THAMANI AVIATION BV</t>
        </is>
      </c>
      <c r="Q29" s="21" t="n"/>
      <c r="R29" s="21" t="n"/>
      <c r="X29" s="114" t="n"/>
      <c r="Y29" s="114" t="n"/>
      <c r="Z29" s="4" t="n"/>
      <c r="AC29" s="4" t="n"/>
      <c r="AD29" s="114" t="n"/>
      <c r="AE29" t="inlineStr">
        <is>
          <t>PENDING</t>
        </is>
      </c>
      <c r="AF29" s="4" t="n"/>
    </row>
    <row r="30">
      <c r="A30" t="inlineStr">
        <is>
          <t>VND-029</t>
        </is>
      </c>
      <c r="B30" t="inlineStr">
        <is>
          <t>TRADEWINDS AVIATION SERVICES</t>
        </is>
      </c>
      <c r="Q30" s="21" t="n"/>
      <c r="R30" s="21" t="n"/>
      <c r="X30" s="114" t="n"/>
      <c r="Y30" s="114" t="n"/>
      <c r="Z30" s="4" t="n"/>
      <c r="AC30" s="4" t="n"/>
      <c r="AD30" s="114" t="n"/>
      <c r="AE30" t="inlineStr">
        <is>
          <t>PENDING</t>
        </is>
      </c>
      <c r="AF30" s="4" t="n"/>
    </row>
    <row r="31">
      <c r="A31" t="inlineStr">
        <is>
          <t>VND-030</t>
        </is>
      </c>
      <c r="B31" t="inlineStr">
        <is>
          <t>STARS AVIATION SERVICES</t>
        </is>
      </c>
      <c r="Q31" s="21" t="n"/>
      <c r="R31" s="21" t="n"/>
      <c r="X31" s="114" t="n"/>
      <c r="Y31" s="114" t="n"/>
      <c r="Z31" s="4" t="n"/>
      <c r="AC31" s="4" t="n"/>
      <c r="AD31" s="114" t="n"/>
      <c r="AE31" t="inlineStr">
        <is>
          <t>PENDING</t>
        </is>
      </c>
      <c r="AF31" s="4" t="n"/>
    </row>
    <row r="32">
      <c r="A32" t="inlineStr">
        <is>
          <t>VND-031</t>
        </is>
      </c>
      <c r="B32" t="inlineStr">
        <is>
          <t>ASE-AIRLINE SUPERVISORS EXPERTS</t>
        </is>
      </c>
      <c r="Q32" s="21" t="n"/>
      <c r="R32" s="21" t="n"/>
      <c r="X32" s="114" t="n"/>
      <c r="Y32" s="114" t="n"/>
      <c r="Z32" s="4" t="n"/>
      <c r="AC32" s="4" t="n"/>
      <c r="AD32" s="114" t="n"/>
      <c r="AE32" t="inlineStr">
        <is>
          <t>PENDING</t>
        </is>
      </c>
      <c r="AF32" s="4" t="n"/>
    </row>
    <row r="33">
      <c r="A33" t="inlineStr">
        <is>
          <t>VND-032</t>
        </is>
      </c>
      <c r="B33" t="inlineStr">
        <is>
          <t>STARS AIRLINES SERVICES</t>
        </is>
      </c>
      <c r="Q33" s="21" t="n"/>
      <c r="R33" s="21" t="n"/>
      <c r="X33" s="114" t="n"/>
      <c r="Y33" s="114" t="n"/>
      <c r="Z33" s="4" t="n"/>
      <c r="AC33" s="4" t="n"/>
      <c r="AD33" s="114" t="n"/>
      <c r="AE33" t="inlineStr">
        <is>
          <t>PENDING</t>
        </is>
      </c>
      <c r="AF33" s="4" t="n"/>
    </row>
    <row r="34">
      <c r="A34" t="inlineStr">
        <is>
          <t>VND-033</t>
        </is>
      </c>
      <c r="B34" t="inlineStr">
        <is>
          <t>S.B. MAN &amp; CO LTD</t>
        </is>
      </c>
      <c r="Q34" s="21" t="n"/>
      <c r="R34" s="21" t="n"/>
      <c r="X34" s="114" t="n"/>
      <c r="Y34" s="114" t="n"/>
      <c r="Z34" s="4" t="n"/>
      <c r="AC34" s="4" t="n"/>
      <c r="AD34" s="114" t="n"/>
      <c r="AE34" t="inlineStr">
        <is>
          <t>PENDING</t>
        </is>
      </c>
      <c r="AF34" s="4" t="n"/>
    </row>
    <row r="35">
      <c r="A35" t="inlineStr">
        <is>
          <t>VND-034</t>
        </is>
      </c>
      <c r="B35" t="inlineStr">
        <is>
          <t>SAFEPORT CABO VERDE</t>
        </is>
      </c>
      <c r="Q35" s="21" t="n"/>
      <c r="R35" s="21" t="n"/>
      <c r="X35" s="114" t="n"/>
      <c r="Y35" s="114" t="n"/>
      <c r="Z35" s="4" t="n"/>
      <c r="AC35" s="4" t="n"/>
      <c r="AD35" s="114" t="n"/>
      <c r="AE35" t="inlineStr">
        <is>
          <t>PENDING</t>
        </is>
      </c>
      <c r="AF35" s="4" t="n"/>
    </row>
    <row r="36">
      <c r="A36" t="inlineStr">
        <is>
          <t>VND-035</t>
        </is>
      </c>
      <c r="B36" t="inlineStr">
        <is>
          <t>CABO VERDE HANDLING SA</t>
        </is>
      </c>
      <c r="Q36" s="21" t="n"/>
      <c r="R36" s="21" t="n"/>
      <c r="X36" s="114" t="n"/>
      <c r="Y36" s="114" t="n"/>
      <c r="Z36" s="4" t="n"/>
      <c r="AC36" s="4" t="n"/>
      <c r="AD36" s="114" t="n"/>
      <c r="AE36" t="inlineStr">
        <is>
          <t>PENDING</t>
        </is>
      </c>
      <c r="AF36" s="4" t="n"/>
    </row>
    <row r="37">
      <c r="A37" t="inlineStr">
        <is>
          <t>VND-036</t>
        </is>
      </c>
      <c r="B37" t="inlineStr">
        <is>
          <t>OMNI HANDLING</t>
        </is>
      </c>
      <c r="Q37" s="21" t="n"/>
      <c r="R37" s="21" t="n"/>
      <c r="X37" s="114" t="n"/>
      <c r="Y37" s="114" t="n"/>
      <c r="Z37" s="4" t="n"/>
      <c r="AC37" s="4" t="n"/>
      <c r="AD37" s="114" t="n"/>
      <c r="AE37" t="inlineStr">
        <is>
          <t>PENDING</t>
        </is>
      </c>
      <c r="AF37" s="4" t="n"/>
    </row>
    <row r="38">
      <c r="A38" t="inlineStr">
        <is>
          <t>VND-037</t>
        </is>
      </c>
      <c r="B38" t="inlineStr">
        <is>
          <t>LIDER AVIACAO</t>
        </is>
      </c>
      <c r="Q38" s="21" t="n"/>
      <c r="R38" s="21" t="n"/>
      <c r="X38" s="114" t="n"/>
      <c r="Y38" s="114" t="n"/>
      <c r="Z38" s="4" t="n"/>
      <c r="AC38" s="4" t="n"/>
      <c r="AD38" s="114" t="n"/>
      <c r="AE38" t="inlineStr">
        <is>
          <t>PENDING</t>
        </is>
      </c>
      <c r="AF38" s="4" t="n"/>
    </row>
    <row r="39">
      <c r="A39" t="inlineStr">
        <is>
          <t>VND-038</t>
        </is>
      </c>
      <c r="B39" t="inlineStr">
        <is>
          <t>MOZJET (EXECUTIVE AVIATION SERVICES MOZAMBIQUE)</t>
        </is>
      </c>
      <c r="Q39" s="21" t="n"/>
      <c r="R39" s="21" t="n"/>
      <c r="X39" s="114" t="n"/>
      <c r="Y39" s="114" t="n"/>
      <c r="Z39" s="4" t="n"/>
      <c r="AC39" s="4" t="n"/>
      <c r="AD39" s="114" t="n"/>
      <c r="AE39" t="inlineStr">
        <is>
          <t>PENDING</t>
        </is>
      </c>
      <c r="AF39" s="4" t="n"/>
    </row>
    <row r="40">
      <c r="A40" t="inlineStr">
        <is>
          <t>VND-039</t>
        </is>
      </c>
      <c r="B40" t="inlineStr">
        <is>
          <t>GENERAL AVIATION SERVICES</t>
        </is>
      </c>
      <c r="Q40" s="21" t="n"/>
      <c r="R40" s="21" t="n"/>
      <c r="X40" s="114" t="n"/>
      <c r="Y40" s="114" t="n"/>
      <c r="Z40" s="4" t="n"/>
      <c r="AC40" s="4" t="n"/>
      <c r="AD40" s="114" t="n"/>
      <c r="AE40" t="inlineStr">
        <is>
          <t>PENDING</t>
        </is>
      </c>
      <c r="AF40" s="4" t="n"/>
    </row>
    <row r="41">
      <c r="A41" t="inlineStr">
        <is>
          <t>VND-040</t>
        </is>
      </c>
      <c r="B41" t="inlineStr">
        <is>
          <t>MOZAMBIQUE AIRPORT HANDLING SERVICES</t>
        </is>
      </c>
      <c r="Q41" s="21" t="n"/>
      <c r="R41" s="21" t="n"/>
      <c r="X41" s="114" t="n"/>
      <c r="Y41" s="114" t="n"/>
      <c r="Z41" s="4" t="n"/>
      <c r="AC41" s="4" t="n"/>
      <c r="AD41" s="114" t="n"/>
      <c r="AE41" t="inlineStr">
        <is>
          <t>PENDING</t>
        </is>
      </c>
      <c r="AF41" s="4" t="n"/>
    </row>
    <row r="42">
      <c r="A42" t="inlineStr">
        <is>
          <t>VND-041</t>
        </is>
      </c>
      <c r="B42" t="inlineStr">
        <is>
          <t>ZIM AVIATION SERVICES T/A QUEENSBOROUGH TRADING (PVT) LTDSU</t>
        </is>
      </c>
      <c r="Q42" s="21" t="n"/>
      <c r="R42" s="21" t="n"/>
      <c r="X42" s="114" t="n"/>
      <c r="Y42" s="114" t="n"/>
      <c r="Z42" s="4" t="n"/>
      <c r="AC42" s="4" t="n"/>
      <c r="AD42" s="114" t="n"/>
      <c r="AE42" t="inlineStr">
        <is>
          <t>PENDING</t>
        </is>
      </c>
      <c r="AF42" s="4" t="n"/>
    </row>
    <row r="43">
      <c r="A43" t="inlineStr">
        <is>
          <t>VND-042</t>
        </is>
      </c>
      <c r="B43" t="inlineStr">
        <is>
          <t>BEACH CONSULTANCY PVT LTD T/A AVIATION GROUND SERVICES</t>
        </is>
      </c>
      <c r="Q43" s="21" t="n"/>
      <c r="R43" s="21" t="n"/>
      <c r="X43" s="114" t="n"/>
      <c r="Y43" s="114" t="n"/>
      <c r="Z43" s="4" t="n"/>
      <c r="AC43" s="4" t="n"/>
      <c r="AD43" s="114" t="n"/>
      <c r="AE43" t="inlineStr">
        <is>
          <t>PENDING</t>
        </is>
      </c>
      <c r="AF43" s="4" t="n"/>
    </row>
    <row r="44">
      <c r="A44" t="inlineStr">
        <is>
          <t>VND-043</t>
        </is>
      </c>
      <c r="B44" t="inlineStr">
        <is>
          <t>BIG DOT SERVICES (PVT) LTD.</t>
        </is>
      </c>
      <c r="Q44" s="21" t="n"/>
      <c r="R44" s="21" t="n"/>
      <c r="X44" s="114" t="n"/>
      <c r="Y44" s="114" t="n"/>
      <c r="Z44" s="4" t="n"/>
      <c r="AC44" s="4" t="n"/>
      <c r="AD44" s="114" t="n"/>
      <c r="AE44" t="inlineStr">
        <is>
          <t>PENDING</t>
        </is>
      </c>
      <c r="AF44" s="4" t="n"/>
    </row>
    <row r="45">
      <c r="A45" t="inlineStr">
        <is>
          <t>VND-044</t>
        </is>
      </c>
      <c r="B45" t="inlineStr">
        <is>
          <t>NAC 2000 CORPORATION LIMITED</t>
        </is>
      </c>
      <c r="Q45" s="21" t="n"/>
      <c r="R45" s="21" t="n"/>
      <c r="X45" s="114" t="n"/>
      <c r="Y45" s="114" t="n"/>
      <c r="Z45" s="4" t="n"/>
      <c r="AC45" s="4" t="n"/>
      <c r="AD45" s="114" t="n"/>
      <c r="AE45" t="inlineStr">
        <is>
          <t>PENDING</t>
        </is>
      </c>
      <c r="AF45" s="4" t="n"/>
    </row>
    <row r="46">
      <c r="A46" t="inlineStr">
        <is>
          <t>VND-045</t>
        </is>
      </c>
      <c r="B46" t="inlineStr">
        <is>
          <t>NATIONAL AIRWAYS CORPORATION PTY LTD</t>
        </is>
      </c>
      <c r="Q46" s="21" t="n"/>
      <c r="R46" s="21" t="n"/>
      <c r="X46" s="114" t="n"/>
      <c r="Y46" s="114" t="n"/>
      <c r="Z46" s="4" t="n"/>
      <c r="AC46" s="4" t="n"/>
      <c r="AD46" s="114" t="n"/>
      <c r="AE46" t="inlineStr">
        <is>
          <t>PENDING</t>
        </is>
      </c>
      <c r="AF46" s="4" t="n"/>
    </row>
    <row r="47">
      <c r="A47" t="inlineStr">
        <is>
          <t>VND-046</t>
        </is>
      </c>
      <c r="B47" t="inlineStr">
        <is>
          <t>VIPAERO ANGOLA LDA</t>
        </is>
      </c>
      <c r="Q47" s="21" t="n"/>
      <c r="R47" s="21" t="n"/>
      <c r="X47" s="114" t="n"/>
      <c r="Y47" s="114" t="n"/>
      <c r="Z47" s="4" t="n"/>
      <c r="AC47" s="4" t="n"/>
      <c r="AD47" s="114" t="n"/>
      <c r="AE47" t="inlineStr">
        <is>
          <t>PENDING</t>
        </is>
      </c>
      <c r="AF47" s="4" t="n"/>
    </row>
    <row r="48">
      <c r="A48" t="inlineStr">
        <is>
          <t>VND-047</t>
        </is>
      </c>
      <c r="B48" t="inlineStr">
        <is>
          <t>BESTFLY</t>
        </is>
      </c>
      <c r="Q48" s="21" t="n"/>
      <c r="R48" s="21" t="n"/>
      <c r="X48" s="114" t="n"/>
      <c r="Y48" s="114" t="n"/>
      <c r="Z48" s="4" t="n"/>
      <c r="AC48" s="4" t="n"/>
      <c r="AD48" s="114" t="n"/>
      <c r="AE48" t="inlineStr">
        <is>
          <t>PENDING</t>
        </is>
      </c>
      <c r="AF48" s="4" t="n"/>
    </row>
    <row r="49">
      <c r="A49" t="inlineStr">
        <is>
          <t>VND-048</t>
        </is>
      </c>
      <c r="B49" t="inlineStr">
        <is>
          <t>MULTIFLIGHT ASSISTANCE LDA</t>
        </is>
      </c>
      <c r="Q49" s="21" t="n"/>
      <c r="R49" s="21" t="n"/>
      <c r="X49" s="114" t="n"/>
      <c r="Y49" s="114" t="n"/>
      <c r="Z49" s="4" t="n"/>
      <c r="AC49" s="4" t="n"/>
      <c r="AD49" s="114" t="n"/>
      <c r="AE49" t="inlineStr">
        <is>
          <t>PENDING</t>
        </is>
      </c>
      <c r="AF49" s="4" t="n"/>
    </row>
    <row r="50">
      <c r="A50" t="inlineStr">
        <is>
          <t>VND-049</t>
        </is>
      </c>
      <c r="B50" t="inlineStr">
        <is>
          <t>WALVIS BAY AIRPORT SERVICES PTY LTD</t>
        </is>
      </c>
      <c r="Q50" s="21" t="n"/>
      <c r="R50" s="21" t="n"/>
      <c r="X50" s="114" t="n"/>
      <c r="Y50" s="114" t="n"/>
      <c r="Z50" s="4" t="n"/>
      <c r="AC50" s="4" t="n"/>
      <c r="AD50" s="114" t="n"/>
      <c r="AE50" t="inlineStr">
        <is>
          <t>PENDING</t>
        </is>
      </c>
      <c r="AF50" s="4" t="n"/>
    </row>
    <row r="51">
      <c r="A51" t="inlineStr">
        <is>
          <t>VND-050</t>
        </is>
      </c>
      <c r="B51" t="inlineStr">
        <is>
          <t>NEW RAYDE FLIGHT SUPPORT</t>
        </is>
      </c>
      <c r="Q51" s="21" t="n"/>
      <c r="R51" s="21" t="n"/>
      <c r="X51" s="114" t="n"/>
      <c r="Y51" s="114" t="n"/>
      <c r="Z51" s="4" t="n"/>
      <c r="AC51" s="4" t="n"/>
      <c r="AD51" s="114" t="n"/>
      <c r="AE51" t="inlineStr">
        <is>
          <t>PENDING</t>
        </is>
      </c>
      <c r="AF51" s="4" t="n"/>
    </row>
    <row r="52">
      <c r="A52" t="inlineStr">
        <is>
          <t>VND-051</t>
        </is>
      </c>
      <c r="B52" t="inlineStr">
        <is>
          <t>AEROGEM AVIATION LTD</t>
        </is>
      </c>
      <c r="Q52" s="21" t="n"/>
      <c r="R52" s="21" t="n"/>
      <c r="X52" s="114" t="n"/>
      <c r="Y52" s="114" t="n"/>
      <c r="Z52" s="4" t="n"/>
      <c r="AC52" s="4" t="n"/>
      <c r="AD52" s="114" t="n"/>
      <c r="AE52" t="inlineStr">
        <is>
          <t>PENDING</t>
        </is>
      </c>
      <c r="AF52" s="4" t="n"/>
    </row>
    <row r="53">
      <c r="A53" t="inlineStr">
        <is>
          <t>VND-052</t>
        </is>
      </c>
      <c r="B53" t="inlineStr">
        <is>
          <t>AVIATION HANDLING SERVICES SA</t>
        </is>
      </c>
      <c r="Q53" s="21" t="n"/>
      <c r="R53" s="21" t="n"/>
      <c r="X53" s="114" t="n"/>
      <c r="Y53" s="114" t="n"/>
      <c r="Z53" s="4" t="n"/>
      <c r="AC53" s="4" t="n"/>
      <c r="AD53" s="114" t="n"/>
      <c r="AE53" t="inlineStr">
        <is>
          <t>PENDING</t>
        </is>
      </c>
      <c r="AF53" s="4" t="n"/>
    </row>
    <row r="54">
      <c r="A54" t="inlineStr">
        <is>
          <t>VND-053</t>
        </is>
      </c>
      <c r="B54" t="inlineStr">
        <is>
          <t>MCDAN AVIATION LIMITED</t>
        </is>
      </c>
      <c r="Q54" s="21" t="n"/>
      <c r="R54" s="21" t="n"/>
      <c r="X54" s="114" t="n"/>
      <c r="Y54" s="114" t="n"/>
      <c r="Z54" s="4" t="n"/>
      <c r="AC54" s="4" t="n"/>
      <c r="AD54" s="114" t="n"/>
      <c r="AE54" t="inlineStr">
        <is>
          <t>PENDING</t>
        </is>
      </c>
      <c r="AF54" s="4" t="n"/>
    </row>
    <row r="55">
      <c r="A55" t="inlineStr">
        <is>
          <t>VND-054</t>
        </is>
      </c>
      <c r="B55" t="inlineStr">
        <is>
          <t>AVIANCE GHANA LTD</t>
        </is>
      </c>
      <c r="Q55" s="21" t="n"/>
      <c r="R55" s="21" t="n"/>
      <c r="X55" s="114" t="n"/>
      <c r="Y55" s="114" t="n"/>
      <c r="Z55" s="4" t="n"/>
      <c r="AC55" s="4" t="n"/>
      <c r="AD55" s="114" t="n"/>
      <c r="AE55" t="inlineStr">
        <is>
          <t>PENDING</t>
        </is>
      </c>
      <c r="AF55" s="4" t="n"/>
    </row>
    <row r="56">
      <c r="A56" t="inlineStr">
        <is>
          <t>VND-055</t>
        </is>
      </c>
      <c r="B56" t="inlineStr">
        <is>
          <t>SKYROUTING COMPANY LIMITED</t>
        </is>
      </c>
      <c r="Q56" s="21" t="n"/>
      <c r="R56" s="21" t="n"/>
      <c r="X56" s="114" t="n"/>
      <c r="Y56" s="114" t="n"/>
      <c r="Z56" s="4" t="n"/>
      <c r="AC56" s="4" t="n"/>
      <c r="AD56" s="114" t="n"/>
      <c r="AE56" t="inlineStr">
        <is>
          <t>PENDING</t>
        </is>
      </c>
      <c r="AF56" s="4" t="n"/>
    </row>
    <row r="57">
      <c r="A57" t="inlineStr">
        <is>
          <t>VND-056</t>
        </is>
      </c>
      <c r="B57" t="inlineStr">
        <is>
          <t>HADID INTERNATIONAL SERVICES</t>
        </is>
      </c>
      <c r="Q57" s="21" t="n"/>
      <c r="R57" s="21" t="n"/>
      <c r="X57" s="114" t="n"/>
      <c r="Y57" s="114" t="n"/>
      <c r="Z57" s="4" t="n"/>
      <c r="AC57" s="4" t="n"/>
      <c r="AD57" s="114" t="n"/>
      <c r="AE57" t="inlineStr">
        <is>
          <t>PENDING</t>
        </is>
      </c>
      <c r="AF57" s="4" t="n"/>
    </row>
    <row r="58">
      <c r="A58" t="inlineStr">
        <is>
          <t>VND-057</t>
        </is>
      </c>
      <c r="B58" t="inlineStr">
        <is>
          <t>SKYFOLK AVIATION</t>
        </is>
      </c>
      <c r="Q58" s="21" t="n"/>
      <c r="R58" s="21" t="n"/>
      <c r="X58" s="114" t="n"/>
      <c r="Y58" s="114" t="n"/>
      <c r="Z58" s="4" t="n"/>
      <c r="AC58" s="4" t="n"/>
      <c r="AD58" s="114" t="n"/>
      <c r="AE58" t="inlineStr">
        <is>
          <t>PENDING</t>
        </is>
      </c>
      <c r="AF58" s="4" t="n"/>
    </row>
    <row r="59">
      <c r="A59" t="inlineStr">
        <is>
          <t>VND-058</t>
        </is>
      </c>
      <c r="B59" t="inlineStr">
        <is>
          <t>HANDLING PARTNER GABON</t>
        </is>
      </c>
      <c r="Q59" s="21" t="n"/>
      <c r="R59" s="21" t="n"/>
      <c r="X59" s="114" t="n"/>
      <c r="Y59" s="114" t="n"/>
      <c r="Z59" s="4" t="n"/>
      <c r="AC59" s="4" t="n"/>
      <c r="AD59" s="114" t="n"/>
      <c r="AE59" t="inlineStr">
        <is>
          <t>PENDING</t>
        </is>
      </c>
      <c r="AF59" s="4" t="n"/>
    </row>
    <row r="60">
      <c r="A60" t="inlineStr">
        <is>
          <t>VND-059</t>
        </is>
      </c>
      <c r="B60" t="inlineStr">
        <is>
          <t>CONGO HANDLING S.A.</t>
        </is>
      </c>
      <c r="Q60" s="21" t="n"/>
      <c r="R60" s="21" t="n"/>
      <c r="X60" s="114" t="n"/>
      <c r="Y60" s="114" t="n"/>
      <c r="Z60" s="4" t="n"/>
      <c r="AC60" s="4" t="n"/>
      <c r="AD60" s="114" t="n"/>
      <c r="AE60" t="inlineStr">
        <is>
          <t>PENDING</t>
        </is>
      </c>
      <c r="AF60" s="4" t="n"/>
    </row>
    <row r="61">
      <c r="A61" t="inlineStr">
        <is>
          <t>VND-060</t>
        </is>
      </c>
      <c r="B61" t="inlineStr">
        <is>
          <t>AKANDA AVIATION</t>
        </is>
      </c>
      <c r="Q61" s="21" t="n"/>
      <c r="R61" s="21" t="n"/>
      <c r="X61" s="114" t="n"/>
      <c r="Y61" s="114" t="n"/>
      <c r="Z61" s="4" t="n"/>
      <c r="AC61" s="4" t="n"/>
      <c r="AD61" s="114" t="n"/>
      <c r="AE61" t="inlineStr">
        <is>
          <t>PENDING</t>
        </is>
      </c>
      <c r="AF61" s="4" t="n"/>
    </row>
    <row r="62">
      <c r="A62" t="inlineStr">
        <is>
          <t>VND-061</t>
        </is>
      </c>
      <c r="B62" t="inlineStr">
        <is>
          <t>AIRCRAFT GROUND HANDLING (PTY) LTD</t>
        </is>
      </c>
      <c r="Q62" s="21" t="n"/>
      <c r="R62" s="21" t="n"/>
      <c r="X62" s="114" t="n"/>
      <c r="Y62" s="114" t="n"/>
      <c r="Z62" s="4" t="n"/>
      <c r="AC62" s="4" t="n"/>
      <c r="AD62" s="114" t="n"/>
      <c r="AE62" t="inlineStr">
        <is>
          <t>PENDING</t>
        </is>
      </c>
      <c r="AF62" s="4" t="n"/>
    </row>
    <row r="63">
      <c r="A63" t="inlineStr">
        <is>
          <t>VND-062</t>
        </is>
      </c>
      <c r="B63" t="inlineStr">
        <is>
          <t>AIR CHARTER BOTSWANA (PTY) LTD TRADING AS KALAHARI AIR SERVICES</t>
        </is>
      </c>
      <c r="Q63" s="21" t="n"/>
      <c r="R63" s="21" t="n"/>
      <c r="X63" s="114" t="n"/>
      <c r="Y63" s="114" t="n"/>
      <c r="Z63" s="4" t="n"/>
      <c r="AC63" s="4" t="n"/>
      <c r="AD63" s="114" t="n"/>
      <c r="AE63" t="inlineStr">
        <is>
          <t>PENDING</t>
        </is>
      </c>
      <c r="AF63" s="4" t="n"/>
    </row>
    <row r="64">
      <c r="A64" t="inlineStr">
        <is>
          <t>VND-063</t>
        </is>
      </c>
      <c r="B64" t="inlineStr">
        <is>
          <t>EAN AVIATION LTD</t>
        </is>
      </c>
      <c r="Q64" s="21" t="n"/>
      <c r="R64" s="21" t="n"/>
      <c r="X64" s="114" t="n"/>
      <c r="Y64" s="114" t="n"/>
      <c r="Z64" s="4" t="n"/>
      <c r="AC64" s="4" t="n"/>
      <c r="AD64" s="114" t="n"/>
      <c r="AE64" t="inlineStr">
        <is>
          <t>PENDING</t>
        </is>
      </c>
      <c r="AF64" s="4" t="n"/>
    </row>
    <row r="65">
      <c r="A65" t="inlineStr">
        <is>
          <t>VND-064</t>
        </is>
      </c>
      <c r="B65" t="inlineStr">
        <is>
          <t>PARAGON AVIATION SERVICES PTY LTD</t>
        </is>
      </c>
      <c r="Q65" s="21" t="n"/>
      <c r="R65" s="21" t="n"/>
      <c r="X65" s="114" t="n"/>
      <c r="Y65" s="114" t="n"/>
      <c r="Z65" s="4" t="n"/>
      <c r="AC65" s="4" t="n"/>
      <c r="AD65" s="114" t="n"/>
      <c r="AE65" t="inlineStr">
        <is>
          <t>PENDING</t>
        </is>
      </c>
      <c r="AF65" s="4" t="n"/>
    </row>
    <row r="66">
      <c r="A66" t="inlineStr">
        <is>
          <t>VND-065</t>
        </is>
      </c>
      <c r="B66" t="inlineStr">
        <is>
          <t>WESTAIR AVIATION EROS AIRPORT</t>
        </is>
      </c>
      <c r="Q66" s="21" t="n"/>
      <c r="R66" s="21" t="n"/>
      <c r="X66" s="114" t="n"/>
      <c r="Y66" s="114" t="n"/>
      <c r="Z66" s="4" t="n"/>
      <c r="AC66" s="4" t="n"/>
      <c r="AD66" s="114" t="n"/>
      <c r="AE66" t="inlineStr">
        <is>
          <t>PENDING</t>
        </is>
      </c>
      <c r="AF66" s="4" t="n"/>
    </row>
    <row r="67">
      <c r="A67" t="inlineStr">
        <is>
          <t>VND-066</t>
        </is>
      </c>
      <c r="B67" t="inlineStr">
        <is>
          <t>WINGS OVER AFRICA</t>
        </is>
      </c>
      <c r="Q67" s="21" t="n"/>
      <c r="R67" s="21" t="n"/>
      <c r="X67" s="114" t="n"/>
      <c r="Y67" s="114" t="n"/>
      <c r="Z67" s="4" t="n"/>
      <c r="AC67" s="4" t="n"/>
      <c r="AD67" s="114" t="n"/>
      <c r="AE67" t="inlineStr">
        <is>
          <t>PENDING</t>
        </is>
      </c>
      <c r="AF67" s="4" t="n"/>
    </row>
    <row r="68">
      <c r="A68" t="inlineStr">
        <is>
          <t>VND-067</t>
        </is>
      </c>
      <c r="B68" t="inlineStr">
        <is>
          <t>NAMIBIA FLIGHT SUPPORT</t>
        </is>
      </c>
      <c r="Q68" s="21" t="n"/>
      <c r="R68" s="21" t="n"/>
      <c r="X68" s="114" t="n"/>
      <c r="Y68" s="114" t="n"/>
      <c r="Z68" s="4" t="n"/>
      <c r="AC68" s="4" t="n"/>
      <c r="AD68" s="114" t="n"/>
      <c r="AE68" t="inlineStr">
        <is>
          <t>PENDING</t>
        </is>
      </c>
      <c r="AF68" s="4" t="n"/>
    </row>
    <row r="69">
      <c r="A69" t="inlineStr">
        <is>
          <t>VND-068</t>
        </is>
      </c>
      <c r="B69" t="inlineStr">
        <is>
          <t>MALABAR BUSINESS TRAVEL</t>
        </is>
      </c>
      <c r="Q69" s="21" t="n"/>
      <c r="R69" s="21" t="n"/>
      <c r="X69" s="114" t="n"/>
      <c r="Y69" s="114" t="n"/>
      <c r="Z69" s="4" t="n"/>
      <c r="AC69" s="4" t="n"/>
      <c r="AD69" s="114" t="n"/>
      <c r="AE69" t="inlineStr">
        <is>
          <t>PENDING</t>
        </is>
      </c>
      <c r="AF69" s="4" t="n"/>
    </row>
    <row r="70">
      <c r="A70" t="inlineStr">
        <is>
          <t>VND-069</t>
        </is>
      </c>
      <c r="B70" t="inlineStr">
        <is>
          <t>AVIAMAN LTD</t>
        </is>
      </c>
      <c r="Q70" s="21" t="n"/>
      <c r="R70" s="21" t="n"/>
      <c r="X70" s="114" t="n"/>
      <c r="Y70" s="114" t="n"/>
      <c r="Z70" s="4" t="n"/>
      <c r="AC70" s="4" t="n"/>
      <c r="AD70" s="114" t="n"/>
      <c r="AE70" t="inlineStr">
        <is>
          <t>PENDING</t>
        </is>
      </c>
      <c r="AF70" s="4" t="n"/>
    </row>
    <row r="71">
      <c r="A71" t="inlineStr">
        <is>
          <t>VND-070</t>
        </is>
      </c>
      <c r="B71" t="inlineStr">
        <is>
          <t>ENTEBBE HANDLING SERVICES LTD</t>
        </is>
      </c>
      <c r="Q71" s="21" t="n"/>
      <c r="R71" s="21" t="n"/>
      <c r="X71" s="114" t="n"/>
      <c r="Y71" s="114" t="n"/>
      <c r="Z71" s="4" t="n"/>
      <c r="AC71" s="4" t="n"/>
      <c r="AD71" s="114" t="n"/>
      <c r="AE71" t="inlineStr">
        <is>
          <t>PENDING</t>
        </is>
      </c>
      <c r="AF71" s="4" t="n"/>
    </row>
    <row r="72">
      <c r="A72" t="inlineStr">
        <is>
          <t>VND-071</t>
        </is>
      </c>
      <c r="B72" t="inlineStr">
        <is>
          <t>PECKAIR AVIATION SERVICES</t>
        </is>
      </c>
      <c r="Q72" s="21" t="n"/>
      <c r="R72" s="21" t="n"/>
      <c r="X72" s="114" t="n"/>
      <c r="Y72" s="114" t="n"/>
      <c r="Z72" s="4" t="n"/>
      <c r="AC72" s="4" t="n"/>
      <c r="AD72" s="114" t="n"/>
      <c r="AE72" t="inlineStr">
        <is>
          <t>PENDING</t>
        </is>
      </c>
      <c r="AF72" s="4" t="n"/>
    </row>
    <row r="73">
      <c r="A73" t="inlineStr">
        <is>
          <t>VND-072</t>
        </is>
      </c>
      <c r="B73" t="inlineStr">
        <is>
          <t>AGSC LTD</t>
        </is>
      </c>
      <c r="Q73" s="21" t="n"/>
      <c r="R73" s="21" t="n"/>
      <c r="X73" s="114" t="n"/>
      <c r="Y73" s="114" t="n"/>
      <c r="Z73" s="4" t="n"/>
      <c r="AC73" s="4" t="n"/>
      <c r="AD73" s="114" t="n"/>
      <c r="AE73" t="inlineStr">
        <is>
          <t>PENDING</t>
        </is>
      </c>
      <c r="AF73" s="4" t="n"/>
    </row>
    <row r="74">
      <c r="A74" t="inlineStr">
        <is>
          <t>VND-073</t>
        </is>
      </c>
      <c r="B74" t="inlineStr">
        <is>
          <t>SONIC JET AVIATION SERVICES</t>
        </is>
      </c>
      <c r="Q74" s="21" t="n"/>
      <c r="R74" s="21" t="n"/>
      <c r="X74" s="114" t="n"/>
      <c r="Y74" s="114" t="n"/>
      <c r="Z74" s="4" t="n"/>
      <c r="AC74" s="4" t="n"/>
      <c r="AD74" s="114" t="n"/>
      <c r="AE74" t="inlineStr">
        <is>
          <t>PENDING</t>
        </is>
      </c>
      <c r="AF74" s="4" t="n"/>
    </row>
    <row r="75">
      <c r="A75" t="inlineStr">
        <is>
          <t>VND-074</t>
        </is>
      </c>
      <c r="B75" t="inlineStr">
        <is>
          <t>KRIMSON ACMC PLC</t>
        </is>
      </c>
      <c r="Q75" s="21" t="n"/>
      <c r="R75" s="21" t="n"/>
      <c r="X75" s="114" t="n"/>
      <c r="Y75" s="114" t="n"/>
      <c r="Z75" s="4" t="n"/>
      <c r="AC75" s="4" t="n"/>
      <c r="AD75" s="114" t="n"/>
      <c r="AE75" t="inlineStr">
        <is>
          <t>PENDING</t>
        </is>
      </c>
      <c r="AF75" s="4" t="n"/>
    </row>
    <row r="76">
      <c r="A76" t="inlineStr">
        <is>
          <t>VND-075</t>
        </is>
      </c>
      <c r="B76" t="inlineStr">
        <is>
          <t>LANDOVER AVIATION</t>
        </is>
      </c>
      <c r="Q76" s="21" t="n"/>
      <c r="R76" s="21" t="n"/>
      <c r="X76" s="114" t="n"/>
      <c r="Y76" s="114" t="n"/>
      <c r="Z76" s="4" t="n"/>
      <c r="AC76" s="4" t="n"/>
      <c r="AD76" s="114" t="n"/>
      <c r="AE76" t="inlineStr">
        <is>
          <t>PENDING</t>
        </is>
      </c>
      <c r="AF76" s="4" t="n"/>
    </row>
    <row r="77">
      <c r="A77" t="inlineStr">
        <is>
          <t>VND-076</t>
        </is>
      </c>
      <c r="B77" t="inlineStr">
        <is>
          <t>AIR SEYCHELLES LTD</t>
        </is>
      </c>
      <c r="Q77" s="21" t="n"/>
      <c r="R77" s="21" t="n"/>
      <c r="X77" s="114" t="n"/>
      <c r="Y77" s="114" t="n"/>
      <c r="Z77" s="4" t="n"/>
      <c r="AC77" s="4" t="n"/>
      <c r="AD77" s="114" t="n"/>
      <c r="AE77" t="inlineStr">
        <is>
          <t>PENDING</t>
        </is>
      </c>
      <c r="AF77" s="4" t="n"/>
    </row>
    <row r="78">
      <c r="A78" t="inlineStr">
        <is>
          <t>VND-077</t>
        </is>
      </c>
      <c r="B78" t="inlineStr">
        <is>
          <t>IVOIRE JET CENTER</t>
        </is>
      </c>
      <c r="Q78" s="21" t="n"/>
      <c r="R78" s="21" t="n"/>
      <c r="X78" s="114" t="n"/>
      <c r="Y78" s="114" t="n"/>
      <c r="Z78" s="4" t="n"/>
      <c r="AC78" s="4" t="n"/>
      <c r="AD78" s="114" t="n"/>
      <c r="AE78" t="inlineStr">
        <is>
          <t>PENDING</t>
        </is>
      </c>
      <c r="AF78" s="4" t="n"/>
    </row>
    <row r="79">
      <c r="A79" t="inlineStr">
        <is>
          <t>VND-078</t>
        </is>
      </c>
      <c r="B79" t="inlineStr">
        <is>
          <t>MULTIFORM SERVICES LDA</t>
        </is>
      </c>
      <c r="Q79" s="21" t="n"/>
      <c r="R79" s="21" t="n"/>
      <c r="X79" s="114" t="n"/>
      <c r="Y79" s="114" t="n"/>
      <c r="Z79" s="4" t="n"/>
      <c r="AC79" s="4" t="n"/>
      <c r="AD79" s="114" t="n"/>
      <c r="AE79" t="inlineStr">
        <is>
          <t>PENDING</t>
        </is>
      </c>
      <c r="AF79" s="4" t="n"/>
    </row>
    <row r="80">
      <c r="A80" t="inlineStr">
        <is>
          <t>VND-079</t>
        </is>
      </c>
      <c r="B80" t="inlineStr">
        <is>
          <t>MADAGASCAR GROUND HANDLING</t>
        </is>
      </c>
      <c r="Q80" s="21" t="n"/>
      <c r="R80" s="21" t="n"/>
      <c r="X80" s="114" t="n"/>
      <c r="Y80" s="114" t="n"/>
      <c r="Z80" s="4" t="n"/>
      <c r="AC80" s="4" t="n"/>
      <c r="AD80" s="114" t="n"/>
      <c r="AE80" t="inlineStr">
        <is>
          <t>PENDING</t>
        </is>
      </c>
      <c r="AF80" s="4" t="n"/>
    </row>
    <row r="81">
      <c r="A81" t="inlineStr">
        <is>
          <t>VND-080</t>
        </is>
      </c>
      <c r="B81" t="inlineStr">
        <is>
          <t>OPEN SKIES SERVICES CO. LTD.</t>
        </is>
      </c>
      <c r="Q81" s="21" t="n"/>
      <c r="R81" s="21" t="n"/>
      <c r="X81" s="114" t="n"/>
      <c r="Y81" s="114" t="n"/>
      <c r="Z81" s="4" t="n"/>
      <c r="AC81" s="4" t="n"/>
      <c r="AD81" s="114" t="n"/>
      <c r="AE81" t="inlineStr">
        <is>
          <t>PENDING</t>
        </is>
      </c>
      <c r="AF81" s="4" t="n"/>
    </row>
    <row r="82">
      <c r="A82" t="inlineStr">
        <is>
          <t>VND-081</t>
        </is>
      </c>
      <c r="B82" t="inlineStr">
        <is>
          <t>LILONGWE HANDLING COMPANY LTD</t>
        </is>
      </c>
      <c r="Q82" s="21" t="n"/>
      <c r="R82" s="21" t="n"/>
      <c r="X82" s="114" t="n"/>
      <c r="Y82" s="114" t="n"/>
      <c r="Z82" s="4" t="n"/>
      <c r="AC82" s="4" t="n"/>
      <c r="AD82" s="114" t="n"/>
      <c r="AE82" t="inlineStr">
        <is>
          <t>PENDING</t>
        </is>
      </c>
      <c r="AF82" s="4" t="n"/>
    </row>
    <row r="83">
      <c r="A83" t="inlineStr">
        <is>
          <t>VND-082</t>
        </is>
      </c>
      <c r="B83" t="inlineStr">
        <is>
          <t>INTERNATIONAL CARGO AND AVIATION SERVICES P LC</t>
        </is>
      </c>
      <c r="Q83" s="21" t="n"/>
      <c r="R83" s="21" t="n"/>
      <c r="X83" s="114" t="n"/>
      <c r="Y83" s="114" t="n"/>
      <c r="Z83" s="4" t="n"/>
      <c r="AC83" s="4" t="n"/>
      <c r="AD83" s="114" t="n"/>
      <c r="AE83" t="inlineStr">
        <is>
          <t>PENDING</t>
        </is>
      </c>
      <c r="AF83" s="4" t="n"/>
    </row>
    <row r="84">
      <c r="A84" t="inlineStr">
        <is>
          <t>VND-083</t>
        </is>
      </c>
      <c r="B84" t="inlineStr">
        <is>
          <t>APOGEE OPERATIONS LIMITED</t>
        </is>
      </c>
      <c r="Q84" s="21" t="n"/>
      <c r="R84" s="21" t="n"/>
      <c r="X84" s="114" t="n"/>
      <c r="Y84" s="114" t="n"/>
      <c r="Z84" s="4" t="n"/>
      <c r="AC84" s="4" t="n"/>
      <c r="AD84" s="114" t="n"/>
      <c r="AE84" t="inlineStr">
        <is>
          <t>PENDING</t>
        </is>
      </c>
      <c r="AF84" s="4" t="n"/>
    </row>
    <row r="85">
      <c r="A85" t="inlineStr">
        <is>
          <t>VND-084</t>
        </is>
      </c>
      <c r="B85" t="inlineStr">
        <is>
          <t>ETHIOPIAN AIRLINES ENTERPRISE</t>
        </is>
      </c>
      <c r="Q85" s="21" t="n"/>
      <c r="R85" s="21" t="n"/>
      <c r="X85" s="114" t="n"/>
      <c r="Y85" s="114" t="n"/>
      <c r="Z85" s="4" t="n"/>
      <c r="AC85" s="4" t="n"/>
      <c r="AD85" s="114" t="n"/>
      <c r="AE85" t="inlineStr">
        <is>
          <t>PENDING</t>
        </is>
      </c>
      <c r="AF85" s="4" t="n"/>
    </row>
    <row r="86">
      <c r="A86" t="inlineStr">
        <is>
          <t>VND-085</t>
        </is>
      </c>
      <c r="B86" t="inlineStr">
        <is>
          <t>AFRICAN OPEN SKY</t>
        </is>
      </c>
      <c r="Q86" s="21" t="n"/>
      <c r="R86" s="21" t="n"/>
      <c r="X86" s="114" t="n"/>
      <c r="Y86" s="114" t="n"/>
      <c r="Z86" s="4" t="n"/>
      <c r="AC86" s="4" t="n"/>
      <c r="AD86" s="114" t="n"/>
      <c r="AE86" t="inlineStr">
        <is>
          <t>PENDING</t>
        </is>
      </c>
      <c r="AF86" s="4" t="n"/>
    </row>
    <row r="87">
      <c r="A87" t="inlineStr">
        <is>
          <t>VND-086</t>
        </is>
      </c>
      <c r="B87" t="inlineStr">
        <is>
          <t>UAS INTERNATIONAL TRIP SUPPORT</t>
        </is>
      </c>
      <c r="Q87" s="21" t="n"/>
      <c r="R87" s="21" t="n"/>
      <c r="X87" s="114" t="n"/>
      <c r="Y87" s="114" t="n"/>
      <c r="Z87" s="4" t="n"/>
      <c r="AC87" s="4" t="n"/>
      <c r="AD87" s="114" t="n"/>
      <c r="AE87" t="inlineStr">
        <is>
          <t>PENDING</t>
        </is>
      </c>
      <c r="AF87" s="4" t="n"/>
    </row>
    <row r="88">
      <c r="A88" t="inlineStr">
        <is>
          <t>VND-087</t>
        </is>
      </c>
      <c r="B88" t="inlineStr">
        <is>
          <t>AIR SERVICE HANDLING</t>
        </is>
      </c>
      <c r="Q88" s="21" t="n"/>
      <c r="R88" s="21" t="n"/>
      <c r="X88" s="114" t="n"/>
      <c r="Y88" s="114" t="n"/>
      <c r="Z88" s="4" t="n"/>
      <c r="AC88" s="4" t="n"/>
      <c r="AD88" s="114" t="n"/>
      <c r="AE88" t="inlineStr">
        <is>
          <t>PENDING</t>
        </is>
      </c>
      <c r="AF88" s="4" t="n"/>
    </row>
    <row r="89">
      <c r="A89" t="inlineStr">
        <is>
          <t>VND-088</t>
        </is>
      </c>
      <c r="B89" t="inlineStr">
        <is>
          <t>FLIGHT SUPPORT AERO SERVICE-SARL</t>
        </is>
      </c>
      <c r="Q89" s="21" t="n"/>
      <c r="R89" s="21" t="n"/>
      <c r="X89" s="114" t="n"/>
      <c r="Y89" s="114" t="n"/>
      <c r="Z89" s="4" t="n"/>
      <c r="AC89" s="4" t="n"/>
      <c r="AD89" s="114" t="n"/>
      <c r="AE89" t="inlineStr">
        <is>
          <t>PENDING</t>
        </is>
      </c>
      <c r="AF89" s="4" t="n"/>
    </row>
    <row r="90">
      <c r="A90" t="inlineStr">
        <is>
          <t>VND-089</t>
        </is>
      </c>
      <c r="B90" t="inlineStr">
        <is>
          <t>SERVICE AIR TUNISIA</t>
        </is>
      </c>
      <c r="Q90" s="21" t="n"/>
      <c r="R90" s="21" t="n"/>
      <c r="X90" s="114" t="n"/>
      <c r="Y90" s="114" t="n"/>
      <c r="Z90" s="4" t="n"/>
      <c r="AC90" s="4" t="n"/>
      <c r="AD90" s="114" t="n"/>
      <c r="AE90" t="inlineStr">
        <is>
          <t>PENDING</t>
        </is>
      </c>
      <c r="AF90" s="4" t="n"/>
    </row>
    <row r="91">
      <c r="A91" t="inlineStr">
        <is>
          <t>VND-090</t>
        </is>
      </c>
      <c r="B91" t="inlineStr">
        <is>
          <t>GLOBE TRAVEL AVIATION</t>
        </is>
      </c>
      <c r="Q91" s="21" t="n"/>
      <c r="R91" s="21" t="n"/>
      <c r="X91" s="114" t="n"/>
      <c r="Y91" s="114" t="n"/>
      <c r="Z91" s="4" t="n"/>
      <c r="AC91" s="4" t="n"/>
      <c r="AD91" s="114" t="n"/>
      <c r="AE91" t="inlineStr">
        <is>
          <t>PENDING</t>
        </is>
      </c>
      <c r="AF91" s="4" t="n"/>
    </row>
    <row r="92">
      <c r="A92" t="inlineStr">
        <is>
          <t>VND-091</t>
        </is>
      </c>
      <c r="B92" t="inlineStr">
        <is>
          <t>JET PRIME LTD</t>
        </is>
      </c>
      <c r="Q92" s="21" t="n"/>
      <c r="R92" s="21" t="n"/>
      <c r="X92" s="114" t="n"/>
      <c r="Y92" s="114" t="n"/>
      <c r="Z92" s="4" t="n"/>
      <c r="AC92" s="4" t="n"/>
      <c r="AD92" s="114" t="n"/>
      <c r="AE92" t="inlineStr">
        <is>
          <t>PENDING</t>
        </is>
      </c>
      <c r="AF92" s="4" t="n"/>
    </row>
    <row r="93">
      <c r="A93" t="inlineStr">
        <is>
          <t>VND-092</t>
        </is>
      </c>
      <c r="B93" t="inlineStr">
        <is>
          <t>MWA MULTI-SERVICES SARL</t>
        </is>
      </c>
      <c r="Q93" s="21" t="n"/>
      <c r="R93" s="21" t="n"/>
      <c r="X93" s="114" t="n"/>
      <c r="Y93" s="114" t="n"/>
      <c r="Z93" s="4" t="n"/>
      <c r="AC93" s="4" t="n"/>
      <c r="AD93" s="114" t="n"/>
      <c r="AE93" t="inlineStr">
        <is>
          <t>PENDING</t>
        </is>
      </c>
      <c r="AF93" s="4" t="n"/>
    </row>
    <row r="94">
      <c r="A94" t="inlineStr">
        <is>
          <t>VND-093</t>
        </is>
      </c>
      <c r="B94" t="inlineStr">
        <is>
          <t>INTER TROPIC HOLDING</t>
        </is>
      </c>
      <c r="Q94" s="21" t="n"/>
      <c r="R94" s="21" t="n"/>
      <c r="X94" s="114" t="n"/>
      <c r="Y94" s="114" t="n"/>
      <c r="Z94" s="4" t="n"/>
      <c r="AC94" s="4" t="n"/>
      <c r="AD94" s="114" t="n"/>
      <c r="AE94" t="inlineStr">
        <is>
          <t>PENDING</t>
        </is>
      </c>
      <c r="AF94" s="4" t="n"/>
    </row>
    <row r="95">
      <c r="A95" t="inlineStr">
        <is>
          <t>VND-094</t>
        </is>
      </c>
      <c r="B95" t="inlineStr">
        <is>
          <t>CAMPORT PLC</t>
        </is>
      </c>
      <c r="Q95" s="21" t="n"/>
      <c r="R95" s="21" t="n"/>
      <c r="X95" s="114" t="n"/>
      <c r="Y95" s="114" t="n"/>
      <c r="Z95" s="4" t="n"/>
      <c r="AC95" s="4" t="n"/>
      <c r="AD95" s="114" t="n"/>
      <c r="AE95" t="inlineStr">
        <is>
          <t>PENDING</t>
        </is>
      </c>
      <c r="AF95" s="4" t="n"/>
    </row>
    <row r="96">
      <c r="A96" t="inlineStr">
        <is>
          <t>VND-095</t>
        </is>
      </c>
      <c r="B96" t="inlineStr">
        <is>
          <t>AVIATION FLIGHT SUPPORT BURKINA</t>
        </is>
      </c>
      <c r="Q96" s="21" t="n"/>
      <c r="R96" s="21" t="n"/>
      <c r="X96" s="114" t="n"/>
      <c r="Y96" s="114" t="n"/>
      <c r="Z96" s="4" t="n"/>
      <c r="AC96" s="4" t="n"/>
      <c r="AD96" s="114" t="n"/>
      <c r="AE96" t="inlineStr">
        <is>
          <t>PENDING</t>
        </is>
      </c>
      <c r="AF96" s="4" t="n"/>
    </row>
    <row r="97">
      <c r="A97" t="inlineStr">
        <is>
          <t>VND-096</t>
        </is>
      </c>
      <c r="B97" t="inlineStr">
        <is>
          <t>ROYAL ESWATINI NATIONAL AIRWAYS CORPORATION</t>
        </is>
      </c>
      <c r="Q97" s="21" t="n"/>
      <c r="R97" s="21" t="n"/>
      <c r="X97" s="114" t="n"/>
      <c r="Y97" s="114" t="n"/>
      <c r="Z97" s="4" t="n"/>
      <c r="AC97" s="4" t="n"/>
      <c r="AD97" s="114" t="n"/>
      <c r="AE97" t="inlineStr">
        <is>
          <t>PENDING</t>
        </is>
      </c>
      <c r="AF97" s="4" t="n"/>
    </row>
    <row r="98">
      <c r="A98" t="inlineStr">
        <is>
          <t>VND-097</t>
        </is>
      </c>
      <c r="B98" t="inlineStr">
        <is>
          <t>THIAM INTERNATIONAL SERVICES</t>
        </is>
      </c>
      <c r="Q98" s="21" t="n"/>
      <c r="R98" s="21" t="n"/>
      <c r="X98" s="114" t="n"/>
      <c r="Y98" s="114" t="n"/>
      <c r="Z98" s="4" t="n"/>
      <c r="AC98" s="4" t="n"/>
      <c r="AD98" s="114" t="n"/>
      <c r="AE98" t="inlineStr">
        <is>
          <t>PENDING</t>
        </is>
      </c>
      <c r="AF98" s="4" t="n"/>
    </row>
    <row r="99">
      <c r="A99" t="inlineStr">
        <is>
          <t>VND-098</t>
        </is>
      </c>
      <c r="B99" t="inlineStr">
        <is>
          <t>SAUDIA PRIVATE AVIATION</t>
        </is>
      </c>
      <c r="Q99" s="21" t="n"/>
      <c r="R99" s="21" t="n"/>
      <c r="X99" s="114" t="n"/>
      <c r="Y99" s="114" t="n"/>
      <c r="Z99" s="4" t="n"/>
      <c r="AC99" s="4" t="n"/>
      <c r="AD99" s="114" t="n"/>
      <c r="AE99" t="inlineStr">
        <is>
          <t>PENDING</t>
        </is>
      </c>
      <c r="AF99" s="4" t="n"/>
    </row>
    <row r="100">
      <c r="A100" t="inlineStr">
        <is>
          <t>VND-099</t>
        </is>
      </c>
      <c r="B100" t="inlineStr">
        <is>
          <t>RED C AVIATION</t>
        </is>
      </c>
      <c r="Q100" s="21" t="n"/>
      <c r="R100" s="21" t="n"/>
      <c r="X100" s="114" t="n"/>
      <c r="Y100" s="114" t="n"/>
      <c r="Z100" s="4" t="n"/>
      <c r="AC100" s="4" t="n"/>
      <c r="AD100" s="114" t="n"/>
      <c r="AE100" t="inlineStr">
        <is>
          <t>PENDING</t>
        </is>
      </c>
      <c r="AF100" s="4" t="n"/>
    </row>
    <row r="101">
      <c r="A101" t="inlineStr">
        <is>
          <t>VND-100</t>
        </is>
      </c>
      <c r="B101" t="inlineStr">
        <is>
          <t>ALPHA STAR AVIATION SERVICES</t>
        </is>
      </c>
      <c r="Q101" s="21" t="n"/>
      <c r="R101" s="21" t="n"/>
      <c r="X101" s="114" t="n"/>
      <c r="Y101" s="114" t="n"/>
      <c r="Z101" s="4" t="n"/>
      <c r="AC101" s="4" t="n"/>
      <c r="AD101" s="114" t="n"/>
      <c r="AE101" t="inlineStr">
        <is>
          <t>PENDING</t>
        </is>
      </c>
      <c r="AF101" s="4" t="n"/>
    </row>
    <row r="102">
      <c r="A102" t="inlineStr">
        <is>
          <t>VND-101</t>
        </is>
      </c>
      <c r="B102" t="inlineStr">
        <is>
          <t>ASIA FLIGHT SERVICES CO. LTD.</t>
        </is>
      </c>
      <c r="Q102" s="21" t="n"/>
      <c r="R102" s="21" t="n"/>
      <c r="X102" s="114" t="n"/>
      <c r="Y102" s="114" t="n"/>
      <c r="Z102" s="4" t="n"/>
      <c r="AC102" s="4" t="n"/>
      <c r="AD102" s="114" t="n"/>
      <c r="AE102" t="inlineStr">
        <is>
          <t>PENDING</t>
        </is>
      </c>
      <c r="AF102" s="4" t="n"/>
    </row>
    <row r="103">
      <c r="A103" t="inlineStr">
        <is>
          <t>VND-102</t>
        </is>
      </c>
      <c r="B103" t="inlineStr">
        <is>
          <t>UNIVERSAL AVIATION SERVICES</t>
        </is>
      </c>
      <c r="Q103" s="21" t="n"/>
      <c r="R103" s="21" t="n"/>
      <c r="X103" s="114" t="n"/>
      <c r="Y103" s="114" t="n"/>
      <c r="Z103" s="4" t="n"/>
      <c r="AC103" s="4" t="n"/>
      <c r="AD103" s="114" t="n"/>
      <c r="AE103" t="inlineStr">
        <is>
          <t>PENDING</t>
        </is>
      </c>
      <c r="AF103" s="4" t="n"/>
    </row>
    <row r="104">
      <c r="A104" t="inlineStr">
        <is>
          <t>VND-103</t>
        </is>
      </c>
      <c r="B104" t="inlineStr">
        <is>
          <t>ROYAL JET LLC</t>
        </is>
      </c>
      <c r="Q104" s="21" t="n"/>
      <c r="R104" s="21" t="n"/>
      <c r="X104" s="114" t="n"/>
      <c r="Y104" s="114" t="n"/>
      <c r="Z104" s="4" t="n"/>
      <c r="AC104" s="4" t="n"/>
      <c r="AD104" s="114" t="n"/>
      <c r="AE104" t="inlineStr">
        <is>
          <t>PENDING</t>
        </is>
      </c>
      <c r="AF104" s="4" t="n"/>
    </row>
    <row r="105">
      <c r="A105" t="inlineStr">
        <is>
          <t>VND-104</t>
        </is>
      </c>
      <c r="B105" t="inlineStr">
        <is>
          <t>DC AVIATION</t>
        </is>
      </c>
      <c r="Q105" s="21" t="n"/>
      <c r="R105" s="21" t="n"/>
      <c r="X105" s="114" t="n"/>
      <c r="Y105" s="114" t="n"/>
      <c r="Z105" s="4" t="n"/>
      <c r="AC105" s="4" t="n"/>
      <c r="AD105" s="114" t="n"/>
      <c r="AE105" t="inlineStr">
        <is>
          <t>PENDING</t>
        </is>
      </c>
      <c r="AF105" s="4" t="n"/>
    </row>
    <row r="106">
      <c r="A106" t="inlineStr">
        <is>
          <t>VND-105</t>
        </is>
      </c>
      <c r="B106" t="inlineStr">
        <is>
          <t>GAMA SUPPORT SERVICES FZE</t>
        </is>
      </c>
      <c r="Q106" s="21" t="n"/>
      <c r="R106" s="21" t="n"/>
      <c r="X106" s="114" t="n"/>
      <c r="Y106" s="114" t="n"/>
      <c r="Z106" s="4" t="n"/>
      <c r="AC106" s="4" t="n"/>
      <c r="AD106" s="114" t="n"/>
      <c r="AE106" t="inlineStr">
        <is>
          <t>PENDING</t>
        </is>
      </c>
      <c r="AF106" s="4" t="n"/>
    </row>
    <row r="107">
      <c r="A107" t="inlineStr">
        <is>
          <t>VND-106</t>
        </is>
      </c>
      <c r="B107" t="inlineStr">
        <is>
          <t>FALCON AVIATION SERVICES DWC-LLC</t>
        </is>
      </c>
      <c r="Q107" s="21" t="n"/>
      <c r="R107" s="21" t="n"/>
      <c r="X107" s="114" t="n"/>
      <c r="Y107" s="114" t="n"/>
      <c r="Z107" s="4" t="n"/>
      <c r="AC107" s="4" t="n"/>
      <c r="AD107" s="114" t="n"/>
      <c r="AE107" t="inlineStr">
        <is>
          <t>PENDING</t>
        </is>
      </c>
      <c r="AF107" s="4" t="n"/>
    </row>
    <row r="108">
      <c r="A108" t="inlineStr">
        <is>
          <t>VND-107</t>
        </is>
      </c>
      <c r="B108" t="inlineStr">
        <is>
          <t>MUNAWALA GROUND SERVICES LLC</t>
        </is>
      </c>
      <c r="Q108" s="21" t="n"/>
      <c r="R108" s="21" t="n"/>
      <c r="X108" s="114" t="n"/>
      <c r="Y108" s="114" t="n"/>
      <c r="Z108" s="4" t="n"/>
      <c r="AC108" s="4" t="n"/>
      <c r="AD108" s="114" t="n"/>
      <c r="AE108" t="inlineStr">
        <is>
          <t>PENDING</t>
        </is>
      </c>
      <c r="AF108" s="4" t="n"/>
    </row>
    <row r="109">
      <c r="A109" t="inlineStr">
        <is>
          <t>VND-108</t>
        </is>
      </c>
      <c r="B109" t="inlineStr">
        <is>
          <t>GRACE JET SERVICES S.P.C.</t>
        </is>
      </c>
      <c r="Q109" s="21" t="n"/>
      <c r="R109" s="21" t="n"/>
      <c r="X109" s="114" t="n"/>
      <c r="Y109" s="114" t="n"/>
      <c r="Z109" s="4" t="n"/>
      <c r="AC109" s="4" t="n"/>
      <c r="AD109" s="114" t="n"/>
      <c r="AE109" t="inlineStr">
        <is>
          <t>PENDING</t>
        </is>
      </c>
      <c r="AF109" s="4" t="n"/>
    </row>
    <row r="110">
      <c r="A110" t="inlineStr">
        <is>
          <t>VND-109</t>
        </is>
      </c>
      <c r="B110" t="inlineStr">
        <is>
          <t>AN AVIATION SERVICE CO</t>
        </is>
      </c>
      <c r="Q110" s="21" t="n"/>
      <c r="R110" s="21" t="n"/>
      <c r="X110" s="114" t="n"/>
      <c r="Y110" s="114" t="n"/>
      <c r="Z110" s="4" t="n"/>
      <c r="AC110" s="4" t="n"/>
      <c r="AD110" s="114" t="n"/>
      <c r="AE110" t="inlineStr">
        <is>
          <t>PENDING</t>
        </is>
      </c>
      <c r="AF110" s="4" t="n"/>
    </row>
    <row r="111">
      <c r="A111" t="inlineStr">
        <is>
          <t>VND-110</t>
        </is>
      </c>
      <c r="B111" t="inlineStr">
        <is>
          <t>ASTER AVIATION SERVICES DMCC</t>
        </is>
      </c>
      <c r="Q111" s="21" t="n"/>
      <c r="R111" s="21" t="n"/>
      <c r="X111" s="114" t="n"/>
      <c r="Y111" s="114" t="n"/>
      <c r="Z111" s="4" t="n"/>
      <c r="AC111" s="4" t="n"/>
      <c r="AD111" s="114" t="n"/>
      <c r="AE111" t="inlineStr">
        <is>
          <t>PENDING</t>
        </is>
      </c>
      <c r="AF111" s="4" t="n"/>
    </row>
    <row r="112">
      <c r="A112" t="inlineStr">
        <is>
          <t>VND-111</t>
        </is>
      </c>
      <c r="B112" t="inlineStr">
        <is>
          <t>CONTINENTAL JET SERVICES</t>
        </is>
      </c>
      <c r="Q112" s="21" t="n"/>
      <c r="R112" s="21" t="n"/>
      <c r="X112" s="114" t="n"/>
      <c r="Y112" s="114" t="n"/>
      <c r="Z112" s="4" t="n"/>
      <c r="AC112" s="4" t="n"/>
      <c r="AD112" s="114" t="n"/>
      <c r="AE112" t="inlineStr">
        <is>
          <t>PENDING</t>
        </is>
      </c>
      <c r="AF112" s="4" t="n"/>
    </row>
    <row r="113">
      <c r="A113" t="inlineStr">
        <is>
          <t>VND-112</t>
        </is>
      </c>
      <c r="B113" t="inlineStr">
        <is>
          <t>RYAN AVIATION SERVICES LTD</t>
        </is>
      </c>
      <c r="Q113" s="21" t="n"/>
      <c r="R113" s="21" t="n"/>
      <c r="X113" s="114" t="n"/>
      <c r="Y113" s="114" t="n"/>
      <c r="Z113" s="4" t="n"/>
      <c r="AC113" s="4" t="n"/>
      <c r="AD113" s="114" t="n"/>
      <c r="AE113" t="inlineStr">
        <is>
          <t>PENDING</t>
        </is>
      </c>
      <c r="AF113" s="4" t="n"/>
    </row>
    <row r="114">
      <c r="A114" t="inlineStr">
        <is>
          <t>VND-113</t>
        </is>
      </c>
      <c r="B114" t="inlineStr">
        <is>
          <t>AEROVALET AIRCRAFT SERVICES LLC</t>
        </is>
      </c>
      <c r="Q114" s="21" t="n"/>
      <c r="R114" s="21" t="n"/>
      <c r="X114" s="114" t="n"/>
      <c r="Y114" s="114" t="n"/>
      <c r="Z114" s="4" t="n"/>
      <c r="AC114" s="4" t="n"/>
      <c r="AD114" s="114" t="n"/>
      <c r="AE114" t="inlineStr">
        <is>
          <t>PENDING</t>
        </is>
      </c>
      <c r="AF114" s="4" t="n"/>
    </row>
    <row r="115">
      <c r="A115" t="inlineStr">
        <is>
          <t>VND-114</t>
        </is>
      </c>
      <c r="B115" t="inlineStr">
        <is>
          <t>ASIA TRIP SUPPORT LTD</t>
        </is>
      </c>
      <c r="Q115" s="21" t="n"/>
      <c r="R115" s="21" t="n"/>
      <c r="X115" s="114" t="n"/>
      <c r="Y115" s="114" t="n"/>
      <c r="Z115" s="4" t="n"/>
      <c r="AC115" s="4" t="n"/>
      <c r="AD115" s="114" t="n"/>
      <c r="AE115" t="inlineStr">
        <is>
          <t>PENDING</t>
        </is>
      </c>
      <c r="AF115" s="4" t="n"/>
    </row>
    <row r="116">
      <c r="A116" t="inlineStr">
        <is>
          <t>VND-115</t>
        </is>
      </c>
      <c r="B116" t="inlineStr">
        <is>
          <t>ROYAL WINGS AVIATION SERVICES</t>
        </is>
      </c>
      <c r="Q116" s="21" t="n"/>
      <c r="R116" s="21" t="n"/>
      <c r="X116" s="114" t="n"/>
      <c r="Y116" s="114" t="n"/>
      <c r="Z116" s="4" t="n"/>
      <c r="AC116" s="4" t="n"/>
      <c r="AD116" s="114" t="n"/>
      <c r="AE116" t="inlineStr">
        <is>
          <t>PENDING</t>
        </is>
      </c>
      <c r="AF116" s="4" t="n"/>
    </row>
    <row r="117">
      <c r="A117" t="inlineStr">
        <is>
          <t>VND-116</t>
        </is>
      </c>
      <c r="B117" t="inlineStr">
        <is>
          <t>QUALITY AIRPORT SERVICES</t>
        </is>
      </c>
      <c r="Q117" s="21" t="n"/>
      <c r="R117" s="21" t="n"/>
      <c r="X117" s="114" t="n"/>
      <c r="Y117" s="114" t="n"/>
      <c r="Z117" s="4" t="n"/>
      <c r="AC117" s="4" t="n"/>
      <c r="AD117" s="114" t="n"/>
      <c r="AE117" t="inlineStr">
        <is>
          <t>PENDING</t>
        </is>
      </c>
      <c r="AF117" s="4" t="n"/>
    </row>
    <row r="118">
      <c r="A118" t="inlineStr">
        <is>
          <t>VND-117</t>
        </is>
      </c>
      <c r="B118" t="inlineStr">
        <is>
          <t>LAUFER AVIATION</t>
        </is>
      </c>
      <c r="Q118" s="21" t="n"/>
      <c r="R118" s="21" t="n"/>
      <c r="X118" s="114" t="n"/>
      <c r="Y118" s="114" t="n"/>
      <c r="Z118" s="4" t="n"/>
      <c r="AC118" s="4" t="n"/>
      <c r="AD118" s="114" t="n"/>
      <c r="AE118" t="inlineStr">
        <is>
          <t>PENDING</t>
        </is>
      </c>
      <c r="AF118" s="4" t="n"/>
    </row>
    <row r="119">
      <c r="A119" t="inlineStr">
        <is>
          <t>VND-118</t>
        </is>
      </c>
      <c r="B119" t="inlineStr">
        <is>
          <t>RS-LS HANDLING</t>
        </is>
      </c>
      <c r="Q119" s="21" t="n"/>
      <c r="R119" s="21" t="n"/>
      <c r="X119" s="114" t="n"/>
      <c r="Y119" s="114" t="n"/>
      <c r="Z119" s="4" t="n"/>
      <c r="AC119" s="4" t="n"/>
      <c r="AD119" s="114" t="n"/>
      <c r="AE119" t="inlineStr">
        <is>
          <t>PENDING</t>
        </is>
      </c>
      <c r="AF119" s="4" t="n"/>
    </row>
    <row r="120">
      <c r="A120" t="inlineStr">
        <is>
          <t>VND-119</t>
        </is>
      </c>
      <c r="B120" t="inlineStr">
        <is>
          <t>AEROHANDLING/BEDEK AVIATION GROUND HANDLING</t>
        </is>
      </c>
      <c r="Q120" s="21" t="n"/>
      <c r="R120" s="21" t="n"/>
      <c r="X120" s="114" t="n"/>
      <c r="Y120" s="114" t="n"/>
      <c r="Z120" s="4" t="n"/>
      <c r="AC120" s="4" t="n"/>
      <c r="AD120" s="114" t="n"/>
      <c r="AE120" t="inlineStr">
        <is>
          <t>PENDING</t>
        </is>
      </c>
      <c r="AF120" s="4" t="n"/>
    </row>
    <row r="121">
      <c r="A121" t="inlineStr">
        <is>
          <t>VND-120</t>
        </is>
      </c>
      <c r="B121" t="inlineStr">
        <is>
          <t>BLUE AVIATION CO</t>
        </is>
      </c>
      <c r="Q121" s="21" t="n"/>
      <c r="R121" s="21" t="n"/>
      <c r="X121" s="114" t="n"/>
      <c r="Y121" s="114" t="n"/>
      <c r="Z121" s="4" t="n"/>
      <c r="AC121" s="4" t="n"/>
      <c r="AD121" s="114" t="n"/>
      <c r="AE121" t="inlineStr">
        <is>
          <t>PENDING</t>
        </is>
      </c>
      <c r="AF121" s="4" t="n"/>
    </row>
    <row r="122">
      <c r="A122" t="inlineStr">
        <is>
          <t>VND-121</t>
        </is>
      </c>
      <c r="B122" t="inlineStr">
        <is>
          <t>QATAR AVIATION SERVICES</t>
        </is>
      </c>
      <c r="Q122" s="21" t="n"/>
      <c r="R122" s="21" t="n"/>
      <c r="X122" s="114" t="n"/>
      <c r="Y122" s="114" t="n"/>
      <c r="Z122" s="4" t="n"/>
      <c r="AC122" s="4" t="n"/>
      <c r="AD122" s="114" t="n"/>
      <c r="AE122" t="inlineStr">
        <is>
          <t>PENDING</t>
        </is>
      </c>
      <c r="AF122" s="4" t="n"/>
    </row>
    <row r="123">
      <c r="A123" t="inlineStr">
        <is>
          <t>VND-122</t>
        </is>
      </c>
      <c r="B123" t="inlineStr">
        <is>
          <t>QATAR AIRWAYS QE</t>
        </is>
      </c>
      <c r="Q123" s="21" t="n"/>
      <c r="R123" s="21" t="n"/>
      <c r="X123" s="114" t="n"/>
      <c r="Y123" s="114" t="n"/>
      <c r="Z123" s="4" t="n"/>
      <c r="AC123" s="4" t="n"/>
      <c r="AD123" s="114" t="n"/>
      <c r="AE123" t="inlineStr">
        <is>
          <t>PENDING</t>
        </is>
      </c>
      <c r="AF123" s="4" t="n"/>
    </row>
    <row r="124">
      <c r="A124" t="inlineStr">
        <is>
          <t>VND-123</t>
        </is>
      </c>
      <c r="B124" t="inlineStr">
        <is>
          <t>MERCURY AIR GROUP AVIATION SERVICE</t>
        </is>
      </c>
      <c r="Q124" s="21" t="n"/>
      <c r="R124" s="21" t="n"/>
      <c r="X124" s="114" t="n"/>
      <c r="Y124" s="114" t="n"/>
      <c r="Z124" s="4" t="n"/>
      <c r="AC124" s="4" t="n"/>
      <c r="AD124" s="114" t="n"/>
      <c r="AE124" t="inlineStr">
        <is>
          <t>PENDING</t>
        </is>
      </c>
      <c r="AF124" s="4" t="n"/>
    </row>
    <row r="125">
      <c r="A125" t="inlineStr">
        <is>
          <t>VND-124</t>
        </is>
      </c>
      <c r="B125" t="inlineStr">
        <is>
          <t>JORDANIAN PRIVATE JET SERVICES</t>
        </is>
      </c>
      <c r="Q125" s="21" t="n"/>
      <c r="R125" s="21" t="n"/>
      <c r="X125" s="114" t="n"/>
      <c r="Y125" s="114" t="n"/>
      <c r="Z125" s="4" t="n"/>
      <c r="AC125" s="4" t="n"/>
      <c r="AD125" s="114" t="n"/>
      <c r="AE125" t="inlineStr">
        <is>
          <t>PENDING</t>
        </is>
      </c>
      <c r="AF125" s="4" t="n"/>
    </row>
    <row r="126">
      <c r="A126" t="inlineStr">
        <is>
          <t>VND-125</t>
        </is>
      </c>
      <c r="B126" t="inlineStr">
        <is>
          <t>ARAB WINGS</t>
        </is>
      </c>
      <c r="Q126" s="21" t="n"/>
      <c r="R126" s="21" t="n"/>
      <c r="X126" s="114" t="n"/>
      <c r="Y126" s="114" t="n"/>
      <c r="Z126" s="4" t="n"/>
      <c r="AC126" s="4" t="n"/>
      <c r="AD126" s="114" t="n"/>
      <c r="AE126" t="inlineStr">
        <is>
          <t>PENDING</t>
        </is>
      </c>
      <c r="AF126" s="4" t="n"/>
    </row>
    <row r="127">
      <c r="A127" t="inlineStr">
        <is>
          <t>VND-126</t>
        </is>
      </c>
      <c r="B127" t="inlineStr">
        <is>
          <t>JORDAN AVIATION</t>
        </is>
      </c>
      <c r="Q127" s="21" t="n"/>
      <c r="R127" s="21" t="n"/>
      <c r="X127" s="114" t="n"/>
      <c r="Y127" s="114" t="n"/>
      <c r="Z127" s="4" t="n"/>
      <c r="AC127" s="4" t="n"/>
      <c r="AD127" s="114" t="n"/>
      <c r="AE127" t="inlineStr">
        <is>
          <t>PENDING</t>
        </is>
      </c>
      <c r="AF127" s="4" t="n"/>
    </row>
    <row r="128">
      <c r="A128" t="inlineStr">
        <is>
          <t>VND-127</t>
        </is>
      </c>
      <c r="B128" t="inlineStr">
        <is>
          <t>AIR SPACE AVIATION SERVICES</t>
        </is>
      </c>
      <c r="Q128" s="21" t="n"/>
      <c r="R128" s="21" t="n"/>
      <c r="X128" s="114" t="n"/>
      <c r="Y128" s="114" t="n"/>
      <c r="Z128" s="4" t="n"/>
      <c r="AC128" s="4" t="n"/>
      <c r="AD128" s="114" t="n"/>
      <c r="AE128" t="inlineStr">
        <is>
          <t>PENDING</t>
        </is>
      </c>
      <c r="AF128" s="4" t="n"/>
    </row>
    <row r="129">
      <c r="A129" t="inlineStr">
        <is>
          <t>VND-128</t>
        </is>
      </c>
      <c r="B129" t="inlineStr">
        <is>
          <t>ABS JETS A.S.</t>
        </is>
      </c>
      <c r="Q129" s="21" t="n"/>
      <c r="R129" s="21" t="n"/>
      <c r="X129" s="114" t="n"/>
      <c r="Y129" s="114" t="n"/>
      <c r="Z129" s="4" t="n"/>
      <c r="AC129" s="4" t="n"/>
      <c r="AD129" s="114" t="n"/>
      <c r="AE129" t="inlineStr">
        <is>
          <t>PENDING</t>
        </is>
      </c>
      <c r="AF129" s="4" t="n"/>
    </row>
    <row r="130">
      <c r="A130" t="inlineStr">
        <is>
          <t>VND-129</t>
        </is>
      </c>
      <c r="B130" t="inlineStr">
        <is>
          <t>GLASGOW PRESTWICK AIRPORT LTD</t>
        </is>
      </c>
      <c r="Q130" s="21" t="n"/>
      <c r="R130" s="21" t="n"/>
      <c r="X130" s="114" t="n"/>
      <c r="Y130" s="114" t="n"/>
      <c r="Z130" s="4" t="n"/>
      <c r="AC130" s="4" t="n"/>
      <c r="AD130" s="114" t="n"/>
      <c r="AE130" t="inlineStr">
        <is>
          <t>PENDING</t>
        </is>
      </c>
      <c r="AF130" s="4" t="n"/>
    </row>
    <row r="131">
      <c r="A131" t="inlineStr">
        <is>
          <t>VND-130</t>
        </is>
      </c>
      <c r="B131" t="inlineStr">
        <is>
          <t>HALA BAHRAIN HOSPITALITY S.P.C</t>
        </is>
      </c>
      <c r="Q131" s="21" t="n"/>
      <c r="R131" s="21" t="n"/>
      <c r="X131" s="114" t="n"/>
      <c r="Y131" s="114" t="n"/>
      <c r="Z131" s="4" t="n"/>
      <c r="AC131" s="4" t="n"/>
      <c r="AD131" s="114" t="n"/>
      <c r="AE131" t="inlineStr">
        <is>
          <t>PENDING</t>
        </is>
      </c>
      <c r="AF131" s="4" t="n"/>
    </row>
    <row r="132">
      <c r="A132" t="inlineStr">
        <is>
          <t>VND-131</t>
        </is>
      </c>
      <c r="B132" t="inlineStr">
        <is>
          <t>BAHRAIN AIRPORT SERVICES</t>
        </is>
      </c>
      <c r="Q132" s="21" t="n"/>
      <c r="R132" s="21" t="n"/>
      <c r="X132" s="114" t="n"/>
      <c r="Y132" s="114" t="n"/>
      <c r="Z132" s="4" t="n"/>
      <c r="AC132" s="4" t="n"/>
      <c r="AD132" s="114" t="n"/>
      <c r="AE132" t="inlineStr">
        <is>
          <t>PENDING</t>
        </is>
      </c>
      <c r="AF132" s="4" t="n"/>
    </row>
    <row r="133">
      <c r="A133" t="inlineStr">
        <is>
          <t>VND-132</t>
        </is>
      </c>
      <c r="B133" t="inlineStr">
        <is>
          <t>MEAG-MIDDLE EAST AIRLINES</t>
        </is>
      </c>
      <c r="Q133" s="21" t="n"/>
      <c r="R133" s="21" t="n"/>
      <c r="X133" s="114" t="n"/>
      <c r="Y133" s="114" t="n"/>
      <c r="Z133" s="4" t="n"/>
      <c r="AC133" s="4" t="n"/>
      <c r="AD133" s="114" t="n"/>
      <c r="AE133" t="inlineStr">
        <is>
          <t>PENDING</t>
        </is>
      </c>
      <c r="AF133" s="4" t="n"/>
    </row>
    <row r="134">
      <c r="A134" t="inlineStr">
        <is>
          <t>VND-133</t>
        </is>
      </c>
      <c r="B134" t="inlineStr">
        <is>
          <t>CEDAR JET CENTER</t>
        </is>
      </c>
      <c r="Q134" s="21" t="n"/>
      <c r="R134" s="21" t="n"/>
      <c r="X134" s="114" t="n"/>
      <c r="Y134" s="114" t="n"/>
      <c r="Z134" s="4" t="n"/>
      <c r="AC134" s="4" t="n"/>
      <c r="AD134" s="114" t="n"/>
      <c r="AE134" t="inlineStr">
        <is>
          <t>PENDING</t>
        </is>
      </c>
      <c r="AF134" s="4" t="n"/>
    </row>
    <row r="135">
      <c r="A135" t="inlineStr">
        <is>
          <t>VND-134</t>
        </is>
      </c>
      <c r="B135" t="inlineStr">
        <is>
          <t>SKY LOUNGE SERVICES S.A.L</t>
        </is>
      </c>
      <c r="Q135" s="21" t="n"/>
      <c r="R135" s="21" t="n"/>
      <c r="X135" s="114" t="n"/>
      <c r="Y135" s="114" t="n"/>
      <c r="Z135" s="4" t="n"/>
      <c r="AC135" s="4" t="n"/>
      <c r="AD135" s="114" t="n"/>
      <c r="AE135" t="inlineStr">
        <is>
          <t>PENDING</t>
        </is>
      </c>
      <c r="AF135" s="4" t="n"/>
    </row>
    <row r="136">
      <c r="A136" t="inlineStr">
        <is>
          <t>VND-135</t>
        </is>
      </c>
      <c r="B136" t="inlineStr">
        <is>
          <t>MACAIR FLIGHT SUPPORT</t>
        </is>
      </c>
      <c r="Q136" s="21" t="n"/>
      <c r="R136" s="21" t="n"/>
      <c r="X136" s="114" t="n"/>
      <c r="Y136" s="114" t="n"/>
      <c r="Z136" s="4" t="n"/>
      <c r="AC136" s="4" t="n"/>
      <c r="AD136" s="114" t="n"/>
      <c r="AE136" t="inlineStr">
        <is>
          <t>PENDING</t>
        </is>
      </c>
      <c r="AF136" s="4" t="n"/>
    </row>
    <row r="137">
      <c r="A137" t="inlineStr">
        <is>
          <t>VND-136</t>
        </is>
      </c>
      <c r="B137" t="inlineStr">
        <is>
          <t>ASG BUSINESS AVIATION LLC</t>
        </is>
      </c>
      <c r="Q137" s="21" t="n"/>
      <c r="R137" s="21" t="n"/>
      <c r="X137" s="114" t="n"/>
      <c r="Y137" s="114" t="n"/>
      <c r="Z137" s="4" t="n"/>
      <c r="AC137" s="4" t="n"/>
      <c r="AD137" s="114" t="n"/>
      <c r="AE137" t="inlineStr">
        <is>
          <t>PENDING</t>
        </is>
      </c>
      <c r="AF137" s="4" t="n"/>
    </row>
  </sheetData>
  <dataValidations count="1">
    <dataValidation sqref="B2:B500" showDropDown="0" showInputMessage="1" showErrorMessage="1" allowBlank="1" type="list">
      <formula1>"admin!$F$5:$F$12"</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71"/>
  <sheetViews>
    <sheetView workbookViewId="0">
      <pane ySplit="2" topLeftCell="A48" activePane="bottomLeft" state="frozen"/>
      <selection pane="bottomLeft" activeCell="D23" sqref="D23"/>
    </sheetView>
  </sheetViews>
  <sheetFormatPr baseColWidth="8" defaultRowHeight="14.4"/>
  <cols>
    <col width="11.109375" customWidth="1" min="1" max="1"/>
    <col width="35.21875" customWidth="1" min="2" max="2"/>
    <col width="13" customWidth="1" min="3" max="3"/>
    <col width="46.33203125" customWidth="1" min="4" max="4"/>
    <col width="13.88671875" customWidth="1" min="5" max="5"/>
    <col width="14.77734375" customWidth="1" min="6" max="6"/>
    <col width="16.6640625" customWidth="1" min="7" max="7"/>
    <col width="18.5546875" customWidth="1" min="8" max="8"/>
    <col width="27.77734375" customWidth="1" min="9" max="9"/>
  </cols>
  <sheetData>
    <row r="1" ht="31.95" customHeight="1">
      <c r="A1" s="90" t="inlineStr">
        <is>
          <t>SERVICE CATALOGUE — services and sub-services in one table. Rows 2-18 are the 17 top-level services (referenced by the ground-services grid on TRIP MANAGER). Rows 19-70 are the 52 sub-services, each hanging off a parent by code prefix.</t>
        </is>
      </c>
      <c r="B1" s="127" t="n"/>
      <c r="C1" s="127" t="n"/>
      <c r="D1" s="127" t="n"/>
      <c r="E1" s="127" t="n"/>
      <c r="F1" s="127" t="n"/>
      <c r="G1" s="127" t="n"/>
      <c r="H1" s="127" t="n"/>
      <c r="I1" s="128" t="n"/>
    </row>
    <row r="2">
      <c r="A2" s="93" t="inlineStr">
        <is>
          <t>id</t>
        </is>
      </c>
      <c r="B2" s="94" t="inlineStr">
        <is>
          <t>name</t>
        </is>
      </c>
      <c r="C2" s="94" t="inlineStr">
        <is>
          <t>code</t>
        </is>
      </c>
      <c r="D2" s="94" t="inlineStr">
        <is>
          <t>description</t>
        </is>
      </c>
      <c r="E2" s="94" t="inlineStr">
        <is>
          <t>category</t>
        </is>
      </c>
      <c r="F2" s="94" t="inlineStr">
        <is>
          <t>ground_grid_order</t>
        </is>
      </c>
      <c r="G2" s="94" t="inlineStr">
        <is>
          <t>level</t>
        </is>
      </c>
      <c r="H2" s="94" t="inlineStr">
        <is>
          <t>parent_service_id</t>
        </is>
      </c>
      <c r="I2" s="95" t="inlineStr">
        <is>
          <t>mapping_audit</t>
        </is>
      </c>
    </row>
    <row r="3">
      <c r="A3" s="96" t="inlineStr">
        <is>
          <t>CAT</t>
        </is>
      </c>
      <c r="B3" s="97" t="inlineStr">
        <is>
          <t>Catering</t>
        </is>
      </c>
      <c r="C3" s="97" t="inlineStr">
        <is>
          <t>CAT</t>
        </is>
      </c>
      <c r="D3" s="97" t="inlineStr">
        <is>
          <t>Crew, VIP and bonded stores</t>
        </is>
      </c>
      <c r="E3" s="97" t="inlineStr">
        <is>
          <t>GROUND</t>
        </is>
      </c>
      <c r="F3" s="97" t="n">
        <v>3</v>
      </c>
      <c r="G3" s="97" t="inlineStr">
        <is>
          <t>SERVICE</t>
        </is>
      </c>
      <c r="H3" s="97" t="n"/>
      <c r="I3" s="98" t="n"/>
    </row>
    <row r="4">
      <c r="A4" s="96" t="inlineStr">
        <is>
          <t>CIQ</t>
        </is>
      </c>
      <c r="B4" s="97" t="inlineStr">
        <is>
          <t>Customs &amp; Immigration</t>
        </is>
      </c>
      <c r="C4" s="97" t="inlineStr">
        <is>
          <t>CIQ</t>
        </is>
      </c>
      <c r="D4" s="97" t="inlineStr">
        <is>
          <t>Clearance, facilitation and health/quarantine</t>
        </is>
      </c>
      <c r="E4" s="97" t="inlineStr">
        <is>
          <t>GROUND</t>
        </is>
      </c>
      <c r="F4" s="97" t="n">
        <v>11</v>
      </c>
      <c r="G4" s="97" t="inlineStr">
        <is>
          <t>SERVICE</t>
        </is>
      </c>
      <c r="H4" s="97" t="n"/>
      <c r="I4" s="98" t="n"/>
    </row>
    <row r="5">
      <c r="A5" s="96" t="inlineStr">
        <is>
          <t>CRH</t>
        </is>
      </c>
      <c r="B5" s="97" t="inlineStr">
        <is>
          <t>Crew Hotel</t>
        </is>
      </c>
      <c r="C5" s="97" t="inlineStr">
        <is>
          <t>CRH</t>
        </is>
      </c>
      <c r="D5" s="97" t="inlineStr">
        <is>
          <t>Crew Hotel</t>
        </is>
      </c>
      <c r="E5" s="97" t="inlineStr">
        <is>
          <t>GROUND</t>
        </is>
      </c>
      <c r="F5" s="97" t="n">
        <v>14</v>
      </c>
      <c r="G5" s="97" t="inlineStr">
        <is>
          <t>SERVICE</t>
        </is>
      </c>
      <c r="H5" s="97" t="n"/>
      <c r="I5" s="98" t="n"/>
    </row>
    <row r="6">
      <c r="A6" s="96" t="inlineStr">
        <is>
          <t>CRT</t>
        </is>
      </c>
      <c r="B6" s="97" t="inlineStr">
        <is>
          <t>Crew transport</t>
        </is>
      </c>
      <c r="C6" s="97" t="inlineStr">
        <is>
          <t>CRT</t>
        </is>
      </c>
      <c r="D6" s="97" t="inlineStr">
        <is>
          <t>Crew VIP Transport</t>
        </is>
      </c>
      <c r="E6" s="97" t="inlineStr">
        <is>
          <t>GROUND</t>
        </is>
      </c>
      <c r="F6" s="97" t="n">
        <v>12</v>
      </c>
      <c r="G6" s="97" t="inlineStr">
        <is>
          <t>SERVICE</t>
        </is>
      </c>
      <c r="H6" s="97" t="n"/>
      <c r="I6" s="98" t="n"/>
    </row>
    <row r="7">
      <c r="A7" s="96" t="inlineStr">
        <is>
          <t>CRW</t>
        </is>
      </c>
      <c r="B7" s="97" t="inlineStr">
        <is>
          <t>Crew Services</t>
        </is>
      </c>
      <c r="C7" s="97" t="inlineStr">
        <is>
          <t>CRW</t>
        </is>
      </c>
      <c r="D7" s="97" t="inlineStr">
        <is>
          <t>HOTAC, transport, visas and immigration liaison</t>
        </is>
      </c>
      <c r="E7" s="97" t="inlineStr">
        <is>
          <t>GROUND</t>
        </is>
      </c>
      <c r="F7" s="97" t="n">
        <v>7</v>
      </c>
      <c r="G7" s="97" t="inlineStr">
        <is>
          <t>SERVICE</t>
        </is>
      </c>
      <c r="H7" s="97" t="n"/>
      <c r="I7" s="98" t="n"/>
    </row>
    <row r="8">
      <c r="A8" s="96" t="inlineStr">
        <is>
          <t>FPL</t>
        </is>
      </c>
      <c r="B8" s="97" t="inlineStr">
        <is>
          <t>Flight Planning &amp; Dispatch</t>
        </is>
      </c>
      <c r="C8" s="97" t="inlineStr">
        <is>
          <t>FPL</t>
        </is>
      </c>
      <c r="D8" s="97" t="inlineStr">
        <is>
          <t>OFP, weather, NOTAM and ATC filing</t>
        </is>
      </c>
      <c r="E8" s="97" t="inlineStr">
        <is>
          <t>GROUND</t>
        </is>
      </c>
      <c r="F8" s="97" t="n">
        <v>8</v>
      </c>
      <c r="G8" s="97" t="inlineStr">
        <is>
          <t>SERVICE</t>
        </is>
      </c>
      <c r="H8" s="97" t="n"/>
      <c r="I8" s="98" t="n"/>
    </row>
    <row r="9">
      <c r="A9" s="96" t="inlineStr">
        <is>
          <t>FUL</t>
        </is>
      </c>
      <c r="B9" s="97" t="inlineStr">
        <is>
          <t>Fuel</t>
        </is>
      </c>
      <c r="C9" s="97" t="inlineStr">
        <is>
          <t>FUL</t>
        </is>
      </c>
      <c r="D9" s="97" t="inlineStr">
        <is>
          <t>Uplift, release and defueling</t>
        </is>
      </c>
      <c r="E9" s="97" t="inlineStr">
        <is>
          <t>GROUND</t>
        </is>
      </c>
      <c r="F9" s="97" t="n">
        <v>2</v>
      </c>
      <c r="G9" s="97" t="inlineStr">
        <is>
          <t>SERVICE</t>
        </is>
      </c>
      <c r="H9" s="97" t="n"/>
      <c r="I9" s="98" t="n"/>
    </row>
    <row r="10">
      <c r="A10" s="96" t="inlineStr">
        <is>
          <t>GH</t>
        </is>
      </c>
      <c r="B10" s="97" t="inlineStr">
        <is>
          <t>Ground Handling</t>
        </is>
      </c>
      <c r="C10" s="97" t="inlineStr">
        <is>
          <t>GH</t>
        </is>
      </c>
      <c r="D10" s="97" t="inlineStr">
        <is>
          <t>Ramp, passenger and aircraft servicing at the station</t>
        </is>
      </c>
      <c r="E10" s="97" t="inlineStr">
        <is>
          <t>GROUND</t>
        </is>
      </c>
      <c r="F10" s="97" t="n">
        <v>1</v>
      </c>
      <c r="G10" s="97" t="inlineStr">
        <is>
          <t>SERVICE</t>
        </is>
      </c>
      <c r="H10" s="97" t="n"/>
      <c r="I10" s="98" t="n"/>
    </row>
    <row r="11">
      <c r="A11" s="96" t="inlineStr">
        <is>
          <t>LDG</t>
        </is>
      </c>
      <c r="B11" s="97" t="inlineStr">
        <is>
          <t>Landing Permits</t>
        </is>
      </c>
      <c r="C11" s="97" t="inlineStr">
        <is>
          <t>LDG</t>
        </is>
      </c>
      <c r="D11" s="97" t="inlineStr">
        <is>
          <t>Regulatory clearances filed with the state CAA</t>
        </is>
      </c>
      <c r="E11" s="97" t="inlineStr">
        <is>
          <t>PERMIT</t>
        </is>
      </c>
      <c r="F11" s="97" t="n"/>
      <c r="G11" s="97" t="inlineStr">
        <is>
          <t>SERVICE</t>
        </is>
      </c>
      <c r="H11" s="97" t="n"/>
      <c r="I11" s="98" t="n"/>
    </row>
    <row r="12">
      <c r="A12" s="96" t="inlineStr">
        <is>
          <t>MED</t>
        </is>
      </c>
      <c r="B12" s="97" t="inlineStr">
        <is>
          <t>Medical &amp; Medevac</t>
        </is>
      </c>
      <c r="C12" s="97" t="inlineStr">
        <is>
          <t>MED</t>
        </is>
      </c>
      <c r="D12" s="97" t="inlineStr">
        <is>
          <t>Medevac coordination and patient transfer</t>
        </is>
      </c>
      <c r="E12" s="97" t="inlineStr">
        <is>
          <t>GROUND</t>
        </is>
      </c>
      <c r="F12" s="97" t="n">
        <v>10</v>
      </c>
      <c r="G12" s="97" t="inlineStr">
        <is>
          <t>SERVICE</t>
        </is>
      </c>
      <c r="H12" s="97" t="n"/>
      <c r="I12" s="98" t="n"/>
    </row>
    <row r="13">
      <c r="A13" s="96" t="inlineStr">
        <is>
          <t>MRO</t>
        </is>
      </c>
      <c r="B13" s="97" t="inlineStr">
        <is>
          <t>Maintenance</t>
        </is>
      </c>
      <c r="C13" s="97" t="inlineStr">
        <is>
          <t>MRO</t>
        </is>
      </c>
      <c r="D13" s="97" t="inlineStr">
        <is>
          <t>Line maintenance, AOG and parts logistics</t>
        </is>
      </c>
      <c r="E13" s="97" t="inlineStr">
        <is>
          <t>GROUND</t>
        </is>
      </c>
      <c r="F13" s="97" t="n">
        <v>9</v>
      </c>
      <c r="G13" s="97" t="inlineStr">
        <is>
          <t>SERVICE</t>
        </is>
      </c>
      <c r="H13" s="97" t="n"/>
      <c r="I13" s="98" t="n"/>
    </row>
    <row r="14">
      <c r="A14" s="96" t="inlineStr">
        <is>
          <t>NAV</t>
        </is>
      </c>
      <c r="B14" s="97" t="inlineStr">
        <is>
          <t>Navigation &amp; Enroute Charges</t>
        </is>
      </c>
      <c r="C14" s="97" t="inlineStr">
        <is>
          <t>NAV</t>
        </is>
      </c>
      <c r="D14" s="97" t="inlineStr">
        <is>
          <t>Enroute and terminal navigation charge handling</t>
        </is>
      </c>
      <c r="E14" s="97" t="inlineStr">
        <is>
          <t>GROUND</t>
        </is>
      </c>
      <c r="F14" s="97" t="n">
        <v>4</v>
      </c>
      <c r="G14" s="97" t="inlineStr">
        <is>
          <t>SERVICE</t>
        </is>
      </c>
      <c r="H14" s="97" t="n"/>
      <c r="I14" s="98" t="n"/>
    </row>
    <row r="15">
      <c r="A15" s="96" t="inlineStr">
        <is>
          <t>OVF</t>
        </is>
      </c>
      <c r="B15" s="97" t="inlineStr">
        <is>
          <t>Overflight Permits</t>
        </is>
      </c>
      <c r="C15" s="97" t="inlineStr">
        <is>
          <t>OVF</t>
        </is>
      </c>
      <c r="D15" s="97" t="inlineStr">
        <is>
          <t>Regulatory clearances filed with the state CAA</t>
        </is>
      </c>
      <c r="E15" s="97" t="inlineStr">
        <is>
          <t>PERMIT</t>
        </is>
      </c>
      <c r="F15" s="97" t="n"/>
      <c r="G15" s="97" t="inlineStr">
        <is>
          <t>SERVICE</t>
        </is>
      </c>
      <c r="H15" s="97" t="n"/>
      <c r="I15" s="98" t="n"/>
    </row>
    <row r="16">
      <c r="A16" s="96" t="inlineStr">
        <is>
          <t>PXH</t>
        </is>
      </c>
      <c r="B16" s="97" t="inlineStr">
        <is>
          <t>Pax Hotel</t>
        </is>
      </c>
      <c r="C16" s="97" t="inlineStr">
        <is>
          <t>PXH</t>
        </is>
      </c>
      <c r="D16" s="97" t="inlineStr">
        <is>
          <t>Pax Hotel</t>
        </is>
      </c>
      <c r="E16" s="97" t="inlineStr">
        <is>
          <t>GROUND</t>
        </is>
      </c>
      <c r="F16" s="97" t="n">
        <v>15</v>
      </c>
      <c r="G16" s="97" t="inlineStr">
        <is>
          <t>SERVICE</t>
        </is>
      </c>
      <c r="H16" s="97" t="n"/>
      <c r="I16" s="98" t="n"/>
    </row>
    <row r="17">
      <c r="A17" s="96" t="inlineStr">
        <is>
          <t>PXT</t>
        </is>
      </c>
      <c r="B17" s="97" t="inlineStr">
        <is>
          <t>Pax transport</t>
        </is>
      </c>
      <c r="C17" s="97" t="inlineStr">
        <is>
          <t>PXT</t>
        </is>
      </c>
      <c r="D17" s="97" t="inlineStr">
        <is>
          <t>Pax transportation</t>
        </is>
      </c>
      <c r="E17" s="97" t="inlineStr">
        <is>
          <t>GROUND</t>
        </is>
      </c>
      <c r="F17" s="97" t="n">
        <v>13</v>
      </c>
      <c r="G17" s="97" t="inlineStr">
        <is>
          <t>SERVICE</t>
        </is>
      </c>
      <c r="H17" s="97" t="n"/>
      <c r="I17" s="98" t="n"/>
    </row>
    <row r="18">
      <c r="A18" s="96" t="inlineStr">
        <is>
          <t>SEC</t>
        </is>
      </c>
      <c r="B18" s="97" t="inlineStr">
        <is>
          <t>Security</t>
        </is>
      </c>
      <c r="C18" s="97" t="inlineStr">
        <is>
          <t>SEC</t>
        </is>
      </c>
      <c r="D18" s="97" t="inlineStr">
        <is>
          <t>Aircraft guarding, screening and risk assessment</t>
        </is>
      </c>
      <c r="E18" s="97" t="inlineStr">
        <is>
          <t>GROUND</t>
        </is>
      </c>
      <c r="F18" s="97" t="n">
        <v>6</v>
      </c>
      <c r="G18" s="97" t="inlineStr">
        <is>
          <t>SERVICE</t>
        </is>
      </c>
      <c r="H18" s="97" t="n"/>
      <c r="I18" s="98" t="n"/>
    </row>
    <row r="19">
      <c r="A19" s="99" t="inlineStr">
        <is>
          <t>SLT</t>
        </is>
      </c>
      <c r="B19" s="100" t="inlineStr">
        <is>
          <t>Slots, PPR &amp; Parking</t>
        </is>
      </c>
      <c r="C19" s="100" t="inlineStr">
        <is>
          <t>SLT</t>
        </is>
      </c>
      <c r="D19" s="100" t="inlineStr">
        <is>
          <t>Airport slot, PPR and stand allocation</t>
        </is>
      </c>
      <c r="E19" s="100" t="inlineStr">
        <is>
          <t>GROUND</t>
        </is>
      </c>
      <c r="F19" s="100" t="n">
        <v>5</v>
      </c>
      <c r="G19" s="100" t="inlineStr">
        <is>
          <t>SERVICE</t>
        </is>
      </c>
      <c r="H19" s="100" t="n"/>
      <c r="I19" s="101" t="n"/>
    </row>
    <row r="20">
      <c r="A20" s="99" t="inlineStr">
        <is>
          <t>CAT-BND</t>
        </is>
      </c>
      <c r="B20" s="100" t="inlineStr">
        <is>
          <t>Bonded Stores &amp; Duty-Free</t>
        </is>
      </c>
      <c r="C20" s="100" t="inlineStr">
        <is>
          <t>CAT-BND</t>
        </is>
      </c>
      <c r="D20" s="100" t="n"/>
      <c r="E20" s="100" t="n"/>
      <c r="F20" s="100" t="n"/>
      <c r="G20" s="100" t="inlineStr">
        <is>
          <t>SUB-SERVICE</t>
        </is>
      </c>
      <c r="H20" s="100" t="inlineStr">
        <is>
          <t>CAT</t>
        </is>
      </c>
      <c r="I20" s="101" t="n"/>
    </row>
    <row r="21">
      <c r="A21" s="99" t="inlineStr">
        <is>
          <t>CAT-CRW</t>
        </is>
      </c>
      <c r="B21" s="100" t="inlineStr">
        <is>
          <t>Crew Catering</t>
        </is>
      </c>
      <c r="C21" s="100" t="inlineStr">
        <is>
          <t>CAT-CRW</t>
        </is>
      </c>
      <c r="D21" s="100" t="n"/>
      <c r="E21" s="100" t="n"/>
      <c r="F21" s="100" t="n"/>
      <c r="G21" s="100" t="inlineStr">
        <is>
          <t>SUB-SERVICE</t>
        </is>
      </c>
      <c r="H21" s="100" t="inlineStr">
        <is>
          <t>CAT</t>
        </is>
      </c>
      <c r="I21" s="101" t="n"/>
    </row>
    <row r="22">
      <c r="A22" s="99" t="inlineStr">
        <is>
          <t>CAT-SPL</t>
        </is>
      </c>
      <c r="B22" s="100" t="inlineStr">
        <is>
          <t>Special Dietary (Halal/Kosher/Allergen)</t>
        </is>
      </c>
      <c r="C22" s="100" t="inlineStr">
        <is>
          <t>CAT-SPL</t>
        </is>
      </c>
      <c r="D22" s="100" t="n"/>
      <c r="E22" s="100" t="n"/>
      <c r="F22" s="100" t="n"/>
      <c r="G22" s="100" t="inlineStr">
        <is>
          <t>SUB-SERVICE</t>
        </is>
      </c>
      <c r="H22" s="100" t="inlineStr">
        <is>
          <t>CAT</t>
        </is>
      </c>
      <c r="I22" s="101" t="n"/>
    </row>
    <row r="23">
      <c r="A23" s="99" t="inlineStr">
        <is>
          <t>CAT-VIP</t>
        </is>
      </c>
      <c r="B23" s="100" t="inlineStr">
        <is>
          <t>VIP / Premium Catering</t>
        </is>
      </c>
      <c r="C23" s="100" t="inlineStr">
        <is>
          <t>CAT-VIP</t>
        </is>
      </c>
      <c r="D23" s="100" t="n"/>
      <c r="E23" s="100" t="n"/>
      <c r="F23" s="100" t="n"/>
      <c r="G23" s="100" t="inlineStr">
        <is>
          <t>SUB-SERVICE</t>
        </is>
      </c>
      <c r="H23" s="100" t="inlineStr">
        <is>
          <t>CAT</t>
        </is>
      </c>
      <c r="I23" s="101" t="n"/>
    </row>
    <row r="24">
      <c r="A24" s="99" t="inlineStr">
        <is>
          <t>CIQ-CUS</t>
        </is>
      </c>
      <c r="B24" s="100" t="inlineStr">
        <is>
          <t>Customs Clearance</t>
        </is>
      </c>
      <c r="C24" s="100" t="inlineStr">
        <is>
          <t>CIQ-CUS</t>
        </is>
      </c>
      <c r="D24" s="100" t="n"/>
      <c r="E24" s="100" t="n"/>
      <c r="F24" s="100" t="n"/>
      <c r="G24" s="100" t="inlineStr">
        <is>
          <t>SUB-SERVICE</t>
        </is>
      </c>
      <c r="H24" s="100" t="inlineStr">
        <is>
          <t>CIQ</t>
        </is>
      </c>
      <c r="I24" s="101" t="n"/>
    </row>
    <row r="25">
      <c r="A25" s="99" t="inlineStr">
        <is>
          <t>CIQ-HLT</t>
        </is>
      </c>
      <c r="B25" s="100" t="inlineStr">
        <is>
          <t>Health / Quarantine Clearance</t>
        </is>
      </c>
      <c r="C25" s="100" t="inlineStr">
        <is>
          <t>CIQ-HLT</t>
        </is>
      </c>
      <c r="D25" s="100" t="n"/>
      <c r="E25" s="100" t="n"/>
      <c r="F25" s="100" t="n"/>
      <c r="G25" s="100" t="inlineStr">
        <is>
          <t>SUB-SERVICE</t>
        </is>
      </c>
      <c r="H25" s="100" t="inlineStr">
        <is>
          <t>CIQ</t>
        </is>
      </c>
      <c r="I25" s="101" t="n"/>
    </row>
    <row r="26">
      <c r="A26" s="99" t="inlineStr">
        <is>
          <t>CIQ-IMM</t>
        </is>
      </c>
      <c r="B26" s="100" t="inlineStr">
        <is>
          <t>Immigration Facilitation</t>
        </is>
      </c>
      <c r="C26" s="100" t="inlineStr">
        <is>
          <t>CIQ-IMM</t>
        </is>
      </c>
      <c r="D26" s="100" t="n"/>
      <c r="E26" s="100" t="n"/>
      <c r="F26" s="100" t="n"/>
      <c r="G26" s="100" t="inlineStr">
        <is>
          <t>SUB-SERVICE</t>
        </is>
      </c>
      <c r="H26" s="100" t="inlineStr">
        <is>
          <t>CIQ</t>
        </is>
      </c>
      <c r="I26" s="101" t="n"/>
    </row>
    <row r="27">
      <c r="A27" s="99" t="inlineStr">
        <is>
          <t>CIQ-VOA</t>
        </is>
      </c>
      <c r="B27" s="100" t="inlineStr">
        <is>
          <t>Visa on Arrival Support</t>
        </is>
      </c>
      <c r="C27" s="100" t="inlineStr">
        <is>
          <t>CIQ-VOA</t>
        </is>
      </c>
      <c r="D27" s="100" t="n"/>
      <c r="E27" s="100" t="n"/>
      <c r="F27" s="100" t="n"/>
      <c r="G27" s="100" t="inlineStr">
        <is>
          <t>SUB-SERVICE</t>
        </is>
      </c>
      <c r="H27" s="100" t="inlineStr">
        <is>
          <t>CIQ</t>
        </is>
      </c>
      <c r="I27" s="101" t="n"/>
    </row>
    <row r="28">
      <c r="A28" s="99" t="inlineStr">
        <is>
          <t>CRW-HTL</t>
        </is>
      </c>
      <c r="B28" s="100" t="inlineStr">
        <is>
          <t>Hotel Accommodation (HOTAC)</t>
        </is>
      </c>
      <c r="C28" s="100" t="inlineStr">
        <is>
          <t>CRW-HTL</t>
        </is>
      </c>
      <c r="D28" s="100" t="n"/>
      <c r="E28" s="100" t="n"/>
      <c r="F28" s="100" t="n"/>
      <c r="G28" s="100" t="inlineStr">
        <is>
          <t>SUB-SERVICE</t>
        </is>
      </c>
      <c r="H28" s="100" t="inlineStr">
        <is>
          <t>CRW</t>
        </is>
      </c>
      <c r="I28" s="101" t="n"/>
    </row>
    <row r="29">
      <c r="A29" s="99" t="inlineStr">
        <is>
          <t>CRW-IMM</t>
        </is>
      </c>
      <c r="B29" s="100" t="inlineStr">
        <is>
          <t>Immigration Liaison</t>
        </is>
      </c>
      <c r="C29" s="100" t="inlineStr">
        <is>
          <t>CRW-IMM</t>
        </is>
      </c>
      <c r="D29" s="100" t="n"/>
      <c r="E29" s="100" t="n"/>
      <c r="F29" s="100" t="n"/>
      <c r="G29" s="100" t="inlineStr">
        <is>
          <t>SUB-SERVICE</t>
        </is>
      </c>
      <c r="H29" s="100" t="inlineStr">
        <is>
          <t>CRW</t>
        </is>
      </c>
      <c r="I29" s="101" t="n"/>
    </row>
    <row r="30">
      <c r="A30" s="99" t="inlineStr">
        <is>
          <t>CRW-VIS</t>
        </is>
      </c>
      <c r="B30" s="100" t="inlineStr">
        <is>
          <t>Crew Visa &amp; Documentation</t>
        </is>
      </c>
      <c r="C30" s="100" t="inlineStr">
        <is>
          <t>CRW-VIS</t>
        </is>
      </c>
      <c r="D30" s="100" t="n"/>
      <c r="E30" s="100" t="n"/>
      <c r="F30" s="100" t="n"/>
      <c r="G30" s="100" t="inlineStr">
        <is>
          <t>SUB-SERVICE</t>
        </is>
      </c>
      <c r="H30" s="100" t="inlineStr">
        <is>
          <t>CRW</t>
        </is>
      </c>
      <c r="I30" s="101" t="n"/>
    </row>
    <row r="31">
      <c r="A31" s="99" t="inlineStr">
        <is>
          <t>FPL-ALT</t>
        </is>
      </c>
      <c r="B31" s="100" t="inlineStr">
        <is>
          <t>Alternate &amp; Fuel Analysis</t>
        </is>
      </c>
      <c r="C31" s="100" t="inlineStr">
        <is>
          <t>FPL-ALT</t>
        </is>
      </c>
      <c r="D31" s="100" t="n"/>
      <c r="E31" s="100" t="n"/>
      <c r="F31" s="100" t="n"/>
      <c r="G31" s="100" t="inlineStr">
        <is>
          <t>SUB-SERVICE</t>
        </is>
      </c>
      <c r="H31" s="100" t="inlineStr">
        <is>
          <t>FPL</t>
        </is>
      </c>
      <c r="I31" s="101" t="n"/>
    </row>
    <row r="32">
      <c r="A32" s="99" t="inlineStr">
        <is>
          <t>FPL-CTO</t>
        </is>
      </c>
      <c r="B32" s="100" t="inlineStr">
        <is>
          <t>ATC Slot / CTOT Coordination</t>
        </is>
      </c>
      <c r="C32" s="100" t="inlineStr">
        <is>
          <t>FPL-CTO</t>
        </is>
      </c>
      <c r="D32" s="100" t="n"/>
      <c r="E32" s="100" t="n"/>
      <c r="F32" s="100" t="n"/>
      <c r="G32" s="100" t="inlineStr">
        <is>
          <t>SUB-SERVICE</t>
        </is>
      </c>
      <c r="H32" s="100" t="inlineStr">
        <is>
          <t>FPL</t>
        </is>
      </c>
      <c r="I32" s="101" t="n"/>
    </row>
    <row r="33">
      <c r="A33" s="99" t="inlineStr">
        <is>
          <t>FPL-OFP</t>
        </is>
      </c>
      <c r="B33" s="100" t="inlineStr">
        <is>
          <t>OFP &amp; Flight Plan Filing</t>
        </is>
      </c>
      <c r="C33" s="100" t="inlineStr">
        <is>
          <t>FPL-OFP</t>
        </is>
      </c>
      <c r="D33" s="100" t="n"/>
      <c r="E33" s="100" t="n"/>
      <c r="F33" s="100" t="n"/>
      <c r="G33" s="100" t="inlineStr">
        <is>
          <t>SUB-SERVICE</t>
        </is>
      </c>
      <c r="H33" s="100" t="inlineStr">
        <is>
          <t>FPL</t>
        </is>
      </c>
      <c r="I33" s="101" t="n"/>
    </row>
    <row r="34">
      <c r="A34" s="99" t="inlineStr">
        <is>
          <t>FPL-WXN</t>
        </is>
      </c>
      <c r="B34" s="100" t="inlineStr">
        <is>
          <t>Weather &amp; NOTAM Briefing</t>
        </is>
      </c>
      <c r="C34" s="100" t="inlineStr">
        <is>
          <t>FPL-WXN</t>
        </is>
      </c>
      <c r="D34" s="100" t="n"/>
      <c r="E34" s="100" t="n"/>
      <c r="F34" s="100" t="n"/>
      <c r="G34" s="100" t="inlineStr">
        <is>
          <t>SUB-SERVICE</t>
        </is>
      </c>
      <c r="H34" s="100" t="inlineStr">
        <is>
          <t>FPL</t>
        </is>
      </c>
      <c r="I34" s="101" t="n"/>
    </row>
    <row r="35">
      <c r="A35" s="99" t="inlineStr">
        <is>
          <t>FUL-AVG</t>
        </is>
      </c>
      <c r="B35" s="100" t="inlineStr">
        <is>
          <t>AVGAS 100LL Uplift</t>
        </is>
      </c>
      <c r="C35" s="100" t="inlineStr">
        <is>
          <t>FUL-AVG</t>
        </is>
      </c>
      <c r="D35" s="100" t="n"/>
      <c r="E35" s="100" t="n"/>
      <c r="F35" s="100" t="n"/>
      <c r="G35" s="100" t="inlineStr">
        <is>
          <t>SUB-SERVICE</t>
        </is>
      </c>
      <c r="H35" s="100" t="inlineStr">
        <is>
          <t>FUL</t>
        </is>
      </c>
      <c r="I35" s="101" t="n"/>
    </row>
    <row r="36">
      <c r="A36" s="99" t="inlineStr">
        <is>
          <t>FUL-DEF</t>
        </is>
      </c>
      <c r="B36" s="100" t="inlineStr">
        <is>
          <t>Defueling</t>
        </is>
      </c>
      <c r="C36" s="100" t="inlineStr">
        <is>
          <t>FUL-DEF</t>
        </is>
      </c>
      <c r="D36" s="100" t="n"/>
      <c r="E36" s="100" t="n"/>
      <c r="F36" s="100" t="n"/>
      <c r="G36" s="100" t="inlineStr">
        <is>
          <t>SUB-SERVICE</t>
        </is>
      </c>
      <c r="H36" s="100" t="inlineStr">
        <is>
          <t>FUL</t>
        </is>
      </c>
      <c r="I36" s="101" t="n"/>
    </row>
    <row r="37">
      <c r="A37" s="99" t="inlineStr">
        <is>
          <t>FUL-JTA</t>
        </is>
      </c>
      <c r="B37" s="100" t="inlineStr">
        <is>
          <t>Jet A-1 Uplift</t>
        </is>
      </c>
      <c r="C37" s="100" t="inlineStr">
        <is>
          <t>FUL-JTA</t>
        </is>
      </c>
      <c r="D37" s="100" t="n"/>
      <c r="E37" s="100" t="n"/>
      <c r="F37" s="100" t="n"/>
      <c r="G37" s="100" t="inlineStr">
        <is>
          <t>SUB-SERVICE</t>
        </is>
      </c>
      <c r="H37" s="100" t="inlineStr">
        <is>
          <t>FUL</t>
        </is>
      </c>
      <c r="I37" s="101" t="n"/>
    </row>
    <row r="38">
      <c r="A38" s="99" t="inlineStr">
        <is>
          <t>FUL-REL</t>
        </is>
      </c>
      <c r="B38" s="100" t="inlineStr">
        <is>
          <t>Fuel Release / Carnet</t>
        </is>
      </c>
      <c r="C38" s="100" t="inlineStr">
        <is>
          <t>FUL-REL</t>
        </is>
      </c>
      <c r="D38" s="100" t="inlineStr">
        <is>
          <t>Third-party release against card or contract</t>
        </is>
      </c>
      <c r="E38" s="100" t="n"/>
      <c r="F38" s="100" t="n"/>
      <c r="G38" s="100" t="inlineStr">
        <is>
          <t>SUB-SERVICE</t>
        </is>
      </c>
      <c r="H38" s="100" t="inlineStr">
        <is>
          <t>FUL</t>
        </is>
      </c>
      <c r="I38" s="101" t="n"/>
    </row>
    <row r="39">
      <c r="A39" s="99" t="inlineStr">
        <is>
          <t>GH-CGO</t>
        </is>
      </c>
      <c r="B39" s="100" t="inlineStr">
        <is>
          <t>Cargo &amp; Baggage Handling</t>
        </is>
      </c>
      <c r="C39" s="100" t="inlineStr">
        <is>
          <t>GH-CGO</t>
        </is>
      </c>
      <c r="D39" s="100" t="n"/>
      <c r="E39" s="100" t="n"/>
      <c r="F39" s="100" t="n"/>
      <c r="G39" s="100" t="inlineStr">
        <is>
          <t>SUB-SERVICE</t>
        </is>
      </c>
      <c r="H39" s="100" t="inlineStr">
        <is>
          <t>GH</t>
        </is>
      </c>
      <c r="I39" s="101" t="n"/>
    </row>
    <row r="40">
      <c r="A40" s="99" t="inlineStr">
        <is>
          <t>GH-DIC</t>
        </is>
      </c>
      <c r="B40" s="100" t="inlineStr">
        <is>
          <t>De-icing / Anti-icing</t>
        </is>
      </c>
      <c r="C40" s="100" t="inlineStr">
        <is>
          <t>GH-DIC</t>
        </is>
      </c>
      <c r="D40" s="100" t="inlineStr">
        <is>
          <t>Seasonal, Type I-IV fluids</t>
        </is>
      </c>
      <c r="E40" s="100" t="n"/>
      <c r="F40" s="100" t="n"/>
      <c r="G40" s="100" t="inlineStr">
        <is>
          <t>SUB-SERVICE</t>
        </is>
      </c>
      <c r="H40" s="100" t="inlineStr">
        <is>
          <t>GH</t>
        </is>
      </c>
      <c r="I40" s="101" t="n"/>
    </row>
    <row r="41">
      <c r="A41" s="99" t="inlineStr">
        <is>
          <t>GH-HGR</t>
        </is>
      </c>
      <c r="B41" s="100" t="inlineStr">
        <is>
          <t>Hangarage &amp; Parking</t>
        </is>
      </c>
      <c r="C41" s="100" t="inlineStr">
        <is>
          <t>GH-HGR</t>
        </is>
      </c>
      <c r="D41" s="100" t="inlineStr">
        <is>
          <t>Overnight and long-stay</t>
        </is>
      </c>
      <c r="E41" s="100" t="n"/>
      <c r="F41" s="100" t="n"/>
      <c r="G41" s="100" t="inlineStr">
        <is>
          <t>SUB-SERVICE</t>
        </is>
      </c>
      <c r="H41" s="100" t="inlineStr">
        <is>
          <t>GH</t>
        </is>
      </c>
      <c r="I41" s="101" t="n"/>
    </row>
    <row r="42">
      <c r="A42" s="99" t="inlineStr">
        <is>
          <t>GH-LAV</t>
        </is>
      </c>
      <c r="B42" s="100" t="inlineStr">
        <is>
          <t>Lavatory &amp; Potable Water</t>
        </is>
      </c>
      <c r="C42" s="100" t="inlineStr">
        <is>
          <t>GH-LAV</t>
        </is>
      </c>
      <c r="D42" s="100" t="n"/>
      <c r="E42" s="100" t="n"/>
      <c r="F42" s="100" t="n"/>
      <c r="G42" s="100" t="inlineStr">
        <is>
          <t>SUB-SERVICE</t>
        </is>
      </c>
      <c r="H42" s="100" t="inlineStr">
        <is>
          <t>GH</t>
        </is>
      </c>
      <c r="I42" s="101" t="n"/>
    </row>
    <row r="43">
      <c r="A43" s="99" t="inlineStr">
        <is>
          <t>GH-LNG</t>
        </is>
      </c>
      <c r="B43" s="100" t="inlineStr">
        <is>
          <t>Passenger &amp; VIP Lounge</t>
        </is>
      </c>
      <c r="C43" s="100" t="inlineStr">
        <is>
          <t>GH-LNG</t>
        </is>
      </c>
      <c r="D43" s="100" t="inlineStr">
        <is>
          <t>Terminal or FBO lounge access</t>
        </is>
      </c>
      <c r="E43" s="100" t="n"/>
      <c r="F43" s="100" t="n"/>
      <c r="G43" s="100" t="inlineStr">
        <is>
          <t>SUB-SERVICE</t>
        </is>
      </c>
      <c r="H43" s="100" t="inlineStr">
        <is>
          <t>GH</t>
        </is>
      </c>
      <c r="I43" s="101" t="n"/>
    </row>
    <row r="44">
      <c r="A44" s="99" t="inlineStr">
        <is>
          <t>GH-RMP</t>
        </is>
      </c>
      <c r="B44" s="100" t="inlineStr">
        <is>
          <t>Ramp Handling</t>
        </is>
      </c>
      <c r="C44" s="100" t="inlineStr">
        <is>
          <t>GH-RMP</t>
        </is>
      </c>
      <c r="D44" s="100" t="inlineStr">
        <is>
          <t>Marshalling, chocks, GPU, ASU, towing</t>
        </is>
      </c>
      <c r="E44" s="100" t="n"/>
      <c r="F44" s="100" t="n"/>
      <c r="G44" s="100" t="inlineStr">
        <is>
          <t>SUB-SERVICE</t>
        </is>
      </c>
      <c r="H44" s="100" t="inlineStr">
        <is>
          <t>GH</t>
        </is>
      </c>
      <c r="I44" s="101" t="n"/>
    </row>
    <row r="45">
      <c r="A45" s="99" t="inlineStr">
        <is>
          <t>GH-TRP</t>
        </is>
      </c>
      <c r="B45" s="100" t="inlineStr">
        <is>
          <t>Crew &amp; Passenger Transport</t>
        </is>
      </c>
      <c r="C45" s="100" t="inlineStr">
        <is>
          <t>GH-TRP</t>
        </is>
      </c>
      <c r="D45" s="100" t="inlineStr">
        <is>
          <t>Airside and landside transfers</t>
        </is>
      </c>
      <c r="E45" s="100" t="n"/>
      <c r="F45" s="100" t="n"/>
      <c r="G45" s="100" t="inlineStr">
        <is>
          <t>SUB-SERVICE</t>
        </is>
      </c>
      <c r="H45" s="100" t="inlineStr">
        <is>
          <t>GH</t>
        </is>
      </c>
      <c r="I45" s="101" t="n"/>
    </row>
    <row r="46">
      <c r="A46" s="99" t="inlineStr">
        <is>
          <t>MED-AMB</t>
        </is>
      </c>
      <c r="B46" s="100" t="inlineStr">
        <is>
          <t>Ambulance Transfer</t>
        </is>
      </c>
      <c r="C46" s="100" t="inlineStr">
        <is>
          <t>MED-AMB</t>
        </is>
      </c>
      <c r="D46" s="100" t="n"/>
      <c r="E46" s="100" t="n"/>
      <c r="F46" s="100" t="n"/>
      <c r="G46" s="100" t="inlineStr">
        <is>
          <t>SUB-SERVICE</t>
        </is>
      </c>
      <c r="H46" s="100" t="inlineStr">
        <is>
          <t>MED</t>
        </is>
      </c>
      <c r="I46" s="101" t="n"/>
    </row>
    <row r="47">
      <c r="A47" s="99" t="inlineStr">
        <is>
          <t>MED-CRD</t>
        </is>
      </c>
      <c r="B47" s="100" t="inlineStr">
        <is>
          <t>Medevac Coordination</t>
        </is>
      </c>
      <c r="C47" s="100" t="inlineStr">
        <is>
          <t>MED-CRD</t>
        </is>
      </c>
      <c r="D47" s="100" t="n"/>
      <c r="E47" s="100" t="n"/>
      <c r="F47" s="100" t="n"/>
      <c r="G47" s="100" t="inlineStr">
        <is>
          <t>SUB-SERVICE</t>
        </is>
      </c>
      <c r="H47" s="100" t="inlineStr">
        <is>
          <t>MED</t>
        </is>
      </c>
      <c r="I47" s="101" t="n"/>
    </row>
    <row r="48">
      <c r="A48" s="99" t="inlineStr">
        <is>
          <t>MED-ESC</t>
        </is>
      </c>
      <c r="B48" s="100" t="inlineStr">
        <is>
          <t>Medical Escort / Doctor on Board</t>
        </is>
      </c>
      <c r="C48" s="100" t="inlineStr">
        <is>
          <t>MED-ESC</t>
        </is>
      </c>
      <c r="D48" s="100" t="n"/>
      <c r="E48" s="100" t="n"/>
      <c r="F48" s="100" t="n"/>
      <c r="G48" s="100" t="inlineStr">
        <is>
          <t>SUB-SERVICE</t>
        </is>
      </c>
      <c r="H48" s="100" t="inlineStr">
        <is>
          <t>MED</t>
        </is>
      </c>
      <c r="I48" s="101" t="n"/>
    </row>
    <row r="49">
      <c r="A49" s="99" t="inlineStr">
        <is>
          <t>MRO-AOG</t>
        </is>
      </c>
      <c r="B49" s="100" t="inlineStr">
        <is>
          <t>AOG Support</t>
        </is>
      </c>
      <c r="C49" s="100" t="inlineStr">
        <is>
          <t>MRO-AOG</t>
        </is>
      </c>
      <c r="D49" s="100" t="n"/>
      <c r="E49" s="100" t="n"/>
      <c r="F49" s="100" t="n"/>
      <c r="G49" s="100" t="inlineStr">
        <is>
          <t>SUB-SERVICE</t>
        </is>
      </c>
      <c r="H49" s="100" t="inlineStr">
        <is>
          <t>MRO</t>
        </is>
      </c>
      <c r="I49" s="101" t="n"/>
    </row>
    <row r="50">
      <c r="A50" s="99" t="inlineStr">
        <is>
          <t>MRO-LIN</t>
        </is>
      </c>
      <c r="B50" s="100" t="inlineStr">
        <is>
          <t>Line Maintenance</t>
        </is>
      </c>
      <c r="C50" s="100" t="inlineStr">
        <is>
          <t>MRO-LIN</t>
        </is>
      </c>
      <c r="D50" s="100" t="inlineStr">
        <is>
          <t>Transit and daily checks</t>
        </is>
      </c>
      <c r="E50" s="100" t="n"/>
      <c r="F50" s="100" t="n"/>
      <c r="G50" s="100" t="inlineStr">
        <is>
          <t>SUB-SERVICE</t>
        </is>
      </c>
      <c r="H50" s="100" t="inlineStr">
        <is>
          <t>MRO</t>
        </is>
      </c>
      <c r="I50" s="101" t="n"/>
    </row>
    <row r="51">
      <c r="A51" s="99" t="inlineStr">
        <is>
          <t>MRO-PRT</t>
        </is>
      </c>
      <c r="B51" s="100" t="inlineStr">
        <is>
          <t>Parts Logistics &amp; Customs</t>
        </is>
      </c>
      <c r="C51" s="100" t="inlineStr">
        <is>
          <t>MRO-PRT</t>
        </is>
      </c>
      <c r="D51" s="100" t="n"/>
      <c r="E51" s="100" t="n"/>
      <c r="F51" s="100" t="n"/>
      <c r="G51" s="100" t="inlineStr">
        <is>
          <t>SUB-SERVICE</t>
        </is>
      </c>
      <c r="H51" s="100" t="inlineStr">
        <is>
          <t>MRO</t>
        </is>
      </c>
      <c r="I51" s="101" t="n"/>
    </row>
    <row r="52">
      <c r="A52" s="99" t="inlineStr">
        <is>
          <t>NAV-ENR</t>
        </is>
      </c>
      <c r="B52" s="100" t="inlineStr">
        <is>
          <t>Enroute Navigation Charges</t>
        </is>
      </c>
      <c r="C52" s="100" t="inlineStr">
        <is>
          <t>NAV-ENR</t>
        </is>
      </c>
      <c r="D52" s="100" t="n"/>
      <c r="E52" s="100" t="n"/>
      <c r="F52" s="100" t="n"/>
      <c r="G52" s="100" t="inlineStr">
        <is>
          <t>SUB-SERVICE</t>
        </is>
      </c>
      <c r="H52" s="100" t="inlineStr">
        <is>
          <t>NAV</t>
        </is>
      </c>
      <c r="I52" s="101" t="n"/>
    </row>
    <row r="53">
      <c r="A53" s="99" t="inlineStr">
        <is>
          <t>NAV-STL</t>
        </is>
      </c>
      <c r="B53" s="100" t="inlineStr">
        <is>
          <t>Charge Settlement &amp; Reconciliation</t>
        </is>
      </c>
      <c r="C53" s="100" t="inlineStr">
        <is>
          <t>NAV-STL</t>
        </is>
      </c>
      <c r="D53" s="100" t="inlineStr">
        <is>
          <t>Payment on behalf of operator</t>
        </is>
      </c>
      <c r="E53" s="100" t="n"/>
      <c r="F53" s="100" t="n"/>
      <c r="G53" s="100" t="inlineStr">
        <is>
          <t>SUB-SERVICE</t>
        </is>
      </c>
      <c r="H53" s="100" t="inlineStr">
        <is>
          <t>NAV</t>
        </is>
      </c>
      <c r="I53" s="101" t="n"/>
    </row>
    <row r="54">
      <c r="A54" s="99" t="inlineStr">
        <is>
          <t>NAV-TRM</t>
        </is>
      </c>
      <c r="B54" s="100" t="inlineStr">
        <is>
          <t>Terminal Navigation Charges</t>
        </is>
      </c>
      <c r="C54" s="100" t="inlineStr">
        <is>
          <t>NAV-TRM</t>
        </is>
      </c>
      <c r="D54" s="100" t="n"/>
      <c r="E54" s="100" t="n"/>
      <c r="F54" s="100" t="n"/>
      <c r="G54" s="100" t="inlineStr">
        <is>
          <t>SUB-SERVICE</t>
        </is>
      </c>
      <c r="H54" s="100" t="inlineStr">
        <is>
          <t>NAV</t>
        </is>
      </c>
      <c r="I54" s="101" t="n"/>
    </row>
    <row r="55">
      <c r="A55" s="99" t="inlineStr">
        <is>
          <t>PRM-AMB</t>
        </is>
      </c>
      <c r="B55" s="100" t="inlineStr">
        <is>
          <t>Ambulance / Medevac Permit</t>
        </is>
      </c>
      <c r="C55" s="100" t="inlineStr">
        <is>
          <t>PRM-AMB</t>
        </is>
      </c>
      <c r="D55" s="100" t="inlineStr">
        <is>
          <t>Priority handling</t>
        </is>
      </c>
      <c r="E55" s="100" t="n"/>
      <c r="F55" s="100" t="n"/>
      <c r="G55" s="100" t="inlineStr">
        <is>
          <t>SUB-SERVICE</t>
        </is>
      </c>
      <c r="H55" s="100" t="inlineStr">
        <is>
          <t>OVF</t>
        </is>
      </c>
      <c r="I55" s="101" t="n"/>
    </row>
    <row r="56">
      <c r="A56" s="99" t="inlineStr">
        <is>
          <t>PRM-BLK</t>
        </is>
      </c>
      <c r="B56" s="100" t="inlineStr">
        <is>
          <t>Block / Annual Permit</t>
        </is>
      </c>
      <c r="C56" s="100" t="inlineStr">
        <is>
          <t>PRM-BLK</t>
        </is>
      </c>
      <c r="D56" s="100" t="inlineStr">
        <is>
          <t>Multi-movement standing approval</t>
        </is>
      </c>
      <c r="E56" s="100" t="n"/>
      <c r="F56" s="100" t="n"/>
      <c r="G56" s="100" t="inlineStr">
        <is>
          <t>SUB-SERVICE</t>
        </is>
      </c>
      <c r="H56" s="100" t="inlineStr">
        <is>
          <t>OVF</t>
        </is>
      </c>
      <c r="I56" s="101" t="n"/>
    </row>
    <row r="57">
      <c r="A57" s="99" t="inlineStr">
        <is>
          <t>PRM-CAB</t>
        </is>
      </c>
      <c r="B57" s="100" t="inlineStr">
        <is>
          <t>Cabotage Approval</t>
        </is>
      </c>
      <c r="C57" s="100" t="inlineStr">
        <is>
          <t>PRM-CAB</t>
        </is>
      </c>
      <c r="D57" s="100" t="inlineStr">
        <is>
          <t>Domestic sector on foreign registration</t>
        </is>
      </c>
      <c r="E57" s="100" t="n"/>
      <c r="F57" s="100" t="n"/>
      <c r="G57" s="100" t="inlineStr">
        <is>
          <t>SUB-SERVICE</t>
        </is>
      </c>
      <c r="H57" s="100" t="inlineStr">
        <is>
          <t>OVF</t>
        </is>
      </c>
      <c r="I57" s="101" t="n"/>
    </row>
    <row r="58">
      <c r="A58" s="99" t="inlineStr">
        <is>
          <t>PRM-CHT</t>
        </is>
      </c>
      <c r="B58" s="100" t="inlineStr">
        <is>
          <t>Charter / Traffic Right Approval</t>
        </is>
      </c>
      <c r="C58" s="100" t="inlineStr">
        <is>
          <t>PRM-CHT</t>
        </is>
      </c>
      <c r="D58" s="100" t="inlineStr">
        <is>
          <t>Commercial charter authorisation</t>
        </is>
      </c>
      <c r="E58" s="100" t="n"/>
      <c r="F58" s="100" t="n"/>
      <c r="G58" s="100" t="inlineStr">
        <is>
          <t>SUB-SERVICE</t>
        </is>
      </c>
      <c r="H58" s="100" t="inlineStr">
        <is>
          <t>OVF</t>
        </is>
      </c>
      <c r="I58" s="101" t="n"/>
    </row>
    <row r="59">
      <c r="A59" s="99" t="inlineStr">
        <is>
          <t>PRM-DGR</t>
        </is>
      </c>
      <c r="B59" s="100" t="inlineStr">
        <is>
          <t>Dangerous Goods / Special Cargo Permit</t>
        </is>
      </c>
      <c r="C59" s="100" t="inlineStr">
        <is>
          <t>PRM-DGR</t>
        </is>
      </c>
      <c r="D59" s="100" t="n"/>
      <c r="E59" s="100" t="n"/>
      <c r="F59" s="100" t="n"/>
      <c r="G59" s="100" t="inlineStr">
        <is>
          <t>SUB-SERVICE</t>
        </is>
      </c>
      <c r="H59" s="100" t="inlineStr">
        <is>
          <t>OVF</t>
        </is>
      </c>
      <c r="I59" s="101" t="n"/>
    </row>
    <row r="60">
      <c r="A60" s="99" t="inlineStr">
        <is>
          <t>PRM-DIP</t>
        </is>
      </c>
      <c r="B60" s="100" t="inlineStr">
        <is>
          <t>Diplomatic Clearance</t>
        </is>
      </c>
      <c r="C60" s="100" t="inlineStr">
        <is>
          <t>PRM-DIP</t>
        </is>
      </c>
      <c r="D60" s="100" t="inlineStr">
        <is>
          <t>State/VIP and government aircraft</t>
        </is>
      </c>
      <c r="E60" s="100" t="n"/>
      <c r="F60" s="100" t="n"/>
      <c r="G60" s="100" t="inlineStr">
        <is>
          <t>SUB-SERVICE</t>
        </is>
      </c>
      <c r="H60" s="100" t="inlineStr">
        <is>
          <t>OVF</t>
        </is>
      </c>
      <c r="I60" s="101" t="n"/>
    </row>
    <row r="61">
      <c r="A61" s="99" t="inlineStr">
        <is>
          <t>PRM-LND</t>
        </is>
      </c>
      <c r="B61" s="100" t="inlineStr">
        <is>
          <t>Landing Permit</t>
        </is>
      </c>
      <c r="C61" s="100" t="inlineStr">
        <is>
          <t>PRM-LND</t>
        </is>
      </c>
      <c r="D61" s="100" t="inlineStr">
        <is>
          <t>Standard landing clearance</t>
        </is>
      </c>
      <c r="E61" s="100" t="n"/>
      <c r="F61" s="100" t="n"/>
      <c r="G61" s="100" t="inlineStr">
        <is>
          <t>SUB-SERVICE</t>
        </is>
      </c>
      <c r="H61" s="100" t="inlineStr">
        <is>
          <t>LDG</t>
        </is>
      </c>
      <c r="I61" s="101" t="n"/>
    </row>
    <row r="62">
      <c r="A62" s="99" t="inlineStr">
        <is>
          <t>PRM-LND-EMG</t>
        </is>
      </c>
      <c r="B62" s="100" t="inlineStr">
        <is>
          <t>Short-Notice Landing Permit</t>
        </is>
      </c>
      <c r="C62" s="100" t="inlineStr">
        <is>
          <t>PRM-LND-EMG</t>
        </is>
      </c>
      <c r="D62" s="100" t="inlineStr">
        <is>
          <t>Filed inside standard lead time</t>
        </is>
      </c>
      <c r="E62" s="100" t="n"/>
      <c r="F62" s="100" t="n"/>
      <c r="G62" s="100" t="inlineStr">
        <is>
          <t>SUB-SERVICE</t>
        </is>
      </c>
      <c r="H62" s="100" t="inlineStr">
        <is>
          <t>LDG</t>
        </is>
      </c>
      <c r="I62" s="101" t="n"/>
    </row>
    <row r="63">
      <c r="A63" s="99" t="inlineStr">
        <is>
          <t>PRM-OVF</t>
        </is>
      </c>
      <c r="B63" s="100" t="inlineStr">
        <is>
          <t>Overflight Permit</t>
        </is>
      </c>
      <c r="C63" s="100" t="inlineStr">
        <is>
          <t>PRM-OVF</t>
        </is>
      </c>
      <c r="D63" s="100" t="inlineStr">
        <is>
          <t>Standard enroute clearance</t>
        </is>
      </c>
      <c r="E63" s="100" t="n"/>
      <c r="F63" s="100" t="n"/>
      <c r="G63" s="100" t="inlineStr">
        <is>
          <t>SUB-SERVICE</t>
        </is>
      </c>
      <c r="H63" s="100" t="inlineStr">
        <is>
          <t>OVF</t>
        </is>
      </c>
      <c r="I63" s="101" t="n"/>
    </row>
    <row r="64">
      <c r="A64" s="99" t="inlineStr">
        <is>
          <t>SEC-EP</t>
        </is>
      </c>
      <c r="B64" s="100" t="inlineStr">
        <is>
          <t>Executive Protection</t>
        </is>
      </c>
      <c r="C64" s="100" t="inlineStr">
        <is>
          <t>SEC-EP</t>
        </is>
      </c>
      <c r="D64" s="100" t="inlineStr">
        <is>
          <t>Close protection for principals</t>
        </is>
      </c>
      <c r="E64" s="100" t="n"/>
      <c r="F64" s="100" t="n"/>
      <c r="G64" s="100" t="inlineStr">
        <is>
          <t>SUB-SERVICE</t>
        </is>
      </c>
      <c r="H64" s="100" t="inlineStr">
        <is>
          <t>SEC</t>
        </is>
      </c>
      <c r="I64" s="101" t="n"/>
    </row>
    <row r="65">
      <c r="A65" s="99" t="inlineStr">
        <is>
          <t>SEC-GRD</t>
        </is>
      </c>
      <c r="B65" s="100" t="inlineStr">
        <is>
          <t>Aircraft Guarding</t>
        </is>
      </c>
      <c r="C65" s="100" t="inlineStr">
        <is>
          <t>SEC-GRD</t>
        </is>
      </c>
      <c r="D65" s="100" t="inlineStr">
        <is>
          <t>Static guard, 24h or overnight</t>
        </is>
      </c>
      <c r="E65" s="100" t="n"/>
      <c r="F65" s="100" t="n"/>
      <c r="G65" s="100" t="inlineStr">
        <is>
          <t>SUB-SERVICE</t>
        </is>
      </c>
      <c r="H65" s="100" t="inlineStr">
        <is>
          <t>SEC</t>
        </is>
      </c>
      <c r="I65" s="101" t="n"/>
    </row>
    <row r="66">
      <c r="A66" s="99" t="inlineStr">
        <is>
          <t>SEC-RSK</t>
        </is>
      </c>
      <c r="B66" s="100" t="inlineStr">
        <is>
          <t>Security Risk Assessment</t>
        </is>
      </c>
      <c r="C66" s="100" t="inlineStr">
        <is>
          <t>SEC-RSK</t>
        </is>
      </c>
      <c r="D66" s="100" t="inlineStr">
        <is>
          <t>Station threat brief</t>
        </is>
      </c>
      <c r="E66" s="100" t="n"/>
      <c r="F66" s="100" t="n"/>
      <c r="G66" s="100" t="inlineStr">
        <is>
          <t>SUB-SERVICE</t>
        </is>
      </c>
      <c r="H66" s="100" t="inlineStr">
        <is>
          <t>SEC</t>
        </is>
      </c>
      <c r="I66" s="101" t="n"/>
    </row>
    <row r="67">
      <c r="A67" s="99" t="inlineStr">
        <is>
          <t>SEC-SCR</t>
        </is>
      </c>
      <c r="B67" s="100" t="inlineStr">
        <is>
          <t>Passenger &amp; Baggage Screening</t>
        </is>
      </c>
      <c r="C67" s="100" t="inlineStr">
        <is>
          <t>SEC-SCR</t>
        </is>
      </c>
      <c r="D67" s="100" t="n"/>
      <c r="E67" s="100" t="n"/>
      <c r="F67" s="100" t="n"/>
      <c r="G67" s="100" t="inlineStr">
        <is>
          <t>SUB-SERVICE</t>
        </is>
      </c>
      <c r="H67" s="100" t="inlineStr">
        <is>
          <t>SEC</t>
        </is>
      </c>
      <c r="I67" s="101" t="n"/>
    </row>
    <row r="68">
      <c r="A68" s="99" t="inlineStr">
        <is>
          <t>SLT-CUR</t>
        </is>
      </c>
      <c r="B68" s="100" t="inlineStr">
        <is>
          <t>Curfew / Night Dispensation</t>
        </is>
      </c>
      <c r="C68" s="100" t="inlineStr">
        <is>
          <t>SLT-CUR</t>
        </is>
      </c>
      <c r="D68" s="100" t="n"/>
      <c r="E68" s="100" t="n"/>
      <c r="F68" s="100" t="n"/>
      <c r="G68" s="100" t="inlineStr">
        <is>
          <t>SUB-SERVICE</t>
        </is>
      </c>
      <c r="H68" s="100" t="inlineStr">
        <is>
          <t>SLT</t>
        </is>
      </c>
      <c r="I68" s="101" t="n"/>
    </row>
    <row r="69">
      <c r="A69" s="99" t="inlineStr">
        <is>
          <t>SLT-PPR</t>
        </is>
      </c>
      <c r="B69" s="100" t="inlineStr">
        <is>
          <t>PPR Request</t>
        </is>
      </c>
      <c r="C69" s="100" t="inlineStr">
        <is>
          <t>SLT-PPR</t>
        </is>
      </c>
      <c r="D69" s="100" t="inlineStr">
        <is>
          <t>Prior permission required</t>
        </is>
      </c>
      <c r="E69" s="100" t="n"/>
      <c r="F69" s="100" t="n"/>
      <c r="G69" s="100" t="inlineStr">
        <is>
          <t>SUB-SERVICE</t>
        </is>
      </c>
      <c r="H69" s="100" t="inlineStr">
        <is>
          <t>SLT</t>
        </is>
      </c>
      <c r="I69" s="101" t="n"/>
    </row>
    <row r="70">
      <c r="A70" s="99" t="inlineStr">
        <is>
          <t>SLT-SLT</t>
        </is>
      </c>
      <c r="B70" s="100" t="inlineStr">
        <is>
          <t>Airport Slot Request</t>
        </is>
      </c>
      <c r="C70" s="100" t="inlineStr">
        <is>
          <t>SLT-SLT</t>
        </is>
      </c>
      <c r="D70" s="100" t="inlineStr">
        <is>
          <t>Level 2/3 coordinated airports</t>
        </is>
      </c>
      <c r="E70" s="100" t="n"/>
      <c r="F70" s="100" t="n"/>
      <c r="G70" s="100" t="inlineStr">
        <is>
          <t>SUB-SERVICE</t>
        </is>
      </c>
      <c r="H70" s="100" t="inlineStr">
        <is>
          <t>SLT</t>
        </is>
      </c>
      <c r="I70" s="101" t="n"/>
    </row>
    <row r="71">
      <c r="A71" s="102" t="inlineStr">
        <is>
          <t>SLT-STD</t>
        </is>
      </c>
      <c r="B71" s="103" t="inlineStr">
        <is>
          <t>Stand / Parking Allocation</t>
        </is>
      </c>
      <c r="C71" s="103" t="inlineStr">
        <is>
          <t>SLT-STD</t>
        </is>
      </c>
      <c r="D71" s="103" t="n"/>
      <c r="E71" s="103" t="n"/>
      <c r="F71" s="103" t="n"/>
      <c r="G71" s="103" t="inlineStr">
        <is>
          <t>SUB-SERVICE</t>
        </is>
      </c>
      <c r="H71" s="103" t="inlineStr">
        <is>
          <t>SLT</t>
        </is>
      </c>
      <c r="I71" s="104" t="n"/>
    </row>
  </sheetData>
  <mergeCells count="1">
    <mergeCell ref="A1:I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96"/>
  <sheetViews>
    <sheetView workbookViewId="0">
      <pane ySplit="1" topLeftCell="A83" activePane="bottomLeft" state="frozen"/>
      <selection pane="bottomLeft" activeCell="A51" sqref="A51"/>
    </sheetView>
  </sheetViews>
  <sheetFormatPr baseColWidth="8" defaultRowHeight="14.4"/>
  <cols>
    <col width="9.109375" bestFit="1" customWidth="1" min="1" max="1"/>
    <col width="8.77734375" bestFit="1" customWidth="1" min="2" max="2"/>
    <col width="16.21875" bestFit="1" customWidth="1" min="4" max="4"/>
    <col width="14.88671875" bestFit="1" customWidth="1" min="5" max="5"/>
    <col width="10.88671875" bestFit="1" customWidth="1" min="6" max="6"/>
    <col width="11.109375" bestFit="1" customWidth="1" min="7" max="7"/>
    <col width="12.21875" bestFit="1" customWidth="1" min="8" max="8"/>
    <col width="17.88671875" bestFit="1" customWidth="1" min="9" max="9"/>
  </cols>
  <sheetData>
    <row r="1">
      <c r="A1" s="19" t="inlineStr">
        <is>
          <t>id</t>
        </is>
      </c>
      <c r="B1" s="19" t="inlineStr">
        <is>
          <t>vendor_id</t>
        </is>
      </c>
      <c r="C1" s="19" t="inlineStr">
        <is>
          <t>icao_code</t>
        </is>
      </c>
      <c r="D1" s="19" t="inlineStr">
        <is>
          <t>is_primary_handler</t>
        </is>
      </c>
      <c r="E1" s="19" t="inlineStr">
        <is>
          <t>fbo_facility_name</t>
        </is>
      </c>
      <c r="F1" s="19" t="inlineStr">
        <is>
          <t>sita_address</t>
        </is>
      </c>
      <c r="G1" s="19" t="inlineStr">
        <is>
          <t>aftn_address</t>
        </is>
      </c>
      <c r="H1" s="19" t="inlineStr">
        <is>
          <t>vhf_frequency</t>
        </is>
      </c>
      <c r="I1" s="19" t="inlineStr">
        <is>
          <t>airport_name_lookup</t>
        </is>
      </c>
      <c r="J1" s="2" t="inlineStr">
        <is>
          <t>country_iso_code</t>
        </is>
      </c>
      <c r="K1" s="2" t="inlineStr">
        <is>
          <t>data_confidence</t>
        </is>
      </c>
    </row>
    <row r="2">
      <c r="A2" t="inlineStr">
        <is>
          <t>VCA-0001</t>
        </is>
      </c>
      <c r="B2" t="inlineStr">
        <is>
          <t>VND-001</t>
        </is>
      </c>
      <c r="C2" t="inlineStr">
        <is>
          <t>HECA</t>
        </is>
      </c>
      <c r="D2" t="inlineStr">
        <is>
          <t>NO</t>
        </is>
      </c>
    </row>
    <row r="3">
      <c r="A3" t="inlineStr">
        <is>
          <t>VCA-0002</t>
        </is>
      </c>
      <c r="B3" t="inlineStr">
        <is>
          <t>VND-002</t>
        </is>
      </c>
      <c r="C3" t="inlineStr">
        <is>
          <t>HECA</t>
        </is>
      </c>
      <c r="D3" t="inlineStr">
        <is>
          <t>NO</t>
        </is>
      </c>
    </row>
    <row r="4">
      <c r="A4" t="inlineStr">
        <is>
          <t>VCA-0003</t>
        </is>
      </c>
      <c r="B4" t="inlineStr">
        <is>
          <t>VND-003</t>
        </is>
      </c>
      <c r="C4" t="inlineStr">
        <is>
          <t>HECA</t>
        </is>
      </c>
      <c r="D4" t="inlineStr">
        <is>
          <t>NO</t>
        </is>
      </c>
    </row>
    <row r="5">
      <c r="A5" t="inlineStr">
        <is>
          <t>VCA-0004</t>
        </is>
      </c>
      <c r="B5" t="inlineStr">
        <is>
          <t>VND-004</t>
        </is>
      </c>
      <c r="C5" t="inlineStr">
        <is>
          <t>HECA</t>
        </is>
      </c>
      <c r="D5" t="inlineStr">
        <is>
          <t>NO</t>
        </is>
      </c>
    </row>
    <row r="6">
      <c r="A6" t="inlineStr">
        <is>
          <t>VCA-0005</t>
        </is>
      </c>
      <c r="B6" t="inlineStr">
        <is>
          <t>VND-005</t>
        </is>
      </c>
      <c r="C6" t="inlineStr">
        <is>
          <t>HECA</t>
        </is>
      </c>
      <c r="D6" t="inlineStr">
        <is>
          <t>NO</t>
        </is>
      </c>
    </row>
    <row r="7">
      <c r="A7" t="inlineStr">
        <is>
          <t>VCA-0006</t>
        </is>
      </c>
      <c r="B7" t="inlineStr">
        <is>
          <t>VND-006</t>
        </is>
      </c>
      <c r="C7" t="inlineStr">
        <is>
          <t>HECA</t>
        </is>
      </c>
      <c r="D7" t="inlineStr">
        <is>
          <t>NO</t>
        </is>
      </c>
    </row>
    <row r="8">
      <c r="A8" t="inlineStr">
        <is>
          <t>VCA-0007</t>
        </is>
      </c>
      <c r="B8" t="inlineStr">
        <is>
          <t>VND-007</t>
        </is>
      </c>
      <c r="C8" t="inlineStr">
        <is>
          <t>HECA</t>
        </is>
      </c>
      <c r="D8" t="inlineStr">
        <is>
          <t>NO</t>
        </is>
      </c>
    </row>
    <row r="9">
      <c r="A9" t="inlineStr">
        <is>
          <t>VCA-0008</t>
        </is>
      </c>
      <c r="B9" t="inlineStr">
        <is>
          <t>VND-008</t>
        </is>
      </c>
      <c r="C9" t="inlineStr">
        <is>
          <t>HECA</t>
        </is>
      </c>
      <c r="D9" t="inlineStr">
        <is>
          <t>NO</t>
        </is>
      </c>
    </row>
    <row r="10">
      <c r="A10" t="inlineStr">
        <is>
          <t>VCA-0009</t>
        </is>
      </c>
      <c r="B10" t="inlineStr">
        <is>
          <t>VND-009</t>
        </is>
      </c>
      <c r="C10" t="inlineStr">
        <is>
          <t>HECA</t>
        </is>
      </c>
      <c r="D10" t="inlineStr">
        <is>
          <t>NO</t>
        </is>
      </c>
    </row>
    <row r="11">
      <c r="A11" t="inlineStr">
        <is>
          <t>VCA-0010</t>
        </is>
      </c>
      <c r="B11" t="inlineStr">
        <is>
          <t>VND-010</t>
        </is>
      </c>
      <c r="C11" t="inlineStr">
        <is>
          <t>HECA</t>
        </is>
      </c>
      <c r="D11" t="inlineStr">
        <is>
          <t>NO</t>
        </is>
      </c>
    </row>
    <row r="12">
      <c r="A12" t="inlineStr">
        <is>
          <t>VCA-0011</t>
        </is>
      </c>
      <c r="B12" t="inlineStr">
        <is>
          <t>VND-011</t>
        </is>
      </c>
      <c r="C12" t="inlineStr">
        <is>
          <t>FAOR</t>
        </is>
      </c>
      <c r="D12" t="inlineStr">
        <is>
          <t>NO</t>
        </is>
      </c>
    </row>
    <row r="13">
      <c r="A13" t="inlineStr">
        <is>
          <t>VCA-0012</t>
        </is>
      </c>
      <c r="B13" t="inlineStr">
        <is>
          <t>VND-012</t>
        </is>
      </c>
      <c r="C13" t="inlineStr">
        <is>
          <t>FAOR</t>
        </is>
      </c>
      <c r="D13" t="inlineStr">
        <is>
          <t>NO</t>
        </is>
      </c>
    </row>
    <row r="14">
      <c r="A14" t="inlineStr">
        <is>
          <t>VCA-0013</t>
        </is>
      </c>
      <c r="B14" t="inlineStr">
        <is>
          <t>VND-013</t>
        </is>
      </c>
      <c r="C14" t="inlineStr">
        <is>
          <t>FALA</t>
        </is>
      </c>
      <c r="D14" t="inlineStr">
        <is>
          <t>NO</t>
        </is>
      </c>
    </row>
    <row r="15">
      <c r="A15" t="inlineStr">
        <is>
          <t>VCA-0014</t>
        </is>
      </c>
      <c r="B15" t="inlineStr">
        <is>
          <t>VND-014</t>
        </is>
      </c>
      <c r="C15" t="inlineStr">
        <is>
          <t>FAOR</t>
        </is>
      </c>
      <c r="D15" t="inlineStr">
        <is>
          <t>NO</t>
        </is>
      </c>
    </row>
    <row r="16">
      <c r="A16" t="inlineStr">
        <is>
          <t>VCA-0015</t>
        </is>
      </c>
      <c r="B16" t="inlineStr">
        <is>
          <t>VND-015</t>
        </is>
      </c>
      <c r="C16" t="inlineStr">
        <is>
          <t>FAOR</t>
        </is>
      </c>
      <c r="D16" t="inlineStr">
        <is>
          <t>NO</t>
        </is>
      </c>
    </row>
    <row r="17">
      <c r="A17" t="inlineStr">
        <is>
          <t>VCA-0016</t>
        </is>
      </c>
      <c r="B17" t="inlineStr">
        <is>
          <t>VND-016</t>
        </is>
      </c>
      <c r="C17" t="inlineStr">
        <is>
          <t>FAOR</t>
        </is>
      </c>
      <c r="D17" t="inlineStr">
        <is>
          <t>NO</t>
        </is>
      </c>
    </row>
    <row r="18">
      <c r="A18" t="inlineStr">
        <is>
          <t>VCA-0017</t>
        </is>
      </c>
      <c r="B18" t="inlineStr">
        <is>
          <t>VND-017</t>
        </is>
      </c>
      <c r="C18" t="inlineStr">
        <is>
          <t>FAOR</t>
        </is>
      </c>
      <c r="D18" t="inlineStr">
        <is>
          <t>NO</t>
        </is>
      </c>
    </row>
    <row r="19">
      <c r="A19" t="inlineStr">
        <is>
          <t>VCA-0018</t>
        </is>
      </c>
      <c r="B19" t="inlineStr">
        <is>
          <t>VND-018</t>
        </is>
      </c>
      <c r="C19" t="inlineStr">
        <is>
          <t>FAOR</t>
        </is>
      </c>
      <c r="D19" t="inlineStr">
        <is>
          <t>NO</t>
        </is>
      </c>
    </row>
    <row r="20">
      <c r="A20" t="inlineStr">
        <is>
          <t>VCA-0019</t>
        </is>
      </c>
      <c r="B20" t="inlineStr">
        <is>
          <t>VND-019</t>
        </is>
      </c>
      <c r="C20" t="inlineStr">
        <is>
          <t>FAOR</t>
        </is>
      </c>
      <c r="D20" t="inlineStr">
        <is>
          <t>NO</t>
        </is>
      </c>
    </row>
    <row r="21">
      <c r="A21" t="inlineStr">
        <is>
          <t>VCA-0020</t>
        </is>
      </c>
      <c r="B21" t="inlineStr">
        <is>
          <t>VND-020</t>
        </is>
      </c>
      <c r="C21" t="inlineStr">
        <is>
          <t>FAUP</t>
        </is>
      </c>
      <c r="D21" t="inlineStr">
        <is>
          <t>NO</t>
        </is>
      </c>
    </row>
    <row r="22">
      <c r="A22" t="inlineStr">
        <is>
          <t>VCA-0021</t>
        </is>
      </c>
      <c r="B22" t="inlineStr">
        <is>
          <t>VND-021</t>
        </is>
      </c>
      <c r="C22" t="inlineStr">
        <is>
          <t>FAOR</t>
        </is>
      </c>
      <c r="D22" t="inlineStr">
        <is>
          <t>NO</t>
        </is>
      </c>
    </row>
    <row r="23">
      <c r="A23" t="inlineStr">
        <is>
          <t>VCA-0022</t>
        </is>
      </c>
      <c r="B23" t="inlineStr">
        <is>
          <t>VND-022</t>
        </is>
      </c>
      <c r="C23" t="inlineStr">
        <is>
          <t>FAGC</t>
        </is>
      </c>
      <c r="D23" t="inlineStr">
        <is>
          <t>NO</t>
        </is>
      </c>
    </row>
    <row r="24">
      <c r="A24" t="inlineStr">
        <is>
          <t>VCA-0023</t>
        </is>
      </c>
      <c r="B24" t="inlineStr">
        <is>
          <t>VND-023</t>
        </is>
      </c>
      <c r="C24" t="inlineStr">
        <is>
          <t>HTDA</t>
        </is>
      </c>
      <c r="D24" t="inlineStr">
        <is>
          <t>NO</t>
        </is>
      </c>
    </row>
    <row r="25">
      <c r="A25" t="inlineStr">
        <is>
          <t>VCA-0024</t>
        </is>
      </c>
      <c r="B25" t="inlineStr">
        <is>
          <t>VND-024</t>
        </is>
      </c>
      <c r="C25" t="inlineStr">
        <is>
          <t>HTDA</t>
        </is>
      </c>
      <c r="D25" t="inlineStr">
        <is>
          <t>NO</t>
        </is>
      </c>
    </row>
    <row r="26">
      <c r="A26" t="inlineStr">
        <is>
          <t>VCA-0025</t>
        </is>
      </c>
      <c r="B26" t="inlineStr">
        <is>
          <t>VND-025</t>
        </is>
      </c>
      <c r="C26" t="inlineStr">
        <is>
          <t>HTDA</t>
        </is>
      </c>
      <c r="D26" t="inlineStr">
        <is>
          <t>NO</t>
        </is>
      </c>
    </row>
    <row r="27">
      <c r="A27" t="inlineStr">
        <is>
          <t>VCA-0026</t>
        </is>
      </c>
      <c r="B27" t="inlineStr">
        <is>
          <t>VND-026</t>
        </is>
      </c>
      <c r="C27" t="inlineStr">
        <is>
          <t>HTDA</t>
        </is>
      </c>
      <c r="D27" t="inlineStr">
        <is>
          <t>NO</t>
        </is>
      </c>
    </row>
    <row r="28">
      <c r="A28" t="inlineStr">
        <is>
          <t>VCA-0027</t>
        </is>
      </c>
      <c r="B28" t="inlineStr">
        <is>
          <t>VND-027</t>
        </is>
      </c>
      <c r="C28" t="inlineStr">
        <is>
          <t>HTDA</t>
        </is>
      </c>
      <c r="D28" t="inlineStr">
        <is>
          <t>NO</t>
        </is>
      </c>
    </row>
    <row r="29">
      <c r="A29" t="inlineStr">
        <is>
          <t>VCA-0028</t>
        </is>
      </c>
      <c r="B29" t="inlineStr">
        <is>
          <t>VND-028</t>
        </is>
      </c>
      <c r="C29" t="inlineStr">
        <is>
          <t>HTDA</t>
        </is>
      </c>
      <c r="D29" t="inlineStr">
        <is>
          <t>NO</t>
        </is>
      </c>
    </row>
    <row r="30">
      <c r="A30" t="inlineStr">
        <is>
          <t>VCA-0029</t>
        </is>
      </c>
      <c r="B30" t="inlineStr">
        <is>
          <t>VND-029</t>
        </is>
      </c>
      <c r="C30" t="inlineStr">
        <is>
          <t>HTDA</t>
        </is>
      </c>
      <c r="D30" t="inlineStr">
        <is>
          <t>NO</t>
        </is>
      </c>
    </row>
    <row r="31">
      <c r="A31" t="inlineStr">
        <is>
          <t>VCA-0030</t>
        </is>
      </c>
      <c r="B31" t="inlineStr">
        <is>
          <t>VND-027</t>
        </is>
      </c>
      <c r="C31" t="inlineStr">
        <is>
          <t>GMMN</t>
        </is>
      </c>
      <c r="D31" t="inlineStr">
        <is>
          <t>NO</t>
        </is>
      </c>
    </row>
    <row r="32">
      <c r="A32" t="inlineStr">
        <is>
          <t>VCA-0031</t>
        </is>
      </c>
      <c r="B32" t="inlineStr">
        <is>
          <t>VND-030</t>
        </is>
      </c>
      <c r="C32" t="inlineStr">
        <is>
          <t>GMMN</t>
        </is>
      </c>
      <c r="D32" t="inlineStr">
        <is>
          <t>NO</t>
        </is>
      </c>
    </row>
    <row r="33">
      <c r="A33" t="inlineStr">
        <is>
          <t>VCA-0032</t>
        </is>
      </c>
      <c r="B33" t="inlineStr">
        <is>
          <t>VND-008</t>
        </is>
      </c>
      <c r="C33" t="inlineStr">
        <is>
          <t>GMMN</t>
        </is>
      </c>
      <c r="D33" t="inlineStr">
        <is>
          <t>NO</t>
        </is>
      </c>
    </row>
    <row r="34">
      <c r="A34" t="inlineStr">
        <is>
          <t>VCA-0033</t>
        </is>
      </c>
      <c r="B34" t="inlineStr">
        <is>
          <t>VND-031</t>
        </is>
      </c>
      <c r="C34" t="inlineStr">
        <is>
          <t>GMMN</t>
        </is>
      </c>
      <c r="D34" t="inlineStr">
        <is>
          <t>NO</t>
        </is>
      </c>
    </row>
    <row r="35">
      <c r="A35" t="inlineStr">
        <is>
          <t>VCA-0034</t>
        </is>
      </c>
      <c r="B35" t="inlineStr">
        <is>
          <t>VND-032</t>
        </is>
      </c>
      <c r="C35" t="inlineStr">
        <is>
          <t>GMMN</t>
        </is>
      </c>
      <c r="D35" t="inlineStr">
        <is>
          <t>NO</t>
        </is>
      </c>
    </row>
    <row r="36">
      <c r="A36" t="inlineStr">
        <is>
          <t>VCA-0035</t>
        </is>
      </c>
      <c r="B36" t="inlineStr">
        <is>
          <t>VND-033</t>
        </is>
      </c>
      <c r="C36" t="inlineStr">
        <is>
          <t>GMMN</t>
        </is>
      </c>
      <c r="D36" t="inlineStr">
        <is>
          <t>NO</t>
        </is>
      </c>
    </row>
    <row r="37">
      <c r="A37" t="inlineStr">
        <is>
          <t>VCA-0036</t>
        </is>
      </c>
      <c r="B37" t="inlineStr">
        <is>
          <t>VND-001</t>
        </is>
      </c>
      <c r="C37" t="inlineStr">
        <is>
          <t>GMMN</t>
        </is>
      </c>
      <c r="D37" t="inlineStr">
        <is>
          <t>NO</t>
        </is>
      </c>
    </row>
    <row r="38">
      <c r="A38" t="inlineStr">
        <is>
          <t>VCA-0037</t>
        </is>
      </c>
      <c r="B38" t="inlineStr">
        <is>
          <t>VND-034</t>
        </is>
      </c>
      <c r="C38" t="inlineStr">
        <is>
          <t>GVAC</t>
        </is>
      </c>
      <c r="D38" t="inlineStr">
        <is>
          <t>NO</t>
        </is>
      </c>
    </row>
    <row r="39">
      <c r="A39" t="inlineStr">
        <is>
          <t>VCA-0038</t>
        </is>
      </c>
      <c r="B39" t="inlineStr">
        <is>
          <t>VND-035</t>
        </is>
      </c>
      <c r="C39" t="inlineStr">
        <is>
          <t>GVAC</t>
        </is>
      </c>
      <c r="D39" t="inlineStr">
        <is>
          <t>NO</t>
        </is>
      </c>
    </row>
    <row r="40">
      <c r="A40" t="inlineStr">
        <is>
          <t>VCA-0039</t>
        </is>
      </c>
      <c r="B40" t="inlineStr">
        <is>
          <t>VND-036</t>
        </is>
      </c>
      <c r="C40" t="inlineStr">
        <is>
          <t>GVAC</t>
        </is>
      </c>
      <c r="D40" t="inlineStr">
        <is>
          <t>NO</t>
        </is>
      </c>
    </row>
    <row r="41">
      <c r="A41" t="inlineStr">
        <is>
          <t>VCA-0040</t>
        </is>
      </c>
      <c r="B41" t="inlineStr">
        <is>
          <t>VND-037</t>
        </is>
      </c>
      <c r="C41" t="inlineStr">
        <is>
          <t>GVAC</t>
        </is>
      </c>
      <c r="D41" t="inlineStr">
        <is>
          <t>NO</t>
        </is>
      </c>
    </row>
    <row r="42">
      <c r="A42" t="inlineStr">
        <is>
          <t>VCA-0041</t>
        </is>
      </c>
      <c r="B42" t="inlineStr">
        <is>
          <t>VND-033</t>
        </is>
      </c>
      <c r="C42" t="inlineStr">
        <is>
          <t>GVAC</t>
        </is>
      </c>
      <c r="D42" t="inlineStr">
        <is>
          <t>NO</t>
        </is>
      </c>
    </row>
    <row r="43">
      <c r="A43" t="inlineStr">
        <is>
          <t>VCA-0042</t>
        </is>
      </c>
      <c r="B43" t="inlineStr">
        <is>
          <t>VND-038</t>
        </is>
      </c>
      <c r="C43" t="inlineStr">
        <is>
          <t>FQMA</t>
        </is>
      </c>
      <c r="D43" t="inlineStr">
        <is>
          <t>NO</t>
        </is>
      </c>
    </row>
    <row r="44">
      <c r="A44" t="inlineStr">
        <is>
          <t>VCA-0043</t>
        </is>
      </c>
      <c r="B44" t="inlineStr">
        <is>
          <t>VND-039</t>
        </is>
      </c>
      <c r="C44" t="inlineStr">
        <is>
          <t>FQMA</t>
        </is>
      </c>
      <c r="D44" t="inlineStr">
        <is>
          <t>NO</t>
        </is>
      </c>
    </row>
    <row r="45">
      <c r="A45" t="inlineStr">
        <is>
          <t>VCA-0044</t>
        </is>
      </c>
      <c r="B45" t="inlineStr">
        <is>
          <t>VND-040</t>
        </is>
      </c>
      <c r="C45" t="inlineStr">
        <is>
          <t>FQMA</t>
        </is>
      </c>
      <c r="D45" t="inlineStr">
        <is>
          <t>NO</t>
        </is>
      </c>
    </row>
    <row r="46">
      <c r="A46" t="inlineStr">
        <is>
          <t>VCA-0045</t>
        </is>
      </c>
      <c r="B46" t="inlineStr">
        <is>
          <t>VND-012</t>
        </is>
      </c>
      <c r="C46" t="inlineStr">
        <is>
          <t>FQMA</t>
        </is>
      </c>
      <c r="D46" t="inlineStr">
        <is>
          <t>NO</t>
        </is>
      </c>
    </row>
    <row r="47">
      <c r="A47" t="inlineStr">
        <is>
          <t>VCA-0046</t>
        </is>
      </c>
      <c r="B47" t="inlineStr">
        <is>
          <t>VND-041</t>
        </is>
      </c>
      <c r="C47" t="inlineStr">
        <is>
          <t>FVRG</t>
        </is>
      </c>
      <c r="D47" t="inlineStr">
        <is>
          <t>NO</t>
        </is>
      </c>
    </row>
    <row r="48">
      <c r="A48" t="inlineStr">
        <is>
          <t>VCA-0047</t>
        </is>
      </c>
      <c r="B48" t="inlineStr">
        <is>
          <t>VND-042</t>
        </is>
      </c>
      <c r="C48" t="inlineStr">
        <is>
          <t>FVRG</t>
        </is>
      </c>
      <c r="D48" t="inlineStr">
        <is>
          <t>NO</t>
        </is>
      </c>
    </row>
    <row r="49">
      <c r="A49" t="inlineStr">
        <is>
          <t>VCA-0048</t>
        </is>
      </c>
      <c r="B49" t="inlineStr">
        <is>
          <t>VND-043</t>
        </is>
      </c>
      <c r="C49" t="inlineStr">
        <is>
          <t>FVRG</t>
        </is>
      </c>
      <c r="D49" t="inlineStr">
        <is>
          <t>NO</t>
        </is>
      </c>
    </row>
    <row r="50">
      <c r="A50" t="inlineStr">
        <is>
          <t>VCA-0049</t>
        </is>
      </c>
      <c r="B50" t="inlineStr">
        <is>
          <t>VND-044</t>
        </is>
      </c>
      <c r="C50" t="inlineStr">
        <is>
          <t>FLKK</t>
        </is>
      </c>
      <c r="D50" t="inlineStr">
        <is>
          <t>NO</t>
        </is>
      </c>
    </row>
    <row r="51">
      <c r="A51" t="inlineStr">
        <is>
          <t>VCA-0050</t>
        </is>
      </c>
      <c r="B51" t="inlineStr">
        <is>
          <t>VND-039</t>
        </is>
      </c>
      <c r="C51" t="inlineStr">
        <is>
          <t>FLKK</t>
        </is>
      </c>
      <c r="D51" t="inlineStr">
        <is>
          <t>NO</t>
        </is>
      </c>
    </row>
    <row r="52">
      <c r="A52" t="inlineStr">
        <is>
          <t>VCA-0051</t>
        </is>
      </c>
      <c r="B52" t="inlineStr">
        <is>
          <t>VND-045</t>
        </is>
      </c>
      <c r="C52" t="inlineStr">
        <is>
          <t>FLKK</t>
        </is>
      </c>
      <c r="D52" t="inlineStr">
        <is>
          <t>NO</t>
        </is>
      </c>
    </row>
    <row r="53">
      <c r="A53" t="inlineStr">
        <is>
          <t>VCA-0052</t>
        </is>
      </c>
      <c r="B53" t="inlineStr">
        <is>
          <t>VND-008</t>
        </is>
      </c>
      <c r="C53" t="inlineStr">
        <is>
          <t>FLKK</t>
        </is>
      </c>
      <c r="D53" t="inlineStr">
        <is>
          <t>NO</t>
        </is>
      </c>
    </row>
    <row r="54">
      <c r="A54" t="inlineStr">
        <is>
          <t>VCA-0053</t>
        </is>
      </c>
      <c r="B54" t="inlineStr">
        <is>
          <t>VND-012</t>
        </is>
      </c>
      <c r="C54" t="inlineStr">
        <is>
          <t>FLKK</t>
        </is>
      </c>
      <c r="D54" t="inlineStr">
        <is>
          <t>NO</t>
        </is>
      </c>
    </row>
    <row r="55">
      <c r="A55" t="inlineStr">
        <is>
          <t>VCA-0054</t>
        </is>
      </c>
      <c r="B55" t="inlineStr">
        <is>
          <t>VND-046</t>
        </is>
      </c>
      <c r="C55" t="inlineStr">
        <is>
          <t>FNBJ</t>
        </is>
      </c>
      <c r="D55" t="inlineStr">
        <is>
          <t>NO</t>
        </is>
      </c>
    </row>
    <row r="56">
      <c r="A56" t="inlineStr">
        <is>
          <t>VCA-0055</t>
        </is>
      </c>
      <c r="B56" t="inlineStr">
        <is>
          <t>VND-047</t>
        </is>
      </c>
      <c r="C56" t="inlineStr">
        <is>
          <t>FNBJ</t>
        </is>
      </c>
      <c r="D56" t="inlineStr">
        <is>
          <t>NO</t>
        </is>
      </c>
    </row>
    <row r="57">
      <c r="A57" t="inlineStr">
        <is>
          <t>VCA-0056</t>
        </is>
      </c>
      <c r="B57" t="inlineStr">
        <is>
          <t>VND-048</t>
        </is>
      </c>
      <c r="C57" t="inlineStr">
        <is>
          <t>FNBJ</t>
        </is>
      </c>
      <c r="D57" t="inlineStr">
        <is>
          <t>NO</t>
        </is>
      </c>
    </row>
    <row r="58">
      <c r="A58" t="inlineStr">
        <is>
          <t>VCA-0057</t>
        </is>
      </c>
      <c r="B58" t="inlineStr">
        <is>
          <t>VND-049</t>
        </is>
      </c>
      <c r="C58" t="inlineStr">
        <is>
          <t>FNBJ</t>
        </is>
      </c>
      <c r="D58" t="inlineStr">
        <is>
          <t>NO</t>
        </is>
      </c>
    </row>
    <row r="59">
      <c r="A59" t="inlineStr">
        <is>
          <t>VCA-0058</t>
        </is>
      </c>
      <c r="B59" t="inlineStr">
        <is>
          <t>VND-050</t>
        </is>
      </c>
      <c r="C59" t="inlineStr">
        <is>
          <t>FNBJ</t>
        </is>
      </c>
      <c r="D59" t="inlineStr">
        <is>
          <t>NO</t>
        </is>
      </c>
    </row>
    <row r="60">
      <c r="A60" t="inlineStr">
        <is>
          <t>VCA-0059</t>
        </is>
      </c>
      <c r="B60" t="inlineStr">
        <is>
          <t>VND-051</t>
        </is>
      </c>
      <c r="C60" t="inlineStr">
        <is>
          <t>DGAA</t>
        </is>
      </c>
      <c r="D60" t="inlineStr">
        <is>
          <t>NO</t>
        </is>
      </c>
    </row>
    <row r="61">
      <c r="A61" t="inlineStr">
        <is>
          <t>VCA-0060</t>
        </is>
      </c>
      <c r="B61" t="inlineStr">
        <is>
          <t>VND-039</t>
        </is>
      </c>
      <c r="C61" t="inlineStr">
        <is>
          <t>DGAA</t>
        </is>
      </c>
      <c r="D61" t="inlineStr">
        <is>
          <t>NO</t>
        </is>
      </c>
    </row>
    <row r="62">
      <c r="A62" t="inlineStr">
        <is>
          <t>VCA-0061</t>
        </is>
      </c>
      <c r="B62" t="inlineStr">
        <is>
          <t>VND-033</t>
        </is>
      </c>
      <c r="C62" t="inlineStr">
        <is>
          <t>DGAA</t>
        </is>
      </c>
      <c r="D62" t="inlineStr">
        <is>
          <t>NO</t>
        </is>
      </c>
    </row>
    <row r="63">
      <c r="A63" t="inlineStr">
        <is>
          <t>VCA-0062</t>
        </is>
      </c>
      <c r="B63" t="inlineStr">
        <is>
          <t>VND-027</t>
        </is>
      </c>
      <c r="C63" t="inlineStr">
        <is>
          <t>DGAA</t>
        </is>
      </c>
      <c r="D63" t="inlineStr">
        <is>
          <t>NO</t>
        </is>
      </c>
    </row>
    <row r="64">
      <c r="A64" t="inlineStr">
        <is>
          <t>VCA-0063</t>
        </is>
      </c>
      <c r="B64" t="inlineStr">
        <is>
          <t>VND-052</t>
        </is>
      </c>
      <c r="C64" t="inlineStr">
        <is>
          <t>DGAA</t>
        </is>
      </c>
      <c r="D64" t="inlineStr">
        <is>
          <t>NO</t>
        </is>
      </c>
    </row>
    <row r="65">
      <c r="A65" t="inlineStr">
        <is>
          <t>VCA-0064</t>
        </is>
      </c>
      <c r="B65" t="inlineStr">
        <is>
          <t>VND-053</t>
        </is>
      </c>
      <c r="C65" t="inlineStr">
        <is>
          <t>DGAA</t>
        </is>
      </c>
      <c r="D65" t="inlineStr">
        <is>
          <t>NO</t>
        </is>
      </c>
    </row>
    <row r="66">
      <c r="A66" t="inlineStr">
        <is>
          <t>VCA-0065</t>
        </is>
      </c>
      <c r="B66" t="inlineStr">
        <is>
          <t>VND-023</t>
        </is>
      </c>
      <c r="C66" t="inlineStr">
        <is>
          <t>DGAA</t>
        </is>
      </c>
      <c r="D66" t="inlineStr">
        <is>
          <t>NO</t>
        </is>
      </c>
    </row>
    <row r="67">
      <c r="A67" t="inlineStr">
        <is>
          <t>VCA-0066</t>
        </is>
      </c>
      <c r="B67" t="inlineStr">
        <is>
          <t>VND-054</t>
        </is>
      </c>
      <c r="C67" t="inlineStr">
        <is>
          <t>DGAA</t>
        </is>
      </c>
      <c r="D67" t="inlineStr">
        <is>
          <t>NO</t>
        </is>
      </c>
    </row>
    <row r="68">
      <c r="A68" t="inlineStr">
        <is>
          <t>VCA-0067</t>
        </is>
      </c>
      <c r="B68" t="inlineStr">
        <is>
          <t>VND-055</t>
        </is>
      </c>
      <c r="C68" t="inlineStr">
        <is>
          <t>DGAA</t>
        </is>
      </c>
      <c r="D68" t="inlineStr">
        <is>
          <t>NO</t>
        </is>
      </c>
    </row>
    <row r="69">
      <c r="A69" t="inlineStr">
        <is>
          <t>VCA-0068</t>
        </is>
      </c>
      <c r="B69" t="inlineStr">
        <is>
          <t>VND-025</t>
        </is>
      </c>
      <c r="C69" t="inlineStr">
        <is>
          <t>DGAA</t>
        </is>
      </c>
      <c r="D69" t="inlineStr">
        <is>
          <t>NO</t>
        </is>
      </c>
    </row>
    <row r="70">
      <c r="A70" t="inlineStr">
        <is>
          <t>VCA-0069</t>
        </is>
      </c>
      <c r="B70" t="inlineStr">
        <is>
          <t>VND-056</t>
        </is>
      </c>
      <c r="C70" t="inlineStr">
        <is>
          <t>DGAA</t>
        </is>
      </c>
      <c r="D70" t="inlineStr">
        <is>
          <t>NO</t>
        </is>
      </c>
    </row>
    <row r="71">
      <c r="A71" t="inlineStr">
        <is>
          <t>VCA-0070</t>
        </is>
      </c>
      <c r="B71" t="inlineStr">
        <is>
          <t>VND-034</t>
        </is>
      </c>
      <c r="C71" t="inlineStr">
        <is>
          <t>DGAA</t>
        </is>
      </c>
      <c r="D71" t="inlineStr">
        <is>
          <t>NO</t>
        </is>
      </c>
    </row>
    <row r="72">
      <c r="A72" t="inlineStr">
        <is>
          <t>VCA-0071</t>
        </is>
      </c>
      <c r="B72" t="inlineStr">
        <is>
          <t>VND-057</t>
        </is>
      </c>
      <c r="C72" t="inlineStr">
        <is>
          <t>DGAA</t>
        </is>
      </c>
      <c r="D72" t="inlineStr">
        <is>
          <t>NO</t>
        </is>
      </c>
    </row>
    <row r="73">
      <c r="A73" t="inlineStr">
        <is>
          <t>VCA-0072</t>
        </is>
      </c>
      <c r="B73" t="inlineStr">
        <is>
          <t>VND-028</t>
        </is>
      </c>
      <c r="C73" t="inlineStr">
        <is>
          <t>DGAA</t>
        </is>
      </c>
      <c r="D73" t="inlineStr">
        <is>
          <t>NO</t>
        </is>
      </c>
    </row>
    <row r="74">
      <c r="A74" t="inlineStr">
        <is>
          <t>VCA-0073</t>
        </is>
      </c>
      <c r="B74" t="inlineStr">
        <is>
          <t>VND-046</t>
        </is>
      </c>
      <c r="C74" t="inlineStr">
        <is>
          <t>DGAA</t>
        </is>
      </c>
      <c r="D74" t="inlineStr">
        <is>
          <t>NO</t>
        </is>
      </c>
    </row>
    <row r="75">
      <c r="A75" t="inlineStr">
        <is>
          <t>VCA-0074</t>
        </is>
      </c>
      <c r="B75" t="inlineStr">
        <is>
          <t>VND-058</t>
        </is>
      </c>
      <c r="C75" t="inlineStr">
        <is>
          <t>FOOL</t>
        </is>
      </c>
      <c r="D75" t="inlineStr">
        <is>
          <t>NO</t>
        </is>
      </c>
    </row>
    <row r="76">
      <c r="A76" t="inlineStr">
        <is>
          <t>VCA-0075</t>
        </is>
      </c>
      <c r="B76" t="inlineStr">
        <is>
          <t>VND-059</t>
        </is>
      </c>
      <c r="C76" t="inlineStr">
        <is>
          <t>FOOL</t>
        </is>
      </c>
      <c r="D76" t="inlineStr">
        <is>
          <t>NO</t>
        </is>
      </c>
    </row>
    <row r="77">
      <c r="A77" t="inlineStr">
        <is>
          <t>VCA-0076</t>
        </is>
      </c>
      <c r="B77" t="inlineStr">
        <is>
          <t>VND-025</t>
        </is>
      </c>
      <c r="C77" t="inlineStr">
        <is>
          <t>FOOL</t>
        </is>
      </c>
      <c r="D77" t="inlineStr">
        <is>
          <t>NO</t>
        </is>
      </c>
    </row>
    <row r="78">
      <c r="A78" t="inlineStr">
        <is>
          <t>VCA-0077</t>
        </is>
      </c>
      <c r="B78" t="inlineStr">
        <is>
          <t>VND-060</t>
        </is>
      </c>
      <c r="C78" t="inlineStr">
        <is>
          <t>FOOL</t>
        </is>
      </c>
      <c r="D78" t="inlineStr">
        <is>
          <t>NO</t>
        </is>
      </c>
    </row>
    <row r="79">
      <c r="A79" t="inlineStr">
        <is>
          <t>VCA-0078</t>
        </is>
      </c>
      <c r="B79" t="inlineStr">
        <is>
          <t>VND-039</t>
        </is>
      </c>
      <c r="C79" t="inlineStr">
        <is>
          <t>FOOL</t>
        </is>
      </c>
      <c r="D79" t="inlineStr">
        <is>
          <t>NO</t>
        </is>
      </c>
    </row>
    <row r="80">
      <c r="A80" t="inlineStr">
        <is>
          <t>VCA-0079</t>
        </is>
      </c>
      <c r="B80" t="inlineStr">
        <is>
          <t>VND-033</t>
        </is>
      </c>
      <c r="C80" t="inlineStr">
        <is>
          <t>FOOL</t>
        </is>
      </c>
      <c r="D80" t="inlineStr">
        <is>
          <t>NO</t>
        </is>
      </c>
    </row>
    <row r="81">
      <c r="A81" t="inlineStr">
        <is>
          <t>VCA-0080</t>
        </is>
      </c>
      <c r="B81" t="inlineStr">
        <is>
          <t>VND-061</t>
        </is>
      </c>
      <c r="C81" t="inlineStr">
        <is>
          <t>FBSK</t>
        </is>
      </c>
      <c r="D81" t="inlineStr">
        <is>
          <t>NO</t>
        </is>
      </c>
    </row>
    <row r="82">
      <c r="A82" t="inlineStr">
        <is>
          <t>VCA-0081</t>
        </is>
      </c>
      <c r="B82" t="inlineStr">
        <is>
          <t>VND-039</t>
        </is>
      </c>
      <c r="C82" t="inlineStr">
        <is>
          <t>FBSK</t>
        </is>
      </c>
      <c r="D82" t="inlineStr">
        <is>
          <t>NO</t>
        </is>
      </c>
    </row>
    <row r="83">
      <c r="A83" t="inlineStr">
        <is>
          <t>VCA-0082</t>
        </is>
      </c>
      <c r="B83" t="inlineStr">
        <is>
          <t>VND-062</t>
        </is>
      </c>
      <c r="C83" t="inlineStr">
        <is>
          <t>FBSK</t>
        </is>
      </c>
      <c r="D83" t="inlineStr">
        <is>
          <t>NO</t>
        </is>
      </c>
    </row>
    <row r="84">
      <c r="A84" t="inlineStr">
        <is>
          <t>VCA-0083</t>
        </is>
      </c>
      <c r="B84" t="inlineStr">
        <is>
          <t>VND-012</t>
        </is>
      </c>
      <c r="C84" t="inlineStr">
        <is>
          <t>DNMM</t>
        </is>
      </c>
      <c r="D84" t="inlineStr">
        <is>
          <t>NO</t>
        </is>
      </c>
    </row>
    <row r="85">
      <c r="A85" t="inlineStr">
        <is>
          <t>VCA-0084</t>
        </is>
      </c>
      <c r="B85" t="inlineStr">
        <is>
          <t>VND-055</t>
        </is>
      </c>
      <c r="C85" t="inlineStr">
        <is>
          <t>DNMM</t>
        </is>
      </c>
      <c r="D85" t="inlineStr">
        <is>
          <t>NO</t>
        </is>
      </c>
    </row>
    <row r="86">
      <c r="A86" t="inlineStr">
        <is>
          <t>VCA-0085</t>
        </is>
      </c>
      <c r="B86" t="inlineStr">
        <is>
          <t>VND-063</t>
        </is>
      </c>
      <c r="C86" t="inlineStr">
        <is>
          <t>DNMM</t>
        </is>
      </c>
      <c r="D86" t="inlineStr">
        <is>
          <t>NO</t>
        </is>
      </c>
    </row>
    <row r="87">
      <c r="A87" t="inlineStr">
        <is>
          <t>VCA-0086</t>
        </is>
      </c>
      <c r="B87" t="inlineStr">
        <is>
          <t>VND-064</t>
        </is>
      </c>
      <c r="C87" t="inlineStr">
        <is>
          <t>FYWH</t>
        </is>
      </c>
      <c r="D87" t="inlineStr">
        <is>
          <t>NO</t>
        </is>
      </c>
    </row>
    <row r="88">
      <c r="A88" t="inlineStr">
        <is>
          <t>VCA-0087</t>
        </is>
      </c>
      <c r="B88" t="inlineStr">
        <is>
          <t>VND-065</t>
        </is>
      </c>
      <c r="C88" t="inlineStr">
        <is>
          <t>FYWE</t>
        </is>
      </c>
      <c r="D88" t="inlineStr">
        <is>
          <t>NO</t>
        </is>
      </c>
    </row>
    <row r="89">
      <c r="A89" t="inlineStr">
        <is>
          <t>VCA-0088</t>
        </is>
      </c>
      <c r="B89" t="inlineStr">
        <is>
          <t>VND-049</t>
        </is>
      </c>
      <c r="C89" t="inlineStr">
        <is>
          <t>FYWH</t>
        </is>
      </c>
      <c r="D89" t="inlineStr">
        <is>
          <t>NO</t>
        </is>
      </c>
    </row>
    <row r="90">
      <c r="A90" t="inlineStr">
        <is>
          <t>VCA-0089</t>
        </is>
      </c>
      <c r="B90" t="inlineStr">
        <is>
          <t>VND-066</t>
        </is>
      </c>
      <c r="C90" t="inlineStr">
        <is>
          <t>FYWH</t>
        </is>
      </c>
      <c r="D90" t="inlineStr">
        <is>
          <t>NO</t>
        </is>
      </c>
    </row>
    <row r="91">
      <c r="A91" t="inlineStr">
        <is>
          <t>VCA-0090</t>
        </is>
      </c>
      <c r="B91" t="inlineStr">
        <is>
          <t>VND-067</t>
        </is>
      </c>
      <c r="C91" t="inlineStr">
        <is>
          <t>FYWH</t>
        </is>
      </c>
      <c r="D91" t="inlineStr">
        <is>
          <t>NO</t>
        </is>
      </c>
    </row>
    <row r="92">
      <c r="A92" t="inlineStr">
        <is>
          <t>VCA-0091</t>
        </is>
      </c>
      <c r="B92" t="inlineStr">
        <is>
          <t>VND-039</t>
        </is>
      </c>
      <c r="C92" t="inlineStr">
        <is>
          <t>FYWH</t>
        </is>
      </c>
      <c r="D92" t="inlineStr">
        <is>
          <t>NO</t>
        </is>
      </c>
    </row>
    <row r="93">
      <c r="A93" t="inlineStr">
        <is>
          <t>VCA-0092</t>
        </is>
      </c>
      <c r="B93" t="inlineStr">
        <is>
          <t>VND-046</t>
        </is>
      </c>
      <c r="C93" t="inlineStr">
        <is>
          <t>FYWH</t>
        </is>
      </c>
      <c r="D93" t="inlineStr">
        <is>
          <t>NO</t>
        </is>
      </c>
    </row>
    <row r="94">
      <c r="A94" t="inlineStr">
        <is>
          <t>VCA-0093</t>
        </is>
      </c>
      <c r="B94" t="inlineStr">
        <is>
          <t>VND-068</t>
        </is>
      </c>
      <c r="C94" t="inlineStr">
        <is>
          <t>FZAA</t>
        </is>
      </c>
      <c r="D94" t="inlineStr">
        <is>
          <t>NO</t>
        </is>
      </c>
    </row>
    <row r="95">
      <c r="A95" t="inlineStr">
        <is>
          <t>VCA-0094</t>
        </is>
      </c>
      <c r="B95" t="inlineStr">
        <is>
          <t>VND-069</t>
        </is>
      </c>
      <c r="C95" t="inlineStr">
        <is>
          <t>FZAA</t>
        </is>
      </c>
      <c r="D95" t="inlineStr">
        <is>
          <t>NO</t>
        </is>
      </c>
    </row>
    <row r="96">
      <c r="A96" t="inlineStr">
        <is>
          <t>VCA-0095</t>
        </is>
      </c>
      <c r="B96" t="inlineStr">
        <is>
          <t>VND-021</t>
        </is>
      </c>
      <c r="C96" t="inlineStr">
        <is>
          <t>FZAA</t>
        </is>
      </c>
      <c r="D96" t="inlineStr">
        <is>
          <t>NO</t>
        </is>
      </c>
    </row>
    <row r="97">
      <c r="A97" t="inlineStr">
        <is>
          <t>VCA-0096</t>
        </is>
      </c>
      <c r="B97" t="inlineStr">
        <is>
          <t>VND-012</t>
        </is>
      </c>
      <c r="C97" t="inlineStr">
        <is>
          <t>FZAA</t>
        </is>
      </c>
      <c r="D97" t="inlineStr">
        <is>
          <t>NO</t>
        </is>
      </c>
    </row>
    <row r="98">
      <c r="A98" t="inlineStr">
        <is>
          <t>VCA-0097</t>
        </is>
      </c>
      <c r="B98" t="inlineStr">
        <is>
          <t>VND-070</t>
        </is>
      </c>
      <c r="C98" t="inlineStr">
        <is>
          <t>HUEN</t>
        </is>
      </c>
      <c r="D98" t="inlineStr">
        <is>
          <t>NO</t>
        </is>
      </c>
    </row>
    <row r="99">
      <c r="A99" t="inlineStr">
        <is>
          <t>VCA-0098</t>
        </is>
      </c>
      <c r="B99" t="inlineStr">
        <is>
          <t>VND-033</t>
        </is>
      </c>
      <c r="C99" t="inlineStr">
        <is>
          <t>HUEN</t>
        </is>
      </c>
      <c r="D99" t="inlineStr">
        <is>
          <t>NO</t>
        </is>
      </c>
    </row>
    <row r="100">
      <c r="A100" t="inlineStr">
        <is>
          <t>VCA-0099</t>
        </is>
      </c>
      <c r="B100" t="inlineStr">
        <is>
          <t>VND-071</t>
        </is>
      </c>
      <c r="C100" t="inlineStr">
        <is>
          <t>HUEN</t>
        </is>
      </c>
      <c r="D100" t="inlineStr">
        <is>
          <t>NO</t>
        </is>
      </c>
    </row>
    <row r="101">
      <c r="A101" t="inlineStr">
        <is>
          <t>VCA-0100</t>
        </is>
      </c>
      <c r="B101" t="inlineStr">
        <is>
          <t>VND-024</t>
        </is>
      </c>
      <c r="C101" t="inlineStr">
        <is>
          <t>HUEN</t>
        </is>
      </c>
      <c r="D101" t="inlineStr">
        <is>
          <t>NO</t>
        </is>
      </c>
    </row>
    <row r="102">
      <c r="A102" t="inlineStr">
        <is>
          <t>VCA-0101</t>
        </is>
      </c>
      <c r="B102" t="inlineStr">
        <is>
          <t>VND-039</t>
        </is>
      </c>
      <c r="C102" t="inlineStr">
        <is>
          <t>HUEN</t>
        </is>
      </c>
      <c r="D102" t="inlineStr">
        <is>
          <t>NO</t>
        </is>
      </c>
    </row>
    <row r="103">
      <c r="A103" t="inlineStr">
        <is>
          <t>VCA-0102</t>
        </is>
      </c>
      <c r="B103" t="inlineStr">
        <is>
          <t>VND-025</t>
        </is>
      </c>
      <c r="C103" t="inlineStr">
        <is>
          <t>HUEN</t>
        </is>
      </c>
      <c r="D103" t="inlineStr">
        <is>
          <t>NO</t>
        </is>
      </c>
    </row>
    <row r="104">
      <c r="A104" t="inlineStr">
        <is>
          <t>VCA-0103</t>
        </is>
      </c>
      <c r="B104" t="inlineStr">
        <is>
          <t>VND-011</t>
        </is>
      </c>
      <c r="C104" t="inlineStr">
        <is>
          <t>HUEN</t>
        </is>
      </c>
      <c r="D104" t="inlineStr">
        <is>
          <t>NO</t>
        </is>
      </c>
    </row>
    <row r="105">
      <c r="A105" t="inlineStr">
        <is>
          <t>VCA-0104</t>
        </is>
      </c>
      <c r="B105" t="inlineStr">
        <is>
          <t>VND-029</t>
        </is>
      </c>
      <c r="C105" t="inlineStr">
        <is>
          <t>HKJK</t>
        </is>
      </c>
      <c r="D105" t="inlineStr">
        <is>
          <t>NO</t>
        </is>
      </c>
    </row>
    <row r="106">
      <c r="A106" t="inlineStr">
        <is>
          <t>VCA-0105</t>
        </is>
      </c>
      <c r="B106" t="inlineStr">
        <is>
          <t>VND-072</t>
        </is>
      </c>
      <c r="C106" t="inlineStr">
        <is>
          <t>HKJK</t>
        </is>
      </c>
      <c r="D106" t="inlineStr">
        <is>
          <t>NO</t>
        </is>
      </c>
    </row>
    <row r="107">
      <c r="A107" t="inlineStr">
        <is>
          <t>VCA-0106</t>
        </is>
      </c>
      <c r="B107" t="inlineStr">
        <is>
          <t>VND-039</t>
        </is>
      </c>
      <c r="C107" t="inlineStr">
        <is>
          <t>HKJK</t>
        </is>
      </c>
      <c r="D107" t="inlineStr">
        <is>
          <t>NO</t>
        </is>
      </c>
    </row>
    <row r="108">
      <c r="A108" t="inlineStr">
        <is>
          <t>VCA-0107</t>
        </is>
      </c>
      <c r="B108" t="inlineStr">
        <is>
          <t>VND-023</t>
        </is>
      </c>
      <c r="C108" t="inlineStr">
        <is>
          <t>HKJK</t>
        </is>
      </c>
      <c r="D108" t="inlineStr">
        <is>
          <t>NO</t>
        </is>
      </c>
    </row>
    <row r="109">
      <c r="A109" t="inlineStr">
        <is>
          <t>VCA-0108</t>
        </is>
      </c>
      <c r="B109" t="inlineStr">
        <is>
          <t>VND-073</t>
        </is>
      </c>
      <c r="C109" t="inlineStr">
        <is>
          <t>HKJK</t>
        </is>
      </c>
      <c r="D109" t="inlineStr">
        <is>
          <t>NO</t>
        </is>
      </c>
    </row>
    <row r="110">
      <c r="A110" t="inlineStr">
        <is>
          <t>VCA-0109</t>
        </is>
      </c>
      <c r="B110" t="inlineStr">
        <is>
          <t>VND-074</t>
        </is>
      </c>
      <c r="C110" t="inlineStr">
        <is>
          <t>HKJK</t>
        </is>
      </c>
      <c r="D110" t="inlineStr">
        <is>
          <t>NO</t>
        </is>
      </c>
    </row>
    <row r="111">
      <c r="A111" t="inlineStr">
        <is>
          <t>VCA-0110</t>
        </is>
      </c>
      <c r="B111" t="inlineStr">
        <is>
          <t>VND-033</t>
        </is>
      </c>
      <c r="C111" t="inlineStr">
        <is>
          <t>GOBD</t>
        </is>
      </c>
      <c r="D111" t="inlineStr">
        <is>
          <t>NO</t>
        </is>
      </c>
    </row>
    <row r="112">
      <c r="A112" t="inlineStr">
        <is>
          <t>VCA-0111</t>
        </is>
      </c>
      <c r="B112" t="inlineStr">
        <is>
          <t>VND-039</t>
        </is>
      </c>
      <c r="C112" t="inlineStr">
        <is>
          <t>GOBD</t>
        </is>
      </c>
      <c r="D112" t="inlineStr">
        <is>
          <t>NO</t>
        </is>
      </c>
    </row>
    <row r="113">
      <c r="A113" t="inlineStr">
        <is>
          <t>VCA-0112</t>
        </is>
      </c>
      <c r="B113" t="inlineStr">
        <is>
          <t>VND-023</t>
        </is>
      </c>
      <c r="C113" t="inlineStr">
        <is>
          <t>GOBD</t>
        </is>
      </c>
      <c r="D113" t="inlineStr">
        <is>
          <t>NO</t>
        </is>
      </c>
    </row>
    <row r="114">
      <c r="A114" t="inlineStr">
        <is>
          <t>VCA-0113</t>
        </is>
      </c>
      <c r="B114" t="inlineStr">
        <is>
          <t>VND-025</t>
        </is>
      </c>
      <c r="C114" t="inlineStr">
        <is>
          <t>GOBD</t>
        </is>
      </c>
      <c r="D114" t="inlineStr">
        <is>
          <t>NO</t>
        </is>
      </c>
    </row>
    <row r="115">
      <c r="A115" t="inlineStr">
        <is>
          <t>VCA-0114</t>
        </is>
      </c>
      <c r="B115" t="inlineStr">
        <is>
          <t>VND-075</t>
        </is>
      </c>
      <c r="C115" t="inlineStr">
        <is>
          <t>GOBD</t>
        </is>
      </c>
      <c r="D115" t="inlineStr">
        <is>
          <t>NO</t>
        </is>
      </c>
    </row>
    <row r="116">
      <c r="A116" t="inlineStr">
        <is>
          <t>VCA-0115</t>
        </is>
      </c>
      <c r="B116" t="inlineStr">
        <is>
          <t>VND-028</t>
        </is>
      </c>
      <c r="C116" t="inlineStr">
        <is>
          <t>GOBD</t>
        </is>
      </c>
      <c r="D116" t="inlineStr">
        <is>
          <t>NO</t>
        </is>
      </c>
    </row>
    <row r="117">
      <c r="A117" t="inlineStr">
        <is>
          <t>VCA-0116</t>
        </is>
      </c>
      <c r="B117" t="inlineStr">
        <is>
          <t>VND-076</t>
        </is>
      </c>
      <c r="C117" t="inlineStr">
        <is>
          <t>FSIA</t>
        </is>
      </c>
      <c r="D117" t="inlineStr">
        <is>
          <t>NO</t>
        </is>
      </c>
    </row>
    <row r="118">
      <c r="A118" t="inlineStr">
        <is>
          <t>VCA-0117</t>
        </is>
      </c>
      <c r="B118" t="inlineStr">
        <is>
          <t>VND-033</t>
        </is>
      </c>
      <c r="C118" t="inlineStr">
        <is>
          <t>DAAG</t>
        </is>
      </c>
      <c r="D118" t="inlineStr">
        <is>
          <t>NO</t>
        </is>
      </c>
    </row>
    <row r="119">
      <c r="A119" t="inlineStr">
        <is>
          <t>VCA-0118</t>
        </is>
      </c>
      <c r="B119" t="inlineStr">
        <is>
          <t>VND-027</t>
        </is>
      </c>
      <c r="C119" t="inlineStr">
        <is>
          <t>DAAG</t>
        </is>
      </c>
      <c r="D119" t="inlineStr">
        <is>
          <t>NO</t>
        </is>
      </c>
    </row>
    <row r="120">
      <c r="A120" t="inlineStr">
        <is>
          <t>VCA-0119</t>
        </is>
      </c>
      <c r="B120" t="inlineStr">
        <is>
          <t>VND-039</t>
        </is>
      </c>
      <c r="C120" t="inlineStr">
        <is>
          <t>DAAG</t>
        </is>
      </c>
      <c r="D120" t="inlineStr">
        <is>
          <t>NO</t>
        </is>
      </c>
    </row>
    <row r="121">
      <c r="A121" t="inlineStr">
        <is>
          <t>VCA-0120</t>
        </is>
      </c>
      <c r="B121" t="inlineStr">
        <is>
          <t>VND-051</t>
        </is>
      </c>
      <c r="C121" t="inlineStr">
        <is>
          <t>DAAG</t>
        </is>
      </c>
      <c r="D121" t="inlineStr">
        <is>
          <t>NO</t>
        </is>
      </c>
    </row>
    <row r="122">
      <c r="A122" t="inlineStr">
        <is>
          <t>VCA-0121</t>
        </is>
      </c>
      <c r="B122" t="inlineStr">
        <is>
          <t>VND-028</t>
        </is>
      </c>
      <c r="C122" t="inlineStr">
        <is>
          <t>DAAG</t>
        </is>
      </c>
      <c r="D122" t="inlineStr">
        <is>
          <t>NO</t>
        </is>
      </c>
    </row>
    <row r="123">
      <c r="A123" t="inlineStr">
        <is>
          <t>VCA-0122</t>
        </is>
      </c>
      <c r="B123" t="inlineStr">
        <is>
          <t>VND-077</t>
        </is>
      </c>
      <c r="C123" t="inlineStr">
        <is>
          <t>DIAP</t>
        </is>
      </c>
      <c r="D123" t="inlineStr">
        <is>
          <t>NO</t>
        </is>
      </c>
    </row>
    <row r="124">
      <c r="A124" t="inlineStr">
        <is>
          <t>VCA-0123</t>
        </is>
      </c>
      <c r="B124" t="inlineStr">
        <is>
          <t>VND-008</t>
        </is>
      </c>
      <c r="C124" t="inlineStr">
        <is>
          <t>DIAP</t>
        </is>
      </c>
      <c r="D124" t="inlineStr">
        <is>
          <t>NO</t>
        </is>
      </c>
    </row>
    <row r="125">
      <c r="A125" t="inlineStr">
        <is>
          <t>VCA-0124</t>
        </is>
      </c>
      <c r="B125" t="inlineStr">
        <is>
          <t>VND-033</t>
        </is>
      </c>
      <c r="C125" t="inlineStr">
        <is>
          <t>DIAP</t>
        </is>
      </c>
      <c r="D125" t="inlineStr">
        <is>
          <t>NO</t>
        </is>
      </c>
    </row>
    <row r="126">
      <c r="A126" t="inlineStr">
        <is>
          <t>VCA-0125</t>
        </is>
      </c>
      <c r="B126" t="inlineStr">
        <is>
          <t>VND-078</t>
        </is>
      </c>
      <c r="C126" t="inlineStr">
        <is>
          <t>DIAP</t>
        </is>
      </c>
      <c r="D126" t="inlineStr">
        <is>
          <t>NO</t>
        </is>
      </c>
    </row>
    <row r="127">
      <c r="A127" t="inlineStr">
        <is>
          <t>VCA-0126</t>
        </is>
      </c>
      <c r="B127" t="inlineStr">
        <is>
          <t>VND-023</t>
        </is>
      </c>
      <c r="C127" t="inlineStr">
        <is>
          <t>DIAP</t>
        </is>
      </c>
      <c r="D127" t="inlineStr">
        <is>
          <t>NO</t>
        </is>
      </c>
    </row>
    <row r="128">
      <c r="A128" t="inlineStr">
        <is>
          <t>VCA-0127</t>
        </is>
      </c>
      <c r="B128" t="inlineStr">
        <is>
          <t>VND-028</t>
        </is>
      </c>
      <c r="C128" t="inlineStr">
        <is>
          <t>DIAP</t>
        </is>
      </c>
      <c r="D128" t="inlineStr">
        <is>
          <t>NO</t>
        </is>
      </c>
    </row>
    <row r="129">
      <c r="A129" t="inlineStr">
        <is>
          <t>VCA-0128</t>
        </is>
      </c>
      <c r="B129" t="inlineStr">
        <is>
          <t>VND-039</t>
        </is>
      </c>
      <c r="C129" t="inlineStr">
        <is>
          <t>HRYR</t>
        </is>
      </c>
      <c r="D129" t="inlineStr">
        <is>
          <t>NO</t>
        </is>
      </c>
    </row>
    <row r="130">
      <c r="A130" t="inlineStr">
        <is>
          <t>VCA-0129</t>
        </is>
      </c>
      <c r="B130" t="inlineStr">
        <is>
          <t>VND-018</t>
        </is>
      </c>
      <c r="C130" t="inlineStr">
        <is>
          <t>HRYR</t>
        </is>
      </c>
      <c r="D130" t="inlineStr">
        <is>
          <t>NO</t>
        </is>
      </c>
    </row>
    <row r="131">
      <c r="A131" t="inlineStr">
        <is>
          <t>VCA-0130</t>
        </is>
      </c>
      <c r="B131" t="inlineStr">
        <is>
          <t>VND-033</t>
        </is>
      </c>
      <c r="C131" t="inlineStr">
        <is>
          <t>HRYR</t>
        </is>
      </c>
      <c r="D131" t="inlineStr">
        <is>
          <t>NO</t>
        </is>
      </c>
    </row>
    <row r="132">
      <c r="A132" t="inlineStr">
        <is>
          <t>VCA-0131</t>
        </is>
      </c>
      <c r="B132" t="inlineStr">
        <is>
          <t>VND-023</t>
        </is>
      </c>
      <c r="C132" t="inlineStr">
        <is>
          <t>HRYR</t>
        </is>
      </c>
      <c r="D132" t="inlineStr">
        <is>
          <t>NO</t>
        </is>
      </c>
    </row>
    <row r="133">
      <c r="A133" t="inlineStr">
        <is>
          <t>VCA-0132</t>
        </is>
      </c>
      <c r="B133" t="inlineStr">
        <is>
          <t>VND-039</t>
        </is>
      </c>
      <c r="C133" t="inlineStr">
        <is>
          <t>HHAS</t>
        </is>
      </c>
      <c r="D133" t="inlineStr">
        <is>
          <t>NO</t>
        </is>
      </c>
    </row>
    <row r="134">
      <c r="A134" t="inlineStr">
        <is>
          <t>VCA-0133</t>
        </is>
      </c>
      <c r="B134" t="inlineStr">
        <is>
          <t>VND-039</t>
        </is>
      </c>
      <c r="C134" t="inlineStr">
        <is>
          <t>FMCH</t>
        </is>
      </c>
      <c r="D134" t="inlineStr">
        <is>
          <t>NO</t>
        </is>
      </c>
    </row>
    <row r="135">
      <c r="A135" t="inlineStr">
        <is>
          <t>VCA-0134</t>
        </is>
      </c>
      <c r="B135" t="inlineStr">
        <is>
          <t>VND-079</t>
        </is>
      </c>
      <c r="C135" t="inlineStr">
        <is>
          <t>FMCH</t>
        </is>
      </c>
      <c r="D135" t="inlineStr">
        <is>
          <t>NO</t>
        </is>
      </c>
    </row>
    <row r="136">
      <c r="A136" t="inlineStr">
        <is>
          <t>VCA-0135</t>
        </is>
      </c>
      <c r="B136" t="inlineStr">
        <is>
          <t>VND-023</t>
        </is>
      </c>
      <c r="C136" t="inlineStr">
        <is>
          <t>FMCH</t>
        </is>
      </c>
      <c r="D136" t="inlineStr">
        <is>
          <t>NO</t>
        </is>
      </c>
    </row>
    <row r="137">
      <c r="A137" t="inlineStr">
        <is>
          <t>VCA-0136</t>
        </is>
      </c>
      <c r="B137" t="inlineStr">
        <is>
          <t>VND-080</t>
        </is>
      </c>
      <c r="C137" t="inlineStr">
        <is>
          <t>HSSK</t>
        </is>
      </c>
      <c r="D137" t="inlineStr">
        <is>
          <t>NO</t>
        </is>
      </c>
    </row>
    <row r="138">
      <c r="A138" t="inlineStr">
        <is>
          <t>VCA-0137</t>
        </is>
      </c>
      <c r="B138" t="inlineStr">
        <is>
          <t>VND-039</t>
        </is>
      </c>
      <c r="C138" t="inlineStr">
        <is>
          <t>HSSK</t>
        </is>
      </c>
      <c r="D138" t="inlineStr">
        <is>
          <t>NO</t>
        </is>
      </c>
    </row>
    <row r="139">
      <c r="A139" t="inlineStr">
        <is>
          <t>VCA-0138</t>
        </is>
      </c>
      <c r="B139" t="inlineStr">
        <is>
          <t>VND-001</t>
        </is>
      </c>
      <c r="C139" t="inlineStr">
        <is>
          <t>HSSK</t>
        </is>
      </c>
      <c r="D139" t="inlineStr">
        <is>
          <t>NO</t>
        </is>
      </c>
    </row>
    <row r="140">
      <c r="A140" t="inlineStr">
        <is>
          <t>VCA-0139</t>
        </is>
      </c>
      <c r="B140" t="inlineStr">
        <is>
          <t>VND-081</t>
        </is>
      </c>
      <c r="C140" t="inlineStr">
        <is>
          <t>FWKI</t>
        </is>
      </c>
      <c r="D140" t="inlineStr">
        <is>
          <t>NO</t>
        </is>
      </c>
    </row>
    <row r="141">
      <c r="A141" t="inlineStr">
        <is>
          <t>VCA-0140</t>
        </is>
      </c>
      <c r="B141" t="inlineStr">
        <is>
          <t>VND-039</t>
        </is>
      </c>
      <c r="C141" t="inlineStr">
        <is>
          <t>FWKI</t>
        </is>
      </c>
      <c r="D141" t="inlineStr">
        <is>
          <t>NO</t>
        </is>
      </c>
    </row>
    <row r="142">
      <c r="A142" t="inlineStr">
        <is>
          <t>VCA-0141</t>
        </is>
      </c>
      <c r="B142" t="inlineStr">
        <is>
          <t>VND-033</t>
        </is>
      </c>
      <c r="C142" t="inlineStr">
        <is>
          <t>FWKI</t>
        </is>
      </c>
      <c r="D142" t="inlineStr">
        <is>
          <t>NO</t>
        </is>
      </c>
    </row>
    <row r="143">
      <c r="A143" t="inlineStr">
        <is>
          <t>VCA-0142</t>
        </is>
      </c>
      <c r="B143" t="inlineStr">
        <is>
          <t>VND-074</t>
        </is>
      </c>
      <c r="C143" t="inlineStr">
        <is>
          <t>HAAB</t>
        </is>
      </c>
      <c r="D143" t="inlineStr">
        <is>
          <t>NO</t>
        </is>
      </c>
    </row>
    <row r="144">
      <c r="A144" t="inlineStr">
        <is>
          <t>VCA-0143</t>
        </is>
      </c>
      <c r="B144" t="inlineStr">
        <is>
          <t>VND-039</t>
        </is>
      </c>
      <c r="C144" t="inlineStr">
        <is>
          <t>HAAB</t>
        </is>
      </c>
      <c r="D144" t="inlineStr">
        <is>
          <t>NO</t>
        </is>
      </c>
    </row>
    <row r="145">
      <c r="A145" t="inlineStr">
        <is>
          <t>VCA-0144</t>
        </is>
      </c>
      <c r="B145" t="inlineStr">
        <is>
          <t>VND-082</t>
        </is>
      </c>
      <c r="C145" t="inlineStr">
        <is>
          <t>HAAB</t>
        </is>
      </c>
      <c r="D145" t="inlineStr">
        <is>
          <t>NO</t>
        </is>
      </c>
    </row>
    <row r="146">
      <c r="A146" t="inlineStr">
        <is>
          <t>VCA-0145</t>
        </is>
      </c>
      <c r="B146" t="inlineStr">
        <is>
          <t>VND-083</t>
        </is>
      </c>
      <c r="C146" t="inlineStr">
        <is>
          <t>HAAB</t>
        </is>
      </c>
      <c r="D146" t="inlineStr">
        <is>
          <t>NO</t>
        </is>
      </c>
    </row>
    <row r="147">
      <c r="A147" t="inlineStr">
        <is>
          <t>VCA-0146</t>
        </is>
      </c>
      <c r="B147" t="inlineStr">
        <is>
          <t>VND-084</t>
        </is>
      </c>
      <c r="C147" t="inlineStr">
        <is>
          <t>HAAB</t>
        </is>
      </c>
      <c r="D147" t="inlineStr">
        <is>
          <t>NO</t>
        </is>
      </c>
    </row>
    <row r="148">
      <c r="A148" t="inlineStr">
        <is>
          <t>VCA-0147</t>
        </is>
      </c>
      <c r="B148" t="inlineStr">
        <is>
          <t>VND-033</t>
        </is>
      </c>
      <c r="C148" t="inlineStr">
        <is>
          <t>HAAB</t>
        </is>
      </c>
      <c r="D148" t="inlineStr">
        <is>
          <t>NO</t>
        </is>
      </c>
    </row>
    <row r="149">
      <c r="A149" t="inlineStr">
        <is>
          <t>VCA-0148</t>
        </is>
      </c>
      <c r="B149" t="inlineStr">
        <is>
          <t>VND-029</t>
        </is>
      </c>
      <c r="C149" t="inlineStr">
        <is>
          <t>HCMM</t>
        </is>
      </c>
      <c r="D149" t="inlineStr">
        <is>
          <t>NO</t>
        </is>
      </c>
    </row>
    <row r="150">
      <c r="A150" t="inlineStr">
        <is>
          <t>VCA-0149</t>
        </is>
      </c>
      <c r="B150" t="inlineStr">
        <is>
          <t>VND-085</t>
        </is>
      </c>
      <c r="C150" t="inlineStr">
        <is>
          <t>HCMM</t>
        </is>
      </c>
      <c r="D150" t="inlineStr">
        <is>
          <t>NO</t>
        </is>
      </c>
    </row>
    <row r="151">
      <c r="A151" t="inlineStr">
        <is>
          <t>VCA-0150</t>
        </is>
      </c>
      <c r="B151" t="inlineStr">
        <is>
          <t>VND-039</t>
        </is>
      </c>
      <c r="C151" t="inlineStr">
        <is>
          <t>HCMM</t>
        </is>
      </c>
      <c r="D151" t="inlineStr">
        <is>
          <t>NO</t>
        </is>
      </c>
    </row>
    <row r="152">
      <c r="A152" t="inlineStr">
        <is>
          <t>VCA-0151</t>
        </is>
      </c>
      <c r="B152" t="inlineStr">
        <is>
          <t>VND-059</t>
        </is>
      </c>
      <c r="C152" t="inlineStr">
        <is>
          <t>FCBB</t>
        </is>
      </c>
      <c r="D152" t="inlineStr">
        <is>
          <t>NO</t>
        </is>
      </c>
    </row>
    <row r="153">
      <c r="A153" t="inlineStr">
        <is>
          <t>VCA-0152</t>
        </is>
      </c>
      <c r="B153" t="inlineStr">
        <is>
          <t>VND-069</t>
        </is>
      </c>
      <c r="C153" t="inlineStr">
        <is>
          <t>FCBB</t>
        </is>
      </c>
      <c r="D153" t="inlineStr">
        <is>
          <t>NO</t>
        </is>
      </c>
    </row>
    <row r="154">
      <c r="A154" t="inlineStr">
        <is>
          <t>VCA-0153</t>
        </is>
      </c>
      <c r="B154" t="inlineStr">
        <is>
          <t>VND-039</t>
        </is>
      </c>
      <c r="C154" t="inlineStr">
        <is>
          <t>FCBB</t>
        </is>
      </c>
      <c r="D154" t="inlineStr">
        <is>
          <t>NO</t>
        </is>
      </c>
    </row>
    <row r="155">
      <c r="A155" t="inlineStr">
        <is>
          <t>VCA-0154</t>
        </is>
      </c>
      <c r="B155" t="inlineStr">
        <is>
          <t>VND-033</t>
        </is>
      </c>
      <c r="C155" t="inlineStr">
        <is>
          <t>FCBB</t>
        </is>
      </c>
      <c r="D155" t="inlineStr">
        <is>
          <t>NO</t>
        </is>
      </c>
    </row>
    <row r="156">
      <c r="A156" t="inlineStr">
        <is>
          <t>VCA-0155</t>
        </is>
      </c>
      <c r="B156" t="inlineStr">
        <is>
          <t>VND-086</t>
        </is>
      </c>
      <c r="C156" t="inlineStr">
        <is>
          <t>FCBB</t>
        </is>
      </c>
      <c r="D156" t="inlineStr">
        <is>
          <t>NO</t>
        </is>
      </c>
    </row>
    <row r="157">
      <c r="A157" t="inlineStr">
        <is>
          <t>VCA-0156</t>
        </is>
      </c>
      <c r="B157" t="inlineStr">
        <is>
          <t>VND-033</t>
        </is>
      </c>
      <c r="C157" t="inlineStr">
        <is>
          <t>GQNO</t>
        </is>
      </c>
      <c r="D157" t="inlineStr">
        <is>
          <t>NO</t>
        </is>
      </c>
    </row>
    <row r="158">
      <c r="A158" t="inlineStr">
        <is>
          <t>VCA-0157</t>
        </is>
      </c>
      <c r="B158" t="inlineStr">
        <is>
          <t>VND-087</t>
        </is>
      </c>
      <c r="C158" t="inlineStr">
        <is>
          <t>GQNO</t>
        </is>
      </c>
      <c r="D158" t="inlineStr">
        <is>
          <t>NO</t>
        </is>
      </c>
    </row>
    <row r="159">
      <c r="A159" t="inlineStr">
        <is>
          <t>VCA-0158</t>
        </is>
      </c>
      <c r="B159" t="inlineStr">
        <is>
          <t>VND-058</t>
        </is>
      </c>
      <c r="C159" t="inlineStr">
        <is>
          <t>GQNO</t>
        </is>
      </c>
      <c r="D159" t="inlineStr">
        <is>
          <t>NO</t>
        </is>
      </c>
    </row>
    <row r="160">
      <c r="A160" t="inlineStr">
        <is>
          <t>VCA-0159</t>
        </is>
      </c>
      <c r="B160" t="inlineStr">
        <is>
          <t>VND-001</t>
        </is>
      </c>
      <c r="C160" t="inlineStr">
        <is>
          <t>GQNO</t>
        </is>
      </c>
      <c r="D160" t="inlineStr">
        <is>
          <t>NO</t>
        </is>
      </c>
    </row>
    <row r="161">
      <c r="A161" t="inlineStr">
        <is>
          <t>VCA-0160</t>
        </is>
      </c>
      <c r="B161" t="inlineStr">
        <is>
          <t>VND-088</t>
        </is>
      </c>
      <c r="C161" t="inlineStr">
        <is>
          <t>GQNO</t>
        </is>
      </c>
      <c r="D161" t="inlineStr">
        <is>
          <t>NO</t>
        </is>
      </c>
    </row>
    <row r="162">
      <c r="A162" t="inlineStr">
        <is>
          <t>VCA-0161</t>
        </is>
      </c>
      <c r="B162" t="inlineStr">
        <is>
          <t>VND-028</t>
        </is>
      </c>
      <c r="C162" t="inlineStr">
        <is>
          <t>GQNO</t>
        </is>
      </c>
      <c r="D162" t="inlineStr">
        <is>
          <t>NO</t>
        </is>
      </c>
    </row>
    <row r="163">
      <c r="A163" t="inlineStr">
        <is>
          <t>VCA-0162</t>
        </is>
      </c>
      <c r="B163" t="inlineStr">
        <is>
          <t>VND-032</t>
        </is>
      </c>
      <c r="C163" t="inlineStr">
        <is>
          <t>DTTA</t>
        </is>
      </c>
      <c r="D163" t="inlineStr">
        <is>
          <t>NO</t>
        </is>
      </c>
    </row>
    <row r="164">
      <c r="A164" t="inlineStr">
        <is>
          <t>VCA-0163</t>
        </is>
      </c>
      <c r="B164" t="inlineStr">
        <is>
          <t>VND-089</t>
        </is>
      </c>
      <c r="C164" t="inlineStr">
        <is>
          <t>DTTA</t>
        </is>
      </c>
      <c r="D164" t="inlineStr">
        <is>
          <t>NO</t>
        </is>
      </c>
    </row>
    <row r="165">
      <c r="A165" t="inlineStr">
        <is>
          <t>VCA-0164</t>
        </is>
      </c>
      <c r="B165" t="inlineStr">
        <is>
          <t>VND-033</t>
        </is>
      </c>
      <c r="C165" t="inlineStr">
        <is>
          <t>DTTA</t>
        </is>
      </c>
      <c r="D165" t="inlineStr">
        <is>
          <t>NO</t>
        </is>
      </c>
    </row>
    <row r="166">
      <c r="A166" t="inlineStr">
        <is>
          <t>VCA-0165</t>
        </is>
      </c>
      <c r="B166" t="inlineStr">
        <is>
          <t>VND-073</t>
        </is>
      </c>
      <c r="C166" t="inlineStr">
        <is>
          <t>HDAM</t>
        </is>
      </c>
      <c r="D166" t="inlineStr">
        <is>
          <t>NO</t>
        </is>
      </c>
    </row>
    <row r="167">
      <c r="A167" t="inlineStr">
        <is>
          <t>VCA-0166</t>
        </is>
      </c>
      <c r="B167" t="inlineStr">
        <is>
          <t>VND-085</t>
        </is>
      </c>
      <c r="C167" t="inlineStr">
        <is>
          <t>HDAM</t>
        </is>
      </c>
      <c r="D167" t="inlineStr">
        <is>
          <t>NO</t>
        </is>
      </c>
    </row>
    <row r="168">
      <c r="A168" t="inlineStr">
        <is>
          <t>VCA-0167</t>
        </is>
      </c>
      <c r="B168" t="inlineStr">
        <is>
          <t>VND-090</t>
        </is>
      </c>
      <c r="C168" t="inlineStr">
        <is>
          <t>HDAM</t>
        </is>
      </c>
      <c r="D168" t="inlineStr">
        <is>
          <t>NO</t>
        </is>
      </c>
    </row>
    <row r="169">
      <c r="A169" t="inlineStr">
        <is>
          <t>VCA-0168</t>
        </is>
      </c>
      <c r="B169" t="inlineStr">
        <is>
          <t>VND-033</t>
        </is>
      </c>
      <c r="C169" t="inlineStr">
        <is>
          <t>FEFF</t>
        </is>
      </c>
      <c r="D169" t="inlineStr">
        <is>
          <t>NO</t>
        </is>
      </c>
    </row>
    <row r="170">
      <c r="A170" t="inlineStr">
        <is>
          <t>VCA-0169</t>
        </is>
      </c>
      <c r="B170" t="inlineStr">
        <is>
          <t>VND-039</t>
        </is>
      </c>
      <c r="C170" t="inlineStr">
        <is>
          <t>FEFF</t>
        </is>
      </c>
      <c r="D170" t="inlineStr">
        <is>
          <t>NO</t>
        </is>
      </c>
    </row>
    <row r="171">
      <c r="A171" t="inlineStr">
        <is>
          <t>VCA-0170</t>
        </is>
      </c>
      <c r="B171" t="inlineStr">
        <is>
          <t>VND-023</t>
        </is>
      </c>
      <c r="C171" t="inlineStr">
        <is>
          <t>FEFF</t>
        </is>
      </c>
      <c r="D171" t="inlineStr">
        <is>
          <t>NO</t>
        </is>
      </c>
    </row>
    <row r="172">
      <c r="A172" t="inlineStr">
        <is>
          <t>VCA-0171</t>
        </is>
      </c>
      <c r="B172" t="inlineStr">
        <is>
          <t>VND-091</t>
        </is>
      </c>
      <c r="C172" t="inlineStr">
        <is>
          <t>FIMP</t>
        </is>
      </c>
      <c r="D172" t="inlineStr">
        <is>
          <t>NO</t>
        </is>
      </c>
    </row>
    <row r="173">
      <c r="A173" t="inlineStr">
        <is>
          <t>VCA-0172</t>
        </is>
      </c>
      <c r="B173" t="inlineStr">
        <is>
          <t>VND-033</t>
        </is>
      </c>
      <c r="C173" t="inlineStr">
        <is>
          <t>GFLL</t>
        </is>
      </c>
      <c r="D173" t="inlineStr">
        <is>
          <t>NO</t>
        </is>
      </c>
    </row>
    <row r="174">
      <c r="A174" t="inlineStr">
        <is>
          <t>VCA-0173</t>
        </is>
      </c>
      <c r="B174" t="inlineStr">
        <is>
          <t>VND-025</t>
        </is>
      </c>
      <c r="C174" t="inlineStr">
        <is>
          <t>GFLL</t>
        </is>
      </c>
      <c r="D174" t="inlineStr">
        <is>
          <t>NO</t>
        </is>
      </c>
    </row>
    <row r="175">
      <c r="A175" t="inlineStr">
        <is>
          <t>VCA-0174</t>
        </is>
      </c>
      <c r="B175" t="inlineStr">
        <is>
          <t>VND-086</t>
        </is>
      </c>
      <c r="C175" t="inlineStr">
        <is>
          <t>GFLL</t>
        </is>
      </c>
      <c r="D175" t="inlineStr">
        <is>
          <t>NO</t>
        </is>
      </c>
    </row>
    <row r="176">
      <c r="A176" t="inlineStr">
        <is>
          <t>VCA-0175</t>
        </is>
      </c>
      <c r="B176" t="inlineStr">
        <is>
          <t>VND-078</t>
        </is>
      </c>
      <c r="C176" t="inlineStr">
        <is>
          <t>FPST</t>
        </is>
      </c>
      <c r="D176" t="inlineStr">
        <is>
          <t>NO</t>
        </is>
      </c>
    </row>
    <row r="177">
      <c r="A177" t="inlineStr">
        <is>
          <t>VCA-0176</t>
        </is>
      </c>
      <c r="B177" t="inlineStr">
        <is>
          <t>VND-039</t>
        </is>
      </c>
      <c r="C177" t="inlineStr">
        <is>
          <t>FPST</t>
        </is>
      </c>
      <c r="D177" t="inlineStr">
        <is>
          <t>NO</t>
        </is>
      </c>
    </row>
    <row r="178">
      <c r="A178" t="inlineStr">
        <is>
          <t>VCA-0177</t>
        </is>
      </c>
      <c r="B178" t="inlineStr">
        <is>
          <t>VND-025</t>
        </is>
      </c>
      <c r="C178" t="inlineStr">
        <is>
          <t>FPST</t>
        </is>
      </c>
      <c r="D178" t="inlineStr">
        <is>
          <t>NO</t>
        </is>
      </c>
    </row>
    <row r="179">
      <c r="A179" t="inlineStr">
        <is>
          <t>VCA-0178</t>
        </is>
      </c>
      <c r="B179" t="inlineStr">
        <is>
          <t>VND-033</t>
        </is>
      </c>
      <c r="C179" t="inlineStr">
        <is>
          <t>GUCY</t>
        </is>
      </c>
      <c r="D179" t="inlineStr">
        <is>
          <t>NO</t>
        </is>
      </c>
    </row>
    <row r="180">
      <c r="A180" t="inlineStr">
        <is>
          <t>VCA-0179</t>
        </is>
      </c>
      <c r="B180" t="inlineStr">
        <is>
          <t>VND-092</t>
        </is>
      </c>
      <c r="C180" t="inlineStr">
        <is>
          <t>GUCY</t>
        </is>
      </c>
      <c r="D180" t="inlineStr">
        <is>
          <t>NO</t>
        </is>
      </c>
    </row>
    <row r="181">
      <c r="A181" t="inlineStr">
        <is>
          <t>VCA-0180</t>
        </is>
      </c>
      <c r="B181" t="inlineStr">
        <is>
          <t>VND-039</t>
        </is>
      </c>
      <c r="C181" t="inlineStr">
        <is>
          <t>GUCY</t>
        </is>
      </c>
      <c r="D181" t="inlineStr">
        <is>
          <t>NO</t>
        </is>
      </c>
    </row>
    <row r="182">
      <c r="A182" t="inlineStr">
        <is>
          <t>VCA-0181</t>
        </is>
      </c>
      <c r="B182" t="inlineStr">
        <is>
          <t>VND-033</t>
        </is>
      </c>
      <c r="C182" t="inlineStr">
        <is>
          <t>DRRN</t>
        </is>
      </c>
      <c r="D182" t="inlineStr">
        <is>
          <t>NO</t>
        </is>
      </c>
    </row>
    <row r="183">
      <c r="A183" t="inlineStr">
        <is>
          <t>VCA-0182</t>
        </is>
      </c>
      <c r="B183" t="inlineStr">
        <is>
          <t>VND-028</t>
        </is>
      </c>
      <c r="C183" t="inlineStr">
        <is>
          <t>DRRN</t>
        </is>
      </c>
      <c r="D183" t="inlineStr">
        <is>
          <t>NO</t>
        </is>
      </c>
    </row>
    <row r="184">
      <c r="A184" t="inlineStr">
        <is>
          <t>VCA-0183</t>
        </is>
      </c>
      <c r="B184" t="inlineStr">
        <is>
          <t>VND-033</t>
        </is>
      </c>
      <c r="C184" t="inlineStr">
        <is>
          <t>GLRB</t>
        </is>
      </c>
      <c r="D184" t="inlineStr">
        <is>
          <t>NO</t>
        </is>
      </c>
    </row>
    <row r="185">
      <c r="A185" t="inlineStr">
        <is>
          <t>VCA-0184</t>
        </is>
      </c>
      <c r="B185" t="inlineStr">
        <is>
          <t>VND-093</t>
        </is>
      </c>
      <c r="C185" t="inlineStr">
        <is>
          <t>GLRB</t>
        </is>
      </c>
      <c r="D185" t="inlineStr">
        <is>
          <t>NO</t>
        </is>
      </c>
    </row>
    <row r="186">
      <c r="A186" t="inlineStr">
        <is>
          <t>VCA-0185</t>
        </is>
      </c>
      <c r="B186" t="inlineStr">
        <is>
          <t>VND-025</t>
        </is>
      </c>
      <c r="C186" t="inlineStr">
        <is>
          <t>GLRB</t>
        </is>
      </c>
      <c r="D186" t="inlineStr">
        <is>
          <t>NO</t>
        </is>
      </c>
    </row>
    <row r="187">
      <c r="A187" t="inlineStr">
        <is>
          <t>VCA-0186</t>
        </is>
      </c>
      <c r="B187" t="inlineStr">
        <is>
          <t>VND-094</t>
        </is>
      </c>
      <c r="C187" t="inlineStr">
        <is>
          <t>FKKD</t>
        </is>
      </c>
      <c r="D187" t="inlineStr">
        <is>
          <t>NO</t>
        </is>
      </c>
    </row>
    <row r="188">
      <c r="A188" t="inlineStr">
        <is>
          <t>VCA-0187</t>
        </is>
      </c>
      <c r="B188" t="inlineStr">
        <is>
          <t>VND-039</t>
        </is>
      </c>
      <c r="C188" t="inlineStr">
        <is>
          <t>FKKD</t>
        </is>
      </c>
      <c r="D188" t="inlineStr">
        <is>
          <t>NO</t>
        </is>
      </c>
    </row>
    <row r="189">
      <c r="A189" t="inlineStr">
        <is>
          <t>VCA-0188</t>
        </is>
      </c>
      <c r="B189" t="inlineStr">
        <is>
          <t>VND-033</t>
        </is>
      </c>
      <c r="C189" t="inlineStr">
        <is>
          <t>FKKD</t>
        </is>
      </c>
      <c r="D189" t="inlineStr">
        <is>
          <t>NO</t>
        </is>
      </c>
    </row>
    <row r="190">
      <c r="A190" t="inlineStr">
        <is>
          <t>VCA-0189</t>
        </is>
      </c>
      <c r="B190" t="inlineStr">
        <is>
          <t>VND-025</t>
        </is>
      </c>
      <c r="C190" t="inlineStr">
        <is>
          <t>FKKD</t>
        </is>
      </c>
      <c r="D190" t="inlineStr">
        <is>
          <t>NO</t>
        </is>
      </c>
    </row>
    <row r="191">
      <c r="A191" t="inlineStr">
        <is>
          <t>VCA-0190</t>
        </is>
      </c>
      <c r="B191" t="inlineStr">
        <is>
          <t>VND-028</t>
        </is>
      </c>
      <c r="C191" t="inlineStr">
        <is>
          <t>FKKD</t>
        </is>
      </c>
      <c r="D191" t="inlineStr">
        <is>
          <t>NO</t>
        </is>
      </c>
    </row>
    <row r="192">
      <c r="A192" t="inlineStr">
        <is>
          <t>VCA-0191</t>
        </is>
      </c>
      <c r="B192" t="inlineStr">
        <is>
          <t>VND-033</t>
        </is>
      </c>
      <c r="C192" t="inlineStr">
        <is>
          <t>FTTJ</t>
        </is>
      </c>
      <c r="D192" t="inlineStr">
        <is>
          <t>NO</t>
        </is>
      </c>
    </row>
    <row r="193">
      <c r="A193" t="inlineStr">
        <is>
          <t>VCA-0192</t>
        </is>
      </c>
      <c r="B193" t="inlineStr">
        <is>
          <t>VND-025</t>
        </is>
      </c>
      <c r="C193" t="inlineStr">
        <is>
          <t>DFFD</t>
        </is>
      </c>
      <c r="D193" t="inlineStr">
        <is>
          <t>NO</t>
        </is>
      </c>
    </row>
    <row r="194">
      <c r="A194" t="inlineStr">
        <is>
          <t>VCA-0193</t>
        </is>
      </c>
      <c r="B194" t="inlineStr">
        <is>
          <t>VND-095</t>
        </is>
      </c>
      <c r="C194" t="inlineStr">
        <is>
          <t>DFFD</t>
        </is>
      </c>
      <c r="D194" t="inlineStr">
        <is>
          <t>NO</t>
        </is>
      </c>
    </row>
    <row r="195">
      <c r="A195" t="inlineStr">
        <is>
          <t>VCA-0194</t>
        </is>
      </c>
      <c r="B195" t="inlineStr">
        <is>
          <t>VND-033</t>
        </is>
      </c>
      <c r="C195" t="inlineStr">
        <is>
          <t>GGOV</t>
        </is>
      </c>
      <c r="D195" t="inlineStr">
        <is>
          <t>NO</t>
        </is>
      </c>
    </row>
    <row r="196">
      <c r="A196" t="inlineStr">
        <is>
          <t>VCA-0195</t>
        </is>
      </c>
      <c r="B196" t="inlineStr">
        <is>
          <t>VND-039</t>
        </is>
      </c>
      <c r="C196" t="inlineStr">
        <is>
          <t>GGOV</t>
        </is>
      </c>
      <c r="D196" t="inlineStr">
        <is>
          <t>NO</t>
        </is>
      </c>
    </row>
    <row r="197">
      <c r="A197" t="inlineStr">
        <is>
          <t>VCA-0196</t>
        </is>
      </c>
      <c r="B197" t="inlineStr">
        <is>
          <t>VND-008</t>
        </is>
      </c>
      <c r="C197" t="inlineStr">
        <is>
          <t>GGOV</t>
        </is>
      </c>
      <c r="D197" t="inlineStr">
        <is>
          <t>NO</t>
        </is>
      </c>
    </row>
    <row r="198">
      <c r="A198" t="inlineStr">
        <is>
          <t>VCA-0197</t>
        </is>
      </c>
      <c r="B198" t="inlineStr">
        <is>
          <t>VND-096</t>
        </is>
      </c>
      <c r="C198" t="inlineStr">
        <is>
          <t>FDSK</t>
        </is>
      </c>
      <c r="D198" t="inlineStr">
        <is>
          <t>NO</t>
        </is>
      </c>
    </row>
    <row r="199">
      <c r="A199" t="inlineStr">
        <is>
          <t>VCA-0198</t>
        </is>
      </c>
      <c r="B199" t="inlineStr">
        <is>
          <t>VND-039</t>
        </is>
      </c>
      <c r="C199" t="inlineStr">
        <is>
          <t>FDSK</t>
        </is>
      </c>
      <c r="D199" t="inlineStr">
        <is>
          <t>NO</t>
        </is>
      </c>
    </row>
    <row r="200">
      <c r="A200" t="inlineStr">
        <is>
          <t>VCA-0199</t>
        </is>
      </c>
      <c r="B200" t="inlineStr">
        <is>
          <t>VND-033</t>
        </is>
      </c>
      <c r="C200" t="inlineStr">
        <is>
          <t>FGSL</t>
        </is>
      </c>
      <c r="D200" t="inlineStr">
        <is>
          <t>NO</t>
        </is>
      </c>
    </row>
    <row r="201">
      <c r="A201" t="inlineStr">
        <is>
          <t>VCA-0200</t>
        </is>
      </c>
      <c r="B201" t="inlineStr">
        <is>
          <t>VND-039</t>
        </is>
      </c>
      <c r="C201" t="inlineStr">
        <is>
          <t>FGSL</t>
        </is>
      </c>
      <c r="D201" t="inlineStr">
        <is>
          <t>NO</t>
        </is>
      </c>
    </row>
    <row r="202">
      <c r="A202" t="inlineStr">
        <is>
          <t>VCA-0201</t>
        </is>
      </c>
      <c r="B202" t="inlineStr">
        <is>
          <t>VND-039</t>
        </is>
      </c>
      <c r="C202" t="inlineStr">
        <is>
          <t>GBYD</t>
        </is>
      </c>
      <c r="D202" t="inlineStr">
        <is>
          <t>NO</t>
        </is>
      </c>
    </row>
    <row r="203">
      <c r="A203" t="inlineStr">
        <is>
          <t>VCA-0202</t>
        </is>
      </c>
      <c r="B203" t="inlineStr">
        <is>
          <t>VND-033</t>
        </is>
      </c>
      <c r="C203" t="inlineStr">
        <is>
          <t>GBYD</t>
        </is>
      </c>
      <c r="D203" t="inlineStr">
        <is>
          <t>NO</t>
        </is>
      </c>
    </row>
    <row r="204">
      <c r="A204" t="inlineStr">
        <is>
          <t>VCA-0203</t>
        </is>
      </c>
      <c r="B204" t="inlineStr">
        <is>
          <t>VND-097</t>
        </is>
      </c>
      <c r="C204" t="inlineStr">
        <is>
          <t>GABS</t>
        </is>
      </c>
      <c r="D204" t="inlineStr">
        <is>
          <t>NO</t>
        </is>
      </c>
    </row>
    <row r="205">
      <c r="A205" t="inlineStr">
        <is>
          <t>VCA-0204</t>
        </is>
      </c>
      <c r="B205" t="inlineStr">
        <is>
          <t>VND-001</t>
        </is>
      </c>
      <c r="C205" t="inlineStr">
        <is>
          <t>HJJJ</t>
        </is>
      </c>
      <c r="D205" t="inlineStr">
        <is>
          <t>NO</t>
        </is>
      </c>
    </row>
    <row r="206">
      <c r="A206" t="inlineStr">
        <is>
          <t>VCA-0205</t>
        </is>
      </c>
      <c r="B206" t="inlineStr">
        <is>
          <t>VND-033</t>
        </is>
      </c>
      <c r="C206" t="inlineStr">
        <is>
          <t>DXXX</t>
        </is>
      </c>
      <c r="D206" t="inlineStr">
        <is>
          <t>NO</t>
        </is>
      </c>
    </row>
    <row r="207">
      <c r="A207" t="inlineStr">
        <is>
          <t>VCA-0206</t>
        </is>
      </c>
      <c r="B207" t="inlineStr">
        <is>
          <t>VND-025</t>
        </is>
      </c>
      <c r="C207" t="inlineStr">
        <is>
          <t>DXXX</t>
        </is>
      </c>
      <c r="D207" t="inlineStr">
        <is>
          <t>NO</t>
        </is>
      </c>
    </row>
    <row r="208">
      <c r="A208" t="inlineStr">
        <is>
          <t>VCA-0207</t>
        </is>
      </c>
      <c r="B208" t="inlineStr">
        <is>
          <t>VND-033</t>
        </is>
      </c>
      <c r="C208" t="inlineStr">
        <is>
          <t>DBBB</t>
        </is>
      </c>
      <c r="D208" t="inlineStr">
        <is>
          <t>NO</t>
        </is>
      </c>
    </row>
    <row r="209">
      <c r="A209" t="inlineStr">
        <is>
          <t>VCA-0208</t>
        </is>
      </c>
      <c r="B209" t="inlineStr">
        <is>
          <t>VND-028</t>
        </is>
      </c>
      <c r="C209" t="inlineStr">
        <is>
          <t>DBBB</t>
        </is>
      </c>
      <c r="D209" t="inlineStr">
        <is>
          <t>NO</t>
        </is>
      </c>
    </row>
    <row r="210">
      <c r="A210" t="inlineStr">
        <is>
          <t>VCA-0209</t>
        </is>
      </c>
      <c r="B210" t="inlineStr">
        <is>
          <t>VND-033</t>
        </is>
      </c>
      <c r="C210" t="inlineStr">
        <is>
          <t>HBBA</t>
        </is>
      </c>
      <c r="D210" t="inlineStr">
        <is>
          <t>NO</t>
        </is>
      </c>
    </row>
    <row r="211">
      <c r="A211" t="inlineStr">
        <is>
          <t>VCA-0210</t>
        </is>
      </c>
      <c r="B211" t="inlineStr">
        <is>
          <t>VND-009</t>
        </is>
      </c>
      <c r="C211" t="inlineStr">
        <is>
          <t>OERK</t>
        </is>
      </c>
      <c r="D211" t="inlineStr">
        <is>
          <t>NO</t>
        </is>
      </c>
    </row>
    <row r="212">
      <c r="A212" t="inlineStr">
        <is>
          <t>VCA-0211</t>
        </is>
      </c>
      <c r="B212" t="inlineStr">
        <is>
          <t>VND-098</t>
        </is>
      </c>
      <c r="C212" t="inlineStr">
        <is>
          <t>OEJN</t>
        </is>
      </c>
      <c r="D212" t="inlineStr">
        <is>
          <t>NO</t>
        </is>
      </c>
    </row>
    <row r="213">
      <c r="A213" t="inlineStr">
        <is>
          <t>VCA-0212</t>
        </is>
      </c>
      <c r="B213" t="inlineStr">
        <is>
          <t>VND-008</t>
        </is>
      </c>
      <c r="C213" t="inlineStr">
        <is>
          <t>OERK</t>
        </is>
      </c>
      <c r="D213" t="inlineStr">
        <is>
          <t>NO</t>
        </is>
      </c>
    </row>
    <row r="214">
      <c r="A214" t="inlineStr">
        <is>
          <t>VCA-0213</t>
        </is>
      </c>
      <c r="B214" t="inlineStr">
        <is>
          <t>VND-099</t>
        </is>
      </c>
      <c r="C214" t="inlineStr">
        <is>
          <t>OERK</t>
        </is>
      </c>
      <c r="D214" t="inlineStr">
        <is>
          <t>NO</t>
        </is>
      </c>
    </row>
    <row r="215">
      <c r="A215" t="inlineStr">
        <is>
          <t>VCA-0214</t>
        </is>
      </c>
      <c r="B215" t="inlineStr">
        <is>
          <t>VND-007</t>
        </is>
      </c>
      <c r="C215" t="inlineStr">
        <is>
          <t>OERK</t>
        </is>
      </c>
      <c r="D215" t="inlineStr">
        <is>
          <t>NO</t>
        </is>
      </c>
    </row>
    <row r="216">
      <c r="A216" t="inlineStr">
        <is>
          <t>VCA-0215</t>
        </is>
      </c>
      <c r="B216" t="inlineStr">
        <is>
          <t>VND-100</t>
        </is>
      </c>
      <c r="C216" t="inlineStr">
        <is>
          <t>OERK</t>
        </is>
      </c>
      <c r="D216" t="inlineStr">
        <is>
          <t>NO</t>
        </is>
      </c>
    </row>
    <row r="217">
      <c r="A217" t="inlineStr">
        <is>
          <t>VCA-0216</t>
        </is>
      </c>
      <c r="B217" t="inlineStr">
        <is>
          <t>VND-025</t>
        </is>
      </c>
      <c r="C217" t="inlineStr">
        <is>
          <t>OERK</t>
        </is>
      </c>
      <c r="D217" t="inlineStr">
        <is>
          <t>NO</t>
        </is>
      </c>
    </row>
    <row r="218">
      <c r="A218" t="inlineStr">
        <is>
          <t>VCA-0217</t>
        </is>
      </c>
      <c r="B218" t="inlineStr">
        <is>
          <t>VND-101</t>
        </is>
      </c>
      <c r="C218" t="inlineStr">
        <is>
          <t>OERK</t>
        </is>
      </c>
      <c r="D218" t="inlineStr">
        <is>
          <t>NO</t>
        </is>
      </c>
    </row>
    <row r="219">
      <c r="A219" t="inlineStr">
        <is>
          <t>VCA-0218</t>
        </is>
      </c>
      <c r="B219" t="inlineStr">
        <is>
          <t>VND-012</t>
        </is>
      </c>
      <c r="C219" t="inlineStr">
        <is>
          <t>OERK</t>
        </is>
      </c>
      <c r="D219" t="inlineStr">
        <is>
          <t>NO</t>
        </is>
      </c>
    </row>
    <row r="220">
      <c r="A220" t="inlineStr">
        <is>
          <t>VCA-0219</t>
        </is>
      </c>
      <c r="B220" t="inlineStr">
        <is>
          <t>VND-102</t>
        </is>
      </c>
      <c r="C220" t="inlineStr">
        <is>
          <t>OERK</t>
        </is>
      </c>
      <c r="D220" t="inlineStr">
        <is>
          <t>NO</t>
        </is>
      </c>
    </row>
    <row r="221">
      <c r="A221" t="inlineStr">
        <is>
          <t>VCA-0220</t>
        </is>
      </c>
      <c r="B221" t="inlineStr">
        <is>
          <t>VND-001</t>
        </is>
      </c>
      <c r="C221" t="inlineStr">
        <is>
          <t>OERK</t>
        </is>
      </c>
      <c r="D221" t="inlineStr">
        <is>
          <t>NO</t>
        </is>
      </c>
    </row>
    <row r="222">
      <c r="A222" t="inlineStr">
        <is>
          <t>VCA-0221</t>
        </is>
      </c>
      <c r="B222" t="inlineStr">
        <is>
          <t>VND-008</t>
        </is>
      </c>
      <c r="C222" t="inlineStr">
        <is>
          <t>OMDB</t>
        </is>
      </c>
      <c r="D222" t="inlineStr">
        <is>
          <t>NO</t>
        </is>
      </c>
    </row>
    <row r="223">
      <c r="A223" t="inlineStr">
        <is>
          <t>VCA-0222</t>
        </is>
      </c>
      <c r="B223" t="inlineStr">
        <is>
          <t>VND-009</t>
        </is>
      </c>
      <c r="C223" t="inlineStr">
        <is>
          <t>OMDB</t>
        </is>
      </c>
      <c r="D223" t="inlineStr">
        <is>
          <t>NO</t>
        </is>
      </c>
    </row>
    <row r="224">
      <c r="A224" t="inlineStr">
        <is>
          <t>VCA-0223</t>
        </is>
      </c>
      <c r="B224" t="inlineStr">
        <is>
          <t>VND-012</t>
        </is>
      </c>
      <c r="C224" t="inlineStr">
        <is>
          <t>OMDB</t>
        </is>
      </c>
      <c r="D224" t="inlineStr">
        <is>
          <t>NO</t>
        </is>
      </c>
    </row>
    <row r="225">
      <c r="A225" t="inlineStr">
        <is>
          <t>VCA-0224</t>
        </is>
      </c>
      <c r="B225" t="inlineStr">
        <is>
          <t>VND-103</t>
        </is>
      </c>
      <c r="C225" t="inlineStr">
        <is>
          <t>OMAD</t>
        </is>
      </c>
      <c r="D225" t="inlineStr">
        <is>
          <t>NO</t>
        </is>
      </c>
    </row>
    <row r="226">
      <c r="A226" t="inlineStr">
        <is>
          <t>VCA-0225</t>
        </is>
      </c>
      <c r="B226" t="inlineStr">
        <is>
          <t>VND-083</t>
        </is>
      </c>
      <c r="C226" t="inlineStr">
        <is>
          <t>OMDB</t>
        </is>
      </c>
      <c r="D226" t="inlineStr">
        <is>
          <t>NO</t>
        </is>
      </c>
    </row>
    <row r="227">
      <c r="A227" t="inlineStr">
        <is>
          <t>VCA-0226</t>
        </is>
      </c>
      <c r="B227" t="inlineStr">
        <is>
          <t>VND-104</t>
        </is>
      </c>
      <c r="C227" t="inlineStr">
        <is>
          <t>OMDB</t>
        </is>
      </c>
      <c r="D227" t="inlineStr">
        <is>
          <t>NO</t>
        </is>
      </c>
    </row>
    <row r="228">
      <c r="A228" t="inlineStr">
        <is>
          <t>VCA-0227</t>
        </is>
      </c>
      <c r="B228" t="inlineStr">
        <is>
          <t>VND-105</t>
        </is>
      </c>
      <c r="C228" t="inlineStr">
        <is>
          <t>OMDB</t>
        </is>
      </c>
      <c r="D228" t="inlineStr">
        <is>
          <t>NO</t>
        </is>
      </c>
    </row>
    <row r="229">
      <c r="A229" t="inlineStr">
        <is>
          <t>VCA-0228</t>
        </is>
      </c>
      <c r="B229" t="inlineStr">
        <is>
          <t>VND-025</t>
        </is>
      </c>
      <c r="C229" t="inlineStr">
        <is>
          <t>OMDB</t>
        </is>
      </c>
      <c r="D229" t="inlineStr">
        <is>
          <t>NO</t>
        </is>
      </c>
    </row>
    <row r="230">
      <c r="A230" t="inlineStr">
        <is>
          <t>VCA-0229</t>
        </is>
      </c>
      <c r="B230" t="inlineStr">
        <is>
          <t>VND-007</t>
        </is>
      </c>
      <c r="C230" t="inlineStr">
        <is>
          <t>OMDB</t>
        </is>
      </c>
      <c r="D230" t="inlineStr">
        <is>
          <t>NO</t>
        </is>
      </c>
    </row>
    <row r="231">
      <c r="A231" t="inlineStr">
        <is>
          <t>VCA-0230</t>
        </is>
      </c>
      <c r="B231" t="inlineStr">
        <is>
          <t>VND-085</t>
        </is>
      </c>
      <c r="C231" t="inlineStr">
        <is>
          <t>OMDB</t>
        </is>
      </c>
      <c r="D231" t="inlineStr">
        <is>
          <t>NO</t>
        </is>
      </c>
    </row>
    <row r="232">
      <c r="A232" t="inlineStr">
        <is>
          <t>VCA-0231</t>
        </is>
      </c>
      <c r="B232" t="inlineStr">
        <is>
          <t>VND-106</t>
        </is>
      </c>
      <c r="C232" t="inlineStr">
        <is>
          <t>OMDB</t>
        </is>
      </c>
      <c r="D232" t="inlineStr">
        <is>
          <t>NO</t>
        </is>
      </c>
    </row>
    <row r="233">
      <c r="A233" t="inlineStr">
        <is>
          <t>VCA-0232</t>
        </is>
      </c>
      <c r="B233" t="inlineStr">
        <is>
          <t>VND-107</t>
        </is>
      </c>
      <c r="C233" t="inlineStr">
        <is>
          <t>OMDB</t>
        </is>
      </c>
      <c r="D233" t="inlineStr">
        <is>
          <t>NO</t>
        </is>
      </c>
    </row>
    <row r="234">
      <c r="A234" t="inlineStr">
        <is>
          <t>VCA-0233</t>
        </is>
      </c>
      <c r="B234" t="inlineStr">
        <is>
          <t>VND-001</t>
        </is>
      </c>
      <c r="C234" t="inlineStr">
        <is>
          <t>OMDB</t>
        </is>
      </c>
      <c r="D234" t="inlineStr">
        <is>
          <t>NO</t>
        </is>
      </c>
    </row>
    <row r="235">
      <c r="A235" t="inlineStr">
        <is>
          <t>VCA-0234</t>
        </is>
      </c>
      <c r="B235" t="inlineStr">
        <is>
          <t>VND-108</t>
        </is>
      </c>
      <c r="C235" t="inlineStr">
        <is>
          <t>OMDB</t>
        </is>
      </c>
      <c r="D235" t="inlineStr">
        <is>
          <t>NO</t>
        </is>
      </c>
    </row>
    <row r="236">
      <c r="A236" t="inlineStr">
        <is>
          <t>VCA-0235</t>
        </is>
      </c>
      <c r="B236" t="inlineStr">
        <is>
          <t>VND-109</t>
        </is>
      </c>
      <c r="C236" t="inlineStr">
        <is>
          <t>OMDB</t>
        </is>
      </c>
      <c r="D236" t="inlineStr">
        <is>
          <t>NO</t>
        </is>
      </c>
    </row>
    <row r="237">
      <c r="A237" t="inlineStr">
        <is>
          <t>VCA-0236</t>
        </is>
      </c>
      <c r="B237" t="inlineStr">
        <is>
          <t>VND-110</t>
        </is>
      </c>
      <c r="C237" t="inlineStr">
        <is>
          <t>OMDB</t>
        </is>
      </c>
      <c r="D237" t="inlineStr">
        <is>
          <t>NO</t>
        </is>
      </c>
    </row>
    <row r="238">
      <c r="A238" t="inlineStr">
        <is>
          <t>VCA-0237</t>
        </is>
      </c>
      <c r="B238" t="inlineStr">
        <is>
          <t>VND-111</t>
        </is>
      </c>
      <c r="C238" t="inlineStr">
        <is>
          <t>OMDB</t>
        </is>
      </c>
      <c r="D238" t="inlineStr">
        <is>
          <t>NO</t>
        </is>
      </c>
    </row>
    <row r="239">
      <c r="A239" t="inlineStr">
        <is>
          <t>VCA-0238</t>
        </is>
      </c>
      <c r="B239" t="inlineStr">
        <is>
          <t>VND-112</t>
        </is>
      </c>
      <c r="C239" t="inlineStr">
        <is>
          <t>OMDB</t>
        </is>
      </c>
      <c r="D239" t="inlineStr">
        <is>
          <t>NO</t>
        </is>
      </c>
    </row>
    <row r="240">
      <c r="A240" t="inlineStr">
        <is>
          <t>VCA-0239</t>
        </is>
      </c>
      <c r="B240" t="inlineStr">
        <is>
          <t>VND-023</t>
        </is>
      </c>
      <c r="C240" t="inlineStr">
        <is>
          <t>OMDB</t>
        </is>
      </c>
      <c r="D240" t="inlineStr">
        <is>
          <t>NO</t>
        </is>
      </c>
    </row>
    <row r="241">
      <c r="A241" t="inlineStr">
        <is>
          <t>VCA-0240</t>
        </is>
      </c>
      <c r="B241" t="inlineStr">
        <is>
          <t>VND-113</t>
        </is>
      </c>
      <c r="C241" t="inlineStr">
        <is>
          <t>OMDB</t>
        </is>
      </c>
      <c r="D241" t="inlineStr">
        <is>
          <t>NO</t>
        </is>
      </c>
    </row>
    <row r="242">
      <c r="A242" t="inlineStr">
        <is>
          <t>VCA-0241</t>
        </is>
      </c>
      <c r="B242" t="inlineStr">
        <is>
          <t>VND-101</t>
        </is>
      </c>
      <c r="C242" t="inlineStr">
        <is>
          <t>OMDB</t>
        </is>
      </c>
      <c r="D242" t="inlineStr">
        <is>
          <t>NO</t>
        </is>
      </c>
    </row>
    <row r="243">
      <c r="A243" t="inlineStr">
        <is>
          <t>VCA-0242</t>
        </is>
      </c>
      <c r="B243" t="inlineStr">
        <is>
          <t>VND-114</t>
        </is>
      </c>
      <c r="C243" t="inlineStr">
        <is>
          <t>OMDB</t>
        </is>
      </c>
      <c r="D243" t="inlineStr">
        <is>
          <t>NO</t>
        </is>
      </c>
    </row>
    <row r="244">
      <c r="A244" t="inlineStr">
        <is>
          <t>VCA-0243</t>
        </is>
      </c>
      <c r="B244" t="inlineStr">
        <is>
          <t>VND-039</t>
        </is>
      </c>
      <c r="C244" t="inlineStr">
        <is>
          <t>OMDB</t>
        </is>
      </c>
      <c r="D244" t="inlineStr">
        <is>
          <t>NO</t>
        </is>
      </c>
    </row>
    <row r="245">
      <c r="A245" t="inlineStr">
        <is>
          <t>VCA-0244</t>
        </is>
      </c>
      <c r="B245" t="inlineStr">
        <is>
          <t>VND-115</t>
        </is>
      </c>
      <c r="C245" t="inlineStr">
        <is>
          <t>OMDB</t>
        </is>
      </c>
      <c r="D245" t="inlineStr">
        <is>
          <t>NO</t>
        </is>
      </c>
    </row>
    <row r="246">
      <c r="A246" t="inlineStr">
        <is>
          <t>VCA-0245</t>
        </is>
      </c>
      <c r="B246" t="inlineStr">
        <is>
          <t>VND-033</t>
        </is>
      </c>
      <c r="C246" t="inlineStr">
        <is>
          <t>OMDB</t>
        </is>
      </c>
      <c r="D246" t="inlineStr">
        <is>
          <t>NO</t>
        </is>
      </c>
    </row>
    <row r="247">
      <c r="A247" t="inlineStr">
        <is>
          <t>VCA-0246</t>
        </is>
      </c>
      <c r="B247" t="inlineStr">
        <is>
          <t>VND-073</t>
        </is>
      </c>
      <c r="C247" t="inlineStr">
        <is>
          <t>OMDB</t>
        </is>
      </c>
      <c r="D247" t="inlineStr">
        <is>
          <t>NO</t>
        </is>
      </c>
    </row>
    <row r="248">
      <c r="A248" t="inlineStr">
        <is>
          <t>VCA-0247</t>
        </is>
      </c>
      <c r="B248" t="inlineStr">
        <is>
          <t>VND-007</t>
        </is>
      </c>
      <c r="C248" t="inlineStr">
        <is>
          <t>OOMS</t>
        </is>
      </c>
      <c r="D248" t="inlineStr">
        <is>
          <t>NO</t>
        </is>
      </c>
    </row>
    <row r="249">
      <c r="A249" t="inlineStr">
        <is>
          <t>VCA-0248</t>
        </is>
      </c>
      <c r="B249" t="inlineStr">
        <is>
          <t>VND-008</t>
        </is>
      </c>
      <c r="C249" t="inlineStr">
        <is>
          <t>OOMS</t>
        </is>
      </c>
      <c r="D249" t="inlineStr">
        <is>
          <t>NO</t>
        </is>
      </c>
    </row>
    <row r="250">
      <c r="A250" t="inlineStr">
        <is>
          <t>VCA-0249</t>
        </is>
      </c>
      <c r="B250" t="inlineStr">
        <is>
          <t>VND-009</t>
        </is>
      </c>
      <c r="C250" t="inlineStr">
        <is>
          <t>OOMS</t>
        </is>
      </c>
      <c r="D250" t="inlineStr">
        <is>
          <t>NO</t>
        </is>
      </c>
    </row>
    <row r="251">
      <c r="A251" t="inlineStr">
        <is>
          <t>VCA-0250</t>
        </is>
      </c>
      <c r="B251" t="inlineStr">
        <is>
          <t>VND-001</t>
        </is>
      </c>
      <c r="C251" t="inlineStr">
        <is>
          <t>OOMS</t>
        </is>
      </c>
      <c r="D251" t="inlineStr">
        <is>
          <t>NO</t>
        </is>
      </c>
    </row>
    <row r="252">
      <c r="A252" t="inlineStr">
        <is>
          <t>VCA-0251</t>
        </is>
      </c>
      <c r="B252" t="inlineStr">
        <is>
          <t>VND-025</t>
        </is>
      </c>
      <c r="C252" t="inlineStr">
        <is>
          <t>OOMS</t>
        </is>
      </c>
      <c r="D252" t="inlineStr">
        <is>
          <t>NO</t>
        </is>
      </c>
    </row>
    <row r="253">
      <c r="A253" t="inlineStr">
        <is>
          <t>VCA-0252</t>
        </is>
      </c>
      <c r="B253" t="inlineStr">
        <is>
          <t>VND-083</t>
        </is>
      </c>
      <c r="C253" t="inlineStr">
        <is>
          <t>OOMS</t>
        </is>
      </c>
      <c r="D253" t="inlineStr">
        <is>
          <t>NO</t>
        </is>
      </c>
    </row>
    <row r="254">
      <c r="A254" t="inlineStr">
        <is>
          <t>VCA-0253</t>
        </is>
      </c>
      <c r="B254" t="inlineStr">
        <is>
          <t>VND-102</t>
        </is>
      </c>
      <c r="C254" t="inlineStr">
        <is>
          <t>OOMS</t>
        </is>
      </c>
      <c r="D254" t="inlineStr">
        <is>
          <t>NO</t>
        </is>
      </c>
    </row>
    <row r="255">
      <c r="A255" t="inlineStr">
        <is>
          <t>VCA-0254</t>
        </is>
      </c>
      <c r="B255" t="inlineStr">
        <is>
          <t>VND-116</t>
        </is>
      </c>
      <c r="C255" t="inlineStr">
        <is>
          <t>LLBG</t>
        </is>
      </c>
      <c r="D255" t="inlineStr">
        <is>
          <t>NO</t>
        </is>
      </c>
    </row>
    <row r="256">
      <c r="A256" t="inlineStr">
        <is>
          <t>VCA-0255</t>
        </is>
      </c>
      <c r="B256" t="inlineStr">
        <is>
          <t>VND-117</t>
        </is>
      </c>
      <c r="C256" t="inlineStr">
        <is>
          <t>LLBG</t>
        </is>
      </c>
      <c r="D256" t="inlineStr">
        <is>
          <t>NO</t>
        </is>
      </c>
    </row>
    <row r="257">
      <c r="A257" t="inlineStr">
        <is>
          <t>VCA-0256</t>
        </is>
      </c>
      <c r="B257" t="inlineStr">
        <is>
          <t>VND-118</t>
        </is>
      </c>
      <c r="C257" t="inlineStr">
        <is>
          <t>LLBG</t>
        </is>
      </c>
      <c r="D257" t="inlineStr">
        <is>
          <t>NO</t>
        </is>
      </c>
    </row>
    <row r="258">
      <c r="A258" t="inlineStr">
        <is>
          <t>VCA-0257</t>
        </is>
      </c>
      <c r="B258" t="inlineStr">
        <is>
          <t>VND-119</t>
        </is>
      </c>
      <c r="C258" t="inlineStr">
        <is>
          <t>LLBG</t>
        </is>
      </c>
      <c r="D258" t="inlineStr">
        <is>
          <t>NO</t>
        </is>
      </c>
    </row>
    <row r="259">
      <c r="A259" t="inlineStr">
        <is>
          <t>VCA-0258</t>
        </is>
      </c>
      <c r="B259" t="inlineStr">
        <is>
          <t>VND-120</t>
        </is>
      </c>
      <c r="C259" t="inlineStr">
        <is>
          <t>OTHH</t>
        </is>
      </c>
      <c r="D259" t="inlineStr">
        <is>
          <t>NO</t>
        </is>
      </c>
    </row>
    <row r="260">
      <c r="A260" t="inlineStr">
        <is>
          <t>VCA-0259</t>
        </is>
      </c>
      <c r="B260" t="inlineStr">
        <is>
          <t>VND-121</t>
        </is>
      </c>
      <c r="C260" t="inlineStr">
        <is>
          <t>OTHH</t>
        </is>
      </c>
      <c r="D260" t="inlineStr">
        <is>
          <t>NO</t>
        </is>
      </c>
    </row>
    <row r="261">
      <c r="A261" t="inlineStr">
        <is>
          <t>VCA-0260</t>
        </is>
      </c>
      <c r="B261" t="inlineStr">
        <is>
          <t>VND-122</t>
        </is>
      </c>
      <c r="C261" t="inlineStr">
        <is>
          <t>OTHH</t>
        </is>
      </c>
      <c r="D261" t="inlineStr">
        <is>
          <t>NO</t>
        </is>
      </c>
    </row>
    <row r="262">
      <c r="A262" t="inlineStr">
        <is>
          <t>VCA-0261</t>
        </is>
      </c>
      <c r="B262" t="inlineStr">
        <is>
          <t>VND-115</t>
        </is>
      </c>
      <c r="C262" t="inlineStr">
        <is>
          <t>OTHH</t>
        </is>
      </c>
      <c r="D262" t="inlineStr">
        <is>
          <t>NO</t>
        </is>
      </c>
    </row>
    <row r="263">
      <c r="A263" t="inlineStr">
        <is>
          <t>VCA-0262</t>
        </is>
      </c>
      <c r="B263" t="inlineStr">
        <is>
          <t>VND-008</t>
        </is>
      </c>
      <c r="C263" t="inlineStr">
        <is>
          <t>OTHH</t>
        </is>
      </c>
      <c r="D263" t="inlineStr">
        <is>
          <t>NO</t>
        </is>
      </c>
    </row>
    <row r="264">
      <c r="A264" t="inlineStr">
        <is>
          <t>VCA-0263</t>
        </is>
      </c>
      <c r="B264" t="inlineStr">
        <is>
          <t>VND-086</t>
        </is>
      </c>
      <c r="C264" t="inlineStr">
        <is>
          <t>OTHH</t>
        </is>
      </c>
      <c r="D264" t="inlineStr">
        <is>
          <t>NO</t>
        </is>
      </c>
    </row>
    <row r="265">
      <c r="A265" t="inlineStr">
        <is>
          <t>VCA-0264</t>
        </is>
      </c>
      <c r="B265" t="inlineStr">
        <is>
          <t>VND-110</t>
        </is>
      </c>
      <c r="C265" t="inlineStr">
        <is>
          <t>OTHH</t>
        </is>
      </c>
      <c r="D265" t="inlineStr">
        <is>
          <t>NO</t>
        </is>
      </c>
    </row>
    <row r="266">
      <c r="A266" t="inlineStr">
        <is>
          <t>VCA-0265</t>
        </is>
      </c>
      <c r="B266" t="inlineStr">
        <is>
          <t>VND-009</t>
        </is>
      </c>
      <c r="C266" t="inlineStr">
        <is>
          <t>OTHH</t>
        </is>
      </c>
      <c r="D266" t="inlineStr">
        <is>
          <t>NO</t>
        </is>
      </c>
    </row>
    <row r="267">
      <c r="A267" t="inlineStr">
        <is>
          <t>VCA-0266</t>
        </is>
      </c>
      <c r="B267" t="inlineStr">
        <is>
          <t>VND-123</t>
        </is>
      </c>
      <c r="C267" t="inlineStr">
        <is>
          <t>OTHH</t>
        </is>
      </c>
      <c r="D267" t="inlineStr">
        <is>
          <t>NO</t>
        </is>
      </c>
    </row>
    <row r="268">
      <c r="A268" t="inlineStr">
        <is>
          <t>VCA-0267</t>
        </is>
      </c>
      <c r="B268" t="inlineStr">
        <is>
          <t>VND-124</t>
        </is>
      </c>
      <c r="C268" t="inlineStr">
        <is>
          <t>OJAI</t>
        </is>
      </c>
      <c r="D268" t="inlineStr">
        <is>
          <t>NO</t>
        </is>
      </c>
    </row>
    <row r="269">
      <c r="A269" t="inlineStr">
        <is>
          <t>VCA-0268</t>
        </is>
      </c>
      <c r="B269" t="inlineStr">
        <is>
          <t>VND-125</t>
        </is>
      </c>
      <c r="C269" t="inlineStr">
        <is>
          <t>OJAI</t>
        </is>
      </c>
      <c r="D269" t="inlineStr">
        <is>
          <t>NO</t>
        </is>
      </c>
    </row>
    <row r="270">
      <c r="A270" t="inlineStr">
        <is>
          <t>VCA-0269</t>
        </is>
      </c>
      <c r="B270" t="inlineStr">
        <is>
          <t>VND-009</t>
        </is>
      </c>
      <c r="C270" t="inlineStr">
        <is>
          <t>OJAI</t>
        </is>
      </c>
      <c r="D270" t="inlineStr">
        <is>
          <t>NO</t>
        </is>
      </c>
    </row>
    <row r="271">
      <c r="A271" t="inlineStr">
        <is>
          <t>VCA-0270</t>
        </is>
      </c>
      <c r="B271" t="inlineStr">
        <is>
          <t>VND-007</t>
        </is>
      </c>
      <c r="C271" t="inlineStr">
        <is>
          <t>OJAI</t>
        </is>
      </c>
      <c r="D271" t="inlineStr">
        <is>
          <t>NO</t>
        </is>
      </c>
    </row>
    <row r="272">
      <c r="A272" t="inlineStr">
        <is>
          <t>VCA-0271</t>
        </is>
      </c>
      <c r="B272" t="inlineStr">
        <is>
          <t>VND-126</t>
        </is>
      </c>
      <c r="C272" t="inlineStr">
        <is>
          <t>OJAI</t>
        </is>
      </c>
      <c r="D272" t="inlineStr">
        <is>
          <t>NO</t>
        </is>
      </c>
    </row>
    <row r="273">
      <c r="A273" t="inlineStr">
        <is>
          <t>VCA-0272</t>
        </is>
      </c>
      <c r="B273" t="inlineStr">
        <is>
          <t>VND-127</t>
        </is>
      </c>
      <c r="C273" t="inlineStr">
        <is>
          <t>OJAI</t>
        </is>
      </c>
      <c r="D273" t="inlineStr">
        <is>
          <t>NO</t>
        </is>
      </c>
    </row>
    <row r="274">
      <c r="A274" t="inlineStr">
        <is>
          <t>VCA-0273</t>
        </is>
      </c>
      <c r="B274" t="inlineStr">
        <is>
          <t>VND-120</t>
        </is>
      </c>
      <c r="C274" t="inlineStr">
        <is>
          <t>OKKK</t>
        </is>
      </c>
      <c r="D274" t="inlineStr">
        <is>
          <t>NO</t>
        </is>
      </c>
    </row>
    <row r="275">
      <c r="A275" t="inlineStr">
        <is>
          <t>VCA-0274</t>
        </is>
      </c>
      <c r="B275" t="inlineStr">
        <is>
          <t>VND-115</t>
        </is>
      </c>
      <c r="C275" t="inlineStr">
        <is>
          <t>OKKK</t>
        </is>
      </c>
      <c r="D275" t="inlineStr">
        <is>
          <t>NO</t>
        </is>
      </c>
    </row>
    <row r="276">
      <c r="A276" t="inlineStr">
        <is>
          <t>VCA-0275</t>
        </is>
      </c>
      <c r="B276" t="inlineStr">
        <is>
          <t>VND-008</t>
        </is>
      </c>
      <c r="C276" t="inlineStr">
        <is>
          <t>OKKK</t>
        </is>
      </c>
      <c r="D276" t="inlineStr">
        <is>
          <t>NO</t>
        </is>
      </c>
    </row>
    <row r="277">
      <c r="A277" t="inlineStr">
        <is>
          <t>VCA-0276</t>
        </is>
      </c>
      <c r="B277" t="inlineStr">
        <is>
          <t>VND-128</t>
        </is>
      </c>
      <c r="C277" t="inlineStr">
        <is>
          <t>OKKK</t>
        </is>
      </c>
      <c r="D277" t="inlineStr">
        <is>
          <t>NO</t>
        </is>
      </c>
    </row>
    <row r="278">
      <c r="A278" t="inlineStr">
        <is>
          <t>VCA-0277</t>
        </is>
      </c>
      <c r="B278" t="inlineStr">
        <is>
          <t>VND-129</t>
        </is>
      </c>
      <c r="C278" t="inlineStr">
        <is>
          <t>EGPK</t>
        </is>
      </c>
      <c r="D278" t="inlineStr">
        <is>
          <t>NO</t>
        </is>
      </c>
    </row>
    <row r="279">
      <c r="A279" t="inlineStr">
        <is>
          <t>VCA-0278</t>
        </is>
      </c>
      <c r="B279" t="inlineStr">
        <is>
          <t>VND-080</t>
        </is>
      </c>
      <c r="C279" t="inlineStr">
        <is>
          <t>OKKK</t>
        </is>
      </c>
      <c r="D279" t="inlineStr">
        <is>
          <t>NO</t>
        </is>
      </c>
    </row>
    <row r="280">
      <c r="A280" t="inlineStr">
        <is>
          <t>VCA-0279</t>
        </is>
      </c>
      <c r="B280" t="inlineStr">
        <is>
          <t>VND-027</t>
        </is>
      </c>
      <c r="C280" t="inlineStr">
        <is>
          <t>OKKK</t>
        </is>
      </c>
      <c r="D280" t="inlineStr">
        <is>
          <t>NO</t>
        </is>
      </c>
    </row>
    <row r="281">
      <c r="A281" t="inlineStr">
        <is>
          <t>VCA-0280</t>
        </is>
      </c>
      <c r="B281" t="inlineStr">
        <is>
          <t>VND-123</t>
        </is>
      </c>
      <c r="C281" t="inlineStr">
        <is>
          <t>OKKK</t>
        </is>
      </c>
      <c r="D281" t="inlineStr">
        <is>
          <t>NO</t>
        </is>
      </c>
    </row>
    <row r="282">
      <c r="A282" t="inlineStr">
        <is>
          <t>VCA-0281</t>
        </is>
      </c>
      <c r="B282" t="inlineStr">
        <is>
          <t>VND-120</t>
        </is>
      </c>
      <c r="C282" t="inlineStr">
        <is>
          <t>OBBI</t>
        </is>
      </c>
      <c r="D282" t="inlineStr">
        <is>
          <t>NO</t>
        </is>
      </c>
    </row>
    <row r="283">
      <c r="A283" t="inlineStr">
        <is>
          <t>VCA-0282</t>
        </is>
      </c>
      <c r="B283" t="inlineStr">
        <is>
          <t>VND-130</t>
        </is>
      </c>
      <c r="C283" t="inlineStr">
        <is>
          <t>OBBI</t>
        </is>
      </c>
      <c r="D283" t="inlineStr">
        <is>
          <t>NO</t>
        </is>
      </c>
    </row>
    <row r="284">
      <c r="A284" t="inlineStr">
        <is>
          <t>VCA-0283</t>
        </is>
      </c>
      <c r="B284" t="inlineStr">
        <is>
          <t>VND-131</t>
        </is>
      </c>
      <c r="C284" t="inlineStr">
        <is>
          <t>OBBI</t>
        </is>
      </c>
      <c r="D284" t="inlineStr">
        <is>
          <t>NO</t>
        </is>
      </c>
    </row>
    <row r="285">
      <c r="A285" t="inlineStr">
        <is>
          <t>VCA-0284</t>
        </is>
      </c>
      <c r="B285" t="inlineStr">
        <is>
          <t>VND-132</t>
        </is>
      </c>
      <c r="C285" t="inlineStr">
        <is>
          <t>OLBA</t>
        </is>
      </c>
      <c r="D285" t="inlineStr">
        <is>
          <t>NO</t>
        </is>
      </c>
    </row>
    <row r="286">
      <c r="A286" t="inlineStr">
        <is>
          <t>VCA-0285</t>
        </is>
      </c>
      <c r="B286" t="inlineStr">
        <is>
          <t>VND-133</t>
        </is>
      </c>
      <c r="C286" t="inlineStr">
        <is>
          <t>OLBA</t>
        </is>
      </c>
      <c r="D286" t="inlineStr">
        <is>
          <t>NO</t>
        </is>
      </c>
    </row>
    <row r="287">
      <c r="A287" t="inlineStr">
        <is>
          <t>VCA-0286</t>
        </is>
      </c>
      <c r="B287" t="inlineStr">
        <is>
          <t>VND-134</t>
        </is>
      </c>
      <c r="C287" t="inlineStr">
        <is>
          <t>OLBA</t>
        </is>
      </c>
      <c r="D287" t="inlineStr">
        <is>
          <t>NO</t>
        </is>
      </c>
    </row>
    <row r="288">
      <c r="A288" t="inlineStr">
        <is>
          <t>VCA-0287</t>
        </is>
      </c>
      <c r="B288" t="inlineStr">
        <is>
          <t>VND-135</t>
        </is>
      </c>
      <c r="C288" t="inlineStr">
        <is>
          <t>ORBI</t>
        </is>
      </c>
      <c r="D288" t="inlineStr">
        <is>
          <t>NO</t>
        </is>
      </c>
    </row>
    <row r="289">
      <c r="A289" t="inlineStr">
        <is>
          <t>VCA-0288</t>
        </is>
      </c>
      <c r="B289" t="inlineStr">
        <is>
          <t>VND-108</t>
        </is>
      </c>
      <c r="C289" t="inlineStr">
        <is>
          <t>ORBI</t>
        </is>
      </c>
      <c r="D289" t="inlineStr">
        <is>
          <t>NO</t>
        </is>
      </c>
    </row>
    <row r="290">
      <c r="A290" t="inlineStr">
        <is>
          <t>VCA-0289</t>
        </is>
      </c>
      <c r="B290" t="inlineStr">
        <is>
          <t>VND-083</t>
        </is>
      </c>
      <c r="C290" t="inlineStr">
        <is>
          <t>ORBI</t>
        </is>
      </c>
      <c r="D290" t="inlineStr">
        <is>
          <t>NO</t>
        </is>
      </c>
    </row>
    <row r="291">
      <c r="A291" t="inlineStr">
        <is>
          <t>VCA-0290</t>
        </is>
      </c>
      <c r="B291" t="inlineStr">
        <is>
          <t>VND-136</t>
        </is>
      </c>
      <c r="C291" t="inlineStr">
        <is>
          <t>ORBI</t>
        </is>
      </c>
      <c r="D291" t="inlineStr">
        <is>
          <t>NO</t>
        </is>
      </c>
    </row>
    <row r="292">
      <c r="A292" t="inlineStr">
        <is>
          <t>VCA-0291</t>
        </is>
      </c>
      <c r="B292" t="inlineStr">
        <is>
          <t>VND-025</t>
        </is>
      </c>
      <c r="C292" t="inlineStr">
        <is>
          <t>ORBI</t>
        </is>
      </c>
      <c r="D292" t="inlineStr">
        <is>
          <t>NO</t>
        </is>
      </c>
    </row>
    <row r="293">
      <c r="A293" t="inlineStr">
        <is>
          <t>VCA-0292</t>
        </is>
      </c>
      <c r="B293" t="inlineStr">
        <is>
          <t>VND-008</t>
        </is>
      </c>
      <c r="C293" t="inlineStr">
        <is>
          <t>ORBI</t>
        </is>
      </c>
      <c r="D293" t="inlineStr">
        <is>
          <t>NO</t>
        </is>
      </c>
    </row>
    <row r="294">
      <c r="A294" t="inlineStr">
        <is>
          <t>VCA-0293</t>
        </is>
      </c>
      <c r="B294" t="inlineStr">
        <is>
          <t>VND-112</t>
        </is>
      </c>
      <c r="C294" t="inlineStr">
        <is>
          <t>OYSN</t>
        </is>
      </c>
      <c r="D294" t="inlineStr">
        <is>
          <t>NO</t>
        </is>
      </c>
    </row>
    <row r="295">
      <c r="A295" t="inlineStr">
        <is>
          <t>VCA-0294</t>
        </is>
      </c>
      <c r="B295" t="inlineStr">
        <is>
          <t>VND-083</t>
        </is>
      </c>
      <c r="C295" t="inlineStr">
        <is>
          <t>OAKB</t>
        </is>
      </c>
      <c r="D295" t="inlineStr">
        <is>
          <t>NO</t>
        </is>
      </c>
    </row>
    <row r="296">
      <c r="A296" t="inlineStr">
        <is>
          <t>VCA-0295</t>
        </is>
      </c>
      <c r="B296" t="inlineStr">
        <is>
          <t>VND-115</t>
        </is>
      </c>
      <c r="C296" t="inlineStr">
        <is>
          <t>OAKB</t>
        </is>
      </c>
      <c r="D296" t="inlineStr">
        <is>
          <t>NO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296"/>
  <sheetViews>
    <sheetView workbookViewId="0">
      <pane ySplit="1" topLeftCell="A263" activePane="bottomLeft" state="frozen"/>
      <selection pane="bottomLeft" activeCell="F95" sqref="F95"/>
    </sheetView>
  </sheetViews>
  <sheetFormatPr baseColWidth="8" defaultRowHeight="14.4"/>
  <cols>
    <col width="9.21875" bestFit="1" customWidth="1" min="1" max="1"/>
    <col width="8.77734375" bestFit="1" customWidth="1" min="2" max="2"/>
    <col width="14.88671875" bestFit="1" customWidth="1" min="3" max="3"/>
    <col width="19.77734375" bestFit="1" customWidth="1" min="4" max="4"/>
    <col width="25.77734375" bestFit="1" customWidth="1" min="5" max="5"/>
    <col width="28.44140625" bestFit="1" customWidth="1" min="6" max="6"/>
  </cols>
  <sheetData>
    <row r="1">
      <c r="A1" s="19" t="inlineStr">
        <is>
          <t>id</t>
        </is>
      </c>
      <c r="B1" s="19" t="inlineStr">
        <is>
          <t>vendor_id</t>
        </is>
      </c>
      <c r="C1" s="19" t="inlineStr">
        <is>
          <t>country_iso_code</t>
        </is>
      </c>
      <c r="D1" s="19" t="inlineStr">
        <is>
          <t>has_caa_direct_account</t>
        </is>
      </c>
      <c r="E1" s="19" t="inlineStr">
        <is>
          <t>service_scope</t>
        </is>
      </c>
      <c r="F1" s="19" t="inlineStr">
        <is>
          <t>country_name_lookup</t>
        </is>
      </c>
    </row>
    <row r="2">
      <c r="A2" t="inlineStr">
        <is>
          <t>VCC-0001</t>
        </is>
      </c>
      <c r="B2" t="inlineStr">
        <is>
          <t>VND-001</t>
        </is>
      </c>
      <c r="C2" t="inlineStr">
        <is>
          <t>EG</t>
        </is>
      </c>
      <c r="D2" t="inlineStr">
        <is>
          <t>NO</t>
        </is>
      </c>
      <c r="E2" t="inlineStr">
        <is>
          <t>Ground Handling / Trip Support</t>
        </is>
      </c>
    </row>
    <row r="3">
      <c r="A3" t="inlineStr">
        <is>
          <t>VCC-0002</t>
        </is>
      </c>
      <c r="B3" t="inlineStr">
        <is>
          <t>VND-002</t>
        </is>
      </c>
      <c r="C3" t="inlineStr">
        <is>
          <t>EG</t>
        </is>
      </c>
      <c r="D3" t="inlineStr">
        <is>
          <t>NO</t>
        </is>
      </c>
      <c r="E3" t="inlineStr">
        <is>
          <t>Ground Handling / Trip Support</t>
        </is>
      </c>
    </row>
    <row r="4">
      <c r="A4" t="inlineStr">
        <is>
          <t>VCC-0003</t>
        </is>
      </c>
      <c r="B4" t="inlineStr">
        <is>
          <t>VND-003</t>
        </is>
      </c>
      <c r="C4" t="inlineStr">
        <is>
          <t>EG</t>
        </is>
      </c>
      <c r="D4" t="inlineStr">
        <is>
          <t>NO</t>
        </is>
      </c>
      <c r="E4" t="inlineStr">
        <is>
          <t>Ground Handling / Trip Support</t>
        </is>
      </c>
    </row>
    <row r="5">
      <c r="A5" t="inlineStr">
        <is>
          <t>VCC-0004</t>
        </is>
      </c>
      <c r="B5" t="inlineStr">
        <is>
          <t>VND-004</t>
        </is>
      </c>
      <c r="C5" t="inlineStr">
        <is>
          <t>EG</t>
        </is>
      </c>
      <c r="D5" t="inlineStr">
        <is>
          <t>NO</t>
        </is>
      </c>
      <c r="E5" t="inlineStr">
        <is>
          <t>Ground Handling / Trip Support</t>
        </is>
      </c>
    </row>
    <row r="6">
      <c r="A6" t="inlineStr">
        <is>
          <t>VCC-0005</t>
        </is>
      </c>
      <c r="B6" t="inlineStr">
        <is>
          <t>VND-005</t>
        </is>
      </c>
      <c r="C6" t="inlineStr">
        <is>
          <t>EG</t>
        </is>
      </c>
      <c r="D6" t="inlineStr">
        <is>
          <t>NO</t>
        </is>
      </c>
      <c r="E6" t="inlineStr">
        <is>
          <t>Ground Handling / Trip Support</t>
        </is>
      </c>
    </row>
    <row r="7">
      <c r="A7" t="inlineStr">
        <is>
          <t>VCC-0006</t>
        </is>
      </c>
      <c r="B7" t="inlineStr">
        <is>
          <t>VND-006</t>
        </is>
      </c>
      <c r="C7" t="inlineStr">
        <is>
          <t>EG</t>
        </is>
      </c>
      <c r="D7" t="inlineStr">
        <is>
          <t>NO</t>
        </is>
      </c>
      <c r="E7" t="inlineStr">
        <is>
          <t>Ground Handling / Trip Support</t>
        </is>
      </c>
    </row>
    <row r="8">
      <c r="A8" t="inlineStr">
        <is>
          <t>VCC-0007</t>
        </is>
      </c>
      <c r="B8" t="inlineStr">
        <is>
          <t>VND-007</t>
        </is>
      </c>
      <c r="C8" t="inlineStr">
        <is>
          <t>EG</t>
        </is>
      </c>
      <c r="D8" t="inlineStr">
        <is>
          <t>NO</t>
        </is>
      </c>
      <c r="E8" t="inlineStr">
        <is>
          <t>Ground Handling / Trip Support</t>
        </is>
      </c>
    </row>
    <row r="9">
      <c r="A9" t="inlineStr">
        <is>
          <t>VCC-0008</t>
        </is>
      </c>
      <c r="B9" t="inlineStr">
        <is>
          <t>VND-008</t>
        </is>
      </c>
      <c r="C9" t="inlineStr">
        <is>
          <t>EG</t>
        </is>
      </c>
      <c r="D9" t="inlineStr">
        <is>
          <t>NO</t>
        </is>
      </c>
      <c r="E9" t="inlineStr">
        <is>
          <t>Ground Handling / Trip Support</t>
        </is>
      </c>
    </row>
    <row r="10">
      <c r="A10" t="inlineStr">
        <is>
          <t>VCC-0009</t>
        </is>
      </c>
      <c r="B10" t="inlineStr">
        <is>
          <t>VND-009</t>
        </is>
      </c>
      <c r="C10" t="inlineStr">
        <is>
          <t>EG</t>
        </is>
      </c>
      <c r="D10" t="inlineStr">
        <is>
          <t>NO</t>
        </is>
      </c>
      <c r="E10" t="inlineStr">
        <is>
          <t>Ground Handling / Trip Support</t>
        </is>
      </c>
    </row>
    <row r="11">
      <c r="A11" t="inlineStr">
        <is>
          <t>VCC-0010</t>
        </is>
      </c>
      <c r="B11" t="inlineStr">
        <is>
          <t>VND-010</t>
        </is>
      </c>
      <c r="C11" t="inlineStr">
        <is>
          <t>EG</t>
        </is>
      </c>
      <c r="D11" t="inlineStr">
        <is>
          <t>NO</t>
        </is>
      </c>
      <c r="E11" t="inlineStr">
        <is>
          <t>Ground Handling / Trip Support</t>
        </is>
      </c>
    </row>
    <row r="12">
      <c r="A12" t="inlineStr">
        <is>
          <t>VCC-0011</t>
        </is>
      </c>
      <c r="B12" t="inlineStr">
        <is>
          <t>VND-011</t>
        </is>
      </c>
      <c r="C12" t="inlineStr">
        <is>
          <t>ZA</t>
        </is>
      </c>
      <c r="D12" t="inlineStr">
        <is>
          <t>NO</t>
        </is>
      </c>
      <c r="E12" t="inlineStr">
        <is>
          <t>Ground Handling / Trip Support</t>
        </is>
      </c>
    </row>
    <row r="13">
      <c r="A13" t="inlineStr">
        <is>
          <t>VCC-0012</t>
        </is>
      </c>
      <c r="B13" t="inlineStr">
        <is>
          <t>VND-012</t>
        </is>
      </c>
      <c r="C13" t="inlineStr">
        <is>
          <t>ZA</t>
        </is>
      </c>
      <c r="D13" t="inlineStr">
        <is>
          <t>NO</t>
        </is>
      </c>
      <c r="E13" t="inlineStr">
        <is>
          <t>Ground Handling / Trip Support</t>
        </is>
      </c>
    </row>
    <row r="14">
      <c r="A14" t="inlineStr">
        <is>
          <t>VCC-0013</t>
        </is>
      </c>
      <c r="B14" t="inlineStr">
        <is>
          <t>VND-013</t>
        </is>
      </c>
      <c r="C14" t="inlineStr">
        <is>
          <t>ZA</t>
        </is>
      </c>
      <c r="D14" t="inlineStr">
        <is>
          <t>NO</t>
        </is>
      </c>
      <c r="E14" t="inlineStr">
        <is>
          <t>Ground Handling / Trip Support</t>
        </is>
      </c>
    </row>
    <row r="15">
      <c r="A15" t="inlineStr">
        <is>
          <t>VCC-0014</t>
        </is>
      </c>
      <c r="B15" t="inlineStr">
        <is>
          <t>VND-014</t>
        </is>
      </c>
      <c r="C15" t="inlineStr">
        <is>
          <t>ZA</t>
        </is>
      </c>
      <c r="D15" t="inlineStr">
        <is>
          <t>NO</t>
        </is>
      </c>
      <c r="E15" t="inlineStr">
        <is>
          <t>Ground Handling / Trip Support</t>
        </is>
      </c>
    </row>
    <row r="16">
      <c r="A16" t="inlineStr">
        <is>
          <t>VCC-0015</t>
        </is>
      </c>
      <c r="B16" t="inlineStr">
        <is>
          <t>VND-015</t>
        </is>
      </c>
      <c r="C16" t="inlineStr">
        <is>
          <t>ZA</t>
        </is>
      </c>
      <c r="D16" t="inlineStr">
        <is>
          <t>NO</t>
        </is>
      </c>
      <c r="E16" t="inlineStr">
        <is>
          <t>Ground Handling / Trip Support</t>
        </is>
      </c>
    </row>
    <row r="17">
      <c r="A17" t="inlineStr">
        <is>
          <t>VCC-0016</t>
        </is>
      </c>
      <c r="B17" t="inlineStr">
        <is>
          <t>VND-016</t>
        </is>
      </c>
      <c r="C17" t="inlineStr">
        <is>
          <t>ZA</t>
        </is>
      </c>
      <c r="D17" t="inlineStr">
        <is>
          <t>NO</t>
        </is>
      </c>
      <c r="E17" t="inlineStr">
        <is>
          <t>Ground Handling / Trip Support</t>
        </is>
      </c>
    </row>
    <row r="18">
      <c r="A18" t="inlineStr">
        <is>
          <t>VCC-0017</t>
        </is>
      </c>
      <c r="B18" t="inlineStr">
        <is>
          <t>VND-017</t>
        </is>
      </c>
      <c r="C18" t="inlineStr">
        <is>
          <t>ZA</t>
        </is>
      </c>
      <c r="D18" t="inlineStr">
        <is>
          <t>NO</t>
        </is>
      </c>
      <c r="E18" t="inlineStr">
        <is>
          <t>Ground Handling / Trip Support</t>
        </is>
      </c>
    </row>
    <row r="19">
      <c r="A19" t="inlineStr">
        <is>
          <t>VCC-0018</t>
        </is>
      </c>
      <c r="B19" t="inlineStr">
        <is>
          <t>VND-018</t>
        </is>
      </c>
      <c r="C19" t="inlineStr">
        <is>
          <t>ZA</t>
        </is>
      </c>
      <c r="D19" t="inlineStr">
        <is>
          <t>NO</t>
        </is>
      </c>
      <c r="E19" t="inlineStr">
        <is>
          <t>Ground Handling / Trip Support</t>
        </is>
      </c>
    </row>
    <row r="20">
      <c r="A20" t="inlineStr">
        <is>
          <t>VCC-0019</t>
        </is>
      </c>
      <c r="B20" t="inlineStr">
        <is>
          <t>VND-019</t>
        </is>
      </c>
      <c r="C20" t="inlineStr">
        <is>
          <t>ZA</t>
        </is>
      </c>
      <c r="D20" t="inlineStr">
        <is>
          <t>NO</t>
        </is>
      </c>
      <c r="E20" t="inlineStr">
        <is>
          <t>Ground Handling / Trip Support</t>
        </is>
      </c>
    </row>
    <row r="21">
      <c r="A21" t="inlineStr">
        <is>
          <t>VCC-0020</t>
        </is>
      </c>
      <c r="B21" t="inlineStr">
        <is>
          <t>VND-020</t>
        </is>
      </c>
      <c r="C21" t="inlineStr">
        <is>
          <t>ZA</t>
        </is>
      </c>
      <c r="D21" t="inlineStr">
        <is>
          <t>NO</t>
        </is>
      </c>
      <c r="E21" t="inlineStr">
        <is>
          <t>Ground Handling / Trip Support</t>
        </is>
      </c>
    </row>
    <row r="22">
      <c r="A22" t="inlineStr">
        <is>
          <t>VCC-0021</t>
        </is>
      </c>
      <c r="B22" t="inlineStr">
        <is>
          <t>VND-021</t>
        </is>
      </c>
      <c r="C22" t="inlineStr">
        <is>
          <t>ZA</t>
        </is>
      </c>
      <c r="D22" t="inlineStr">
        <is>
          <t>NO</t>
        </is>
      </c>
      <c r="E22" t="inlineStr">
        <is>
          <t>Ground Handling / Trip Support</t>
        </is>
      </c>
    </row>
    <row r="23">
      <c r="A23" t="inlineStr">
        <is>
          <t>VCC-0022</t>
        </is>
      </c>
      <c r="B23" t="inlineStr">
        <is>
          <t>VND-022</t>
        </is>
      </c>
      <c r="C23" t="inlineStr">
        <is>
          <t>ZA</t>
        </is>
      </c>
      <c r="D23" t="inlineStr">
        <is>
          <t>NO</t>
        </is>
      </c>
      <c r="E23" t="inlineStr">
        <is>
          <t>Ground Handling / Trip Support</t>
        </is>
      </c>
    </row>
    <row r="24">
      <c r="A24" t="inlineStr">
        <is>
          <t>VCC-0023</t>
        </is>
      </c>
      <c r="B24" t="inlineStr">
        <is>
          <t>VND-023</t>
        </is>
      </c>
      <c r="C24" t="inlineStr">
        <is>
          <t>TZ</t>
        </is>
      </c>
      <c r="D24" t="inlineStr">
        <is>
          <t>NO</t>
        </is>
      </c>
      <c r="E24" t="inlineStr">
        <is>
          <t>Ground Handling / Trip Support</t>
        </is>
      </c>
    </row>
    <row r="25">
      <c r="A25" t="inlineStr">
        <is>
          <t>VCC-0024</t>
        </is>
      </c>
      <c r="B25" t="inlineStr">
        <is>
          <t>VND-024</t>
        </is>
      </c>
      <c r="C25" t="inlineStr">
        <is>
          <t>TZ</t>
        </is>
      </c>
      <c r="D25" t="inlineStr">
        <is>
          <t>NO</t>
        </is>
      </c>
      <c r="E25" t="inlineStr">
        <is>
          <t>Ground Handling / Trip Support</t>
        </is>
      </c>
    </row>
    <row r="26">
      <c r="A26" t="inlineStr">
        <is>
          <t>VCC-0025</t>
        </is>
      </c>
      <c r="B26" t="inlineStr">
        <is>
          <t>VND-025</t>
        </is>
      </c>
      <c r="C26" t="inlineStr">
        <is>
          <t>TZ</t>
        </is>
      </c>
      <c r="D26" t="inlineStr">
        <is>
          <t>NO</t>
        </is>
      </c>
      <c r="E26" t="inlineStr">
        <is>
          <t>Ground Handling / Trip Support</t>
        </is>
      </c>
    </row>
    <row r="27">
      <c r="A27" t="inlineStr">
        <is>
          <t>VCC-0026</t>
        </is>
      </c>
      <c r="B27" t="inlineStr">
        <is>
          <t>VND-026</t>
        </is>
      </c>
      <c r="C27" t="inlineStr">
        <is>
          <t>TZ</t>
        </is>
      </c>
      <c r="D27" t="inlineStr">
        <is>
          <t>NO</t>
        </is>
      </c>
      <c r="E27" t="inlineStr">
        <is>
          <t>Ground Handling / Trip Support</t>
        </is>
      </c>
    </row>
    <row r="28">
      <c r="A28" t="inlineStr">
        <is>
          <t>VCC-0027</t>
        </is>
      </c>
      <c r="B28" t="inlineStr">
        <is>
          <t>VND-027</t>
        </is>
      </c>
      <c r="C28" t="inlineStr">
        <is>
          <t>TZ</t>
        </is>
      </c>
      <c r="D28" t="inlineStr">
        <is>
          <t>NO</t>
        </is>
      </c>
      <c r="E28" t="inlineStr">
        <is>
          <t>Ground Handling / Trip Support</t>
        </is>
      </c>
    </row>
    <row r="29">
      <c r="A29" t="inlineStr">
        <is>
          <t>VCC-0028</t>
        </is>
      </c>
      <c r="B29" t="inlineStr">
        <is>
          <t>VND-028</t>
        </is>
      </c>
      <c r="C29" t="inlineStr">
        <is>
          <t>TZ</t>
        </is>
      </c>
      <c r="D29" t="inlineStr">
        <is>
          <t>NO</t>
        </is>
      </c>
      <c r="E29" t="inlineStr">
        <is>
          <t>Ground Handling / Trip Support</t>
        </is>
      </c>
    </row>
    <row r="30">
      <c r="A30" t="inlineStr">
        <is>
          <t>VCC-0029</t>
        </is>
      </c>
      <c r="B30" t="inlineStr">
        <is>
          <t>VND-029</t>
        </is>
      </c>
      <c r="C30" t="inlineStr">
        <is>
          <t>TZ</t>
        </is>
      </c>
      <c r="D30" t="inlineStr">
        <is>
          <t>NO</t>
        </is>
      </c>
      <c r="E30" t="inlineStr">
        <is>
          <t>Ground Handling / Trip Support</t>
        </is>
      </c>
    </row>
    <row r="31">
      <c r="A31" t="inlineStr">
        <is>
          <t>VCC-0030</t>
        </is>
      </c>
      <c r="B31" t="inlineStr">
        <is>
          <t>VND-027</t>
        </is>
      </c>
      <c r="C31" t="inlineStr">
        <is>
          <t>MA</t>
        </is>
      </c>
      <c r="D31" t="inlineStr">
        <is>
          <t>NO</t>
        </is>
      </c>
      <c r="E31" t="inlineStr">
        <is>
          <t>Ground Handling / Trip Support</t>
        </is>
      </c>
    </row>
    <row r="32">
      <c r="A32" t="inlineStr">
        <is>
          <t>VCC-0031</t>
        </is>
      </c>
      <c r="B32" t="inlineStr">
        <is>
          <t>VND-030</t>
        </is>
      </c>
      <c r="C32" t="inlineStr">
        <is>
          <t>MA</t>
        </is>
      </c>
      <c r="D32" t="inlineStr">
        <is>
          <t>NO</t>
        </is>
      </c>
      <c r="E32" t="inlineStr">
        <is>
          <t>Ground Handling / Trip Support</t>
        </is>
      </c>
    </row>
    <row r="33">
      <c r="A33" t="inlineStr">
        <is>
          <t>VCC-0032</t>
        </is>
      </c>
      <c r="B33" t="inlineStr">
        <is>
          <t>VND-008</t>
        </is>
      </c>
      <c r="C33" t="inlineStr">
        <is>
          <t>MA</t>
        </is>
      </c>
      <c r="D33" t="inlineStr">
        <is>
          <t>NO</t>
        </is>
      </c>
      <c r="E33" t="inlineStr">
        <is>
          <t>Ground Handling / Trip Support</t>
        </is>
      </c>
    </row>
    <row r="34">
      <c r="A34" t="inlineStr">
        <is>
          <t>VCC-0033</t>
        </is>
      </c>
      <c r="B34" t="inlineStr">
        <is>
          <t>VND-031</t>
        </is>
      </c>
      <c r="C34" t="inlineStr">
        <is>
          <t>MA</t>
        </is>
      </c>
      <c r="D34" t="inlineStr">
        <is>
          <t>NO</t>
        </is>
      </c>
      <c r="E34" t="inlineStr">
        <is>
          <t>Ground Handling / Trip Support</t>
        </is>
      </c>
    </row>
    <row r="35">
      <c r="A35" t="inlineStr">
        <is>
          <t>VCC-0034</t>
        </is>
      </c>
      <c r="B35" t="inlineStr">
        <is>
          <t>VND-032</t>
        </is>
      </c>
      <c r="C35" t="inlineStr">
        <is>
          <t>MA</t>
        </is>
      </c>
      <c r="D35" t="inlineStr">
        <is>
          <t>NO</t>
        </is>
      </c>
      <c r="E35" t="inlineStr">
        <is>
          <t>Ground Handling / Trip Support</t>
        </is>
      </c>
    </row>
    <row r="36">
      <c r="A36" t="inlineStr">
        <is>
          <t>VCC-0035</t>
        </is>
      </c>
      <c r="B36" t="inlineStr">
        <is>
          <t>VND-033</t>
        </is>
      </c>
      <c r="C36" t="inlineStr">
        <is>
          <t>MA</t>
        </is>
      </c>
      <c r="D36" t="inlineStr">
        <is>
          <t>NO</t>
        </is>
      </c>
      <c r="E36" t="inlineStr">
        <is>
          <t>Ground Handling / Trip Support</t>
        </is>
      </c>
    </row>
    <row r="37">
      <c r="A37" t="inlineStr">
        <is>
          <t>VCC-0036</t>
        </is>
      </c>
      <c r="B37" t="inlineStr">
        <is>
          <t>VND-001</t>
        </is>
      </c>
      <c r="C37" t="inlineStr">
        <is>
          <t>MA</t>
        </is>
      </c>
      <c r="D37" t="inlineStr">
        <is>
          <t>NO</t>
        </is>
      </c>
      <c r="E37" t="inlineStr">
        <is>
          <t>Ground Handling / Trip Support</t>
        </is>
      </c>
    </row>
    <row r="38">
      <c r="A38" t="inlineStr">
        <is>
          <t>VCC-0037</t>
        </is>
      </c>
      <c r="B38" t="inlineStr">
        <is>
          <t>VND-034</t>
        </is>
      </c>
      <c r="C38" t="inlineStr">
        <is>
          <t>CV</t>
        </is>
      </c>
      <c r="D38" t="inlineStr">
        <is>
          <t>NO</t>
        </is>
      </c>
      <c r="E38" t="inlineStr">
        <is>
          <t>Ground Handling / Trip Support</t>
        </is>
      </c>
    </row>
    <row r="39">
      <c r="A39" t="inlineStr">
        <is>
          <t>VCC-0038</t>
        </is>
      </c>
      <c r="B39" t="inlineStr">
        <is>
          <t>VND-035</t>
        </is>
      </c>
      <c r="C39" t="inlineStr">
        <is>
          <t>CV</t>
        </is>
      </c>
      <c r="D39" t="inlineStr">
        <is>
          <t>NO</t>
        </is>
      </c>
      <c r="E39" t="inlineStr">
        <is>
          <t>Ground Handling / Trip Support</t>
        </is>
      </c>
    </row>
    <row r="40">
      <c r="A40" t="inlineStr">
        <is>
          <t>VCC-0039</t>
        </is>
      </c>
      <c r="B40" t="inlineStr">
        <is>
          <t>VND-036</t>
        </is>
      </c>
      <c r="C40" t="inlineStr">
        <is>
          <t>CV</t>
        </is>
      </c>
      <c r="D40" t="inlineStr">
        <is>
          <t>NO</t>
        </is>
      </c>
      <c r="E40" t="inlineStr">
        <is>
          <t>Ground Handling / Trip Support</t>
        </is>
      </c>
    </row>
    <row r="41">
      <c r="A41" t="inlineStr">
        <is>
          <t>VCC-0040</t>
        </is>
      </c>
      <c r="B41" t="inlineStr">
        <is>
          <t>VND-037</t>
        </is>
      </c>
      <c r="C41" t="inlineStr">
        <is>
          <t>CV</t>
        </is>
      </c>
      <c r="D41" t="inlineStr">
        <is>
          <t>NO</t>
        </is>
      </c>
      <c r="E41" t="inlineStr">
        <is>
          <t>Ground Handling / Trip Support</t>
        </is>
      </c>
    </row>
    <row r="42">
      <c r="A42" t="inlineStr">
        <is>
          <t>VCC-0041</t>
        </is>
      </c>
      <c r="B42" t="inlineStr">
        <is>
          <t>VND-033</t>
        </is>
      </c>
      <c r="C42" t="inlineStr">
        <is>
          <t>CV</t>
        </is>
      </c>
      <c r="D42" t="inlineStr">
        <is>
          <t>NO</t>
        </is>
      </c>
      <c r="E42" t="inlineStr">
        <is>
          <t>Ground Handling / Trip Support</t>
        </is>
      </c>
    </row>
    <row r="43">
      <c r="A43" t="inlineStr">
        <is>
          <t>VCC-0042</t>
        </is>
      </c>
      <c r="B43" t="inlineStr">
        <is>
          <t>VND-038</t>
        </is>
      </c>
      <c r="C43" t="inlineStr">
        <is>
          <t>MZ</t>
        </is>
      </c>
      <c r="D43" t="inlineStr">
        <is>
          <t>NO</t>
        </is>
      </c>
      <c r="E43" t="inlineStr">
        <is>
          <t>Ground Handling / Trip Support</t>
        </is>
      </c>
    </row>
    <row r="44">
      <c r="A44" t="inlineStr">
        <is>
          <t>VCC-0043</t>
        </is>
      </c>
      <c r="B44" t="inlineStr">
        <is>
          <t>VND-039</t>
        </is>
      </c>
      <c r="C44" t="inlineStr">
        <is>
          <t>MZ</t>
        </is>
      </c>
      <c r="D44" t="inlineStr">
        <is>
          <t>NO</t>
        </is>
      </c>
      <c r="E44" t="inlineStr">
        <is>
          <t>Ground Handling / Trip Support</t>
        </is>
      </c>
    </row>
    <row r="45">
      <c r="A45" t="inlineStr">
        <is>
          <t>VCC-0044</t>
        </is>
      </c>
      <c r="B45" t="inlineStr">
        <is>
          <t>VND-040</t>
        </is>
      </c>
      <c r="C45" t="inlineStr">
        <is>
          <t>MZ</t>
        </is>
      </c>
      <c r="D45" t="inlineStr">
        <is>
          <t>NO</t>
        </is>
      </c>
      <c r="E45" t="inlineStr">
        <is>
          <t>Ground Handling / Trip Support</t>
        </is>
      </c>
    </row>
    <row r="46">
      <c r="A46" t="inlineStr">
        <is>
          <t>VCC-0045</t>
        </is>
      </c>
      <c r="B46" t="inlineStr">
        <is>
          <t>VND-012</t>
        </is>
      </c>
      <c r="C46" t="inlineStr">
        <is>
          <t>MZ</t>
        </is>
      </c>
      <c r="D46" t="inlineStr">
        <is>
          <t>NO</t>
        </is>
      </c>
      <c r="E46" t="inlineStr">
        <is>
          <t>Ground Handling / Trip Support</t>
        </is>
      </c>
    </row>
    <row r="47">
      <c r="A47" t="inlineStr">
        <is>
          <t>VCC-0046</t>
        </is>
      </c>
      <c r="B47" t="inlineStr">
        <is>
          <t>VND-041</t>
        </is>
      </c>
      <c r="C47" t="inlineStr">
        <is>
          <t>ZW</t>
        </is>
      </c>
      <c r="D47" t="inlineStr">
        <is>
          <t>NO</t>
        </is>
      </c>
      <c r="E47" t="inlineStr">
        <is>
          <t>Ground Handling / Trip Support</t>
        </is>
      </c>
    </row>
    <row r="48">
      <c r="A48" t="inlineStr">
        <is>
          <t>VCC-0047</t>
        </is>
      </c>
      <c r="B48" t="inlineStr">
        <is>
          <t>VND-042</t>
        </is>
      </c>
      <c r="C48" t="inlineStr">
        <is>
          <t>ZW</t>
        </is>
      </c>
      <c r="D48" t="inlineStr">
        <is>
          <t>NO</t>
        </is>
      </c>
      <c r="E48" t="inlineStr">
        <is>
          <t>Ground Handling / Trip Support</t>
        </is>
      </c>
    </row>
    <row r="49">
      <c r="A49" t="inlineStr">
        <is>
          <t>VCC-0048</t>
        </is>
      </c>
      <c r="B49" t="inlineStr">
        <is>
          <t>VND-043</t>
        </is>
      </c>
      <c r="C49" t="inlineStr">
        <is>
          <t>ZW</t>
        </is>
      </c>
      <c r="D49" t="inlineStr">
        <is>
          <t>NO</t>
        </is>
      </c>
      <c r="E49" t="inlineStr">
        <is>
          <t>Ground Handling / Trip Support</t>
        </is>
      </c>
    </row>
    <row r="50">
      <c r="A50" t="inlineStr">
        <is>
          <t>VCC-0049</t>
        </is>
      </c>
      <c r="B50" t="inlineStr">
        <is>
          <t>VND-044</t>
        </is>
      </c>
      <c r="C50" t="inlineStr">
        <is>
          <t>ZM</t>
        </is>
      </c>
      <c r="D50" t="inlineStr">
        <is>
          <t>NO</t>
        </is>
      </c>
      <c r="E50" t="inlineStr">
        <is>
          <t>Ground Handling / Trip Support</t>
        </is>
      </c>
    </row>
    <row r="51">
      <c r="A51" t="inlineStr">
        <is>
          <t>VCC-0050</t>
        </is>
      </c>
      <c r="B51" t="inlineStr">
        <is>
          <t>VND-039</t>
        </is>
      </c>
      <c r="C51" t="inlineStr">
        <is>
          <t>ZM</t>
        </is>
      </c>
      <c r="D51" t="inlineStr">
        <is>
          <t>NO</t>
        </is>
      </c>
      <c r="E51" t="inlineStr">
        <is>
          <t>Ground Handling / Trip Support</t>
        </is>
      </c>
    </row>
    <row r="52">
      <c r="A52" t="inlineStr">
        <is>
          <t>VCC-0051</t>
        </is>
      </c>
      <c r="B52" t="inlineStr">
        <is>
          <t>VND-045</t>
        </is>
      </c>
      <c r="C52" t="inlineStr">
        <is>
          <t>ZM</t>
        </is>
      </c>
      <c r="D52" t="inlineStr">
        <is>
          <t>NO</t>
        </is>
      </c>
      <c r="E52" t="inlineStr">
        <is>
          <t>Ground Handling / Trip Support</t>
        </is>
      </c>
    </row>
    <row r="53">
      <c r="A53" t="inlineStr">
        <is>
          <t>VCC-0052</t>
        </is>
      </c>
      <c r="B53" t="inlineStr">
        <is>
          <t>VND-008</t>
        </is>
      </c>
      <c r="C53" t="inlineStr">
        <is>
          <t>ZM</t>
        </is>
      </c>
      <c r="D53" t="inlineStr">
        <is>
          <t>NO</t>
        </is>
      </c>
      <c r="E53" t="inlineStr">
        <is>
          <t>Ground Handling / Trip Support</t>
        </is>
      </c>
    </row>
    <row r="54">
      <c r="A54" t="inlineStr">
        <is>
          <t>VCC-0053</t>
        </is>
      </c>
      <c r="B54" t="inlineStr">
        <is>
          <t>VND-012</t>
        </is>
      </c>
      <c r="C54" t="inlineStr">
        <is>
          <t>ZM</t>
        </is>
      </c>
      <c r="D54" t="inlineStr">
        <is>
          <t>NO</t>
        </is>
      </c>
      <c r="E54" t="inlineStr">
        <is>
          <t>Ground Handling / Trip Support</t>
        </is>
      </c>
    </row>
    <row r="55">
      <c r="A55" t="inlineStr">
        <is>
          <t>VCC-0054</t>
        </is>
      </c>
      <c r="B55" t="inlineStr">
        <is>
          <t>VND-046</t>
        </is>
      </c>
      <c r="C55" t="inlineStr">
        <is>
          <t>AO</t>
        </is>
      </c>
      <c r="D55" t="inlineStr">
        <is>
          <t>NO</t>
        </is>
      </c>
      <c r="E55" t="inlineStr">
        <is>
          <t>Ground Handling / Trip Support</t>
        </is>
      </c>
    </row>
    <row r="56">
      <c r="A56" t="inlineStr">
        <is>
          <t>VCC-0055</t>
        </is>
      </c>
      <c r="B56" t="inlineStr">
        <is>
          <t>VND-047</t>
        </is>
      </c>
      <c r="C56" t="inlineStr">
        <is>
          <t>AO</t>
        </is>
      </c>
      <c r="D56" t="inlineStr">
        <is>
          <t>NO</t>
        </is>
      </c>
      <c r="E56" t="inlineStr">
        <is>
          <t>Ground Handling / Trip Support</t>
        </is>
      </c>
    </row>
    <row r="57">
      <c r="A57" t="inlineStr">
        <is>
          <t>VCC-0056</t>
        </is>
      </c>
      <c r="B57" t="inlineStr">
        <is>
          <t>VND-048</t>
        </is>
      </c>
      <c r="C57" t="inlineStr">
        <is>
          <t>AO</t>
        </is>
      </c>
      <c r="D57" t="inlineStr">
        <is>
          <t>NO</t>
        </is>
      </c>
      <c r="E57" t="inlineStr">
        <is>
          <t>Ground Handling / Trip Support</t>
        </is>
      </c>
    </row>
    <row r="58">
      <c r="A58" t="inlineStr">
        <is>
          <t>VCC-0057</t>
        </is>
      </c>
      <c r="B58" t="inlineStr">
        <is>
          <t>VND-049</t>
        </is>
      </c>
      <c r="C58" t="inlineStr">
        <is>
          <t>AO</t>
        </is>
      </c>
      <c r="D58" t="inlineStr">
        <is>
          <t>NO</t>
        </is>
      </c>
      <c r="E58" t="inlineStr">
        <is>
          <t>Ground Handling / Trip Support</t>
        </is>
      </c>
    </row>
    <row r="59">
      <c r="A59" t="inlineStr">
        <is>
          <t>VCC-0058</t>
        </is>
      </c>
      <c r="B59" t="inlineStr">
        <is>
          <t>VND-050</t>
        </is>
      </c>
      <c r="C59" t="inlineStr">
        <is>
          <t>AO</t>
        </is>
      </c>
      <c r="D59" t="inlineStr">
        <is>
          <t>NO</t>
        </is>
      </c>
      <c r="E59" t="inlineStr">
        <is>
          <t>Ground Handling / Trip Support</t>
        </is>
      </c>
    </row>
    <row r="60">
      <c r="A60" t="inlineStr">
        <is>
          <t>VCC-0059</t>
        </is>
      </c>
      <c r="B60" t="inlineStr">
        <is>
          <t>VND-051</t>
        </is>
      </c>
      <c r="C60" t="inlineStr">
        <is>
          <t>GH</t>
        </is>
      </c>
      <c r="D60" t="inlineStr">
        <is>
          <t>NO</t>
        </is>
      </c>
      <c r="E60" t="inlineStr">
        <is>
          <t>Ground Handling / Trip Support</t>
        </is>
      </c>
    </row>
    <row r="61">
      <c r="A61" t="inlineStr">
        <is>
          <t>VCC-0060</t>
        </is>
      </c>
      <c r="B61" t="inlineStr">
        <is>
          <t>VND-039</t>
        </is>
      </c>
      <c r="C61" t="inlineStr">
        <is>
          <t>GH</t>
        </is>
      </c>
      <c r="D61" t="inlineStr">
        <is>
          <t>NO</t>
        </is>
      </c>
      <c r="E61" t="inlineStr">
        <is>
          <t>Ground Handling / Trip Support</t>
        </is>
      </c>
    </row>
    <row r="62">
      <c r="A62" t="inlineStr">
        <is>
          <t>VCC-0061</t>
        </is>
      </c>
      <c r="B62" t="inlineStr">
        <is>
          <t>VND-033</t>
        </is>
      </c>
      <c r="C62" t="inlineStr">
        <is>
          <t>GH</t>
        </is>
      </c>
      <c r="D62" t="inlineStr">
        <is>
          <t>NO</t>
        </is>
      </c>
      <c r="E62" t="inlineStr">
        <is>
          <t>Ground Handling / Trip Support</t>
        </is>
      </c>
    </row>
    <row r="63">
      <c r="A63" t="inlineStr">
        <is>
          <t>VCC-0062</t>
        </is>
      </c>
      <c r="B63" t="inlineStr">
        <is>
          <t>VND-027</t>
        </is>
      </c>
      <c r="C63" t="inlineStr">
        <is>
          <t>GH</t>
        </is>
      </c>
      <c r="D63" t="inlineStr">
        <is>
          <t>NO</t>
        </is>
      </c>
      <c r="E63" t="inlineStr">
        <is>
          <t>Ground Handling / Trip Support</t>
        </is>
      </c>
    </row>
    <row r="64">
      <c r="A64" t="inlineStr">
        <is>
          <t>VCC-0063</t>
        </is>
      </c>
      <c r="B64" t="inlineStr">
        <is>
          <t>VND-052</t>
        </is>
      </c>
      <c r="C64" t="inlineStr">
        <is>
          <t>GH</t>
        </is>
      </c>
      <c r="D64" t="inlineStr">
        <is>
          <t>NO</t>
        </is>
      </c>
      <c r="E64" t="inlineStr">
        <is>
          <t>Ground Handling / Trip Support</t>
        </is>
      </c>
    </row>
    <row r="65">
      <c r="A65" t="inlineStr">
        <is>
          <t>VCC-0064</t>
        </is>
      </c>
      <c r="B65" t="inlineStr">
        <is>
          <t>VND-053</t>
        </is>
      </c>
      <c r="C65" t="inlineStr">
        <is>
          <t>GH</t>
        </is>
      </c>
      <c r="D65" t="inlineStr">
        <is>
          <t>NO</t>
        </is>
      </c>
      <c r="E65" t="inlineStr">
        <is>
          <t>Ground Handling / Trip Support</t>
        </is>
      </c>
    </row>
    <row r="66">
      <c r="A66" t="inlineStr">
        <is>
          <t>VCC-0065</t>
        </is>
      </c>
      <c r="B66" t="inlineStr">
        <is>
          <t>VND-023</t>
        </is>
      </c>
      <c r="C66" t="inlineStr">
        <is>
          <t>GH</t>
        </is>
      </c>
      <c r="D66" t="inlineStr">
        <is>
          <t>NO</t>
        </is>
      </c>
      <c r="E66" t="inlineStr">
        <is>
          <t>Ground Handling / Trip Support</t>
        </is>
      </c>
    </row>
    <row r="67">
      <c r="A67" t="inlineStr">
        <is>
          <t>VCC-0066</t>
        </is>
      </c>
      <c r="B67" t="inlineStr">
        <is>
          <t>VND-054</t>
        </is>
      </c>
      <c r="C67" t="inlineStr">
        <is>
          <t>GH</t>
        </is>
      </c>
      <c r="D67" t="inlineStr">
        <is>
          <t>NO</t>
        </is>
      </c>
      <c r="E67" t="inlineStr">
        <is>
          <t>Ground Handling / Trip Support</t>
        </is>
      </c>
    </row>
    <row r="68">
      <c r="A68" t="inlineStr">
        <is>
          <t>VCC-0067</t>
        </is>
      </c>
      <c r="B68" t="inlineStr">
        <is>
          <t>VND-055</t>
        </is>
      </c>
      <c r="C68" t="inlineStr">
        <is>
          <t>GH</t>
        </is>
      </c>
      <c r="D68" t="inlineStr">
        <is>
          <t>NO</t>
        </is>
      </c>
      <c r="E68" t="inlineStr">
        <is>
          <t>Ground Handling / Trip Support</t>
        </is>
      </c>
    </row>
    <row r="69">
      <c r="A69" t="inlineStr">
        <is>
          <t>VCC-0068</t>
        </is>
      </c>
      <c r="B69" t="inlineStr">
        <is>
          <t>VND-025</t>
        </is>
      </c>
      <c r="C69" t="inlineStr">
        <is>
          <t>GH</t>
        </is>
      </c>
      <c r="D69" t="inlineStr">
        <is>
          <t>NO</t>
        </is>
      </c>
      <c r="E69" t="inlineStr">
        <is>
          <t>Ground Handling / Trip Support</t>
        </is>
      </c>
    </row>
    <row r="70">
      <c r="A70" t="inlineStr">
        <is>
          <t>VCC-0069</t>
        </is>
      </c>
      <c r="B70" t="inlineStr">
        <is>
          <t>VND-056</t>
        </is>
      </c>
      <c r="C70" t="inlineStr">
        <is>
          <t>GH</t>
        </is>
      </c>
      <c r="D70" t="inlineStr">
        <is>
          <t>NO</t>
        </is>
      </c>
      <c r="E70" t="inlineStr">
        <is>
          <t>Ground Handling / Trip Support</t>
        </is>
      </c>
    </row>
    <row r="71">
      <c r="A71" t="inlineStr">
        <is>
          <t>VCC-0070</t>
        </is>
      </c>
      <c r="B71" t="inlineStr">
        <is>
          <t>VND-034</t>
        </is>
      </c>
      <c r="C71" t="inlineStr">
        <is>
          <t>GH</t>
        </is>
      </c>
      <c r="D71" t="inlineStr">
        <is>
          <t>NO</t>
        </is>
      </c>
      <c r="E71" t="inlineStr">
        <is>
          <t>Ground Handling / Trip Support</t>
        </is>
      </c>
    </row>
    <row r="72">
      <c r="A72" t="inlineStr">
        <is>
          <t>VCC-0071</t>
        </is>
      </c>
      <c r="B72" t="inlineStr">
        <is>
          <t>VND-057</t>
        </is>
      </c>
      <c r="C72" t="inlineStr">
        <is>
          <t>GH</t>
        </is>
      </c>
      <c r="D72" t="inlineStr">
        <is>
          <t>NO</t>
        </is>
      </c>
      <c r="E72" t="inlineStr">
        <is>
          <t>Ground Handling / Trip Support</t>
        </is>
      </c>
    </row>
    <row r="73">
      <c r="A73" t="inlineStr">
        <is>
          <t>VCC-0072</t>
        </is>
      </c>
      <c r="B73" t="inlineStr">
        <is>
          <t>VND-028</t>
        </is>
      </c>
      <c r="C73" t="inlineStr">
        <is>
          <t>GH</t>
        </is>
      </c>
      <c r="D73" t="inlineStr">
        <is>
          <t>NO</t>
        </is>
      </c>
      <c r="E73" t="inlineStr">
        <is>
          <t>Ground Handling / Trip Support</t>
        </is>
      </c>
    </row>
    <row r="74">
      <c r="A74" t="inlineStr">
        <is>
          <t>VCC-0073</t>
        </is>
      </c>
      <c r="B74" t="inlineStr">
        <is>
          <t>VND-046</t>
        </is>
      </c>
      <c r="C74" t="inlineStr">
        <is>
          <t>GH</t>
        </is>
      </c>
      <c r="D74" t="inlineStr">
        <is>
          <t>NO</t>
        </is>
      </c>
      <c r="E74" t="inlineStr">
        <is>
          <t>Ground Handling / Trip Support</t>
        </is>
      </c>
    </row>
    <row r="75">
      <c r="A75" t="inlineStr">
        <is>
          <t>VCC-0074</t>
        </is>
      </c>
      <c r="B75" t="inlineStr">
        <is>
          <t>VND-058</t>
        </is>
      </c>
      <c r="C75" t="inlineStr">
        <is>
          <t>GA</t>
        </is>
      </c>
      <c r="D75" t="inlineStr">
        <is>
          <t>NO</t>
        </is>
      </c>
      <c r="E75" t="inlineStr">
        <is>
          <t>Ground Handling / Trip Support</t>
        </is>
      </c>
    </row>
    <row r="76">
      <c r="A76" t="inlineStr">
        <is>
          <t>VCC-0075</t>
        </is>
      </c>
      <c r="B76" t="inlineStr">
        <is>
          <t>VND-059</t>
        </is>
      </c>
      <c r="C76" t="inlineStr">
        <is>
          <t>GA</t>
        </is>
      </c>
      <c r="D76" t="inlineStr">
        <is>
          <t>NO</t>
        </is>
      </c>
      <c r="E76" t="inlineStr">
        <is>
          <t>Ground Handling / Trip Support</t>
        </is>
      </c>
    </row>
    <row r="77">
      <c r="A77" t="inlineStr">
        <is>
          <t>VCC-0076</t>
        </is>
      </c>
      <c r="B77" t="inlineStr">
        <is>
          <t>VND-025</t>
        </is>
      </c>
      <c r="C77" t="inlineStr">
        <is>
          <t>GA</t>
        </is>
      </c>
      <c r="D77" t="inlineStr">
        <is>
          <t>NO</t>
        </is>
      </c>
      <c r="E77" t="inlineStr">
        <is>
          <t>Ground Handling / Trip Support</t>
        </is>
      </c>
    </row>
    <row r="78">
      <c r="A78" t="inlineStr">
        <is>
          <t>VCC-0077</t>
        </is>
      </c>
      <c r="B78" t="inlineStr">
        <is>
          <t>VND-060</t>
        </is>
      </c>
      <c r="C78" t="inlineStr">
        <is>
          <t>GA</t>
        </is>
      </c>
      <c r="D78" t="inlineStr">
        <is>
          <t>NO</t>
        </is>
      </c>
      <c r="E78" t="inlineStr">
        <is>
          <t>Ground Handling / Trip Support</t>
        </is>
      </c>
    </row>
    <row r="79">
      <c r="A79" t="inlineStr">
        <is>
          <t>VCC-0078</t>
        </is>
      </c>
      <c r="B79" t="inlineStr">
        <is>
          <t>VND-039</t>
        </is>
      </c>
      <c r="C79" t="inlineStr">
        <is>
          <t>GA</t>
        </is>
      </c>
      <c r="D79" t="inlineStr">
        <is>
          <t>NO</t>
        </is>
      </c>
      <c r="E79" t="inlineStr">
        <is>
          <t>Ground Handling / Trip Support</t>
        </is>
      </c>
    </row>
    <row r="80">
      <c r="A80" t="inlineStr">
        <is>
          <t>VCC-0079</t>
        </is>
      </c>
      <c r="B80" t="inlineStr">
        <is>
          <t>VND-033</t>
        </is>
      </c>
      <c r="C80" t="inlineStr">
        <is>
          <t>GA</t>
        </is>
      </c>
      <c r="D80" t="inlineStr">
        <is>
          <t>NO</t>
        </is>
      </c>
      <c r="E80" t="inlineStr">
        <is>
          <t>Ground Handling / Trip Support</t>
        </is>
      </c>
    </row>
    <row r="81">
      <c r="A81" t="inlineStr">
        <is>
          <t>VCC-0080</t>
        </is>
      </c>
      <c r="B81" t="inlineStr">
        <is>
          <t>VND-061</t>
        </is>
      </c>
      <c r="C81" t="inlineStr">
        <is>
          <t>BW</t>
        </is>
      </c>
      <c r="D81" t="inlineStr">
        <is>
          <t>NO</t>
        </is>
      </c>
      <c r="E81" t="inlineStr">
        <is>
          <t>Ground Handling / Trip Support</t>
        </is>
      </c>
    </row>
    <row r="82">
      <c r="A82" t="inlineStr">
        <is>
          <t>VCC-0081</t>
        </is>
      </c>
      <c r="B82" t="inlineStr">
        <is>
          <t>VND-039</t>
        </is>
      </c>
      <c r="C82" t="inlineStr">
        <is>
          <t>BW</t>
        </is>
      </c>
      <c r="D82" t="inlineStr">
        <is>
          <t>NO</t>
        </is>
      </c>
      <c r="E82" t="inlineStr">
        <is>
          <t>Ground Handling / Trip Support</t>
        </is>
      </c>
    </row>
    <row r="83">
      <c r="A83" t="inlineStr">
        <is>
          <t>VCC-0082</t>
        </is>
      </c>
      <c r="B83" t="inlineStr">
        <is>
          <t>VND-062</t>
        </is>
      </c>
      <c r="C83" t="inlineStr">
        <is>
          <t>BW</t>
        </is>
      </c>
      <c r="D83" t="inlineStr">
        <is>
          <t>NO</t>
        </is>
      </c>
      <c r="E83" t="inlineStr">
        <is>
          <t>Ground Handling / Trip Support</t>
        </is>
      </c>
    </row>
    <row r="84">
      <c r="A84" t="inlineStr">
        <is>
          <t>VCC-0083</t>
        </is>
      </c>
      <c r="B84" t="inlineStr">
        <is>
          <t>VND-012</t>
        </is>
      </c>
      <c r="C84" t="inlineStr">
        <is>
          <t>NG</t>
        </is>
      </c>
      <c r="D84" t="inlineStr">
        <is>
          <t>NO</t>
        </is>
      </c>
      <c r="E84" t="inlineStr">
        <is>
          <t>Ground Handling / Trip Support</t>
        </is>
      </c>
    </row>
    <row r="85">
      <c r="A85" t="inlineStr">
        <is>
          <t>VCC-0084</t>
        </is>
      </c>
      <c r="B85" t="inlineStr">
        <is>
          <t>VND-055</t>
        </is>
      </c>
      <c r="C85" t="inlineStr">
        <is>
          <t>NG</t>
        </is>
      </c>
      <c r="D85" t="inlineStr">
        <is>
          <t>NO</t>
        </is>
      </c>
      <c r="E85" t="inlineStr">
        <is>
          <t>Ground Handling / Trip Support</t>
        </is>
      </c>
    </row>
    <row r="86">
      <c r="A86" t="inlineStr">
        <is>
          <t>VCC-0085</t>
        </is>
      </c>
      <c r="B86" t="inlineStr">
        <is>
          <t>VND-063</t>
        </is>
      </c>
      <c r="C86" t="inlineStr">
        <is>
          <t>NG</t>
        </is>
      </c>
      <c r="D86" t="inlineStr">
        <is>
          <t>NO</t>
        </is>
      </c>
      <c r="E86" t="inlineStr">
        <is>
          <t>Ground Handling / Trip Support</t>
        </is>
      </c>
    </row>
    <row r="87">
      <c r="A87" t="inlineStr">
        <is>
          <t>VCC-0086</t>
        </is>
      </c>
      <c r="B87" t="inlineStr">
        <is>
          <t>VND-064</t>
        </is>
      </c>
      <c r="C87" t="inlineStr">
        <is>
          <t>NA</t>
        </is>
      </c>
      <c r="D87" t="inlineStr">
        <is>
          <t>NO</t>
        </is>
      </c>
      <c r="E87" t="inlineStr">
        <is>
          <t>Ground Handling / Trip Support</t>
        </is>
      </c>
    </row>
    <row r="88">
      <c r="A88" t="inlineStr">
        <is>
          <t>VCC-0087</t>
        </is>
      </c>
      <c r="B88" t="inlineStr">
        <is>
          <t>VND-065</t>
        </is>
      </c>
      <c r="C88" t="inlineStr">
        <is>
          <t>NA</t>
        </is>
      </c>
      <c r="D88" t="inlineStr">
        <is>
          <t>NO</t>
        </is>
      </c>
      <c r="E88" t="inlineStr">
        <is>
          <t>Ground Handling / Trip Support</t>
        </is>
      </c>
    </row>
    <row r="89">
      <c r="A89" t="inlineStr">
        <is>
          <t>VCC-0088</t>
        </is>
      </c>
      <c r="B89" t="inlineStr">
        <is>
          <t>VND-049</t>
        </is>
      </c>
      <c r="C89" t="inlineStr">
        <is>
          <t>NA</t>
        </is>
      </c>
      <c r="D89" t="inlineStr">
        <is>
          <t>NO</t>
        </is>
      </c>
      <c r="E89" t="inlineStr">
        <is>
          <t>Ground Handling / Trip Support</t>
        </is>
      </c>
    </row>
    <row r="90">
      <c r="A90" t="inlineStr">
        <is>
          <t>VCC-0089</t>
        </is>
      </c>
      <c r="B90" t="inlineStr">
        <is>
          <t>VND-066</t>
        </is>
      </c>
      <c r="C90" t="inlineStr">
        <is>
          <t>NA</t>
        </is>
      </c>
      <c r="D90" t="inlineStr">
        <is>
          <t>NO</t>
        </is>
      </c>
      <c r="E90" t="inlineStr">
        <is>
          <t>Ground Handling / Trip Support</t>
        </is>
      </c>
    </row>
    <row r="91">
      <c r="A91" t="inlineStr">
        <is>
          <t>VCC-0090</t>
        </is>
      </c>
      <c r="B91" t="inlineStr">
        <is>
          <t>VND-067</t>
        </is>
      </c>
      <c r="C91" t="inlineStr">
        <is>
          <t>NA</t>
        </is>
      </c>
      <c r="D91" t="inlineStr">
        <is>
          <t>NO</t>
        </is>
      </c>
      <c r="E91" t="inlineStr">
        <is>
          <t>Ground Handling / Trip Support</t>
        </is>
      </c>
    </row>
    <row r="92">
      <c r="A92" t="inlineStr">
        <is>
          <t>VCC-0091</t>
        </is>
      </c>
      <c r="B92" t="inlineStr">
        <is>
          <t>VND-039</t>
        </is>
      </c>
      <c r="C92" t="inlineStr">
        <is>
          <t>NA</t>
        </is>
      </c>
      <c r="D92" t="inlineStr">
        <is>
          <t>NO</t>
        </is>
      </c>
      <c r="E92" t="inlineStr">
        <is>
          <t>Ground Handling / Trip Support</t>
        </is>
      </c>
    </row>
    <row r="93">
      <c r="A93" t="inlineStr">
        <is>
          <t>VCC-0092</t>
        </is>
      </c>
      <c r="B93" t="inlineStr">
        <is>
          <t>VND-046</t>
        </is>
      </c>
      <c r="C93" t="inlineStr">
        <is>
          <t>NA</t>
        </is>
      </c>
      <c r="D93" t="inlineStr">
        <is>
          <t>NO</t>
        </is>
      </c>
      <c r="E93" t="inlineStr">
        <is>
          <t>Ground Handling / Trip Support</t>
        </is>
      </c>
    </row>
    <row r="94">
      <c r="A94" t="inlineStr">
        <is>
          <t>VCC-0093</t>
        </is>
      </c>
      <c r="B94" t="inlineStr">
        <is>
          <t>VND-068</t>
        </is>
      </c>
      <c r="C94" t="inlineStr">
        <is>
          <t>CD</t>
        </is>
      </c>
      <c r="D94" t="inlineStr">
        <is>
          <t>NO</t>
        </is>
      </c>
      <c r="E94" t="inlineStr">
        <is>
          <t>Ground Handling / Trip Support</t>
        </is>
      </c>
    </row>
    <row r="95">
      <c r="A95" t="inlineStr">
        <is>
          <t>VCC-0094</t>
        </is>
      </c>
      <c r="B95" t="inlineStr">
        <is>
          <t>VND-069</t>
        </is>
      </c>
      <c r="C95" t="inlineStr">
        <is>
          <t>CD</t>
        </is>
      </c>
      <c r="D95" t="inlineStr">
        <is>
          <t>NO</t>
        </is>
      </c>
      <c r="E95" t="inlineStr">
        <is>
          <t>Ground Handling / Trip Support</t>
        </is>
      </c>
    </row>
    <row r="96">
      <c r="A96" t="inlineStr">
        <is>
          <t>VCC-0095</t>
        </is>
      </c>
      <c r="B96" t="inlineStr">
        <is>
          <t>VND-021</t>
        </is>
      </c>
      <c r="C96" t="inlineStr">
        <is>
          <t>CD</t>
        </is>
      </c>
      <c r="D96" t="inlineStr">
        <is>
          <t>NO</t>
        </is>
      </c>
      <c r="E96" t="inlineStr">
        <is>
          <t>Ground Handling / Trip Support</t>
        </is>
      </c>
    </row>
    <row r="97">
      <c r="A97" t="inlineStr">
        <is>
          <t>VCC-0096</t>
        </is>
      </c>
      <c r="B97" t="inlineStr">
        <is>
          <t>VND-012</t>
        </is>
      </c>
      <c r="C97" t="inlineStr">
        <is>
          <t>CD</t>
        </is>
      </c>
      <c r="D97" t="inlineStr">
        <is>
          <t>NO</t>
        </is>
      </c>
      <c r="E97" t="inlineStr">
        <is>
          <t>Ground Handling / Trip Support</t>
        </is>
      </c>
    </row>
    <row r="98">
      <c r="A98" t="inlineStr">
        <is>
          <t>VCC-0097</t>
        </is>
      </c>
      <c r="B98" t="inlineStr">
        <is>
          <t>VND-070</t>
        </is>
      </c>
      <c r="C98" t="inlineStr">
        <is>
          <t>UG</t>
        </is>
      </c>
      <c r="D98" t="inlineStr">
        <is>
          <t>NO</t>
        </is>
      </c>
      <c r="E98" t="inlineStr">
        <is>
          <t>Ground Handling / Trip Support</t>
        </is>
      </c>
    </row>
    <row r="99">
      <c r="A99" t="inlineStr">
        <is>
          <t>VCC-0098</t>
        </is>
      </c>
      <c r="B99" t="inlineStr">
        <is>
          <t>VND-033</t>
        </is>
      </c>
      <c r="C99" t="inlineStr">
        <is>
          <t>UG</t>
        </is>
      </c>
      <c r="D99" t="inlineStr">
        <is>
          <t>NO</t>
        </is>
      </c>
      <c r="E99" t="inlineStr">
        <is>
          <t>Ground Handling / Trip Support</t>
        </is>
      </c>
    </row>
    <row r="100">
      <c r="A100" t="inlineStr">
        <is>
          <t>VCC-0099</t>
        </is>
      </c>
      <c r="B100" t="inlineStr">
        <is>
          <t>VND-071</t>
        </is>
      </c>
      <c r="C100" t="inlineStr">
        <is>
          <t>UG</t>
        </is>
      </c>
      <c r="D100" t="inlineStr">
        <is>
          <t>NO</t>
        </is>
      </c>
      <c r="E100" t="inlineStr">
        <is>
          <t>Ground Handling / Trip Support</t>
        </is>
      </c>
    </row>
    <row r="101">
      <c r="A101" t="inlineStr">
        <is>
          <t>VCC-0100</t>
        </is>
      </c>
      <c r="B101" t="inlineStr">
        <is>
          <t>VND-024</t>
        </is>
      </c>
      <c r="C101" t="inlineStr">
        <is>
          <t>UG</t>
        </is>
      </c>
      <c r="D101" t="inlineStr">
        <is>
          <t>NO</t>
        </is>
      </c>
      <c r="E101" t="inlineStr">
        <is>
          <t>Ground Handling / Trip Support</t>
        </is>
      </c>
    </row>
    <row r="102">
      <c r="A102" t="inlineStr">
        <is>
          <t>VCC-0101</t>
        </is>
      </c>
      <c r="B102" t="inlineStr">
        <is>
          <t>VND-039</t>
        </is>
      </c>
      <c r="C102" t="inlineStr">
        <is>
          <t>UG</t>
        </is>
      </c>
      <c r="D102" t="inlineStr">
        <is>
          <t>NO</t>
        </is>
      </c>
      <c r="E102" t="inlineStr">
        <is>
          <t>Ground Handling / Trip Support</t>
        </is>
      </c>
    </row>
    <row r="103">
      <c r="A103" t="inlineStr">
        <is>
          <t>VCC-0102</t>
        </is>
      </c>
      <c r="B103" t="inlineStr">
        <is>
          <t>VND-025</t>
        </is>
      </c>
      <c r="C103" t="inlineStr">
        <is>
          <t>UG</t>
        </is>
      </c>
      <c r="D103" t="inlineStr">
        <is>
          <t>NO</t>
        </is>
      </c>
      <c r="E103" t="inlineStr">
        <is>
          <t>Ground Handling / Trip Support</t>
        </is>
      </c>
    </row>
    <row r="104">
      <c r="A104" t="inlineStr">
        <is>
          <t>VCC-0103</t>
        </is>
      </c>
      <c r="B104" t="inlineStr">
        <is>
          <t>VND-011</t>
        </is>
      </c>
      <c r="C104" t="inlineStr">
        <is>
          <t>UG</t>
        </is>
      </c>
      <c r="D104" t="inlineStr">
        <is>
          <t>NO</t>
        </is>
      </c>
      <c r="E104" t="inlineStr">
        <is>
          <t>Ground Handling / Trip Support</t>
        </is>
      </c>
    </row>
    <row r="105">
      <c r="A105" t="inlineStr">
        <is>
          <t>VCC-0104</t>
        </is>
      </c>
      <c r="B105" t="inlineStr">
        <is>
          <t>VND-029</t>
        </is>
      </c>
      <c r="C105" t="inlineStr">
        <is>
          <t>KE</t>
        </is>
      </c>
      <c r="D105" t="inlineStr">
        <is>
          <t>NO</t>
        </is>
      </c>
      <c r="E105" t="inlineStr">
        <is>
          <t>Ground Handling / Trip Support</t>
        </is>
      </c>
    </row>
    <row r="106">
      <c r="A106" t="inlineStr">
        <is>
          <t>VCC-0105</t>
        </is>
      </c>
      <c r="B106" t="inlineStr">
        <is>
          <t>VND-072</t>
        </is>
      </c>
      <c r="C106" t="inlineStr">
        <is>
          <t>KE</t>
        </is>
      </c>
      <c r="D106" t="inlineStr">
        <is>
          <t>NO</t>
        </is>
      </c>
      <c r="E106" t="inlineStr">
        <is>
          <t>Ground Handling / Trip Support</t>
        </is>
      </c>
    </row>
    <row r="107">
      <c r="A107" t="inlineStr">
        <is>
          <t>VCC-0106</t>
        </is>
      </c>
      <c r="B107" t="inlineStr">
        <is>
          <t>VND-039</t>
        </is>
      </c>
      <c r="C107" t="inlineStr">
        <is>
          <t>KE</t>
        </is>
      </c>
      <c r="D107" t="inlineStr">
        <is>
          <t>NO</t>
        </is>
      </c>
      <c r="E107" t="inlineStr">
        <is>
          <t>Ground Handling / Trip Support</t>
        </is>
      </c>
    </row>
    <row r="108">
      <c r="A108" t="inlineStr">
        <is>
          <t>VCC-0107</t>
        </is>
      </c>
      <c r="B108" t="inlineStr">
        <is>
          <t>VND-023</t>
        </is>
      </c>
      <c r="C108" t="inlineStr">
        <is>
          <t>KE</t>
        </is>
      </c>
      <c r="D108" t="inlineStr">
        <is>
          <t>NO</t>
        </is>
      </c>
      <c r="E108" t="inlineStr">
        <is>
          <t>Ground Handling / Trip Support</t>
        </is>
      </c>
    </row>
    <row r="109">
      <c r="A109" t="inlineStr">
        <is>
          <t>VCC-0108</t>
        </is>
      </c>
      <c r="B109" t="inlineStr">
        <is>
          <t>VND-073</t>
        </is>
      </c>
      <c r="C109" t="inlineStr">
        <is>
          <t>KE</t>
        </is>
      </c>
      <c r="D109" t="inlineStr">
        <is>
          <t>NO</t>
        </is>
      </c>
      <c r="E109" t="inlineStr">
        <is>
          <t>Ground Handling / Trip Support</t>
        </is>
      </c>
    </row>
    <row r="110">
      <c r="A110" t="inlineStr">
        <is>
          <t>VCC-0109</t>
        </is>
      </c>
      <c r="B110" t="inlineStr">
        <is>
          <t>VND-074</t>
        </is>
      </c>
      <c r="C110" t="inlineStr">
        <is>
          <t>KE</t>
        </is>
      </c>
      <c r="D110" t="inlineStr">
        <is>
          <t>NO</t>
        </is>
      </c>
      <c r="E110" t="inlineStr">
        <is>
          <t>Ground Handling / Trip Support</t>
        </is>
      </c>
    </row>
    <row r="111">
      <c r="A111" t="inlineStr">
        <is>
          <t>VCC-0110</t>
        </is>
      </c>
      <c r="B111" t="inlineStr">
        <is>
          <t>VND-033</t>
        </is>
      </c>
      <c r="C111" t="inlineStr">
        <is>
          <t>SN</t>
        </is>
      </c>
      <c r="D111" t="inlineStr">
        <is>
          <t>NO</t>
        </is>
      </c>
      <c r="E111" t="inlineStr">
        <is>
          <t>Ground Handling / Trip Support</t>
        </is>
      </c>
    </row>
    <row r="112">
      <c r="A112" t="inlineStr">
        <is>
          <t>VCC-0111</t>
        </is>
      </c>
      <c r="B112" t="inlineStr">
        <is>
          <t>VND-039</t>
        </is>
      </c>
      <c r="C112" t="inlineStr">
        <is>
          <t>SN</t>
        </is>
      </c>
      <c r="D112" t="inlineStr">
        <is>
          <t>NO</t>
        </is>
      </c>
      <c r="E112" t="inlineStr">
        <is>
          <t>Ground Handling / Trip Support</t>
        </is>
      </c>
    </row>
    <row r="113">
      <c r="A113" t="inlineStr">
        <is>
          <t>VCC-0112</t>
        </is>
      </c>
      <c r="B113" t="inlineStr">
        <is>
          <t>VND-023</t>
        </is>
      </c>
      <c r="C113" t="inlineStr">
        <is>
          <t>SN</t>
        </is>
      </c>
      <c r="D113" t="inlineStr">
        <is>
          <t>NO</t>
        </is>
      </c>
      <c r="E113" t="inlineStr">
        <is>
          <t>Ground Handling / Trip Support</t>
        </is>
      </c>
    </row>
    <row r="114">
      <c r="A114" t="inlineStr">
        <is>
          <t>VCC-0113</t>
        </is>
      </c>
      <c r="B114" t="inlineStr">
        <is>
          <t>VND-025</t>
        </is>
      </c>
      <c r="C114" t="inlineStr">
        <is>
          <t>SN</t>
        </is>
      </c>
      <c r="D114" t="inlineStr">
        <is>
          <t>NO</t>
        </is>
      </c>
      <c r="E114" t="inlineStr">
        <is>
          <t>Ground Handling / Trip Support</t>
        </is>
      </c>
    </row>
    <row r="115">
      <c r="A115" t="inlineStr">
        <is>
          <t>VCC-0114</t>
        </is>
      </c>
      <c r="B115" t="inlineStr">
        <is>
          <t>VND-075</t>
        </is>
      </c>
      <c r="C115" t="inlineStr">
        <is>
          <t>SN</t>
        </is>
      </c>
      <c r="D115" t="inlineStr">
        <is>
          <t>NO</t>
        </is>
      </c>
      <c r="E115" t="inlineStr">
        <is>
          <t>Ground Handling / Trip Support</t>
        </is>
      </c>
    </row>
    <row r="116">
      <c r="A116" t="inlineStr">
        <is>
          <t>VCC-0115</t>
        </is>
      </c>
      <c r="B116" t="inlineStr">
        <is>
          <t>VND-028</t>
        </is>
      </c>
      <c r="C116" t="inlineStr">
        <is>
          <t>SN</t>
        </is>
      </c>
      <c r="D116" t="inlineStr">
        <is>
          <t>NO</t>
        </is>
      </c>
      <c r="E116" t="inlineStr">
        <is>
          <t>Ground Handling / Trip Support</t>
        </is>
      </c>
    </row>
    <row r="117">
      <c r="A117" t="inlineStr">
        <is>
          <t>VCC-0116</t>
        </is>
      </c>
      <c r="B117" t="inlineStr">
        <is>
          <t>VND-076</t>
        </is>
      </c>
      <c r="C117" t="inlineStr">
        <is>
          <t>SC</t>
        </is>
      </c>
      <c r="D117" t="inlineStr">
        <is>
          <t>NO</t>
        </is>
      </c>
      <c r="E117" t="inlineStr">
        <is>
          <t>Ground Handling / Trip Support</t>
        </is>
      </c>
    </row>
    <row r="118">
      <c r="A118" t="inlineStr">
        <is>
          <t>VCC-0117</t>
        </is>
      </c>
      <c r="B118" t="inlineStr">
        <is>
          <t>VND-033</t>
        </is>
      </c>
      <c r="C118" t="inlineStr">
        <is>
          <t>DZ</t>
        </is>
      </c>
      <c r="D118" t="inlineStr">
        <is>
          <t>NO</t>
        </is>
      </c>
      <c r="E118" t="inlineStr">
        <is>
          <t>Ground Handling / Trip Support</t>
        </is>
      </c>
    </row>
    <row r="119">
      <c r="A119" t="inlineStr">
        <is>
          <t>VCC-0118</t>
        </is>
      </c>
      <c r="B119" t="inlineStr">
        <is>
          <t>VND-027</t>
        </is>
      </c>
      <c r="C119" t="inlineStr">
        <is>
          <t>DZ</t>
        </is>
      </c>
      <c r="D119" t="inlineStr">
        <is>
          <t>NO</t>
        </is>
      </c>
      <c r="E119" t="inlineStr">
        <is>
          <t>Ground Handling / Trip Support</t>
        </is>
      </c>
    </row>
    <row r="120">
      <c r="A120" t="inlineStr">
        <is>
          <t>VCC-0119</t>
        </is>
      </c>
      <c r="B120" t="inlineStr">
        <is>
          <t>VND-039</t>
        </is>
      </c>
      <c r="C120" t="inlineStr">
        <is>
          <t>DZ</t>
        </is>
      </c>
      <c r="D120" t="inlineStr">
        <is>
          <t>NO</t>
        </is>
      </c>
      <c r="E120" t="inlineStr">
        <is>
          <t>Ground Handling / Trip Support</t>
        </is>
      </c>
    </row>
    <row r="121">
      <c r="A121" t="inlineStr">
        <is>
          <t>VCC-0120</t>
        </is>
      </c>
      <c r="B121" t="inlineStr">
        <is>
          <t>VND-051</t>
        </is>
      </c>
      <c r="C121" t="inlineStr">
        <is>
          <t>DZ</t>
        </is>
      </c>
      <c r="D121" t="inlineStr">
        <is>
          <t>NO</t>
        </is>
      </c>
      <c r="E121" t="inlineStr">
        <is>
          <t>Ground Handling / Trip Support</t>
        </is>
      </c>
    </row>
    <row r="122">
      <c r="A122" t="inlineStr">
        <is>
          <t>VCC-0121</t>
        </is>
      </c>
      <c r="B122" t="inlineStr">
        <is>
          <t>VND-028</t>
        </is>
      </c>
      <c r="C122" t="inlineStr">
        <is>
          <t>DZ</t>
        </is>
      </c>
      <c r="D122" t="inlineStr">
        <is>
          <t>NO</t>
        </is>
      </c>
      <c r="E122" t="inlineStr">
        <is>
          <t>Ground Handling / Trip Support</t>
        </is>
      </c>
    </row>
    <row r="123">
      <c r="A123" t="inlineStr">
        <is>
          <t>VCC-0122</t>
        </is>
      </c>
      <c r="B123" t="inlineStr">
        <is>
          <t>VND-077</t>
        </is>
      </c>
      <c r="C123" t="inlineStr">
        <is>
          <t>CI</t>
        </is>
      </c>
      <c r="D123" t="inlineStr">
        <is>
          <t>NO</t>
        </is>
      </c>
      <c r="E123" t="inlineStr">
        <is>
          <t>Ground Handling / Trip Support</t>
        </is>
      </c>
    </row>
    <row r="124">
      <c r="A124" t="inlineStr">
        <is>
          <t>VCC-0123</t>
        </is>
      </c>
      <c r="B124" t="inlineStr">
        <is>
          <t>VND-008</t>
        </is>
      </c>
      <c r="C124" t="inlineStr">
        <is>
          <t>CI</t>
        </is>
      </c>
      <c r="D124" t="inlineStr">
        <is>
          <t>NO</t>
        </is>
      </c>
      <c r="E124" t="inlineStr">
        <is>
          <t>Ground Handling / Trip Support</t>
        </is>
      </c>
    </row>
    <row r="125">
      <c r="A125" t="inlineStr">
        <is>
          <t>VCC-0124</t>
        </is>
      </c>
      <c r="B125" t="inlineStr">
        <is>
          <t>VND-033</t>
        </is>
      </c>
      <c r="C125" t="inlineStr">
        <is>
          <t>CI</t>
        </is>
      </c>
      <c r="D125" t="inlineStr">
        <is>
          <t>NO</t>
        </is>
      </c>
      <c r="E125" t="inlineStr">
        <is>
          <t>Ground Handling / Trip Support</t>
        </is>
      </c>
    </row>
    <row r="126">
      <c r="A126" t="inlineStr">
        <is>
          <t>VCC-0125</t>
        </is>
      </c>
      <c r="B126" t="inlineStr">
        <is>
          <t>VND-078</t>
        </is>
      </c>
      <c r="C126" t="inlineStr">
        <is>
          <t>CI</t>
        </is>
      </c>
      <c r="D126" t="inlineStr">
        <is>
          <t>NO</t>
        </is>
      </c>
      <c r="E126" t="inlineStr">
        <is>
          <t>Ground Handling / Trip Support</t>
        </is>
      </c>
    </row>
    <row r="127">
      <c r="A127" t="inlineStr">
        <is>
          <t>VCC-0126</t>
        </is>
      </c>
      <c r="B127" t="inlineStr">
        <is>
          <t>VND-023</t>
        </is>
      </c>
      <c r="C127" t="inlineStr">
        <is>
          <t>CI</t>
        </is>
      </c>
      <c r="D127" t="inlineStr">
        <is>
          <t>NO</t>
        </is>
      </c>
      <c r="E127" t="inlineStr">
        <is>
          <t>Ground Handling / Trip Support</t>
        </is>
      </c>
    </row>
    <row r="128">
      <c r="A128" t="inlineStr">
        <is>
          <t>VCC-0127</t>
        </is>
      </c>
      <c r="B128" t="inlineStr">
        <is>
          <t>VND-028</t>
        </is>
      </c>
      <c r="C128" t="inlineStr">
        <is>
          <t>CI</t>
        </is>
      </c>
      <c r="D128" t="inlineStr">
        <is>
          <t>NO</t>
        </is>
      </c>
      <c r="E128" t="inlineStr">
        <is>
          <t>Ground Handling / Trip Support</t>
        </is>
      </c>
    </row>
    <row r="129">
      <c r="A129" t="inlineStr">
        <is>
          <t>VCC-0128</t>
        </is>
      </c>
      <c r="B129" t="inlineStr">
        <is>
          <t>VND-039</t>
        </is>
      </c>
      <c r="C129" t="inlineStr">
        <is>
          <t>RW</t>
        </is>
      </c>
      <c r="D129" t="inlineStr">
        <is>
          <t>NO</t>
        </is>
      </c>
      <c r="E129" t="inlineStr">
        <is>
          <t>Ground Handling / Trip Support</t>
        </is>
      </c>
    </row>
    <row r="130">
      <c r="A130" t="inlineStr">
        <is>
          <t>VCC-0129</t>
        </is>
      </c>
      <c r="B130" t="inlineStr">
        <is>
          <t>VND-018</t>
        </is>
      </c>
      <c r="C130" t="inlineStr">
        <is>
          <t>RW</t>
        </is>
      </c>
      <c r="D130" t="inlineStr">
        <is>
          <t>NO</t>
        </is>
      </c>
      <c r="E130" t="inlineStr">
        <is>
          <t>Ground Handling / Trip Support</t>
        </is>
      </c>
    </row>
    <row r="131">
      <c r="A131" t="inlineStr">
        <is>
          <t>VCC-0130</t>
        </is>
      </c>
      <c r="B131" t="inlineStr">
        <is>
          <t>VND-033</t>
        </is>
      </c>
      <c r="C131" t="inlineStr">
        <is>
          <t>RW</t>
        </is>
      </c>
      <c r="D131" t="inlineStr">
        <is>
          <t>NO</t>
        </is>
      </c>
      <c r="E131" t="inlineStr">
        <is>
          <t>Ground Handling / Trip Support</t>
        </is>
      </c>
    </row>
    <row r="132">
      <c r="A132" t="inlineStr">
        <is>
          <t>VCC-0131</t>
        </is>
      </c>
      <c r="B132" t="inlineStr">
        <is>
          <t>VND-023</t>
        </is>
      </c>
      <c r="C132" t="inlineStr">
        <is>
          <t>RW</t>
        </is>
      </c>
      <c r="D132" t="inlineStr">
        <is>
          <t>NO</t>
        </is>
      </c>
      <c r="E132" t="inlineStr">
        <is>
          <t>Ground Handling / Trip Support</t>
        </is>
      </c>
    </row>
    <row r="133">
      <c r="A133" t="inlineStr">
        <is>
          <t>VCC-0132</t>
        </is>
      </c>
      <c r="B133" t="inlineStr">
        <is>
          <t>VND-039</t>
        </is>
      </c>
      <c r="C133" t="inlineStr">
        <is>
          <t>ER</t>
        </is>
      </c>
      <c r="D133" t="inlineStr">
        <is>
          <t>NO</t>
        </is>
      </c>
      <c r="E133" t="inlineStr">
        <is>
          <t>Ground Handling / Trip Support</t>
        </is>
      </c>
    </row>
    <row r="134">
      <c r="A134" t="inlineStr">
        <is>
          <t>VCC-0133</t>
        </is>
      </c>
      <c r="B134" t="inlineStr">
        <is>
          <t>VND-039</t>
        </is>
      </c>
      <c r="C134" t="inlineStr">
        <is>
          <t>KM</t>
        </is>
      </c>
      <c r="D134" t="inlineStr">
        <is>
          <t>NO</t>
        </is>
      </c>
      <c r="E134" t="inlineStr">
        <is>
          <t>Ground Handling / Trip Support</t>
        </is>
      </c>
    </row>
    <row r="135">
      <c r="A135" t="inlineStr">
        <is>
          <t>VCC-0134</t>
        </is>
      </c>
      <c r="B135" t="inlineStr">
        <is>
          <t>VND-079</t>
        </is>
      </c>
      <c r="C135" t="inlineStr">
        <is>
          <t>KM</t>
        </is>
      </c>
      <c r="D135" t="inlineStr">
        <is>
          <t>NO</t>
        </is>
      </c>
      <c r="E135" t="inlineStr">
        <is>
          <t>Ground Handling / Trip Support</t>
        </is>
      </c>
    </row>
    <row r="136">
      <c r="A136" t="inlineStr">
        <is>
          <t>VCC-0135</t>
        </is>
      </c>
      <c r="B136" t="inlineStr">
        <is>
          <t>VND-023</t>
        </is>
      </c>
      <c r="C136" t="inlineStr">
        <is>
          <t>KM</t>
        </is>
      </c>
      <c r="D136" t="inlineStr">
        <is>
          <t>NO</t>
        </is>
      </c>
      <c r="E136" t="inlineStr">
        <is>
          <t>Ground Handling / Trip Support</t>
        </is>
      </c>
    </row>
    <row r="137">
      <c r="A137" t="inlineStr">
        <is>
          <t>VCC-0136</t>
        </is>
      </c>
      <c r="B137" t="inlineStr">
        <is>
          <t>VND-080</t>
        </is>
      </c>
      <c r="C137" t="inlineStr">
        <is>
          <t>SD</t>
        </is>
      </c>
      <c r="D137" t="inlineStr">
        <is>
          <t>NO</t>
        </is>
      </c>
      <c r="E137" t="inlineStr">
        <is>
          <t>Ground Handling / Trip Support</t>
        </is>
      </c>
    </row>
    <row r="138">
      <c r="A138" t="inlineStr">
        <is>
          <t>VCC-0137</t>
        </is>
      </c>
      <c r="B138" t="inlineStr">
        <is>
          <t>VND-039</t>
        </is>
      </c>
      <c r="C138" t="inlineStr">
        <is>
          <t>SD</t>
        </is>
      </c>
      <c r="D138" t="inlineStr">
        <is>
          <t>NO</t>
        </is>
      </c>
      <c r="E138" t="inlineStr">
        <is>
          <t>Ground Handling / Trip Support</t>
        </is>
      </c>
    </row>
    <row r="139">
      <c r="A139" t="inlineStr">
        <is>
          <t>VCC-0138</t>
        </is>
      </c>
      <c r="B139" t="inlineStr">
        <is>
          <t>VND-001</t>
        </is>
      </c>
      <c r="C139" t="inlineStr">
        <is>
          <t>SD</t>
        </is>
      </c>
      <c r="D139" t="inlineStr">
        <is>
          <t>NO</t>
        </is>
      </c>
      <c r="E139" t="inlineStr">
        <is>
          <t>Ground Handling / Trip Support</t>
        </is>
      </c>
    </row>
    <row r="140">
      <c r="A140" t="inlineStr">
        <is>
          <t>VCC-0139</t>
        </is>
      </c>
      <c r="B140" t="inlineStr">
        <is>
          <t>VND-081</t>
        </is>
      </c>
      <c r="C140" t="inlineStr">
        <is>
          <t>MW</t>
        </is>
      </c>
      <c r="D140" t="inlineStr">
        <is>
          <t>NO</t>
        </is>
      </c>
      <c r="E140" t="inlineStr">
        <is>
          <t>Ground Handling / Trip Support</t>
        </is>
      </c>
    </row>
    <row r="141">
      <c r="A141" t="inlineStr">
        <is>
          <t>VCC-0140</t>
        </is>
      </c>
      <c r="B141" t="inlineStr">
        <is>
          <t>VND-039</t>
        </is>
      </c>
      <c r="C141" t="inlineStr">
        <is>
          <t>MW</t>
        </is>
      </c>
      <c r="D141" t="inlineStr">
        <is>
          <t>NO</t>
        </is>
      </c>
      <c r="E141" t="inlineStr">
        <is>
          <t>Ground Handling / Trip Support</t>
        </is>
      </c>
    </row>
    <row r="142">
      <c r="A142" t="inlineStr">
        <is>
          <t>VCC-0141</t>
        </is>
      </c>
      <c r="B142" t="inlineStr">
        <is>
          <t>VND-033</t>
        </is>
      </c>
      <c r="C142" t="inlineStr">
        <is>
          <t>MW</t>
        </is>
      </c>
      <c r="D142" t="inlineStr">
        <is>
          <t>NO</t>
        </is>
      </c>
      <c r="E142" t="inlineStr">
        <is>
          <t>Ground Handling / Trip Support</t>
        </is>
      </c>
    </row>
    <row r="143">
      <c r="A143" t="inlineStr">
        <is>
          <t>VCC-0142</t>
        </is>
      </c>
      <c r="B143" t="inlineStr">
        <is>
          <t>VND-074</t>
        </is>
      </c>
      <c r="C143" t="inlineStr">
        <is>
          <t>ET</t>
        </is>
      </c>
      <c r="D143" t="inlineStr">
        <is>
          <t>NO</t>
        </is>
      </c>
      <c r="E143" t="inlineStr">
        <is>
          <t>Ground Handling / Trip Support</t>
        </is>
      </c>
    </row>
    <row r="144">
      <c r="A144" t="inlineStr">
        <is>
          <t>VCC-0143</t>
        </is>
      </c>
      <c r="B144" t="inlineStr">
        <is>
          <t>VND-039</t>
        </is>
      </c>
      <c r="C144" t="inlineStr">
        <is>
          <t>ET</t>
        </is>
      </c>
      <c r="D144" t="inlineStr">
        <is>
          <t>NO</t>
        </is>
      </c>
      <c r="E144" t="inlineStr">
        <is>
          <t>Ground Handling / Trip Support</t>
        </is>
      </c>
    </row>
    <row r="145">
      <c r="A145" t="inlineStr">
        <is>
          <t>VCC-0144</t>
        </is>
      </c>
      <c r="B145" t="inlineStr">
        <is>
          <t>VND-082</t>
        </is>
      </c>
      <c r="C145" t="inlineStr">
        <is>
          <t>ET</t>
        </is>
      </c>
      <c r="D145" t="inlineStr">
        <is>
          <t>NO</t>
        </is>
      </c>
      <c r="E145" t="inlineStr">
        <is>
          <t>Ground Handling / Trip Support</t>
        </is>
      </c>
    </row>
    <row r="146">
      <c r="A146" t="inlineStr">
        <is>
          <t>VCC-0145</t>
        </is>
      </c>
      <c r="B146" t="inlineStr">
        <is>
          <t>VND-083</t>
        </is>
      </c>
      <c r="C146" t="inlineStr">
        <is>
          <t>ET</t>
        </is>
      </c>
      <c r="D146" t="inlineStr">
        <is>
          <t>NO</t>
        </is>
      </c>
      <c r="E146" t="inlineStr">
        <is>
          <t>Ground Handling / Trip Support</t>
        </is>
      </c>
    </row>
    <row r="147">
      <c r="A147" t="inlineStr">
        <is>
          <t>VCC-0146</t>
        </is>
      </c>
      <c r="B147" t="inlineStr">
        <is>
          <t>VND-084</t>
        </is>
      </c>
      <c r="C147" t="inlineStr">
        <is>
          <t>ET</t>
        </is>
      </c>
      <c r="D147" t="inlineStr">
        <is>
          <t>NO</t>
        </is>
      </c>
      <c r="E147" t="inlineStr">
        <is>
          <t>Ground Handling / Trip Support</t>
        </is>
      </c>
    </row>
    <row r="148">
      <c r="A148" t="inlineStr">
        <is>
          <t>VCC-0147</t>
        </is>
      </c>
      <c r="B148" t="inlineStr">
        <is>
          <t>VND-033</t>
        </is>
      </c>
      <c r="C148" t="inlineStr">
        <is>
          <t>ET</t>
        </is>
      </c>
      <c r="D148" t="inlineStr">
        <is>
          <t>NO</t>
        </is>
      </c>
      <c r="E148" t="inlineStr">
        <is>
          <t>Ground Handling / Trip Support</t>
        </is>
      </c>
    </row>
    <row r="149">
      <c r="A149" t="inlineStr">
        <is>
          <t>VCC-0148</t>
        </is>
      </c>
      <c r="B149" t="inlineStr">
        <is>
          <t>VND-029</t>
        </is>
      </c>
      <c r="C149" t="inlineStr">
        <is>
          <t>SO</t>
        </is>
      </c>
      <c r="D149" t="inlineStr">
        <is>
          <t>NO</t>
        </is>
      </c>
      <c r="E149" t="inlineStr">
        <is>
          <t>Ground Handling / Trip Support</t>
        </is>
      </c>
    </row>
    <row r="150">
      <c r="A150" t="inlineStr">
        <is>
          <t>VCC-0149</t>
        </is>
      </c>
      <c r="B150" t="inlineStr">
        <is>
          <t>VND-085</t>
        </is>
      </c>
      <c r="C150" t="inlineStr">
        <is>
          <t>SO</t>
        </is>
      </c>
      <c r="D150" t="inlineStr">
        <is>
          <t>NO</t>
        </is>
      </c>
      <c r="E150" t="inlineStr">
        <is>
          <t>Ground Handling / Trip Support</t>
        </is>
      </c>
    </row>
    <row r="151">
      <c r="A151" t="inlineStr">
        <is>
          <t>VCC-0150</t>
        </is>
      </c>
      <c r="B151" t="inlineStr">
        <is>
          <t>VND-039</t>
        </is>
      </c>
      <c r="C151" t="inlineStr">
        <is>
          <t>SO</t>
        </is>
      </c>
      <c r="D151" t="inlineStr">
        <is>
          <t>NO</t>
        </is>
      </c>
      <c r="E151" t="inlineStr">
        <is>
          <t>Ground Handling / Trip Support</t>
        </is>
      </c>
    </row>
    <row r="152">
      <c r="A152" t="inlineStr">
        <is>
          <t>VCC-0151</t>
        </is>
      </c>
      <c r="B152" t="inlineStr">
        <is>
          <t>VND-059</t>
        </is>
      </c>
      <c r="C152" t="inlineStr">
        <is>
          <t>CG</t>
        </is>
      </c>
      <c r="D152" t="inlineStr">
        <is>
          <t>NO</t>
        </is>
      </c>
      <c r="E152" t="inlineStr">
        <is>
          <t>Ground Handling / Trip Support</t>
        </is>
      </c>
    </row>
    <row r="153">
      <c r="A153" t="inlineStr">
        <is>
          <t>VCC-0152</t>
        </is>
      </c>
      <c r="B153" t="inlineStr">
        <is>
          <t>VND-069</t>
        </is>
      </c>
      <c r="C153" t="inlineStr">
        <is>
          <t>CG</t>
        </is>
      </c>
      <c r="D153" t="inlineStr">
        <is>
          <t>NO</t>
        </is>
      </c>
      <c r="E153" t="inlineStr">
        <is>
          <t>Ground Handling / Trip Support</t>
        </is>
      </c>
    </row>
    <row r="154">
      <c r="A154" t="inlineStr">
        <is>
          <t>VCC-0153</t>
        </is>
      </c>
      <c r="B154" t="inlineStr">
        <is>
          <t>VND-039</t>
        </is>
      </c>
      <c r="C154" t="inlineStr">
        <is>
          <t>CG</t>
        </is>
      </c>
      <c r="D154" t="inlineStr">
        <is>
          <t>NO</t>
        </is>
      </c>
      <c r="E154" t="inlineStr">
        <is>
          <t>Ground Handling / Trip Support</t>
        </is>
      </c>
    </row>
    <row r="155">
      <c r="A155" t="inlineStr">
        <is>
          <t>VCC-0154</t>
        </is>
      </c>
      <c r="B155" t="inlineStr">
        <is>
          <t>VND-033</t>
        </is>
      </c>
      <c r="C155" t="inlineStr">
        <is>
          <t>CG</t>
        </is>
      </c>
      <c r="D155" t="inlineStr">
        <is>
          <t>NO</t>
        </is>
      </c>
      <c r="E155" t="inlineStr">
        <is>
          <t>Ground Handling / Trip Support</t>
        </is>
      </c>
    </row>
    <row r="156">
      <c r="A156" t="inlineStr">
        <is>
          <t>VCC-0155</t>
        </is>
      </c>
      <c r="B156" t="inlineStr">
        <is>
          <t>VND-086</t>
        </is>
      </c>
      <c r="C156" t="inlineStr">
        <is>
          <t>CG</t>
        </is>
      </c>
      <c r="D156" t="inlineStr">
        <is>
          <t>NO</t>
        </is>
      </c>
      <c r="E156" t="inlineStr">
        <is>
          <t>Ground Handling / Trip Support</t>
        </is>
      </c>
    </row>
    <row r="157">
      <c r="A157" t="inlineStr">
        <is>
          <t>VCC-0156</t>
        </is>
      </c>
      <c r="B157" t="inlineStr">
        <is>
          <t>VND-033</t>
        </is>
      </c>
      <c r="C157" t="inlineStr">
        <is>
          <t>MR</t>
        </is>
      </c>
      <c r="D157" t="inlineStr">
        <is>
          <t>NO</t>
        </is>
      </c>
      <c r="E157" t="inlineStr">
        <is>
          <t>Ground Handling / Trip Support</t>
        </is>
      </c>
    </row>
    <row r="158">
      <c r="A158" t="inlineStr">
        <is>
          <t>VCC-0157</t>
        </is>
      </c>
      <c r="B158" t="inlineStr">
        <is>
          <t>VND-087</t>
        </is>
      </c>
      <c r="C158" t="inlineStr">
        <is>
          <t>MR</t>
        </is>
      </c>
      <c r="D158" t="inlineStr">
        <is>
          <t>NO</t>
        </is>
      </c>
      <c r="E158" t="inlineStr">
        <is>
          <t>Ground Handling / Trip Support</t>
        </is>
      </c>
    </row>
    <row r="159">
      <c r="A159" t="inlineStr">
        <is>
          <t>VCC-0158</t>
        </is>
      </c>
      <c r="B159" t="inlineStr">
        <is>
          <t>VND-058</t>
        </is>
      </c>
      <c r="C159" t="inlineStr">
        <is>
          <t>MR</t>
        </is>
      </c>
      <c r="D159" t="inlineStr">
        <is>
          <t>NO</t>
        </is>
      </c>
      <c r="E159" t="inlineStr">
        <is>
          <t>Ground Handling / Trip Support</t>
        </is>
      </c>
    </row>
    <row r="160">
      <c r="A160" t="inlineStr">
        <is>
          <t>VCC-0159</t>
        </is>
      </c>
      <c r="B160" t="inlineStr">
        <is>
          <t>VND-001</t>
        </is>
      </c>
      <c r="C160" t="inlineStr">
        <is>
          <t>MR</t>
        </is>
      </c>
      <c r="D160" t="inlineStr">
        <is>
          <t>NO</t>
        </is>
      </c>
      <c r="E160" t="inlineStr">
        <is>
          <t>Ground Handling / Trip Support</t>
        </is>
      </c>
    </row>
    <row r="161">
      <c r="A161" t="inlineStr">
        <is>
          <t>VCC-0160</t>
        </is>
      </c>
      <c r="B161" t="inlineStr">
        <is>
          <t>VND-088</t>
        </is>
      </c>
      <c r="C161" t="inlineStr">
        <is>
          <t>MR</t>
        </is>
      </c>
      <c r="D161" t="inlineStr">
        <is>
          <t>NO</t>
        </is>
      </c>
      <c r="E161" t="inlineStr">
        <is>
          <t>Ground Handling / Trip Support</t>
        </is>
      </c>
    </row>
    <row r="162">
      <c r="A162" t="inlineStr">
        <is>
          <t>VCC-0161</t>
        </is>
      </c>
      <c r="B162" t="inlineStr">
        <is>
          <t>VND-028</t>
        </is>
      </c>
      <c r="C162" t="inlineStr">
        <is>
          <t>MR</t>
        </is>
      </c>
      <c r="D162" t="inlineStr">
        <is>
          <t>NO</t>
        </is>
      </c>
      <c r="E162" t="inlineStr">
        <is>
          <t>Ground Handling / Trip Support</t>
        </is>
      </c>
    </row>
    <row r="163">
      <c r="A163" t="inlineStr">
        <is>
          <t>VCC-0162</t>
        </is>
      </c>
      <c r="B163" t="inlineStr">
        <is>
          <t>VND-032</t>
        </is>
      </c>
      <c r="C163" t="inlineStr">
        <is>
          <t>TN</t>
        </is>
      </c>
      <c r="D163" t="inlineStr">
        <is>
          <t>NO</t>
        </is>
      </c>
      <c r="E163" t="inlineStr">
        <is>
          <t>Ground Handling / Trip Support</t>
        </is>
      </c>
    </row>
    <row r="164">
      <c r="A164" t="inlineStr">
        <is>
          <t>VCC-0163</t>
        </is>
      </c>
      <c r="B164" t="inlineStr">
        <is>
          <t>VND-089</t>
        </is>
      </c>
      <c r="C164" t="inlineStr">
        <is>
          <t>TN</t>
        </is>
      </c>
      <c r="D164" t="inlineStr">
        <is>
          <t>NO</t>
        </is>
      </c>
      <c r="E164" t="inlineStr">
        <is>
          <t>Ground Handling / Trip Support</t>
        </is>
      </c>
    </row>
    <row r="165">
      <c r="A165" t="inlineStr">
        <is>
          <t>VCC-0164</t>
        </is>
      </c>
      <c r="B165" t="inlineStr">
        <is>
          <t>VND-033</t>
        </is>
      </c>
      <c r="C165" t="inlineStr">
        <is>
          <t>TN</t>
        </is>
      </c>
      <c r="D165" t="inlineStr">
        <is>
          <t>NO</t>
        </is>
      </c>
      <c r="E165" t="inlineStr">
        <is>
          <t>Ground Handling / Trip Support</t>
        </is>
      </c>
    </row>
    <row r="166">
      <c r="A166" t="inlineStr">
        <is>
          <t>VCC-0165</t>
        </is>
      </c>
      <c r="B166" t="inlineStr">
        <is>
          <t>VND-073</t>
        </is>
      </c>
      <c r="C166" t="inlineStr">
        <is>
          <t>DJ</t>
        </is>
      </c>
      <c r="D166" t="inlineStr">
        <is>
          <t>NO</t>
        </is>
      </c>
      <c r="E166" t="inlineStr">
        <is>
          <t>Ground Handling / Trip Support</t>
        </is>
      </c>
    </row>
    <row r="167">
      <c r="A167" t="inlineStr">
        <is>
          <t>VCC-0166</t>
        </is>
      </c>
      <c r="B167" t="inlineStr">
        <is>
          <t>VND-085</t>
        </is>
      </c>
      <c r="C167" t="inlineStr">
        <is>
          <t>DJ</t>
        </is>
      </c>
      <c r="D167" t="inlineStr">
        <is>
          <t>NO</t>
        </is>
      </c>
      <c r="E167" t="inlineStr">
        <is>
          <t>Ground Handling / Trip Support</t>
        </is>
      </c>
    </row>
    <row r="168">
      <c r="A168" t="inlineStr">
        <is>
          <t>VCC-0167</t>
        </is>
      </c>
      <c r="B168" t="inlineStr">
        <is>
          <t>VND-090</t>
        </is>
      </c>
      <c r="C168" t="inlineStr">
        <is>
          <t>DJ</t>
        </is>
      </c>
      <c r="D168" t="inlineStr">
        <is>
          <t>NO</t>
        </is>
      </c>
      <c r="E168" t="inlineStr">
        <is>
          <t>Ground Handling / Trip Support</t>
        </is>
      </c>
    </row>
    <row r="169">
      <c r="A169" t="inlineStr">
        <is>
          <t>VCC-0168</t>
        </is>
      </c>
      <c r="B169" t="inlineStr">
        <is>
          <t>VND-033</t>
        </is>
      </c>
      <c r="C169" t="inlineStr">
        <is>
          <t>CF</t>
        </is>
      </c>
      <c r="D169" t="inlineStr">
        <is>
          <t>NO</t>
        </is>
      </c>
      <c r="E169" t="inlineStr">
        <is>
          <t>Ground Handling / Trip Support</t>
        </is>
      </c>
    </row>
    <row r="170">
      <c r="A170" t="inlineStr">
        <is>
          <t>VCC-0169</t>
        </is>
      </c>
      <c r="B170" t="inlineStr">
        <is>
          <t>VND-039</t>
        </is>
      </c>
      <c r="C170" t="inlineStr">
        <is>
          <t>CF</t>
        </is>
      </c>
      <c r="D170" t="inlineStr">
        <is>
          <t>NO</t>
        </is>
      </c>
      <c r="E170" t="inlineStr">
        <is>
          <t>Ground Handling / Trip Support</t>
        </is>
      </c>
    </row>
    <row r="171">
      <c r="A171" t="inlineStr">
        <is>
          <t>VCC-0170</t>
        </is>
      </c>
      <c r="B171" t="inlineStr">
        <is>
          <t>VND-023</t>
        </is>
      </c>
      <c r="C171" t="inlineStr">
        <is>
          <t>CF</t>
        </is>
      </c>
      <c r="D171" t="inlineStr">
        <is>
          <t>NO</t>
        </is>
      </c>
      <c r="E171" t="inlineStr">
        <is>
          <t>Ground Handling / Trip Support</t>
        </is>
      </c>
    </row>
    <row r="172">
      <c r="A172" t="inlineStr">
        <is>
          <t>VCC-0171</t>
        </is>
      </c>
      <c r="B172" t="inlineStr">
        <is>
          <t>VND-091</t>
        </is>
      </c>
      <c r="C172" t="inlineStr">
        <is>
          <t>MU</t>
        </is>
      </c>
      <c r="D172" t="inlineStr">
        <is>
          <t>NO</t>
        </is>
      </c>
      <c r="E172" t="inlineStr">
        <is>
          <t>Ground Handling / Trip Support</t>
        </is>
      </c>
    </row>
    <row r="173">
      <c r="A173" t="inlineStr">
        <is>
          <t>VCC-0172</t>
        </is>
      </c>
      <c r="B173" t="inlineStr">
        <is>
          <t>VND-033</t>
        </is>
      </c>
      <c r="C173" t="inlineStr">
        <is>
          <t>SL</t>
        </is>
      </c>
      <c r="D173" t="inlineStr">
        <is>
          <t>NO</t>
        </is>
      </c>
      <c r="E173" t="inlineStr">
        <is>
          <t>Ground Handling / Trip Support</t>
        </is>
      </c>
    </row>
    <row r="174">
      <c r="A174" t="inlineStr">
        <is>
          <t>VCC-0173</t>
        </is>
      </c>
      <c r="B174" t="inlineStr">
        <is>
          <t>VND-025</t>
        </is>
      </c>
      <c r="C174" t="inlineStr">
        <is>
          <t>SL</t>
        </is>
      </c>
      <c r="D174" t="inlineStr">
        <is>
          <t>NO</t>
        </is>
      </c>
      <c r="E174" t="inlineStr">
        <is>
          <t>Ground Handling / Trip Support</t>
        </is>
      </c>
    </row>
    <row r="175">
      <c r="A175" t="inlineStr">
        <is>
          <t>VCC-0174</t>
        </is>
      </c>
      <c r="B175" t="inlineStr">
        <is>
          <t>VND-086</t>
        </is>
      </c>
      <c r="C175" t="inlineStr">
        <is>
          <t>SL</t>
        </is>
      </c>
      <c r="D175" t="inlineStr">
        <is>
          <t>NO</t>
        </is>
      </c>
      <c r="E175" t="inlineStr">
        <is>
          <t>Ground Handling / Trip Support</t>
        </is>
      </c>
    </row>
    <row r="176">
      <c r="A176" t="inlineStr">
        <is>
          <t>VCC-0175</t>
        </is>
      </c>
      <c r="B176" t="inlineStr">
        <is>
          <t>VND-078</t>
        </is>
      </c>
      <c r="C176" t="inlineStr">
        <is>
          <t>ST</t>
        </is>
      </c>
      <c r="D176" t="inlineStr">
        <is>
          <t>NO</t>
        </is>
      </c>
      <c r="E176" t="inlineStr">
        <is>
          <t>Ground Handling / Trip Support</t>
        </is>
      </c>
    </row>
    <row r="177">
      <c r="A177" t="inlineStr">
        <is>
          <t>VCC-0176</t>
        </is>
      </c>
      <c r="B177" t="inlineStr">
        <is>
          <t>VND-039</t>
        </is>
      </c>
      <c r="C177" t="inlineStr">
        <is>
          <t>ST</t>
        </is>
      </c>
      <c r="D177" t="inlineStr">
        <is>
          <t>NO</t>
        </is>
      </c>
      <c r="E177" t="inlineStr">
        <is>
          <t>Ground Handling / Trip Support</t>
        </is>
      </c>
    </row>
    <row r="178">
      <c r="A178" t="inlineStr">
        <is>
          <t>VCC-0177</t>
        </is>
      </c>
      <c r="B178" t="inlineStr">
        <is>
          <t>VND-025</t>
        </is>
      </c>
      <c r="C178" t="inlineStr">
        <is>
          <t>ST</t>
        </is>
      </c>
      <c r="D178" t="inlineStr">
        <is>
          <t>NO</t>
        </is>
      </c>
      <c r="E178" t="inlineStr">
        <is>
          <t>Ground Handling / Trip Support</t>
        </is>
      </c>
    </row>
    <row r="179">
      <c r="A179" t="inlineStr">
        <is>
          <t>VCC-0178</t>
        </is>
      </c>
      <c r="B179" t="inlineStr">
        <is>
          <t>VND-033</t>
        </is>
      </c>
      <c r="C179" t="inlineStr">
        <is>
          <t>GN</t>
        </is>
      </c>
      <c r="D179" t="inlineStr">
        <is>
          <t>NO</t>
        </is>
      </c>
      <c r="E179" t="inlineStr">
        <is>
          <t>Ground Handling / Trip Support</t>
        </is>
      </c>
    </row>
    <row r="180">
      <c r="A180" t="inlineStr">
        <is>
          <t>VCC-0179</t>
        </is>
      </c>
      <c r="B180" t="inlineStr">
        <is>
          <t>VND-092</t>
        </is>
      </c>
      <c r="C180" t="inlineStr">
        <is>
          <t>GN</t>
        </is>
      </c>
      <c r="D180" t="inlineStr">
        <is>
          <t>NO</t>
        </is>
      </c>
      <c r="E180" t="inlineStr">
        <is>
          <t>Ground Handling / Trip Support</t>
        </is>
      </c>
    </row>
    <row r="181">
      <c r="A181" t="inlineStr">
        <is>
          <t>VCC-0180</t>
        </is>
      </c>
      <c r="B181" t="inlineStr">
        <is>
          <t>VND-039</t>
        </is>
      </c>
      <c r="C181" t="inlineStr">
        <is>
          <t>GN</t>
        </is>
      </c>
      <c r="D181" t="inlineStr">
        <is>
          <t>NO</t>
        </is>
      </c>
      <c r="E181" t="inlineStr">
        <is>
          <t>Ground Handling / Trip Support</t>
        </is>
      </c>
    </row>
    <row r="182">
      <c r="A182" t="inlineStr">
        <is>
          <t>VCC-0181</t>
        </is>
      </c>
      <c r="B182" t="inlineStr">
        <is>
          <t>VND-033</t>
        </is>
      </c>
      <c r="C182" t="inlineStr">
        <is>
          <t>NE</t>
        </is>
      </c>
      <c r="D182" t="inlineStr">
        <is>
          <t>NO</t>
        </is>
      </c>
      <c r="E182" t="inlineStr">
        <is>
          <t>Ground Handling / Trip Support</t>
        </is>
      </c>
    </row>
    <row r="183">
      <c r="A183" t="inlineStr">
        <is>
          <t>VCC-0182</t>
        </is>
      </c>
      <c r="B183" t="inlineStr">
        <is>
          <t>VND-028</t>
        </is>
      </c>
      <c r="C183" t="inlineStr">
        <is>
          <t>NE</t>
        </is>
      </c>
      <c r="D183" t="inlineStr">
        <is>
          <t>NO</t>
        </is>
      </c>
      <c r="E183" t="inlineStr">
        <is>
          <t>Ground Handling / Trip Support</t>
        </is>
      </c>
    </row>
    <row r="184">
      <c r="A184" t="inlineStr">
        <is>
          <t>VCC-0183</t>
        </is>
      </c>
      <c r="B184" t="inlineStr">
        <is>
          <t>VND-033</t>
        </is>
      </c>
      <c r="C184" t="inlineStr">
        <is>
          <t>LR</t>
        </is>
      </c>
      <c r="D184" t="inlineStr">
        <is>
          <t>NO</t>
        </is>
      </c>
      <c r="E184" t="inlineStr">
        <is>
          <t>Ground Handling / Trip Support</t>
        </is>
      </c>
    </row>
    <row r="185">
      <c r="A185" t="inlineStr">
        <is>
          <t>VCC-0184</t>
        </is>
      </c>
      <c r="B185" t="inlineStr">
        <is>
          <t>VND-093</t>
        </is>
      </c>
      <c r="C185" t="inlineStr">
        <is>
          <t>LR</t>
        </is>
      </c>
      <c r="D185" t="inlineStr">
        <is>
          <t>NO</t>
        </is>
      </c>
      <c r="E185" t="inlineStr">
        <is>
          <t>Ground Handling / Trip Support</t>
        </is>
      </c>
    </row>
    <row r="186">
      <c r="A186" t="inlineStr">
        <is>
          <t>VCC-0185</t>
        </is>
      </c>
      <c r="B186" t="inlineStr">
        <is>
          <t>VND-025</t>
        </is>
      </c>
      <c r="C186" t="inlineStr">
        <is>
          <t>LR</t>
        </is>
      </c>
      <c r="D186" t="inlineStr">
        <is>
          <t>NO</t>
        </is>
      </c>
      <c r="E186" t="inlineStr">
        <is>
          <t>Ground Handling / Trip Support</t>
        </is>
      </c>
    </row>
    <row r="187">
      <c r="A187" t="inlineStr">
        <is>
          <t>VCC-0186</t>
        </is>
      </c>
      <c r="B187" t="inlineStr">
        <is>
          <t>VND-094</t>
        </is>
      </c>
      <c r="C187" t="inlineStr">
        <is>
          <t>CM</t>
        </is>
      </c>
      <c r="D187" t="inlineStr">
        <is>
          <t>NO</t>
        </is>
      </c>
      <c r="E187" t="inlineStr">
        <is>
          <t>Ground Handling / Trip Support</t>
        </is>
      </c>
    </row>
    <row r="188">
      <c r="A188" t="inlineStr">
        <is>
          <t>VCC-0187</t>
        </is>
      </c>
      <c r="B188" t="inlineStr">
        <is>
          <t>VND-039</t>
        </is>
      </c>
      <c r="C188" t="inlineStr">
        <is>
          <t>CM</t>
        </is>
      </c>
      <c r="D188" t="inlineStr">
        <is>
          <t>NO</t>
        </is>
      </c>
      <c r="E188" t="inlineStr">
        <is>
          <t>Ground Handling / Trip Support</t>
        </is>
      </c>
    </row>
    <row r="189">
      <c r="A189" t="inlineStr">
        <is>
          <t>VCC-0188</t>
        </is>
      </c>
      <c r="B189" t="inlineStr">
        <is>
          <t>VND-033</t>
        </is>
      </c>
      <c r="C189" t="inlineStr">
        <is>
          <t>CM</t>
        </is>
      </c>
      <c r="D189" t="inlineStr">
        <is>
          <t>NO</t>
        </is>
      </c>
      <c r="E189" t="inlineStr">
        <is>
          <t>Ground Handling / Trip Support</t>
        </is>
      </c>
    </row>
    <row r="190">
      <c r="A190" t="inlineStr">
        <is>
          <t>VCC-0189</t>
        </is>
      </c>
      <c r="B190" t="inlineStr">
        <is>
          <t>VND-025</t>
        </is>
      </c>
      <c r="C190" t="inlineStr">
        <is>
          <t>CM</t>
        </is>
      </c>
      <c r="D190" t="inlineStr">
        <is>
          <t>NO</t>
        </is>
      </c>
      <c r="E190" t="inlineStr">
        <is>
          <t>Ground Handling / Trip Support</t>
        </is>
      </c>
    </row>
    <row r="191">
      <c r="A191" t="inlineStr">
        <is>
          <t>VCC-0190</t>
        </is>
      </c>
      <c r="B191" t="inlineStr">
        <is>
          <t>VND-028</t>
        </is>
      </c>
      <c r="C191" t="inlineStr">
        <is>
          <t>CM</t>
        </is>
      </c>
      <c r="D191" t="inlineStr">
        <is>
          <t>NO</t>
        </is>
      </c>
      <c r="E191" t="inlineStr">
        <is>
          <t>Ground Handling / Trip Support</t>
        </is>
      </c>
    </row>
    <row r="192">
      <c r="A192" t="inlineStr">
        <is>
          <t>VCC-0191</t>
        </is>
      </c>
      <c r="B192" t="inlineStr">
        <is>
          <t>VND-033</t>
        </is>
      </c>
      <c r="C192" t="inlineStr">
        <is>
          <t>TD</t>
        </is>
      </c>
      <c r="D192" t="inlineStr">
        <is>
          <t>NO</t>
        </is>
      </c>
      <c r="E192" t="inlineStr">
        <is>
          <t>Ground Handling / Trip Support</t>
        </is>
      </c>
    </row>
    <row r="193">
      <c r="A193" t="inlineStr">
        <is>
          <t>VCC-0192</t>
        </is>
      </c>
      <c r="B193" t="inlineStr">
        <is>
          <t>VND-025</t>
        </is>
      </c>
      <c r="C193" t="inlineStr">
        <is>
          <t>BF</t>
        </is>
      </c>
      <c r="D193" t="inlineStr">
        <is>
          <t>NO</t>
        </is>
      </c>
      <c r="E193" t="inlineStr">
        <is>
          <t>Ground Handling / Trip Support</t>
        </is>
      </c>
    </row>
    <row r="194">
      <c r="A194" t="inlineStr">
        <is>
          <t>VCC-0193</t>
        </is>
      </c>
      <c r="B194" t="inlineStr">
        <is>
          <t>VND-095</t>
        </is>
      </c>
      <c r="C194" t="inlineStr">
        <is>
          <t>BF</t>
        </is>
      </c>
      <c r="D194" t="inlineStr">
        <is>
          <t>NO</t>
        </is>
      </c>
      <c r="E194" t="inlineStr">
        <is>
          <t>Ground Handling / Trip Support</t>
        </is>
      </c>
    </row>
    <row r="195">
      <c r="A195" t="inlineStr">
        <is>
          <t>VCC-0194</t>
        </is>
      </c>
      <c r="B195" t="inlineStr">
        <is>
          <t>VND-033</t>
        </is>
      </c>
      <c r="C195" t="inlineStr">
        <is>
          <t>GW</t>
        </is>
      </c>
      <c r="D195" t="inlineStr">
        <is>
          <t>NO</t>
        </is>
      </c>
      <c r="E195" t="inlineStr">
        <is>
          <t>Ground Handling / Trip Support</t>
        </is>
      </c>
    </row>
    <row r="196">
      <c r="A196" t="inlineStr">
        <is>
          <t>VCC-0195</t>
        </is>
      </c>
      <c r="B196" t="inlineStr">
        <is>
          <t>VND-039</t>
        </is>
      </c>
      <c r="C196" t="inlineStr">
        <is>
          <t>GW</t>
        </is>
      </c>
      <c r="D196" t="inlineStr">
        <is>
          <t>NO</t>
        </is>
      </c>
      <c r="E196" t="inlineStr">
        <is>
          <t>Ground Handling / Trip Support</t>
        </is>
      </c>
    </row>
    <row r="197">
      <c r="A197" t="inlineStr">
        <is>
          <t>VCC-0196</t>
        </is>
      </c>
      <c r="B197" t="inlineStr">
        <is>
          <t>VND-008</t>
        </is>
      </c>
      <c r="C197" t="inlineStr">
        <is>
          <t>GW</t>
        </is>
      </c>
      <c r="D197" t="inlineStr">
        <is>
          <t>NO</t>
        </is>
      </c>
      <c r="E197" t="inlineStr">
        <is>
          <t>Ground Handling / Trip Support</t>
        </is>
      </c>
    </row>
    <row r="198">
      <c r="A198" t="inlineStr">
        <is>
          <t>VCC-0197</t>
        </is>
      </c>
      <c r="B198" t="inlineStr">
        <is>
          <t>VND-096</t>
        </is>
      </c>
      <c r="C198" t="inlineStr">
        <is>
          <t>SZ</t>
        </is>
      </c>
      <c r="D198" t="inlineStr">
        <is>
          <t>NO</t>
        </is>
      </c>
      <c r="E198" t="inlineStr">
        <is>
          <t>Ground Handling / Trip Support</t>
        </is>
      </c>
    </row>
    <row r="199">
      <c r="A199" t="inlineStr">
        <is>
          <t>VCC-0198</t>
        </is>
      </c>
      <c r="B199" t="inlineStr">
        <is>
          <t>VND-039</t>
        </is>
      </c>
      <c r="C199" t="inlineStr">
        <is>
          <t>SZ</t>
        </is>
      </c>
      <c r="D199" t="inlineStr">
        <is>
          <t>NO</t>
        </is>
      </c>
      <c r="E199" t="inlineStr">
        <is>
          <t>Ground Handling / Trip Support</t>
        </is>
      </c>
    </row>
    <row r="200">
      <c r="A200" t="inlineStr">
        <is>
          <t>VCC-0199</t>
        </is>
      </c>
      <c r="B200" t="inlineStr">
        <is>
          <t>VND-033</t>
        </is>
      </c>
      <c r="C200" t="inlineStr">
        <is>
          <t>GQ</t>
        </is>
      </c>
      <c r="D200" t="inlineStr">
        <is>
          <t>NO</t>
        </is>
      </c>
      <c r="E200" t="inlineStr">
        <is>
          <t>Ground Handling / Trip Support</t>
        </is>
      </c>
    </row>
    <row r="201">
      <c r="A201" t="inlineStr">
        <is>
          <t>VCC-0200</t>
        </is>
      </c>
      <c r="B201" t="inlineStr">
        <is>
          <t>VND-039</t>
        </is>
      </c>
      <c r="C201" t="inlineStr">
        <is>
          <t>GQ</t>
        </is>
      </c>
      <c r="D201" t="inlineStr">
        <is>
          <t>NO</t>
        </is>
      </c>
      <c r="E201" t="inlineStr">
        <is>
          <t>Ground Handling / Trip Support</t>
        </is>
      </c>
    </row>
    <row r="202">
      <c r="A202" t="inlineStr">
        <is>
          <t>VCC-0201</t>
        </is>
      </c>
      <c r="B202" t="inlineStr">
        <is>
          <t>VND-039</t>
        </is>
      </c>
      <c r="C202" t="inlineStr">
        <is>
          <t>GM</t>
        </is>
      </c>
      <c r="D202" t="inlineStr">
        <is>
          <t>NO</t>
        </is>
      </c>
      <c r="E202" t="inlineStr">
        <is>
          <t>Ground Handling / Trip Support</t>
        </is>
      </c>
    </row>
    <row r="203">
      <c r="A203" t="inlineStr">
        <is>
          <t>VCC-0202</t>
        </is>
      </c>
      <c r="B203" t="inlineStr">
        <is>
          <t>VND-033</t>
        </is>
      </c>
      <c r="C203" t="inlineStr">
        <is>
          <t>GM</t>
        </is>
      </c>
      <c r="D203" t="inlineStr">
        <is>
          <t>NO</t>
        </is>
      </c>
      <c r="E203" t="inlineStr">
        <is>
          <t>Ground Handling / Trip Support</t>
        </is>
      </c>
    </row>
    <row r="204">
      <c r="A204" t="inlineStr">
        <is>
          <t>VCC-0203</t>
        </is>
      </c>
      <c r="B204" t="inlineStr">
        <is>
          <t>VND-097</t>
        </is>
      </c>
      <c r="C204" t="inlineStr">
        <is>
          <t>ML</t>
        </is>
      </c>
      <c r="D204" t="inlineStr">
        <is>
          <t>NO</t>
        </is>
      </c>
      <c r="E204" t="inlineStr">
        <is>
          <t>Ground Handling / Trip Support</t>
        </is>
      </c>
    </row>
    <row r="205">
      <c r="A205" t="inlineStr">
        <is>
          <t>VCC-0204</t>
        </is>
      </c>
      <c r="B205" t="inlineStr">
        <is>
          <t>VND-001</t>
        </is>
      </c>
      <c r="C205" t="inlineStr">
        <is>
          <t>SS</t>
        </is>
      </c>
      <c r="D205" t="inlineStr">
        <is>
          <t>NO</t>
        </is>
      </c>
      <c r="E205" t="inlineStr">
        <is>
          <t>Ground Handling / Trip Support</t>
        </is>
      </c>
    </row>
    <row r="206">
      <c r="A206" t="inlineStr">
        <is>
          <t>VCC-0205</t>
        </is>
      </c>
      <c r="B206" t="inlineStr">
        <is>
          <t>VND-033</t>
        </is>
      </c>
      <c r="C206" t="inlineStr">
        <is>
          <t>TG</t>
        </is>
      </c>
      <c r="D206" t="inlineStr">
        <is>
          <t>NO</t>
        </is>
      </c>
      <c r="E206" t="inlineStr">
        <is>
          <t>Ground Handling / Trip Support</t>
        </is>
      </c>
    </row>
    <row r="207">
      <c r="A207" t="inlineStr">
        <is>
          <t>VCC-0206</t>
        </is>
      </c>
      <c r="B207" t="inlineStr">
        <is>
          <t>VND-025</t>
        </is>
      </c>
      <c r="C207" t="inlineStr">
        <is>
          <t>TG</t>
        </is>
      </c>
      <c r="D207" t="inlineStr">
        <is>
          <t>NO</t>
        </is>
      </c>
      <c r="E207" t="inlineStr">
        <is>
          <t>Ground Handling / Trip Support</t>
        </is>
      </c>
    </row>
    <row r="208">
      <c r="A208" t="inlineStr">
        <is>
          <t>VCC-0207</t>
        </is>
      </c>
      <c r="B208" t="inlineStr">
        <is>
          <t>VND-033</t>
        </is>
      </c>
      <c r="C208" t="inlineStr">
        <is>
          <t>BJ</t>
        </is>
      </c>
      <c r="D208" t="inlineStr">
        <is>
          <t>NO</t>
        </is>
      </c>
      <c r="E208" t="inlineStr">
        <is>
          <t>Ground Handling / Trip Support</t>
        </is>
      </c>
    </row>
    <row r="209">
      <c r="A209" t="inlineStr">
        <is>
          <t>VCC-0208</t>
        </is>
      </c>
      <c r="B209" t="inlineStr">
        <is>
          <t>VND-028</t>
        </is>
      </c>
      <c r="C209" t="inlineStr">
        <is>
          <t>BJ</t>
        </is>
      </c>
      <c r="D209" t="inlineStr">
        <is>
          <t>NO</t>
        </is>
      </c>
      <c r="E209" t="inlineStr">
        <is>
          <t>Ground Handling / Trip Support</t>
        </is>
      </c>
    </row>
    <row r="210">
      <c r="A210" t="inlineStr">
        <is>
          <t>VCC-0209</t>
        </is>
      </c>
      <c r="B210" t="inlineStr">
        <is>
          <t>VND-033</t>
        </is>
      </c>
      <c r="C210" t="inlineStr">
        <is>
          <t>BI</t>
        </is>
      </c>
      <c r="D210" t="inlineStr">
        <is>
          <t>NO</t>
        </is>
      </c>
      <c r="E210" t="inlineStr">
        <is>
          <t>Ground Handling / Trip Support</t>
        </is>
      </c>
    </row>
    <row r="211">
      <c r="A211" t="inlineStr">
        <is>
          <t>VCC-0210</t>
        </is>
      </c>
      <c r="B211" t="inlineStr">
        <is>
          <t>VND-009</t>
        </is>
      </c>
      <c r="C211" t="inlineStr">
        <is>
          <t>SA</t>
        </is>
      </c>
      <c r="D211" t="inlineStr">
        <is>
          <t>NO</t>
        </is>
      </c>
      <c r="E211" t="inlineStr">
        <is>
          <t>Ground Handling / Trip Support</t>
        </is>
      </c>
    </row>
    <row r="212">
      <c r="A212" t="inlineStr">
        <is>
          <t>VCC-0211</t>
        </is>
      </c>
      <c r="B212" t="inlineStr">
        <is>
          <t>VND-098</t>
        </is>
      </c>
      <c r="C212" t="inlineStr">
        <is>
          <t>SA</t>
        </is>
      </c>
      <c r="D212" t="inlineStr">
        <is>
          <t>NO</t>
        </is>
      </c>
      <c r="E212" t="inlineStr">
        <is>
          <t>Ground Handling / Trip Support</t>
        </is>
      </c>
    </row>
    <row r="213">
      <c r="A213" t="inlineStr">
        <is>
          <t>VCC-0212</t>
        </is>
      </c>
      <c r="B213" t="inlineStr">
        <is>
          <t>VND-008</t>
        </is>
      </c>
      <c r="C213" t="inlineStr">
        <is>
          <t>SA</t>
        </is>
      </c>
      <c r="D213" t="inlineStr">
        <is>
          <t>NO</t>
        </is>
      </c>
      <c r="E213" t="inlineStr">
        <is>
          <t>Ground Handling / Trip Support</t>
        </is>
      </c>
    </row>
    <row r="214">
      <c r="A214" t="inlineStr">
        <is>
          <t>VCC-0213</t>
        </is>
      </c>
      <c r="B214" t="inlineStr">
        <is>
          <t>VND-099</t>
        </is>
      </c>
      <c r="C214" t="inlineStr">
        <is>
          <t>SA</t>
        </is>
      </c>
      <c r="D214" t="inlineStr">
        <is>
          <t>NO</t>
        </is>
      </c>
      <c r="E214" t="inlineStr">
        <is>
          <t>Ground Handling / Trip Support</t>
        </is>
      </c>
    </row>
    <row r="215">
      <c r="A215" t="inlineStr">
        <is>
          <t>VCC-0214</t>
        </is>
      </c>
      <c r="B215" t="inlineStr">
        <is>
          <t>VND-007</t>
        </is>
      </c>
      <c r="C215" t="inlineStr">
        <is>
          <t>SA</t>
        </is>
      </c>
      <c r="D215" t="inlineStr">
        <is>
          <t>NO</t>
        </is>
      </c>
      <c r="E215" t="inlineStr">
        <is>
          <t>Ground Handling / Trip Support</t>
        </is>
      </c>
    </row>
    <row r="216">
      <c r="A216" t="inlineStr">
        <is>
          <t>VCC-0215</t>
        </is>
      </c>
      <c r="B216" t="inlineStr">
        <is>
          <t>VND-100</t>
        </is>
      </c>
      <c r="C216" t="inlineStr">
        <is>
          <t>SA</t>
        </is>
      </c>
      <c r="D216" t="inlineStr">
        <is>
          <t>NO</t>
        </is>
      </c>
      <c r="E216" t="inlineStr">
        <is>
          <t>Ground Handling / Trip Support</t>
        </is>
      </c>
    </row>
    <row r="217">
      <c r="A217" t="inlineStr">
        <is>
          <t>VCC-0216</t>
        </is>
      </c>
      <c r="B217" t="inlineStr">
        <is>
          <t>VND-025</t>
        </is>
      </c>
      <c r="C217" t="inlineStr">
        <is>
          <t>SA</t>
        </is>
      </c>
      <c r="D217" t="inlineStr">
        <is>
          <t>NO</t>
        </is>
      </c>
      <c r="E217" t="inlineStr">
        <is>
          <t>Ground Handling / Trip Support</t>
        </is>
      </c>
    </row>
    <row r="218">
      <c r="A218" t="inlineStr">
        <is>
          <t>VCC-0217</t>
        </is>
      </c>
      <c r="B218" t="inlineStr">
        <is>
          <t>VND-101</t>
        </is>
      </c>
      <c r="C218" t="inlineStr">
        <is>
          <t>SA</t>
        </is>
      </c>
      <c r="D218" t="inlineStr">
        <is>
          <t>NO</t>
        </is>
      </c>
      <c r="E218" t="inlineStr">
        <is>
          <t>Ground Handling / Trip Support</t>
        </is>
      </c>
    </row>
    <row r="219">
      <c r="A219" t="inlineStr">
        <is>
          <t>VCC-0218</t>
        </is>
      </c>
      <c r="B219" t="inlineStr">
        <is>
          <t>VND-012</t>
        </is>
      </c>
      <c r="C219" t="inlineStr">
        <is>
          <t>SA</t>
        </is>
      </c>
      <c r="D219" t="inlineStr">
        <is>
          <t>NO</t>
        </is>
      </c>
      <c r="E219" t="inlineStr">
        <is>
          <t>Ground Handling / Trip Support</t>
        </is>
      </c>
    </row>
    <row r="220">
      <c r="A220" t="inlineStr">
        <is>
          <t>VCC-0219</t>
        </is>
      </c>
      <c r="B220" t="inlineStr">
        <is>
          <t>VND-102</t>
        </is>
      </c>
      <c r="C220" t="inlineStr">
        <is>
          <t>SA</t>
        </is>
      </c>
      <c r="D220" t="inlineStr">
        <is>
          <t>NO</t>
        </is>
      </c>
      <c r="E220" t="inlineStr">
        <is>
          <t>Ground Handling / Trip Support</t>
        </is>
      </c>
    </row>
    <row r="221">
      <c r="A221" t="inlineStr">
        <is>
          <t>VCC-0220</t>
        </is>
      </c>
      <c r="B221" t="inlineStr">
        <is>
          <t>VND-001</t>
        </is>
      </c>
      <c r="C221" t="inlineStr">
        <is>
          <t>SA</t>
        </is>
      </c>
      <c r="D221" t="inlineStr">
        <is>
          <t>NO</t>
        </is>
      </c>
      <c r="E221" t="inlineStr">
        <is>
          <t>Ground Handling / Trip Support</t>
        </is>
      </c>
    </row>
    <row r="222">
      <c r="A222" t="inlineStr">
        <is>
          <t>VCC-0221</t>
        </is>
      </c>
      <c r="B222" t="inlineStr">
        <is>
          <t>VND-008</t>
        </is>
      </c>
      <c r="C222" t="inlineStr">
        <is>
          <t>AE</t>
        </is>
      </c>
      <c r="D222" t="inlineStr">
        <is>
          <t>NO</t>
        </is>
      </c>
      <c r="E222" t="inlineStr">
        <is>
          <t>Ground Handling / Trip Support</t>
        </is>
      </c>
    </row>
    <row r="223">
      <c r="A223" t="inlineStr">
        <is>
          <t>VCC-0222</t>
        </is>
      </c>
      <c r="B223" t="inlineStr">
        <is>
          <t>VND-009</t>
        </is>
      </c>
      <c r="C223" t="inlineStr">
        <is>
          <t>AE</t>
        </is>
      </c>
      <c r="D223" t="inlineStr">
        <is>
          <t>NO</t>
        </is>
      </c>
      <c r="E223" t="inlineStr">
        <is>
          <t>Ground Handling / Trip Support</t>
        </is>
      </c>
    </row>
    <row r="224">
      <c r="A224" t="inlineStr">
        <is>
          <t>VCC-0223</t>
        </is>
      </c>
      <c r="B224" t="inlineStr">
        <is>
          <t>VND-012</t>
        </is>
      </c>
      <c r="C224" t="inlineStr">
        <is>
          <t>AE</t>
        </is>
      </c>
      <c r="D224" t="inlineStr">
        <is>
          <t>NO</t>
        </is>
      </c>
      <c r="E224" t="inlineStr">
        <is>
          <t>Ground Handling / Trip Support</t>
        </is>
      </c>
    </row>
    <row r="225">
      <c r="A225" t="inlineStr">
        <is>
          <t>VCC-0224</t>
        </is>
      </c>
      <c r="B225" t="inlineStr">
        <is>
          <t>VND-103</t>
        </is>
      </c>
      <c r="C225" t="inlineStr">
        <is>
          <t>AE</t>
        </is>
      </c>
      <c r="D225" t="inlineStr">
        <is>
          <t>NO</t>
        </is>
      </c>
      <c r="E225" t="inlineStr">
        <is>
          <t>Ground Handling / Trip Support</t>
        </is>
      </c>
    </row>
    <row r="226">
      <c r="A226" t="inlineStr">
        <is>
          <t>VCC-0225</t>
        </is>
      </c>
      <c r="B226" t="inlineStr">
        <is>
          <t>VND-083</t>
        </is>
      </c>
      <c r="C226" t="inlineStr">
        <is>
          <t>AE</t>
        </is>
      </c>
      <c r="D226" t="inlineStr">
        <is>
          <t>NO</t>
        </is>
      </c>
      <c r="E226" t="inlineStr">
        <is>
          <t>Ground Handling / Trip Support</t>
        </is>
      </c>
    </row>
    <row r="227">
      <c r="A227" t="inlineStr">
        <is>
          <t>VCC-0226</t>
        </is>
      </c>
      <c r="B227" t="inlineStr">
        <is>
          <t>VND-104</t>
        </is>
      </c>
      <c r="C227" t="inlineStr">
        <is>
          <t>AE</t>
        </is>
      </c>
      <c r="D227" t="inlineStr">
        <is>
          <t>NO</t>
        </is>
      </c>
      <c r="E227" t="inlineStr">
        <is>
          <t>Ground Handling / Trip Support</t>
        </is>
      </c>
    </row>
    <row r="228">
      <c r="A228" t="inlineStr">
        <is>
          <t>VCC-0227</t>
        </is>
      </c>
      <c r="B228" t="inlineStr">
        <is>
          <t>VND-105</t>
        </is>
      </c>
      <c r="C228" t="inlineStr">
        <is>
          <t>AE</t>
        </is>
      </c>
      <c r="D228" t="inlineStr">
        <is>
          <t>NO</t>
        </is>
      </c>
      <c r="E228" t="inlineStr">
        <is>
          <t>Ground Handling / Trip Support</t>
        </is>
      </c>
    </row>
    <row r="229">
      <c r="A229" t="inlineStr">
        <is>
          <t>VCC-0228</t>
        </is>
      </c>
      <c r="B229" t="inlineStr">
        <is>
          <t>VND-025</t>
        </is>
      </c>
      <c r="C229" t="inlineStr">
        <is>
          <t>AE</t>
        </is>
      </c>
      <c r="D229" t="inlineStr">
        <is>
          <t>NO</t>
        </is>
      </c>
      <c r="E229" t="inlineStr">
        <is>
          <t>Ground Handling / Trip Support</t>
        </is>
      </c>
    </row>
    <row r="230">
      <c r="A230" t="inlineStr">
        <is>
          <t>VCC-0229</t>
        </is>
      </c>
      <c r="B230" t="inlineStr">
        <is>
          <t>VND-007</t>
        </is>
      </c>
      <c r="C230" t="inlineStr">
        <is>
          <t>AE</t>
        </is>
      </c>
      <c r="D230" t="inlineStr">
        <is>
          <t>NO</t>
        </is>
      </c>
      <c r="E230" t="inlineStr">
        <is>
          <t>Ground Handling / Trip Support</t>
        </is>
      </c>
    </row>
    <row r="231">
      <c r="A231" t="inlineStr">
        <is>
          <t>VCC-0230</t>
        </is>
      </c>
      <c r="B231" t="inlineStr">
        <is>
          <t>VND-085</t>
        </is>
      </c>
      <c r="C231" t="inlineStr">
        <is>
          <t>AE</t>
        </is>
      </c>
      <c r="D231" t="inlineStr">
        <is>
          <t>NO</t>
        </is>
      </c>
      <c r="E231" t="inlineStr">
        <is>
          <t>Ground Handling / Trip Support</t>
        </is>
      </c>
    </row>
    <row r="232">
      <c r="A232" t="inlineStr">
        <is>
          <t>VCC-0231</t>
        </is>
      </c>
      <c r="B232" t="inlineStr">
        <is>
          <t>VND-106</t>
        </is>
      </c>
      <c r="C232" t="inlineStr">
        <is>
          <t>AE</t>
        </is>
      </c>
      <c r="D232" t="inlineStr">
        <is>
          <t>NO</t>
        </is>
      </c>
      <c r="E232" t="inlineStr">
        <is>
          <t>Ground Handling / Trip Support</t>
        </is>
      </c>
    </row>
    <row r="233">
      <c r="A233" t="inlineStr">
        <is>
          <t>VCC-0232</t>
        </is>
      </c>
      <c r="B233" t="inlineStr">
        <is>
          <t>VND-107</t>
        </is>
      </c>
      <c r="C233" t="inlineStr">
        <is>
          <t>AE</t>
        </is>
      </c>
      <c r="D233" t="inlineStr">
        <is>
          <t>NO</t>
        </is>
      </c>
      <c r="E233" t="inlineStr">
        <is>
          <t>Ground Handling / Trip Support</t>
        </is>
      </c>
    </row>
    <row r="234">
      <c r="A234" t="inlineStr">
        <is>
          <t>VCC-0233</t>
        </is>
      </c>
      <c r="B234" t="inlineStr">
        <is>
          <t>VND-001</t>
        </is>
      </c>
      <c r="C234" t="inlineStr">
        <is>
          <t>AE</t>
        </is>
      </c>
      <c r="D234" t="inlineStr">
        <is>
          <t>NO</t>
        </is>
      </c>
      <c r="E234" t="inlineStr">
        <is>
          <t>Ground Handling / Trip Support</t>
        </is>
      </c>
    </row>
    <row r="235">
      <c r="A235" t="inlineStr">
        <is>
          <t>VCC-0234</t>
        </is>
      </c>
      <c r="B235" t="inlineStr">
        <is>
          <t>VND-108</t>
        </is>
      </c>
      <c r="C235" t="inlineStr">
        <is>
          <t>AE</t>
        </is>
      </c>
      <c r="D235" t="inlineStr">
        <is>
          <t>NO</t>
        </is>
      </c>
      <c r="E235" t="inlineStr">
        <is>
          <t>Ground Handling / Trip Support</t>
        </is>
      </c>
    </row>
    <row r="236">
      <c r="A236" t="inlineStr">
        <is>
          <t>VCC-0235</t>
        </is>
      </c>
      <c r="B236" t="inlineStr">
        <is>
          <t>VND-109</t>
        </is>
      </c>
      <c r="C236" t="inlineStr">
        <is>
          <t>AE</t>
        </is>
      </c>
      <c r="D236" t="inlineStr">
        <is>
          <t>NO</t>
        </is>
      </c>
      <c r="E236" t="inlineStr">
        <is>
          <t>Ground Handling / Trip Support</t>
        </is>
      </c>
    </row>
    <row r="237">
      <c r="A237" t="inlineStr">
        <is>
          <t>VCC-0236</t>
        </is>
      </c>
      <c r="B237" t="inlineStr">
        <is>
          <t>VND-110</t>
        </is>
      </c>
      <c r="C237" t="inlineStr">
        <is>
          <t>AE</t>
        </is>
      </c>
      <c r="D237" t="inlineStr">
        <is>
          <t>NO</t>
        </is>
      </c>
      <c r="E237" t="inlineStr">
        <is>
          <t>Ground Handling / Trip Support</t>
        </is>
      </c>
    </row>
    <row r="238">
      <c r="A238" t="inlineStr">
        <is>
          <t>VCC-0237</t>
        </is>
      </c>
      <c r="B238" t="inlineStr">
        <is>
          <t>VND-111</t>
        </is>
      </c>
      <c r="C238" t="inlineStr">
        <is>
          <t>AE</t>
        </is>
      </c>
      <c r="D238" t="inlineStr">
        <is>
          <t>NO</t>
        </is>
      </c>
      <c r="E238" t="inlineStr">
        <is>
          <t>Ground Handling / Trip Support</t>
        </is>
      </c>
    </row>
    <row r="239">
      <c r="A239" t="inlineStr">
        <is>
          <t>VCC-0238</t>
        </is>
      </c>
      <c r="B239" t="inlineStr">
        <is>
          <t>VND-112</t>
        </is>
      </c>
      <c r="C239" t="inlineStr">
        <is>
          <t>AE</t>
        </is>
      </c>
      <c r="D239" t="inlineStr">
        <is>
          <t>NO</t>
        </is>
      </c>
      <c r="E239" t="inlineStr">
        <is>
          <t>Ground Handling / Trip Support</t>
        </is>
      </c>
    </row>
    <row r="240">
      <c r="A240" t="inlineStr">
        <is>
          <t>VCC-0239</t>
        </is>
      </c>
      <c r="B240" t="inlineStr">
        <is>
          <t>VND-023</t>
        </is>
      </c>
      <c r="C240" t="inlineStr">
        <is>
          <t>AE</t>
        </is>
      </c>
      <c r="D240" t="inlineStr">
        <is>
          <t>NO</t>
        </is>
      </c>
      <c r="E240" t="inlineStr">
        <is>
          <t>Ground Handling / Trip Support</t>
        </is>
      </c>
    </row>
    <row r="241">
      <c r="A241" t="inlineStr">
        <is>
          <t>VCC-0240</t>
        </is>
      </c>
      <c r="B241" t="inlineStr">
        <is>
          <t>VND-113</t>
        </is>
      </c>
      <c r="C241" t="inlineStr">
        <is>
          <t>AE</t>
        </is>
      </c>
      <c r="D241" t="inlineStr">
        <is>
          <t>NO</t>
        </is>
      </c>
      <c r="E241" t="inlineStr">
        <is>
          <t>Ground Handling / Trip Support</t>
        </is>
      </c>
    </row>
    <row r="242">
      <c r="A242" t="inlineStr">
        <is>
          <t>VCC-0241</t>
        </is>
      </c>
      <c r="B242" t="inlineStr">
        <is>
          <t>VND-101</t>
        </is>
      </c>
      <c r="C242" t="inlineStr">
        <is>
          <t>AE</t>
        </is>
      </c>
      <c r="D242" t="inlineStr">
        <is>
          <t>NO</t>
        </is>
      </c>
      <c r="E242" t="inlineStr">
        <is>
          <t>Ground Handling / Trip Support</t>
        </is>
      </c>
    </row>
    <row r="243">
      <c r="A243" t="inlineStr">
        <is>
          <t>VCC-0242</t>
        </is>
      </c>
      <c r="B243" t="inlineStr">
        <is>
          <t>VND-114</t>
        </is>
      </c>
      <c r="C243" t="inlineStr">
        <is>
          <t>AE</t>
        </is>
      </c>
      <c r="D243" t="inlineStr">
        <is>
          <t>NO</t>
        </is>
      </c>
      <c r="E243" t="inlineStr">
        <is>
          <t>Ground Handling / Trip Support</t>
        </is>
      </c>
    </row>
    <row r="244">
      <c r="A244" t="inlineStr">
        <is>
          <t>VCC-0243</t>
        </is>
      </c>
      <c r="B244" t="inlineStr">
        <is>
          <t>VND-039</t>
        </is>
      </c>
      <c r="C244" t="inlineStr">
        <is>
          <t>AE</t>
        </is>
      </c>
      <c r="D244" t="inlineStr">
        <is>
          <t>NO</t>
        </is>
      </c>
      <c r="E244" t="inlineStr">
        <is>
          <t>Ground Handling / Trip Support</t>
        </is>
      </c>
    </row>
    <row r="245">
      <c r="A245" t="inlineStr">
        <is>
          <t>VCC-0244</t>
        </is>
      </c>
      <c r="B245" t="inlineStr">
        <is>
          <t>VND-115</t>
        </is>
      </c>
      <c r="C245" t="inlineStr">
        <is>
          <t>AE</t>
        </is>
      </c>
      <c r="D245" t="inlineStr">
        <is>
          <t>NO</t>
        </is>
      </c>
      <c r="E245" t="inlineStr">
        <is>
          <t>Ground Handling / Trip Support</t>
        </is>
      </c>
    </row>
    <row r="246">
      <c r="A246" t="inlineStr">
        <is>
          <t>VCC-0245</t>
        </is>
      </c>
      <c r="B246" t="inlineStr">
        <is>
          <t>VND-033</t>
        </is>
      </c>
      <c r="C246" t="inlineStr">
        <is>
          <t>AE</t>
        </is>
      </c>
      <c r="D246" t="inlineStr">
        <is>
          <t>NO</t>
        </is>
      </c>
      <c r="E246" t="inlineStr">
        <is>
          <t>Ground Handling / Trip Support</t>
        </is>
      </c>
    </row>
    <row r="247">
      <c r="A247" t="inlineStr">
        <is>
          <t>VCC-0246</t>
        </is>
      </c>
      <c r="B247" t="inlineStr">
        <is>
          <t>VND-073</t>
        </is>
      </c>
      <c r="C247" t="inlineStr">
        <is>
          <t>AE</t>
        </is>
      </c>
      <c r="D247" t="inlineStr">
        <is>
          <t>NO</t>
        </is>
      </c>
      <c r="E247" t="inlineStr">
        <is>
          <t>Ground Handling / Trip Support</t>
        </is>
      </c>
    </row>
    <row r="248">
      <c r="A248" t="inlineStr">
        <is>
          <t>VCC-0247</t>
        </is>
      </c>
      <c r="B248" t="inlineStr">
        <is>
          <t>VND-007</t>
        </is>
      </c>
      <c r="C248" t="inlineStr">
        <is>
          <t>OM</t>
        </is>
      </c>
      <c r="D248" t="inlineStr">
        <is>
          <t>NO</t>
        </is>
      </c>
      <c r="E248" t="inlineStr">
        <is>
          <t>Ground Handling / Trip Support</t>
        </is>
      </c>
    </row>
    <row r="249">
      <c r="A249" t="inlineStr">
        <is>
          <t>VCC-0248</t>
        </is>
      </c>
      <c r="B249" t="inlineStr">
        <is>
          <t>VND-008</t>
        </is>
      </c>
      <c r="C249" t="inlineStr">
        <is>
          <t>OM</t>
        </is>
      </c>
      <c r="D249" t="inlineStr">
        <is>
          <t>NO</t>
        </is>
      </c>
      <c r="E249" t="inlineStr">
        <is>
          <t>Ground Handling / Trip Support</t>
        </is>
      </c>
    </row>
    <row r="250">
      <c r="A250" t="inlineStr">
        <is>
          <t>VCC-0249</t>
        </is>
      </c>
      <c r="B250" t="inlineStr">
        <is>
          <t>VND-009</t>
        </is>
      </c>
      <c r="C250" t="inlineStr">
        <is>
          <t>OM</t>
        </is>
      </c>
      <c r="D250" t="inlineStr">
        <is>
          <t>NO</t>
        </is>
      </c>
      <c r="E250" t="inlineStr">
        <is>
          <t>Ground Handling / Trip Support</t>
        </is>
      </c>
    </row>
    <row r="251">
      <c r="A251" t="inlineStr">
        <is>
          <t>VCC-0250</t>
        </is>
      </c>
      <c r="B251" t="inlineStr">
        <is>
          <t>VND-001</t>
        </is>
      </c>
      <c r="C251" t="inlineStr">
        <is>
          <t>OM</t>
        </is>
      </c>
      <c r="D251" t="inlineStr">
        <is>
          <t>NO</t>
        </is>
      </c>
      <c r="E251" t="inlineStr">
        <is>
          <t>Ground Handling / Trip Support</t>
        </is>
      </c>
    </row>
    <row r="252">
      <c r="A252" t="inlineStr">
        <is>
          <t>VCC-0251</t>
        </is>
      </c>
      <c r="B252" t="inlineStr">
        <is>
          <t>VND-025</t>
        </is>
      </c>
      <c r="C252" t="inlineStr">
        <is>
          <t>OM</t>
        </is>
      </c>
      <c r="D252" t="inlineStr">
        <is>
          <t>NO</t>
        </is>
      </c>
      <c r="E252" t="inlineStr">
        <is>
          <t>Ground Handling / Trip Support</t>
        </is>
      </c>
    </row>
    <row r="253">
      <c r="A253" t="inlineStr">
        <is>
          <t>VCC-0252</t>
        </is>
      </c>
      <c r="B253" t="inlineStr">
        <is>
          <t>VND-083</t>
        </is>
      </c>
      <c r="C253" t="inlineStr">
        <is>
          <t>OM</t>
        </is>
      </c>
      <c r="D253" t="inlineStr">
        <is>
          <t>NO</t>
        </is>
      </c>
      <c r="E253" t="inlineStr">
        <is>
          <t>Ground Handling / Trip Support</t>
        </is>
      </c>
    </row>
    <row r="254">
      <c r="A254" t="inlineStr">
        <is>
          <t>VCC-0253</t>
        </is>
      </c>
      <c r="B254" t="inlineStr">
        <is>
          <t>VND-102</t>
        </is>
      </c>
      <c r="C254" t="inlineStr">
        <is>
          <t>OM</t>
        </is>
      </c>
      <c r="D254" t="inlineStr">
        <is>
          <t>NO</t>
        </is>
      </c>
      <c r="E254" t="inlineStr">
        <is>
          <t>Ground Handling / Trip Support</t>
        </is>
      </c>
    </row>
    <row r="255">
      <c r="A255" t="inlineStr">
        <is>
          <t>VCC-0254</t>
        </is>
      </c>
      <c r="B255" t="inlineStr">
        <is>
          <t>VND-116</t>
        </is>
      </c>
      <c r="C255" t="inlineStr">
        <is>
          <t>IL</t>
        </is>
      </c>
      <c r="D255" t="inlineStr">
        <is>
          <t>NO</t>
        </is>
      </c>
      <c r="E255" t="inlineStr">
        <is>
          <t>Ground Handling / Trip Support</t>
        </is>
      </c>
    </row>
    <row r="256">
      <c r="A256" t="inlineStr">
        <is>
          <t>VCC-0255</t>
        </is>
      </c>
      <c r="B256" t="inlineStr">
        <is>
          <t>VND-117</t>
        </is>
      </c>
      <c r="C256" t="inlineStr">
        <is>
          <t>IL</t>
        </is>
      </c>
      <c r="D256" t="inlineStr">
        <is>
          <t>NO</t>
        </is>
      </c>
      <c r="E256" t="inlineStr">
        <is>
          <t>Ground Handling / Trip Support</t>
        </is>
      </c>
    </row>
    <row r="257">
      <c r="A257" t="inlineStr">
        <is>
          <t>VCC-0256</t>
        </is>
      </c>
      <c r="B257" t="inlineStr">
        <is>
          <t>VND-118</t>
        </is>
      </c>
      <c r="C257" t="inlineStr">
        <is>
          <t>IL</t>
        </is>
      </c>
      <c r="D257" t="inlineStr">
        <is>
          <t>NO</t>
        </is>
      </c>
      <c r="E257" t="inlineStr">
        <is>
          <t>Ground Handling / Trip Support</t>
        </is>
      </c>
    </row>
    <row r="258">
      <c r="A258" t="inlineStr">
        <is>
          <t>VCC-0257</t>
        </is>
      </c>
      <c r="B258" t="inlineStr">
        <is>
          <t>VND-119</t>
        </is>
      </c>
      <c r="C258" t="inlineStr">
        <is>
          <t>IL</t>
        </is>
      </c>
      <c r="D258" t="inlineStr">
        <is>
          <t>NO</t>
        </is>
      </c>
      <c r="E258" t="inlineStr">
        <is>
          <t>Ground Handling / Trip Support</t>
        </is>
      </c>
    </row>
    <row r="259">
      <c r="A259" t="inlineStr">
        <is>
          <t>VCC-0258</t>
        </is>
      </c>
      <c r="B259" t="inlineStr">
        <is>
          <t>VND-120</t>
        </is>
      </c>
      <c r="C259" t="inlineStr">
        <is>
          <t>QA</t>
        </is>
      </c>
      <c r="D259" t="inlineStr">
        <is>
          <t>NO</t>
        </is>
      </c>
      <c r="E259" t="inlineStr">
        <is>
          <t>Ground Handling / Trip Support</t>
        </is>
      </c>
    </row>
    <row r="260">
      <c r="A260" t="inlineStr">
        <is>
          <t>VCC-0259</t>
        </is>
      </c>
      <c r="B260" t="inlineStr">
        <is>
          <t>VND-121</t>
        </is>
      </c>
      <c r="C260" t="inlineStr">
        <is>
          <t>QA</t>
        </is>
      </c>
      <c r="D260" t="inlineStr">
        <is>
          <t>NO</t>
        </is>
      </c>
      <c r="E260" t="inlineStr">
        <is>
          <t>Ground Handling / Trip Support</t>
        </is>
      </c>
    </row>
    <row r="261">
      <c r="A261" t="inlineStr">
        <is>
          <t>VCC-0260</t>
        </is>
      </c>
      <c r="B261" t="inlineStr">
        <is>
          <t>VND-122</t>
        </is>
      </c>
      <c r="C261" t="inlineStr">
        <is>
          <t>QA</t>
        </is>
      </c>
      <c r="D261" t="inlineStr">
        <is>
          <t>NO</t>
        </is>
      </c>
      <c r="E261" t="inlineStr">
        <is>
          <t>Ground Handling / Trip Support</t>
        </is>
      </c>
    </row>
    <row r="262">
      <c r="A262" t="inlineStr">
        <is>
          <t>VCC-0261</t>
        </is>
      </c>
      <c r="B262" t="inlineStr">
        <is>
          <t>VND-115</t>
        </is>
      </c>
      <c r="C262" t="inlineStr">
        <is>
          <t>QA</t>
        </is>
      </c>
      <c r="D262" t="inlineStr">
        <is>
          <t>NO</t>
        </is>
      </c>
      <c r="E262" t="inlineStr">
        <is>
          <t>Ground Handling / Trip Support</t>
        </is>
      </c>
    </row>
    <row r="263">
      <c r="A263" t="inlineStr">
        <is>
          <t>VCC-0262</t>
        </is>
      </c>
      <c r="B263" t="inlineStr">
        <is>
          <t>VND-008</t>
        </is>
      </c>
      <c r="C263" t="inlineStr">
        <is>
          <t>QA</t>
        </is>
      </c>
      <c r="D263" t="inlineStr">
        <is>
          <t>NO</t>
        </is>
      </c>
      <c r="E263" t="inlineStr">
        <is>
          <t>Ground Handling / Trip Support</t>
        </is>
      </c>
    </row>
    <row r="264">
      <c r="A264" t="inlineStr">
        <is>
          <t>VCC-0263</t>
        </is>
      </c>
      <c r="B264" t="inlineStr">
        <is>
          <t>VND-086</t>
        </is>
      </c>
      <c r="C264" t="inlineStr">
        <is>
          <t>QA</t>
        </is>
      </c>
      <c r="D264" t="inlineStr">
        <is>
          <t>NO</t>
        </is>
      </c>
      <c r="E264" t="inlineStr">
        <is>
          <t>Ground Handling / Trip Support</t>
        </is>
      </c>
    </row>
    <row r="265">
      <c r="A265" t="inlineStr">
        <is>
          <t>VCC-0264</t>
        </is>
      </c>
      <c r="B265" t="inlineStr">
        <is>
          <t>VND-110</t>
        </is>
      </c>
      <c r="C265" t="inlineStr">
        <is>
          <t>QA</t>
        </is>
      </c>
      <c r="D265" t="inlineStr">
        <is>
          <t>NO</t>
        </is>
      </c>
      <c r="E265" t="inlineStr">
        <is>
          <t>Ground Handling / Trip Support</t>
        </is>
      </c>
    </row>
    <row r="266">
      <c r="A266" t="inlineStr">
        <is>
          <t>VCC-0265</t>
        </is>
      </c>
      <c r="B266" t="inlineStr">
        <is>
          <t>VND-009</t>
        </is>
      </c>
      <c r="C266" t="inlineStr">
        <is>
          <t>QA</t>
        </is>
      </c>
      <c r="D266" t="inlineStr">
        <is>
          <t>NO</t>
        </is>
      </c>
      <c r="E266" t="inlineStr">
        <is>
          <t>Ground Handling / Trip Support</t>
        </is>
      </c>
    </row>
    <row r="267">
      <c r="A267" t="inlineStr">
        <is>
          <t>VCC-0266</t>
        </is>
      </c>
      <c r="B267" t="inlineStr">
        <is>
          <t>VND-123</t>
        </is>
      </c>
      <c r="C267" t="inlineStr">
        <is>
          <t>QA</t>
        </is>
      </c>
      <c r="D267" t="inlineStr">
        <is>
          <t>NO</t>
        </is>
      </c>
      <c r="E267" t="inlineStr">
        <is>
          <t>Ground Handling / Trip Support</t>
        </is>
      </c>
    </row>
    <row r="268">
      <c r="A268" t="inlineStr">
        <is>
          <t>VCC-0267</t>
        </is>
      </c>
      <c r="B268" t="inlineStr">
        <is>
          <t>VND-124</t>
        </is>
      </c>
      <c r="C268" t="inlineStr">
        <is>
          <t>JO</t>
        </is>
      </c>
      <c r="D268" t="inlineStr">
        <is>
          <t>NO</t>
        </is>
      </c>
      <c r="E268" t="inlineStr">
        <is>
          <t>Ground Handling / Trip Support</t>
        </is>
      </c>
    </row>
    <row r="269">
      <c r="A269" t="inlineStr">
        <is>
          <t>VCC-0268</t>
        </is>
      </c>
      <c r="B269" t="inlineStr">
        <is>
          <t>VND-125</t>
        </is>
      </c>
      <c r="C269" t="inlineStr">
        <is>
          <t>JO</t>
        </is>
      </c>
      <c r="D269" t="inlineStr">
        <is>
          <t>NO</t>
        </is>
      </c>
      <c r="E269" t="inlineStr">
        <is>
          <t>Ground Handling / Trip Support</t>
        </is>
      </c>
    </row>
    <row r="270">
      <c r="A270" t="inlineStr">
        <is>
          <t>VCC-0269</t>
        </is>
      </c>
      <c r="B270" t="inlineStr">
        <is>
          <t>VND-009</t>
        </is>
      </c>
      <c r="C270" t="inlineStr">
        <is>
          <t>JO</t>
        </is>
      </c>
      <c r="D270" t="inlineStr">
        <is>
          <t>NO</t>
        </is>
      </c>
      <c r="E270" t="inlineStr">
        <is>
          <t>Ground Handling / Trip Support</t>
        </is>
      </c>
    </row>
    <row r="271">
      <c r="A271" t="inlineStr">
        <is>
          <t>VCC-0270</t>
        </is>
      </c>
      <c r="B271" t="inlineStr">
        <is>
          <t>VND-007</t>
        </is>
      </c>
      <c r="C271" t="inlineStr">
        <is>
          <t>JO</t>
        </is>
      </c>
      <c r="D271" t="inlineStr">
        <is>
          <t>NO</t>
        </is>
      </c>
      <c r="E271" t="inlineStr">
        <is>
          <t>Ground Handling / Trip Support</t>
        </is>
      </c>
    </row>
    <row r="272">
      <c r="A272" t="inlineStr">
        <is>
          <t>VCC-0271</t>
        </is>
      </c>
      <c r="B272" t="inlineStr">
        <is>
          <t>VND-126</t>
        </is>
      </c>
      <c r="C272" t="inlineStr">
        <is>
          <t>JO</t>
        </is>
      </c>
      <c r="D272" t="inlineStr">
        <is>
          <t>NO</t>
        </is>
      </c>
      <c r="E272" t="inlineStr">
        <is>
          <t>Ground Handling / Trip Support</t>
        </is>
      </c>
    </row>
    <row r="273">
      <c r="A273" t="inlineStr">
        <is>
          <t>VCC-0272</t>
        </is>
      </c>
      <c r="B273" t="inlineStr">
        <is>
          <t>VND-127</t>
        </is>
      </c>
      <c r="C273" t="inlineStr">
        <is>
          <t>JO</t>
        </is>
      </c>
      <c r="D273" t="inlineStr">
        <is>
          <t>NO</t>
        </is>
      </c>
      <c r="E273" t="inlineStr">
        <is>
          <t>Ground Handling / Trip Support</t>
        </is>
      </c>
    </row>
    <row r="274">
      <c r="A274" t="inlineStr">
        <is>
          <t>VCC-0273</t>
        </is>
      </c>
      <c r="B274" t="inlineStr">
        <is>
          <t>VND-120</t>
        </is>
      </c>
      <c r="C274" t="inlineStr">
        <is>
          <t>KW</t>
        </is>
      </c>
      <c r="D274" t="inlineStr">
        <is>
          <t>NO</t>
        </is>
      </c>
      <c r="E274" t="inlineStr">
        <is>
          <t>Ground Handling / Trip Support</t>
        </is>
      </c>
    </row>
    <row r="275">
      <c r="A275" t="inlineStr">
        <is>
          <t>VCC-0274</t>
        </is>
      </c>
      <c r="B275" t="inlineStr">
        <is>
          <t>VND-115</t>
        </is>
      </c>
      <c r="C275" t="inlineStr">
        <is>
          <t>KW</t>
        </is>
      </c>
      <c r="D275" t="inlineStr">
        <is>
          <t>NO</t>
        </is>
      </c>
      <c r="E275" t="inlineStr">
        <is>
          <t>Ground Handling / Trip Support</t>
        </is>
      </c>
    </row>
    <row r="276">
      <c r="A276" t="inlineStr">
        <is>
          <t>VCC-0275</t>
        </is>
      </c>
      <c r="B276" t="inlineStr">
        <is>
          <t>VND-008</t>
        </is>
      </c>
      <c r="C276" t="inlineStr">
        <is>
          <t>KW</t>
        </is>
      </c>
      <c r="D276" t="inlineStr">
        <is>
          <t>NO</t>
        </is>
      </c>
      <c r="E276" t="inlineStr">
        <is>
          <t>Ground Handling / Trip Support</t>
        </is>
      </c>
    </row>
    <row r="277">
      <c r="A277" t="inlineStr">
        <is>
          <t>VCC-0276</t>
        </is>
      </c>
      <c r="B277" t="inlineStr">
        <is>
          <t>VND-128</t>
        </is>
      </c>
      <c r="C277" t="inlineStr">
        <is>
          <t>KW</t>
        </is>
      </c>
      <c r="D277" t="inlineStr">
        <is>
          <t>NO</t>
        </is>
      </c>
      <c r="E277" t="inlineStr">
        <is>
          <t>Ground Handling / Trip Support</t>
        </is>
      </c>
    </row>
    <row r="278">
      <c r="A278" t="inlineStr">
        <is>
          <t>VCC-0277</t>
        </is>
      </c>
      <c r="B278" t="inlineStr">
        <is>
          <t>VND-129</t>
        </is>
      </c>
      <c r="C278" t="inlineStr">
        <is>
          <t>KW</t>
        </is>
      </c>
      <c r="D278" t="inlineStr">
        <is>
          <t>NO</t>
        </is>
      </c>
      <c r="E278" t="inlineStr">
        <is>
          <t>Ground Handling / Trip Support</t>
        </is>
      </c>
    </row>
    <row r="279">
      <c r="A279" t="inlineStr">
        <is>
          <t>VCC-0278</t>
        </is>
      </c>
      <c r="B279" t="inlineStr">
        <is>
          <t>VND-080</t>
        </is>
      </c>
      <c r="C279" t="inlineStr">
        <is>
          <t>KW</t>
        </is>
      </c>
      <c r="D279" t="inlineStr">
        <is>
          <t>NO</t>
        </is>
      </c>
      <c r="E279" t="inlineStr">
        <is>
          <t>Ground Handling / Trip Support</t>
        </is>
      </c>
    </row>
    <row r="280">
      <c r="A280" t="inlineStr">
        <is>
          <t>VCC-0279</t>
        </is>
      </c>
      <c r="B280" t="inlineStr">
        <is>
          <t>VND-027</t>
        </is>
      </c>
      <c r="C280" t="inlineStr">
        <is>
          <t>KW</t>
        </is>
      </c>
      <c r="D280" t="inlineStr">
        <is>
          <t>NO</t>
        </is>
      </c>
      <c r="E280" t="inlineStr">
        <is>
          <t>Ground Handling / Trip Support</t>
        </is>
      </c>
    </row>
    <row r="281">
      <c r="A281" t="inlineStr">
        <is>
          <t>VCC-0280</t>
        </is>
      </c>
      <c r="B281" t="inlineStr">
        <is>
          <t>VND-123</t>
        </is>
      </c>
      <c r="C281" t="inlineStr">
        <is>
          <t>KW</t>
        </is>
      </c>
      <c r="D281" t="inlineStr">
        <is>
          <t>NO</t>
        </is>
      </c>
      <c r="E281" t="inlineStr">
        <is>
          <t>Ground Handling / Trip Support</t>
        </is>
      </c>
    </row>
    <row r="282">
      <c r="A282" t="inlineStr">
        <is>
          <t>VCC-0281</t>
        </is>
      </c>
      <c r="B282" t="inlineStr">
        <is>
          <t>VND-120</t>
        </is>
      </c>
      <c r="C282" t="inlineStr">
        <is>
          <t>BH</t>
        </is>
      </c>
      <c r="D282" t="inlineStr">
        <is>
          <t>NO</t>
        </is>
      </c>
      <c r="E282" t="inlineStr">
        <is>
          <t>Ground Handling / Trip Support</t>
        </is>
      </c>
    </row>
    <row r="283">
      <c r="A283" t="inlineStr">
        <is>
          <t>VCC-0282</t>
        </is>
      </c>
      <c r="B283" t="inlineStr">
        <is>
          <t>VND-130</t>
        </is>
      </c>
      <c r="C283" t="inlineStr">
        <is>
          <t>BH</t>
        </is>
      </c>
      <c r="D283" t="inlineStr">
        <is>
          <t>NO</t>
        </is>
      </c>
      <c r="E283" t="inlineStr">
        <is>
          <t>Ground Handling / Trip Support</t>
        </is>
      </c>
    </row>
    <row r="284">
      <c r="A284" t="inlineStr">
        <is>
          <t>VCC-0283</t>
        </is>
      </c>
      <c r="B284" t="inlineStr">
        <is>
          <t>VND-131</t>
        </is>
      </c>
      <c r="C284" t="inlineStr">
        <is>
          <t>BH</t>
        </is>
      </c>
      <c r="D284" t="inlineStr">
        <is>
          <t>NO</t>
        </is>
      </c>
      <c r="E284" t="inlineStr">
        <is>
          <t>Ground Handling / Trip Support</t>
        </is>
      </c>
    </row>
    <row r="285">
      <c r="A285" t="inlineStr">
        <is>
          <t>VCC-0284</t>
        </is>
      </c>
      <c r="B285" t="inlineStr">
        <is>
          <t>VND-132</t>
        </is>
      </c>
      <c r="C285" t="inlineStr">
        <is>
          <t>LB</t>
        </is>
      </c>
      <c r="D285" t="inlineStr">
        <is>
          <t>NO</t>
        </is>
      </c>
      <c r="E285" t="inlineStr">
        <is>
          <t>Ground Handling / Trip Support</t>
        </is>
      </c>
    </row>
    <row r="286">
      <c r="A286" t="inlineStr">
        <is>
          <t>VCC-0285</t>
        </is>
      </c>
      <c r="B286" t="inlineStr">
        <is>
          <t>VND-133</t>
        </is>
      </c>
      <c r="C286" t="inlineStr">
        <is>
          <t>LB</t>
        </is>
      </c>
      <c r="D286" t="inlineStr">
        <is>
          <t>NO</t>
        </is>
      </c>
      <c r="E286" t="inlineStr">
        <is>
          <t>Ground Handling / Trip Support</t>
        </is>
      </c>
    </row>
    <row r="287">
      <c r="A287" t="inlineStr">
        <is>
          <t>VCC-0286</t>
        </is>
      </c>
      <c r="B287" t="inlineStr">
        <is>
          <t>VND-134</t>
        </is>
      </c>
      <c r="C287" t="inlineStr">
        <is>
          <t>LB</t>
        </is>
      </c>
      <c r="D287" t="inlineStr">
        <is>
          <t>NO</t>
        </is>
      </c>
      <c r="E287" t="inlineStr">
        <is>
          <t>Ground Handling / Trip Support</t>
        </is>
      </c>
    </row>
    <row r="288">
      <c r="A288" t="inlineStr">
        <is>
          <t>VCC-0287</t>
        </is>
      </c>
      <c r="B288" t="inlineStr">
        <is>
          <t>VND-135</t>
        </is>
      </c>
      <c r="C288" t="inlineStr">
        <is>
          <t>IQ</t>
        </is>
      </c>
      <c r="D288" t="inlineStr">
        <is>
          <t>NO</t>
        </is>
      </c>
      <c r="E288" t="inlineStr">
        <is>
          <t>Ground Handling / Trip Support</t>
        </is>
      </c>
    </row>
    <row r="289">
      <c r="A289" t="inlineStr">
        <is>
          <t>VCC-0288</t>
        </is>
      </c>
      <c r="B289" t="inlineStr">
        <is>
          <t>VND-108</t>
        </is>
      </c>
      <c r="C289" t="inlineStr">
        <is>
          <t>IQ</t>
        </is>
      </c>
      <c r="D289" t="inlineStr">
        <is>
          <t>NO</t>
        </is>
      </c>
      <c r="E289" t="inlineStr">
        <is>
          <t>Ground Handling / Trip Support</t>
        </is>
      </c>
    </row>
    <row r="290">
      <c r="A290" t="inlineStr">
        <is>
          <t>VCC-0289</t>
        </is>
      </c>
      <c r="B290" t="inlineStr">
        <is>
          <t>VND-083</t>
        </is>
      </c>
      <c r="C290" t="inlineStr">
        <is>
          <t>IQ</t>
        </is>
      </c>
      <c r="D290" t="inlineStr">
        <is>
          <t>NO</t>
        </is>
      </c>
      <c r="E290" t="inlineStr">
        <is>
          <t>Ground Handling / Trip Support</t>
        </is>
      </c>
    </row>
    <row r="291">
      <c r="A291" t="inlineStr">
        <is>
          <t>VCC-0290</t>
        </is>
      </c>
      <c r="B291" t="inlineStr">
        <is>
          <t>VND-136</t>
        </is>
      </c>
      <c r="C291" t="inlineStr">
        <is>
          <t>IQ</t>
        </is>
      </c>
      <c r="D291" t="inlineStr">
        <is>
          <t>NO</t>
        </is>
      </c>
      <c r="E291" t="inlineStr">
        <is>
          <t>Ground Handling / Trip Support</t>
        </is>
      </c>
    </row>
    <row r="292">
      <c r="A292" t="inlineStr">
        <is>
          <t>VCC-0291</t>
        </is>
      </c>
      <c r="B292" t="inlineStr">
        <is>
          <t>VND-025</t>
        </is>
      </c>
      <c r="C292" t="inlineStr">
        <is>
          <t>IQ</t>
        </is>
      </c>
      <c r="D292" t="inlineStr">
        <is>
          <t>NO</t>
        </is>
      </c>
      <c r="E292" t="inlineStr">
        <is>
          <t>Ground Handling / Trip Support</t>
        </is>
      </c>
    </row>
    <row r="293">
      <c r="A293" t="inlineStr">
        <is>
          <t>VCC-0292</t>
        </is>
      </c>
      <c r="B293" t="inlineStr">
        <is>
          <t>VND-008</t>
        </is>
      </c>
      <c r="C293" t="inlineStr">
        <is>
          <t>IQ</t>
        </is>
      </c>
      <c r="D293" t="inlineStr">
        <is>
          <t>NO</t>
        </is>
      </c>
      <c r="E293" t="inlineStr">
        <is>
          <t>Ground Handling / Trip Support</t>
        </is>
      </c>
    </row>
    <row r="294">
      <c r="A294" t="inlineStr">
        <is>
          <t>VCC-0293</t>
        </is>
      </c>
      <c r="B294" t="inlineStr">
        <is>
          <t>VND-112</t>
        </is>
      </c>
      <c r="C294" t="inlineStr">
        <is>
          <t>YE</t>
        </is>
      </c>
      <c r="D294" t="inlineStr">
        <is>
          <t>NO</t>
        </is>
      </c>
      <c r="E294" t="inlineStr">
        <is>
          <t>Ground Handling / Trip Support</t>
        </is>
      </c>
    </row>
    <row r="295">
      <c r="A295" t="inlineStr">
        <is>
          <t>VCC-0294</t>
        </is>
      </c>
      <c r="B295" t="inlineStr">
        <is>
          <t>VND-083</t>
        </is>
      </c>
      <c r="C295" t="inlineStr">
        <is>
          <t>AF</t>
        </is>
      </c>
      <c r="D295" t="inlineStr">
        <is>
          <t>NO</t>
        </is>
      </c>
      <c r="E295" t="inlineStr">
        <is>
          <t>Ground Handling / Trip Support</t>
        </is>
      </c>
    </row>
    <row r="296">
      <c r="A296" t="inlineStr">
        <is>
          <t>VCC-0295</t>
        </is>
      </c>
      <c r="B296" t="inlineStr">
        <is>
          <t>VND-115</t>
        </is>
      </c>
      <c r="C296" t="inlineStr">
        <is>
          <t>AF</t>
        </is>
      </c>
      <c r="D296" t="inlineStr">
        <is>
          <t>NO</t>
        </is>
      </c>
      <c r="E296" t="inlineStr">
        <is>
          <t>Ground Handling / Trip Support</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V143"/>
  <sheetViews>
    <sheetView workbookViewId="0">
      <pane ySplit="1" topLeftCell="A119" activePane="bottomLeft" state="frozen"/>
      <selection pane="bottomLeft" activeCell="B44" sqref="B44"/>
    </sheetView>
  </sheetViews>
  <sheetFormatPr baseColWidth="8" defaultRowHeight="14.4"/>
  <cols>
    <col width="9.21875" bestFit="1" customWidth="1" min="1" max="1"/>
    <col width="38.109375" bestFit="1" customWidth="1" min="2" max="2"/>
    <col width="9.44140625" bestFit="1" customWidth="1" min="3" max="4"/>
    <col width="10.88671875" bestFit="1" customWidth="1" min="5" max="5"/>
    <col width="19.109375" bestFit="1" customWidth="1" min="6" max="6"/>
    <col width="22.44140625" bestFit="1" customWidth="1" min="7" max="7"/>
    <col width="20.5546875" bestFit="1" customWidth="1" min="8" max="8"/>
    <col width="22.109375" bestFit="1" customWidth="1" min="9" max="9"/>
    <col width="6" bestFit="1" customWidth="1" min="10" max="10"/>
    <col width="5.44140625" bestFit="1" customWidth="1" min="11" max="11"/>
    <col width="35.21875" customWidth="1" min="12" max="16"/>
  </cols>
  <sheetData>
    <row r="1">
      <c r="A1" s="19" t="inlineStr">
        <is>
          <t>country_id</t>
        </is>
      </c>
      <c r="B1" s="19" t="inlineStr">
        <is>
          <t>country_name</t>
        </is>
      </c>
      <c r="C1" s="19" t="inlineStr">
        <is>
          <t>iso_alpha2</t>
        </is>
      </c>
      <c r="D1" s="19" t="inlineStr">
        <is>
          <t>iso_alpha3</t>
        </is>
      </c>
      <c r="E1" s="19" t="inlineStr">
        <is>
          <t>calling_code</t>
        </is>
      </c>
      <c r="F1" s="19" t="inlineStr">
        <is>
          <t>civil_aviation_authority</t>
        </is>
      </c>
      <c r="G1" s="19" t="inlineStr">
        <is>
          <t>overflight_permit_required</t>
        </is>
      </c>
      <c r="H1" s="19" t="inlineStr">
        <is>
          <t>landing_permit_required</t>
        </is>
      </c>
      <c r="I1" s="19" t="inlineStr">
        <is>
          <t>standard_lead_time_hours</t>
        </is>
      </c>
      <c r="J1" s="19" t="inlineStr">
        <is>
          <t>region</t>
        </is>
      </c>
      <c r="K1" s="19" t="inlineStr">
        <is>
          <t>notes</t>
        </is>
      </c>
      <c r="L1" s="25" t="inlineStr">
        <is>
          <t>ground_handling_mandatory</t>
        </is>
      </c>
      <c r="M1" s="25" t="inlineStr">
        <is>
          <t>self_handling_permitted</t>
        </is>
      </c>
      <c r="N1" s="25" t="inlineStr">
        <is>
          <t>notes_handling</t>
        </is>
      </c>
      <c r="O1" s="25" t="inlineStr">
        <is>
          <t>permit_flags_verified_on</t>
        </is>
      </c>
      <c r="P1" s="25" t="inlineStr">
        <is>
          <t>permit_flags_source</t>
        </is>
      </c>
      <c r="Q1" s="1" t="inlineStr">
        <is>
          <t>lead_time_source</t>
        </is>
      </c>
      <c r="R1" s="1" t="inlineStr">
        <is>
          <t>lead_time_verified_by</t>
        </is>
      </c>
      <c r="S1" s="1" t="inlineStr">
        <is>
          <t>lead_time_verified_on</t>
        </is>
      </c>
      <c r="T1" s="1" t="inlineStr">
        <is>
          <t>permit_flags_verified_by</t>
        </is>
      </c>
      <c r="U1" s="1" t="inlineStr">
        <is>
          <t>reference_status</t>
        </is>
      </c>
      <c r="V1" s="1" t="inlineStr">
        <is>
          <t>effective_lead_time_hours</t>
        </is>
      </c>
    </row>
    <row r="2">
      <c r="B2" t="inlineStr">
        <is>
          <t>Afghanistan</t>
        </is>
      </c>
      <c r="C2" t="inlineStr">
        <is>
          <t>AF</t>
        </is>
      </c>
      <c r="D2" t="inlineStr">
        <is>
          <t>AFG</t>
        </is>
      </c>
      <c r="E2" s="20" t="inlineStr">
        <is>
          <t>+93</t>
        </is>
      </c>
      <c r="F2" s="4" t="n"/>
      <c r="G2" s="4" t="inlineStr">
        <is>
          <t>REQUIRED</t>
        </is>
      </c>
      <c r="H2" s="4" t="inlineStr">
        <is>
          <t>REQUIRED</t>
        </is>
      </c>
      <c r="I2" s="4" t="n"/>
      <c r="J2" t="inlineStr">
        <is>
          <t>South Asia</t>
        </is>
      </c>
      <c r="O2" s="118" t="n"/>
      <c r="S2" s="118" t="n"/>
      <c r="V2" s="109" t="n"/>
    </row>
    <row r="3">
      <c r="B3" t="inlineStr">
        <is>
          <t>Angola</t>
        </is>
      </c>
      <c r="C3" t="inlineStr">
        <is>
          <t>AO</t>
        </is>
      </c>
      <c r="D3" t="inlineStr">
        <is>
          <t>AGO</t>
        </is>
      </c>
      <c r="E3" s="20" t="inlineStr">
        <is>
          <t>+244</t>
        </is>
      </c>
      <c r="F3" s="4" t="n"/>
      <c r="G3" s="4" t="inlineStr">
        <is>
          <t>REQUIRED</t>
        </is>
      </c>
      <c r="H3" s="4" t="inlineStr">
        <is>
          <t>REQUIRED</t>
        </is>
      </c>
      <c r="I3" s="4" t="n"/>
      <c r="J3" t="inlineStr">
        <is>
          <t>Africa</t>
        </is>
      </c>
      <c r="O3" s="118" t="n"/>
      <c r="S3" s="118" t="n"/>
      <c r="V3" s="109" t="n"/>
    </row>
    <row r="4">
      <c r="B4" t="inlineStr">
        <is>
          <t>Albania</t>
        </is>
      </c>
      <c r="C4" t="inlineStr">
        <is>
          <t>AL</t>
        </is>
      </c>
      <c r="D4" t="inlineStr">
        <is>
          <t>ALB</t>
        </is>
      </c>
      <c r="E4" s="20" t="n"/>
      <c r="F4" s="4" t="n"/>
      <c r="G4" s="4" t="inlineStr">
        <is>
          <t>REQUIRED</t>
        </is>
      </c>
      <c r="H4" s="4" t="inlineStr">
        <is>
          <t>REQUIRED</t>
        </is>
      </c>
      <c r="I4" s="4" t="n"/>
      <c r="J4" t="inlineStr">
        <is>
          <t>Europe</t>
        </is>
      </c>
      <c r="O4" s="118" t="n"/>
      <c r="S4" s="118" t="n"/>
      <c r="V4" s="109" t="n"/>
    </row>
    <row r="5">
      <c r="B5" t="inlineStr">
        <is>
          <t>United Arab Emirates</t>
        </is>
      </c>
      <c r="C5" t="inlineStr">
        <is>
          <t>AE</t>
        </is>
      </c>
      <c r="D5" t="inlineStr">
        <is>
          <t>ARE</t>
        </is>
      </c>
      <c r="E5" s="20" t="inlineStr">
        <is>
          <t>+971</t>
        </is>
      </c>
      <c r="F5" s="4" t="n"/>
      <c r="G5" s="4" t="inlineStr">
        <is>
          <t>REQUIRED</t>
        </is>
      </c>
      <c r="H5" s="4" t="inlineStr">
        <is>
          <t>REQUIRED</t>
        </is>
      </c>
      <c r="I5" s="4" t="n"/>
      <c r="J5" t="inlineStr">
        <is>
          <t>Middle East</t>
        </is>
      </c>
      <c r="O5" s="118" t="n"/>
      <c r="S5" s="118" t="n"/>
      <c r="V5" s="109" t="n"/>
    </row>
    <row r="6">
      <c r="B6" t="inlineStr">
        <is>
          <t>Armenia</t>
        </is>
      </c>
      <c r="C6" t="inlineStr">
        <is>
          <t>AM</t>
        </is>
      </c>
      <c r="D6" t="inlineStr">
        <is>
          <t>ARM</t>
        </is>
      </c>
      <c r="E6" s="20" t="n"/>
      <c r="F6" s="4" t="n"/>
      <c r="G6" s="4" t="inlineStr">
        <is>
          <t>REQUIRED</t>
        </is>
      </c>
      <c r="H6" s="4" t="inlineStr">
        <is>
          <t>REQUIRED</t>
        </is>
      </c>
      <c r="I6" s="4" t="n"/>
      <c r="J6" t="inlineStr">
        <is>
          <t>Asia</t>
        </is>
      </c>
      <c r="O6" s="118" t="n"/>
      <c r="S6" s="118" t="n"/>
      <c r="V6" s="109" t="n"/>
    </row>
    <row r="7">
      <c r="B7" t="inlineStr">
        <is>
          <t>Austria</t>
        </is>
      </c>
      <c r="C7" t="inlineStr">
        <is>
          <t>AT</t>
        </is>
      </c>
      <c r="D7" t="inlineStr">
        <is>
          <t>AUT</t>
        </is>
      </c>
      <c r="E7" s="20" t="n"/>
      <c r="F7" s="4" t="n"/>
      <c r="G7" s="4" t="inlineStr">
        <is>
          <t>REQUIRED</t>
        </is>
      </c>
      <c r="H7" s="4" t="inlineStr">
        <is>
          <t>REQUIRED</t>
        </is>
      </c>
      <c r="I7" s="4" t="n"/>
      <c r="J7" t="inlineStr">
        <is>
          <t>Europe</t>
        </is>
      </c>
      <c r="O7" s="118" t="n"/>
      <c r="S7" s="118" t="n"/>
      <c r="V7" s="109" t="n"/>
    </row>
    <row r="8">
      <c r="B8" t="inlineStr">
        <is>
          <t>Azerbaijan</t>
        </is>
      </c>
      <c r="C8" t="inlineStr">
        <is>
          <t>AZ</t>
        </is>
      </c>
      <c r="D8" t="inlineStr">
        <is>
          <t>AZE</t>
        </is>
      </c>
      <c r="E8" s="20" t="n"/>
      <c r="F8" s="4" t="n"/>
      <c r="G8" s="4" t="inlineStr">
        <is>
          <t>REQUIRED</t>
        </is>
      </c>
      <c r="H8" s="4" t="inlineStr">
        <is>
          <t>REQUIRED</t>
        </is>
      </c>
      <c r="I8" s="4" t="n"/>
      <c r="J8" t="inlineStr">
        <is>
          <t>Asia</t>
        </is>
      </c>
      <c r="O8" s="118" t="n"/>
      <c r="S8" s="118" t="n"/>
      <c r="V8" s="109" t="n"/>
    </row>
    <row r="9">
      <c r="B9" t="inlineStr">
        <is>
          <t>Burundi</t>
        </is>
      </c>
      <c r="C9" t="inlineStr">
        <is>
          <t>BI</t>
        </is>
      </c>
      <c r="D9" t="inlineStr">
        <is>
          <t>BDI</t>
        </is>
      </c>
      <c r="E9" s="20" t="inlineStr">
        <is>
          <t>+257</t>
        </is>
      </c>
      <c r="F9" s="4" t="n"/>
      <c r="G9" s="4" t="inlineStr">
        <is>
          <t>REQUIRED</t>
        </is>
      </c>
      <c r="H9" s="4" t="inlineStr">
        <is>
          <t>REQUIRED</t>
        </is>
      </c>
      <c r="I9" s="4" t="n"/>
      <c r="J9" t="inlineStr">
        <is>
          <t>Africa</t>
        </is>
      </c>
      <c r="O9" s="118" t="n"/>
      <c r="S9" s="118" t="n"/>
      <c r="V9" s="109" t="n"/>
    </row>
    <row r="10">
      <c r="B10" t="inlineStr">
        <is>
          <t>Belgium</t>
        </is>
      </c>
      <c r="C10" t="inlineStr">
        <is>
          <t>BE</t>
        </is>
      </c>
      <c r="D10" t="inlineStr">
        <is>
          <t>BEL</t>
        </is>
      </c>
      <c r="E10" s="20" t="n"/>
      <c r="F10" s="4" t="n"/>
      <c r="G10" s="4" t="inlineStr">
        <is>
          <t>REQUIRED</t>
        </is>
      </c>
      <c r="H10" s="4" t="inlineStr">
        <is>
          <t>REQUIRED</t>
        </is>
      </c>
      <c r="I10" s="4" t="n"/>
      <c r="J10" t="inlineStr">
        <is>
          <t>Europe</t>
        </is>
      </c>
      <c r="O10" s="118" t="n"/>
      <c r="S10" s="118" t="n"/>
      <c r="V10" s="109" t="n"/>
    </row>
    <row r="11">
      <c r="B11" t="inlineStr">
        <is>
          <t>Benin</t>
        </is>
      </c>
      <c r="C11" t="inlineStr">
        <is>
          <t>BJ</t>
        </is>
      </c>
      <c r="D11" t="inlineStr">
        <is>
          <t>BEN</t>
        </is>
      </c>
      <c r="E11" s="20" t="inlineStr">
        <is>
          <t>+229</t>
        </is>
      </c>
      <c r="F11" s="4" t="n"/>
      <c r="G11" s="4" t="inlineStr">
        <is>
          <t>REQUIRED</t>
        </is>
      </c>
      <c r="H11" s="4" t="inlineStr">
        <is>
          <t>REQUIRED</t>
        </is>
      </c>
      <c r="I11" s="4" t="n"/>
      <c r="J11" t="inlineStr">
        <is>
          <t>Africa</t>
        </is>
      </c>
      <c r="O11" s="118" t="n"/>
      <c r="S11" s="118" t="n"/>
      <c r="V11" s="109" t="n"/>
    </row>
    <row r="12">
      <c r="B12" t="inlineStr">
        <is>
          <t>Burkina Faso</t>
        </is>
      </c>
      <c r="C12" t="inlineStr">
        <is>
          <t>BF</t>
        </is>
      </c>
      <c r="D12" t="inlineStr">
        <is>
          <t>BFA</t>
        </is>
      </c>
      <c r="E12" s="20" t="inlineStr">
        <is>
          <t>+226</t>
        </is>
      </c>
      <c r="F12" s="4" t="n"/>
      <c r="G12" s="4" t="inlineStr">
        <is>
          <t>REQUIRED</t>
        </is>
      </c>
      <c r="H12" s="4" t="inlineStr">
        <is>
          <t>REQUIRED</t>
        </is>
      </c>
      <c r="I12" s="4" t="n"/>
      <c r="J12" t="inlineStr">
        <is>
          <t>Africa</t>
        </is>
      </c>
      <c r="O12" s="118" t="n"/>
      <c r="S12" s="118" t="n"/>
      <c r="V12" s="109" t="n"/>
    </row>
    <row r="13">
      <c r="B13" t="inlineStr">
        <is>
          <t>Bangladesh</t>
        </is>
      </c>
      <c r="C13" t="inlineStr">
        <is>
          <t>BD</t>
        </is>
      </c>
      <c r="D13" t="inlineStr">
        <is>
          <t>BGD</t>
        </is>
      </c>
      <c r="E13" s="20" t="n"/>
      <c r="F13" s="4" t="n"/>
      <c r="G13" s="4" t="inlineStr">
        <is>
          <t>REQUIRED</t>
        </is>
      </c>
      <c r="H13" s="4" t="inlineStr">
        <is>
          <t>REQUIRED</t>
        </is>
      </c>
      <c r="I13" s="4" t="n"/>
      <c r="J13" t="inlineStr">
        <is>
          <t>Asia</t>
        </is>
      </c>
      <c r="O13" s="118" t="n"/>
      <c r="S13" s="118" t="n"/>
      <c r="V13" s="109" t="n"/>
    </row>
    <row r="14">
      <c r="B14" t="inlineStr">
        <is>
          <t>Bulgaria</t>
        </is>
      </c>
      <c r="C14" t="inlineStr">
        <is>
          <t>BG</t>
        </is>
      </c>
      <c r="D14" t="inlineStr">
        <is>
          <t>BGR</t>
        </is>
      </c>
      <c r="E14" s="20" t="n"/>
      <c r="F14" s="4" t="n"/>
      <c r="G14" s="4" t="inlineStr">
        <is>
          <t>REQUIRED</t>
        </is>
      </c>
      <c r="H14" s="4" t="inlineStr">
        <is>
          <t>REQUIRED</t>
        </is>
      </c>
      <c r="I14" s="4" t="n"/>
      <c r="J14" t="inlineStr">
        <is>
          <t>Europe</t>
        </is>
      </c>
      <c r="O14" s="118" t="n"/>
      <c r="S14" s="118" t="n"/>
      <c r="V14" s="109" t="n"/>
    </row>
    <row r="15">
      <c r="B15" t="inlineStr">
        <is>
          <t>Bahrain</t>
        </is>
      </c>
      <c r="C15" t="inlineStr">
        <is>
          <t>BH</t>
        </is>
      </c>
      <c r="D15" t="inlineStr">
        <is>
          <t>BHR</t>
        </is>
      </c>
      <c r="E15" s="20" t="inlineStr">
        <is>
          <t>+973</t>
        </is>
      </c>
      <c r="F15" s="4" t="n"/>
      <c r="G15" s="4" t="inlineStr">
        <is>
          <t>REQUIRED</t>
        </is>
      </c>
      <c r="H15" s="4" t="inlineStr">
        <is>
          <t>REQUIRED</t>
        </is>
      </c>
      <c r="I15" s="4" t="n"/>
      <c r="J15" t="inlineStr">
        <is>
          <t>Middle East</t>
        </is>
      </c>
      <c r="O15" s="118" t="n"/>
      <c r="S15" s="118" t="n"/>
      <c r="V15" s="109" t="n"/>
    </row>
    <row r="16">
      <c r="B16" t="inlineStr">
        <is>
          <t>Bosnia and Herzegovina</t>
        </is>
      </c>
      <c r="C16" t="inlineStr">
        <is>
          <t>BA</t>
        </is>
      </c>
      <c r="D16" t="inlineStr">
        <is>
          <t>BIH</t>
        </is>
      </c>
      <c r="E16" s="20" t="n"/>
      <c r="F16" s="4" t="n"/>
      <c r="G16" s="4" t="inlineStr">
        <is>
          <t>REQUIRED</t>
        </is>
      </c>
      <c r="H16" s="4" t="inlineStr">
        <is>
          <t>REQUIRED</t>
        </is>
      </c>
      <c r="I16" s="4" t="n"/>
      <c r="J16" t="inlineStr">
        <is>
          <t>Europe</t>
        </is>
      </c>
      <c r="O16" s="118" t="n"/>
      <c r="S16" s="118" t="n"/>
      <c r="V16" s="109" t="n"/>
    </row>
    <row r="17">
      <c r="B17" t="inlineStr">
        <is>
          <t>Belarus</t>
        </is>
      </c>
      <c r="C17" t="inlineStr">
        <is>
          <t>BY</t>
        </is>
      </c>
      <c r="D17" t="inlineStr">
        <is>
          <t>BLR</t>
        </is>
      </c>
      <c r="E17" s="20" t="n"/>
      <c r="F17" s="4" t="n"/>
      <c r="G17" s="4" t="inlineStr">
        <is>
          <t>REQUIRED</t>
        </is>
      </c>
      <c r="H17" s="4" t="inlineStr">
        <is>
          <t>REQUIRED</t>
        </is>
      </c>
      <c r="I17" s="4" t="n"/>
      <c r="J17" t="inlineStr">
        <is>
          <t>Europe</t>
        </is>
      </c>
      <c r="O17" s="118" t="n"/>
      <c r="S17" s="118" t="n"/>
      <c r="V17" s="109" t="n"/>
    </row>
    <row r="18">
      <c r="B18" t="inlineStr">
        <is>
          <t>Bhutan</t>
        </is>
      </c>
      <c r="C18" t="inlineStr">
        <is>
          <t>BT</t>
        </is>
      </c>
      <c r="D18" t="inlineStr">
        <is>
          <t>BTN</t>
        </is>
      </c>
      <c r="E18" s="20" t="n"/>
      <c r="F18" s="4" t="n"/>
      <c r="G18" s="4" t="inlineStr">
        <is>
          <t>REQUIRED</t>
        </is>
      </c>
      <c r="H18" s="4" t="inlineStr">
        <is>
          <t>REQUIRED</t>
        </is>
      </c>
      <c r="I18" s="4" t="n"/>
      <c r="J18" t="inlineStr">
        <is>
          <t>Asia</t>
        </is>
      </c>
      <c r="O18" s="118" t="n"/>
      <c r="S18" s="118" t="n"/>
      <c r="V18" s="109" t="n"/>
    </row>
    <row r="19">
      <c r="B19" t="inlineStr">
        <is>
          <t>Botswana</t>
        </is>
      </c>
      <c r="C19" t="inlineStr">
        <is>
          <t>BW</t>
        </is>
      </c>
      <c r="D19" t="inlineStr">
        <is>
          <t>BWA</t>
        </is>
      </c>
      <c r="E19" s="20" t="inlineStr">
        <is>
          <t>+267</t>
        </is>
      </c>
      <c r="F19" s="4" t="n"/>
      <c r="G19" s="4" t="inlineStr">
        <is>
          <t>REQUIRED</t>
        </is>
      </c>
      <c r="H19" s="4" t="inlineStr">
        <is>
          <t>REQUIRED</t>
        </is>
      </c>
      <c r="I19" s="4" t="n"/>
      <c r="J19" t="inlineStr">
        <is>
          <t>Africa</t>
        </is>
      </c>
      <c r="O19" s="118" t="n"/>
      <c r="S19" s="118" t="n"/>
      <c r="V19" s="109" t="n"/>
    </row>
    <row r="20">
      <c r="B20" t="inlineStr">
        <is>
          <t>Central African Republic</t>
        </is>
      </c>
      <c r="C20" t="inlineStr">
        <is>
          <t>CF</t>
        </is>
      </c>
      <c r="D20" t="inlineStr">
        <is>
          <t>CAF</t>
        </is>
      </c>
      <c r="E20" s="20" t="inlineStr">
        <is>
          <t>+236</t>
        </is>
      </c>
      <c r="F20" s="4" t="n"/>
      <c r="G20" s="4" t="inlineStr">
        <is>
          <t>REQUIRED</t>
        </is>
      </c>
      <c r="H20" s="4" t="inlineStr">
        <is>
          <t>REQUIRED</t>
        </is>
      </c>
      <c r="I20" s="4" t="n"/>
      <c r="J20" t="inlineStr">
        <is>
          <t>Africa</t>
        </is>
      </c>
      <c r="O20" s="118" t="n"/>
      <c r="S20" s="118" t="n"/>
      <c r="V20" s="109" t="n"/>
    </row>
    <row r="21">
      <c r="B21" t="inlineStr">
        <is>
          <t>Switzerland</t>
        </is>
      </c>
      <c r="C21" t="inlineStr">
        <is>
          <t>CH</t>
        </is>
      </c>
      <c r="D21" t="inlineStr">
        <is>
          <t>CHE</t>
        </is>
      </c>
      <c r="E21" s="20" t="n"/>
      <c r="F21" s="4" t="n"/>
      <c r="G21" s="4" t="inlineStr">
        <is>
          <t>REQUIRED</t>
        </is>
      </c>
      <c r="H21" s="4" t="inlineStr">
        <is>
          <t>REQUIRED</t>
        </is>
      </c>
      <c r="I21" s="4" t="n"/>
      <c r="J21" t="inlineStr">
        <is>
          <t>Europe</t>
        </is>
      </c>
      <c r="O21" s="118" t="n"/>
      <c r="S21" s="118" t="n"/>
      <c r="V21" s="109" t="n"/>
    </row>
    <row r="22">
      <c r="B22" t="inlineStr">
        <is>
          <t>China</t>
        </is>
      </c>
      <c r="C22" t="inlineStr">
        <is>
          <t>CN</t>
        </is>
      </c>
      <c r="D22" t="inlineStr">
        <is>
          <t>CHN</t>
        </is>
      </c>
      <c r="E22" s="20" t="n"/>
      <c r="F22" s="4" t="n"/>
      <c r="G22" s="4" t="inlineStr">
        <is>
          <t>REQUIRED</t>
        </is>
      </c>
      <c r="H22" s="4" t="inlineStr">
        <is>
          <t>REQUIRED</t>
        </is>
      </c>
      <c r="I22" s="4" t="n"/>
      <c r="J22" t="inlineStr">
        <is>
          <t>Asia</t>
        </is>
      </c>
      <c r="O22" s="118" t="n"/>
      <c r="S22" s="118" t="n"/>
      <c r="V22" s="109" t="n"/>
    </row>
    <row r="23">
      <c r="B23" t="inlineStr">
        <is>
          <t>Côte d'Ivoire</t>
        </is>
      </c>
      <c r="C23" t="inlineStr">
        <is>
          <t>CI</t>
        </is>
      </c>
      <c r="D23" t="inlineStr">
        <is>
          <t>CIV</t>
        </is>
      </c>
      <c r="E23" s="20" t="inlineStr">
        <is>
          <t>+225</t>
        </is>
      </c>
      <c r="F23" s="4" t="n"/>
      <c r="G23" s="4" t="inlineStr">
        <is>
          <t>REQUIRED</t>
        </is>
      </c>
      <c r="H23" s="4" t="inlineStr">
        <is>
          <t>REQUIRED</t>
        </is>
      </c>
      <c r="I23" s="4" t="n"/>
      <c r="J23" t="inlineStr">
        <is>
          <t>Africa</t>
        </is>
      </c>
      <c r="O23" s="118" t="n"/>
      <c r="S23" s="118" t="n"/>
      <c r="V23" s="109" t="n"/>
    </row>
    <row r="24">
      <c r="B24" t="inlineStr">
        <is>
          <t>Cameroon</t>
        </is>
      </c>
      <c r="C24" t="inlineStr">
        <is>
          <t>CM</t>
        </is>
      </c>
      <c r="D24" t="inlineStr">
        <is>
          <t>CMR</t>
        </is>
      </c>
      <c r="E24" s="20" t="inlineStr">
        <is>
          <t>+237</t>
        </is>
      </c>
      <c r="F24" s="4" t="n"/>
      <c r="G24" s="4" t="inlineStr">
        <is>
          <t>REQUIRED</t>
        </is>
      </c>
      <c r="H24" s="4" t="inlineStr">
        <is>
          <t>REQUIRED</t>
        </is>
      </c>
      <c r="I24" s="4" t="n"/>
      <c r="J24" t="inlineStr">
        <is>
          <t>Africa</t>
        </is>
      </c>
      <c r="O24" s="118" t="n"/>
      <c r="S24" s="118" t="n"/>
      <c r="V24" s="109" t="n"/>
    </row>
    <row r="25">
      <c r="B25" t="inlineStr">
        <is>
          <t>Democratic Republic of the Congo</t>
        </is>
      </c>
      <c r="C25" t="inlineStr">
        <is>
          <t>CD</t>
        </is>
      </c>
      <c r="D25" t="inlineStr">
        <is>
          <t>COD</t>
        </is>
      </c>
      <c r="E25" s="20" t="inlineStr">
        <is>
          <t>+243</t>
        </is>
      </c>
      <c r="F25" s="4" t="n"/>
      <c r="G25" s="4" t="inlineStr">
        <is>
          <t>REQUIRED</t>
        </is>
      </c>
      <c r="H25" s="4" t="inlineStr">
        <is>
          <t>REQUIRED</t>
        </is>
      </c>
      <c r="I25" s="4" t="n"/>
      <c r="J25" t="inlineStr">
        <is>
          <t>Africa</t>
        </is>
      </c>
      <c r="O25" s="118" t="n"/>
      <c r="S25" s="118" t="n"/>
      <c r="V25" s="109" t="n"/>
    </row>
    <row r="26">
      <c r="B26" t="inlineStr">
        <is>
          <t>Republic of the Congo</t>
        </is>
      </c>
      <c r="C26" t="inlineStr">
        <is>
          <t>CG</t>
        </is>
      </c>
      <c r="D26" t="inlineStr">
        <is>
          <t>COG</t>
        </is>
      </c>
      <c r="E26" s="20" t="inlineStr">
        <is>
          <t>+242</t>
        </is>
      </c>
      <c r="F26" s="4" t="n"/>
      <c r="G26" s="4" t="inlineStr">
        <is>
          <t>REQUIRED</t>
        </is>
      </c>
      <c r="H26" s="4" t="inlineStr">
        <is>
          <t>REQUIRED</t>
        </is>
      </c>
      <c r="I26" s="4" t="n"/>
      <c r="J26" t="inlineStr">
        <is>
          <t>Africa</t>
        </is>
      </c>
      <c r="O26" s="118" t="n"/>
      <c r="S26" s="118" t="n"/>
      <c r="V26" s="109" t="n"/>
    </row>
    <row r="27">
      <c r="B27" t="inlineStr">
        <is>
          <t>Comoros</t>
        </is>
      </c>
      <c r="C27" t="inlineStr">
        <is>
          <t>KM</t>
        </is>
      </c>
      <c r="D27" t="inlineStr">
        <is>
          <t>COM</t>
        </is>
      </c>
      <c r="E27" s="20" t="inlineStr">
        <is>
          <t>+269</t>
        </is>
      </c>
      <c r="F27" s="4" t="n"/>
      <c r="G27" s="4" t="inlineStr">
        <is>
          <t>REQUIRED</t>
        </is>
      </c>
      <c r="H27" s="4" t="inlineStr">
        <is>
          <t>REQUIRED</t>
        </is>
      </c>
      <c r="I27" s="4" t="n"/>
      <c r="J27" t="inlineStr">
        <is>
          <t>Africa</t>
        </is>
      </c>
      <c r="O27" s="118" t="n"/>
      <c r="S27" s="118" t="n"/>
      <c r="V27" s="109" t="n"/>
    </row>
    <row r="28">
      <c r="B28" t="inlineStr">
        <is>
          <t>Cape Verde</t>
        </is>
      </c>
      <c r="C28" t="inlineStr">
        <is>
          <t>CV</t>
        </is>
      </c>
      <c r="D28" t="inlineStr">
        <is>
          <t>CPV</t>
        </is>
      </c>
      <c r="E28" s="20" t="inlineStr">
        <is>
          <t>+238</t>
        </is>
      </c>
      <c r="F28" s="4" t="n"/>
      <c r="G28" s="4" t="inlineStr">
        <is>
          <t>REQUIRED</t>
        </is>
      </c>
      <c r="H28" s="4" t="inlineStr">
        <is>
          <t>REQUIRED</t>
        </is>
      </c>
      <c r="I28" s="4" t="n"/>
      <c r="J28" t="inlineStr">
        <is>
          <t>Africa</t>
        </is>
      </c>
      <c r="O28" s="118" t="n"/>
      <c r="S28" s="118" t="n"/>
      <c r="V28" s="109" t="n"/>
    </row>
    <row r="29">
      <c r="B29" t="inlineStr">
        <is>
          <t>Northern Cyprus</t>
        </is>
      </c>
      <c r="D29" t="inlineStr">
        <is>
          <t>CYN</t>
        </is>
      </c>
      <c r="E29" s="20" t="n"/>
      <c r="F29" s="4" t="n"/>
      <c r="G29" s="4" t="inlineStr">
        <is>
          <t>REQUIRED</t>
        </is>
      </c>
      <c r="H29" s="4" t="inlineStr">
        <is>
          <t>REQUIRED</t>
        </is>
      </c>
      <c r="I29" s="4" t="n"/>
      <c r="J29" t="inlineStr">
        <is>
          <t>Middle East</t>
        </is>
      </c>
      <c r="O29" s="118" t="n"/>
      <c r="S29" s="118" t="n"/>
      <c r="V29" s="109" t="n"/>
    </row>
    <row r="30">
      <c r="B30" t="inlineStr">
        <is>
          <t>Cyprus</t>
        </is>
      </c>
      <c r="C30" t="inlineStr">
        <is>
          <t>CY</t>
        </is>
      </c>
      <c r="D30" t="inlineStr">
        <is>
          <t>CYP</t>
        </is>
      </c>
      <c r="E30" s="20" t="n"/>
      <c r="F30" s="4" t="n"/>
      <c r="G30" s="4" t="inlineStr">
        <is>
          <t>REQUIRED</t>
        </is>
      </c>
      <c r="H30" s="4" t="inlineStr">
        <is>
          <t>REQUIRED</t>
        </is>
      </c>
      <c r="I30" s="4" t="n"/>
      <c r="J30" t="inlineStr">
        <is>
          <t>Europe</t>
        </is>
      </c>
      <c r="O30" s="118" t="n"/>
      <c r="S30" s="118" t="n"/>
      <c r="V30" s="109" t="n"/>
    </row>
    <row r="31">
      <c r="B31" t="inlineStr">
        <is>
          <t>Czechia</t>
        </is>
      </c>
      <c r="C31" t="inlineStr">
        <is>
          <t>CZ</t>
        </is>
      </c>
      <c r="D31" t="inlineStr">
        <is>
          <t>CZE</t>
        </is>
      </c>
      <c r="E31" s="20" t="n"/>
      <c r="F31" s="4" t="n"/>
      <c r="G31" s="4" t="inlineStr">
        <is>
          <t>REQUIRED</t>
        </is>
      </c>
      <c r="H31" s="4" t="inlineStr">
        <is>
          <t>REQUIRED</t>
        </is>
      </c>
      <c r="I31" s="4" t="n"/>
      <c r="J31" t="inlineStr">
        <is>
          <t>Europe</t>
        </is>
      </c>
      <c r="O31" s="118" t="n"/>
      <c r="S31" s="118" t="n"/>
      <c r="V31" s="109" t="n"/>
    </row>
    <row r="32">
      <c r="B32" t="inlineStr">
        <is>
          <t>Germany</t>
        </is>
      </c>
      <c r="C32" t="inlineStr">
        <is>
          <t>DE</t>
        </is>
      </c>
      <c r="D32" t="inlineStr">
        <is>
          <t>DEU</t>
        </is>
      </c>
      <c r="E32" s="20" t="n"/>
      <c r="F32" s="4" t="n"/>
      <c r="G32" s="4" t="inlineStr">
        <is>
          <t>REQUIRED</t>
        </is>
      </c>
      <c r="H32" s="4" t="inlineStr">
        <is>
          <t>REQUIRED</t>
        </is>
      </c>
      <c r="I32" s="4" t="n"/>
      <c r="J32" t="inlineStr">
        <is>
          <t>Europe</t>
        </is>
      </c>
      <c r="O32" s="118" t="n"/>
      <c r="S32" s="118" t="n"/>
      <c r="V32" s="109" t="n"/>
    </row>
    <row r="33">
      <c r="B33" t="inlineStr">
        <is>
          <t>Djibouti</t>
        </is>
      </c>
      <c r="C33" t="inlineStr">
        <is>
          <t>DJ</t>
        </is>
      </c>
      <c r="D33" t="inlineStr">
        <is>
          <t>DJI</t>
        </is>
      </c>
      <c r="E33" s="20" t="inlineStr">
        <is>
          <t>+253</t>
        </is>
      </c>
      <c r="F33" s="4" t="n"/>
      <c r="G33" s="4" t="inlineStr">
        <is>
          <t>REQUIRED</t>
        </is>
      </c>
      <c r="H33" s="4" t="inlineStr">
        <is>
          <t>REQUIRED</t>
        </is>
      </c>
      <c r="I33" s="4" t="n"/>
      <c r="J33" t="inlineStr">
        <is>
          <t>Africa</t>
        </is>
      </c>
      <c r="O33" s="118" t="n"/>
      <c r="S33" s="118" t="n"/>
      <c r="V33" s="109" t="n"/>
    </row>
    <row r="34">
      <c r="B34" t="inlineStr">
        <is>
          <t>Denmark</t>
        </is>
      </c>
      <c r="C34" t="inlineStr">
        <is>
          <t>DK</t>
        </is>
      </c>
      <c r="D34" t="inlineStr">
        <is>
          <t>DNK</t>
        </is>
      </c>
      <c r="E34" s="20" t="n"/>
      <c r="F34" s="4" t="n"/>
      <c r="G34" s="4" t="inlineStr">
        <is>
          <t>REQUIRED</t>
        </is>
      </c>
      <c r="H34" s="4" t="inlineStr">
        <is>
          <t>REQUIRED</t>
        </is>
      </c>
      <c r="I34" s="4" t="n"/>
      <c r="J34" t="inlineStr">
        <is>
          <t>Europe</t>
        </is>
      </c>
      <c r="O34" s="118" t="n"/>
      <c r="S34" s="118" t="n"/>
      <c r="V34" s="109" t="n"/>
    </row>
    <row r="35">
      <c r="B35" t="inlineStr">
        <is>
          <t>Algeria</t>
        </is>
      </c>
      <c r="C35" t="inlineStr">
        <is>
          <t>DZ</t>
        </is>
      </c>
      <c r="D35" t="inlineStr">
        <is>
          <t>DZA</t>
        </is>
      </c>
      <c r="E35" s="20" t="inlineStr">
        <is>
          <t>+213</t>
        </is>
      </c>
      <c r="F35" s="4" t="n"/>
      <c r="G35" s="4" t="inlineStr">
        <is>
          <t>REQUIRED</t>
        </is>
      </c>
      <c r="H35" s="4" t="inlineStr">
        <is>
          <t>REQUIRED</t>
        </is>
      </c>
      <c r="I35" s="4" t="n"/>
      <c r="J35" t="inlineStr">
        <is>
          <t>Africa</t>
        </is>
      </c>
      <c r="O35" s="118" t="n"/>
      <c r="S35" s="118" t="n"/>
      <c r="V35" s="109" t="n"/>
    </row>
    <row r="36">
      <c r="B36" t="inlineStr">
        <is>
          <t>Egypt</t>
        </is>
      </c>
      <c r="C36" t="inlineStr">
        <is>
          <t>EG</t>
        </is>
      </c>
      <c r="D36" t="inlineStr">
        <is>
          <t>EGY</t>
        </is>
      </c>
      <c r="E36" s="20" t="inlineStr">
        <is>
          <t>+20</t>
        </is>
      </c>
      <c r="F36" s="4" t="n"/>
      <c r="G36" s="4" t="inlineStr">
        <is>
          <t>REQUIRED</t>
        </is>
      </c>
      <c r="H36" s="4" t="inlineStr">
        <is>
          <t>REQUIRED</t>
        </is>
      </c>
      <c r="I36" s="4" t="n"/>
      <c r="J36" t="inlineStr">
        <is>
          <t>Africa</t>
        </is>
      </c>
      <c r="O36" s="118" t="n"/>
      <c r="S36" s="118" t="n"/>
      <c r="V36" s="109" t="n"/>
    </row>
    <row r="37">
      <c r="B37" t="inlineStr">
        <is>
          <t>Eritrea</t>
        </is>
      </c>
      <c r="C37" t="inlineStr">
        <is>
          <t>ER</t>
        </is>
      </c>
      <c r="D37" t="inlineStr">
        <is>
          <t>ERI</t>
        </is>
      </c>
      <c r="E37" s="20" t="inlineStr">
        <is>
          <t>+291</t>
        </is>
      </c>
      <c r="F37" s="4" t="n"/>
      <c r="G37" s="4" t="inlineStr">
        <is>
          <t>REQUIRED</t>
        </is>
      </c>
      <c r="H37" s="4" t="inlineStr">
        <is>
          <t>REQUIRED</t>
        </is>
      </c>
      <c r="I37" s="4" t="n"/>
      <c r="J37" t="inlineStr">
        <is>
          <t>Africa</t>
        </is>
      </c>
      <c r="O37" s="118" t="n"/>
      <c r="S37" s="118" t="n"/>
      <c r="V37" s="109" t="n"/>
    </row>
    <row r="38">
      <c r="B38" t="inlineStr">
        <is>
          <t>Western Sahara</t>
        </is>
      </c>
      <c r="C38" t="inlineStr">
        <is>
          <t>EH</t>
        </is>
      </c>
      <c r="D38" t="inlineStr">
        <is>
          <t>ESH</t>
        </is>
      </c>
      <c r="E38" s="20" t="inlineStr">
        <is>
          <t>+212</t>
        </is>
      </c>
      <c r="F38" s="4" t="n"/>
      <c r="G38" s="4" t="inlineStr">
        <is>
          <t>REQUIRED</t>
        </is>
      </c>
      <c r="H38" s="4" t="inlineStr">
        <is>
          <t>REQUIRED</t>
        </is>
      </c>
      <c r="I38" s="4" t="n"/>
      <c r="J38" t="inlineStr">
        <is>
          <t>Africa</t>
        </is>
      </c>
      <c r="O38" s="118" t="n"/>
      <c r="S38" s="118" t="n"/>
      <c r="V38" s="109" t="n"/>
    </row>
    <row r="39">
      <c r="B39" t="inlineStr">
        <is>
          <t>Spain</t>
        </is>
      </c>
      <c r="C39" t="inlineStr">
        <is>
          <t>ES</t>
        </is>
      </c>
      <c r="D39" t="inlineStr">
        <is>
          <t>ESP</t>
        </is>
      </c>
      <c r="E39" s="20" t="n"/>
      <c r="F39" s="4" t="n"/>
      <c r="G39" s="4" t="inlineStr">
        <is>
          <t>REQUIRED</t>
        </is>
      </c>
      <c r="H39" s="4" t="inlineStr">
        <is>
          <t>REQUIRED</t>
        </is>
      </c>
      <c r="I39" s="4" t="n"/>
      <c r="J39" t="inlineStr">
        <is>
          <t>Europe</t>
        </is>
      </c>
      <c r="O39" s="118" t="n"/>
      <c r="S39" s="118" t="n"/>
      <c r="V39" s="109" t="n"/>
    </row>
    <row r="40">
      <c r="B40" t="inlineStr">
        <is>
          <t>Estonia</t>
        </is>
      </c>
      <c r="C40" t="inlineStr">
        <is>
          <t>EE</t>
        </is>
      </c>
      <c r="D40" t="inlineStr">
        <is>
          <t>EST</t>
        </is>
      </c>
      <c r="E40" s="20" t="n"/>
      <c r="F40" s="4" t="n"/>
      <c r="G40" s="4" t="inlineStr">
        <is>
          <t>REQUIRED</t>
        </is>
      </c>
      <c r="H40" s="4" t="inlineStr">
        <is>
          <t>REQUIRED</t>
        </is>
      </c>
      <c r="I40" s="4" t="n"/>
      <c r="J40" t="inlineStr">
        <is>
          <t>Europe</t>
        </is>
      </c>
      <c r="O40" s="118" t="n"/>
      <c r="S40" s="118" t="n"/>
      <c r="V40" s="109" t="n"/>
    </row>
    <row r="41">
      <c r="B41" t="inlineStr">
        <is>
          <t>Ethiopia</t>
        </is>
      </c>
      <c r="C41" t="inlineStr">
        <is>
          <t>ET</t>
        </is>
      </c>
      <c r="D41" t="inlineStr">
        <is>
          <t>ETH</t>
        </is>
      </c>
      <c r="E41" s="20" t="inlineStr">
        <is>
          <t>+251</t>
        </is>
      </c>
      <c r="F41" s="4" t="n"/>
      <c r="G41" s="4" t="inlineStr">
        <is>
          <t>REQUIRED</t>
        </is>
      </c>
      <c r="H41" s="4" t="inlineStr">
        <is>
          <t>REQUIRED</t>
        </is>
      </c>
      <c r="I41" s="4" t="n"/>
      <c r="J41" t="inlineStr">
        <is>
          <t>Africa</t>
        </is>
      </c>
      <c r="O41" s="118" t="n"/>
      <c r="S41" s="118" t="n"/>
      <c r="V41" s="109" t="n"/>
    </row>
    <row r="42">
      <c r="B42" t="inlineStr">
        <is>
          <t>Finland</t>
        </is>
      </c>
      <c r="C42" t="inlineStr">
        <is>
          <t>FI</t>
        </is>
      </c>
      <c r="D42" t="inlineStr">
        <is>
          <t>FIN</t>
        </is>
      </c>
      <c r="E42" s="20" t="n"/>
      <c r="F42" s="4" t="n"/>
      <c r="G42" s="4" t="inlineStr">
        <is>
          <t>REQUIRED</t>
        </is>
      </c>
      <c r="H42" s="4" t="inlineStr">
        <is>
          <t>REQUIRED</t>
        </is>
      </c>
      <c r="I42" s="4" t="n"/>
      <c r="J42" t="inlineStr">
        <is>
          <t>Europe</t>
        </is>
      </c>
      <c r="O42" s="118" t="n"/>
      <c r="S42" s="118" t="n"/>
      <c r="V42" s="109" t="n"/>
    </row>
    <row r="43">
      <c r="B43" t="inlineStr">
        <is>
          <t>France</t>
        </is>
      </c>
      <c r="D43" t="inlineStr">
        <is>
          <t>FRA</t>
        </is>
      </c>
      <c r="E43" s="20" t="n"/>
      <c r="F43" s="4" t="n"/>
      <c r="G43" s="4" t="inlineStr">
        <is>
          <t>REQUIRED</t>
        </is>
      </c>
      <c r="H43" s="4" t="inlineStr">
        <is>
          <t>REQUIRED</t>
        </is>
      </c>
      <c r="I43" s="4" t="n"/>
      <c r="J43" t="inlineStr">
        <is>
          <t>Europe</t>
        </is>
      </c>
      <c r="O43" s="118" t="n"/>
      <c r="S43" s="118" t="n"/>
      <c r="V43" s="109" t="n"/>
    </row>
    <row r="44">
      <c r="B44" t="inlineStr">
        <is>
          <t>Gabon</t>
        </is>
      </c>
      <c r="C44" t="inlineStr">
        <is>
          <t>GA</t>
        </is>
      </c>
      <c r="D44" t="inlineStr">
        <is>
          <t>GAB</t>
        </is>
      </c>
      <c r="E44" s="20" t="inlineStr">
        <is>
          <t>+241</t>
        </is>
      </c>
      <c r="F44" s="4" t="n"/>
      <c r="G44" s="4" t="inlineStr">
        <is>
          <t>REQUIRED</t>
        </is>
      </c>
      <c r="H44" s="4" t="inlineStr">
        <is>
          <t>REQUIRED</t>
        </is>
      </c>
      <c r="I44" s="4" t="n"/>
      <c r="J44" t="inlineStr">
        <is>
          <t>Africa</t>
        </is>
      </c>
      <c r="O44" s="118" t="n"/>
      <c r="S44" s="118" t="n"/>
      <c r="V44" s="109" t="n"/>
    </row>
    <row r="45">
      <c r="B45" t="inlineStr">
        <is>
          <t>United Kingdom</t>
        </is>
      </c>
      <c r="C45" t="inlineStr">
        <is>
          <t>GB</t>
        </is>
      </c>
      <c r="D45" t="inlineStr">
        <is>
          <t>GBR</t>
        </is>
      </c>
      <c r="E45" s="20" t="n"/>
      <c r="F45" s="4" t="n"/>
      <c r="G45" s="4" t="inlineStr">
        <is>
          <t>REQUIRED</t>
        </is>
      </c>
      <c r="H45" s="4" t="inlineStr">
        <is>
          <t>REQUIRED</t>
        </is>
      </c>
      <c r="I45" s="4" t="n"/>
      <c r="J45" t="inlineStr">
        <is>
          <t>Europe</t>
        </is>
      </c>
      <c r="O45" s="118" t="n"/>
      <c r="S45" s="118" t="n"/>
      <c r="V45" s="109" t="n"/>
    </row>
    <row r="46">
      <c r="B46" t="inlineStr">
        <is>
          <t>Georgia</t>
        </is>
      </c>
      <c r="C46" t="inlineStr">
        <is>
          <t>GE</t>
        </is>
      </c>
      <c r="D46" t="inlineStr">
        <is>
          <t>GEO</t>
        </is>
      </c>
      <c r="E46" s="20" t="n"/>
      <c r="F46" s="4" t="n"/>
      <c r="G46" s="4" t="inlineStr">
        <is>
          <t>REQUIRED</t>
        </is>
      </c>
      <c r="H46" s="4" t="inlineStr">
        <is>
          <t>REQUIRED</t>
        </is>
      </c>
      <c r="I46" s="4" t="n"/>
      <c r="J46" t="inlineStr">
        <is>
          <t>Asia</t>
        </is>
      </c>
      <c r="O46" s="118" t="n"/>
      <c r="S46" s="118" t="n"/>
      <c r="V46" s="109" t="n"/>
    </row>
    <row r="47">
      <c r="B47" t="inlineStr">
        <is>
          <t>Ghana</t>
        </is>
      </c>
      <c r="C47" t="inlineStr">
        <is>
          <t>GH</t>
        </is>
      </c>
      <c r="D47" t="inlineStr">
        <is>
          <t>GHA</t>
        </is>
      </c>
      <c r="E47" s="20" t="inlineStr">
        <is>
          <t>+233</t>
        </is>
      </c>
      <c r="F47" s="4" t="n"/>
      <c r="G47" s="4" t="inlineStr">
        <is>
          <t>REQUIRED</t>
        </is>
      </c>
      <c r="H47" s="4" t="inlineStr">
        <is>
          <t>REQUIRED</t>
        </is>
      </c>
      <c r="I47" s="4" t="n"/>
      <c r="J47" t="inlineStr">
        <is>
          <t>Africa</t>
        </is>
      </c>
      <c r="O47" s="118" t="n"/>
      <c r="S47" s="118" t="n"/>
      <c r="V47" s="109" t="n"/>
    </row>
    <row r="48">
      <c r="B48" t="inlineStr">
        <is>
          <t>Guinea</t>
        </is>
      </c>
      <c r="C48" t="inlineStr">
        <is>
          <t>GN</t>
        </is>
      </c>
      <c r="D48" t="inlineStr">
        <is>
          <t>GIN</t>
        </is>
      </c>
      <c r="E48" s="20" t="inlineStr">
        <is>
          <t>+224</t>
        </is>
      </c>
      <c r="F48" s="4" t="n"/>
      <c r="G48" s="4" t="inlineStr">
        <is>
          <t>REQUIRED</t>
        </is>
      </c>
      <c r="H48" s="4" t="inlineStr">
        <is>
          <t>REQUIRED</t>
        </is>
      </c>
      <c r="I48" s="4" t="n"/>
      <c r="J48" t="inlineStr">
        <is>
          <t>Africa</t>
        </is>
      </c>
      <c r="O48" s="118" t="n"/>
      <c r="S48" s="118" t="n"/>
      <c r="V48" s="109" t="n"/>
    </row>
    <row r="49">
      <c r="B49" t="inlineStr">
        <is>
          <t>Gambia</t>
        </is>
      </c>
      <c r="C49" t="inlineStr">
        <is>
          <t>GM</t>
        </is>
      </c>
      <c r="D49" t="inlineStr">
        <is>
          <t>GMB</t>
        </is>
      </c>
      <c r="E49" s="20" t="inlineStr">
        <is>
          <t>+220</t>
        </is>
      </c>
      <c r="F49" s="4" t="n"/>
      <c r="G49" s="4" t="inlineStr">
        <is>
          <t>REQUIRED</t>
        </is>
      </c>
      <c r="H49" s="4" t="inlineStr">
        <is>
          <t>REQUIRED</t>
        </is>
      </c>
      <c r="I49" s="4" t="n"/>
      <c r="J49" t="inlineStr">
        <is>
          <t>Africa</t>
        </is>
      </c>
      <c r="O49" s="118" t="n"/>
      <c r="S49" s="118" t="n"/>
      <c r="V49" s="109" t="n"/>
    </row>
    <row r="50">
      <c r="B50" t="inlineStr">
        <is>
          <t>Guinea-Bissau</t>
        </is>
      </c>
      <c r="C50" t="inlineStr">
        <is>
          <t>GW</t>
        </is>
      </c>
      <c r="D50" t="inlineStr">
        <is>
          <t>GNB</t>
        </is>
      </c>
      <c r="E50" s="20" t="inlineStr">
        <is>
          <t>+245</t>
        </is>
      </c>
      <c r="F50" s="4" t="n"/>
      <c r="G50" s="4" t="inlineStr">
        <is>
          <t>REQUIRED</t>
        </is>
      </c>
      <c r="H50" s="4" t="inlineStr">
        <is>
          <t>REQUIRED</t>
        </is>
      </c>
      <c r="I50" s="4" t="n"/>
      <c r="J50" t="inlineStr">
        <is>
          <t>Africa</t>
        </is>
      </c>
      <c r="O50" s="118" t="n"/>
      <c r="S50" s="118" t="n"/>
      <c r="V50" s="109" t="n"/>
    </row>
    <row r="51">
      <c r="B51" t="inlineStr">
        <is>
          <t>Equatorial Guinea</t>
        </is>
      </c>
      <c r="C51" t="inlineStr">
        <is>
          <t>GQ</t>
        </is>
      </c>
      <c r="D51" t="inlineStr">
        <is>
          <t>GNQ</t>
        </is>
      </c>
      <c r="E51" s="20" t="inlineStr">
        <is>
          <t>+240</t>
        </is>
      </c>
      <c r="F51" s="4" t="n"/>
      <c r="G51" s="4" t="inlineStr">
        <is>
          <t>REQUIRED</t>
        </is>
      </c>
      <c r="H51" s="4" t="inlineStr">
        <is>
          <t>REQUIRED</t>
        </is>
      </c>
      <c r="I51" s="4" t="n"/>
      <c r="J51" t="inlineStr">
        <is>
          <t>Africa</t>
        </is>
      </c>
      <c r="O51" s="118" t="n"/>
      <c r="S51" s="118" t="n"/>
      <c r="V51" s="109" t="n"/>
    </row>
    <row r="52">
      <c r="B52" t="inlineStr">
        <is>
          <t>Greece</t>
        </is>
      </c>
      <c r="C52" t="inlineStr">
        <is>
          <t>GR</t>
        </is>
      </c>
      <c r="D52" t="inlineStr">
        <is>
          <t>GRC</t>
        </is>
      </c>
      <c r="E52" s="20" t="n"/>
      <c r="F52" s="4" t="n"/>
      <c r="G52" s="4" t="inlineStr">
        <is>
          <t>REQUIRED</t>
        </is>
      </c>
      <c r="H52" s="4" t="inlineStr">
        <is>
          <t>REQUIRED</t>
        </is>
      </c>
      <c r="I52" s="4" t="n"/>
      <c r="J52" t="inlineStr">
        <is>
          <t>Europe</t>
        </is>
      </c>
      <c r="O52" s="118" t="n"/>
      <c r="S52" s="118" t="n"/>
      <c r="V52" s="109" t="n"/>
    </row>
    <row r="53">
      <c r="B53" t="inlineStr">
        <is>
          <t>Greenland</t>
        </is>
      </c>
      <c r="C53" t="inlineStr">
        <is>
          <t>GL</t>
        </is>
      </c>
      <c r="D53" t="inlineStr">
        <is>
          <t>GRL</t>
        </is>
      </c>
      <c r="E53" s="20" t="n"/>
      <c r="F53" s="4" t="n"/>
      <c r="G53" s="4" t="inlineStr">
        <is>
          <t>REQUIRED</t>
        </is>
      </c>
      <c r="H53" s="4" t="inlineStr">
        <is>
          <t>REQUIRED</t>
        </is>
      </c>
      <c r="I53" s="4" t="n"/>
      <c r="J53" t="inlineStr">
        <is>
          <t>North America</t>
        </is>
      </c>
      <c r="O53" s="118" t="n"/>
      <c r="S53" s="118" t="n"/>
      <c r="V53" s="109" t="n"/>
    </row>
    <row r="54">
      <c r="B54" t="inlineStr">
        <is>
          <t>Croatia</t>
        </is>
      </c>
      <c r="C54" t="inlineStr">
        <is>
          <t>HR</t>
        </is>
      </c>
      <c r="D54" t="inlineStr">
        <is>
          <t>HRV</t>
        </is>
      </c>
      <c r="E54" s="20" t="n"/>
      <c r="F54" s="4" t="n"/>
      <c r="G54" s="4" t="inlineStr">
        <is>
          <t>REQUIRED</t>
        </is>
      </c>
      <c r="H54" s="4" t="inlineStr">
        <is>
          <t>REQUIRED</t>
        </is>
      </c>
      <c r="I54" s="4" t="n"/>
      <c r="J54" t="inlineStr">
        <is>
          <t>Europe</t>
        </is>
      </c>
      <c r="O54" s="118" t="n"/>
      <c r="S54" s="118" t="n"/>
      <c r="V54" s="109" t="n"/>
    </row>
    <row r="55">
      <c r="B55" t="inlineStr">
        <is>
          <t>Hungary</t>
        </is>
      </c>
      <c r="C55" t="inlineStr">
        <is>
          <t>HU</t>
        </is>
      </c>
      <c r="D55" t="inlineStr">
        <is>
          <t>HUN</t>
        </is>
      </c>
      <c r="E55" s="20" t="n"/>
      <c r="F55" s="4" t="n"/>
      <c r="G55" s="4" t="inlineStr">
        <is>
          <t>REQUIRED</t>
        </is>
      </c>
      <c r="H55" s="4" t="inlineStr">
        <is>
          <t>REQUIRED</t>
        </is>
      </c>
      <c r="I55" s="4" t="n"/>
      <c r="J55" t="inlineStr">
        <is>
          <t>Europe</t>
        </is>
      </c>
      <c r="O55" s="118" t="n"/>
      <c r="S55" s="118" t="n"/>
      <c r="V55" s="109" t="n"/>
    </row>
    <row r="56">
      <c r="B56" t="inlineStr">
        <is>
          <t>Indonesia</t>
        </is>
      </c>
      <c r="C56" t="inlineStr">
        <is>
          <t>ID</t>
        </is>
      </c>
      <c r="D56" t="inlineStr">
        <is>
          <t>IDN</t>
        </is>
      </c>
      <c r="E56" s="20" t="n"/>
      <c r="F56" s="4" t="n"/>
      <c r="G56" s="4" t="inlineStr">
        <is>
          <t>REQUIRED</t>
        </is>
      </c>
      <c r="H56" s="4" t="inlineStr">
        <is>
          <t>REQUIRED</t>
        </is>
      </c>
      <c r="I56" s="4" t="n"/>
      <c r="J56" t="inlineStr">
        <is>
          <t>Asia</t>
        </is>
      </c>
      <c r="O56" s="118" t="n"/>
      <c r="S56" s="118" t="n"/>
      <c r="V56" s="109" t="n"/>
    </row>
    <row r="57">
      <c r="B57" t="inlineStr">
        <is>
          <t>India</t>
        </is>
      </c>
      <c r="C57" t="inlineStr">
        <is>
          <t>IN</t>
        </is>
      </c>
      <c r="D57" t="inlineStr">
        <is>
          <t>IND</t>
        </is>
      </c>
      <c r="E57" s="20" t="n"/>
      <c r="F57" s="4" t="n"/>
      <c r="G57" s="4" t="inlineStr">
        <is>
          <t>REQUIRED</t>
        </is>
      </c>
      <c r="H57" s="4" t="inlineStr">
        <is>
          <t>REQUIRED</t>
        </is>
      </c>
      <c r="I57" s="4" t="n"/>
      <c r="J57" t="inlineStr">
        <is>
          <t>Asia</t>
        </is>
      </c>
      <c r="O57" s="118" t="n"/>
      <c r="S57" s="118" t="n"/>
      <c r="V57" s="109" t="n"/>
    </row>
    <row r="58">
      <c r="B58" t="inlineStr">
        <is>
          <t>Ireland</t>
        </is>
      </c>
      <c r="C58" t="inlineStr">
        <is>
          <t>IE</t>
        </is>
      </c>
      <c r="D58" t="inlineStr">
        <is>
          <t>IRL</t>
        </is>
      </c>
      <c r="E58" s="20" t="n"/>
      <c r="F58" s="4" t="n"/>
      <c r="G58" s="4" t="inlineStr">
        <is>
          <t>REQUIRED</t>
        </is>
      </c>
      <c r="H58" s="4" t="inlineStr">
        <is>
          <t>REQUIRED</t>
        </is>
      </c>
      <c r="I58" s="4" t="n"/>
      <c r="J58" t="inlineStr">
        <is>
          <t>Europe</t>
        </is>
      </c>
      <c r="O58" s="118" t="n"/>
      <c r="S58" s="118" t="n"/>
      <c r="V58" s="109" t="n"/>
    </row>
    <row r="59">
      <c r="B59" t="inlineStr">
        <is>
          <t>Iran</t>
        </is>
      </c>
      <c r="C59" t="inlineStr">
        <is>
          <t>IR</t>
        </is>
      </c>
      <c r="D59" t="inlineStr">
        <is>
          <t>IRN</t>
        </is>
      </c>
      <c r="E59" s="20" t="n"/>
      <c r="F59" s="4" t="n"/>
      <c r="G59" s="4" t="inlineStr">
        <is>
          <t>REQUIRED</t>
        </is>
      </c>
      <c r="H59" s="4" t="inlineStr">
        <is>
          <t>REQUIRED</t>
        </is>
      </c>
      <c r="I59" s="4" t="n"/>
      <c r="J59" t="inlineStr">
        <is>
          <t>Middle East</t>
        </is>
      </c>
      <c r="O59" s="118" t="n"/>
      <c r="S59" s="118" t="n"/>
      <c r="V59" s="109" t="n"/>
    </row>
    <row r="60">
      <c r="B60" t="inlineStr">
        <is>
          <t>Iraq</t>
        </is>
      </c>
      <c r="C60" t="inlineStr">
        <is>
          <t>IQ</t>
        </is>
      </c>
      <c r="D60" t="inlineStr">
        <is>
          <t>IRQ</t>
        </is>
      </c>
      <c r="E60" s="20" t="inlineStr">
        <is>
          <t>+964</t>
        </is>
      </c>
      <c r="F60" s="4" t="n"/>
      <c r="G60" s="4" t="inlineStr">
        <is>
          <t>REQUIRED</t>
        </is>
      </c>
      <c r="H60" s="4" t="inlineStr">
        <is>
          <t>REQUIRED</t>
        </is>
      </c>
      <c r="I60" s="4" t="n"/>
      <c r="J60" t="inlineStr">
        <is>
          <t>Middle East</t>
        </is>
      </c>
      <c r="O60" s="118" t="n"/>
      <c r="S60" s="118" t="n"/>
      <c r="V60" s="109" t="n"/>
    </row>
    <row r="61">
      <c r="B61" t="inlineStr">
        <is>
          <t>Iceland</t>
        </is>
      </c>
      <c r="C61" t="inlineStr">
        <is>
          <t>IS</t>
        </is>
      </c>
      <c r="D61" t="inlineStr">
        <is>
          <t>ISL</t>
        </is>
      </c>
      <c r="E61" s="20" t="n"/>
      <c r="F61" s="4" t="n"/>
      <c r="G61" s="4" t="inlineStr">
        <is>
          <t>REQUIRED</t>
        </is>
      </c>
      <c r="H61" s="4" t="inlineStr">
        <is>
          <t>REQUIRED</t>
        </is>
      </c>
      <c r="I61" s="4" t="n"/>
      <c r="J61" t="inlineStr">
        <is>
          <t>Europe</t>
        </is>
      </c>
      <c r="O61" s="118" t="n"/>
      <c r="S61" s="118" t="n"/>
      <c r="V61" s="109" t="n"/>
    </row>
    <row r="62">
      <c r="B62" t="inlineStr">
        <is>
          <t>Israel</t>
        </is>
      </c>
      <c r="C62" t="inlineStr">
        <is>
          <t>IL</t>
        </is>
      </c>
      <c r="D62" t="inlineStr">
        <is>
          <t>ISR</t>
        </is>
      </c>
      <c r="E62" s="20" t="inlineStr">
        <is>
          <t>+972</t>
        </is>
      </c>
      <c r="F62" s="4" t="n"/>
      <c r="G62" s="4" t="inlineStr">
        <is>
          <t>REQUIRED</t>
        </is>
      </c>
      <c r="H62" s="4" t="inlineStr">
        <is>
          <t>REQUIRED</t>
        </is>
      </c>
      <c r="I62" s="4" t="n"/>
      <c r="J62" t="inlineStr">
        <is>
          <t>Middle East</t>
        </is>
      </c>
      <c r="O62" s="118" t="n"/>
      <c r="S62" s="118" t="n"/>
      <c r="V62" s="109" t="n"/>
    </row>
    <row r="63">
      <c r="B63" t="inlineStr">
        <is>
          <t>Italy</t>
        </is>
      </c>
      <c r="C63" t="inlineStr">
        <is>
          <t>IT</t>
        </is>
      </c>
      <c r="D63" t="inlineStr">
        <is>
          <t>ITA</t>
        </is>
      </c>
      <c r="E63" s="20" t="n"/>
      <c r="F63" s="4" t="n"/>
      <c r="G63" s="4" t="inlineStr">
        <is>
          <t>REQUIRED</t>
        </is>
      </c>
      <c r="H63" s="4" t="inlineStr">
        <is>
          <t>REQUIRED</t>
        </is>
      </c>
      <c r="I63" s="4" t="n"/>
      <c r="J63" t="inlineStr">
        <is>
          <t>Europe</t>
        </is>
      </c>
      <c r="O63" s="118" t="n"/>
      <c r="S63" s="118" t="n"/>
      <c r="V63" s="109" t="n"/>
    </row>
    <row r="64">
      <c r="B64" t="inlineStr">
        <is>
          <t>Jordan</t>
        </is>
      </c>
      <c r="C64" t="inlineStr">
        <is>
          <t>JO</t>
        </is>
      </c>
      <c r="D64" t="inlineStr">
        <is>
          <t>JOR</t>
        </is>
      </c>
      <c r="E64" s="20" t="inlineStr">
        <is>
          <t>+962</t>
        </is>
      </c>
      <c r="F64" s="4" t="n"/>
      <c r="G64" s="4" t="inlineStr">
        <is>
          <t>REQUIRED</t>
        </is>
      </c>
      <c r="H64" s="4" t="inlineStr">
        <is>
          <t>REQUIRED</t>
        </is>
      </c>
      <c r="I64" s="4" t="n"/>
      <c r="J64" t="inlineStr">
        <is>
          <t>Middle East</t>
        </is>
      </c>
      <c r="O64" s="118" t="n"/>
      <c r="S64" s="118" t="n"/>
      <c r="V64" s="109" t="n"/>
    </row>
    <row r="65">
      <c r="B65" t="inlineStr">
        <is>
          <t>Kazakhstan</t>
        </is>
      </c>
      <c r="C65" t="inlineStr">
        <is>
          <t>KZ</t>
        </is>
      </c>
      <c r="D65" t="inlineStr">
        <is>
          <t>KAZ</t>
        </is>
      </c>
      <c r="E65" s="20" t="n"/>
      <c r="F65" s="4" t="n"/>
      <c r="G65" s="4" t="inlineStr">
        <is>
          <t>REQUIRED</t>
        </is>
      </c>
      <c r="H65" s="4" t="inlineStr">
        <is>
          <t>REQUIRED</t>
        </is>
      </c>
      <c r="I65" s="4" t="n"/>
      <c r="J65" t="inlineStr">
        <is>
          <t>Asia</t>
        </is>
      </c>
      <c r="O65" s="118" t="n"/>
      <c r="S65" s="118" t="n"/>
      <c r="V65" s="109" t="n"/>
    </row>
    <row r="66">
      <c r="B66" t="inlineStr">
        <is>
          <t>Kenya</t>
        </is>
      </c>
      <c r="C66" t="inlineStr">
        <is>
          <t>KE</t>
        </is>
      </c>
      <c r="D66" t="inlineStr">
        <is>
          <t>KEN</t>
        </is>
      </c>
      <c r="E66" s="20" t="inlineStr">
        <is>
          <t>+254</t>
        </is>
      </c>
      <c r="F66" s="4" t="n"/>
      <c r="G66" s="4" t="inlineStr">
        <is>
          <t>REQUIRED</t>
        </is>
      </c>
      <c r="H66" s="4" t="inlineStr">
        <is>
          <t>REQUIRED</t>
        </is>
      </c>
      <c r="I66" s="4" t="n"/>
      <c r="J66" t="inlineStr">
        <is>
          <t>Africa</t>
        </is>
      </c>
      <c r="O66" s="118" t="n"/>
      <c r="S66" s="118" t="n"/>
      <c r="V66" s="109" t="n"/>
    </row>
    <row r="67">
      <c r="B67" t="inlineStr">
        <is>
          <t>Kyrgyzstan</t>
        </is>
      </c>
      <c r="C67" t="inlineStr">
        <is>
          <t>KG</t>
        </is>
      </c>
      <c r="D67" t="inlineStr">
        <is>
          <t>KGZ</t>
        </is>
      </c>
      <c r="E67" s="20" t="n"/>
      <c r="F67" s="4" t="n"/>
      <c r="G67" s="4" t="inlineStr">
        <is>
          <t>REQUIRED</t>
        </is>
      </c>
      <c r="H67" s="4" t="inlineStr">
        <is>
          <t>REQUIRED</t>
        </is>
      </c>
      <c r="I67" s="4" t="n"/>
      <c r="J67" t="inlineStr">
        <is>
          <t>Asia</t>
        </is>
      </c>
      <c r="O67" s="118" t="n"/>
      <c r="S67" s="118" t="n"/>
      <c r="V67" s="109" t="n"/>
    </row>
    <row r="68">
      <c r="B68" t="inlineStr">
        <is>
          <t>Cambodia</t>
        </is>
      </c>
      <c r="C68" t="inlineStr">
        <is>
          <t>KH</t>
        </is>
      </c>
      <c r="D68" t="inlineStr">
        <is>
          <t>KHM</t>
        </is>
      </c>
      <c r="E68" s="20" t="n"/>
      <c r="F68" s="4" t="n"/>
      <c r="G68" s="4" t="inlineStr">
        <is>
          <t>REQUIRED</t>
        </is>
      </c>
      <c r="H68" s="4" t="inlineStr">
        <is>
          <t>REQUIRED</t>
        </is>
      </c>
      <c r="I68" s="4" t="n"/>
      <c r="J68" t="inlineStr">
        <is>
          <t>Asia</t>
        </is>
      </c>
      <c r="O68" s="118" t="n"/>
      <c r="S68" s="118" t="n"/>
      <c r="V68" s="109" t="n"/>
    </row>
    <row r="69">
      <c r="B69" t="inlineStr">
        <is>
          <t>Kuwait</t>
        </is>
      </c>
      <c r="C69" t="inlineStr">
        <is>
          <t>KW</t>
        </is>
      </c>
      <c r="D69" t="inlineStr">
        <is>
          <t>KWT</t>
        </is>
      </c>
      <c r="E69" s="20" t="inlineStr">
        <is>
          <t>+965</t>
        </is>
      </c>
      <c r="F69" s="4" t="n"/>
      <c r="G69" s="4" t="inlineStr">
        <is>
          <t>REQUIRED</t>
        </is>
      </c>
      <c r="H69" s="4" t="inlineStr">
        <is>
          <t>REQUIRED</t>
        </is>
      </c>
      <c r="I69" s="4" t="n"/>
      <c r="J69" t="inlineStr">
        <is>
          <t>Middle East</t>
        </is>
      </c>
      <c r="O69" s="118" t="n"/>
      <c r="S69" s="118" t="n"/>
      <c r="V69" s="109" t="n"/>
    </row>
    <row r="70">
      <c r="B70" t="inlineStr">
        <is>
          <t>Laos</t>
        </is>
      </c>
      <c r="C70" t="inlineStr">
        <is>
          <t>LA</t>
        </is>
      </c>
      <c r="D70" t="inlineStr">
        <is>
          <t>LAO</t>
        </is>
      </c>
      <c r="E70" s="20" t="n"/>
      <c r="F70" s="4" t="n"/>
      <c r="G70" s="4" t="inlineStr">
        <is>
          <t>REQUIRED</t>
        </is>
      </c>
      <c r="H70" s="4" t="inlineStr">
        <is>
          <t>REQUIRED</t>
        </is>
      </c>
      <c r="I70" s="4" t="n"/>
      <c r="J70" t="inlineStr">
        <is>
          <t>Asia</t>
        </is>
      </c>
      <c r="O70" s="118" t="n"/>
      <c r="S70" s="118" t="n"/>
      <c r="V70" s="109" t="n"/>
    </row>
    <row r="71">
      <c r="B71" t="inlineStr">
        <is>
          <t>Lebanon</t>
        </is>
      </c>
      <c r="C71" t="inlineStr">
        <is>
          <t>LB</t>
        </is>
      </c>
      <c r="D71" t="inlineStr">
        <is>
          <t>LBN</t>
        </is>
      </c>
      <c r="E71" s="20" t="inlineStr">
        <is>
          <t>+961</t>
        </is>
      </c>
      <c r="F71" s="4" t="n"/>
      <c r="G71" s="4" t="inlineStr">
        <is>
          <t>REQUIRED</t>
        </is>
      </c>
      <c r="H71" s="4" t="inlineStr">
        <is>
          <t>REQUIRED</t>
        </is>
      </c>
      <c r="I71" s="4" t="n"/>
      <c r="J71" t="inlineStr">
        <is>
          <t>Middle East</t>
        </is>
      </c>
      <c r="O71" s="118" t="n"/>
      <c r="S71" s="118" t="n"/>
      <c r="V71" s="109" t="n"/>
    </row>
    <row r="72">
      <c r="B72" t="inlineStr">
        <is>
          <t>Liberia</t>
        </is>
      </c>
      <c r="C72" t="inlineStr">
        <is>
          <t>LR</t>
        </is>
      </c>
      <c r="D72" t="inlineStr">
        <is>
          <t>LBR</t>
        </is>
      </c>
      <c r="E72" t="inlineStr">
        <is>
          <t>+231</t>
        </is>
      </c>
      <c r="G72" t="inlineStr">
        <is>
          <t>REQUIRED</t>
        </is>
      </c>
      <c r="H72" t="inlineStr">
        <is>
          <t>REQUIRED</t>
        </is>
      </c>
      <c r="J72" t="inlineStr">
        <is>
          <t>Africa</t>
        </is>
      </c>
      <c r="O72" s="118" t="n"/>
      <c r="S72" s="118" t="n"/>
      <c r="V72" s="109" t="n"/>
    </row>
    <row r="73">
      <c r="B73" t="inlineStr">
        <is>
          <t>Libya</t>
        </is>
      </c>
      <c r="C73" t="inlineStr">
        <is>
          <t>LY</t>
        </is>
      </c>
      <c r="D73" t="inlineStr">
        <is>
          <t>LBY</t>
        </is>
      </c>
      <c r="E73" t="inlineStr">
        <is>
          <t>+218</t>
        </is>
      </c>
      <c r="G73" t="inlineStr">
        <is>
          <t>REQUIRED</t>
        </is>
      </c>
      <c r="H73" t="inlineStr">
        <is>
          <t>REQUIRED</t>
        </is>
      </c>
      <c r="J73" t="inlineStr">
        <is>
          <t>Africa</t>
        </is>
      </c>
      <c r="O73" s="118" t="n"/>
      <c r="S73" s="118" t="n"/>
      <c r="V73" s="109" t="n"/>
    </row>
    <row r="74">
      <c r="B74" t="inlineStr">
        <is>
          <t>Sri Lanka</t>
        </is>
      </c>
      <c r="C74" t="inlineStr">
        <is>
          <t>LK</t>
        </is>
      </c>
      <c r="D74" t="inlineStr">
        <is>
          <t>LKA</t>
        </is>
      </c>
      <c r="G74" t="inlineStr">
        <is>
          <t>REQUIRED</t>
        </is>
      </c>
      <c r="H74" t="inlineStr">
        <is>
          <t>REQUIRED</t>
        </is>
      </c>
      <c r="J74" t="inlineStr">
        <is>
          <t>Asia</t>
        </is>
      </c>
      <c r="O74" s="118" t="n"/>
      <c r="S74" s="118" t="n"/>
      <c r="V74" s="109" t="n"/>
    </row>
    <row r="75">
      <c r="B75" t="inlineStr">
        <is>
          <t>Lesotho</t>
        </is>
      </c>
      <c r="C75" t="inlineStr">
        <is>
          <t>LS</t>
        </is>
      </c>
      <c r="D75" t="inlineStr">
        <is>
          <t>LSO</t>
        </is>
      </c>
      <c r="E75" t="inlineStr">
        <is>
          <t>+266</t>
        </is>
      </c>
      <c r="G75" t="inlineStr">
        <is>
          <t>REQUIRED</t>
        </is>
      </c>
      <c r="H75" t="inlineStr">
        <is>
          <t>REQUIRED</t>
        </is>
      </c>
      <c r="J75" t="inlineStr">
        <is>
          <t>Africa</t>
        </is>
      </c>
      <c r="O75" s="118" t="n"/>
      <c r="S75" s="118" t="n"/>
      <c r="V75" s="109" t="n"/>
    </row>
    <row r="76">
      <c r="B76" t="inlineStr">
        <is>
          <t>Lithuania</t>
        </is>
      </c>
      <c r="C76" t="inlineStr">
        <is>
          <t>LT</t>
        </is>
      </c>
      <c r="D76" t="inlineStr">
        <is>
          <t>LTU</t>
        </is>
      </c>
      <c r="G76" t="inlineStr">
        <is>
          <t>REQUIRED</t>
        </is>
      </c>
      <c r="H76" t="inlineStr">
        <is>
          <t>REQUIRED</t>
        </is>
      </c>
      <c r="J76" t="inlineStr">
        <is>
          <t>Europe</t>
        </is>
      </c>
      <c r="O76" s="118" t="n"/>
      <c r="S76" s="118" t="n"/>
      <c r="V76" s="109" t="n"/>
    </row>
    <row r="77">
      <c r="B77" t="inlineStr">
        <is>
          <t>Luxembourg</t>
        </is>
      </c>
      <c r="C77" t="inlineStr">
        <is>
          <t>LU</t>
        </is>
      </c>
      <c r="D77" t="inlineStr">
        <is>
          <t>LUX</t>
        </is>
      </c>
      <c r="G77" t="inlineStr">
        <is>
          <t>REQUIRED</t>
        </is>
      </c>
      <c r="H77" t="inlineStr">
        <is>
          <t>REQUIRED</t>
        </is>
      </c>
      <c r="J77" t="inlineStr">
        <is>
          <t>Europe</t>
        </is>
      </c>
      <c r="O77" s="118" t="n"/>
      <c r="S77" s="118" t="n"/>
      <c r="V77" s="109" t="n"/>
    </row>
    <row r="78">
      <c r="B78" t="inlineStr">
        <is>
          <t>Latvia</t>
        </is>
      </c>
      <c r="C78" t="inlineStr">
        <is>
          <t>LV</t>
        </is>
      </c>
      <c r="D78" t="inlineStr">
        <is>
          <t>LVA</t>
        </is>
      </c>
      <c r="G78" t="inlineStr">
        <is>
          <t>REQUIRED</t>
        </is>
      </c>
      <c r="H78" t="inlineStr">
        <is>
          <t>REQUIRED</t>
        </is>
      </c>
      <c r="J78" t="inlineStr">
        <is>
          <t>Europe</t>
        </is>
      </c>
      <c r="O78" s="118" t="n"/>
      <c r="S78" s="118" t="n"/>
      <c r="V78" s="109" t="n"/>
    </row>
    <row r="79">
      <c r="B79" t="inlineStr">
        <is>
          <t>Morocco</t>
        </is>
      </c>
      <c r="C79" t="inlineStr">
        <is>
          <t>MA</t>
        </is>
      </c>
      <c r="D79" t="inlineStr">
        <is>
          <t>MAR</t>
        </is>
      </c>
      <c r="E79" t="inlineStr">
        <is>
          <t>+212</t>
        </is>
      </c>
      <c r="G79" t="inlineStr">
        <is>
          <t>REQUIRED</t>
        </is>
      </c>
      <c r="H79" t="inlineStr">
        <is>
          <t>REQUIRED</t>
        </is>
      </c>
      <c r="J79" t="inlineStr">
        <is>
          <t>Africa</t>
        </is>
      </c>
      <c r="O79" s="118" t="n"/>
      <c r="S79" s="118" t="n"/>
      <c r="V79" s="109" t="n"/>
    </row>
    <row r="80">
      <c r="B80" t="inlineStr">
        <is>
          <t>Moldova</t>
        </is>
      </c>
      <c r="C80" t="inlineStr">
        <is>
          <t>MD</t>
        </is>
      </c>
      <c r="D80" t="inlineStr">
        <is>
          <t>MDA</t>
        </is>
      </c>
      <c r="G80" t="inlineStr">
        <is>
          <t>REQUIRED</t>
        </is>
      </c>
      <c r="H80" t="inlineStr">
        <is>
          <t>REQUIRED</t>
        </is>
      </c>
      <c r="J80" t="inlineStr">
        <is>
          <t>Europe</t>
        </is>
      </c>
      <c r="O80" s="118" t="n"/>
      <c r="S80" s="118" t="n"/>
      <c r="V80" s="109" t="n"/>
    </row>
    <row r="81">
      <c r="B81" t="inlineStr">
        <is>
          <t>Madagascar</t>
        </is>
      </c>
      <c r="C81" t="inlineStr">
        <is>
          <t>MG</t>
        </is>
      </c>
      <c r="D81" t="inlineStr">
        <is>
          <t>MDG</t>
        </is>
      </c>
      <c r="E81" t="inlineStr">
        <is>
          <t>+261</t>
        </is>
      </c>
      <c r="G81" t="inlineStr">
        <is>
          <t>REQUIRED</t>
        </is>
      </c>
      <c r="H81" t="inlineStr">
        <is>
          <t>REQUIRED</t>
        </is>
      </c>
      <c r="J81" t="inlineStr">
        <is>
          <t>Africa</t>
        </is>
      </c>
      <c r="O81" s="118" t="n"/>
      <c r="S81" s="118" t="n"/>
      <c r="V81" s="109" t="n"/>
    </row>
    <row r="82">
      <c r="B82" t="inlineStr">
        <is>
          <t>Maldives</t>
        </is>
      </c>
      <c r="C82" t="inlineStr">
        <is>
          <t>MV</t>
        </is>
      </c>
      <c r="D82" t="inlineStr">
        <is>
          <t>MDV</t>
        </is>
      </c>
      <c r="G82" t="inlineStr">
        <is>
          <t>REQUIRED</t>
        </is>
      </c>
      <c r="H82" t="inlineStr">
        <is>
          <t>REQUIRED</t>
        </is>
      </c>
      <c r="J82" t="inlineStr">
        <is>
          <t>Asia</t>
        </is>
      </c>
      <c r="O82" s="118" t="n"/>
      <c r="S82" s="118" t="n"/>
      <c r="V82" s="109" t="n"/>
    </row>
    <row r="83">
      <c r="B83" t="inlineStr">
        <is>
          <t>North Macedonia</t>
        </is>
      </c>
      <c r="C83" t="inlineStr">
        <is>
          <t>MK</t>
        </is>
      </c>
      <c r="D83" t="inlineStr">
        <is>
          <t>MKD</t>
        </is>
      </c>
      <c r="G83" t="inlineStr">
        <is>
          <t>REQUIRED</t>
        </is>
      </c>
      <c r="H83" t="inlineStr">
        <is>
          <t>REQUIRED</t>
        </is>
      </c>
      <c r="J83" t="inlineStr">
        <is>
          <t>Europe</t>
        </is>
      </c>
      <c r="O83" s="118" t="n"/>
      <c r="S83" s="118" t="n"/>
      <c r="V83" s="109" t="n"/>
    </row>
    <row r="84">
      <c r="B84" t="inlineStr">
        <is>
          <t>Mali</t>
        </is>
      </c>
      <c r="C84" t="inlineStr">
        <is>
          <t>ML</t>
        </is>
      </c>
      <c r="D84" t="inlineStr">
        <is>
          <t>MLI</t>
        </is>
      </c>
      <c r="E84" t="inlineStr">
        <is>
          <t>+223</t>
        </is>
      </c>
      <c r="G84" t="inlineStr">
        <is>
          <t>REQUIRED</t>
        </is>
      </c>
      <c r="H84" t="inlineStr">
        <is>
          <t>REQUIRED</t>
        </is>
      </c>
      <c r="J84" t="inlineStr">
        <is>
          <t>Africa</t>
        </is>
      </c>
      <c r="O84" s="118" t="n"/>
      <c r="S84" s="118" t="n"/>
      <c r="V84" s="109" t="n"/>
    </row>
    <row r="85">
      <c r="B85" t="inlineStr">
        <is>
          <t>Malta</t>
        </is>
      </c>
      <c r="C85" t="inlineStr">
        <is>
          <t>MT</t>
        </is>
      </c>
      <c r="D85" t="inlineStr">
        <is>
          <t>MLT</t>
        </is>
      </c>
      <c r="G85" t="inlineStr">
        <is>
          <t>REQUIRED</t>
        </is>
      </c>
      <c r="H85" t="inlineStr">
        <is>
          <t>REQUIRED</t>
        </is>
      </c>
      <c r="J85" t="inlineStr">
        <is>
          <t>Europe</t>
        </is>
      </c>
      <c r="O85" s="118" t="n"/>
      <c r="S85" s="118" t="n"/>
      <c r="V85" s="109" t="n"/>
    </row>
    <row r="86">
      <c r="B86" t="inlineStr">
        <is>
          <t>Myanmar</t>
        </is>
      </c>
      <c r="C86" t="inlineStr">
        <is>
          <t>MM</t>
        </is>
      </c>
      <c r="D86" t="inlineStr">
        <is>
          <t>MMR</t>
        </is>
      </c>
      <c r="G86" t="inlineStr">
        <is>
          <t>REQUIRED</t>
        </is>
      </c>
      <c r="H86" t="inlineStr">
        <is>
          <t>REQUIRED</t>
        </is>
      </c>
      <c r="J86" t="inlineStr">
        <is>
          <t>Asia</t>
        </is>
      </c>
      <c r="O86" s="118" t="n"/>
      <c r="S86" s="118" t="n"/>
      <c r="V86" s="109" t="n"/>
    </row>
    <row r="87">
      <c r="B87" t="inlineStr">
        <is>
          <t>Montenegro</t>
        </is>
      </c>
      <c r="C87" t="inlineStr">
        <is>
          <t>ME</t>
        </is>
      </c>
      <c r="D87" t="inlineStr">
        <is>
          <t>MNE</t>
        </is>
      </c>
      <c r="G87" t="inlineStr">
        <is>
          <t>REQUIRED</t>
        </is>
      </c>
      <c r="H87" t="inlineStr">
        <is>
          <t>REQUIRED</t>
        </is>
      </c>
      <c r="J87" t="inlineStr">
        <is>
          <t>Europe</t>
        </is>
      </c>
      <c r="O87" s="118" t="n"/>
      <c r="S87" s="118" t="n"/>
      <c r="V87" s="109" t="n"/>
    </row>
    <row r="88">
      <c r="B88" t="inlineStr">
        <is>
          <t>Mongolia</t>
        </is>
      </c>
      <c r="C88" t="inlineStr">
        <is>
          <t>MN</t>
        </is>
      </c>
      <c r="D88" t="inlineStr">
        <is>
          <t>MNG</t>
        </is>
      </c>
      <c r="G88" t="inlineStr">
        <is>
          <t>REQUIRED</t>
        </is>
      </c>
      <c r="H88" t="inlineStr">
        <is>
          <t>REQUIRED</t>
        </is>
      </c>
      <c r="J88" t="inlineStr">
        <is>
          <t>Asia</t>
        </is>
      </c>
      <c r="O88" s="118" t="n"/>
      <c r="S88" s="118" t="n"/>
      <c r="V88" s="109" t="n"/>
    </row>
    <row r="89">
      <c r="B89" t="inlineStr">
        <is>
          <t>Mozambique</t>
        </is>
      </c>
      <c r="C89" t="inlineStr">
        <is>
          <t>MZ</t>
        </is>
      </c>
      <c r="D89" t="inlineStr">
        <is>
          <t>MOZ</t>
        </is>
      </c>
      <c r="E89" t="inlineStr">
        <is>
          <t>+258</t>
        </is>
      </c>
      <c r="G89" t="inlineStr">
        <is>
          <t>REQUIRED</t>
        </is>
      </c>
      <c r="H89" t="inlineStr">
        <is>
          <t>REQUIRED</t>
        </is>
      </c>
      <c r="J89" t="inlineStr">
        <is>
          <t>Africa</t>
        </is>
      </c>
      <c r="O89" s="118" t="n"/>
      <c r="S89" s="118" t="n"/>
      <c r="V89" s="109" t="n"/>
    </row>
    <row r="90">
      <c r="B90" t="inlineStr">
        <is>
          <t>Mauritania</t>
        </is>
      </c>
      <c r="C90" t="inlineStr">
        <is>
          <t>MR</t>
        </is>
      </c>
      <c r="D90" t="inlineStr">
        <is>
          <t>MRT</t>
        </is>
      </c>
      <c r="E90" t="inlineStr">
        <is>
          <t>+222</t>
        </is>
      </c>
      <c r="G90" t="inlineStr">
        <is>
          <t>REQUIRED</t>
        </is>
      </c>
      <c r="H90" t="inlineStr">
        <is>
          <t>REQUIRED</t>
        </is>
      </c>
      <c r="J90" t="inlineStr">
        <is>
          <t>Africa</t>
        </is>
      </c>
      <c r="O90" s="118" t="n"/>
      <c r="S90" s="118" t="n"/>
      <c r="V90" s="109" t="n"/>
    </row>
    <row r="91">
      <c r="B91" t="inlineStr">
        <is>
          <t>Mauritius</t>
        </is>
      </c>
      <c r="C91" t="inlineStr">
        <is>
          <t>MU</t>
        </is>
      </c>
      <c r="D91" t="inlineStr">
        <is>
          <t>MUS</t>
        </is>
      </c>
      <c r="E91" t="inlineStr">
        <is>
          <t>+230</t>
        </is>
      </c>
      <c r="G91" t="inlineStr">
        <is>
          <t>REQUIRED</t>
        </is>
      </c>
      <c r="H91" t="inlineStr">
        <is>
          <t>REQUIRED</t>
        </is>
      </c>
      <c r="J91" t="inlineStr">
        <is>
          <t>Africa</t>
        </is>
      </c>
      <c r="O91" s="118" t="n"/>
      <c r="S91" s="118" t="n"/>
      <c r="V91" s="109" t="n"/>
    </row>
    <row r="92">
      <c r="B92" t="inlineStr">
        <is>
          <t>Malawi</t>
        </is>
      </c>
      <c r="C92" t="inlineStr">
        <is>
          <t>MW</t>
        </is>
      </c>
      <c r="D92" t="inlineStr">
        <is>
          <t>MWI</t>
        </is>
      </c>
      <c r="E92" t="inlineStr">
        <is>
          <t>+265</t>
        </is>
      </c>
      <c r="G92" t="inlineStr">
        <is>
          <t>REQUIRED</t>
        </is>
      </c>
      <c r="H92" t="inlineStr">
        <is>
          <t>REQUIRED</t>
        </is>
      </c>
      <c r="J92" t="inlineStr">
        <is>
          <t>Africa</t>
        </is>
      </c>
      <c r="O92" s="118" t="n"/>
      <c r="S92" s="118" t="n"/>
      <c r="V92" s="109" t="n"/>
    </row>
    <row r="93">
      <c r="B93" t="inlineStr">
        <is>
          <t>Malaysia</t>
        </is>
      </c>
      <c r="C93" t="inlineStr">
        <is>
          <t>MY</t>
        </is>
      </c>
      <c r="D93" t="inlineStr">
        <is>
          <t>MYS</t>
        </is>
      </c>
      <c r="G93" t="inlineStr">
        <is>
          <t>REQUIRED</t>
        </is>
      </c>
      <c r="H93" t="inlineStr">
        <is>
          <t>REQUIRED</t>
        </is>
      </c>
      <c r="J93" t="inlineStr">
        <is>
          <t>Asia</t>
        </is>
      </c>
      <c r="O93" s="118" t="n"/>
      <c r="S93" s="118" t="n"/>
      <c r="V93" s="109" t="n"/>
    </row>
    <row r="94">
      <c r="B94" t="inlineStr">
        <is>
          <t>Mayotte</t>
        </is>
      </c>
      <c r="C94" t="inlineStr">
        <is>
          <t>YT</t>
        </is>
      </c>
      <c r="D94" t="inlineStr">
        <is>
          <t>MYT</t>
        </is>
      </c>
      <c r="E94" t="inlineStr">
        <is>
          <t>+262</t>
        </is>
      </c>
      <c r="G94" t="inlineStr">
        <is>
          <t>REQUIRED</t>
        </is>
      </c>
      <c r="H94" t="inlineStr">
        <is>
          <t>REQUIRED</t>
        </is>
      </c>
      <c r="J94" t="inlineStr">
        <is>
          <t>Africa</t>
        </is>
      </c>
      <c r="O94" s="118" t="n"/>
      <c r="S94" s="118" t="n"/>
      <c r="V94" s="109" t="n"/>
    </row>
    <row r="95">
      <c r="B95" t="inlineStr">
        <is>
          <t>Namibia</t>
        </is>
      </c>
      <c r="C95" t="inlineStr">
        <is>
          <t>NA</t>
        </is>
      </c>
      <c r="D95" t="inlineStr">
        <is>
          <t>NAM</t>
        </is>
      </c>
      <c r="E95" t="inlineStr">
        <is>
          <t>+264</t>
        </is>
      </c>
      <c r="G95" t="inlineStr">
        <is>
          <t>REQUIRED</t>
        </is>
      </c>
      <c r="H95" t="inlineStr">
        <is>
          <t>REQUIRED</t>
        </is>
      </c>
      <c r="J95" t="inlineStr">
        <is>
          <t>Africa</t>
        </is>
      </c>
      <c r="O95" s="118" t="n"/>
      <c r="S95" s="118" t="n"/>
      <c r="V95" s="109" t="n"/>
    </row>
    <row r="96">
      <c r="B96" t="inlineStr">
        <is>
          <t>Niger</t>
        </is>
      </c>
      <c r="C96" t="inlineStr">
        <is>
          <t>NE</t>
        </is>
      </c>
      <c r="D96" t="inlineStr">
        <is>
          <t>NER</t>
        </is>
      </c>
      <c r="E96" t="inlineStr">
        <is>
          <t>+227</t>
        </is>
      </c>
      <c r="G96" t="inlineStr">
        <is>
          <t>REQUIRED</t>
        </is>
      </c>
      <c r="H96" t="inlineStr">
        <is>
          <t>REQUIRED</t>
        </is>
      </c>
      <c r="J96" t="inlineStr">
        <is>
          <t>Africa</t>
        </is>
      </c>
      <c r="O96" s="118" t="n"/>
      <c r="S96" s="118" t="n"/>
      <c r="V96" s="109" t="n"/>
    </row>
    <row r="97">
      <c r="B97" t="inlineStr">
        <is>
          <t>Nigeria</t>
        </is>
      </c>
      <c r="C97" t="inlineStr">
        <is>
          <t>NG</t>
        </is>
      </c>
      <c r="D97" t="inlineStr">
        <is>
          <t>NGA</t>
        </is>
      </c>
      <c r="E97" t="inlineStr">
        <is>
          <t>+234</t>
        </is>
      </c>
      <c r="G97" t="inlineStr">
        <is>
          <t>REQUIRED</t>
        </is>
      </c>
      <c r="H97" t="inlineStr">
        <is>
          <t>REQUIRED</t>
        </is>
      </c>
      <c r="J97" t="inlineStr">
        <is>
          <t>Africa</t>
        </is>
      </c>
      <c r="O97" s="118" t="n"/>
      <c r="S97" s="118" t="n"/>
      <c r="V97" s="109" t="n"/>
    </row>
    <row r="98">
      <c r="B98" t="inlineStr">
        <is>
          <t>Netherlands</t>
        </is>
      </c>
      <c r="C98" t="inlineStr">
        <is>
          <t>NL</t>
        </is>
      </c>
      <c r="D98" t="inlineStr">
        <is>
          <t>NLD</t>
        </is>
      </c>
      <c r="G98" t="inlineStr">
        <is>
          <t>REQUIRED</t>
        </is>
      </c>
      <c r="H98" t="inlineStr">
        <is>
          <t>REQUIRED</t>
        </is>
      </c>
      <c r="J98" t="inlineStr">
        <is>
          <t>Europe</t>
        </is>
      </c>
      <c r="O98" s="118" t="n"/>
      <c r="S98" s="118" t="n"/>
      <c r="V98" s="109" t="n"/>
    </row>
    <row r="99">
      <c r="B99" t="inlineStr">
        <is>
          <t>Norway</t>
        </is>
      </c>
      <c r="D99" t="inlineStr">
        <is>
          <t>NOR</t>
        </is>
      </c>
      <c r="G99" t="inlineStr">
        <is>
          <t>REQUIRED</t>
        </is>
      </c>
      <c r="H99" t="inlineStr">
        <is>
          <t>REQUIRED</t>
        </is>
      </c>
      <c r="J99" t="inlineStr">
        <is>
          <t>Europe</t>
        </is>
      </c>
      <c r="O99" s="118" t="n"/>
      <c r="S99" s="118" t="n"/>
      <c r="V99" s="109" t="n"/>
    </row>
    <row r="100">
      <c r="B100" t="inlineStr">
        <is>
          <t>Nepal</t>
        </is>
      </c>
      <c r="C100" t="inlineStr">
        <is>
          <t>NP</t>
        </is>
      </c>
      <c r="D100" t="inlineStr">
        <is>
          <t>NPL</t>
        </is>
      </c>
      <c r="G100" t="inlineStr">
        <is>
          <t>REQUIRED</t>
        </is>
      </c>
      <c r="H100" t="inlineStr">
        <is>
          <t>REQUIRED</t>
        </is>
      </c>
      <c r="J100" t="inlineStr">
        <is>
          <t>Asia</t>
        </is>
      </c>
      <c r="O100" s="118" t="n"/>
      <c r="S100" s="118" t="n"/>
      <c r="V100" s="109" t="n"/>
    </row>
    <row r="101">
      <c r="B101" t="inlineStr">
        <is>
          <t>Oman</t>
        </is>
      </c>
      <c r="C101" t="inlineStr">
        <is>
          <t>OM</t>
        </is>
      </c>
      <c r="D101" t="inlineStr">
        <is>
          <t>OMN</t>
        </is>
      </c>
      <c r="E101" t="inlineStr">
        <is>
          <t>+968</t>
        </is>
      </c>
      <c r="G101" t="inlineStr">
        <is>
          <t>REQUIRED</t>
        </is>
      </c>
      <c r="H101" t="inlineStr">
        <is>
          <t>REQUIRED</t>
        </is>
      </c>
      <c r="J101" t="inlineStr">
        <is>
          <t>Middle East</t>
        </is>
      </c>
      <c r="O101" s="118" t="n"/>
      <c r="S101" s="118" t="n"/>
      <c r="V101" s="109" t="n"/>
    </row>
    <row r="102">
      <c r="B102" t="inlineStr">
        <is>
          <t>Pakistan</t>
        </is>
      </c>
      <c r="C102" t="inlineStr">
        <is>
          <t>PK</t>
        </is>
      </c>
      <c r="D102" t="inlineStr">
        <is>
          <t>PAK</t>
        </is>
      </c>
      <c r="G102" t="inlineStr">
        <is>
          <t>REQUIRED</t>
        </is>
      </c>
      <c r="H102" t="inlineStr">
        <is>
          <t>REQUIRED</t>
        </is>
      </c>
      <c r="J102" t="inlineStr">
        <is>
          <t>Asia</t>
        </is>
      </c>
      <c r="O102" s="118" t="n"/>
      <c r="S102" s="118" t="n"/>
      <c r="V102" s="109" t="n"/>
    </row>
    <row r="103">
      <c r="B103" t="inlineStr">
        <is>
          <t>Poland</t>
        </is>
      </c>
      <c r="C103" t="inlineStr">
        <is>
          <t>PL</t>
        </is>
      </c>
      <c r="D103" t="inlineStr">
        <is>
          <t>POL</t>
        </is>
      </c>
      <c r="G103" t="inlineStr">
        <is>
          <t>REQUIRED</t>
        </is>
      </c>
      <c r="H103" t="inlineStr">
        <is>
          <t>REQUIRED</t>
        </is>
      </c>
      <c r="J103" t="inlineStr">
        <is>
          <t>Europe</t>
        </is>
      </c>
      <c r="O103" s="118" t="n"/>
      <c r="S103" s="118" t="n"/>
      <c r="V103" s="109" t="n"/>
    </row>
    <row r="104">
      <c r="B104" t="inlineStr">
        <is>
          <t>Portugal</t>
        </is>
      </c>
      <c r="C104" t="inlineStr">
        <is>
          <t>PT</t>
        </is>
      </c>
      <c r="D104" t="inlineStr">
        <is>
          <t>PRT</t>
        </is>
      </c>
      <c r="G104" t="inlineStr">
        <is>
          <t>REQUIRED</t>
        </is>
      </c>
      <c r="H104" t="inlineStr">
        <is>
          <t>REQUIRED</t>
        </is>
      </c>
      <c r="J104" t="inlineStr">
        <is>
          <t>Europe</t>
        </is>
      </c>
      <c r="O104" s="118" t="n"/>
      <c r="S104" s="118" t="n"/>
      <c r="V104" s="109" t="n"/>
    </row>
    <row r="105">
      <c r="B105" t="inlineStr">
        <is>
          <t>Palestine</t>
        </is>
      </c>
      <c r="C105" t="inlineStr">
        <is>
          <t>PS</t>
        </is>
      </c>
      <c r="D105" t="inlineStr">
        <is>
          <t>PSE</t>
        </is>
      </c>
      <c r="G105" t="inlineStr">
        <is>
          <t>REQUIRED</t>
        </is>
      </c>
      <c r="H105" t="inlineStr">
        <is>
          <t>REQUIRED</t>
        </is>
      </c>
      <c r="J105" t="inlineStr">
        <is>
          <t>Middle East</t>
        </is>
      </c>
      <c r="O105" s="118" t="n"/>
      <c r="S105" s="118" t="n"/>
      <c r="V105" s="109" t="n"/>
    </row>
    <row r="106">
      <c r="B106" t="inlineStr">
        <is>
          <t>Qatar</t>
        </is>
      </c>
      <c r="C106" t="inlineStr">
        <is>
          <t>QA</t>
        </is>
      </c>
      <c r="D106" t="inlineStr">
        <is>
          <t>QAT</t>
        </is>
      </c>
      <c r="E106" t="inlineStr">
        <is>
          <t>+974</t>
        </is>
      </c>
      <c r="G106" t="inlineStr">
        <is>
          <t>REQUIRED</t>
        </is>
      </c>
      <c r="H106" t="inlineStr">
        <is>
          <t>REQUIRED</t>
        </is>
      </c>
      <c r="J106" t="inlineStr">
        <is>
          <t>Middle East</t>
        </is>
      </c>
      <c r="O106" s="118" t="n"/>
      <c r="S106" s="118" t="n"/>
      <c r="V106" s="109" t="n"/>
    </row>
    <row r="107">
      <c r="B107" t="inlineStr">
        <is>
          <t>Réunion</t>
        </is>
      </c>
      <c r="C107" t="inlineStr">
        <is>
          <t>RE</t>
        </is>
      </c>
      <c r="D107" t="inlineStr">
        <is>
          <t>REU</t>
        </is>
      </c>
      <c r="E107" t="inlineStr">
        <is>
          <t>+262</t>
        </is>
      </c>
      <c r="G107" t="inlineStr">
        <is>
          <t>REQUIRED</t>
        </is>
      </c>
      <c r="H107" t="inlineStr">
        <is>
          <t>REQUIRED</t>
        </is>
      </c>
      <c r="J107" t="inlineStr">
        <is>
          <t>Africa</t>
        </is>
      </c>
      <c r="O107" s="118" t="n"/>
      <c r="S107" s="118" t="n"/>
      <c r="V107" s="109" t="n"/>
    </row>
    <row r="108">
      <c r="B108" t="inlineStr">
        <is>
          <t>Romania</t>
        </is>
      </c>
      <c r="C108" t="inlineStr">
        <is>
          <t>RO</t>
        </is>
      </c>
      <c r="D108" t="inlineStr">
        <is>
          <t>ROU</t>
        </is>
      </c>
      <c r="G108" t="inlineStr">
        <is>
          <t>REQUIRED</t>
        </is>
      </c>
      <c r="H108" t="inlineStr">
        <is>
          <t>REQUIRED</t>
        </is>
      </c>
      <c r="J108" t="inlineStr">
        <is>
          <t>Europe</t>
        </is>
      </c>
      <c r="O108" s="118" t="n"/>
      <c r="S108" s="118" t="n"/>
      <c r="V108" s="109" t="n"/>
    </row>
    <row r="109">
      <c r="B109" t="inlineStr">
        <is>
          <t>Russia</t>
        </is>
      </c>
      <c r="C109" t="inlineStr">
        <is>
          <t>RU</t>
        </is>
      </c>
      <c r="D109" t="inlineStr">
        <is>
          <t>RUS</t>
        </is>
      </c>
      <c r="G109" t="inlineStr">
        <is>
          <t>REQUIRED</t>
        </is>
      </c>
      <c r="H109" t="inlineStr">
        <is>
          <t>REQUIRED</t>
        </is>
      </c>
      <c r="J109" t="inlineStr">
        <is>
          <t>Europe</t>
        </is>
      </c>
      <c r="O109" s="118" t="n"/>
      <c r="S109" s="118" t="n"/>
      <c r="V109" s="109" t="n"/>
    </row>
    <row r="110">
      <c r="B110" t="inlineStr">
        <is>
          <t>Rwanda</t>
        </is>
      </c>
      <c r="C110" t="inlineStr">
        <is>
          <t>RW</t>
        </is>
      </c>
      <c r="D110" t="inlineStr">
        <is>
          <t>RWA</t>
        </is>
      </c>
      <c r="E110" t="inlineStr">
        <is>
          <t>+250</t>
        </is>
      </c>
      <c r="G110" t="inlineStr">
        <is>
          <t>REQUIRED</t>
        </is>
      </c>
      <c r="H110" t="inlineStr">
        <is>
          <t>REQUIRED</t>
        </is>
      </c>
      <c r="J110" t="inlineStr">
        <is>
          <t>Africa</t>
        </is>
      </c>
      <c r="O110" s="118" t="n"/>
      <c r="S110" s="118" t="n"/>
      <c r="V110" s="109" t="n"/>
    </row>
    <row r="111">
      <c r="B111" t="inlineStr">
        <is>
          <t>Saudi Arabia</t>
        </is>
      </c>
      <c r="C111" t="inlineStr">
        <is>
          <t>SA</t>
        </is>
      </c>
      <c r="D111" t="inlineStr">
        <is>
          <t>SAU</t>
        </is>
      </c>
      <c r="E111" t="inlineStr">
        <is>
          <t>+966</t>
        </is>
      </c>
      <c r="G111" t="inlineStr">
        <is>
          <t>REQUIRED</t>
        </is>
      </c>
      <c r="H111" t="inlineStr">
        <is>
          <t>REQUIRED</t>
        </is>
      </c>
      <c r="J111" t="inlineStr">
        <is>
          <t>Middle East</t>
        </is>
      </c>
      <c r="O111" s="118" t="n"/>
      <c r="S111" s="118" t="n"/>
      <c r="V111" s="109" t="n"/>
    </row>
    <row r="112">
      <c r="B112" t="inlineStr">
        <is>
          <t>Sudan</t>
        </is>
      </c>
      <c r="C112" t="inlineStr">
        <is>
          <t>SD</t>
        </is>
      </c>
      <c r="D112" t="inlineStr">
        <is>
          <t>SDN</t>
        </is>
      </c>
      <c r="E112" t="inlineStr">
        <is>
          <t>+249</t>
        </is>
      </c>
      <c r="G112" t="inlineStr">
        <is>
          <t>REQUIRED</t>
        </is>
      </c>
      <c r="H112" t="inlineStr">
        <is>
          <t>REQUIRED</t>
        </is>
      </c>
      <c r="J112" t="inlineStr">
        <is>
          <t>Africa</t>
        </is>
      </c>
      <c r="O112" s="118" t="n"/>
      <c r="S112" s="118" t="n"/>
      <c r="V112" s="109" t="n"/>
    </row>
    <row r="113">
      <c r="B113" t="inlineStr">
        <is>
          <t>Senegal</t>
        </is>
      </c>
      <c r="C113" t="inlineStr">
        <is>
          <t>SN</t>
        </is>
      </c>
      <c r="D113" t="inlineStr">
        <is>
          <t>SEN</t>
        </is>
      </c>
      <c r="E113" t="inlineStr">
        <is>
          <t>+221</t>
        </is>
      </c>
      <c r="G113" t="inlineStr">
        <is>
          <t>REQUIRED</t>
        </is>
      </c>
      <c r="H113" t="inlineStr">
        <is>
          <t>REQUIRED</t>
        </is>
      </c>
      <c r="J113" t="inlineStr">
        <is>
          <t>Africa</t>
        </is>
      </c>
      <c r="O113" s="118" t="n"/>
      <c r="S113" s="118" t="n"/>
      <c r="V113" s="109" t="n"/>
    </row>
    <row r="114">
      <c r="B114" t="inlineStr">
        <is>
          <t>Saint Helena, Ascension and Tristan da Cunha</t>
        </is>
      </c>
      <c r="C114" t="inlineStr">
        <is>
          <t>SH</t>
        </is>
      </c>
      <c r="D114" t="inlineStr">
        <is>
          <t>SHN</t>
        </is>
      </c>
      <c r="E114" t="inlineStr">
        <is>
          <t>+290</t>
        </is>
      </c>
      <c r="G114" t="inlineStr">
        <is>
          <t>REQUIRED</t>
        </is>
      </c>
      <c r="H114" t="inlineStr">
        <is>
          <t>REQUIRED</t>
        </is>
      </c>
      <c r="J114" t="inlineStr">
        <is>
          <t>Africa</t>
        </is>
      </c>
      <c r="O114" s="118" t="n"/>
      <c r="S114" s="118" t="n"/>
      <c r="V114" s="109" t="n"/>
    </row>
    <row r="115">
      <c r="B115" t="inlineStr">
        <is>
          <t>Sierra Leone</t>
        </is>
      </c>
      <c r="C115" t="inlineStr">
        <is>
          <t>SL</t>
        </is>
      </c>
      <c r="D115" t="inlineStr">
        <is>
          <t>SLE</t>
        </is>
      </c>
      <c r="E115" t="inlineStr">
        <is>
          <t>+232</t>
        </is>
      </c>
      <c r="G115" t="inlineStr">
        <is>
          <t>REQUIRED</t>
        </is>
      </c>
      <c r="H115" t="inlineStr">
        <is>
          <t>REQUIRED</t>
        </is>
      </c>
      <c r="J115" t="inlineStr">
        <is>
          <t>Africa</t>
        </is>
      </c>
      <c r="O115" s="118" t="n"/>
      <c r="S115" s="118" t="n"/>
      <c r="V115" s="109" t="n"/>
    </row>
    <row r="116">
      <c r="B116" t="inlineStr">
        <is>
          <t>Somaliland</t>
        </is>
      </c>
      <c r="D116" t="inlineStr">
        <is>
          <t>SOL</t>
        </is>
      </c>
      <c r="G116" t="inlineStr">
        <is>
          <t>REQUIRED</t>
        </is>
      </c>
      <c r="H116" t="inlineStr">
        <is>
          <t>REQUIRED</t>
        </is>
      </c>
      <c r="J116" t="inlineStr">
        <is>
          <t>Africa</t>
        </is>
      </c>
      <c r="O116" s="118" t="n"/>
      <c r="S116" s="118" t="n"/>
      <c r="V116" s="109" t="n"/>
    </row>
    <row r="117">
      <c r="B117" t="inlineStr">
        <is>
          <t>Somalia</t>
        </is>
      </c>
      <c r="C117" t="inlineStr">
        <is>
          <t>SO</t>
        </is>
      </c>
      <c r="D117" t="inlineStr">
        <is>
          <t>SOM</t>
        </is>
      </c>
      <c r="E117" t="inlineStr">
        <is>
          <t>+252</t>
        </is>
      </c>
      <c r="G117" t="inlineStr">
        <is>
          <t>REQUIRED</t>
        </is>
      </c>
      <c r="H117" t="inlineStr">
        <is>
          <t>REQUIRED</t>
        </is>
      </c>
      <c r="J117" t="inlineStr">
        <is>
          <t>Africa</t>
        </is>
      </c>
      <c r="O117" s="118" t="n"/>
      <c r="S117" s="118" t="n"/>
      <c r="V117" s="109" t="n"/>
    </row>
    <row r="118">
      <c r="B118" t="inlineStr">
        <is>
          <t>Serbia</t>
        </is>
      </c>
      <c r="C118" t="inlineStr">
        <is>
          <t>RS</t>
        </is>
      </c>
      <c r="D118" t="inlineStr">
        <is>
          <t>SRB</t>
        </is>
      </c>
      <c r="G118" t="inlineStr">
        <is>
          <t>REQUIRED</t>
        </is>
      </c>
      <c r="H118" t="inlineStr">
        <is>
          <t>REQUIRED</t>
        </is>
      </c>
      <c r="J118" t="inlineStr">
        <is>
          <t>Europe</t>
        </is>
      </c>
      <c r="O118" s="118" t="n"/>
      <c r="S118" s="118" t="n"/>
      <c r="V118" s="109" t="n"/>
    </row>
    <row r="119">
      <c r="B119" t="inlineStr">
        <is>
          <t>South Sudan</t>
        </is>
      </c>
      <c r="C119" t="inlineStr">
        <is>
          <t>SS</t>
        </is>
      </c>
      <c r="D119" t="inlineStr">
        <is>
          <t>SSD</t>
        </is>
      </c>
      <c r="E119" t="inlineStr">
        <is>
          <t>+211</t>
        </is>
      </c>
      <c r="G119" t="inlineStr">
        <is>
          <t>REQUIRED</t>
        </is>
      </c>
      <c r="H119" t="inlineStr">
        <is>
          <t>REQUIRED</t>
        </is>
      </c>
      <c r="J119" t="inlineStr">
        <is>
          <t>Africa</t>
        </is>
      </c>
      <c r="O119" s="118" t="n"/>
      <c r="S119" s="118" t="n"/>
      <c r="V119" s="109" t="n"/>
    </row>
    <row r="120">
      <c r="B120" t="inlineStr">
        <is>
          <t>São Tomé and Príncipe</t>
        </is>
      </c>
      <c r="C120" t="inlineStr">
        <is>
          <t>ST</t>
        </is>
      </c>
      <c r="D120" t="inlineStr">
        <is>
          <t>STP</t>
        </is>
      </c>
      <c r="E120" t="inlineStr">
        <is>
          <t>+239</t>
        </is>
      </c>
      <c r="G120" t="inlineStr">
        <is>
          <t>REQUIRED</t>
        </is>
      </c>
      <c r="H120" t="inlineStr">
        <is>
          <t>REQUIRED</t>
        </is>
      </c>
      <c r="J120" t="inlineStr">
        <is>
          <t>Africa</t>
        </is>
      </c>
      <c r="O120" s="118" t="n"/>
      <c r="S120" s="118" t="n"/>
      <c r="V120" s="109" t="n"/>
    </row>
    <row r="121">
      <c r="B121" t="inlineStr">
        <is>
          <t>Slovakia</t>
        </is>
      </c>
      <c r="C121" t="inlineStr">
        <is>
          <t>SK</t>
        </is>
      </c>
      <c r="D121" t="inlineStr">
        <is>
          <t>SVK</t>
        </is>
      </c>
      <c r="G121" t="inlineStr">
        <is>
          <t>REQUIRED</t>
        </is>
      </c>
      <c r="H121" t="inlineStr">
        <is>
          <t>REQUIRED</t>
        </is>
      </c>
      <c r="J121" t="inlineStr">
        <is>
          <t>Europe</t>
        </is>
      </c>
      <c r="O121" s="118" t="n"/>
      <c r="S121" s="118" t="n"/>
      <c r="V121" s="109" t="n"/>
    </row>
    <row r="122">
      <c r="B122" t="inlineStr">
        <is>
          <t>Slovenia</t>
        </is>
      </c>
      <c r="C122" t="inlineStr">
        <is>
          <t>SI</t>
        </is>
      </c>
      <c r="D122" t="inlineStr">
        <is>
          <t>SVN</t>
        </is>
      </c>
      <c r="G122" t="inlineStr">
        <is>
          <t>REQUIRED</t>
        </is>
      </c>
      <c r="H122" t="inlineStr">
        <is>
          <t>REQUIRED</t>
        </is>
      </c>
      <c r="J122" t="inlineStr">
        <is>
          <t>Europe</t>
        </is>
      </c>
      <c r="O122" s="118" t="n"/>
      <c r="S122" s="118" t="n"/>
      <c r="V122" s="109" t="n"/>
    </row>
    <row r="123">
      <c r="B123" t="inlineStr">
        <is>
          <t>Sweden</t>
        </is>
      </c>
      <c r="C123" t="inlineStr">
        <is>
          <t>SE</t>
        </is>
      </c>
      <c r="D123" t="inlineStr">
        <is>
          <t>SWE</t>
        </is>
      </c>
      <c r="G123" t="inlineStr">
        <is>
          <t>REQUIRED</t>
        </is>
      </c>
      <c r="H123" t="inlineStr">
        <is>
          <t>REQUIRED</t>
        </is>
      </c>
      <c r="J123" t="inlineStr">
        <is>
          <t>Europe</t>
        </is>
      </c>
      <c r="O123" s="118" t="n"/>
      <c r="S123" s="118" t="n"/>
      <c r="V123" s="109" t="n"/>
    </row>
    <row r="124">
      <c r="B124" t="inlineStr">
        <is>
          <t>Eswatini</t>
        </is>
      </c>
      <c r="C124" t="inlineStr">
        <is>
          <t>SZ</t>
        </is>
      </c>
      <c r="D124" t="inlineStr">
        <is>
          <t>SWZ</t>
        </is>
      </c>
      <c r="E124" t="inlineStr">
        <is>
          <t>+268</t>
        </is>
      </c>
      <c r="G124" t="inlineStr">
        <is>
          <t>REQUIRED</t>
        </is>
      </c>
      <c r="H124" t="inlineStr">
        <is>
          <t>REQUIRED</t>
        </is>
      </c>
      <c r="J124" t="inlineStr">
        <is>
          <t>Africa</t>
        </is>
      </c>
      <c r="O124" s="118" t="n"/>
      <c r="S124" s="118" t="n"/>
      <c r="V124" s="109" t="n"/>
    </row>
    <row r="125">
      <c r="B125" t="inlineStr">
        <is>
          <t>Seychelles</t>
        </is>
      </c>
      <c r="C125" t="inlineStr">
        <is>
          <t>SC</t>
        </is>
      </c>
      <c r="D125" t="inlineStr">
        <is>
          <t>SYC</t>
        </is>
      </c>
      <c r="E125" t="inlineStr">
        <is>
          <t>+248</t>
        </is>
      </c>
      <c r="G125" t="inlineStr">
        <is>
          <t>REQUIRED</t>
        </is>
      </c>
      <c r="H125" t="inlineStr">
        <is>
          <t>REQUIRED</t>
        </is>
      </c>
      <c r="J125" t="inlineStr">
        <is>
          <t>Africa</t>
        </is>
      </c>
      <c r="O125" s="118" t="n"/>
      <c r="S125" s="118" t="n"/>
      <c r="V125" s="109" t="n"/>
    </row>
    <row r="126">
      <c r="B126" t="inlineStr">
        <is>
          <t>Syria</t>
        </is>
      </c>
      <c r="C126" t="inlineStr">
        <is>
          <t>SY</t>
        </is>
      </c>
      <c r="D126" t="inlineStr">
        <is>
          <t>SYR</t>
        </is>
      </c>
      <c r="G126" t="inlineStr">
        <is>
          <t>REQUIRED</t>
        </is>
      </c>
      <c r="H126" t="inlineStr">
        <is>
          <t>REQUIRED</t>
        </is>
      </c>
      <c r="J126" t="inlineStr">
        <is>
          <t>Middle East</t>
        </is>
      </c>
      <c r="O126" s="118" t="n"/>
      <c r="S126" s="118" t="n"/>
      <c r="V126" s="109" t="n"/>
    </row>
    <row r="127">
      <c r="B127" t="inlineStr">
        <is>
          <t>Chad</t>
        </is>
      </c>
      <c r="C127" t="inlineStr">
        <is>
          <t>TD</t>
        </is>
      </c>
      <c r="D127" t="inlineStr">
        <is>
          <t>TCD</t>
        </is>
      </c>
      <c r="E127" t="inlineStr">
        <is>
          <t>+235</t>
        </is>
      </c>
      <c r="G127" t="inlineStr">
        <is>
          <t>REQUIRED</t>
        </is>
      </c>
      <c r="H127" t="inlineStr">
        <is>
          <t>REQUIRED</t>
        </is>
      </c>
      <c r="J127" t="inlineStr">
        <is>
          <t>Africa</t>
        </is>
      </c>
      <c r="O127" s="118" t="n"/>
      <c r="S127" s="118" t="n"/>
      <c r="V127" s="109" t="n"/>
    </row>
    <row r="128">
      <c r="B128" t="inlineStr">
        <is>
          <t>Togo</t>
        </is>
      </c>
      <c r="C128" t="inlineStr">
        <is>
          <t>TG</t>
        </is>
      </c>
      <c r="D128" t="inlineStr">
        <is>
          <t>TGO</t>
        </is>
      </c>
      <c r="E128" t="inlineStr">
        <is>
          <t>+228</t>
        </is>
      </c>
      <c r="G128" t="inlineStr">
        <is>
          <t>REQUIRED</t>
        </is>
      </c>
      <c r="H128" t="inlineStr">
        <is>
          <t>REQUIRED</t>
        </is>
      </c>
      <c r="J128" t="inlineStr">
        <is>
          <t>Africa</t>
        </is>
      </c>
      <c r="O128" s="118" t="n"/>
      <c r="S128" s="118" t="n"/>
      <c r="V128" s="109" t="n"/>
    </row>
    <row r="129">
      <c r="B129" t="inlineStr">
        <is>
          <t>Thailand</t>
        </is>
      </c>
      <c r="C129" t="inlineStr">
        <is>
          <t>TH</t>
        </is>
      </c>
      <c r="D129" t="inlineStr">
        <is>
          <t>THA</t>
        </is>
      </c>
      <c r="G129" t="inlineStr">
        <is>
          <t>REQUIRED</t>
        </is>
      </c>
      <c r="H129" t="inlineStr">
        <is>
          <t>REQUIRED</t>
        </is>
      </c>
      <c r="J129" t="inlineStr">
        <is>
          <t>Asia</t>
        </is>
      </c>
      <c r="O129" s="118" t="n"/>
      <c r="S129" s="118" t="n"/>
      <c r="V129" s="109" t="n"/>
    </row>
    <row r="130">
      <c r="B130" t="inlineStr">
        <is>
          <t>Tajikistan</t>
        </is>
      </c>
      <c r="C130" t="inlineStr">
        <is>
          <t>TJ</t>
        </is>
      </c>
      <c r="D130" t="inlineStr">
        <is>
          <t>TJK</t>
        </is>
      </c>
      <c r="G130" t="inlineStr">
        <is>
          <t>REQUIRED</t>
        </is>
      </c>
      <c r="H130" t="inlineStr">
        <is>
          <t>REQUIRED</t>
        </is>
      </c>
      <c r="J130" t="inlineStr">
        <is>
          <t>Asia</t>
        </is>
      </c>
      <c r="O130" s="118" t="n"/>
      <c r="S130" s="118" t="n"/>
      <c r="V130" s="109" t="n"/>
    </row>
    <row r="131">
      <c r="B131" t="inlineStr">
        <is>
          <t>Turkmenistan</t>
        </is>
      </c>
      <c r="C131" t="inlineStr">
        <is>
          <t>TM</t>
        </is>
      </c>
      <c r="D131" t="inlineStr">
        <is>
          <t>TKM</t>
        </is>
      </c>
      <c r="G131" t="inlineStr">
        <is>
          <t>REQUIRED</t>
        </is>
      </c>
      <c r="H131" t="inlineStr">
        <is>
          <t>REQUIRED</t>
        </is>
      </c>
      <c r="J131" t="inlineStr">
        <is>
          <t>Asia</t>
        </is>
      </c>
      <c r="O131" s="118" t="n"/>
      <c r="S131" s="118" t="n"/>
      <c r="V131" s="109" t="n"/>
    </row>
    <row r="132">
      <c r="B132" t="inlineStr">
        <is>
          <t>Tunisia</t>
        </is>
      </c>
      <c r="C132" t="inlineStr">
        <is>
          <t>TN</t>
        </is>
      </c>
      <c r="D132" t="inlineStr">
        <is>
          <t>TUN</t>
        </is>
      </c>
      <c r="E132" t="inlineStr">
        <is>
          <t>+216</t>
        </is>
      </c>
      <c r="G132" t="inlineStr">
        <is>
          <t>REQUIRED</t>
        </is>
      </c>
      <c r="H132" t="inlineStr">
        <is>
          <t>REQUIRED</t>
        </is>
      </c>
      <c r="J132" t="inlineStr">
        <is>
          <t>Africa</t>
        </is>
      </c>
      <c r="O132" s="118" t="n"/>
      <c r="S132" s="118" t="n"/>
      <c r="V132" s="109" t="n"/>
    </row>
    <row r="133">
      <c r="B133" t="inlineStr">
        <is>
          <t>Turkey</t>
        </is>
      </c>
      <c r="C133" t="inlineStr">
        <is>
          <t>TR</t>
        </is>
      </c>
      <c r="D133" t="inlineStr">
        <is>
          <t>TUR</t>
        </is>
      </c>
      <c r="G133" t="inlineStr">
        <is>
          <t>REQUIRED</t>
        </is>
      </c>
      <c r="H133" t="inlineStr">
        <is>
          <t>REQUIRED</t>
        </is>
      </c>
      <c r="J133" t="inlineStr">
        <is>
          <t>Middle East</t>
        </is>
      </c>
      <c r="O133" s="118" t="n"/>
      <c r="S133" s="118" t="n"/>
      <c r="V133" s="109" t="n"/>
    </row>
    <row r="134">
      <c r="B134" t="inlineStr">
        <is>
          <t>Tanzania</t>
        </is>
      </c>
      <c r="C134" t="inlineStr">
        <is>
          <t>TZ</t>
        </is>
      </c>
      <c r="D134" t="inlineStr">
        <is>
          <t>TZA</t>
        </is>
      </c>
      <c r="E134" t="inlineStr">
        <is>
          <t>+255</t>
        </is>
      </c>
      <c r="G134" t="inlineStr">
        <is>
          <t>REQUIRED</t>
        </is>
      </c>
      <c r="H134" t="inlineStr">
        <is>
          <t>REQUIRED</t>
        </is>
      </c>
      <c r="J134" t="inlineStr">
        <is>
          <t>Africa</t>
        </is>
      </c>
      <c r="O134" s="118" t="n"/>
      <c r="S134" s="118" t="n"/>
      <c r="V134" s="109" t="n"/>
    </row>
    <row r="135">
      <c r="B135" t="inlineStr">
        <is>
          <t>Uganda</t>
        </is>
      </c>
      <c r="C135" t="inlineStr">
        <is>
          <t>UG</t>
        </is>
      </c>
      <c r="D135" t="inlineStr">
        <is>
          <t>UGA</t>
        </is>
      </c>
      <c r="E135" t="inlineStr">
        <is>
          <t>+256</t>
        </is>
      </c>
      <c r="G135" t="inlineStr">
        <is>
          <t>REQUIRED</t>
        </is>
      </c>
      <c r="H135" t="inlineStr">
        <is>
          <t>REQUIRED</t>
        </is>
      </c>
      <c r="J135" t="inlineStr">
        <is>
          <t>Africa</t>
        </is>
      </c>
      <c r="O135" s="118" t="n"/>
      <c r="S135" s="118" t="n"/>
      <c r="V135" s="109" t="n"/>
    </row>
    <row r="136">
      <c r="B136" t="inlineStr">
        <is>
          <t>Ukraine</t>
        </is>
      </c>
      <c r="C136" t="inlineStr">
        <is>
          <t>UA</t>
        </is>
      </c>
      <c r="D136" t="inlineStr">
        <is>
          <t>UKR</t>
        </is>
      </c>
      <c r="G136" t="inlineStr">
        <is>
          <t>REQUIRED</t>
        </is>
      </c>
      <c r="H136" t="inlineStr">
        <is>
          <t>REQUIRED</t>
        </is>
      </c>
      <c r="J136" t="inlineStr">
        <is>
          <t>Europe</t>
        </is>
      </c>
      <c r="O136" s="118" t="n"/>
      <c r="S136" s="118" t="n"/>
      <c r="V136" s="109" t="n"/>
    </row>
    <row r="137">
      <c r="B137" t="inlineStr">
        <is>
          <t>Uzbekistan</t>
        </is>
      </c>
      <c r="C137" t="inlineStr">
        <is>
          <t>UZ</t>
        </is>
      </c>
      <c r="D137" t="inlineStr">
        <is>
          <t>UZB</t>
        </is>
      </c>
      <c r="G137" t="inlineStr">
        <is>
          <t>REQUIRED</t>
        </is>
      </c>
      <c r="H137" t="inlineStr">
        <is>
          <t>REQUIRED</t>
        </is>
      </c>
      <c r="J137" t="inlineStr">
        <is>
          <t>Asia</t>
        </is>
      </c>
      <c r="O137" s="118" t="n"/>
      <c r="S137" s="118" t="n"/>
      <c r="V137" s="109" t="n"/>
    </row>
    <row r="138">
      <c r="B138" t="inlineStr">
        <is>
          <t>Vietnam</t>
        </is>
      </c>
      <c r="C138" t="inlineStr">
        <is>
          <t>VN</t>
        </is>
      </c>
      <c r="D138" t="inlineStr">
        <is>
          <t>VNM</t>
        </is>
      </c>
      <c r="G138" t="inlineStr">
        <is>
          <t>REQUIRED</t>
        </is>
      </c>
      <c r="H138" t="inlineStr">
        <is>
          <t>REQUIRED</t>
        </is>
      </c>
      <c r="J138" t="inlineStr">
        <is>
          <t>Asia</t>
        </is>
      </c>
      <c r="O138" s="118" t="n"/>
      <c r="S138" s="118" t="n"/>
      <c r="V138" s="109" t="n"/>
    </row>
    <row r="139">
      <c r="B139" t="inlineStr">
        <is>
          <t>Kosovo</t>
        </is>
      </c>
      <c r="D139" t="inlineStr">
        <is>
          <t>XKX</t>
        </is>
      </c>
      <c r="G139" t="inlineStr">
        <is>
          <t>REQUIRED</t>
        </is>
      </c>
      <c r="H139" t="inlineStr">
        <is>
          <t>REQUIRED</t>
        </is>
      </c>
      <c r="J139" t="inlineStr">
        <is>
          <t>Europe</t>
        </is>
      </c>
      <c r="O139" s="118" t="n"/>
      <c r="S139" s="118" t="n"/>
      <c r="V139" s="109" t="n"/>
    </row>
    <row r="140">
      <c r="B140" t="inlineStr">
        <is>
          <t>Yemen</t>
        </is>
      </c>
      <c r="C140" t="inlineStr">
        <is>
          <t>YE</t>
        </is>
      </c>
      <c r="D140" t="inlineStr">
        <is>
          <t>YEM</t>
        </is>
      </c>
      <c r="E140" t="inlineStr">
        <is>
          <t>+967</t>
        </is>
      </c>
      <c r="G140" t="inlineStr">
        <is>
          <t>REQUIRED</t>
        </is>
      </c>
      <c r="H140" t="inlineStr">
        <is>
          <t>REQUIRED</t>
        </is>
      </c>
      <c r="J140" t="inlineStr">
        <is>
          <t>Middle East</t>
        </is>
      </c>
      <c r="O140" s="118" t="n"/>
      <c r="S140" s="118" t="n"/>
      <c r="V140" s="109" t="n"/>
    </row>
    <row r="141">
      <c r="B141" t="inlineStr">
        <is>
          <t>South Africa</t>
        </is>
      </c>
      <c r="C141" t="inlineStr">
        <is>
          <t>ZA</t>
        </is>
      </c>
      <c r="D141" t="inlineStr">
        <is>
          <t>ZAF</t>
        </is>
      </c>
      <c r="E141" t="inlineStr">
        <is>
          <t>+27</t>
        </is>
      </c>
      <c r="G141" t="inlineStr">
        <is>
          <t>REQUIRED</t>
        </is>
      </c>
      <c r="H141" t="inlineStr">
        <is>
          <t>REQUIRED</t>
        </is>
      </c>
      <c r="J141" t="inlineStr">
        <is>
          <t>Africa</t>
        </is>
      </c>
      <c r="O141" s="118" t="n"/>
      <c r="S141" s="118" t="n"/>
      <c r="V141" s="109" t="n"/>
    </row>
    <row r="142">
      <c r="B142" t="inlineStr">
        <is>
          <t>Zambia</t>
        </is>
      </c>
      <c r="C142" t="inlineStr">
        <is>
          <t>ZM</t>
        </is>
      </c>
      <c r="D142" t="inlineStr">
        <is>
          <t>ZMB</t>
        </is>
      </c>
      <c r="E142" t="inlineStr">
        <is>
          <t>+260</t>
        </is>
      </c>
      <c r="G142" t="inlineStr">
        <is>
          <t>REQUIRED</t>
        </is>
      </c>
      <c r="H142" t="inlineStr">
        <is>
          <t>REQUIRED</t>
        </is>
      </c>
      <c r="J142" t="inlineStr">
        <is>
          <t>Africa</t>
        </is>
      </c>
      <c r="O142" s="118" t="n"/>
      <c r="S142" s="118" t="n"/>
      <c r="V142" s="109" t="n"/>
    </row>
    <row r="143">
      <c r="B143" t="inlineStr">
        <is>
          <t>Zimbabwe</t>
        </is>
      </c>
      <c r="C143" t="inlineStr">
        <is>
          <t>ZW</t>
        </is>
      </c>
      <c r="D143" t="inlineStr">
        <is>
          <t>ZWE</t>
        </is>
      </c>
      <c r="E143" t="inlineStr">
        <is>
          <t>+263</t>
        </is>
      </c>
      <c r="G143" t="inlineStr">
        <is>
          <t>REQUIRED</t>
        </is>
      </c>
      <c r="H143" t="inlineStr">
        <is>
          <t>REQUIRED</t>
        </is>
      </c>
      <c r="J143" t="inlineStr">
        <is>
          <t>Africa</t>
        </is>
      </c>
      <c r="O143" s="118" t="n"/>
      <c r="S143" s="118" t="n"/>
      <c r="V143" s="109" t="n"/>
    </row>
  </sheetData>
  <dataValidations count="1">
    <dataValidation sqref="L2:M143" showDropDown="0" showInputMessage="1" showErrorMessage="1" allowBlank="1" type="list">
      <formula1>"MANDATORY,NOT MANDATORY,VERIFY"</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G491"/>
  <sheetViews>
    <sheetView workbookViewId="0">
      <pane ySplit="1" topLeftCell="A2" activePane="bottomLeft" state="frozen"/>
      <selection pane="bottomLeft" activeCell="C2" sqref="C2"/>
    </sheetView>
  </sheetViews>
  <sheetFormatPr baseColWidth="8" defaultRowHeight="14.4"/>
  <cols>
    <col width="10.5546875" bestFit="1" customWidth="1" min="1" max="1"/>
    <col width="37.33203125" bestFit="1" customWidth="1" min="2" max="2"/>
    <col width="16.44140625" bestFit="1" customWidth="1" min="3" max="3"/>
    <col width="11.21875" bestFit="1" customWidth="1" min="4" max="4"/>
    <col width="14.21875" bestFit="1" customWidth="1" min="5" max="5"/>
    <col width="13.88671875" bestFit="1" customWidth="1" min="6" max="6"/>
    <col width="12.109375" bestFit="1" customWidth="1" min="7" max="7"/>
    <col width="14.88671875" bestFit="1" customWidth="1" min="8" max="8"/>
    <col width="17" bestFit="1" customWidth="1" min="9" max="9"/>
    <col width="13.77734375" bestFit="1" customWidth="1" min="10" max="10"/>
    <col width="20.33203125" bestFit="1" customWidth="1" min="11" max="11"/>
    <col width="20.44140625" bestFit="1" customWidth="1" min="12" max="12"/>
    <col width="20.77734375" bestFit="1" customWidth="1" min="13" max="13"/>
    <col width="9.5546875" bestFit="1" customWidth="1" min="14" max="14"/>
    <col width="11.77734375" bestFit="1" customWidth="1" min="15" max="15"/>
    <col width="10" bestFit="1" customWidth="1" min="16" max="16"/>
    <col width="15" bestFit="1" customWidth="1" min="17" max="17"/>
    <col width="6" bestFit="1" customWidth="1" min="18" max="18"/>
    <col width="14.77734375" bestFit="1" customWidth="1" min="19" max="19"/>
    <col width="6.77734375" bestFit="1" customWidth="1" min="20" max="20"/>
    <col width="15.21875" bestFit="1" customWidth="1" min="21" max="21"/>
    <col width="63.77734375" bestFit="1" customWidth="1" min="22" max="22"/>
    <col width="25.88671875" customWidth="1" min="23" max="24"/>
    <col width="31.44140625" customWidth="1" min="25" max="32"/>
  </cols>
  <sheetData>
    <row r="1">
      <c r="A1" s="22" t="inlineStr">
        <is>
          <t>operator_id</t>
        </is>
      </c>
      <c r="B1" s="22" t="inlineStr">
        <is>
          <t>operator_name</t>
        </is>
      </c>
      <c r="C1" s="22" t="inlineStr">
        <is>
          <t>trading_name_dba</t>
        </is>
      </c>
      <c r="D1" s="22" t="inlineStr">
        <is>
          <t>aoc_number</t>
        </is>
      </c>
      <c r="E1" s="22" t="inlineStr">
        <is>
          <t>icao_designator</t>
        </is>
      </c>
      <c r="F1" s="22" t="inlineStr">
        <is>
          <t>iata_designator</t>
        </is>
      </c>
      <c r="G1" s="22" t="inlineStr">
        <is>
          <t>country_code</t>
        </is>
      </c>
      <c r="H1" s="22" t="inlineStr">
        <is>
          <t>home_base_icao</t>
        </is>
      </c>
      <c r="I1" s="22" t="inlineStr">
        <is>
          <t>registered_address</t>
        </is>
      </c>
      <c r="J1" s="22" t="inlineStr">
        <is>
          <t>postal_address</t>
        </is>
      </c>
      <c r="K1" s="22" t="inlineStr">
        <is>
          <t>primary_contact_name</t>
        </is>
      </c>
      <c r="L1" s="22" t="inlineStr">
        <is>
          <t>primary_contact_email</t>
        </is>
      </c>
      <c r="M1" s="22" t="inlineStr">
        <is>
          <t>primary_contact_phone</t>
        </is>
      </c>
      <c r="N1" s="22" t="inlineStr">
        <is>
          <t>occ_email</t>
        </is>
      </c>
      <c r="O1" s="22" t="inlineStr">
        <is>
          <t>billing_email</t>
        </is>
      </c>
      <c r="P1" s="22" t="inlineStr">
        <is>
          <t>sms_email</t>
        </is>
      </c>
      <c r="Q1" s="22" t="inlineStr">
        <is>
          <t>default_currency</t>
        </is>
      </c>
      <c r="R1" s="22" t="inlineStr">
        <is>
          <t>tax_id</t>
        </is>
      </c>
      <c r="S1" s="22" t="inlineStr">
        <is>
          <t>credit_approved</t>
        </is>
      </c>
      <c r="T1" s="22" t="inlineStr">
        <is>
          <t>status</t>
        </is>
      </c>
      <c r="U1" s="22" t="inlineStr">
        <is>
          <t>linked_vendor_id</t>
        </is>
      </c>
      <c r="V1" s="22" t="inlineStr">
        <is>
          <t>notes</t>
        </is>
      </c>
      <c r="W1" s="25" t="inlineStr">
        <is>
          <t>AIRCRAFT COUNT</t>
        </is>
      </c>
      <c r="X1" s="25" t="inlineStr">
        <is>
          <t>RECORD STATUS</t>
        </is>
      </c>
      <c r="Y1" s="67" t="inlineStr">
        <is>
          <t>preferred_channel</t>
        </is>
      </c>
      <c r="Z1" s="67" t="inlineStr">
        <is>
          <t>messaging_to_emails</t>
        </is>
      </c>
      <c r="AA1" s="67" t="inlineStr">
        <is>
          <t>messaging_cc_emails</t>
        </is>
      </c>
      <c r="AB1" s="67" t="inlineStr">
        <is>
          <t>sita_address</t>
        </is>
      </c>
      <c r="AC1" s="67" t="inlineStr">
        <is>
          <t>aftn_address</t>
        </is>
      </c>
      <c r="AD1" s="67" t="inlineStr">
        <is>
          <t>message_format</t>
        </is>
      </c>
      <c r="AE1" s="67" t="inlineStr">
        <is>
          <t>sending_team_signature</t>
        </is>
      </c>
      <c r="AF1" s="67" t="inlineStr">
        <is>
          <t>MESSAGING CHECK</t>
        </is>
      </c>
      <c r="AG1" s="67" t="inlineStr">
        <is>
          <t>ASSIGNABLE TO A TRIP</t>
        </is>
      </c>
    </row>
    <row r="2">
      <c r="A2" t="inlineStr">
        <is>
          <t>OPR-001</t>
        </is>
      </c>
      <c r="B2" t="inlineStr">
        <is>
          <t>FIRE BLADE AVIATION PROPRIETARY LIMITED</t>
        </is>
      </c>
      <c r="H2" t="inlineStr">
        <is>
          <t>FAOR</t>
        </is>
      </c>
      <c r="T2" t="inlineStr">
        <is>
          <t>ACTIVE</t>
        </is>
      </c>
      <c r="Y2" t="inlineStr">
        <is>
          <t>EMAIL</t>
        </is>
      </c>
      <c r="AD2" t="inlineStr">
        <is>
          <t>PLAIN_TEXT_UPPERCASE</t>
        </is>
      </c>
      <c r="AE2" t="inlineStr">
        <is>
          <t>JTL TRIP SUPPORT</t>
        </is>
      </c>
    </row>
    <row r="3">
      <c r="A3" t="inlineStr">
        <is>
          <t>OPV-01</t>
        </is>
      </c>
      <c r="T3" t="inlineStr">
        <is>
          <t>ACTIVE</t>
        </is>
      </c>
      <c r="Y3" t="inlineStr">
        <is>
          <t>EMAIL</t>
        </is>
      </c>
      <c r="AD3" t="inlineStr">
        <is>
          <t>PLAIN_TEXT_UPPERCASE</t>
        </is>
      </c>
      <c r="AE3" t="inlineStr">
        <is>
          <t>JTL TRIP SUPPORT</t>
        </is>
      </c>
    </row>
    <row r="4">
      <c r="A4" t="inlineStr">
        <is>
          <t>OPV-02</t>
        </is>
      </c>
      <c r="T4" t="inlineStr">
        <is>
          <t>ACTIVE</t>
        </is>
      </c>
      <c r="Y4" t="inlineStr">
        <is>
          <t>EMAIL</t>
        </is>
      </c>
      <c r="AD4" t="inlineStr">
        <is>
          <t>PLAIN_TEXT_UPPERCASE</t>
        </is>
      </c>
      <c r="AE4" t="inlineStr">
        <is>
          <t>JTL TRIP SUPPORT</t>
        </is>
      </c>
    </row>
    <row r="5">
      <c r="A5" t="inlineStr">
        <is>
          <t>OPV-03</t>
        </is>
      </c>
      <c r="T5" t="inlineStr">
        <is>
          <t>ACTIVE</t>
        </is>
      </c>
      <c r="Y5" t="inlineStr">
        <is>
          <t>EMAIL</t>
        </is>
      </c>
      <c r="AD5" t="inlineStr">
        <is>
          <t>PLAIN_TEXT_UPPERCASE</t>
        </is>
      </c>
      <c r="AE5" t="inlineStr">
        <is>
          <t>JTL TRIP SUPPORT</t>
        </is>
      </c>
    </row>
    <row r="6">
      <c r="A6" t="inlineStr">
        <is>
          <t>OPV-04</t>
        </is>
      </c>
      <c r="T6" t="inlineStr">
        <is>
          <t>ACTIVE</t>
        </is>
      </c>
      <c r="Y6" t="inlineStr">
        <is>
          <t>EMAIL</t>
        </is>
      </c>
      <c r="AD6" t="inlineStr">
        <is>
          <t>PLAIN_TEXT_UPPERCASE</t>
        </is>
      </c>
      <c r="AE6" t="inlineStr">
        <is>
          <t>JTL TRIP SUPPORT</t>
        </is>
      </c>
    </row>
    <row r="7">
      <c r="A7" t="inlineStr">
        <is>
          <t>OPV-05</t>
        </is>
      </c>
      <c r="T7" t="inlineStr">
        <is>
          <t>ACTIVE</t>
        </is>
      </c>
      <c r="Y7" t="inlineStr">
        <is>
          <t>EMAIL</t>
        </is>
      </c>
      <c r="AD7" t="inlineStr">
        <is>
          <t>PLAIN_TEXT_UPPERCASE</t>
        </is>
      </c>
      <c r="AE7" t="inlineStr">
        <is>
          <t>JTL TRIP SUPPORT</t>
        </is>
      </c>
    </row>
    <row r="8">
      <c r="A8" t="inlineStr">
        <is>
          <t>OPV-06</t>
        </is>
      </c>
      <c r="T8" t="inlineStr">
        <is>
          <t>ACTIVE</t>
        </is>
      </c>
      <c r="Y8" t="inlineStr">
        <is>
          <t>EMAIL</t>
        </is>
      </c>
      <c r="AD8" t="inlineStr">
        <is>
          <t>PLAIN_TEXT_UPPERCASE</t>
        </is>
      </c>
      <c r="AE8" t="inlineStr">
        <is>
          <t>JTL TRIP SUPPORT</t>
        </is>
      </c>
    </row>
    <row r="9">
      <c r="A9" t="inlineStr">
        <is>
          <t>OPV-07</t>
        </is>
      </c>
      <c r="T9" t="inlineStr">
        <is>
          <t>ACTIVE</t>
        </is>
      </c>
      <c r="Y9" t="inlineStr">
        <is>
          <t>EMAIL</t>
        </is>
      </c>
      <c r="AD9" t="inlineStr">
        <is>
          <t>PLAIN_TEXT_UPPERCASE</t>
        </is>
      </c>
      <c r="AE9" t="inlineStr">
        <is>
          <t>JTL TRIP SUPPORT</t>
        </is>
      </c>
    </row>
    <row r="10">
      <c r="A10" t="inlineStr">
        <is>
          <t>OPV-08</t>
        </is>
      </c>
      <c r="T10" t="inlineStr">
        <is>
          <t>ACTIVE</t>
        </is>
      </c>
      <c r="Y10" t="inlineStr">
        <is>
          <t>EMAIL</t>
        </is>
      </c>
      <c r="AD10" t="inlineStr">
        <is>
          <t>PLAIN_TEXT_UPPERCASE</t>
        </is>
      </c>
      <c r="AE10" t="inlineStr">
        <is>
          <t>JTL TRIP SUPPORT</t>
        </is>
      </c>
    </row>
    <row r="11">
      <c r="A11" t="inlineStr">
        <is>
          <t>OPV-09</t>
        </is>
      </c>
      <c r="T11" t="inlineStr">
        <is>
          <t>ACTIVE</t>
        </is>
      </c>
      <c r="Y11" t="inlineStr">
        <is>
          <t>EMAIL</t>
        </is>
      </c>
      <c r="AD11" t="inlineStr">
        <is>
          <t>PLAIN_TEXT_UPPERCASE</t>
        </is>
      </c>
      <c r="AE11" t="inlineStr">
        <is>
          <t>JTL TRIP SUPPORT</t>
        </is>
      </c>
    </row>
    <row r="12">
      <c r="A12" t="inlineStr">
        <is>
          <t>OPV-10</t>
        </is>
      </c>
      <c r="T12" t="inlineStr">
        <is>
          <t>ACTIVE</t>
        </is>
      </c>
      <c r="Y12" t="inlineStr">
        <is>
          <t>EMAIL</t>
        </is>
      </c>
      <c r="AD12" t="inlineStr">
        <is>
          <t>PLAIN_TEXT_UPPERCASE</t>
        </is>
      </c>
      <c r="AE12" t="inlineStr">
        <is>
          <t>JTL TRIP SUPPORT</t>
        </is>
      </c>
    </row>
    <row r="13">
      <c r="A13" t="inlineStr">
        <is>
          <t>OPV-11</t>
        </is>
      </c>
      <c r="T13" t="inlineStr">
        <is>
          <t>ACTIVE</t>
        </is>
      </c>
      <c r="Y13" t="inlineStr">
        <is>
          <t>EMAIL</t>
        </is>
      </c>
      <c r="AD13" t="inlineStr">
        <is>
          <t>PLAIN_TEXT_UPPERCASE</t>
        </is>
      </c>
      <c r="AE13" t="inlineStr">
        <is>
          <t>JTL TRIP SUPPORT</t>
        </is>
      </c>
    </row>
    <row r="14">
      <c r="A14" t="inlineStr">
        <is>
          <t>OPV-12</t>
        </is>
      </c>
      <c r="T14" t="inlineStr">
        <is>
          <t>ACTIVE</t>
        </is>
      </c>
      <c r="Y14" t="inlineStr">
        <is>
          <t>EMAIL</t>
        </is>
      </c>
      <c r="AD14" t="inlineStr">
        <is>
          <t>PLAIN_TEXT_UPPERCASE</t>
        </is>
      </c>
      <c r="AE14" t="inlineStr">
        <is>
          <t>JTL TRIP SUPPORT</t>
        </is>
      </c>
    </row>
    <row r="15">
      <c r="A15" t="inlineStr">
        <is>
          <t>OPV-13</t>
        </is>
      </c>
      <c r="T15" t="inlineStr">
        <is>
          <t>ACTIVE</t>
        </is>
      </c>
      <c r="Y15" t="inlineStr">
        <is>
          <t>EMAIL</t>
        </is>
      </c>
      <c r="AD15" t="inlineStr">
        <is>
          <t>PLAIN_TEXT_UPPERCASE</t>
        </is>
      </c>
      <c r="AE15" t="inlineStr">
        <is>
          <t>JTL TRIP SUPPORT</t>
        </is>
      </c>
    </row>
    <row r="16">
      <c r="A16" t="inlineStr">
        <is>
          <t>OPV-14</t>
        </is>
      </c>
      <c r="T16" t="inlineStr">
        <is>
          <t>ACTIVE</t>
        </is>
      </c>
      <c r="Y16" t="inlineStr">
        <is>
          <t>EMAIL</t>
        </is>
      </c>
      <c r="AD16" t="inlineStr">
        <is>
          <t>PLAIN_TEXT_UPPERCASE</t>
        </is>
      </c>
      <c r="AE16" t="inlineStr">
        <is>
          <t>JTL TRIP SUPPORT</t>
        </is>
      </c>
    </row>
    <row r="17">
      <c r="A17" t="inlineStr">
        <is>
          <t>OPV-15</t>
        </is>
      </c>
      <c r="T17" t="inlineStr">
        <is>
          <t>ACTIVE</t>
        </is>
      </c>
      <c r="Y17" t="inlineStr">
        <is>
          <t>EMAIL</t>
        </is>
      </c>
      <c r="AD17" t="inlineStr">
        <is>
          <t>PLAIN_TEXT_UPPERCASE</t>
        </is>
      </c>
      <c r="AE17" t="inlineStr">
        <is>
          <t>JTL TRIP SUPPORT</t>
        </is>
      </c>
    </row>
    <row r="18">
      <c r="A18" t="inlineStr">
        <is>
          <t>OPV-16</t>
        </is>
      </c>
      <c r="T18" t="inlineStr">
        <is>
          <t>ACTIVE</t>
        </is>
      </c>
      <c r="Y18" t="inlineStr">
        <is>
          <t>EMAIL</t>
        </is>
      </c>
      <c r="AD18" t="inlineStr">
        <is>
          <t>PLAIN_TEXT_UPPERCASE</t>
        </is>
      </c>
      <c r="AE18" t="inlineStr">
        <is>
          <t>JTL TRIP SUPPORT</t>
        </is>
      </c>
    </row>
    <row r="19">
      <c r="A19" t="inlineStr">
        <is>
          <t>OPV-17</t>
        </is>
      </c>
      <c r="T19" t="inlineStr">
        <is>
          <t>ACTIVE</t>
        </is>
      </c>
      <c r="Y19" t="inlineStr">
        <is>
          <t>EMAIL</t>
        </is>
      </c>
      <c r="AD19" t="inlineStr">
        <is>
          <t>PLAIN_TEXT_UPPERCASE</t>
        </is>
      </c>
      <c r="AE19" t="inlineStr">
        <is>
          <t>JTL TRIP SUPPORT</t>
        </is>
      </c>
    </row>
    <row r="20">
      <c r="A20" t="inlineStr">
        <is>
          <t>OPV-18</t>
        </is>
      </c>
      <c r="T20" t="inlineStr">
        <is>
          <t>ACTIVE</t>
        </is>
      </c>
      <c r="Y20" t="inlineStr">
        <is>
          <t>EMAIL</t>
        </is>
      </c>
      <c r="AD20" t="inlineStr">
        <is>
          <t>PLAIN_TEXT_UPPERCASE</t>
        </is>
      </c>
      <c r="AE20" t="inlineStr">
        <is>
          <t>JTL TRIP SUPPORT</t>
        </is>
      </c>
    </row>
    <row r="21">
      <c r="A21" t="inlineStr">
        <is>
          <t>OPV-19</t>
        </is>
      </c>
      <c r="T21" t="inlineStr">
        <is>
          <t>ACTIVE</t>
        </is>
      </c>
      <c r="Y21" t="inlineStr">
        <is>
          <t>EMAIL</t>
        </is>
      </c>
      <c r="AD21" t="inlineStr">
        <is>
          <t>PLAIN_TEXT_UPPERCASE</t>
        </is>
      </c>
      <c r="AE21" t="inlineStr">
        <is>
          <t>JTL TRIP SUPPORT</t>
        </is>
      </c>
    </row>
    <row r="22">
      <c r="A22" t="inlineStr">
        <is>
          <t>OPV-20</t>
        </is>
      </c>
      <c r="T22" t="inlineStr">
        <is>
          <t>ACTIVE</t>
        </is>
      </c>
      <c r="Y22" t="inlineStr">
        <is>
          <t>EMAIL</t>
        </is>
      </c>
      <c r="AD22" t="inlineStr">
        <is>
          <t>PLAIN_TEXT_UPPERCASE</t>
        </is>
      </c>
      <c r="AE22" t="inlineStr">
        <is>
          <t>JTL TRIP SUPPORT</t>
        </is>
      </c>
    </row>
    <row r="23">
      <c r="A23" t="inlineStr">
        <is>
          <t>OPV-21</t>
        </is>
      </c>
      <c r="T23" t="inlineStr">
        <is>
          <t>ACTIVE</t>
        </is>
      </c>
      <c r="Y23" t="inlineStr">
        <is>
          <t>EMAIL</t>
        </is>
      </c>
      <c r="AD23" t="inlineStr">
        <is>
          <t>PLAIN_TEXT_UPPERCASE</t>
        </is>
      </c>
      <c r="AE23" t="inlineStr">
        <is>
          <t>JTL TRIP SUPPORT</t>
        </is>
      </c>
    </row>
    <row r="24">
      <c r="A24" t="inlineStr">
        <is>
          <t>OPV-22</t>
        </is>
      </c>
      <c r="T24" t="inlineStr">
        <is>
          <t>ACTIVE</t>
        </is>
      </c>
      <c r="Y24" t="inlineStr">
        <is>
          <t>EMAIL</t>
        </is>
      </c>
      <c r="AD24" t="inlineStr">
        <is>
          <t>PLAIN_TEXT_UPPERCASE</t>
        </is>
      </c>
      <c r="AE24" t="inlineStr">
        <is>
          <t>JTL TRIP SUPPORT</t>
        </is>
      </c>
    </row>
    <row r="25">
      <c r="A25" t="inlineStr">
        <is>
          <t>OPV-23</t>
        </is>
      </c>
      <c r="T25" t="inlineStr">
        <is>
          <t>ACTIVE</t>
        </is>
      </c>
      <c r="Y25" t="inlineStr">
        <is>
          <t>EMAIL</t>
        </is>
      </c>
      <c r="AD25" t="inlineStr">
        <is>
          <t>PLAIN_TEXT_UPPERCASE</t>
        </is>
      </c>
      <c r="AE25" t="inlineStr">
        <is>
          <t>JTL TRIP SUPPORT</t>
        </is>
      </c>
    </row>
    <row r="26">
      <c r="A26" t="inlineStr">
        <is>
          <t>OPV-24</t>
        </is>
      </c>
      <c r="T26" t="inlineStr">
        <is>
          <t>ACTIVE</t>
        </is>
      </c>
      <c r="Y26" t="inlineStr">
        <is>
          <t>EMAIL</t>
        </is>
      </c>
      <c r="AD26" t="inlineStr">
        <is>
          <t>PLAIN_TEXT_UPPERCASE</t>
        </is>
      </c>
      <c r="AE26" t="inlineStr">
        <is>
          <t>JTL TRIP SUPPORT</t>
        </is>
      </c>
    </row>
    <row r="27">
      <c r="A27" t="inlineStr">
        <is>
          <t>OPV-25</t>
        </is>
      </c>
      <c r="T27" t="inlineStr">
        <is>
          <t>ACTIVE</t>
        </is>
      </c>
      <c r="Y27" t="inlineStr">
        <is>
          <t>EMAIL</t>
        </is>
      </c>
      <c r="AD27" t="inlineStr">
        <is>
          <t>PLAIN_TEXT_UPPERCASE</t>
        </is>
      </c>
      <c r="AE27" t="inlineStr">
        <is>
          <t>JTL TRIP SUPPORT</t>
        </is>
      </c>
    </row>
    <row r="28">
      <c r="A28" t="inlineStr">
        <is>
          <t>OPV-26</t>
        </is>
      </c>
      <c r="T28" t="inlineStr">
        <is>
          <t>ACTIVE</t>
        </is>
      </c>
      <c r="Y28" t="inlineStr">
        <is>
          <t>EMAIL</t>
        </is>
      </c>
      <c r="AD28" t="inlineStr">
        <is>
          <t>PLAIN_TEXT_UPPERCASE</t>
        </is>
      </c>
      <c r="AE28" t="inlineStr">
        <is>
          <t>JTL TRIP SUPPORT</t>
        </is>
      </c>
    </row>
    <row r="29">
      <c r="A29" t="inlineStr">
        <is>
          <t>OPV-27</t>
        </is>
      </c>
      <c r="T29" t="inlineStr">
        <is>
          <t>ACTIVE</t>
        </is>
      </c>
      <c r="Y29" t="inlineStr">
        <is>
          <t>EMAIL</t>
        </is>
      </c>
      <c r="AD29" t="inlineStr">
        <is>
          <t>PLAIN_TEXT_UPPERCASE</t>
        </is>
      </c>
      <c r="AE29" t="inlineStr">
        <is>
          <t>JTL TRIP SUPPORT</t>
        </is>
      </c>
    </row>
    <row r="30">
      <c r="A30" t="inlineStr">
        <is>
          <t>OPV-28</t>
        </is>
      </c>
      <c r="T30" t="inlineStr">
        <is>
          <t>ACTIVE</t>
        </is>
      </c>
      <c r="Y30" t="inlineStr">
        <is>
          <t>EMAIL</t>
        </is>
      </c>
      <c r="AD30" t="inlineStr">
        <is>
          <t>PLAIN_TEXT_UPPERCASE</t>
        </is>
      </c>
      <c r="AE30" t="inlineStr">
        <is>
          <t>JTL TRIP SUPPORT</t>
        </is>
      </c>
    </row>
    <row r="31">
      <c r="A31" t="inlineStr">
        <is>
          <t>OPV-29</t>
        </is>
      </c>
      <c r="T31" t="inlineStr">
        <is>
          <t>ACTIVE</t>
        </is>
      </c>
      <c r="Y31" t="inlineStr">
        <is>
          <t>EMAIL</t>
        </is>
      </c>
      <c r="AD31" t="inlineStr">
        <is>
          <t>PLAIN_TEXT_UPPERCASE</t>
        </is>
      </c>
      <c r="AE31" t="inlineStr">
        <is>
          <t>JTL TRIP SUPPORT</t>
        </is>
      </c>
    </row>
    <row r="32">
      <c r="A32" t="inlineStr">
        <is>
          <t>OPV-30</t>
        </is>
      </c>
      <c r="T32" t="inlineStr">
        <is>
          <t>ACTIVE</t>
        </is>
      </c>
      <c r="Y32" t="inlineStr">
        <is>
          <t>EMAIL</t>
        </is>
      </c>
      <c r="AD32" t="inlineStr">
        <is>
          <t>PLAIN_TEXT_UPPERCASE</t>
        </is>
      </c>
      <c r="AE32" t="inlineStr">
        <is>
          <t>JTL TRIP SUPPORT</t>
        </is>
      </c>
    </row>
    <row r="33">
      <c r="A33" t="inlineStr">
        <is>
          <t>OPV-31</t>
        </is>
      </c>
      <c r="T33" t="inlineStr">
        <is>
          <t>ACTIVE</t>
        </is>
      </c>
      <c r="Y33" t="inlineStr">
        <is>
          <t>EMAIL</t>
        </is>
      </c>
      <c r="AD33" t="inlineStr">
        <is>
          <t>PLAIN_TEXT_UPPERCASE</t>
        </is>
      </c>
      <c r="AE33" t="inlineStr">
        <is>
          <t>JTL TRIP SUPPORT</t>
        </is>
      </c>
    </row>
    <row r="34">
      <c r="A34" t="inlineStr">
        <is>
          <t>OPV-32</t>
        </is>
      </c>
      <c r="T34" t="inlineStr">
        <is>
          <t>ACTIVE</t>
        </is>
      </c>
      <c r="Y34" t="inlineStr">
        <is>
          <t>EMAIL</t>
        </is>
      </c>
      <c r="AD34" t="inlineStr">
        <is>
          <t>PLAIN_TEXT_UPPERCASE</t>
        </is>
      </c>
      <c r="AE34" t="inlineStr">
        <is>
          <t>JTL TRIP SUPPORT</t>
        </is>
      </c>
    </row>
    <row r="35">
      <c r="A35" t="inlineStr">
        <is>
          <t>OPV-33</t>
        </is>
      </c>
      <c r="T35" t="inlineStr">
        <is>
          <t>ACTIVE</t>
        </is>
      </c>
      <c r="Y35" t="inlineStr">
        <is>
          <t>EMAIL</t>
        </is>
      </c>
      <c r="AD35" t="inlineStr">
        <is>
          <t>PLAIN_TEXT_UPPERCASE</t>
        </is>
      </c>
      <c r="AE35" t="inlineStr">
        <is>
          <t>JTL TRIP SUPPORT</t>
        </is>
      </c>
    </row>
    <row r="36">
      <c r="A36" t="inlineStr">
        <is>
          <t>OPV-34</t>
        </is>
      </c>
      <c r="T36" t="inlineStr">
        <is>
          <t>ACTIVE</t>
        </is>
      </c>
      <c r="Y36" t="inlineStr">
        <is>
          <t>EMAIL</t>
        </is>
      </c>
      <c r="AD36" t="inlineStr">
        <is>
          <t>PLAIN_TEXT_UPPERCASE</t>
        </is>
      </c>
      <c r="AE36" t="inlineStr">
        <is>
          <t>JTL TRIP SUPPORT</t>
        </is>
      </c>
    </row>
    <row r="37">
      <c r="A37" t="inlineStr">
        <is>
          <t>OPV-35</t>
        </is>
      </c>
      <c r="T37" t="inlineStr">
        <is>
          <t>ACTIVE</t>
        </is>
      </c>
      <c r="Y37" t="inlineStr">
        <is>
          <t>EMAIL</t>
        </is>
      </c>
      <c r="AD37" t="inlineStr">
        <is>
          <t>PLAIN_TEXT_UPPERCASE</t>
        </is>
      </c>
      <c r="AE37" t="inlineStr">
        <is>
          <t>JTL TRIP SUPPORT</t>
        </is>
      </c>
    </row>
    <row r="38">
      <c r="A38" t="inlineStr">
        <is>
          <t>OPV-36</t>
        </is>
      </c>
      <c r="T38" t="inlineStr">
        <is>
          <t>ACTIVE</t>
        </is>
      </c>
      <c r="Y38" t="inlineStr">
        <is>
          <t>EMAIL</t>
        </is>
      </c>
      <c r="AD38" t="inlineStr">
        <is>
          <t>PLAIN_TEXT_UPPERCASE</t>
        </is>
      </c>
      <c r="AE38" t="inlineStr">
        <is>
          <t>JTL TRIP SUPPORT</t>
        </is>
      </c>
    </row>
    <row r="39">
      <c r="A39" t="inlineStr">
        <is>
          <t>OPV-37</t>
        </is>
      </c>
      <c r="T39" t="inlineStr">
        <is>
          <t>ACTIVE</t>
        </is>
      </c>
      <c r="Y39" t="inlineStr">
        <is>
          <t>EMAIL</t>
        </is>
      </c>
      <c r="AD39" t="inlineStr">
        <is>
          <t>PLAIN_TEXT_UPPERCASE</t>
        </is>
      </c>
      <c r="AE39" t="inlineStr">
        <is>
          <t>JTL TRIP SUPPORT</t>
        </is>
      </c>
    </row>
    <row r="40">
      <c r="A40" t="inlineStr">
        <is>
          <t>OPV-38</t>
        </is>
      </c>
      <c r="T40" t="inlineStr">
        <is>
          <t>ACTIVE</t>
        </is>
      </c>
      <c r="Y40" t="inlineStr">
        <is>
          <t>EMAIL</t>
        </is>
      </c>
      <c r="AD40" t="inlineStr">
        <is>
          <t>PLAIN_TEXT_UPPERCASE</t>
        </is>
      </c>
      <c r="AE40" t="inlineStr">
        <is>
          <t>JTL TRIP SUPPORT</t>
        </is>
      </c>
    </row>
    <row r="41">
      <c r="A41" t="inlineStr">
        <is>
          <t>OPV-39</t>
        </is>
      </c>
      <c r="T41" t="inlineStr">
        <is>
          <t>ACTIVE</t>
        </is>
      </c>
      <c r="Y41" t="inlineStr">
        <is>
          <t>EMAIL</t>
        </is>
      </c>
      <c r="AD41" t="inlineStr">
        <is>
          <t>PLAIN_TEXT_UPPERCASE</t>
        </is>
      </c>
      <c r="AE41" t="inlineStr">
        <is>
          <t>JTL TRIP SUPPORT</t>
        </is>
      </c>
    </row>
    <row r="42">
      <c r="A42" t="inlineStr">
        <is>
          <t>OPV-40</t>
        </is>
      </c>
      <c r="T42" t="inlineStr">
        <is>
          <t>ACTIVE</t>
        </is>
      </c>
      <c r="Y42" t="inlineStr">
        <is>
          <t>EMAIL</t>
        </is>
      </c>
      <c r="AD42" t="inlineStr">
        <is>
          <t>PLAIN_TEXT_UPPERCASE</t>
        </is>
      </c>
      <c r="AE42" t="inlineStr">
        <is>
          <t>JTL TRIP SUPPORT</t>
        </is>
      </c>
    </row>
    <row r="43">
      <c r="A43" t="inlineStr">
        <is>
          <t>OPV-41</t>
        </is>
      </c>
      <c r="T43" t="inlineStr">
        <is>
          <t>ACTIVE</t>
        </is>
      </c>
      <c r="Y43" t="inlineStr">
        <is>
          <t>EMAIL</t>
        </is>
      </c>
      <c r="AD43" t="inlineStr">
        <is>
          <t>PLAIN_TEXT_UPPERCASE</t>
        </is>
      </c>
      <c r="AE43" t="inlineStr">
        <is>
          <t>JTL TRIP SUPPORT</t>
        </is>
      </c>
    </row>
    <row r="44">
      <c r="A44" t="inlineStr">
        <is>
          <t>OPV-42</t>
        </is>
      </c>
      <c r="T44" t="inlineStr">
        <is>
          <t>ACTIVE</t>
        </is>
      </c>
      <c r="Y44" t="inlineStr">
        <is>
          <t>EMAIL</t>
        </is>
      </c>
      <c r="AD44" t="inlineStr">
        <is>
          <t>PLAIN_TEXT_UPPERCASE</t>
        </is>
      </c>
      <c r="AE44" t="inlineStr">
        <is>
          <t>JTL TRIP SUPPORT</t>
        </is>
      </c>
    </row>
    <row r="45">
      <c r="A45" t="inlineStr">
        <is>
          <t>OPV-43</t>
        </is>
      </c>
      <c r="T45" t="inlineStr">
        <is>
          <t>ACTIVE</t>
        </is>
      </c>
      <c r="Y45" t="inlineStr">
        <is>
          <t>EMAIL</t>
        </is>
      </c>
      <c r="AD45" t="inlineStr">
        <is>
          <t>PLAIN_TEXT_UPPERCASE</t>
        </is>
      </c>
      <c r="AE45" t="inlineStr">
        <is>
          <t>JTL TRIP SUPPORT</t>
        </is>
      </c>
    </row>
    <row r="46">
      <c r="A46" t="inlineStr">
        <is>
          <t>OPV-44</t>
        </is>
      </c>
      <c r="T46" t="inlineStr">
        <is>
          <t>ACTIVE</t>
        </is>
      </c>
      <c r="Y46" t="inlineStr">
        <is>
          <t>EMAIL</t>
        </is>
      </c>
      <c r="AD46" t="inlineStr">
        <is>
          <t>PLAIN_TEXT_UPPERCASE</t>
        </is>
      </c>
      <c r="AE46" t="inlineStr">
        <is>
          <t>JTL TRIP SUPPORT</t>
        </is>
      </c>
    </row>
    <row r="47">
      <c r="A47" t="inlineStr">
        <is>
          <t>UAA-001</t>
        </is>
      </c>
      <c r="B47" t="inlineStr">
        <is>
          <t>GENERAL ATOMICS AEROTEC SYSTEMS GMBH</t>
        </is>
      </c>
      <c r="T47" t="inlineStr">
        <is>
          <t>ACTIVE</t>
        </is>
      </c>
      <c r="Y47" t="inlineStr">
        <is>
          <t>EMAIL</t>
        </is>
      </c>
      <c r="AD47" t="inlineStr">
        <is>
          <t>PLAIN_TEXT_UPPERCASE</t>
        </is>
      </c>
      <c r="AE47" t="inlineStr">
        <is>
          <t>JTL TRIP SUPPORT</t>
        </is>
      </c>
    </row>
    <row r="48">
      <c r="A48" t="inlineStr">
        <is>
          <t>UAA-002</t>
        </is>
      </c>
      <c r="B48" t="inlineStr">
        <is>
          <t>EMBRAER - EMPRESA BRASILEIRA DE AERONAUTICA SA</t>
        </is>
      </c>
      <c r="T48" t="inlineStr">
        <is>
          <t>ACTIVE</t>
        </is>
      </c>
      <c r="Y48" t="inlineStr">
        <is>
          <t>EMAIL</t>
        </is>
      </c>
      <c r="AD48" t="inlineStr">
        <is>
          <t>PLAIN_TEXT_UPPERCASE</t>
        </is>
      </c>
      <c r="AE48" t="inlineStr">
        <is>
          <t>JTL TRIP SUPPORT</t>
        </is>
      </c>
    </row>
    <row r="49">
      <c r="A49" t="inlineStr">
        <is>
          <t>UAA-003</t>
        </is>
      </c>
      <c r="B49" t="inlineStr">
        <is>
          <t>ALPHA GOLF AVIATION MONACO</t>
        </is>
      </c>
      <c r="T49" t="inlineStr">
        <is>
          <t>ACTIVE</t>
        </is>
      </c>
      <c r="Y49" t="inlineStr">
        <is>
          <t>EMAIL</t>
        </is>
      </c>
      <c r="AD49" t="inlineStr">
        <is>
          <t>PLAIN_TEXT_UPPERCASE</t>
        </is>
      </c>
      <c r="AE49" t="inlineStr">
        <is>
          <t>JTL TRIP SUPPORT</t>
        </is>
      </c>
    </row>
    <row r="50">
      <c r="A50" t="inlineStr">
        <is>
          <t>UAA-004</t>
        </is>
      </c>
      <c r="B50" t="inlineStr">
        <is>
          <t>FEDERAL GOVT. OF NIGERIA</t>
        </is>
      </c>
      <c r="T50" t="inlineStr">
        <is>
          <t>ACTIVE</t>
        </is>
      </c>
      <c r="Y50" t="inlineStr">
        <is>
          <t>EMAIL</t>
        </is>
      </c>
      <c r="AD50" t="inlineStr">
        <is>
          <t>PLAIN_TEXT_UPPERCASE</t>
        </is>
      </c>
      <c r="AE50" t="inlineStr">
        <is>
          <t>JTL TRIP SUPPORT</t>
        </is>
      </c>
    </row>
    <row r="51">
      <c r="A51" t="inlineStr">
        <is>
          <t>UAA-005</t>
        </is>
      </c>
      <c r="B51" t="inlineStr">
        <is>
          <t>PRINCELY JETS PVT LTD</t>
        </is>
      </c>
      <c r="T51" t="inlineStr">
        <is>
          <t>ACTIVE</t>
        </is>
      </c>
      <c r="Y51" t="inlineStr">
        <is>
          <t>EMAIL</t>
        </is>
      </c>
      <c r="AD51" t="inlineStr">
        <is>
          <t>PLAIN_TEXT_UPPERCASE</t>
        </is>
      </c>
      <c r="AE51" t="inlineStr">
        <is>
          <t>JTL TRIP SUPPORT</t>
        </is>
      </c>
    </row>
    <row r="52">
      <c r="A52" t="inlineStr">
        <is>
          <t>UAA-006</t>
        </is>
      </c>
      <c r="B52" t="inlineStr">
        <is>
          <t>FIRST MANDARIN BUSINESS AVIATION CO LTD</t>
        </is>
      </c>
      <c r="T52" t="inlineStr">
        <is>
          <t>ACTIVE</t>
        </is>
      </c>
      <c r="Y52" t="inlineStr">
        <is>
          <t>EMAIL</t>
        </is>
      </c>
      <c r="AD52" t="inlineStr">
        <is>
          <t>PLAIN_TEXT_UPPERCASE</t>
        </is>
      </c>
      <c r="AE52" t="inlineStr">
        <is>
          <t>JTL TRIP SUPPORT</t>
        </is>
      </c>
    </row>
    <row r="53">
      <c r="A53" t="inlineStr">
        <is>
          <t>UAA-007</t>
        </is>
      </c>
      <c r="B53" t="inlineStr">
        <is>
          <t>NANSHAN JET CO LTD</t>
        </is>
      </c>
      <c r="T53" t="inlineStr">
        <is>
          <t>ACTIVE</t>
        </is>
      </c>
      <c r="Y53" t="inlineStr">
        <is>
          <t>EMAIL</t>
        </is>
      </c>
      <c r="AD53" t="inlineStr">
        <is>
          <t>PLAIN_TEXT_UPPERCASE</t>
        </is>
      </c>
      <c r="AE53" t="inlineStr">
        <is>
          <t>JTL TRIP SUPPORT</t>
        </is>
      </c>
    </row>
    <row r="54">
      <c r="A54" t="inlineStr">
        <is>
          <t>UAA-008</t>
        </is>
      </c>
      <c r="B54" t="inlineStr">
        <is>
          <t>METROJET PRIVATE LTD</t>
        </is>
      </c>
      <c r="T54" t="inlineStr">
        <is>
          <t>ACTIVE</t>
        </is>
      </c>
      <c r="Y54" t="inlineStr">
        <is>
          <t>EMAIL</t>
        </is>
      </c>
      <c r="AD54" t="inlineStr">
        <is>
          <t>PLAIN_TEXT_UPPERCASE</t>
        </is>
      </c>
      <c r="AE54" t="inlineStr">
        <is>
          <t>JTL TRIP SUPPORT</t>
        </is>
      </c>
    </row>
    <row r="55">
      <c r="A55" t="inlineStr">
        <is>
          <t>UAA-009</t>
        </is>
      </c>
      <c r="B55" t="inlineStr">
        <is>
          <t>ANDERSON AIR LTD</t>
        </is>
      </c>
      <c r="T55" t="inlineStr">
        <is>
          <t>ACTIVE</t>
        </is>
      </c>
      <c r="Y55" t="inlineStr">
        <is>
          <t>EMAIL</t>
        </is>
      </c>
      <c r="AD55" t="inlineStr">
        <is>
          <t>PLAIN_TEXT_UPPERCASE</t>
        </is>
      </c>
      <c r="AE55" t="inlineStr">
        <is>
          <t>JTL TRIP SUPPORT</t>
        </is>
      </c>
    </row>
    <row r="56">
      <c r="A56" t="inlineStr">
        <is>
          <t>UAA-010</t>
        </is>
      </c>
      <c r="B56" t="inlineStr">
        <is>
          <t>WIDEWORLD SERVICES LTD.</t>
        </is>
      </c>
      <c r="T56" t="inlineStr">
        <is>
          <t>ACTIVE</t>
        </is>
      </c>
      <c r="Y56" t="inlineStr">
        <is>
          <t>EMAIL</t>
        </is>
      </c>
      <c r="AD56" t="inlineStr">
        <is>
          <t>PLAIN_TEXT_UPPERCASE</t>
        </is>
      </c>
      <c r="AE56" t="inlineStr">
        <is>
          <t>JTL TRIP SUPPORT</t>
        </is>
      </c>
    </row>
    <row r="57">
      <c r="A57" t="inlineStr">
        <is>
          <t>UAA-011</t>
        </is>
      </c>
      <c r="B57" t="inlineStr">
        <is>
          <t>VIPAIR SA</t>
        </is>
      </c>
      <c r="T57" t="inlineStr">
        <is>
          <t>ACTIVE</t>
        </is>
      </c>
      <c r="Y57" t="inlineStr">
        <is>
          <t>EMAIL</t>
        </is>
      </c>
      <c r="AD57" t="inlineStr">
        <is>
          <t>PLAIN_TEXT_UPPERCASE</t>
        </is>
      </c>
      <c r="AE57" t="inlineStr">
        <is>
          <t>JTL TRIP SUPPORT</t>
        </is>
      </c>
    </row>
    <row r="58">
      <c r="A58" t="inlineStr">
        <is>
          <t>UAA-012</t>
        </is>
      </c>
      <c r="B58" t="inlineStr">
        <is>
          <t>BMW AG</t>
        </is>
      </c>
      <c r="T58" t="inlineStr">
        <is>
          <t>ACTIVE</t>
        </is>
      </c>
      <c r="Y58" t="inlineStr">
        <is>
          <t>EMAIL</t>
        </is>
      </c>
      <c r="AD58" t="inlineStr">
        <is>
          <t>PLAIN_TEXT_UPPERCASE</t>
        </is>
      </c>
      <c r="AE58" t="inlineStr">
        <is>
          <t>JTL TRIP SUPPORT</t>
        </is>
      </c>
    </row>
    <row r="59">
      <c r="A59" t="inlineStr">
        <is>
          <t>UAA-013</t>
        </is>
      </c>
      <c r="B59" t="inlineStr">
        <is>
          <t>BERTELSMANN AVIATION GMBH</t>
        </is>
      </c>
      <c r="T59" t="inlineStr">
        <is>
          <t>ACTIVE</t>
        </is>
      </c>
      <c r="Y59" t="inlineStr">
        <is>
          <t>EMAIL</t>
        </is>
      </c>
      <c r="AD59" t="inlineStr">
        <is>
          <t>PLAIN_TEXT_UPPERCASE</t>
        </is>
      </c>
      <c r="AE59" t="inlineStr">
        <is>
          <t>JTL TRIP SUPPORT</t>
        </is>
      </c>
    </row>
    <row r="60">
      <c r="A60" t="inlineStr">
        <is>
          <t>UAA-014</t>
        </is>
      </c>
      <c r="B60" t="inlineStr">
        <is>
          <t>COMANDO DA AERONAUTICA</t>
        </is>
      </c>
      <c r="T60" t="inlineStr">
        <is>
          <t>ACTIVE</t>
        </is>
      </c>
      <c r="Y60" t="inlineStr">
        <is>
          <t>EMAIL</t>
        </is>
      </c>
      <c r="AD60" t="inlineStr">
        <is>
          <t>PLAIN_TEXT_UPPERCASE</t>
        </is>
      </c>
      <c r="AE60" t="inlineStr">
        <is>
          <t>JTL TRIP SUPPORT</t>
        </is>
      </c>
    </row>
    <row r="61">
      <c r="A61" t="inlineStr">
        <is>
          <t>UAA-015</t>
        </is>
      </c>
      <c r="B61" t="inlineStr">
        <is>
          <t>EMBRAER - EMPRESA BRASILEIRA DE AERONAUT</t>
        </is>
      </c>
      <c r="T61" t="inlineStr">
        <is>
          <t>ACTIVE</t>
        </is>
      </c>
      <c r="Y61" t="inlineStr">
        <is>
          <t>EMAIL</t>
        </is>
      </c>
      <c r="AD61" t="inlineStr">
        <is>
          <t>PLAIN_TEXT_UPPERCASE</t>
        </is>
      </c>
      <c r="AE61" t="inlineStr">
        <is>
          <t>JTL TRIP SUPPORT</t>
        </is>
      </c>
    </row>
    <row r="62">
      <c r="A62" t="inlineStr">
        <is>
          <t>UAA-016</t>
        </is>
      </c>
      <c r="B62" t="inlineStr">
        <is>
          <t>REGOURD AVIATION</t>
        </is>
      </c>
      <c r="T62" t="inlineStr">
        <is>
          <t>ACTIVE</t>
        </is>
      </c>
      <c r="Y62" t="inlineStr">
        <is>
          <t>EMAIL</t>
        </is>
      </c>
      <c r="AD62" t="inlineStr">
        <is>
          <t>PLAIN_TEXT_UPPERCASE</t>
        </is>
      </c>
      <c r="AE62" t="inlineStr">
        <is>
          <t>JTL TRIP SUPPORT</t>
        </is>
      </c>
    </row>
    <row r="63">
      <c r="A63" t="inlineStr">
        <is>
          <t>UAA-017</t>
        </is>
      </c>
      <c r="B63" t="inlineStr">
        <is>
          <t>DASSAULT AVIATION</t>
        </is>
      </c>
      <c r="T63" t="inlineStr">
        <is>
          <t>ACTIVE</t>
        </is>
      </c>
      <c r="Y63" t="inlineStr">
        <is>
          <t>EMAIL</t>
        </is>
      </c>
      <c r="AD63" t="inlineStr">
        <is>
          <t>PLAIN_TEXT_UPPERCASE</t>
        </is>
      </c>
      <c r="AE63" t="inlineStr">
        <is>
          <t>JTL TRIP SUPPORT</t>
        </is>
      </c>
    </row>
    <row r="64">
      <c r="A64" t="inlineStr">
        <is>
          <t>UAA-018</t>
        </is>
      </c>
      <c r="B64" t="inlineStr">
        <is>
          <t>TITAN AIRWAYS LTD</t>
        </is>
      </c>
      <c r="T64" t="inlineStr">
        <is>
          <t>ACTIVE</t>
        </is>
      </c>
      <c r="Y64" t="inlineStr">
        <is>
          <t>EMAIL</t>
        </is>
      </c>
      <c r="AD64" t="inlineStr">
        <is>
          <t>PLAIN_TEXT_UPPERCASE</t>
        </is>
      </c>
      <c r="AE64" t="inlineStr">
        <is>
          <t>JTL TRIP SUPPORT</t>
        </is>
      </c>
    </row>
    <row r="65">
      <c r="A65" t="inlineStr">
        <is>
          <t>UAA-019</t>
        </is>
      </c>
      <c r="B65" t="inlineStr">
        <is>
          <t>AIR KING JET SA</t>
        </is>
      </c>
      <c r="T65" t="inlineStr">
        <is>
          <t>ACTIVE</t>
        </is>
      </c>
      <c r="Y65" t="inlineStr">
        <is>
          <t>EMAIL</t>
        </is>
      </c>
      <c r="AD65" t="inlineStr">
        <is>
          <t>PLAIN_TEXT_UPPERCASE</t>
        </is>
      </c>
      <c r="AE65" t="inlineStr">
        <is>
          <t>JTL TRIP SUPPORT</t>
        </is>
      </c>
    </row>
    <row r="66">
      <c r="A66" t="inlineStr">
        <is>
          <t>UAA-020</t>
        </is>
      </c>
      <c r="B66" t="inlineStr">
        <is>
          <t>HANWHA SOLUTIONS CORPORATION</t>
        </is>
      </c>
      <c r="T66" t="inlineStr">
        <is>
          <t>ACTIVE</t>
        </is>
      </c>
      <c r="Y66" t="inlineStr">
        <is>
          <t>EMAIL</t>
        </is>
      </c>
      <c r="AD66" t="inlineStr">
        <is>
          <t>PLAIN_TEXT_UPPERCASE</t>
        </is>
      </c>
      <c r="AE66" t="inlineStr">
        <is>
          <t>JTL TRIP SUPPORT</t>
        </is>
      </c>
    </row>
    <row r="67">
      <c r="A67" t="inlineStr">
        <is>
          <t>UAA-021</t>
        </is>
      </c>
      <c r="B67" t="inlineStr">
        <is>
          <t>SK TELECOM CO LTD</t>
        </is>
      </c>
      <c r="T67" t="inlineStr">
        <is>
          <t>ACTIVE</t>
        </is>
      </c>
      <c r="Y67" t="inlineStr">
        <is>
          <t>EMAIL</t>
        </is>
      </c>
      <c r="AD67" t="inlineStr">
        <is>
          <t>PLAIN_TEXT_UPPERCASE</t>
        </is>
      </c>
      <c r="AE67" t="inlineStr">
        <is>
          <t>JTL TRIP SUPPORT</t>
        </is>
      </c>
    </row>
    <row r="68">
      <c r="A68" t="inlineStr">
        <is>
          <t>UAA-022</t>
        </is>
      </c>
      <c r="B68" t="inlineStr">
        <is>
          <t>BANGKOK AIRWAYS PUBLIC COMPANY LIMITED</t>
        </is>
      </c>
      <c r="T68" t="inlineStr">
        <is>
          <t>ACTIVE</t>
        </is>
      </c>
      <c r="Y68" t="inlineStr">
        <is>
          <t>EMAIL</t>
        </is>
      </c>
      <c r="AD68" t="inlineStr">
        <is>
          <t>PLAIN_TEXT_UPPERCASE</t>
        </is>
      </c>
      <c r="AE68" t="inlineStr">
        <is>
          <t>JTL TRIP SUPPORT</t>
        </is>
      </c>
    </row>
    <row r="69">
      <c r="A69" t="inlineStr">
        <is>
          <t>UAA-023</t>
        </is>
      </c>
      <c r="B69" t="inlineStr">
        <is>
          <t>AL ATHEER AVIATION COMPANY</t>
        </is>
      </c>
      <c r="T69" t="inlineStr">
        <is>
          <t>ACTIVE</t>
        </is>
      </c>
      <c r="Y69" t="inlineStr">
        <is>
          <t>EMAIL</t>
        </is>
      </c>
      <c r="AD69" t="inlineStr">
        <is>
          <t>PLAIN_TEXT_UPPERCASE</t>
        </is>
      </c>
      <c r="AE69" t="inlineStr">
        <is>
          <t>JTL TRIP SUPPORT</t>
        </is>
      </c>
    </row>
    <row r="70">
      <c r="A70" t="inlineStr">
        <is>
          <t>UAA-024</t>
        </is>
      </c>
      <c r="B70" t="inlineStr">
        <is>
          <t>KINGDOM HOLDING COMPANY</t>
        </is>
      </c>
      <c r="T70" t="inlineStr">
        <is>
          <t>ACTIVE</t>
        </is>
      </c>
      <c r="Y70" t="inlineStr">
        <is>
          <t>EMAIL</t>
        </is>
      </c>
      <c r="AD70" t="inlineStr">
        <is>
          <t>PLAIN_TEXT_UPPERCASE</t>
        </is>
      </c>
      <c r="AE70" t="inlineStr">
        <is>
          <t>JTL TRIP SUPPORT</t>
        </is>
      </c>
    </row>
    <row r="71">
      <c r="A71" t="inlineStr">
        <is>
          <t>UAA-025</t>
        </is>
      </c>
      <c r="B71" t="inlineStr">
        <is>
          <t>SIRIO S.P.A.</t>
        </is>
      </c>
      <c r="T71" t="inlineStr">
        <is>
          <t>ACTIVE</t>
        </is>
      </c>
      <c r="Y71" t="inlineStr">
        <is>
          <t>EMAIL</t>
        </is>
      </c>
      <c r="AD71" t="inlineStr">
        <is>
          <t>PLAIN_TEXT_UPPERCASE</t>
        </is>
      </c>
      <c r="AE71" t="inlineStr">
        <is>
          <t>JTL TRIP SUPPORT</t>
        </is>
      </c>
    </row>
    <row r="72">
      <c r="A72" t="inlineStr">
        <is>
          <t>UAA-026</t>
        </is>
      </c>
      <c r="B72" t="inlineStr">
        <is>
          <t>IRISH AIR CORPS</t>
        </is>
      </c>
      <c r="T72" t="inlineStr">
        <is>
          <t>ACTIVE</t>
        </is>
      </c>
      <c r="Y72" t="inlineStr">
        <is>
          <t>EMAIL</t>
        </is>
      </c>
      <c r="AD72" t="inlineStr">
        <is>
          <t>PLAIN_TEXT_UPPERCASE</t>
        </is>
      </c>
      <c r="AE72" t="inlineStr">
        <is>
          <t>JTL TRIP SUPPORT</t>
        </is>
      </c>
    </row>
    <row r="73">
      <c r="A73" t="inlineStr">
        <is>
          <t>UAA-027</t>
        </is>
      </c>
      <c r="B73" t="inlineStr">
        <is>
          <t>ALBA SERVIZI AEROTRASPORTI SPA</t>
        </is>
      </c>
      <c r="T73" t="inlineStr">
        <is>
          <t>ACTIVE</t>
        </is>
      </c>
      <c r="Y73" t="inlineStr">
        <is>
          <t>EMAIL</t>
        </is>
      </c>
      <c r="AD73" t="inlineStr">
        <is>
          <t>PLAIN_TEXT_UPPERCASE</t>
        </is>
      </c>
      <c r="AE73" t="inlineStr">
        <is>
          <t>JTL TRIP SUPPORT</t>
        </is>
      </c>
    </row>
    <row r="74">
      <c r="A74" t="inlineStr">
        <is>
          <t>UAA-028</t>
        </is>
      </c>
      <c r="B74" t="inlineStr">
        <is>
          <t>CHEYENNE SA</t>
        </is>
      </c>
      <c r="T74" t="inlineStr">
        <is>
          <t>ACTIVE</t>
        </is>
      </c>
      <c r="Y74" t="inlineStr">
        <is>
          <t>EMAIL</t>
        </is>
      </c>
      <c r="AD74" t="inlineStr">
        <is>
          <t>PLAIN_TEXT_UPPERCASE</t>
        </is>
      </c>
      <c r="AE74" t="inlineStr">
        <is>
          <t>JTL TRIP SUPPORT</t>
        </is>
      </c>
    </row>
    <row r="75">
      <c r="A75" t="inlineStr">
        <is>
          <t>UAA-029</t>
        </is>
      </c>
      <c r="B75" t="inlineStr">
        <is>
          <t>FALCON OPERATION LIMITED</t>
        </is>
      </c>
      <c r="T75" t="inlineStr">
        <is>
          <t>ACTIVE</t>
        </is>
      </c>
      <c r="Y75" t="inlineStr">
        <is>
          <t>EMAIL</t>
        </is>
      </c>
      <c r="AD75" t="inlineStr">
        <is>
          <t>PLAIN_TEXT_UPPERCASE</t>
        </is>
      </c>
      <c r="AE75" t="inlineStr">
        <is>
          <t>JTL TRIP SUPPORT</t>
        </is>
      </c>
    </row>
    <row r="76">
      <c r="A76" t="inlineStr">
        <is>
          <t>UAA-030</t>
        </is>
      </c>
      <c r="B76" t="inlineStr">
        <is>
          <t>THE WORLD IS YOURS LTD</t>
        </is>
      </c>
      <c r="T76" t="inlineStr">
        <is>
          <t>ACTIVE</t>
        </is>
      </c>
      <c r="Y76" t="inlineStr">
        <is>
          <t>EMAIL</t>
        </is>
      </c>
      <c r="AD76" t="inlineStr">
        <is>
          <t>PLAIN_TEXT_UPPERCASE</t>
        </is>
      </c>
      <c r="AE76" t="inlineStr">
        <is>
          <t>JTL TRIP SUPPORT</t>
        </is>
      </c>
    </row>
    <row r="77">
      <c r="A77" t="inlineStr">
        <is>
          <t>UAA-031</t>
        </is>
      </c>
      <c r="B77" t="inlineStr">
        <is>
          <t>KING POWER INTERNATIONAL COMPANY LTD</t>
        </is>
      </c>
      <c r="T77" t="inlineStr">
        <is>
          <t>ACTIVE</t>
        </is>
      </c>
      <c r="Y77" t="inlineStr">
        <is>
          <t>EMAIL</t>
        </is>
      </c>
      <c r="AD77" t="inlineStr">
        <is>
          <t>PLAIN_TEXT_UPPERCASE</t>
        </is>
      </c>
      <c r="AE77" t="inlineStr">
        <is>
          <t>JTL TRIP SUPPORT</t>
        </is>
      </c>
    </row>
    <row r="78">
      <c r="A78" t="inlineStr">
        <is>
          <t>UAA-032</t>
        </is>
      </c>
      <c r="B78" t="inlineStr">
        <is>
          <t>AUBURN OAK NIGERIA</t>
        </is>
      </c>
      <c r="T78" t="inlineStr">
        <is>
          <t>ACTIVE</t>
        </is>
      </c>
      <c r="Y78" t="inlineStr">
        <is>
          <t>EMAIL</t>
        </is>
      </c>
      <c r="AD78" t="inlineStr">
        <is>
          <t>PLAIN_TEXT_UPPERCASE</t>
        </is>
      </c>
      <c r="AE78" t="inlineStr">
        <is>
          <t>JTL TRIP SUPPORT</t>
        </is>
      </c>
    </row>
    <row r="79">
      <c r="A79" t="inlineStr">
        <is>
          <t>UAA-033</t>
        </is>
      </c>
      <c r="B79" t="inlineStr">
        <is>
          <t>AVIONCO CANADA LTD</t>
        </is>
      </c>
      <c r="T79" t="inlineStr">
        <is>
          <t>ACTIVE</t>
        </is>
      </c>
      <c r="Y79" t="inlineStr">
        <is>
          <t>EMAIL</t>
        </is>
      </c>
      <c r="AD79" t="inlineStr">
        <is>
          <t>PLAIN_TEXT_UPPERCASE</t>
        </is>
      </c>
      <c r="AE79" t="inlineStr">
        <is>
          <t>JTL TRIP SUPPORT</t>
        </is>
      </c>
    </row>
    <row r="80">
      <c r="A80" t="inlineStr">
        <is>
          <t>UAA-034</t>
        </is>
      </c>
      <c r="B80" t="inlineStr">
        <is>
          <t>STARLING AVIATION LTD.</t>
        </is>
      </c>
      <c r="T80" t="inlineStr">
        <is>
          <t>ACTIVE</t>
        </is>
      </c>
      <c r="Y80" t="inlineStr">
        <is>
          <t>EMAIL</t>
        </is>
      </c>
      <c r="AD80" t="inlineStr">
        <is>
          <t>PLAIN_TEXT_UPPERCASE</t>
        </is>
      </c>
      <c r="AE80" t="inlineStr">
        <is>
          <t>JTL TRIP SUPPORT</t>
        </is>
      </c>
    </row>
    <row r="81">
      <c r="A81" t="inlineStr">
        <is>
          <t>UAA-035</t>
        </is>
      </c>
      <c r="B81" t="inlineStr">
        <is>
          <t>EXXONMOBIL CORPORATION</t>
        </is>
      </c>
      <c r="T81" t="inlineStr">
        <is>
          <t>ACTIVE</t>
        </is>
      </c>
      <c r="Y81" t="inlineStr">
        <is>
          <t>EMAIL</t>
        </is>
      </c>
      <c r="AD81" t="inlineStr">
        <is>
          <t>PLAIN_TEXT_UPPERCASE</t>
        </is>
      </c>
      <c r="AE81" t="inlineStr">
        <is>
          <t>JTL TRIP SUPPORT</t>
        </is>
      </c>
    </row>
    <row r="82">
      <c r="A82" t="inlineStr">
        <is>
          <t>UAA-036</t>
        </is>
      </c>
      <c r="B82" t="inlineStr">
        <is>
          <t>EXECUTIVE JET MANAGEMENT INC.</t>
        </is>
      </c>
      <c r="T82" t="inlineStr">
        <is>
          <t>ACTIVE</t>
        </is>
      </c>
      <c r="Y82" t="inlineStr">
        <is>
          <t>EMAIL</t>
        </is>
      </c>
      <c r="AD82" t="inlineStr">
        <is>
          <t>PLAIN_TEXT_UPPERCASE</t>
        </is>
      </c>
      <c r="AE82" t="inlineStr">
        <is>
          <t>JTL TRIP SUPPORT</t>
        </is>
      </c>
    </row>
    <row r="83">
      <c r="A83" t="inlineStr">
        <is>
          <t>UAA-037</t>
        </is>
      </c>
      <c r="B83" t="inlineStr">
        <is>
          <t>SUNSET AVIATION LLC DBA SOLAIRUS AVIATIO</t>
        </is>
      </c>
      <c r="T83" t="inlineStr">
        <is>
          <t>ACTIVE</t>
        </is>
      </c>
      <c r="Y83" t="inlineStr">
        <is>
          <t>EMAIL</t>
        </is>
      </c>
      <c r="AD83" t="inlineStr">
        <is>
          <t>PLAIN_TEXT_UPPERCASE</t>
        </is>
      </c>
      <c r="AE83" t="inlineStr">
        <is>
          <t>JTL TRIP SUPPORT</t>
        </is>
      </c>
    </row>
    <row r="84">
      <c r="A84" t="inlineStr">
        <is>
          <t>UAA-038</t>
        </is>
      </c>
      <c r="B84" t="inlineStr">
        <is>
          <t>ROCKY MOUNTAIN TRANSPORT LLC</t>
        </is>
      </c>
      <c r="T84" t="inlineStr">
        <is>
          <t>ACTIVE</t>
        </is>
      </c>
      <c r="Y84" t="inlineStr">
        <is>
          <t>EMAIL</t>
        </is>
      </c>
      <c r="AD84" t="inlineStr">
        <is>
          <t>PLAIN_TEXT_UPPERCASE</t>
        </is>
      </c>
      <c r="AE84" t="inlineStr">
        <is>
          <t>JTL TRIP SUPPORT</t>
        </is>
      </c>
    </row>
    <row r="85">
      <c r="A85" t="inlineStr">
        <is>
          <t>UAA-039</t>
        </is>
      </c>
      <c r="B85" t="inlineStr">
        <is>
          <t>OPTIMUS LOGISTICS GROUP, INC.</t>
        </is>
      </c>
      <c r="T85" t="inlineStr">
        <is>
          <t>ACTIVE</t>
        </is>
      </c>
      <c r="Y85" t="inlineStr">
        <is>
          <t>EMAIL</t>
        </is>
      </c>
      <c r="AD85" t="inlineStr">
        <is>
          <t>PLAIN_TEXT_UPPERCASE</t>
        </is>
      </c>
      <c r="AE85" t="inlineStr">
        <is>
          <t>JTL TRIP SUPPORT</t>
        </is>
      </c>
    </row>
    <row r="86">
      <c r="A86" t="inlineStr">
        <is>
          <t>UAA-040</t>
        </is>
      </c>
      <c r="B86" t="inlineStr">
        <is>
          <t>MAYO AVIATION, INC.</t>
        </is>
      </c>
      <c r="T86" t="inlineStr">
        <is>
          <t>ACTIVE</t>
        </is>
      </c>
      <c r="Y86" t="inlineStr">
        <is>
          <t>EMAIL</t>
        </is>
      </c>
      <c r="AD86" t="inlineStr">
        <is>
          <t>PLAIN_TEXT_UPPERCASE</t>
        </is>
      </c>
      <c r="AE86" t="inlineStr">
        <is>
          <t>JTL TRIP SUPPORT</t>
        </is>
      </c>
    </row>
    <row r="87">
      <c r="A87" t="inlineStr">
        <is>
          <t>UAA-041</t>
        </is>
      </c>
      <c r="B87" t="inlineStr">
        <is>
          <t>CLAY LACY AVIATION, INC.</t>
        </is>
      </c>
      <c r="T87" t="inlineStr">
        <is>
          <t>ACTIVE</t>
        </is>
      </c>
      <c r="Y87" t="inlineStr">
        <is>
          <t>EMAIL</t>
        </is>
      </c>
      <c r="AD87" t="inlineStr">
        <is>
          <t>PLAIN_TEXT_UPPERCASE</t>
        </is>
      </c>
      <c r="AE87" t="inlineStr">
        <is>
          <t>JTL TRIP SUPPORT</t>
        </is>
      </c>
    </row>
    <row r="88">
      <c r="A88" t="inlineStr">
        <is>
          <t>UAA-042</t>
        </is>
      </c>
      <c r="B88" t="inlineStr">
        <is>
          <t>TASCO, LLC</t>
        </is>
      </c>
      <c r="T88" t="inlineStr">
        <is>
          <t>ACTIVE</t>
        </is>
      </c>
      <c r="Y88" t="inlineStr">
        <is>
          <t>EMAIL</t>
        </is>
      </c>
      <c r="AD88" t="inlineStr">
        <is>
          <t>PLAIN_TEXT_UPPERCASE</t>
        </is>
      </c>
      <c r="AE88" t="inlineStr">
        <is>
          <t>JTL TRIP SUPPORT</t>
        </is>
      </c>
    </row>
    <row r="89">
      <c r="A89" t="inlineStr">
        <is>
          <t>UAA-043</t>
        </is>
      </c>
      <c r="B89" t="inlineStr">
        <is>
          <t>GULFSTREAM AEROSPACE</t>
        </is>
      </c>
      <c r="T89" t="inlineStr">
        <is>
          <t>ACTIVE</t>
        </is>
      </c>
      <c r="Y89" t="inlineStr">
        <is>
          <t>EMAIL</t>
        </is>
      </c>
      <c r="AD89" t="inlineStr">
        <is>
          <t>PLAIN_TEXT_UPPERCASE</t>
        </is>
      </c>
      <c r="AE89" t="inlineStr">
        <is>
          <t>JTL TRIP SUPPORT</t>
        </is>
      </c>
    </row>
    <row r="90">
      <c r="A90" t="inlineStr">
        <is>
          <t>UAA-044</t>
        </is>
      </c>
      <c r="B90" t="inlineStr">
        <is>
          <t>AMERICAN EQUITY INVESTMENT LIFE HOLDING</t>
        </is>
      </c>
      <c r="T90" t="inlineStr">
        <is>
          <t>ACTIVE</t>
        </is>
      </c>
      <c r="Y90" t="inlineStr">
        <is>
          <t>EMAIL</t>
        </is>
      </c>
      <c r="AD90" t="inlineStr">
        <is>
          <t>PLAIN_TEXT_UPPERCASE</t>
        </is>
      </c>
      <c r="AE90" t="inlineStr">
        <is>
          <t>JTL TRIP SUPPORT</t>
        </is>
      </c>
    </row>
    <row r="91">
      <c r="A91" t="inlineStr">
        <is>
          <t>UAA-045</t>
        </is>
      </c>
      <c r="B91" t="inlineStr">
        <is>
          <t>AIRMAX LLC</t>
        </is>
      </c>
      <c r="T91" t="inlineStr">
        <is>
          <t>ACTIVE</t>
        </is>
      </c>
      <c r="Y91" t="inlineStr">
        <is>
          <t>EMAIL</t>
        </is>
      </c>
      <c r="AD91" t="inlineStr">
        <is>
          <t>PLAIN_TEXT_UPPERCASE</t>
        </is>
      </c>
      <c r="AE91" t="inlineStr">
        <is>
          <t>JTL TRIP SUPPORT</t>
        </is>
      </c>
    </row>
    <row r="92">
      <c r="A92" t="inlineStr">
        <is>
          <t>UAA-046</t>
        </is>
      </c>
      <c r="B92" t="inlineStr">
        <is>
          <t>SEDGWICK INC</t>
        </is>
      </c>
      <c r="T92" t="inlineStr">
        <is>
          <t>ACTIVE</t>
        </is>
      </c>
      <c r="Y92" t="inlineStr">
        <is>
          <t>EMAIL</t>
        </is>
      </c>
      <c r="AD92" t="inlineStr">
        <is>
          <t>PLAIN_TEXT_UPPERCASE</t>
        </is>
      </c>
      <c r="AE92" t="inlineStr">
        <is>
          <t>JTL TRIP SUPPORT</t>
        </is>
      </c>
    </row>
    <row r="93">
      <c r="A93" t="inlineStr">
        <is>
          <t>UAA-047</t>
        </is>
      </c>
      <c r="B93" t="inlineStr">
        <is>
          <t>HONEYWELL INTERNATIONAL INC</t>
        </is>
      </c>
      <c r="T93" t="inlineStr">
        <is>
          <t>ACTIVE</t>
        </is>
      </c>
      <c r="Y93" t="inlineStr">
        <is>
          <t>EMAIL</t>
        </is>
      </c>
      <c r="AD93" t="inlineStr">
        <is>
          <t>PLAIN_TEXT_UPPERCASE</t>
        </is>
      </c>
      <c r="AE93" t="inlineStr">
        <is>
          <t>JTL TRIP SUPPORT</t>
        </is>
      </c>
    </row>
    <row r="94">
      <c r="A94" t="inlineStr">
        <is>
          <t>UAA-048</t>
        </is>
      </c>
      <c r="B94" t="inlineStr">
        <is>
          <t>WINGTIP CORPORATION</t>
        </is>
      </c>
      <c r="T94" t="inlineStr">
        <is>
          <t>ACTIVE</t>
        </is>
      </c>
      <c r="Y94" t="inlineStr">
        <is>
          <t>EMAIL</t>
        </is>
      </c>
      <c r="AD94" t="inlineStr">
        <is>
          <t>PLAIN_TEXT_UPPERCASE</t>
        </is>
      </c>
      <c r="AE94" t="inlineStr">
        <is>
          <t>JTL TRIP SUPPORT</t>
        </is>
      </c>
    </row>
    <row r="95">
      <c r="A95" t="inlineStr">
        <is>
          <t>UAA-049</t>
        </is>
      </c>
      <c r="B95" t="inlineStr">
        <is>
          <t>BRC TRANSIT LLC</t>
        </is>
      </c>
      <c r="T95" t="inlineStr">
        <is>
          <t>ACTIVE</t>
        </is>
      </c>
      <c r="Y95" t="inlineStr">
        <is>
          <t>EMAIL</t>
        </is>
      </c>
      <c r="AD95" t="inlineStr">
        <is>
          <t>PLAIN_TEXT_UPPERCASE</t>
        </is>
      </c>
      <c r="AE95" t="inlineStr">
        <is>
          <t>JTL TRIP SUPPORT</t>
        </is>
      </c>
    </row>
    <row r="96">
      <c r="A96" t="inlineStr">
        <is>
          <t>UAA-050</t>
        </is>
      </c>
      <c r="B96" t="inlineStr">
        <is>
          <t>GLASS AVIATION</t>
        </is>
      </c>
      <c r="T96" t="inlineStr">
        <is>
          <t>ACTIVE</t>
        </is>
      </c>
      <c r="Y96" t="inlineStr">
        <is>
          <t>EMAIL</t>
        </is>
      </c>
      <c r="AD96" t="inlineStr">
        <is>
          <t>PLAIN_TEXT_UPPERCASE</t>
        </is>
      </c>
      <c r="AE96" t="inlineStr">
        <is>
          <t>JTL TRIP SUPPORT</t>
        </is>
      </c>
    </row>
    <row r="97">
      <c r="A97" t="inlineStr">
        <is>
          <t>UAA-051</t>
        </is>
      </c>
      <c r="B97" t="inlineStr">
        <is>
          <t>GAMA AVIATION LLC</t>
        </is>
      </c>
      <c r="T97" t="inlineStr">
        <is>
          <t>ACTIVE</t>
        </is>
      </c>
      <c r="Y97" t="inlineStr">
        <is>
          <t>EMAIL</t>
        </is>
      </c>
      <c r="AD97" t="inlineStr">
        <is>
          <t>PLAIN_TEXT_UPPERCASE</t>
        </is>
      </c>
      <c r="AE97" t="inlineStr">
        <is>
          <t>JTL TRIP SUPPORT</t>
        </is>
      </c>
    </row>
    <row r="98">
      <c r="A98" t="inlineStr">
        <is>
          <t>UAA-052</t>
        </is>
      </c>
      <c r="B98" t="inlineStr">
        <is>
          <t>CIGNA CORPORATION</t>
        </is>
      </c>
      <c r="T98" t="inlineStr">
        <is>
          <t>ACTIVE</t>
        </is>
      </c>
      <c r="Y98" t="inlineStr">
        <is>
          <t>EMAIL</t>
        </is>
      </c>
      <c r="AD98" t="inlineStr">
        <is>
          <t>PLAIN_TEXT_UPPERCASE</t>
        </is>
      </c>
      <c r="AE98" t="inlineStr">
        <is>
          <t>JTL TRIP SUPPORT</t>
        </is>
      </c>
    </row>
    <row r="99">
      <c r="A99" t="inlineStr">
        <is>
          <t>UAA-053</t>
        </is>
      </c>
      <c r="B99" t="inlineStr">
        <is>
          <t>WINGS JET FLIGHT TRAINING LLC</t>
        </is>
      </c>
      <c r="T99" t="inlineStr">
        <is>
          <t>ACTIVE</t>
        </is>
      </c>
      <c r="Y99" t="inlineStr">
        <is>
          <t>EMAIL</t>
        </is>
      </c>
      <c r="AD99" t="inlineStr">
        <is>
          <t>PLAIN_TEXT_UPPERCASE</t>
        </is>
      </c>
      <c r="AE99" t="inlineStr">
        <is>
          <t>JTL TRIP SUPPORT</t>
        </is>
      </c>
    </row>
    <row r="100">
      <c r="A100" t="inlineStr">
        <is>
          <t>UAA-054</t>
        </is>
      </c>
      <c r="B100" t="inlineStr">
        <is>
          <t>IQVIA TRANSPORTATION SERVICES CORP.</t>
        </is>
      </c>
      <c r="T100" t="inlineStr">
        <is>
          <t>ACTIVE</t>
        </is>
      </c>
      <c r="Y100" t="inlineStr">
        <is>
          <t>EMAIL</t>
        </is>
      </c>
      <c r="AD100" t="inlineStr">
        <is>
          <t>PLAIN_TEXT_UPPERCASE</t>
        </is>
      </c>
      <c r="AE100" t="inlineStr">
        <is>
          <t>JTL TRIP SUPPORT</t>
        </is>
      </c>
    </row>
    <row r="101">
      <c r="A101" t="inlineStr">
        <is>
          <t>UAA-055</t>
        </is>
      </c>
      <c r="B101" t="inlineStr">
        <is>
          <t>JET AVIATION FLIGHT SERVICES INC</t>
        </is>
      </c>
      <c r="T101" t="inlineStr">
        <is>
          <t>ACTIVE</t>
        </is>
      </c>
      <c r="Y101" t="inlineStr">
        <is>
          <t>EMAIL</t>
        </is>
      </c>
      <c r="AD101" t="inlineStr">
        <is>
          <t>PLAIN_TEXT_UPPERCASE</t>
        </is>
      </c>
      <c r="AE101" t="inlineStr">
        <is>
          <t>JTL TRIP SUPPORT</t>
        </is>
      </c>
    </row>
    <row r="102">
      <c r="A102" t="inlineStr">
        <is>
          <t>UAA-056</t>
        </is>
      </c>
      <c r="B102" t="inlineStr">
        <is>
          <t>CITIGROUP CORPORATE AVIATION</t>
        </is>
      </c>
      <c r="T102" t="inlineStr">
        <is>
          <t>ACTIVE</t>
        </is>
      </c>
      <c r="Y102" t="inlineStr">
        <is>
          <t>EMAIL</t>
        </is>
      </c>
      <c r="AD102" t="inlineStr">
        <is>
          <t>PLAIN_TEXT_UPPERCASE</t>
        </is>
      </c>
      <c r="AE102" t="inlineStr">
        <is>
          <t>JTL TRIP SUPPORT</t>
        </is>
      </c>
    </row>
    <row r="103">
      <c r="A103" t="inlineStr">
        <is>
          <t>UAA-057</t>
        </is>
      </c>
      <c r="B103" t="inlineStr">
        <is>
          <t>SP GENERAL SERVICES, LLC</t>
        </is>
      </c>
      <c r="T103" t="inlineStr">
        <is>
          <t>ACTIVE</t>
        </is>
      </c>
      <c r="Y103" t="inlineStr">
        <is>
          <t>EMAIL</t>
        </is>
      </c>
      <c r="AD103" t="inlineStr">
        <is>
          <t>PLAIN_TEXT_UPPERCASE</t>
        </is>
      </c>
      <c r="AE103" t="inlineStr">
        <is>
          <t>JTL TRIP SUPPORT</t>
        </is>
      </c>
    </row>
    <row r="104">
      <c r="A104" t="inlineStr">
        <is>
          <t>UAA-058</t>
        </is>
      </c>
      <c r="B104" t="inlineStr">
        <is>
          <t>CHEVRON U.S.A. INC</t>
        </is>
      </c>
      <c r="T104" t="inlineStr">
        <is>
          <t>ACTIVE</t>
        </is>
      </c>
      <c r="Y104" t="inlineStr">
        <is>
          <t>EMAIL</t>
        </is>
      </c>
      <c r="AD104" t="inlineStr">
        <is>
          <t>PLAIN_TEXT_UPPERCASE</t>
        </is>
      </c>
      <c r="AE104" t="inlineStr">
        <is>
          <t>JTL TRIP SUPPORT</t>
        </is>
      </c>
    </row>
    <row r="105">
      <c r="A105" t="inlineStr">
        <is>
          <t>UAA-059</t>
        </is>
      </c>
      <c r="B105" t="inlineStr">
        <is>
          <t>META SPECIAL AEROSPACE, AIR OPERATIONS</t>
        </is>
      </c>
      <c r="T105" t="inlineStr">
        <is>
          <t>ACTIVE</t>
        </is>
      </c>
      <c r="Y105" t="inlineStr">
        <is>
          <t>EMAIL</t>
        </is>
      </c>
      <c r="AD105" t="inlineStr">
        <is>
          <t>PLAIN_TEXT_UPPERCASE</t>
        </is>
      </c>
      <c r="AE105" t="inlineStr">
        <is>
          <t>JTL TRIP SUPPORT</t>
        </is>
      </c>
    </row>
    <row r="106">
      <c r="A106" t="inlineStr">
        <is>
          <t>UAA-060</t>
        </is>
      </c>
      <c r="B106" t="inlineStr">
        <is>
          <t>MENTE LLC</t>
        </is>
      </c>
      <c r="T106" t="inlineStr">
        <is>
          <t>ACTIVE</t>
        </is>
      </c>
      <c r="Y106" t="inlineStr">
        <is>
          <t>EMAIL</t>
        </is>
      </c>
      <c r="AD106" t="inlineStr">
        <is>
          <t>PLAIN_TEXT_UPPERCASE</t>
        </is>
      </c>
      <c r="AE106" t="inlineStr">
        <is>
          <t>JTL TRIP SUPPORT</t>
        </is>
      </c>
    </row>
    <row r="107">
      <c r="A107" t="inlineStr">
        <is>
          <t>UAA-061</t>
        </is>
      </c>
      <c r="B107" t="inlineStr">
        <is>
          <t>MCDONALD'S CORPORATION</t>
        </is>
      </c>
      <c r="T107" t="inlineStr">
        <is>
          <t>ACTIVE</t>
        </is>
      </c>
      <c r="Y107" t="inlineStr">
        <is>
          <t>EMAIL</t>
        </is>
      </c>
      <c r="AD107" t="inlineStr">
        <is>
          <t>PLAIN_TEXT_UPPERCASE</t>
        </is>
      </c>
      <c r="AE107" t="inlineStr">
        <is>
          <t>JTL TRIP SUPPORT</t>
        </is>
      </c>
    </row>
    <row r="108">
      <c r="A108" t="inlineStr">
        <is>
          <t>UAA-062</t>
        </is>
      </c>
      <c r="B108" t="inlineStr">
        <is>
          <t>EAGLE MOUNTAIN INTERNATIONAL CHURCH INC</t>
        </is>
      </c>
      <c r="T108" t="inlineStr">
        <is>
          <t>ACTIVE</t>
        </is>
      </c>
      <c r="Y108" t="inlineStr">
        <is>
          <t>EMAIL</t>
        </is>
      </c>
      <c r="AD108" t="inlineStr">
        <is>
          <t>PLAIN_TEXT_UPPERCASE</t>
        </is>
      </c>
      <c r="AE108" t="inlineStr">
        <is>
          <t>JTL TRIP SUPPORT</t>
        </is>
      </c>
    </row>
    <row r="109">
      <c r="A109" t="inlineStr">
        <is>
          <t>UAA-063</t>
        </is>
      </c>
      <c r="B109" t="inlineStr">
        <is>
          <t>FRIEDKIN AVIATION, INC.</t>
        </is>
      </c>
      <c r="T109" t="inlineStr">
        <is>
          <t>ACTIVE</t>
        </is>
      </c>
      <c r="Y109" t="inlineStr">
        <is>
          <t>EMAIL</t>
        </is>
      </c>
      <c r="AD109" t="inlineStr">
        <is>
          <t>PLAIN_TEXT_UPPERCASE</t>
        </is>
      </c>
      <c r="AE109" t="inlineStr">
        <is>
          <t>JTL TRIP SUPPORT</t>
        </is>
      </c>
    </row>
    <row r="110">
      <c r="A110" t="inlineStr">
        <is>
          <t>UAA-064</t>
        </is>
      </c>
      <c r="B110" t="inlineStr">
        <is>
          <t>HENDRICK MOTORSPORTS, INC.</t>
        </is>
      </c>
      <c r="T110" t="inlineStr">
        <is>
          <t>ACTIVE</t>
        </is>
      </c>
      <c r="Y110" t="inlineStr">
        <is>
          <t>EMAIL</t>
        </is>
      </c>
      <c r="AD110" t="inlineStr">
        <is>
          <t>PLAIN_TEXT_UPPERCASE</t>
        </is>
      </c>
      <c r="AE110" t="inlineStr">
        <is>
          <t>JTL TRIP SUPPORT</t>
        </is>
      </c>
    </row>
    <row r="111">
      <c r="A111" t="inlineStr">
        <is>
          <t>UAA-065</t>
        </is>
      </c>
      <c r="B111" t="inlineStr">
        <is>
          <t>HCC SERVICE COMPANY LTD</t>
        </is>
      </c>
      <c r="T111" t="inlineStr">
        <is>
          <t>ACTIVE</t>
        </is>
      </c>
      <c r="Y111" t="inlineStr">
        <is>
          <t>EMAIL</t>
        </is>
      </c>
      <c r="AD111" t="inlineStr">
        <is>
          <t>PLAIN_TEXT_UPPERCASE</t>
        </is>
      </c>
      <c r="AE111" t="inlineStr">
        <is>
          <t>JTL TRIP SUPPORT</t>
        </is>
      </c>
    </row>
    <row r="112">
      <c r="A112" t="inlineStr">
        <is>
          <t>UAA-066</t>
        </is>
      </c>
      <c r="B112" t="inlineStr">
        <is>
          <t>DAYLO HOLDINGS INC</t>
        </is>
      </c>
      <c r="T112" t="inlineStr">
        <is>
          <t>ACTIVE</t>
        </is>
      </c>
      <c r="Y112" t="inlineStr">
        <is>
          <t>EMAIL</t>
        </is>
      </c>
      <c r="AD112" t="inlineStr">
        <is>
          <t>PLAIN_TEXT_UPPERCASE</t>
        </is>
      </c>
      <c r="AE112" t="inlineStr">
        <is>
          <t>JTL TRIP SUPPORT</t>
        </is>
      </c>
    </row>
    <row r="113">
      <c r="A113" t="inlineStr">
        <is>
          <t>UAA-067</t>
        </is>
      </c>
      <c r="B113" t="inlineStr">
        <is>
          <t>AKWA IBOM STATE FLIGHT DEPARTMENT</t>
        </is>
      </c>
      <c r="T113" t="inlineStr">
        <is>
          <t>ACTIVE</t>
        </is>
      </c>
      <c r="Y113" t="inlineStr">
        <is>
          <t>EMAIL</t>
        </is>
      </c>
      <c r="AD113" t="inlineStr">
        <is>
          <t>PLAIN_TEXT_UPPERCASE</t>
        </is>
      </c>
      <c r="AE113" t="inlineStr">
        <is>
          <t>JTL TRIP SUPPORT</t>
        </is>
      </c>
    </row>
    <row r="114">
      <c r="A114" t="inlineStr">
        <is>
          <t>UAA-068</t>
        </is>
      </c>
      <c r="B114" t="inlineStr">
        <is>
          <t>AIR BONGO UNIT TRUST</t>
        </is>
      </c>
      <c r="T114" t="inlineStr">
        <is>
          <t>ACTIVE</t>
        </is>
      </c>
      <c r="Y114" t="inlineStr">
        <is>
          <t>EMAIL</t>
        </is>
      </c>
      <c r="AD114" t="inlineStr">
        <is>
          <t>PLAIN_TEXT_UPPERCASE</t>
        </is>
      </c>
      <c r="AE114" t="inlineStr">
        <is>
          <t>JTL TRIP SUPPORT</t>
        </is>
      </c>
    </row>
    <row r="115">
      <c r="A115" t="inlineStr">
        <is>
          <t>UAA-069</t>
        </is>
      </c>
      <c r="B115" t="inlineStr">
        <is>
          <t>WESTERN AIR CHARTER DBA JET EDGE INT'L</t>
        </is>
      </c>
      <c r="T115" t="inlineStr">
        <is>
          <t>ACTIVE</t>
        </is>
      </c>
      <c r="Y115" t="inlineStr">
        <is>
          <t>EMAIL</t>
        </is>
      </c>
      <c r="AD115" t="inlineStr">
        <is>
          <t>PLAIN_TEXT_UPPERCASE</t>
        </is>
      </c>
      <c r="AE115" t="inlineStr">
        <is>
          <t>JTL TRIP SUPPORT</t>
        </is>
      </c>
    </row>
    <row r="116">
      <c r="A116" t="inlineStr">
        <is>
          <t>UAA-070</t>
        </is>
      </c>
      <c r="B116" t="inlineStr">
        <is>
          <t>GOOGLE LLC</t>
        </is>
      </c>
      <c r="T116" t="inlineStr">
        <is>
          <t>ACTIVE</t>
        </is>
      </c>
      <c r="Y116" t="inlineStr">
        <is>
          <t>EMAIL</t>
        </is>
      </c>
      <c r="AD116" t="inlineStr">
        <is>
          <t>PLAIN_TEXT_UPPERCASE</t>
        </is>
      </c>
      <c r="AE116" t="inlineStr">
        <is>
          <t>JTL TRIP SUPPORT</t>
        </is>
      </c>
    </row>
    <row r="117">
      <c r="A117" t="inlineStr">
        <is>
          <t>UAA-071</t>
        </is>
      </c>
      <c r="B117" t="inlineStr">
        <is>
          <t>HAMILTON AVIATION INC</t>
        </is>
      </c>
      <c r="T117" t="inlineStr">
        <is>
          <t>ACTIVE</t>
        </is>
      </c>
      <c r="Y117" t="inlineStr">
        <is>
          <t>EMAIL</t>
        </is>
      </c>
      <c r="AD117" t="inlineStr">
        <is>
          <t>PLAIN_TEXT_UPPERCASE</t>
        </is>
      </c>
      <c r="AE117" t="inlineStr">
        <is>
          <t>JTL TRIP SUPPORT</t>
        </is>
      </c>
    </row>
    <row r="118">
      <c r="A118" t="inlineStr">
        <is>
          <t>UAA-072</t>
        </is>
      </c>
      <c r="B118" t="inlineStr">
        <is>
          <t>DAVID E. SIMON</t>
        </is>
      </c>
      <c r="T118" t="inlineStr">
        <is>
          <t>ACTIVE</t>
        </is>
      </c>
      <c r="Y118" t="inlineStr">
        <is>
          <t>EMAIL</t>
        </is>
      </c>
      <c r="AD118" t="inlineStr">
        <is>
          <t>PLAIN_TEXT_UPPERCASE</t>
        </is>
      </c>
      <c r="AE118" t="inlineStr">
        <is>
          <t>JTL TRIP SUPPORT</t>
        </is>
      </c>
    </row>
    <row r="119">
      <c r="A119" t="inlineStr">
        <is>
          <t>UAA-073</t>
        </is>
      </c>
      <c r="B119" t="inlineStr">
        <is>
          <t>BS FARMS AVIATION, LLC</t>
        </is>
      </c>
      <c r="T119" t="inlineStr">
        <is>
          <t>ACTIVE</t>
        </is>
      </c>
      <c r="Y119" t="inlineStr">
        <is>
          <t>EMAIL</t>
        </is>
      </c>
      <c r="AD119" t="inlineStr">
        <is>
          <t>PLAIN_TEXT_UPPERCASE</t>
        </is>
      </c>
      <c r="AE119" t="inlineStr">
        <is>
          <t>JTL TRIP SUPPORT</t>
        </is>
      </c>
    </row>
    <row r="120">
      <c r="A120" t="inlineStr">
        <is>
          <t>UAA-074</t>
        </is>
      </c>
      <c r="B120" t="inlineStr">
        <is>
          <t>ALTICOR INC.</t>
        </is>
      </c>
      <c r="T120" t="inlineStr">
        <is>
          <t>ACTIVE</t>
        </is>
      </c>
      <c r="Y120" t="inlineStr">
        <is>
          <t>EMAIL</t>
        </is>
      </c>
      <c r="AD120" t="inlineStr">
        <is>
          <t>PLAIN_TEXT_UPPERCASE</t>
        </is>
      </c>
      <c r="AE120" t="inlineStr">
        <is>
          <t>JTL TRIP SUPPORT</t>
        </is>
      </c>
    </row>
    <row r="121">
      <c r="A121" t="inlineStr">
        <is>
          <t>UAA-075</t>
        </is>
      </c>
      <c r="B121" t="inlineStr">
        <is>
          <t>CANYON PARTNERS LLC</t>
        </is>
      </c>
      <c r="T121" t="inlineStr">
        <is>
          <t>ACTIVE</t>
        </is>
      </c>
      <c r="Y121" t="inlineStr">
        <is>
          <t>EMAIL</t>
        </is>
      </c>
      <c r="AD121" t="inlineStr">
        <is>
          <t>PLAIN_TEXT_UPPERCASE</t>
        </is>
      </c>
      <c r="AE121" t="inlineStr">
        <is>
          <t>JTL TRIP SUPPORT</t>
        </is>
      </c>
    </row>
    <row r="122">
      <c r="A122" t="inlineStr">
        <is>
          <t>UAA-076</t>
        </is>
      </c>
      <c r="B122" t="inlineStr">
        <is>
          <t>AVIATION CONSULTANTS INC.</t>
        </is>
      </c>
      <c r="T122" t="inlineStr">
        <is>
          <t>ACTIVE</t>
        </is>
      </c>
      <c r="Y122" t="inlineStr">
        <is>
          <t>EMAIL</t>
        </is>
      </c>
      <c r="AD122" t="inlineStr">
        <is>
          <t>PLAIN_TEXT_UPPERCASE</t>
        </is>
      </c>
      <c r="AE122" t="inlineStr">
        <is>
          <t>JTL TRIP SUPPORT</t>
        </is>
      </c>
    </row>
    <row r="123">
      <c r="A123" t="inlineStr">
        <is>
          <t>UAA-077</t>
        </is>
      </c>
      <c r="B123" t="inlineStr">
        <is>
          <t>GULF AIR GROUP INC</t>
        </is>
      </c>
      <c r="T123" t="inlineStr">
        <is>
          <t>ACTIVE</t>
        </is>
      </c>
      <c r="Y123" t="inlineStr">
        <is>
          <t>EMAIL</t>
        </is>
      </c>
      <c r="AD123" t="inlineStr">
        <is>
          <t>PLAIN_TEXT_UPPERCASE</t>
        </is>
      </c>
      <c r="AE123" t="inlineStr">
        <is>
          <t>JTL TRIP SUPPORT</t>
        </is>
      </c>
    </row>
    <row r="124">
      <c r="A124" t="inlineStr">
        <is>
          <t>UAA-078</t>
        </is>
      </c>
      <c r="B124" t="inlineStr">
        <is>
          <t>L.J. ASSOCIATES, INC.</t>
        </is>
      </c>
      <c r="T124" t="inlineStr">
        <is>
          <t>ACTIVE</t>
        </is>
      </c>
      <c r="Y124" t="inlineStr">
        <is>
          <t>EMAIL</t>
        </is>
      </c>
      <c r="AD124" t="inlineStr">
        <is>
          <t>PLAIN_TEXT_UPPERCASE</t>
        </is>
      </c>
      <c r="AE124" t="inlineStr">
        <is>
          <t>JTL TRIP SUPPORT</t>
        </is>
      </c>
    </row>
    <row r="125">
      <c r="A125" t="inlineStr">
        <is>
          <t>UAA-079</t>
        </is>
      </c>
      <c r="B125" t="inlineStr">
        <is>
          <t>BISSELL INC</t>
        </is>
      </c>
      <c r="T125" t="inlineStr">
        <is>
          <t>ACTIVE</t>
        </is>
      </c>
      <c r="Y125" t="inlineStr">
        <is>
          <t>EMAIL</t>
        </is>
      </c>
      <c r="AD125" t="inlineStr">
        <is>
          <t>PLAIN_TEXT_UPPERCASE</t>
        </is>
      </c>
      <c r="AE125" t="inlineStr">
        <is>
          <t>JTL TRIP SUPPORT</t>
        </is>
      </c>
    </row>
    <row r="126">
      <c r="A126" t="inlineStr">
        <is>
          <t>UAA-080</t>
        </is>
      </c>
      <c r="B126" t="inlineStr">
        <is>
          <t>EMBRAER EXECUTIVE AIRCRAFT INC.</t>
        </is>
      </c>
      <c r="T126" t="inlineStr">
        <is>
          <t>ACTIVE</t>
        </is>
      </c>
      <c r="Y126" t="inlineStr">
        <is>
          <t>EMAIL</t>
        </is>
      </c>
      <c r="AD126" t="inlineStr">
        <is>
          <t>PLAIN_TEXT_UPPERCASE</t>
        </is>
      </c>
      <c r="AE126" t="inlineStr">
        <is>
          <t>JTL TRIP SUPPORT</t>
        </is>
      </c>
    </row>
    <row r="127">
      <c r="A127" t="inlineStr">
        <is>
          <t>UAA-081</t>
        </is>
      </c>
      <c r="B127" t="inlineStr">
        <is>
          <t>GLOBAL AIR CHARTERS INC</t>
        </is>
      </c>
      <c r="T127" t="inlineStr">
        <is>
          <t>ACTIVE</t>
        </is>
      </c>
      <c r="Y127" t="inlineStr">
        <is>
          <t>EMAIL</t>
        </is>
      </c>
      <c r="AD127" t="inlineStr">
        <is>
          <t>PLAIN_TEXT_UPPERCASE</t>
        </is>
      </c>
      <c r="AE127" t="inlineStr">
        <is>
          <t>JTL TRIP SUPPORT</t>
        </is>
      </c>
    </row>
    <row r="128">
      <c r="A128" t="inlineStr">
        <is>
          <t>UAA-082</t>
        </is>
      </c>
      <c r="B128" t="inlineStr">
        <is>
          <t>SNAP INC</t>
        </is>
      </c>
      <c r="T128" t="inlineStr">
        <is>
          <t>ACTIVE</t>
        </is>
      </c>
      <c r="Y128" t="inlineStr">
        <is>
          <t>EMAIL</t>
        </is>
      </c>
      <c r="AD128" t="inlineStr">
        <is>
          <t>PLAIN_TEXT_UPPERCASE</t>
        </is>
      </c>
      <c r="AE128" t="inlineStr">
        <is>
          <t>JTL TRIP SUPPORT</t>
        </is>
      </c>
    </row>
    <row r="129">
      <c r="A129" t="inlineStr">
        <is>
          <t>UAA-083</t>
        </is>
      </c>
      <c r="B129" t="inlineStr">
        <is>
          <t>PROCTER &amp; GAMBLE CO.</t>
        </is>
      </c>
      <c r="T129" t="inlineStr">
        <is>
          <t>ACTIVE</t>
        </is>
      </c>
      <c r="Y129" t="inlineStr">
        <is>
          <t>EMAIL</t>
        </is>
      </c>
      <c r="AD129" t="inlineStr">
        <is>
          <t>PLAIN_TEXT_UPPERCASE</t>
        </is>
      </c>
      <c r="AE129" t="inlineStr">
        <is>
          <t>JTL TRIP SUPPORT</t>
        </is>
      </c>
    </row>
    <row r="130">
      <c r="A130" t="inlineStr">
        <is>
          <t>UAA-084</t>
        </is>
      </c>
      <c r="B130" t="inlineStr">
        <is>
          <t>MAD SCIENCE CHAMBER LLC</t>
        </is>
      </c>
      <c r="T130" t="inlineStr">
        <is>
          <t>ACTIVE</t>
        </is>
      </c>
      <c r="Y130" t="inlineStr">
        <is>
          <t>EMAIL</t>
        </is>
      </c>
      <c r="AD130" t="inlineStr">
        <is>
          <t>PLAIN_TEXT_UPPERCASE</t>
        </is>
      </c>
      <c r="AE130" t="inlineStr">
        <is>
          <t>JTL TRIP SUPPORT</t>
        </is>
      </c>
    </row>
    <row r="131">
      <c r="A131" t="inlineStr">
        <is>
          <t>UAA-085</t>
        </is>
      </c>
      <c r="B131" t="inlineStr">
        <is>
          <t>EAGLE ACFT &amp; TRANSPORTATION MANAGEMENT,</t>
        </is>
      </c>
      <c r="T131" t="inlineStr">
        <is>
          <t>ACTIVE</t>
        </is>
      </c>
      <c r="Y131" t="inlineStr">
        <is>
          <t>EMAIL</t>
        </is>
      </c>
      <c r="AD131" t="inlineStr">
        <is>
          <t>PLAIN_TEXT_UPPERCASE</t>
        </is>
      </c>
      <c r="AE131" t="inlineStr">
        <is>
          <t>JTL TRIP SUPPORT</t>
        </is>
      </c>
    </row>
    <row r="132">
      <c r="A132" t="inlineStr">
        <is>
          <t>UAA-086</t>
        </is>
      </c>
      <c r="B132" t="inlineStr">
        <is>
          <t>SC AVIATION LLC</t>
        </is>
      </c>
      <c r="T132" t="inlineStr">
        <is>
          <t>ACTIVE</t>
        </is>
      </c>
      <c r="Y132" t="inlineStr">
        <is>
          <t>EMAIL</t>
        </is>
      </c>
      <c r="AD132" t="inlineStr">
        <is>
          <t>PLAIN_TEXT_UPPERCASE</t>
        </is>
      </c>
      <c r="AE132" t="inlineStr">
        <is>
          <t>JTL TRIP SUPPORT</t>
        </is>
      </c>
    </row>
    <row r="133">
      <c r="A133" t="inlineStr">
        <is>
          <t>UAA-087</t>
        </is>
      </c>
      <c r="B133" t="inlineStr">
        <is>
          <t>BB ONE LLC</t>
        </is>
      </c>
      <c r="T133" t="inlineStr">
        <is>
          <t>ACTIVE</t>
        </is>
      </c>
      <c r="Y133" t="inlineStr">
        <is>
          <t>EMAIL</t>
        </is>
      </c>
      <c r="AD133" t="inlineStr">
        <is>
          <t>PLAIN_TEXT_UPPERCASE</t>
        </is>
      </c>
      <c r="AE133" t="inlineStr">
        <is>
          <t>JTL TRIP SUPPORT</t>
        </is>
      </c>
    </row>
    <row r="134">
      <c r="A134" t="inlineStr">
        <is>
          <t>UAA-088</t>
        </is>
      </c>
      <c r="B134" t="inlineStr">
        <is>
          <t>LIVING WORD CHRISTIAN CENTER</t>
        </is>
      </c>
      <c r="T134" t="inlineStr">
        <is>
          <t>ACTIVE</t>
        </is>
      </c>
      <c r="Y134" t="inlineStr">
        <is>
          <t>EMAIL</t>
        </is>
      </c>
      <c r="AD134" t="inlineStr">
        <is>
          <t>PLAIN_TEXT_UPPERCASE</t>
        </is>
      </c>
      <c r="AE134" t="inlineStr">
        <is>
          <t>JTL TRIP SUPPORT</t>
        </is>
      </c>
    </row>
    <row r="135">
      <c r="A135" t="inlineStr">
        <is>
          <t>UAA-089</t>
        </is>
      </c>
      <c r="B135" t="inlineStr">
        <is>
          <t>DASSAULT FALCON JET CORP.</t>
        </is>
      </c>
      <c r="T135" t="inlineStr">
        <is>
          <t>ACTIVE</t>
        </is>
      </c>
      <c r="Y135" t="inlineStr">
        <is>
          <t>EMAIL</t>
        </is>
      </c>
      <c r="AD135" t="inlineStr">
        <is>
          <t>PLAIN_TEXT_UPPERCASE</t>
        </is>
      </c>
      <c r="AE135" t="inlineStr">
        <is>
          <t>JTL TRIP SUPPORT</t>
        </is>
      </c>
    </row>
    <row r="136">
      <c r="A136" t="inlineStr">
        <is>
          <t>UAA-090</t>
        </is>
      </c>
      <c r="B136" t="inlineStr">
        <is>
          <t>PROJECT ORBIS INTERNATIONAL, INC.</t>
        </is>
      </c>
      <c r="T136" t="inlineStr">
        <is>
          <t>ACTIVE</t>
        </is>
      </c>
      <c r="Y136" t="inlineStr">
        <is>
          <t>EMAIL</t>
        </is>
      </c>
      <c r="AD136" t="inlineStr">
        <is>
          <t>PLAIN_TEXT_UPPERCASE</t>
        </is>
      </c>
      <c r="AE136" t="inlineStr">
        <is>
          <t>JTL TRIP SUPPORT</t>
        </is>
      </c>
    </row>
    <row r="137">
      <c r="A137" t="inlineStr">
        <is>
          <t>UAA-091</t>
        </is>
      </c>
      <c r="B137" t="inlineStr">
        <is>
          <t>VISA USA INC</t>
        </is>
      </c>
      <c r="T137" t="inlineStr">
        <is>
          <t>ACTIVE</t>
        </is>
      </c>
      <c r="Y137" t="inlineStr">
        <is>
          <t>EMAIL</t>
        </is>
      </c>
      <c r="AD137" t="inlineStr">
        <is>
          <t>PLAIN_TEXT_UPPERCASE</t>
        </is>
      </c>
      <c r="AE137" t="inlineStr">
        <is>
          <t>JTL TRIP SUPPORT</t>
        </is>
      </c>
    </row>
    <row r="138">
      <c r="A138" t="inlineStr">
        <is>
          <t>UAA-092</t>
        </is>
      </c>
      <c r="B138" t="inlineStr">
        <is>
          <t>LUFT AVIATION CHARTER PTY LTD</t>
        </is>
      </c>
      <c r="T138" t="inlineStr">
        <is>
          <t>ACTIVE</t>
        </is>
      </c>
      <c r="Y138" t="inlineStr">
        <is>
          <t>EMAIL</t>
        </is>
      </c>
      <c r="AD138" t="inlineStr">
        <is>
          <t>PLAIN_TEXT_UPPERCASE</t>
        </is>
      </c>
      <c r="AE138" t="inlineStr">
        <is>
          <t>JTL TRIP SUPPORT</t>
        </is>
      </c>
    </row>
    <row r="139">
      <c r="A139" t="inlineStr">
        <is>
          <t>UAA-093</t>
        </is>
      </c>
      <c r="B139" t="inlineStr">
        <is>
          <t>LUFT AVIATION</t>
        </is>
      </c>
      <c r="T139" t="inlineStr">
        <is>
          <t>ACTIVE</t>
        </is>
      </c>
      <c r="Y139" t="inlineStr">
        <is>
          <t>EMAIL</t>
        </is>
      </c>
      <c r="AD139" t="inlineStr">
        <is>
          <t>PLAIN_TEXT_UPPERCASE</t>
        </is>
      </c>
      <c r="AE139" t="inlineStr">
        <is>
          <t>JTL TRIP SUPPORT</t>
        </is>
      </c>
    </row>
    <row r="140">
      <c r="A140" t="inlineStr">
        <is>
          <t>UAA-094</t>
        </is>
      </c>
      <c r="B140" t="inlineStr">
        <is>
          <t>LFG AVIATION LIMITED</t>
        </is>
      </c>
      <c r="T140" t="inlineStr">
        <is>
          <t>ACTIVE</t>
        </is>
      </c>
      <c r="Y140" t="inlineStr">
        <is>
          <t>EMAIL</t>
        </is>
      </c>
      <c r="AD140" t="inlineStr">
        <is>
          <t>PLAIN_TEXT_UPPERCASE</t>
        </is>
      </c>
      <c r="AE140" t="inlineStr">
        <is>
          <t>JTL TRIP SUPPORT</t>
        </is>
      </c>
    </row>
    <row r="141">
      <c r="A141" t="inlineStr">
        <is>
          <t>UAA-095</t>
        </is>
      </c>
      <c r="B141" t="inlineStr">
        <is>
          <t>HOLYPEAK PROPRIETARY LIMITED</t>
        </is>
      </c>
      <c r="T141" t="inlineStr">
        <is>
          <t>ACTIVE</t>
        </is>
      </c>
      <c r="Y141" t="inlineStr">
        <is>
          <t>EMAIL</t>
        </is>
      </c>
      <c r="AD141" t="inlineStr">
        <is>
          <t>PLAIN_TEXT_UPPERCASE</t>
        </is>
      </c>
      <c r="AE141" t="inlineStr">
        <is>
          <t>JTL TRIP SUPPORT</t>
        </is>
      </c>
    </row>
    <row r="142">
      <c r="A142" t="inlineStr">
        <is>
          <t>UAA-096</t>
        </is>
      </c>
      <c r="B142" t="inlineStr">
        <is>
          <t>KALAHARI MANAGEMENT CO</t>
        </is>
      </c>
      <c r="T142" t="inlineStr">
        <is>
          <t>ACTIVE</t>
        </is>
      </c>
      <c r="Y142" t="inlineStr">
        <is>
          <t>EMAIL</t>
        </is>
      </c>
      <c r="AD142" t="inlineStr">
        <is>
          <t>PLAIN_TEXT_UPPERCASE</t>
        </is>
      </c>
      <c r="AE142" t="inlineStr">
        <is>
          <t>JTL TRIP SUPPORT</t>
        </is>
      </c>
    </row>
    <row r="143">
      <c r="A143" t="inlineStr">
        <is>
          <t>UAA-097</t>
        </is>
      </c>
      <c r="B143" t="inlineStr">
        <is>
          <t>SERVICIOS AEREOS SUDAMERICANOS</t>
        </is>
      </c>
      <c r="T143" t="inlineStr">
        <is>
          <t>ACTIVE</t>
        </is>
      </c>
      <c r="Y143" t="inlineStr">
        <is>
          <t>EMAIL</t>
        </is>
      </c>
      <c r="AD143" t="inlineStr">
        <is>
          <t>PLAIN_TEXT_UPPERCASE</t>
        </is>
      </c>
      <c r="AE143" t="inlineStr">
        <is>
          <t>JTL TRIP SUPPORT</t>
        </is>
      </c>
    </row>
    <row r="144">
      <c r="A144" t="inlineStr">
        <is>
          <t>UAA-098</t>
        </is>
      </c>
      <c r="B144" t="inlineStr">
        <is>
          <t>HARRINFORD LIMITED</t>
        </is>
      </c>
      <c r="T144" t="inlineStr">
        <is>
          <t>ACTIVE</t>
        </is>
      </c>
      <c r="Y144" t="inlineStr">
        <is>
          <t>EMAIL</t>
        </is>
      </c>
      <c r="AD144" t="inlineStr">
        <is>
          <t>PLAIN_TEXT_UPPERCASE</t>
        </is>
      </c>
      <c r="AE144" t="inlineStr">
        <is>
          <t>JTL TRIP SUPPORT</t>
        </is>
      </c>
    </row>
    <row r="145">
      <c r="A145" t="inlineStr">
        <is>
          <t>UAA-099</t>
        </is>
      </c>
      <c r="B145" t="inlineStr">
        <is>
          <t>SKYLINE GROUP MC LLC</t>
        </is>
      </c>
      <c r="T145" t="inlineStr">
        <is>
          <t>ACTIVE</t>
        </is>
      </c>
      <c r="Y145" t="inlineStr">
        <is>
          <t>EMAIL</t>
        </is>
      </c>
      <c r="AD145" t="inlineStr">
        <is>
          <t>PLAIN_TEXT_UPPERCASE</t>
        </is>
      </c>
      <c r="AE145" t="inlineStr">
        <is>
          <t>JTL TRIP SUPPORT</t>
        </is>
      </c>
    </row>
    <row r="146">
      <c r="A146" t="inlineStr">
        <is>
          <t>UAA-100</t>
        </is>
      </c>
      <c r="B146" t="inlineStr">
        <is>
          <t>INCOBRASA INDUSTRIES LTD</t>
        </is>
      </c>
      <c r="T146" t="inlineStr">
        <is>
          <t>ACTIVE</t>
        </is>
      </c>
      <c r="Y146" t="inlineStr">
        <is>
          <t>EMAIL</t>
        </is>
      </c>
      <c r="AD146" t="inlineStr">
        <is>
          <t>PLAIN_TEXT_UPPERCASE</t>
        </is>
      </c>
      <c r="AE146" t="inlineStr">
        <is>
          <t>JTL TRIP SUPPORT</t>
        </is>
      </c>
    </row>
    <row r="147">
      <c r="A147" t="inlineStr">
        <is>
          <t>UAA-101</t>
        </is>
      </c>
      <c r="B147" t="inlineStr">
        <is>
          <t>AVALON CAPITAL GROUP II LLC</t>
        </is>
      </c>
      <c r="T147" t="inlineStr">
        <is>
          <t>ACTIVE</t>
        </is>
      </c>
      <c r="Y147" t="inlineStr">
        <is>
          <t>EMAIL</t>
        </is>
      </c>
      <c r="AD147" t="inlineStr">
        <is>
          <t>PLAIN_TEXT_UPPERCASE</t>
        </is>
      </c>
      <c r="AE147" t="inlineStr">
        <is>
          <t>JTL TRIP SUPPORT</t>
        </is>
      </c>
    </row>
    <row r="148">
      <c r="A148" t="inlineStr">
        <is>
          <t>UAA-102</t>
        </is>
      </c>
      <c r="B148" t="inlineStr">
        <is>
          <t>COLUMBIA PACIFIC MANAGMENT</t>
        </is>
      </c>
      <c r="T148" t="inlineStr">
        <is>
          <t>ACTIVE</t>
        </is>
      </c>
      <c r="Y148" t="inlineStr">
        <is>
          <t>EMAIL</t>
        </is>
      </c>
      <c r="AD148" t="inlineStr">
        <is>
          <t>PLAIN_TEXT_UPPERCASE</t>
        </is>
      </c>
      <c r="AE148" t="inlineStr">
        <is>
          <t>JTL TRIP SUPPORT</t>
        </is>
      </c>
    </row>
    <row r="149">
      <c r="A149" t="inlineStr">
        <is>
          <t>UAA-103</t>
        </is>
      </c>
      <c r="B149" t="inlineStr">
        <is>
          <t>BLUE VISTA LLC</t>
        </is>
      </c>
      <c r="T149" t="inlineStr">
        <is>
          <t>ACTIVE</t>
        </is>
      </c>
      <c r="Y149" t="inlineStr">
        <is>
          <t>EMAIL</t>
        </is>
      </c>
      <c r="AD149" t="inlineStr">
        <is>
          <t>PLAIN_TEXT_UPPERCASE</t>
        </is>
      </c>
      <c r="AE149" t="inlineStr">
        <is>
          <t>JTL TRIP SUPPORT</t>
        </is>
      </c>
    </row>
    <row r="150">
      <c r="A150" t="inlineStr">
        <is>
          <t>UAA-104</t>
        </is>
      </c>
      <c r="B150" t="inlineStr">
        <is>
          <t>WORLDWIDE JET CHARTER INC</t>
        </is>
      </c>
      <c r="T150" t="inlineStr">
        <is>
          <t>ACTIVE</t>
        </is>
      </c>
      <c r="Y150" t="inlineStr">
        <is>
          <t>EMAIL</t>
        </is>
      </c>
      <c r="AD150" t="inlineStr">
        <is>
          <t>PLAIN_TEXT_UPPERCASE</t>
        </is>
      </c>
      <c r="AE150" t="inlineStr">
        <is>
          <t>JTL TRIP SUPPORT</t>
        </is>
      </c>
    </row>
    <row r="151">
      <c r="A151" t="inlineStr">
        <is>
          <t>UAA-105</t>
        </is>
      </c>
      <c r="B151" t="inlineStr">
        <is>
          <t>WHEELS UP PRIVATE JETS LLC</t>
        </is>
      </c>
      <c r="T151" t="inlineStr">
        <is>
          <t>ACTIVE</t>
        </is>
      </c>
      <c r="Y151" t="inlineStr">
        <is>
          <t>EMAIL</t>
        </is>
      </c>
      <c r="AD151" t="inlineStr">
        <is>
          <t>PLAIN_TEXT_UPPERCASE</t>
        </is>
      </c>
      <c r="AE151" t="inlineStr">
        <is>
          <t>JTL TRIP SUPPORT</t>
        </is>
      </c>
    </row>
    <row r="152">
      <c r="A152" t="inlineStr">
        <is>
          <t>UAA-106</t>
        </is>
      </c>
      <c r="B152" t="inlineStr">
        <is>
          <t>TEXAS INSTRUMENTS, INC.</t>
        </is>
      </c>
      <c r="T152" t="inlineStr">
        <is>
          <t>ACTIVE</t>
        </is>
      </c>
      <c r="Y152" t="inlineStr">
        <is>
          <t>EMAIL</t>
        </is>
      </c>
      <c r="AD152" t="inlineStr">
        <is>
          <t>PLAIN_TEXT_UPPERCASE</t>
        </is>
      </c>
      <c r="AE152" t="inlineStr">
        <is>
          <t>JTL TRIP SUPPORT</t>
        </is>
      </c>
    </row>
    <row r="153">
      <c r="A153" t="inlineStr">
        <is>
          <t>UAA-107</t>
        </is>
      </c>
      <c r="B153" t="inlineStr">
        <is>
          <t>STRATTON PARK ENGINEERING COMPANY, INC.</t>
        </is>
      </c>
      <c r="T153" t="inlineStr">
        <is>
          <t>ACTIVE</t>
        </is>
      </c>
      <c r="Y153" t="inlineStr">
        <is>
          <t>EMAIL</t>
        </is>
      </c>
      <c r="AD153" t="inlineStr">
        <is>
          <t>PLAIN_TEXT_UPPERCASE</t>
        </is>
      </c>
      <c r="AE153" t="inlineStr">
        <is>
          <t>JTL TRIP SUPPORT</t>
        </is>
      </c>
    </row>
    <row r="154">
      <c r="A154" t="inlineStr">
        <is>
          <t>UAA-108</t>
        </is>
      </c>
      <c r="B154" t="inlineStr">
        <is>
          <t>TRAXXAS LP</t>
        </is>
      </c>
      <c r="T154" t="inlineStr">
        <is>
          <t>ACTIVE</t>
        </is>
      </c>
      <c r="Y154" t="inlineStr">
        <is>
          <t>EMAIL</t>
        </is>
      </c>
      <c r="AD154" t="inlineStr">
        <is>
          <t>PLAIN_TEXT_UPPERCASE</t>
        </is>
      </c>
      <c r="AE154" t="inlineStr">
        <is>
          <t>JTL TRIP SUPPORT</t>
        </is>
      </c>
    </row>
    <row r="155">
      <c r="A155" t="inlineStr">
        <is>
          <t>UAA-109</t>
        </is>
      </c>
      <c r="B155" t="inlineStr">
        <is>
          <t>CENTURION AVIATION SERVICES, INC.</t>
        </is>
      </c>
      <c r="T155" t="inlineStr">
        <is>
          <t>ACTIVE</t>
        </is>
      </c>
      <c r="Y155" t="inlineStr">
        <is>
          <t>EMAIL</t>
        </is>
      </c>
      <c r="AD155" t="inlineStr">
        <is>
          <t>PLAIN_TEXT_UPPERCASE</t>
        </is>
      </c>
      <c r="AE155" t="inlineStr">
        <is>
          <t>JTL TRIP SUPPORT</t>
        </is>
      </c>
    </row>
    <row r="156">
      <c r="A156" t="inlineStr">
        <is>
          <t>UAA-110</t>
        </is>
      </c>
      <c r="B156" t="inlineStr">
        <is>
          <t>BLOOMBERG SERVICES, LLC</t>
        </is>
      </c>
      <c r="T156" t="inlineStr">
        <is>
          <t>ACTIVE</t>
        </is>
      </c>
      <c r="Y156" t="inlineStr">
        <is>
          <t>EMAIL</t>
        </is>
      </c>
      <c r="AD156" t="inlineStr">
        <is>
          <t>PLAIN_TEXT_UPPERCASE</t>
        </is>
      </c>
      <c r="AE156" t="inlineStr">
        <is>
          <t>JTL TRIP SUPPORT</t>
        </is>
      </c>
    </row>
    <row r="157">
      <c r="A157" t="inlineStr">
        <is>
          <t>UAA-111</t>
        </is>
      </c>
      <c r="B157" t="inlineStr">
        <is>
          <t>PEGASUS ELITE AVIATION INC.</t>
        </is>
      </c>
      <c r="T157" t="inlineStr">
        <is>
          <t>ACTIVE</t>
        </is>
      </c>
      <c r="Y157" t="inlineStr">
        <is>
          <t>EMAIL</t>
        </is>
      </c>
      <c r="AD157" t="inlineStr">
        <is>
          <t>PLAIN_TEXT_UPPERCASE</t>
        </is>
      </c>
      <c r="AE157" t="inlineStr">
        <is>
          <t>JTL TRIP SUPPORT</t>
        </is>
      </c>
    </row>
    <row r="158">
      <c r="A158" t="inlineStr">
        <is>
          <t>UAA-112</t>
        </is>
      </c>
      <c r="B158" t="inlineStr">
        <is>
          <t>NEW CENTURY AIR SERVICE INC</t>
        </is>
      </c>
      <c r="T158" t="inlineStr">
        <is>
          <t>ACTIVE</t>
        </is>
      </c>
      <c r="Y158" t="inlineStr">
        <is>
          <t>EMAIL</t>
        </is>
      </c>
      <c r="AD158" t="inlineStr">
        <is>
          <t>PLAIN_TEXT_UPPERCASE</t>
        </is>
      </c>
      <c r="AE158" t="inlineStr">
        <is>
          <t>JTL TRIP SUPPORT</t>
        </is>
      </c>
    </row>
    <row r="159">
      <c r="A159" t="inlineStr">
        <is>
          <t>UAA-113</t>
        </is>
      </c>
      <c r="B159" t="inlineStr">
        <is>
          <t>EDF LLC</t>
        </is>
      </c>
      <c r="T159" t="inlineStr">
        <is>
          <t>ACTIVE</t>
        </is>
      </c>
      <c r="Y159" t="inlineStr">
        <is>
          <t>EMAIL</t>
        </is>
      </c>
      <c r="AD159" t="inlineStr">
        <is>
          <t>PLAIN_TEXT_UPPERCASE</t>
        </is>
      </c>
      <c r="AE159" t="inlineStr">
        <is>
          <t>JTL TRIP SUPPORT</t>
        </is>
      </c>
    </row>
    <row r="160">
      <c r="A160" t="inlineStr">
        <is>
          <t>UAA-114</t>
        </is>
      </c>
      <c r="B160" t="inlineStr">
        <is>
          <t>NPM MANAGEMENT LLC</t>
        </is>
      </c>
      <c r="T160" t="inlineStr">
        <is>
          <t>ACTIVE</t>
        </is>
      </c>
      <c r="Y160" t="inlineStr">
        <is>
          <t>EMAIL</t>
        </is>
      </c>
      <c r="AD160" t="inlineStr">
        <is>
          <t>PLAIN_TEXT_UPPERCASE</t>
        </is>
      </c>
      <c r="AE160" t="inlineStr">
        <is>
          <t>JTL TRIP SUPPORT</t>
        </is>
      </c>
    </row>
    <row r="161">
      <c r="A161" t="inlineStr">
        <is>
          <t>UAA-115</t>
        </is>
      </c>
      <c r="B161" t="inlineStr">
        <is>
          <t>HUNT AVIATION SERVICES LLC</t>
        </is>
      </c>
      <c r="T161" t="inlineStr">
        <is>
          <t>ACTIVE</t>
        </is>
      </c>
      <c r="Y161" t="inlineStr">
        <is>
          <t>EMAIL</t>
        </is>
      </c>
      <c r="AD161" t="inlineStr">
        <is>
          <t>PLAIN_TEXT_UPPERCASE</t>
        </is>
      </c>
      <c r="AE161" t="inlineStr">
        <is>
          <t>JTL TRIP SUPPORT</t>
        </is>
      </c>
    </row>
    <row r="162">
      <c r="A162" t="inlineStr">
        <is>
          <t>UAA-116</t>
        </is>
      </c>
      <c r="B162" t="inlineStr">
        <is>
          <t>THE RICHARDS GROUP INC</t>
        </is>
      </c>
      <c r="T162" t="inlineStr">
        <is>
          <t>ACTIVE</t>
        </is>
      </c>
      <c r="Y162" t="inlineStr">
        <is>
          <t>EMAIL</t>
        </is>
      </c>
      <c r="AD162" t="inlineStr">
        <is>
          <t>PLAIN_TEXT_UPPERCASE</t>
        </is>
      </c>
      <c r="AE162" t="inlineStr">
        <is>
          <t>JTL TRIP SUPPORT</t>
        </is>
      </c>
    </row>
    <row r="163">
      <c r="A163" t="inlineStr">
        <is>
          <t>UAA-117</t>
        </is>
      </c>
      <c r="B163" t="inlineStr">
        <is>
          <t>EXECUTIVE AIR CHARTER OF BOCA RATON INC</t>
        </is>
      </c>
      <c r="T163" t="inlineStr">
        <is>
          <t>ACTIVE</t>
        </is>
      </c>
      <c r="Y163" t="inlineStr">
        <is>
          <t>EMAIL</t>
        </is>
      </c>
      <c r="AD163" t="inlineStr">
        <is>
          <t>PLAIN_TEXT_UPPERCASE</t>
        </is>
      </c>
      <c r="AE163" t="inlineStr">
        <is>
          <t>JTL TRIP SUPPORT</t>
        </is>
      </c>
    </row>
    <row r="164">
      <c r="A164" t="inlineStr">
        <is>
          <t>UAA-118</t>
        </is>
      </c>
      <c r="B164" t="inlineStr">
        <is>
          <t>APACHE CORPORATION</t>
        </is>
      </c>
      <c r="T164" t="inlineStr">
        <is>
          <t>ACTIVE</t>
        </is>
      </c>
      <c r="Y164" t="inlineStr">
        <is>
          <t>EMAIL</t>
        </is>
      </c>
      <c r="AD164" t="inlineStr">
        <is>
          <t>PLAIN_TEXT_UPPERCASE</t>
        </is>
      </c>
      <c r="AE164" t="inlineStr">
        <is>
          <t>JTL TRIP SUPPORT</t>
        </is>
      </c>
    </row>
    <row r="165">
      <c r="A165" t="inlineStr">
        <is>
          <t>UAA-119</t>
        </is>
      </c>
      <c r="B165" t="inlineStr">
        <is>
          <t>SIERRA PACIFIC INDUSTRIES</t>
        </is>
      </c>
      <c r="T165" t="inlineStr">
        <is>
          <t>ACTIVE</t>
        </is>
      </c>
      <c r="Y165" t="inlineStr">
        <is>
          <t>EMAIL</t>
        </is>
      </c>
      <c r="AD165" t="inlineStr">
        <is>
          <t>PLAIN_TEXT_UPPERCASE</t>
        </is>
      </c>
      <c r="AE165" t="inlineStr">
        <is>
          <t>JTL TRIP SUPPORT</t>
        </is>
      </c>
    </row>
    <row r="166">
      <c r="A166" t="inlineStr">
        <is>
          <t>UAA-120</t>
        </is>
      </c>
      <c r="B166" t="inlineStr">
        <is>
          <t>SIAM LAND FLYING CO LTD</t>
        </is>
      </c>
      <c r="T166" t="inlineStr">
        <is>
          <t>ACTIVE</t>
        </is>
      </c>
      <c r="Y166" t="inlineStr">
        <is>
          <t>EMAIL</t>
        </is>
      </c>
      <c r="AD166" t="inlineStr">
        <is>
          <t>PLAIN_TEXT_UPPERCASE</t>
        </is>
      </c>
      <c r="AE166" t="inlineStr">
        <is>
          <t>JTL TRIP SUPPORT</t>
        </is>
      </c>
    </row>
    <row r="167">
      <c r="A167" t="inlineStr">
        <is>
          <t>UAA-121</t>
        </is>
      </c>
      <c r="B167" t="inlineStr">
        <is>
          <t>STEIN'S AIRCRAFT SERVICES, LLC</t>
        </is>
      </c>
      <c r="T167" t="inlineStr">
        <is>
          <t>ACTIVE</t>
        </is>
      </c>
      <c r="Y167" t="inlineStr">
        <is>
          <t>EMAIL</t>
        </is>
      </c>
      <c r="AD167" t="inlineStr">
        <is>
          <t>PLAIN_TEXT_UPPERCASE</t>
        </is>
      </c>
      <c r="AE167" t="inlineStr">
        <is>
          <t>JTL TRIP SUPPORT</t>
        </is>
      </c>
    </row>
    <row r="168">
      <c r="A168" t="inlineStr">
        <is>
          <t>UAA-122</t>
        </is>
      </c>
      <c r="B168" t="inlineStr">
        <is>
          <t>EMMANUEL GROUP</t>
        </is>
      </c>
      <c r="T168" t="inlineStr">
        <is>
          <t>ACTIVE</t>
        </is>
      </c>
      <c r="Y168" t="inlineStr">
        <is>
          <t>EMAIL</t>
        </is>
      </c>
      <c r="AD168" t="inlineStr">
        <is>
          <t>PLAIN_TEXT_UPPERCASE</t>
        </is>
      </c>
      <c r="AE168" t="inlineStr">
        <is>
          <t>JTL TRIP SUPPORT</t>
        </is>
      </c>
    </row>
    <row r="169">
      <c r="A169" t="inlineStr">
        <is>
          <t>UAA-123</t>
        </is>
      </c>
      <c r="B169" t="inlineStr">
        <is>
          <t>MORGRAN COMPANY</t>
        </is>
      </c>
      <c r="T169" t="inlineStr">
        <is>
          <t>ACTIVE</t>
        </is>
      </c>
      <c r="Y169" t="inlineStr">
        <is>
          <t>EMAIL</t>
        </is>
      </c>
      <c r="AD169" t="inlineStr">
        <is>
          <t>PLAIN_TEXT_UPPERCASE</t>
        </is>
      </c>
      <c r="AE169" t="inlineStr">
        <is>
          <t>JTL TRIP SUPPORT</t>
        </is>
      </c>
    </row>
    <row r="170">
      <c r="A170" t="inlineStr">
        <is>
          <t>UAA-124</t>
        </is>
      </c>
      <c r="B170" t="inlineStr">
        <is>
          <t>AERO CHARTER, INC.</t>
        </is>
      </c>
      <c r="T170" t="inlineStr">
        <is>
          <t>ACTIVE</t>
        </is>
      </c>
      <c r="Y170" t="inlineStr">
        <is>
          <t>EMAIL</t>
        </is>
      </c>
      <c r="AD170" t="inlineStr">
        <is>
          <t>PLAIN_TEXT_UPPERCASE</t>
        </is>
      </c>
      <c r="AE170" t="inlineStr">
        <is>
          <t>JTL TRIP SUPPORT</t>
        </is>
      </c>
    </row>
    <row r="171">
      <c r="A171" t="inlineStr">
        <is>
          <t>UAA-125</t>
        </is>
      </c>
      <c r="B171" t="inlineStr">
        <is>
          <t>AMERICAN CREDIT ACCEPTANCE LLC</t>
        </is>
      </c>
      <c r="T171" t="inlineStr">
        <is>
          <t>ACTIVE</t>
        </is>
      </c>
      <c r="Y171" t="inlineStr">
        <is>
          <t>EMAIL</t>
        </is>
      </c>
      <c r="AD171" t="inlineStr">
        <is>
          <t>PLAIN_TEXT_UPPERCASE</t>
        </is>
      </c>
      <c r="AE171" t="inlineStr">
        <is>
          <t>JTL TRIP SUPPORT</t>
        </is>
      </c>
    </row>
    <row r="172">
      <c r="A172" t="inlineStr">
        <is>
          <t>UAA-126</t>
        </is>
      </c>
      <c r="B172" t="inlineStr">
        <is>
          <t>HARPO, INC.</t>
        </is>
      </c>
      <c r="T172" t="inlineStr">
        <is>
          <t>ACTIVE</t>
        </is>
      </c>
      <c r="Y172" t="inlineStr">
        <is>
          <t>EMAIL</t>
        </is>
      </c>
      <c r="AD172" t="inlineStr">
        <is>
          <t>PLAIN_TEXT_UPPERCASE</t>
        </is>
      </c>
      <c r="AE172" t="inlineStr">
        <is>
          <t>JTL TRIP SUPPORT</t>
        </is>
      </c>
    </row>
    <row r="173">
      <c r="A173" t="inlineStr">
        <is>
          <t>UAA-127</t>
        </is>
      </c>
      <c r="B173" t="inlineStr">
        <is>
          <t>GENERAL AVILEASING INC</t>
        </is>
      </c>
      <c r="T173" t="inlineStr">
        <is>
          <t>ACTIVE</t>
        </is>
      </c>
      <c r="Y173" t="inlineStr">
        <is>
          <t>EMAIL</t>
        </is>
      </c>
      <c r="AD173" t="inlineStr">
        <is>
          <t>PLAIN_TEXT_UPPERCASE</t>
        </is>
      </c>
      <c r="AE173" t="inlineStr">
        <is>
          <t>JTL TRIP SUPPORT</t>
        </is>
      </c>
    </row>
    <row r="174">
      <c r="A174" t="inlineStr">
        <is>
          <t>UAA-128</t>
        </is>
      </c>
      <c r="B174" t="inlineStr">
        <is>
          <t>ORIENTAL ENERGY RESOURCES LIMITED</t>
        </is>
      </c>
      <c r="T174" t="inlineStr">
        <is>
          <t>ACTIVE</t>
        </is>
      </c>
      <c r="Y174" t="inlineStr">
        <is>
          <t>EMAIL</t>
        </is>
      </c>
      <c r="AD174" t="inlineStr">
        <is>
          <t>PLAIN_TEXT_UPPERCASE</t>
        </is>
      </c>
      <c r="AE174" t="inlineStr">
        <is>
          <t>JTL TRIP SUPPORT</t>
        </is>
      </c>
    </row>
    <row r="175">
      <c r="A175" t="inlineStr">
        <is>
          <t>UAA-129</t>
        </is>
      </c>
      <c r="B175" t="inlineStr">
        <is>
          <t>VICTORIAN GROUP LLC</t>
        </is>
      </c>
      <c r="T175" t="inlineStr">
        <is>
          <t>ACTIVE</t>
        </is>
      </c>
      <c r="Y175" t="inlineStr">
        <is>
          <t>EMAIL</t>
        </is>
      </c>
      <c r="AD175" t="inlineStr">
        <is>
          <t>PLAIN_TEXT_UPPERCASE</t>
        </is>
      </c>
      <c r="AE175" t="inlineStr">
        <is>
          <t>JTL TRIP SUPPORT</t>
        </is>
      </c>
    </row>
    <row r="176">
      <c r="A176" t="inlineStr">
        <is>
          <t>UAA-130</t>
        </is>
      </c>
      <c r="B176" t="inlineStr">
        <is>
          <t>STARFLITE MANAGEMENT GROUP, INC</t>
        </is>
      </c>
      <c r="T176" t="inlineStr">
        <is>
          <t>ACTIVE</t>
        </is>
      </c>
      <c r="Y176" t="inlineStr">
        <is>
          <t>EMAIL</t>
        </is>
      </c>
      <c r="AD176" t="inlineStr">
        <is>
          <t>PLAIN_TEXT_UPPERCASE</t>
        </is>
      </c>
      <c r="AE176" t="inlineStr">
        <is>
          <t>JTL TRIP SUPPORT</t>
        </is>
      </c>
    </row>
    <row r="177">
      <c r="A177" t="inlineStr">
        <is>
          <t>UAA-131</t>
        </is>
      </c>
      <c r="B177" t="inlineStr">
        <is>
          <t>SUNSET AVIATION LLC DBA SOLAIRUS AVIATION</t>
        </is>
      </c>
      <c r="T177" t="inlineStr">
        <is>
          <t>ACTIVE</t>
        </is>
      </c>
      <c r="Y177" t="inlineStr">
        <is>
          <t>EMAIL</t>
        </is>
      </c>
      <c r="AD177" t="inlineStr">
        <is>
          <t>PLAIN_TEXT_UPPERCASE</t>
        </is>
      </c>
      <c r="AE177" t="inlineStr">
        <is>
          <t>JTL TRIP SUPPORT</t>
        </is>
      </c>
    </row>
    <row r="178">
      <c r="A178" t="inlineStr">
        <is>
          <t>UAA-132</t>
        </is>
      </c>
      <c r="B178" t="inlineStr">
        <is>
          <t>SKY QUEST LLC</t>
        </is>
      </c>
      <c r="T178" t="inlineStr">
        <is>
          <t>ACTIVE</t>
        </is>
      </c>
      <c r="Y178" t="inlineStr">
        <is>
          <t>EMAIL</t>
        </is>
      </c>
      <c r="AD178" t="inlineStr">
        <is>
          <t>PLAIN_TEXT_UPPERCASE</t>
        </is>
      </c>
      <c r="AE178" t="inlineStr">
        <is>
          <t>JTL TRIP SUPPORT</t>
        </is>
      </c>
    </row>
    <row r="179">
      <c r="A179" t="inlineStr">
        <is>
          <t>UAA-133</t>
        </is>
      </c>
      <c r="B179" t="inlineStr">
        <is>
          <t>HILL AIR CORP.</t>
        </is>
      </c>
      <c r="T179" t="inlineStr">
        <is>
          <t>ACTIVE</t>
        </is>
      </c>
      <c r="Y179" t="inlineStr">
        <is>
          <t>EMAIL</t>
        </is>
      </c>
      <c r="AD179" t="inlineStr">
        <is>
          <t>PLAIN_TEXT_UPPERCASE</t>
        </is>
      </c>
      <c r="AE179" t="inlineStr">
        <is>
          <t>JTL TRIP SUPPORT</t>
        </is>
      </c>
    </row>
    <row r="180">
      <c r="A180" t="inlineStr">
        <is>
          <t>UAA-134</t>
        </is>
      </c>
      <c r="B180" t="inlineStr">
        <is>
          <t>HILLCOUR HOLDING LLC</t>
        </is>
      </c>
      <c r="T180" t="inlineStr">
        <is>
          <t>ACTIVE</t>
        </is>
      </c>
      <c r="Y180" t="inlineStr">
        <is>
          <t>EMAIL</t>
        </is>
      </c>
      <c r="AD180" t="inlineStr">
        <is>
          <t>PLAIN_TEXT_UPPERCASE</t>
        </is>
      </c>
      <c r="AE180" t="inlineStr">
        <is>
          <t>JTL TRIP SUPPORT</t>
        </is>
      </c>
    </row>
    <row r="181">
      <c r="A181" t="inlineStr">
        <is>
          <t>UAA-135</t>
        </is>
      </c>
      <c r="B181" t="inlineStr">
        <is>
          <t>EXCELAIRE SERVICE, INC.</t>
        </is>
      </c>
      <c r="T181" t="inlineStr">
        <is>
          <t>ACTIVE</t>
        </is>
      </c>
      <c r="Y181" t="inlineStr">
        <is>
          <t>EMAIL</t>
        </is>
      </c>
      <c r="AD181" t="inlineStr">
        <is>
          <t>PLAIN_TEXT_UPPERCASE</t>
        </is>
      </c>
      <c r="AE181" t="inlineStr">
        <is>
          <t>JTL TRIP SUPPORT</t>
        </is>
      </c>
    </row>
    <row r="182">
      <c r="A182" t="inlineStr">
        <is>
          <t>UAA-136</t>
        </is>
      </c>
      <c r="B182" t="inlineStr">
        <is>
          <t>FEDERAL EXPRESS CORPORATION</t>
        </is>
      </c>
      <c r="T182" t="inlineStr">
        <is>
          <t>ACTIVE</t>
        </is>
      </c>
      <c r="Y182" t="inlineStr">
        <is>
          <t>EMAIL</t>
        </is>
      </c>
      <c r="AD182" t="inlineStr">
        <is>
          <t>PLAIN_TEXT_UPPERCASE</t>
        </is>
      </c>
      <c r="AE182" t="inlineStr">
        <is>
          <t>JTL TRIP SUPPORT</t>
        </is>
      </c>
    </row>
    <row r="183">
      <c r="A183" t="inlineStr">
        <is>
          <t>UAA-137</t>
        </is>
      </c>
      <c r="B183" t="inlineStr">
        <is>
          <t>GENERAL DYNAMICS CORPORATION</t>
        </is>
      </c>
      <c r="T183" t="inlineStr">
        <is>
          <t>ACTIVE</t>
        </is>
      </c>
      <c r="Y183" t="inlineStr">
        <is>
          <t>EMAIL</t>
        </is>
      </c>
      <c r="AD183" t="inlineStr">
        <is>
          <t>PLAIN_TEXT_UPPERCASE</t>
        </is>
      </c>
      <c r="AE183" t="inlineStr">
        <is>
          <t>JTL TRIP SUPPORT</t>
        </is>
      </c>
    </row>
    <row r="184">
      <c r="A184" t="inlineStr">
        <is>
          <t>UAA-138</t>
        </is>
      </c>
      <c r="B184" t="inlineStr">
        <is>
          <t>FIREBLADE INVESTMENTS (PTY) LIMITED</t>
        </is>
      </c>
      <c r="T184" t="inlineStr">
        <is>
          <t>ACTIVE</t>
        </is>
      </c>
      <c r="Y184" t="inlineStr">
        <is>
          <t>EMAIL</t>
        </is>
      </c>
      <c r="AD184" t="inlineStr">
        <is>
          <t>PLAIN_TEXT_UPPERCASE</t>
        </is>
      </c>
      <c r="AE184" t="inlineStr">
        <is>
          <t>JTL TRIP SUPPORT</t>
        </is>
      </c>
    </row>
    <row r="185">
      <c r="A185" t="inlineStr">
        <is>
          <t>UAA-139</t>
        </is>
      </c>
      <c r="B185" t="inlineStr">
        <is>
          <t>ROBUST MANAGEMENT SERVICES PTE. LTD.</t>
        </is>
      </c>
      <c r="T185" t="inlineStr">
        <is>
          <t>ACTIVE</t>
        </is>
      </c>
      <c r="Y185" t="inlineStr">
        <is>
          <t>EMAIL</t>
        </is>
      </c>
      <c r="AD185" t="inlineStr">
        <is>
          <t>PLAIN_TEXT_UPPERCASE</t>
        </is>
      </c>
      <c r="AE185" t="inlineStr">
        <is>
          <t>JTL TRIP SUPPORT</t>
        </is>
      </c>
    </row>
    <row r="186">
      <c r="A186" t="inlineStr">
        <is>
          <t>UAA-140</t>
        </is>
      </c>
      <c r="B186" t="inlineStr">
        <is>
          <t>NORTHERN ILLINOIS FLIGHT CENTER</t>
        </is>
      </c>
      <c r="T186" t="inlineStr">
        <is>
          <t>ACTIVE</t>
        </is>
      </c>
      <c r="Y186" t="inlineStr">
        <is>
          <t>EMAIL</t>
        </is>
      </c>
      <c r="AD186" t="inlineStr">
        <is>
          <t>PLAIN_TEXT_UPPERCASE</t>
        </is>
      </c>
      <c r="AE186" t="inlineStr">
        <is>
          <t>JTL TRIP SUPPORT</t>
        </is>
      </c>
    </row>
    <row r="187">
      <c r="A187" t="inlineStr">
        <is>
          <t>UAA-141</t>
        </is>
      </c>
      <c r="B187" t="inlineStr">
        <is>
          <t>GAYA AVIATION LLC</t>
        </is>
      </c>
      <c r="T187" t="inlineStr">
        <is>
          <t>ACTIVE</t>
        </is>
      </c>
      <c r="Y187" t="inlineStr">
        <is>
          <t>EMAIL</t>
        </is>
      </c>
      <c r="AD187" t="inlineStr">
        <is>
          <t>PLAIN_TEXT_UPPERCASE</t>
        </is>
      </c>
      <c r="AE187" t="inlineStr">
        <is>
          <t>JTL TRIP SUPPORT</t>
        </is>
      </c>
    </row>
    <row r="188">
      <c r="A188" t="inlineStr">
        <is>
          <t>UAA-142</t>
        </is>
      </c>
      <c r="B188" t="inlineStr">
        <is>
          <t>ELMET AVIATION</t>
        </is>
      </c>
      <c r="T188" t="inlineStr">
        <is>
          <t>ACTIVE</t>
        </is>
      </c>
      <c r="Y188" t="inlineStr">
        <is>
          <t>EMAIL</t>
        </is>
      </c>
      <c r="AD188" t="inlineStr">
        <is>
          <t>PLAIN_TEXT_UPPERCASE</t>
        </is>
      </c>
      <c r="AE188" t="inlineStr">
        <is>
          <t>JTL TRIP SUPPORT</t>
        </is>
      </c>
    </row>
    <row r="189">
      <c r="A189" t="inlineStr">
        <is>
          <t>UAA-143</t>
        </is>
      </c>
      <c r="B189" t="inlineStr">
        <is>
          <t>JPMORGAN CHASE &amp; CO.</t>
        </is>
      </c>
      <c r="T189" t="inlineStr">
        <is>
          <t>ACTIVE</t>
        </is>
      </c>
      <c r="Y189" t="inlineStr">
        <is>
          <t>EMAIL</t>
        </is>
      </c>
      <c r="AD189" t="inlineStr">
        <is>
          <t>PLAIN_TEXT_UPPERCASE</t>
        </is>
      </c>
      <c r="AE189" t="inlineStr">
        <is>
          <t>JTL TRIP SUPPORT</t>
        </is>
      </c>
    </row>
    <row r="190">
      <c r="A190" t="inlineStr">
        <is>
          <t>UAA-144</t>
        </is>
      </c>
      <c r="B190" t="inlineStr">
        <is>
          <t>M AVIATION, LLC</t>
        </is>
      </c>
      <c r="T190" t="inlineStr">
        <is>
          <t>ACTIVE</t>
        </is>
      </c>
      <c r="Y190" t="inlineStr">
        <is>
          <t>EMAIL</t>
        </is>
      </c>
      <c r="AD190" t="inlineStr">
        <is>
          <t>PLAIN_TEXT_UPPERCASE</t>
        </is>
      </c>
      <c r="AE190" t="inlineStr">
        <is>
          <t>JTL TRIP SUPPORT</t>
        </is>
      </c>
    </row>
    <row r="191">
      <c r="A191" t="inlineStr">
        <is>
          <t>UAA-145</t>
        </is>
      </c>
      <c r="B191" t="inlineStr">
        <is>
          <t>MACHJET INTERNATIONAL PTY LTD</t>
        </is>
      </c>
      <c r="T191" t="inlineStr">
        <is>
          <t>ACTIVE</t>
        </is>
      </c>
      <c r="Y191" t="inlineStr">
        <is>
          <t>EMAIL</t>
        </is>
      </c>
      <c r="AD191" t="inlineStr">
        <is>
          <t>PLAIN_TEXT_UPPERCASE</t>
        </is>
      </c>
      <c r="AE191" t="inlineStr">
        <is>
          <t>JTL TRIP SUPPORT</t>
        </is>
      </c>
    </row>
    <row r="192">
      <c r="A192" t="inlineStr">
        <is>
          <t>UAA-146</t>
        </is>
      </c>
      <c r="B192" t="inlineStr">
        <is>
          <t>CHIMULAY CORP</t>
        </is>
      </c>
      <c r="T192" t="inlineStr">
        <is>
          <t>ACTIVE</t>
        </is>
      </c>
      <c r="Y192" t="inlineStr">
        <is>
          <t>EMAIL</t>
        </is>
      </c>
      <c r="AD192" t="inlineStr">
        <is>
          <t>PLAIN_TEXT_UPPERCASE</t>
        </is>
      </c>
      <c r="AE192" t="inlineStr">
        <is>
          <t>JTL TRIP SUPPORT</t>
        </is>
      </c>
    </row>
    <row r="193">
      <c r="A193" t="inlineStr">
        <is>
          <t>UAA-147</t>
        </is>
      </c>
      <c r="B193" t="inlineStr">
        <is>
          <t>MARCONI, LLC</t>
        </is>
      </c>
      <c r="T193" t="inlineStr">
        <is>
          <t>ACTIVE</t>
        </is>
      </c>
      <c r="Y193" t="inlineStr">
        <is>
          <t>EMAIL</t>
        </is>
      </c>
      <c r="AD193" t="inlineStr">
        <is>
          <t>PLAIN_TEXT_UPPERCASE</t>
        </is>
      </c>
      <c r="AE193" t="inlineStr">
        <is>
          <t>JTL TRIP SUPPORT</t>
        </is>
      </c>
    </row>
    <row r="194">
      <c r="A194" t="inlineStr">
        <is>
          <t>UAA-148</t>
        </is>
      </c>
      <c r="B194" t="inlineStr">
        <is>
          <t>CATHEXIS HOLDINGS LP</t>
        </is>
      </c>
      <c r="T194" t="inlineStr">
        <is>
          <t>ACTIVE</t>
        </is>
      </c>
      <c r="Y194" t="inlineStr">
        <is>
          <t>EMAIL</t>
        </is>
      </c>
      <c r="AD194" t="inlineStr">
        <is>
          <t>PLAIN_TEXT_UPPERCASE</t>
        </is>
      </c>
      <c r="AE194" t="inlineStr">
        <is>
          <t>JTL TRIP SUPPORT</t>
        </is>
      </c>
    </row>
    <row r="195">
      <c r="A195" t="inlineStr">
        <is>
          <t>UAA-149</t>
        </is>
      </c>
      <c r="B195" t="inlineStr">
        <is>
          <t>TRAVEL RETAIL SHOPS TRS</t>
        </is>
      </c>
      <c r="T195" t="inlineStr">
        <is>
          <t>ACTIVE</t>
        </is>
      </c>
      <c r="Y195" t="inlineStr">
        <is>
          <t>EMAIL</t>
        </is>
      </c>
      <c r="AD195" t="inlineStr">
        <is>
          <t>PLAIN_TEXT_UPPERCASE</t>
        </is>
      </c>
      <c r="AE195" t="inlineStr">
        <is>
          <t>JTL TRIP SUPPORT</t>
        </is>
      </c>
    </row>
    <row r="196">
      <c r="A196" t="inlineStr">
        <is>
          <t>UAA-150</t>
        </is>
      </c>
      <c r="B196" t="inlineStr">
        <is>
          <t>ZERO SIX AIR LLC</t>
        </is>
      </c>
      <c r="T196" t="inlineStr">
        <is>
          <t>ACTIVE</t>
        </is>
      </c>
      <c r="Y196" t="inlineStr">
        <is>
          <t>EMAIL</t>
        </is>
      </c>
      <c r="AD196" t="inlineStr">
        <is>
          <t>PLAIN_TEXT_UPPERCASE</t>
        </is>
      </c>
      <c r="AE196" t="inlineStr">
        <is>
          <t>JTL TRIP SUPPORT</t>
        </is>
      </c>
    </row>
    <row r="197">
      <c r="A197" t="inlineStr">
        <is>
          <t>UAA-151</t>
        </is>
      </c>
      <c r="B197" t="inlineStr">
        <is>
          <t>PELIKANO CORP.</t>
        </is>
      </c>
      <c r="T197" t="inlineStr">
        <is>
          <t>ACTIVE</t>
        </is>
      </c>
      <c r="Y197" t="inlineStr">
        <is>
          <t>EMAIL</t>
        </is>
      </c>
      <c r="AD197" t="inlineStr">
        <is>
          <t>PLAIN_TEXT_UPPERCASE</t>
        </is>
      </c>
      <c r="AE197" t="inlineStr">
        <is>
          <t>JTL TRIP SUPPORT</t>
        </is>
      </c>
    </row>
    <row r="198">
      <c r="A198" t="inlineStr">
        <is>
          <t>UAA-152</t>
        </is>
      </c>
      <c r="B198" t="inlineStr">
        <is>
          <t>AVIATION LEASING INC.</t>
        </is>
      </c>
      <c r="T198" t="inlineStr">
        <is>
          <t>ACTIVE</t>
        </is>
      </c>
      <c r="Y198" t="inlineStr">
        <is>
          <t>EMAIL</t>
        </is>
      </c>
      <c r="AD198" t="inlineStr">
        <is>
          <t>PLAIN_TEXT_UPPERCASE</t>
        </is>
      </c>
      <c r="AE198" t="inlineStr">
        <is>
          <t>JTL TRIP SUPPORT</t>
        </is>
      </c>
    </row>
    <row r="199">
      <c r="A199" t="inlineStr">
        <is>
          <t>UAA-153</t>
        </is>
      </c>
      <c r="B199" t="inlineStr">
        <is>
          <t>BANK OF AMERICA/CLT</t>
        </is>
      </c>
      <c r="T199" t="inlineStr">
        <is>
          <t>ACTIVE</t>
        </is>
      </c>
      <c r="Y199" t="inlineStr">
        <is>
          <t>EMAIL</t>
        </is>
      </c>
      <c r="AD199" t="inlineStr">
        <is>
          <t>PLAIN_TEXT_UPPERCASE</t>
        </is>
      </c>
      <c r="AE199" t="inlineStr">
        <is>
          <t>JTL TRIP SUPPORT</t>
        </is>
      </c>
    </row>
    <row r="200">
      <c r="A200" t="inlineStr">
        <is>
          <t>UAA-154</t>
        </is>
      </c>
      <c r="B200" t="inlineStr">
        <is>
          <t>AMERICAN FLYING JET, INC.</t>
        </is>
      </c>
      <c r="T200" t="inlineStr">
        <is>
          <t>ACTIVE</t>
        </is>
      </c>
      <c r="Y200" t="inlineStr">
        <is>
          <t>EMAIL</t>
        </is>
      </c>
      <c r="AD200" t="inlineStr">
        <is>
          <t>PLAIN_TEXT_UPPERCASE</t>
        </is>
      </c>
      <c r="AE200" t="inlineStr">
        <is>
          <t>JTL TRIP SUPPORT</t>
        </is>
      </c>
    </row>
    <row r="201">
      <c r="A201" t="inlineStr">
        <is>
          <t>UAA-155</t>
        </is>
      </c>
      <c r="B201" t="inlineStr">
        <is>
          <t>BLUE CITY HOLDINGS LLC</t>
        </is>
      </c>
      <c r="T201" t="inlineStr">
        <is>
          <t>ACTIVE</t>
        </is>
      </c>
      <c r="Y201" t="inlineStr">
        <is>
          <t>EMAIL</t>
        </is>
      </c>
      <c r="AD201" t="inlineStr">
        <is>
          <t>PLAIN_TEXT_UPPERCASE</t>
        </is>
      </c>
      <c r="AE201" t="inlineStr">
        <is>
          <t>JTL TRIP SUPPORT</t>
        </is>
      </c>
    </row>
    <row r="202">
      <c r="A202" t="inlineStr">
        <is>
          <t>UAA-156</t>
        </is>
      </c>
      <c r="B202" t="inlineStr">
        <is>
          <t>WILLIS LEASE FINANCE CORP</t>
        </is>
      </c>
      <c r="T202" t="inlineStr">
        <is>
          <t>ACTIVE</t>
        </is>
      </c>
      <c r="Y202" t="inlineStr">
        <is>
          <t>EMAIL</t>
        </is>
      </c>
      <c r="AD202" t="inlineStr">
        <is>
          <t>PLAIN_TEXT_UPPERCASE</t>
        </is>
      </c>
      <c r="AE202" t="inlineStr">
        <is>
          <t>JTL TRIP SUPPORT</t>
        </is>
      </c>
    </row>
    <row r="203">
      <c r="A203" t="inlineStr">
        <is>
          <t>UAA-157</t>
        </is>
      </c>
      <c r="B203" t="inlineStr">
        <is>
          <t>WASTE MANAGEMENT, INC.</t>
        </is>
      </c>
      <c r="T203" t="inlineStr">
        <is>
          <t>ACTIVE</t>
        </is>
      </c>
      <c r="Y203" t="inlineStr">
        <is>
          <t>EMAIL</t>
        </is>
      </c>
      <c r="AD203" t="inlineStr">
        <is>
          <t>PLAIN_TEXT_UPPERCASE</t>
        </is>
      </c>
      <c r="AE203" t="inlineStr">
        <is>
          <t>JTL TRIP SUPPORT</t>
        </is>
      </c>
    </row>
    <row r="204">
      <c r="A204" t="inlineStr">
        <is>
          <t>UAA-158</t>
        </is>
      </c>
      <c r="B204" t="inlineStr">
        <is>
          <t>MARTIN COHEN</t>
        </is>
      </c>
      <c r="T204" t="inlineStr">
        <is>
          <t>ACTIVE</t>
        </is>
      </c>
      <c r="Y204" t="inlineStr">
        <is>
          <t>EMAIL</t>
        </is>
      </c>
      <c r="AD204" t="inlineStr">
        <is>
          <t>PLAIN_TEXT_UPPERCASE</t>
        </is>
      </c>
      <c r="AE204" t="inlineStr">
        <is>
          <t>JTL TRIP SUPPORT</t>
        </is>
      </c>
    </row>
    <row r="205">
      <c r="A205" t="inlineStr">
        <is>
          <t>UAA-159</t>
        </is>
      </c>
      <c r="B205" t="inlineStr">
        <is>
          <t>BOMBARDIER AEROSPACE CORPORATION</t>
        </is>
      </c>
      <c r="T205" t="inlineStr">
        <is>
          <t>ACTIVE</t>
        </is>
      </c>
      <c r="Y205" t="inlineStr">
        <is>
          <t>EMAIL</t>
        </is>
      </c>
      <c r="AD205" t="inlineStr">
        <is>
          <t>PLAIN_TEXT_UPPERCASE</t>
        </is>
      </c>
      <c r="AE205" t="inlineStr">
        <is>
          <t>JTL TRIP SUPPORT</t>
        </is>
      </c>
    </row>
    <row r="206">
      <c r="A206" t="inlineStr">
        <is>
          <t>UAA-160</t>
        </is>
      </c>
      <c r="B206" t="inlineStr">
        <is>
          <t>AT&amp;T SERVICES, INC</t>
        </is>
      </c>
      <c r="T206" t="inlineStr">
        <is>
          <t>ACTIVE</t>
        </is>
      </c>
      <c r="Y206" t="inlineStr">
        <is>
          <t>EMAIL</t>
        </is>
      </c>
      <c r="AD206" t="inlineStr">
        <is>
          <t>PLAIN_TEXT_UPPERCASE</t>
        </is>
      </c>
      <c r="AE206" t="inlineStr">
        <is>
          <t>JTL TRIP SUPPORT</t>
        </is>
      </c>
    </row>
    <row r="207">
      <c r="A207" t="inlineStr">
        <is>
          <t>UAA-161</t>
        </is>
      </c>
      <c r="B207" t="inlineStr">
        <is>
          <t>AUTONOMY AIR CORPORATION</t>
        </is>
      </c>
      <c r="T207" t="inlineStr">
        <is>
          <t>ACTIVE</t>
        </is>
      </c>
      <c r="Y207" t="inlineStr">
        <is>
          <t>EMAIL</t>
        </is>
      </c>
      <c r="AD207" t="inlineStr">
        <is>
          <t>PLAIN_TEXT_UPPERCASE</t>
        </is>
      </c>
      <c r="AE207" t="inlineStr">
        <is>
          <t>JTL TRIP SUPPORT</t>
        </is>
      </c>
    </row>
    <row r="208">
      <c r="A208" t="inlineStr">
        <is>
          <t>UAA-162</t>
        </is>
      </c>
      <c r="B208" t="inlineStr">
        <is>
          <t>LEE R ANDERSON SR</t>
        </is>
      </c>
      <c r="T208" t="inlineStr">
        <is>
          <t>ACTIVE</t>
        </is>
      </c>
      <c r="Y208" t="inlineStr">
        <is>
          <t>EMAIL</t>
        </is>
      </c>
      <c r="AD208" t="inlineStr">
        <is>
          <t>PLAIN_TEXT_UPPERCASE</t>
        </is>
      </c>
      <c r="AE208" t="inlineStr">
        <is>
          <t>JTL TRIP SUPPORT</t>
        </is>
      </c>
    </row>
    <row r="209">
      <c r="A209" t="inlineStr">
        <is>
          <t>UAA-163</t>
        </is>
      </c>
      <c r="B209" t="inlineStr">
        <is>
          <t>NEXGEN FLIGHT SOLUTIONS LLC</t>
        </is>
      </c>
      <c r="T209" t="inlineStr">
        <is>
          <t>ACTIVE</t>
        </is>
      </c>
      <c r="Y209" t="inlineStr">
        <is>
          <t>EMAIL</t>
        </is>
      </c>
      <c r="AD209" t="inlineStr">
        <is>
          <t>PLAIN_TEXT_UPPERCASE</t>
        </is>
      </c>
      <c r="AE209" t="inlineStr">
        <is>
          <t>JTL TRIP SUPPORT</t>
        </is>
      </c>
    </row>
    <row r="210">
      <c r="A210" t="inlineStr">
        <is>
          <t>UAA-164</t>
        </is>
      </c>
      <c r="B210" t="inlineStr">
        <is>
          <t>GCTPA LLC</t>
        </is>
      </c>
      <c r="T210" t="inlineStr">
        <is>
          <t>ACTIVE</t>
        </is>
      </c>
      <c r="Y210" t="inlineStr">
        <is>
          <t>EMAIL</t>
        </is>
      </c>
      <c r="AD210" t="inlineStr">
        <is>
          <t>PLAIN_TEXT_UPPERCASE</t>
        </is>
      </c>
      <c r="AE210" t="inlineStr">
        <is>
          <t>JTL TRIP SUPPORT</t>
        </is>
      </c>
    </row>
    <row r="211">
      <c r="A211" t="inlineStr">
        <is>
          <t>UAA-165</t>
        </is>
      </c>
      <c r="B211" t="inlineStr">
        <is>
          <t>MCA-ATS INC.</t>
        </is>
      </c>
      <c r="T211" t="inlineStr">
        <is>
          <t>ACTIVE</t>
        </is>
      </c>
      <c r="Y211" t="inlineStr">
        <is>
          <t>EMAIL</t>
        </is>
      </c>
      <c r="AD211" t="inlineStr">
        <is>
          <t>PLAIN_TEXT_UPPERCASE</t>
        </is>
      </c>
      <c r="AE211" t="inlineStr">
        <is>
          <t>JTL TRIP SUPPORT</t>
        </is>
      </c>
    </row>
    <row r="212">
      <c r="A212" t="inlineStr">
        <is>
          <t>UAA-166</t>
        </is>
      </c>
      <c r="B212" t="inlineStr">
        <is>
          <t>AVIATION CHARTERS INC</t>
        </is>
      </c>
      <c r="T212" t="inlineStr">
        <is>
          <t>ACTIVE</t>
        </is>
      </c>
      <c r="Y212" t="inlineStr">
        <is>
          <t>EMAIL</t>
        </is>
      </c>
      <c r="AD212" t="inlineStr">
        <is>
          <t>PLAIN_TEXT_UPPERCASE</t>
        </is>
      </c>
      <c r="AE212" t="inlineStr">
        <is>
          <t>JTL TRIP SUPPORT</t>
        </is>
      </c>
    </row>
    <row r="213">
      <c r="A213" t="inlineStr">
        <is>
          <t>UAA-167</t>
        </is>
      </c>
      <c r="B213" t="inlineStr">
        <is>
          <t>24/7 JET</t>
        </is>
      </c>
      <c r="T213" t="inlineStr">
        <is>
          <t>ACTIVE</t>
        </is>
      </c>
      <c r="Y213" t="inlineStr">
        <is>
          <t>EMAIL</t>
        </is>
      </c>
      <c r="AD213" t="inlineStr">
        <is>
          <t>PLAIN_TEXT_UPPERCASE</t>
        </is>
      </c>
      <c r="AE213" t="inlineStr">
        <is>
          <t>JTL TRIP SUPPORT</t>
        </is>
      </c>
    </row>
    <row r="214">
      <c r="A214" t="inlineStr">
        <is>
          <t>UAA-168</t>
        </is>
      </c>
      <c r="B214" t="inlineStr">
        <is>
          <t>JOELLE JET LLC</t>
        </is>
      </c>
      <c r="T214" t="inlineStr">
        <is>
          <t>ACTIVE</t>
        </is>
      </c>
      <c r="Y214" t="inlineStr">
        <is>
          <t>EMAIL</t>
        </is>
      </c>
      <c r="AD214" t="inlineStr">
        <is>
          <t>PLAIN_TEXT_UPPERCASE</t>
        </is>
      </c>
      <c r="AE214" t="inlineStr">
        <is>
          <t>JTL TRIP SUPPORT</t>
        </is>
      </c>
    </row>
    <row r="215">
      <c r="A215" t="inlineStr">
        <is>
          <t>UAA-169</t>
        </is>
      </c>
      <c r="B215" t="inlineStr">
        <is>
          <t>STARBUCKS CORP.</t>
        </is>
      </c>
      <c r="T215" t="inlineStr">
        <is>
          <t>ACTIVE</t>
        </is>
      </c>
      <c r="Y215" t="inlineStr">
        <is>
          <t>EMAIL</t>
        </is>
      </c>
      <c r="AD215" t="inlineStr">
        <is>
          <t>PLAIN_TEXT_UPPERCASE</t>
        </is>
      </c>
      <c r="AE215" t="inlineStr">
        <is>
          <t>JTL TRIP SUPPORT</t>
        </is>
      </c>
    </row>
    <row r="216">
      <c r="A216" t="inlineStr">
        <is>
          <t>UAA-170</t>
        </is>
      </c>
      <c r="B216" t="inlineStr">
        <is>
          <t>AJH 1 LLC</t>
        </is>
      </c>
      <c r="T216" t="inlineStr">
        <is>
          <t>ACTIVE</t>
        </is>
      </c>
      <c r="Y216" t="inlineStr">
        <is>
          <t>EMAIL</t>
        </is>
      </c>
      <c r="AD216" t="inlineStr">
        <is>
          <t>PLAIN_TEXT_UPPERCASE</t>
        </is>
      </c>
      <c r="AE216" t="inlineStr">
        <is>
          <t>JTL TRIP SUPPORT</t>
        </is>
      </c>
    </row>
    <row r="217">
      <c r="A217" t="inlineStr">
        <is>
          <t>UAA-171</t>
        </is>
      </c>
      <c r="B217" t="inlineStr">
        <is>
          <t>FUNAIR CORPORATION</t>
        </is>
      </c>
      <c r="T217" t="inlineStr">
        <is>
          <t>ACTIVE</t>
        </is>
      </c>
      <c r="Y217" t="inlineStr">
        <is>
          <t>EMAIL</t>
        </is>
      </c>
      <c r="AD217" t="inlineStr">
        <is>
          <t>PLAIN_TEXT_UPPERCASE</t>
        </is>
      </c>
      <c r="AE217" t="inlineStr">
        <is>
          <t>JTL TRIP SUPPORT</t>
        </is>
      </c>
    </row>
    <row r="218">
      <c r="A218" t="inlineStr">
        <is>
          <t>UAA-172</t>
        </is>
      </c>
      <c r="B218" t="inlineStr">
        <is>
          <t>DAROCO HOLDINGS, LLC</t>
        </is>
      </c>
      <c r="T218" t="inlineStr">
        <is>
          <t>ACTIVE</t>
        </is>
      </c>
      <c r="Y218" t="inlineStr">
        <is>
          <t>EMAIL</t>
        </is>
      </c>
      <c r="AD218" t="inlineStr">
        <is>
          <t>PLAIN_TEXT_UPPERCASE</t>
        </is>
      </c>
      <c r="AE218" t="inlineStr">
        <is>
          <t>JTL TRIP SUPPORT</t>
        </is>
      </c>
    </row>
    <row r="219">
      <c r="A219" t="inlineStr">
        <is>
          <t>UAA-173</t>
        </is>
      </c>
      <c r="B219" t="inlineStr">
        <is>
          <t>WALMART INC.</t>
        </is>
      </c>
      <c r="T219" t="inlineStr">
        <is>
          <t>ACTIVE</t>
        </is>
      </c>
      <c r="Y219" t="inlineStr">
        <is>
          <t>EMAIL</t>
        </is>
      </c>
      <c r="AD219" t="inlineStr">
        <is>
          <t>PLAIN_TEXT_UPPERCASE</t>
        </is>
      </c>
      <c r="AE219" t="inlineStr">
        <is>
          <t>JTL TRIP SUPPORT</t>
        </is>
      </c>
    </row>
    <row r="220">
      <c r="A220" t="inlineStr">
        <is>
          <t>UAA-174</t>
        </is>
      </c>
      <c r="B220" t="inlineStr">
        <is>
          <t>VERIZON CORPORATE SERVICES GROUP INC.</t>
        </is>
      </c>
      <c r="T220" t="inlineStr">
        <is>
          <t>ACTIVE</t>
        </is>
      </c>
      <c r="Y220" t="inlineStr">
        <is>
          <t>EMAIL</t>
        </is>
      </c>
      <c r="AD220" t="inlineStr">
        <is>
          <t>PLAIN_TEXT_UPPERCASE</t>
        </is>
      </c>
      <c r="AE220" t="inlineStr">
        <is>
          <t>JTL TRIP SUPPORT</t>
        </is>
      </c>
    </row>
    <row r="221">
      <c r="A221" t="inlineStr">
        <is>
          <t>UAA-175</t>
        </is>
      </c>
      <c r="B221" t="inlineStr">
        <is>
          <t>YUCAIPA COMPANIES LLC, THE</t>
        </is>
      </c>
      <c r="T221" t="inlineStr">
        <is>
          <t>ACTIVE</t>
        </is>
      </c>
      <c r="Y221" t="inlineStr">
        <is>
          <t>EMAIL</t>
        </is>
      </c>
      <c r="AD221" t="inlineStr">
        <is>
          <t>PLAIN_TEXT_UPPERCASE</t>
        </is>
      </c>
      <c r="AE221" t="inlineStr">
        <is>
          <t>JTL TRIP SUPPORT</t>
        </is>
      </c>
    </row>
    <row r="222">
      <c r="A222" t="inlineStr">
        <is>
          <t>UAA-176</t>
        </is>
      </c>
      <c r="B222" t="inlineStr">
        <is>
          <t>STREAM LINE CIRCLE LLC</t>
        </is>
      </c>
      <c r="T222" t="inlineStr">
        <is>
          <t>ACTIVE</t>
        </is>
      </c>
      <c r="Y222" t="inlineStr">
        <is>
          <t>EMAIL</t>
        </is>
      </c>
      <c r="AD222" t="inlineStr">
        <is>
          <t>PLAIN_TEXT_UPPERCASE</t>
        </is>
      </c>
      <c r="AE222" t="inlineStr">
        <is>
          <t>JTL TRIP SUPPORT</t>
        </is>
      </c>
    </row>
    <row r="223">
      <c r="A223" t="inlineStr">
        <is>
          <t>UAA-177</t>
        </is>
      </c>
      <c r="B223" t="inlineStr">
        <is>
          <t>IBM CORPORATION</t>
        </is>
      </c>
      <c r="T223" t="inlineStr">
        <is>
          <t>ACTIVE</t>
        </is>
      </c>
      <c r="Y223" t="inlineStr">
        <is>
          <t>EMAIL</t>
        </is>
      </c>
      <c r="AD223" t="inlineStr">
        <is>
          <t>PLAIN_TEXT_UPPERCASE</t>
        </is>
      </c>
      <c r="AE223" t="inlineStr">
        <is>
          <t>JTL TRIP SUPPORT</t>
        </is>
      </c>
    </row>
    <row r="224">
      <c r="A224" t="inlineStr">
        <is>
          <t>UAA-178</t>
        </is>
      </c>
      <c r="B224" t="inlineStr">
        <is>
          <t>DOBBS BARON II, LLC</t>
        </is>
      </c>
      <c r="T224" t="inlineStr">
        <is>
          <t>ACTIVE</t>
        </is>
      </c>
      <c r="Y224" t="inlineStr">
        <is>
          <t>EMAIL</t>
        </is>
      </c>
      <c r="AD224" t="inlineStr">
        <is>
          <t>PLAIN_TEXT_UPPERCASE</t>
        </is>
      </c>
      <c r="AE224" t="inlineStr">
        <is>
          <t>JTL TRIP SUPPORT</t>
        </is>
      </c>
    </row>
    <row r="225">
      <c r="A225" t="inlineStr">
        <is>
          <t>UAA-179</t>
        </is>
      </c>
      <c r="B225" t="inlineStr">
        <is>
          <t>CATERPILLAR, INC.</t>
        </is>
      </c>
      <c r="T225" t="inlineStr">
        <is>
          <t>ACTIVE</t>
        </is>
      </c>
      <c r="Y225" t="inlineStr">
        <is>
          <t>EMAIL</t>
        </is>
      </c>
      <c r="AD225" t="inlineStr">
        <is>
          <t>PLAIN_TEXT_UPPERCASE</t>
        </is>
      </c>
      <c r="AE225" t="inlineStr">
        <is>
          <t>JTL TRIP SUPPORT</t>
        </is>
      </c>
    </row>
    <row r="226">
      <c r="A226" t="inlineStr">
        <is>
          <t>UAA-180</t>
        </is>
      </c>
      <c r="B226" t="inlineStr">
        <is>
          <t>KOHLER COMPANY</t>
        </is>
      </c>
      <c r="T226" t="inlineStr">
        <is>
          <t>ACTIVE</t>
        </is>
      </c>
      <c r="Y226" t="inlineStr">
        <is>
          <t>EMAIL</t>
        </is>
      </c>
      <c r="AD226" t="inlineStr">
        <is>
          <t>PLAIN_TEXT_UPPERCASE</t>
        </is>
      </c>
      <c r="AE226" t="inlineStr">
        <is>
          <t>JTL TRIP SUPPORT</t>
        </is>
      </c>
    </row>
    <row r="227">
      <c r="A227" t="inlineStr">
        <is>
          <t>UAA-181</t>
        </is>
      </c>
      <c r="B227" t="inlineStr">
        <is>
          <t>PENSKE MEDIA CORPORATION</t>
        </is>
      </c>
      <c r="T227" t="inlineStr">
        <is>
          <t>ACTIVE</t>
        </is>
      </c>
      <c r="Y227" t="inlineStr">
        <is>
          <t>EMAIL</t>
        </is>
      </c>
      <c r="AD227" t="inlineStr">
        <is>
          <t>PLAIN_TEXT_UPPERCASE</t>
        </is>
      </c>
      <c r="AE227" t="inlineStr">
        <is>
          <t>JTL TRIP SUPPORT</t>
        </is>
      </c>
    </row>
    <row r="228">
      <c r="A228" t="inlineStr">
        <is>
          <t>UAA-182</t>
        </is>
      </c>
      <c r="B228" t="inlineStr">
        <is>
          <t>FAITH LIFE INTERNATIONAL, INC.</t>
        </is>
      </c>
      <c r="T228" t="inlineStr">
        <is>
          <t>ACTIVE</t>
        </is>
      </c>
      <c r="Y228" t="inlineStr">
        <is>
          <t>EMAIL</t>
        </is>
      </c>
      <c r="AD228" t="inlineStr">
        <is>
          <t>PLAIN_TEXT_UPPERCASE</t>
        </is>
      </c>
      <c r="AE228" t="inlineStr">
        <is>
          <t>JTL TRIP SUPPORT</t>
        </is>
      </c>
    </row>
    <row r="229">
      <c r="A229" t="inlineStr">
        <is>
          <t>UAA-183</t>
        </is>
      </c>
      <c r="B229" t="inlineStr">
        <is>
          <t>SUN AIR JETS, LLC</t>
        </is>
      </c>
      <c r="T229" t="inlineStr">
        <is>
          <t>ACTIVE</t>
        </is>
      </c>
      <c r="Y229" t="inlineStr">
        <is>
          <t>EMAIL</t>
        </is>
      </c>
      <c r="AD229" t="inlineStr">
        <is>
          <t>PLAIN_TEXT_UPPERCASE</t>
        </is>
      </c>
      <c r="AE229" t="inlineStr">
        <is>
          <t>JTL TRIP SUPPORT</t>
        </is>
      </c>
    </row>
    <row r="230">
      <c r="A230" t="inlineStr">
        <is>
          <t>UAA-184</t>
        </is>
      </c>
      <c r="B230" t="inlineStr">
        <is>
          <t>CANYON GATE FLIGHT SERVICES INC</t>
        </is>
      </c>
      <c r="T230" t="inlineStr">
        <is>
          <t>ACTIVE</t>
        </is>
      </c>
      <c r="Y230" t="inlineStr">
        <is>
          <t>EMAIL</t>
        </is>
      </c>
      <c r="AD230" t="inlineStr">
        <is>
          <t>PLAIN_TEXT_UPPERCASE</t>
        </is>
      </c>
      <c r="AE230" t="inlineStr">
        <is>
          <t>JTL TRIP SUPPORT</t>
        </is>
      </c>
    </row>
    <row r="231">
      <c r="A231" t="inlineStr">
        <is>
          <t>UAA-185</t>
        </is>
      </c>
      <c r="B231" t="inlineStr">
        <is>
          <t>ALTRIA CLIENT SERVICES LLC</t>
        </is>
      </c>
      <c r="T231" t="inlineStr">
        <is>
          <t>ACTIVE</t>
        </is>
      </c>
      <c r="Y231" t="inlineStr">
        <is>
          <t>EMAIL</t>
        </is>
      </c>
      <c r="AD231" t="inlineStr">
        <is>
          <t>PLAIN_TEXT_UPPERCASE</t>
        </is>
      </c>
      <c r="AE231" t="inlineStr">
        <is>
          <t>JTL TRIP SUPPORT</t>
        </is>
      </c>
    </row>
    <row r="232">
      <c r="A232" t="inlineStr">
        <is>
          <t>UAA-186</t>
        </is>
      </c>
      <c r="B232" t="inlineStr">
        <is>
          <t>ALERION AVIATION INC</t>
        </is>
      </c>
      <c r="T232" t="inlineStr">
        <is>
          <t>ACTIVE</t>
        </is>
      </c>
      <c r="Y232" t="inlineStr">
        <is>
          <t>EMAIL</t>
        </is>
      </c>
      <c r="AD232" t="inlineStr">
        <is>
          <t>PLAIN_TEXT_UPPERCASE</t>
        </is>
      </c>
      <c r="AE232" t="inlineStr">
        <is>
          <t>JTL TRIP SUPPORT</t>
        </is>
      </c>
    </row>
    <row r="233">
      <c r="A233" t="inlineStr">
        <is>
          <t>UAA-187</t>
        </is>
      </c>
      <c r="B233" t="inlineStr">
        <is>
          <t>AIRFLITE, INC.</t>
        </is>
      </c>
      <c r="T233" t="inlineStr">
        <is>
          <t>ACTIVE</t>
        </is>
      </c>
      <c r="Y233" t="inlineStr">
        <is>
          <t>EMAIL</t>
        </is>
      </c>
      <c r="AD233" t="inlineStr">
        <is>
          <t>PLAIN_TEXT_UPPERCASE</t>
        </is>
      </c>
      <c r="AE233" t="inlineStr">
        <is>
          <t>JTL TRIP SUPPORT</t>
        </is>
      </c>
    </row>
    <row r="234">
      <c r="A234" t="inlineStr">
        <is>
          <t>UAA-188</t>
        </is>
      </c>
      <c r="B234" t="inlineStr">
        <is>
          <t>ROUTE 66 LLC</t>
        </is>
      </c>
      <c r="T234" t="inlineStr">
        <is>
          <t>ACTIVE</t>
        </is>
      </c>
      <c r="Y234" t="inlineStr">
        <is>
          <t>EMAIL</t>
        </is>
      </c>
      <c r="AD234" t="inlineStr">
        <is>
          <t>PLAIN_TEXT_UPPERCASE</t>
        </is>
      </c>
      <c r="AE234" t="inlineStr">
        <is>
          <t>JTL TRIP SUPPORT</t>
        </is>
      </c>
    </row>
    <row r="235">
      <c r="A235" t="inlineStr">
        <is>
          <t>UAA-189</t>
        </is>
      </c>
      <c r="B235" t="inlineStr">
        <is>
          <t>PRUDENTIAL INS. CO. OF AMERICA</t>
        </is>
      </c>
      <c r="T235" t="inlineStr">
        <is>
          <t>ACTIVE</t>
        </is>
      </c>
      <c r="Y235" t="inlineStr">
        <is>
          <t>EMAIL</t>
        </is>
      </c>
      <c r="AD235" t="inlineStr">
        <is>
          <t>PLAIN_TEXT_UPPERCASE</t>
        </is>
      </c>
      <c r="AE235" t="inlineStr">
        <is>
          <t>JTL TRIP SUPPORT</t>
        </is>
      </c>
    </row>
    <row r="236">
      <c r="A236" t="inlineStr">
        <is>
          <t>UAA-190</t>
        </is>
      </c>
      <c r="B236" t="inlineStr">
        <is>
          <t>26 NORTH AVIATION INC</t>
        </is>
      </c>
      <c r="T236" t="inlineStr">
        <is>
          <t>ACTIVE</t>
        </is>
      </c>
      <c r="Y236" t="inlineStr">
        <is>
          <t>EMAIL</t>
        </is>
      </c>
      <c r="AD236" t="inlineStr">
        <is>
          <t>PLAIN_TEXT_UPPERCASE</t>
        </is>
      </c>
      <c r="AE236" t="inlineStr">
        <is>
          <t>JTL TRIP SUPPORT</t>
        </is>
      </c>
    </row>
    <row r="237">
      <c r="A237" t="inlineStr">
        <is>
          <t>UAA-191</t>
        </is>
      </c>
      <c r="B237" t="inlineStr">
        <is>
          <t>YCM TRANSPORTATION LLC</t>
        </is>
      </c>
      <c r="T237" t="inlineStr">
        <is>
          <t>ACTIVE</t>
        </is>
      </c>
      <c r="Y237" t="inlineStr">
        <is>
          <t>EMAIL</t>
        </is>
      </c>
      <c r="AD237" t="inlineStr">
        <is>
          <t>PLAIN_TEXT_UPPERCASE</t>
        </is>
      </c>
      <c r="AE237" t="inlineStr">
        <is>
          <t>JTL TRIP SUPPORT</t>
        </is>
      </c>
    </row>
    <row r="238">
      <c r="A238" t="inlineStr">
        <is>
          <t>UAA-192</t>
        </is>
      </c>
      <c r="B238" t="inlineStr">
        <is>
          <t>LIAUTAUD DEVELOPMENT GROUP LLC</t>
        </is>
      </c>
      <c r="T238" t="inlineStr">
        <is>
          <t>ACTIVE</t>
        </is>
      </c>
      <c r="Y238" t="inlineStr">
        <is>
          <t>EMAIL</t>
        </is>
      </c>
      <c r="AD238" t="inlineStr">
        <is>
          <t>PLAIN_TEXT_UPPERCASE</t>
        </is>
      </c>
      <c r="AE238" t="inlineStr">
        <is>
          <t>JTL TRIP SUPPORT</t>
        </is>
      </c>
    </row>
    <row r="239">
      <c r="A239" t="inlineStr">
        <is>
          <t>UAA-193</t>
        </is>
      </c>
      <c r="B239" t="inlineStr">
        <is>
          <t>DIAMOND CREEK LOGISTICS LLC</t>
        </is>
      </c>
      <c r="T239" t="inlineStr">
        <is>
          <t>ACTIVE</t>
        </is>
      </c>
      <c r="Y239" t="inlineStr">
        <is>
          <t>EMAIL</t>
        </is>
      </c>
      <c r="AD239" t="inlineStr">
        <is>
          <t>PLAIN_TEXT_UPPERCASE</t>
        </is>
      </c>
      <c r="AE239" t="inlineStr">
        <is>
          <t>JTL TRIP SUPPORT</t>
        </is>
      </c>
    </row>
    <row r="240">
      <c r="A240" t="inlineStr">
        <is>
          <t>UAA-194</t>
        </is>
      </c>
      <c r="B240" t="inlineStr">
        <is>
          <t>ICTSI</t>
        </is>
      </c>
      <c r="T240" t="inlineStr">
        <is>
          <t>ACTIVE</t>
        </is>
      </c>
      <c r="Y240" t="inlineStr">
        <is>
          <t>EMAIL</t>
        </is>
      </c>
      <c r="AD240" t="inlineStr">
        <is>
          <t>PLAIN_TEXT_UPPERCASE</t>
        </is>
      </c>
      <c r="AE240" t="inlineStr">
        <is>
          <t>JTL TRIP SUPPORT</t>
        </is>
      </c>
    </row>
    <row r="241">
      <c r="A241" t="inlineStr">
        <is>
          <t>UAA-195</t>
        </is>
      </c>
      <c r="B241" t="inlineStr">
        <is>
          <t>BIGLARI ENTERPRISES LLC</t>
        </is>
      </c>
      <c r="T241" t="inlineStr">
        <is>
          <t>ACTIVE</t>
        </is>
      </c>
      <c r="Y241" t="inlineStr">
        <is>
          <t>EMAIL</t>
        </is>
      </c>
      <c r="AD241" t="inlineStr">
        <is>
          <t>PLAIN_TEXT_UPPERCASE</t>
        </is>
      </c>
      <c r="AE241" t="inlineStr">
        <is>
          <t>JTL TRIP SUPPORT</t>
        </is>
      </c>
    </row>
    <row r="242">
      <c r="A242" t="inlineStr">
        <is>
          <t>UAA-196</t>
        </is>
      </c>
      <c r="B242" t="inlineStr">
        <is>
          <t>WILLIAMS-SONOMA, INC.</t>
        </is>
      </c>
      <c r="T242" t="inlineStr">
        <is>
          <t>ACTIVE</t>
        </is>
      </c>
      <c r="Y242" t="inlineStr">
        <is>
          <t>EMAIL</t>
        </is>
      </c>
      <c r="AD242" t="inlineStr">
        <is>
          <t>PLAIN_TEXT_UPPERCASE</t>
        </is>
      </c>
      <c r="AE242" t="inlineStr">
        <is>
          <t>JTL TRIP SUPPORT</t>
        </is>
      </c>
    </row>
    <row r="243">
      <c r="A243" t="inlineStr">
        <is>
          <t>UAA-197</t>
        </is>
      </c>
      <c r="B243" t="inlineStr">
        <is>
          <t>THE GHK COMPANY, LLC</t>
        </is>
      </c>
      <c r="T243" t="inlineStr">
        <is>
          <t>ACTIVE</t>
        </is>
      </c>
      <c r="Y243" t="inlineStr">
        <is>
          <t>EMAIL</t>
        </is>
      </c>
      <c r="AD243" t="inlineStr">
        <is>
          <t>PLAIN_TEXT_UPPERCASE</t>
        </is>
      </c>
      <c r="AE243" t="inlineStr">
        <is>
          <t>JTL TRIP SUPPORT</t>
        </is>
      </c>
    </row>
    <row r="244">
      <c r="A244" t="inlineStr">
        <is>
          <t>UAA-198</t>
        </is>
      </c>
      <c r="B244" t="inlineStr">
        <is>
          <t>AVIONCO US LTD</t>
        </is>
      </c>
      <c r="T244" t="inlineStr">
        <is>
          <t>ACTIVE</t>
        </is>
      </c>
      <c r="Y244" t="inlineStr">
        <is>
          <t>EMAIL</t>
        </is>
      </c>
      <c r="AD244" t="inlineStr">
        <is>
          <t>PLAIN_TEXT_UPPERCASE</t>
        </is>
      </c>
      <c r="AE244" t="inlineStr">
        <is>
          <t>JTL TRIP SUPPORT</t>
        </is>
      </c>
    </row>
    <row r="245">
      <c r="A245" t="inlineStr">
        <is>
          <t>UAA-199</t>
        </is>
      </c>
      <c r="B245" t="inlineStr">
        <is>
          <t>THE COCA-COLA COMPANY</t>
        </is>
      </c>
      <c r="T245" t="inlineStr">
        <is>
          <t>ACTIVE</t>
        </is>
      </c>
      <c r="Y245" t="inlineStr">
        <is>
          <t>EMAIL</t>
        </is>
      </c>
      <c r="AD245" t="inlineStr">
        <is>
          <t>PLAIN_TEXT_UPPERCASE</t>
        </is>
      </c>
      <c r="AE245" t="inlineStr">
        <is>
          <t>JTL TRIP SUPPORT</t>
        </is>
      </c>
    </row>
    <row r="246">
      <c r="A246" t="inlineStr">
        <is>
          <t>UAA-200</t>
        </is>
      </c>
      <c r="B246" t="inlineStr">
        <is>
          <t>PAT FLY (PTY) LTD</t>
        </is>
      </c>
      <c r="T246" t="inlineStr">
        <is>
          <t>ACTIVE</t>
        </is>
      </c>
      <c r="Y246" t="inlineStr">
        <is>
          <t>EMAIL</t>
        </is>
      </c>
      <c r="AD246" t="inlineStr">
        <is>
          <t>PLAIN_TEXT_UPPERCASE</t>
        </is>
      </c>
      <c r="AE246" t="inlineStr">
        <is>
          <t>JTL TRIP SUPPORT</t>
        </is>
      </c>
    </row>
    <row r="247">
      <c r="A247" t="inlineStr">
        <is>
          <t>UAA-201</t>
        </is>
      </c>
      <c r="B247" t="inlineStr">
        <is>
          <t>EVA AIRWAYS CORPORATION</t>
        </is>
      </c>
      <c r="T247" t="inlineStr">
        <is>
          <t>ACTIVE</t>
        </is>
      </c>
      <c r="Y247" t="inlineStr">
        <is>
          <t>EMAIL</t>
        </is>
      </c>
      <c r="AD247" t="inlineStr">
        <is>
          <t>PLAIN_TEXT_UPPERCASE</t>
        </is>
      </c>
      <c r="AE247" t="inlineStr">
        <is>
          <t>JTL TRIP SUPPORT</t>
        </is>
      </c>
    </row>
    <row r="248">
      <c r="A248" t="inlineStr">
        <is>
          <t>UAA-202</t>
        </is>
      </c>
      <c r="B248" t="inlineStr">
        <is>
          <t>FORINDO PRIVATE LIMITED</t>
        </is>
      </c>
      <c r="T248" t="inlineStr">
        <is>
          <t>ACTIVE</t>
        </is>
      </c>
      <c r="Y248" t="inlineStr">
        <is>
          <t>EMAIL</t>
        </is>
      </c>
      <c r="AD248" t="inlineStr">
        <is>
          <t>PLAIN_TEXT_UPPERCASE</t>
        </is>
      </c>
      <c r="AE248" t="inlineStr">
        <is>
          <t>JTL TRIP SUPPORT</t>
        </is>
      </c>
    </row>
    <row r="249">
      <c r="A249" t="inlineStr">
        <is>
          <t>UAA-203</t>
        </is>
      </c>
      <c r="B249" t="inlineStr">
        <is>
          <t>DESERT JET LLC</t>
        </is>
      </c>
      <c r="T249" t="inlineStr">
        <is>
          <t>ACTIVE</t>
        </is>
      </c>
      <c r="Y249" t="inlineStr">
        <is>
          <t>EMAIL</t>
        </is>
      </c>
      <c r="AD249" t="inlineStr">
        <is>
          <t>PLAIN_TEXT_UPPERCASE</t>
        </is>
      </c>
      <c r="AE249" t="inlineStr">
        <is>
          <t>JTL TRIP SUPPORT</t>
        </is>
      </c>
    </row>
    <row r="250">
      <c r="A250" t="inlineStr">
        <is>
          <t>UAA-204</t>
        </is>
      </c>
      <c r="B250" t="inlineStr">
        <is>
          <t>PRIESTER AVIATION</t>
        </is>
      </c>
      <c r="T250" t="inlineStr">
        <is>
          <t>ACTIVE</t>
        </is>
      </c>
      <c r="Y250" t="inlineStr">
        <is>
          <t>EMAIL</t>
        </is>
      </c>
      <c r="AD250" t="inlineStr">
        <is>
          <t>PLAIN_TEXT_UPPERCASE</t>
        </is>
      </c>
      <c r="AE250" t="inlineStr">
        <is>
          <t>JTL TRIP SUPPORT</t>
        </is>
      </c>
    </row>
    <row r="251">
      <c r="A251" t="inlineStr">
        <is>
          <t>UAA-205</t>
        </is>
      </c>
      <c r="B251" t="inlineStr">
        <is>
          <t>L BRANDS SERVICE COMPANY, LLC</t>
        </is>
      </c>
      <c r="T251" t="inlineStr">
        <is>
          <t>ACTIVE</t>
        </is>
      </c>
      <c r="Y251" t="inlineStr">
        <is>
          <t>EMAIL</t>
        </is>
      </c>
      <c r="AD251" t="inlineStr">
        <is>
          <t>PLAIN_TEXT_UPPERCASE</t>
        </is>
      </c>
      <c r="AE251" t="inlineStr">
        <is>
          <t>JTL TRIP SUPPORT</t>
        </is>
      </c>
    </row>
    <row r="252">
      <c r="A252" t="inlineStr">
        <is>
          <t>UAA-206</t>
        </is>
      </c>
      <c r="B252" t="inlineStr">
        <is>
          <t>MILLION AIR DALLAS</t>
        </is>
      </c>
      <c r="T252" t="inlineStr">
        <is>
          <t>ACTIVE</t>
        </is>
      </c>
      <c r="Y252" t="inlineStr">
        <is>
          <t>EMAIL</t>
        </is>
      </c>
      <c r="AD252" t="inlineStr">
        <is>
          <t>PLAIN_TEXT_UPPERCASE</t>
        </is>
      </c>
      <c r="AE252" t="inlineStr">
        <is>
          <t>JTL TRIP SUPPORT</t>
        </is>
      </c>
    </row>
    <row r="253">
      <c r="A253" t="inlineStr">
        <is>
          <t>UAA-207</t>
        </is>
      </c>
      <c r="B253" t="inlineStr">
        <is>
          <t>TULCO LLC</t>
        </is>
      </c>
      <c r="T253" t="inlineStr">
        <is>
          <t>ACTIVE</t>
        </is>
      </c>
      <c r="Y253" t="inlineStr">
        <is>
          <t>EMAIL</t>
        </is>
      </c>
      <c r="AD253" t="inlineStr">
        <is>
          <t>PLAIN_TEXT_UPPERCASE</t>
        </is>
      </c>
      <c r="AE253" t="inlineStr">
        <is>
          <t>JTL TRIP SUPPORT</t>
        </is>
      </c>
    </row>
    <row r="254">
      <c r="A254" t="inlineStr">
        <is>
          <t>UAA-208</t>
        </is>
      </c>
      <c r="B254" t="inlineStr">
        <is>
          <t>PAE-CCJJ AIR LLC</t>
        </is>
      </c>
      <c r="T254" t="inlineStr">
        <is>
          <t>ACTIVE</t>
        </is>
      </c>
      <c r="Y254" t="inlineStr">
        <is>
          <t>EMAIL</t>
        </is>
      </c>
      <c r="AD254" t="inlineStr">
        <is>
          <t>PLAIN_TEXT_UPPERCASE</t>
        </is>
      </c>
      <c r="AE254" t="inlineStr">
        <is>
          <t>JTL TRIP SUPPORT</t>
        </is>
      </c>
    </row>
    <row r="255">
      <c r="A255" t="inlineStr">
        <is>
          <t>UAA-209</t>
        </is>
      </c>
      <c r="B255" t="inlineStr">
        <is>
          <t>FLIGHT OPERATIONS PTY LTD</t>
        </is>
      </c>
      <c r="T255" t="inlineStr">
        <is>
          <t>ACTIVE</t>
        </is>
      </c>
      <c r="Y255" t="inlineStr">
        <is>
          <t>EMAIL</t>
        </is>
      </c>
      <c r="AD255" t="inlineStr">
        <is>
          <t>PLAIN_TEXT_UPPERCASE</t>
        </is>
      </c>
      <c r="AE255" t="inlineStr">
        <is>
          <t>JTL TRIP SUPPORT</t>
        </is>
      </c>
    </row>
    <row r="256">
      <c r="A256" t="inlineStr">
        <is>
          <t>UAA-210</t>
        </is>
      </c>
      <c r="B256" t="inlineStr">
        <is>
          <t>HERITAGE OF FAITH CHRISTIAN CENTER</t>
        </is>
      </c>
      <c r="T256" t="inlineStr">
        <is>
          <t>ACTIVE</t>
        </is>
      </c>
      <c r="Y256" t="inlineStr">
        <is>
          <t>EMAIL</t>
        </is>
      </c>
      <c r="AD256" t="inlineStr">
        <is>
          <t>PLAIN_TEXT_UPPERCASE</t>
        </is>
      </c>
      <c r="AE256" t="inlineStr">
        <is>
          <t>JTL TRIP SUPPORT</t>
        </is>
      </c>
    </row>
    <row r="257">
      <c r="A257" t="inlineStr">
        <is>
          <t>UAA-211</t>
        </is>
      </c>
      <c r="B257" t="inlineStr">
        <is>
          <t>CAMBRIDGE FLIGHT SUPPORT LLC</t>
        </is>
      </c>
      <c r="T257" t="inlineStr">
        <is>
          <t>ACTIVE</t>
        </is>
      </c>
      <c r="Y257" t="inlineStr">
        <is>
          <t>EMAIL</t>
        </is>
      </c>
      <c r="AD257" t="inlineStr">
        <is>
          <t>PLAIN_TEXT_UPPERCASE</t>
        </is>
      </c>
      <c r="AE257" t="inlineStr">
        <is>
          <t>JTL TRIP SUPPORT</t>
        </is>
      </c>
    </row>
    <row r="258">
      <c r="A258" t="inlineStr">
        <is>
          <t>UAA-212</t>
        </is>
      </c>
      <c r="B258" t="inlineStr">
        <is>
          <t>US HOME CORP</t>
        </is>
      </c>
      <c r="T258" t="inlineStr">
        <is>
          <t>ACTIVE</t>
        </is>
      </c>
      <c r="Y258" t="inlineStr">
        <is>
          <t>EMAIL</t>
        </is>
      </c>
      <c r="AD258" t="inlineStr">
        <is>
          <t>PLAIN_TEXT_UPPERCASE</t>
        </is>
      </c>
      <c r="AE258" t="inlineStr">
        <is>
          <t>JTL TRIP SUPPORT</t>
        </is>
      </c>
    </row>
    <row r="259">
      <c r="A259" t="inlineStr">
        <is>
          <t>UAA-213</t>
        </is>
      </c>
      <c r="B259" t="inlineStr">
        <is>
          <t>ZURU TRAVEL HONG KONG LIMITED</t>
        </is>
      </c>
      <c r="T259" t="inlineStr">
        <is>
          <t>ACTIVE</t>
        </is>
      </c>
      <c r="Y259" t="inlineStr">
        <is>
          <t>EMAIL</t>
        </is>
      </c>
      <c r="AD259" t="inlineStr">
        <is>
          <t>PLAIN_TEXT_UPPERCASE</t>
        </is>
      </c>
      <c r="AE259" t="inlineStr">
        <is>
          <t>JTL TRIP SUPPORT</t>
        </is>
      </c>
    </row>
    <row r="260">
      <c r="A260" t="inlineStr">
        <is>
          <t>UAA-214</t>
        </is>
      </c>
      <c r="B260" t="inlineStr">
        <is>
          <t>PALLAS AVIATION, LLC.</t>
        </is>
      </c>
      <c r="T260" t="inlineStr">
        <is>
          <t>ACTIVE</t>
        </is>
      </c>
      <c r="Y260" t="inlineStr">
        <is>
          <t>EMAIL</t>
        </is>
      </c>
      <c r="AD260" t="inlineStr">
        <is>
          <t>PLAIN_TEXT_UPPERCASE</t>
        </is>
      </c>
      <c r="AE260" t="inlineStr">
        <is>
          <t>JTL TRIP SUPPORT</t>
        </is>
      </c>
    </row>
    <row r="261">
      <c r="A261" t="inlineStr">
        <is>
          <t>UAA-215</t>
        </is>
      </c>
      <c r="B261" t="inlineStr">
        <is>
          <t>VOICE OF THE COVENANT CHURCH, INC.</t>
        </is>
      </c>
      <c r="T261" t="inlineStr">
        <is>
          <t>ACTIVE</t>
        </is>
      </c>
      <c r="Y261" t="inlineStr">
        <is>
          <t>EMAIL</t>
        </is>
      </c>
      <c r="AD261" t="inlineStr">
        <is>
          <t>PLAIN_TEXT_UPPERCASE</t>
        </is>
      </c>
      <c r="AE261" t="inlineStr">
        <is>
          <t>JTL TRIP SUPPORT</t>
        </is>
      </c>
    </row>
    <row r="262">
      <c r="A262" t="inlineStr">
        <is>
          <t>UAA-216</t>
        </is>
      </c>
      <c r="B262" t="inlineStr">
        <is>
          <t>DUQUENSE GLOBAL LLC</t>
        </is>
      </c>
      <c r="T262" t="inlineStr">
        <is>
          <t>ACTIVE</t>
        </is>
      </c>
      <c r="Y262" t="inlineStr">
        <is>
          <t>EMAIL</t>
        </is>
      </c>
      <c r="AD262" t="inlineStr">
        <is>
          <t>PLAIN_TEXT_UPPERCASE</t>
        </is>
      </c>
      <c r="AE262" t="inlineStr">
        <is>
          <t>JTL TRIP SUPPORT</t>
        </is>
      </c>
    </row>
    <row r="263">
      <c r="A263" t="inlineStr">
        <is>
          <t>UAA-217</t>
        </is>
      </c>
      <c r="B263" t="inlineStr">
        <is>
          <t>YPF SA</t>
        </is>
      </c>
      <c r="T263" t="inlineStr">
        <is>
          <t>ACTIVE</t>
        </is>
      </c>
      <c r="Y263" t="inlineStr">
        <is>
          <t>EMAIL</t>
        </is>
      </c>
      <c r="AD263" t="inlineStr">
        <is>
          <t>PLAIN_TEXT_UPPERCASE</t>
        </is>
      </c>
      <c r="AE263" t="inlineStr">
        <is>
          <t>JTL TRIP SUPPORT</t>
        </is>
      </c>
    </row>
    <row r="264">
      <c r="A264" t="inlineStr">
        <is>
          <t>UAA-218</t>
        </is>
      </c>
      <c r="B264" t="inlineStr">
        <is>
          <t>JAI AVIATION SERVICES LLC</t>
        </is>
      </c>
      <c r="T264" t="inlineStr">
        <is>
          <t>ACTIVE</t>
        </is>
      </c>
      <c r="Y264" t="inlineStr">
        <is>
          <t>EMAIL</t>
        </is>
      </c>
      <c r="AD264" t="inlineStr">
        <is>
          <t>PLAIN_TEXT_UPPERCASE</t>
        </is>
      </c>
      <c r="AE264" t="inlineStr">
        <is>
          <t>JTL TRIP SUPPORT</t>
        </is>
      </c>
    </row>
    <row r="265">
      <c r="A265" t="inlineStr">
        <is>
          <t>UAA-219</t>
        </is>
      </c>
      <c r="B265" t="inlineStr">
        <is>
          <t>FOXCORP HOLDINGS, LLC</t>
        </is>
      </c>
      <c r="T265" t="inlineStr">
        <is>
          <t>ACTIVE</t>
        </is>
      </c>
      <c r="Y265" t="inlineStr">
        <is>
          <t>EMAIL</t>
        </is>
      </c>
      <c r="AD265" t="inlineStr">
        <is>
          <t>PLAIN_TEXT_UPPERCASE</t>
        </is>
      </c>
      <c r="AE265" t="inlineStr">
        <is>
          <t>JTL TRIP SUPPORT</t>
        </is>
      </c>
    </row>
    <row r="266">
      <c r="A266" t="inlineStr">
        <is>
          <t>UAA-220</t>
        </is>
      </c>
      <c r="B266" t="inlineStr">
        <is>
          <t>SHOPEE SINGAPORE PRIVATE LIMITED</t>
        </is>
      </c>
      <c r="T266" t="inlineStr">
        <is>
          <t>ACTIVE</t>
        </is>
      </c>
      <c r="Y266" t="inlineStr">
        <is>
          <t>EMAIL</t>
        </is>
      </c>
      <c r="AD266" t="inlineStr">
        <is>
          <t>PLAIN_TEXT_UPPERCASE</t>
        </is>
      </c>
      <c r="AE266" t="inlineStr">
        <is>
          <t>JTL TRIP SUPPORT</t>
        </is>
      </c>
    </row>
    <row r="267">
      <c r="A267" t="inlineStr">
        <is>
          <t>UAA-221</t>
        </is>
      </c>
      <c r="B267" t="inlineStr">
        <is>
          <t>S.C. JOHNSON &amp; SON, INC.</t>
        </is>
      </c>
      <c r="T267" t="inlineStr">
        <is>
          <t>ACTIVE</t>
        </is>
      </c>
      <c r="Y267" t="inlineStr">
        <is>
          <t>EMAIL</t>
        </is>
      </c>
      <c r="AD267" t="inlineStr">
        <is>
          <t>PLAIN_TEXT_UPPERCASE</t>
        </is>
      </c>
      <c r="AE267" t="inlineStr">
        <is>
          <t>JTL TRIP SUPPORT</t>
        </is>
      </c>
    </row>
    <row r="268">
      <c r="A268" t="inlineStr">
        <is>
          <t>UAA-222</t>
        </is>
      </c>
      <c r="B268" t="inlineStr">
        <is>
          <t>RODIN AVIATION LIMITED</t>
        </is>
      </c>
      <c r="T268" t="inlineStr">
        <is>
          <t>ACTIVE</t>
        </is>
      </c>
      <c r="Y268" t="inlineStr">
        <is>
          <t>EMAIL</t>
        </is>
      </c>
      <c r="AD268" t="inlineStr">
        <is>
          <t>PLAIN_TEXT_UPPERCASE</t>
        </is>
      </c>
      <c r="AE268" t="inlineStr">
        <is>
          <t>JTL TRIP SUPPORT</t>
        </is>
      </c>
    </row>
    <row r="269">
      <c r="A269" t="inlineStr">
        <is>
          <t>UAA-223</t>
        </is>
      </c>
      <c r="B269" t="inlineStr">
        <is>
          <t>ABELAG AVIATION NV</t>
        </is>
      </c>
      <c r="T269" t="inlineStr">
        <is>
          <t>ACTIVE</t>
        </is>
      </c>
      <c r="Y269" t="inlineStr">
        <is>
          <t>EMAIL</t>
        </is>
      </c>
      <c r="AD269" t="inlineStr">
        <is>
          <t>PLAIN_TEXT_UPPERCASE</t>
        </is>
      </c>
      <c r="AE269" t="inlineStr">
        <is>
          <t>JTL TRIP SUPPORT</t>
        </is>
      </c>
    </row>
    <row r="270">
      <c r="A270" t="inlineStr">
        <is>
          <t>UAA-224</t>
        </is>
      </c>
      <c r="B270" t="inlineStr">
        <is>
          <t>MAERSK AIR CARGO A/S</t>
        </is>
      </c>
      <c r="T270" t="inlineStr">
        <is>
          <t>ACTIVE</t>
        </is>
      </c>
      <c r="Y270" t="inlineStr">
        <is>
          <t>EMAIL</t>
        </is>
      </c>
      <c r="AD270" t="inlineStr">
        <is>
          <t>PLAIN_TEXT_UPPERCASE</t>
        </is>
      </c>
      <c r="AE270" t="inlineStr">
        <is>
          <t>JTL TRIP SUPPORT</t>
        </is>
      </c>
    </row>
    <row r="271">
      <c r="A271" t="inlineStr">
        <is>
          <t>UAA-225</t>
        </is>
      </c>
      <c r="B271" t="inlineStr">
        <is>
          <t>CARTIER EUROPE B.V.</t>
        </is>
      </c>
      <c r="T271" t="inlineStr">
        <is>
          <t>ACTIVE</t>
        </is>
      </c>
      <c r="Y271" t="inlineStr">
        <is>
          <t>EMAIL</t>
        </is>
      </c>
      <c r="AD271" t="inlineStr">
        <is>
          <t>PLAIN_TEXT_UPPERCASE</t>
        </is>
      </c>
      <c r="AE271" t="inlineStr">
        <is>
          <t>JTL TRIP SUPPORT</t>
        </is>
      </c>
    </row>
    <row r="272">
      <c r="A272" t="inlineStr">
        <is>
          <t>UAA-226</t>
        </is>
      </c>
      <c r="B272" t="inlineStr">
        <is>
          <t>GRANDE MOINHO CEARENSE SA</t>
        </is>
      </c>
      <c r="T272" t="inlineStr">
        <is>
          <t>ACTIVE</t>
        </is>
      </c>
      <c r="Y272" t="inlineStr">
        <is>
          <t>EMAIL</t>
        </is>
      </c>
      <c r="AD272" t="inlineStr">
        <is>
          <t>PLAIN_TEXT_UPPERCASE</t>
        </is>
      </c>
      <c r="AE272" t="inlineStr">
        <is>
          <t>JTL TRIP SUPPORT</t>
        </is>
      </c>
    </row>
    <row r="273">
      <c r="A273" t="inlineStr">
        <is>
          <t>UAA-227</t>
        </is>
      </c>
      <c r="B273" t="inlineStr">
        <is>
          <t>AERO RIO TAXI AEREO LTDA</t>
        </is>
      </c>
      <c r="T273" t="inlineStr">
        <is>
          <t>ACTIVE</t>
        </is>
      </c>
      <c r="Y273" t="inlineStr">
        <is>
          <t>EMAIL</t>
        </is>
      </c>
      <c r="AD273" t="inlineStr">
        <is>
          <t>PLAIN_TEXT_UPPERCASE</t>
        </is>
      </c>
      <c r="AE273" t="inlineStr">
        <is>
          <t>JTL TRIP SUPPORT</t>
        </is>
      </c>
    </row>
    <row r="274">
      <c r="A274" t="inlineStr">
        <is>
          <t>UAA-228</t>
        </is>
      </c>
      <c r="B274" t="inlineStr">
        <is>
          <t>CONFORTO EMPREENDIMENTOS E PART SA</t>
        </is>
      </c>
      <c r="T274" t="inlineStr">
        <is>
          <t>ACTIVE</t>
        </is>
      </c>
      <c r="Y274" t="inlineStr">
        <is>
          <t>EMAIL</t>
        </is>
      </c>
      <c r="AD274" t="inlineStr">
        <is>
          <t>PLAIN_TEXT_UPPERCASE</t>
        </is>
      </c>
      <c r="AE274" t="inlineStr">
        <is>
          <t>JTL TRIP SUPPORT</t>
        </is>
      </c>
    </row>
    <row r="275">
      <c r="A275" t="inlineStr">
        <is>
          <t>UAA-229</t>
        </is>
      </c>
      <c r="B275" t="inlineStr">
        <is>
          <t>J P ADMINISTRACAO E PARTICIPACOES LTDA</t>
        </is>
      </c>
      <c r="T275" t="inlineStr">
        <is>
          <t>ACTIVE</t>
        </is>
      </c>
      <c r="Y275" t="inlineStr">
        <is>
          <t>EMAIL</t>
        </is>
      </c>
      <c r="AD275" t="inlineStr">
        <is>
          <t>PLAIN_TEXT_UPPERCASE</t>
        </is>
      </c>
      <c r="AE275" t="inlineStr">
        <is>
          <t>JTL TRIP SUPPORT</t>
        </is>
      </c>
    </row>
    <row r="276">
      <c r="A276" t="inlineStr">
        <is>
          <t>UAA-230</t>
        </is>
      </c>
      <c r="B276" t="inlineStr">
        <is>
          <t>OCEAN EXPLORER DO BRASIL LTDA.</t>
        </is>
      </c>
      <c r="T276" t="inlineStr">
        <is>
          <t>ACTIVE</t>
        </is>
      </c>
      <c r="Y276" t="inlineStr">
        <is>
          <t>EMAIL</t>
        </is>
      </c>
      <c r="AD276" t="inlineStr">
        <is>
          <t>PLAIN_TEXT_UPPERCASE</t>
        </is>
      </c>
      <c r="AE276" t="inlineStr">
        <is>
          <t>JTL TRIP SUPPORT</t>
        </is>
      </c>
    </row>
    <row r="277">
      <c r="A277" t="inlineStr">
        <is>
          <t>UAA-231</t>
        </is>
      </c>
      <c r="B277" t="inlineStr">
        <is>
          <t>SOTAN - SOCIEDADE DE TAXI AEREO</t>
        </is>
      </c>
      <c r="T277" t="inlineStr">
        <is>
          <t>ACTIVE</t>
        </is>
      </c>
      <c r="Y277" t="inlineStr">
        <is>
          <t>EMAIL</t>
        </is>
      </c>
      <c r="AD277" t="inlineStr">
        <is>
          <t>PLAIN_TEXT_UPPERCASE</t>
        </is>
      </c>
      <c r="AE277" t="inlineStr">
        <is>
          <t>JTL TRIP SUPPORT</t>
        </is>
      </c>
    </row>
    <row r="278">
      <c r="A278" t="inlineStr">
        <is>
          <t>UAA-232</t>
        </is>
      </c>
      <c r="B278" t="inlineStr">
        <is>
          <t>BOAT &amp; PLANE TIME SHARING DO BRASIL LTDA</t>
        </is>
      </c>
      <c r="T278" t="inlineStr">
        <is>
          <t>ACTIVE</t>
        </is>
      </c>
      <c r="Y278" t="inlineStr">
        <is>
          <t>EMAIL</t>
        </is>
      </c>
      <c r="AD278" t="inlineStr">
        <is>
          <t>PLAIN_TEXT_UPPERCASE</t>
        </is>
      </c>
      <c r="AE278" t="inlineStr">
        <is>
          <t>JTL TRIP SUPPORT</t>
        </is>
      </c>
    </row>
    <row r="279">
      <c r="A279" t="inlineStr">
        <is>
          <t>UAA-233</t>
        </is>
      </c>
      <c r="B279" t="inlineStr">
        <is>
          <t>PLACAR LINHAS AEREAS S/A</t>
        </is>
      </c>
      <c r="T279" t="inlineStr">
        <is>
          <t>ACTIVE</t>
        </is>
      </c>
      <c r="Y279" t="inlineStr">
        <is>
          <t>EMAIL</t>
        </is>
      </c>
      <c r="AD279" t="inlineStr">
        <is>
          <t>PLAIN_TEXT_UPPERCASE</t>
        </is>
      </c>
      <c r="AE279" t="inlineStr">
        <is>
          <t>JTL TRIP SUPPORT</t>
        </is>
      </c>
    </row>
    <row r="280">
      <c r="A280" t="inlineStr">
        <is>
          <t>UAA-234</t>
        </is>
      </c>
      <c r="B280" t="inlineStr">
        <is>
          <t>FORCE ONE PARTICIPACAO LTDA</t>
        </is>
      </c>
      <c r="T280" t="inlineStr">
        <is>
          <t>ACTIVE</t>
        </is>
      </c>
      <c r="Y280" t="inlineStr">
        <is>
          <t>EMAIL</t>
        </is>
      </c>
      <c r="AD280" t="inlineStr">
        <is>
          <t>PLAIN_TEXT_UPPERCASE</t>
        </is>
      </c>
      <c r="AE280" t="inlineStr">
        <is>
          <t>JTL TRIP SUPPORT</t>
        </is>
      </c>
    </row>
    <row r="281">
      <c r="A281" t="inlineStr">
        <is>
          <t>UAA-235</t>
        </is>
      </c>
      <c r="B281" t="inlineStr">
        <is>
          <t>MUNDIVOX COMUNICACOES LTDA</t>
        </is>
      </c>
      <c r="T281" t="inlineStr">
        <is>
          <t>ACTIVE</t>
        </is>
      </c>
      <c r="Y281" t="inlineStr">
        <is>
          <t>EMAIL</t>
        </is>
      </c>
      <c r="AD281" t="inlineStr">
        <is>
          <t>PLAIN_TEXT_UPPERCASE</t>
        </is>
      </c>
      <c r="AE281" t="inlineStr">
        <is>
          <t>JTL TRIP SUPPORT</t>
        </is>
      </c>
    </row>
    <row r="282">
      <c r="A282" t="inlineStr">
        <is>
          <t>UAA-236</t>
        </is>
      </c>
      <c r="B282" t="inlineStr">
        <is>
          <t>MONACO NEGOCIOS E PARTICIPACOES LTDA</t>
        </is>
      </c>
      <c r="T282" t="inlineStr">
        <is>
          <t>ACTIVE</t>
        </is>
      </c>
      <c r="Y282" t="inlineStr">
        <is>
          <t>EMAIL</t>
        </is>
      </c>
      <c r="AD282" t="inlineStr">
        <is>
          <t>PLAIN_TEXT_UPPERCASE</t>
        </is>
      </c>
      <c r="AE282" t="inlineStr">
        <is>
          <t>JTL TRIP SUPPORT</t>
        </is>
      </c>
    </row>
    <row r="283">
      <c r="A283" t="inlineStr">
        <is>
          <t>UAA-237</t>
        </is>
      </c>
      <c r="B283" t="inlineStr">
        <is>
          <t>EFS EUROPEAN FLIGHT SERVICE AB</t>
        </is>
      </c>
      <c r="T283" t="inlineStr">
        <is>
          <t>ACTIVE</t>
        </is>
      </c>
      <c r="Y283" t="inlineStr">
        <is>
          <t>EMAIL</t>
        </is>
      </c>
      <c r="AD283" t="inlineStr">
        <is>
          <t>PLAIN_TEXT_UPPERCASE</t>
        </is>
      </c>
      <c r="AE283" t="inlineStr">
        <is>
          <t>JTL TRIP SUPPORT</t>
        </is>
      </c>
    </row>
    <row r="284">
      <c r="A284" t="inlineStr">
        <is>
          <t>UAA-238</t>
        </is>
      </c>
      <c r="B284" t="inlineStr">
        <is>
          <t>EGYPTIAN AIR FORCE</t>
        </is>
      </c>
      <c r="T284" t="inlineStr">
        <is>
          <t>ACTIVE</t>
        </is>
      </c>
      <c r="Y284" t="inlineStr">
        <is>
          <t>EMAIL</t>
        </is>
      </c>
      <c r="AD284" t="inlineStr">
        <is>
          <t>PLAIN_TEXT_UPPERCASE</t>
        </is>
      </c>
      <c r="AE284" t="inlineStr">
        <is>
          <t>JTL TRIP SUPPORT</t>
        </is>
      </c>
    </row>
    <row r="285">
      <c r="A285" t="inlineStr">
        <is>
          <t>UAA-239</t>
        </is>
      </c>
      <c r="B285" t="inlineStr">
        <is>
          <t>OPENSKY INC.</t>
        </is>
      </c>
      <c r="T285" t="inlineStr">
        <is>
          <t>ACTIVE</t>
        </is>
      </c>
      <c r="Y285" t="inlineStr">
        <is>
          <t>EMAIL</t>
        </is>
      </c>
      <c r="AD285" t="inlineStr">
        <is>
          <t>PLAIN_TEXT_UPPERCASE</t>
        </is>
      </c>
      <c r="AE285" t="inlineStr">
        <is>
          <t>JTL TRIP SUPPORT</t>
        </is>
      </c>
    </row>
    <row r="286">
      <c r="A286" t="inlineStr">
        <is>
          <t>UAA-240</t>
        </is>
      </c>
      <c r="B286" t="inlineStr">
        <is>
          <t>LILY JET SAN MARINO S.R.L.</t>
        </is>
      </c>
      <c r="T286" t="inlineStr">
        <is>
          <t>ACTIVE</t>
        </is>
      </c>
      <c r="Y286" t="inlineStr">
        <is>
          <t>EMAIL</t>
        </is>
      </c>
      <c r="AD286" t="inlineStr">
        <is>
          <t>PLAIN_TEXT_UPPERCASE</t>
        </is>
      </c>
      <c r="AE286" t="inlineStr">
        <is>
          <t>JTL TRIP SUPPORT</t>
        </is>
      </c>
    </row>
    <row r="287">
      <c r="A287" t="inlineStr">
        <is>
          <t>UAA-241</t>
        </is>
      </c>
      <c r="B287" t="inlineStr">
        <is>
          <t>ROYAL NETHERLANDS AIR FORCE</t>
        </is>
      </c>
      <c r="T287" t="inlineStr">
        <is>
          <t>ACTIVE</t>
        </is>
      </c>
      <c r="Y287" t="inlineStr">
        <is>
          <t>EMAIL</t>
        </is>
      </c>
      <c r="AD287" t="inlineStr">
        <is>
          <t>PLAIN_TEXT_UPPERCASE</t>
        </is>
      </c>
      <c r="AE287" t="inlineStr">
        <is>
          <t>JTL TRIP SUPPORT</t>
        </is>
      </c>
    </row>
    <row r="288">
      <c r="A288" t="inlineStr">
        <is>
          <t>UAA-242</t>
        </is>
      </c>
      <c r="B288" t="inlineStr">
        <is>
          <t>GOVERNMENT , REPUBLIC OF NAMIBIA</t>
        </is>
      </c>
      <c r="T288" t="inlineStr">
        <is>
          <t>ACTIVE</t>
        </is>
      </c>
      <c r="Y288" t="inlineStr">
        <is>
          <t>EMAIL</t>
        </is>
      </c>
      <c r="AD288" t="inlineStr">
        <is>
          <t>PLAIN_TEXT_UPPERCASE</t>
        </is>
      </c>
      <c r="AE288" t="inlineStr">
        <is>
          <t>JTL TRIP SUPPORT</t>
        </is>
      </c>
    </row>
    <row r="289">
      <c r="A289" t="inlineStr">
        <is>
          <t>UAA-243</t>
        </is>
      </c>
      <c r="B289" t="inlineStr">
        <is>
          <t>PILATUS AUSTRALIA PTY LTD</t>
        </is>
      </c>
      <c r="T289" t="inlineStr">
        <is>
          <t>ACTIVE</t>
        </is>
      </c>
      <c r="Y289" t="inlineStr">
        <is>
          <t>EMAIL</t>
        </is>
      </c>
      <c r="AD289" t="inlineStr">
        <is>
          <t>PLAIN_TEXT_UPPERCASE</t>
        </is>
      </c>
      <c r="AE289" t="inlineStr">
        <is>
          <t>JTL TRIP SUPPORT</t>
        </is>
      </c>
    </row>
    <row r="290">
      <c r="A290" t="inlineStr">
        <is>
          <t>UAA-244</t>
        </is>
      </c>
      <c r="B290" t="inlineStr">
        <is>
          <t>AIR AUSTRALIA PTY, LTD</t>
        </is>
      </c>
      <c r="T290" t="inlineStr">
        <is>
          <t>ACTIVE</t>
        </is>
      </c>
      <c r="Y290" t="inlineStr">
        <is>
          <t>EMAIL</t>
        </is>
      </c>
      <c r="AD290" t="inlineStr">
        <is>
          <t>PLAIN_TEXT_UPPERCASE</t>
        </is>
      </c>
      <c r="AE290" t="inlineStr">
        <is>
          <t>JTL TRIP SUPPORT</t>
        </is>
      </c>
    </row>
    <row r="291">
      <c r="A291" t="inlineStr">
        <is>
          <t>UAA-245</t>
        </is>
      </c>
      <c r="B291" t="inlineStr">
        <is>
          <t>PACIFIC FLIGHT SERVICES PTE LTD</t>
        </is>
      </c>
      <c r="T291" t="inlineStr">
        <is>
          <t>ACTIVE</t>
        </is>
      </c>
      <c r="Y291" t="inlineStr">
        <is>
          <t>EMAIL</t>
        </is>
      </c>
      <c r="AD291" t="inlineStr">
        <is>
          <t>PLAIN_TEXT_UPPERCASE</t>
        </is>
      </c>
      <c r="AE291" t="inlineStr">
        <is>
          <t>JTL TRIP SUPPORT</t>
        </is>
      </c>
    </row>
    <row r="292">
      <c r="A292" t="inlineStr">
        <is>
          <t>UAA-246</t>
        </is>
      </c>
      <c r="B292" t="inlineStr">
        <is>
          <t>PRATT HOLDINGS PTY LTD.</t>
        </is>
      </c>
      <c r="T292" t="inlineStr">
        <is>
          <t>ACTIVE</t>
        </is>
      </c>
      <c r="Y292" t="inlineStr">
        <is>
          <t>EMAIL</t>
        </is>
      </c>
      <c r="AD292" t="inlineStr">
        <is>
          <t>PLAIN_TEXT_UPPERCASE</t>
        </is>
      </c>
      <c r="AE292" t="inlineStr">
        <is>
          <t>JTL TRIP SUPPORT</t>
        </is>
      </c>
    </row>
    <row r="293">
      <c r="A293" t="inlineStr">
        <is>
          <t>UAA-247</t>
        </is>
      </c>
      <c r="B293" t="inlineStr">
        <is>
          <t>SQUADRON AVIATION SERVICES LIMITED</t>
        </is>
      </c>
      <c r="T293" t="inlineStr">
        <is>
          <t>ACTIVE</t>
        </is>
      </c>
      <c r="Y293" t="inlineStr">
        <is>
          <t>EMAIL</t>
        </is>
      </c>
      <c r="AD293" t="inlineStr">
        <is>
          <t>PLAIN_TEXT_UPPERCASE</t>
        </is>
      </c>
      <c r="AE293" t="inlineStr">
        <is>
          <t>JTL TRIP SUPPORT</t>
        </is>
      </c>
    </row>
    <row r="294">
      <c r="A294" t="inlineStr">
        <is>
          <t>UAA-248</t>
        </is>
      </c>
      <c r="B294" t="inlineStr">
        <is>
          <t>FLYING LION LTD</t>
        </is>
      </c>
      <c r="T294" t="inlineStr">
        <is>
          <t>ACTIVE</t>
        </is>
      </c>
      <c r="Y294" t="inlineStr">
        <is>
          <t>EMAIL</t>
        </is>
      </c>
      <c r="AD294" t="inlineStr">
        <is>
          <t>PLAIN_TEXT_UPPERCASE</t>
        </is>
      </c>
      <c r="AE294" t="inlineStr">
        <is>
          <t>JTL TRIP SUPPORT</t>
        </is>
      </c>
    </row>
    <row r="295">
      <c r="A295" t="inlineStr">
        <is>
          <t>UAA-249</t>
        </is>
      </c>
      <c r="B295" t="inlineStr">
        <is>
          <t>ACASS CANADA LTD</t>
        </is>
      </c>
      <c r="T295" t="inlineStr">
        <is>
          <t>ACTIVE</t>
        </is>
      </c>
      <c r="Y295" t="inlineStr">
        <is>
          <t>EMAIL</t>
        </is>
      </c>
      <c r="AD295" t="inlineStr">
        <is>
          <t>PLAIN_TEXT_UPPERCASE</t>
        </is>
      </c>
      <c r="AE295" t="inlineStr">
        <is>
          <t>JTL TRIP SUPPORT</t>
        </is>
      </c>
    </row>
    <row r="296">
      <c r="A296" t="inlineStr">
        <is>
          <t>UAA-250</t>
        </is>
      </c>
      <c r="B296" t="inlineStr">
        <is>
          <t>SUNAIR SA</t>
        </is>
      </c>
      <c r="T296" t="inlineStr">
        <is>
          <t>ACTIVE</t>
        </is>
      </c>
      <c r="Y296" t="inlineStr">
        <is>
          <t>EMAIL</t>
        </is>
      </c>
      <c r="AD296" t="inlineStr">
        <is>
          <t>PLAIN_TEXT_UPPERCASE</t>
        </is>
      </c>
      <c r="AE296" t="inlineStr">
        <is>
          <t>JTL TRIP SUPPORT</t>
        </is>
      </c>
    </row>
    <row r="297">
      <c r="A297" t="inlineStr">
        <is>
          <t>UAA-251</t>
        </is>
      </c>
      <c r="B297" t="inlineStr">
        <is>
          <t>SIOUX COMPANY LTD</t>
        </is>
      </c>
      <c r="T297" t="inlineStr">
        <is>
          <t>ACTIVE</t>
        </is>
      </c>
      <c r="Y297" t="inlineStr">
        <is>
          <t>EMAIL</t>
        </is>
      </c>
      <c r="AD297" t="inlineStr">
        <is>
          <t>PLAIN_TEXT_UPPERCASE</t>
        </is>
      </c>
      <c r="AE297" t="inlineStr">
        <is>
          <t>JTL TRIP SUPPORT</t>
        </is>
      </c>
    </row>
    <row r="298">
      <c r="A298" t="inlineStr">
        <is>
          <t>UAA-252</t>
        </is>
      </c>
      <c r="B298" t="inlineStr">
        <is>
          <t>TAXIS AEREOS DEL VALLE DE TOLUCA SA DE CV</t>
        </is>
      </c>
      <c r="T298" t="inlineStr">
        <is>
          <t>ACTIVE</t>
        </is>
      </c>
      <c r="Y298" t="inlineStr">
        <is>
          <t>EMAIL</t>
        </is>
      </c>
      <c r="AD298" t="inlineStr">
        <is>
          <t>PLAIN_TEXT_UPPERCASE</t>
        </is>
      </c>
      <c r="AE298" t="inlineStr">
        <is>
          <t>JTL TRIP SUPPORT</t>
        </is>
      </c>
    </row>
    <row r="299">
      <c r="A299" t="inlineStr">
        <is>
          <t>UAA-253</t>
        </is>
      </c>
      <c r="B299" t="inlineStr">
        <is>
          <t>AEROVICS S.A. DE C.V.</t>
        </is>
      </c>
      <c r="T299" t="inlineStr">
        <is>
          <t>ACTIVE</t>
        </is>
      </c>
      <c r="Y299" t="inlineStr">
        <is>
          <t>EMAIL</t>
        </is>
      </c>
      <c r="AD299" t="inlineStr">
        <is>
          <t>PLAIN_TEXT_UPPERCASE</t>
        </is>
      </c>
      <c r="AE299" t="inlineStr">
        <is>
          <t>JTL TRIP SUPPORT</t>
        </is>
      </c>
    </row>
    <row r="300">
      <c r="A300" t="inlineStr">
        <is>
          <t>UAA-254</t>
        </is>
      </c>
      <c r="B300" t="inlineStr">
        <is>
          <t>SERVICIOS AERONAUTICOS Z S.A. DE C.V.</t>
        </is>
      </c>
      <c r="T300" t="inlineStr">
        <is>
          <t>ACTIVE</t>
        </is>
      </c>
      <c r="Y300" t="inlineStr">
        <is>
          <t>EMAIL</t>
        </is>
      </c>
      <c r="AD300" t="inlineStr">
        <is>
          <t>PLAIN_TEXT_UPPERCASE</t>
        </is>
      </c>
      <c r="AE300" t="inlineStr">
        <is>
          <t>JTL TRIP SUPPORT</t>
        </is>
      </c>
    </row>
    <row r="301">
      <c r="A301" t="inlineStr">
        <is>
          <t>UAA-255</t>
        </is>
      </c>
      <c r="B301" t="inlineStr">
        <is>
          <t>H.A.C. INC.</t>
        </is>
      </c>
      <c r="T301" t="inlineStr">
        <is>
          <t>ACTIVE</t>
        </is>
      </c>
      <c r="Y301" t="inlineStr">
        <is>
          <t>EMAIL</t>
        </is>
      </c>
      <c r="AD301" t="inlineStr">
        <is>
          <t>PLAIN_TEXT_UPPERCASE</t>
        </is>
      </c>
      <c r="AE301" t="inlineStr">
        <is>
          <t>JTL TRIP SUPPORT</t>
        </is>
      </c>
    </row>
    <row r="302">
      <c r="A302" t="inlineStr">
        <is>
          <t>UAA-256</t>
        </is>
      </c>
      <c r="B302" t="inlineStr">
        <is>
          <t>MORGAN STANLEY SERVICES GROUP INC.</t>
        </is>
      </c>
      <c r="T302" t="inlineStr">
        <is>
          <t>ACTIVE</t>
        </is>
      </c>
      <c r="Y302" t="inlineStr">
        <is>
          <t>EMAIL</t>
        </is>
      </c>
      <c r="AD302" t="inlineStr">
        <is>
          <t>PLAIN_TEXT_UPPERCASE</t>
        </is>
      </c>
      <c r="AE302" t="inlineStr">
        <is>
          <t>JTL TRIP SUPPORT</t>
        </is>
      </c>
    </row>
    <row r="303">
      <c r="A303" t="inlineStr">
        <is>
          <t>UAA-257</t>
        </is>
      </c>
      <c r="B303" t="inlineStr">
        <is>
          <t>PRINCESS GATE LLC</t>
        </is>
      </c>
      <c r="T303" t="inlineStr">
        <is>
          <t>ACTIVE</t>
        </is>
      </c>
      <c r="Y303" t="inlineStr">
        <is>
          <t>EMAIL</t>
        </is>
      </c>
      <c r="AD303" t="inlineStr">
        <is>
          <t>PLAIN_TEXT_UPPERCASE</t>
        </is>
      </c>
      <c r="AE303" t="inlineStr">
        <is>
          <t>JTL TRIP SUPPORT</t>
        </is>
      </c>
    </row>
    <row r="304">
      <c r="A304" t="inlineStr">
        <is>
          <t>UAA-258</t>
        </is>
      </c>
      <c r="B304" t="inlineStr">
        <is>
          <t>X AVIATION GROUP LLC</t>
        </is>
      </c>
      <c r="T304" t="inlineStr">
        <is>
          <t>ACTIVE</t>
        </is>
      </c>
      <c r="Y304" t="inlineStr">
        <is>
          <t>EMAIL</t>
        </is>
      </c>
      <c r="AD304" t="inlineStr">
        <is>
          <t>PLAIN_TEXT_UPPERCASE</t>
        </is>
      </c>
      <c r="AE304" t="inlineStr">
        <is>
          <t>JTL TRIP SUPPORT</t>
        </is>
      </c>
    </row>
    <row r="305">
      <c r="A305" t="inlineStr">
        <is>
          <t>UAA-259</t>
        </is>
      </c>
      <c r="B305" t="inlineStr">
        <is>
          <t>FORÇA AÉREA BRASILEIRA</t>
        </is>
      </c>
      <c r="T305" t="inlineStr">
        <is>
          <t>ACTIVE</t>
        </is>
      </c>
      <c r="Y305" t="inlineStr">
        <is>
          <t>EMAIL</t>
        </is>
      </c>
      <c r="AD305" t="inlineStr">
        <is>
          <t>PLAIN_TEXT_UPPERCASE</t>
        </is>
      </c>
      <c r="AE305" t="inlineStr">
        <is>
          <t>JTL TRIP SUPPORT</t>
        </is>
      </c>
    </row>
    <row r="306">
      <c r="A306" t="inlineStr">
        <is>
          <t>UAA-260</t>
        </is>
      </c>
      <c r="B306" t="inlineStr">
        <is>
          <t>ROOT HOLDINGS LLC</t>
        </is>
      </c>
      <c r="T306" t="inlineStr">
        <is>
          <t>ACTIVE</t>
        </is>
      </c>
      <c r="Y306" t="inlineStr">
        <is>
          <t>EMAIL</t>
        </is>
      </c>
      <c r="AD306" t="inlineStr">
        <is>
          <t>PLAIN_TEXT_UPPERCASE</t>
        </is>
      </c>
      <c r="AE306" t="inlineStr">
        <is>
          <t>JTL TRIP SUPPORT</t>
        </is>
      </c>
    </row>
    <row r="307">
      <c r="A307" t="inlineStr">
        <is>
          <t>UAA-261</t>
        </is>
      </c>
      <c r="B307" t="inlineStr">
        <is>
          <t>INDEPENDENT AVIATION SDN BHD</t>
        </is>
      </c>
      <c r="T307" t="inlineStr">
        <is>
          <t>ACTIVE</t>
        </is>
      </c>
      <c r="Y307" t="inlineStr">
        <is>
          <t>EMAIL</t>
        </is>
      </c>
      <c r="AD307" t="inlineStr">
        <is>
          <t>PLAIN_TEXT_UPPERCASE</t>
        </is>
      </c>
      <c r="AE307" t="inlineStr">
        <is>
          <t>JTL TRIP SUPPORT</t>
        </is>
      </c>
    </row>
    <row r="308">
      <c r="A308" t="inlineStr">
        <is>
          <t>UAA-262</t>
        </is>
      </c>
      <c r="B308" t="inlineStr">
        <is>
          <t>CANADIAN UTILITIES LIMITED</t>
        </is>
      </c>
      <c r="T308" t="inlineStr">
        <is>
          <t>ACTIVE</t>
        </is>
      </c>
      <c r="Y308" t="inlineStr">
        <is>
          <t>EMAIL</t>
        </is>
      </c>
      <c r="AD308" t="inlineStr">
        <is>
          <t>PLAIN_TEXT_UPPERCASE</t>
        </is>
      </c>
      <c r="AE308" t="inlineStr">
        <is>
          <t>JTL TRIP SUPPORT</t>
        </is>
      </c>
    </row>
    <row r="309">
      <c r="A309" t="inlineStr">
        <is>
          <t>UAA-263</t>
        </is>
      </c>
      <c r="B309" t="inlineStr">
        <is>
          <t>NASA/JOHNSON SPACE CENTER</t>
        </is>
      </c>
      <c r="T309" t="inlineStr">
        <is>
          <t>ACTIVE</t>
        </is>
      </c>
      <c r="Y309" t="inlineStr">
        <is>
          <t>EMAIL</t>
        </is>
      </c>
      <c r="AD309" t="inlineStr">
        <is>
          <t>PLAIN_TEXT_UPPERCASE</t>
        </is>
      </c>
      <c r="AE309" t="inlineStr">
        <is>
          <t>JTL TRIP SUPPORT</t>
        </is>
      </c>
    </row>
    <row r="310">
      <c r="A310" t="inlineStr">
        <is>
          <t>UAA-264</t>
        </is>
      </c>
      <c r="B310" t="inlineStr">
        <is>
          <t>JOHNSON &amp; JOHNSON</t>
        </is>
      </c>
      <c r="T310" t="inlineStr">
        <is>
          <t>ACTIVE</t>
        </is>
      </c>
      <c r="Y310" t="inlineStr">
        <is>
          <t>EMAIL</t>
        </is>
      </c>
      <c r="AD310" t="inlineStr">
        <is>
          <t>PLAIN_TEXT_UPPERCASE</t>
        </is>
      </c>
      <c r="AE310" t="inlineStr">
        <is>
          <t>JTL TRIP SUPPORT</t>
        </is>
      </c>
    </row>
    <row r="311">
      <c r="A311" t="inlineStr">
        <is>
          <t>UAA-265</t>
        </is>
      </c>
      <c r="B311" t="inlineStr">
        <is>
          <t>SANDS AVIATION, LLC.</t>
        </is>
      </c>
      <c r="T311" t="inlineStr">
        <is>
          <t>ACTIVE</t>
        </is>
      </c>
      <c r="Y311" t="inlineStr">
        <is>
          <t>EMAIL</t>
        </is>
      </c>
      <c r="AD311" t="inlineStr">
        <is>
          <t>PLAIN_TEXT_UPPERCASE</t>
        </is>
      </c>
      <c r="AE311" t="inlineStr">
        <is>
          <t>JTL TRIP SUPPORT</t>
        </is>
      </c>
    </row>
    <row r="312">
      <c r="A312" t="inlineStr">
        <is>
          <t>UAA-266</t>
        </is>
      </c>
      <c r="B312" t="inlineStr">
        <is>
          <t>WARNER MEDIA, LLC</t>
        </is>
      </c>
      <c r="T312" t="inlineStr">
        <is>
          <t>ACTIVE</t>
        </is>
      </c>
      <c r="Y312" t="inlineStr">
        <is>
          <t>EMAIL</t>
        </is>
      </c>
      <c r="AD312" t="inlineStr">
        <is>
          <t>PLAIN_TEXT_UPPERCASE</t>
        </is>
      </c>
      <c r="AE312" t="inlineStr">
        <is>
          <t>JTL TRIP SUPPORT</t>
        </is>
      </c>
    </row>
    <row r="313">
      <c r="A313" t="inlineStr">
        <is>
          <t>UAA-267</t>
        </is>
      </c>
      <c r="B313" t="inlineStr">
        <is>
          <t>SKYSERVICE BUSINESS AVIATION INC</t>
        </is>
      </c>
      <c r="T313" t="inlineStr">
        <is>
          <t>ACTIVE</t>
        </is>
      </c>
      <c r="Y313" t="inlineStr">
        <is>
          <t>EMAIL</t>
        </is>
      </c>
      <c r="AD313" t="inlineStr">
        <is>
          <t>PLAIN_TEXT_UPPERCASE</t>
        </is>
      </c>
      <c r="AE313" t="inlineStr">
        <is>
          <t>JTL TRIP SUPPORT</t>
        </is>
      </c>
    </row>
    <row r="314">
      <c r="A314" t="inlineStr">
        <is>
          <t>UAA-268</t>
        </is>
      </c>
      <c r="B314" t="inlineStr">
        <is>
          <t>NETFLIX INC</t>
        </is>
      </c>
      <c r="T314" t="inlineStr">
        <is>
          <t>ACTIVE</t>
        </is>
      </c>
      <c r="Y314" t="inlineStr">
        <is>
          <t>EMAIL</t>
        </is>
      </c>
      <c r="AD314" t="inlineStr">
        <is>
          <t>PLAIN_TEXT_UPPERCASE</t>
        </is>
      </c>
      <c r="AE314" t="inlineStr">
        <is>
          <t>JTL TRIP SUPPORT</t>
        </is>
      </c>
    </row>
    <row r="315">
      <c r="A315" t="inlineStr">
        <is>
          <t>UAA-269</t>
        </is>
      </c>
      <c r="B315" t="inlineStr">
        <is>
          <t>YAGEO HOLDING (BERMUDA) LIMITED</t>
        </is>
      </c>
      <c r="T315" t="inlineStr">
        <is>
          <t>ACTIVE</t>
        </is>
      </c>
      <c r="Y315" t="inlineStr">
        <is>
          <t>EMAIL</t>
        </is>
      </c>
      <c r="AD315" t="inlineStr">
        <is>
          <t>PLAIN_TEXT_UPPERCASE</t>
        </is>
      </c>
      <c r="AE315" t="inlineStr">
        <is>
          <t>JTL TRIP SUPPORT</t>
        </is>
      </c>
    </row>
    <row r="316">
      <c r="A316" t="inlineStr">
        <is>
          <t>UAA-270</t>
        </is>
      </c>
      <c r="B316" t="inlineStr">
        <is>
          <t>SKECHERS USA INC</t>
        </is>
      </c>
      <c r="T316" t="inlineStr">
        <is>
          <t>ACTIVE</t>
        </is>
      </c>
      <c r="Y316" t="inlineStr">
        <is>
          <t>EMAIL</t>
        </is>
      </c>
      <c r="AD316" t="inlineStr">
        <is>
          <t>PLAIN_TEXT_UPPERCASE</t>
        </is>
      </c>
      <c r="AE316" t="inlineStr">
        <is>
          <t>JTL TRIP SUPPORT</t>
        </is>
      </c>
    </row>
    <row r="317">
      <c r="A317" t="inlineStr">
        <is>
          <t>UAA-271</t>
        </is>
      </c>
      <c r="B317" t="inlineStr">
        <is>
          <t>MP AIR INC</t>
        </is>
      </c>
      <c r="T317" t="inlineStr">
        <is>
          <t>ACTIVE</t>
        </is>
      </c>
      <c r="Y317" t="inlineStr">
        <is>
          <t>EMAIL</t>
        </is>
      </c>
      <c r="AD317" t="inlineStr">
        <is>
          <t>PLAIN_TEXT_UPPERCASE</t>
        </is>
      </c>
      <c r="AE317" t="inlineStr">
        <is>
          <t>JTL TRIP SUPPORT</t>
        </is>
      </c>
    </row>
    <row r="318">
      <c r="A318" t="inlineStr">
        <is>
          <t>UAA-272</t>
        </is>
      </c>
      <c r="B318" t="inlineStr">
        <is>
          <t>DRAPER MANAGEMENT COMPANY LLC</t>
        </is>
      </c>
      <c r="T318" t="inlineStr">
        <is>
          <t>ACTIVE</t>
        </is>
      </c>
      <c r="Y318" t="inlineStr">
        <is>
          <t>EMAIL</t>
        </is>
      </c>
      <c r="AD318" t="inlineStr">
        <is>
          <t>PLAIN_TEXT_UPPERCASE</t>
        </is>
      </c>
      <c r="AE318" t="inlineStr">
        <is>
          <t>JTL TRIP SUPPORT</t>
        </is>
      </c>
    </row>
    <row r="319">
      <c r="A319" t="inlineStr">
        <is>
          <t>UAA-273</t>
        </is>
      </c>
      <c r="B319" t="inlineStr">
        <is>
          <t>DOW CHEMICAL CO. INC., THE</t>
        </is>
      </c>
      <c r="T319" t="inlineStr">
        <is>
          <t>ACTIVE</t>
        </is>
      </c>
      <c r="Y319" t="inlineStr">
        <is>
          <t>EMAIL</t>
        </is>
      </c>
      <c r="AD319" t="inlineStr">
        <is>
          <t>PLAIN_TEXT_UPPERCASE</t>
        </is>
      </c>
      <c r="AE319" t="inlineStr">
        <is>
          <t>JTL TRIP SUPPORT</t>
        </is>
      </c>
    </row>
    <row r="320">
      <c r="A320" t="inlineStr">
        <is>
          <t>UAA-274</t>
        </is>
      </c>
      <c r="B320" t="inlineStr">
        <is>
          <t>SAMANA SPECIAL MISSION CO LTD</t>
        </is>
      </c>
      <c r="T320" t="inlineStr">
        <is>
          <t>ACTIVE</t>
        </is>
      </c>
      <c r="Y320" t="inlineStr">
        <is>
          <t>EMAIL</t>
        </is>
      </c>
      <c r="AD320" t="inlineStr">
        <is>
          <t>PLAIN_TEXT_UPPERCASE</t>
        </is>
      </c>
      <c r="AE320" t="inlineStr">
        <is>
          <t>JTL TRIP SUPPORT</t>
        </is>
      </c>
    </row>
    <row r="321">
      <c r="A321" t="inlineStr">
        <is>
          <t>UAA-275</t>
        </is>
      </c>
      <c r="B321" t="inlineStr">
        <is>
          <t>AIR NIUGINI LIMITED</t>
        </is>
      </c>
      <c r="T321" t="inlineStr">
        <is>
          <t>ACTIVE</t>
        </is>
      </c>
      <c r="Y321" t="inlineStr">
        <is>
          <t>EMAIL</t>
        </is>
      </c>
      <c r="AD321" t="inlineStr">
        <is>
          <t>PLAIN_TEXT_UPPERCASE</t>
        </is>
      </c>
      <c r="AE321" t="inlineStr">
        <is>
          <t>JTL TRIP SUPPORT</t>
        </is>
      </c>
    </row>
    <row r="322">
      <c r="A322" t="inlineStr">
        <is>
          <t>UAA-276</t>
        </is>
      </c>
      <c r="B322" t="inlineStr">
        <is>
          <t>CLOUDSPEED LLC</t>
        </is>
      </c>
      <c r="T322" t="inlineStr">
        <is>
          <t>ACTIVE</t>
        </is>
      </c>
      <c r="Y322" t="inlineStr">
        <is>
          <t>EMAIL</t>
        </is>
      </c>
      <c r="AD322" t="inlineStr">
        <is>
          <t>PLAIN_TEXT_UPPERCASE</t>
        </is>
      </c>
      <c r="AE322" t="inlineStr">
        <is>
          <t>JTL TRIP SUPPORT</t>
        </is>
      </c>
    </row>
    <row r="323">
      <c r="A323" t="inlineStr">
        <is>
          <t>UAA-277</t>
        </is>
      </c>
      <c r="B323" t="inlineStr">
        <is>
          <t>HAINAN LILY JET CO.,LTD</t>
        </is>
      </c>
      <c r="T323" t="inlineStr">
        <is>
          <t>ACTIVE</t>
        </is>
      </c>
      <c r="Y323" t="inlineStr">
        <is>
          <t>EMAIL</t>
        </is>
      </c>
      <c r="AD323" t="inlineStr">
        <is>
          <t>PLAIN_TEXT_UPPERCASE</t>
        </is>
      </c>
      <c r="AE323" t="inlineStr">
        <is>
          <t>JTL TRIP SUPPORT</t>
        </is>
      </c>
    </row>
    <row r="324">
      <c r="A324" t="inlineStr">
        <is>
          <t>UAA-278</t>
        </is>
      </c>
      <c r="B324" t="inlineStr">
        <is>
          <t>PMC GLOBAL INC.</t>
        </is>
      </c>
      <c r="T324" t="inlineStr">
        <is>
          <t>ACTIVE</t>
        </is>
      </c>
      <c r="Y324" t="inlineStr">
        <is>
          <t>EMAIL</t>
        </is>
      </c>
      <c r="AD324" t="inlineStr">
        <is>
          <t>PLAIN_TEXT_UPPERCASE</t>
        </is>
      </c>
      <c r="AE324" t="inlineStr">
        <is>
          <t>JTL TRIP SUPPORT</t>
        </is>
      </c>
    </row>
    <row r="325">
      <c r="A325" t="inlineStr">
        <is>
          <t>UAA-279</t>
        </is>
      </c>
      <c r="B325" t="inlineStr">
        <is>
          <t>PT WIRA ADIAJASA DIRGANTARA</t>
        </is>
      </c>
      <c r="T325" t="inlineStr">
        <is>
          <t>ACTIVE</t>
        </is>
      </c>
      <c r="Y325" t="inlineStr">
        <is>
          <t>EMAIL</t>
        </is>
      </c>
      <c r="AD325" t="inlineStr">
        <is>
          <t>PLAIN_TEXT_UPPERCASE</t>
        </is>
      </c>
      <c r="AE325" t="inlineStr">
        <is>
          <t>JTL TRIP SUPPORT</t>
        </is>
      </c>
    </row>
    <row r="326">
      <c r="A326" t="inlineStr">
        <is>
          <t>UAA-280</t>
        </is>
      </c>
      <c r="B326" t="inlineStr">
        <is>
          <t>GILEAD SCIENCES, INC.</t>
        </is>
      </c>
      <c r="T326" t="inlineStr">
        <is>
          <t>ACTIVE</t>
        </is>
      </c>
      <c r="Y326" t="inlineStr">
        <is>
          <t>EMAIL</t>
        </is>
      </c>
      <c r="AD326" t="inlineStr">
        <is>
          <t>PLAIN_TEXT_UPPERCASE</t>
        </is>
      </c>
      <c r="AE326" t="inlineStr">
        <is>
          <t>JTL TRIP SUPPORT</t>
        </is>
      </c>
    </row>
    <row r="327">
      <c r="A327" t="inlineStr">
        <is>
          <t>UAA-281</t>
        </is>
      </c>
      <c r="B327" t="inlineStr">
        <is>
          <t>KEMMUNETT LTD</t>
        </is>
      </c>
      <c r="T327" t="inlineStr">
        <is>
          <t>ACTIVE</t>
        </is>
      </c>
      <c r="Y327" t="inlineStr">
        <is>
          <t>EMAIL</t>
        </is>
      </c>
      <c r="AD327" t="inlineStr">
        <is>
          <t>PLAIN_TEXT_UPPERCASE</t>
        </is>
      </c>
      <c r="AE327" t="inlineStr">
        <is>
          <t>JTL TRIP SUPPORT</t>
        </is>
      </c>
    </row>
    <row r="328">
      <c r="A328" t="inlineStr">
        <is>
          <t>UAA-282</t>
        </is>
      </c>
      <c r="B328" t="inlineStr">
        <is>
          <t>HESS CORPORATION</t>
        </is>
      </c>
      <c r="T328" t="inlineStr">
        <is>
          <t>ACTIVE</t>
        </is>
      </c>
      <c r="Y328" t="inlineStr">
        <is>
          <t>EMAIL</t>
        </is>
      </c>
      <c r="AD328" t="inlineStr">
        <is>
          <t>PLAIN_TEXT_UPPERCASE</t>
        </is>
      </c>
      <c r="AE328" t="inlineStr">
        <is>
          <t>JTL TRIP SUPPORT</t>
        </is>
      </c>
    </row>
    <row r="329">
      <c r="A329" t="inlineStr">
        <is>
          <t>UAA-283</t>
        </is>
      </c>
      <c r="B329" t="inlineStr">
        <is>
          <t>CONSTRUCTION HELICOPTERS</t>
        </is>
      </c>
      <c r="T329" t="inlineStr">
        <is>
          <t>ACTIVE</t>
        </is>
      </c>
      <c r="Y329" t="inlineStr">
        <is>
          <t>EMAIL</t>
        </is>
      </c>
      <c r="AD329" t="inlineStr">
        <is>
          <t>PLAIN_TEXT_UPPERCASE</t>
        </is>
      </c>
      <c r="AE329" t="inlineStr">
        <is>
          <t>JTL TRIP SUPPORT</t>
        </is>
      </c>
    </row>
    <row r="330">
      <c r="A330" t="inlineStr">
        <is>
          <t>UAA-284</t>
        </is>
      </c>
      <c r="B330" t="inlineStr">
        <is>
          <t>COX ENTERPRISES, INC.</t>
        </is>
      </c>
      <c r="T330" t="inlineStr">
        <is>
          <t>ACTIVE</t>
        </is>
      </c>
      <c r="Y330" t="inlineStr">
        <is>
          <t>EMAIL</t>
        </is>
      </c>
      <c r="AD330" t="inlineStr">
        <is>
          <t>PLAIN_TEXT_UPPERCASE</t>
        </is>
      </c>
      <c r="AE330" t="inlineStr">
        <is>
          <t>JTL TRIP SUPPORT</t>
        </is>
      </c>
    </row>
    <row r="331">
      <c r="A331" t="inlineStr">
        <is>
          <t>UAA-285</t>
        </is>
      </c>
      <c r="B331" t="inlineStr">
        <is>
          <t>ASIA INVESTMENT FINANCIAL SERVICES</t>
        </is>
      </c>
      <c r="T331" t="inlineStr">
        <is>
          <t>ACTIVE</t>
        </is>
      </c>
      <c r="Y331" t="inlineStr">
        <is>
          <t>EMAIL</t>
        </is>
      </c>
      <c r="AD331" t="inlineStr">
        <is>
          <t>PLAIN_TEXT_UPPERCASE</t>
        </is>
      </c>
      <c r="AE331" t="inlineStr">
        <is>
          <t>JTL TRIP SUPPORT</t>
        </is>
      </c>
    </row>
    <row r="332">
      <c r="A332" t="inlineStr">
        <is>
          <t>UAA-286</t>
        </is>
      </c>
      <c r="B332" t="inlineStr">
        <is>
          <t>TIENDAS INDUSTRIALES ASOCIADAS S.A.</t>
        </is>
      </c>
      <c r="T332" t="inlineStr">
        <is>
          <t>ACTIVE</t>
        </is>
      </c>
      <c r="Y332" t="inlineStr">
        <is>
          <t>EMAIL</t>
        </is>
      </c>
      <c r="AD332" t="inlineStr">
        <is>
          <t>PLAIN_TEXT_UPPERCASE</t>
        </is>
      </c>
      <c r="AE332" t="inlineStr">
        <is>
          <t>JTL TRIP SUPPORT</t>
        </is>
      </c>
    </row>
    <row r="333">
      <c r="A333" t="inlineStr">
        <is>
          <t>UAA-287</t>
        </is>
      </c>
      <c r="B333" t="inlineStr">
        <is>
          <t>LIQWD.INC</t>
        </is>
      </c>
      <c r="T333" t="inlineStr">
        <is>
          <t>ACTIVE</t>
        </is>
      </c>
      <c r="Y333" t="inlineStr">
        <is>
          <t>EMAIL</t>
        </is>
      </c>
      <c r="AD333" t="inlineStr">
        <is>
          <t>PLAIN_TEXT_UPPERCASE</t>
        </is>
      </c>
      <c r="AE333" t="inlineStr">
        <is>
          <t>JTL TRIP SUPPORT</t>
        </is>
      </c>
    </row>
    <row r="334">
      <c r="A334" t="inlineStr">
        <is>
          <t>UAA-288</t>
        </is>
      </c>
      <c r="B334" t="inlineStr">
        <is>
          <t>EUROJET HOLDINGS LTD</t>
        </is>
      </c>
      <c r="T334" t="inlineStr">
        <is>
          <t>ACTIVE</t>
        </is>
      </c>
      <c r="Y334" t="inlineStr">
        <is>
          <t>EMAIL</t>
        </is>
      </c>
      <c r="AD334" t="inlineStr">
        <is>
          <t>PLAIN_TEXT_UPPERCASE</t>
        </is>
      </c>
      <c r="AE334" t="inlineStr">
        <is>
          <t>JTL TRIP SUPPORT</t>
        </is>
      </c>
    </row>
    <row r="335">
      <c r="A335" t="inlineStr">
        <is>
          <t>UAA-289</t>
        </is>
      </c>
      <c r="B335" t="inlineStr">
        <is>
          <t>STANDARD INDUSTRIES MANAGEMENT LLC</t>
        </is>
      </c>
      <c r="T335" t="inlineStr">
        <is>
          <t>ACTIVE</t>
        </is>
      </c>
      <c r="Y335" t="inlineStr">
        <is>
          <t>EMAIL</t>
        </is>
      </c>
      <c r="AD335" t="inlineStr">
        <is>
          <t>PLAIN_TEXT_UPPERCASE</t>
        </is>
      </c>
      <c r="AE335" t="inlineStr">
        <is>
          <t>JTL TRIP SUPPORT</t>
        </is>
      </c>
    </row>
    <row r="336">
      <c r="A336" t="inlineStr">
        <is>
          <t>UAA-290</t>
        </is>
      </c>
      <c r="B336" t="inlineStr">
        <is>
          <t>ZEECO INC</t>
        </is>
      </c>
      <c r="T336" t="inlineStr">
        <is>
          <t>ACTIVE</t>
        </is>
      </c>
      <c r="Y336" t="inlineStr">
        <is>
          <t>EMAIL</t>
        </is>
      </c>
      <c r="AD336" t="inlineStr">
        <is>
          <t>PLAIN_TEXT_UPPERCASE</t>
        </is>
      </c>
      <c r="AE336" t="inlineStr">
        <is>
          <t>JTL TRIP SUPPORT</t>
        </is>
      </c>
    </row>
    <row r="337">
      <c r="A337" t="inlineStr">
        <is>
          <t>UAA-291</t>
        </is>
      </c>
      <c r="B337" t="inlineStr">
        <is>
          <t>SCANNELL CITATION L.L.C.</t>
        </is>
      </c>
      <c r="T337" t="inlineStr">
        <is>
          <t>ACTIVE</t>
        </is>
      </c>
      <c r="Y337" t="inlineStr">
        <is>
          <t>EMAIL</t>
        </is>
      </c>
      <c r="AD337" t="inlineStr">
        <is>
          <t>PLAIN_TEXT_UPPERCASE</t>
        </is>
      </c>
      <c r="AE337" t="inlineStr">
        <is>
          <t>JTL TRIP SUPPORT</t>
        </is>
      </c>
    </row>
    <row r="338">
      <c r="A338" t="inlineStr">
        <is>
          <t>UAA-292</t>
        </is>
      </c>
      <c r="B338" t="inlineStr">
        <is>
          <t>WESTERN UNION</t>
        </is>
      </c>
      <c r="T338" t="inlineStr">
        <is>
          <t>ACTIVE</t>
        </is>
      </c>
      <c r="Y338" t="inlineStr">
        <is>
          <t>EMAIL</t>
        </is>
      </c>
      <c r="AD338" t="inlineStr">
        <is>
          <t>PLAIN_TEXT_UPPERCASE</t>
        </is>
      </c>
      <c r="AE338" t="inlineStr">
        <is>
          <t>JTL TRIP SUPPORT</t>
        </is>
      </c>
    </row>
    <row r="339">
      <c r="A339" t="inlineStr">
        <is>
          <t>UAA-293</t>
        </is>
      </c>
      <c r="B339" t="inlineStr">
        <is>
          <t>LOCKHEED MARTIN CORPORATION</t>
        </is>
      </c>
      <c r="T339" t="inlineStr">
        <is>
          <t>ACTIVE</t>
        </is>
      </c>
      <c r="Y339" t="inlineStr">
        <is>
          <t>EMAIL</t>
        </is>
      </c>
      <c r="AD339" t="inlineStr">
        <is>
          <t>PLAIN_TEXT_UPPERCASE</t>
        </is>
      </c>
      <c r="AE339" t="inlineStr">
        <is>
          <t>JTL TRIP SUPPORT</t>
        </is>
      </c>
    </row>
    <row r="340">
      <c r="A340" t="inlineStr">
        <is>
          <t>UAA-294</t>
        </is>
      </c>
      <c r="B340" t="inlineStr">
        <is>
          <t>C DOT AVIATION LLC</t>
        </is>
      </c>
      <c r="T340" t="inlineStr">
        <is>
          <t>ACTIVE</t>
        </is>
      </c>
      <c r="Y340" t="inlineStr">
        <is>
          <t>EMAIL</t>
        </is>
      </c>
      <c r="AD340" t="inlineStr">
        <is>
          <t>PLAIN_TEXT_UPPERCASE</t>
        </is>
      </c>
      <c r="AE340" t="inlineStr">
        <is>
          <t>JTL TRIP SUPPORT</t>
        </is>
      </c>
    </row>
    <row r="341">
      <c r="A341" t="inlineStr">
        <is>
          <t>UAA-295</t>
        </is>
      </c>
      <c r="B341" t="inlineStr">
        <is>
          <t>SPACE EXPLORATION TECHNOLOGIES CORP</t>
        </is>
      </c>
      <c r="T341" t="inlineStr">
        <is>
          <t>ACTIVE</t>
        </is>
      </c>
      <c r="Y341" t="inlineStr">
        <is>
          <t>EMAIL</t>
        </is>
      </c>
      <c r="AD341" t="inlineStr">
        <is>
          <t>PLAIN_TEXT_UPPERCASE</t>
        </is>
      </c>
      <c r="AE341" t="inlineStr">
        <is>
          <t>JTL TRIP SUPPORT</t>
        </is>
      </c>
    </row>
    <row r="342">
      <c r="A342" t="inlineStr">
        <is>
          <t>UAA-296</t>
        </is>
      </c>
      <c r="B342" t="inlineStr">
        <is>
          <t>QUALCOMM INCORPORATED</t>
        </is>
      </c>
      <c r="T342" t="inlineStr">
        <is>
          <t>ACTIVE</t>
        </is>
      </c>
      <c r="Y342" t="inlineStr">
        <is>
          <t>EMAIL</t>
        </is>
      </c>
      <c r="AD342" t="inlineStr">
        <is>
          <t>PLAIN_TEXT_UPPERCASE</t>
        </is>
      </c>
      <c r="AE342" t="inlineStr">
        <is>
          <t>JTL TRIP SUPPORT</t>
        </is>
      </c>
    </row>
    <row r="343">
      <c r="A343" t="inlineStr">
        <is>
          <t>UAA-297</t>
        </is>
      </c>
      <c r="B343" t="inlineStr">
        <is>
          <t>GENERAL DYNAMICS LAND SYSTEMS</t>
        </is>
      </c>
      <c r="T343" t="inlineStr">
        <is>
          <t>ACTIVE</t>
        </is>
      </c>
      <c r="Y343" t="inlineStr">
        <is>
          <t>EMAIL</t>
        </is>
      </c>
      <c r="AD343" t="inlineStr">
        <is>
          <t>PLAIN_TEXT_UPPERCASE</t>
        </is>
      </c>
      <c r="AE343" t="inlineStr">
        <is>
          <t>JTL TRIP SUPPORT</t>
        </is>
      </c>
    </row>
    <row r="344">
      <c r="A344" t="inlineStr">
        <is>
          <t>UAA-298</t>
        </is>
      </c>
      <c r="B344" t="inlineStr">
        <is>
          <t>WESTSTAR  AVIATION SERVICES SDN BHD</t>
        </is>
      </c>
      <c r="T344" t="inlineStr">
        <is>
          <t>ACTIVE</t>
        </is>
      </c>
      <c r="Y344" t="inlineStr">
        <is>
          <t>EMAIL</t>
        </is>
      </c>
      <c r="AD344" t="inlineStr">
        <is>
          <t>PLAIN_TEXT_UPPERCASE</t>
        </is>
      </c>
      <c r="AE344" t="inlineStr">
        <is>
          <t>JTL TRIP SUPPORT</t>
        </is>
      </c>
    </row>
    <row r="345">
      <c r="A345" t="inlineStr">
        <is>
          <t>UAA-299</t>
        </is>
      </c>
      <c r="B345" t="inlineStr">
        <is>
          <t>STRYKER CORPORATION</t>
        </is>
      </c>
      <c r="T345" t="inlineStr">
        <is>
          <t>ACTIVE</t>
        </is>
      </c>
      <c r="Y345" t="inlineStr">
        <is>
          <t>EMAIL</t>
        </is>
      </c>
      <c r="AD345" t="inlineStr">
        <is>
          <t>PLAIN_TEXT_UPPERCASE</t>
        </is>
      </c>
      <c r="AE345" t="inlineStr">
        <is>
          <t>JTL TRIP SUPPORT</t>
        </is>
      </c>
    </row>
    <row r="346">
      <c r="A346" t="inlineStr">
        <is>
          <t>UAA-300</t>
        </is>
      </c>
      <c r="B346" t="inlineStr">
        <is>
          <t>NORTHWEST FLYERS INC.</t>
        </is>
      </c>
      <c r="T346" t="inlineStr">
        <is>
          <t>ACTIVE</t>
        </is>
      </c>
      <c r="Y346" t="inlineStr">
        <is>
          <t>EMAIL</t>
        </is>
      </c>
      <c r="AD346" t="inlineStr">
        <is>
          <t>PLAIN_TEXT_UPPERCASE</t>
        </is>
      </c>
      <c r="AE346" t="inlineStr">
        <is>
          <t>JTL TRIP SUPPORT</t>
        </is>
      </c>
    </row>
    <row r="347">
      <c r="A347" t="inlineStr">
        <is>
          <t>UAA-301</t>
        </is>
      </c>
      <c r="B347" t="inlineStr">
        <is>
          <t>HYUNDAI MOTOR COMPANY</t>
        </is>
      </c>
      <c r="T347" t="inlineStr">
        <is>
          <t>ACTIVE</t>
        </is>
      </c>
      <c r="Y347" t="inlineStr">
        <is>
          <t>EMAIL</t>
        </is>
      </c>
      <c r="AD347" t="inlineStr">
        <is>
          <t>PLAIN_TEXT_UPPERCASE</t>
        </is>
      </c>
      <c r="AE347" t="inlineStr">
        <is>
          <t>JTL TRIP SUPPORT</t>
        </is>
      </c>
    </row>
    <row r="348">
      <c r="A348" t="inlineStr">
        <is>
          <t>UAA-302</t>
        </is>
      </c>
      <c r="B348" t="inlineStr">
        <is>
          <t>AERO TAXIS METROPOLITANOS S.A. DE C.V.</t>
        </is>
      </c>
      <c r="T348" t="inlineStr">
        <is>
          <t>ACTIVE</t>
        </is>
      </c>
      <c r="Y348" t="inlineStr">
        <is>
          <t>EMAIL</t>
        </is>
      </c>
      <c r="AD348" t="inlineStr">
        <is>
          <t>PLAIN_TEXT_UPPERCASE</t>
        </is>
      </c>
      <c r="AE348" t="inlineStr">
        <is>
          <t>JTL TRIP SUPPORT</t>
        </is>
      </c>
    </row>
    <row r="349">
      <c r="A349" t="inlineStr">
        <is>
          <t>UAA-303</t>
        </is>
      </c>
      <c r="B349" t="inlineStr">
        <is>
          <t>LEONARD GREEN &amp; PARTNERS, L.P.</t>
        </is>
      </c>
      <c r="T349" t="inlineStr">
        <is>
          <t>ACTIVE</t>
        </is>
      </c>
      <c r="Y349" t="inlineStr">
        <is>
          <t>EMAIL</t>
        </is>
      </c>
      <c r="AD349" t="inlineStr">
        <is>
          <t>PLAIN_TEXT_UPPERCASE</t>
        </is>
      </c>
      <c r="AE349" t="inlineStr">
        <is>
          <t>JTL TRIP SUPPORT</t>
        </is>
      </c>
    </row>
    <row r="350">
      <c r="A350" t="inlineStr">
        <is>
          <t>UAA-304</t>
        </is>
      </c>
      <c r="B350" t="inlineStr">
        <is>
          <t>FLIGHTSTAR CORPORATION</t>
        </is>
      </c>
      <c r="T350" t="inlineStr">
        <is>
          <t>ACTIVE</t>
        </is>
      </c>
      <c r="Y350" t="inlineStr">
        <is>
          <t>EMAIL</t>
        </is>
      </c>
      <c r="AD350" t="inlineStr">
        <is>
          <t>PLAIN_TEXT_UPPERCASE</t>
        </is>
      </c>
      <c r="AE350" t="inlineStr">
        <is>
          <t>JTL TRIP SUPPORT</t>
        </is>
      </c>
    </row>
    <row r="351">
      <c r="A351" t="inlineStr">
        <is>
          <t>UAA-305</t>
        </is>
      </c>
      <c r="B351" t="inlineStr">
        <is>
          <t>DEPARTAMENTO DE POLICIA FEDERAL</t>
        </is>
      </c>
      <c r="T351" t="inlineStr">
        <is>
          <t>ACTIVE</t>
        </is>
      </c>
      <c r="Y351" t="inlineStr">
        <is>
          <t>EMAIL</t>
        </is>
      </c>
      <c r="AD351" t="inlineStr">
        <is>
          <t>PLAIN_TEXT_UPPERCASE</t>
        </is>
      </c>
      <c r="AE351" t="inlineStr">
        <is>
          <t>JTL TRIP SUPPORT</t>
        </is>
      </c>
    </row>
    <row r="352">
      <c r="A352" t="inlineStr">
        <is>
          <t>UAA-306</t>
        </is>
      </c>
      <c r="B352" t="inlineStr">
        <is>
          <t>EP10XT, LLC</t>
        </is>
      </c>
      <c r="T352" t="inlineStr">
        <is>
          <t>ACTIVE</t>
        </is>
      </c>
      <c r="Y352" t="inlineStr">
        <is>
          <t>EMAIL</t>
        </is>
      </c>
      <c r="AD352" t="inlineStr">
        <is>
          <t>PLAIN_TEXT_UPPERCASE</t>
        </is>
      </c>
      <c r="AE352" t="inlineStr">
        <is>
          <t>JTL TRIP SUPPORT</t>
        </is>
      </c>
    </row>
    <row r="353">
      <c r="A353" t="inlineStr">
        <is>
          <t>UAA-307</t>
        </is>
      </c>
      <c r="B353" t="inlineStr">
        <is>
          <t>OXY USA</t>
        </is>
      </c>
      <c r="T353" t="inlineStr">
        <is>
          <t>ACTIVE</t>
        </is>
      </c>
      <c r="Y353" t="inlineStr">
        <is>
          <t>EMAIL</t>
        </is>
      </c>
      <c r="AD353" t="inlineStr">
        <is>
          <t>PLAIN_TEXT_UPPERCASE</t>
        </is>
      </c>
      <c r="AE353" t="inlineStr">
        <is>
          <t>JTL TRIP SUPPORT</t>
        </is>
      </c>
    </row>
    <row r="354">
      <c r="A354" t="inlineStr">
        <is>
          <t>UAA-308</t>
        </is>
      </c>
      <c r="B354" t="inlineStr">
        <is>
          <t>PENSKE JET, INC.</t>
        </is>
      </c>
      <c r="T354" t="inlineStr">
        <is>
          <t>ACTIVE</t>
        </is>
      </c>
      <c r="Y354" t="inlineStr">
        <is>
          <t>EMAIL</t>
        </is>
      </c>
      <c r="AD354" t="inlineStr">
        <is>
          <t>PLAIN_TEXT_UPPERCASE</t>
        </is>
      </c>
      <c r="AE354" t="inlineStr">
        <is>
          <t>JTL TRIP SUPPORT</t>
        </is>
      </c>
    </row>
    <row r="355">
      <c r="A355" t="inlineStr">
        <is>
          <t>UAA-309</t>
        </is>
      </c>
      <c r="B355" t="inlineStr">
        <is>
          <t>MADOS'S HOLDINGS SDN BHD</t>
        </is>
      </c>
      <c r="T355" t="inlineStr">
        <is>
          <t>ACTIVE</t>
        </is>
      </c>
      <c r="Y355" t="inlineStr">
        <is>
          <t>EMAIL</t>
        </is>
      </c>
      <c r="AD355" t="inlineStr">
        <is>
          <t>PLAIN_TEXT_UPPERCASE</t>
        </is>
      </c>
      <c r="AE355" t="inlineStr">
        <is>
          <t>JTL TRIP SUPPORT</t>
        </is>
      </c>
    </row>
    <row r="356">
      <c r="A356" t="inlineStr">
        <is>
          <t>UAA-310</t>
        </is>
      </c>
      <c r="B356" t="inlineStr">
        <is>
          <t>HIS MAJESTY SULTAN IBRAHIM OF JOHOR</t>
        </is>
      </c>
      <c r="T356" t="inlineStr">
        <is>
          <t>ACTIVE</t>
        </is>
      </c>
      <c r="Y356" t="inlineStr">
        <is>
          <t>EMAIL</t>
        </is>
      </c>
      <c r="AD356" t="inlineStr">
        <is>
          <t>PLAIN_TEXT_UPPERCASE</t>
        </is>
      </c>
      <c r="AE356" t="inlineStr">
        <is>
          <t>JTL TRIP SUPPORT</t>
        </is>
      </c>
    </row>
    <row r="357">
      <c r="A357" t="inlineStr">
        <is>
          <t>UAA-311</t>
        </is>
      </c>
      <c r="B357" t="inlineStr">
        <is>
          <t>AVCAIR PTY LTD</t>
        </is>
      </c>
      <c r="T357" t="inlineStr">
        <is>
          <t>ACTIVE</t>
        </is>
      </c>
      <c r="Y357" t="inlineStr">
        <is>
          <t>EMAIL</t>
        </is>
      </c>
      <c r="AD357" t="inlineStr">
        <is>
          <t>PLAIN_TEXT_UPPERCASE</t>
        </is>
      </c>
      <c r="AE357" t="inlineStr">
        <is>
          <t>JTL TRIP SUPPORT</t>
        </is>
      </c>
    </row>
    <row r="358">
      <c r="A358" t="inlineStr">
        <is>
          <t>UAA-312</t>
        </is>
      </c>
      <c r="B358" t="inlineStr">
        <is>
          <t>ALTICOR INC</t>
        </is>
      </c>
      <c r="T358" t="inlineStr">
        <is>
          <t>ACTIVE</t>
        </is>
      </c>
      <c r="Y358" t="inlineStr">
        <is>
          <t>EMAIL</t>
        </is>
      </c>
      <c r="AD358" t="inlineStr">
        <is>
          <t>PLAIN_TEXT_UPPERCASE</t>
        </is>
      </c>
      <c r="AE358" t="inlineStr">
        <is>
          <t>JTL TRIP SUPPORT</t>
        </is>
      </c>
    </row>
    <row r="359">
      <c r="A359" t="inlineStr">
        <is>
          <t>UAA-313</t>
        </is>
      </c>
      <c r="B359" t="inlineStr">
        <is>
          <t>PHILLIPS 66</t>
        </is>
      </c>
      <c r="T359" t="inlineStr">
        <is>
          <t>ACTIVE</t>
        </is>
      </c>
      <c r="Y359" t="inlineStr">
        <is>
          <t>EMAIL</t>
        </is>
      </c>
      <c r="AD359" t="inlineStr">
        <is>
          <t>PLAIN_TEXT_UPPERCASE</t>
        </is>
      </c>
      <c r="AE359" t="inlineStr">
        <is>
          <t>JTL TRIP SUPPORT</t>
        </is>
      </c>
    </row>
    <row r="360">
      <c r="A360" t="inlineStr">
        <is>
          <t>UAA-314</t>
        </is>
      </c>
      <c r="B360" t="inlineStr">
        <is>
          <t>PEPSICO, INC.</t>
        </is>
      </c>
      <c r="T360" t="inlineStr">
        <is>
          <t>ACTIVE</t>
        </is>
      </c>
      <c r="Y360" t="inlineStr">
        <is>
          <t>EMAIL</t>
        </is>
      </c>
      <c r="AD360" t="inlineStr">
        <is>
          <t>PLAIN_TEXT_UPPERCASE</t>
        </is>
      </c>
      <c r="AE360" t="inlineStr">
        <is>
          <t>JTL TRIP SUPPORT</t>
        </is>
      </c>
    </row>
    <row r="361">
      <c r="A361" t="inlineStr">
        <is>
          <t>UAA-315</t>
        </is>
      </c>
      <c r="B361" t="inlineStr">
        <is>
          <t>PPG INDUSTRIES</t>
        </is>
      </c>
      <c r="T361" t="inlineStr">
        <is>
          <t>ACTIVE</t>
        </is>
      </c>
      <c r="Y361" t="inlineStr">
        <is>
          <t>EMAIL</t>
        </is>
      </c>
      <c r="AD361" t="inlineStr">
        <is>
          <t>PLAIN_TEXT_UPPERCASE</t>
        </is>
      </c>
      <c r="AE361" t="inlineStr">
        <is>
          <t>JTL TRIP SUPPORT</t>
        </is>
      </c>
    </row>
    <row r="362">
      <c r="A362" t="inlineStr">
        <is>
          <t>UAA-316</t>
        </is>
      </c>
      <c r="B362" t="inlineStr">
        <is>
          <t>GULF AVIATION COMPANY LIMITED</t>
        </is>
      </c>
      <c r="T362" t="inlineStr">
        <is>
          <t>ACTIVE</t>
        </is>
      </c>
      <c r="Y362" t="inlineStr">
        <is>
          <t>EMAIL</t>
        </is>
      </c>
      <c r="AD362" t="inlineStr">
        <is>
          <t>PLAIN_TEXT_UPPERCASE</t>
        </is>
      </c>
      <c r="AE362" t="inlineStr">
        <is>
          <t>JTL TRIP SUPPORT</t>
        </is>
      </c>
    </row>
    <row r="363">
      <c r="A363" t="inlineStr">
        <is>
          <t>UAA-317</t>
        </is>
      </c>
      <c r="B363" t="inlineStr">
        <is>
          <t>FALSTAFF PARTNERS LLC</t>
        </is>
      </c>
      <c r="T363" t="inlineStr">
        <is>
          <t>ACTIVE</t>
        </is>
      </c>
      <c r="Y363" t="inlineStr">
        <is>
          <t>EMAIL</t>
        </is>
      </c>
      <c r="AD363" t="inlineStr">
        <is>
          <t>PLAIN_TEXT_UPPERCASE</t>
        </is>
      </c>
      <c r="AE363" t="inlineStr">
        <is>
          <t>JTL TRIP SUPPORT</t>
        </is>
      </c>
    </row>
    <row r="364">
      <c r="A364" t="inlineStr">
        <is>
          <t>UAA-318</t>
        </is>
      </c>
      <c r="B364" t="inlineStr">
        <is>
          <t>AIR CENTER HELICOPTERS INC</t>
        </is>
      </c>
      <c r="T364" t="inlineStr">
        <is>
          <t>ACTIVE</t>
        </is>
      </c>
      <c r="Y364" t="inlineStr">
        <is>
          <t>EMAIL</t>
        </is>
      </c>
      <c r="AD364" t="inlineStr">
        <is>
          <t>PLAIN_TEXT_UPPERCASE</t>
        </is>
      </c>
      <c r="AE364" t="inlineStr">
        <is>
          <t>JTL TRIP SUPPORT</t>
        </is>
      </c>
    </row>
    <row r="365">
      <c r="A365" t="inlineStr">
        <is>
          <t>UAA-319</t>
        </is>
      </c>
      <c r="B365" t="inlineStr">
        <is>
          <t>1010 AVIATION LLC</t>
        </is>
      </c>
      <c r="T365" t="inlineStr">
        <is>
          <t>ACTIVE</t>
        </is>
      </c>
      <c r="Y365" t="inlineStr">
        <is>
          <t>EMAIL</t>
        </is>
      </c>
      <c r="AD365" t="inlineStr">
        <is>
          <t>PLAIN_TEXT_UPPERCASE</t>
        </is>
      </c>
      <c r="AE365" t="inlineStr">
        <is>
          <t>JTL TRIP SUPPORT</t>
        </is>
      </c>
    </row>
    <row r="366">
      <c r="A366" t="inlineStr">
        <is>
          <t>UAA-320</t>
        </is>
      </c>
      <c r="B366" t="inlineStr">
        <is>
          <t>CHOUEST AIR INC</t>
        </is>
      </c>
      <c r="T366" t="inlineStr">
        <is>
          <t>ACTIVE</t>
        </is>
      </c>
      <c r="Y366" t="inlineStr">
        <is>
          <t>EMAIL</t>
        </is>
      </c>
      <c r="AD366" t="inlineStr">
        <is>
          <t>PLAIN_TEXT_UPPERCASE</t>
        </is>
      </c>
      <c r="AE366" t="inlineStr">
        <is>
          <t>JTL TRIP SUPPORT</t>
        </is>
      </c>
    </row>
    <row r="367">
      <c r="A367" t="inlineStr">
        <is>
          <t>UAA-321</t>
        </is>
      </c>
      <c r="B367" t="inlineStr">
        <is>
          <t>WHIRLPOOL CORPORATION</t>
        </is>
      </c>
      <c r="T367" t="inlineStr">
        <is>
          <t>ACTIVE</t>
        </is>
      </c>
      <c r="Y367" t="inlineStr">
        <is>
          <t>EMAIL</t>
        </is>
      </c>
      <c r="AD367" t="inlineStr">
        <is>
          <t>PLAIN_TEXT_UPPERCASE</t>
        </is>
      </c>
      <c r="AE367" t="inlineStr">
        <is>
          <t>JTL TRIP SUPPORT</t>
        </is>
      </c>
    </row>
    <row r="368">
      <c r="A368" t="inlineStr">
        <is>
          <t>UAA-322</t>
        </is>
      </c>
      <c r="B368" t="inlineStr">
        <is>
          <t>FALCONAIR PTY LTD</t>
        </is>
      </c>
      <c r="T368" t="inlineStr">
        <is>
          <t>ACTIVE</t>
        </is>
      </c>
      <c r="Y368" t="inlineStr">
        <is>
          <t>EMAIL</t>
        </is>
      </c>
      <c r="AD368" t="inlineStr">
        <is>
          <t>PLAIN_TEXT_UPPERCASE</t>
        </is>
      </c>
      <c r="AE368" t="inlineStr">
        <is>
          <t>JTL TRIP SUPPORT</t>
        </is>
      </c>
    </row>
    <row r="369">
      <c r="A369" t="inlineStr">
        <is>
          <t>UAA-323</t>
        </is>
      </c>
      <c r="B369" t="inlineStr">
        <is>
          <t>AEGLE AVIATION LTD.</t>
        </is>
      </c>
      <c r="T369" t="inlineStr">
        <is>
          <t>ACTIVE</t>
        </is>
      </c>
      <c r="Y369" t="inlineStr">
        <is>
          <t>EMAIL</t>
        </is>
      </c>
      <c r="AD369" t="inlineStr">
        <is>
          <t>PLAIN_TEXT_UPPERCASE</t>
        </is>
      </c>
      <c r="AE369" t="inlineStr">
        <is>
          <t>JTL TRIP SUPPORT</t>
        </is>
      </c>
    </row>
    <row r="370">
      <c r="A370" t="inlineStr">
        <is>
          <t>UAA-324</t>
        </is>
      </c>
      <c r="B370" t="inlineStr">
        <is>
          <t>RICHALIHAN LLC</t>
        </is>
      </c>
      <c r="T370" t="inlineStr">
        <is>
          <t>ACTIVE</t>
        </is>
      </c>
      <c r="Y370" t="inlineStr">
        <is>
          <t>EMAIL</t>
        </is>
      </c>
      <c r="AD370" t="inlineStr">
        <is>
          <t>PLAIN_TEXT_UPPERCASE</t>
        </is>
      </c>
      <c r="AE370" t="inlineStr">
        <is>
          <t>JTL TRIP SUPPORT</t>
        </is>
      </c>
    </row>
    <row r="371">
      <c r="A371" t="inlineStr">
        <is>
          <t>UAA-325</t>
        </is>
      </c>
      <c r="B371" t="inlineStr">
        <is>
          <t>30 WEST INC.</t>
        </is>
      </c>
      <c r="T371" t="inlineStr">
        <is>
          <t>ACTIVE</t>
        </is>
      </c>
      <c r="Y371" t="inlineStr">
        <is>
          <t>EMAIL</t>
        </is>
      </c>
      <c r="AD371" t="inlineStr">
        <is>
          <t>PLAIN_TEXT_UPPERCASE</t>
        </is>
      </c>
      <c r="AE371" t="inlineStr">
        <is>
          <t>JTL TRIP SUPPORT</t>
        </is>
      </c>
    </row>
    <row r="372">
      <c r="A372" t="inlineStr">
        <is>
          <t>UAA-326</t>
        </is>
      </c>
      <c r="B372" t="inlineStr">
        <is>
          <t>TAXIS AEREOS DEL VALLE DE TOLUCA SA DE C</t>
        </is>
      </c>
      <c r="T372" t="inlineStr">
        <is>
          <t>ACTIVE</t>
        </is>
      </c>
      <c r="Y372" t="inlineStr">
        <is>
          <t>EMAIL</t>
        </is>
      </c>
      <c r="AD372" t="inlineStr">
        <is>
          <t>PLAIN_TEXT_UPPERCASE</t>
        </is>
      </c>
      <c r="AE372" t="inlineStr">
        <is>
          <t>JTL TRIP SUPPORT</t>
        </is>
      </c>
    </row>
    <row r="373">
      <c r="A373" t="inlineStr">
        <is>
          <t>UAA-327</t>
        </is>
      </c>
      <c r="B373" t="inlineStr">
        <is>
          <t>SIRIO S.P.A</t>
        </is>
      </c>
      <c r="T373" t="inlineStr">
        <is>
          <t>ACTIVE</t>
        </is>
      </c>
      <c r="Y373" t="inlineStr">
        <is>
          <t>EMAIL</t>
        </is>
      </c>
      <c r="AD373" t="inlineStr">
        <is>
          <t>PLAIN_TEXT_UPPERCASE</t>
        </is>
      </c>
      <c r="AE373" t="inlineStr">
        <is>
          <t>JTL TRIP SUPPORT</t>
        </is>
      </c>
    </row>
    <row r="374">
      <c r="A374" t="inlineStr">
        <is>
          <t>UAA-328</t>
        </is>
      </c>
      <c r="B374" t="inlineStr">
        <is>
          <t>TERRA DULCE LLC</t>
        </is>
      </c>
      <c r="T374" t="inlineStr">
        <is>
          <t>ACTIVE</t>
        </is>
      </c>
      <c r="Y374" t="inlineStr">
        <is>
          <t>EMAIL</t>
        </is>
      </c>
      <c r="AD374" t="inlineStr">
        <is>
          <t>PLAIN_TEXT_UPPERCASE</t>
        </is>
      </c>
      <c r="AE374" t="inlineStr">
        <is>
          <t>JTL TRIP SUPPORT</t>
        </is>
      </c>
    </row>
    <row r="375">
      <c r="A375" t="inlineStr">
        <is>
          <t>UAA-329</t>
        </is>
      </c>
      <c r="B375" t="inlineStr">
        <is>
          <t>SHIRAZ BALOLIA</t>
        </is>
      </c>
      <c r="T375" t="inlineStr">
        <is>
          <t>ACTIVE</t>
        </is>
      </c>
      <c r="Y375" t="inlineStr">
        <is>
          <t>EMAIL</t>
        </is>
      </c>
      <c r="AD375" t="inlineStr">
        <is>
          <t>PLAIN_TEXT_UPPERCASE</t>
        </is>
      </c>
      <c r="AE375" t="inlineStr">
        <is>
          <t>JTL TRIP SUPPORT</t>
        </is>
      </c>
    </row>
    <row r="376">
      <c r="A376" t="inlineStr">
        <is>
          <t>UAA-330</t>
        </is>
      </c>
      <c r="B376" t="inlineStr">
        <is>
          <t>LIMITLESS AVIATION SM SRL</t>
        </is>
      </c>
      <c r="T376" t="inlineStr">
        <is>
          <t>ACTIVE</t>
        </is>
      </c>
      <c r="Y376" t="inlineStr">
        <is>
          <t>EMAIL</t>
        </is>
      </c>
      <c r="AD376" t="inlineStr">
        <is>
          <t>PLAIN_TEXT_UPPERCASE</t>
        </is>
      </c>
      <c r="AE376" t="inlineStr">
        <is>
          <t>JTL TRIP SUPPORT</t>
        </is>
      </c>
    </row>
    <row r="377">
      <c r="A377" t="inlineStr">
        <is>
          <t>UAA-331</t>
        </is>
      </c>
      <c r="B377" t="inlineStr">
        <is>
          <t>ALPHA STAR AVIATION SERVICES</t>
        </is>
      </c>
      <c r="T377" t="inlineStr">
        <is>
          <t>ACTIVE</t>
        </is>
      </c>
      <c r="Y377" t="inlineStr">
        <is>
          <t>EMAIL</t>
        </is>
      </c>
      <c r="AD377" t="inlineStr">
        <is>
          <t>PLAIN_TEXT_UPPERCASE</t>
        </is>
      </c>
      <c r="AE377" t="inlineStr">
        <is>
          <t>JTL TRIP SUPPORT</t>
        </is>
      </c>
    </row>
    <row r="378">
      <c r="A378" t="inlineStr">
        <is>
          <t>UAA-332</t>
        </is>
      </c>
      <c r="B378" t="inlineStr">
        <is>
          <t>SAUDI ROYAL AVIATION</t>
        </is>
      </c>
      <c r="T378" t="inlineStr">
        <is>
          <t>ACTIVE</t>
        </is>
      </c>
      <c r="Y378" t="inlineStr">
        <is>
          <t>EMAIL</t>
        </is>
      </c>
      <c r="AD378" t="inlineStr">
        <is>
          <t>PLAIN_TEXT_UPPERCASE</t>
        </is>
      </c>
      <c r="AE378" t="inlineStr">
        <is>
          <t>JTL TRIP SUPPORT</t>
        </is>
      </c>
    </row>
    <row r="379">
      <c r="A379" t="inlineStr">
        <is>
          <t>UAA-333</t>
        </is>
      </c>
      <c r="B379" t="inlineStr">
        <is>
          <t>PRIME JET</t>
        </is>
      </c>
      <c r="T379" t="inlineStr">
        <is>
          <t>ACTIVE</t>
        </is>
      </c>
      <c r="Y379" t="inlineStr">
        <is>
          <t>EMAIL</t>
        </is>
      </c>
      <c r="AD379" t="inlineStr">
        <is>
          <t>PLAIN_TEXT_UPPERCASE</t>
        </is>
      </c>
      <c r="AE379" t="inlineStr">
        <is>
          <t>JTL TRIP SUPPORT</t>
        </is>
      </c>
    </row>
    <row r="380">
      <c r="A380" t="inlineStr">
        <is>
          <t>UAA-334</t>
        </is>
      </c>
      <c r="B380" t="inlineStr">
        <is>
          <t>MAINBASE LIMITED</t>
        </is>
      </c>
      <c r="T380" t="inlineStr">
        <is>
          <t>ACTIVE</t>
        </is>
      </c>
      <c r="Y380" t="inlineStr">
        <is>
          <t>EMAIL</t>
        </is>
      </c>
      <c r="AD380" t="inlineStr">
        <is>
          <t>PLAIN_TEXT_UPPERCASE</t>
        </is>
      </c>
      <c r="AE380" t="inlineStr">
        <is>
          <t>JTL TRIP SUPPORT</t>
        </is>
      </c>
    </row>
    <row r="381">
      <c r="A381" t="inlineStr">
        <is>
          <t>UAA-335</t>
        </is>
      </c>
      <c r="B381" t="inlineStr">
        <is>
          <t>WYNN RESORTS LIMITED</t>
        </is>
      </c>
      <c r="T381" t="inlineStr">
        <is>
          <t>ACTIVE</t>
        </is>
      </c>
      <c r="Y381" t="inlineStr">
        <is>
          <t>EMAIL</t>
        </is>
      </c>
      <c r="AD381" t="inlineStr">
        <is>
          <t>PLAIN_TEXT_UPPERCASE</t>
        </is>
      </c>
      <c r="AE381" t="inlineStr">
        <is>
          <t>JTL TRIP SUPPORT</t>
        </is>
      </c>
    </row>
    <row r="382">
      <c r="A382" t="inlineStr">
        <is>
          <t>UAA-336</t>
        </is>
      </c>
      <c r="B382" t="inlineStr">
        <is>
          <t>TISMA, INC.</t>
        </is>
      </c>
      <c r="T382" t="inlineStr">
        <is>
          <t>ACTIVE</t>
        </is>
      </c>
      <c r="Y382" t="inlineStr">
        <is>
          <t>EMAIL</t>
        </is>
      </c>
      <c r="AD382" t="inlineStr">
        <is>
          <t>PLAIN_TEXT_UPPERCASE</t>
        </is>
      </c>
      <c r="AE382" t="inlineStr">
        <is>
          <t>JTL TRIP SUPPORT</t>
        </is>
      </c>
    </row>
    <row r="383">
      <c r="A383" t="inlineStr">
        <is>
          <t>UAA-337</t>
        </is>
      </c>
      <c r="B383" t="inlineStr">
        <is>
          <t>TRINITY BROADCASTING OF FLORIDA, INC.</t>
        </is>
      </c>
      <c r="T383" t="inlineStr">
        <is>
          <t>ACTIVE</t>
        </is>
      </c>
      <c r="Y383" t="inlineStr">
        <is>
          <t>EMAIL</t>
        </is>
      </c>
      <c r="AD383" t="inlineStr">
        <is>
          <t>PLAIN_TEXT_UPPERCASE</t>
        </is>
      </c>
      <c r="AE383" t="inlineStr">
        <is>
          <t>JTL TRIP SUPPORT</t>
        </is>
      </c>
    </row>
    <row r="384">
      <c r="A384" t="inlineStr">
        <is>
          <t>UAA-338</t>
        </is>
      </c>
      <c r="B384" t="inlineStr">
        <is>
          <t>LINK SNACKS INC</t>
        </is>
      </c>
      <c r="T384" t="inlineStr">
        <is>
          <t>ACTIVE</t>
        </is>
      </c>
      <c r="Y384" t="inlineStr">
        <is>
          <t>EMAIL</t>
        </is>
      </c>
      <c r="AD384" t="inlineStr">
        <is>
          <t>PLAIN_TEXT_UPPERCASE</t>
        </is>
      </c>
      <c r="AE384" t="inlineStr">
        <is>
          <t>JTL TRIP SUPPORT</t>
        </is>
      </c>
    </row>
    <row r="385">
      <c r="A385" t="inlineStr">
        <is>
          <t>UAA-339</t>
        </is>
      </c>
      <c r="B385" t="inlineStr">
        <is>
          <t>AIRBY</t>
        </is>
      </c>
      <c r="T385" t="inlineStr">
        <is>
          <t>ACTIVE</t>
        </is>
      </c>
      <c r="Y385" t="inlineStr">
        <is>
          <t>EMAIL</t>
        </is>
      </c>
      <c r="AD385" t="inlineStr">
        <is>
          <t>PLAIN_TEXT_UPPERCASE</t>
        </is>
      </c>
      <c r="AE385" t="inlineStr">
        <is>
          <t>JTL TRIP SUPPORT</t>
        </is>
      </c>
    </row>
    <row r="386">
      <c r="A386" t="inlineStr">
        <is>
          <t>UAA-340</t>
        </is>
      </c>
      <c r="B386" t="inlineStr">
        <is>
          <t>FALCON HOLDINGS II / T-18 HOLDINGS.</t>
        </is>
      </c>
      <c r="T386" t="inlineStr">
        <is>
          <t>ACTIVE</t>
        </is>
      </c>
      <c r="Y386" t="inlineStr">
        <is>
          <t>EMAIL</t>
        </is>
      </c>
      <c r="AD386" t="inlineStr">
        <is>
          <t>PLAIN_TEXT_UPPERCASE</t>
        </is>
      </c>
      <c r="AE386" t="inlineStr">
        <is>
          <t>JTL TRIP SUPPORT</t>
        </is>
      </c>
    </row>
    <row r="387">
      <c r="A387" t="inlineStr">
        <is>
          <t>UAA-341</t>
        </is>
      </c>
      <c r="B387" t="inlineStr">
        <is>
          <t>LORD MAK LTD</t>
        </is>
      </c>
      <c r="T387" t="inlineStr">
        <is>
          <t>ACTIVE</t>
        </is>
      </c>
      <c r="Y387" t="inlineStr">
        <is>
          <t>EMAIL</t>
        </is>
      </c>
      <c r="AD387" t="inlineStr">
        <is>
          <t>PLAIN_TEXT_UPPERCASE</t>
        </is>
      </c>
      <c r="AE387" t="inlineStr">
        <is>
          <t>JTL TRIP SUPPORT</t>
        </is>
      </c>
    </row>
    <row r="388">
      <c r="A388" t="inlineStr">
        <is>
          <t>UAA-342</t>
        </is>
      </c>
      <c r="B388" t="inlineStr">
        <is>
          <t>ONEX PARTNERS ADVISOR GP INC.</t>
        </is>
      </c>
      <c r="T388" t="inlineStr">
        <is>
          <t>ACTIVE</t>
        </is>
      </c>
      <c r="Y388" t="inlineStr">
        <is>
          <t>EMAIL</t>
        </is>
      </c>
      <c r="AD388" t="inlineStr">
        <is>
          <t>PLAIN_TEXT_UPPERCASE</t>
        </is>
      </c>
      <c r="AE388" t="inlineStr">
        <is>
          <t>JTL TRIP SUPPORT</t>
        </is>
      </c>
    </row>
    <row r="389">
      <c r="A389" t="inlineStr">
        <is>
          <t>UAA-343</t>
        </is>
      </c>
      <c r="B389" t="inlineStr">
        <is>
          <t>PRINCIPAL LIFE INSURANCE COMPANY</t>
        </is>
      </c>
      <c r="T389" t="inlineStr">
        <is>
          <t>ACTIVE</t>
        </is>
      </c>
      <c r="Y389" t="inlineStr">
        <is>
          <t>EMAIL</t>
        </is>
      </c>
      <c r="AD389" t="inlineStr">
        <is>
          <t>PLAIN_TEXT_UPPERCASE</t>
        </is>
      </c>
      <c r="AE389" t="inlineStr">
        <is>
          <t>JTL TRIP SUPPORT</t>
        </is>
      </c>
    </row>
    <row r="390">
      <c r="A390" t="inlineStr">
        <is>
          <t>UAA-344</t>
        </is>
      </c>
      <c r="B390" t="inlineStr">
        <is>
          <t>REAL HOTELS AND RESORTS INC</t>
        </is>
      </c>
      <c r="T390" t="inlineStr">
        <is>
          <t>ACTIVE</t>
        </is>
      </c>
      <c r="Y390" t="inlineStr">
        <is>
          <t>EMAIL</t>
        </is>
      </c>
      <c r="AD390" t="inlineStr">
        <is>
          <t>PLAIN_TEXT_UPPERCASE</t>
        </is>
      </c>
      <c r="AE390" t="inlineStr">
        <is>
          <t>JTL TRIP SUPPORT</t>
        </is>
      </c>
    </row>
    <row r="391">
      <c r="A391" t="inlineStr">
        <is>
          <t>UAA-345</t>
        </is>
      </c>
      <c r="B391" t="inlineStr">
        <is>
          <t>LIND AVIATION LLC</t>
        </is>
      </c>
      <c r="T391" t="inlineStr">
        <is>
          <t>ACTIVE</t>
        </is>
      </c>
      <c r="Y391" t="inlineStr">
        <is>
          <t>EMAIL</t>
        </is>
      </c>
      <c r="AD391" t="inlineStr">
        <is>
          <t>PLAIN_TEXT_UPPERCASE</t>
        </is>
      </c>
      <c r="AE391" t="inlineStr">
        <is>
          <t>JTL TRIP SUPPORT</t>
        </is>
      </c>
    </row>
    <row r="392">
      <c r="A392" t="inlineStr">
        <is>
          <t>UAA-346</t>
        </is>
      </c>
      <c r="B392" t="inlineStr">
        <is>
          <t>BLOOMBERRY RESORTS AND HOTELS INC</t>
        </is>
      </c>
      <c r="T392" t="inlineStr">
        <is>
          <t>ACTIVE</t>
        </is>
      </c>
      <c r="Y392" t="inlineStr">
        <is>
          <t>EMAIL</t>
        </is>
      </c>
      <c r="AD392" t="inlineStr">
        <is>
          <t>PLAIN_TEXT_UPPERCASE</t>
        </is>
      </c>
      <c r="AE392" t="inlineStr">
        <is>
          <t>JTL TRIP SUPPORT</t>
        </is>
      </c>
    </row>
    <row r="393">
      <c r="A393" t="inlineStr">
        <is>
          <t>UAA-347</t>
        </is>
      </c>
      <c r="B393" t="inlineStr">
        <is>
          <t>WALKER AIR SERVICES PTY LTD</t>
        </is>
      </c>
      <c r="T393" t="inlineStr">
        <is>
          <t>ACTIVE</t>
        </is>
      </c>
      <c r="Y393" t="inlineStr">
        <is>
          <t>EMAIL</t>
        </is>
      </c>
      <c r="AD393" t="inlineStr">
        <is>
          <t>PLAIN_TEXT_UPPERCASE</t>
        </is>
      </c>
      <c r="AE393" t="inlineStr">
        <is>
          <t>JTL TRIP SUPPORT</t>
        </is>
      </c>
    </row>
    <row r="394">
      <c r="A394" t="inlineStr">
        <is>
          <t>UAA-348</t>
        </is>
      </c>
      <c r="B394" t="inlineStr">
        <is>
          <t>CHINA AIR FORCE</t>
        </is>
      </c>
      <c r="T394" t="inlineStr">
        <is>
          <t>ACTIVE</t>
        </is>
      </c>
      <c r="Y394" t="inlineStr">
        <is>
          <t>EMAIL</t>
        </is>
      </c>
      <c r="AD394" t="inlineStr">
        <is>
          <t>PLAIN_TEXT_UPPERCASE</t>
        </is>
      </c>
      <c r="AE394" t="inlineStr">
        <is>
          <t>JTL TRIP SUPPORT</t>
        </is>
      </c>
    </row>
    <row r="395">
      <c r="A395" t="inlineStr">
        <is>
          <t>UAA-349</t>
        </is>
      </c>
      <c r="B395" t="inlineStr">
        <is>
          <t>GSA GLOBAL PTY LTD</t>
        </is>
      </c>
      <c r="T395" t="inlineStr">
        <is>
          <t>ACTIVE</t>
        </is>
      </c>
      <c r="Y395" t="inlineStr">
        <is>
          <t>EMAIL</t>
        </is>
      </c>
      <c r="AD395" t="inlineStr">
        <is>
          <t>PLAIN_TEXT_UPPERCASE</t>
        </is>
      </c>
      <c r="AE395" t="inlineStr">
        <is>
          <t>JTL TRIP SUPPORT</t>
        </is>
      </c>
    </row>
    <row r="396">
      <c r="A396" t="inlineStr">
        <is>
          <t>UAA-350</t>
        </is>
      </c>
      <c r="B396" t="inlineStr">
        <is>
          <t>QATAR AMIRI FLIGHT</t>
        </is>
      </c>
      <c r="T396" t="inlineStr">
        <is>
          <t>ACTIVE</t>
        </is>
      </c>
      <c r="Y396" t="inlineStr">
        <is>
          <t>EMAIL</t>
        </is>
      </c>
      <c r="AD396" t="inlineStr">
        <is>
          <t>PLAIN_TEXT_UPPERCASE</t>
        </is>
      </c>
      <c r="AE396" t="inlineStr">
        <is>
          <t>JTL TRIP SUPPORT</t>
        </is>
      </c>
    </row>
    <row r="397">
      <c r="A397" t="inlineStr">
        <is>
          <t>UAA-351</t>
        </is>
      </c>
      <c r="B397" t="inlineStr">
        <is>
          <t>LILY JET HONG KONG LIMITED</t>
        </is>
      </c>
      <c r="T397" t="inlineStr">
        <is>
          <t>ACTIVE</t>
        </is>
      </c>
      <c r="Y397" t="inlineStr">
        <is>
          <t>EMAIL</t>
        </is>
      </c>
      <c r="AD397" t="inlineStr">
        <is>
          <t>PLAIN_TEXT_UPPERCASE</t>
        </is>
      </c>
      <c r="AE397" t="inlineStr">
        <is>
          <t>JTL TRIP SUPPORT</t>
        </is>
      </c>
    </row>
    <row r="398">
      <c r="A398" t="inlineStr">
        <is>
          <t>UAA-352</t>
        </is>
      </c>
      <c r="B398" t="inlineStr">
        <is>
          <t>GREEN TREE AVIATION TECHNOLOGY CO., LTD.</t>
        </is>
      </c>
      <c r="T398" t="inlineStr">
        <is>
          <t>ACTIVE</t>
        </is>
      </c>
      <c r="Y398" t="inlineStr">
        <is>
          <t>EMAIL</t>
        </is>
      </c>
      <c r="AD398" t="inlineStr">
        <is>
          <t>PLAIN_TEXT_UPPERCASE</t>
        </is>
      </c>
      <c r="AE398" t="inlineStr">
        <is>
          <t>JTL TRIP SUPPORT</t>
        </is>
      </c>
    </row>
    <row r="399">
      <c r="A399" t="inlineStr">
        <is>
          <t>UAA-353</t>
        </is>
      </c>
      <c r="B399" t="inlineStr">
        <is>
          <t>TOMZAJET S A DE C V</t>
        </is>
      </c>
      <c r="T399" t="inlineStr">
        <is>
          <t>ACTIVE</t>
        </is>
      </c>
      <c r="Y399" t="inlineStr">
        <is>
          <t>EMAIL</t>
        </is>
      </c>
      <c r="AD399" t="inlineStr">
        <is>
          <t>PLAIN_TEXT_UPPERCASE</t>
        </is>
      </c>
      <c r="AE399" t="inlineStr">
        <is>
          <t>JTL TRIP SUPPORT</t>
        </is>
      </c>
    </row>
    <row r="400">
      <c r="A400" t="inlineStr">
        <is>
          <t>UAA-354</t>
        </is>
      </c>
      <c r="B400" t="inlineStr">
        <is>
          <t>CAPSTONE HOLDINGS INC</t>
        </is>
      </c>
      <c r="T400" t="inlineStr">
        <is>
          <t>ACTIVE</t>
        </is>
      </c>
      <c r="Y400" t="inlineStr">
        <is>
          <t>EMAIL</t>
        </is>
      </c>
      <c r="AD400" t="inlineStr">
        <is>
          <t>PLAIN_TEXT_UPPERCASE</t>
        </is>
      </c>
      <c r="AE400" t="inlineStr">
        <is>
          <t>JTL TRIP SUPPORT</t>
        </is>
      </c>
    </row>
    <row r="401">
      <c r="A401" t="inlineStr">
        <is>
          <t>UAA-355</t>
        </is>
      </c>
      <c r="B401" t="inlineStr">
        <is>
          <t>ROLLINS, INC.</t>
        </is>
      </c>
      <c r="T401" t="inlineStr">
        <is>
          <t>ACTIVE</t>
        </is>
      </c>
      <c r="Y401" t="inlineStr">
        <is>
          <t>EMAIL</t>
        </is>
      </c>
      <c r="AD401" t="inlineStr">
        <is>
          <t>PLAIN_TEXT_UPPERCASE</t>
        </is>
      </c>
      <c r="AE401" t="inlineStr">
        <is>
          <t>JTL TRIP SUPPORT</t>
        </is>
      </c>
    </row>
    <row r="402">
      <c r="A402" t="inlineStr">
        <is>
          <t>UAA-356</t>
        </is>
      </c>
      <c r="B402" t="inlineStr">
        <is>
          <t>EXECUTIVE FLIGHT SERVICES LLC</t>
        </is>
      </c>
      <c r="T402" t="inlineStr">
        <is>
          <t>ACTIVE</t>
        </is>
      </c>
      <c r="Y402" t="inlineStr">
        <is>
          <t>EMAIL</t>
        </is>
      </c>
      <c r="AD402" t="inlineStr">
        <is>
          <t>PLAIN_TEXT_UPPERCASE</t>
        </is>
      </c>
      <c r="AE402" t="inlineStr">
        <is>
          <t>JTL TRIP SUPPORT</t>
        </is>
      </c>
    </row>
    <row r="403">
      <c r="A403" t="inlineStr">
        <is>
          <t>UAA-357</t>
        </is>
      </c>
      <c r="B403" t="inlineStr">
        <is>
          <t>WING AVIATION, INC.</t>
        </is>
      </c>
      <c r="T403" t="inlineStr">
        <is>
          <t>ACTIVE</t>
        </is>
      </c>
      <c r="Y403" t="inlineStr">
        <is>
          <t>EMAIL</t>
        </is>
      </c>
      <c r="AD403" t="inlineStr">
        <is>
          <t>PLAIN_TEXT_UPPERCASE</t>
        </is>
      </c>
      <c r="AE403" t="inlineStr">
        <is>
          <t>JTL TRIP SUPPORT</t>
        </is>
      </c>
    </row>
    <row r="404">
      <c r="A404" t="inlineStr">
        <is>
          <t>UAA-358</t>
        </is>
      </c>
      <c r="B404" t="inlineStr">
        <is>
          <t>LEUCADIA AVIATION, INC.</t>
        </is>
      </c>
      <c r="T404" t="inlineStr">
        <is>
          <t>ACTIVE</t>
        </is>
      </c>
      <c r="Y404" t="inlineStr">
        <is>
          <t>EMAIL</t>
        </is>
      </c>
      <c r="AD404" t="inlineStr">
        <is>
          <t>PLAIN_TEXT_UPPERCASE</t>
        </is>
      </c>
      <c r="AE404" t="inlineStr">
        <is>
          <t>JTL TRIP SUPPORT</t>
        </is>
      </c>
    </row>
    <row r="405">
      <c r="A405" t="inlineStr">
        <is>
          <t>UAA-359</t>
        </is>
      </c>
      <c r="B405" t="inlineStr">
        <is>
          <t>UNITED HEALTHCARE SERVICES, INC</t>
        </is>
      </c>
      <c r="T405" t="inlineStr">
        <is>
          <t>ACTIVE</t>
        </is>
      </c>
      <c r="Y405" t="inlineStr">
        <is>
          <t>EMAIL</t>
        </is>
      </c>
      <c r="AD405" t="inlineStr">
        <is>
          <t>PLAIN_TEXT_UPPERCASE</t>
        </is>
      </c>
      <c r="AE405" t="inlineStr">
        <is>
          <t>JTL TRIP SUPPORT</t>
        </is>
      </c>
    </row>
    <row r="406">
      <c r="A406" t="inlineStr">
        <is>
          <t>UAA-360</t>
        </is>
      </c>
      <c r="B406" t="inlineStr">
        <is>
          <t>SKYEMOTION GMBH</t>
        </is>
      </c>
      <c r="T406" t="inlineStr">
        <is>
          <t>ACTIVE</t>
        </is>
      </c>
      <c r="Y406" t="inlineStr">
        <is>
          <t>EMAIL</t>
        </is>
      </c>
      <c r="AD406" t="inlineStr">
        <is>
          <t>PLAIN_TEXT_UPPERCASE</t>
        </is>
      </c>
      <c r="AE406" t="inlineStr">
        <is>
          <t>JTL TRIP SUPPORT</t>
        </is>
      </c>
    </row>
    <row r="407">
      <c r="A407" t="inlineStr">
        <is>
          <t>UAA-361</t>
        </is>
      </c>
      <c r="B407" t="inlineStr">
        <is>
          <t>TANGO AIR</t>
        </is>
      </c>
      <c r="T407" t="inlineStr">
        <is>
          <t>ACTIVE</t>
        </is>
      </c>
      <c r="Y407" t="inlineStr">
        <is>
          <t>EMAIL</t>
        </is>
      </c>
      <c r="AD407" t="inlineStr">
        <is>
          <t>PLAIN_TEXT_UPPERCASE</t>
        </is>
      </c>
      <c r="AE407" t="inlineStr">
        <is>
          <t>JTL TRIP SUPPORT</t>
        </is>
      </c>
    </row>
    <row r="408">
      <c r="A408" t="inlineStr">
        <is>
          <t>UAA-362</t>
        </is>
      </c>
      <c r="B408" t="inlineStr">
        <is>
          <t>OWENS ILLINOIS- GENERAL, INC.</t>
        </is>
      </c>
      <c r="T408" t="inlineStr">
        <is>
          <t>ACTIVE</t>
        </is>
      </c>
      <c r="Y408" t="inlineStr">
        <is>
          <t>EMAIL</t>
        </is>
      </c>
      <c r="AD408" t="inlineStr">
        <is>
          <t>PLAIN_TEXT_UPPERCASE</t>
        </is>
      </c>
      <c r="AE408" t="inlineStr">
        <is>
          <t>JTL TRIP SUPPORT</t>
        </is>
      </c>
    </row>
    <row r="409">
      <c r="A409" t="inlineStr">
        <is>
          <t>UAA-363</t>
        </is>
      </c>
      <c r="B409" t="inlineStr">
        <is>
          <t>BERWIND CORPORATION</t>
        </is>
      </c>
      <c r="T409" t="inlineStr">
        <is>
          <t>ACTIVE</t>
        </is>
      </c>
      <c r="Y409" t="inlineStr">
        <is>
          <t>EMAIL</t>
        </is>
      </c>
      <c r="AD409" t="inlineStr">
        <is>
          <t>PLAIN_TEXT_UPPERCASE</t>
        </is>
      </c>
      <c r="AE409" t="inlineStr">
        <is>
          <t>JTL TRIP SUPPORT</t>
        </is>
      </c>
    </row>
    <row r="410">
      <c r="A410" t="inlineStr">
        <is>
          <t>UAA-364</t>
        </is>
      </c>
      <c r="B410" t="inlineStr">
        <is>
          <t>REVESCO AVIATION PTY LTD</t>
        </is>
      </c>
      <c r="T410" t="inlineStr">
        <is>
          <t>ACTIVE</t>
        </is>
      </c>
      <c r="Y410" t="inlineStr">
        <is>
          <t>EMAIL</t>
        </is>
      </c>
      <c r="AD410" t="inlineStr">
        <is>
          <t>PLAIN_TEXT_UPPERCASE</t>
        </is>
      </c>
      <c r="AE410" t="inlineStr">
        <is>
          <t>JTL TRIP SUPPORT</t>
        </is>
      </c>
    </row>
    <row r="411">
      <c r="A411" t="inlineStr">
        <is>
          <t>UAA-365</t>
        </is>
      </c>
      <c r="B411" t="inlineStr">
        <is>
          <t>SMOOTH ROUTE SDN BHD</t>
        </is>
      </c>
      <c r="T411" t="inlineStr">
        <is>
          <t>ACTIVE</t>
        </is>
      </c>
      <c r="Y411" t="inlineStr">
        <is>
          <t>EMAIL</t>
        </is>
      </c>
      <c r="AD411" t="inlineStr">
        <is>
          <t>PLAIN_TEXT_UPPERCASE</t>
        </is>
      </c>
      <c r="AE411" t="inlineStr">
        <is>
          <t>JTL TRIP SUPPORT</t>
        </is>
      </c>
    </row>
    <row r="412">
      <c r="A412" t="inlineStr">
        <is>
          <t>UAA-366</t>
        </is>
      </c>
      <c r="B412" t="inlineStr">
        <is>
          <t>TELUS</t>
        </is>
      </c>
      <c r="T412" t="inlineStr">
        <is>
          <t>ACTIVE</t>
        </is>
      </c>
      <c r="Y412" t="inlineStr">
        <is>
          <t>EMAIL</t>
        </is>
      </c>
      <c r="AD412" t="inlineStr">
        <is>
          <t>PLAIN_TEXT_UPPERCASE</t>
        </is>
      </c>
      <c r="AE412" t="inlineStr">
        <is>
          <t>JTL TRIP SUPPORT</t>
        </is>
      </c>
    </row>
    <row r="413">
      <c r="A413" t="inlineStr">
        <is>
          <t>UAA-367</t>
        </is>
      </c>
      <c r="B413" t="inlineStr">
        <is>
          <t>L-3 COMMUNICATIONS INTEGRATED SYSTEMS LP</t>
        </is>
      </c>
      <c r="T413" t="inlineStr">
        <is>
          <t>ACTIVE</t>
        </is>
      </c>
      <c r="Y413" t="inlineStr">
        <is>
          <t>EMAIL</t>
        </is>
      </c>
      <c r="AD413" t="inlineStr">
        <is>
          <t>PLAIN_TEXT_UPPERCASE</t>
        </is>
      </c>
      <c r="AE413" t="inlineStr">
        <is>
          <t>JTL TRIP SUPPORT</t>
        </is>
      </c>
    </row>
    <row r="414">
      <c r="A414" t="inlineStr">
        <is>
          <t>UAA-368</t>
        </is>
      </c>
      <c r="B414" t="inlineStr">
        <is>
          <t>PT ERSA EASTERN AVIATION</t>
        </is>
      </c>
      <c r="T414" t="inlineStr">
        <is>
          <t>ACTIVE</t>
        </is>
      </c>
      <c r="Y414" t="inlineStr">
        <is>
          <t>EMAIL</t>
        </is>
      </c>
      <c r="AD414" t="inlineStr">
        <is>
          <t>PLAIN_TEXT_UPPERCASE</t>
        </is>
      </c>
      <c r="AE414" t="inlineStr">
        <is>
          <t>JTL TRIP SUPPORT</t>
        </is>
      </c>
    </row>
    <row r="415">
      <c r="A415" t="inlineStr">
        <is>
          <t>UAA-369</t>
        </is>
      </c>
      <c r="B415" t="inlineStr">
        <is>
          <t>PACIFIC OCEAN SA</t>
        </is>
      </c>
      <c r="T415" t="inlineStr">
        <is>
          <t>ACTIVE</t>
        </is>
      </c>
      <c r="Y415" t="inlineStr">
        <is>
          <t>EMAIL</t>
        </is>
      </c>
      <c r="AD415" t="inlineStr">
        <is>
          <t>PLAIN_TEXT_UPPERCASE</t>
        </is>
      </c>
      <c r="AE415" t="inlineStr">
        <is>
          <t>JTL TRIP SUPPORT</t>
        </is>
      </c>
    </row>
    <row r="416">
      <c r="A416" t="inlineStr">
        <is>
          <t>UAA-370</t>
        </is>
      </c>
      <c r="B416" t="inlineStr">
        <is>
          <t>LYON AVIATION, INC.</t>
        </is>
      </c>
      <c r="T416" t="inlineStr">
        <is>
          <t>ACTIVE</t>
        </is>
      </c>
      <c r="Y416" t="inlineStr">
        <is>
          <t>EMAIL</t>
        </is>
      </c>
      <c r="AD416" t="inlineStr">
        <is>
          <t>PLAIN_TEXT_UPPERCASE</t>
        </is>
      </c>
      <c r="AE416" t="inlineStr">
        <is>
          <t>JTL TRIP SUPPORT</t>
        </is>
      </c>
    </row>
    <row r="417">
      <c r="A417" t="inlineStr">
        <is>
          <t>UAA-371</t>
        </is>
      </c>
      <c r="B417" t="inlineStr">
        <is>
          <t>EXECUJET AVIATION (PTY) LTD</t>
        </is>
      </c>
      <c r="T417" t="inlineStr">
        <is>
          <t>ACTIVE</t>
        </is>
      </c>
      <c r="Y417" t="inlineStr">
        <is>
          <t>EMAIL</t>
        </is>
      </c>
      <c r="AD417" t="inlineStr">
        <is>
          <t>PLAIN_TEXT_UPPERCASE</t>
        </is>
      </c>
      <c r="AE417" t="inlineStr">
        <is>
          <t>JTL TRIP SUPPORT</t>
        </is>
      </c>
    </row>
    <row r="418">
      <c r="A418" t="inlineStr">
        <is>
          <t>UAA-372</t>
        </is>
      </c>
      <c r="B418" t="inlineStr">
        <is>
          <t>AIR 7 LLC</t>
        </is>
      </c>
      <c r="T418" t="inlineStr">
        <is>
          <t>ACTIVE</t>
        </is>
      </c>
      <c r="Y418" t="inlineStr">
        <is>
          <t>EMAIL</t>
        </is>
      </c>
      <c r="AD418" t="inlineStr">
        <is>
          <t>PLAIN_TEXT_UPPERCASE</t>
        </is>
      </c>
      <c r="AE418" t="inlineStr">
        <is>
          <t>JTL TRIP SUPPORT</t>
        </is>
      </c>
    </row>
    <row r="419">
      <c r="A419" t="inlineStr">
        <is>
          <t>UAA-373</t>
        </is>
      </c>
      <c r="B419" t="inlineStr">
        <is>
          <t>HONG KONG JET</t>
        </is>
      </c>
      <c r="T419" t="inlineStr">
        <is>
          <t>ACTIVE</t>
        </is>
      </c>
      <c r="Y419" t="inlineStr">
        <is>
          <t>EMAIL</t>
        </is>
      </c>
      <c r="AD419" t="inlineStr">
        <is>
          <t>PLAIN_TEXT_UPPERCASE</t>
        </is>
      </c>
      <c r="AE419" t="inlineStr">
        <is>
          <t>JTL TRIP SUPPORT</t>
        </is>
      </c>
    </row>
    <row r="420">
      <c r="A420" t="inlineStr">
        <is>
          <t>UAA-374</t>
        </is>
      </c>
      <c r="B420" t="inlineStr">
        <is>
          <t>BEUTLIN LLC</t>
        </is>
      </c>
      <c r="T420" t="inlineStr">
        <is>
          <t>ACTIVE</t>
        </is>
      </c>
      <c r="Y420" t="inlineStr">
        <is>
          <t>EMAIL</t>
        </is>
      </c>
      <c r="AD420" t="inlineStr">
        <is>
          <t>PLAIN_TEXT_UPPERCASE</t>
        </is>
      </c>
      <c r="AE420" t="inlineStr">
        <is>
          <t>JTL TRIP SUPPORT</t>
        </is>
      </c>
    </row>
    <row r="421">
      <c r="A421" t="inlineStr">
        <is>
          <t>UAA-375</t>
        </is>
      </c>
      <c r="B421" t="inlineStr">
        <is>
          <t>INTERLAKEN CAPITAL AVIA SVCS INC</t>
        </is>
      </c>
      <c r="T421" t="inlineStr">
        <is>
          <t>ACTIVE</t>
        </is>
      </c>
      <c r="Y421" t="inlineStr">
        <is>
          <t>EMAIL</t>
        </is>
      </c>
      <c r="AD421" t="inlineStr">
        <is>
          <t>PLAIN_TEXT_UPPERCASE</t>
        </is>
      </c>
      <c r="AE421" t="inlineStr">
        <is>
          <t>JTL TRIP SUPPORT</t>
        </is>
      </c>
    </row>
    <row r="422">
      <c r="A422" t="inlineStr">
        <is>
          <t>UAA-376</t>
        </is>
      </c>
      <c r="B422" t="inlineStr">
        <is>
          <t>FREDEX LLC</t>
        </is>
      </c>
      <c r="T422" t="inlineStr">
        <is>
          <t>ACTIVE</t>
        </is>
      </c>
      <c r="Y422" t="inlineStr">
        <is>
          <t>EMAIL</t>
        </is>
      </c>
      <c r="AD422" t="inlineStr">
        <is>
          <t>PLAIN_TEXT_UPPERCASE</t>
        </is>
      </c>
      <c r="AE422" t="inlineStr">
        <is>
          <t>JTL TRIP SUPPORT</t>
        </is>
      </c>
    </row>
    <row r="423">
      <c r="A423" t="inlineStr">
        <is>
          <t>UAA-377</t>
        </is>
      </c>
      <c r="B423" t="inlineStr">
        <is>
          <t>ALASKA FINANCE HOLDINGS LLC</t>
        </is>
      </c>
      <c r="T423" t="inlineStr">
        <is>
          <t>ACTIVE</t>
        </is>
      </c>
      <c r="Y423" t="inlineStr">
        <is>
          <t>EMAIL</t>
        </is>
      </c>
      <c r="AD423" t="inlineStr">
        <is>
          <t>PLAIN_TEXT_UPPERCASE</t>
        </is>
      </c>
      <c r="AE423" t="inlineStr">
        <is>
          <t>JTL TRIP SUPPORT</t>
        </is>
      </c>
    </row>
    <row r="424">
      <c r="A424" t="inlineStr">
        <is>
          <t>UAA-378</t>
        </is>
      </c>
      <c r="B424" t="inlineStr">
        <is>
          <t>AEGEAN EXECUTIVE SA</t>
        </is>
      </c>
      <c r="T424" t="inlineStr">
        <is>
          <t>ACTIVE</t>
        </is>
      </c>
      <c r="Y424" t="inlineStr">
        <is>
          <t>EMAIL</t>
        </is>
      </c>
      <c r="AD424" t="inlineStr">
        <is>
          <t>PLAIN_TEXT_UPPERCASE</t>
        </is>
      </c>
      <c r="AE424" t="inlineStr">
        <is>
          <t>JTL TRIP SUPPORT</t>
        </is>
      </c>
    </row>
    <row r="425">
      <c r="A425" t="inlineStr">
        <is>
          <t>UAA-379</t>
        </is>
      </c>
      <c r="B425" t="inlineStr">
        <is>
          <t>AGENCY 7SEAS INC</t>
        </is>
      </c>
      <c r="T425" t="inlineStr">
        <is>
          <t>ACTIVE</t>
        </is>
      </c>
      <c r="Y425" t="inlineStr">
        <is>
          <t>EMAIL</t>
        </is>
      </c>
      <c r="AD425" t="inlineStr">
        <is>
          <t>PLAIN_TEXT_UPPERCASE</t>
        </is>
      </c>
      <c r="AE425" t="inlineStr">
        <is>
          <t>JTL TRIP SUPPORT</t>
        </is>
      </c>
    </row>
    <row r="426">
      <c r="A426" t="inlineStr">
        <is>
          <t>UAA-380</t>
        </is>
      </c>
      <c r="B426" t="inlineStr">
        <is>
          <t>TARGET CORPORATION</t>
        </is>
      </c>
      <c r="T426" t="inlineStr">
        <is>
          <t>ACTIVE</t>
        </is>
      </c>
      <c r="Y426" t="inlineStr">
        <is>
          <t>EMAIL</t>
        </is>
      </c>
      <c r="AD426" t="inlineStr">
        <is>
          <t>PLAIN_TEXT_UPPERCASE</t>
        </is>
      </c>
      <c r="AE426" t="inlineStr">
        <is>
          <t>JTL TRIP SUPPORT</t>
        </is>
      </c>
    </row>
    <row r="427">
      <c r="A427" t="inlineStr">
        <is>
          <t>UAA-381</t>
        </is>
      </c>
      <c r="B427" t="inlineStr">
        <is>
          <t>SINO JET MANAGEMENT LIMITED</t>
        </is>
      </c>
      <c r="T427" t="inlineStr">
        <is>
          <t>ACTIVE</t>
        </is>
      </c>
      <c r="Y427" t="inlineStr">
        <is>
          <t>EMAIL</t>
        </is>
      </c>
      <c r="AD427" t="inlineStr">
        <is>
          <t>PLAIN_TEXT_UPPERCASE</t>
        </is>
      </c>
      <c r="AE427" t="inlineStr">
        <is>
          <t>JTL TRIP SUPPORT</t>
        </is>
      </c>
    </row>
    <row r="428">
      <c r="A428" t="inlineStr">
        <is>
          <t>UAA-382</t>
        </is>
      </c>
      <c r="B428" t="inlineStr">
        <is>
          <t>GANDEL INVESTMENTS PTY LTD</t>
        </is>
      </c>
      <c r="T428" t="inlineStr">
        <is>
          <t>ACTIVE</t>
        </is>
      </c>
      <c r="Y428" t="inlineStr">
        <is>
          <t>EMAIL</t>
        </is>
      </c>
      <c r="AD428" t="inlineStr">
        <is>
          <t>PLAIN_TEXT_UPPERCASE</t>
        </is>
      </c>
      <c r="AE428" t="inlineStr">
        <is>
          <t>JTL TRIP SUPPORT</t>
        </is>
      </c>
    </row>
    <row r="429">
      <c r="A429" t="inlineStr">
        <is>
          <t>UAA-383</t>
        </is>
      </c>
      <c r="B429" t="inlineStr">
        <is>
          <t>GOLD STAR AVIATION PTE LTD</t>
        </is>
      </c>
      <c r="T429" t="inlineStr">
        <is>
          <t>ACTIVE</t>
        </is>
      </c>
      <c r="Y429" t="inlineStr">
        <is>
          <t>EMAIL</t>
        </is>
      </c>
      <c r="AD429" t="inlineStr">
        <is>
          <t>PLAIN_TEXT_UPPERCASE</t>
        </is>
      </c>
      <c r="AE429" t="inlineStr">
        <is>
          <t>JTL TRIP SUPPORT</t>
        </is>
      </c>
    </row>
    <row r="430">
      <c r="A430" t="inlineStr">
        <is>
          <t>UAA-384</t>
        </is>
      </c>
      <c r="B430" t="inlineStr">
        <is>
          <t>RESOLVE AIRCRAFT MANAGEMENT, LLC</t>
        </is>
      </c>
      <c r="T430" t="inlineStr">
        <is>
          <t>ACTIVE</t>
        </is>
      </c>
      <c r="Y430" t="inlineStr">
        <is>
          <t>EMAIL</t>
        </is>
      </c>
      <c r="AD430" t="inlineStr">
        <is>
          <t>PLAIN_TEXT_UPPERCASE</t>
        </is>
      </c>
      <c r="AE430" t="inlineStr">
        <is>
          <t>JTL TRIP SUPPORT</t>
        </is>
      </c>
    </row>
    <row r="431">
      <c r="A431" t="inlineStr">
        <is>
          <t>UAA-385</t>
        </is>
      </c>
      <c r="B431" t="inlineStr">
        <is>
          <t>AH FLEET SERVICES</t>
        </is>
      </c>
      <c r="T431" t="inlineStr">
        <is>
          <t>ACTIVE</t>
        </is>
      </c>
      <c r="Y431" t="inlineStr">
        <is>
          <t>EMAIL</t>
        </is>
      </c>
      <c r="AD431" t="inlineStr">
        <is>
          <t>PLAIN_TEXT_UPPERCASE</t>
        </is>
      </c>
      <c r="AE431" t="inlineStr">
        <is>
          <t>JTL TRIP SUPPORT</t>
        </is>
      </c>
    </row>
    <row r="432">
      <c r="A432" t="inlineStr">
        <is>
          <t>UAA-386</t>
        </is>
      </c>
      <c r="B432" t="inlineStr">
        <is>
          <t>PACIFIC EAGLE AVIATION LIMITED</t>
        </is>
      </c>
      <c r="T432" t="inlineStr">
        <is>
          <t>ACTIVE</t>
        </is>
      </c>
      <c r="Y432" t="inlineStr">
        <is>
          <t>EMAIL</t>
        </is>
      </c>
      <c r="AD432" t="inlineStr">
        <is>
          <t>PLAIN_TEXT_UPPERCASE</t>
        </is>
      </c>
      <c r="AE432" t="inlineStr">
        <is>
          <t>JTL TRIP SUPPORT</t>
        </is>
      </c>
    </row>
    <row r="433">
      <c r="A433" t="inlineStr">
        <is>
          <t>UAA-387</t>
        </is>
      </c>
      <c r="B433" t="inlineStr">
        <is>
          <t>AERO WAYS INC.</t>
        </is>
      </c>
      <c r="T433" t="inlineStr">
        <is>
          <t>ACTIVE</t>
        </is>
      </c>
      <c r="Y433" t="inlineStr">
        <is>
          <t>EMAIL</t>
        </is>
      </c>
      <c r="AD433" t="inlineStr">
        <is>
          <t>PLAIN_TEXT_UPPERCASE</t>
        </is>
      </c>
      <c r="AE433" t="inlineStr">
        <is>
          <t>JTL TRIP SUPPORT</t>
        </is>
      </c>
    </row>
    <row r="434">
      <c r="A434" t="inlineStr">
        <is>
          <t>UAA-388</t>
        </is>
      </c>
      <c r="B434" t="inlineStr">
        <is>
          <t>LEADER SRL</t>
        </is>
      </c>
      <c r="T434" t="inlineStr">
        <is>
          <t>ACTIVE</t>
        </is>
      </c>
      <c r="Y434" t="inlineStr">
        <is>
          <t>EMAIL</t>
        </is>
      </c>
      <c r="AD434" t="inlineStr">
        <is>
          <t>PLAIN_TEXT_UPPERCASE</t>
        </is>
      </c>
      <c r="AE434" t="inlineStr">
        <is>
          <t>JTL TRIP SUPPORT</t>
        </is>
      </c>
    </row>
    <row r="435">
      <c r="A435" t="inlineStr">
        <is>
          <t>UAA-389</t>
        </is>
      </c>
      <c r="B435" t="inlineStr">
        <is>
          <t>PATAGONIA FLY SA</t>
        </is>
      </c>
      <c r="T435" t="inlineStr">
        <is>
          <t>ACTIVE</t>
        </is>
      </c>
      <c r="Y435" t="inlineStr">
        <is>
          <t>EMAIL</t>
        </is>
      </c>
      <c r="AD435" t="inlineStr">
        <is>
          <t>PLAIN_TEXT_UPPERCASE</t>
        </is>
      </c>
      <c r="AE435" t="inlineStr">
        <is>
          <t>JTL TRIP SUPPORT</t>
        </is>
      </c>
    </row>
    <row r="436">
      <c r="A436" t="inlineStr">
        <is>
          <t>UAA-390</t>
        </is>
      </c>
      <c r="B436" t="inlineStr">
        <is>
          <t>HILL AIR CORP</t>
        </is>
      </c>
      <c r="T436" t="inlineStr">
        <is>
          <t>ACTIVE</t>
        </is>
      </c>
      <c r="Y436" t="inlineStr">
        <is>
          <t>EMAIL</t>
        </is>
      </c>
      <c r="AD436" t="inlineStr">
        <is>
          <t>PLAIN_TEXT_UPPERCASE</t>
        </is>
      </c>
      <c r="AE436" t="inlineStr">
        <is>
          <t>JTL TRIP SUPPORT</t>
        </is>
      </c>
    </row>
    <row r="437">
      <c r="A437" t="inlineStr">
        <is>
          <t>UAA-391</t>
        </is>
      </c>
      <c r="B437" t="inlineStr">
        <is>
          <t>CHIM CHIM AVIATION LLC</t>
        </is>
      </c>
      <c r="T437" t="inlineStr">
        <is>
          <t>ACTIVE</t>
        </is>
      </c>
      <c r="Y437" t="inlineStr">
        <is>
          <t>EMAIL</t>
        </is>
      </c>
      <c r="AD437" t="inlineStr">
        <is>
          <t>PLAIN_TEXT_UPPERCASE</t>
        </is>
      </c>
      <c r="AE437" t="inlineStr">
        <is>
          <t>JTL TRIP SUPPORT</t>
        </is>
      </c>
    </row>
    <row r="438">
      <c r="A438" t="inlineStr">
        <is>
          <t>UAA-392</t>
        </is>
      </c>
      <c r="B438" t="inlineStr">
        <is>
          <t>ASCP SERVICES LLC</t>
        </is>
      </c>
      <c r="T438" t="inlineStr">
        <is>
          <t>ACTIVE</t>
        </is>
      </c>
      <c r="Y438" t="inlineStr">
        <is>
          <t>EMAIL</t>
        </is>
      </c>
      <c r="AD438" t="inlineStr">
        <is>
          <t>PLAIN_TEXT_UPPERCASE</t>
        </is>
      </c>
      <c r="AE438" t="inlineStr">
        <is>
          <t>JTL TRIP SUPPORT</t>
        </is>
      </c>
    </row>
    <row r="439">
      <c r="A439" t="inlineStr">
        <is>
          <t>UAA-393</t>
        </is>
      </c>
      <c r="B439" t="inlineStr">
        <is>
          <t>NEWAGE AVIATION I LLC</t>
        </is>
      </c>
      <c r="T439" t="inlineStr">
        <is>
          <t>ACTIVE</t>
        </is>
      </c>
      <c r="Y439" t="inlineStr">
        <is>
          <t>EMAIL</t>
        </is>
      </c>
      <c r="AD439" t="inlineStr">
        <is>
          <t>PLAIN_TEXT_UPPERCASE</t>
        </is>
      </c>
      <c r="AE439" t="inlineStr">
        <is>
          <t>JTL TRIP SUPPORT</t>
        </is>
      </c>
    </row>
    <row r="440">
      <c r="A440" t="inlineStr">
        <is>
          <t>UAA-394</t>
        </is>
      </c>
      <c r="B440" t="inlineStr">
        <is>
          <t>WHITEWIND COMPANY, THE</t>
        </is>
      </c>
      <c r="T440" t="inlineStr">
        <is>
          <t>ACTIVE</t>
        </is>
      </c>
      <c r="Y440" t="inlineStr">
        <is>
          <t>EMAIL</t>
        </is>
      </c>
      <c r="AD440" t="inlineStr">
        <is>
          <t>PLAIN_TEXT_UPPERCASE</t>
        </is>
      </c>
      <c r="AE440" t="inlineStr">
        <is>
          <t>JTL TRIP SUPPORT</t>
        </is>
      </c>
    </row>
    <row r="441">
      <c r="A441" t="inlineStr">
        <is>
          <t>UAA-395</t>
        </is>
      </c>
      <c r="B441" t="inlineStr">
        <is>
          <t>TENCH COXE</t>
        </is>
      </c>
      <c r="T441" t="inlineStr">
        <is>
          <t>ACTIVE</t>
        </is>
      </c>
      <c r="Y441" t="inlineStr">
        <is>
          <t>EMAIL</t>
        </is>
      </c>
      <c r="AD441" t="inlineStr">
        <is>
          <t>PLAIN_TEXT_UPPERCASE</t>
        </is>
      </c>
      <c r="AE441" t="inlineStr">
        <is>
          <t>JTL TRIP SUPPORT</t>
        </is>
      </c>
    </row>
    <row r="442">
      <c r="A442" t="inlineStr">
        <is>
          <t>UAA-396</t>
        </is>
      </c>
      <c r="B442" t="inlineStr">
        <is>
          <t>ALN BERMUDA LTD</t>
        </is>
      </c>
      <c r="T442" t="inlineStr">
        <is>
          <t>ACTIVE</t>
        </is>
      </c>
      <c r="Y442" t="inlineStr">
        <is>
          <t>EMAIL</t>
        </is>
      </c>
      <c r="AD442" t="inlineStr">
        <is>
          <t>PLAIN_TEXT_UPPERCASE</t>
        </is>
      </c>
      <c r="AE442" t="inlineStr">
        <is>
          <t>JTL TRIP SUPPORT</t>
        </is>
      </c>
    </row>
    <row r="443">
      <c r="A443" t="inlineStr">
        <is>
          <t>UAA-397</t>
        </is>
      </c>
      <c r="B443" t="inlineStr">
        <is>
          <t>LORETO AVIATION SERVICES LIMITED</t>
        </is>
      </c>
      <c r="T443" t="inlineStr">
        <is>
          <t>ACTIVE</t>
        </is>
      </c>
      <c r="Y443" t="inlineStr">
        <is>
          <t>EMAIL</t>
        </is>
      </c>
      <c r="AD443" t="inlineStr">
        <is>
          <t>PLAIN_TEXT_UPPERCASE</t>
        </is>
      </c>
      <c r="AE443" t="inlineStr">
        <is>
          <t>JTL TRIP SUPPORT</t>
        </is>
      </c>
    </row>
    <row r="444">
      <c r="A444" t="inlineStr">
        <is>
          <t>UAA-398</t>
        </is>
      </c>
      <c r="B444" t="inlineStr">
        <is>
          <t>PIVOTAL VENTURES, LLC</t>
        </is>
      </c>
      <c r="T444" t="inlineStr">
        <is>
          <t>ACTIVE</t>
        </is>
      </c>
      <c r="Y444" t="inlineStr">
        <is>
          <t>EMAIL</t>
        </is>
      </c>
      <c r="AD444" t="inlineStr">
        <is>
          <t>PLAIN_TEXT_UPPERCASE</t>
        </is>
      </c>
      <c r="AE444" t="inlineStr">
        <is>
          <t>JTL TRIP SUPPORT</t>
        </is>
      </c>
    </row>
    <row r="445">
      <c r="A445" t="inlineStr">
        <is>
          <t>UAA-399</t>
        </is>
      </c>
      <c r="B445" t="inlineStr">
        <is>
          <t>AMIRI FLIGHT</t>
        </is>
      </c>
      <c r="T445" t="inlineStr">
        <is>
          <t>ACTIVE</t>
        </is>
      </c>
      <c r="Y445" t="inlineStr">
        <is>
          <t>EMAIL</t>
        </is>
      </c>
      <c r="AD445" t="inlineStr">
        <is>
          <t>PLAIN_TEXT_UPPERCASE</t>
        </is>
      </c>
      <c r="AE445" t="inlineStr">
        <is>
          <t>JTL TRIP SUPPORT</t>
        </is>
      </c>
    </row>
    <row r="446">
      <c r="A446" t="inlineStr">
        <is>
          <t>UAA-400</t>
        </is>
      </c>
      <c r="B446" t="inlineStr">
        <is>
          <t>ROYAL FLIGHT OMAN</t>
        </is>
      </c>
      <c r="T446" t="inlineStr">
        <is>
          <t>ACTIVE</t>
        </is>
      </c>
      <c r="Y446" t="inlineStr">
        <is>
          <t>EMAIL</t>
        </is>
      </c>
      <c r="AD446" t="inlineStr">
        <is>
          <t>PLAIN_TEXT_UPPERCASE</t>
        </is>
      </c>
      <c r="AE446" t="inlineStr">
        <is>
          <t>JTL TRIP SUPPORT</t>
        </is>
      </c>
    </row>
    <row r="447">
      <c r="A447" t="inlineStr">
        <is>
          <t>UAA-401</t>
        </is>
      </c>
      <c r="B447" t="inlineStr">
        <is>
          <t>DAR JANA</t>
        </is>
      </c>
      <c r="T447" t="inlineStr">
        <is>
          <t>ACTIVE</t>
        </is>
      </c>
      <c r="Y447" t="inlineStr">
        <is>
          <t>EMAIL</t>
        </is>
      </c>
      <c r="AD447" t="inlineStr">
        <is>
          <t>PLAIN_TEXT_UPPERCASE</t>
        </is>
      </c>
      <c r="AE447" t="inlineStr">
        <is>
          <t>JTL TRIP SUPPORT</t>
        </is>
      </c>
    </row>
    <row r="448">
      <c r="A448" t="inlineStr">
        <is>
          <t>UAA-402</t>
        </is>
      </c>
      <c r="B448" t="inlineStr">
        <is>
          <t>ASCEND AIRWAYS LIMITED</t>
        </is>
      </c>
      <c r="T448" t="inlineStr">
        <is>
          <t>ACTIVE</t>
        </is>
      </c>
      <c r="Y448" t="inlineStr">
        <is>
          <t>EMAIL</t>
        </is>
      </c>
      <c r="AD448" t="inlineStr">
        <is>
          <t>PLAIN_TEXT_UPPERCASE</t>
        </is>
      </c>
      <c r="AE448" t="inlineStr">
        <is>
          <t>JTL TRIP SUPPORT</t>
        </is>
      </c>
    </row>
    <row r="449">
      <c r="A449" t="inlineStr">
        <is>
          <t>UAA-403</t>
        </is>
      </c>
      <c r="B449" t="inlineStr">
        <is>
          <t>SEVEN VALLEYS VENTURES, LLC</t>
        </is>
      </c>
      <c r="T449" t="inlineStr">
        <is>
          <t>ACTIVE</t>
        </is>
      </c>
      <c r="Y449" t="inlineStr">
        <is>
          <t>EMAIL</t>
        </is>
      </c>
      <c r="AD449" t="inlineStr">
        <is>
          <t>PLAIN_TEXT_UPPERCASE</t>
        </is>
      </c>
      <c r="AE449" t="inlineStr">
        <is>
          <t>JTL TRIP SUPPORT</t>
        </is>
      </c>
    </row>
    <row r="450">
      <c r="A450" t="inlineStr">
        <is>
          <t>UAA-404</t>
        </is>
      </c>
      <c r="B450" t="inlineStr">
        <is>
          <t>DEERJET (HK) BUSINESS JET MANAGEMENT LTD</t>
        </is>
      </c>
      <c r="T450" t="inlineStr">
        <is>
          <t>ACTIVE</t>
        </is>
      </c>
      <c r="Y450" t="inlineStr">
        <is>
          <t>EMAIL</t>
        </is>
      </c>
      <c r="AD450" t="inlineStr">
        <is>
          <t>PLAIN_TEXT_UPPERCASE</t>
        </is>
      </c>
      <c r="AE450" t="inlineStr">
        <is>
          <t>JTL TRIP SUPPORT</t>
        </is>
      </c>
    </row>
    <row r="451">
      <c r="A451" t="inlineStr">
        <is>
          <t>UAA-405</t>
        </is>
      </c>
      <c r="B451" t="inlineStr">
        <is>
          <t>NORTHROP GRUMMAN SYSTEMS CORPORATION</t>
        </is>
      </c>
      <c r="T451" t="inlineStr">
        <is>
          <t>ACTIVE</t>
        </is>
      </c>
      <c r="Y451" t="inlineStr">
        <is>
          <t>EMAIL</t>
        </is>
      </c>
      <c r="AD451" t="inlineStr">
        <is>
          <t>PLAIN_TEXT_UPPERCASE</t>
        </is>
      </c>
      <c r="AE451" t="inlineStr">
        <is>
          <t>JTL TRIP SUPPORT</t>
        </is>
      </c>
    </row>
    <row r="452">
      <c r="A452" t="inlineStr">
        <is>
          <t>UAA-406</t>
        </is>
      </c>
      <c r="B452" t="inlineStr">
        <is>
          <t>AEROLINEAS EJECUTIVAS, S.A. DE C.V.</t>
        </is>
      </c>
      <c r="T452" t="inlineStr">
        <is>
          <t>ACTIVE</t>
        </is>
      </c>
      <c r="Y452" t="inlineStr">
        <is>
          <t>EMAIL</t>
        </is>
      </c>
      <c r="AD452" t="inlineStr">
        <is>
          <t>PLAIN_TEXT_UPPERCASE</t>
        </is>
      </c>
      <c r="AE452" t="inlineStr">
        <is>
          <t>JTL TRIP SUPPORT</t>
        </is>
      </c>
    </row>
    <row r="453">
      <c r="A453" t="inlineStr">
        <is>
          <t>UAA-407</t>
        </is>
      </c>
      <c r="B453" t="inlineStr">
        <is>
          <t>TUDOR INVESTMENT CORP</t>
        </is>
      </c>
      <c r="T453" t="inlineStr">
        <is>
          <t>ACTIVE</t>
        </is>
      </c>
      <c r="Y453" t="inlineStr">
        <is>
          <t>EMAIL</t>
        </is>
      </c>
      <c r="AD453" t="inlineStr">
        <is>
          <t>PLAIN_TEXT_UPPERCASE</t>
        </is>
      </c>
      <c r="AE453" t="inlineStr">
        <is>
          <t>JTL TRIP SUPPORT</t>
        </is>
      </c>
    </row>
    <row r="454">
      <c r="A454" t="inlineStr">
        <is>
          <t>UAA-408</t>
        </is>
      </c>
      <c r="B454" t="inlineStr">
        <is>
          <t>AERIUS MANAGEMENT LLC</t>
        </is>
      </c>
      <c r="T454" t="inlineStr">
        <is>
          <t>ACTIVE</t>
        </is>
      </c>
      <c r="Y454" t="inlineStr">
        <is>
          <t>EMAIL</t>
        </is>
      </c>
      <c r="AD454" t="inlineStr">
        <is>
          <t>PLAIN_TEXT_UPPERCASE</t>
        </is>
      </c>
      <c r="AE454" t="inlineStr">
        <is>
          <t>JTL TRIP SUPPORT</t>
        </is>
      </c>
    </row>
    <row r="455">
      <c r="A455" t="inlineStr">
        <is>
          <t>UAA-409</t>
        </is>
      </c>
      <c r="B455" t="inlineStr">
        <is>
          <t>SUMMER WIND EQUINE LLC</t>
        </is>
      </c>
      <c r="T455" t="inlineStr">
        <is>
          <t>ACTIVE</t>
        </is>
      </c>
      <c r="Y455" t="inlineStr">
        <is>
          <t>EMAIL</t>
        </is>
      </c>
      <c r="AD455" t="inlineStr">
        <is>
          <t>PLAIN_TEXT_UPPERCASE</t>
        </is>
      </c>
      <c r="AE455" t="inlineStr">
        <is>
          <t>JTL TRIP SUPPORT</t>
        </is>
      </c>
    </row>
    <row r="456">
      <c r="A456" t="inlineStr">
        <is>
          <t>UAA-410</t>
        </is>
      </c>
      <c r="B456" t="inlineStr">
        <is>
          <t>M.B. AVIATION, LLC</t>
        </is>
      </c>
      <c r="T456" t="inlineStr">
        <is>
          <t>ACTIVE</t>
        </is>
      </c>
      <c r="Y456" t="inlineStr">
        <is>
          <t>EMAIL</t>
        </is>
      </c>
      <c r="AD456" t="inlineStr">
        <is>
          <t>PLAIN_TEXT_UPPERCASE</t>
        </is>
      </c>
      <c r="AE456" t="inlineStr">
        <is>
          <t>JTL TRIP SUPPORT</t>
        </is>
      </c>
    </row>
    <row r="457">
      <c r="A457" t="inlineStr">
        <is>
          <t>UAA-411</t>
        </is>
      </c>
      <c r="B457" t="inlineStr">
        <is>
          <t>DOUBLE EAGLE EQUITY LP</t>
        </is>
      </c>
      <c r="T457" t="inlineStr">
        <is>
          <t>ACTIVE</t>
        </is>
      </c>
      <c r="Y457" t="inlineStr">
        <is>
          <t>EMAIL</t>
        </is>
      </c>
      <c r="AD457" t="inlineStr">
        <is>
          <t>PLAIN_TEXT_UPPERCASE</t>
        </is>
      </c>
      <c r="AE457" t="inlineStr">
        <is>
          <t>JTL TRIP SUPPORT</t>
        </is>
      </c>
    </row>
    <row r="458">
      <c r="A458" t="inlineStr">
        <is>
          <t>UAA-412</t>
        </is>
      </c>
      <c r="B458" t="inlineStr">
        <is>
          <t>CRESCENT HEIGHTS OF AMERICA, INC.</t>
        </is>
      </c>
      <c r="T458" t="inlineStr">
        <is>
          <t>ACTIVE</t>
        </is>
      </c>
      <c r="Y458" t="inlineStr">
        <is>
          <t>EMAIL</t>
        </is>
      </c>
      <c r="AD458" t="inlineStr">
        <is>
          <t>PLAIN_TEXT_UPPERCASE</t>
        </is>
      </c>
      <c r="AE458" t="inlineStr">
        <is>
          <t>JTL TRIP SUPPORT</t>
        </is>
      </c>
    </row>
    <row r="459">
      <c r="A459" t="inlineStr">
        <is>
          <t>UAA-413</t>
        </is>
      </c>
      <c r="B459" t="inlineStr">
        <is>
          <t>JETTIME A/S</t>
        </is>
      </c>
      <c r="T459" t="inlineStr">
        <is>
          <t>ACTIVE</t>
        </is>
      </c>
      <c r="Y459" t="inlineStr">
        <is>
          <t>EMAIL</t>
        </is>
      </c>
      <c r="AD459" t="inlineStr">
        <is>
          <t>PLAIN_TEXT_UPPERCASE</t>
        </is>
      </c>
      <c r="AE459" t="inlineStr">
        <is>
          <t>JTL TRIP SUPPORT</t>
        </is>
      </c>
    </row>
    <row r="460">
      <c r="A460" t="inlineStr">
        <is>
          <t>UAA-414</t>
        </is>
      </c>
      <c r="B460" t="inlineStr">
        <is>
          <t>JBS USA LLC</t>
        </is>
      </c>
      <c r="T460" t="inlineStr">
        <is>
          <t>ACTIVE</t>
        </is>
      </c>
      <c r="Y460" t="inlineStr">
        <is>
          <t>EMAIL</t>
        </is>
      </c>
      <c r="AD460" t="inlineStr">
        <is>
          <t>PLAIN_TEXT_UPPERCASE</t>
        </is>
      </c>
      <c r="AE460" t="inlineStr">
        <is>
          <t>JTL TRIP SUPPORT</t>
        </is>
      </c>
    </row>
    <row r="461">
      <c r="A461" t="inlineStr">
        <is>
          <t>UAA-415</t>
        </is>
      </c>
      <c r="B461" t="inlineStr">
        <is>
          <t>PETERSON HOLDING COMPANY</t>
        </is>
      </c>
      <c r="T461" t="inlineStr">
        <is>
          <t>ACTIVE</t>
        </is>
      </c>
      <c r="Y461" t="inlineStr">
        <is>
          <t>EMAIL</t>
        </is>
      </c>
      <c r="AD461" t="inlineStr">
        <is>
          <t>PLAIN_TEXT_UPPERCASE</t>
        </is>
      </c>
      <c r="AE461" t="inlineStr">
        <is>
          <t>JTL TRIP SUPPORT</t>
        </is>
      </c>
    </row>
    <row r="462">
      <c r="A462" t="inlineStr">
        <is>
          <t>UAA-416</t>
        </is>
      </c>
      <c r="B462" t="inlineStr">
        <is>
          <t>WING AVIATION CHARTER SERVICES LLC</t>
        </is>
      </c>
      <c r="T462" t="inlineStr">
        <is>
          <t>ACTIVE</t>
        </is>
      </c>
      <c r="Y462" t="inlineStr">
        <is>
          <t>EMAIL</t>
        </is>
      </c>
      <c r="AD462" t="inlineStr">
        <is>
          <t>PLAIN_TEXT_UPPERCASE</t>
        </is>
      </c>
      <c r="AE462" t="inlineStr">
        <is>
          <t>JTL TRIP SUPPORT</t>
        </is>
      </c>
    </row>
    <row r="463">
      <c r="A463" t="inlineStr">
        <is>
          <t>UAA-417</t>
        </is>
      </c>
      <c r="B463" t="inlineStr">
        <is>
          <t>ROBSON COMMUNITIES, INC.</t>
        </is>
      </c>
      <c r="T463" t="inlineStr">
        <is>
          <t>ACTIVE</t>
        </is>
      </c>
      <c r="Y463" t="inlineStr">
        <is>
          <t>EMAIL</t>
        </is>
      </c>
      <c r="AD463" t="inlineStr">
        <is>
          <t>PLAIN_TEXT_UPPERCASE</t>
        </is>
      </c>
      <c r="AE463" t="inlineStr">
        <is>
          <t>JTL TRIP SUPPORT</t>
        </is>
      </c>
    </row>
    <row r="464">
      <c r="A464" t="inlineStr">
        <is>
          <t>UAA-418</t>
        </is>
      </c>
      <c r="B464" t="inlineStr">
        <is>
          <t>THE GOODYEAR TIRE &amp; RUBBER CO.</t>
        </is>
      </c>
      <c r="T464" t="inlineStr">
        <is>
          <t>ACTIVE</t>
        </is>
      </c>
      <c r="Y464" t="inlineStr">
        <is>
          <t>EMAIL</t>
        </is>
      </c>
      <c r="AD464" t="inlineStr">
        <is>
          <t>PLAIN_TEXT_UPPERCASE</t>
        </is>
      </c>
      <c r="AE464" t="inlineStr">
        <is>
          <t>JTL TRIP SUPPORT</t>
        </is>
      </c>
    </row>
    <row r="465">
      <c r="A465" t="inlineStr">
        <is>
          <t>UAA-419</t>
        </is>
      </c>
      <c r="B465" t="inlineStr">
        <is>
          <t>ALKO 250, LLC</t>
        </is>
      </c>
      <c r="T465" t="inlineStr">
        <is>
          <t>ACTIVE</t>
        </is>
      </c>
      <c r="Y465" t="inlineStr">
        <is>
          <t>EMAIL</t>
        </is>
      </c>
      <c r="AD465" t="inlineStr">
        <is>
          <t>PLAIN_TEXT_UPPERCASE</t>
        </is>
      </c>
      <c r="AE465" t="inlineStr">
        <is>
          <t>JTL TRIP SUPPORT</t>
        </is>
      </c>
    </row>
    <row r="466">
      <c r="A466" t="inlineStr">
        <is>
          <t>UAA-420</t>
        </is>
      </c>
      <c r="B466" t="inlineStr">
        <is>
          <t>BRADLEYVILLE LTD</t>
        </is>
      </c>
      <c r="T466" t="inlineStr">
        <is>
          <t>ACTIVE</t>
        </is>
      </c>
      <c r="Y466" t="inlineStr">
        <is>
          <t>EMAIL</t>
        </is>
      </c>
      <c r="AD466" t="inlineStr">
        <is>
          <t>PLAIN_TEXT_UPPERCASE</t>
        </is>
      </c>
      <c r="AE466" t="inlineStr">
        <is>
          <t>JTL TRIP SUPPORT</t>
        </is>
      </c>
    </row>
    <row r="467">
      <c r="A467" t="inlineStr">
        <is>
          <t>UAA-421</t>
        </is>
      </c>
      <c r="B467" t="inlineStr">
        <is>
          <t>IHC HEALTH SERVICES, INC.</t>
        </is>
      </c>
      <c r="T467" t="inlineStr">
        <is>
          <t>ACTIVE</t>
        </is>
      </c>
      <c r="Y467" t="inlineStr">
        <is>
          <t>EMAIL</t>
        </is>
      </c>
      <c r="AD467" t="inlineStr">
        <is>
          <t>PLAIN_TEXT_UPPERCASE</t>
        </is>
      </c>
      <c r="AE467" t="inlineStr">
        <is>
          <t>JTL TRIP SUPPORT</t>
        </is>
      </c>
    </row>
    <row r="468">
      <c r="A468" t="inlineStr">
        <is>
          <t>UAA-422</t>
        </is>
      </c>
      <c r="B468" t="inlineStr">
        <is>
          <t>TSTC, LLC</t>
        </is>
      </c>
      <c r="T468" t="inlineStr">
        <is>
          <t>ACTIVE</t>
        </is>
      </c>
      <c r="Y468" t="inlineStr">
        <is>
          <t>EMAIL</t>
        </is>
      </c>
      <c r="AD468" t="inlineStr">
        <is>
          <t>PLAIN_TEXT_UPPERCASE</t>
        </is>
      </c>
      <c r="AE468" t="inlineStr">
        <is>
          <t>JTL TRIP SUPPORT</t>
        </is>
      </c>
    </row>
    <row r="469">
      <c r="A469" t="inlineStr">
        <is>
          <t>UAA-423</t>
        </is>
      </c>
      <c r="B469" t="inlineStr">
        <is>
          <t>PRESCOTT SUPPORT COMPANY</t>
        </is>
      </c>
      <c r="T469" t="inlineStr">
        <is>
          <t>ACTIVE</t>
        </is>
      </c>
      <c r="Y469" t="inlineStr">
        <is>
          <t>EMAIL</t>
        </is>
      </c>
      <c r="AD469" t="inlineStr">
        <is>
          <t>PLAIN_TEXT_UPPERCASE</t>
        </is>
      </c>
      <c r="AE469" t="inlineStr">
        <is>
          <t>JTL TRIP SUPPORT</t>
        </is>
      </c>
    </row>
    <row r="470">
      <c r="A470" t="inlineStr">
        <is>
          <t>UAA-424</t>
        </is>
      </c>
      <c r="B470" t="inlineStr">
        <is>
          <t>AUBURN OAK</t>
        </is>
      </c>
      <c r="T470" t="inlineStr">
        <is>
          <t>ACTIVE</t>
        </is>
      </c>
      <c r="Y470" t="inlineStr">
        <is>
          <t>EMAIL</t>
        </is>
      </c>
      <c r="AD470" t="inlineStr">
        <is>
          <t>PLAIN_TEXT_UPPERCASE</t>
        </is>
      </c>
      <c r="AE470" t="inlineStr">
        <is>
          <t>JTL TRIP SUPPORT</t>
        </is>
      </c>
    </row>
    <row r="471">
      <c r="A471" t="inlineStr">
        <is>
          <t>UAA-425</t>
        </is>
      </c>
      <c r="B471" t="inlineStr">
        <is>
          <t>LEVY BRANDS HOLDING LLC</t>
        </is>
      </c>
      <c r="T471" t="inlineStr">
        <is>
          <t>ACTIVE</t>
        </is>
      </c>
      <c r="Y471" t="inlineStr">
        <is>
          <t>EMAIL</t>
        </is>
      </c>
      <c r="AD471" t="inlineStr">
        <is>
          <t>PLAIN_TEXT_UPPERCASE</t>
        </is>
      </c>
      <c r="AE471" t="inlineStr">
        <is>
          <t>JTL TRIP SUPPORT</t>
        </is>
      </c>
    </row>
    <row r="472">
      <c r="A472" t="inlineStr">
        <is>
          <t>UAA-426</t>
        </is>
      </c>
      <c r="B472" t="inlineStr">
        <is>
          <t>TJ CAPITAL INVESTMENTS</t>
        </is>
      </c>
      <c r="T472" t="inlineStr">
        <is>
          <t>ACTIVE</t>
        </is>
      </c>
      <c r="Y472" t="inlineStr">
        <is>
          <t>EMAIL</t>
        </is>
      </c>
      <c r="AD472" t="inlineStr">
        <is>
          <t>PLAIN_TEXT_UPPERCASE</t>
        </is>
      </c>
      <c r="AE472" t="inlineStr">
        <is>
          <t>JTL TRIP SUPPORT</t>
        </is>
      </c>
    </row>
    <row r="473">
      <c r="A473" t="inlineStr">
        <is>
          <t>UAA-427</t>
        </is>
      </c>
      <c r="B473" t="inlineStr">
        <is>
          <t>BASE AVIATION LLC</t>
        </is>
      </c>
      <c r="T473" t="inlineStr">
        <is>
          <t>ACTIVE</t>
        </is>
      </c>
      <c r="Y473" t="inlineStr">
        <is>
          <t>EMAIL</t>
        </is>
      </c>
      <c r="AD473" t="inlineStr">
        <is>
          <t>PLAIN_TEXT_UPPERCASE</t>
        </is>
      </c>
      <c r="AE473" t="inlineStr">
        <is>
          <t>JTL TRIP SUPPORT</t>
        </is>
      </c>
    </row>
    <row r="474">
      <c r="A474" t="inlineStr">
        <is>
          <t>UAA-428</t>
        </is>
      </c>
      <c r="B474" t="inlineStr">
        <is>
          <t>FOREIGN MANUFACTURES FINANCE CORPORATION</t>
        </is>
      </c>
      <c r="T474" t="inlineStr">
        <is>
          <t>ACTIVE</t>
        </is>
      </c>
      <c r="Y474" t="inlineStr">
        <is>
          <t>EMAIL</t>
        </is>
      </c>
      <c r="AD474" t="inlineStr">
        <is>
          <t>PLAIN_TEXT_UPPERCASE</t>
        </is>
      </c>
      <c r="AE474" t="inlineStr">
        <is>
          <t>JTL TRIP SUPPORT</t>
        </is>
      </c>
    </row>
    <row r="475">
      <c r="A475" t="inlineStr">
        <is>
          <t>UAA-429</t>
        </is>
      </c>
      <c r="B475" t="inlineStr">
        <is>
          <t>AERO WAYS INC</t>
        </is>
      </c>
      <c r="T475" t="inlineStr">
        <is>
          <t>ACTIVE</t>
        </is>
      </c>
      <c r="Y475" t="inlineStr">
        <is>
          <t>EMAIL</t>
        </is>
      </c>
      <c r="AD475" t="inlineStr">
        <is>
          <t>PLAIN_TEXT_UPPERCASE</t>
        </is>
      </c>
      <c r="AE475" t="inlineStr">
        <is>
          <t>JTL TRIP SUPPORT</t>
        </is>
      </c>
    </row>
    <row r="476">
      <c r="A476" t="inlineStr">
        <is>
          <t>UAA-430</t>
        </is>
      </c>
      <c r="B476" t="inlineStr">
        <is>
          <t>DUBIN &amp; CO</t>
        </is>
      </c>
      <c r="T476" t="inlineStr">
        <is>
          <t>ACTIVE</t>
        </is>
      </c>
      <c r="Y476" t="inlineStr">
        <is>
          <t>EMAIL</t>
        </is>
      </c>
      <c r="AD476" t="inlineStr">
        <is>
          <t>PLAIN_TEXT_UPPERCASE</t>
        </is>
      </c>
      <c r="AE476" t="inlineStr">
        <is>
          <t>JTL TRIP SUPPORT</t>
        </is>
      </c>
    </row>
    <row r="477">
      <c r="A477" t="inlineStr">
        <is>
          <t>UAA-431</t>
        </is>
      </c>
      <c r="B477" t="inlineStr">
        <is>
          <t>INLINE AVIATION GROUP</t>
        </is>
      </c>
      <c r="T477" t="inlineStr">
        <is>
          <t>ACTIVE</t>
        </is>
      </c>
      <c r="Y477" t="inlineStr">
        <is>
          <t>EMAIL</t>
        </is>
      </c>
      <c r="AD477" t="inlineStr">
        <is>
          <t>PLAIN_TEXT_UPPERCASE</t>
        </is>
      </c>
      <c r="AE477" t="inlineStr">
        <is>
          <t>JTL TRIP SUPPORT</t>
        </is>
      </c>
    </row>
    <row r="478">
      <c r="A478" t="inlineStr">
        <is>
          <t>UAA-432</t>
        </is>
      </c>
      <c r="B478" t="inlineStr">
        <is>
          <t>STEEL SERVICES LTD.</t>
        </is>
      </c>
      <c r="T478" t="inlineStr">
        <is>
          <t>ACTIVE</t>
        </is>
      </c>
      <c r="Y478" t="inlineStr">
        <is>
          <t>EMAIL</t>
        </is>
      </c>
      <c r="AD478" t="inlineStr">
        <is>
          <t>PLAIN_TEXT_UPPERCASE</t>
        </is>
      </c>
      <c r="AE478" t="inlineStr">
        <is>
          <t>JTL TRIP SUPPORT</t>
        </is>
      </c>
    </row>
    <row r="479">
      <c r="A479" t="inlineStr">
        <is>
          <t>UAA-433</t>
        </is>
      </c>
      <c r="B479" t="inlineStr">
        <is>
          <t>THE SPANOS CORPORATION</t>
        </is>
      </c>
      <c r="T479" t="inlineStr">
        <is>
          <t>ACTIVE</t>
        </is>
      </c>
      <c r="Y479" t="inlineStr">
        <is>
          <t>EMAIL</t>
        </is>
      </c>
      <c r="AD479" t="inlineStr">
        <is>
          <t>PLAIN_TEXT_UPPERCASE</t>
        </is>
      </c>
      <c r="AE479" t="inlineStr">
        <is>
          <t>JTL TRIP SUPPORT</t>
        </is>
      </c>
    </row>
    <row r="480">
      <c r="A480" t="inlineStr">
        <is>
          <t>UAA-434</t>
        </is>
      </c>
      <c r="B480" t="inlineStr">
        <is>
          <t>CLOUDFLARE</t>
        </is>
      </c>
      <c r="T480" t="inlineStr">
        <is>
          <t>ACTIVE</t>
        </is>
      </c>
      <c r="Y480" t="inlineStr">
        <is>
          <t>EMAIL</t>
        </is>
      </c>
      <c r="AD480" t="inlineStr">
        <is>
          <t>PLAIN_TEXT_UPPERCASE</t>
        </is>
      </c>
      <c r="AE480" t="inlineStr">
        <is>
          <t>JTL TRIP SUPPORT</t>
        </is>
      </c>
    </row>
    <row r="481">
      <c r="A481" t="inlineStr">
        <is>
          <t>UAA-435</t>
        </is>
      </c>
      <c r="B481" t="inlineStr">
        <is>
          <t>TUTOR-SALIBA CORPORATION</t>
        </is>
      </c>
      <c r="T481" t="inlineStr">
        <is>
          <t>ACTIVE</t>
        </is>
      </c>
      <c r="Y481" t="inlineStr">
        <is>
          <t>EMAIL</t>
        </is>
      </c>
      <c r="AD481" t="inlineStr">
        <is>
          <t>PLAIN_TEXT_UPPERCASE</t>
        </is>
      </c>
      <c r="AE481" t="inlineStr">
        <is>
          <t>JTL TRIP SUPPORT</t>
        </is>
      </c>
    </row>
    <row r="482">
      <c r="A482" t="inlineStr">
        <is>
          <t>UAA-436</t>
        </is>
      </c>
      <c r="B482" t="inlineStr">
        <is>
          <t>THE TRAVELERS INDEMNITY CO.</t>
        </is>
      </c>
      <c r="T482" t="inlineStr">
        <is>
          <t>ACTIVE</t>
        </is>
      </c>
      <c r="Y482" t="inlineStr">
        <is>
          <t>EMAIL</t>
        </is>
      </c>
      <c r="AD482" t="inlineStr">
        <is>
          <t>PLAIN_TEXT_UPPERCASE</t>
        </is>
      </c>
      <c r="AE482" t="inlineStr">
        <is>
          <t>JTL TRIP SUPPORT</t>
        </is>
      </c>
    </row>
    <row r="483">
      <c r="A483" t="inlineStr">
        <is>
          <t>UAA-437</t>
        </is>
      </c>
      <c r="B483" t="inlineStr">
        <is>
          <t>REVOLUTION FLIGHT, LLC</t>
        </is>
      </c>
      <c r="T483" t="inlineStr">
        <is>
          <t>ACTIVE</t>
        </is>
      </c>
      <c r="Y483" t="inlineStr">
        <is>
          <t>EMAIL</t>
        </is>
      </c>
      <c r="AD483" t="inlineStr">
        <is>
          <t>PLAIN_TEXT_UPPERCASE</t>
        </is>
      </c>
      <c r="AE483" t="inlineStr">
        <is>
          <t>JTL TRIP SUPPORT</t>
        </is>
      </c>
    </row>
    <row r="484">
      <c r="A484" t="inlineStr">
        <is>
          <t>UAA-438</t>
        </is>
      </c>
      <c r="B484" t="inlineStr">
        <is>
          <t>BOMBARDIER INC</t>
        </is>
      </c>
      <c r="T484" t="inlineStr">
        <is>
          <t>ACTIVE</t>
        </is>
      </c>
      <c r="Y484" t="inlineStr">
        <is>
          <t>EMAIL</t>
        </is>
      </c>
      <c r="AD484" t="inlineStr">
        <is>
          <t>PLAIN_TEXT_UPPERCASE</t>
        </is>
      </c>
      <c r="AE484" t="inlineStr">
        <is>
          <t>JTL TRIP SUPPORT</t>
        </is>
      </c>
    </row>
    <row r="485">
      <c r="A485" t="inlineStr">
        <is>
          <t>UAA-439</t>
        </is>
      </c>
      <c r="B485" t="inlineStr">
        <is>
          <t>MOORE CAPITAL MANAGEMENT LP</t>
        </is>
      </c>
      <c r="T485" t="inlineStr">
        <is>
          <t>ACTIVE</t>
        </is>
      </c>
      <c r="Y485" t="inlineStr">
        <is>
          <t>EMAIL</t>
        </is>
      </c>
      <c r="AD485" t="inlineStr">
        <is>
          <t>PLAIN_TEXT_UPPERCASE</t>
        </is>
      </c>
      <c r="AE485" t="inlineStr">
        <is>
          <t>JTL TRIP SUPPORT</t>
        </is>
      </c>
    </row>
    <row r="486">
      <c r="A486" t="inlineStr">
        <is>
          <t>UAA-440</t>
        </is>
      </c>
      <c r="B486" t="inlineStr">
        <is>
          <t>LABORATORY CORP OF AMERICA HOLDINGS</t>
        </is>
      </c>
      <c r="T486" t="inlineStr">
        <is>
          <t>ACTIVE</t>
        </is>
      </c>
      <c r="Y486" t="inlineStr">
        <is>
          <t>EMAIL</t>
        </is>
      </c>
      <c r="AD486" t="inlineStr">
        <is>
          <t>PLAIN_TEXT_UPPERCASE</t>
        </is>
      </c>
      <c r="AE486" t="inlineStr">
        <is>
          <t>JTL TRIP SUPPORT</t>
        </is>
      </c>
    </row>
    <row r="487">
      <c r="A487" t="inlineStr">
        <is>
          <t>UAA-441</t>
        </is>
      </c>
      <c r="B487" t="inlineStr">
        <is>
          <t>BERJAYA AIR SDN BHD</t>
        </is>
      </c>
      <c r="T487" t="inlineStr">
        <is>
          <t>ACTIVE</t>
        </is>
      </c>
      <c r="Y487" t="inlineStr">
        <is>
          <t>EMAIL</t>
        </is>
      </c>
      <c r="AD487" t="inlineStr">
        <is>
          <t>PLAIN_TEXT_UPPERCASE</t>
        </is>
      </c>
      <c r="AE487" t="inlineStr">
        <is>
          <t>JTL TRIP SUPPORT</t>
        </is>
      </c>
    </row>
    <row r="488">
      <c r="A488" t="inlineStr">
        <is>
          <t>UAA-442</t>
        </is>
      </c>
      <c r="B488" t="inlineStr">
        <is>
          <t>SUPERIOR TRANSPORTATION ASSOC INC DBA STAJETS</t>
        </is>
      </c>
      <c r="T488" t="inlineStr">
        <is>
          <t>ACTIVE</t>
        </is>
      </c>
      <c r="Y488" t="inlineStr">
        <is>
          <t>EMAIL</t>
        </is>
      </c>
      <c r="AD488" t="inlineStr">
        <is>
          <t>PLAIN_TEXT_UPPERCASE</t>
        </is>
      </c>
      <c r="AE488" t="inlineStr">
        <is>
          <t>JTL TRIP SUPPORT</t>
        </is>
      </c>
    </row>
    <row r="489">
      <c r="A489" t="inlineStr">
        <is>
          <t>UAA-443</t>
        </is>
      </c>
      <c r="B489" t="inlineStr">
        <is>
          <t>AEGLE AVIATION LIMITED</t>
        </is>
      </c>
      <c r="T489" t="inlineStr">
        <is>
          <t>ACTIVE</t>
        </is>
      </c>
      <c r="Y489" t="inlineStr">
        <is>
          <t>EMAIL</t>
        </is>
      </c>
      <c r="AD489" t="inlineStr">
        <is>
          <t>PLAIN_TEXT_UPPERCASE</t>
        </is>
      </c>
      <c r="AE489" t="inlineStr">
        <is>
          <t>JTL TRIP SUPPORT</t>
        </is>
      </c>
    </row>
    <row r="490">
      <c r="A490" t="inlineStr">
        <is>
          <t>UAA-444</t>
        </is>
      </c>
      <c r="B490" t="inlineStr">
        <is>
          <t>ML AVIATION PTY LTD</t>
        </is>
      </c>
      <c r="T490" t="inlineStr">
        <is>
          <t>ACTIVE</t>
        </is>
      </c>
      <c r="Y490" t="inlineStr">
        <is>
          <t>EMAIL</t>
        </is>
      </c>
      <c r="AD490" t="inlineStr">
        <is>
          <t>PLAIN_TEXT_UPPERCASE</t>
        </is>
      </c>
      <c r="AE490" t="inlineStr">
        <is>
          <t>JTL TRIP SUPPORT</t>
        </is>
      </c>
    </row>
    <row r="491">
      <c r="A491" t="inlineStr">
        <is>
          <t>UAA-445</t>
        </is>
      </c>
      <c r="B491" t="inlineStr">
        <is>
          <t>RHYS VINEYARDS, LLC</t>
        </is>
      </c>
      <c r="T491" t="inlineStr">
        <is>
          <t>ACTIVE</t>
        </is>
      </c>
      <c r="Y491" t="inlineStr">
        <is>
          <t>EMAIL</t>
        </is>
      </c>
      <c r="AD491" t="inlineStr">
        <is>
          <t>PLAIN_TEXT_UPPERCASE</t>
        </is>
      </c>
      <c r="AE491" t="inlineStr">
        <is>
          <t>JTL TRIP SUPPORT</t>
        </is>
      </c>
    </row>
  </sheetData>
  <dataValidations count="2">
    <dataValidation sqref="Y2:Y46" showDropDown="0" showInputMessage="1" showErrorMessage="1" allowBlank="1" type="list">
      <formula1>"EMAIL (SMTP),SITA,AFTN,FAX,PORTAL"</formula1>
    </dataValidation>
    <dataValidation sqref="AD2:AD46" showDropDown="0" showInputMessage="1" showErrorMessage="1" allowBlank="1" type="list">
      <formula1>"PLAIN TEXT UPPERCASE,PLAIN TEXT,HTML"</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H691"/>
  <sheetViews>
    <sheetView tabSelected="1" topLeftCell="W1" workbookViewId="0">
      <pane ySplit="1" topLeftCell="A114" activePane="bottomLeft" state="frozen"/>
      <selection pane="bottomLeft" activeCell="AB137" sqref="AB137"/>
    </sheetView>
  </sheetViews>
  <sheetFormatPr baseColWidth="8" defaultRowHeight="14.4"/>
  <cols>
    <col width="9.5546875" bestFit="1" customWidth="1" min="1" max="1"/>
    <col width="10.5546875" bestFit="1" customWidth="1" min="2" max="2"/>
    <col width="9" bestFit="1" customWidth="1" min="3" max="3"/>
    <col width="19.21875" bestFit="1" customWidth="1" min="4" max="4"/>
    <col width="17.6640625" bestFit="1" customWidth="1" min="5" max="5"/>
    <col width="14.88671875" bestFit="1" customWidth="1" min="6" max="6"/>
    <col width="33.88671875" bestFit="1" customWidth="1" min="7" max="7"/>
    <col width="8.33203125" bestFit="1" customWidth="1" min="8" max="9"/>
    <col width="15" bestFit="1" customWidth="1" min="10" max="10"/>
    <col width="12.88671875" bestFit="1" customWidth="1" min="11" max="11"/>
    <col width="13.33203125" bestFit="1" customWidth="1" min="12" max="12"/>
    <col width="8.33203125" bestFit="1" customWidth="1" min="13" max="13"/>
    <col width="11.109375" bestFit="1" customWidth="1" min="14" max="14"/>
    <col width="14.109375" bestFit="1" customWidth="1" min="15" max="15"/>
    <col width="19.77734375" bestFit="1" customWidth="1" min="16" max="16"/>
    <col width="18.33203125" bestFit="1" customWidth="1" min="17" max="17"/>
    <col width="12.6640625" bestFit="1" customWidth="1" min="18" max="18"/>
    <col width="5.5546875" bestFit="1" customWidth="1" min="19" max="19"/>
    <col width="27.77734375" customWidth="1" min="20" max="30"/>
    <col width="25.88671875" customWidth="1" min="31" max="34"/>
  </cols>
  <sheetData>
    <row r="1">
      <c r="A1" s="22" t="inlineStr">
        <is>
          <t>aircraft_id</t>
        </is>
      </c>
      <c r="B1" s="22" t="inlineStr">
        <is>
          <t>registration</t>
        </is>
      </c>
      <c r="C1" s="22" t="inlineStr">
        <is>
          <t>icao_type</t>
        </is>
      </c>
      <c r="D1" s="22" t="inlineStr">
        <is>
          <t>manufacturer</t>
        </is>
      </c>
      <c r="E1" s="22" t="inlineStr">
        <is>
          <t>model_series</t>
        </is>
      </c>
      <c r="F1" s="22" t="inlineStr">
        <is>
          <t>home_base_icao</t>
        </is>
      </c>
      <c r="G1" s="22" t="inlineStr">
        <is>
          <t>home_base_name</t>
        </is>
      </c>
      <c r="H1" s="22" t="inlineStr">
        <is>
          <t>mtow_kg</t>
        </is>
      </c>
      <c r="I1" s="22" t="inlineStr">
        <is>
          <t>max_pax</t>
        </is>
      </c>
      <c r="J1" s="22" t="inlineStr">
        <is>
          <t>noise_certificate</t>
        </is>
      </c>
      <c r="K1" s="22" t="inlineStr">
        <is>
          <t>serial_number</t>
        </is>
      </c>
      <c r="L1" s="22" t="inlineStr">
        <is>
          <t>aircraft_status</t>
        </is>
      </c>
      <c r="M1" s="22" t="inlineStr">
        <is>
          <t>is_active</t>
        </is>
      </c>
      <c r="N1" s="22" t="inlineStr">
        <is>
          <t>operator_ref</t>
        </is>
      </c>
      <c r="O1" s="22" t="inlineStr">
        <is>
          <t>cof_expiry_date</t>
        </is>
      </c>
      <c r="P1" s="22" t="inlineStr">
        <is>
          <t>insurance_expiry_date</t>
        </is>
      </c>
      <c r="Q1" s="22" t="inlineStr">
        <is>
          <t>total_airframe_hours</t>
        </is>
      </c>
      <c r="R1" s="22" t="inlineStr">
        <is>
          <t>total_landings</t>
        </is>
      </c>
      <c r="S1" s="22" t="inlineStr">
        <is>
          <t>notes</t>
        </is>
      </c>
      <c r="T1" s="25" t="inlineStr">
        <is>
          <t>operator_name</t>
        </is>
      </c>
      <c r="U1" s="25" t="inlineStr">
        <is>
          <t>operator_trading_name</t>
        </is>
      </c>
      <c r="V1" s="25" t="inlineStr">
        <is>
          <t>operator_aoc_number</t>
        </is>
      </c>
      <c r="W1" s="25" t="inlineStr">
        <is>
          <t>operator_icao_designator</t>
        </is>
      </c>
      <c r="X1" s="25" t="inlineStr">
        <is>
          <t>operator_country</t>
        </is>
      </c>
      <c r="Y1" s="25" t="inlineStr">
        <is>
          <t>operator_home_base</t>
        </is>
      </c>
      <c r="Z1" s="25" t="inlineStr">
        <is>
          <t>operator_status</t>
        </is>
      </c>
      <c r="AA1" s="25" t="inlineStr">
        <is>
          <t>operator_occ_email</t>
        </is>
      </c>
      <c r="AB1" s="25" t="inlineStr">
        <is>
          <t>operator_contact_name</t>
        </is>
      </c>
      <c r="AC1" s="25" t="inlineStr">
        <is>
          <t>operator_contact_phone</t>
        </is>
      </c>
      <c r="AD1" s="25" t="inlineStr">
        <is>
          <t>OPERATOR CHECK</t>
        </is>
      </c>
      <c r="AE1" s="67" t="inlineStr">
        <is>
          <t>docs_on_file</t>
        </is>
      </c>
      <c r="AF1" s="67" t="inlineStr">
        <is>
          <t>docs_expired</t>
        </is>
      </c>
      <c r="AG1" s="67" t="inlineStr">
        <is>
          <t>docs_expiring_90d</t>
        </is>
      </c>
      <c r="AH1" s="67" t="inlineStr">
        <is>
          <t>next_expiry</t>
        </is>
      </c>
    </row>
    <row r="2">
      <c r="B2" t="inlineStr">
        <is>
          <t>1114</t>
        </is>
      </c>
      <c r="C2" t="inlineStr">
        <is>
          <t>D228</t>
        </is>
      </c>
      <c r="H2" s="5" t="n">
        <v>6400</v>
      </c>
      <c r="L2" t="inlineStr">
        <is>
          <t>ACTIVE</t>
        </is>
      </c>
      <c r="N2" t="inlineStr">
        <is>
          <t>UAA-001</t>
        </is>
      </c>
      <c r="S2" s="23" t="n"/>
      <c r="AD2" s="1" t="n"/>
      <c r="AH2" s="72" t="n"/>
    </row>
    <row r="3">
      <c r="B3" t="inlineStr">
        <is>
          <t>2RLET</t>
        </is>
      </c>
      <c r="C3" t="inlineStr">
        <is>
          <t>E290</t>
        </is>
      </c>
      <c r="H3" s="5" t="n">
        <v>54000</v>
      </c>
      <c r="L3" t="inlineStr">
        <is>
          <t>ACTIVE</t>
        </is>
      </c>
      <c r="N3" t="inlineStr">
        <is>
          <t>UAA-002</t>
        </is>
      </c>
      <c r="S3" s="23" t="n"/>
      <c r="AD3" s="1" t="n"/>
      <c r="AH3" s="72" t="n"/>
    </row>
    <row r="4">
      <c r="B4" t="inlineStr">
        <is>
          <t>3AMGA</t>
        </is>
      </c>
      <c r="C4" t="inlineStr">
        <is>
          <t>FA8X</t>
        </is>
      </c>
      <c r="H4" s="5" t="n">
        <v>33112</v>
      </c>
      <c r="L4" t="inlineStr">
        <is>
          <t>ACTIVE</t>
        </is>
      </c>
      <c r="N4" t="inlineStr">
        <is>
          <t>UAA-003</t>
        </is>
      </c>
      <c r="S4" s="23" t="n"/>
      <c r="AD4" s="1" t="n"/>
      <c r="AH4" s="72" t="n"/>
    </row>
    <row r="5">
      <c r="B5" t="inlineStr">
        <is>
          <t>5HAGR</t>
        </is>
      </c>
      <c r="C5" t="inlineStr">
        <is>
          <t>C208</t>
        </is>
      </c>
      <c r="D5" t="inlineStr">
        <is>
          <t>Cessna</t>
        </is>
      </c>
      <c r="E5" t="inlineStr">
        <is>
          <t>208 Caravan</t>
        </is>
      </c>
      <c r="F5" t="inlineStr">
        <is>
          <t>HTAR</t>
        </is>
      </c>
      <c r="H5" s="5" t="n">
        <v>3969</v>
      </c>
      <c r="I5" t="n">
        <v>14</v>
      </c>
      <c r="K5" t="inlineStr">
        <is>
          <t>208-0678</t>
        </is>
      </c>
      <c r="L5" t="inlineStr">
        <is>
          <t>ACTIVE</t>
        </is>
      </c>
      <c r="N5" t="inlineStr">
        <is>
          <t>OPV-04</t>
        </is>
      </c>
      <c r="S5" s="23" t="n"/>
      <c r="AD5" s="1" t="n"/>
      <c r="AH5" s="72" t="n"/>
    </row>
    <row r="6">
      <c r="B6" t="inlineStr">
        <is>
          <t>5HCLB</t>
        </is>
      </c>
      <c r="C6" t="inlineStr">
        <is>
          <t>C208</t>
        </is>
      </c>
      <c r="D6" t="inlineStr">
        <is>
          <t>Cessna</t>
        </is>
      </c>
      <c r="E6" t="inlineStr">
        <is>
          <t>208B Grand Caravan</t>
        </is>
      </c>
      <c r="F6" t="inlineStr">
        <is>
          <t>HTAR</t>
        </is>
      </c>
      <c r="H6" s="5" t="n">
        <v>3970</v>
      </c>
      <c r="I6" t="n">
        <v>14</v>
      </c>
      <c r="K6" t="inlineStr">
        <is>
          <t>208B-1045</t>
        </is>
      </c>
      <c r="L6" t="inlineStr">
        <is>
          <t>ACTIVE</t>
        </is>
      </c>
      <c r="N6" t="inlineStr">
        <is>
          <t>OPV-04</t>
        </is>
      </c>
      <c r="S6" s="23" t="n"/>
      <c r="AD6" s="1" t="n"/>
      <c r="AH6" s="72" t="n"/>
    </row>
    <row r="7">
      <c r="B7" t="inlineStr">
        <is>
          <t>5HJKT</t>
        </is>
      </c>
      <c r="C7" t="inlineStr">
        <is>
          <t>E190</t>
        </is>
      </c>
      <c r="D7" t="inlineStr">
        <is>
          <t>Embraer</t>
        </is>
      </c>
      <c r="E7" t="inlineStr">
        <is>
          <t>E-190</t>
        </is>
      </c>
      <c r="F7" t="inlineStr">
        <is>
          <t>HTDA</t>
        </is>
      </c>
      <c r="H7" s="5" t="n">
        <v>52290</v>
      </c>
      <c r="I7" t="n">
        <v>114</v>
      </c>
      <c r="K7" t="inlineStr">
        <is>
          <t>19000124</t>
        </is>
      </c>
      <c r="L7" t="inlineStr">
        <is>
          <t>ACTIVE</t>
        </is>
      </c>
      <c r="N7" t="inlineStr">
        <is>
          <t>OPV-03</t>
        </is>
      </c>
      <c r="S7" s="23" t="n"/>
      <c r="AD7" s="1" t="n"/>
      <c r="AH7" s="72" t="n"/>
    </row>
    <row r="8">
      <c r="B8" t="inlineStr">
        <is>
          <t>5HLUX</t>
        </is>
      </c>
      <c r="C8" t="inlineStr">
        <is>
          <t>C510</t>
        </is>
      </c>
      <c r="D8" t="inlineStr">
        <is>
          <t>Cessna</t>
        </is>
      </c>
      <c r="E8" t="inlineStr">
        <is>
          <t>Citation Mustang</t>
        </is>
      </c>
      <c r="F8" t="inlineStr">
        <is>
          <t>HTDA</t>
        </is>
      </c>
      <c r="H8" s="5" t="n">
        <v>3674</v>
      </c>
      <c r="I8" t="n">
        <v>5</v>
      </c>
      <c r="K8" t="inlineStr">
        <is>
          <t>510-0123</t>
        </is>
      </c>
      <c r="L8" t="inlineStr">
        <is>
          <t>ACTIVE</t>
        </is>
      </c>
      <c r="N8" t="inlineStr">
        <is>
          <t>OPV-01</t>
        </is>
      </c>
      <c r="S8" s="23" t="n"/>
      <c r="AD8" s="1" t="n"/>
      <c r="AH8" s="72" t="n"/>
    </row>
    <row r="9">
      <c r="B9" t="inlineStr">
        <is>
          <t>5HMBY</t>
        </is>
      </c>
      <c r="C9" t="inlineStr">
        <is>
          <t>DH8D</t>
        </is>
      </c>
      <c r="D9" t="inlineStr">
        <is>
          <t>De Havilland</t>
        </is>
      </c>
      <c r="E9" t="inlineStr">
        <is>
          <t>Dash 8 Q400</t>
        </is>
      </c>
      <c r="F9" t="inlineStr">
        <is>
          <t>HTDA</t>
        </is>
      </c>
      <c r="H9" s="5" t="n">
        <v>29260</v>
      </c>
      <c r="I9" t="n">
        <v>90</v>
      </c>
      <c r="K9" t="inlineStr">
        <is>
          <t>4281</t>
        </is>
      </c>
      <c r="L9" t="inlineStr">
        <is>
          <t>ACTIVE</t>
        </is>
      </c>
      <c r="N9" t="inlineStr">
        <is>
          <t>OPV-02</t>
        </is>
      </c>
      <c r="S9" s="23" t="n"/>
      <c r="AD9" s="1" t="n"/>
      <c r="AH9" s="72" t="n"/>
    </row>
    <row r="10">
      <c r="B10" t="inlineStr">
        <is>
          <t>5HMVI</t>
        </is>
      </c>
      <c r="C10" t="inlineStr">
        <is>
          <t>B763</t>
        </is>
      </c>
      <c r="D10" t="inlineStr">
        <is>
          <t>Boeing</t>
        </is>
      </c>
      <c r="E10" t="inlineStr">
        <is>
          <t>767-300ER</t>
        </is>
      </c>
      <c r="F10" t="inlineStr">
        <is>
          <t>HTDA</t>
        </is>
      </c>
      <c r="H10" s="5" t="n">
        <v>186880</v>
      </c>
      <c r="I10" t="n">
        <v>351</v>
      </c>
      <c r="K10" t="inlineStr">
        <is>
          <t>28112</t>
        </is>
      </c>
      <c r="L10" t="inlineStr">
        <is>
          <t>ACTIVE</t>
        </is>
      </c>
      <c r="N10" t="inlineStr">
        <is>
          <t>OPV-02</t>
        </is>
      </c>
      <c r="S10" s="23" t="n"/>
      <c r="AD10" s="1" t="n"/>
      <c r="AH10" s="72" t="n"/>
    </row>
    <row r="11">
      <c r="B11" t="inlineStr">
        <is>
          <t>5HMWF</t>
        </is>
      </c>
      <c r="C11" t="inlineStr">
        <is>
          <t>AT72</t>
        </is>
      </c>
      <c r="D11" t="inlineStr">
        <is>
          <t>ATR</t>
        </is>
      </c>
      <c r="E11" t="inlineStr">
        <is>
          <t>ATR 72-500</t>
        </is>
      </c>
      <c r="F11" t="inlineStr">
        <is>
          <t>HTDA</t>
        </is>
      </c>
      <c r="H11" s="5" t="n">
        <v>22800</v>
      </c>
      <c r="I11" t="n">
        <v>74</v>
      </c>
      <c r="K11" t="inlineStr">
        <is>
          <t>722-0124</t>
        </is>
      </c>
      <c r="L11" t="inlineStr">
        <is>
          <t>ACTIVE</t>
        </is>
      </c>
      <c r="N11" t="inlineStr">
        <is>
          <t>OPV-02</t>
        </is>
      </c>
      <c r="S11" s="23" t="n"/>
      <c r="AD11" s="1" t="n"/>
      <c r="AH11" s="72" t="n"/>
    </row>
    <row r="12">
      <c r="B12" t="inlineStr">
        <is>
          <t>5HSGR</t>
        </is>
      </c>
      <c r="C12" t="inlineStr">
        <is>
          <t>PC12</t>
        </is>
      </c>
      <c r="D12" t="inlineStr">
        <is>
          <t>Pilatus</t>
        </is>
      </c>
      <c r="E12" t="inlineStr">
        <is>
          <t>PC-12 NGX</t>
        </is>
      </c>
      <c r="F12" t="inlineStr">
        <is>
          <t>HTAR</t>
        </is>
      </c>
      <c r="H12" s="5" t="n">
        <v>4740</v>
      </c>
      <c r="I12" t="n">
        <v>9</v>
      </c>
      <c r="K12" t="inlineStr">
        <is>
          <t>2056</t>
        </is>
      </c>
      <c r="L12" t="inlineStr">
        <is>
          <t>ACTIVE</t>
        </is>
      </c>
      <c r="N12" t="inlineStr">
        <is>
          <t>OPV-04</t>
        </is>
      </c>
      <c r="S12" s="23" t="n"/>
      <c r="AD12" s="1" t="n"/>
      <c r="AH12" s="72" t="n"/>
    </row>
    <row r="13">
      <c r="B13" t="inlineStr">
        <is>
          <t>5HTCA</t>
        </is>
      </c>
      <c r="C13" t="inlineStr">
        <is>
          <t>B738</t>
        </is>
      </c>
      <c r="D13" t="inlineStr">
        <is>
          <t>Boeing</t>
        </is>
      </c>
      <c r="E13" t="inlineStr">
        <is>
          <t>737-800</t>
        </is>
      </c>
      <c r="F13" t="inlineStr">
        <is>
          <t>HTDA</t>
        </is>
      </c>
      <c r="H13" s="5" t="n">
        <v>79010</v>
      </c>
      <c r="I13" t="n">
        <v>189</v>
      </c>
      <c r="K13" t="inlineStr">
        <is>
          <t>35012</t>
        </is>
      </c>
      <c r="L13" t="inlineStr">
        <is>
          <t>ACTIVE</t>
        </is>
      </c>
      <c r="N13" t="inlineStr">
        <is>
          <t>OPV-02</t>
        </is>
      </c>
      <c r="S13" s="23" t="n"/>
      <c r="AD13" s="1" t="n"/>
      <c r="AH13" s="72" t="n"/>
    </row>
    <row r="14">
      <c r="B14" t="inlineStr">
        <is>
          <t>5HTCB</t>
        </is>
      </c>
      <c r="C14" t="inlineStr">
        <is>
          <t>B738</t>
        </is>
      </c>
      <c r="D14" t="inlineStr">
        <is>
          <t>Boeing</t>
        </is>
      </c>
      <c r="E14" t="inlineStr">
        <is>
          <t>737-800</t>
        </is>
      </c>
      <c r="F14" t="inlineStr">
        <is>
          <t>HTDA</t>
        </is>
      </c>
      <c r="H14" s="5" t="n">
        <v>79010</v>
      </c>
      <c r="I14" t="n">
        <v>189</v>
      </c>
      <c r="K14" t="inlineStr">
        <is>
          <t>35013</t>
        </is>
      </c>
      <c r="L14" t="inlineStr">
        <is>
          <t>ACTIVE</t>
        </is>
      </c>
      <c r="N14" t="inlineStr">
        <is>
          <t>OPV-02</t>
        </is>
      </c>
      <c r="S14" s="23" t="n"/>
      <c r="AD14" s="1" t="n"/>
      <c r="AH14" s="72" t="n"/>
    </row>
    <row r="15">
      <c r="B15" t="inlineStr">
        <is>
          <t>5HUVI</t>
        </is>
      </c>
      <c r="C15" t="inlineStr">
        <is>
          <t>BN2T</t>
        </is>
      </c>
      <c r="D15" t="inlineStr">
        <is>
          <t>Britten-Norman</t>
        </is>
      </c>
      <c r="E15" t="inlineStr">
        <is>
          <t>Islander BN-2T</t>
        </is>
      </c>
      <c r="F15" t="inlineStr">
        <is>
          <t>HTAR</t>
        </is>
      </c>
      <c r="H15" s="5" t="n">
        <v>3357</v>
      </c>
      <c r="I15" t="n">
        <v>9</v>
      </c>
      <c r="K15" t="inlineStr">
        <is>
          <t>2123</t>
        </is>
      </c>
      <c r="L15" t="inlineStr">
        <is>
          <t>ACTIVE</t>
        </is>
      </c>
      <c r="N15" t="inlineStr">
        <is>
          <t>OPV-04</t>
        </is>
      </c>
      <c r="S15" s="23" t="n"/>
      <c r="AD15" s="1" t="n"/>
      <c r="AH15" s="72" t="n"/>
    </row>
    <row r="16">
      <c r="B16" t="inlineStr">
        <is>
          <t>5HZNZ</t>
        </is>
      </c>
      <c r="C16" t="inlineStr">
        <is>
          <t>A320</t>
        </is>
      </c>
      <c r="D16" t="inlineStr">
        <is>
          <t>Airbus</t>
        </is>
      </c>
      <c r="E16" t="inlineStr">
        <is>
          <t>A320-200</t>
        </is>
      </c>
      <c r="F16" t="inlineStr">
        <is>
          <t>HTDA</t>
        </is>
      </c>
      <c r="H16" s="5" t="n">
        <v>77000</v>
      </c>
      <c r="I16" t="n">
        <v>180</v>
      </c>
      <c r="K16" t="inlineStr">
        <is>
          <t>4521</t>
        </is>
      </c>
      <c r="L16" t="inlineStr">
        <is>
          <t>ACTIVE</t>
        </is>
      </c>
      <c r="N16" t="inlineStr">
        <is>
          <t>OPV-03</t>
        </is>
      </c>
      <c r="S16" s="23" t="n"/>
      <c r="AD16" s="1" t="n"/>
      <c r="AH16" s="72" t="n"/>
    </row>
    <row r="17">
      <c r="B17" t="inlineStr">
        <is>
          <t>5NBLD</t>
        </is>
      </c>
      <c r="C17" t="inlineStr">
        <is>
          <t>A332</t>
        </is>
      </c>
      <c r="D17" t="inlineStr">
        <is>
          <t>Airbus</t>
        </is>
      </c>
      <c r="E17" t="inlineStr">
        <is>
          <t>A330-200F</t>
        </is>
      </c>
      <c r="F17" t="inlineStr">
        <is>
          <t>DNMM</t>
        </is>
      </c>
      <c r="H17" s="5" t="n">
        <v>233000</v>
      </c>
      <c r="I17" t="n">
        <v>0</v>
      </c>
      <c r="K17" t="inlineStr">
        <is>
          <t>1123</t>
        </is>
      </c>
      <c r="L17" t="inlineStr">
        <is>
          <t>ACTIVE</t>
        </is>
      </c>
      <c r="N17" t="inlineStr">
        <is>
          <t>OPV-44</t>
        </is>
      </c>
      <c r="S17" s="23" t="n"/>
      <c r="AD17" s="1" t="n"/>
      <c r="AH17" s="72" t="n"/>
    </row>
    <row r="18">
      <c r="B18" t="inlineStr">
        <is>
          <t>5NBQT</t>
        </is>
      </c>
      <c r="C18" t="inlineStr">
        <is>
          <t>E195</t>
        </is>
      </c>
      <c r="D18" t="inlineStr">
        <is>
          <t>Embraer</t>
        </is>
      </c>
      <c r="E18" t="inlineStr">
        <is>
          <t>E-195</t>
        </is>
      </c>
      <c r="F18" t="inlineStr">
        <is>
          <t>DNMM</t>
        </is>
      </c>
      <c r="H18" s="5" t="n">
        <v>52290</v>
      </c>
      <c r="I18" t="n">
        <v>124</v>
      </c>
      <c r="K18" t="inlineStr">
        <is>
          <t>19000301</t>
        </is>
      </c>
      <c r="L18" t="inlineStr">
        <is>
          <t>ACTIVE</t>
        </is>
      </c>
      <c r="N18" t="inlineStr">
        <is>
          <t>OPV-16</t>
        </is>
      </c>
      <c r="S18" s="23" t="n"/>
      <c r="AD18" s="1" t="n"/>
      <c r="AH18" s="72" t="n"/>
    </row>
    <row r="19">
      <c r="B19" t="inlineStr">
        <is>
          <t>5NBRN</t>
        </is>
      </c>
      <c r="C19" t="inlineStr">
        <is>
          <t>AT76</t>
        </is>
      </c>
      <c r="D19" t="inlineStr">
        <is>
          <t>ATR</t>
        </is>
      </c>
      <c r="E19" t="inlineStr">
        <is>
          <t>ATR 72-600</t>
        </is>
      </c>
      <c r="F19" t="inlineStr">
        <is>
          <t>DNMM</t>
        </is>
      </c>
      <c r="H19" s="5" t="n">
        <v>23000</v>
      </c>
      <c r="I19" t="n">
        <v>78</v>
      </c>
      <c r="K19" t="inlineStr">
        <is>
          <t>1302</t>
        </is>
      </c>
      <c r="L19" t="inlineStr">
        <is>
          <t>ACTIVE</t>
        </is>
      </c>
      <c r="N19" t="inlineStr">
        <is>
          <t>OPV-16</t>
        </is>
      </c>
      <c r="S19" s="23" t="n"/>
      <c r="AD19" s="1" t="n"/>
      <c r="AH19" s="72" t="n"/>
    </row>
    <row r="20">
      <c r="B20" t="inlineStr">
        <is>
          <t>5NBWE</t>
        </is>
      </c>
      <c r="C20" t="inlineStr">
        <is>
          <t>B77W</t>
        </is>
      </c>
      <c r="D20" t="inlineStr">
        <is>
          <t>Boeing</t>
        </is>
      </c>
      <c r="E20" t="inlineStr">
        <is>
          <t>777-300ER</t>
        </is>
      </c>
      <c r="F20" t="inlineStr">
        <is>
          <t>DNMM</t>
        </is>
      </c>
      <c r="H20" s="5" t="n">
        <v>351534</v>
      </c>
      <c r="I20" t="n">
        <v>396</v>
      </c>
      <c r="K20" t="inlineStr">
        <is>
          <t>38801</t>
        </is>
      </c>
      <c r="L20" t="inlineStr">
        <is>
          <t>ACTIVE</t>
        </is>
      </c>
      <c r="N20" t="inlineStr">
        <is>
          <t>OPV-15</t>
        </is>
      </c>
      <c r="S20" s="23" t="n"/>
      <c r="AD20" s="1" t="n"/>
      <c r="AH20" s="72" t="n"/>
    </row>
    <row r="21">
      <c r="B21" t="inlineStr">
        <is>
          <t>5NBWI</t>
        </is>
      </c>
      <c r="C21" t="inlineStr">
        <is>
          <t>B738</t>
        </is>
      </c>
      <c r="D21" t="inlineStr">
        <is>
          <t>Boeing</t>
        </is>
      </c>
      <c r="E21" t="inlineStr">
        <is>
          <t>737-800</t>
        </is>
      </c>
      <c r="F21" t="inlineStr">
        <is>
          <t>DNMM</t>
        </is>
      </c>
      <c r="H21" s="5" t="n">
        <v>79010</v>
      </c>
      <c r="I21" t="n">
        <v>189</v>
      </c>
      <c r="K21" t="inlineStr">
        <is>
          <t>35167</t>
        </is>
      </c>
      <c r="L21" t="inlineStr">
        <is>
          <t>ACTIVE</t>
        </is>
      </c>
      <c r="N21" t="inlineStr">
        <is>
          <t>OPV-15</t>
        </is>
      </c>
      <c r="S21" s="23" t="n"/>
      <c r="AD21" s="1" t="n"/>
      <c r="AH21" s="72" t="n"/>
    </row>
    <row r="22">
      <c r="B22" t="inlineStr">
        <is>
          <t>5NFGS</t>
        </is>
      </c>
      <c r="C22" t="inlineStr">
        <is>
          <t>GLF5</t>
        </is>
      </c>
      <c r="H22" s="5" t="n">
        <v>41050</v>
      </c>
      <c r="L22" t="inlineStr">
        <is>
          <t>ACTIVE</t>
        </is>
      </c>
      <c r="N22" t="inlineStr">
        <is>
          <t>UAA-004</t>
        </is>
      </c>
      <c r="S22" s="23" t="n"/>
      <c r="AD22" s="1" t="n"/>
      <c r="AH22" s="72" t="n"/>
    </row>
    <row r="23">
      <c r="B23" t="inlineStr">
        <is>
          <t>5NFGT</t>
        </is>
      </c>
      <c r="C23" t="inlineStr">
        <is>
          <t>B737</t>
        </is>
      </c>
      <c r="H23" s="5" t="n">
        <v>77564</v>
      </c>
      <c r="L23" t="inlineStr">
        <is>
          <t>ACTIVE</t>
        </is>
      </c>
      <c r="N23" t="inlineStr">
        <is>
          <t>UAA-004</t>
        </is>
      </c>
      <c r="S23" s="23" t="n"/>
      <c r="AD23" s="1" t="n"/>
      <c r="AH23" s="72" t="n"/>
    </row>
    <row r="24">
      <c r="B24" t="inlineStr">
        <is>
          <t>5NFGU</t>
        </is>
      </c>
      <c r="C24" t="inlineStr">
        <is>
          <t>FA7X</t>
        </is>
      </c>
      <c r="H24" s="5" t="n">
        <v>31751</v>
      </c>
      <c r="L24" t="inlineStr">
        <is>
          <t>ACTIVE</t>
        </is>
      </c>
      <c r="N24" t="inlineStr">
        <is>
          <t>UAA-004</t>
        </is>
      </c>
      <c r="S24" s="23" t="n"/>
      <c r="AD24" s="1" t="n"/>
      <c r="AH24" s="72" t="n"/>
    </row>
    <row r="25">
      <c r="B25" t="inlineStr">
        <is>
          <t>5NJNB</t>
        </is>
      </c>
      <c r="C25" t="inlineStr">
        <is>
          <t>A320</t>
        </is>
      </c>
      <c r="D25" t="inlineStr">
        <is>
          <t>Airbus</t>
        </is>
      </c>
      <c r="E25" t="inlineStr">
        <is>
          <t>A320-200</t>
        </is>
      </c>
      <c r="F25" t="inlineStr">
        <is>
          <t>DNMM</t>
        </is>
      </c>
      <c r="H25" s="5" t="n">
        <v>77000</v>
      </c>
      <c r="I25" t="n">
        <v>180</v>
      </c>
      <c r="K25" t="inlineStr">
        <is>
          <t>4678</t>
        </is>
      </c>
      <c r="L25" t="inlineStr">
        <is>
          <t>ACTIVE</t>
        </is>
      </c>
      <c r="N25" t="inlineStr">
        <is>
          <t>OPV-15</t>
        </is>
      </c>
      <c r="S25" s="23" t="n"/>
      <c r="AD25" s="1" t="n"/>
      <c r="AH25" s="72" t="n"/>
    </row>
    <row r="26">
      <c r="B26" t="inlineStr">
        <is>
          <t>5XEQU</t>
        </is>
      </c>
      <c r="C26" t="inlineStr">
        <is>
          <t>CRJ9</t>
        </is>
      </c>
      <c r="D26" t="inlineStr">
        <is>
          <t>Bombardier</t>
        </is>
      </c>
      <c r="E26" t="inlineStr">
        <is>
          <t>CRJ-900</t>
        </is>
      </c>
      <c r="F26" t="inlineStr">
        <is>
          <t>HUEN</t>
        </is>
      </c>
      <c r="H26" s="5" t="n">
        <v>36500</v>
      </c>
      <c r="I26" t="n">
        <v>90</v>
      </c>
      <c r="K26" t="inlineStr">
        <is>
          <t>15234</t>
        </is>
      </c>
      <c r="L26" t="inlineStr">
        <is>
          <t>ACTIVE</t>
        </is>
      </c>
      <c r="N26" t="inlineStr">
        <is>
          <t>OPV-09</t>
        </is>
      </c>
      <c r="S26" s="23" t="n"/>
      <c r="AD26" s="1" t="n"/>
      <c r="AH26" s="72" t="n"/>
    </row>
    <row r="27">
      <c r="B27" t="inlineStr">
        <is>
          <t>5XUBC</t>
        </is>
      </c>
      <c r="C27" t="inlineStr">
        <is>
          <t>A320</t>
        </is>
      </c>
      <c r="D27" t="inlineStr">
        <is>
          <t>Airbus</t>
        </is>
      </c>
      <c r="E27" t="inlineStr">
        <is>
          <t>A320-200</t>
        </is>
      </c>
      <c r="F27" t="inlineStr">
        <is>
          <t>HUEN</t>
        </is>
      </c>
      <c r="H27" s="5" t="n">
        <v>77000</v>
      </c>
      <c r="I27" t="n">
        <v>180</v>
      </c>
      <c r="K27" t="inlineStr">
        <is>
          <t>4567</t>
        </is>
      </c>
      <c r="L27" t="inlineStr">
        <is>
          <t>ACTIVE</t>
        </is>
      </c>
      <c r="N27" t="inlineStr">
        <is>
          <t>OPV-09</t>
        </is>
      </c>
      <c r="S27" s="23" t="n"/>
      <c r="AD27" s="1" t="n"/>
      <c r="AH27" s="72" t="n"/>
    </row>
    <row r="28">
      <c r="B28" t="inlineStr">
        <is>
          <t>5XUGH</t>
        </is>
      </c>
      <c r="C28" t="inlineStr">
        <is>
          <t>E190</t>
        </is>
      </c>
      <c r="D28" t="inlineStr">
        <is>
          <t>Embraer</t>
        </is>
      </c>
      <c r="E28" t="inlineStr">
        <is>
          <t>E-190</t>
        </is>
      </c>
      <c r="F28" t="inlineStr">
        <is>
          <t>HUEN</t>
        </is>
      </c>
      <c r="H28" s="5" t="n">
        <v>52290</v>
      </c>
      <c r="I28" t="n">
        <v>114</v>
      </c>
      <c r="K28" t="inlineStr">
        <is>
          <t>19000201</t>
        </is>
      </c>
      <c r="L28" t="inlineStr">
        <is>
          <t>ACTIVE</t>
        </is>
      </c>
      <c r="N28" t="inlineStr">
        <is>
          <t>OPV-09</t>
        </is>
      </c>
      <c r="S28" s="23" t="n"/>
      <c r="AD28" s="1" t="n"/>
      <c r="AH28" s="72" t="n"/>
    </row>
    <row r="29">
      <c r="B29" t="inlineStr">
        <is>
          <t>5YBHV</t>
        </is>
      </c>
      <c r="C29" t="inlineStr">
        <is>
          <t>DH8D</t>
        </is>
      </c>
      <c r="D29" t="inlineStr">
        <is>
          <t>De Havilland</t>
        </is>
      </c>
      <c r="E29" t="inlineStr">
        <is>
          <t>Dash 8 Q400</t>
        </is>
      </c>
      <c r="F29" t="inlineStr">
        <is>
          <t>HKJK</t>
        </is>
      </c>
      <c r="H29" s="5" t="n">
        <v>29260</v>
      </c>
      <c r="I29" t="n">
        <v>90</v>
      </c>
      <c r="K29" t="inlineStr">
        <is>
          <t>4302</t>
        </is>
      </c>
      <c r="L29" t="inlineStr">
        <is>
          <t>ACTIVE</t>
        </is>
      </c>
      <c r="N29" t="inlineStr">
        <is>
          <t>OPV-06</t>
        </is>
      </c>
      <c r="S29" s="23" t="n"/>
      <c r="AD29" s="1" t="n"/>
      <c r="AH29" s="72" t="n"/>
    </row>
    <row r="30">
      <c r="B30" t="inlineStr">
        <is>
          <t>5YCDS</t>
        </is>
      </c>
      <c r="C30" t="inlineStr">
        <is>
          <t>PC12</t>
        </is>
      </c>
      <c r="D30" t="inlineStr">
        <is>
          <t>Pilatus</t>
        </is>
      </c>
      <c r="E30" t="inlineStr">
        <is>
          <t>PC-12 NG</t>
        </is>
      </c>
      <c r="F30" t="inlineStr">
        <is>
          <t>HKMO</t>
        </is>
      </c>
      <c r="H30" s="5" t="n">
        <v>4740</v>
      </c>
      <c r="I30" t="n">
        <v>9</v>
      </c>
      <c r="K30" t="inlineStr">
        <is>
          <t>1423</t>
        </is>
      </c>
      <c r="L30" t="inlineStr">
        <is>
          <t>ACTIVE</t>
        </is>
      </c>
      <c r="N30" t="inlineStr">
        <is>
          <t>OPV-07</t>
        </is>
      </c>
      <c r="S30" s="23" t="n"/>
      <c r="AD30" s="1" t="n"/>
      <c r="AH30" s="72" t="n"/>
    </row>
    <row r="31">
      <c r="B31" t="inlineStr">
        <is>
          <t>5YCIL</t>
        </is>
      </c>
      <c r="C31" t="inlineStr">
        <is>
          <t>B744</t>
        </is>
      </c>
      <c r="D31" t="inlineStr">
        <is>
          <t>Boeing</t>
        </is>
      </c>
      <c r="E31" t="inlineStr">
        <is>
          <t>747-400F</t>
        </is>
      </c>
      <c r="F31" t="inlineStr">
        <is>
          <t>HKJK</t>
        </is>
      </c>
      <c r="H31" s="5" t="n">
        <v>396893</v>
      </c>
      <c r="I31" t="n">
        <v>0</v>
      </c>
      <c r="K31" t="inlineStr">
        <is>
          <t>32892</t>
        </is>
      </c>
      <c r="L31" t="inlineStr">
        <is>
          <t>ACTIVE</t>
        </is>
      </c>
      <c r="N31" t="inlineStr">
        <is>
          <t>OPV-41</t>
        </is>
      </c>
      <c r="S31" s="23" t="n"/>
      <c r="AD31" s="1" t="n"/>
      <c r="AH31" s="72" t="n"/>
    </row>
    <row r="32">
      <c r="B32" t="inlineStr">
        <is>
          <t>5YCYO</t>
        </is>
      </c>
      <c r="C32" t="inlineStr">
        <is>
          <t>C208</t>
        </is>
      </c>
      <c r="D32" t="inlineStr">
        <is>
          <t>Cessna</t>
        </is>
      </c>
      <c r="E32" t="inlineStr">
        <is>
          <t>208 Caravan</t>
        </is>
      </c>
      <c r="F32" t="inlineStr">
        <is>
          <t>HKMO</t>
        </is>
      </c>
      <c r="H32" s="5" t="n">
        <v>3969</v>
      </c>
      <c r="I32" t="n">
        <v>14</v>
      </c>
      <c r="K32" t="inlineStr">
        <is>
          <t>208-0567</t>
        </is>
      </c>
      <c r="L32" t="inlineStr">
        <is>
          <t>ACTIVE</t>
        </is>
      </c>
      <c r="N32" t="inlineStr">
        <is>
          <t>OPV-07</t>
        </is>
      </c>
      <c r="S32" s="23" t="n"/>
      <c r="AD32" s="1" t="n"/>
      <c r="AH32" s="72" t="n"/>
    </row>
    <row r="33">
      <c r="B33" t="inlineStr">
        <is>
          <t>5YFDJ</t>
        </is>
      </c>
      <c r="C33" t="inlineStr">
        <is>
          <t>AT72</t>
        </is>
      </c>
      <c r="D33" t="inlineStr">
        <is>
          <t>ATR</t>
        </is>
      </c>
      <c r="E33" t="inlineStr">
        <is>
          <t>ATR 72-600</t>
        </is>
      </c>
      <c r="F33" t="inlineStr">
        <is>
          <t>HKJK</t>
        </is>
      </c>
      <c r="H33" s="5" t="n">
        <v>23000</v>
      </c>
      <c r="I33" t="n">
        <v>78</v>
      </c>
      <c r="K33" t="inlineStr">
        <is>
          <t>1281</t>
        </is>
      </c>
      <c r="L33" t="inlineStr">
        <is>
          <t>ACTIVE</t>
        </is>
      </c>
      <c r="N33" t="inlineStr">
        <is>
          <t>OPV-06</t>
        </is>
      </c>
      <c r="S33" s="23" t="n"/>
      <c r="AD33" s="1" t="n"/>
      <c r="AH33" s="72" t="n"/>
    </row>
    <row r="34">
      <c r="B34" t="inlineStr">
        <is>
          <t>5YKQA</t>
        </is>
      </c>
      <c r="C34" t="inlineStr">
        <is>
          <t>B738</t>
        </is>
      </c>
      <c r="D34" t="inlineStr">
        <is>
          <t>Boeing</t>
        </is>
      </c>
      <c r="E34" t="inlineStr">
        <is>
          <t>737-800</t>
        </is>
      </c>
      <c r="F34" t="inlineStr">
        <is>
          <t>HKJK</t>
        </is>
      </c>
      <c r="H34" s="5" t="n">
        <v>79010</v>
      </c>
      <c r="I34" t="n">
        <v>189</v>
      </c>
      <c r="K34" t="inlineStr">
        <is>
          <t>35045</t>
        </is>
      </c>
      <c r="L34" t="inlineStr">
        <is>
          <t>ACTIVE</t>
        </is>
      </c>
      <c r="N34" t="inlineStr">
        <is>
          <t>OPV-05</t>
        </is>
      </c>
      <c r="S34" s="23" t="n"/>
      <c r="AD34" s="1" t="n"/>
      <c r="AH34" s="72" t="n"/>
    </row>
    <row r="35">
      <c r="B35" t="inlineStr">
        <is>
          <t>5YKQB</t>
        </is>
      </c>
      <c r="C35" t="inlineStr">
        <is>
          <t>B738</t>
        </is>
      </c>
      <c r="D35" t="inlineStr">
        <is>
          <t>Boeing</t>
        </is>
      </c>
      <c r="E35" t="inlineStr">
        <is>
          <t>737-800</t>
        </is>
      </c>
      <c r="F35" t="inlineStr">
        <is>
          <t>HKJK</t>
        </is>
      </c>
      <c r="H35" s="5" t="n">
        <v>79010</v>
      </c>
      <c r="I35" t="n">
        <v>189</v>
      </c>
      <c r="K35" t="inlineStr">
        <is>
          <t>35046</t>
        </is>
      </c>
      <c r="L35" t="inlineStr">
        <is>
          <t>ACTIVE</t>
        </is>
      </c>
      <c r="N35" t="inlineStr">
        <is>
          <t>OPV-05</t>
        </is>
      </c>
      <c r="S35" s="23" t="n"/>
      <c r="AD35" s="1" t="n"/>
      <c r="AH35" s="72" t="n"/>
    </row>
    <row r="36">
      <c r="B36" t="inlineStr">
        <is>
          <t>5YKQC</t>
        </is>
      </c>
      <c r="C36" t="inlineStr">
        <is>
          <t>B788</t>
        </is>
      </c>
      <c r="D36" t="inlineStr">
        <is>
          <t>Boeing</t>
        </is>
      </c>
      <c r="E36" t="inlineStr">
        <is>
          <t>787-8 Dreamliner</t>
        </is>
      </c>
      <c r="F36" t="inlineStr">
        <is>
          <t>HKJK</t>
        </is>
      </c>
      <c r="H36" s="5" t="n">
        <v>227930</v>
      </c>
      <c r="I36" t="n">
        <v>248</v>
      </c>
      <c r="K36" t="inlineStr">
        <is>
          <t>35510</t>
        </is>
      </c>
      <c r="L36" t="inlineStr">
        <is>
          <t>ACTIVE</t>
        </is>
      </c>
      <c r="N36" t="inlineStr">
        <is>
          <t>OPV-05</t>
        </is>
      </c>
      <c r="S36" s="23" t="n"/>
      <c r="AD36" s="1" t="n"/>
      <c r="AH36" s="72" t="n"/>
    </row>
    <row r="37">
      <c r="B37" t="inlineStr">
        <is>
          <t>5YKYQ</t>
        </is>
      </c>
      <c r="C37" t="inlineStr">
        <is>
          <t>A359</t>
        </is>
      </c>
      <c r="D37" t="inlineStr">
        <is>
          <t>Airbus</t>
        </is>
      </c>
      <c r="E37" t="inlineStr">
        <is>
          <t>A350-900</t>
        </is>
      </c>
      <c r="F37" t="inlineStr">
        <is>
          <t>HKJK</t>
        </is>
      </c>
      <c r="H37" s="5" t="n">
        <v>280000</v>
      </c>
      <c r="I37" t="n">
        <v>350</v>
      </c>
      <c r="K37" t="inlineStr">
        <is>
          <t>112</t>
        </is>
      </c>
      <c r="L37" t="inlineStr">
        <is>
          <t>ACTIVE</t>
        </is>
      </c>
      <c r="N37" t="inlineStr">
        <is>
          <t>OPV-05</t>
        </is>
      </c>
      <c r="S37" s="23" t="n"/>
      <c r="AD37" s="1" t="n"/>
      <c r="AH37" s="72" t="n"/>
    </row>
    <row r="38">
      <c r="B38" t="inlineStr">
        <is>
          <t>5YKZA</t>
        </is>
      </c>
      <c r="C38" t="inlineStr">
        <is>
          <t>E190</t>
        </is>
      </c>
      <c r="D38" t="inlineStr">
        <is>
          <t>Embraer</t>
        </is>
      </c>
      <c r="E38" t="inlineStr">
        <is>
          <t>E-190</t>
        </is>
      </c>
      <c r="F38" t="inlineStr">
        <is>
          <t>HKJK</t>
        </is>
      </c>
      <c r="H38" s="5" t="n">
        <v>52290</v>
      </c>
      <c r="I38" t="n">
        <v>114</v>
      </c>
      <c r="K38" t="inlineStr">
        <is>
          <t>19000156</t>
        </is>
      </c>
      <c r="L38" t="inlineStr">
        <is>
          <t>ACTIVE</t>
        </is>
      </c>
      <c r="N38" t="inlineStr">
        <is>
          <t>OPV-05</t>
        </is>
      </c>
      <c r="S38" s="23" t="n"/>
      <c r="AD38" s="1" t="n"/>
      <c r="AH38" s="72" t="n"/>
    </row>
    <row r="39">
      <c r="B39" t="inlineStr">
        <is>
          <t>5YSFC</t>
        </is>
      </c>
      <c r="C39" t="inlineStr">
        <is>
          <t>C208</t>
        </is>
      </c>
      <c r="D39" t="inlineStr">
        <is>
          <t>Cessna</t>
        </is>
      </c>
      <c r="E39" t="inlineStr">
        <is>
          <t>208 Caravan</t>
        </is>
      </c>
      <c r="F39" t="inlineStr">
        <is>
          <t>HKMO</t>
        </is>
      </c>
      <c r="H39" s="5" t="n">
        <v>3969</v>
      </c>
      <c r="I39" t="n">
        <v>14</v>
      </c>
      <c r="K39" t="inlineStr">
        <is>
          <t>208-0701</t>
        </is>
      </c>
      <c r="L39" t="inlineStr">
        <is>
          <t>ACTIVE</t>
        </is>
      </c>
      <c r="N39" t="inlineStr">
        <is>
          <t>OPV-07</t>
        </is>
      </c>
      <c r="S39" s="23" t="n"/>
      <c r="AD39" s="1" t="n"/>
      <c r="AH39" s="72" t="n"/>
    </row>
    <row r="40">
      <c r="B40" t="inlineStr">
        <is>
          <t>5YUVA</t>
        </is>
      </c>
      <c r="C40" t="inlineStr">
        <is>
          <t>C172</t>
        </is>
      </c>
      <c r="D40" t="inlineStr">
        <is>
          <t>Cessna</t>
        </is>
      </c>
      <c r="E40" t="inlineStr">
        <is>
          <t>172 Skyhawk</t>
        </is>
      </c>
      <c r="F40" t="inlineStr">
        <is>
          <t>HKMO</t>
        </is>
      </c>
      <c r="H40" s="5" t="n">
        <v>1157</v>
      </c>
      <c r="I40" t="n">
        <v>4</v>
      </c>
      <c r="K40" t="inlineStr">
        <is>
          <t>172S-10456</t>
        </is>
      </c>
      <c r="L40" t="inlineStr">
        <is>
          <t>ACTIVE</t>
        </is>
      </c>
      <c r="N40" t="inlineStr">
        <is>
          <t>OPV-07</t>
        </is>
      </c>
      <c r="S40" s="23" t="n"/>
      <c r="AD40" s="1" t="n"/>
      <c r="AH40" s="72" t="n"/>
    </row>
    <row r="41">
      <c r="B41" t="inlineStr">
        <is>
          <t>9GACI</t>
        </is>
      </c>
      <c r="C41" t="inlineStr">
        <is>
          <t>AT72</t>
        </is>
      </c>
      <c r="D41" t="inlineStr">
        <is>
          <t>ATR</t>
        </is>
      </c>
      <c r="E41" t="inlineStr">
        <is>
          <t>ATR 72-600</t>
        </is>
      </c>
      <c r="F41" t="inlineStr">
        <is>
          <t>DGAA</t>
        </is>
      </c>
      <c r="H41" s="5" t="n">
        <v>23000</v>
      </c>
      <c r="I41" t="n">
        <v>78</v>
      </c>
      <c r="K41" t="inlineStr">
        <is>
          <t>1312</t>
        </is>
      </c>
      <c r="L41" t="inlineStr">
        <is>
          <t>ACTIVE</t>
        </is>
      </c>
      <c r="N41" t="inlineStr">
        <is>
          <t>OPV-17</t>
        </is>
      </c>
      <c r="S41" s="23" t="n"/>
      <c r="AD41" s="1" t="n"/>
      <c r="AH41" s="72" t="n"/>
    </row>
    <row r="42">
      <c r="B42" t="inlineStr">
        <is>
          <t>9GAGE</t>
        </is>
      </c>
      <c r="C42" t="inlineStr">
        <is>
          <t>B738</t>
        </is>
      </c>
      <c r="D42" t="inlineStr">
        <is>
          <t>Boeing</t>
        </is>
      </c>
      <c r="E42" t="inlineStr">
        <is>
          <t>737-800</t>
        </is>
      </c>
      <c r="F42" t="inlineStr">
        <is>
          <t>DGAA</t>
        </is>
      </c>
      <c r="H42" s="5" t="n">
        <v>79010</v>
      </c>
      <c r="I42" t="n">
        <v>189</v>
      </c>
      <c r="K42" t="inlineStr">
        <is>
          <t>35189</t>
        </is>
      </c>
      <c r="L42" t="inlineStr">
        <is>
          <t>ACTIVE</t>
        </is>
      </c>
      <c r="N42" t="inlineStr">
        <is>
          <t>OPV-17</t>
        </is>
      </c>
      <c r="S42" s="23" t="n"/>
      <c r="AD42" s="1" t="n"/>
      <c r="AH42" s="72" t="n"/>
    </row>
    <row r="43">
      <c r="B43" t="inlineStr">
        <is>
          <t>9GAGF</t>
        </is>
      </c>
      <c r="C43" t="inlineStr">
        <is>
          <t>DH8D</t>
        </is>
      </c>
      <c r="D43" t="inlineStr">
        <is>
          <t>De Havilland</t>
        </is>
      </c>
      <c r="E43" t="inlineStr">
        <is>
          <t>Dash 8 Q400</t>
        </is>
      </c>
      <c r="F43" t="inlineStr">
        <is>
          <t>DGAA</t>
        </is>
      </c>
      <c r="H43" s="5" t="n">
        <v>29260</v>
      </c>
      <c r="I43" t="n">
        <v>90</v>
      </c>
      <c r="K43" t="inlineStr">
        <is>
          <t>4334</t>
        </is>
      </c>
      <c r="L43" t="inlineStr">
        <is>
          <t>ACTIVE</t>
        </is>
      </c>
      <c r="N43" t="inlineStr">
        <is>
          <t>OPV-17</t>
        </is>
      </c>
      <c r="S43" s="23" t="n"/>
      <c r="AD43" s="1" t="n"/>
      <c r="AH43" s="72" t="n"/>
    </row>
    <row r="44">
      <c r="B44" t="inlineStr">
        <is>
          <t>9MIII</t>
        </is>
      </c>
      <c r="C44" t="inlineStr">
        <is>
          <t>B738</t>
        </is>
      </c>
      <c r="H44" s="5" t="n">
        <v>79015</v>
      </c>
      <c r="L44" t="inlineStr">
        <is>
          <t>ACTIVE</t>
        </is>
      </c>
      <c r="N44" t="inlineStr">
        <is>
          <t>UAA-310</t>
        </is>
      </c>
      <c r="S44" s="23" t="n"/>
      <c r="AD44" s="1" t="n"/>
      <c r="AH44" s="72" t="n"/>
    </row>
    <row r="45">
      <c r="B45" t="inlineStr">
        <is>
          <t>9MTMJ</t>
        </is>
      </c>
      <c r="C45" t="inlineStr">
        <is>
          <t>GLF6</t>
        </is>
      </c>
      <c r="H45" s="5" t="n">
        <v>46992</v>
      </c>
      <c r="L45" t="inlineStr">
        <is>
          <t>ACTIVE</t>
        </is>
      </c>
      <c r="N45" t="inlineStr">
        <is>
          <t>UAA-309</t>
        </is>
      </c>
      <c r="S45" s="23" t="n"/>
      <c r="AD45" s="1" t="n"/>
      <c r="AH45" s="72" t="n"/>
    </row>
    <row r="46">
      <c r="B46" t="inlineStr">
        <is>
          <t>9XRWN</t>
        </is>
      </c>
      <c r="C46" t="inlineStr">
        <is>
          <t>A330</t>
        </is>
      </c>
      <c r="D46" t="inlineStr">
        <is>
          <t>Airbus</t>
        </is>
      </c>
      <c r="E46" t="inlineStr">
        <is>
          <t>A330-200</t>
        </is>
      </c>
      <c r="F46" t="inlineStr">
        <is>
          <t>HRYR</t>
        </is>
      </c>
      <c r="H46" s="5" t="n">
        <v>242000</v>
      </c>
      <c r="I46" t="n">
        <v>345</v>
      </c>
      <c r="K46" t="inlineStr">
        <is>
          <t>1759</t>
        </is>
      </c>
      <c r="L46" t="inlineStr">
        <is>
          <t>ACTIVE</t>
        </is>
      </c>
      <c r="N46" t="inlineStr">
        <is>
          <t>OPV-10</t>
        </is>
      </c>
      <c r="S46" s="23" t="n"/>
      <c r="AD46" s="1" t="n"/>
      <c r="AH46" s="72" t="n"/>
    </row>
    <row r="47">
      <c r="B47" t="inlineStr">
        <is>
          <t>9XRWQ</t>
        </is>
      </c>
      <c r="C47" t="inlineStr">
        <is>
          <t>A330</t>
        </is>
      </c>
      <c r="D47" t="inlineStr">
        <is>
          <t>Airbus</t>
        </is>
      </c>
      <c r="E47" t="inlineStr">
        <is>
          <t>A330-200</t>
        </is>
      </c>
      <c r="F47" t="inlineStr">
        <is>
          <t>HRYR</t>
        </is>
      </c>
      <c r="H47" s="5" t="n">
        <v>242000</v>
      </c>
      <c r="I47" t="n">
        <v>345</v>
      </c>
      <c r="K47" t="inlineStr">
        <is>
          <t>1847</t>
        </is>
      </c>
      <c r="L47" t="inlineStr">
        <is>
          <t>ACTIVE</t>
        </is>
      </c>
      <c r="N47" t="inlineStr">
        <is>
          <t>OPV-10</t>
        </is>
      </c>
      <c r="S47" s="23" t="n"/>
      <c r="AD47" s="1" t="n"/>
      <c r="AH47" s="72" t="n"/>
    </row>
    <row r="48">
      <c r="B48" t="inlineStr">
        <is>
          <t>9XRWU</t>
        </is>
      </c>
      <c r="C48" t="inlineStr">
        <is>
          <t>B738</t>
        </is>
      </c>
      <c r="D48" t="inlineStr">
        <is>
          <t>Boeing</t>
        </is>
      </c>
      <c r="E48" t="inlineStr">
        <is>
          <t>737-800</t>
        </is>
      </c>
      <c r="F48" t="inlineStr">
        <is>
          <t>HRYR</t>
        </is>
      </c>
      <c r="H48" s="5" t="n">
        <v>79010</v>
      </c>
      <c r="I48" t="n">
        <v>189</v>
      </c>
      <c r="K48" t="inlineStr">
        <is>
          <t>35102</t>
        </is>
      </c>
      <c r="L48" t="inlineStr">
        <is>
          <t>ACTIVE</t>
        </is>
      </c>
      <c r="N48" t="inlineStr">
        <is>
          <t>OPV-10</t>
        </is>
      </c>
      <c r="S48" s="23" t="n"/>
      <c r="AD48" s="1" t="n"/>
      <c r="AH48" s="72" t="n"/>
    </row>
    <row r="49">
      <c r="B49" t="inlineStr">
        <is>
          <t>9XRWV</t>
        </is>
      </c>
      <c r="C49" t="inlineStr">
        <is>
          <t>B738</t>
        </is>
      </c>
      <c r="D49" t="inlineStr">
        <is>
          <t>Boeing</t>
        </is>
      </c>
      <c r="E49" t="inlineStr">
        <is>
          <t>737-800</t>
        </is>
      </c>
      <c r="F49" t="inlineStr">
        <is>
          <t>HRYR</t>
        </is>
      </c>
      <c r="H49" s="5" t="n">
        <v>79010</v>
      </c>
      <c r="I49" t="n">
        <v>189</v>
      </c>
      <c r="K49" t="inlineStr">
        <is>
          <t>35103</t>
        </is>
      </c>
      <c r="L49" t="inlineStr">
        <is>
          <t>ACTIVE</t>
        </is>
      </c>
      <c r="N49" t="inlineStr">
        <is>
          <t>OPV-10</t>
        </is>
      </c>
      <c r="S49" s="23" t="n"/>
      <c r="AD49" s="1" t="n"/>
      <c r="AH49" s="72" t="n"/>
    </row>
    <row r="50">
      <c r="B50" t="inlineStr">
        <is>
          <t>9XRWW</t>
        </is>
      </c>
      <c r="C50" t="inlineStr">
        <is>
          <t>CRJ9</t>
        </is>
      </c>
      <c r="D50" t="inlineStr">
        <is>
          <t>Bombardier</t>
        </is>
      </c>
      <c r="E50" t="inlineStr">
        <is>
          <t>CRJ-900</t>
        </is>
      </c>
      <c r="F50" t="inlineStr">
        <is>
          <t>HRYR</t>
        </is>
      </c>
      <c r="H50" s="5" t="n">
        <v>36500</v>
      </c>
      <c r="I50" t="n">
        <v>90</v>
      </c>
      <c r="K50" t="inlineStr">
        <is>
          <t>15278</t>
        </is>
      </c>
      <c r="L50" t="inlineStr">
        <is>
          <t>ACTIVE</t>
        </is>
      </c>
      <c r="N50" t="inlineStr">
        <is>
          <t>OPV-10</t>
        </is>
      </c>
      <c r="S50" s="23" t="n"/>
      <c r="AD50" s="1" t="n"/>
      <c r="AH50" s="72" t="n"/>
    </row>
    <row r="51">
      <c r="B51" t="inlineStr">
        <is>
          <t>A6AIN</t>
        </is>
      </c>
      <c r="C51" t="inlineStr">
        <is>
          <t>GLF5</t>
        </is>
      </c>
      <c r="D51" t="inlineStr">
        <is>
          <t>Gulfstream</t>
        </is>
      </c>
      <c r="E51" t="inlineStr">
        <is>
          <t>G550</t>
        </is>
      </c>
      <c r="F51" t="inlineStr">
        <is>
          <t>OMDB</t>
        </is>
      </c>
      <c r="H51" s="5" t="n">
        <v>41277</v>
      </c>
      <c r="I51" t="n">
        <v>19</v>
      </c>
      <c r="K51" t="inlineStr">
        <is>
          <t>5512</t>
        </is>
      </c>
      <c r="L51" t="inlineStr">
        <is>
          <t>ACTIVE</t>
        </is>
      </c>
      <c r="N51" t="inlineStr">
        <is>
          <t>OPV-40</t>
        </is>
      </c>
      <c r="S51" s="23" t="n"/>
      <c r="AD51" s="1" t="n"/>
      <c r="AH51" s="72" t="n"/>
    </row>
    <row r="52">
      <c r="B52" t="inlineStr">
        <is>
          <t>A6EPF</t>
        </is>
      </c>
      <c r="C52" t="inlineStr">
        <is>
          <t>B789</t>
        </is>
      </c>
      <c r="D52" t="inlineStr">
        <is>
          <t>Boeing</t>
        </is>
      </c>
      <c r="E52" t="inlineStr">
        <is>
          <t>787-9</t>
        </is>
      </c>
      <c r="F52" t="inlineStr">
        <is>
          <t>OMDB</t>
        </is>
      </c>
      <c r="H52" s="5" t="n">
        <v>254011</v>
      </c>
      <c r="I52" t="n">
        <v>296</v>
      </c>
      <c r="K52" t="inlineStr">
        <is>
          <t>38756</t>
        </is>
      </c>
      <c r="L52" t="inlineStr">
        <is>
          <t>ACTIVE</t>
        </is>
      </c>
      <c r="N52" t="inlineStr">
        <is>
          <t>OPV-37</t>
        </is>
      </c>
      <c r="S52" s="23" t="n"/>
      <c r="AD52" s="1" t="n"/>
      <c r="AH52" s="72" t="n"/>
    </row>
    <row r="53">
      <c r="B53" t="inlineStr">
        <is>
          <t>A6HMS</t>
        </is>
      </c>
      <c r="C53" t="inlineStr">
        <is>
          <t>B77W</t>
        </is>
      </c>
      <c r="D53" t="inlineStr">
        <is>
          <t>Boeing</t>
        </is>
      </c>
      <c r="E53" t="inlineStr">
        <is>
          <t>777-300ER</t>
        </is>
      </c>
      <c r="F53" t="inlineStr">
        <is>
          <t>OMDB</t>
        </is>
      </c>
      <c r="H53" s="5" t="n">
        <v>351534</v>
      </c>
      <c r="I53" t="n">
        <v>396</v>
      </c>
      <c r="K53" t="inlineStr">
        <is>
          <t>38845</t>
        </is>
      </c>
      <c r="L53" t="inlineStr">
        <is>
          <t>ACTIVE</t>
        </is>
      </c>
      <c r="N53" t="inlineStr">
        <is>
          <t>OPV-37</t>
        </is>
      </c>
      <c r="S53" s="23" t="n"/>
      <c r="AD53" s="1" t="n"/>
      <c r="AH53" s="72" t="n"/>
    </row>
    <row r="54">
      <c r="B54" t="inlineStr">
        <is>
          <t>A6HRS</t>
        </is>
      </c>
      <c r="C54" t="inlineStr">
        <is>
          <t>B748</t>
        </is>
      </c>
      <c r="D54" t="inlineStr">
        <is>
          <t>Boeing</t>
        </is>
      </c>
      <c r="E54" t="inlineStr">
        <is>
          <t>747-8</t>
        </is>
      </c>
      <c r="F54" t="inlineStr">
        <is>
          <t>OMDB</t>
        </is>
      </c>
      <c r="H54" s="5" t="n">
        <v>447696</v>
      </c>
      <c r="I54" t="n">
        <v>100</v>
      </c>
      <c r="K54" t="inlineStr">
        <is>
          <t>37867</t>
        </is>
      </c>
      <c r="L54" t="inlineStr">
        <is>
          <t>ACTIVE</t>
        </is>
      </c>
      <c r="N54" t="inlineStr">
        <is>
          <t>OPV-37</t>
        </is>
      </c>
      <c r="S54" s="23" t="n"/>
      <c r="AD54" s="1" t="n"/>
      <c r="AH54" s="72" t="n"/>
    </row>
    <row r="55">
      <c r="B55" t="inlineStr">
        <is>
          <t>A6PFA</t>
        </is>
      </c>
      <c r="C55" t="inlineStr">
        <is>
          <t>A319</t>
        </is>
      </c>
      <c r="D55" t="inlineStr">
        <is>
          <t>Airbus</t>
        </is>
      </c>
      <c r="E55" t="inlineStr">
        <is>
          <t>ACJ319</t>
        </is>
      </c>
      <c r="F55" t="inlineStr">
        <is>
          <t>OMDB</t>
        </is>
      </c>
      <c r="H55" s="5" t="n">
        <v>75500</v>
      </c>
      <c r="I55" t="n">
        <v>39</v>
      </c>
      <c r="K55" t="inlineStr">
        <is>
          <t>3567</t>
        </is>
      </c>
      <c r="L55" t="inlineStr">
        <is>
          <t>ACTIVE</t>
        </is>
      </c>
      <c r="N55" t="inlineStr">
        <is>
          <t>OPV-38</t>
        </is>
      </c>
      <c r="S55" s="23" t="n"/>
      <c r="AD55" s="1" t="n"/>
      <c r="AH55" s="72" t="n"/>
    </row>
    <row r="56">
      <c r="B56" t="inlineStr">
        <is>
          <t>A6RJU</t>
        </is>
      </c>
      <c r="C56" t="inlineStr">
        <is>
          <t>GLF6</t>
        </is>
      </c>
      <c r="D56" t="inlineStr">
        <is>
          <t>Gulfstream</t>
        </is>
      </c>
      <c r="E56" t="inlineStr">
        <is>
          <t>G650ER</t>
        </is>
      </c>
      <c r="F56" t="inlineStr">
        <is>
          <t>OMDB</t>
        </is>
      </c>
      <c r="H56" s="5" t="n">
        <v>45178</v>
      </c>
      <c r="I56" t="n">
        <v>19</v>
      </c>
      <c r="K56" t="inlineStr">
        <is>
          <t>6323</t>
        </is>
      </c>
      <c r="L56" t="inlineStr">
        <is>
          <t>ACTIVE</t>
        </is>
      </c>
      <c r="N56" t="inlineStr">
        <is>
          <t>OPV-39</t>
        </is>
      </c>
      <c r="S56" s="23" t="n"/>
      <c r="AD56" s="1" t="n"/>
      <c r="AH56" s="72" t="n"/>
    </row>
    <row r="57">
      <c r="B57" t="inlineStr">
        <is>
          <t>B651H</t>
        </is>
      </c>
      <c r="C57" t="inlineStr">
        <is>
          <t>GLEX</t>
        </is>
      </c>
      <c r="H57" s="5" t="n">
        <v>45178</v>
      </c>
      <c r="L57" t="inlineStr">
        <is>
          <t>ACTIVE</t>
        </is>
      </c>
      <c r="N57" t="inlineStr">
        <is>
          <t>UAA-277</t>
        </is>
      </c>
      <c r="S57" s="23" t="n"/>
      <c r="AD57" s="1" t="n"/>
      <c r="AH57" s="72" t="n"/>
    </row>
    <row r="58">
      <c r="B58" t="inlineStr">
        <is>
          <t>B652E</t>
        </is>
      </c>
      <c r="C58" t="inlineStr">
        <is>
          <t>GLF6</t>
        </is>
      </c>
      <c r="H58" s="5" t="n">
        <v>46992</v>
      </c>
      <c r="L58" t="inlineStr">
        <is>
          <t>ACTIVE</t>
        </is>
      </c>
      <c r="N58" t="inlineStr">
        <is>
          <t>UAA-006</t>
        </is>
      </c>
      <c r="S58" s="23" t="n"/>
      <c r="AD58" s="1" t="n"/>
      <c r="AH58" s="72" t="n"/>
    </row>
    <row r="59">
      <c r="B59" t="inlineStr">
        <is>
          <t>B8196</t>
        </is>
      </c>
      <c r="C59" t="inlineStr">
        <is>
          <t>GLEX</t>
        </is>
      </c>
      <c r="H59" s="5" t="n">
        <v>45132</v>
      </c>
      <c r="L59" t="inlineStr">
        <is>
          <t>ACTIVE</t>
        </is>
      </c>
      <c r="N59" t="inlineStr">
        <is>
          <t>UAA-006</t>
        </is>
      </c>
      <c r="S59" s="23" t="n"/>
      <c r="AD59" s="1" t="n"/>
      <c r="AH59" s="72" t="n"/>
    </row>
    <row r="60">
      <c r="B60" t="inlineStr">
        <is>
          <t>B8260</t>
        </is>
      </c>
      <c r="C60" t="inlineStr">
        <is>
          <t>GLF5</t>
        </is>
      </c>
      <c r="H60" s="5" t="n">
        <v>41277</v>
      </c>
      <c r="L60" t="inlineStr">
        <is>
          <t>ACTIVE</t>
        </is>
      </c>
      <c r="N60" t="inlineStr">
        <is>
          <t>UAA-007</t>
        </is>
      </c>
      <c r="S60" s="23" t="n"/>
      <c r="AD60" s="1" t="n"/>
      <c r="AH60" s="72" t="n"/>
    </row>
    <row r="61">
      <c r="B61" t="inlineStr">
        <is>
          <t>BKVC</t>
        </is>
      </c>
      <c r="C61" t="inlineStr">
        <is>
          <t>GLF5</t>
        </is>
      </c>
      <c r="H61" s="5" t="n">
        <v>41277</v>
      </c>
      <c r="L61" t="inlineStr">
        <is>
          <t>ACTIVE</t>
        </is>
      </c>
      <c r="N61" t="inlineStr">
        <is>
          <t>UAA-008</t>
        </is>
      </c>
      <c r="S61" s="23" t="n"/>
      <c r="AD61" s="1" t="n"/>
      <c r="AH61" s="72" t="n"/>
    </row>
    <row r="62">
      <c r="B62" t="inlineStr">
        <is>
          <t>CFXDB</t>
        </is>
      </c>
      <c r="C62" t="inlineStr">
        <is>
          <t>GLEX</t>
        </is>
      </c>
      <c r="H62" s="5" t="n">
        <v>45132</v>
      </c>
      <c r="L62" t="inlineStr">
        <is>
          <t>ACTIVE</t>
        </is>
      </c>
      <c r="N62" t="inlineStr">
        <is>
          <t>UAA-010</t>
        </is>
      </c>
      <c r="S62" s="23" t="n"/>
      <c r="AD62" s="1" t="n"/>
      <c r="AH62" s="72" t="n"/>
    </row>
    <row r="63">
      <c r="B63" t="inlineStr">
        <is>
          <t>CGCUL</t>
        </is>
      </c>
      <c r="C63" t="inlineStr">
        <is>
          <t>FA7X</t>
        </is>
      </c>
      <c r="H63" s="5" t="n">
        <v>33112</v>
      </c>
      <c r="L63" t="inlineStr">
        <is>
          <t>ACTIVE</t>
        </is>
      </c>
      <c r="N63" t="inlineStr">
        <is>
          <t>UAA-262</t>
        </is>
      </c>
      <c r="S63" s="23" t="n"/>
      <c r="AD63" s="1" t="n"/>
      <c r="AH63" s="72" t="n"/>
    </row>
    <row r="64">
      <c r="B64" t="inlineStr">
        <is>
          <t>CNRGB</t>
        </is>
      </c>
      <c r="C64" t="inlineStr">
        <is>
          <t>A320</t>
        </is>
      </c>
      <c r="D64" t="inlineStr">
        <is>
          <t>Airbus</t>
        </is>
      </c>
      <c r="E64" t="inlineStr">
        <is>
          <t>A320-200</t>
        </is>
      </c>
      <c r="F64" t="inlineStr">
        <is>
          <t>GMMN</t>
        </is>
      </c>
      <c r="H64" s="5" t="n">
        <v>77000</v>
      </c>
      <c r="I64" t="n">
        <v>180</v>
      </c>
      <c r="K64" t="inlineStr">
        <is>
          <t>4712</t>
        </is>
      </c>
      <c r="L64" t="inlineStr">
        <is>
          <t>ACTIVE</t>
        </is>
      </c>
      <c r="N64" t="inlineStr">
        <is>
          <t>OPV-18</t>
        </is>
      </c>
      <c r="S64" s="23" t="n"/>
      <c r="AD64" s="1" t="n"/>
      <c r="AH64" s="72" t="n"/>
    </row>
    <row r="65">
      <c r="B65" t="inlineStr">
        <is>
          <t>CNROG</t>
        </is>
      </c>
      <c r="C65" t="inlineStr">
        <is>
          <t>E190</t>
        </is>
      </c>
      <c r="D65" t="inlineStr">
        <is>
          <t>Embraer</t>
        </is>
      </c>
      <c r="E65" t="inlineStr">
        <is>
          <t>E-190</t>
        </is>
      </c>
      <c r="F65" t="inlineStr">
        <is>
          <t>GMMN</t>
        </is>
      </c>
      <c r="H65" s="5" t="n">
        <v>52290</v>
      </c>
      <c r="I65" t="n">
        <v>114</v>
      </c>
      <c r="K65" t="inlineStr">
        <is>
          <t>19000345</t>
        </is>
      </c>
      <c r="L65" t="inlineStr">
        <is>
          <t>ACTIVE</t>
        </is>
      </c>
      <c r="N65" t="inlineStr">
        <is>
          <t>OPV-19</t>
        </is>
      </c>
      <c r="S65" s="23" t="n"/>
      <c r="AD65" s="1" t="n"/>
      <c r="AH65" s="72" t="n"/>
    </row>
    <row r="66">
      <c r="B66" t="inlineStr">
        <is>
          <t>CNROP</t>
        </is>
      </c>
      <c r="C66" t="inlineStr">
        <is>
          <t>B738</t>
        </is>
      </c>
      <c r="D66" t="inlineStr">
        <is>
          <t>Boeing</t>
        </is>
      </c>
      <c r="E66" t="inlineStr">
        <is>
          <t>737-800</t>
        </is>
      </c>
      <c r="F66" t="inlineStr">
        <is>
          <t>GMMN</t>
        </is>
      </c>
      <c r="H66" s="5" t="n">
        <v>79010</v>
      </c>
      <c r="I66" t="n">
        <v>189</v>
      </c>
      <c r="K66" t="inlineStr">
        <is>
          <t>35201</t>
        </is>
      </c>
      <c r="L66" t="inlineStr">
        <is>
          <t>ACTIVE</t>
        </is>
      </c>
      <c r="N66" t="inlineStr">
        <is>
          <t>OPV-18</t>
        </is>
      </c>
      <c r="S66" s="23" t="n"/>
      <c r="AD66" s="1" t="n"/>
      <c r="AH66" s="72" t="n"/>
    </row>
    <row r="67">
      <c r="B67" t="inlineStr">
        <is>
          <t>CNROQ</t>
        </is>
      </c>
      <c r="C67" t="inlineStr">
        <is>
          <t>B788</t>
        </is>
      </c>
      <c r="D67" t="inlineStr">
        <is>
          <t>Boeing</t>
        </is>
      </c>
      <c r="E67" t="inlineStr">
        <is>
          <t>787-8</t>
        </is>
      </c>
      <c r="F67" t="inlineStr">
        <is>
          <t>GMMN</t>
        </is>
      </c>
      <c r="H67" s="5" t="n">
        <v>227930</v>
      </c>
      <c r="I67" t="n">
        <v>248</v>
      </c>
      <c r="K67" t="inlineStr">
        <is>
          <t>34512</t>
        </is>
      </c>
      <c r="L67" t="inlineStr">
        <is>
          <t>ACTIVE</t>
        </is>
      </c>
      <c r="N67" t="inlineStr">
        <is>
          <t>OPV-18</t>
        </is>
      </c>
      <c r="S67" s="23" t="n"/>
      <c r="AD67" s="1" t="n"/>
      <c r="AH67" s="72" t="n"/>
    </row>
    <row r="68">
      <c r="B68" t="inlineStr">
        <is>
          <t>D2ANH</t>
        </is>
      </c>
      <c r="C68" t="inlineStr">
        <is>
          <t>GLEX</t>
        </is>
      </c>
      <c r="H68" s="5" t="n">
        <v>44452</v>
      </c>
      <c r="L68" t="inlineStr">
        <is>
          <t>ACTIVE</t>
        </is>
      </c>
      <c r="N68" t="inlineStr">
        <is>
          <t>UAA-011</t>
        </is>
      </c>
      <c r="S68" s="23" t="n"/>
      <c r="AD68" s="1" t="n"/>
      <c r="AH68" s="72" t="n"/>
    </row>
    <row r="69">
      <c r="B69" t="inlineStr">
        <is>
          <t>D2EEA</t>
        </is>
      </c>
      <c r="C69" t="inlineStr">
        <is>
          <t>DH8D</t>
        </is>
      </c>
      <c r="H69" s="5" t="n">
        <v>29574</v>
      </c>
      <c r="L69" t="inlineStr">
        <is>
          <t>ACTIVE</t>
        </is>
      </c>
      <c r="N69" t="inlineStr">
        <is>
          <t>UAA-011</t>
        </is>
      </c>
      <c r="S69" s="23" t="n"/>
      <c r="AD69" s="1" t="n"/>
      <c r="AH69" s="72" t="n"/>
    </row>
    <row r="70">
      <c r="B70" t="inlineStr">
        <is>
          <t>DCNEU</t>
        </is>
      </c>
      <c r="C70" t="inlineStr">
        <is>
          <t>D228</t>
        </is>
      </c>
      <c r="H70" s="5" t="n">
        <v>6400</v>
      </c>
      <c r="L70" t="inlineStr">
        <is>
          <t>ACTIVE</t>
        </is>
      </c>
      <c r="N70" t="inlineStr">
        <is>
          <t>UAA-001</t>
        </is>
      </c>
      <c r="S70" s="23" t="n"/>
      <c r="AD70" s="1" t="n"/>
      <c r="AH70" s="72" t="n"/>
    </row>
    <row r="71">
      <c r="B71" t="inlineStr">
        <is>
          <t>ETAOA</t>
        </is>
      </c>
      <c r="C71" t="inlineStr">
        <is>
          <t>B762</t>
        </is>
      </c>
      <c r="D71" t="inlineStr">
        <is>
          <t>Boeing</t>
        </is>
      </c>
      <c r="E71" t="inlineStr">
        <is>
          <t>767-200</t>
        </is>
      </c>
      <c r="F71" t="inlineStr">
        <is>
          <t>HAAB</t>
        </is>
      </c>
      <c r="H71" s="5" t="n">
        <v>179170</v>
      </c>
      <c r="I71" t="n">
        <v>245</v>
      </c>
      <c r="K71" t="inlineStr">
        <is>
          <t>23912</t>
        </is>
      </c>
      <c r="L71" t="inlineStr">
        <is>
          <t>ACTIVE</t>
        </is>
      </c>
      <c r="N71" t="inlineStr">
        <is>
          <t>OPV-08</t>
        </is>
      </c>
      <c r="S71" s="23" t="n"/>
      <c r="AD71" s="1" t="n"/>
      <c r="AH71" s="72" t="n"/>
    </row>
    <row r="72">
      <c r="B72" t="inlineStr">
        <is>
          <t>ETAQL</t>
        </is>
      </c>
      <c r="C72" t="inlineStr">
        <is>
          <t>B788</t>
        </is>
      </c>
      <c r="D72" t="inlineStr">
        <is>
          <t>Boeing</t>
        </is>
      </c>
      <c r="E72" t="inlineStr">
        <is>
          <t>787-8</t>
        </is>
      </c>
      <c r="F72" t="inlineStr">
        <is>
          <t>HAAB</t>
        </is>
      </c>
      <c r="H72" s="5" t="n">
        <v>227930</v>
      </c>
      <c r="I72" t="n">
        <v>248</v>
      </c>
      <c r="K72" t="inlineStr">
        <is>
          <t>34486</t>
        </is>
      </c>
      <c r="L72" t="inlineStr">
        <is>
          <t>ACTIVE</t>
        </is>
      </c>
      <c r="N72" t="inlineStr">
        <is>
          <t>OPV-08</t>
        </is>
      </c>
      <c r="S72" s="23" t="n"/>
      <c r="AD72" s="1" t="n"/>
      <c r="AH72" s="72" t="n"/>
    </row>
    <row r="73">
      <c r="B73" t="inlineStr">
        <is>
          <t>ETARH</t>
        </is>
      </c>
      <c r="C73" t="inlineStr">
        <is>
          <t>B77L</t>
        </is>
      </c>
      <c r="D73" t="inlineStr">
        <is>
          <t>Boeing</t>
        </is>
      </c>
      <c r="E73" t="inlineStr">
        <is>
          <t>777-200F</t>
        </is>
      </c>
      <c r="F73" t="inlineStr">
        <is>
          <t>HAAB</t>
        </is>
      </c>
      <c r="H73" s="5" t="n">
        <v>347450</v>
      </c>
      <c r="I73" t="n">
        <v>0</v>
      </c>
      <c r="K73" t="inlineStr">
        <is>
          <t>38901</t>
        </is>
      </c>
      <c r="L73" t="inlineStr">
        <is>
          <t>ACTIVE</t>
        </is>
      </c>
      <c r="N73" t="inlineStr">
        <is>
          <t>OPV-42</t>
        </is>
      </c>
      <c r="S73" s="23" t="n"/>
      <c r="AD73" s="1" t="n"/>
      <c r="AH73" s="72" t="n"/>
    </row>
    <row r="74">
      <c r="B74" t="inlineStr">
        <is>
          <t>ETASL</t>
        </is>
      </c>
      <c r="C74" t="inlineStr">
        <is>
          <t>AT72</t>
        </is>
      </c>
      <c r="D74" t="inlineStr">
        <is>
          <t>ATR</t>
        </is>
      </c>
      <c r="E74" t="inlineStr">
        <is>
          <t>ATR 72-500</t>
        </is>
      </c>
      <c r="F74" t="inlineStr">
        <is>
          <t>HAAB</t>
        </is>
      </c>
      <c r="H74" s="5" t="n">
        <v>22800</v>
      </c>
      <c r="I74" t="n">
        <v>74</v>
      </c>
      <c r="K74" t="inlineStr">
        <is>
          <t>722-0156</t>
        </is>
      </c>
      <c r="L74" t="inlineStr">
        <is>
          <t>ACTIVE</t>
        </is>
      </c>
      <c r="N74" t="inlineStr">
        <is>
          <t>OPV-08</t>
        </is>
      </c>
      <c r="S74" s="23" t="n"/>
      <c r="AD74" s="1" t="n"/>
      <c r="AH74" s="72" t="n"/>
    </row>
    <row r="75">
      <c r="B75" t="inlineStr">
        <is>
          <t>ETATY</t>
        </is>
      </c>
      <c r="C75" t="inlineStr">
        <is>
          <t>B738</t>
        </is>
      </c>
      <c r="D75" t="inlineStr">
        <is>
          <t>Boeing</t>
        </is>
      </c>
      <c r="E75" t="inlineStr">
        <is>
          <t>737-800</t>
        </is>
      </c>
      <c r="F75" t="inlineStr">
        <is>
          <t>HAAB</t>
        </is>
      </c>
      <c r="H75" s="5" t="n">
        <v>79010</v>
      </c>
      <c r="I75" t="n">
        <v>189</v>
      </c>
      <c r="K75" t="inlineStr">
        <is>
          <t>35078</t>
        </is>
      </c>
      <c r="L75" t="inlineStr">
        <is>
          <t>ACTIVE</t>
        </is>
      </c>
      <c r="N75" t="inlineStr">
        <is>
          <t>OPV-08</t>
        </is>
      </c>
      <c r="S75" s="23" t="n"/>
      <c r="AD75" s="1" t="n"/>
      <c r="AH75" s="72" t="n"/>
    </row>
    <row r="76">
      <c r="B76" t="inlineStr">
        <is>
          <t>ETAUO</t>
        </is>
      </c>
      <c r="C76" t="inlineStr">
        <is>
          <t>A359</t>
        </is>
      </c>
      <c r="D76" t="inlineStr">
        <is>
          <t>Airbus</t>
        </is>
      </c>
      <c r="E76" t="inlineStr">
        <is>
          <t>A350-900</t>
        </is>
      </c>
      <c r="F76" t="inlineStr">
        <is>
          <t>HAAB</t>
        </is>
      </c>
      <c r="H76" s="5" t="n">
        <v>280000</v>
      </c>
      <c r="I76" t="n">
        <v>350</v>
      </c>
      <c r="K76" t="inlineStr">
        <is>
          <t>89</t>
        </is>
      </c>
      <c r="L76" t="inlineStr">
        <is>
          <t>ACTIVE</t>
        </is>
      </c>
      <c r="N76" t="inlineStr">
        <is>
          <t>OPV-08</t>
        </is>
      </c>
      <c r="S76" s="23" t="n"/>
      <c r="AD76" s="1" t="n"/>
      <c r="AH76" s="72" t="n"/>
    </row>
    <row r="77">
      <c r="B77" t="inlineStr">
        <is>
          <t>ETAVE</t>
        </is>
      </c>
      <c r="C77" t="inlineStr">
        <is>
          <t>DH8D</t>
        </is>
      </c>
      <c r="D77" t="inlineStr">
        <is>
          <t>De Havilland</t>
        </is>
      </c>
      <c r="E77" t="inlineStr">
        <is>
          <t>Dash 8 Q400</t>
        </is>
      </c>
      <c r="F77" t="inlineStr">
        <is>
          <t>HAAB</t>
        </is>
      </c>
      <c r="H77" s="5" t="n">
        <v>29260</v>
      </c>
      <c r="I77" t="n">
        <v>90</v>
      </c>
      <c r="K77" t="inlineStr">
        <is>
          <t>4312</t>
        </is>
      </c>
      <c r="L77" t="inlineStr">
        <is>
          <t>ACTIVE</t>
        </is>
      </c>
      <c r="N77" t="inlineStr">
        <is>
          <t>OPV-08</t>
        </is>
      </c>
      <c r="S77" s="23" t="n"/>
      <c r="AD77" s="1" t="n"/>
      <c r="AH77" s="72" t="n"/>
    </row>
    <row r="78">
      <c r="B78" t="inlineStr">
        <is>
          <t>ETAVO</t>
        </is>
      </c>
      <c r="C78" t="inlineStr">
        <is>
          <t>B738</t>
        </is>
      </c>
      <c r="D78" t="inlineStr">
        <is>
          <t>Boeing</t>
        </is>
      </c>
      <c r="E78" t="inlineStr">
        <is>
          <t>737-800</t>
        </is>
      </c>
      <c r="F78" t="inlineStr">
        <is>
          <t>HAAB</t>
        </is>
      </c>
      <c r="H78" s="5" t="n">
        <v>79010</v>
      </c>
      <c r="I78" t="n">
        <v>189</v>
      </c>
      <c r="K78" t="inlineStr">
        <is>
          <t>35089</t>
        </is>
      </c>
      <c r="L78" t="inlineStr">
        <is>
          <t>ACTIVE</t>
        </is>
      </c>
      <c r="N78" t="inlineStr">
        <is>
          <t>OPV-08</t>
        </is>
      </c>
      <c r="S78" s="23" t="n"/>
      <c r="AD78" s="1" t="n"/>
      <c r="AH78" s="72" t="n"/>
    </row>
    <row r="79">
      <c r="B79" t="inlineStr">
        <is>
          <t>ETAWQ</t>
        </is>
      </c>
      <c r="C79" t="inlineStr">
        <is>
          <t>B77W</t>
        </is>
      </c>
      <c r="D79" t="inlineStr">
        <is>
          <t>Boeing</t>
        </is>
      </c>
      <c r="E79" t="inlineStr">
        <is>
          <t>777-300ER</t>
        </is>
      </c>
      <c r="F79" t="inlineStr">
        <is>
          <t>HAAB</t>
        </is>
      </c>
      <c r="H79" s="5" t="n">
        <v>351534</v>
      </c>
      <c r="I79" t="n">
        <v>396</v>
      </c>
      <c r="K79" t="inlineStr">
        <is>
          <t>38772</t>
        </is>
      </c>
      <c r="L79" t="inlineStr">
        <is>
          <t>ACTIVE</t>
        </is>
      </c>
      <c r="N79" t="inlineStr">
        <is>
          <t>OPV-08</t>
        </is>
      </c>
      <c r="S79" s="23" t="n"/>
      <c r="AD79" s="1" t="n"/>
      <c r="AH79" s="72" t="n"/>
    </row>
    <row r="80">
      <c r="B80" t="inlineStr">
        <is>
          <t>FHITX</t>
        </is>
      </c>
      <c r="C80" t="inlineStr">
        <is>
          <t>FA8X</t>
        </is>
      </c>
      <c r="H80" s="5" t="n">
        <v>33112</v>
      </c>
      <c r="L80" t="inlineStr">
        <is>
          <t>ACTIVE</t>
        </is>
      </c>
      <c r="N80" t="inlineStr">
        <is>
          <t>UAA-017</t>
        </is>
      </c>
      <c r="S80" s="23" t="n"/>
      <c r="AD80" s="1" t="n"/>
      <c r="AH80" s="72" t="n"/>
    </row>
    <row r="81">
      <c r="B81" t="inlineStr">
        <is>
          <t>GPOWM</t>
        </is>
      </c>
      <c r="C81" t="inlineStr">
        <is>
          <t>A320</t>
        </is>
      </c>
      <c r="H81" s="5" t="n">
        <v>77000</v>
      </c>
      <c r="L81" t="inlineStr">
        <is>
          <t>ACTIVE</t>
        </is>
      </c>
      <c r="N81" t="inlineStr">
        <is>
          <t>UAA-018</t>
        </is>
      </c>
      <c r="S81" s="23" t="n"/>
      <c r="AD81" s="1" t="n"/>
      <c r="AH81" s="72" t="n"/>
    </row>
    <row r="82">
      <c r="B82" t="inlineStr">
        <is>
          <t>HL7227</t>
        </is>
      </c>
      <c r="C82" t="inlineStr">
        <is>
          <t>B737</t>
        </is>
      </c>
      <c r="H82" s="5" t="n">
        <v>77564</v>
      </c>
      <c r="L82" t="inlineStr">
        <is>
          <t>ACTIVE</t>
        </is>
      </c>
      <c r="N82" t="inlineStr">
        <is>
          <t>UAA-020</t>
        </is>
      </c>
      <c r="S82" s="23" t="n"/>
      <c r="AD82" s="1" t="n"/>
      <c r="AH82" s="72" t="n"/>
    </row>
    <row r="83">
      <c r="B83" t="inlineStr">
        <is>
          <t>HL8372</t>
        </is>
      </c>
      <c r="C83" t="inlineStr">
        <is>
          <t>GLF6</t>
        </is>
      </c>
      <c r="H83" s="5" t="n">
        <v>46992</v>
      </c>
      <c r="L83" t="inlineStr">
        <is>
          <t>ACTIVE</t>
        </is>
      </c>
      <c r="N83" t="inlineStr">
        <is>
          <t>UAA-021</t>
        </is>
      </c>
      <c r="S83" s="23" t="n"/>
      <c r="AD83" s="1" t="n"/>
      <c r="AH83" s="72" t="n"/>
    </row>
    <row r="84">
      <c r="B84" t="inlineStr">
        <is>
          <t>HL8550</t>
        </is>
      </c>
      <c r="C84" t="inlineStr">
        <is>
          <t>GLF6</t>
        </is>
      </c>
      <c r="H84" s="5" t="n">
        <v>46992</v>
      </c>
      <c r="L84" t="inlineStr">
        <is>
          <t>ACTIVE</t>
        </is>
      </c>
      <c r="N84" t="inlineStr">
        <is>
          <t>UAA-301</t>
        </is>
      </c>
      <c r="S84" s="23" t="n"/>
      <c r="AD84" s="1" t="n"/>
      <c r="AH84" s="72" t="n"/>
    </row>
    <row r="85">
      <c r="B85" t="inlineStr">
        <is>
          <t>HSPGZ</t>
        </is>
      </c>
      <c r="C85" t="inlineStr">
        <is>
          <t>A319</t>
        </is>
      </c>
      <c r="H85" s="5" t="n">
        <v>70000</v>
      </c>
      <c r="L85" t="inlineStr">
        <is>
          <t>ACTIVE</t>
        </is>
      </c>
      <c r="N85" t="inlineStr">
        <is>
          <t>UAA-022</t>
        </is>
      </c>
      <c r="S85" s="23" t="n"/>
      <c r="AD85" s="1" t="n"/>
      <c r="AH85" s="72" t="n"/>
    </row>
    <row r="86">
      <c r="B86" t="inlineStr">
        <is>
          <t>HZATS</t>
        </is>
      </c>
      <c r="C86" t="inlineStr">
        <is>
          <t>GLEX</t>
        </is>
      </c>
      <c r="H86" s="5" t="n">
        <v>45132</v>
      </c>
      <c r="L86" t="inlineStr">
        <is>
          <t>ACTIVE</t>
        </is>
      </c>
      <c r="N86" t="inlineStr">
        <is>
          <t>UAA-023</t>
        </is>
      </c>
      <c r="S86" s="23" t="n"/>
      <c r="AD86" s="1" t="n"/>
      <c r="AH86" s="72" t="n"/>
    </row>
    <row r="87">
      <c r="B87" t="inlineStr">
        <is>
          <t>HZWBT7</t>
        </is>
      </c>
      <c r="C87" t="inlineStr">
        <is>
          <t>B744</t>
        </is>
      </c>
      <c r="H87" s="5" t="n">
        <v>385554</v>
      </c>
      <c r="L87" t="inlineStr">
        <is>
          <t>ACTIVE</t>
        </is>
      </c>
      <c r="N87" t="inlineStr">
        <is>
          <t>UAA-024</t>
        </is>
      </c>
      <c r="S87" s="23" t="n"/>
      <c r="AD87" s="1" t="n"/>
      <c r="AH87" s="72" t="n"/>
    </row>
    <row r="88">
      <c r="B88" t="inlineStr">
        <is>
          <t>ILUXO</t>
        </is>
      </c>
      <c r="C88" t="inlineStr">
        <is>
          <t>GLF5</t>
        </is>
      </c>
      <c r="H88" s="5" t="n">
        <v>41277</v>
      </c>
      <c r="L88" t="inlineStr">
        <is>
          <t>ACTIVE</t>
        </is>
      </c>
      <c r="N88" t="inlineStr">
        <is>
          <t>UAA-025</t>
        </is>
      </c>
      <c r="S88" s="23" t="n"/>
      <c r="AD88" s="1" t="n"/>
      <c r="AH88" s="72" t="n"/>
    </row>
    <row r="89">
      <c r="B89" t="inlineStr">
        <is>
          <t>IRL283</t>
        </is>
      </c>
      <c r="C89" t="inlineStr">
        <is>
          <t>PC12</t>
        </is>
      </c>
      <c r="H89" s="5" t="n"/>
      <c r="L89" t="inlineStr">
        <is>
          <t>ACTIVE</t>
        </is>
      </c>
      <c r="N89" t="inlineStr">
        <is>
          <t>UAA-026</t>
        </is>
      </c>
      <c r="S89" s="23" t="n"/>
      <c r="AD89" s="1" t="n"/>
      <c r="AH89" s="72" t="n"/>
    </row>
    <row r="90">
      <c r="B90" t="inlineStr">
        <is>
          <t>IWLFZ</t>
        </is>
      </c>
      <c r="C90" t="inlineStr">
        <is>
          <t>GLEX</t>
        </is>
      </c>
      <c r="H90" s="5" t="n">
        <v>45132</v>
      </c>
      <c r="L90" t="inlineStr">
        <is>
          <t>ACTIVE</t>
        </is>
      </c>
      <c r="N90" t="inlineStr">
        <is>
          <t>UAA-327</t>
        </is>
      </c>
      <c r="S90" s="23" t="n"/>
      <c r="AD90" s="1" t="n"/>
      <c r="AH90" s="72" t="n"/>
    </row>
    <row r="91">
      <c r="B91" t="inlineStr">
        <is>
          <t>MABCD</t>
        </is>
      </c>
      <c r="C91" t="inlineStr">
        <is>
          <t>GLF6</t>
        </is>
      </c>
      <c r="D91" t="inlineStr">
        <is>
          <t>Gulfstream</t>
        </is>
      </c>
      <c r="E91" t="inlineStr">
        <is>
          <t>G650ER</t>
        </is>
      </c>
      <c r="F91" t="inlineStr">
        <is>
          <t>EGGW</t>
        </is>
      </c>
      <c r="H91" s="5" t="n">
        <v>45178</v>
      </c>
      <c r="I91" t="n">
        <v>19</v>
      </c>
      <c r="K91" t="inlineStr">
        <is>
          <t>6312</t>
        </is>
      </c>
      <c r="L91" t="inlineStr">
        <is>
          <t>ACTIVE</t>
        </is>
      </c>
      <c r="N91" t="inlineStr">
        <is>
          <t>OPV-31</t>
        </is>
      </c>
      <c r="S91" s="23" t="n"/>
      <c r="AD91" s="1" t="n"/>
      <c r="AH91" s="72" t="n"/>
    </row>
    <row r="92">
      <c r="B92" t="inlineStr">
        <is>
          <t>MATTS</t>
        </is>
      </c>
      <c r="C92" t="inlineStr">
        <is>
          <t>GLF5</t>
        </is>
      </c>
      <c r="D92" t="inlineStr">
        <is>
          <t>Gulfstream</t>
        </is>
      </c>
      <c r="E92" t="inlineStr">
        <is>
          <t>G550</t>
        </is>
      </c>
      <c r="F92" t="inlineStr">
        <is>
          <t>EGGW</t>
        </is>
      </c>
      <c r="H92" s="5" t="n">
        <v>41277</v>
      </c>
      <c r="I92" t="n">
        <v>19</v>
      </c>
      <c r="K92" t="inlineStr">
        <is>
          <t>5501</t>
        </is>
      </c>
      <c r="L92" t="inlineStr">
        <is>
          <t>ACTIVE</t>
        </is>
      </c>
      <c r="N92" t="inlineStr">
        <is>
          <t>OPV-34</t>
        </is>
      </c>
      <c r="S92" s="23" t="n"/>
      <c r="AD92" s="1" t="n"/>
      <c r="AH92" s="72" t="n"/>
    </row>
    <row r="93">
      <c r="B93" t="inlineStr">
        <is>
          <t>MCHEM</t>
        </is>
      </c>
      <c r="C93" t="inlineStr">
        <is>
          <t>FA8X</t>
        </is>
      </c>
      <c r="D93" t="inlineStr">
        <is>
          <t>Dassault</t>
        </is>
      </c>
      <c r="E93" t="inlineStr">
        <is>
          <t>Falcon 8X</t>
        </is>
      </c>
      <c r="F93" t="inlineStr">
        <is>
          <t>EGLF</t>
        </is>
      </c>
      <c r="H93" s="5" t="n">
        <v>33113</v>
      </c>
      <c r="I93" t="n">
        <v>19</v>
      </c>
      <c r="K93" t="inlineStr">
        <is>
          <t>456</t>
        </is>
      </c>
      <c r="L93" t="inlineStr">
        <is>
          <t>ACTIVE</t>
        </is>
      </c>
      <c r="N93" t="inlineStr">
        <is>
          <t>OPV-33</t>
        </is>
      </c>
      <c r="S93" s="23" t="n"/>
      <c r="AD93" s="1" t="n"/>
      <c r="AH93" s="72" t="n"/>
    </row>
    <row r="94">
      <c r="B94" t="inlineStr">
        <is>
          <t>MIIII</t>
        </is>
      </c>
      <c r="C94" t="inlineStr">
        <is>
          <t>GLF6</t>
        </is>
      </c>
      <c r="H94" s="5" t="n">
        <v>46992</v>
      </c>
      <c r="L94" t="inlineStr">
        <is>
          <t>ACTIVE</t>
        </is>
      </c>
      <c r="N94" t="inlineStr">
        <is>
          <t>UAA-331</t>
        </is>
      </c>
      <c r="S94" s="23" t="n"/>
      <c r="AD94" s="1" t="n"/>
      <c r="AH94" s="72" t="n"/>
    </row>
    <row r="95">
      <c r="B95" t="inlineStr">
        <is>
          <t>MINTS</t>
        </is>
      </c>
      <c r="C95" t="inlineStr">
        <is>
          <t>A319</t>
        </is>
      </c>
      <c r="D95" t="inlineStr">
        <is>
          <t>Airbus</t>
        </is>
      </c>
      <c r="E95" t="inlineStr">
        <is>
          <t>ACJ319</t>
        </is>
      </c>
      <c r="F95" t="inlineStr">
        <is>
          <t>EGLF</t>
        </is>
      </c>
      <c r="H95" s="5" t="n">
        <v>75500</v>
      </c>
      <c r="I95" t="n">
        <v>39</v>
      </c>
      <c r="K95" t="inlineStr">
        <is>
          <t>3545</t>
        </is>
      </c>
      <c r="L95" t="inlineStr">
        <is>
          <t>ACTIVE</t>
        </is>
      </c>
      <c r="N95" t="inlineStr">
        <is>
          <t>OPV-36</t>
        </is>
      </c>
      <c r="S95" s="23" t="n"/>
      <c r="AD95" s="1" t="n"/>
      <c r="AH95" s="72" t="n"/>
    </row>
    <row r="96">
      <c r="B96" t="inlineStr">
        <is>
          <t>MISTY</t>
        </is>
      </c>
      <c r="C96" t="inlineStr">
        <is>
          <t>GLEX</t>
        </is>
      </c>
      <c r="D96" t="inlineStr">
        <is>
          <t>Bombardier</t>
        </is>
      </c>
      <c r="E96" t="inlineStr">
        <is>
          <t>Global 7500</t>
        </is>
      </c>
      <c r="F96" t="inlineStr">
        <is>
          <t>EGLF</t>
        </is>
      </c>
      <c r="H96" s="5" t="n">
        <v>52157</v>
      </c>
      <c r="I96" t="n">
        <v>19</v>
      </c>
      <c r="K96" t="inlineStr">
        <is>
          <t>70034</t>
        </is>
      </c>
      <c r="L96" t="inlineStr">
        <is>
          <t>ACTIVE</t>
        </is>
      </c>
      <c r="N96" t="inlineStr">
        <is>
          <t>OPV-32</t>
        </is>
      </c>
      <c r="S96" s="23" t="n"/>
      <c r="AD96" s="1" t="n"/>
      <c r="AH96" s="72" t="n"/>
    </row>
    <row r="97">
      <c r="B97" t="inlineStr">
        <is>
          <t>MLCFC</t>
        </is>
      </c>
      <c r="C97" t="inlineStr">
        <is>
          <t>B737</t>
        </is>
      </c>
      <c r="H97" s="5" t="n">
        <v>77564</v>
      </c>
      <c r="L97" t="inlineStr">
        <is>
          <t>ACTIVE</t>
        </is>
      </c>
      <c r="N97" t="inlineStr">
        <is>
          <t>UAA-031</t>
        </is>
      </c>
      <c r="S97" s="23" t="n"/>
      <c r="AD97" s="1" t="n"/>
      <c r="AH97" s="72" t="n"/>
    </row>
    <row r="98">
      <c r="B98" t="inlineStr">
        <is>
          <t>MOEPL</t>
        </is>
      </c>
      <c r="C98" t="inlineStr">
        <is>
          <t>FA8X</t>
        </is>
      </c>
      <c r="H98" s="5" t="n">
        <v>33112</v>
      </c>
      <c r="L98" t="inlineStr">
        <is>
          <t>ACTIVE</t>
        </is>
      </c>
      <c r="N98" t="inlineStr">
        <is>
          <t>UAA-032</t>
        </is>
      </c>
      <c r="S98" s="23" t="n"/>
      <c r="AD98" s="1" t="n"/>
      <c r="AH98" s="72" t="n"/>
    </row>
    <row r="99">
      <c r="B99" t="inlineStr">
        <is>
          <t>MSFPL</t>
        </is>
      </c>
      <c r="C99" t="inlineStr">
        <is>
          <t>GLEX</t>
        </is>
      </c>
      <c r="H99" s="5" t="n">
        <v>45132</v>
      </c>
      <c r="L99" t="inlineStr">
        <is>
          <t>ACTIVE</t>
        </is>
      </c>
      <c r="N99" t="inlineStr">
        <is>
          <t>UAA-033</t>
        </is>
      </c>
      <c r="S99" s="23" t="n"/>
      <c r="AD99" s="1" t="n"/>
      <c r="AH99" s="72" t="n"/>
    </row>
    <row r="100">
      <c r="B100" t="inlineStr">
        <is>
          <t>MYBBJ</t>
        </is>
      </c>
      <c r="C100" t="inlineStr">
        <is>
          <t>B748</t>
        </is>
      </c>
      <c r="D100" t="inlineStr">
        <is>
          <t>Boeing</t>
        </is>
      </c>
      <c r="E100" t="inlineStr">
        <is>
          <t>747-8 BBJ</t>
        </is>
      </c>
      <c r="F100" t="inlineStr">
        <is>
          <t>EGLF</t>
        </is>
      </c>
      <c r="H100" s="5" t="n">
        <v>447696</v>
      </c>
      <c r="I100" t="n">
        <v>100</v>
      </c>
      <c r="K100" t="inlineStr">
        <is>
          <t>37845</t>
        </is>
      </c>
      <c r="L100" t="inlineStr">
        <is>
          <t>ACTIVE</t>
        </is>
      </c>
      <c r="N100" t="inlineStr">
        <is>
          <t>OPV-35</t>
        </is>
      </c>
      <c r="S100" s="23" t="n"/>
      <c r="AD100" s="1" t="n"/>
      <c r="AH100" s="72" t="n"/>
    </row>
    <row r="101">
      <c r="B101" t="inlineStr">
        <is>
          <t>N100A</t>
        </is>
      </c>
      <c r="C101" t="inlineStr">
        <is>
          <t>GLF6</t>
        </is>
      </c>
      <c r="H101" s="5" t="n">
        <v>46992</v>
      </c>
      <c r="L101" t="inlineStr">
        <is>
          <t>ACTIVE</t>
        </is>
      </c>
      <c r="N101" t="inlineStr">
        <is>
          <t>UAA-035</t>
        </is>
      </c>
      <c r="S101" s="23" t="n"/>
      <c r="AD101" s="1" t="n"/>
      <c r="AH101" s="72" t="n"/>
    </row>
    <row r="102">
      <c r="B102" t="inlineStr">
        <is>
          <t>N100AY</t>
        </is>
      </c>
      <c r="C102" t="inlineStr">
        <is>
          <t>GLF6</t>
        </is>
      </c>
      <c r="H102" s="5" t="n">
        <v>46992</v>
      </c>
      <c r="L102" t="inlineStr">
        <is>
          <t>ACTIVE</t>
        </is>
      </c>
      <c r="N102" t="inlineStr">
        <is>
          <t>UAA-035</t>
        </is>
      </c>
      <c r="S102" s="23" t="n"/>
      <c r="AD102" s="1" t="n"/>
      <c r="AH102" s="72" t="n"/>
    </row>
    <row r="103">
      <c r="B103" t="inlineStr">
        <is>
          <t>N100HG</t>
        </is>
      </c>
      <c r="C103" t="inlineStr">
        <is>
          <t>GLF5</t>
        </is>
      </c>
      <c r="H103" s="5" t="n">
        <v>41050</v>
      </c>
      <c r="L103" t="inlineStr">
        <is>
          <t>ACTIVE</t>
        </is>
      </c>
      <c r="N103" t="inlineStr">
        <is>
          <t>UAA-036</t>
        </is>
      </c>
      <c r="S103" s="23" t="n"/>
      <c r="AD103" s="1" t="n"/>
      <c r="AH103" s="72" t="n"/>
    </row>
    <row r="104">
      <c r="B104" t="inlineStr">
        <is>
          <t>N100XS</t>
        </is>
      </c>
      <c r="C104" t="inlineStr">
        <is>
          <t>GLF5</t>
        </is>
      </c>
      <c r="H104" s="5" t="n">
        <v>41277</v>
      </c>
      <c r="L104" t="inlineStr">
        <is>
          <t>ACTIVE</t>
        </is>
      </c>
      <c r="N104" t="inlineStr">
        <is>
          <t>UAA-037</t>
        </is>
      </c>
      <c r="S104" s="23" t="n"/>
      <c r="AD104" s="1" t="n"/>
      <c r="AH104" s="72" t="n"/>
    </row>
    <row r="105">
      <c r="B105" t="inlineStr">
        <is>
          <t>N102GN</t>
        </is>
      </c>
      <c r="C105" t="inlineStr">
        <is>
          <t>A320</t>
        </is>
      </c>
      <c r="H105" s="5" t="n">
        <v>77000</v>
      </c>
      <c r="L105" t="inlineStr">
        <is>
          <t>ACTIVE</t>
        </is>
      </c>
      <c r="N105" t="inlineStr">
        <is>
          <t>UAA-039</t>
        </is>
      </c>
      <c r="S105" s="23" t="n"/>
      <c r="AD105" s="1" t="n"/>
      <c r="AH105" s="72" t="n"/>
    </row>
    <row r="106">
      <c r="B106" t="inlineStr">
        <is>
          <t>N1040</t>
        </is>
      </c>
      <c r="C106" t="inlineStr">
        <is>
          <t>GLF6</t>
        </is>
      </c>
      <c r="H106" s="5" t="n">
        <v>46992</v>
      </c>
      <c r="L106" t="inlineStr">
        <is>
          <t>ACTIVE</t>
        </is>
      </c>
      <c r="N106" t="inlineStr">
        <is>
          <t>UAA-284</t>
        </is>
      </c>
      <c r="S106" s="23" t="n"/>
      <c r="AD106" s="1" t="n"/>
      <c r="AH106" s="72" t="n"/>
    </row>
    <row r="107">
      <c r="B107" t="inlineStr">
        <is>
          <t>N108MS</t>
        </is>
      </c>
      <c r="C107" t="inlineStr">
        <is>
          <t>B737</t>
        </is>
      </c>
      <c r="H107" s="5" t="n">
        <v>77564</v>
      </c>
      <c r="L107" t="inlineStr">
        <is>
          <t>ACTIVE</t>
        </is>
      </c>
      <c r="N107" t="inlineStr">
        <is>
          <t>UAA-265</t>
        </is>
      </c>
      <c r="S107" s="23" t="n"/>
      <c r="AD107" s="1" t="n"/>
      <c r="AH107" s="72" t="n"/>
    </row>
    <row r="108">
      <c r="B108" t="inlineStr">
        <is>
          <t>N10XT</t>
        </is>
      </c>
      <c r="C108" t="inlineStr">
        <is>
          <t>C750</t>
        </is>
      </c>
      <c r="H108" s="5" t="n">
        <v>16375</v>
      </c>
      <c r="L108" t="inlineStr">
        <is>
          <t>ACTIVE</t>
        </is>
      </c>
      <c r="N108" t="inlineStr">
        <is>
          <t>UAA-306</t>
        </is>
      </c>
      <c r="S108" s="23" t="n"/>
      <c r="AD108" s="1" t="n"/>
      <c r="AH108" s="72" t="n"/>
    </row>
    <row r="109">
      <c r="B109" t="inlineStr">
        <is>
          <t>N113CS</t>
        </is>
      </c>
      <c r="C109" t="inlineStr">
        <is>
          <t>GLF6</t>
        </is>
      </c>
      <c r="H109" s="5" t="n">
        <v>46992</v>
      </c>
      <c r="L109" t="inlineStr">
        <is>
          <t>ACTIVE</t>
        </is>
      </c>
      <c r="N109" t="inlineStr">
        <is>
          <t>UAA-041</t>
        </is>
      </c>
      <c r="S109" s="23" t="n"/>
      <c r="AD109" s="1" t="n"/>
      <c r="AH109" s="72" t="n"/>
    </row>
    <row r="110">
      <c r="B110" t="inlineStr">
        <is>
          <t>N115JS</t>
        </is>
      </c>
      <c r="C110" t="inlineStr">
        <is>
          <t>GLEX</t>
        </is>
      </c>
      <c r="H110" s="5" t="n">
        <v>45132</v>
      </c>
      <c r="L110" t="inlineStr">
        <is>
          <t>ACTIVE</t>
        </is>
      </c>
      <c r="N110" t="inlineStr">
        <is>
          <t>UAA-257</t>
        </is>
      </c>
      <c r="S110" s="23" t="n"/>
      <c r="AD110" s="1" t="n"/>
      <c r="AH110" s="72" t="n"/>
    </row>
    <row r="111">
      <c r="B111" t="inlineStr">
        <is>
          <t>N115TR</t>
        </is>
      </c>
      <c r="C111" t="inlineStr">
        <is>
          <t>GLEX</t>
        </is>
      </c>
      <c r="H111" s="5" t="n">
        <v>43545</v>
      </c>
      <c r="L111" t="inlineStr">
        <is>
          <t>ACTIVE</t>
        </is>
      </c>
      <c r="N111" t="inlineStr">
        <is>
          <t>UAA-042</t>
        </is>
      </c>
      <c r="S111" s="23" t="n"/>
      <c r="AD111" s="1" t="n"/>
      <c r="AH111" s="72" t="n"/>
    </row>
    <row r="112">
      <c r="B112" t="inlineStr">
        <is>
          <t>N117AL</t>
        </is>
      </c>
      <c r="C112" t="inlineStr">
        <is>
          <t>GLF5</t>
        </is>
      </c>
      <c r="H112" t="n">
        <v>41277</v>
      </c>
      <c r="L112" t="inlineStr">
        <is>
          <t>ACTIVE</t>
        </is>
      </c>
      <c r="N112" t="inlineStr">
        <is>
          <t>UAA-037</t>
        </is>
      </c>
    </row>
    <row r="113">
      <c r="B113" t="inlineStr">
        <is>
          <t>N11GW</t>
        </is>
      </c>
      <c r="C113" t="inlineStr">
        <is>
          <t>GLF5</t>
        </is>
      </c>
      <c r="H113" t="n">
        <v>41050</v>
      </c>
      <c r="L113" t="inlineStr">
        <is>
          <t>ACTIVE</t>
        </is>
      </c>
      <c r="N113" t="inlineStr">
        <is>
          <t>UAA-319</t>
        </is>
      </c>
    </row>
    <row r="114">
      <c r="B114" t="inlineStr">
        <is>
          <t>N125GA</t>
        </is>
      </c>
      <c r="C114" t="inlineStr">
        <is>
          <t>GLF5</t>
        </is>
      </c>
      <c r="H114" t="n">
        <v>41277</v>
      </c>
      <c r="L114" t="inlineStr">
        <is>
          <t>ACTIVE</t>
        </is>
      </c>
      <c r="N114" t="inlineStr">
        <is>
          <t>UAA-043</t>
        </is>
      </c>
    </row>
    <row r="115">
      <c r="B115" t="inlineStr">
        <is>
          <t>N1307X</t>
        </is>
      </c>
      <c r="C115" t="inlineStr">
        <is>
          <t>FA7X</t>
        </is>
      </c>
      <c r="H115" t="n">
        <v>31751</v>
      </c>
      <c r="L115" t="inlineStr">
        <is>
          <t>ACTIVE</t>
        </is>
      </c>
      <c r="N115" t="inlineStr">
        <is>
          <t>UAA-044</t>
        </is>
      </c>
    </row>
    <row r="116">
      <c r="B116" t="inlineStr">
        <is>
          <t>N1454H</t>
        </is>
      </c>
      <c r="C116" t="inlineStr">
        <is>
          <t>GLF6</t>
        </is>
      </c>
      <c r="H116" t="n">
        <v>46992</v>
      </c>
      <c r="L116" t="inlineStr">
        <is>
          <t>ACTIVE</t>
        </is>
      </c>
      <c r="N116" t="inlineStr">
        <is>
          <t>UAA-282</t>
        </is>
      </c>
    </row>
    <row r="117">
      <c r="B117" t="inlineStr">
        <is>
          <t>N148B</t>
        </is>
      </c>
      <c r="C117" t="inlineStr">
        <is>
          <t>GLF6</t>
        </is>
      </c>
      <c r="H117" t="n">
        <v>42910</v>
      </c>
      <c r="L117" t="inlineStr">
        <is>
          <t>ACTIVE</t>
        </is>
      </c>
      <c r="N117" t="inlineStr">
        <is>
          <t>UAA-047</t>
        </is>
      </c>
    </row>
    <row r="118">
      <c r="B118" t="inlineStr">
        <is>
          <t>N150BC</t>
        </is>
      </c>
      <c r="C118" t="inlineStr">
        <is>
          <t>FA7X</t>
        </is>
      </c>
      <c r="H118" t="n">
        <v>31751</v>
      </c>
      <c r="L118" t="inlineStr">
        <is>
          <t>ACTIVE</t>
        </is>
      </c>
      <c r="N118" t="inlineStr">
        <is>
          <t>UAA-049</t>
        </is>
      </c>
    </row>
    <row r="119">
      <c r="B119" t="inlineStr">
        <is>
          <t>N15GX</t>
        </is>
      </c>
      <c r="C119" t="inlineStr">
        <is>
          <t>GLEX</t>
        </is>
      </c>
      <c r="H119" t="n">
        <v>45132</v>
      </c>
      <c r="L119" t="inlineStr">
        <is>
          <t>ACTIVE</t>
        </is>
      </c>
      <c r="N119" t="inlineStr">
        <is>
          <t>UAA-050</t>
        </is>
      </c>
    </row>
    <row r="120">
      <c r="B120" t="inlineStr">
        <is>
          <t>N163EG</t>
        </is>
      </c>
      <c r="C120" t="inlineStr">
        <is>
          <t>GLEX</t>
        </is>
      </c>
      <c r="H120" t="n">
        <v>44452</v>
      </c>
      <c r="L120" t="inlineStr">
        <is>
          <t>ACTIVE</t>
        </is>
      </c>
      <c r="N120" t="inlineStr">
        <is>
          <t>UAA-294</t>
        </is>
      </c>
    </row>
    <row r="121">
      <c r="B121" t="inlineStr">
        <is>
          <t>N168PK</t>
        </is>
      </c>
      <c r="C121" t="inlineStr">
        <is>
          <t>GLF5</t>
        </is>
      </c>
      <c r="H121" t="n">
        <v>41277</v>
      </c>
      <c r="L121" t="inlineStr">
        <is>
          <t>ACTIVE</t>
        </is>
      </c>
      <c r="N121" t="inlineStr">
        <is>
          <t>UAA-278</t>
        </is>
      </c>
    </row>
    <row r="122">
      <c r="B122" t="inlineStr">
        <is>
          <t>N173CN</t>
        </is>
      </c>
      <c r="C122" t="inlineStr">
        <is>
          <t>FA7X</t>
        </is>
      </c>
      <c r="H122" t="n">
        <v>31751</v>
      </c>
      <c r="L122" t="inlineStr">
        <is>
          <t>ACTIVE</t>
        </is>
      </c>
      <c r="N122" t="inlineStr">
        <is>
          <t>UAA-052</t>
        </is>
      </c>
    </row>
    <row r="123">
      <c r="B123" t="inlineStr">
        <is>
          <t>N178AS</t>
        </is>
      </c>
      <c r="C123" t="inlineStr">
        <is>
          <t>C750</t>
        </is>
      </c>
      <c r="H123" t="n">
        <v>16601</v>
      </c>
      <c r="L123" t="inlineStr">
        <is>
          <t>ACTIVE</t>
        </is>
      </c>
      <c r="N123" t="inlineStr">
        <is>
          <t>UAA-053</t>
        </is>
      </c>
    </row>
    <row r="124">
      <c r="B124" t="inlineStr">
        <is>
          <t>N178L</t>
        </is>
      </c>
      <c r="C124" t="inlineStr">
        <is>
          <t>GLF5</t>
        </is>
      </c>
      <c r="H124" t="n">
        <v>41277</v>
      </c>
      <c r="L124" t="inlineStr">
        <is>
          <t>ACTIVE</t>
        </is>
      </c>
      <c r="N124" t="inlineStr">
        <is>
          <t>UAA-037</t>
        </is>
      </c>
    </row>
    <row r="125">
      <c r="B125" t="inlineStr">
        <is>
          <t>N17RX</t>
        </is>
      </c>
      <c r="C125" t="inlineStr">
        <is>
          <t>GLF5</t>
        </is>
      </c>
      <c r="H125" t="n">
        <v>41277</v>
      </c>
      <c r="L125" t="inlineStr">
        <is>
          <t>ACTIVE</t>
        </is>
      </c>
      <c r="N125" t="inlineStr">
        <is>
          <t>UAA-054</t>
        </is>
      </c>
    </row>
    <row r="126">
      <c r="B126" t="inlineStr">
        <is>
          <t>N1812C</t>
        </is>
      </c>
      <c r="C126" t="inlineStr">
        <is>
          <t>GLEX</t>
        </is>
      </c>
      <c r="H126" t="n">
        <v>44452</v>
      </c>
      <c r="L126" t="inlineStr">
        <is>
          <t>ACTIVE</t>
        </is>
      </c>
      <c r="N126" t="inlineStr">
        <is>
          <t>UAA-056</t>
        </is>
      </c>
    </row>
    <row r="127">
      <c r="B127" t="inlineStr">
        <is>
          <t>N181CL</t>
        </is>
      </c>
      <c r="C127" t="inlineStr">
        <is>
          <t>PC24</t>
        </is>
      </c>
      <c r="D127" t="inlineStr">
        <is>
          <t>Pilatus</t>
        </is>
      </c>
      <c r="E127" t="inlineStr">
        <is>
          <t>PC-24</t>
        </is>
      </c>
      <c r="F127" t="inlineStr">
        <is>
          <t>KTEB</t>
        </is>
      </c>
      <c r="H127" t="n">
        <v>8300</v>
      </c>
      <c r="I127" t="n">
        <v>11</v>
      </c>
      <c r="K127" t="inlineStr">
        <is>
          <t>234</t>
        </is>
      </c>
      <c r="L127" t="inlineStr">
        <is>
          <t>ACTIVE</t>
        </is>
      </c>
      <c r="N127" t="inlineStr">
        <is>
          <t>OPV-26</t>
        </is>
      </c>
    </row>
    <row r="128">
      <c r="B128" t="inlineStr">
        <is>
          <t>N1878E</t>
        </is>
      </c>
      <c r="C128" t="inlineStr">
        <is>
          <t>GLF5</t>
        </is>
      </c>
      <c r="H128" t="n">
        <v>41277</v>
      </c>
      <c r="L128" t="inlineStr">
        <is>
          <t>ACTIVE</t>
        </is>
      </c>
      <c r="N128" t="inlineStr">
        <is>
          <t>UAA-037</t>
        </is>
      </c>
    </row>
    <row r="129">
      <c r="B129" t="inlineStr">
        <is>
          <t>N1886G</t>
        </is>
      </c>
      <c r="C129" t="inlineStr">
        <is>
          <t>GLEX</t>
        </is>
      </c>
      <c r="H129" t="n">
        <v>45132</v>
      </c>
      <c r="L129" t="inlineStr">
        <is>
          <t>ACTIVE</t>
        </is>
      </c>
      <c r="N129" t="inlineStr">
        <is>
          <t>UAA-289</t>
        </is>
      </c>
    </row>
    <row r="130">
      <c r="B130" t="inlineStr">
        <is>
          <t>N188WR</t>
        </is>
      </c>
      <c r="C130" t="inlineStr">
        <is>
          <t>GLF6</t>
        </is>
      </c>
      <c r="H130" t="n">
        <v>46992</v>
      </c>
      <c r="L130" t="inlineStr">
        <is>
          <t>ACTIVE</t>
        </is>
      </c>
      <c r="N130" t="inlineStr">
        <is>
          <t>UAA-335</t>
        </is>
      </c>
    </row>
    <row r="131">
      <c r="B131" t="inlineStr">
        <is>
          <t>N18CZ</t>
        </is>
      </c>
      <c r="C131" t="inlineStr">
        <is>
          <t>GLEX</t>
        </is>
      </c>
      <c r="H131" t="n">
        <v>45132</v>
      </c>
      <c r="L131" t="inlineStr">
        <is>
          <t>ACTIVE</t>
        </is>
      </c>
      <c r="N131" t="inlineStr">
        <is>
          <t>UAA-036</t>
        </is>
      </c>
    </row>
    <row r="132">
      <c r="B132" t="inlineStr">
        <is>
          <t>N1901G</t>
        </is>
      </c>
      <c r="C132" t="inlineStr">
        <is>
          <t>GLF6</t>
        </is>
      </c>
      <c r="H132" t="n">
        <v>46992</v>
      </c>
      <c r="L132" t="inlineStr">
        <is>
          <t>ACTIVE</t>
        </is>
      </c>
      <c r="N132" t="inlineStr">
        <is>
          <t>UAA-058</t>
        </is>
      </c>
    </row>
    <row r="133">
      <c r="B133" t="inlineStr">
        <is>
          <t>N193LA</t>
        </is>
      </c>
      <c r="C133" t="inlineStr">
        <is>
          <t>GLEX</t>
        </is>
      </c>
      <c r="H133" t="n">
        <v>45132</v>
      </c>
      <c r="L133" t="inlineStr">
        <is>
          <t>ACTIVE</t>
        </is>
      </c>
      <c r="N133" t="inlineStr">
        <is>
          <t>UAA-036</t>
        </is>
      </c>
    </row>
    <row r="134">
      <c r="B134" t="inlineStr">
        <is>
          <t>N193RA</t>
        </is>
      </c>
      <c r="C134" t="inlineStr">
        <is>
          <t>B350</t>
        </is>
      </c>
      <c r="H134" t="n">
        <v>7484</v>
      </c>
      <c r="L134" t="inlineStr">
        <is>
          <t>ACTIVE</t>
        </is>
      </c>
      <c r="N134" t="inlineStr">
        <is>
          <t>UAA-059</t>
        </is>
      </c>
    </row>
    <row r="135">
      <c r="B135" t="inlineStr">
        <is>
          <t>N194W</t>
        </is>
      </c>
      <c r="C135" t="inlineStr">
        <is>
          <t>FA7X</t>
        </is>
      </c>
      <c r="H135" t="n">
        <v>31751</v>
      </c>
      <c r="L135" t="inlineStr">
        <is>
          <t>ACTIVE</t>
        </is>
      </c>
      <c r="N135" t="inlineStr">
        <is>
          <t>UAA-036</t>
        </is>
      </c>
    </row>
    <row r="136">
      <c r="B136" t="inlineStr">
        <is>
          <t>N194WM</t>
        </is>
      </c>
      <c r="C136" t="inlineStr">
        <is>
          <t>GLF6</t>
        </is>
      </c>
      <c r="H136" t="n">
        <v>46992</v>
      </c>
      <c r="L136" t="inlineStr">
        <is>
          <t>ACTIVE</t>
        </is>
      </c>
      <c r="N136" t="inlineStr">
        <is>
          <t>UAA-060</t>
        </is>
      </c>
    </row>
    <row r="137">
      <c r="B137" t="inlineStr">
        <is>
          <t>N1967J</t>
        </is>
      </c>
      <c r="C137" t="inlineStr">
        <is>
          <t>GLF5</t>
        </is>
      </c>
      <c r="H137" t="n">
        <v>41050</v>
      </c>
      <c r="L137" t="inlineStr">
        <is>
          <t>ACTIVE</t>
        </is>
      </c>
      <c r="N137" t="inlineStr">
        <is>
          <t>UAA-062</t>
        </is>
      </c>
    </row>
    <row r="138">
      <c r="B138" t="inlineStr">
        <is>
          <t>N1989</t>
        </is>
      </c>
      <c r="C138" t="inlineStr">
        <is>
          <t>GLEX</t>
        </is>
      </c>
      <c r="H138" t="n">
        <v>44452</v>
      </c>
      <c r="L138" t="inlineStr">
        <is>
          <t>ACTIVE</t>
        </is>
      </c>
      <c r="N138" t="inlineStr">
        <is>
          <t>UAA-037</t>
        </is>
      </c>
    </row>
    <row r="139">
      <c r="B139" t="inlineStr">
        <is>
          <t>N1CC</t>
        </is>
      </c>
      <c r="C139" t="inlineStr">
        <is>
          <t>GLF5</t>
        </is>
      </c>
      <c r="H139" t="n">
        <v>41277</v>
      </c>
      <c r="L139" t="inlineStr">
        <is>
          <t>ACTIVE</t>
        </is>
      </c>
      <c r="N139" t="inlineStr">
        <is>
          <t>UAA-036</t>
        </is>
      </c>
    </row>
    <row r="140">
      <c r="B140" t="inlineStr">
        <is>
          <t>N1F</t>
        </is>
      </c>
      <c r="C140" t="inlineStr">
        <is>
          <t>GLF6</t>
        </is>
      </c>
      <c r="H140" t="n">
        <v>46992</v>
      </c>
      <c r="L140" t="inlineStr">
        <is>
          <t>ACTIVE</t>
        </is>
      </c>
      <c r="N140" t="inlineStr">
        <is>
          <t>UAA-063</t>
        </is>
      </c>
    </row>
    <row r="141">
      <c r="B141" t="inlineStr">
        <is>
          <t>N1RH</t>
        </is>
      </c>
      <c r="C141" t="inlineStr">
        <is>
          <t>GLF6</t>
        </is>
      </c>
      <c r="H141" t="n">
        <v>46992</v>
      </c>
      <c r="L141" t="inlineStr">
        <is>
          <t>ACTIVE</t>
        </is>
      </c>
      <c r="N141" t="inlineStr">
        <is>
          <t>UAA-064</t>
        </is>
      </c>
    </row>
    <row r="142">
      <c r="B142" t="inlineStr">
        <is>
          <t>N1RP</t>
        </is>
      </c>
      <c r="C142" t="inlineStr">
        <is>
          <t>GLF5</t>
        </is>
      </c>
      <c r="H142" t="n">
        <v>41277</v>
      </c>
      <c r="L142" t="inlineStr">
        <is>
          <t>ACTIVE</t>
        </is>
      </c>
      <c r="N142" t="inlineStr">
        <is>
          <t>UAA-308</t>
        </is>
      </c>
    </row>
    <row r="143">
      <c r="B143" t="inlineStr">
        <is>
          <t>N1WW</t>
        </is>
      </c>
      <c r="C143" t="inlineStr">
        <is>
          <t>GLEX</t>
        </is>
      </c>
      <c r="H143" t="n">
        <v>45132</v>
      </c>
      <c r="L143" t="inlineStr">
        <is>
          <t>ACTIVE</t>
        </is>
      </c>
      <c r="N143" t="inlineStr">
        <is>
          <t>UAA-037</t>
        </is>
      </c>
    </row>
    <row r="144">
      <c r="B144" t="inlineStr">
        <is>
          <t>N200A</t>
        </is>
      </c>
      <c r="C144" t="inlineStr">
        <is>
          <t>GLF5</t>
        </is>
      </c>
      <c r="H144" t="n">
        <v>41277</v>
      </c>
      <c r="L144" t="inlineStr">
        <is>
          <t>ACTIVE</t>
        </is>
      </c>
      <c r="N144" t="inlineStr">
        <is>
          <t>UAA-035</t>
        </is>
      </c>
    </row>
    <row r="145">
      <c r="B145" t="inlineStr">
        <is>
          <t>N201AC</t>
        </is>
      </c>
      <c r="C145" t="inlineStr">
        <is>
          <t>GLF6</t>
        </is>
      </c>
      <c r="H145" t="n">
        <v>46992</v>
      </c>
      <c r="L145" t="inlineStr">
        <is>
          <t>ACTIVE</t>
        </is>
      </c>
      <c r="N145" t="inlineStr">
        <is>
          <t>UAA-118</t>
        </is>
      </c>
    </row>
    <row r="146">
      <c r="B146" t="inlineStr">
        <is>
          <t>N219BY</t>
        </is>
      </c>
      <c r="C146" t="inlineStr">
        <is>
          <t>GLEX</t>
        </is>
      </c>
      <c r="H146" t="n">
        <v>45132</v>
      </c>
      <c r="L146" t="inlineStr">
        <is>
          <t>ACTIVE</t>
        </is>
      </c>
      <c r="N146" t="inlineStr">
        <is>
          <t>UAA-066</t>
        </is>
      </c>
    </row>
    <row r="147">
      <c r="B147" t="inlineStr">
        <is>
          <t>N223A</t>
        </is>
      </c>
      <c r="C147" t="inlineStr">
        <is>
          <t>GLF5</t>
        </is>
      </c>
      <c r="H147" t="n">
        <v>41277</v>
      </c>
      <c r="L147" t="inlineStr">
        <is>
          <t>ACTIVE</t>
        </is>
      </c>
      <c r="N147" t="inlineStr">
        <is>
          <t>UAA-036</t>
        </is>
      </c>
    </row>
    <row r="148">
      <c r="B148" t="inlineStr">
        <is>
          <t>N22805</t>
        </is>
      </c>
      <c r="C148" t="inlineStr">
        <is>
          <t>G280</t>
        </is>
      </c>
      <c r="H148" t="n">
        <v>17962</v>
      </c>
      <c r="L148" t="inlineStr">
        <is>
          <t>ACTIVE</t>
        </is>
      </c>
      <c r="N148" t="inlineStr">
        <is>
          <t>UAA-287</t>
        </is>
      </c>
    </row>
    <row r="149">
      <c r="B149" t="inlineStr">
        <is>
          <t>N228SS</t>
        </is>
      </c>
      <c r="C149" t="inlineStr">
        <is>
          <t>GLEX</t>
        </is>
      </c>
      <c r="H149" t="n">
        <v>44452</v>
      </c>
      <c r="L149" t="inlineStr">
        <is>
          <t>ACTIVE</t>
        </is>
      </c>
      <c r="N149" t="inlineStr">
        <is>
          <t>UAA-069</t>
        </is>
      </c>
    </row>
    <row r="150">
      <c r="B150" t="inlineStr">
        <is>
          <t>N232G</t>
        </is>
      </c>
      <c r="C150" t="inlineStr">
        <is>
          <t>GLF6</t>
        </is>
      </c>
      <c r="H150" t="n">
        <v>46992</v>
      </c>
      <c r="L150" t="inlineStr">
        <is>
          <t>ACTIVE</t>
        </is>
      </c>
      <c r="N150" t="inlineStr">
        <is>
          <t>UAA-070</t>
        </is>
      </c>
    </row>
    <row r="151">
      <c r="B151" t="inlineStr">
        <is>
          <t>N235BH</t>
        </is>
      </c>
      <c r="C151" t="inlineStr">
        <is>
          <t>GLF6</t>
        </is>
      </c>
      <c r="H151" t="n">
        <v>45178</v>
      </c>
      <c r="L151" t="inlineStr">
        <is>
          <t>ACTIVE</t>
        </is>
      </c>
      <c r="N151" t="inlineStr">
        <is>
          <t>UAA-071</t>
        </is>
      </c>
    </row>
    <row r="152">
      <c r="B152" t="inlineStr">
        <is>
          <t>N236MJ</t>
        </is>
      </c>
      <c r="C152" t="inlineStr">
        <is>
          <t>GLF5</t>
        </is>
      </c>
      <c r="H152" t="n">
        <v>41277</v>
      </c>
      <c r="L152" t="inlineStr">
        <is>
          <t>ACTIVE</t>
        </is>
      </c>
      <c r="N152" t="inlineStr">
        <is>
          <t>UAA-036</t>
        </is>
      </c>
    </row>
    <row r="153">
      <c r="B153" t="inlineStr">
        <is>
          <t>N244DS</t>
        </is>
      </c>
      <c r="C153" t="inlineStr">
        <is>
          <t>GLF6</t>
        </is>
      </c>
      <c r="H153" t="n">
        <v>46992</v>
      </c>
      <c r="L153" t="inlineStr">
        <is>
          <t>ACTIVE</t>
        </is>
      </c>
      <c r="N153" t="inlineStr">
        <is>
          <t>UAA-072</t>
        </is>
      </c>
    </row>
    <row r="154">
      <c r="B154" t="inlineStr">
        <is>
          <t>N245BD</t>
        </is>
      </c>
      <c r="C154" t="inlineStr">
        <is>
          <t>GLF5</t>
        </is>
      </c>
      <c r="H154" t="n">
        <v>41277</v>
      </c>
      <c r="L154" t="inlineStr">
        <is>
          <t>ACTIVE</t>
        </is>
      </c>
      <c r="N154" t="inlineStr">
        <is>
          <t>UAA-073</t>
        </is>
      </c>
    </row>
    <row r="155">
      <c r="B155" t="inlineStr">
        <is>
          <t>N252DV</t>
        </is>
      </c>
      <c r="C155" t="inlineStr">
        <is>
          <t>GLF5</t>
        </is>
      </c>
      <c r="H155" t="n">
        <v>41277</v>
      </c>
      <c r="L155" t="inlineStr">
        <is>
          <t>ACTIVE</t>
        </is>
      </c>
      <c r="N155" t="inlineStr">
        <is>
          <t>UAA-074</t>
        </is>
      </c>
    </row>
    <row r="156">
      <c r="B156" t="inlineStr">
        <is>
          <t>N25CP</t>
        </is>
      </c>
      <c r="C156" t="inlineStr">
        <is>
          <t>GLF5</t>
        </is>
      </c>
      <c r="H156" t="n">
        <v>41050</v>
      </c>
      <c r="L156" t="inlineStr">
        <is>
          <t>ACTIVE</t>
        </is>
      </c>
      <c r="N156" t="inlineStr">
        <is>
          <t>UAA-075</t>
        </is>
      </c>
    </row>
    <row r="157">
      <c r="B157" t="inlineStr">
        <is>
          <t>N265HT</t>
        </is>
      </c>
      <c r="C157" t="inlineStr">
        <is>
          <t>GLEX</t>
        </is>
      </c>
      <c r="H157" t="n">
        <v>45132</v>
      </c>
      <c r="L157" t="inlineStr">
        <is>
          <t>ACTIVE</t>
        </is>
      </c>
      <c r="N157" t="inlineStr">
        <is>
          <t>UAA-076</t>
        </is>
      </c>
    </row>
    <row r="158">
      <c r="B158" t="inlineStr">
        <is>
          <t>N267BW</t>
        </is>
      </c>
      <c r="C158" t="inlineStr">
        <is>
          <t>GLF6</t>
        </is>
      </c>
      <c r="H158" t="n">
        <v>46992</v>
      </c>
      <c r="L158" t="inlineStr">
        <is>
          <t>ACTIVE</t>
        </is>
      </c>
      <c r="N158" t="inlineStr">
        <is>
          <t>UAA-078</t>
        </is>
      </c>
    </row>
    <row r="159">
      <c r="B159" t="inlineStr">
        <is>
          <t>N26RX</t>
        </is>
      </c>
      <c r="C159" t="inlineStr">
        <is>
          <t>GLF5</t>
        </is>
      </c>
      <c r="H159" t="n">
        <v>41277</v>
      </c>
      <c r="L159" t="inlineStr">
        <is>
          <t>ACTIVE</t>
        </is>
      </c>
      <c r="N159" t="inlineStr">
        <is>
          <t>UAA-054</t>
        </is>
      </c>
    </row>
    <row r="160">
      <c r="B160" t="inlineStr">
        <is>
          <t>N2702</t>
        </is>
      </c>
      <c r="C160" t="inlineStr">
        <is>
          <t>GLF6</t>
        </is>
      </c>
      <c r="H160" t="n">
        <v>46992</v>
      </c>
      <c r="L160" t="inlineStr">
        <is>
          <t>ACTIVE</t>
        </is>
      </c>
      <c r="N160" t="inlineStr">
        <is>
          <t>UAA-260</t>
        </is>
      </c>
    </row>
    <row r="161">
      <c r="B161" t="inlineStr">
        <is>
          <t>N271DV</t>
        </is>
      </c>
      <c r="C161" t="inlineStr">
        <is>
          <t>GLF6</t>
        </is>
      </c>
      <c r="H161" t="n">
        <v>46992</v>
      </c>
      <c r="L161" t="inlineStr">
        <is>
          <t>ACTIVE</t>
        </is>
      </c>
      <c r="N161" t="inlineStr">
        <is>
          <t>UAA-036</t>
        </is>
      </c>
    </row>
    <row r="162">
      <c r="B162" t="inlineStr">
        <is>
          <t>N272BC</t>
        </is>
      </c>
      <c r="C162" t="inlineStr">
        <is>
          <t>CL35</t>
        </is>
      </c>
      <c r="H162" t="n">
        <v>18416</v>
      </c>
      <c r="L162" t="inlineStr">
        <is>
          <t>ACTIVE</t>
        </is>
      </c>
      <c r="N162" t="inlineStr">
        <is>
          <t>UAA-079</t>
        </is>
      </c>
    </row>
    <row r="163">
      <c r="B163" t="inlineStr">
        <is>
          <t>N278L</t>
        </is>
      </c>
      <c r="C163" t="inlineStr">
        <is>
          <t>GLF6</t>
        </is>
      </c>
      <c r="H163" t="n">
        <v>45178</v>
      </c>
      <c r="L163" t="inlineStr">
        <is>
          <t>ACTIVE</t>
        </is>
      </c>
      <c r="N163" t="inlineStr">
        <is>
          <t>UAA-037</t>
        </is>
      </c>
    </row>
    <row r="164">
      <c r="B164" t="inlineStr">
        <is>
          <t>N280LS</t>
        </is>
      </c>
      <c r="C164" t="inlineStr">
        <is>
          <t>G280</t>
        </is>
      </c>
      <c r="H164" t="n">
        <v>17962</v>
      </c>
      <c r="L164" t="inlineStr">
        <is>
          <t>ACTIVE</t>
        </is>
      </c>
      <c r="N164" t="inlineStr">
        <is>
          <t>UAA-297</t>
        </is>
      </c>
    </row>
    <row r="165">
      <c r="B165" t="inlineStr">
        <is>
          <t>N280PH</t>
        </is>
      </c>
      <c r="C165" t="inlineStr">
        <is>
          <t>GLF5</t>
        </is>
      </c>
      <c r="H165" t="n">
        <v>41050</v>
      </c>
      <c r="L165" t="inlineStr">
        <is>
          <t>ACTIVE</t>
        </is>
      </c>
      <c r="N165" t="inlineStr">
        <is>
          <t>UAA-081</t>
        </is>
      </c>
    </row>
    <row r="166">
      <c r="B166" t="inlineStr">
        <is>
          <t>N280XX</t>
        </is>
      </c>
      <c r="C166" t="inlineStr">
        <is>
          <t>GLEX</t>
        </is>
      </c>
      <c r="D166" t="inlineStr">
        <is>
          <t>Bombardier</t>
        </is>
      </c>
      <c r="E166" t="inlineStr">
        <is>
          <t>Global 7500</t>
        </is>
      </c>
      <c r="F166" t="inlineStr">
        <is>
          <t>KTEB</t>
        </is>
      </c>
      <c r="H166" t="n">
        <v>52157</v>
      </c>
      <c r="I166" t="n">
        <v>19</v>
      </c>
      <c r="K166" t="inlineStr">
        <is>
          <t>70012</t>
        </is>
      </c>
      <c r="L166" t="inlineStr">
        <is>
          <t>ACTIVE</t>
        </is>
      </c>
      <c r="N166" t="inlineStr">
        <is>
          <t>OPV-25</t>
        </is>
      </c>
    </row>
    <row r="167">
      <c r="B167" t="inlineStr">
        <is>
          <t>N28UD</t>
        </is>
      </c>
      <c r="C167" t="inlineStr">
        <is>
          <t>GLF6</t>
        </is>
      </c>
      <c r="H167" t="n">
        <v>46992</v>
      </c>
      <c r="L167" t="inlineStr">
        <is>
          <t>ACTIVE</t>
        </is>
      </c>
      <c r="N167" t="inlineStr">
        <is>
          <t>UAA-037</t>
        </is>
      </c>
    </row>
    <row r="168">
      <c r="B168" t="inlineStr">
        <is>
          <t>N298AL</t>
        </is>
      </c>
      <c r="C168" t="inlineStr">
        <is>
          <t>GLF6</t>
        </is>
      </c>
      <c r="H168" t="n">
        <v>46992</v>
      </c>
      <c r="L168" t="inlineStr">
        <is>
          <t>ACTIVE</t>
        </is>
      </c>
      <c r="N168" t="inlineStr">
        <is>
          <t>UAA-041</t>
        </is>
      </c>
    </row>
    <row r="169">
      <c r="B169" t="inlineStr">
        <is>
          <t>N2E</t>
        </is>
      </c>
      <c r="C169" t="inlineStr">
        <is>
          <t>GLF6</t>
        </is>
      </c>
      <c r="H169" t="n">
        <v>46992</v>
      </c>
      <c r="L169" t="inlineStr">
        <is>
          <t>ACTIVE</t>
        </is>
      </c>
      <c r="N169" t="inlineStr">
        <is>
          <t>UAA-082</t>
        </is>
      </c>
    </row>
    <row r="170">
      <c r="B170" t="inlineStr">
        <is>
          <t>N2PG</t>
        </is>
      </c>
      <c r="C170" t="inlineStr">
        <is>
          <t>GLF6</t>
        </is>
      </c>
      <c r="H170" t="n">
        <v>46992</v>
      </c>
      <c r="L170" t="inlineStr">
        <is>
          <t>ACTIVE</t>
        </is>
      </c>
      <c r="N170" t="inlineStr">
        <is>
          <t>UAA-083</t>
        </is>
      </c>
    </row>
    <row r="171">
      <c r="B171" t="inlineStr">
        <is>
          <t>N2T</t>
        </is>
      </c>
      <c r="C171" t="inlineStr">
        <is>
          <t>GLEX</t>
        </is>
      </c>
      <c r="H171" t="n">
        <v>44452</v>
      </c>
      <c r="L171" t="inlineStr">
        <is>
          <t>ACTIVE</t>
        </is>
      </c>
      <c r="N171" t="inlineStr">
        <is>
          <t>UAA-084</t>
        </is>
      </c>
    </row>
    <row r="172">
      <c r="B172" t="inlineStr">
        <is>
          <t>N300A</t>
        </is>
      </c>
      <c r="C172" t="inlineStr">
        <is>
          <t>GLF5</t>
        </is>
      </c>
      <c r="H172" t="n">
        <v>41277</v>
      </c>
      <c r="L172" t="inlineStr">
        <is>
          <t>ACTIVE</t>
        </is>
      </c>
      <c r="N172" t="inlineStr">
        <is>
          <t>UAA-035</t>
        </is>
      </c>
    </row>
    <row r="173">
      <c r="B173" t="inlineStr">
        <is>
          <t>N300VA</t>
        </is>
      </c>
      <c r="C173" t="inlineStr">
        <is>
          <t>C56X</t>
        </is>
      </c>
      <c r="D173" t="inlineStr">
        <is>
          <t>Cessna</t>
        </is>
      </c>
      <c r="E173" t="inlineStr">
        <is>
          <t>Citation XLS+</t>
        </is>
      </c>
      <c r="F173" t="inlineStr">
        <is>
          <t>KTEB</t>
        </is>
      </c>
      <c r="H173" t="n">
        <v>9304</v>
      </c>
      <c r="I173" t="n">
        <v>12</v>
      </c>
      <c r="K173" t="inlineStr">
        <is>
          <t>560-0789</t>
        </is>
      </c>
      <c r="L173" t="inlineStr">
        <is>
          <t>ACTIVE</t>
        </is>
      </c>
      <c r="N173" t="inlineStr">
        <is>
          <t>OPV-29</t>
        </is>
      </c>
    </row>
    <row r="174">
      <c r="B174" t="inlineStr">
        <is>
          <t>N302AK</t>
        </is>
      </c>
      <c r="C174" t="inlineStr">
        <is>
          <t>GLEX</t>
        </is>
      </c>
      <c r="H174" t="n">
        <v>45132</v>
      </c>
      <c r="L174" t="inlineStr">
        <is>
          <t>ACTIVE</t>
        </is>
      </c>
      <c r="N174" t="inlineStr">
        <is>
          <t>UAA-085</t>
        </is>
      </c>
    </row>
    <row r="175">
      <c r="B175" t="inlineStr">
        <is>
          <t>N303HM</t>
        </is>
      </c>
      <c r="C175" t="inlineStr">
        <is>
          <t>GLF6</t>
        </is>
      </c>
      <c r="H175" t="n">
        <v>45178</v>
      </c>
      <c r="L175" t="inlineStr">
        <is>
          <t>ACTIVE</t>
        </is>
      </c>
      <c r="N175" t="inlineStr">
        <is>
          <t>UAA-045</t>
        </is>
      </c>
    </row>
    <row r="176">
      <c r="B176" t="inlineStr">
        <is>
          <t>N306MA</t>
        </is>
      </c>
      <c r="C176" t="inlineStr">
        <is>
          <t>GLEX</t>
        </is>
      </c>
      <c r="H176" t="n">
        <v>45132</v>
      </c>
      <c r="L176" t="inlineStr">
        <is>
          <t>ACTIVE</t>
        </is>
      </c>
      <c r="N176" t="inlineStr">
        <is>
          <t>UAA-086</t>
        </is>
      </c>
    </row>
    <row r="177">
      <c r="B177" t="inlineStr">
        <is>
          <t>N307LC</t>
        </is>
      </c>
      <c r="C177" t="inlineStr">
        <is>
          <t>FA7X</t>
        </is>
      </c>
      <c r="H177" t="n">
        <v>31751</v>
      </c>
      <c r="L177" t="inlineStr">
        <is>
          <t>ACTIVE</t>
        </is>
      </c>
      <c r="N177" t="inlineStr">
        <is>
          <t>UAA-037</t>
        </is>
      </c>
    </row>
    <row r="178">
      <c r="B178" t="inlineStr">
        <is>
          <t>N312AT</t>
        </is>
      </c>
      <c r="C178" t="inlineStr">
        <is>
          <t>GLF6</t>
        </is>
      </c>
      <c r="H178" t="n">
        <v>46992</v>
      </c>
      <c r="L178" t="inlineStr">
        <is>
          <t>ACTIVE</t>
        </is>
      </c>
      <c r="N178" t="inlineStr">
        <is>
          <t>UAA-087</t>
        </is>
      </c>
    </row>
    <row r="179">
      <c r="B179" t="inlineStr">
        <is>
          <t>N313RG</t>
        </is>
      </c>
      <c r="C179" t="inlineStr">
        <is>
          <t>GLF6</t>
        </is>
      </c>
      <c r="H179" t="n">
        <v>46992</v>
      </c>
      <c r="L179" t="inlineStr">
        <is>
          <t>ACTIVE</t>
        </is>
      </c>
      <c r="N179" t="inlineStr">
        <is>
          <t>UAA-055</t>
        </is>
      </c>
    </row>
    <row r="180">
      <c r="B180" t="inlineStr">
        <is>
          <t>N319ST</t>
        </is>
      </c>
      <c r="C180" t="inlineStr">
        <is>
          <t>GLF5</t>
        </is>
      </c>
      <c r="H180" t="n">
        <v>41277</v>
      </c>
      <c r="L180" t="inlineStr">
        <is>
          <t>ACTIVE</t>
        </is>
      </c>
      <c r="N180" t="inlineStr">
        <is>
          <t>UAA-325</t>
        </is>
      </c>
    </row>
    <row r="181">
      <c r="B181" t="inlineStr">
        <is>
          <t>N321VC</t>
        </is>
      </c>
      <c r="C181" t="inlineStr">
        <is>
          <t>GLEX</t>
        </is>
      </c>
      <c r="H181" t="n">
        <v>45132</v>
      </c>
      <c r="L181" t="inlineStr">
        <is>
          <t>ACTIVE</t>
        </is>
      </c>
      <c r="N181" t="inlineStr">
        <is>
          <t>UAA-037</t>
        </is>
      </c>
    </row>
    <row r="182">
      <c r="B182" t="inlineStr">
        <is>
          <t>N336ML</t>
        </is>
      </c>
      <c r="C182" t="inlineStr">
        <is>
          <t>C700</t>
        </is>
      </c>
      <c r="H182" t="n">
        <v>17917</v>
      </c>
      <c r="L182" t="inlineStr">
        <is>
          <t>ACTIVE</t>
        </is>
      </c>
      <c r="N182" t="inlineStr">
        <is>
          <t>UAA-261</t>
        </is>
      </c>
    </row>
    <row r="183">
      <c r="B183" t="inlineStr">
        <is>
          <t>N342FF</t>
        </is>
      </c>
      <c r="C183" t="inlineStr">
        <is>
          <t>GLF5</t>
        </is>
      </c>
      <c r="H183" t="n">
        <v>41277</v>
      </c>
      <c r="L183" t="inlineStr">
        <is>
          <t>ACTIVE</t>
        </is>
      </c>
      <c r="N183" t="inlineStr">
        <is>
          <t>UAA-292</t>
        </is>
      </c>
    </row>
    <row r="184">
      <c r="B184" t="inlineStr">
        <is>
          <t>N350KV</t>
        </is>
      </c>
      <c r="C184" t="inlineStr">
        <is>
          <t>B350</t>
        </is>
      </c>
      <c r="H184" t="n">
        <v>7484</v>
      </c>
      <c r="L184" t="inlineStr">
        <is>
          <t>ACTIVE</t>
        </is>
      </c>
      <c r="N184" t="inlineStr">
        <is>
          <t>UAA-059</t>
        </is>
      </c>
    </row>
    <row r="185">
      <c r="B185" t="inlineStr">
        <is>
          <t>N350XX</t>
        </is>
      </c>
      <c r="C185" t="inlineStr">
        <is>
          <t>FA7X</t>
        </is>
      </c>
      <c r="D185" t="inlineStr">
        <is>
          <t>Dassault</t>
        </is>
      </c>
      <c r="E185" t="inlineStr">
        <is>
          <t>Falcon 7X</t>
        </is>
      </c>
      <c r="F185" t="inlineStr">
        <is>
          <t>KTEB</t>
        </is>
      </c>
      <c r="H185" t="n">
        <v>31751</v>
      </c>
      <c r="I185" t="n">
        <v>19</v>
      </c>
      <c r="K185" t="inlineStr">
        <is>
          <t>189</t>
        </is>
      </c>
      <c r="L185" t="inlineStr">
        <is>
          <t>ACTIVE</t>
        </is>
      </c>
      <c r="N185" t="inlineStr">
        <is>
          <t>OPV-25</t>
        </is>
      </c>
    </row>
    <row r="186">
      <c r="B186" t="inlineStr">
        <is>
          <t>N358V</t>
        </is>
      </c>
      <c r="C186" t="inlineStr">
        <is>
          <t>GLF6</t>
        </is>
      </c>
      <c r="H186" t="n">
        <v>46992</v>
      </c>
      <c r="L186" t="inlineStr">
        <is>
          <t>ACTIVE</t>
        </is>
      </c>
      <c r="N186" t="inlineStr">
        <is>
          <t>UAA-091</t>
        </is>
      </c>
    </row>
    <row r="187">
      <c r="B187" t="inlineStr">
        <is>
          <t>N35GR</t>
        </is>
      </c>
      <c r="C187" t="inlineStr">
        <is>
          <t>GLF5</t>
        </is>
      </c>
      <c r="H187" t="n">
        <v>41277</v>
      </c>
      <c r="L187" t="inlineStr">
        <is>
          <t>ACTIVE</t>
        </is>
      </c>
      <c r="N187" t="inlineStr">
        <is>
          <t>UAA-041</t>
        </is>
      </c>
    </row>
    <row r="188">
      <c r="B188" t="inlineStr">
        <is>
          <t>N360HP</t>
        </is>
      </c>
      <c r="C188" t="inlineStr">
        <is>
          <t>GLEX</t>
        </is>
      </c>
      <c r="H188" t="n">
        <v>45132</v>
      </c>
      <c r="L188" t="inlineStr">
        <is>
          <t>ACTIVE</t>
        </is>
      </c>
      <c r="N188" t="inlineStr">
        <is>
          <t>UAA-092</t>
        </is>
      </c>
    </row>
    <row r="189">
      <c r="B189" t="inlineStr">
        <is>
          <t>N360LA</t>
        </is>
      </c>
      <c r="C189" t="inlineStr">
        <is>
          <t>GLEX</t>
        </is>
      </c>
      <c r="H189" t="n">
        <v>43545</v>
      </c>
      <c r="L189" t="inlineStr">
        <is>
          <t>ACTIVE</t>
        </is>
      </c>
      <c r="N189" t="inlineStr">
        <is>
          <t>UAA-093</t>
        </is>
      </c>
    </row>
    <row r="190">
      <c r="B190" t="inlineStr">
        <is>
          <t>N360LF</t>
        </is>
      </c>
      <c r="C190" t="inlineStr">
        <is>
          <t>GLF5</t>
        </is>
      </c>
      <c r="H190" t="n">
        <v>41277</v>
      </c>
      <c r="L190" t="inlineStr">
        <is>
          <t>ACTIVE</t>
        </is>
      </c>
      <c r="N190" t="inlineStr">
        <is>
          <t>UAA-094</t>
        </is>
      </c>
    </row>
    <row r="191">
      <c r="B191" t="inlineStr">
        <is>
          <t>N361JL</t>
        </is>
      </c>
      <c r="C191" t="inlineStr">
        <is>
          <t>CL35</t>
        </is>
      </c>
      <c r="H191" t="n">
        <v>18416</v>
      </c>
      <c r="L191" t="inlineStr">
        <is>
          <t>ACTIVE</t>
        </is>
      </c>
      <c r="N191" t="inlineStr">
        <is>
          <t>UAA-338</t>
        </is>
      </c>
    </row>
    <row r="192">
      <c r="B192" t="inlineStr">
        <is>
          <t>N380SE</t>
        </is>
      </c>
      <c r="C192" t="inlineStr">
        <is>
          <t>GLF6</t>
        </is>
      </c>
      <c r="H192" t="n">
        <v>45178</v>
      </c>
      <c r="L192" t="inlineStr">
        <is>
          <t>ACTIVE</t>
        </is>
      </c>
      <c r="N192" t="inlineStr">
        <is>
          <t>UAA-097</t>
        </is>
      </c>
    </row>
    <row r="193">
      <c r="B193" t="inlineStr">
        <is>
          <t>N388GC</t>
        </is>
      </c>
      <c r="C193" t="inlineStr">
        <is>
          <t>GLF5</t>
        </is>
      </c>
      <c r="H193" t="n">
        <v>41277</v>
      </c>
      <c r="L193" t="inlineStr">
        <is>
          <t>ACTIVE</t>
        </is>
      </c>
      <c r="N193" t="inlineStr">
        <is>
          <t>UAA-041</t>
        </is>
      </c>
    </row>
    <row r="194">
      <c r="B194" t="inlineStr">
        <is>
          <t>N393BZ</t>
        </is>
      </c>
      <c r="C194" t="inlineStr">
        <is>
          <t>GLEX</t>
        </is>
      </c>
      <c r="H194" t="n">
        <v>45132</v>
      </c>
      <c r="L194" t="inlineStr">
        <is>
          <t>ACTIVE</t>
        </is>
      </c>
      <c r="N194" t="inlineStr">
        <is>
          <t>UAA-340</t>
        </is>
      </c>
    </row>
    <row r="195">
      <c r="B195" t="inlineStr">
        <is>
          <t>N3ED</t>
        </is>
      </c>
      <c r="C195" t="inlineStr">
        <is>
          <t>GLF6</t>
        </is>
      </c>
      <c r="H195" t="n">
        <v>46992</v>
      </c>
      <c r="L195" t="inlineStr">
        <is>
          <t>ACTIVE</t>
        </is>
      </c>
      <c r="N195" t="inlineStr">
        <is>
          <t>UAA-037</t>
        </is>
      </c>
    </row>
    <row r="196">
      <c r="B196" t="inlineStr">
        <is>
          <t>N3PC</t>
        </is>
      </c>
      <c r="C196" t="inlineStr">
        <is>
          <t>GLEX</t>
        </is>
      </c>
      <c r="H196" t="n">
        <v>45132</v>
      </c>
      <c r="L196" t="inlineStr">
        <is>
          <t>ACTIVE</t>
        </is>
      </c>
      <c r="N196" t="inlineStr">
        <is>
          <t>UAA-337</t>
        </is>
      </c>
    </row>
    <row r="197">
      <c r="B197" t="inlineStr">
        <is>
          <t>N400J</t>
        </is>
      </c>
      <c r="C197" t="inlineStr">
        <is>
          <t>GLF6</t>
        </is>
      </c>
      <c r="H197" t="n">
        <v>46992</v>
      </c>
      <c r="L197" t="inlineStr">
        <is>
          <t>ACTIVE</t>
        </is>
      </c>
      <c r="N197" t="inlineStr">
        <is>
          <t>UAA-264</t>
        </is>
      </c>
    </row>
    <row r="198">
      <c r="B198" t="inlineStr">
        <is>
          <t>N4096Q</t>
        </is>
      </c>
      <c r="C198" t="inlineStr">
        <is>
          <t>GLF6</t>
        </is>
      </c>
      <c r="H198" t="n">
        <v>46992</v>
      </c>
      <c r="L198" t="inlineStr">
        <is>
          <t>ACTIVE</t>
        </is>
      </c>
      <c r="N198" t="inlineStr">
        <is>
          <t>UAA-037</t>
        </is>
      </c>
    </row>
    <row r="199">
      <c r="B199" t="inlineStr">
        <is>
          <t>N411XT</t>
        </is>
      </c>
      <c r="C199" t="inlineStr">
        <is>
          <t>GLEX</t>
        </is>
      </c>
      <c r="H199" t="n">
        <v>44452</v>
      </c>
      <c r="L199" t="inlineStr">
        <is>
          <t>ACTIVE</t>
        </is>
      </c>
      <c r="N199" t="inlineStr">
        <is>
          <t>UAA-055</t>
        </is>
      </c>
    </row>
    <row r="200">
      <c r="B200" t="inlineStr">
        <is>
          <t>N413PH</t>
        </is>
      </c>
      <c r="C200" t="inlineStr">
        <is>
          <t>GLF5</t>
        </is>
      </c>
      <c r="H200" t="n">
        <v>41277</v>
      </c>
      <c r="L200" t="inlineStr">
        <is>
          <t>ACTIVE</t>
        </is>
      </c>
      <c r="N200" t="inlineStr">
        <is>
          <t>UAA-099</t>
        </is>
      </c>
    </row>
    <row r="201">
      <c r="B201" t="inlineStr">
        <is>
          <t>N415FT</t>
        </is>
      </c>
      <c r="C201" t="inlineStr">
        <is>
          <t>GLF6</t>
        </is>
      </c>
      <c r="H201" t="n">
        <v>45178</v>
      </c>
      <c r="L201" t="inlineStr">
        <is>
          <t>ACTIVE</t>
        </is>
      </c>
      <c r="N201" t="inlineStr">
        <is>
          <t>UAA-037</t>
        </is>
      </c>
    </row>
    <row r="202">
      <c r="B202" t="inlineStr">
        <is>
          <t>N421AL</t>
        </is>
      </c>
      <c r="C202" t="inlineStr">
        <is>
          <t>GLEX</t>
        </is>
      </c>
      <c r="H202" t="n">
        <v>44452</v>
      </c>
      <c r="L202" t="inlineStr">
        <is>
          <t>ACTIVE</t>
        </is>
      </c>
      <c r="N202" t="inlineStr">
        <is>
          <t>UAA-085</t>
        </is>
      </c>
    </row>
    <row r="203">
      <c r="B203" t="inlineStr">
        <is>
          <t>N4444X</t>
        </is>
      </c>
      <c r="C203" t="inlineStr">
        <is>
          <t>GLEX</t>
        </is>
      </c>
      <c r="H203" t="n">
        <v>45132</v>
      </c>
      <c r="L203" t="inlineStr">
        <is>
          <t>ACTIVE</t>
        </is>
      </c>
      <c r="N203" t="inlineStr">
        <is>
          <t>UAA-036</t>
        </is>
      </c>
    </row>
    <row r="204">
      <c r="B204" t="inlineStr">
        <is>
          <t>N444R</t>
        </is>
      </c>
      <c r="C204" t="inlineStr">
        <is>
          <t>FA7X</t>
        </is>
      </c>
      <c r="H204" t="n">
        <v>31751</v>
      </c>
      <c r="L204" t="inlineStr">
        <is>
          <t>ACTIVE</t>
        </is>
      </c>
      <c r="N204" t="inlineStr">
        <is>
          <t>UAA-100</t>
        </is>
      </c>
    </row>
    <row r="205">
      <c r="B205" t="inlineStr">
        <is>
          <t>N450GA</t>
        </is>
      </c>
      <c r="C205" t="inlineStr">
        <is>
          <t>GLF6</t>
        </is>
      </c>
      <c r="D205" t="inlineStr">
        <is>
          <t>Gulfstream</t>
        </is>
      </c>
      <c r="E205" t="inlineStr">
        <is>
          <t>G650ER</t>
        </is>
      </c>
      <c r="F205" t="inlineStr">
        <is>
          <t>KTEB</t>
        </is>
      </c>
      <c r="H205" t="n">
        <v>45178</v>
      </c>
      <c r="I205" t="n">
        <v>19</v>
      </c>
      <c r="K205" t="inlineStr">
        <is>
          <t>6234</t>
        </is>
      </c>
      <c r="L205" t="inlineStr">
        <is>
          <t>ACTIVE</t>
        </is>
      </c>
      <c r="N205" t="inlineStr">
        <is>
          <t>OPV-21</t>
        </is>
      </c>
    </row>
    <row r="206">
      <c r="B206" t="inlineStr">
        <is>
          <t>N451CS</t>
        </is>
      </c>
      <c r="C206" t="inlineStr">
        <is>
          <t>GLF6</t>
        </is>
      </c>
      <c r="D206" t="inlineStr">
        <is>
          <t>Gulfstream</t>
        </is>
      </c>
      <c r="E206" t="inlineStr">
        <is>
          <t>G650</t>
        </is>
      </c>
      <c r="F206" t="inlineStr">
        <is>
          <t>KFXE</t>
        </is>
      </c>
      <c r="H206" t="n">
        <v>45178</v>
      </c>
      <c r="I206" t="n">
        <v>19</v>
      </c>
      <c r="K206" t="inlineStr">
        <is>
          <t>6102</t>
        </is>
      </c>
      <c r="L206" t="inlineStr">
        <is>
          <t>ACTIVE</t>
        </is>
      </c>
      <c r="N206" t="inlineStr">
        <is>
          <t>OPV-22</t>
        </is>
      </c>
    </row>
    <row r="207">
      <c r="B207" t="inlineStr">
        <is>
          <t>N451FX</t>
        </is>
      </c>
      <c r="C207" t="inlineStr">
        <is>
          <t>G450</t>
        </is>
      </c>
      <c r="D207" t="inlineStr">
        <is>
          <t>Gulfstream</t>
        </is>
      </c>
      <c r="E207" t="inlineStr">
        <is>
          <t>G450</t>
        </is>
      </c>
      <c r="F207" t="inlineStr">
        <is>
          <t>KTEB</t>
        </is>
      </c>
      <c r="H207" t="n">
        <v>33390</v>
      </c>
      <c r="I207" t="n">
        <v>16</v>
      </c>
      <c r="K207" t="inlineStr">
        <is>
          <t>4212</t>
        </is>
      </c>
      <c r="L207" t="inlineStr">
        <is>
          <t>ACTIVE</t>
        </is>
      </c>
      <c r="N207" t="inlineStr">
        <is>
          <t>OPV-28</t>
        </is>
      </c>
    </row>
    <row r="208">
      <c r="B208" t="inlineStr">
        <is>
          <t>N45GX</t>
        </is>
      </c>
      <c r="C208" t="inlineStr">
        <is>
          <t>GLEX</t>
        </is>
      </c>
      <c r="H208" t="n">
        <v>45132</v>
      </c>
      <c r="L208" t="inlineStr">
        <is>
          <t>ACTIVE</t>
        </is>
      </c>
      <c r="N208" t="inlineStr">
        <is>
          <t>UAA-106</t>
        </is>
      </c>
    </row>
    <row r="209">
      <c r="B209" t="inlineStr">
        <is>
          <t>N46GX</t>
        </is>
      </c>
      <c r="C209" t="inlineStr">
        <is>
          <t>GLEX</t>
        </is>
      </c>
      <c r="H209" t="n">
        <v>45132</v>
      </c>
      <c r="L209" t="inlineStr">
        <is>
          <t>ACTIVE</t>
        </is>
      </c>
      <c r="N209" t="inlineStr">
        <is>
          <t>UAA-106</t>
        </is>
      </c>
    </row>
    <row r="210">
      <c r="B210" t="inlineStr">
        <is>
          <t>N474MJ</t>
        </is>
      </c>
      <c r="C210" t="inlineStr">
        <is>
          <t>GLF5</t>
        </is>
      </c>
      <c r="H210" t="n">
        <v>41050</v>
      </c>
      <c r="L210" t="inlineStr">
        <is>
          <t>ACTIVE</t>
        </is>
      </c>
      <c r="N210" t="inlineStr">
        <is>
          <t>UAA-108</t>
        </is>
      </c>
    </row>
    <row r="211">
      <c r="B211" t="inlineStr">
        <is>
          <t>N476V</t>
        </is>
      </c>
      <c r="C211" t="inlineStr">
        <is>
          <t>GLF6</t>
        </is>
      </c>
      <c r="H211" t="n">
        <v>46992</v>
      </c>
      <c r="L211" t="inlineStr">
        <is>
          <t>ACTIVE</t>
        </is>
      </c>
      <c r="N211" t="inlineStr">
        <is>
          <t>UAA-091</t>
        </is>
      </c>
    </row>
    <row r="212">
      <c r="B212" t="inlineStr">
        <is>
          <t>N477RH</t>
        </is>
      </c>
      <c r="C212" t="inlineStr">
        <is>
          <t>GLF6</t>
        </is>
      </c>
      <c r="H212" t="n">
        <v>46992</v>
      </c>
      <c r="L212" t="inlineStr">
        <is>
          <t>ACTIVE</t>
        </is>
      </c>
      <c r="N212" t="inlineStr">
        <is>
          <t>UAA-037</t>
        </is>
      </c>
    </row>
    <row r="213">
      <c r="B213" t="inlineStr">
        <is>
          <t>N497EC</t>
        </is>
      </c>
      <c r="C213" t="inlineStr">
        <is>
          <t>GLEX</t>
        </is>
      </c>
      <c r="H213" t="n">
        <v>45132</v>
      </c>
      <c r="L213" t="inlineStr">
        <is>
          <t>ACTIVE</t>
        </is>
      </c>
      <c r="N213" t="inlineStr">
        <is>
          <t>UAA-113</t>
        </is>
      </c>
    </row>
    <row r="214">
      <c r="B214" t="inlineStr">
        <is>
          <t>N5000X</t>
        </is>
      </c>
      <c r="C214" t="inlineStr">
        <is>
          <t>GLF5</t>
        </is>
      </c>
      <c r="H214" t="n">
        <v>41050</v>
      </c>
      <c r="L214" t="inlineStr">
        <is>
          <t>ACTIVE</t>
        </is>
      </c>
      <c r="N214" t="inlineStr">
        <is>
          <t>UAA-114</t>
        </is>
      </c>
    </row>
    <row r="215">
      <c r="B215" t="inlineStr">
        <is>
          <t>N501HM</t>
        </is>
      </c>
      <c r="C215" t="inlineStr">
        <is>
          <t>GLF5</t>
        </is>
      </c>
      <c r="H215" t="n">
        <v>36968</v>
      </c>
      <c r="L215" t="inlineStr">
        <is>
          <t>ACTIVE</t>
        </is>
      </c>
      <c r="N215" t="inlineStr">
        <is>
          <t>UAA-117</t>
        </is>
      </c>
    </row>
    <row r="216">
      <c r="B216" t="inlineStr">
        <is>
          <t>N504AC</t>
        </is>
      </c>
      <c r="C216" t="inlineStr">
        <is>
          <t>GLF5</t>
        </is>
      </c>
      <c r="H216" t="n">
        <v>41277</v>
      </c>
      <c r="L216" t="inlineStr">
        <is>
          <t>ACTIVE</t>
        </is>
      </c>
      <c r="N216" t="inlineStr">
        <is>
          <t>UAA-118</t>
        </is>
      </c>
    </row>
    <row r="217">
      <c r="B217" t="inlineStr">
        <is>
          <t>N510AN</t>
        </is>
      </c>
      <c r="C217" t="inlineStr">
        <is>
          <t>FA7X</t>
        </is>
      </c>
      <c r="L217" t="inlineStr">
        <is>
          <t>ACTIVE</t>
        </is>
      </c>
      <c r="N217" t="inlineStr">
        <is>
          <t>UAA-037</t>
        </is>
      </c>
    </row>
    <row r="218">
      <c r="B218" t="inlineStr">
        <is>
          <t>N510QS</t>
        </is>
      </c>
      <c r="C218" t="inlineStr">
        <is>
          <t>GLF5</t>
        </is>
      </c>
      <c r="H218" t="n">
        <v>41277</v>
      </c>
      <c r="L218" t="inlineStr">
        <is>
          <t>ACTIVE</t>
        </is>
      </c>
      <c r="N218" t="inlineStr">
        <is>
          <t>UAA-155</t>
        </is>
      </c>
    </row>
    <row r="219">
      <c r="B219" t="inlineStr">
        <is>
          <t>N512GV</t>
        </is>
      </c>
      <c r="C219" t="inlineStr">
        <is>
          <t>GLF5</t>
        </is>
      </c>
      <c r="H219" t="n">
        <v>41277</v>
      </c>
      <c r="L219" t="inlineStr">
        <is>
          <t>ACTIVE</t>
        </is>
      </c>
      <c r="N219" t="inlineStr">
        <is>
          <t>UAA-268</t>
        </is>
      </c>
    </row>
    <row r="220">
      <c r="B220" t="inlineStr">
        <is>
          <t>N518KA</t>
        </is>
      </c>
      <c r="C220" t="inlineStr">
        <is>
          <t>GLF6</t>
        </is>
      </c>
      <c r="H220" t="n">
        <v>46992</v>
      </c>
      <c r="L220" t="inlineStr">
        <is>
          <t>ACTIVE</t>
        </is>
      </c>
      <c r="N220" t="inlineStr">
        <is>
          <t>UAA-037</t>
        </is>
      </c>
    </row>
    <row r="221">
      <c r="B221" t="inlineStr">
        <is>
          <t>N519CP</t>
        </is>
      </c>
      <c r="C221" t="inlineStr">
        <is>
          <t>GLEX</t>
        </is>
      </c>
      <c r="H221" t="n">
        <v>44452</v>
      </c>
      <c r="L221" t="inlineStr">
        <is>
          <t>ACTIVE</t>
        </is>
      </c>
      <c r="N221" t="inlineStr">
        <is>
          <t>UAA-120</t>
        </is>
      </c>
    </row>
    <row r="222">
      <c r="B222" t="inlineStr">
        <is>
          <t>N521GV</t>
        </is>
      </c>
      <c r="C222" t="inlineStr">
        <is>
          <t>GLF5</t>
        </is>
      </c>
      <c r="H222" t="n">
        <v>41277</v>
      </c>
      <c r="L222" t="inlineStr">
        <is>
          <t>ACTIVE</t>
        </is>
      </c>
      <c r="N222" t="inlineStr">
        <is>
          <t>UAA-122</t>
        </is>
      </c>
    </row>
    <row r="223">
      <c r="B223" t="inlineStr">
        <is>
          <t>N523AC</t>
        </is>
      </c>
      <c r="C223" t="inlineStr">
        <is>
          <t>GLF5</t>
        </is>
      </c>
      <c r="H223" t="n">
        <v>41277</v>
      </c>
      <c r="L223" t="inlineStr">
        <is>
          <t>ACTIVE</t>
        </is>
      </c>
      <c r="N223" t="inlineStr">
        <is>
          <t>UAA-074</t>
        </is>
      </c>
    </row>
    <row r="224">
      <c r="B224" t="inlineStr">
        <is>
          <t>N524EA</t>
        </is>
      </c>
      <c r="C224" t="inlineStr">
        <is>
          <t>GLF6</t>
        </is>
      </c>
      <c r="H224" t="n">
        <v>46992</v>
      </c>
      <c r="L224" t="inlineStr">
        <is>
          <t>ACTIVE</t>
        </is>
      </c>
      <c r="N224" t="inlineStr">
        <is>
          <t>UAA-317</t>
        </is>
      </c>
    </row>
    <row r="225">
      <c r="B225" t="inlineStr">
        <is>
          <t>N526EM</t>
        </is>
      </c>
      <c r="C225" t="inlineStr">
        <is>
          <t>GLF5</t>
        </is>
      </c>
      <c r="L225" t="inlineStr">
        <is>
          <t>ACTIVE</t>
        </is>
      </c>
      <c r="N225" t="inlineStr">
        <is>
          <t>UAA-183</t>
        </is>
      </c>
    </row>
    <row r="226">
      <c r="B226" t="inlineStr">
        <is>
          <t>N535MG</t>
        </is>
      </c>
      <c r="C226" t="inlineStr">
        <is>
          <t>C700</t>
        </is>
      </c>
      <c r="D226" t="inlineStr">
        <is>
          <t>Cessna</t>
        </is>
      </c>
      <c r="E226" t="inlineStr">
        <is>
          <t>Citation Longitude</t>
        </is>
      </c>
      <c r="F226" t="inlineStr">
        <is>
          <t>KFXE</t>
        </is>
      </c>
      <c r="H226" t="n">
        <v>17696</v>
      </c>
      <c r="I226" t="n">
        <v>12</v>
      </c>
      <c r="K226" t="inlineStr">
        <is>
          <t>70092</t>
        </is>
      </c>
      <c r="L226" t="inlineStr">
        <is>
          <t>ACTIVE</t>
        </is>
      </c>
      <c r="N226" t="inlineStr">
        <is>
          <t>OPV-30</t>
        </is>
      </c>
    </row>
    <row r="227">
      <c r="B227" t="inlineStr">
        <is>
          <t>N535V</t>
        </is>
      </c>
      <c r="C227" t="inlineStr">
        <is>
          <t>GLF5</t>
        </is>
      </c>
      <c r="H227" t="n">
        <v>41050</v>
      </c>
      <c r="L227" t="inlineStr">
        <is>
          <t>ACTIVE</t>
        </is>
      </c>
      <c r="N227" t="inlineStr">
        <is>
          <t>UAA-037</t>
        </is>
      </c>
    </row>
    <row r="228">
      <c r="B228" t="inlineStr">
        <is>
          <t>N539JS</t>
        </is>
      </c>
      <c r="C228" t="inlineStr">
        <is>
          <t>GLF5</t>
        </is>
      </c>
      <c r="H228" t="n">
        <v>41277</v>
      </c>
      <c r="L228" t="inlineStr">
        <is>
          <t>ACTIVE</t>
        </is>
      </c>
      <c r="N228" t="inlineStr">
        <is>
          <t>UAA-037</t>
        </is>
      </c>
    </row>
    <row r="229">
      <c r="B229" t="inlineStr">
        <is>
          <t>N540W</t>
        </is>
      </c>
      <c r="C229" t="inlineStr">
        <is>
          <t>GLF6</t>
        </is>
      </c>
      <c r="H229" t="n">
        <v>45178</v>
      </c>
      <c r="L229" t="inlineStr">
        <is>
          <t>ACTIVE</t>
        </is>
      </c>
      <c r="N229" t="inlineStr">
        <is>
          <t>UAA-126</t>
        </is>
      </c>
    </row>
    <row r="230">
      <c r="B230" t="inlineStr">
        <is>
          <t>N545C</t>
        </is>
      </c>
      <c r="C230" t="inlineStr">
        <is>
          <t>G280</t>
        </is>
      </c>
      <c r="H230" t="n">
        <v>17962</v>
      </c>
      <c r="L230" t="inlineStr">
        <is>
          <t>ACTIVE</t>
        </is>
      </c>
      <c r="N230" t="inlineStr">
        <is>
          <t>UAA-127</t>
        </is>
      </c>
    </row>
    <row r="231">
      <c r="B231" t="inlineStr">
        <is>
          <t>N550DA</t>
        </is>
      </c>
      <c r="C231" t="inlineStr">
        <is>
          <t>GLF5</t>
        </is>
      </c>
      <c r="H231" t="n">
        <v>41277</v>
      </c>
      <c r="L231" t="inlineStr">
        <is>
          <t>ACTIVE</t>
        </is>
      </c>
      <c r="N231" t="inlineStr">
        <is>
          <t>UAA-272</t>
        </is>
      </c>
    </row>
    <row r="232">
      <c r="B232" t="inlineStr">
        <is>
          <t>N550DR</t>
        </is>
      </c>
      <c r="C232" t="inlineStr">
        <is>
          <t>GLF5</t>
        </is>
      </c>
      <c r="H232" t="n">
        <v>41277</v>
      </c>
      <c r="L232" t="inlineStr">
        <is>
          <t>ACTIVE</t>
        </is>
      </c>
      <c r="N232" t="inlineStr">
        <is>
          <t>UAA-128</t>
        </is>
      </c>
    </row>
    <row r="233">
      <c r="B233" t="inlineStr">
        <is>
          <t>N550GA</t>
        </is>
      </c>
      <c r="C233" t="inlineStr">
        <is>
          <t>GLF5</t>
        </is>
      </c>
      <c r="H233" t="n">
        <v>41277</v>
      </c>
      <c r="L233" t="inlineStr">
        <is>
          <t>ACTIVE</t>
        </is>
      </c>
      <c r="N233" t="inlineStr">
        <is>
          <t>UAA-043</t>
        </is>
      </c>
    </row>
    <row r="234">
      <c r="B234" t="inlineStr">
        <is>
          <t>N550QS</t>
        </is>
      </c>
      <c r="C234" t="inlineStr">
        <is>
          <t>CL35</t>
        </is>
      </c>
      <c r="D234" t="inlineStr">
        <is>
          <t>Bombardier</t>
        </is>
      </c>
      <c r="E234" t="inlineStr">
        <is>
          <t>Challenger 350</t>
        </is>
      </c>
      <c r="F234" t="inlineStr">
        <is>
          <t>KCMH</t>
        </is>
      </c>
      <c r="H234" t="n">
        <v>18597</v>
      </c>
      <c r="I234" t="n">
        <v>10</v>
      </c>
      <c r="K234" t="inlineStr">
        <is>
          <t>20567</t>
        </is>
      </c>
      <c r="L234" t="inlineStr">
        <is>
          <t>ACTIVE</t>
        </is>
      </c>
      <c r="N234" t="inlineStr">
        <is>
          <t>OPV-27</t>
        </is>
      </c>
    </row>
    <row r="235">
      <c r="B235" t="inlineStr">
        <is>
          <t>N550RP</t>
        </is>
      </c>
      <c r="C235" t="inlineStr">
        <is>
          <t>GLF5</t>
        </is>
      </c>
      <c r="H235" t="n">
        <v>41277</v>
      </c>
      <c r="L235" t="inlineStr">
        <is>
          <t>ACTIVE</t>
        </is>
      </c>
      <c r="N235" t="inlineStr">
        <is>
          <t>UAA-036</t>
        </is>
      </c>
    </row>
    <row r="236">
      <c r="B236" t="inlineStr">
        <is>
          <t>N550SN</t>
        </is>
      </c>
      <c r="C236" t="inlineStr">
        <is>
          <t>GLF5</t>
        </is>
      </c>
      <c r="H236" t="n">
        <v>41277</v>
      </c>
      <c r="L236" t="inlineStr">
        <is>
          <t>ACTIVE</t>
        </is>
      </c>
      <c r="N236" t="inlineStr">
        <is>
          <t>UAA-129</t>
        </is>
      </c>
    </row>
    <row r="237">
      <c r="B237" t="inlineStr">
        <is>
          <t>N551SN</t>
        </is>
      </c>
      <c r="C237" t="inlineStr">
        <is>
          <t>GLF5</t>
        </is>
      </c>
      <c r="H237" t="n">
        <v>41277</v>
      </c>
      <c r="L237" t="inlineStr">
        <is>
          <t>ACTIVE</t>
        </is>
      </c>
      <c r="N237" t="inlineStr">
        <is>
          <t>UAA-129</t>
        </is>
      </c>
    </row>
    <row r="238">
      <c r="B238" t="inlineStr">
        <is>
          <t>N552SN</t>
        </is>
      </c>
      <c r="C238" t="inlineStr">
        <is>
          <t>GLF5</t>
        </is>
      </c>
      <c r="H238" t="n">
        <v>41277</v>
      </c>
      <c r="L238" t="inlineStr">
        <is>
          <t>ACTIVE</t>
        </is>
      </c>
      <c r="N238" t="inlineStr">
        <is>
          <t>UAA-129</t>
        </is>
      </c>
    </row>
    <row r="239">
      <c r="B239" t="inlineStr">
        <is>
          <t>N552YM</t>
        </is>
      </c>
      <c r="C239" t="inlineStr">
        <is>
          <t>GLEX</t>
        </is>
      </c>
      <c r="H239" t="n">
        <v>45132</v>
      </c>
      <c r="L239" t="inlineStr">
        <is>
          <t>ACTIVE</t>
        </is>
      </c>
      <c r="N239" t="inlineStr">
        <is>
          <t>UAA-131</t>
        </is>
      </c>
    </row>
    <row r="240">
      <c r="B240" t="inlineStr">
        <is>
          <t>N555AD</t>
        </is>
      </c>
      <c r="C240" t="inlineStr">
        <is>
          <t>CL35</t>
        </is>
      </c>
      <c r="H240" t="n">
        <v>18416</v>
      </c>
      <c r="L240" t="inlineStr">
        <is>
          <t>ACTIVE</t>
        </is>
      </c>
      <c r="N240" t="inlineStr">
        <is>
          <t>UAA-132</t>
        </is>
      </c>
    </row>
    <row r="241">
      <c r="B241" t="inlineStr">
        <is>
          <t>N555GA</t>
        </is>
      </c>
      <c r="C241" t="inlineStr">
        <is>
          <t>GLF6</t>
        </is>
      </c>
      <c r="H241" t="n">
        <v>46992</v>
      </c>
      <c r="L241" t="inlineStr">
        <is>
          <t>ACTIVE</t>
        </is>
      </c>
      <c r="N241" t="inlineStr">
        <is>
          <t>UAA-133</t>
        </is>
      </c>
    </row>
    <row r="242">
      <c r="B242" t="inlineStr">
        <is>
          <t>N556CH</t>
        </is>
      </c>
      <c r="C242" t="inlineStr">
        <is>
          <t>GLF6</t>
        </is>
      </c>
      <c r="H242" t="n">
        <v>46992</v>
      </c>
      <c r="L242" t="inlineStr">
        <is>
          <t>ACTIVE</t>
        </is>
      </c>
      <c r="N242" t="inlineStr">
        <is>
          <t>UAA-134</t>
        </is>
      </c>
    </row>
    <row r="243">
      <c r="B243" t="inlineStr">
        <is>
          <t>N5577X</t>
        </is>
      </c>
      <c r="C243" t="inlineStr">
        <is>
          <t>FA7X</t>
        </is>
      </c>
      <c r="H243" t="n">
        <v>31751</v>
      </c>
      <c r="L243" t="inlineStr">
        <is>
          <t>ACTIVE</t>
        </is>
      </c>
      <c r="N243" t="inlineStr">
        <is>
          <t>UAA-329</t>
        </is>
      </c>
    </row>
    <row r="244">
      <c r="B244" t="inlineStr">
        <is>
          <t>N565JT</t>
        </is>
      </c>
      <c r="C244" t="inlineStr">
        <is>
          <t>GLF5</t>
        </is>
      </c>
      <c r="H244" t="n">
        <v>41050</v>
      </c>
      <c r="L244" t="inlineStr">
        <is>
          <t>ACTIVE</t>
        </is>
      </c>
      <c r="N244" t="inlineStr">
        <is>
          <t>UAA-135</t>
        </is>
      </c>
    </row>
    <row r="245">
      <c r="B245" t="inlineStr">
        <is>
          <t>N585GS</t>
        </is>
      </c>
      <c r="C245" t="inlineStr">
        <is>
          <t>GLF6</t>
        </is>
      </c>
      <c r="H245" t="n">
        <v>46992</v>
      </c>
      <c r="L245" t="inlineStr">
        <is>
          <t>ACTIVE</t>
        </is>
      </c>
      <c r="N245" t="inlineStr">
        <is>
          <t>UAA-280</t>
        </is>
      </c>
    </row>
    <row r="246">
      <c r="B246" t="inlineStr">
        <is>
          <t>N587G</t>
        </is>
      </c>
      <c r="C246" t="inlineStr">
        <is>
          <t>GLF5</t>
        </is>
      </c>
      <c r="H246" t="n">
        <v>41277</v>
      </c>
      <c r="L246" t="inlineStr">
        <is>
          <t>ACTIVE</t>
        </is>
      </c>
      <c r="N246" t="inlineStr">
        <is>
          <t>UAA-137</t>
        </is>
      </c>
    </row>
    <row r="247">
      <c r="B247" t="inlineStr">
        <is>
          <t>N588DZ</t>
        </is>
      </c>
      <c r="C247" t="inlineStr">
        <is>
          <t>GLF5</t>
        </is>
      </c>
      <c r="H247" t="n">
        <v>41277</v>
      </c>
      <c r="L247" t="inlineStr">
        <is>
          <t>ACTIVE</t>
        </is>
      </c>
      <c r="N247" t="inlineStr">
        <is>
          <t>UAA-290</t>
        </is>
      </c>
    </row>
    <row r="248">
      <c r="B248" t="inlineStr">
        <is>
          <t>N588PX</t>
        </is>
      </c>
      <c r="C248" t="inlineStr">
        <is>
          <t>GLF5</t>
        </is>
      </c>
      <c r="H248" t="n">
        <v>41277</v>
      </c>
      <c r="L248" t="inlineStr">
        <is>
          <t>ACTIVE</t>
        </is>
      </c>
      <c r="N248" t="inlineStr">
        <is>
          <t>UAA-138</t>
        </is>
      </c>
    </row>
    <row r="249">
      <c r="B249" t="inlineStr">
        <is>
          <t>N588SE</t>
        </is>
      </c>
      <c r="C249" t="inlineStr">
        <is>
          <t>GLF6</t>
        </is>
      </c>
      <c r="H249" t="n">
        <v>46992</v>
      </c>
      <c r="L249" t="inlineStr">
        <is>
          <t>ACTIVE</t>
        </is>
      </c>
      <c r="N249" t="inlineStr">
        <is>
          <t>UAA-139</t>
        </is>
      </c>
    </row>
    <row r="250">
      <c r="B250" t="inlineStr">
        <is>
          <t>N595MP</t>
        </is>
      </c>
      <c r="C250" t="inlineStr">
        <is>
          <t>GLEX</t>
        </is>
      </c>
      <c r="H250" t="n">
        <v>43091</v>
      </c>
      <c r="L250" t="inlineStr">
        <is>
          <t>ACTIVE</t>
        </is>
      </c>
      <c r="N250" t="inlineStr">
        <is>
          <t>UAA-037</t>
        </is>
      </c>
    </row>
    <row r="251">
      <c r="B251" t="inlineStr">
        <is>
          <t>N599CE</t>
        </is>
      </c>
      <c r="C251" t="inlineStr">
        <is>
          <t>GLEX</t>
        </is>
      </c>
      <c r="H251" t="n">
        <v>45132</v>
      </c>
      <c r="L251" t="inlineStr">
        <is>
          <t>ACTIVE</t>
        </is>
      </c>
      <c r="N251" t="inlineStr">
        <is>
          <t>UAA-141</t>
        </is>
      </c>
    </row>
    <row r="252">
      <c r="B252" t="inlineStr">
        <is>
          <t>N599CH</t>
        </is>
      </c>
      <c r="C252" t="inlineStr">
        <is>
          <t>GLEX</t>
        </is>
      </c>
      <c r="H252" t="n">
        <v>45132</v>
      </c>
      <c r="L252" t="inlineStr">
        <is>
          <t>ACTIVE</t>
        </is>
      </c>
      <c r="N252" t="inlineStr">
        <is>
          <t>UAA-141</t>
        </is>
      </c>
    </row>
    <row r="253">
      <c r="B253" t="inlineStr">
        <is>
          <t>N60TE</t>
        </is>
      </c>
      <c r="C253" t="inlineStr">
        <is>
          <t>GLEX</t>
        </is>
      </c>
      <c r="H253" t="n">
        <v>45132</v>
      </c>
      <c r="L253" t="inlineStr">
        <is>
          <t>ACTIVE</t>
        </is>
      </c>
      <c r="N253" t="inlineStr">
        <is>
          <t>UAA-037</t>
        </is>
      </c>
    </row>
    <row r="254">
      <c r="B254" t="inlineStr">
        <is>
          <t>N610AW</t>
        </is>
      </c>
      <c r="C254" t="inlineStr">
        <is>
          <t>GLEX</t>
        </is>
      </c>
      <c r="H254" t="n">
        <v>44452</v>
      </c>
      <c r="L254" t="inlineStr">
        <is>
          <t>ACTIVE</t>
        </is>
      </c>
      <c r="N254" t="inlineStr">
        <is>
          <t>UAA-147</t>
        </is>
      </c>
    </row>
    <row r="255">
      <c r="B255" t="inlineStr">
        <is>
          <t>N610CX</t>
        </is>
      </c>
      <c r="C255" t="inlineStr">
        <is>
          <t>GLEX</t>
        </is>
      </c>
      <c r="H255" t="n">
        <v>44452</v>
      </c>
      <c r="L255" t="inlineStr">
        <is>
          <t>ACTIVE</t>
        </is>
      </c>
      <c r="N255" t="inlineStr">
        <is>
          <t>UAA-148</t>
        </is>
      </c>
    </row>
    <row r="256">
      <c r="B256" t="inlineStr">
        <is>
          <t>N611PL</t>
        </is>
      </c>
      <c r="C256" t="inlineStr">
        <is>
          <t>GLF6</t>
        </is>
      </c>
      <c r="H256" t="n">
        <v>46992</v>
      </c>
      <c r="L256" t="inlineStr">
        <is>
          <t>ACTIVE</t>
        </is>
      </c>
      <c r="N256" t="inlineStr">
        <is>
          <t>UAA-037</t>
        </is>
      </c>
    </row>
    <row r="257">
      <c r="B257" t="inlineStr">
        <is>
          <t>N61318</t>
        </is>
      </c>
      <c r="C257" t="inlineStr">
        <is>
          <t>GLF5</t>
        </is>
      </c>
      <c r="H257" t="n">
        <v>41050</v>
      </c>
      <c r="L257" t="inlineStr">
        <is>
          <t>ACTIVE</t>
        </is>
      </c>
      <c r="N257" t="inlineStr">
        <is>
          <t>UAA-055</t>
        </is>
      </c>
    </row>
    <row r="258">
      <c r="B258" t="inlineStr">
        <is>
          <t>N613AQ</t>
        </is>
      </c>
      <c r="C258" t="inlineStr">
        <is>
          <t>GLF5</t>
        </is>
      </c>
      <c r="H258" t="n">
        <v>41277</v>
      </c>
      <c r="L258" t="inlineStr">
        <is>
          <t>ACTIVE</t>
        </is>
      </c>
      <c r="N258" t="inlineStr">
        <is>
          <t>UAA-037</t>
        </is>
      </c>
    </row>
    <row r="259">
      <c r="B259" t="inlineStr">
        <is>
          <t>N616MP</t>
        </is>
      </c>
      <c r="C259" t="inlineStr">
        <is>
          <t>FA7X</t>
        </is>
      </c>
      <c r="H259" t="n">
        <v>31751</v>
      </c>
      <c r="L259" t="inlineStr">
        <is>
          <t>ACTIVE</t>
        </is>
      </c>
      <c r="N259" t="inlineStr">
        <is>
          <t>UAA-055</t>
        </is>
      </c>
    </row>
    <row r="260">
      <c r="B260" t="inlineStr">
        <is>
          <t>N617GA</t>
        </is>
      </c>
      <c r="C260" t="inlineStr">
        <is>
          <t>GLF6</t>
        </is>
      </c>
      <c r="H260" t="n">
        <v>46992</v>
      </c>
      <c r="L260" t="inlineStr">
        <is>
          <t>ACTIVE</t>
        </is>
      </c>
      <c r="N260" t="inlineStr">
        <is>
          <t>UAA-036</t>
        </is>
      </c>
    </row>
    <row r="261">
      <c r="B261" t="inlineStr">
        <is>
          <t>N626JE</t>
        </is>
      </c>
      <c r="C261" t="inlineStr">
        <is>
          <t>GLF5</t>
        </is>
      </c>
      <c r="H261" t="n">
        <v>41050</v>
      </c>
      <c r="L261" t="inlineStr">
        <is>
          <t>ACTIVE</t>
        </is>
      </c>
      <c r="N261" t="inlineStr">
        <is>
          <t>UAA-111</t>
        </is>
      </c>
    </row>
    <row r="262">
      <c r="B262" t="inlineStr">
        <is>
          <t>N626RA</t>
        </is>
      </c>
      <c r="C262" t="inlineStr">
        <is>
          <t>GLF5</t>
        </is>
      </c>
      <c r="H262" t="n">
        <v>41277</v>
      </c>
      <c r="L262" t="inlineStr">
        <is>
          <t>ACTIVE</t>
        </is>
      </c>
      <c r="N262" t="inlineStr">
        <is>
          <t>UAA-170</t>
        </is>
      </c>
    </row>
    <row r="263">
      <c r="B263" t="inlineStr">
        <is>
          <t>N650AF</t>
        </is>
      </c>
      <c r="C263" t="inlineStr">
        <is>
          <t>GLF6</t>
        </is>
      </c>
      <c r="H263" t="n">
        <v>46992</v>
      </c>
      <c r="L263" t="inlineStr">
        <is>
          <t>ACTIVE</t>
        </is>
      </c>
      <c r="N263" t="inlineStr">
        <is>
          <t>UAA-152</t>
        </is>
      </c>
    </row>
    <row r="264">
      <c r="B264" t="inlineStr">
        <is>
          <t>N650BA</t>
        </is>
      </c>
      <c r="C264" t="inlineStr">
        <is>
          <t>GLF6</t>
        </is>
      </c>
      <c r="H264" t="n">
        <v>45178</v>
      </c>
      <c r="L264" t="inlineStr">
        <is>
          <t>ACTIVE</t>
        </is>
      </c>
      <c r="N264" t="inlineStr">
        <is>
          <t>UAA-153</t>
        </is>
      </c>
    </row>
    <row r="265">
      <c r="B265" t="inlineStr">
        <is>
          <t>N650D</t>
        </is>
      </c>
      <c r="C265" t="inlineStr">
        <is>
          <t>GLF6</t>
        </is>
      </c>
      <c r="H265" t="n">
        <v>46992</v>
      </c>
      <c r="L265" t="inlineStr">
        <is>
          <t>ACTIVE</t>
        </is>
      </c>
      <c r="N265" t="inlineStr">
        <is>
          <t>UAA-273</t>
        </is>
      </c>
    </row>
    <row r="266">
      <c r="B266" t="inlineStr">
        <is>
          <t>N650MT</t>
        </is>
      </c>
      <c r="C266" t="inlineStr">
        <is>
          <t>GLF6</t>
        </is>
      </c>
      <c r="H266" t="n">
        <v>45178</v>
      </c>
      <c r="L266" t="inlineStr">
        <is>
          <t>ACTIVE</t>
        </is>
      </c>
      <c r="N266" t="inlineStr">
        <is>
          <t>UAA-154</t>
        </is>
      </c>
    </row>
    <row r="267">
      <c r="B267" t="inlineStr">
        <is>
          <t>N650RV</t>
        </is>
      </c>
      <c r="C267" t="inlineStr">
        <is>
          <t>GLEX</t>
        </is>
      </c>
      <c r="H267" t="n">
        <v>45132</v>
      </c>
      <c r="L267" t="inlineStr">
        <is>
          <t>ACTIVE</t>
        </is>
      </c>
      <c r="N267" t="inlineStr">
        <is>
          <t>UAA-193</t>
        </is>
      </c>
    </row>
    <row r="268">
      <c r="B268" t="inlineStr">
        <is>
          <t>N650VC</t>
        </is>
      </c>
      <c r="C268" t="inlineStr">
        <is>
          <t>GLF6</t>
        </is>
      </c>
      <c r="H268" t="n">
        <v>46992</v>
      </c>
      <c r="L268" t="inlineStr">
        <is>
          <t>ACTIVE</t>
        </is>
      </c>
      <c r="N268" t="inlineStr">
        <is>
          <t>UAA-293</t>
        </is>
      </c>
    </row>
    <row r="269">
      <c r="B269" t="inlineStr">
        <is>
          <t>N650WS</t>
        </is>
      </c>
      <c r="C269" t="inlineStr">
        <is>
          <t>GLF6</t>
        </is>
      </c>
      <c r="H269" t="n">
        <v>46992</v>
      </c>
      <c r="L269" t="inlineStr">
        <is>
          <t>ACTIVE</t>
        </is>
      </c>
      <c r="N269" t="inlineStr">
        <is>
          <t>UAA-055</t>
        </is>
      </c>
    </row>
    <row r="270">
      <c r="B270" t="inlineStr">
        <is>
          <t>N650XY</t>
        </is>
      </c>
      <c r="C270" t="inlineStr">
        <is>
          <t>GLF6</t>
        </is>
      </c>
      <c r="H270" t="n">
        <v>46992</v>
      </c>
      <c r="L270" t="inlineStr">
        <is>
          <t>ACTIVE</t>
        </is>
      </c>
      <c r="N270" t="inlineStr">
        <is>
          <t>UAA-307</t>
        </is>
      </c>
    </row>
    <row r="271">
      <c r="B271" t="inlineStr">
        <is>
          <t>N651BA</t>
        </is>
      </c>
      <c r="C271" t="inlineStr">
        <is>
          <t>GLF6</t>
        </is>
      </c>
      <c r="H271" t="n">
        <v>45178</v>
      </c>
      <c r="L271" t="inlineStr">
        <is>
          <t>ACTIVE</t>
        </is>
      </c>
      <c r="N271" t="inlineStr">
        <is>
          <t>UAA-153</t>
        </is>
      </c>
    </row>
    <row r="272">
      <c r="B272" t="inlineStr">
        <is>
          <t>N652WE</t>
        </is>
      </c>
      <c r="C272" t="inlineStr">
        <is>
          <t>GLF6</t>
        </is>
      </c>
      <c r="H272" t="n">
        <v>46992</v>
      </c>
      <c r="L272" t="inlineStr">
        <is>
          <t>ACTIVE</t>
        </is>
      </c>
      <c r="N272" t="inlineStr">
        <is>
          <t>UAA-155</t>
        </is>
      </c>
    </row>
    <row r="273">
      <c r="B273" t="inlineStr">
        <is>
          <t>N65KL</t>
        </is>
      </c>
      <c r="C273" t="inlineStr">
        <is>
          <t>GLF5</t>
        </is>
      </c>
      <c r="H273" t="n">
        <v>41277</v>
      </c>
      <c r="L273" t="inlineStr">
        <is>
          <t>ACTIVE</t>
        </is>
      </c>
      <c r="N273" t="inlineStr">
        <is>
          <t>UAA-131</t>
        </is>
      </c>
    </row>
    <row r="274">
      <c r="B274" t="inlineStr">
        <is>
          <t>N65WL</t>
        </is>
      </c>
      <c r="C274" t="inlineStr">
        <is>
          <t>GLEX</t>
        </is>
      </c>
      <c r="H274" t="n">
        <v>44452</v>
      </c>
      <c r="L274" t="inlineStr">
        <is>
          <t>ACTIVE</t>
        </is>
      </c>
      <c r="N274" t="inlineStr">
        <is>
          <t>UAA-156</t>
        </is>
      </c>
    </row>
    <row r="275">
      <c r="B275" t="inlineStr">
        <is>
          <t>N661CH</t>
        </is>
      </c>
      <c r="C275" t="inlineStr">
        <is>
          <t>GLF6</t>
        </is>
      </c>
      <c r="H275" t="n">
        <v>46992</v>
      </c>
      <c r="L275" t="inlineStr">
        <is>
          <t>ACTIVE</t>
        </is>
      </c>
      <c r="N275" t="inlineStr">
        <is>
          <t>UAA-143</t>
        </is>
      </c>
    </row>
    <row r="276">
      <c r="B276" t="inlineStr">
        <is>
          <t>N673MM</t>
        </is>
      </c>
      <c r="C276" t="inlineStr">
        <is>
          <t>GLF5</t>
        </is>
      </c>
      <c r="H276" t="n">
        <v>41277</v>
      </c>
      <c r="L276" t="inlineStr">
        <is>
          <t>ACTIVE</t>
        </is>
      </c>
      <c r="N276" t="inlineStr">
        <is>
          <t>UAA-037</t>
        </is>
      </c>
    </row>
    <row r="277">
      <c r="B277" t="inlineStr">
        <is>
          <t>N673WM</t>
        </is>
      </c>
      <c r="C277" t="inlineStr">
        <is>
          <t>FA7X</t>
        </is>
      </c>
      <c r="H277" t="n">
        <v>31751</v>
      </c>
      <c r="L277" t="inlineStr">
        <is>
          <t>ACTIVE</t>
        </is>
      </c>
      <c r="N277" t="inlineStr">
        <is>
          <t>UAA-157</t>
        </is>
      </c>
    </row>
    <row r="278">
      <c r="B278" t="inlineStr">
        <is>
          <t>N674WM</t>
        </is>
      </c>
      <c r="C278" t="inlineStr">
        <is>
          <t>FA7X</t>
        </is>
      </c>
      <c r="H278" t="n">
        <v>31751</v>
      </c>
      <c r="L278" t="inlineStr">
        <is>
          <t>ACTIVE</t>
        </is>
      </c>
      <c r="N278" t="inlineStr">
        <is>
          <t>UAA-157</t>
        </is>
      </c>
    </row>
    <row r="279">
      <c r="B279" t="inlineStr">
        <is>
          <t>N677GX</t>
        </is>
      </c>
      <c r="C279" t="inlineStr">
        <is>
          <t>GLEX</t>
        </is>
      </c>
      <c r="H279" t="n">
        <v>45132</v>
      </c>
      <c r="L279" t="inlineStr">
        <is>
          <t>ACTIVE</t>
        </is>
      </c>
      <c r="N279" t="inlineStr">
        <is>
          <t>UAA-159</t>
        </is>
      </c>
    </row>
    <row r="280">
      <c r="B280" t="inlineStr">
        <is>
          <t>N67WV</t>
        </is>
      </c>
      <c r="C280" t="inlineStr">
        <is>
          <t>GLF6</t>
        </is>
      </c>
      <c r="H280" t="n">
        <v>46992</v>
      </c>
      <c r="L280" t="inlineStr">
        <is>
          <t>ACTIVE</t>
        </is>
      </c>
      <c r="N280" t="inlineStr">
        <is>
          <t>UAA-037</t>
        </is>
      </c>
    </row>
    <row r="281">
      <c r="B281" t="inlineStr">
        <is>
          <t>N68885</t>
        </is>
      </c>
      <c r="C281" t="inlineStr">
        <is>
          <t>GLF6</t>
        </is>
      </c>
      <c r="H281" t="n">
        <v>46992</v>
      </c>
      <c r="L281" t="inlineStr">
        <is>
          <t>ACTIVE</t>
        </is>
      </c>
      <c r="N281" t="inlineStr">
        <is>
          <t>UAA-037</t>
        </is>
      </c>
    </row>
    <row r="282">
      <c r="B282" t="inlineStr">
        <is>
          <t>N68KJ</t>
        </is>
      </c>
      <c r="C282" t="inlineStr">
        <is>
          <t>GLEX</t>
        </is>
      </c>
      <c r="H282" t="n">
        <v>45132</v>
      </c>
      <c r="L282" t="inlineStr">
        <is>
          <t>ACTIVE</t>
        </is>
      </c>
      <c r="N282" t="inlineStr">
        <is>
          <t>UAA-085</t>
        </is>
      </c>
    </row>
    <row r="283">
      <c r="B283" t="inlineStr">
        <is>
          <t>N68KP</t>
        </is>
      </c>
      <c r="C283" t="inlineStr">
        <is>
          <t>GLEX</t>
        </is>
      </c>
      <c r="H283" t="n">
        <v>43545</v>
      </c>
      <c r="L283" t="inlineStr">
        <is>
          <t>ACTIVE</t>
        </is>
      </c>
      <c r="N283" t="inlineStr">
        <is>
          <t>UAA-085</t>
        </is>
      </c>
    </row>
    <row r="284">
      <c r="B284" t="inlineStr">
        <is>
          <t>N692GD</t>
        </is>
      </c>
      <c r="C284" t="inlineStr">
        <is>
          <t>GLF6</t>
        </is>
      </c>
      <c r="H284" t="n">
        <v>46992</v>
      </c>
      <c r="L284" t="inlineStr">
        <is>
          <t>ACTIVE</t>
        </is>
      </c>
      <c r="N284" t="inlineStr">
        <is>
          <t>UAA-296</t>
        </is>
      </c>
    </row>
    <row r="285">
      <c r="B285" t="inlineStr">
        <is>
          <t>N695LC</t>
        </is>
      </c>
      <c r="C285" t="inlineStr">
        <is>
          <t>C208</t>
        </is>
      </c>
      <c r="L285" t="inlineStr">
        <is>
          <t>ACTIVE</t>
        </is>
      </c>
      <c r="N285" t="inlineStr">
        <is>
          <t>UAA-276</t>
        </is>
      </c>
    </row>
    <row r="286">
      <c r="B286" t="inlineStr">
        <is>
          <t>N6FE</t>
        </is>
      </c>
      <c r="C286" t="inlineStr">
        <is>
          <t>GLEX</t>
        </is>
      </c>
      <c r="H286" t="n">
        <v>45132</v>
      </c>
      <c r="L286" t="inlineStr">
        <is>
          <t>ACTIVE</t>
        </is>
      </c>
      <c r="N286" t="inlineStr">
        <is>
          <t>UAA-136</t>
        </is>
      </c>
    </row>
    <row r="287">
      <c r="B287" t="inlineStr">
        <is>
          <t>N700QS</t>
        </is>
      </c>
      <c r="C287" t="inlineStr">
        <is>
          <t>GLF6</t>
        </is>
      </c>
      <c r="D287" t="inlineStr">
        <is>
          <t>Gulfstream</t>
        </is>
      </c>
      <c r="E287" t="inlineStr">
        <is>
          <t>G650</t>
        </is>
      </c>
      <c r="F287" t="inlineStr">
        <is>
          <t>KCMH</t>
        </is>
      </c>
      <c r="H287" t="n">
        <v>45178</v>
      </c>
      <c r="I287" t="n">
        <v>19</v>
      </c>
      <c r="K287" t="inlineStr">
        <is>
          <t>6301</t>
        </is>
      </c>
      <c r="L287" t="inlineStr">
        <is>
          <t>ACTIVE</t>
        </is>
      </c>
      <c r="N287" t="inlineStr">
        <is>
          <t>OPV-27</t>
        </is>
      </c>
    </row>
    <row r="288">
      <c r="B288" t="inlineStr">
        <is>
          <t>N703LA</t>
        </is>
      </c>
      <c r="C288" t="inlineStr">
        <is>
          <t>GLEX</t>
        </is>
      </c>
      <c r="H288" t="n">
        <v>45132</v>
      </c>
      <c r="L288" t="inlineStr">
        <is>
          <t>ACTIVE</t>
        </is>
      </c>
      <c r="N288" t="inlineStr">
        <is>
          <t>UAA-162</t>
        </is>
      </c>
    </row>
    <row r="289">
      <c r="B289" t="inlineStr">
        <is>
          <t>N705LT</t>
        </is>
      </c>
      <c r="C289" t="inlineStr">
        <is>
          <t>GLEX</t>
        </is>
      </c>
      <c r="H289" t="n">
        <v>45132</v>
      </c>
      <c r="L289" t="inlineStr">
        <is>
          <t>ACTIVE</t>
        </is>
      </c>
      <c r="N289" t="inlineStr">
        <is>
          <t>UAA-163</t>
        </is>
      </c>
    </row>
    <row r="290">
      <c r="B290" t="inlineStr">
        <is>
          <t>N711AL</t>
        </is>
      </c>
      <c r="C290" t="inlineStr">
        <is>
          <t>GLF5</t>
        </is>
      </c>
      <c r="H290" t="n">
        <v>41277</v>
      </c>
      <c r="L290" t="inlineStr">
        <is>
          <t>ACTIVE</t>
        </is>
      </c>
      <c r="N290" t="inlineStr">
        <is>
          <t>UAA-037</t>
        </is>
      </c>
    </row>
    <row r="291">
      <c r="B291" t="inlineStr">
        <is>
          <t>N711MC</t>
        </is>
      </c>
      <c r="C291" t="inlineStr">
        <is>
          <t>GLEX</t>
        </is>
      </c>
      <c r="H291" t="n">
        <v>43545</v>
      </c>
      <c r="L291" t="inlineStr">
        <is>
          <t>ACTIVE</t>
        </is>
      </c>
      <c r="N291" t="inlineStr">
        <is>
          <t>UAA-165</t>
        </is>
      </c>
    </row>
    <row r="292">
      <c r="B292" t="inlineStr">
        <is>
          <t>N711RH</t>
        </is>
      </c>
      <c r="C292" t="inlineStr">
        <is>
          <t>GLF6</t>
        </is>
      </c>
      <c r="H292" t="n">
        <v>46992</v>
      </c>
      <c r="L292" t="inlineStr">
        <is>
          <t>ACTIVE</t>
        </is>
      </c>
      <c r="N292" t="inlineStr">
        <is>
          <t>UAA-037</t>
        </is>
      </c>
    </row>
    <row r="293">
      <c r="B293" t="inlineStr">
        <is>
          <t>N713TS</t>
        </is>
      </c>
      <c r="C293" t="inlineStr">
        <is>
          <t>E190</t>
        </is>
      </c>
      <c r="H293" t="n">
        <v>54499</v>
      </c>
      <c r="L293" t="inlineStr">
        <is>
          <t>ACTIVE</t>
        </is>
      </c>
      <c r="N293" t="inlineStr">
        <is>
          <t>UAA-167</t>
        </is>
      </c>
    </row>
    <row r="294">
      <c r="B294" t="inlineStr">
        <is>
          <t>N715TS</t>
        </is>
      </c>
      <c r="C294" t="inlineStr">
        <is>
          <t>GLEX</t>
        </is>
      </c>
      <c r="H294" t="n">
        <v>45132</v>
      </c>
      <c r="L294" t="inlineStr">
        <is>
          <t>ACTIVE</t>
        </is>
      </c>
      <c r="N294" t="inlineStr">
        <is>
          <t>UAA-037</t>
        </is>
      </c>
    </row>
    <row r="295">
      <c r="B295" t="inlineStr">
        <is>
          <t>N716CG</t>
        </is>
      </c>
      <c r="C295" t="inlineStr">
        <is>
          <t>FA8X</t>
        </is>
      </c>
      <c r="H295" t="n">
        <v>33112</v>
      </c>
      <c r="L295" t="inlineStr">
        <is>
          <t>ACTIVE</t>
        </is>
      </c>
      <c r="N295" t="inlineStr">
        <is>
          <t>UAA-036</t>
        </is>
      </c>
    </row>
    <row r="296">
      <c r="B296" t="inlineStr">
        <is>
          <t>N721KJ</t>
        </is>
      </c>
      <c r="C296" t="inlineStr">
        <is>
          <t>GLF5</t>
        </is>
      </c>
      <c r="H296" t="n">
        <v>41277</v>
      </c>
      <c r="L296" t="inlineStr">
        <is>
          <t>ACTIVE</t>
        </is>
      </c>
      <c r="N296" t="inlineStr">
        <is>
          <t>UAA-036</t>
        </is>
      </c>
    </row>
    <row r="297">
      <c r="B297" t="inlineStr">
        <is>
          <t>N721L</t>
        </is>
      </c>
      <c r="C297" t="inlineStr">
        <is>
          <t>GLF5</t>
        </is>
      </c>
      <c r="H297" t="n">
        <v>41277</v>
      </c>
      <c r="L297" t="inlineStr">
        <is>
          <t>ACTIVE</t>
        </is>
      </c>
      <c r="N297" t="inlineStr">
        <is>
          <t>UAA-169</t>
        </is>
      </c>
    </row>
    <row r="298">
      <c r="B298" t="inlineStr">
        <is>
          <t>N721MM</t>
        </is>
      </c>
      <c r="C298" t="inlineStr">
        <is>
          <t>B748</t>
        </is>
      </c>
      <c r="D298" t="inlineStr">
        <is>
          <t>Boeing</t>
        </is>
      </c>
      <c r="E298" t="inlineStr">
        <is>
          <t>747-8</t>
        </is>
      </c>
      <c r="F298" t="inlineStr">
        <is>
          <t>KLAS</t>
        </is>
      </c>
      <c r="H298" t="n">
        <v>447696</v>
      </c>
      <c r="I298" t="n">
        <v>100</v>
      </c>
      <c r="K298" t="inlineStr">
        <is>
          <t>37826</t>
        </is>
      </c>
      <c r="L298" t="inlineStr">
        <is>
          <t>ACTIVE</t>
        </is>
      </c>
      <c r="N298" t="inlineStr">
        <is>
          <t>OPV-24</t>
        </is>
      </c>
    </row>
    <row r="299">
      <c r="B299" t="inlineStr">
        <is>
          <t>N721V</t>
        </is>
      </c>
      <c r="C299" t="inlineStr">
        <is>
          <t>GLF5</t>
        </is>
      </c>
      <c r="H299" t="n">
        <v>41277</v>
      </c>
      <c r="L299" t="inlineStr">
        <is>
          <t>ACTIVE</t>
        </is>
      </c>
      <c r="N299" t="inlineStr">
        <is>
          <t>UAA-169</t>
        </is>
      </c>
    </row>
    <row r="300">
      <c r="B300" t="inlineStr">
        <is>
          <t>N724JJ</t>
        </is>
      </c>
      <c r="C300" t="inlineStr">
        <is>
          <t>GLEX</t>
        </is>
      </c>
      <c r="H300" t="n">
        <v>45132</v>
      </c>
      <c r="L300" t="inlineStr">
        <is>
          <t>ACTIVE</t>
        </is>
      </c>
      <c r="N300" t="inlineStr">
        <is>
          <t>UAA-076</t>
        </is>
      </c>
    </row>
    <row r="301">
      <c r="B301" t="inlineStr">
        <is>
          <t>N728EC</t>
        </is>
      </c>
      <c r="C301" t="inlineStr">
        <is>
          <t>GLF5</t>
        </is>
      </c>
      <c r="H301" t="n">
        <v>41277</v>
      </c>
      <c r="L301" t="inlineStr">
        <is>
          <t>ACTIVE</t>
        </is>
      </c>
      <c r="N301" t="inlineStr">
        <is>
          <t>UAA-320</t>
        </is>
      </c>
    </row>
    <row r="302">
      <c r="B302" t="inlineStr">
        <is>
          <t>N7325</t>
        </is>
      </c>
      <c r="C302" t="inlineStr">
        <is>
          <t>GLF5</t>
        </is>
      </c>
      <c r="H302" t="n">
        <v>41277</v>
      </c>
      <c r="L302" t="inlineStr">
        <is>
          <t>ACTIVE</t>
        </is>
      </c>
      <c r="N302" t="inlineStr">
        <is>
          <t>UAA-170</t>
        </is>
      </c>
    </row>
    <row r="303">
      <c r="B303" t="inlineStr">
        <is>
          <t>N737AG</t>
        </is>
      </c>
      <c r="C303" t="inlineStr">
        <is>
          <t>B737</t>
        </is>
      </c>
      <c r="H303" t="n">
        <v>77564</v>
      </c>
      <c r="L303" t="inlineStr">
        <is>
          <t>ACTIVE</t>
        </is>
      </c>
      <c r="N303" t="inlineStr">
        <is>
          <t>UAA-171</t>
        </is>
      </c>
    </row>
    <row r="304">
      <c r="B304" t="inlineStr">
        <is>
          <t>N73RP</t>
        </is>
      </c>
      <c r="C304" t="inlineStr">
        <is>
          <t>GLF5</t>
        </is>
      </c>
      <c r="H304" t="n">
        <v>41277</v>
      </c>
      <c r="L304" t="inlineStr">
        <is>
          <t>ACTIVE</t>
        </is>
      </c>
      <c r="N304" t="inlineStr">
        <is>
          <t>UAA-160</t>
        </is>
      </c>
    </row>
    <row r="305">
      <c r="B305" t="inlineStr">
        <is>
          <t>N744C</t>
        </is>
      </c>
      <c r="C305" t="inlineStr">
        <is>
          <t>FA8X</t>
        </is>
      </c>
      <c r="H305" t="n">
        <v>33112</v>
      </c>
      <c r="L305" t="inlineStr">
        <is>
          <t>ACTIVE</t>
        </is>
      </c>
      <c r="N305" t="inlineStr">
        <is>
          <t>UAA-127</t>
        </is>
      </c>
    </row>
    <row r="306">
      <c r="B306" t="inlineStr">
        <is>
          <t>N74VZ</t>
        </is>
      </c>
      <c r="C306" t="inlineStr">
        <is>
          <t>GLF5</t>
        </is>
      </c>
      <c r="H306" t="n">
        <v>41277</v>
      </c>
      <c r="L306" t="inlineStr">
        <is>
          <t>ACTIVE</t>
        </is>
      </c>
      <c r="N306" t="inlineStr">
        <is>
          <t>UAA-174</t>
        </is>
      </c>
    </row>
    <row r="307">
      <c r="B307" t="inlineStr">
        <is>
          <t>N750LG</t>
        </is>
      </c>
      <c r="C307" t="inlineStr">
        <is>
          <t>GLF5</t>
        </is>
      </c>
      <c r="H307" t="n">
        <v>41277</v>
      </c>
      <c r="L307" t="inlineStr">
        <is>
          <t>ACTIVE</t>
        </is>
      </c>
      <c r="N307" t="inlineStr">
        <is>
          <t>UAA-303</t>
        </is>
      </c>
    </row>
    <row r="308">
      <c r="B308" t="inlineStr">
        <is>
          <t>N750QS</t>
        </is>
      </c>
      <c r="C308" t="inlineStr">
        <is>
          <t>FA50</t>
        </is>
      </c>
      <c r="D308" t="inlineStr">
        <is>
          <t>Dassault</t>
        </is>
      </c>
      <c r="E308" t="inlineStr">
        <is>
          <t>Falcon 50EX</t>
        </is>
      </c>
      <c r="F308" t="inlineStr">
        <is>
          <t>KTEB</t>
        </is>
      </c>
      <c r="H308" t="n">
        <v>17960</v>
      </c>
      <c r="I308" t="n">
        <v>9</v>
      </c>
      <c r="K308" t="inlineStr">
        <is>
          <t>345</t>
        </is>
      </c>
      <c r="L308" t="inlineStr">
        <is>
          <t>ACTIVE</t>
        </is>
      </c>
      <c r="N308" t="inlineStr">
        <is>
          <t>OPV-26</t>
        </is>
      </c>
    </row>
    <row r="309">
      <c r="B309" t="inlineStr">
        <is>
          <t>N758PB</t>
        </is>
      </c>
      <c r="C309" t="inlineStr">
        <is>
          <t>GLF6</t>
        </is>
      </c>
      <c r="H309" t="n">
        <v>46992</v>
      </c>
      <c r="L309" t="inlineStr">
        <is>
          <t>ACTIVE</t>
        </is>
      </c>
      <c r="N309" t="inlineStr">
        <is>
          <t>UAA-036</t>
        </is>
      </c>
    </row>
    <row r="310">
      <c r="B310" t="inlineStr">
        <is>
          <t>N762MS</t>
        </is>
      </c>
      <c r="C310" t="inlineStr">
        <is>
          <t>GLF6</t>
        </is>
      </c>
      <c r="H310" t="n">
        <v>46992</v>
      </c>
      <c r="L310" t="inlineStr">
        <is>
          <t>ACTIVE</t>
        </is>
      </c>
      <c r="N310" t="inlineStr">
        <is>
          <t>UAA-173</t>
        </is>
      </c>
    </row>
    <row r="311">
      <c r="B311" t="inlineStr">
        <is>
          <t>N76VZ</t>
        </is>
      </c>
      <c r="C311" t="inlineStr">
        <is>
          <t>GLF5</t>
        </is>
      </c>
      <c r="H311" t="n">
        <v>41277</v>
      </c>
      <c r="L311" t="inlineStr">
        <is>
          <t>ACTIVE</t>
        </is>
      </c>
      <c r="N311" t="inlineStr">
        <is>
          <t>UAA-174</t>
        </is>
      </c>
    </row>
    <row r="312">
      <c r="B312" t="inlineStr">
        <is>
          <t>N775E</t>
        </is>
      </c>
      <c r="C312" t="inlineStr">
        <is>
          <t>FA7X</t>
        </is>
      </c>
      <c r="H312" t="n">
        <v>31751</v>
      </c>
      <c r="L312" t="inlineStr">
        <is>
          <t>ACTIVE</t>
        </is>
      </c>
      <c r="N312" t="inlineStr">
        <is>
          <t>UAA-266</t>
        </is>
      </c>
    </row>
    <row r="313">
      <c r="B313" t="inlineStr">
        <is>
          <t>N777SJ</t>
        </is>
      </c>
      <c r="C313" t="inlineStr">
        <is>
          <t>FA7X</t>
        </is>
      </c>
      <c r="H313" t="n">
        <v>31751</v>
      </c>
      <c r="L313" t="inlineStr">
        <is>
          <t>ACTIVE</t>
        </is>
      </c>
      <c r="N313" t="inlineStr">
        <is>
          <t>UAA-176</t>
        </is>
      </c>
    </row>
    <row r="314">
      <c r="B314" t="inlineStr">
        <is>
          <t>N780RW</t>
        </is>
      </c>
      <c r="C314" t="inlineStr">
        <is>
          <t>GLF6</t>
        </is>
      </c>
      <c r="H314" t="n">
        <v>46992</v>
      </c>
      <c r="L314" t="inlineStr">
        <is>
          <t>ACTIVE</t>
        </is>
      </c>
      <c r="N314" t="inlineStr">
        <is>
          <t>UAA-177</t>
        </is>
      </c>
    </row>
    <row r="315">
      <c r="B315" t="inlineStr">
        <is>
          <t>N780TW</t>
        </is>
      </c>
      <c r="C315" t="inlineStr">
        <is>
          <t>GLF6</t>
        </is>
      </c>
      <c r="H315" t="n">
        <v>46992</v>
      </c>
      <c r="L315" t="inlineStr">
        <is>
          <t>ACTIVE</t>
        </is>
      </c>
      <c r="N315" t="inlineStr">
        <is>
          <t>UAA-177</t>
        </is>
      </c>
    </row>
    <row r="316">
      <c r="B316" t="inlineStr">
        <is>
          <t>N785KJ</t>
        </is>
      </c>
      <c r="C316" t="inlineStr">
        <is>
          <t>GLEX</t>
        </is>
      </c>
      <c r="H316" t="n">
        <v>45132</v>
      </c>
      <c r="L316" t="inlineStr">
        <is>
          <t>ACTIVE</t>
        </is>
      </c>
      <c r="N316" t="inlineStr">
        <is>
          <t>UAA-048</t>
        </is>
      </c>
    </row>
    <row r="317">
      <c r="B317" t="inlineStr">
        <is>
          <t>N785QS</t>
        </is>
      </c>
      <c r="C317" t="inlineStr">
        <is>
          <t>GLF5</t>
        </is>
      </c>
      <c r="H317" t="n">
        <v>41277</v>
      </c>
      <c r="L317" t="inlineStr">
        <is>
          <t>ACTIVE</t>
        </is>
      </c>
      <c r="N317" t="inlineStr">
        <is>
          <t>UAA-155</t>
        </is>
      </c>
    </row>
    <row r="318">
      <c r="B318" t="inlineStr">
        <is>
          <t>N787LP</t>
        </is>
      </c>
      <c r="C318" t="inlineStr">
        <is>
          <t>CL35</t>
        </is>
      </c>
      <c r="H318" t="n">
        <v>18416</v>
      </c>
      <c r="L318" t="inlineStr">
        <is>
          <t>ACTIVE</t>
        </is>
      </c>
      <c r="N318" t="inlineStr">
        <is>
          <t>UAA-178</t>
        </is>
      </c>
    </row>
    <row r="319">
      <c r="B319" t="inlineStr">
        <is>
          <t>N788SL</t>
        </is>
      </c>
      <c r="C319" t="inlineStr">
        <is>
          <t>GLF6</t>
        </is>
      </c>
      <c r="H319" t="n">
        <v>46992</v>
      </c>
      <c r="L319" t="inlineStr">
        <is>
          <t>ACTIVE</t>
        </is>
      </c>
      <c r="N319" t="inlineStr">
        <is>
          <t>UAA-333</t>
        </is>
      </c>
    </row>
    <row r="320">
      <c r="B320" t="inlineStr">
        <is>
          <t>N797CT</t>
        </is>
      </c>
      <c r="C320" t="inlineStr">
        <is>
          <t>GLEX</t>
        </is>
      </c>
      <c r="H320" t="n">
        <v>45132</v>
      </c>
      <c r="L320" t="inlineStr">
        <is>
          <t>ACTIVE</t>
        </is>
      </c>
      <c r="N320" t="inlineStr">
        <is>
          <t>UAA-179</t>
        </is>
      </c>
    </row>
    <row r="321">
      <c r="B321" t="inlineStr">
        <is>
          <t>N797CX</t>
        </is>
      </c>
      <c r="C321" t="inlineStr">
        <is>
          <t>C750</t>
        </is>
      </c>
      <c r="H321" t="n">
        <v>16375</v>
      </c>
      <c r="L321" t="inlineStr">
        <is>
          <t>ACTIVE</t>
        </is>
      </c>
      <c r="N321" t="inlineStr">
        <is>
          <t>UAA-036</t>
        </is>
      </c>
    </row>
    <row r="322">
      <c r="B322" t="inlineStr">
        <is>
          <t>N797KK</t>
        </is>
      </c>
      <c r="C322" t="inlineStr">
        <is>
          <t>GLEX</t>
        </is>
      </c>
      <c r="H322" t="n">
        <v>44452</v>
      </c>
      <c r="L322" t="inlineStr">
        <is>
          <t>ACTIVE</t>
        </is>
      </c>
      <c r="N322" t="inlineStr">
        <is>
          <t>UAA-180</t>
        </is>
      </c>
    </row>
    <row r="323">
      <c r="B323" t="inlineStr">
        <is>
          <t>N7JP</t>
        </is>
      </c>
      <c r="C323" t="inlineStr">
        <is>
          <t>GLF6</t>
        </is>
      </c>
      <c r="H323" t="n">
        <v>46992</v>
      </c>
      <c r="L323" t="inlineStr">
        <is>
          <t>ACTIVE</t>
        </is>
      </c>
      <c r="N323" t="inlineStr">
        <is>
          <t>UAA-181</t>
        </is>
      </c>
    </row>
    <row r="324">
      <c r="B324" t="inlineStr">
        <is>
          <t>N800J</t>
        </is>
      </c>
      <c r="C324" t="inlineStr">
        <is>
          <t>GLF6</t>
        </is>
      </c>
      <c r="H324" t="n">
        <v>46992</v>
      </c>
      <c r="L324" t="inlineStr">
        <is>
          <t>ACTIVE</t>
        </is>
      </c>
      <c r="N324" t="inlineStr">
        <is>
          <t>UAA-264</t>
        </is>
      </c>
    </row>
    <row r="325">
      <c r="B325" t="inlineStr">
        <is>
          <t>N800JH</t>
        </is>
      </c>
      <c r="C325" t="inlineStr">
        <is>
          <t>GLF5</t>
        </is>
      </c>
      <c r="H325" t="n">
        <v>41277</v>
      </c>
      <c r="L325" t="inlineStr">
        <is>
          <t>ACTIVE</t>
        </is>
      </c>
      <c r="N325" t="inlineStr">
        <is>
          <t>UAA-184</t>
        </is>
      </c>
    </row>
    <row r="326">
      <c r="B326" t="inlineStr">
        <is>
          <t>N801KF</t>
        </is>
      </c>
      <c r="C326" t="inlineStr">
        <is>
          <t>GLF6</t>
        </is>
      </c>
      <c r="H326" t="n">
        <v>46992</v>
      </c>
      <c r="L326" t="inlineStr">
        <is>
          <t>ACTIVE</t>
        </is>
      </c>
      <c r="N326" t="inlineStr">
        <is>
          <t>UAA-037</t>
        </is>
      </c>
    </row>
    <row r="327">
      <c r="B327" t="inlineStr">
        <is>
          <t>N805TL</t>
        </is>
      </c>
      <c r="C327" t="inlineStr">
        <is>
          <t>GLF6</t>
        </is>
      </c>
      <c r="H327" t="n">
        <v>46992</v>
      </c>
      <c r="L327" t="inlineStr">
        <is>
          <t>ACTIVE</t>
        </is>
      </c>
      <c r="N327" t="inlineStr">
        <is>
          <t>UAA-036</t>
        </is>
      </c>
    </row>
    <row r="328">
      <c r="B328" t="inlineStr">
        <is>
          <t>N805WM</t>
        </is>
      </c>
      <c r="C328" t="inlineStr">
        <is>
          <t>GLEX</t>
        </is>
      </c>
      <c r="H328" t="n">
        <v>45132</v>
      </c>
      <c r="L328" t="inlineStr">
        <is>
          <t>ACTIVE</t>
        </is>
      </c>
      <c r="N328" t="inlineStr">
        <is>
          <t>UAA-056</t>
        </is>
      </c>
    </row>
    <row r="329">
      <c r="B329" t="inlineStr">
        <is>
          <t>N808ME</t>
        </is>
      </c>
      <c r="C329" t="inlineStr">
        <is>
          <t>GLF5</t>
        </is>
      </c>
      <c r="H329" t="n">
        <v>41277</v>
      </c>
      <c r="L329" t="inlineStr">
        <is>
          <t>ACTIVE</t>
        </is>
      </c>
      <c r="N329" t="inlineStr">
        <is>
          <t>UAA-041</t>
        </is>
      </c>
    </row>
    <row r="330">
      <c r="B330" t="inlineStr">
        <is>
          <t>N80AD</t>
        </is>
      </c>
      <c r="C330" t="inlineStr">
        <is>
          <t>GLF5</t>
        </is>
      </c>
      <c r="H330" t="n">
        <v>41277</v>
      </c>
      <c r="L330" t="inlineStr">
        <is>
          <t>ACTIVE</t>
        </is>
      </c>
      <c r="N330" t="inlineStr">
        <is>
          <t>UAA-036</t>
        </is>
      </c>
    </row>
    <row r="331">
      <c r="B331" t="inlineStr">
        <is>
          <t>N80TE</t>
        </is>
      </c>
      <c r="C331" t="inlineStr">
        <is>
          <t>GLEX</t>
        </is>
      </c>
      <c r="H331" t="n">
        <v>45132</v>
      </c>
      <c r="L331" t="inlineStr">
        <is>
          <t>ACTIVE</t>
        </is>
      </c>
      <c r="N331" t="inlineStr">
        <is>
          <t>UAA-037</t>
        </is>
      </c>
    </row>
    <row r="332">
      <c r="B332" t="inlineStr">
        <is>
          <t>N811TM</t>
        </is>
      </c>
      <c r="C332" t="inlineStr">
        <is>
          <t>GLF6</t>
        </is>
      </c>
      <c r="H332" t="n">
        <v>46992</v>
      </c>
      <c r="L332" t="inlineStr">
        <is>
          <t>ACTIVE</t>
        </is>
      </c>
      <c r="N332" t="inlineStr">
        <is>
          <t>UAA-187</t>
        </is>
      </c>
    </row>
    <row r="333">
      <c r="B333" t="inlineStr">
        <is>
          <t>N812QS</t>
        </is>
      </c>
      <c r="C333" t="inlineStr">
        <is>
          <t>C700</t>
        </is>
      </c>
      <c r="D333" t="inlineStr">
        <is>
          <t>Cessna</t>
        </is>
      </c>
      <c r="E333" t="inlineStr">
        <is>
          <t>Citation Longitude</t>
        </is>
      </c>
      <c r="F333" t="inlineStr">
        <is>
          <t>KCMH</t>
        </is>
      </c>
      <c r="H333" t="n">
        <v>17696</v>
      </c>
      <c r="I333" t="n">
        <v>12</v>
      </c>
      <c r="K333" t="inlineStr">
        <is>
          <t>70089</t>
        </is>
      </c>
      <c r="L333" t="inlineStr">
        <is>
          <t>ACTIVE</t>
        </is>
      </c>
      <c r="N333" t="inlineStr">
        <is>
          <t>OPV-27</t>
        </is>
      </c>
    </row>
    <row r="334">
      <c r="B334" t="inlineStr">
        <is>
          <t>N814RR</t>
        </is>
      </c>
      <c r="C334" t="inlineStr">
        <is>
          <t>GLF5</t>
        </is>
      </c>
      <c r="H334" t="n">
        <v>41277</v>
      </c>
      <c r="L334" t="inlineStr">
        <is>
          <t>ACTIVE</t>
        </is>
      </c>
      <c r="N334" t="inlineStr">
        <is>
          <t>UAA-037</t>
        </is>
      </c>
    </row>
    <row r="335">
      <c r="B335" t="inlineStr">
        <is>
          <t>N829AR</t>
        </is>
      </c>
      <c r="C335" t="inlineStr">
        <is>
          <t>GLF6</t>
        </is>
      </c>
      <c r="H335" t="n">
        <v>45178</v>
      </c>
      <c r="L335" t="inlineStr">
        <is>
          <t>ACTIVE</t>
        </is>
      </c>
      <c r="N335" t="inlineStr">
        <is>
          <t>UAA-188</t>
        </is>
      </c>
    </row>
    <row r="336">
      <c r="B336" t="inlineStr">
        <is>
          <t>N82A</t>
        </is>
      </c>
      <c r="C336" t="inlineStr">
        <is>
          <t>GLF6</t>
        </is>
      </c>
      <c r="H336" t="n">
        <v>46992</v>
      </c>
      <c r="L336" t="inlineStr">
        <is>
          <t>ACTIVE</t>
        </is>
      </c>
      <c r="N336" t="inlineStr">
        <is>
          <t>UAA-189</t>
        </is>
      </c>
    </row>
    <row r="337">
      <c r="B337" t="inlineStr">
        <is>
          <t>N82EM</t>
        </is>
      </c>
      <c r="C337" t="inlineStr">
        <is>
          <t>GLEX</t>
        </is>
      </c>
      <c r="H337" t="n">
        <v>45132</v>
      </c>
      <c r="L337" t="inlineStr">
        <is>
          <t>ACTIVE</t>
        </is>
      </c>
      <c r="N337" t="inlineStr">
        <is>
          <t>UAA-190</t>
        </is>
      </c>
    </row>
    <row r="338">
      <c r="B338" t="inlineStr">
        <is>
          <t>N838KE</t>
        </is>
      </c>
      <c r="C338" t="inlineStr">
        <is>
          <t>GLF5</t>
        </is>
      </c>
      <c r="H338" t="n">
        <v>41277</v>
      </c>
      <c r="L338" t="inlineStr">
        <is>
          <t>ACTIVE</t>
        </is>
      </c>
      <c r="N338" t="inlineStr">
        <is>
          <t>UAA-191</t>
        </is>
      </c>
    </row>
    <row r="339">
      <c r="B339" t="inlineStr">
        <is>
          <t>N848JA</t>
        </is>
      </c>
      <c r="C339" t="inlineStr">
        <is>
          <t>GLF5</t>
        </is>
      </c>
      <c r="H339" t="n">
        <v>41277</v>
      </c>
      <c r="L339" t="inlineStr">
        <is>
          <t>ACTIVE</t>
        </is>
      </c>
      <c r="N339" t="inlineStr">
        <is>
          <t>UAA-036</t>
        </is>
      </c>
    </row>
    <row r="340">
      <c r="B340" t="inlineStr">
        <is>
          <t>N857GA</t>
        </is>
      </c>
      <c r="C340" t="inlineStr">
        <is>
          <t>GLF5</t>
        </is>
      </c>
      <c r="H340" t="n">
        <v>41277</v>
      </c>
      <c r="L340" t="inlineStr">
        <is>
          <t>ACTIVE</t>
        </is>
      </c>
      <c r="N340" t="inlineStr">
        <is>
          <t>UAA-315</t>
        </is>
      </c>
    </row>
    <row r="341">
      <c r="B341" t="inlineStr">
        <is>
          <t>N861GL</t>
        </is>
      </c>
      <c r="C341" t="inlineStr">
        <is>
          <t>GLEX</t>
        </is>
      </c>
      <c r="H341" t="n">
        <v>45132</v>
      </c>
      <c r="L341" t="inlineStr">
        <is>
          <t>ACTIVE</t>
        </is>
      </c>
      <c r="N341" t="inlineStr">
        <is>
          <t>UAA-193</t>
        </is>
      </c>
    </row>
    <row r="342">
      <c r="B342" t="inlineStr">
        <is>
          <t>N868KE</t>
        </is>
      </c>
      <c r="C342" t="inlineStr">
        <is>
          <t>GLF6</t>
        </is>
      </c>
      <c r="H342" t="n">
        <v>46992</v>
      </c>
      <c r="L342" t="inlineStr">
        <is>
          <t>ACTIVE</t>
        </is>
      </c>
      <c r="N342" t="inlineStr">
        <is>
          <t>UAA-194</t>
        </is>
      </c>
    </row>
    <row r="343">
      <c r="B343" t="inlineStr">
        <is>
          <t>N877SB</t>
        </is>
      </c>
      <c r="C343" t="inlineStr">
        <is>
          <t>GLF5</t>
        </is>
      </c>
      <c r="H343" t="n">
        <v>41277</v>
      </c>
      <c r="L343" t="inlineStr">
        <is>
          <t>ACTIVE</t>
        </is>
      </c>
      <c r="N343" t="inlineStr">
        <is>
          <t>UAA-195</t>
        </is>
      </c>
    </row>
    <row r="344">
      <c r="B344" t="inlineStr">
        <is>
          <t>N883A</t>
        </is>
      </c>
      <c r="C344" t="inlineStr">
        <is>
          <t>GLF5</t>
        </is>
      </c>
      <c r="H344" t="n">
        <v>41277</v>
      </c>
      <c r="L344" t="inlineStr">
        <is>
          <t>ACTIVE</t>
        </is>
      </c>
      <c r="N344" t="inlineStr">
        <is>
          <t>UAA-171</t>
        </is>
      </c>
    </row>
    <row r="345">
      <c r="B345" t="inlineStr">
        <is>
          <t>N887MM</t>
        </is>
      </c>
      <c r="C345" t="inlineStr">
        <is>
          <t>GLF5</t>
        </is>
      </c>
      <c r="H345" t="n">
        <v>41277</v>
      </c>
      <c r="L345" t="inlineStr">
        <is>
          <t>ACTIVE</t>
        </is>
      </c>
      <c r="N345" t="inlineStr">
        <is>
          <t>UAA-041</t>
        </is>
      </c>
    </row>
    <row r="346">
      <c r="B346" t="inlineStr">
        <is>
          <t>N887TM</t>
        </is>
      </c>
      <c r="C346" t="inlineStr">
        <is>
          <t>GLF5</t>
        </is>
      </c>
      <c r="H346" t="n">
        <v>41277</v>
      </c>
      <c r="L346" t="inlineStr">
        <is>
          <t>ACTIVE</t>
        </is>
      </c>
      <c r="N346" t="inlineStr">
        <is>
          <t>UAA-187</t>
        </is>
      </c>
    </row>
    <row r="347">
      <c r="B347" t="inlineStr">
        <is>
          <t>N887WM</t>
        </is>
      </c>
      <c r="C347" t="inlineStr">
        <is>
          <t>GLF6</t>
        </is>
      </c>
      <c r="H347" t="n">
        <v>46992</v>
      </c>
      <c r="L347" t="inlineStr">
        <is>
          <t>ACTIVE</t>
        </is>
      </c>
      <c r="N347" t="inlineStr">
        <is>
          <t>UAA-060</t>
        </is>
      </c>
    </row>
    <row r="348">
      <c r="B348" t="inlineStr">
        <is>
          <t>N887WT</t>
        </is>
      </c>
      <c r="C348" t="inlineStr">
        <is>
          <t>GLF6</t>
        </is>
      </c>
      <c r="H348" t="n">
        <v>46992</v>
      </c>
      <c r="L348" t="inlineStr">
        <is>
          <t>ACTIVE</t>
        </is>
      </c>
      <c r="N348" t="inlineStr">
        <is>
          <t>UAA-296</t>
        </is>
      </c>
    </row>
    <row r="349">
      <c r="B349" t="inlineStr">
        <is>
          <t>N888KZ</t>
        </is>
      </c>
      <c r="C349" t="inlineStr">
        <is>
          <t>GLF5</t>
        </is>
      </c>
      <c r="H349" t="n">
        <v>41277</v>
      </c>
      <c r="L349" t="inlineStr">
        <is>
          <t>ACTIVE</t>
        </is>
      </c>
      <c r="N349" t="inlineStr">
        <is>
          <t>UAA-036</t>
        </is>
      </c>
    </row>
    <row r="350">
      <c r="B350" t="inlineStr">
        <is>
          <t>N888ZF</t>
        </is>
      </c>
      <c r="C350" t="inlineStr">
        <is>
          <t>GLF6</t>
        </is>
      </c>
      <c r="H350" t="n">
        <v>46992</v>
      </c>
      <c r="L350" t="inlineStr">
        <is>
          <t>ACTIVE</t>
        </is>
      </c>
      <c r="N350" t="inlineStr">
        <is>
          <t>UAA-037</t>
        </is>
      </c>
    </row>
    <row r="351">
      <c r="B351" t="inlineStr">
        <is>
          <t>N888ZJ</t>
        </is>
      </c>
      <c r="C351" t="inlineStr">
        <is>
          <t>GLEX</t>
        </is>
      </c>
      <c r="D351" t="inlineStr">
        <is>
          <t>Bombardier</t>
        </is>
      </c>
      <c r="E351" t="inlineStr">
        <is>
          <t>Global 6000</t>
        </is>
      </c>
      <c r="F351" t="inlineStr">
        <is>
          <t>KTEB</t>
        </is>
      </c>
      <c r="H351" t="n">
        <v>45132</v>
      </c>
      <c r="I351" t="n">
        <v>19</v>
      </c>
      <c r="K351" t="inlineStr">
        <is>
          <t>9678</t>
        </is>
      </c>
      <c r="L351" t="inlineStr">
        <is>
          <t>ACTIVE</t>
        </is>
      </c>
      <c r="N351" t="inlineStr">
        <is>
          <t>OPV-23</t>
        </is>
      </c>
    </row>
    <row r="352">
      <c r="B352" t="inlineStr">
        <is>
          <t>N889CH</t>
        </is>
      </c>
      <c r="C352" t="inlineStr">
        <is>
          <t>GLF6</t>
        </is>
      </c>
      <c r="H352" t="n">
        <v>45178</v>
      </c>
      <c r="L352" t="inlineStr">
        <is>
          <t>ACTIVE</t>
        </is>
      </c>
      <c r="N352" t="inlineStr">
        <is>
          <t>UAA-111</t>
        </is>
      </c>
    </row>
    <row r="353">
      <c r="B353" t="inlineStr">
        <is>
          <t>N889DE</t>
        </is>
      </c>
      <c r="C353" t="inlineStr">
        <is>
          <t>GLF5</t>
        </is>
      </c>
      <c r="H353" t="n">
        <v>41050</v>
      </c>
      <c r="L353" t="inlineStr">
        <is>
          <t>ACTIVE</t>
        </is>
      </c>
      <c r="N353" t="inlineStr">
        <is>
          <t>UAA-111</t>
        </is>
      </c>
    </row>
    <row r="354">
      <c r="B354" t="inlineStr">
        <is>
          <t>N889LS</t>
        </is>
      </c>
      <c r="C354" t="inlineStr">
        <is>
          <t>B737</t>
        </is>
      </c>
      <c r="H354" t="n">
        <v>77564</v>
      </c>
      <c r="L354" t="inlineStr">
        <is>
          <t>ACTIVE</t>
        </is>
      </c>
      <c r="N354" t="inlineStr">
        <is>
          <t>UAA-265</t>
        </is>
      </c>
    </row>
    <row r="355">
      <c r="B355" t="inlineStr">
        <is>
          <t>N88T</t>
        </is>
      </c>
      <c r="C355" t="inlineStr">
        <is>
          <t>GLEX</t>
        </is>
      </c>
      <c r="H355" t="n">
        <v>45132</v>
      </c>
      <c r="L355" t="inlineStr">
        <is>
          <t>ACTIVE</t>
        </is>
      </c>
      <c r="N355" t="inlineStr">
        <is>
          <t>UAA-270</t>
        </is>
      </c>
    </row>
    <row r="356">
      <c r="B356" t="inlineStr">
        <is>
          <t>N898MJ</t>
        </is>
      </c>
      <c r="C356" t="inlineStr">
        <is>
          <t>GLEX</t>
        </is>
      </c>
      <c r="H356" t="n">
        <v>45132</v>
      </c>
      <c r="L356" t="inlineStr">
        <is>
          <t>ACTIVE</t>
        </is>
      </c>
      <c r="N356" t="inlineStr">
        <is>
          <t>UAA-036</t>
        </is>
      </c>
    </row>
    <row r="357">
      <c r="B357" t="inlineStr">
        <is>
          <t>N898NC</t>
        </is>
      </c>
      <c r="C357" t="inlineStr">
        <is>
          <t>GLF6</t>
        </is>
      </c>
      <c r="H357" t="n">
        <v>46992</v>
      </c>
      <c r="L357" t="inlineStr">
        <is>
          <t>ACTIVE</t>
        </is>
      </c>
      <c r="N357" t="inlineStr">
        <is>
          <t>UAA-219</t>
        </is>
      </c>
    </row>
    <row r="358">
      <c r="B358" t="inlineStr">
        <is>
          <t>N898S</t>
        </is>
      </c>
      <c r="C358" t="inlineStr">
        <is>
          <t>GLF6</t>
        </is>
      </c>
      <c r="H358" t="n">
        <v>46992</v>
      </c>
      <c r="L358" t="inlineStr">
        <is>
          <t>ACTIVE</t>
        </is>
      </c>
      <c r="N358" t="inlineStr">
        <is>
          <t>UAA-316</t>
        </is>
      </c>
    </row>
    <row r="359">
      <c r="B359" t="inlineStr">
        <is>
          <t>N8SW</t>
        </is>
      </c>
      <c r="C359" t="inlineStr">
        <is>
          <t>GLF5</t>
        </is>
      </c>
      <c r="H359" t="n">
        <v>41277</v>
      </c>
      <c r="L359" t="inlineStr">
        <is>
          <t>ACTIVE</t>
        </is>
      </c>
      <c r="N359" t="inlineStr">
        <is>
          <t>UAA-037</t>
        </is>
      </c>
    </row>
    <row r="360">
      <c r="B360" t="inlineStr">
        <is>
          <t>N900KS</t>
        </is>
      </c>
      <c r="C360" t="inlineStr">
        <is>
          <t>G280</t>
        </is>
      </c>
      <c r="D360" t="inlineStr">
        <is>
          <t>Gulfstream</t>
        </is>
      </c>
      <c r="E360" t="inlineStr">
        <is>
          <t>G280</t>
        </is>
      </c>
      <c r="F360" t="inlineStr">
        <is>
          <t>KTEB</t>
        </is>
      </c>
      <c r="H360" t="n">
        <v>17962</v>
      </c>
      <c r="I360" t="n">
        <v>10</v>
      </c>
      <c r="K360" t="inlineStr">
        <is>
          <t>2089</t>
        </is>
      </c>
      <c r="L360" t="inlineStr">
        <is>
          <t>ACTIVE</t>
        </is>
      </c>
      <c r="N360" t="inlineStr">
        <is>
          <t>OPV-26</t>
        </is>
      </c>
    </row>
    <row r="361">
      <c r="B361" t="inlineStr">
        <is>
          <t>N900LS</t>
        </is>
      </c>
      <c r="C361" t="inlineStr">
        <is>
          <t>GLEX</t>
        </is>
      </c>
      <c r="H361" t="n">
        <v>45132</v>
      </c>
      <c r="L361" t="inlineStr">
        <is>
          <t>ACTIVE</t>
        </is>
      </c>
      <c r="N361" t="inlineStr">
        <is>
          <t>UAA-205</t>
        </is>
      </c>
    </row>
    <row r="362">
      <c r="B362" t="inlineStr">
        <is>
          <t>N90EW</t>
        </is>
      </c>
      <c r="C362" t="inlineStr">
        <is>
          <t>GLEX</t>
        </is>
      </c>
      <c r="H362" t="n">
        <v>44452</v>
      </c>
      <c r="L362" t="inlineStr">
        <is>
          <t>ACTIVE</t>
        </is>
      </c>
      <c r="N362" t="inlineStr">
        <is>
          <t>UAA-037</t>
        </is>
      </c>
    </row>
    <row r="363">
      <c r="B363" t="inlineStr">
        <is>
          <t>N90XL</t>
        </is>
      </c>
      <c r="C363" t="inlineStr">
        <is>
          <t>C750</t>
        </is>
      </c>
      <c r="D363" t="inlineStr">
        <is>
          <t>Cessna</t>
        </is>
      </c>
      <c r="E363" t="inlineStr">
        <is>
          <t>Citation X</t>
        </is>
      </c>
      <c r="F363" t="inlineStr">
        <is>
          <t>KTEB</t>
        </is>
      </c>
      <c r="H363" t="n">
        <v>16375</v>
      </c>
      <c r="I363" t="n">
        <v>12</v>
      </c>
      <c r="K363" t="inlineStr">
        <is>
          <t>750-0456</t>
        </is>
      </c>
      <c r="L363" t="inlineStr">
        <is>
          <t>ACTIVE</t>
        </is>
      </c>
      <c r="N363" t="inlineStr">
        <is>
          <t>OPV-30</t>
        </is>
      </c>
    </row>
    <row r="364">
      <c r="B364" t="inlineStr">
        <is>
          <t>N917C</t>
        </is>
      </c>
      <c r="C364" t="inlineStr">
        <is>
          <t>GLF6</t>
        </is>
      </c>
      <c r="H364" t="n">
        <v>46992</v>
      </c>
      <c r="L364" t="inlineStr">
        <is>
          <t>ACTIVE</t>
        </is>
      </c>
      <c r="N364" t="inlineStr">
        <is>
          <t>UAA-127</t>
        </is>
      </c>
    </row>
    <row r="365">
      <c r="B365" t="inlineStr">
        <is>
          <t>N918TA</t>
        </is>
      </c>
      <c r="C365" t="inlineStr">
        <is>
          <t>GLF6</t>
        </is>
      </c>
      <c r="H365" t="n">
        <v>46992</v>
      </c>
      <c r="L365" t="inlineStr">
        <is>
          <t>ACTIVE</t>
        </is>
      </c>
      <c r="N365" t="inlineStr">
        <is>
          <t>UAA-207</t>
        </is>
      </c>
    </row>
    <row r="366">
      <c r="B366" t="inlineStr">
        <is>
          <t>N919PE</t>
        </is>
      </c>
      <c r="C366" t="inlineStr">
        <is>
          <t>GLF6</t>
        </is>
      </c>
      <c r="H366" t="n">
        <v>46992</v>
      </c>
      <c r="L366" t="inlineStr">
        <is>
          <t>ACTIVE</t>
        </is>
      </c>
      <c r="N366" t="inlineStr">
        <is>
          <t>UAA-208</t>
        </is>
      </c>
    </row>
    <row r="367">
      <c r="B367" t="inlineStr">
        <is>
          <t>N920JS</t>
        </is>
      </c>
      <c r="C367" t="inlineStr">
        <is>
          <t>FA50</t>
        </is>
      </c>
      <c r="H367" t="n">
        <v>18497</v>
      </c>
      <c r="L367" t="inlineStr">
        <is>
          <t>ACTIVE</t>
        </is>
      </c>
      <c r="N367" t="inlineStr">
        <is>
          <t>UAA-210</t>
        </is>
      </c>
    </row>
    <row r="368">
      <c r="B368" t="inlineStr">
        <is>
          <t>N928SZ</t>
        </is>
      </c>
      <c r="C368" t="inlineStr">
        <is>
          <t>GLEX</t>
        </is>
      </c>
      <c r="H368" t="n">
        <v>45132</v>
      </c>
      <c r="L368" t="inlineStr">
        <is>
          <t>ACTIVE</t>
        </is>
      </c>
      <c r="N368" t="inlineStr">
        <is>
          <t>UAA-085</t>
        </is>
      </c>
    </row>
    <row r="369">
      <c r="B369" t="inlineStr">
        <is>
          <t>N92ZZ</t>
        </is>
      </c>
      <c r="C369" t="inlineStr">
        <is>
          <t>CL35</t>
        </is>
      </c>
      <c r="H369" t="n">
        <v>18416</v>
      </c>
      <c r="L369" t="inlineStr">
        <is>
          <t>ACTIVE</t>
        </is>
      </c>
      <c r="N369" t="inlineStr">
        <is>
          <t>UAA-037</t>
        </is>
      </c>
    </row>
    <row r="370">
      <c r="B370" t="inlineStr">
        <is>
          <t>N930EN</t>
        </is>
      </c>
      <c r="C370" t="inlineStr">
        <is>
          <t>GLEX</t>
        </is>
      </c>
      <c r="H370" t="n">
        <v>43545</v>
      </c>
      <c r="L370" t="inlineStr">
        <is>
          <t>ACTIVE</t>
        </is>
      </c>
      <c r="N370" t="inlineStr">
        <is>
          <t>UAA-131</t>
        </is>
      </c>
    </row>
    <row r="371">
      <c r="B371" t="inlineStr">
        <is>
          <t>N938JM</t>
        </is>
      </c>
      <c r="C371" t="inlineStr">
        <is>
          <t>GLEX</t>
        </is>
      </c>
      <c r="H371" t="n">
        <v>45132</v>
      </c>
      <c r="L371" t="inlineStr">
        <is>
          <t>ACTIVE</t>
        </is>
      </c>
      <c r="N371" t="inlineStr">
        <is>
          <t>UAA-036</t>
        </is>
      </c>
    </row>
    <row r="372">
      <c r="B372" t="inlineStr">
        <is>
          <t>N93VP</t>
        </is>
      </c>
      <c r="C372" t="inlineStr">
        <is>
          <t>GLF5</t>
        </is>
      </c>
      <c r="H372" t="n">
        <v>41050</v>
      </c>
      <c r="L372" t="inlineStr">
        <is>
          <t>ACTIVE</t>
        </is>
      </c>
      <c r="N372" t="inlineStr">
        <is>
          <t>UAA-211</t>
        </is>
      </c>
    </row>
    <row r="373">
      <c r="B373" t="inlineStr">
        <is>
          <t>N942JT</t>
        </is>
      </c>
      <c r="C373" t="inlineStr">
        <is>
          <t>GLF5</t>
        </is>
      </c>
      <c r="H373" t="n">
        <v>41277</v>
      </c>
      <c r="L373" t="inlineStr">
        <is>
          <t>ACTIVE</t>
        </is>
      </c>
      <c r="N373" t="inlineStr">
        <is>
          <t>UAA-037</t>
        </is>
      </c>
    </row>
    <row r="374">
      <c r="B374" t="inlineStr">
        <is>
          <t>N95NA</t>
        </is>
      </c>
      <c r="C374" t="inlineStr">
        <is>
          <t>GLF5</t>
        </is>
      </c>
      <c r="H374" t="n">
        <v>41050</v>
      </c>
      <c r="L374" t="inlineStr">
        <is>
          <t>ACTIVE</t>
        </is>
      </c>
      <c r="N374" t="inlineStr">
        <is>
          <t>UAA-263</t>
        </is>
      </c>
    </row>
    <row r="375">
      <c r="B375" t="inlineStr">
        <is>
          <t>N966H</t>
        </is>
      </c>
      <c r="C375" t="inlineStr">
        <is>
          <t>FA7X</t>
        </is>
      </c>
      <c r="H375" t="n">
        <v>31751</v>
      </c>
      <c r="L375" t="inlineStr">
        <is>
          <t>ACTIVE</t>
        </is>
      </c>
      <c r="N375" t="inlineStr">
        <is>
          <t>UAA-047</t>
        </is>
      </c>
    </row>
    <row r="376">
      <c r="B376" t="inlineStr">
        <is>
          <t>N968FA</t>
        </is>
      </c>
      <c r="C376" t="inlineStr">
        <is>
          <t>GLF6</t>
        </is>
      </c>
      <c r="H376" t="n">
        <v>46992</v>
      </c>
      <c r="L376" t="inlineStr">
        <is>
          <t>ACTIVE</t>
        </is>
      </c>
      <c r="N376" t="inlineStr">
        <is>
          <t>UAA-213</t>
        </is>
      </c>
    </row>
    <row r="377">
      <c r="B377" t="inlineStr">
        <is>
          <t>N979JW</t>
        </is>
      </c>
      <c r="C377" t="inlineStr">
        <is>
          <t>FA7X</t>
        </is>
      </c>
      <c r="H377" t="n">
        <v>31751</v>
      </c>
      <c r="L377" t="inlineStr">
        <is>
          <t>ACTIVE</t>
        </is>
      </c>
      <c r="N377" t="inlineStr">
        <is>
          <t>UAA-221</t>
        </is>
      </c>
    </row>
    <row r="378">
      <c r="B378" t="inlineStr">
        <is>
          <t>N988H</t>
        </is>
      </c>
      <c r="C378" t="inlineStr">
        <is>
          <t>FA8X</t>
        </is>
      </c>
      <c r="H378" t="n">
        <v>33112</v>
      </c>
      <c r="L378" t="inlineStr">
        <is>
          <t>ACTIVE</t>
        </is>
      </c>
      <c r="N378" t="inlineStr">
        <is>
          <t>UAA-047</t>
        </is>
      </c>
    </row>
    <row r="379">
      <c r="B379" t="inlineStr">
        <is>
          <t>N988HK</t>
        </is>
      </c>
      <c r="C379" t="inlineStr">
        <is>
          <t>GLF6</t>
        </is>
      </c>
      <c r="H379" t="n">
        <v>46992</v>
      </c>
      <c r="L379" t="inlineStr">
        <is>
          <t>ACTIVE</t>
        </is>
      </c>
      <c r="N379" t="inlineStr">
        <is>
          <t>UAA-334</t>
        </is>
      </c>
    </row>
    <row r="380">
      <c r="B380" t="inlineStr">
        <is>
          <t>N988NC</t>
        </is>
      </c>
      <c r="C380" t="inlineStr">
        <is>
          <t>GLF6</t>
        </is>
      </c>
      <c r="H380" t="n">
        <v>46992</v>
      </c>
      <c r="L380" t="inlineStr">
        <is>
          <t>ACTIVE</t>
        </is>
      </c>
      <c r="N380" t="inlineStr">
        <is>
          <t>UAA-219</t>
        </is>
      </c>
    </row>
    <row r="381">
      <c r="B381" t="inlineStr">
        <is>
          <t>N988SE</t>
        </is>
      </c>
      <c r="C381" t="inlineStr">
        <is>
          <t>GLF6</t>
        </is>
      </c>
      <c r="H381" t="n">
        <v>46992</v>
      </c>
      <c r="L381" t="inlineStr">
        <is>
          <t>ACTIVE</t>
        </is>
      </c>
      <c r="N381" t="inlineStr">
        <is>
          <t>UAA-220</t>
        </is>
      </c>
    </row>
    <row r="382">
      <c r="B382" t="inlineStr">
        <is>
          <t>N989JW</t>
        </is>
      </c>
      <c r="C382" t="inlineStr">
        <is>
          <t>FA8X</t>
        </is>
      </c>
      <c r="H382" t="n">
        <v>33112</v>
      </c>
      <c r="L382" t="inlineStr">
        <is>
          <t>ACTIVE</t>
        </is>
      </c>
      <c r="N382" t="inlineStr">
        <is>
          <t>UAA-221</t>
        </is>
      </c>
    </row>
    <row r="383">
      <c r="B383" t="inlineStr">
        <is>
          <t>N993XZ</t>
        </is>
      </c>
      <c r="C383" t="inlineStr">
        <is>
          <t>FA7X</t>
        </is>
      </c>
      <c r="H383" t="n">
        <v>31751</v>
      </c>
      <c r="L383" t="inlineStr">
        <is>
          <t>ACTIVE</t>
        </is>
      </c>
      <c r="N383" t="inlineStr">
        <is>
          <t>UAA-036</t>
        </is>
      </c>
    </row>
    <row r="384">
      <c r="B384" t="inlineStr">
        <is>
          <t>N995CB</t>
        </is>
      </c>
      <c r="C384" t="inlineStr">
        <is>
          <t>CL35</t>
        </is>
      </c>
      <c r="H384" t="n">
        <v>18416</v>
      </c>
      <c r="L384" t="inlineStr">
        <is>
          <t>ACTIVE</t>
        </is>
      </c>
      <c r="N384" t="inlineStr">
        <is>
          <t>UAA-328</t>
        </is>
      </c>
    </row>
    <row r="385">
      <c r="B385" t="inlineStr">
        <is>
          <t>N998R</t>
        </is>
      </c>
      <c r="C385" t="inlineStr">
        <is>
          <t>GLEX</t>
        </is>
      </c>
      <c r="H385" t="n">
        <v>45132</v>
      </c>
      <c r="L385" t="inlineStr">
        <is>
          <t>ACTIVE</t>
        </is>
      </c>
      <c r="N385" t="inlineStr">
        <is>
          <t>UAA-222</t>
        </is>
      </c>
    </row>
    <row r="386">
      <c r="B386" t="inlineStr">
        <is>
          <t>N999V</t>
        </is>
      </c>
      <c r="C386" t="inlineStr">
        <is>
          <t>GLEX</t>
        </is>
      </c>
      <c r="H386" t="n">
        <v>45132</v>
      </c>
      <c r="L386" t="inlineStr">
        <is>
          <t>ACTIVE</t>
        </is>
      </c>
      <c r="N386" t="inlineStr">
        <is>
          <t>UAA-041</t>
        </is>
      </c>
    </row>
    <row r="387">
      <c r="B387" t="inlineStr">
        <is>
          <t>OOHHO</t>
        </is>
      </c>
      <c r="C387" t="inlineStr">
        <is>
          <t>FA8X</t>
        </is>
      </c>
      <c r="H387" t="n">
        <v>33112</v>
      </c>
      <c r="L387" t="inlineStr">
        <is>
          <t>ACTIVE</t>
        </is>
      </c>
      <c r="N387" t="inlineStr">
        <is>
          <t>UAA-223</t>
        </is>
      </c>
    </row>
    <row r="388">
      <c r="B388" t="inlineStr">
        <is>
          <t>P2PXV</t>
        </is>
      </c>
      <c r="C388" t="inlineStr">
        <is>
          <t>B763</t>
        </is>
      </c>
      <c r="H388" t="n">
        <v>186880</v>
      </c>
      <c r="L388" t="inlineStr">
        <is>
          <t>ACTIVE</t>
        </is>
      </c>
      <c r="N388" t="inlineStr">
        <is>
          <t>UAA-275</t>
        </is>
      </c>
    </row>
    <row r="389">
      <c r="B389" t="inlineStr">
        <is>
          <t>P4WWS</t>
        </is>
      </c>
      <c r="C389" t="inlineStr">
        <is>
          <t>GLEX</t>
        </is>
      </c>
      <c r="H389" t="n">
        <v>45132</v>
      </c>
      <c r="L389" t="inlineStr">
        <is>
          <t>ACTIVE</t>
        </is>
      </c>
      <c r="N389" t="inlineStr">
        <is>
          <t>UAA-010</t>
        </is>
      </c>
    </row>
    <row r="390">
      <c r="B390" t="inlineStr">
        <is>
          <t>PPCFJ</t>
        </is>
      </c>
      <c r="C390" t="inlineStr">
        <is>
          <t>FA7X</t>
        </is>
      </c>
      <c r="H390" t="n">
        <v>31751</v>
      </c>
      <c r="L390" t="inlineStr">
        <is>
          <t>ACTIVE</t>
        </is>
      </c>
      <c r="N390" t="inlineStr">
        <is>
          <t>UAA-226</t>
        </is>
      </c>
    </row>
    <row r="391">
      <c r="B391" t="inlineStr">
        <is>
          <t>PPWSR</t>
        </is>
      </c>
      <c r="C391" t="inlineStr">
        <is>
          <t>GLF6</t>
        </is>
      </c>
      <c r="H391" t="n">
        <v>45178</v>
      </c>
      <c r="L391" t="inlineStr">
        <is>
          <t>ACTIVE</t>
        </is>
      </c>
      <c r="N391" t="inlineStr">
        <is>
          <t>UAA-227</t>
        </is>
      </c>
    </row>
    <row r="392">
      <c r="B392" t="inlineStr">
        <is>
          <t>PRBPT</t>
        </is>
      </c>
      <c r="C392" t="inlineStr">
        <is>
          <t>GLEX</t>
        </is>
      </c>
      <c r="H392" t="n">
        <v>45132</v>
      </c>
      <c r="L392" t="inlineStr">
        <is>
          <t>ACTIVE</t>
        </is>
      </c>
      <c r="N392" t="inlineStr">
        <is>
          <t>UAA-228</t>
        </is>
      </c>
    </row>
    <row r="393">
      <c r="B393" t="inlineStr">
        <is>
          <t>PRWRO</t>
        </is>
      </c>
      <c r="C393" t="inlineStr">
        <is>
          <t>GLF5</t>
        </is>
      </c>
      <c r="H393" t="n">
        <v>41277</v>
      </c>
      <c r="L393" t="inlineStr">
        <is>
          <t>ACTIVE</t>
        </is>
      </c>
      <c r="N393" t="inlineStr">
        <is>
          <t>UAA-227</t>
        </is>
      </c>
    </row>
    <row r="394">
      <c r="B394" t="inlineStr">
        <is>
          <t>PSBFD</t>
        </is>
      </c>
      <c r="C394" t="inlineStr">
        <is>
          <t>FA8X</t>
        </is>
      </c>
      <c r="H394" t="n">
        <v>33112</v>
      </c>
      <c r="L394" t="inlineStr">
        <is>
          <t>ACTIVE</t>
        </is>
      </c>
      <c r="N394" t="inlineStr">
        <is>
          <t>UAA-230</t>
        </is>
      </c>
    </row>
    <row r="395">
      <c r="B395" t="inlineStr">
        <is>
          <t>PSFGT</t>
        </is>
      </c>
      <c r="C395" t="inlineStr">
        <is>
          <t>GLF6</t>
        </is>
      </c>
      <c r="H395" t="n">
        <v>46992</v>
      </c>
      <c r="L395" t="inlineStr">
        <is>
          <t>ACTIVE</t>
        </is>
      </c>
      <c r="N395" t="inlineStr">
        <is>
          <t>UAA-232</t>
        </is>
      </c>
    </row>
    <row r="396">
      <c r="B396" t="inlineStr">
        <is>
          <t>PSLMP</t>
        </is>
      </c>
      <c r="C396" t="inlineStr">
        <is>
          <t>E290</t>
        </is>
      </c>
      <c r="H396" t="n">
        <v>56400</v>
      </c>
      <c r="L396" t="inlineStr">
        <is>
          <t>ACTIVE</t>
        </is>
      </c>
      <c r="N396" t="inlineStr">
        <is>
          <t>UAA-233</t>
        </is>
      </c>
    </row>
    <row r="397">
      <c r="B397" t="inlineStr">
        <is>
          <t>PSMAM</t>
        </is>
      </c>
      <c r="C397" t="inlineStr">
        <is>
          <t>GLF5</t>
        </is>
      </c>
      <c r="H397" t="n">
        <v>41277</v>
      </c>
      <c r="L397" t="inlineStr">
        <is>
          <t>ACTIVE</t>
        </is>
      </c>
      <c r="N397" t="inlineStr">
        <is>
          <t>UAA-234</t>
        </is>
      </c>
    </row>
    <row r="398">
      <c r="B398" t="inlineStr">
        <is>
          <t>SERKL</t>
        </is>
      </c>
      <c r="C398" t="inlineStr">
        <is>
          <t>GLF5</t>
        </is>
      </c>
      <c r="H398" t="n">
        <v>41277</v>
      </c>
      <c r="L398" t="inlineStr">
        <is>
          <t>ACTIVE</t>
        </is>
      </c>
      <c r="N398" t="inlineStr">
        <is>
          <t>UAA-237</t>
        </is>
      </c>
    </row>
    <row r="399">
      <c r="B399" t="inlineStr">
        <is>
          <t>SUGDB</t>
        </is>
      </c>
      <c r="C399" t="inlineStr">
        <is>
          <t>B738</t>
        </is>
      </c>
      <c r="D399" t="inlineStr">
        <is>
          <t>Boeing</t>
        </is>
      </c>
      <c r="E399" t="inlineStr">
        <is>
          <t>737-800</t>
        </is>
      </c>
      <c r="F399" t="inlineStr">
        <is>
          <t>HECA</t>
        </is>
      </c>
      <c r="H399" t="n">
        <v>79010</v>
      </c>
      <c r="I399" t="n">
        <v>189</v>
      </c>
      <c r="K399" t="inlineStr">
        <is>
          <t>35234</t>
        </is>
      </c>
      <c r="L399" t="inlineStr">
        <is>
          <t>ACTIVE</t>
        </is>
      </c>
      <c r="N399" t="inlineStr">
        <is>
          <t>OPV-20</t>
        </is>
      </c>
    </row>
    <row r="400">
      <c r="B400" t="inlineStr">
        <is>
          <t>SUGDM</t>
        </is>
      </c>
      <c r="C400" t="inlineStr">
        <is>
          <t>A320</t>
        </is>
      </c>
      <c r="D400" t="inlineStr">
        <is>
          <t>Airbus</t>
        </is>
      </c>
      <c r="E400" t="inlineStr">
        <is>
          <t>A320-200</t>
        </is>
      </c>
      <c r="F400" t="inlineStr">
        <is>
          <t>HECA</t>
        </is>
      </c>
      <c r="H400" t="n">
        <v>77000</v>
      </c>
      <c r="I400" t="n">
        <v>180</v>
      </c>
      <c r="K400" t="inlineStr">
        <is>
          <t>4756</t>
        </is>
      </c>
      <c r="L400" t="inlineStr">
        <is>
          <t>ACTIVE</t>
        </is>
      </c>
      <c r="N400" t="inlineStr">
        <is>
          <t>OPV-20</t>
        </is>
      </c>
    </row>
    <row r="401">
      <c r="B401" t="inlineStr">
        <is>
          <t>SUGDR</t>
        </is>
      </c>
      <c r="C401" t="inlineStr">
        <is>
          <t>B77W</t>
        </is>
      </c>
      <c r="D401" t="inlineStr">
        <is>
          <t>Boeing</t>
        </is>
      </c>
      <c r="E401" t="inlineStr">
        <is>
          <t>777-300ER</t>
        </is>
      </c>
      <c r="F401" t="inlineStr">
        <is>
          <t>HECA</t>
        </is>
      </c>
      <c r="H401" t="n">
        <v>351534</v>
      </c>
      <c r="I401" t="n">
        <v>396</v>
      </c>
      <c r="K401" t="inlineStr">
        <is>
          <t>38823</t>
        </is>
      </c>
      <c r="L401" t="inlineStr">
        <is>
          <t>ACTIVE</t>
        </is>
      </c>
      <c r="N401" t="inlineStr">
        <is>
          <t>OPV-20</t>
        </is>
      </c>
    </row>
    <row r="402">
      <c r="B402" t="inlineStr">
        <is>
          <t>SUGFD</t>
        </is>
      </c>
      <c r="C402" t="inlineStr">
        <is>
          <t>A359</t>
        </is>
      </c>
      <c r="D402" t="inlineStr">
        <is>
          <t>Airbus</t>
        </is>
      </c>
      <c r="E402" t="inlineStr">
        <is>
          <t>A350-900</t>
        </is>
      </c>
      <c r="F402" t="inlineStr">
        <is>
          <t>HECA</t>
        </is>
      </c>
      <c r="H402" t="n">
        <v>280000</v>
      </c>
      <c r="I402" t="n">
        <v>350</v>
      </c>
      <c r="K402" t="inlineStr">
        <is>
          <t>245</t>
        </is>
      </c>
      <c r="L402" t="inlineStr">
        <is>
          <t>ACTIVE</t>
        </is>
      </c>
      <c r="N402" t="inlineStr">
        <is>
          <t>OPV-20</t>
        </is>
      </c>
    </row>
    <row r="403">
      <c r="B403" t="inlineStr">
        <is>
          <t>SUGFZ</t>
        </is>
      </c>
      <c r="C403" t="inlineStr">
        <is>
          <t>B788</t>
        </is>
      </c>
      <c r="D403" t="inlineStr">
        <is>
          <t>Boeing</t>
        </is>
      </c>
      <c r="E403" t="inlineStr">
        <is>
          <t>787-9</t>
        </is>
      </c>
      <c r="F403" t="inlineStr">
        <is>
          <t>HECA</t>
        </is>
      </c>
      <c r="H403" t="n">
        <v>254011</v>
      </c>
      <c r="I403" t="n">
        <v>296</v>
      </c>
      <c r="K403" t="inlineStr">
        <is>
          <t>38745</t>
        </is>
      </c>
      <c r="L403" t="inlineStr">
        <is>
          <t>ACTIVE</t>
        </is>
      </c>
      <c r="N403" t="inlineStr">
        <is>
          <t>OPV-20</t>
        </is>
      </c>
    </row>
    <row r="404">
      <c r="B404" t="inlineStr">
        <is>
          <t>SUSMG</t>
        </is>
      </c>
      <c r="C404" t="inlineStr">
        <is>
          <t>B350</t>
        </is>
      </c>
      <c r="H404" t="n">
        <v>6804</v>
      </c>
      <c r="L404" t="inlineStr">
        <is>
          <t>ACTIVE</t>
        </is>
      </c>
      <c r="N404" t="inlineStr">
        <is>
          <t>UAA-274</t>
        </is>
      </c>
    </row>
    <row r="405">
      <c r="B405" t="inlineStr">
        <is>
          <t>T712DW</t>
        </is>
      </c>
      <c r="C405" t="inlineStr">
        <is>
          <t>PC12</t>
        </is>
      </c>
      <c r="H405" t="n">
        <v>4740</v>
      </c>
      <c r="L405" t="inlineStr">
        <is>
          <t>ACTIVE</t>
        </is>
      </c>
      <c r="N405" t="inlineStr">
        <is>
          <t>UAA-239</t>
        </is>
      </c>
    </row>
    <row r="406">
      <c r="B406" t="inlineStr">
        <is>
          <t>T7BPJ</t>
        </is>
      </c>
      <c r="C406" t="inlineStr">
        <is>
          <t>PC12</t>
        </is>
      </c>
      <c r="H406" t="n">
        <v>4740</v>
      </c>
      <c r="L406" t="inlineStr">
        <is>
          <t>ACTIVE</t>
        </is>
      </c>
      <c r="N406" t="inlineStr">
        <is>
          <t>UAA-288</t>
        </is>
      </c>
    </row>
    <row r="407">
      <c r="B407" t="inlineStr">
        <is>
          <t>T7VBS</t>
        </is>
      </c>
      <c r="C407" t="inlineStr">
        <is>
          <t>GLEX</t>
        </is>
      </c>
      <c r="H407" t="n">
        <v>43545</v>
      </c>
      <c r="L407" t="inlineStr">
        <is>
          <t>ACTIVE</t>
        </is>
      </c>
      <c r="N407" t="inlineStr">
        <is>
          <t>UAA-330</t>
        </is>
      </c>
    </row>
    <row r="408">
      <c r="B408" t="inlineStr">
        <is>
          <t>V5GON</t>
        </is>
      </c>
      <c r="C408" t="inlineStr">
        <is>
          <t>FA7X</t>
        </is>
      </c>
      <c r="H408" t="n">
        <v>31751</v>
      </c>
      <c r="L408" t="inlineStr">
        <is>
          <t>ACTIVE</t>
        </is>
      </c>
      <c r="N408" t="inlineStr">
        <is>
          <t>UAA-242</t>
        </is>
      </c>
    </row>
    <row r="409">
      <c r="B409" t="inlineStr">
        <is>
          <t>VH88M</t>
        </is>
      </c>
      <c r="C409" t="inlineStr">
        <is>
          <t>PC24</t>
        </is>
      </c>
      <c r="H409" t="n">
        <v>8301</v>
      </c>
      <c r="L409" t="inlineStr">
        <is>
          <t>ACTIVE</t>
        </is>
      </c>
      <c r="N409" t="inlineStr">
        <is>
          <t>UAA-243</t>
        </is>
      </c>
    </row>
    <row r="410">
      <c r="B410" t="inlineStr">
        <is>
          <t>VH8HP</t>
        </is>
      </c>
      <c r="C410" t="inlineStr">
        <is>
          <t>PC12</t>
        </is>
      </c>
      <c r="H410" t="n">
        <v>4740</v>
      </c>
      <c r="L410" t="inlineStr">
        <is>
          <t>ACTIVE</t>
        </is>
      </c>
      <c r="N410" t="inlineStr">
        <is>
          <t>UAA-243</t>
        </is>
      </c>
    </row>
    <row r="411">
      <c r="B411" t="inlineStr">
        <is>
          <t>VH8ML</t>
        </is>
      </c>
      <c r="C411" t="inlineStr">
        <is>
          <t>PC12</t>
        </is>
      </c>
      <c r="H411" t="n">
        <v>4740</v>
      </c>
      <c r="L411" t="inlineStr">
        <is>
          <t>ACTIVE</t>
        </is>
      </c>
      <c r="N411" t="inlineStr">
        <is>
          <t>UAA-243</t>
        </is>
      </c>
    </row>
    <row r="412">
      <c r="B412" t="inlineStr">
        <is>
          <t>VHAMD</t>
        </is>
      </c>
      <c r="C412" t="inlineStr">
        <is>
          <t>PC24</t>
        </is>
      </c>
      <c r="H412" t="n">
        <v>8301</v>
      </c>
      <c r="L412" t="inlineStr">
        <is>
          <t>ACTIVE</t>
        </is>
      </c>
      <c r="N412" t="inlineStr">
        <is>
          <t>UAA-243</t>
        </is>
      </c>
    </row>
    <row r="413">
      <c r="B413" t="inlineStr">
        <is>
          <t>VHAMM</t>
        </is>
      </c>
      <c r="C413" t="inlineStr">
        <is>
          <t>PC24</t>
        </is>
      </c>
      <c r="H413" t="n">
        <v>8301</v>
      </c>
      <c r="L413" t="inlineStr">
        <is>
          <t>ACTIVE</t>
        </is>
      </c>
      <c r="N413" t="inlineStr">
        <is>
          <t>UAA-243</t>
        </is>
      </c>
    </row>
    <row r="414">
      <c r="B414" t="inlineStr">
        <is>
          <t>VHFGM</t>
        </is>
      </c>
      <c r="C414" t="inlineStr">
        <is>
          <t>PC12</t>
        </is>
      </c>
      <c r="H414" t="n">
        <v>8301</v>
      </c>
      <c r="L414" t="inlineStr">
        <is>
          <t>ACTIVE</t>
        </is>
      </c>
      <c r="N414" t="inlineStr">
        <is>
          <t>UAA-243</t>
        </is>
      </c>
    </row>
    <row r="415">
      <c r="B415" t="inlineStr">
        <is>
          <t>VHLEF</t>
        </is>
      </c>
      <c r="C415" t="inlineStr">
        <is>
          <t>GLEX</t>
        </is>
      </c>
      <c r="H415" t="n">
        <v>44452</v>
      </c>
      <c r="L415" t="inlineStr">
        <is>
          <t>ACTIVE</t>
        </is>
      </c>
      <c r="N415" t="inlineStr">
        <is>
          <t>UAA-244</t>
        </is>
      </c>
    </row>
    <row r="416">
      <c r="B416" t="inlineStr">
        <is>
          <t>VHPFL</t>
        </is>
      </c>
      <c r="C416" t="inlineStr">
        <is>
          <t>GLF5</t>
        </is>
      </c>
      <c r="H416" t="n">
        <v>41277</v>
      </c>
      <c r="L416" t="inlineStr">
        <is>
          <t>ACTIVE</t>
        </is>
      </c>
      <c r="N416" t="inlineStr">
        <is>
          <t>UAA-245</t>
        </is>
      </c>
    </row>
    <row r="417">
      <c r="B417" t="inlineStr">
        <is>
          <t>VHVGX</t>
        </is>
      </c>
      <c r="C417" t="inlineStr">
        <is>
          <t>GLEX</t>
        </is>
      </c>
      <c r="H417" t="n">
        <v>44452</v>
      </c>
      <c r="L417" t="inlineStr">
        <is>
          <t>ACTIVE</t>
        </is>
      </c>
      <c r="N417" t="inlineStr">
        <is>
          <t>UAA-246</t>
        </is>
      </c>
    </row>
    <row r="418">
      <c r="B418" t="inlineStr">
        <is>
          <t>VHX56</t>
        </is>
      </c>
      <c r="C418" t="inlineStr">
        <is>
          <t>PC12</t>
        </is>
      </c>
      <c r="H418" t="n">
        <v>4740</v>
      </c>
      <c r="L418" t="inlineStr">
        <is>
          <t>ACTIVE</t>
        </is>
      </c>
      <c r="N418" t="inlineStr">
        <is>
          <t>UAA-243</t>
        </is>
      </c>
    </row>
    <row r="419">
      <c r="B419" t="inlineStr">
        <is>
          <t>VPBAS</t>
        </is>
      </c>
      <c r="C419" t="inlineStr">
        <is>
          <t>FA7X</t>
        </is>
      </c>
      <c r="H419" t="n">
        <v>31751</v>
      </c>
      <c r="L419" t="inlineStr">
        <is>
          <t>ACTIVE</t>
        </is>
      </c>
      <c r="N419" t="inlineStr">
        <is>
          <t>UAA-247</t>
        </is>
      </c>
    </row>
    <row r="420">
      <c r="B420" t="inlineStr">
        <is>
          <t>VPBZE</t>
        </is>
      </c>
      <c r="C420" t="inlineStr">
        <is>
          <t>FA7X</t>
        </is>
      </c>
      <c r="H420" t="n">
        <v>31751</v>
      </c>
      <c r="L420" t="inlineStr">
        <is>
          <t>ACTIVE</t>
        </is>
      </c>
      <c r="N420" t="inlineStr">
        <is>
          <t>UAA-248</t>
        </is>
      </c>
    </row>
    <row r="421">
      <c r="B421" t="inlineStr">
        <is>
          <t>VPCFE</t>
        </is>
      </c>
      <c r="C421" t="inlineStr">
        <is>
          <t>GLF6</t>
        </is>
      </c>
      <c r="H421" t="n">
        <v>46992</v>
      </c>
      <c r="L421" t="inlineStr">
        <is>
          <t>ACTIVE</t>
        </is>
      </c>
      <c r="N421" t="inlineStr">
        <is>
          <t>UAA-323</t>
        </is>
      </c>
    </row>
    <row r="422">
      <c r="B422" t="inlineStr">
        <is>
          <t>VPCFO</t>
        </is>
      </c>
      <c r="C422" t="inlineStr">
        <is>
          <t>GLEX</t>
        </is>
      </c>
      <c r="H422" t="n">
        <v>45132</v>
      </c>
      <c r="L422" t="inlineStr">
        <is>
          <t>ACTIVE</t>
        </is>
      </c>
      <c r="N422" t="inlineStr">
        <is>
          <t>UAA-249</t>
        </is>
      </c>
    </row>
    <row r="423">
      <c r="B423" t="inlineStr">
        <is>
          <t>VPCNR</t>
        </is>
      </c>
      <c r="C423" t="inlineStr">
        <is>
          <t>GLF6</t>
        </is>
      </c>
      <c r="H423" t="n">
        <v>45178</v>
      </c>
      <c r="L423" t="inlineStr">
        <is>
          <t>ACTIVE</t>
        </is>
      </c>
      <c r="N423" t="inlineStr">
        <is>
          <t>UAA-250</t>
        </is>
      </c>
    </row>
    <row r="424">
      <c r="B424" t="inlineStr">
        <is>
          <t>VQBHK</t>
        </is>
      </c>
      <c r="C424" t="inlineStr">
        <is>
          <t>FA8X</t>
        </is>
      </c>
      <c r="H424" t="n">
        <v>33112</v>
      </c>
      <c r="L424" t="inlineStr">
        <is>
          <t>ACTIVE</t>
        </is>
      </c>
      <c r="N424" t="inlineStr">
        <is>
          <t>UAA-247</t>
        </is>
      </c>
    </row>
    <row r="425">
      <c r="B425" t="inlineStr">
        <is>
          <t>VQBMS</t>
        </is>
      </c>
      <c r="C425" t="inlineStr">
        <is>
          <t>A319</t>
        </is>
      </c>
      <c r="H425" t="n">
        <v>75500</v>
      </c>
      <c r="L425" t="inlineStr">
        <is>
          <t>ACTIVE</t>
        </is>
      </c>
      <c r="N425" t="inlineStr">
        <is>
          <t>UAA-265</t>
        </is>
      </c>
    </row>
    <row r="426">
      <c r="B426" t="inlineStr">
        <is>
          <t>XAAYL</t>
        </is>
      </c>
      <c r="C426" t="inlineStr">
        <is>
          <t>GLEX</t>
        </is>
      </c>
      <c r="H426" t="n">
        <v>43545</v>
      </c>
      <c r="L426" t="inlineStr">
        <is>
          <t>ACTIVE</t>
        </is>
      </c>
      <c r="N426" t="inlineStr">
        <is>
          <t>UAA-252</t>
        </is>
      </c>
    </row>
    <row r="427">
      <c r="B427" t="inlineStr">
        <is>
          <t>XABAL</t>
        </is>
      </c>
      <c r="C427" t="inlineStr">
        <is>
          <t>GLF6</t>
        </is>
      </c>
      <c r="H427" t="n">
        <v>45178</v>
      </c>
      <c r="L427" t="inlineStr">
        <is>
          <t>ACTIVE</t>
        </is>
      </c>
      <c r="N427" t="inlineStr">
        <is>
          <t>UAA-253</t>
        </is>
      </c>
    </row>
    <row r="428">
      <c r="B428" t="inlineStr">
        <is>
          <t>XALYA</t>
        </is>
      </c>
      <c r="C428" t="inlineStr">
        <is>
          <t>GLEX</t>
        </is>
      </c>
      <c r="H428" t="n">
        <v>45132</v>
      </c>
      <c r="L428" t="inlineStr">
        <is>
          <t>ACTIVE</t>
        </is>
      </c>
      <c r="N428" t="inlineStr">
        <is>
          <t>UAA-326</t>
        </is>
      </c>
    </row>
    <row r="429">
      <c r="B429" t="inlineStr">
        <is>
          <t>XAMKI</t>
        </is>
      </c>
      <c r="C429" t="inlineStr">
        <is>
          <t>GLF5</t>
        </is>
      </c>
      <c r="H429" t="n">
        <v>41050</v>
      </c>
      <c r="L429" t="inlineStr">
        <is>
          <t>ACTIVE</t>
        </is>
      </c>
      <c r="N429" t="inlineStr">
        <is>
          <t>UAA-254</t>
        </is>
      </c>
    </row>
    <row r="430">
      <c r="B430" t="inlineStr">
        <is>
          <t>ZSAKF</t>
        </is>
      </c>
      <c r="C430" t="inlineStr">
        <is>
          <t>E190</t>
        </is>
      </c>
      <c r="D430" t="inlineStr">
        <is>
          <t>Embraer</t>
        </is>
      </c>
      <c r="E430" t="inlineStr">
        <is>
          <t>E-190</t>
        </is>
      </c>
      <c r="F430" t="inlineStr">
        <is>
          <t>FAOR</t>
        </is>
      </c>
      <c r="H430" t="n">
        <v>52290</v>
      </c>
      <c r="I430" t="n">
        <v>114</v>
      </c>
      <c r="K430" t="inlineStr">
        <is>
          <t>19000234</t>
        </is>
      </c>
      <c r="L430" t="inlineStr">
        <is>
          <t>ACTIVE</t>
        </is>
      </c>
      <c r="N430" t="inlineStr">
        <is>
          <t>OPV-12</t>
        </is>
      </c>
    </row>
    <row r="431">
      <c r="B431" t="inlineStr">
        <is>
          <t>ZSEKA</t>
        </is>
      </c>
      <c r="C431" t="inlineStr">
        <is>
          <t>GLEX</t>
        </is>
      </c>
      <c r="H431" t="n">
        <v>45132</v>
      </c>
      <c r="L431" t="inlineStr">
        <is>
          <t>ACTIVE</t>
        </is>
      </c>
      <c r="N431" t="inlineStr">
        <is>
          <t>UAA-138</t>
        </is>
      </c>
    </row>
    <row r="432">
      <c r="B432" t="inlineStr">
        <is>
          <t>ZSKNY</t>
        </is>
      </c>
      <c r="C432" t="inlineStr">
        <is>
          <t>DH8D</t>
        </is>
      </c>
      <c r="D432" t="inlineStr">
        <is>
          <t>De Havilland</t>
        </is>
      </c>
      <c r="E432" t="inlineStr">
        <is>
          <t>Dash 8 Q400</t>
        </is>
      </c>
      <c r="F432" t="inlineStr">
        <is>
          <t>FAOR</t>
        </is>
      </c>
      <c r="H432" t="n">
        <v>29260</v>
      </c>
      <c r="I432" t="n">
        <v>90</v>
      </c>
      <c r="K432" t="inlineStr">
        <is>
          <t>4321</t>
        </is>
      </c>
      <c r="L432" t="inlineStr">
        <is>
          <t>ACTIVE</t>
        </is>
      </c>
      <c r="N432" t="inlineStr">
        <is>
          <t>OPV-12</t>
        </is>
      </c>
    </row>
    <row r="433">
      <c r="B433" t="inlineStr">
        <is>
          <t>ZSNJE</t>
        </is>
      </c>
      <c r="C433" t="inlineStr">
        <is>
          <t>GLF5</t>
        </is>
      </c>
      <c r="D433" t="inlineStr">
        <is>
          <t>Gulfstream</t>
        </is>
      </c>
      <c r="E433" t="inlineStr">
        <is>
          <t>G550</t>
        </is>
      </c>
      <c r="F433" t="inlineStr">
        <is>
          <t>FALA</t>
        </is>
      </c>
      <c r="H433" t="n">
        <v>41277</v>
      </c>
      <c r="I433" t="n">
        <v>19</v>
      </c>
      <c r="K433" t="inlineStr">
        <is>
          <t>5467</t>
        </is>
      </c>
      <c r="L433" t="inlineStr">
        <is>
          <t>ACTIVE</t>
        </is>
      </c>
      <c r="N433" t="inlineStr">
        <is>
          <t>OPV-13</t>
        </is>
      </c>
    </row>
    <row r="434">
      <c r="B434" t="inlineStr">
        <is>
          <t>ZSOER</t>
        </is>
      </c>
      <c r="C434" t="inlineStr">
        <is>
          <t>B77W</t>
        </is>
      </c>
      <c r="D434" t="inlineStr">
        <is>
          <t>Boeing</t>
        </is>
      </c>
      <c r="E434" t="inlineStr">
        <is>
          <t>777-300ER</t>
        </is>
      </c>
      <c r="F434" t="inlineStr">
        <is>
          <t>FAOR</t>
        </is>
      </c>
      <c r="H434" t="n">
        <v>351534</v>
      </c>
      <c r="I434" t="n">
        <v>396</v>
      </c>
      <c r="K434" t="inlineStr">
        <is>
          <t>38789</t>
        </is>
      </c>
      <c r="L434" t="inlineStr">
        <is>
          <t>ACTIVE</t>
        </is>
      </c>
      <c r="N434" t="inlineStr">
        <is>
          <t>OPV-11</t>
        </is>
      </c>
    </row>
    <row r="435">
      <c r="B435" t="inlineStr">
        <is>
          <t>ZSORL</t>
        </is>
      </c>
      <c r="C435" t="inlineStr">
        <is>
          <t>B744</t>
        </is>
      </c>
      <c r="D435" t="inlineStr">
        <is>
          <t>Boeing</t>
        </is>
      </c>
      <c r="E435" t="inlineStr">
        <is>
          <t>747-400F</t>
        </is>
      </c>
      <c r="F435" t="inlineStr">
        <is>
          <t>FAOR</t>
        </is>
      </c>
      <c r="H435" t="n">
        <v>396893</v>
      </c>
      <c r="I435" t="n">
        <v>0</v>
      </c>
      <c r="K435" t="inlineStr">
        <is>
          <t>32912</t>
        </is>
      </c>
      <c r="L435" t="inlineStr">
        <is>
          <t>ACTIVE</t>
        </is>
      </c>
      <c r="N435" t="inlineStr">
        <is>
          <t>OPV-43</t>
        </is>
      </c>
    </row>
    <row r="436">
      <c r="B436" t="inlineStr">
        <is>
          <t>ZSRZA</t>
        </is>
      </c>
      <c r="C436" t="inlineStr">
        <is>
          <t>B350</t>
        </is>
      </c>
      <c r="D436" t="inlineStr">
        <is>
          <t>Beechcraft</t>
        </is>
      </c>
      <c r="E436" t="inlineStr">
        <is>
          <t>King Air 350</t>
        </is>
      </c>
      <c r="F436" t="inlineStr">
        <is>
          <t>FALA</t>
        </is>
      </c>
      <c r="H436" t="n">
        <v>6804</v>
      </c>
      <c r="I436" t="n">
        <v>11</v>
      </c>
      <c r="K436" t="inlineStr">
        <is>
          <t>FL-567</t>
        </is>
      </c>
      <c r="L436" t="inlineStr">
        <is>
          <t>ACTIVE</t>
        </is>
      </c>
      <c r="N436" t="inlineStr">
        <is>
          <t>OPV-13</t>
        </is>
      </c>
    </row>
    <row r="437">
      <c r="B437" t="inlineStr">
        <is>
          <t>ZSSJV</t>
        </is>
      </c>
      <c r="C437" t="inlineStr">
        <is>
          <t>B738</t>
        </is>
      </c>
      <c r="D437" t="inlineStr">
        <is>
          <t>Boeing</t>
        </is>
      </c>
      <c r="E437" t="inlineStr">
        <is>
          <t>737-800</t>
        </is>
      </c>
      <c r="F437" t="inlineStr">
        <is>
          <t>FAOR</t>
        </is>
      </c>
      <c r="H437" t="n">
        <v>79010</v>
      </c>
      <c r="I437" t="n">
        <v>189</v>
      </c>
      <c r="K437" t="inlineStr">
        <is>
          <t>35145</t>
        </is>
      </c>
      <c r="L437" t="inlineStr">
        <is>
          <t>ACTIVE</t>
        </is>
      </c>
      <c r="N437" t="inlineStr">
        <is>
          <t>OPV-11</t>
        </is>
      </c>
    </row>
    <row r="438">
      <c r="B438" t="inlineStr">
        <is>
          <t>ZSSND</t>
        </is>
      </c>
      <c r="C438" t="inlineStr">
        <is>
          <t>A359</t>
        </is>
      </c>
      <c r="D438" t="inlineStr">
        <is>
          <t>Airbus</t>
        </is>
      </c>
      <c r="E438" t="inlineStr">
        <is>
          <t>A350-900</t>
        </is>
      </c>
      <c r="F438" t="inlineStr">
        <is>
          <t>FAOR</t>
        </is>
      </c>
      <c r="H438" t="n">
        <v>280000</v>
      </c>
      <c r="I438" t="n">
        <v>350</v>
      </c>
      <c r="K438" t="inlineStr">
        <is>
          <t>202</t>
        </is>
      </c>
      <c r="L438" t="inlineStr">
        <is>
          <t>ACTIVE</t>
        </is>
      </c>
      <c r="N438" t="inlineStr">
        <is>
          <t>OPV-11</t>
        </is>
      </c>
    </row>
    <row r="439">
      <c r="B439" t="inlineStr">
        <is>
          <t>ZSSXC</t>
        </is>
      </c>
      <c r="C439" t="inlineStr">
        <is>
          <t>A346</t>
        </is>
      </c>
      <c r="D439" t="inlineStr">
        <is>
          <t>Airbus</t>
        </is>
      </c>
      <c r="E439" t="inlineStr">
        <is>
          <t>A340-600</t>
        </is>
      </c>
      <c r="F439" t="inlineStr">
        <is>
          <t>FAOR</t>
        </is>
      </c>
      <c r="H439" t="n">
        <v>380000</v>
      </c>
      <c r="I439" t="n">
        <v>475</v>
      </c>
      <c r="K439" t="inlineStr">
        <is>
          <t>410</t>
        </is>
      </c>
      <c r="L439" t="inlineStr">
        <is>
          <t>ACTIVE</t>
        </is>
      </c>
      <c r="N439" t="inlineStr">
        <is>
          <t>OPV-11</t>
        </is>
      </c>
    </row>
    <row r="440">
      <c r="B440" t="inlineStr">
        <is>
          <t>ZSTFZ</t>
        </is>
      </c>
      <c r="C440" t="inlineStr">
        <is>
          <t>PC12</t>
        </is>
      </c>
      <c r="D440" t="inlineStr">
        <is>
          <t>Pilatus</t>
        </is>
      </c>
      <c r="E440" t="inlineStr">
        <is>
          <t>PC-12 NGX</t>
        </is>
      </c>
      <c r="F440" t="inlineStr">
        <is>
          <t>FALA</t>
        </is>
      </c>
      <c r="H440" t="n">
        <v>4740</v>
      </c>
      <c r="I440" t="n">
        <v>9</v>
      </c>
      <c r="K440" t="inlineStr">
        <is>
          <t>2101</t>
        </is>
      </c>
      <c r="L440" t="inlineStr">
        <is>
          <t>ACTIVE</t>
        </is>
      </c>
      <c r="N440" t="inlineStr">
        <is>
          <t>OPV-13</t>
        </is>
      </c>
    </row>
    <row r="441">
      <c r="B441" t="inlineStr">
        <is>
          <t>ZSTHR</t>
        </is>
      </c>
      <c r="C441" t="inlineStr">
        <is>
          <t>C208</t>
        </is>
      </c>
      <c r="D441" t="inlineStr">
        <is>
          <t>Cessna</t>
        </is>
      </c>
      <c r="E441" t="inlineStr">
        <is>
          <t>208B Grand Caravan</t>
        </is>
      </c>
      <c r="F441" t="inlineStr">
        <is>
          <t>FALA</t>
        </is>
      </c>
      <c r="H441" t="n">
        <v>3970</v>
      </c>
      <c r="I441" t="n">
        <v>14</v>
      </c>
      <c r="K441" t="inlineStr">
        <is>
          <t>208B-1102</t>
        </is>
      </c>
      <c r="L441" t="inlineStr">
        <is>
          <t>ACTIVE</t>
        </is>
      </c>
      <c r="N441" t="inlineStr">
        <is>
          <t>OPV-13</t>
        </is>
      </c>
    </row>
    <row r="442">
      <c r="B442" t="inlineStr">
        <is>
          <t>ZSZWS</t>
        </is>
      </c>
      <c r="C442" t="inlineStr">
        <is>
          <t>A320</t>
        </is>
      </c>
      <c r="D442" t="inlineStr">
        <is>
          <t>Airbus</t>
        </is>
      </c>
      <c r="E442" t="inlineStr">
        <is>
          <t>A320-200</t>
        </is>
      </c>
      <c r="F442" t="inlineStr">
        <is>
          <t>FAOR</t>
        </is>
      </c>
      <c r="H442" t="n">
        <v>77000</v>
      </c>
      <c r="I442" t="n">
        <v>180</v>
      </c>
      <c r="K442" t="inlineStr">
        <is>
          <t>4612</t>
        </is>
      </c>
      <c r="L442" t="inlineStr">
        <is>
          <t>ACTIVE</t>
        </is>
      </c>
      <c r="N442" t="inlineStr">
        <is>
          <t>OPV-11</t>
        </is>
      </c>
    </row>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U231"/>
  <sheetViews>
    <sheetView workbookViewId="0">
      <selection activeCell="A1" sqref="A1"/>
    </sheetView>
  </sheetViews>
  <sheetFormatPr baseColWidth="8" defaultRowHeight="14.4"/>
  <cols>
    <col width="25.88671875" customWidth="1" min="1" max="1"/>
  </cols>
  <sheetData>
    <row r="1">
      <c r="A1" s="1" t="inlineStr">
        <is>
          <t>GEO GRID — 0.5 deg country raster. Row 2 = lat band starting -40.0N, each row +0.5. Col B = lon band starting -30.0E, each col +0.5. Value = ISO3 of country at cell centre, blank = sea/outside. Source: Natural Earth 110m (public domain), point-in-polygon at cell centre. NOT certified aeronautical data - verify against AIP.</t>
        </is>
      </c>
    </row>
    <row r="12">
      <c r="CW12" t="inlineStr">
        <is>
          <t>ZAF</t>
        </is>
      </c>
    </row>
    <row r="13">
      <c r="CU13" t="inlineStr">
        <is>
          <t>ZAF</t>
        </is>
      </c>
      <c r="CV13" t="inlineStr">
        <is>
          <t>ZAF</t>
        </is>
      </c>
      <c r="CW13" t="inlineStr">
        <is>
          <t>ZAF</t>
        </is>
      </c>
      <c r="CX13" t="inlineStr">
        <is>
          <t>ZAF</t>
        </is>
      </c>
      <c r="CY13" t="inlineStr">
        <is>
          <t>ZAF</t>
        </is>
      </c>
      <c r="CZ13" t="inlineStr">
        <is>
          <t>ZAF</t>
        </is>
      </c>
    </row>
    <row r="14">
      <c r="CT14" t="inlineStr">
        <is>
          <t>ZAF</t>
        </is>
      </c>
      <c r="CU14" t="inlineStr">
        <is>
          <t>ZAF</t>
        </is>
      </c>
      <c r="CV14" t="inlineStr">
        <is>
          <t>ZAF</t>
        </is>
      </c>
      <c r="CW14" t="inlineStr">
        <is>
          <t>ZAF</t>
        </is>
      </c>
      <c r="CX14" t="inlineStr">
        <is>
          <t>ZAF</t>
        </is>
      </c>
      <c r="CY14" t="inlineStr">
        <is>
          <t>ZAF</t>
        </is>
      </c>
      <c r="CZ14" t="inlineStr">
        <is>
          <t>ZAF</t>
        </is>
      </c>
      <c r="DA14" t="inlineStr">
        <is>
          <t>ZAF</t>
        </is>
      </c>
      <c r="DB14" t="inlineStr">
        <is>
          <t>ZAF</t>
        </is>
      </c>
      <c r="DC14" t="inlineStr">
        <is>
          <t>ZAF</t>
        </is>
      </c>
      <c r="DD14" t="inlineStr">
        <is>
          <t>ZAF</t>
        </is>
      </c>
      <c r="DE14" t="inlineStr">
        <is>
          <t>ZAF</t>
        </is>
      </c>
      <c r="DF14" t="inlineStr">
        <is>
          <t>ZAF</t>
        </is>
      </c>
      <c r="DG14" t="inlineStr">
        <is>
          <t>ZAF</t>
        </is>
      </c>
      <c r="DH14" t="inlineStr">
        <is>
          <t>ZAF</t>
        </is>
      </c>
      <c r="DI14" t="inlineStr">
        <is>
          <t>ZAF</t>
        </is>
      </c>
    </row>
    <row r="15">
      <c r="CT15" t="inlineStr">
        <is>
          <t>ZAF</t>
        </is>
      </c>
      <c r="CU15" t="inlineStr">
        <is>
          <t>ZAF</t>
        </is>
      </c>
      <c r="CV15" t="inlineStr">
        <is>
          <t>ZAF</t>
        </is>
      </c>
      <c r="CW15" t="inlineStr">
        <is>
          <t>ZAF</t>
        </is>
      </c>
      <c r="CX15" t="inlineStr">
        <is>
          <t>ZAF</t>
        </is>
      </c>
      <c r="CY15" t="inlineStr">
        <is>
          <t>ZAF</t>
        </is>
      </c>
      <c r="CZ15" t="inlineStr">
        <is>
          <t>ZAF</t>
        </is>
      </c>
      <c r="DA15" t="inlineStr">
        <is>
          <t>ZAF</t>
        </is>
      </c>
      <c r="DB15" t="inlineStr">
        <is>
          <t>ZAF</t>
        </is>
      </c>
      <c r="DC15" t="inlineStr">
        <is>
          <t>ZAF</t>
        </is>
      </c>
      <c r="DD15" t="inlineStr">
        <is>
          <t>ZAF</t>
        </is>
      </c>
      <c r="DE15" t="inlineStr">
        <is>
          <t>ZAF</t>
        </is>
      </c>
      <c r="DF15" t="inlineStr">
        <is>
          <t>ZAF</t>
        </is>
      </c>
      <c r="DG15" t="inlineStr">
        <is>
          <t>ZAF</t>
        </is>
      </c>
      <c r="DH15" t="inlineStr">
        <is>
          <t>ZAF</t>
        </is>
      </c>
      <c r="DI15" t="inlineStr">
        <is>
          <t>ZAF</t>
        </is>
      </c>
      <c r="DJ15" t="inlineStr">
        <is>
          <t>ZAF</t>
        </is>
      </c>
      <c r="DK15" t="inlineStr">
        <is>
          <t>ZAF</t>
        </is>
      </c>
      <c r="DL15" t="inlineStr">
        <is>
          <t>ZAF</t>
        </is>
      </c>
    </row>
    <row r="16">
      <c r="CT16" t="inlineStr">
        <is>
          <t>ZAF</t>
        </is>
      </c>
      <c r="CU16" t="inlineStr">
        <is>
          <t>ZAF</t>
        </is>
      </c>
      <c r="CV16" t="inlineStr">
        <is>
          <t>ZAF</t>
        </is>
      </c>
      <c r="CW16" t="inlineStr">
        <is>
          <t>ZAF</t>
        </is>
      </c>
      <c r="CX16" t="inlineStr">
        <is>
          <t>ZAF</t>
        </is>
      </c>
      <c r="CY16" t="inlineStr">
        <is>
          <t>ZAF</t>
        </is>
      </c>
      <c r="CZ16" t="inlineStr">
        <is>
          <t>ZAF</t>
        </is>
      </c>
      <c r="DA16" t="inlineStr">
        <is>
          <t>ZAF</t>
        </is>
      </c>
      <c r="DB16" t="inlineStr">
        <is>
          <t>ZAF</t>
        </is>
      </c>
      <c r="DC16" t="inlineStr">
        <is>
          <t>ZAF</t>
        </is>
      </c>
      <c r="DD16" t="inlineStr">
        <is>
          <t>ZAF</t>
        </is>
      </c>
      <c r="DE16" t="inlineStr">
        <is>
          <t>ZAF</t>
        </is>
      </c>
      <c r="DF16" t="inlineStr">
        <is>
          <t>ZAF</t>
        </is>
      </c>
      <c r="DG16" t="inlineStr">
        <is>
          <t>ZAF</t>
        </is>
      </c>
      <c r="DH16" t="inlineStr">
        <is>
          <t>ZAF</t>
        </is>
      </c>
      <c r="DI16" t="inlineStr">
        <is>
          <t>ZAF</t>
        </is>
      </c>
      <c r="DJ16" t="inlineStr">
        <is>
          <t>ZAF</t>
        </is>
      </c>
      <c r="DK16" t="inlineStr">
        <is>
          <t>ZAF</t>
        </is>
      </c>
      <c r="DL16" t="inlineStr">
        <is>
          <t>ZAF</t>
        </is>
      </c>
      <c r="DM16" t="inlineStr">
        <is>
          <t>ZAF</t>
        </is>
      </c>
    </row>
    <row r="17">
      <c r="CT17" t="inlineStr">
        <is>
          <t>ZAF</t>
        </is>
      </c>
      <c r="CU17" t="inlineStr">
        <is>
          <t>ZAF</t>
        </is>
      </c>
      <c r="CV17" t="inlineStr">
        <is>
          <t>ZAF</t>
        </is>
      </c>
      <c r="CW17" t="inlineStr">
        <is>
          <t>ZAF</t>
        </is>
      </c>
      <c r="CX17" t="inlineStr">
        <is>
          <t>ZAF</t>
        </is>
      </c>
      <c r="CY17" t="inlineStr">
        <is>
          <t>ZAF</t>
        </is>
      </c>
      <c r="CZ17" t="inlineStr">
        <is>
          <t>ZAF</t>
        </is>
      </c>
      <c r="DA17" t="inlineStr">
        <is>
          <t>ZAF</t>
        </is>
      </c>
      <c r="DB17" t="inlineStr">
        <is>
          <t>ZAF</t>
        </is>
      </c>
      <c r="DC17" t="inlineStr">
        <is>
          <t>ZAF</t>
        </is>
      </c>
      <c r="DD17" t="inlineStr">
        <is>
          <t>ZAF</t>
        </is>
      </c>
      <c r="DE17" t="inlineStr">
        <is>
          <t>ZAF</t>
        </is>
      </c>
      <c r="DF17" t="inlineStr">
        <is>
          <t>ZAF</t>
        </is>
      </c>
      <c r="DG17" t="inlineStr">
        <is>
          <t>ZAF</t>
        </is>
      </c>
      <c r="DH17" t="inlineStr">
        <is>
          <t>ZAF</t>
        </is>
      </c>
      <c r="DI17" t="inlineStr">
        <is>
          <t>ZAF</t>
        </is>
      </c>
      <c r="DJ17" t="inlineStr">
        <is>
          <t>ZAF</t>
        </is>
      </c>
      <c r="DK17" t="inlineStr">
        <is>
          <t>ZAF</t>
        </is>
      </c>
      <c r="DL17" t="inlineStr">
        <is>
          <t>ZAF</t>
        </is>
      </c>
      <c r="DM17" t="inlineStr">
        <is>
          <t>ZAF</t>
        </is>
      </c>
      <c r="DN17" t="inlineStr">
        <is>
          <t>ZAF</t>
        </is>
      </c>
      <c r="DO17" t="inlineStr">
        <is>
          <t>ZAF</t>
        </is>
      </c>
    </row>
    <row r="18">
      <c r="CT18" t="inlineStr">
        <is>
          <t>ZAF</t>
        </is>
      </c>
      <c r="CU18" t="inlineStr">
        <is>
          <t>ZAF</t>
        </is>
      </c>
      <c r="CV18" t="inlineStr">
        <is>
          <t>ZAF</t>
        </is>
      </c>
      <c r="CW18" t="inlineStr">
        <is>
          <t>ZAF</t>
        </is>
      </c>
      <c r="CX18" t="inlineStr">
        <is>
          <t>ZAF</t>
        </is>
      </c>
      <c r="CY18" t="inlineStr">
        <is>
          <t>ZAF</t>
        </is>
      </c>
      <c r="CZ18" t="inlineStr">
        <is>
          <t>ZAF</t>
        </is>
      </c>
      <c r="DA18" t="inlineStr">
        <is>
          <t>ZAF</t>
        </is>
      </c>
      <c r="DB18" t="inlineStr">
        <is>
          <t>ZAF</t>
        </is>
      </c>
      <c r="DC18" t="inlineStr">
        <is>
          <t>ZAF</t>
        </is>
      </c>
      <c r="DD18" t="inlineStr">
        <is>
          <t>ZAF</t>
        </is>
      </c>
      <c r="DE18" t="inlineStr">
        <is>
          <t>ZAF</t>
        </is>
      </c>
      <c r="DF18" t="inlineStr">
        <is>
          <t>ZAF</t>
        </is>
      </c>
      <c r="DG18" t="inlineStr">
        <is>
          <t>ZAF</t>
        </is>
      </c>
      <c r="DH18" t="inlineStr">
        <is>
          <t>ZAF</t>
        </is>
      </c>
      <c r="DI18" t="inlineStr">
        <is>
          <t>ZAF</t>
        </is>
      </c>
      <c r="DJ18" t="inlineStr">
        <is>
          <t>ZAF</t>
        </is>
      </c>
      <c r="DK18" t="inlineStr">
        <is>
          <t>ZAF</t>
        </is>
      </c>
      <c r="DL18" t="inlineStr">
        <is>
          <t>ZAF</t>
        </is>
      </c>
      <c r="DM18" t="inlineStr">
        <is>
          <t>ZAF</t>
        </is>
      </c>
      <c r="DN18" t="inlineStr">
        <is>
          <t>ZAF</t>
        </is>
      </c>
      <c r="DO18" t="inlineStr">
        <is>
          <t>ZAF</t>
        </is>
      </c>
      <c r="DP18" t="inlineStr">
        <is>
          <t>ZAF</t>
        </is>
      </c>
    </row>
    <row r="19">
      <c r="CT19" t="inlineStr">
        <is>
          <t>ZAF</t>
        </is>
      </c>
      <c r="CU19" t="inlineStr">
        <is>
          <t>ZAF</t>
        </is>
      </c>
      <c r="CV19" t="inlineStr">
        <is>
          <t>ZAF</t>
        </is>
      </c>
      <c r="CW19" t="inlineStr">
        <is>
          <t>ZAF</t>
        </is>
      </c>
      <c r="CX19" t="inlineStr">
        <is>
          <t>ZAF</t>
        </is>
      </c>
      <c r="CY19" t="inlineStr">
        <is>
          <t>ZAF</t>
        </is>
      </c>
      <c r="CZ19" t="inlineStr">
        <is>
          <t>ZAF</t>
        </is>
      </c>
      <c r="DA19" t="inlineStr">
        <is>
          <t>ZAF</t>
        </is>
      </c>
      <c r="DB19" t="inlineStr">
        <is>
          <t>ZAF</t>
        </is>
      </c>
      <c r="DC19" t="inlineStr">
        <is>
          <t>ZAF</t>
        </is>
      </c>
      <c r="DD19" t="inlineStr">
        <is>
          <t>ZAF</t>
        </is>
      </c>
      <c r="DE19" t="inlineStr">
        <is>
          <t>ZAF</t>
        </is>
      </c>
      <c r="DF19" t="inlineStr">
        <is>
          <t>ZAF</t>
        </is>
      </c>
      <c r="DG19" t="inlineStr">
        <is>
          <t>ZAF</t>
        </is>
      </c>
      <c r="DH19" t="inlineStr">
        <is>
          <t>ZAF</t>
        </is>
      </c>
      <c r="DI19" t="inlineStr">
        <is>
          <t>ZAF</t>
        </is>
      </c>
      <c r="DJ19" t="inlineStr">
        <is>
          <t>ZAF</t>
        </is>
      </c>
      <c r="DK19" t="inlineStr">
        <is>
          <t>ZAF</t>
        </is>
      </c>
      <c r="DL19" t="inlineStr">
        <is>
          <t>ZAF</t>
        </is>
      </c>
      <c r="DM19" t="inlineStr">
        <is>
          <t>ZAF</t>
        </is>
      </c>
      <c r="DN19" t="inlineStr">
        <is>
          <t>ZAF</t>
        </is>
      </c>
      <c r="DO19" t="inlineStr">
        <is>
          <t>ZAF</t>
        </is>
      </c>
      <c r="DP19" t="inlineStr">
        <is>
          <t>ZAF</t>
        </is>
      </c>
      <c r="DQ19" t="inlineStr">
        <is>
          <t>ZAF</t>
        </is>
      </c>
    </row>
    <row r="20">
      <c r="CS20" t="inlineStr">
        <is>
          <t>ZAF</t>
        </is>
      </c>
      <c r="CT20" t="inlineStr">
        <is>
          <t>ZAF</t>
        </is>
      </c>
      <c r="CU20" t="inlineStr">
        <is>
          <t>ZAF</t>
        </is>
      </c>
      <c r="CV20" t="inlineStr">
        <is>
          <t>ZAF</t>
        </is>
      </c>
      <c r="CW20" t="inlineStr">
        <is>
          <t>ZAF</t>
        </is>
      </c>
      <c r="CX20" t="inlineStr">
        <is>
          <t>ZAF</t>
        </is>
      </c>
      <c r="CY20" t="inlineStr">
        <is>
          <t>ZAF</t>
        </is>
      </c>
      <c r="CZ20" t="inlineStr">
        <is>
          <t>ZAF</t>
        </is>
      </c>
      <c r="DA20" t="inlineStr">
        <is>
          <t>ZAF</t>
        </is>
      </c>
      <c r="DB20" t="inlineStr">
        <is>
          <t>ZAF</t>
        </is>
      </c>
      <c r="DC20" t="inlineStr">
        <is>
          <t>ZAF</t>
        </is>
      </c>
      <c r="DD20" t="inlineStr">
        <is>
          <t>ZAF</t>
        </is>
      </c>
      <c r="DE20" t="inlineStr">
        <is>
          <t>ZAF</t>
        </is>
      </c>
      <c r="DF20" t="inlineStr">
        <is>
          <t>ZAF</t>
        </is>
      </c>
      <c r="DG20" t="inlineStr">
        <is>
          <t>ZAF</t>
        </is>
      </c>
      <c r="DH20" t="inlineStr">
        <is>
          <t>ZAF</t>
        </is>
      </c>
      <c r="DI20" t="inlineStr">
        <is>
          <t>ZAF</t>
        </is>
      </c>
      <c r="DJ20" t="inlineStr">
        <is>
          <t>ZAF</t>
        </is>
      </c>
      <c r="DK20" t="inlineStr">
        <is>
          <t>ZAF</t>
        </is>
      </c>
      <c r="DL20" t="inlineStr">
        <is>
          <t>ZAF</t>
        </is>
      </c>
      <c r="DM20" t="inlineStr">
        <is>
          <t>ZAF</t>
        </is>
      </c>
      <c r="DN20" t="inlineStr">
        <is>
          <t>ZAF</t>
        </is>
      </c>
      <c r="DO20" t="inlineStr">
        <is>
          <t>ZAF</t>
        </is>
      </c>
      <c r="DP20" t="inlineStr">
        <is>
          <t>ZAF</t>
        </is>
      </c>
      <c r="DQ20" t="inlineStr">
        <is>
          <t>ZAF</t>
        </is>
      </c>
      <c r="DR20" t="inlineStr">
        <is>
          <t>ZAF</t>
        </is>
      </c>
    </row>
    <row r="21">
      <c r="CS21" t="inlineStr">
        <is>
          <t>ZAF</t>
        </is>
      </c>
      <c r="CT21" t="inlineStr">
        <is>
          <t>ZAF</t>
        </is>
      </c>
      <c r="CU21" t="inlineStr">
        <is>
          <t>ZAF</t>
        </is>
      </c>
      <c r="CV21" t="inlineStr">
        <is>
          <t>ZAF</t>
        </is>
      </c>
      <c r="CW21" t="inlineStr">
        <is>
          <t>ZAF</t>
        </is>
      </c>
      <c r="CX21" t="inlineStr">
        <is>
          <t>ZAF</t>
        </is>
      </c>
      <c r="CY21" t="inlineStr">
        <is>
          <t>ZAF</t>
        </is>
      </c>
      <c r="CZ21" t="inlineStr">
        <is>
          <t>ZAF</t>
        </is>
      </c>
      <c r="DA21" t="inlineStr">
        <is>
          <t>ZAF</t>
        </is>
      </c>
      <c r="DB21" t="inlineStr">
        <is>
          <t>ZAF</t>
        </is>
      </c>
      <c r="DC21" t="inlineStr">
        <is>
          <t>ZAF</t>
        </is>
      </c>
      <c r="DD21" t="inlineStr">
        <is>
          <t>ZAF</t>
        </is>
      </c>
      <c r="DE21" t="inlineStr">
        <is>
          <t>ZAF</t>
        </is>
      </c>
      <c r="DF21" t="inlineStr">
        <is>
          <t>ZAF</t>
        </is>
      </c>
      <c r="DG21" t="inlineStr">
        <is>
          <t>ZAF</t>
        </is>
      </c>
      <c r="DH21" t="inlineStr">
        <is>
          <t>ZAF</t>
        </is>
      </c>
      <c r="DI21" t="inlineStr">
        <is>
          <t>ZAF</t>
        </is>
      </c>
      <c r="DJ21" t="inlineStr">
        <is>
          <t>ZAF</t>
        </is>
      </c>
      <c r="DK21" t="inlineStr">
        <is>
          <t>ZAF</t>
        </is>
      </c>
      <c r="DL21" t="inlineStr">
        <is>
          <t>ZAF</t>
        </is>
      </c>
      <c r="DM21" t="inlineStr">
        <is>
          <t>LSO</t>
        </is>
      </c>
      <c r="DN21" t="inlineStr">
        <is>
          <t>LSO</t>
        </is>
      </c>
      <c r="DO21" t="inlineStr">
        <is>
          <t>ZAF</t>
        </is>
      </c>
      <c r="DP21" t="inlineStr">
        <is>
          <t>ZAF</t>
        </is>
      </c>
      <c r="DQ21" t="inlineStr">
        <is>
          <t>ZAF</t>
        </is>
      </c>
      <c r="DR21" t="inlineStr">
        <is>
          <t>ZAF</t>
        </is>
      </c>
    </row>
    <row r="22">
      <c r="CR22" t="inlineStr">
        <is>
          <t>ZAF</t>
        </is>
      </c>
      <c r="CS22" t="inlineStr">
        <is>
          <t>ZAF</t>
        </is>
      </c>
      <c r="CT22" t="inlineStr">
        <is>
          <t>ZAF</t>
        </is>
      </c>
      <c r="CU22" t="inlineStr">
        <is>
          <t>ZAF</t>
        </is>
      </c>
      <c r="CV22" t="inlineStr">
        <is>
          <t>ZAF</t>
        </is>
      </c>
      <c r="CW22" t="inlineStr">
        <is>
          <t>ZAF</t>
        </is>
      </c>
      <c r="CX22" t="inlineStr">
        <is>
          <t>ZAF</t>
        </is>
      </c>
      <c r="CY22" t="inlineStr">
        <is>
          <t>ZAF</t>
        </is>
      </c>
      <c r="CZ22" t="inlineStr">
        <is>
          <t>ZAF</t>
        </is>
      </c>
      <c r="DA22" t="inlineStr">
        <is>
          <t>ZAF</t>
        </is>
      </c>
      <c r="DB22" t="inlineStr">
        <is>
          <t>ZAF</t>
        </is>
      </c>
      <c r="DC22" t="inlineStr">
        <is>
          <t>ZAF</t>
        </is>
      </c>
      <c r="DD22" t="inlineStr">
        <is>
          <t>ZAF</t>
        </is>
      </c>
      <c r="DE22" t="inlineStr">
        <is>
          <t>ZAF</t>
        </is>
      </c>
      <c r="DF22" t="inlineStr">
        <is>
          <t>ZAF</t>
        </is>
      </c>
      <c r="DG22" t="inlineStr">
        <is>
          <t>ZAF</t>
        </is>
      </c>
      <c r="DH22" t="inlineStr">
        <is>
          <t>ZAF</t>
        </is>
      </c>
      <c r="DI22" t="inlineStr">
        <is>
          <t>ZAF</t>
        </is>
      </c>
      <c r="DJ22" t="inlineStr">
        <is>
          <t>ZAF</t>
        </is>
      </c>
      <c r="DK22" t="inlineStr">
        <is>
          <t>ZAF</t>
        </is>
      </c>
      <c r="DL22" t="inlineStr">
        <is>
          <t>LSO</t>
        </is>
      </c>
      <c r="DM22" t="inlineStr">
        <is>
          <t>LSO</t>
        </is>
      </c>
      <c r="DN22" t="inlineStr">
        <is>
          <t>LSO</t>
        </is>
      </c>
      <c r="DO22" t="inlineStr">
        <is>
          <t>LSO</t>
        </is>
      </c>
      <c r="DP22" t="inlineStr">
        <is>
          <t>ZAF</t>
        </is>
      </c>
      <c r="DQ22" t="inlineStr">
        <is>
          <t>ZAF</t>
        </is>
      </c>
      <c r="DR22" t="inlineStr">
        <is>
          <t>ZAF</t>
        </is>
      </c>
      <c r="DS22" t="inlineStr">
        <is>
          <t>ZAF</t>
        </is>
      </c>
    </row>
    <row r="23">
      <c r="CQ23" t="inlineStr">
        <is>
          <t>ZAF</t>
        </is>
      </c>
      <c r="CR23" t="inlineStr">
        <is>
          <t>ZAF</t>
        </is>
      </c>
      <c r="CS23" t="inlineStr">
        <is>
          <t>ZAF</t>
        </is>
      </c>
      <c r="CT23" t="inlineStr">
        <is>
          <t>ZAF</t>
        </is>
      </c>
      <c r="CU23" t="inlineStr">
        <is>
          <t>ZAF</t>
        </is>
      </c>
      <c r="CV23" t="inlineStr">
        <is>
          <t>ZAF</t>
        </is>
      </c>
      <c r="CW23" t="inlineStr">
        <is>
          <t>ZAF</t>
        </is>
      </c>
      <c r="CX23" t="inlineStr">
        <is>
          <t>ZAF</t>
        </is>
      </c>
      <c r="CY23" t="inlineStr">
        <is>
          <t>ZAF</t>
        </is>
      </c>
      <c r="CZ23" t="inlineStr">
        <is>
          <t>ZAF</t>
        </is>
      </c>
      <c r="DA23" t="inlineStr">
        <is>
          <t>ZAF</t>
        </is>
      </c>
      <c r="DB23" t="inlineStr">
        <is>
          <t>ZAF</t>
        </is>
      </c>
      <c r="DC23" t="inlineStr">
        <is>
          <t>ZAF</t>
        </is>
      </c>
      <c r="DD23" t="inlineStr">
        <is>
          <t>ZAF</t>
        </is>
      </c>
      <c r="DE23" t="inlineStr">
        <is>
          <t>ZAF</t>
        </is>
      </c>
      <c r="DF23" t="inlineStr">
        <is>
          <t>ZAF</t>
        </is>
      </c>
      <c r="DG23" t="inlineStr">
        <is>
          <t>ZAF</t>
        </is>
      </c>
      <c r="DH23" t="inlineStr">
        <is>
          <t>ZAF</t>
        </is>
      </c>
      <c r="DI23" t="inlineStr">
        <is>
          <t>ZAF</t>
        </is>
      </c>
      <c r="DJ23" t="inlineStr">
        <is>
          <t>ZAF</t>
        </is>
      </c>
      <c r="DK23" t="inlineStr">
        <is>
          <t>ZAF</t>
        </is>
      </c>
      <c r="DL23" t="inlineStr">
        <is>
          <t>ZAF</t>
        </is>
      </c>
      <c r="DM23" t="inlineStr">
        <is>
          <t>LSO</t>
        </is>
      </c>
      <c r="DN23" t="inlineStr">
        <is>
          <t>LSO</t>
        </is>
      </c>
      <c r="DO23" t="inlineStr">
        <is>
          <t>LSO</t>
        </is>
      </c>
      <c r="DP23" t="inlineStr">
        <is>
          <t>LSO</t>
        </is>
      </c>
      <c r="DQ23" t="inlineStr">
        <is>
          <t>ZAF</t>
        </is>
      </c>
      <c r="DR23" t="inlineStr">
        <is>
          <t>ZAF</t>
        </is>
      </c>
      <c r="DS23" t="inlineStr">
        <is>
          <t>ZAF</t>
        </is>
      </c>
      <c r="DT23" t="inlineStr">
        <is>
          <t>ZAF</t>
        </is>
      </c>
    </row>
    <row r="24">
      <c r="CQ24" t="inlineStr">
        <is>
          <t>ZAF</t>
        </is>
      </c>
      <c r="CR24" t="inlineStr">
        <is>
          <t>ZAF</t>
        </is>
      </c>
      <c r="CS24" t="inlineStr">
        <is>
          <t>NAM</t>
        </is>
      </c>
      <c r="CT24" t="inlineStr">
        <is>
          <t>NAM</t>
        </is>
      </c>
      <c r="CU24" t="inlineStr">
        <is>
          <t>NAM</t>
        </is>
      </c>
      <c r="CV24" t="inlineStr">
        <is>
          <t>NAM</t>
        </is>
      </c>
      <c r="CW24" t="inlineStr">
        <is>
          <t>ZAF</t>
        </is>
      </c>
      <c r="CX24" t="inlineStr">
        <is>
          <t>ZAF</t>
        </is>
      </c>
      <c r="CY24" t="inlineStr">
        <is>
          <t>ZAF</t>
        </is>
      </c>
      <c r="CZ24" t="inlineStr">
        <is>
          <t>ZAF</t>
        </is>
      </c>
      <c r="DA24" t="inlineStr">
        <is>
          <t>ZAF</t>
        </is>
      </c>
      <c r="DB24" t="inlineStr">
        <is>
          <t>ZAF</t>
        </is>
      </c>
      <c r="DC24" t="inlineStr">
        <is>
          <t>ZAF</t>
        </is>
      </c>
      <c r="DD24" t="inlineStr">
        <is>
          <t>ZAF</t>
        </is>
      </c>
      <c r="DE24" t="inlineStr">
        <is>
          <t>ZAF</t>
        </is>
      </c>
      <c r="DF24" t="inlineStr">
        <is>
          <t>ZAF</t>
        </is>
      </c>
      <c r="DG24" t="inlineStr">
        <is>
          <t>ZAF</t>
        </is>
      </c>
      <c r="DH24" t="inlineStr">
        <is>
          <t>ZAF</t>
        </is>
      </c>
      <c r="DI24" t="inlineStr">
        <is>
          <t>ZAF</t>
        </is>
      </c>
      <c r="DJ24" t="inlineStr">
        <is>
          <t>ZAF</t>
        </is>
      </c>
      <c r="DK24" t="inlineStr">
        <is>
          <t>ZAF</t>
        </is>
      </c>
      <c r="DL24" t="inlineStr">
        <is>
          <t>ZAF</t>
        </is>
      </c>
      <c r="DM24" t="inlineStr">
        <is>
          <t>ZAF</t>
        </is>
      </c>
      <c r="DN24" t="inlineStr">
        <is>
          <t>ZAF</t>
        </is>
      </c>
      <c r="DO24" t="inlineStr">
        <is>
          <t>ZAF</t>
        </is>
      </c>
      <c r="DP24" t="inlineStr">
        <is>
          <t>ZAF</t>
        </is>
      </c>
      <c r="DQ24" t="inlineStr">
        <is>
          <t>ZAF</t>
        </is>
      </c>
      <c r="DR24" t="inlineStr">
        <is>
          <t>ZAF</t>
        </is>
      </c>
      <c r="DS24" t="inlineStr">
        <is>
          <t>ZAF</t>
        </is>
      </c>
      <c r="DT24" t="inlineStr">
        <is>
          <t>ZAF</t>
        </is>
      </c>
      <c r="DU24" t="inlineStr">
        <is>
          <t>ZAF</t>
        </is>
      </c>
    </row>
    <row r="25">
      <c r="CP25" t="inlineStr">
        <is>
          <t>NAM</t>
        </is>
      </c>
      <c r="CQ25" t="inlineStr">
        <is>
          <t>ZAF</t>
        </is>
      </c>
      <c r="CR25" t="inlineStr">
        <is>
          <t>NAM</t>
        </is>
      </c>
      <c r="CS25" t="inlineStr">
        <is>
          <t>NAM</t>
        </is>
      </c>
      <c r="CT25" t="inlineStr">
        <is>
          <t>NAM</t>
        </is>
      </c>
      <c r="CU25" t="inlineStr">
        <is>
          <t>NAM</t>
        </is>
      </c>
      <c r="CV25" t="inlineStr">
        <is>
          <t>NAM</t>
        </is>
      </c>
      <c r="CW25" t="inlineStr">
        <is>
          <t>NAM</t>
        </is>
      </c>
      <c r="CX25" t="inlineStr">
        <is>
          <t>ZAF</t>
        </is>
      </c>
      <c r="CY25" t="inlineStr">
        <is>
          <t>ZAF</t>
        </is>
      </c>
      <c r="CZ25" t="inlineStr">
        <is>
          <t>ZAF</t>
        </is>
      </c>
      <c r="DA25" t="inlineStr">
        <is>
          <t>ZAF</t>
        </is>
      </c>
      <c r="DB25" t="inlineStr">
        <is>
          <t>ZAF</t>
        </is>
      </c>
      <c r="DC25" t="inlineStr">
        <is>
          <t>ZAF</t>
        </is>
      </c>
      <c r="DD25" t="inlineStr">
        <is>
          <t>ZAF</t>
        </is>
      </c>
      <c r="DE25" t="inlineStr">
        <is>
          <t>ZAF</t>
        </is>
      </c>
      <c r="DF25" t="inlineStr">
        <is>
          <t>ZAF</t>
        </is>
      </c>
      <c r="DG25" t="inlineStr">
        <is>
          <t>ZAF</t>
        </is>
      </c>
      <c r="DH25" t="inlineStr">
        <is>
          <t>ZAF</t>
        </is>
      </c>
      <c r="DI25" t="inlineStr">
        <is>
          <t>ZAF</t>
        </is>
      </c>
      <c r="DJ25" t="inlineStr">
        <is>
          <t>ZAF</t>
        </is>
      </c>
      <c r="DK25" t="inlineStr">
        <is>
          <t>ZAF</t>
        </is>
      </c>
      <c r="DL25" t="inlineStr">
        <is>
          <t>ZAF</t>
        </is>
      </c>
      <c r="DM25" t="inlineStr">
        <is>
          <t>ZAF</t>
        </is>
      </c>
      <c r="DN25" t="inlineStr">
        <is>
          <t>ZAF</t>
        </is>
      </c>
      <c r="DO25" t="inlineStr">
        <is>
          <t>ZAF</t>
        </is>
      </c>
      <c r="DP25" t="inlineStr">
        <is>
          <t>ZAF</t>
        </is>
      </c>
      <c r="DQ25" t="inlineStr">
        <is>
          <t>ZAF</t>
        </is>
      </c>
      <c r="DR25" t="inlineStr">
        <is>
          <t>ZAF</t>
        </is>
      </c>
      <c r="DS25" t="inlineStr">
        <is>
          <t>ZAF</t>
        </is>
      </c>
      <c r="DT25" t="inlineStr">
        <is>
          <t>ZAF</t>
        </is>
      </c>
      <c r="DU25" t="inlineStr">
        <is>
          <t>ZAF</t>
        </is>
      </c>
      <c r="DV25" t="inlineStr">
        <is>
          <t>ZAF</t>
        </is>
      </c>
    </row>
    <row r="26">
      <c r="CO26" t="inlineStr">
        <is>
          <t>NAM</t>
        </is>
      </c>
      <c r="CP26" t="inlineStr">
        <is>
          <t>NAM</t>
        </is>
      </c>
      <c r="CQ26" t="inlineStr">
        <is>
          <t>NAM</t>
        </is>
      </c>
      <c r="CR26" t="inlineStr">
        <is>
          <t>NAM</t>
        </is>
      </c>
      <c r="CS26" t="inlineStr">
        <is>
          <t>NAM</t>
        </is>
      </c>
      <c r="CT26" t="inlineStr">
        <is>
          <t>NAM</t>
        </is>
      </c>
      <c r="CU26" t="inlineStr">
        <is>
          <t>NAM</t>
        </is>
      </c>
      <c r="CV26" t="inlineStr">
        <is>
          <t>NAM</t>
        </is>
      </c>
      <c r="CW26" t="inlineStr">
        <is>
          <t>NAM</t>
        </is>
      </c>
      <c r="CX26" t="inlineStr">
        <is>
          <t>ZAF</t>
        </is>
      </c>
      <c r="CY26" t="inlineStr">
        <is>
          <t>ZAF</t>
        </is>
      </c>
      <c r="CZ26" t="inlineStr">
        <is>
          <t>ZAF</t>
        </is>
      </c>
      <c r="DA26" t="inlineStr">
        <is>
          <t>ZAF</t>
        </is>
      </c>
      <c r="DB26" t="inlineStr">
        <is>
          <t>ZAF</t>
        </is>
      </c>
      <c r="DC26" t="inlineStr">
        <is>
          <t>ZAF</t>
        </is>
      </c>
      <c r="DD26" t="inlineStr">
        <is>
          <t>ZAF</t>
        </is>
      </c>
      <c r="DE26" t="inlineStr">
        <is>
          <t>ZAF</t>
        </is>
      </c>
      <c r="DF26" t="inlineStr">
        <is>
          <t>ZAF</t>
        </is>
      </c>
      <c r="DG26" t="inlineStr">
        <is>
          <t>ZAF</t>
        </is>
      </c>
      <c r="DH26" t="inlineStr">
        <is>
          <t>ZAF</t>
        </is>
      </c>
      <c r="DI26" t="inlineStr">
        <is>
          <t>ZAF</t>
        </is>
      </c>
      <c r="DJ26" t="inlineStr">
        <is>
          <t>ZAF</t>
        </is>
      </c>
      <c r="DK26" t="inlineStr">
        <is>
          <t>ZAF</t>
        </is>
      </c>
      <c r="DL26" t="inlineStr">
        <is>
          <t>ZAF</t>
        </is>
      </c>
      <c r="DM26" t="inlineStr">
        <is>
          <t>ZAF</t>
        </is>
      </c>
      <c r="DN26" t="inlineStr">
        <is>
          <t>ZAF</t>
        </is>
      </c>
      <c r="DO26" t="inlineStr">
        <is>
          <t>ZAF</t>
        </is>
      </c>
      <c r="DP26" t="inlineStr">
        <is>
          <t>ZAF</t>
        </is>
      </c>
      <c r="DQ26" t="inlineStr">
        <is>
          <t>ZAF</t>
        </is>
      </c>
      <c r="DR26" t="inlineStr">
        <is>
          <t>ZAF</t>
        </is>
      </c>
      <c r="DS26" t="inlineStr">
        <is>
          <t>ZAF</t>
        </is>
      </c>
      <c r="DT26" t="inlineStr">
        <is>
          <t>ZAF</t>
        </is>
      </c>
      <c r="DU26" t="inlineStr">
        <is>
          <t>ZAF</t>
        </is>
      </c>
      <c r="DV26" t="inlineStr">
        <is>
          <t>ZAF</t>
        </is>
      </c>
    </row>
    <row r="27">
      <c r="CO27" t="inlineStr">
        <is>
          <t>NAM</t>
        </is>
      </c>
      <c r="CP27" t="inlineStr">
        <is>
          <t>NAM</t>
        </is>
      </c>
      <c r="CQ27" t="inlineStr">
        <is>
          <t>NAM</t>
        </is>
      </c>
      <c r="CR27" t="inlineStr">
        <is>
          <t>NAM</t>
        </is>
      </c>
      <c r="CS27" t="inlineStr">
        <is>
          <t>NAM</t>
        </is>
      </c>
      <c r="CT27" t="inlineStr">
        <is>
          <t>NAM</t>
        </is>
      </c>
      <c r="CU27" t="inlineStr">
        <is>
          <t>NAM</t>
        </is>
      </c>
      <c r="CV27" t="inlineStr">
        <is>
          <t>NAM</t>
        </is>
      </c>
      <c r="CW27" t="inlineStr">
        <is>
          <t>NAM</t>
        </is>
      </c>
      <c r="CX27" t="inlineStr">
        <is>
          <t>ZAF</t>
        </is>
      </c>
      <c r="CY27" t="inlineStr">
        <is>
          <t>ZAF</t>
        </is>
      </c>
      <c r="CZ27" t="inlineStr">
        <is>
          <t>ZAF</t>
        </is>
      </c>
      <c r="DA27" t="inlineStr">
        <is>
          <t>ZAF</t>
        </is>
      </c>
      <c r="DB27" t="inlineStr">
        <is>
          <t>ZAF</t>
        </is>
      </c>
      <c r="DC27" t="inlineStr">
        <is>
          <t>ZAF</t>
        </is>
      </c>
      <c r="DD27" t="inlineStr">
        <is>
          <t>ZAF</t>
        </is>
      </c>
      <c r="DE27" t="inlineStr">
        <is>
          <t>ZAF</t>
        </is>
      </c>
      <c r="DF27" t="inlineStr">
        <is>
          <t>ZAF</t>
        </is>
      </c>
      <c r="DG27" t="inlineStr">
        <is>
          <t>ZAF</t>
        </is>
      </c>
      <c r="DH27" t="inlineStr">
        <is>
          <t>ZAF</t>
        </is>
      </c>
      <c r="DI27" t="inlineStr">
        <is>
          <t>ZAF</t>
        </is>
      </c>
      <c r="DJ27" t="inlineStr">
        <is>
          <t>ZAF</t>
        </is>
      </c>
      <c r="DK27" t="inlineStr">
        <is>
          <t>ZAF</t>
        </is>
      </c>
      <c r="DL27" t="inlineStr">
        <is>
          <t>ZAF</t>
        </is>
      </c>
      <c r="DM27" t="inlineStr">
        <is>
          <t>ZAF</t>
        </is>
      </c>
      <c r="DN27" t="inlineStr">
        <is>
          <t>ZAF</t>
        </is>
      </c>
      <c r="DO27" t="inlineStr">
        <is>
          <t>ZAF</t>
        </is>
      </c>
      <c r="DP27" t="inlineStr">
        <is>
          <t>ZAF</t>
        </is>
      </c>
      <c r="DQ27" t="inlineStr">
        <is>
          <t>ZAF</t>
        </is>
      </c>
      <c r="DR27" t="inlineStr">
        <is>
          <t>ZAF</t>
        </is>
      </c>
      <c r="DS27" t="inlineStr">
        <is>
          <t>ZAF</t>
        </is>
      </c>
      <c r="DT27" t="inlineStr">
        <is>
          <t>SWZ</t>
        </is>
      </c>
      <c r="DU27" t="inlineStr">
        <is>
          <t>ZAF</t>
        </is>
      </c>
      <c r="DV27" t="inlineStr">
        <is>
          <t>ZAF</t>
        </is>
      </c>
    </row>
    <row r="28">
      <c r="CN28" t="inlineStr">
        <is>
          <t>NAM</t>
        </is>
      </c>
      <c r="CO28" t="inlineStr">
        <is>
          <t>NAM</t>
        </is>
      </c>
      <c r="CP28" t="inlineStr">
        <is>
          <t>NAM</t>
        </is>
      </c>
      <c r="CQ28" t="inlineStr">
        <is>
          <t>NAM</t>
        </is>
      </c>
      <c r="CR28" t="inlineStr">
        <is>
          <t>NAM</t>
        </is>
      </c>
      <c r="CS28" t="inlineStr">
        <is>
          <t>NAM</t>
        </is>
      </c>
      <c r="CT28" t="inlineStr">
        <is>
          <t>NAM</t>
        </is>
      </c>
      <c r="CU28" t="inlineStr">
        <is>
          <t>NAM</t>
        </is>
      </c>
      <c r="CV28" t="inlineStr">
        <is>
          <t>NAM</t>
        </is>
      </c>
      <c r="CW28" t="inlineStr">
        <is>
          <t>NAM</t>
        </is>
      </c>
      <c r="CX28" t="inlineStr">
        <is>
          <t>ZAF</t>
        </is>
      </c>
      <c r="CY28" t="inlineStr">
        <is>
          <t>ZAF</t>
        </is>
      </c>
      <c r="CZ28" t="inlineStr">
        <is>
          <t>BWA</t>
        </is>
      </c>
      <c r="DA28" t="inlineStr">
        <is>
          <t>ZAF</t>
        </is>
      </c>
      <c r="DB28" t="inlineStr">
        <is>
          <t>ZAF</t>
        </is>
      </c>
      <c r="DC28" t="inlineStr">
        <is>
          <t>ZAF</t>
        </is>
      </c>
      <c r="DD28" t="inlineStr">
        <is>
          <t>ZAF</t>
        </is>
      </c>
      <c r="DE28" t="inlineStr">
        <is>
          <t>ZAF</t>
        </is>
      </c>
      <c r="DF28" t="inlineStr">
        <is>
          <t>ZAF</t>
        </is>
      </c>
      <c r="DG28" t="inlineStr">
        <is>
          <t>ZAF</t>
        </is>
      </c>
      <c r="DH28" t="inlineStr">
        <is>
          <t>ZAF</t>
        </is>
      </c>
      <c r="DI28" t="inlineStr">
        <is>
          <t>ZAF</t>
        </is>
      </c>
      <c r="DJ28" t="inlineStr">
        <is>
          <t>ZAF</t>
        </is>
      </c>
      <c r="DK28" t="inlineStr">
        <is>
          <t>ZAF</t>
        </is>
      </c>
      <c r="DL28" t="inlineStr">
        <is>
          <t>ZAF</t>
        </is>
      </c>
      <c r="DM28" t="inlineStr">
        <is>
          <t>ZAF</t>
        </is>
      </c>
      <c r="DN28" t="inlineStr">
        <is>
          <t>ZAF</t>
        </is>
      </c>
      <c r="DO28" t="inlineStr">
        <is>
          <t>ZAF</t>
        </is>
      </c>
      <c r="DP28" t="inlineStr">
        <is>
          <t>ZAF</t>
        </is>
      </c>
      <c r="DQ28" t="inlineStr">
        <is>
          <t>ZAF</t>
        </is>
      </c>
      <c r="DR28" t="inlineStr">
        <is>
          <t>ZAF</t>
        </is>
      </c>
      <c r="DS28" t="inlineStr">
        <is>
          <t>SWZ</t>
        </is>
      </c>
      <c r="DT28" t="inlineStr">
        <is>
          <t>SWZ</t>
        </is>
      </c>
      <c r="DU28" t="inlineStr">
        <is>
          <t>SWZ</t>
        </is>
      </c>
      <c r="DV28" t="inlineStr">
        <is>
          <t>ZAF</t>
        </is>
      </c>
      <c r="DW28" t="inlineStr">
        <is>
          <t>ZAF</t>
        </is>
      </c>
    </row>
    <row r="29">
      <c r="CN29" t="inlineStr">
        <is>
          <t>NAM</t>
        </is>
      </c>
      <c r="CO29" t="inlineStr">
        <is>
          <t>NAM</t>
        </is>
      </c>
      <c r="CP29" t="inlineStr">
        <is>
          <t>NAM</t>
        </is>
      </c>
      <c r="CQ29" t="inlineStr">
        <is>
          <t>NAM</t>
        </is>
      </c>
      <c r="CR29" t="inlineStr">
        <is>
          <t>NAM</t>
        </is>
      </c>
      <c r="CS29" t="inlineStr">
        <is>
          <t>NAM</t>
        </is>
      </c>
      <c r="CT29" t="inlineStr">
        <is>
          <t>NAM</t>
        </is>
      </c>
      <c r="CU29" t="inlineStr">
        <is>
          <t>NAM</t>
        </is>
      </c>
      <c r="CV29" t="inlineStr">
        <is>
          <t>NAM</t>
        </is>
      </c>
      <c r="CW29" t="inlineStr">
        <is>
          <t>NAM</t>
        </is>
      </c>
      <c r="CX29" t="inlineStr">
        <is>
          <t>ZAF</t>
        </is>
      </c>
      <c r="CY29" t="inlineStr">
        <is>
          <t>BWA</t>
        </is>
      </c>
      <c r="CZ29" t="inlineStr">
        <is>
          <t>BWA</t>
        </is>
      </c>
      <c r="DA29" t="inlineStr">
        <is>
          <t>BWA</t>
        </is>
      </c>
      <c r="DB29" t="inlineStr">
        <is>
          <t>ZAF</t>
        </is>
      </c>
      <c r="DC29" t="inlineStr">
        <is>
          <t>ZAF</t>
        </is>
      </c>
      <c r="DD29" t="inlineStr">
        <is>
          <t>ZAF</t>
        </is>
      </c>
      <c r="DE29" t="inlineStr">
        <is>
          <t>ZAF</t>
        </is>
      </c>
      <c r="DF29" t="inlineStr">
        <is>
          <t>ZAF</t>
        </is>
      </c>
      <c r="DG29" t="inlineStr">
        <is>
          <t>ZAF</t>
        </is>
      </c>
      <c r="DH29" t="inlineStr">
        <is>
          <t>ZAF</t>
        </is>
      </c>
      <c r="DI29" t="inlineStr">
        <is>
          <t>ZAF</t>
        </is>
      </c>
      <c r="DJ29" t="inlineStr">
        <is>
          <t>ZAF</t>
        </is>
      </c>
      <c r="DK29" t="inlineStr">
        <is>
          <t>ZAF</t>
        </is>
      </c>
      <c r="DL29" t="inlineStr">
        <is>
          <t>ZAF</t>
        </is>
      </c>
      <c r="DM29" t="inlineStr">
        <is>
          <t>ZAF</t>
        </is>
      </c>
      <c r="DN29" t="inlineStr">
        <is>
          <t>ZAF</t>
        </is>
      </c>
      <c r="DO29" t="inlineStr">
        <is>
          <t>ZAF</t>
        </is>
      </c>
      <c r="DP29" t="inlineStr">
        <is>
          <t>ZAF</t>
        </is>
      </c>
      <c r="DQ29" t="inlineStr">
        <is>
          <t>ZAF</t>
        </is>
      </c>
      <c r="DR29" t="inlineStr">
        <is>
          <t>ZAF</t>
        </is>
      </c>
      <c r="DS29" t="inlineStr">
        <is>
          <t>ZAF</t>
        </is>
      </c>
      <c r="DT29" t="inlineStr">
        <is>
          <t>SWZ</t>
        </is>
      </c>
      <c r="DU29" t="inlineStr">
        <is>
          <t>SWZ</t>
        </is>
      </c>
      <c r="DV29" t="inlineStr">
        <is>
          <t>MOZ</t>
        </is>
      </c>
      <c r="DW29" t="inlineStr">
        <is>
          <t>MOZ</t>
        </is>
      </c>
    </row>
    <row r="30">
      <c r="CN30" t="inlineStr">
        <is>
          <t>NAM</t>
        </is>
      </c>
      <c r="CO30" t="inlineStr">
        <is>
          <t>NAM</t>
        </is>
      </c>
      <c r="CP30" t="inlineStr">
        <is>
          <t>NAM</t>
        </is>
      </c>
      <c r="CQ30" t="inlineStr">
        <is>
          <t>NAM</t>
        </is>
      </c>
      <c r="CR30" t="inlineStr">
        <is>
          <t>NAM</t>
        </is>
      </c>
      <c r="CS30" t="inlineStr">
        <is>
          <t>NAM</t>
        </is>
      </c>
      <c r="CT30" t="inlineStr">
        <is>
          <t>NAM</t>
        </is>
      </c>
      <c r="CU30" t="inlineStr">
        <is>
          <t>NAM</t>
        </is>
      </c>
      <c r="CV30" t="inlineStr">
        <is>
          <t>NAM</t>
        </is>
      </c>
      <c r="CW30" t="inlineStr">
        <is>
          <t>NAM</t>
        </is>
      </c>
      <c r="CX30" t="inlineStr">
        <is>
          <t>ZAF</t>
        </is>
      </c>
      <c r="CY30" t="inlineStr">
        <is>
          <t>BWA</t>
        </is>
      </c>
      <c r="CZ30" t="inlineStr">
        <is>
          <t>BWA</t>
        </is>
      </c>
      <c r="DA30" t="inlineStr">
        <is>
          <t>BWA</t>
        </is>
      </c>
      <c r="DB30" t="inlineStr">
        <is>
          <t>BWA</t>
        </is>
      </c>
      <c r="DC30" t="inlineStr">
        <is>
          <t>ZAF</t>
        </is>
      </c>
      <c r="DD30" t="inlineStr">
        <is>
          <t>ZAF</t>
        </is>
      </c>
      <c r="DE30" t="inlineStr">
        <is>
          <t>ZAF</t>
        </is>
      </c>
      <c r="DF30" t="inlineStr">
        <is>
          <t>ZAF</t>
        </is>
      </c>
      <c r="DG30" t="inlineStr">
        <is>
          <t>ZAF</t>
        </is>
      </c>
      <c r="DH30" t="inlineStr">
        <is>
          <t>ZAF</t>
        </is>
      </c>
      <c r="DI30" t="inlineStr">
        <is>
          <t>ZAF</t>
        </is>
      </c>
      <c r="DJ30" t="inlineStr">
        <is>
          <t>ZAF</t>
        </is>
      </c>
      <c r="DK30" t="inlineStr">
        <is>
          <t>ZAF</t>
        </is>
      </c>
      <c r="DL30" t="inlineStr">
        <is>
          <t>ZAF</t>
        </is>
      </c>
      <c r="DM30" t="inlineStr">
        <is>
          <t>ZAF</t>
        </is>
      </c>
      <c r="DN30" t="inlineStr">
        <is>
          <t>ZAF</t>
        </is>
      </c>
      <c r="DO30" t="inlineStr">
        <is>
          <t>ZAF</t>
        </is>
      </c>
      <c r="DP30" t="inlineStr">
        <is>
          <t>ZAF</t>
        </is>
      </c>
      <c r="DQ30" t="inlineStr">
        <is>
          <t>ZAF</t>
        </is>
      </c>
      <c r="DR30" t="inlineStr">
        <is>
          <t>ZAF</t>
        </is>
      </c>
      <c r="DS30" t="inlineStr">
        <is>
          <t>ZAF</t>
        </is>
      </c>
      <c r="DT30" t="inlineStr">
        <is>
          <t>SWZ</t>
        </is>
      </c>
      <c r="DU30" t="inlineStr">
        <is>
          <t>ZAF</t>
        </is>
      </c>
      <c r="DV30" t="inlineStr">
        <is>
          <t>MOZ</t>
        </is>
      </c>
    </row>
    <row r="31">
      <c r="CM31" t="inlineStr">
        <is>
          <t>NAM</t>
        </is>
      </c>
      <c r="CN31" t="inlineStr">
        <is>
          <t>NAM</t>
        </is>
      </c>
      <c r="CO31" t="inlineStr">
        <is>
          <t>NAM</t>
        </is>
      </c>
      <c r="CP31" t="inlineStr">
        <is>
          <t>NAM</t>
        </is>
      </c>
      <c r="CQ31" t="inlineStr">
        <is>
          <t>NAM</t>
        </is>
      </c>
      <c r="CR31" t="inlineStr">
        <is>
          <t>NAM</t>
        </is>
      </c>
      <c r="CS31" t="inlineStr">
        <is>
          <t>NAM</t>
        </is>
      </c>
      <c r="CT31" t="inlineStr">
        <is>
          <t>NAM</t>
        </is>
      </c>
      <c r="CU31" t="inlineStr">
        <is>
          <t>NAM</t>
        </is>
      </c>
      <c r="CV31" t="inlineStr">
        <is>
          <t>NAM</t>
        </is>
      </c>
      <c r="CW31" t="inlineStr">
        <is>
          <t>NAM</t>
        </is>
      </c>
      <c r="CX31" t="inlineStr">
        <is>
          <t>ZAF</t>
        </is>
      </c>
      <c r="CY31" t="inlineStr">
        <is>
          <t>BWA</t>
        </is>
      </c>
      <c r="CZ31" t="inlineStr">
        <is>
          <t>BWA</t>
        </is>
      </c>
      <c r="DA31" t="inlineStr">
        <is>
          <t>BWA</t>
        </is>
      </c>
      <c r="DB31" t="inlineStr">
        <is>
          <t>BWA</t>
        </is>
      </c>
      <c r="DC31" t="inlineStr">
        <is>
          <t>BWA</t>
        </is>
      </c>
      <c r="DD31" t="inlineStr">
        <is>
          <t>BWA</t>
        </is>
      </c>
      <c r="DE31" t="inlineStr">
        <is>
          <t>BWA</t>
        </is>
      </c>
      <c r="DF31" t="inlineStr">
        <is>
          <t>BWA</t>
        </is>
      </c>
      <c r="DG31" t="inlineStr">
        <is>
          <t>BWA</t>
        </is>
      </c>
      <c r="DH31" t="inlineStr">
        <is>
          <t>BWA</t>
        </is>
      </c>
      <c r="DI31" t="inlineStr">
        <is>
          <t>ZAF</t>
        </is>
      </c>
      <c r="DJ31" t="inlineStr">
        <is>
          <t>ZAF</t>
        </is>
      </c>
      <c r="DK31" t="inlineStr">
        <is>
          <t>ZAF</t>
        </is>
      </c>
      <c r="DL31" t="inlineStr">
        <is>
          <t>ZAF</t>
        </is>
      </c>
      <c r="DM31" t="inlineStr">
        <is>
          <t>ZAF</t>
        </is>
      </c>
      <c r="DN31" t="inlineStr">
        <is>
          <t>ZAF</t>
        </is>
      </c>
      <c r="DO31" t="inlineStr">
        <is>
          <t>ZAF</t>
        </is>
      </c>
      <c r="DP31" t="inlineStr">
        <is>
          <t>ZAF</t>
        </is>
      </c>
      <c r="DQ31" t="inlineStr">
        <is>
          <t>ZAF</t>
        </is>
      </c>
      <c r="DR31" t="inlineStr">
        <is>
          <t>ZAF</t>
        </is>
      </c>
      <c r="DS31" t="inlineStr">
        <is>
          <t>ZAF</t>
        </is>
      </c>
      <c r="DT31" t="inlineStr">
        <is>
          <t>ZAF</t>
        </is>
      </c>
      <c r="DU31" t="inlineStr">
        <is>
          <t>ZAF</t>
        </is>
      </c>
      <c r="DV31" t="inlineStr">
        <is>
          <t>MOZ</t>
        </is>
      </c>
      <c r="DW31" t="inlineStr">
        <is>
          <t>MOZ</t>
        </is>
      </c>
      <c r="DX31" t="inlineStr">
        <is>
          <t>MOZ</t>
        </is>
      </c>
      <c r="EU31" t="inlineStr">
        <is>
          <t>MDG</t>
        </is>
      </c>
      <c r="EV31" t="inlineStr">
        <is>
          <t>MDG</t>
        </is>
      </c>
      <c r="EW31" t="inlineStr">
        <is>
          <t>MDG</t>
        </is>
      </c>
    </row>
    <row r="32">
      <c r="CM32" t="inlineStr">
        <is>
          <t>NAM</t>
        </is>
      </c>
      <c r="CN32" t="inlineStr">
        <is>
          <t>NAM</t>
        </is>
      </c>
      <c r="CO32" t="inlineStr">
        <is>
          <t>NAM</t>
        </is>
      </c>
      <c r="CP32" t="inlineStr">
        <is>
          <t>NAM</t>
        </is>
      </c>
      <c r="CQ32" t="inlineStr">
        <is>
          <t>NAM</t>
        </is>
      </c>
      <c r="CR32" t="inlineStr">
        <is>
          <t>NAM</t>
        </is>
      </c>
      <c r="CS32" t="inlineStr">
        <is>
          <t>NAM</t>
        </is>
      </c>
      <c r="CT32" t="inlineStr">
        <is>
          <t>NAM</t>
        </is>
      </c>
      <c r="CU32" t="inlineStr">
        <is>
          <t>NAM</t>
        </is>
      </c>
      <c r="CV32" t="inlineStr">
        <is>
          <t>NAM</t>
        </is>
      </c>
      <c r="CW32" t="inlineStr">
        <is>
          <t>NAM</t>
        </is>
      </c>
      <c r="CX32" t="inlineStr">
        <is>
          <t>BWA</t>
        </is>
      </c>
      <c r="CY32" t="inlineStr">
        <is>
          <t>BWA</t>
        </is>
      </c>
      <c r="CZ32" t="inlineStr">
        <is>
          <t>BWA</t>
        </is>
      </c>
      <c r="DA32" t="inlineStr">
        <is>
          <t>BWA</t>
        </is>
      </c>
      <c r="DB32" t="inlineStr">
        <is>
          <t>BWA</t>
        </is>
      </c>
      <c r="DC32" t="inlineStr">
        <is>
          <t>BWA</t>
        </is>
      </c>
      <c r="DD32" t="inlineStr">
        <is>
          <t>BWA</t>
        </is>
      </c>
      <c r="DE32" t="inlineStr">
        <is>
          <t>BWA</t>
        </is>
      </c>
      <c r="DF32" t="inlineStr">
        <is>
          <t>BWA</t>
        </is>
      </c>
      <c r="DG32" t="inlineStr">
        <is>
          <t>BWA</t>
        </is>
      </c>
      <c r="DH32" t="inlineStr">
        <is>
          <t>BWA</t>
        </is>
      </c>
      <c r="DI32" t="inlineStr">
        <is>
          <t>BWA</t>
        </is>
      </c>
      <c r="DJ32" t="inlineStr">
        <is>
          <t>ZAF</t>
        </is>
      </c>
      <c r="DK32" t="inlineStr">
        <is>
          <t>ZAF</t>
        </is>
      </c>
      <c r="DL32" t="inlineStr">
        <is>
          <t>ZAF</t>
        </is>
      </c>
      <c r="DM32" t="inlineStr">
        <is>
          <t>ZAF</t>
        </is>
      </c>
      <c r="DN32" t="inlineStr">
        <is>
          <t>ZAF</t>
        </is>
      </c>
      <c r="DO32" t="inlineStr">
        <is>
          <t>ZAF</t>
        </is>
      </c>
      <c r="DP32" t="inlineStr">
        <is>
          <t>ZAF</t>
        </is>
      </c>
      <c r="DQ32" t="inlineStr">
        <is>
          <t>ZAF</t>
        </is>
      </c>
      <c r="DR32" t="inlineStr">
        <is>
          <t>ZAF</t>
        </is>
      </c>
      <c r="DS32" t="inlineStr">
        <is>
          <t>ZAF</t>
        </is>
      </c>
      <c r="DT32" t="inlineStr">
        <is>
          <t>ZAF</t>
        </is>
      </c>
      <c r="DU32" t="inlineStr">
        <is>
          <t>ZAF</t>
        </is>
      </c>
      <c r="DV32" t="inlineStr">
        <is>
          <t>MOZ</t>
        </is>
      </c>
      <c r="DW32" t="inlineStr">
        <is>
          <t>MOZ</t>
        </is>
      </c>
      <c r="DX32" t="inlineStr">
        <is>
          <t>MOZ</t>
        </is>
      </c>
      <c r="DY32" t="inlineStr">
        <is>
          <t>MOZ</t>
        </is>
      </c>
      <c r="DZ32" t="inlineStr">
        <is>
          <t>MOZ</t>
        </is>
      </c>
      <c r="ET32" t="inlineStr">
        <is>
          <t>MDG</t>
        </is>
      </c>
      <c r="EU32" t="inlineStr">
        <is>
          <t>MDG</t>
        </is>
      </c>
      <c r="EV32" t="inlineStr">
        <is>
          <t>MDG</t>
        </is>
      </c>
      <c r="EW32" t="inlineStr">
        <is>
          <t>MDG</t>
        </is>
      </c>
      <c r="EX32" t="inlineStr">
        <is>
          <t>MDG</t>
        </is>
      </c>
      <c r="EY32" t="inlineStr">
        <is>
          <t>MDG</t>
        </is>
      </c>
    </row>
    <row r="33">
      <c r="CM33" t="inlineStr">
        <is>
          <t>NAM</t>
        </is>
      </c>
      <c r="CN33" t="inlineStr">
        <is>
          <t>NAM</t>
        </is>
      </c>
      <c r="CO33" t="inlineStr">
        <is>
          <t>NAM</t>
        </is>
      </c>
      <c r="CP33" t="inlineStr">
        <is>
          <t>NAM</t>
        </is>
      </c>
      <c r="CQ33" t="inlineStr">
        <is>
          <t>NAM</t>
        </is>
      </c>
      <c r="CR33" t="inlineStr">
        <is>
          <t>NAM</t>
        </is>
      </c>
      <c r="CS33" t="inlineStr">
        <is>
          <t>NAM</t>
        </is>
      </c>
      <c r="CT33" t="inlineStr">
        <is>
          <t>NAM</t>
        </is>
      </c>
      <c r="CU33" t="inlineStr">
        <is>
          <t>NAM</t>
        </is>
      </c>
      <c r="CV33" t="inlineStr">
        <is>
          <t>NAM</t>
        </is>
      </c>
      <c r="CW33" t="inlineStr">
        <is>
          <t>NAM</t>
        </is>
      </c>
      <c r="CX33" t="inlineStr">
        <is>
          <t>BWA</t>
        </is>
      </c>
      <c r="CY33" t="inlineStr">
        <is>
          <t>BWA</t>
        </is>
      </c>
      <c r="CZ33" t="inlineStr">
        <is>
          <t>BWA</t>
        </is>
      </c>
      <c r="DA33" t="inlineStr">
        <is>
          <t>BWA</t>
        </is>
      </c>
      <c r="DB33" t="inlineStr">
        <is>
          <t>BWA</t>
        </is>
      </c>
      <c r="DC33" t="inlineStr">
        <is>
          <t>BWA</t>
        </is>
      </c>
      <c r="DD33" t="inlineStr">
        <is>
          <t>BWA</t>
        </is>
      </c>
      <c r="DE33" t="inlineStr">
        <is>
          <t>BWA</t>
        </is>
      </c>
      <c r="DF33" t="inlineStr">
        <is>
          <t>BWA</t>
        </is>
      </c>
      <c r="DG33" t="inlineStr">
        <is>
          <t>BWA</t>
        </is>
      </c>
      <c r="DH33" t="inlineStr">
        <is>
          <t>BWA</t>
        </is>
      </c>
      <c r="DI33" t="inlineStr">
        <is>
          <t>BWA</t>
        </is>
      </c>
      <c r="DJ33" t="inlineStr">
        <is>
          <t>BWA</t>
        </is>
      </c>
      <c r="DK33" t="inlineStr">
        <is>
          <t>BWA</t>
        </is>
      </c>
      <c r="DL33" t="inlineStr">
        <is>
          <t>ZAF</t>
        </is>
      </c>
      <c r="DM33" t="inlineStr">
        <is>
          <t>ZAF</t>
        </is>
      </c>
      <c r="DN33" t="inlineStr">
        <is>
          <t>ZAF</t>
        </is>
      </c>
      <c r="DO33" t="inlineStr">
        <is>
          <t>ZAF</t>
        </is>
      </c>
      <c r="DP33" t="inlineStr">
        <is>
          <t>ZAF</t>
        </is>
      </c>
      <c r="DQ33" t="inlineStr">
        <is>
          <t>ZAF</t>
        </is>
      </c>
      <c r="DR33" t="inlineStr">
        <is>
          <t>ZAF</t>
        </is>
      </c>
      <c r="DS33" t="inlineStr">
        <is>
          <t>ZAF</t>
        </is>
      </c>
      <c r="DT33" t="inlineStr">
        <is>
          <t>ZAF</t>
        </is>
      </c>
      <c r="DU33" t="inlineStr">
        <is>
          <t>ZAF</t>
        </is>
      </c>
      <c r="DV33" t="inlineStr">
        <is>
          <t>MOZ</t>
        </is>
      </c>
      <c r="DW33" t="inlineStr">
        <is>
          <t>MOZ</t>
        </is>
      </c>
      <c r="DX33" t="inlineStr">
        <is>
          <t>MOZ</t>
        </is>
      </c>
      <c r="DY33" t="inlineStr">
        <is>
          <t>MOZ</t>
        </is>
      </c>
      <c r="DZ33" t="inlineStr">
        <is>
          <t>MOZ</t>
        </is>
      </c>
      <c r="EA33" t="inlineStr">
        <is>
          <t>MOZ</t>
        </is>
      </c>
      <c r="EB33" t="inlineStr">
        <is>
          <t>MOZ</t>
        </is>
      </c>
      <c r="ES33" t="inlineStr">
        <is>
          <t>MDG</t>
        </is>
      </c>
      <c r="ET33" t="inlineStr">
        <is>
          <t>MDG</t>
        </is>
      </c>
      <c r="EU33" t="inlineStr">
        <is>
          <t>MDG</t>
        </is>
      </c>
      <c r="EV33" t="inlineStr">
        <is>
          <t>MDG</t>
        </is>
      </c>
      <c r="EW33" t="inlineStr">
        <is>
          <t>MDG</t>
        </is>
      </c>
      <c r="EX33" t="inlineStr">
        <is>
          <t>MDG</t>
        </is>
      </c>
      <c r="EY33" t="inlineStr">
        <is>
          <t>MDG</t>
        </is>
      </c>
      <c r="EZ33" t="inlineStr">
        <is>
          <t>MDG</t>
        </is>
      </c>
    </row>
    <row r="34">
      <c r="CM34" t="inlineStr">
        <is>
          <t>NAM</t>
        </is>
      </c>
      <c r="CN34" t="inlineStr">
        <is>
          <t>NAM</t>
        </is>
      </c>
      <c r="CO34" t="inlineStr">
        <is>
          <t>NAM</t>
        </is>
      </c>
      <c r="CP34" t="inlineStr">
        <is>
          <t>NAM</t>
        </is>
      </c>
      <c r="CQ34" t="inlineStr">
        <is>
          <t>NAM</t>
        </is>
      </c>
      <c r="CR34" t="inlineStr">
        <is>
          <t>NAM</t>
        </is>
      </c>
      <c r="CS34" t="inlineStr">
        <is>
          <t>NAM</t>
        </is>
      </c>
      <c r="CT34" t="inlineStr">
        <is>
          <t>NAM</t>
        </is>
      </c>
      <c r="CU34" t="inlineStr">
        <is>
          <t>NAM</t>
        </is>
      </c>
      <c r="CV34" t="inlineStr">
        <is>
          <t>NAM</t>
        </is>
      </c>
      <c r="CW34" t="inlineStr">
        <is>
          <t>NAM</t>
        </is>
      </c>
      <c r="CX34" t="inlineStr">
        <is>
          <t>BWA</t>
        </is>
      </c>
      <c r="CY34" t="inlineStr">
        <is>
          <t>BWA</t>
        </is>
      </c>
      <c r="CZ34" t="inlineStr">
        <is>
          <t>BWA</t>
        </is>
      </c>
      <c r="DA34" t="inlineStr">
        <is>
          <t>BWA</t>
        </is>
      </c>
      <c r="DB34" t="inlineStr">
        <is>
          <t>BWA</t>
        </is>
      </c>
      <c r="DC34" t="inlineStr">
        <is>
          <t>BWA</t>
        </is>
      </c>
      <c r="DD34" t="inlineStr">
        <is>
          <t>BWA</t>
        </is>
      </c>
      <c r="DE34" t="inlineStr">
        <is>
          <t>BWA</t>
        </is>
      </c>
      <c r="DF34" t="inlineStr">
        <is>
          <t>BWA</t>
        </is>
      </c>
      <c r="DG34" t="inlineStr">
        <is>
          <t>BWA</t>
        </is>
      </c>
      <c r="DH34" t="inlineStr">
        <is>
          <t>BWA</t>
        </is>
      </c>
      <c r="DI34" t="inlineStr">
        <is>
          <t>BWA</t>
        </is>
      </c>
      <c r="DJ34" t="inlineStr">
        <is>
          <t>BWA</t>
        </is>
      </c>
      <c r="DK34" t="inlineStr">
        <is>
          <t>BWA</t>
        </is>
      </c>
      <c r="DL34" t="inlineStr">
        <is>
          <t>ZAF</t>
        </is>
      </c>
      <c r="DM34" t="inlineStr">
        <is>
          <t>ZAF</t>
        </is>
      </c>
      <c r="DN34" t="inlineStr">
        <is>
          <t>ZAF</t>
        </is>
      </c>
      <c r="DO34" t="inlineStr">
        <is>
          <t>ZAF</t>
        </is>
      </c>
      <c r="DP34" t="inlineStr">
        <is>
          <t>ZAF</t>
        </is>
      </c>
      <c r="DQ34" t="inlineStr">
        <is>
          <t>ZAF</t>
        </is>
      </c>
      <c r="DR34" t="inlineStr">
        <is>
          <t>ZAF</t>
        </is>
      </c>
      <c r="DS34" t="inlineStr">
        <is>
          <t>ZAF</t>
        </is>
      </c>
      <c r="DT34" t="inlineStr">
        <is>
          <t>ZAF</t>
        </is>
      </c>
      <c r="DU34" t="inlineStr">
        <is>
          <t>MOZ</t>
        </is>
      </c>
      <c r="DV34" t="inlineStr">
        <is>
          <t>MOZ</t>
        </is>
      </c>
      <c r="DW34" t="inlineStr">
        <is>
          <t>MOZ</t>
        </is>
      </c>
      <c r="DX34" t="inlineStr">
        <is>
          <t>MOZ</t>
        </is>
      </c>
      <c r="DY34" t="inlineStr">
        <is>
          <t>MOZ</t>
        </is>
      </c>
      <c r="DZ34" t="inlineStr">
        <is>
          <t>MOZ</t>
        </is>
      </c>
      <c r="EA34" t="inlineStr">
        <is>
          <t>MOZ</t>
        </is>
      </c>
      <c r="EB34" t="inlineStr">
        <is>
          <t>MOZ</t>
        </is>
      </c>
      <c r="ES34" t="inlineStr">
        <is>
          <t>MDG</t>
        </is>
      </c>
      <c r="ET34" t="inlineStr">
        <is>
          <t>MDG</t>
        </is>
      </c>
      <c r="EU34" t="inlineStr">
        <is>
          <t>MDG</t>
        </is>
      </c>
      <c r="EV34" t="inlineStr">
        <is>
          <t>MDG</t>
        </is>
      </c>
      <c r="EW34" t="inlineStr">
        <is>
          <t>MDG</t>
        </is>
      </c>
      <c r="EX34" t="inlineStr">
        <is>
          <t>MDG</t>
        </is>
      </c>
      <c r="EY34" t="inlineStr">
        <is>
          <t>MDG</t>
        </is>
      </c>
      <c r="EZ34" t="inlineStr">
        <is>
          <t>MDG</t>
        </is>
      </c>
    </row>
    <row r="35">
      <c r="CM35" t="inlineStr">
        <is>
          <t>NAM</t>
        </is>
      </c>
      <c r="CN35" t="inlineStr">
        <is>
          <t>NAM</t>
        </is>
      </c>
      <c r="CO35" t="inlineStr">
        <is>
          <t>NAM</t>
        </is>
      </c>
      <c r="CP35" t="inlineStr">
        <is>
          <t>NAM</t>
        </is>
      </c>
      <c r="CQ35" t="inlineStr">
        <is>
          <t>NAM</t>
        </is>
      </c>
      <c r="CR35" t="inlineStr">
        <is>
          <t>NAM</t>
        </is>
      </c>
      <c r="CS35" t="inlineStr">
        <is>
          <t>NAM</t>
        </is>
      </c>
      <c r="CT35" t="inlineStr">
        <is>
          <t>NAM</t>
        </is>
      </c>
      <c r="CU35" t="inlineStr">
        <is>
          <t>NAM</t>
        </is>
      </c>
      <c r="CV35" t="inlineStr">
        <is>
          <t>NAM</t>
        </is>
      </c>
      <c r="CW35" t="inlineStr">
        <is>
          <t>NAM</t>
        </is>
      </c>
      <c r="CX35" t="inlineStr">
        <is>
          <t>BWA</t>
        </is>
      </c>
      <c r="CY35" t="inlineStr">
        <is>
          <t>BWA</t>
        </is>
      </c>
      <c r="CZ35" t="inlineStr">
        <is>
          <t>BWA</t>
        </is>
      </c>
      <c r="DA35" t="inlineStr">
        <is>
          <t>BWA</t>
        </is>
      </c>
      <c r="DB35" t="inlineStr">
        <is>
          <t>BWA</t>
        </is>
      </c>
      <c r="DC35" t="inlineStr">
        <is>
          <t>BWA</t>
        </is>
      </c>
      <c r="DD35" t="inlineStr">
        <is>
          <t>BWA</t>
        </is>
      </c>
      <c r="DE35" t="inlineStr">
        <is>
          <t>BWA</t>
        </is>
      </c>
      <c r="DF35" t="inlineStr">
        <is>
          <t>BWA</t>
        </is>
      </c>
      <c r="DG35" t="inlineStr">
        <is>
          <t>BWA</t>
        </is>
      </c>
      <c r="DH35" t="inlineStr">
        <is>
          <t>BWA</t>
        </is>
      </c>
      <c r="DI35" t="inlineStr">
        <is>
          <t>BWA</t>
        </is>
      </c>
      <c r="DJ35" t="inlineStr">
        <is>
          <t>BWA</t>
        </is>
      </c>
      <c r="DK35" t="inlineStr">
        <is>
          <t>BWA</t>
        </is>
      </c>
      <c r="DL35" t="inlineStr">
        <is>
          <t>BWA</t>
        </is>
      </c>
      <c r="DM35" t="inlineStr">
        <is>
          <t>ZAF</t>
        </is>
      </c>
      <c r="DN35" t="inlineStr">
        <is>
          <t>ZAF</t>
        </is>
      </c>
      <c r="DO35" t="inlineStr">
        <is>
          <t>ZAF</t>
        </is>
      </c>
      <c r="DP35" t="inlineStr">
        <is>
          <t>ZAF</t>
        </is>
      </c>
      <c r="DQ35" t="inlineStr">
        <is>
          <t>ZAF</t>
        </is>
      </c>
      <c r="DR35" t="inlineStr">
        <is>
          <t>ZAF</t>
        </is>
      </c>
      <c r="DS35" t="inlineStr">
        <is>
          <t>ZAF</t>
        </is>
      </c>
      <c r="DT35" t="inlineStr">
        <is>
          <t>ZAF</t>
        </is>
      </c>
      <c r="DU35" t="inlineStr">
        <is>
          <t>MOZ</t>
        </is>
      </c>
      <c r="DV35" t="inlineStr">
        <is>
          <t>MOZ</t>
        </is>
      </c>
      <c r="DW35" t="inlineStr">
        <is>
          <t>MOZ</t>
        </is>
      </c>
      <c r="DX35" t="inlineStr">
        <is>
          <t>MOZ</t>
        </is>
      </c>
      <c r="DY35" t="inlineStr">
        <is>
          <t>MOZ</t>
        </is>
      </c>
      <c r="DZ35" t="inlineStr">
        <is>
          <t>MOZ</t>
        </is>
      </c>
      <c r="EA35" t="inlineStr">
        <is>
          <t>MOZ</t>
        </is>
      </c>
      <c r="EB35" t="inlineStr">
        <is>
          <t>MOZ</t>
        </is>
      </c>
      <c r="ES35" t="inlineStr">
        <is>
          <t>MDG</t>
        </is>
      </c>
      <c r="ET35" t="inlineStr">
        <is>
          <t>MDG</t>
        </is>
      </c>
      <c r="EU35" t="inlineStr">
        <is>
          <t>MDG</t>
        </is>
      </c>
      <c r="EV35" t="inlineStr">
        <is>
          <t>MDG</t>
        </is>
      </c>
      <c r="EW35" t="inlineStr">
        <is>
          <t>MDG</t>
        </is>
      </c>
      <c r="EX35" t="inlineStr">
        <is>
          <t>MDG</t>
        </is>
      </c>
      <c r="EY35" t="inlineStr">
        <is>
          <t>MDG</t>
        </is>
      </c>
      <c r="EZ35" t="inlineStr">
        <is>
          <t>MDG</t>
        </is>
      </c>
    </row>
    <row r="36">
      <c r="CM36" t="inlineStr">
        <is>
          <t>NAM</t>
        </is>
      </c>
      <c r="CN36" t="inlineStr">
        <is>
          <t>NAM</t>
        </is>
      </c>
      <c r="CO36" t="inlineStr">
        <is>
          <t>NAM</t>
        </is>
      </c>
      <c r="CP36" t="inlineStr">
        <is>
          <t>NAM</t>
        </is>
      </c>
      <c r="CQ36" t="inlineStr">
        <is>
          <t>NAM</t>
        </is>
      </c>
      <c r="CR36" t="inlineStr">
        <is>
          <t>NAM</t>
        </is>
      </c>
      <c r="CS36" t="inlineStr">
        <is>
          <t>NAM</t>
        </is>
      </c>
      <c r="CT36" t="inlineStr">
        <is>
          <t>NAM</t>
        </is>
      </c>
      <c r="CU36" t="inlineStr">
        <is>
          <t>NAM</t>
        </is>
      </c>
      <c r="CV36" t="inlineStr">
        <is>
          <t>NAM</t>
        </is>
      </c>
      <c r="CW36" t="inlineStr">
        <is>
          <t>NAM</t>
        </is>
      </c>
      <c r="CX36" t="inlineStr">
        <is>
          <t>BWA</t>
        </is>
      </c>
      <c r="CY36" t="inlineStr">
        <is>
          <t>BWA</t>
        </is>
      </c>
      <c r="CZ36" t="inlineStr">
        <is>
          <t>BWA</t>
        </is>
      </c>
      <c r="DA36" t="inlineStr">
        <is>
          <t>BWA</t>
        </is>
      </c>
      <c r="DB36" t="inlineStr">
        <is>
          <t>BWA</t>
        </is>
      </c>
      <c r="DC36" t="inlineStr">
        <is>
          <t>BWA</t>
        </is>
      </c>
      <c r="DD36" t="inlineStr">
        <is>
          <t>BWA</t>
        </is>
      </c>
      <c r="DE36" t="inlineStr">
        <is>
          <t>BWA</t>
        </is>
      </c>
      <c r="DF36" t="inlineStr">
        <is>
          <t>BWA</t>
        </is>
      </c>
      <c r="DG36" t="inlineStr">
        <is>
          <t>BWA</t>
        </is>
      </c>
      <c r="DH36" t="inlineStr">
        <is>
          <t>BWA</t>
        </is>
      </c>
      <c r="DI36" t="inlineStr">
        <is>
          <t>BWA</t>
        </is>
      </c>
      <c r="DJ36" t="inlineStr">
        <is>
          <t>BWA</t>
        </is>
      </c>
      <c r="DK36" t="inlineStr">
        <is>
          <t>BWA</t>
        </is>
      </c>
      <c r="DL36" t="inlineStr">
        <is>
          <t>BWA</t>
        </is>
      </c>
      <c r="DM36" t="inlineStr">
        <is>
          <t>BWA</t>
        </is>
      </c>
      <c r="DN36" t="inlineStr">
        <is>
          <t>ZAF</t>
        </is>
      </c>
      <c r="DO36" t="inlineStr">
        <is>
          <t>ZAF</t>
        </is>
      </c>
      <c r="DP36" t="inlineStr">
        <is>
          <t>ZAF</t>
        </is>
      </c>
      <c r="DQ36" t="inlineStr">
        <is>
          <t>ZAF</t>
        </is>
      </c>
      <c r="DR36" t="inlineStr">
        <is>
          <t>ZAF</t>
        </is>
      </c>
      <c r="DS36" t="inlineStr">
        <is>
          <t>ZAF</t>
        </is>
      </c>
      <c r="DT36" t="inlineStr">
        <is>
          <t>ZAF</t>
        </is>
      </c>
      <c r="DU36" t="inlineStr">
        <is>
          <t>MOZ</t>
        </is>
      </c>
      <c r="DV36" t="inlineStr">
        <is>
          <t>MOZ</t>
        </is>
      </c>
      <c r="DW36" t="inlineStr">
        <is>
          <t>MOZ</t>
        </is>
      </c>
      <c r="DX36" t="inlineStr">
        <is>
          <t>MOZ</t>
        </is>
      </c>
      <c r="DY36" t="inlineStr">
        <is>
          <t>MOZ</t>
        </is>
      </c>
      <c r="DZ36" t="inlineStr">
        <is>
          <t>MOZ</t>
        </is>
      </c>
      <c r="EA36" t="inlineStr">
        <is>
          <t>MOZ</t>
        </is>
      </c>
      <c r="EB36" t="inlineStr">
        <is>
          <t>MOZ</t>
        </is>
      </c>
      <c r="ES36" t="inlineStr">
        <is>
          <t>MDG</t>
        </is>
      </c>
      <c r="ET36" t="inlineStr">
        <is>
          <t>MDG</t>
        </is>
      </c>
      <c r="EU36" t="inlineStr">
        <is>
          <t>MDG</t>
        </is>
      </c>
      <c r="EV36" t="inlineStr">
        <is>
          <t>MDG</t>
        </is>
      </c>
      <c r="EW36" t="inlineStr">
        <is>
          <t>MDG</t>
        </is>
      </c>
      <c r="EX36" t="inlineStr">
        <is>
          <t>MDG</t>
        </is>
      </c>
      <c r="EY36" t="inlineStr">
        <is>
          <t>MDG</t>
        </is>
      </c>
      <c r="EZ36" t="inlineStr">
        <is>
          <t>MDG</t>
        </is>
      </c>
      <c r="FA36" t="inlineStr">
        <is>
          <t>MDG</t>
        </is>
      </c>
    </row>
    <row r="37">
      <c r="CM37" t="inlineStr">
        <is>
          <t>NAM</t>
        </is>
      </c>
      <c r="CN37" t="inlineStr">
        <is>
          <t>NAM</t>
        </is>
      </c>
      <c r="CO37" t="inlineStr">
        <is>
          <t>NAM</t>
        </is>
      </c>
      <c r="CP37" t="inlineStr">
        <is>
          <t>NAM</t>
        </is>
      </c>
      <c r="CQ37" t="inlineStr">
        <is>
          <t>NAM</t>
        </is>
      </c>
      <c r="CR37" t="inlineStr">
        <is>
          <t>NAM</t>
        </is>
      </c>
      <c r="CS37" t="inlineStr">
        <is>
          <t>NAM</t>
        </is>
      </c>
      <c r="CT37" t="inlineStr">
        <is>
          <t>NAM</t>
        </is>
      </c>
      <c r="CU37" t="inlineStr">
        <is>
          <t>NAM</t>
        </is>
      </c>
      <c r="CV37" t="inlineStr">
        <is>
          <t>NAM</t>
        </is>
      </c>
      <c r="CW37" t="inlineStr">
        <is>
          <t>NAM</t>
        </is>
      </c>
      <c r="CX37" t="inlineStr">
        <is>
          <t>BWA</t>
        </is>
      </c>
      <c r="CY37" t="inlineStr">
        <is>
          <t>BWA</t>
        </is>
      </c>
      <c r="CZ37" t="inlineStr">
        <is>
          <t>BWA</t>
        </is>
      </c>
      <c r="DA37" t="inlineStr">
        <is>
          <t>BWA</t>
        </is>
      </c>
      <c r="DB37" t="inlineStr">
        <is>
          <t>BWA</t>
        </is>
      </c>
      <c r="DC37" t="inlineStr">
        <is>
          <t>BWA</t>
        </is>
      </c>
      <c r="DD37" t="inlineStr">
        <is>
          <t>BWA</t>
        </is>
      </c>
      <c r="DE37" t="inlineStr">
        <is>
          <t>BWA</t>
        </is>
      </c>
      <c r="DF37" t="inlineStr">
        <is>
          <t>BWA</t>
        </is>
      </c>
      <c r="DG37" t="inlineStr">
        <is>
          <t>BWA</t>
        </is>
      </c>
      <c r="DH37" t="inlineStr">
        <is>
          <t>BWA</t>
        </is>
      </c>
      <c r="DI37" t="inlineStr">
        <is>
          <t>BWA</t>
        </is>
      </c>
      <c r="DJ37" t="inlineStr">
        <is>
          <t>BWA</t>
        </is>
      </c>
      <c r="DK37" t="inlineStr">
        <is>
          <t>BWA</t>
        </is>
      </c>
      <c r="DL37" t="inlineStr">
        <is>
          <t>BWA</t>
        </is>
      </c>
      <c r="DM37" t="inlineStr">
        <is>
          <t>BWA</t>
        </is>
      </c>
      <c r="DN37" t="inlineStr">
        <is>
          <t>BWA</t>
        </is>
      </c>
      <c r="DO37" t="inlineStr">
        <is>
          <t>BWA</t>
        </is>
      </c>
      <c r="DP37" t="inlineStr">
        <is>
          <t>ZAF</t>
        </is>
      </c>
      <c r="DQ37" t="inlineStr">
        <is>
          <t>ZAF</t>
        </is>
      </c>
      <c r="DR37" t="inlineStr">
        <is>
          <t>ZAF</t>
        </is>
      </c>
      <c r="DS37" t="inlineStr">
        <is>
          <t>ZAF</t>
        </is>
      </c>
      <c r="DT37" t="inlineStr">
        <is>
          <t>MOZ</t>
        </is>
      </c>
      <c r="DU37" t="inlineStr">
        <is>
          <t>MOZ</t>
        </is>
      </c>
      <c r="DV37" t="inlineStr">
        <is>
          <t>MOZ</t>
        </is>
      </c>
      <c r="DW37" t="inlineStr">
        <is>
          <t>MOZ</t>
        </is>
      </c>
      <c r="DX37" t="inlineStr">
        <is>
          <t>MOZ</t>
        </is>
      </c>
      <c r="DY37" t="inlineStr">
        <is>
          <t>MOZ</t>
        </is>
      </c>
      <c r="DZ37" t="inlineStr">
        <is>
          <t>MOZ</t>
        </is>
      </c>
      <c r="EA37" t="inlineStr">
        <is>
          <t>MOZ</t>
        </is>
      </c>
      <c r="EB37" t="inlineStr">
        <is>
          <t>MOZ</t>
        </is>
      </c>
      <c r="ES37" t="inlineStr">
        <is>
          <t>MDG</t>
        </is>
      </c>
      <c r="ET37" t="inlineStr">
        <is>
          <t>MDG</t>
        </is>
      </c>
      <c r="EU37" t="inlineStr">
        <is>
          <t>MDG</t>
        </is>
      </c>
      <c r="EV37" t="inlineStr">
        <is>
          <t>MDG</t>
        </is>
      </c>
      <c r="EW37" t="inlineStr">
        <is>
          <t>MDG</t>
        </is>
      </c>
      <c r="EX37" t="inlineStr">
        <is>
          <t>MDG</t>
        </is>
      </c>
      <c r="EY37" t="inlineStr">
        <is>
          <t>MDG</t>
        </is>
      </c>
      <c r="EZ37" t="inlineStr">
        <is>
          <t>MDG</t>
        </is>
      </c>
      <c r="FA37" t="inlineStr">
        <is>
          <t>MDG</t>
        </is>
      </c>
    </row>
    <row r="38">
      <c r="CL38" t="inlineStr">
        <is>
          <t>NAM</t>
        </is>
      </c>
      <c r="CM38" t="inlineStr">
        <is>
          <t>NAM</t>
        </is>
      </c>
      <c r="CN38" t="inlineStr">
        <is>
          <t>NAM</t>
        </is>
      </c>
      <c r="CO38" t="inlineStr">
        <is>
          <t>NAM</t>
        </is>
      </c>
      <c r="CP38" t="inlineStr">
        <is>
          <t>NAM</t>
        </is>
      </c>
      <c r="CQ38" t="inlineStr">
        <is>
          <t>NAM</t>
        </is>
      </c>
      <c r="CR38" t="inlineStr">
        <is>
          <t>NAM</t>
        </is>
      </c>
      <c r="CS38" t="inlineStr">
        <is>
          <t>NAM</t>
        </is>
      </c>
      <c r="CT38" t="inlineStr">
        <is>
          <t>NAM</t>
        </is>
      </c>
      <c r="CU38" t="inlineStr">
        <is>
          <t>NAM</t>
        </is>
      </c>
      <c r="CV38" t="inlineStr">
        <is>
          <t>NAM</t>
        </is>
      </c>
      <c r="CW38" t="inlineStr">
        <is>
          <t>NAM</t>
        </is>
      </c>
      <c r="CX38" t="inlineStr">
        <is>
          <t>NAM</t>
        </is>
      </c>
      <c r="CY38" t="inlineStr">
        <is>
          <t>NAM</t>
        </is>
      </c>
      <c r="CZ38" t="inlineStr">
        <is>
          <t>BWA</t>
        </is>
      </c>
      <c r="DA38" t="inlineStr">
        <is>
          <t>BWA</t>
        </is>
      </c>
      <c r="DB38" t="inlineStr">
        <is>
          <t>BWA</t>
        </is>
      </c>
      <c r="DC38" t="inlineStr">
        <is>
          <t>BWA</t>
        </is>
      </c>
      <c r="DD38" t="inlineStr">
        <is>
          <t>BWA</t>
        </is>
      </c>
      <c r="DE38" t="inlineStr">
        <is>
          <t>BWA</t>
        </is>
      </c>
      <c r="DF38" t="inlineStr">
        <is>
          <t>BWA</t>
        </is>
      </c>
      <c r="DG38" t="inlineStr">
        <is>
          <t>BWA</t>
        </is>
      </c>
      <c r="DH38" t="inlineStr">
        <is>
          <t>BWA</t>
        </is>
      </c>
      <c r="DI38" t="inlineStr">
        <is>
          <t>BWA</t>
        </is>
      </c>
      <c r="DJ38" t="inlineStr">
        <is>
          <t>BWA</t>
        </is>
      </c>
      <c r="DK38" t="inlineStr">
        <is>
          <t>BWA</t>
        </is>
      </c>
      <c r="DL38" t="inlineStr">
        <is>
          <t>BWA</t>
        </is>
      </c>
      <c r="DM38" t="inlineStr">
        <is>
          <t>BWA</t>
        </is>
      </c>
      <c r="DN38" t="inlineStr">
        <is>
          <t>BWA</t>
        </is>
      </c>
      <c r="DO38" t="inlineStr">
        <is>
          <t>BWA</t>
        </is>
      </c>
      <c r="DP38" t="inlineStr">
        <is>
          <t>ZWE</t>
        </is>
      </c>
      <c r="DQ38" t="inlineStr">
        <is>
          <t>ZWE</t>
        </is>
      </c>
      <c r="DR38" t="inlineStr">
        <is>
          <t>ZWE</t>
        </is>
      </c>
      <c r="DS38" t="inlineStr">
        <is>
          <t>ZWE</t>
        </is>
      </c>
      <c r="DT38" t="inlineStr">
        <is>
          <t>ZWE</t>
        </is>
      </c>
      <c r="DU38" t="inlineStr">
        <is>
          <t>MOZ</t>
        </is>
      </c>
      <c r="DV38" t="inlineStr">
        <is>
          <t>MOZ</t>
        </is>
      </c>
      <c r="DW38" t="inlineStr">
        <is>
          <t>MOZ</t>
        </is>
      </c>
      <c r="DX38" t="inlineStr">
        <is>
          <t>MOZ</t>
        </is>
      </c>
      <c r="DY38" t="inlineStr">
        <is>
          <t>MOZ</t>
        </is>
      </c>
      <c r="DZ38" t="inlineStr">
        <is>
          <t>MOZ</t>
        </is>
      </c>
      <c r="EA38" t="inlineStr">
        <is>
          <t>MOZ</t>
        </is>
      </c>
      <c r="EB38" t="inlineStr">
        <is>
          <t>MOZ</t>
        </is>
      </c>
      <c r="ES38" t="inlineStr">
        <is>
          <t>MDG</t>
        </is>
      </c>
      <c r="ET38" t="inlineStr">
        <is>
          <t>MDG</t>
        </is>
      </c>
      <c r="EU38" t="inlineStr">
        <is>
          <t>MDG</t>
        </is>
      </c>
      <c r="EV38" t="inlineStr">
        <is>
          <t>MDG</t>
        </is>
      </c>
      <c r="EW38" t="inlineStr">
        <is>
          <t>MDG</t>
        </is>
      </c>
      <c r="EX38" t="inlineStr">
        <is>
          <t>MDG</t>
        </is>
      </c>
      <c r="EY38" t="inlineStr">
        <is>
          <t>MDG</t>
        </is>
      </c>
      <c r="EZ38" t="inlineStr">
        <is>
          <t>MDG</t>
        </is>
      </c>
      <c r="FA38" t="inlineStr">
        <is>
          <t>MDG</t>
        </is>
      </c>
    </row>
    <row r="39">
      <c r="CK39" t="inlineStr">
        <is>
          <t>NAM</t>
        </is>
      </c>
      <c r="CL39" t="inlineStr">
        <is>
          <t>NAM</t>
        </is>
      </c>
      <c r="CM39" t="inlineStr">
        <is>
          <t>NAM</t>
        </is>
      </c>
      <c r="CN39" t="inlineStr">
        <is>
          <t>NAM</t>
        </is>
      </c>
      <c r="CO39" t="inlineStr">
        <is>
          <t>NAM</t>
        </is>
      </c>
      <c r="CP39" t="inlineStr">
        <is>
          <t>NAM</t>
        </is>
      </c>
      <c r="CQ39" t="inlineStr">
        <is>
          <t>NAM</t>
        </is>
      </c>
      <c r="CR39" t="inlineStr">
        <is>
          <t>NAM</t>
        </is>
      </c>
      <c r="CS39" t="inlineStr">
        <is>
          <t>NAM</t>
        </is>
      </c>
      <c r="CT39" t="inlineStr">
        <is>
          <t>NAM</t>
        </is>
      </c>
      <c r="CU39" t="inlineStr">
        <is>
          <t>NAM</t>
        </is>
      </c>
      <c r="CV39" t="inlineStr">
        <is>
          <t>NAM</t>
        </is>
      </c>
      <c r="CW39" t="inlineStr">
        <is>
          <t>NAM</t>
        </is>
      </c>
      <c r="CX39" t="inlineStr">
        <is>
          <t>NAM</t>
        </is>
      </c>
      <c r="CY39" t="inlineStr">
        <is>
          <t>NAM</t>
        </is>
      </c>
      <c r="CZ39" t="inlineStr">
        <is>
          <t>BWA</t>
        </is>
      </c>
      <c r="DA39" t="inlineStr">
        <is>
          <t>BWA</t>
        </is>
      </c>
      <c r="DB39" t="inlineStr">
        <is>
          <t>BWA</t>
        </is>
      </c>
      <c r="DC39" t="inlineStr">
        <is>
          <t>BWA</t>
        </is>
      </c>
      <c r="DD39" t="inlineStr">
        <is>
          <t>BWA</t>
        </is>
      </c>
      <c r="DE39" t="inlineStr">
        <is>
          <t>BWA</t>
        </is>
      </c>
      <c r="DF39" t="inlineStr">
        <is>
          <t>BWA</t>
        </is>
      </c>
      <c r="DG39" t="inlineStr">
        <is>
          <t>BWA</t>
        </is>
      </c>
      <c r="DH39" t="inlineStr">
        <is>
          <t>BWA</t>
        </is>
      </c>
      <c r="DI39" t="inlineStr">
        <is>
          <t>BWA</t>
        </is>
      </c>
      <c r="DJ39" t="inlineStr">
        <is>
          <t>BWA</t>
        </is>
      </c>
      <c r="DK39" t="inlineStr">
        <is>
          <t>BWA</t>
        </is>
      </c>
      <c r="DL39" t="inlineStr">
        <is>
          <t>BWA</t>
        </is>
      </c>
      <c r="DM39" t="inlineStr">
        <is>
          <t>BWA</t>
        </is>
      </c>
      <c r="DN39" t="inlineStr">
        <is>
          <t>ZWE</t>
        </is>
      </c>
      <c r="DO39" t="inlineStr">
        <is>
          <t>ZWE</t>
        </is>
      </c>
      <c r="DP39" t="inlineStr">
        <is>
          <t>ZWE</t>
        </is>
      </c>
      <c r="DQ39" t="inlineStr">
        <is>
          <t>ZWE</t>
        </is>
      </c>
      <c r="DR39" t="inlineStr">
        <is>
          <t>ZWE</t>
        </is>
      </c>
      <c r="DS39" t="inlineStr">
        <is>
          <t>ZWE</t>
        </is>
      </c>
      <c r="DT39" t="inlineStr">
        <is>
          <t>ZWE</t>
        </is>
      </c>
      <c r="DU39" t="inlineStr">
        <is>
          <t>ZWE</t>
        </is>
      </c>
      <c r="DV39" t="inlineStr">
        <is>
          <t>MOZ</t>
        </is>
      </c>
      <c r="DW39" t="inlineStr">
        <is>
          <t>MOZ</t>
        </is>
      </c>
      <c r="DX39" t="inlineStr">
        <is>
          <t>MOZ</t>
        </is>
      </c>
      <c r="DY39" t="inlineStr">
        <is>
          <t>MOZ</t>
        </is>
      </c>
      <c r="DZ39" t="inlineStr">
        <is>
          <t>MOZ</t>
        </is>
      </c>
      <c r="EA39" t="inlineStr">
        <is>
          <t>MOZ</t>
        </is>
      </c>
      <c r="ES39" t="inlineStr">
        <is>
          <t>MDG</t>
        </is>
      </c>
      <c r="ET39" t="inlineStr">
        <is>
          <t>MDG</t>
        </is>
      </c>
      <c r="EU39" t="inlineStr">
        <is>
          <t>MDG</t>
        </is>
      </c>
      <c r="EV39" t="inlineStr">
        <is>
          <t>MDG</t>
        </is>
      </c>
      <c r="EW39" t="inlineStr">
        <is>
          <t>MDG</t>
        </is>
      </c>
      <c r="EX39" t="inlineStr">
        <is>
          <t>MDG</t>
        </is>
      </c>
      <c r="EY39" t="inlineStr">
        <is>
          <t>MDG</t>
        </is>
      </c>
      <c r="EZ39" t="inlineStr">
        <is>
          <t>MDG</t>
        </is>
      </c>
      <c r="FA39" t="inlineStr">
        <is>
          <t>MDG</t>
        </is>
      </c>
      <c r="FB39" t="inlineStr">
        <is>
          <t>MDG</t>
        </is>
      </c>
    </row>
    <row r="40">
      <c r="CK40" t="inlineStr">
        <is>
          <t>NAM</t>
        </is>
      </c>
      <c r="CL40" t="inlineStr">
        <is>
          <t>NAM</t>
        </is>
      </c>
      <c r="CM40" t="inlineStr">
        <is>
          <t>NAM</t>
        </is>
      </c>
      <c r="CN40" t="inlineStr">
        <is>
          <t>NAM</t>
        </is>
      </c>
      <c r="CO40" t="inlineStr">
        <is>
          <t>NAM</t>
        </is>
      </c>
      <c r="CP40" t="inlineStr">
        <is>
          <t>NAM</t>
        </is>
      </c>
      <c r="CQ40" t="inlineStr">
        <is>
          <t>NAM</t>
        </is>
      </c>
      <c r="CR40" t="inlineStr">
        <is>
          <t>NAM</t>
        </is>
      </c>
      <c r="CS40" t="inlineStr">
        <is>
          <t>NAM</t>
        </is>
      </c>
      <c r="CT40" t="inlineStr">
        <is>
          <t>NAM</t>
        </is>
      </c>
      <c r="CU40" t="inlineStr">
        <is>
          <t>NAM</t>
        </is>
      </c>
      <c r="CV40" t="inlineStr">
        <is>
          <t>NAM</t>
        </is>
      </c>
      <c r="CW40" t="inlineStr">
        <is>
          <t>NAM</t>
        </is>
      </c>
      <c r="CX40" t="inlineStr">
        <is>
          <t>NAM</t>
        </is>
      </c>
      <c r="CY40" t="inlineStr">
        <is>
          <t>NAM</t>
        </is>
      </c>
      <c r="CZ40" t="inlineStr">
        <is>
          <t>BWA</t>
        </is>
      </c>
      <c r="DA40" t="inlineStr">
        <is>
          <t>BWA</t>
        </is>
      </c>
      <c r="DB40" t="inlineStr">
        <is>
          <t>BWA</t>
        </is>
      </c>
      <c r="DC40" t="inlineStr">
        <is>
          <t>BWA</t>
        </is>
      </c>
      <c r="DD40" t="inlineStr">
        <is>
          <t>BWA</t>
        </is>
      </c>
      <c r="DE40" t="inlineStr">
        <is>
          <t>BWA</t>
        </is>
      </c>
      <c r="DF40" t="inlineStr">
        <is>
          <t>BWA</t>
        </is>
      </c>
      <c r="DG40" t="inlineStr">
        <is>
          <t>BWA</t>
        </is>
      </c>
      <c r="DH40" t="inlineStr">
        <is>
          <t>BWA</t>
        </is>
      </c>
      <c r="DI40" t="inlineStr">
        <is>
          <t>BWA</t>
        </is>
      </c>
      <c r="DJ40" t="inlineStr">
        <is>
          <t>BWA</t>
        </is>
      </c>
      <c r="DK40" t="inlineStr">
        <is>
          <t>BWA</t>
        </is>
      </c>
      <c r="DL40" t="inlineStr">
        <is>
          <t>BWA</t>
        </is>
      </c>
      <c r="DM40" t="inlineStr">
        <is>
          <t>ZWE</t>
        </is>
      </c>
      <c r="DN40" t="inlineStr">
        <is>
          <t>ZWE</t>
        </is>
      </c>
      <c r="DO40" t="inlineStr">
        <is>
          <t>ZWE</t>
        </is>
      </c>
      <c r="DP40" t="inlineStr">
        <is>
          <t>ZWE</t>
        </is>
      </c>
      <c r="DQ40" t="inlineStr">
        <is>
          <t>ZWE</t>
        </is>
      </c>
      <c r="DR40" t="inlineStr">
        <is>
          <t>ZWE</t>
        </is>
      </c>
      <c r="DS40" t="inlineStr">
        <is>
          <t>ZWE</t>
        </is>
      </c>
      <c r="DT40" t="inlineStr">
        <is>
          <t>ZWE</t>
        </is>
      </c>
      <c r="DU40" t="inlineStr">
        <is>
          <t>ZWE</t>
        </is>
      </c>
      <c r="DV40" t="inlineStr">
        <is>
          <t>ZWE</t>
        </is>
      </c>
      <c r="DW40" t="inlineStr">
        <is>
          <t>MOZ</t>
        </is>
      </c>
      <c r="DX40" t="inlineStr">
        <is>
          <t>MOZ</t>
        </is>
      </c>
      <c r="DY40" t="inlineStr">
        <is>
          <t>MOZ</t>
        </is>
      </c>
      <c r="DZ40" t="inlineStr">
        <is>
          <t>MOZ</t>
        </is>
      </c>
      <c r="EA40" t="inlineStr">
        <is>
          <t>MOZ</t>
        </is>
      </c>
      <c r="ET40" t="inlineStr">
        <is>
          <t>MDG</t>
        </is>
      </c>
      <c r="EU40" t="inlineStr">
        <is>
          <t>MDG</t>
        </is>
      </c>
      <c r="EV40" t="inlineStr">
        <is>
          <t>MDG</t>
        </is>
      </c>
      <c r="EW40" t="inlineStr">
        <is>
          <t>MDG</t>
        </is>
      </c>
      <c r="EX40" t="inlineStr">
        <is>
          <t>MDG</t>
        </is>
      </c>
      <c r="EY40" t="inlineStr">
        <is>
          <t>MDG</t>
        </is>
      </c>
      <c r="EZ40" t="inlineStr">
        <is>
          <t>MDG</t>
        </is>
      </c>
      <c r="FA40" t="inlineStr">
        <is>
          <t>MDG</t>
        </is>
      </c>
      <c r="FB40" t="inlineStr">
        <is>
          <t>MDG</t>
        </is>
      </c>
    </row>
    <row r="41">
      <c r="CJ41" t="inlineStr">
        <is>
          <t>NAM</t>
        </is>
      </c>
      <c r="CK41" t="inlineStr">
        <is>
          <t>NAM</t>
        </is>
      </c>
      <c r="CL41" t="inlineStr">
        <is>
          <t>NAM</t>
        </is>
      </c>
      <c r="CM41" t="inlineStr">
        <is>
          <t>NAM</t>
        </is>
      </c>
      <c r="CN41" t="inlineStr">
        <is>
          <t>NAM</t>
        </is>
      </c>
      <c r="CO41" t="inlineStr">
        <is>
          <t>NAM</t>
        </is>
      </c>
      <c r="CP41" t="inlineStr">
        <is>
          <t>NAM</t>
        </is>
      </c>
      <c r="CQ41" t="inlineStr">
        <is>
          <t>NAM</t>
        </is>
      </c>
      <c r="CR41" t="inlineStr">
        <is>
          <t>NAM</t>
        </is>
      </c>
      <c r="CS41" t="inlineStr">
        <is>
          <t>NAM</t>
        </is>
      </c>
      <c r="CT41" t="inlineStr">
        <is>
          <t>NAM</t>
        </is>
      </c>
      <c r="CU41" t="inlineStr">
        <is>
          <t>NAM</t>
        </is>
      </c>
      <c r="CV41" t="inlineStr">
        <is>
          <t>NAM</t>
        </is>
      </c>
      <c r="CW41" t="inlineStr">
        <is>
          <t>NAM</t>
        </is>
      </c>
      <c r="CX41" t="inlineStr">
        <is>
          <t>NAM</t>
        </is>
      </c>
      <c r="CY41" t="inlineStr">
        <is>
          <t>NAM</t>
        </is>
      </c>
      <c r="CZ41" t="inlineStr">
        <is>
          <t>BWA</t>
        </is>
      </c>
      <c r="DA41" t="inlineStr">
        <is>
          <t>BWA</t>
        </is>
      </c>
      <c r="DB41" t="inlineStr">
        <is>
          <t>BWA</t>
        </is>
      </c>
      <c r="DC41" t="inlineStr">
        <is>
          <t>BWA</t>
        </is>
      </c>
      <c r="DD41" t="inlineStr">
        <is>
          <t>BWA</t>
        </is>
      </c>
      <c r="DE41" t="inlineStr">
        <is>
          <t>BWA</t>
        </is>
      </c>
      <c r="DF41" t="inlineStr">
        <is>
          <t>BWA</t>
        </is>
      </c>
      <c r="DG41" t="inlineStr">
        <is>
          <t>BWA</t>
        </is>
      </c>
      <c r="DH41" t="inlineStr">
        <is>
          <t>BWA</t>
        </is>
      </c>
      <c r="DI41" t="inlineStr">
        <is>
          <t>BWA</t>
        </is>
      </c>
      <c r="DJ41" t="inlineStr">
        <is>
          <t>BWA</t>
        </is>
      </c>
      <c r="DK41" t="inlineStr">
        <is>
          <t>BWA</t>
        </is>
      </c>
      <c r="DL41" t="inlineStr">
        <is>
          <t>ZWE</t>
        </is>
      </c>
      <c r="DM41" t="inlineStr">
        <is>
          <t>ZWE</t>
        </is>
      </c>
      <c r="DN41" t="inlineStr">
        <is>
          <t>ZWE</t>
        </is>
      </c>
      <c r="DO41" t="inlineStr">
        <is>
          <t>ZWE</t>
        </is>
      </c>
      <c r="DP41" t="inlineStr">
        <is>
          <t>ZWE</t>
        </is>
      </c>
      <c r="DQ41" t="inlineStr">
        <is>
          <t>ZWE</t>
        </is>
      </c>
      <c r="DR41" t="inlineStr">
        <is>
          <t>ZWE</t>
        </is>
      </c>
      <c r="DS41" t="inlineStr">
        <is>
          <t>ZWE</t>
        </is>
      </c>
      <c r="DT41" t="inlineStr">
        <is>
          <t>ZWE</t>
        </is>
      </c>
      <c r="DU41" t="inlineStr">
        <is>
          <t>ZWE</t>
        </is>
      </c>
      <c r="DV41" t="inlineStr">
        <is>
          <t>ZWE</t>
        </is>
      </c>
      <c r="DW41" t="inlineStr">
        <is>
          <t>MOZ</t>
        </is>
      </c>
      <c r="DX41" t="inlineStr">
        <is>
          <t>MOZ</t>
        </is>
      </c>
      <c r="DY41" t="inlineStr">
        <is>
          <t>MOZ</t>
        </is>
      </c>
      <c r="DZ41" t="inlineStr">
        <is>
          <t>MOZ</t>
        </is>
      </c>
      <c r="EU41" t="inlineStr">
        <is>
          <t>MDG</t>
        </is>
      </c>
      <c r="EV41" t="inlineStr">
        <is>
          <t>MDG</t>
        </is>
      </c>
      <c r="EW41" t="inlineStr">
        <is>
          <t>MDG</t>
        </is>
      </c>
      <c r="EX41" t="inlineStr">
        <is>
          <t>MDG</t>
        </is>
      </c>
      <c r="EY41" t="inlineStr">
        <is>
          <t>MDG</t>
        </is>
      </c>
      <c r="EZ41" t="inlineStr">
        <is>
          <t>MDG</t>
        </is>
      </c>
      <c r="FA41" t="inlineStr">
        <is>
          <t>MDG</t>
        </is>
      </c>
      <c r="FB41" t="inlineStr">
        <is>
          <t>MDG</t>
        </is>
      </c>
      <c r="FU41" t="inlineStr">
        <is>
          <t>MUS</t>
        </is>
      </c>
    </row>
    <row r="42">
      <c r="CJ42" t="inlineStr">
        <is>
          <t>NAM</t>
        </is>
      </c>
      <c r="CK42" t="inlineStr">
        <is>
          <t>NAM</t>
        </is>
      </c>
      <c r="CL42" t="inlineStr">
        <is>
          <t>NAM</t>
        </is>
      </c>
      <c r="CM42" t="inlineStr">
        <is>
          <t>NAM</t>
        </is>
      </c>
      <c r="CN42" t="inlineStr">
        <is>
          <t>NAM</t>
        </is>
      </c>
      <c r="CO42" t="inlineStr">
        <is>
          <t>NAM</t>
        </is>
      </c>
      <c r="CP42" t="inlineStr">
        <is>
          <t>NAM</t>
        </is>
      </c>
      <c r="CQ42" t="inlineStr">
        <is>
          <t>NAM</t>
        </is>
      </c>
      <c r="CR42" t="inlineStr">
        <is>
          <t>NAM</t>
        </is>
      </c>
      <c r="CS42" t="inlineStr">
        <is>
          <t>NAM</t>
        </is>
      </c>
      <c r="CT42" t="inlineStr">
        <is>
          <t>NAM</t>
        </is>
      </c>
      <c r="CU42" t="inlineStr">
        <is>
          <t>NAM</t>
        </is>
      </c>
      <c r="CV42" t="inlineStr">
        <is>
          <t>NAM</t>
        </is>
      </c>
      <c r="CW42" t="inlineStr">
        <is>
          <t>NAM</t>
        </is>
      </c>
      <c r="CX42" t="inlineStr">
        <is>
          <t>NAM</t>
        </is>
      </c>
      <c r="CY42" t="inlineStr">
        <is>
          <t>NAM</t>
        </is>
      </c>
      <c r="CZ42" t="inlineStr">
        <is>
          <t>BWA</t>
        </is>
      </c>
      <c r="DA42" t="inlineStr">
        <is>
          <t>BWA</t>
        </is>
      </c>
      <c r="DB42" t="inlineStr">
        <is>
          <t>BWA</t>
        </is>
      </c>
      <c r="DC42" t="inlineStr">
        <is>
          <t>BWA</t>
        </is>
      </c>
      <c r="DD42" t="inlineStr">
        <is>
          <t>BWA</t>
        </is>
      </c>
      <c r="DE42" t="inlineStr">
        <is>
          <t>BWA</t>
        </is>
      </c>
      <c r="DF42" t="inlineStr">
        <is>
          <t>BWA</t>
        </is>
      </c>
      <c r="DG42" t="inlineStr">
        <is>
          <t>BWA</t>
        </is>
      </c>
      <c r="DH42" t="inlineStr">
        <is>
          <t>BWA</t>
        </is>
      </c>
      <c r="DI42" t="inlineStr">
        <is>
          <t>BWA</t>
        </is>
      </c>
      <c r="DJ42" t="inlineStr">
        <is>
          <t>BWA</t>
        </is>
      </c>
      <c r="DK42" t="inlineStr">
        <is>
          <t>ZWE</t>
        </is>
      </c>
      <c r="DL42" t="inlineStr">
        <is>
          <t>ZWE</t>
        </is>
      </c>
      <c r="DM42" t="inlineStr">
        <is>
          <t>ZWE</t>
        </is>
      </c>
      <c r="DN42" t="inlineStr">
        <is>
          <t>ZWE</t>
        </is>
      </c>
      <c r="DO42" t="inlineStr">
        <is>
          <t>ZWE</t>
        </is>
      </c>
      <c r="DP42" t="inlineStr">
        <is>
          <t>ZWE</t>
        </is>
      </c>
      <c r="DQ42" t="inlineStr">
        <is>
          <t>ZWE</t>
        </is>
      </c>
      <c r="DR42" t="inlineStr">
        <is>
          <t>ZWE</t>
        </is>
      </c>
      <c r="DS42" t="inlineStr">
        <is>
          <t>ZWE</t>
        </is>
      </c>
      <c r="DT42" t="inlineStr">
        <is>
          <t>ZWE</t>
        </is>
      </c>
      <c r="DU42" t="inlineStr">
        <is>
          <t>ZWE</t>
        </is>
      </c>
      <c r="DV42" t="inlineStr">
        <is>
          <t>ZWE</t>
        </is>
      </c>
      <c r="DW42" t="inlineStr">
        <is>
          <t>ZWE</t>
        </is>
      </c>
      <c r="DX42" t="inlineStr">
        <is>
          <t>MOZ</t>
        </is>
      </c>
      <c r="DY42" t="inlineStr">
        <is>
          <t>MOZ</t>
        </is>
      </c>
      <c r="DZ42" t="inlineStr">
        <is>
          <t>MOZ</t>
        </is>
      </c>
      <c r="EA42" t="inlineStr">
        <is>
          <t>MOZ</t>
        </is>
      </c>
      <c r="EU42" t="inlineStr">
        <is>
          <t>MDG</t>
        </is>
      </c>
      <c r="EV42" t="inlineStr">
        <is>
          <t>MDG</t>
        </is>
      </c>
      <c r="EW42" t="inlineStr">
        <is>
          <t>MDG</t>
        </is>
      </c>
      <c r="EX42" t="inlineStr">
        <is>
          <t>MDG</t>
        </is>
      </c>
      <c r="EY42" t="inlineStr">
        <is>
          <t>MDG</t>
        </is>
      </c>
      <c r="EZ42" t="inlineStr">
        <is>
          <t>MDG</t>
        </is>
      </c>
      <c r="FA42" t="inlineStr">
        <is>
          <t>MDG</t>
        </is>
      </c>
      <c r="FB42" t="inlineStr">
        <is>
          <t>MDG</t>
        </is>
      </c>
      <c r="FC42" t="inlineStr">
        <is>
          <t>MDG</t>
        </is>
      </c>
    </row>
    <row r="43">
      <c r="CI43" t="inlineStr">
        <is>
          <t>NAM</t>
        </is>
      </c>
      <c r="CJ43" t="inlineStr">
        <is>
          <t>NAM</t>
        </is>
      </c>
      <c r="CK43" t="inlineStr">
        <is>
          <t>NAM</t>
        </is>
      </c>
      <c r="CL43" t="inlineStr">
        <is>
          <t>NAM</t>
        </is>
      </c>
      <c r="CM43" t="inlineStr">
        <is>
          <t>NAM</t>
        </is>
      </c>
      <c r="CN43" t="inlineStr">
        <is>
          <t>NAM</t>
        </is>
      </c>
      <c r="CO43" t="inlineStr">
        <is>
          <t>NAM</t>
        </is>
      </c>
      <c r="CP43" t="inlineStr">
        <is>
          <t>NAM</t>
        </is>
      </c>
      <c r="CQ43" t="inlineStr">
        <is>
          <t>NAM</t>
        </is>
      </c>
      <c r="CR43" t="inlineStr">
        <is>
          <t>NAM</t>
        </is>
      </c>
      <c r="CS43" t="inlineStr">
        <is>
          <t>NAM</t>
        </is>
      </c>
      <c r="CT43" t="inlineStr">
        <is>
          <t>NAM</t>
        </is>
      </c>
      <c r="CU43" t="inlineStr">
        <is>
          <t>NAM</t>
        </is>
      </c>
      <c r="CV43" t="inlineStr">
        <is>
          <t>NAM</t>
        </is>
      </c>
      <c r="CW43" t="inlineStr">
        <is>
          <t>NAM</t>
        </is>
      </c>
      <c r="CX43" t="inlineStr">
        <is>
          <t>NAM</t>
        </is>
      </c>
      <c r="CY43" t="inlineStr">
        <is>
          <t>NAM</t>
        </is>
      </c>
      <c r="CZ43" t="inlineStr">
        <is>
          <t>BWA</t>
        </is>
      </c>
      <c r="DA43" t="inlineStr">
        <is>
          <t>BWA</t>
        </is>
      </c>
      <c r="DB43" t="inlineStr">
        <is>
          <t>BWA</t>
        </is>
      </c>
      <c r="DC43" t="inlineStr">
        <is>
          <t>BWA</t>
        </is>
      </c>
      <c r="DD43" t="inlineStr">
        <is>
          <t>BWA</t>
        </is>
      </c>
      <c r="DE43" t="inlineStr">
        <is>
          <t>BWA</t>
        </is>
      </c>
      <c r="DF43" t="inlineStr">
        <is>
          <t>BWA</t>
        </is>
      </c>
      <c r="DG43" t="inlineStr">
        <is>
          <t>BWA</t>
        </is>
      </c>
      <c r="DH43" t="inlineStr">
        <is>
          <t>BWA</t>
        </is>
      </c>
      <c r="DI43" t="inlineStr">
        <is>
          <t>BWA</t>
        </is>
      </c>
      <c r="DJ43" t="inlineStr">
        <is>
          <t>ZWE</t>
        </is>
      </c>
      <c r="DK43" t="inlineStr">
        <is>
          <t>ZWE</t>
        </is>
      </c>
      <c r="DL43" t="inlineStr">
        <is>
          <t>ZWE</t>
        </is>
      </c>
      <c r="DM43" t="inlineStr">
        <is>
          <t>ZWE</t>
        </is>
      </c>
      <c r="DN43" t="inlineStr">
        <is>
          <t>ZWE</t>
        </is>
      </c>
      <c r="DO43" t="inlineStr">
        <is>
          <t>ZWE</t>
        </is>
      </c>
      <c r="DP43" t="inlineStr">
        <is>
          <t>ZWE</t>
        </is>
      </c>
      <c r="DQ43" t="inlineStr">
        <is>
          <t>ZWE</t>
        </is>
      </c>
      <c r="DR43" t="inlineStr">
        <is>
          <t>ZWE</t>
        </is>
      </c>
      <c r="DS43" t="inlineStr">
        <is>
          <t>ZWE</t>
        </is>
      </c>
      <c r="DT43" t="inlineStr">
        <is>
          <t>ZWE</t>
        </is>
      </c>
      <c r="DU43" t="inlineStr">
        <is>
          <t>ZWE</t>
        </is>
      </c>
      <c r="DV43" t="inlineStr">
        <is>
          <t>ZWE</t>
        </is>
      </c>
      <c r="DW43" t="inlineStr">
        <is>
          <t>MOZ</t>
        </is>
      </c>
      <c r="DX43" t="inlineStr">
        <is>
          <t>MOZ</t>
        </is>
      </c>
      <c r="DY43" t="inlineStr">
        <is>
          <t>MOZ</t>
        </is>
      </c>
      <c r="DZ43" t="inlineStr">
        <is>
          <t>MOZ</t>
        </is>
      </c>
      <c r="EA43" t="inlineStr">
        <is>
          <t>MOZ</t>
        </is>
      </c>
      <c r="EB43" t="inlineStr">
        <is>
          <t>MOZ</t>
        </is>
      </c>
      <c r="EU43" t="inlineStr">
        <is>
          <t>MDG</t>
        </is>
      </c>
      <c r="EV43" t="inlineStr">
        <is>
          <t>MDG</t>
        </is>
      </c>
      <c r="EW43" t="inlineStr">
        <is>
          <t>MDG</t>
        </is>
      </c>
      <c r="EX43" t="inlineStr">
        <is>
          <t>MDG</t>
        </is>
      </c>
      <c r="EY43" t="inlineStr">
        <is>
          <t>MDG</t>
        </is>
      </c>
      <c r="EZ43" t="inlineStr">
        <is>
          <t>MDG</t>
        </is>
      </c>
      <c r="FA43" t="inlineStr">
        <is>
          <t>MDG</t>
        </is>
      </c>
      <c r="FB43" t="inlineStr">
        <is>
          <t>MDG</t>
        </is>
      </c>
      <c r="FC43" t="inlineStr">
        <is>
          <t>MDG</t>
        </is>
      </c>
    </row>
    <row r="44">
      <c r="CI44" t="inlineStr">
        <is>
          <t>NAM</t>
        </is>
      </c>
      <c r="CJ44" t="inlineStr">
        <is>
          <t>NAM</t>
        </is>
      </c>
      <c r="CK44" t="inlineStr">
        <is>
          <t>NAM</t>
        </is>
      </c>
      <c r="CL44" t="inlineStr">
        <is>
          <t>NAM</t>
        </is>
      </c>
      <c r="CM44" t="inlineStr">
        <is>
          <t>NAM</t>
        </is>
      </c>
      <c r="CN44" t="inlineStr">
        <is>
          <t>NAM</t>
        </is>
      </c>
      <c r="CO44" t="inlineStr">
        <is>
          <t>NAM</t>
        </is>
      </c>
      <c r="CP44" t="inlineStr">
        <is>
          <t>NAM</t>
        </is>
      </c>
      <c r="CQ44" t="inlineStr">
        <is>
          <t>NAM</t>
        </is>
      </c>
      <c r="CR44" t="inlineStr">
        <is>
          <t>NAM</t>
        </is>
      </c>
      <c r="CS44" t="inlineStr">
        <is>
          <t>NAM</t>
        </is>
      </c>
      <c r="CT44" t="inlineStr">
        <is>
          <t>NAM</t>
        </is>
      </c>
      <c r="CU44" t="inlineStr">
        <is>
          <t>NAM</t>
        </is>
      </c>
      <c r="CV44" t="inlineStr">
        <is>
          <t>NAM</t>
        </is>
      </c>
      <c r="CW44" t="inlineStr">
        <is>
          <t>NAM</t>
        </is>
      </c>
      <c r="CX44" t="inlineStr">
        <is>
          <t>NAM</t>
        </is>
      </c>
      <c r="CY44" t="inlineStr">
        <is>
          <t>NAM</t>
        </is>
      </c>
      <c r="CZ44" t="inlineStr">
        <is>
          <t>BWA</t>
        </is>
      </c>
      <c r="DA44" t="inlineStr">
        <is>
          <t>BWA</t>
        </is>
      </c>
      <c r="DB44" t="inlineStr">
        <is>
          <t>BWA</t>
        </is>
      </c>
      <c r="DC44" t="inlineStr">
        <is>
          <t>BWA</t>
        </is>
      </c>
      <c r="DD44" t="inlineStr">
        <is>
          <t>BWA</t>
        </is>
      </c>
      <c r="DE44" t="inlineStr">
        <is>
          <t>BWA</t>
        </is>
      </c>
      <c r="DF44" t="inlineStr">
        <is>
          <t>BWA</t>
        </is>
      </c>
      <c r="DG44" t="inlineStr">
        <is>
          <t>BWA</t>
        </is>
      </c>
      <c r="DH44" t="inlineStr">
        <is>
          <t>BWA</t>
        </is>
      </c>
      <c r="DI44" t="inlineStr">
        <is>
          <t>BWA</t>
        </is>
      </c>
      <c r="DJ44" t="inlineStr">
        <is>
          <t>ZWE</t>
        </is>
      </c>
      <c r="DK44" t="inlineStr">
        <is>
          <t>ZWE</t>
        </is>
      </c>
      <c r="DL44" t="inlineStr">
        <is>
          <t>ZWE</t>
        </is>
      </c>
      <c r="DM44" t="inlineStr">
        <is>
          <t>ZWE</t>
        </is>
      </c>
      <c r="DN44" t="inlineStr">
        <is>
          <t>ZWE</t>
        </is>
      </c>
      <c r="DO44" t="inlineStr">
        <is>
          <t>ZWE</t>
        </is>
      </c>
      <c r="DP44" t="inlineStr">
        <is>
          <t>ZWE</t>
        </is>
      </c>
      <c r="DQ44" t="inlineStr">
        <is>
          <t>ZWE</t>
        </is>
      </c>
      <c r="DR44" t="inlineStr">
        <is>
          <t>ZWE</t>
        </is>
      </c>
      <c r="DS44" t="inlineStr">
        <is>
          <t>ZWE</t>
        </is>
      </c>
      <c r="DT44" t="inlineStr">
        <is>
          <t>ZWE</t>
        </is>
      </c>
      <c r="DU44" t="inlineStr">
        <is>
          <t>ZWE</t>
        </is>
      </c>
      <c r="DV44" t="inlineStr">
        <is>
          <t>ZWE</t>
        </is>
      </c>
      <c r="DW44" t="inlineStr">
        <is>
          <t>MOZ</t>
        </is>
      </c>
      <c r="DX44" t="inlineStr">
        <is>
          <t>MOZ</t>
        </is>
      </c>
      <c r="DY44" t="inlineStr">
        <is>
          <t>MOZ</t>
        </is>
      </c>
      <c r="DZ44" t="inlineStr">
        <is>
          <t>MOZ</t>
        </is>
      </c>
      <c r="EA44" t="inlineStr">
        <is>
          <t>MOZ</t>
        </is>
      </c>
      <c r="EB44" t="inlineStr">
        <is>
          <t>MOZ</t>
        </is>
      </c>
      <c r="EC44" t="inlineStr">
        <is>
          <t>MOZ</t>
        </is>
      </c>
      <c r="ET44" t="inlineStr">
        <is>
          <t>MDG</t>
        </is>
      </c>
      <c r="EU44" t="inlineStr">
        <is>
          <t>MDG</t>
        </is>
      </c>
      <c r="EV44" t="inlineStr">
        <is>
          <t>MDG</t>
        </is>
      </c>
      <c r="EW44" t="inlineStr">
        <is>
          <t>MDG</t>
        </is>
      </c>
      <c r="EX44" t="inlineStr">
        <is>
          <t>MDG</t>
        </is>
      </c>
      <c r="EY44" t="inlineStr">
        <is>
          <t>MDG</t>
        </is>
      </c>
      <c r="EZ44" t="inlineStr">
        <is>
          <t>MDG</t>
        </is>
      </c>
      <c r="FA44" t="inlineStr">
        <is>
          <t>MDG</t>
        </is>
      </c>
      <c r="FB44" t="inlineStr">
        <is>
          <t>MDG</t>
        </is>
      </c>
      <c r="FC44" t="inlineStr">
        <is>
          <t>MDG</t>
        </is>
      </c>
    </row>
    <row r="45">
      <c r="CH45" t="inlineStr">
        <is>
          <t>NAM</t>
        </is>
      </c>
      <c r="CI45" t="inlineStr">
        <is>
          <t>NAM</t>
        </is>
      </c>
      <c r="CJ45" t="inlineStr">
        <is>
          <t>NAM</t>
        </is>
      </c>
      <c r="CK45" t="inlineStr">
        <is>
          <t>NAM</t>
        </is>
      </c>
      <c r="CL45" t="inlineStr">
        <is>
          <t>NAM</t>
        </is>
      </c>
      <c r="CM45" t="inlineStr">
        <is>
          <t>NAM</t>
        </is>
      </c>
      <c r="CN45" t="inlineStr">
        <is>
          <t>NAM</t>
        </is>
      </c>
      <c r="CO45" t="inlineStr">
        <is>
          <t>NAM</t>
        </is>
      </c>
      <c r="CP45" t="inlineStr">
        <is>
          <t>NAM</t>
        </is>
      </c>
      <c r="CQ45" t="inlineStr">
        <is>
          <t>NAM</t>
        </is>
      </c>
      <c r="CR45" t="inlineStr">
        <is>
          <t>NAM</t>
        </is>
      </c>
      <c r="CS45" t="inlineStr">
        <is>
          <t>NAM</t>
        </is>
      </c>
      <c r="CT45" t="inlineStr">
        <is>
          <t>NAM</t>
        </is>
      </c>
      <c r="CU45" t="inlineStr">
        <is>
          <t>NAM</t>
        </is>
      </c>
      <c r="CV45" t="inlineStr">
        <is>
          <t>NAM</t>
        </is>
      </c>
      <c r="CW45" t="inlineStr">
        <is>
          <t>NAM</t>
        </is>
      </c>
      <c r="CX45" t="inlineStr">
        <is>
          <t>NAM</t>
        </is>
      </c>
      <c r="CY45" t="inlineStr">
        <is>
          <t>NAM</t>
        </is>
      </c>
      <c r="CZ45" t="inlineStr">
        <is>
          <t>BWA</t>
        </is>
      </c>
      <c r="DA45" t="inlineStr">
        <is>
          <t>BWA</t>
        </is>
      </c>
      <c r="DB45" t="inlineStr">
        <is>
          <t>BWA</t>
        </is>
      </c>
      <c r="DC45" t="inlineStr">
        <is>
          <t>BWA</t>
        </is>
      </c>
      <c r="DD45" t="inlineStr">
        <is>
          <t>BWA</t>
        </is>
      </c>
      <c r="DE45" t="inlineStr">
        <is>
          <t>BWA</t>
        </is>
      </c>
      <c r="DF45" t="inlineStr">
        <is>
          <t>BWA</t>
        </is>
      </c>
      <c r="DG45" t="inlineStr">
        <is>
          <t>BWA</t>
        </is>
      </c>
      <c r="DH45" t="inlineStr">
        <is>
          <t>BWA</t>
        </is>
      </c>
      <c r="DI45" t="inlineStr">
        <is>
          <t>ZWE</t>
        </is>
      </c>
      <c r="DJ45" t="inlineStr">
        <is>
          <t>ZWE</t>
        </is>
      </c>
      <c r="DK45" t="inlineStr">
        <is>
          <t>ZWE</t>
        </is>
      </c>
      <c r="DL45" t="inlineStr">
        <is>
          <t>ZWE</t>
        </is>
      </c>
      <c r="DM45" t="inlineStr">
        <is>
          <t>ZWE</t>
        </is>
      </c>
      <c r="DN45" t="inlineStr">
        <is>
          <t>ZWE</t>
        </is>
      </c>
      <c r="DO45" t="inlineStr">
        <is>
          <t>ZWE</t>
        </is>
      </c>
      <c r="DP45" t="inlineStr">
        <is>
          <t>ZWE</t>
        </is>
      </c>
      <c r="DQ45" t="inlineStr">
        <is>
          <t>ZWE</t>
        </is>
      </c>
      <c r="DR45" t="inlineStr">
        <is>
          <t>ZWE</t>
        </is>
      </c>
      <c r="DS45" t="inlineStr">
        <is>
          <t>ZWE</t>
        </is>
      </c>
      <c r="DT45" t="inlineStr">
        <is>
          <t>ZWE</t>
        </is>
      </c>
      <c r="DU45" t="inlineStr">
        <is>
          <t>ZWE</t>
        </is>
      </c>
      <c r="DV45" t="inlineStr">
        <is>
          <t>ZWE</t>
        </is>
      </c>
      <c r="DW45" t="inlineStr">
        <is>
          <t>ZWE</t>
        </is>
      </c>
      <c r="DX45" t="inlineStr">
        <is>
          <t>MOZ</t>
        </is>
      </c>
      <c r="DY45" t="inlineStr">
        <is>
          <t>MOZ</t>
        </is>
      </c>
      <c r="DZ45" t="inlineStr">
        <is>
          <t>MOZ</t>
        </is>
      </c>
      <c r="EA45" t="inlineStr">
        <is>
          <t>MOZ</t>
        </is>
      </c>
      <c r="EB45" t="inlineStr">
        <is>
          <t>MOZ</t>
        </is>
      </c>
      <c r="EC45" t="inlineStr">
        <is>
          <t>MOZ</t>
        </is>
      </c>
      <c r="ED45" t="inlineStr">
        <is>
          <t>MOZ</t>
        </is>
      </c>
      <c r="ET45" t="inlineStr">
        <is>
          <t>MDG</t>
        </is>
      </c>
      <c r="EU45" t="inlineStr">
        <is>
          <t>MDG</t>
        </is>
      </c>
      <c r="EV45" t="inlineStr">
        <is>
          <t>MDG</t>
        </is>
      </c>
      <c r="EW45" t="inlineStr">
        <is>
          <t>MDG</t>
        </is>
      </c>
      <c r="EX45" t="inlineStr">
        <is>
          <t>MDG</t>
        </is>
      </c>
      <c r="EY45" t="inlineStr">
        <is>
          <t>MDG</t>
        </is>
      </c>
      <c r="EZ45" t="inlineStr">
        <is>
          <t>MDG</t>
        </is>
      </c>
      <c r="FA45" t="inlineStr">
        <is>
          <t>MDG</t>
        </is>
      </c>
      <c r="FB45" t="inlineStr">
        <is>
          <t>MDG</t>
        </is>
      </c>
      <c r="FC45" t="inlineStr">
        <is>
          <t>MDG</t>
        </is>
      </c>
      <c r="FD45" t="inlineStr">
        <is>
          <t>MDG</t>
        </is>
      </c>
    </row>
    <row r="46">
      <c r="CH46" t="inlineStr">
        <is>
          <t>NAM</t>
        </is>
      </c>
      <c r="CI46" t="inlineStr">
        <is>
          <t>NAM</t>
        </is>
      </c>
      <c r="CJ46" t="inlineStr">
        <is>
          <t>NAM</t>
        </is>
      </c>
      <c r="CK46" t="inlineStr">
        <is>
          <t>NAM</t>
        </is>
      </c>
      <c r="CL46" t="inlineStr">
        <is>
          <t>NAM</t>
        </is>
      </c>
      <c r="CM46" t="inlineStr">
        <is>
          <t>NAM</t>
        </is>
      </c>
      <c r="CN46" t="inlineStr">
        <is>
          <t>NAM</t>
        </is>
      </c>
      <c r="CO46" t="inlineStr">
        <is>
          <t>NAM</t>
        </is>
      </c>
      <c r="CP46" t="inlineStr">
        <is>
          <t>NAM</t>
        </is>
      </c>
      <c r="CQ46" t="inlineStr">
        <is>
          <t>NAM</t>
        </is>
      </c>
      <c r="CR46" t="inlineStr">
        <is>
          <t>NAM</t>
        </is>
      </c>
      <c r="CS46" t="inlineStr">
        <is>
          <t>NAM</t>
        </is>
      </c>
      <c r="CT46" t="inlineStr">
        <is>
          <t>NAM</t>
        </is>
      </c>
      <c r="CU46" t="inlineStr">
        <is>
          <t>NAM</t>
        </is>
      </c>
      <c r="CV46" t="inlineStr">
        <is>
          <t>AGO</t>
        </is>
      </c>
      <c r="CW46" t="inlineStr">
        <is>
          <t>AGO</t>
        </is>
      </c>
      <c r="CX46" t="inlineStr">
        <is>
          <t>AGO</t>
        </is>
      </c>
      <c r="CY46" t="inlineStr">
        <is>
          <t>AGO</t>
        </is>
      </c>
      <c r="CZ46" t="inlineStr">
        <is>
          <t>AGO</t>
        </is>
      </c>
      <c r="DA46" t="inlineStr">
        <is>
          <t>AGO</t>
        </is>
      </c>
      <c r="DB46" t="inlineStr">
        <is>
          <t>NAM</t>
        </is>
      </c>
      <c r="DC46" t="inlineStr">
        <is>
          <t>NAM</t>
        </is>
      </c>
      <c r="DD46" t="inlineStr">
        <is>
          <t>NAM</t>
        </is>
      </c>
      <c r="DE46" t="inlineStr">
        <is>
          <t>NAM</t>
        </is>
      </c>
      <c r="DF46" t="inlineStr">
        <is>
          <t>NAM</t>
        </is>
      </c>
      <c r="DG46" t="inlineStr">
        <is>
          <t>NAM</t>
        </is>
      </c>
      <c r="DH46" t="inlineStr">
        <is>
          <t>BWA</t>
        </is>
      </c>
      <c r="DI46" t="inlineStr">
        <is>
          <t>ZMB</t>
        </is>
      </c>
      <c r="DJ46" t="inlineStr">
        <is>
          <t>ZMB</t>
        </is>
      </c>
      <c r="DK46" t="inlineStr">
        <is>
          <t>ZMB</t>
        </is>
      </c>
      <c r="DL46" t="inlineStr">
        <is>
          <t>ZWE</t>
        </is>
      </c>
      <c r="DM46" t="inlineStr">
        <is>
          <t>ZWE</t>
        </is>
      </c>
      <c r="DN46" t="inlineStr">
        <is>
          <t>ZWE</t>
        </is>
      </c>
      <c r="DO46" t="inlineStr">
        <is>
          <t>ZWE</t>
        </is>
      </c>
      <c r="DP46" t="inlineStr">
        <is>
          <t>ZWE</t>
        </is>
      </c>
      <c r="DQ46" t="inlineStr">
        <is>
          <t>ZWE</t>
        </is>
      </c>
      <c r="DR46" t="inlineStr">
        <is>
          <t>ZWE</t>
        </is>
      </c>
      <c r="DS46" t="inlineStr">
        <is>
          <t>ZWE</t>
        </is>
      </c>
      <c r="DT46" t="inlineStr">
        <is>
          <t>ZWE</t>
        </is>
      </c>
      <c r="DU46" t="inlineStr">
        <is>
          <t>ZWE</t>
        </is>
      </c>
      <c r="DV46" t="inlineStr">
        <is>
          <t>ZWE</t>
        </is>
      </c>
      <c r="DW46" t="inlineStr">
        <is>
          <t>ZWE</t>
        </is>
      </c>
      <c r="DX46" t="inlineStr">
        <is>
          <t>MOZ</t>
        </is>
      </c>
      <c r="DY46" t="inlineStr">
        <is>
          <t>MOZ</t>
        </is>
      </c>
      <c r="DZ46" t="inlineStr">
        <is>
          <t>MOZ</t>
        </is>
      </c>
      <c r="EA46" t="inlineStr">
        <is>
          <t>MOZ</t>
        </is>
      </c>
      <c r="EB46" t="inlineStr">
        <is>
          <t>MOZ</t>
        </is>
      </c>
      <c r="EC46" t="inlineStr">
        <is>
          <t>MOZ</t>
        </is>
      </c>
      <c r="ED46" t="inlineStr">
        <is>
          <t>MOZ</t>
        </is>
      </c>
      <c r="EE46" t="inlineStr">
        <is>
          <t>MOZ</t>
        </is>
      </c>
      <c r="ET46" t="inlineStr">
        <is>
          <t>MDG</t>
        </is>
      </c>
      <c r="EU46" t="inlineStr">
        <is>
          <t>MDG</t>
        </is>
      </c>
      <c r="EV46" t="inlineStr">
        <is>
          <t>MDG</t>
        </is>
      </c>
      <c r="EW46" t="inlineStr">
        <is>
          <t>MDG</t>
        </is>
      </c>
      <c r="EX46" t="inlineStr">
        <is>
          <t>MDG</t>
        </is>
      </c>
      <c r="EY46" t="inlineStr">
        <is>
          <t>MDG</t>
        </is>
      </c>
      <c r="EZ46" t="inlineStr">
        <is>
          <t>MDG</t>
        </is>
      </c>
      <c r="FA46" t="inlineStr">
        <is>
          <t>MDG</t>
        </is>
      </c>
      <c r="FB46" t="inlineStr">
        <is>
          <t>MDG</t>
        </is>
      </c>
      <c r="FC46" t="inlineStr">
        <is>
          <t>MDG</t>
        </is>
      </c>
      <c r="FD46" t="inlineStr">
        <is>
          <t>MDG</t>
        </is>
      </c>
    </row>
    <row r="47">
      <c r="CG47" t="inlineStr">
        <is>
          <t>AGO</t>
        </is>
      </c>
      <c r="CH47" t="inlineStr">
        <is>
          <t>NAM</t>
        </is>
      </c>
      <c r="CI47" t="inlineStr">
        <is>
          <t>NAM</t>
        </is>
      </c>
      <c r="CJ47" t="inlineStr">
        <is>
          <t>NAM</t>
        </is>
      </c>
      <c r="CK47" t="inlineStr">
        <is>
          <t>NAM</t>
        </is>
      </c>
      <c r="CL47" t="inlineStr">
        <is>
          <t>AGO</t>
        </is>
      </c>
      <c r="CM47" t="inlineStr">
        <is>
          <t>AGO</t>
        </is>
      </c>
      <c r="CN47" t="inlineStr">
        <is>
          <t>AGO</t>
        </is>
      </c>
      <c r="CO47" t="inlineStr">
        <is>
          <t>AGO</t>
        </is>
      </c>
      <c r="CP47" t="inlineStr">
        <is>
          <t>AGO</t>
        </is>
      </c>
      <c r="CQ47" t="inlineStr">
        <is>
          <t>AGO</t>
        </is>
      </c>
      <c r="CR47" t="inlineStr">
        <is>
          <t>AGO</t>
        </is>
      </c>
      <c r="CS47" t="inlineStr">
        <is>
          <t>AGO</t>
        </is>
      </c>
      <c r="CT47" t="inlineStr">
        <is>
          <t>AGO</t>
        </is>
      </c>
      <c r="CU47" t="inlineStr">
        <is>
          <t>AGO</t>
        </is>
      </c>
      <c r="CV47" t="inlineStr">
        <is>
          <t>AGO</t>
        </is>
      </c>
      <c r="CW47" t="inlineStr">
        <is>
          <t>AGO</t>
        </is>
      </c>
      <c r="CX47" t="inlineStr">
        <is>
          <t>AGO</t>
        </is>
      </c>
      <c r="CY47" t="inlineStr">
        <is>
          <t>AGO</t>
        </is>
      </c>
      <c r="CZ47" t="inlineStr">
        <is>
          <t>AGO</t>
        </is>
      </c>
      <c r="DA47" t="inlineStr">
        <is>
          <t>AGO</t>
        </is>
      </c>
      <c r="DB47" t="inlineStr">
        <is>
          <t>AGO</t>
        </is>
      </c>
      <c r="DC47" t="inlineStr">
        <is>
          <t>AGO</t>
        </is>
      </c>
      <c r="DD47" t="inlineStr">
        <is>
          <t>ZMB</t>
        </is>
      </c>
      <c r="DE47" t="inlineStr">
        <is>
          <t>ZMB</t>
        </is>
      </c>
      <c r="DF47" t="inlineStr">
        <is>
          <t>ZMB</t>
        </is>
      </c>
      <c r="DG47" t="inlineStr">
        <is>
          <t>ZMB</t>
        </is>
      </c>
      <c r="DH47" t="inlineStr">
        <is>
          <t>ZMB</t>
        </is>
      </c>
      <c r="DI47" t="inlineStr">
        <is>
          <t>ZMB</t>
        </is>
      </c>
      <c r="DJ47" t="inlineStr">
        <is>
          <t>ZMB</t>
        </is>
      </c>
      <c r="DK47" t="inlineStr">
        <is>
          <t>ZMB</t>
        </is>
      </c>
      <c r="DL47" t="inlineStr">
        <is>
          <t>ZMB</t>
        </is>
      </c>
      <c r="DM47" t="inlineStr">
        <is>
          <t>ZWE</t>
        </is>
      </c>
      <c r="DN47" t="inlineStr">
        <is>
          <t>ZWE</t>
        </is>
      </c>
      <c r="DO47" t="inlineStr">
        <is>
          <t>ZWE</t>
        </is>
      </c>
      <c r="DP47" t="inlineStr">
        <is>
          <t>ZWE</t>
        </is>
      </c>
      <c r="DQ47" t="inlineStr">
        <is>
          <t>ZWE</t>
        </is>
      </c>
      <c r="DR47" t="inlineStr">
        <is>
          <t>ZWE</t>
        </is>
      </c>
      <c r="DS47" t="inlineStr">
        <is>
          <t>ZWE</t>
        </is>
      </c>
      <c r="DT47" t="inlineStr">
        <is>
          <t>ZWE</t>
        </is>
      </c>
      <c r="DU47" t="inlineStr">
        <is>
          <t>ZWE</t>
        </is>
      </c>
      <c r="DV47" t="inlineStr">
        <is>
          <t>ZWE</t>
        </is>
      </c>
      <c r="DW47" t="inlineStr">
        <is>
          <t>ZWE</t>
        </is>
      </c>
      <c r="DX47" t="inlineStr">
        <is>
          <t>MOZ</t>
        </is>
      </c>
      <c r="DY47" t="inlineStr">
        <is>
          <t>MOZ</t>
        </is>
      </c>
      <c r="DZ47" t="inlineStr">
        <is>
          <t>MOZ</t>
        </is>
      </c>
      <c r="EA47" t="inlineStr">
        <is>
          <t>MOZ</t>
        </is>
      </c>
      <c r="EB47" t="inlineStr">
        <is>
          <t>MOZ</t>
        </is>
      </c>
      <c r="EC47" t="inlineStr">
        <is>
          <t>MOZ</t>
        </is>
      </c>
      <c r="ED47" t="inlineStr">
        <is>
          <t>MOZ</t>
        </is>
      </c>
      <c r="EE47" t="inlineStr">
        <is>
          <t>MOZ</t>
        </is>
      </c>
      <c r="EF47" t="inlineStr">
        <is>
          <t>MOZ</t>
        </is>
      </c>
      <c r="EG47" t="inlineStr">
        <is>
          <t>MOZ</t>
        </is>
      </c>
      <c r="ET47" t="inlineStr">
        <is>
          <t>MDG</t>
        </is>
      </c>
      <c r="EU47" t="inlineStr">
        <is>
          <t>MDG</t>
        </is>
      </c>
      <c r="EV47" t="inlineStr">
        <is>
          <t>MDG</t>
        </is>
      </c>
      <c r="EW47" t="inlineStr">
        <is>
          <t>MDG</t>
        </is>
      </c>
      <c r="EX47" t="inlineStr">
        <is>
          <t>MDG</t>
        </is>
      </c>
      <c r="EY47" t="inlineStr">
        <is>
          <t>MDG</t>
        </is>
      </c>
      <c r="EZ47" t="inlineStr">
        <is>
          <t>MDG</t>
        </is>
      </c>
      <c r="FA47" t="inlineStr">
        <is>
          <t>MDG</t>
        </is>
      </c>
      <c r="FB47" t="inlineStr">
        <is>
          <t>MDG</t>
        </is>
      </c>
      <c r="FC47" t="inlineStr">
        <is>
          <t>MDG</t>
        </is>
      </c>
      <c r="FD47" t="inlineStr">
        <is>
          <t>MDG</t>
        </is>
      </c>
    </row>
    <row r="48">
      <c r="CG48" t="inlineStr">
        <is>
          <t>AGO</t>
        </is>
      </c>
      <c r="CH48" t="inlineStr">
        <is>
          <t>AGO</t>
        </is>
      </c>
      <c r="CI48" t="inlineStr">
        <is>
          <t>AGO</t>
        </is>
      </c>
      <c r="CJ48" t="inlineStr">
        <is>
          <t>AGO</t>
        </is>
      </c>
      <c r="CK48" t="inlineStr">
        <is>
          <t>AGO</t>
        </is>
      </c>
      <c r="CL48" t="inlineStr">
        <is>
          <t>AGO</t>
        </is>
      </c>
      <c r="CM48" t="inlineStr">
        <is>
          <t>AGO</t>
        </is>
      </c>
      <c r="CN48" t="inlineStr">
        <is>
          <t>AGO</t>
        </is>
      </c>
      <c r="CO48" t="inlineStr">
        <is>
          <t>AGO</t>
        </is>
      </c>
      <c r="CP48" t="inlineStr">
        <is>
          <t>AGO</t>
        </is>
      </c>
      <c r="CQ48" t="inlineStr">
        <is>
          <t>AGO</t>
        </is>
      </c>
      <c r="CR48" t="inlineStr">
        <is>
          <t>AGO</t>
        </is>
      </c>
      <c r="CS48" t="inlineStr">
        <is>
          <t>AGO</t>
        </is>
      </c>
      <c r="CT48" t="inlineStr">
        <is>
          <t>AGO</t>
        </is>
      </c>
      <c r="CU48" t="inlineStr">
        <is>
          <t>AGO</t>
        </is>
      </c>
      <c r="CV48" t="inlineStr">
        <is>
          <t>AGO</t>
        </is>
      </c>
      <c r="CW48" t="inlineStr">
        <is>
          <t>AGO</t>
        </is>
      </c>
      <c r="CX48" t="inlineStr">
        <is>
          <t>AGO</t>
        </is>
      </c>
      <c r="CY48" t="inlineStr">
        <is>
          <t>AGO</t>
        </is>
      </c>
      <c r="CZ48" t="inlineStr">
        <is>
          <t>AGO</t>
        </is>
      </c>
      <c r="DA48" t="inlineStr">
        <is>
          <t>AGO</t>
        </is>
      </c>
      <c r="DB48" t="inlineStr">
        <is>
          <t>AGO</t>
        </is>
      </c>
      <c r="DC48" t="inlineStr">
        <is>
          <t>ZMB</t>
        </is>
      </c>
      <c r="DD48" t="inlineStr">
        <is>
          <t>ZMB</t>
        </is>
      </c>
      <c r="DE48" t="inlineStr">
        <is>
          <t>ZMB</t>
        </is>
      </c>
      <c r="DF48" t="inlineStr">
        <is>
          <t>ZMB</t>
        </is>
      </c>
      <c r="DG48" t="inlineStr">
        <is>
          <t>ZMB</t>
        </is>
      </c>
      <c r="DH48" t="inlineStr">
        <is>
          <t>ZMB</t>
        </is>
      </c>
      <c r="DI48" t="inlineStr">
        <is>
          <t>ZMB</t>
        </is>
      </c>
      <c r="DJ48" t="inlineStr">
        <is>
          <t>ZMB</t>
        </is>
      </c>
      <c r="DK48" t="inlineStr">
        <is>
          <t>ZMB</t>
        </is>
      </c>
      <c r="DL48" t="inlineStr">
        <is>
          <t>ZMB</t>
        </is>
      </c>
      <c r="DM48" t="inlineStr">
        <is>
          <t>ZMB</t>
        </is>
      </c>
      <c r="DN48" t="inlineStr">
        <is>
          <t>ZWE</t>
        </is>
      </c>
      <c r="DO48" t="inlineStr">
        <is>
          <t>ZWE</t>
        </is>
      </c>
      <c r="DP48" t="inlineStr">
        <is>
          <t>ZWE</t>
        </is>
      </c>
      <c r="DQ48" t="inlineStr">
        <is>
          <t>ZWE</t>
        </is>
      </c>
      <c r="DR48" t="inlineStr">
        <is>
          <t>ZWE</t>
        </is>
      </c>
      <c r="DS48" t="inlineStr">
        <is>
          <t>ZWE</t>
        </is>
      </c>
      <c r="DT48" t="inlineStr">
        <is>
          <t>ZWE</t>
        </is>
      </c>
      <c r="DU48" t="inlineStr">
        <is>
          <t>ZWE</t>
        </is>
      </c>
      <c r="DV48" t="inlineStr">
        <is>
          <t>ZWE</t>
        </is>
      </c>
      <c r="DW48" t="inlineStr">
        <is>
          <t>ZWE</t>
        </is>
      </c>
      <c r="DX48" t="inlineStr">
        <is>
          <t>MOZ</t>
        </is>
      </c>
      <c r="DY48" t="inlineStr">
        <is>
          <t>MOZ</t>
        </is>
      </c>
      <c r="DZ48" t="inlineStr">
        <is>
          <t>MOZ</t>
        </is>
      </c>
      <c r="EA48" t="inlineStr">
        <is>
          <t>MOZ</t>
        </is>
      </c>
      <c r="EB48" t="inlineStr">
        <is>
          <t>MOZ</t>
        </is>
      </c>
      <c r="EC48" t="inlineStr">
        <is>
          <t>MOZ</t>
        </is>
      </c>
      <c r="ED48" t="inlineStr">
        <is>
          <t>MOZ</t>
        </is>
      </c>
      <c r="EE48" t="inlineStr">
        <is>
          <t>MOZ</t>
        </is>
      </c>
      <c r="EF48" t="inlineStr">
        <is>
          <t>MOZ</t>
        </is>
      </c>
      <c r="EG48" t="inlineStr">
        <is>
          <t>MOZ</t>
        </is>
      </c>
      <c r="EH48" t="inlineStr">
        <is>
          <t>MOZ</t>
        </is>
      </c>
      <c r="EI48" t="inlineStr">
        <is>
          <t>MOZ</t>
        </is>
      </c>
      <c r="EJ48" t="inlineStr">
        <is>
          <t>MOZ</t>
        </is>
      </c>
      <c r="EU48" t="inlineStr">
        <is>
          <t>MDG</t>
        </is>
      </c>
      <c r="EV48" t="inlineStr">
        <is>
          <t>MDG</t>
        </is>
      </c>
      <c r="EW48" t="inlineStr">
        <is>
          <t>MDG</t>
        </is>
      </c>
      <c r="EX48" t="inlineStr">
        <is>
          <t>MDG</t>
        </is>
      </c>
      <c r="EY48" t="inlineStr">
        <is>
          <t>MDG</t>
        </is>
      </c>
      <c r="EZ48" t="inlineStr">
        <is>
          <t>MDG</t>
        </is>
      </c>
      <c r="FA48" t="inlineStr">
        <is>
          <t>MDG</t>
        </is>
      </c>
      <c r="FB48" t="inlineStr">
        <is>
          <t>MDG</t>
        </is>
      </c>
      <c r="FC48" t="inlineStr">
        <is>
          <t>MDG</t>
        </is>
      </c>
      <c r="FD48" t="inlineStr">
        <is>
          <t>MDG</t>
        </is>
      </c>
      <c r="FE48" t="inlineStr">
        <is>
          <t>MDG</t>
        </is>
      </c>
    </row>
    <row r="49">
      <c r="CG49" t="inlineStr">
        <is>
          <t>AGO</t>
        </is>
      </c>
      <c r="CH49" t="inlineStr">
        <is>
          <t>AGO</t>
        </is>
      </c>
      <c r="CI49" t="inlineStr">
        <is>
          <t>AGO</t>
        </is>
      </c>
      <c r="CJ49" t="inlineStr">
        <is>
          <t>AGO</t>
        </is>
      </c>
      <c r="CK49" t="inlineStr">
        <is>
          <t>AGO</t>
        </is>
      </c>
      <c r="CL49" t="inlineStr">
        <is>
          <t>AGO</t>
        </is>
      </c>
      <c r="CM49" t="inlineStr">
        <is>
          <t>AGO</t>
        </is>
      </c>
      <c r="CN49" t="inlineStr">
        <is>
          <t>AGO</t>
        </is>
      </c>
      <c r="CO49" t="inlineStr">
        <is>
          <t>AGO</t>
        </is>
      </c>
      <c r="CP49" t="inlineStr">
        <is>
          <t>AGO</t>
        </is>
      </c>
      <c r="CQ49" t="inlineStr">
        <is>
          <t>AGO</t>
        </is>
      </c>
      <c r="CR49" t="inlineStr">
        <is>
          <t>AGO</t>
        </is>
      </c>
      <c r="CS49" t="inlineStr">
        <is>
          <t>AGO</t>
        </is>
      </c>
      <c r="CT49" t="inlineStr">
        <is>
          <t>AGO</t>
        </is>
      </c>
      <c r="CU49" t="inlineStr">
        <is>
          <t>AGO</t>
        </is>
      </c>
      <c r="CV49" t="inlineStr">
        <is>
          <t>AGO</t>
        </is>
      </c>
      <c r="CW49" t="inlineStr">
        <is>
          <t>AGO</t>
        </is>
      </c>
      <c r="CX49" t="inlineStr">
        <is>
          <t>AGO</t>
        </is>
      </c>
      <c r="CY49" t="inlineStr">
        <is>
          <t>AGO</t>
        </is>
      </c>
      <c r="CZ49" t="inlineStr">
        <is>
          <t>AGO</t>
        </is>
      </c>
      <c r="DA49" t="inlineStr">
        <is>
          <t>AGO</t>
        </is>
      </c>
      <c r="DB49" t="inlineStr">
        <is>
          <t>ZMB</t>
        </is>
      </c>
      <c r="DC49" t="inlineStr">
        <is>
          <t>ZMB</t>
        </is>
      </c>
      <c r="DD49" t="inlineStr">
        <is>
          <t>ZMB</t>
        </is>
      </c>
      <c r="DE49" t="inlineStr">
        <is>
          <t>ZMB</t>
        </is>
      </c>
      <c r="DF49" t="inlineStr">
        <is>
          <t>ZMB</t>
        </is>
      </c>
      <c r="DG49" t="inlineStr">
        <is>
          <t>ZMB</t>
        </is>
      </c>
      <c r="DH49" t="inlineStr">
        <is>
          <t>ZMB</t>
        </is>
      </c>
      <c r="DI49" t="inlineStr">
        <is>
          <t>ZMB</t>
        </is>
      </c>
      <c r="DJ49" t="inlineStr">
        <is>
          <t>ZMB</t>
        </is>
      </c>
      <c r="DK49" t="inlineStr">
        <is>
          <t>ZMB</t>
        </is>
      </c>
      <c r="DL49" t="inlineStr">
        <is>
          <t>ZMB</t>
        </is>
      </c>
      <c r="DM49" t="inlineStr">
        <is>
          <t>ZMB</t>
        </is>
      </c>
      <c r="DN49" t="inlineStr">
        <is>
          <t>ZMB</t>
        </is>
      </c>
      <c r="DO49" t="inlineStr">
        <is>
          <t>ZMB</t>
        </is>
      </c>
      <c r="DP49" t="inlineStr">
        <is>
          <t>ZWE</t>
        </is>
      </c>
      <c r="DQ49" t="inlineStr">
        <is>
          <t>ZWE</t>
        </is>
      </c>
      <c r="DR49" t="inlineStr">
        <is>
          <t>ZWE</t>
        </is>
      </c>
      <c r="DS49" t="inlineStr">
        <is>
          <t>ZWE</t>
        </is>
      </c>
      <c r="DT49" t="inlineStr">
        <is>
          <t>ZWE</t>
        </is>
      </c>
      <c r="DU49" t="inlineStr">
        <is>
          <t>ZWE</t>
        </is>
      </c>
      <c r="DV49" t="inlineStr">
        <is>
          <t>MOZ</t>
        </is>
      </c>
      <c r="DW49" t="inlineStr">
        <is>
          <t>MOZ</t>
        </is>
      </c>
      <c r="DX49" t="inlineStr">
        <is>
          <t>MOZ</t>
        </is>
      </c>
      <c r="DY49" t="inlineStr">
        <is>
          <t>MOZ</t>
        </is>
      </c>
      <c r="DZ49" t="inlineStr">
        <is>
          <t>MOZ</t>
        </is>
      </c>
      <c r="EA49" t="inlineStr">
        <is>
          <t>MWI</t>
        </is>
      </c>
      <c r="EB49" t="inlineStr">
        <is>
          <t>MWI</t>
        </is>
      </c>
      <c r="EC49" t="inlineStr">
        <is>
          <t>MOZ</t>
        </is>
      </c>
      <c r="ED49" t="inlineStr">
        <is>
          <t>MOZ</t>
        </is>
      </c>
      <c r="EE49" t="inlineStr">
        <is>
          <t>MOZ</t>
        </is>
      </c>
      <c r="EF49" t="inlineStr">
        <is>
          <t>MOZ</t>
        </is>
      </c>
      <c r="EG49" t="inlineStr">
        <is>
          <t>MOZ</t>
        </is>
      </c>
      <c r="EH49" t="inlineStr">
        <is>
          <t>MOZ</t>
        </is>
      </c>
      <c r="EI49" t="inlineStr">
        <is>
          <t>MOZ</t>
        </is>
      </c>
      <c r="EJ49" t="inlineStr">
        <is>
          <t>MOZ</t>
        </is>
      </c>
      <c r="EK49" t="inlineStr">
        <is>
          <t>MOZ</t>
        </is>
      </c>
      <c r="EU49" t="inlineStr">
        <is>
          <t>MDG</t>
        </is>
      </c>
      <c r="EV49" t="inlineStr">
        <is>
          <t>MDG</t>
        </is>
      </c>
      <c r="EW49" t="inlineStr">
        <is>
          <t>MDG</t>
        </is>
      </c>
      <c r="EX49" t="inlineStr">
        <is>
          <t>MDG</t>
        </is>
      </c>
      <c r="EY49" t="inlineStr">
        <is>
          <t>MDG</t>
        </is>
      </c>
      <c r="EZ49" t="inlineStr">
        <is>
          <t>MDG</t>
        </is>
      </c>
      <c r="FA49" t="inlineStr">
        <is>
          <t>MDG</t>
        </is>
      </c>
      <c r="FB49" t="inlineStr">
        <is>
          <t>MDG</t>
        </is>
      </c>
      <c r="FC49" t="inlineStr">
        <is>
          <t>MDG</t>
        </is>
      </c>
      <c r="FD49" t="inlineStr">
        <is>
          <t>MDG</t>
        </is>
      </c>
      <c r="FE49" t="inlineStr">
        <is>
          <t>MDG</t>
        </is>
      </c>
    </row>
    <row r="50">
      <c r="CH50" t="inlineStr">
        <is>
          <t>AGO</t>
        </is>
      </c>
      <c r="CI50" t="inlineStr">
        <is>
          <t>AGO</t>
        </is>
      </c>
      <c r="CJ50" t="inlineStr">
        <is>
          <t>AGO</t>
        </is>
      </c>
      <c r="CK50" t="inlineStr">
        <is>
          <t>AGO</t>
        </is>
      </c>
      <c r="CL50" t="inlineStr">
        <is>
          <t>AGO</t>
        </is>
      </c>
      <c r="CM50" t="inlineStr">
        <is>
          <t>AGO</t>
        </is>
      </c>
      <c r="CN50" t="inlineStr">
        <is>
          <t>AGO</t>
        </is>
      </c>
      <c r="CO50" t="inlineStr">
        <is>
          <t>AGO</t>
        </is>
      </c>
      <c r="CP50" t="inlineStr">
        <is>
          <t>AGO</t>
        </is>
      </c>
      <c r="CQ50" t="inlineStr">
        <is>
          <t>AGO</t>
        </is>
      </c>
      <c r="CR50" t="inlineStr">
        <is>
          <t>AGO</t>
        </is>
      </c>
      <c r="CS50" t="inlineStr">
        <is>
          <t>AGO</t>
        </is>
      </c>
      <c r="CT50" t="inlineStr">
        <is>
          <t>AGO</t>
        </is>
      </c>
      <c r="CU50" t="inlineStr">
        <is>
          <t>AGO</t>
        </is>
      </c>
      <c r="CV50" t="inlineStr">
        <is>
          <t>AGO</t>
        </is>
      </c>
      <c r="CW50" t="inlineStr">
        <is>
          <t>AGO</t>
        </is>
      </c>
      <c r="CX50" t="inlineStr">
        <is>
          <t>AGO</t>
        </is>
      </c>
      <c r="CY50" t="inlineStr">
        <is>
          <t>AGO</t>
        </is>
      </c>
      <c r="CZ50" t="inlineStr">
        <is>
          <t>AGO</t>
        </is>
      </c>
      <c r="DA50" t="inlineStr">
        <is>
          <t>AGO</t>
        </is>
      </c>
      <c r="DB50" t="inlineStr">
        <is>
          <t>ZMB</t>
        </is>
      </c>
      <c r="DC50" t="inlineStr">
        <is>
          <t>ZMB</t>
        </is>
      </c>
      <c r="DD50" t="inlineStr">
        <is>
          <t>ZMB</t>
        </is>
      </c>
      <c r="DE50" t="inlineStr">
        <is>
          <t>ZMB</t>
        </is>
      </c>
      <c r="DF50" t="inlineStr">
        <is>
          <t>ZMB</t>
        </is>
      </c>
      <c r="DG50" t="inlineStr">
        <is>
          <t>ZMB</t>
        </is>
      </c>
      <c r="DH50" t="inlineStr">
        <is>
          <t>ZMB</t>
        </is>
      </c>
      <c r="DI50" t="inlineStr">
        <is>
          <t>ZMB</t>
        </is>
      </c>
      <c r="DJ50" t="inlineStr">
        <is>
          <t>ZMB</t>
        </is>
      </c>
      <c r="DK50" t="inlineStr">
        <is>
          <t>ZMB</t>
        </is>
      </c>
      <c r="DL50" t="inlineStr">
        <is>
          <t>ZMB</t>
        </is>
      </c>
      <c r="DM50" t="inlineStr">
        <is>
          <t>ZMB</t>
        </is>
      </c>
      <c r="DN50" t="inlineStr">
        <is>
          <t>ZMB</t>
        </is>
      </c>
      <c r="DO50" t="inlineStr">
        <is>
          <t>ZMB</t>
        </is>
      </c>
      <c r="DP50" t="inlineStr">
        <is>
          <t>ZMB</t>
        </is>
      </c>
      <c r="DQ50" t="inlineStr">
        <is>
          <t>ZWE</t>
        </is>
      </c>
      <c r="DR50" t="inlineStr">
        <is>
          <t>ZWE</t>
        </is>
      </c>
      <c r="DS50" t="inlineStr">
        <is>
          <t>MOZ</t>
        </is>
      </c>
      <c r="DT50" t="inlineStr">
        <is>
          <t>MOZ</t>
        </is>
      </c>
      <c r="DU50" t="inlineStr">
        <is>
          <t>MOZ</t>
        </is>
      </c>
      <c r="DV50" t="inlineStr">
        <is>
          <t>MOZ</t>
        </is>
      </c>
      <c r="DW50" t="inlineStr">
        <is>
          <t>MOZ</t>
        </is>
      </c>
      <c r="DX50" t="inlineStr">
        <is>
          <t>MOZ</t>
        </is>
      </c>
      <c r="DY50" t="inlineStr">
        <is>
          <t>MOZ</t>
        </is>
      </c>
      <c r="DZ50" t="inlineStr">
        <is>
          <t>MOZ</t>
        </is>
      </c>
      <c r="EA50" t="inlineStr">
        <is>
          <t>MWI</t>
        </is>
      </c>
      <c r="EB50" t="inlineStr">
        <is>
          <t>MWI</t>
        </is>
      </c>
      <c r="EC50" t="inlineStr">
        <is>
          <t>MWI</t>
        </is>
      </c>
      <c r="ED50" t="inlineStr">
        <is>
          <t>MOZ</t>
        </is>
      </c>
      <c r="EE50" t="inlineStr">
        <is>
          <t>MOZ</t>
        </is>
      </c>
      <c r="EF50" t="inlineStr">
        <is>
          <t>MOZ</t>
        </is>
      </c>
      <c r="EG50" t="inlineStr">
        <is>
          <t>MOZ</t>
        </is>
      </c>
      <c r="EH50" t="inlineStr">
        <is>
          <t>MOZ</t>
        </is>
      </c>
      <c r="EI50" t="inlineStr">
        <is>
          <t>MOZ</t>
        </is>
      </c>
      <c r="EJ50" t="inlineStr">
        <is>
          <t>MOZ</t>
        </is>
      </c>
      <c r="EK50" t="inlineStr">
        <is>
          <t>MOZ</t>
        </is>
      </c>
      <c r="EL50" t="inlineStr">
        <is>
          <t>MOZ</t>
        </is>
      </c>
      <c r="EY50" t="inlineStr">
        <is>
          <t>MDG</t>
        </is>
      </c>
      <c r="EZ50" t="inlineStr">
        <is>
          <t>MDG</t>
        </is>
      </c>
      <c r="FA50" t="inlineStr">
        <is>
          <t>MDG</t>
        </is>
      </c>
      <c r="FB50" t="inlineStr">
        <is>
          <t>MDG</t>
        </is>
      </c>
      <c r="FC50" t="inlineStr">
        <is>
          <t>MDG</t>
        </is>
      </c>
      <c r="FD50" t="inlineStr">
        <is>
          <t>MDG</t>
        </is>
      </c>
      <c r="FF50" t="inlineStr">
        <is>
          <t>MDG</t>
        </is>
      </c>
    </row>
    <row r="51">
      <c r="CH51" t="inlineStr">
        <is>
          <t>AGO</t>
        </is>
      </c>
      <c r="CI51" t="inlineStr">
        <is>
          <t>AGO</t>
        </is>
      </c>
      <c r="CJ51" t="inlineStr">
        <is>
          <t>AGO</t>
        </is>
      </c>
      <c r="CK51" t="inlineStr">
        <is>
          <t>AGO</t>
        </is>
      </c>
      <c r="CL51" t="inlineStr">
        <is>
          <t>AGO</t>
        </is>
      </c>
      <c r="CM51" t="inlineStr">
        <is>
          <t>AGO</t>
        </is>
      </c>
      <c r="CN51" t="inlineStr">
        <is>
          <t>AGO</t>
        </is>
      </c>
      <c r="CO51" t="inlineStr">
        <is>
          <t>AGO</t>
        </is>
      </c>
      <c r="CP51" t="inlineStr">
        <is>
          <t>AGO</t>
        </is>
      </c>
      <c r="CQ51" t="inlineStr">
        <is>
          <t>AGO</t>
        </is>
      </c>
      <c r="CR51" t="inlineStr">
        <is>
          <t>AGO</t>
        </is>
      </c>
      <c r="CS51" t="inlineStr">
        <is>
          <t>AGO</t>
        </is>
      </c>
      <c r="CT51" t="inlineStr">
        <is>
          <t>AGO</t>
        </is>
      </c>
      <c r="CU51" t="inlineStr">
        <is>
          <t>AGO</t>
        </is>
      </c>
      <c r="CV51" t="inlineStr">
        <is>
          <t>AGO</t>
        </is>
      </c>
      <c r="CW51" t="inlineStr">
        <is>
          <t>AGO</t>
        </is>
      </c>
      <c r="CX51" t="inlineStr">
        <is>
          <t>AGO</t>
        </is>
      </c>
      <c r="CY51" t="inlineStr">
        <is>
          <t>AGO</t>
        </is>
      </c>
      <c r="CZ51" t="inlineStr">
        <is>
          <t>AGO</t>
        </is>
      </c>
      <c r="DA51" t="inlineStr">
        <is>
          <t>AGO</t>
        </is>
      </c>
      <c r="DB51" t="inlineStr">
        <is>
          <t>ZMB</t>
        </is>
      </c>
      <c r="DC51" t="inlineStr">
        <is>
          <t>ZMB</t>
        </is>
      </c>
      <c r="DD51" t="inlineStr">
        <is>
          <t>ZMB</t>
        </is>
      </c>
      <c r="DE51" t="inlineStr">
        <is>
          <t>ZMB</t>
        </is>
      </c>
      <c r="DF51" t="inlineStr">
        <is>
          <t>ZMB</t>
        </is>
      </c>
      <c r="DG51" t="inlineStr">
        <is>
          <t>ZMB</t>
        </is>
      </c>
      <c r="DH51" t="inlineStr">
        <is>
          <t>ZMB</t>
        </is>
      </c>
      <c r="DI51" t="inlineStr">
        <is>
          <t>ZMB</t>
        </is>
      </c>
      <c r="DJ51" t="inlineStr">
        <is>
          <t>ZMB</t>
        </is>
      </c>
      <c r="DK51" t="inlineStr">
        <is>
          <t>ZMB</t>
        </is>
      </c>
      <c r="DL51" t="inlineStr">
        <is>
          <t>ZMB</t>
        </is>
      </c>
      <c r="DM51" t="inlineStr">
        <is>
          <t>ZMB</t>
        </is>
      </c>
      <c r="DN51" t="inlineStr">
        <is>
          <t>ZMB</t>
        </is>
      </c>
      <c r="DO51" t="inlineStr">
        <is>
          <t>ZMB</t>
        </is>
      </c>
      <c r="DP51" t="inlineStr">
        <is>
          <t>ZMB</t>
        </is>
      </c>
      <c r="DQ51" t="inlineStr">
        <is>
          <t>ZMB</t>
        </is>
      </c>
      <c r="DR51" t="inlineStr">
        <is>
          <t>MOZ</t>
        </is>
      </c>
      <c r="DS51" t="inlineStr">
        <is>
          <t>MOZ</t>
        </is>
      </c>
      <c r="DT51" t="inlineStr">
        <is>
          <t>MOZ</t>
        </is>
      </c>
      <c r="DU51" t="inlineStr">
        <is>
          <t>MOZ</t>
        </is>
      </c>
      <c r="DV51" t="inlineStr">
        <is>
          <t>MOZ</t>
        </is>
      </c>
      <c r="DW51" t="inlineStr">
        <is>
          <t>MOZ</t>
        </is>
      </c>
      <c r="DX51" t="inlineStr">
        <is>
          <t>MOZ</t>
        </is>
      </c>
      <c r="DY51" t="inlineStr">
        <is>
          <t>MOZ</t>
        </is>
      </c>
      <c r="DZ51" t="inlineStr">
        <is>
          <t>MOZ</t>
        </is>
      </c>
      <c r="EA51" t="inlineStr">
        <is>
          <t>MWI</t>
        </is>
      </c>
      <c r="EB51" t="inlineStr">
        <is>
          <t>MWI</t>
        </is>
      </c>
      <c r="EC51" t="inlineStr">
        <is>
          <t>MOZ</t>
        </is>
      </c>
      <c r="ED51" t="inlineStr">
        <is>
          <t>MOZ</t>
        </is>
      </c>
      <c r="EE51" t="inlineStr">
        <is>
          <t>MOZ</t>
        </is>
      </c>
      <c r="EF51" t="inlineStr">
        <is>
          <t>MOZ</t>
        </is>
      </c>
      <c r="EG51" t="inlineStr">
        <is>
          <t>MOZ</t>
        </is>
      </c>
      <c r="EH51" t="inlineStr">
        <is>
          <t>MOZ</t>
        </is>
      </c>
      <c r="EI51" t="inlineStr">
        <is>
          <t>MOZ</t>
        </is>
      </c>
      <c r="EJ51" t="inlineStr">
        <is>
          <t>MOZ</t>
        </is>
      </c>
      <c r="EK51" t="inlineStr">
        <is>
          <t>MOZ</t>
        </is>
      </c>
      <c r="EL51" t="inlineStr">
        <is>
          <t>MOZ</t>
        </is>
      </c>
      <c r="EZ51" t="inlineStr">
        <is>
          <t>MDG</t>
        </is>
      </c>
      <c r="FA51" t="inlineStr">
        <is>
          <t>MDG</t>
        </is>
      </c>
      <c r="FB51" t="inlineStr">
        <is>
          <t>MDG</t>
        </is>
      </c>
      <c r="FC51" t="inlineStr">
        <is>
          <t>MDG</t>
        </is>
      </c>
      <c r="FD51" t="inlineStr">
        <is>
          <t>MDG</t>
        </is>
      </c>
      <c r="FE51" t="inlineStr">
        <is>
          <t>MDG</t>
        </is>
      </c>
      <c r="FF51" t="inlineStr">
        <is>
          <t>MDG</t>
        </is>
      </c>
    </row>
    <row r="52">
      <c r="CH52" t="inlineStr">
        <is>
          <t>AGO</t>
        </is>
      </c>
      <c r="CI52" t="inlineStr">
        <is>
          <t>AGO</t>
        </is>
      </c>
      <c r="CJ52" t="inlineStr">
        <is>
          <t>AGO</t>
        </is>
      </c>
      <c r="CK52" t="inlineStr">
        <is>
          <t>AGO</t>
        </is>
      </c>
      <c r="CL52" t="inlineStr">
        <is>
          <t>AGO</t>
        </is>
      </c>
      <c r="CM52" t="inlineStr">
        <is>
          <t>AGO</t>
        </is>
      </c>
      <c r="CN52" t="inlineStr">
        <is>
          <t>AGO</t>
        </is>
      </c>
      <c r="CO52" t="inlineStr">
        <is>
          <t>AGO</t>
        </is>
      </c>
      <c r="CP52" t="inlineStr">
        <is>
          <t>AGO</t>
        </is>
      </c>
      <c r="CQ52" t="inlineStr">
        <is>
          <t>AGO</t>
        </is>
      </c>
      <c r="CR52" t="inlineStr">
        <is>
          <t>AGO</t>
        </is>
      </c>
      <c r="CS52" t="inlineStr">
        <is>
          <t>AGO</t>
        </is>
      </c>
      <c r="CT52" t="inlineStr">
        <is>
          <t>AGO</t>
        </is>
      </c>
      <c r="CU52" t="inlineStr">
        <is>
          <t>AGO</t>
        </is>
      </c>
      <c r="CV52" t="inlineStr">
        <is>
          <t>AGO</t>
        </is>
      </c>
      <c r="CW52" t="inlineStr">
        <is>
          <t>AGO</t>
        </is>
      </c>
      <c r="CX52" t="inlineStr">
        <is>
          <t>AGO</t>
        </is>
      </c>
      <c r="CY52" t="inlineStr">
        <is>
          <t>AGO</t>
        </is>
      </c>
      <c r="CZ52" t="inlineStr">
        <is>
          <t>AGO</t>
        </is>
      </c>
      <c r="DA52" t="inlineStr">
        <is>
          <t>AGO</t>
        </is>
      </c>
      <c r="DB52" t="inlineStr">
        <is>
          <t>ZMB</t>
        </is>
      </c>
      <c r="DC52" t="inlineStr">
        <is>
          <t>ZMB</t>
        </is>
      </c>
      <c r="DD52" t="inlineStr">
        <is>
          <t>ZMB</t>
        </is>
      </c>
      <c r="DE52" t="inlineStr">
        <is>
          <t>ZMB</t>
        </is>
      </c>
      <c r="DF52" t="inlineStr">
        <is>
          <t>ZMB</t>
        </is>
      </c>
      <c r="DG52" t="inlineStr">
        <is>
          <t>ZMB</t>
        </is>
      </c>
      <c r="DH52" t="inlineStr">
        <is>
          <t>ZMB</t>
        </is>
      </c>
      <c r="DI52" t="inlineStr">
        <is>
          <t>ZMB</t>
        </is>
      </c>
      <c r="DJ52" t="inlineStr">
        <is>
          <t>ZMB</t>
        </is>
      </c>
      <c r="DK52" t="inlineStr">
        <is>
          <t>ZMB</t>
        </is>
      </c>
      <c r="DL52" t="inlineStr">
        <is>
          <t>ZMB</t>
        </is>
      </c>
      <c r="DM52" t="inlineStr">
        <is>
          <t>ZMB</t>
        </is>
      </c>
      <c r="DN52" t="inlineStr">
        <is>
          <t>ZMB</t>
        </is>
      </c>
      <c r="DO52" t="inlineStr">
        <is>
          <t>ZMB</t>
        </is>
      </c>
      <c r="DP52" t="inlineStr">
        <is>
          <t>ZMB</t>
        </is>
      </c>
      <c r="DQ52" t="inlineStr">
        <is>
          <t>ZMB</t>
        </is>
      </c>
      <c r="DR52" t="inlineStr">
        <is>
          <t>ZMB</t>
        </is>
      </c>
      <c r="DS52" t="inlineStr">
        <is>
          <t>MOZ</t>
        </is>
      </c>
      <c r="DT52" t="inlineStr">
        <is>
          <t>MOZ</t>
        </is>
      </c>
      <c r="DU52" t="inlineStr">
        <is>
          <t>MOZ</t>
        </is>
      </c>
      <c r="DV52" t="inlineStr">
        <is>
          <t>MOZ</t>
        </is>
      </c>
      <c r="DW52" t="inlineStr">
        <is>
          <t>MOZ</t>
        </is>
      </c>
      <c r="DX52" t="inlineStr">
        <is>
          <t>MOZ</t>
        </is>
      </c>
      <c r="DY52" t="inlineStr">
        <is>
          <t>MOZ</t>
        </is>
      </c>
      <c r="DZ52" t="inlineStr">
        <is>
          <t>MOZ</t>
        </is>
      </c>
      <c r="EA52" t="inlineStr">
        <is>
          <t>MWI</t>
        </is>
      </c>
      <c r="EB52" t="inlineStr">
        <is>
          <t>MWI</t>
        </is>
      </c>
      <c r="EC52" t="inlineStr">
        <is>
          <t>MOZ</t>
        </is>
      </c>
      <c r="ED52" t="inlineStr">
        <is>
          <t>MOZ</t>
        </is>
      </c>
      <c r="EE52" t="inlineStr">
        <is>
          <t>MOZ</t>
        </is>
      </c>
      <c r="EF52" t="inlineStr">
        <is>
          <t>MOZ</t>
        </is>
      </c>
      <c r="EG52" t="inlineStr">
        <is>
          <t>MOZ</t>
        </is>
      </c>
      <c r="EH52" t="inlineStr">
        <is>
          <t>MOZ</t>
        </is>
      </c>
      <c r="EI52" t="inlineStr">
        <is>
          <t>MOZ</t>
        </is>
      </c>
      <c r="EJ52" t="inlineStr">
        <is>
          <t>MOZ</t>
        </is>
      </c>
      <c r="EK52" t="inlineStr">
        <is>
          <t>MOZ</t>
        </is>
      </c>
      <c r="EL52" t="inlineStr">
        <is>
          <t>MOZ</t>
        </is>
      </c>
      <c r="EM52" t="inlineStr">
        <is>
          <t>MOZ</t>
        </is>
      </c>
      <c r="FA52" t="inlineStr">
        <is>
          <t>MDG</t>
        </is>
      </c>
      <c r="FB52" t="inlineStr">
        <is>
          <t>MDG</t>
        </is>
      </c>
      <c r="FC52" t="inlineStr">
        <is>
          <t>MDG</t>
        </is>
      </c>
      <c r="FD52" t="inlineStr">
        <is>
          <t>MDG</t>
        </is>
      </c>
      <c r="FE52" t="inlineStr">
        <is>
          <t>MDG</t>
        </is>
      </c>
    </row>
    <row r="53">
      <c r="CH53" t="inlineStr">
        <is>
          <t>AGO</t>
        </is>
      </c>
      <c r="CI53" t="inlineStr">
        <is>
          <t>AGO</t>
        </is>
      </c>
      <c r="CJ53" t="inlineStr">
        <is>
          <t>AGO</t>
        </is>
      </c>
      <c r="CK53" t="inlineStr">
        <is>
          <t>AGO</t>
        </is>
      </c>
      <c r="CL53" t="inlineStr">
        <is>
          <t>AGO</t>
        </is>
      </c>
      <c r="CM53" t="inlineStr">
        <is>
          <t>AGO</t>
        </is>
      </c>
      <c r="CN53" t="inlineStr">
        <is>
          <t>AGO</t>
        </is>
      </c>
      <c r="CO53" t="inlineStr">
        <is>
          <t>AGO</t>
        </is>
      </c>
      <c r="CP53" t="inlineStr">
        <is>
          <t>AGO</t>
        </is>
      </c>
      <c r="CQ53" t="inlineStr">
        <is>
          <t>AGO</t>
        </is>
      </c>
      <c r="CR53" t="inlineStr">
        <is>
          <t>AGO</t>
        </is>
      </c>
      <c r="CS53" t="inlineStr">
        <is>
          <t>AGO</t>
        </is>
      </c>
      <c r="CT53" t="inlineStr">
        <is>
          <t>AGO</t>
        </is>
      </c>
      <c r="CU53" t="inlineStr">
        <is>
          <t>AGO</t>
        </is>
      </c>
      <c r="CV53" t="inlineStr">
        <is>
          <t>AGO</t>
        </is>
      </c>
      <c r="CW53" t="inlineStr">
        <is>
          <t>AGO</t>
        </is>
      </c>
      <c r="CX53" t="inlineStr">
        <is>
          <t>AGO</t>
        </is>
      </c>
      <c r="CY53" t="inlineStr">
        <is>
          <t>AGO</t>
        </is>
      </c>
      <c r="CZ53" t="inlineStr">
        <is>
          <t>AGO</t>
        </is>
      </c>
      <c r="DA53" t="inlineStr">
        <is>
          <t>AGO</t>
        </is>
      </c>
      <c r="DB53" t="inlineStr">
        <is>
          <t>ZMB</t>
        </is>
      </c>
      <c r="DC53" t="inlineStr">
        <is>
          <t>ZMB</t>
        </is>
      </c>
      <c r="DD53" t="inlineStr">
        <is>
          <t>ZMB</t>
        </is>
      </c>
      <c r="DE53" t="inlineStr">
        <is>
          <t>ZMB</t>
        </is>
      </c>
      <c r="DF53" t="inlineStr">
        <is>
          <t>ZMB</t>
        </is>
      </c>
      <c r="DG53" t="inlineStr">
        <is>
          <t>ZMB</t>
        </is>
      </c>
      <c r="DH53" t="inlineStr">
        <is>
          <t>ZMB</t>
        </is>
      </c>
      <c r="DI53" t="inlineStr">
        <is>
          <t>ZMB</t>
        </is>
      </c>
      <c r="DJ53" t="inlineStr">
        <is>
          <t>ZMB</t>
        </is>
      </c>
      <c r="DK53" t="inlineStr">
        <is>
          <t>ZMB</t>
        </is>
      </c>
      <c r="DL53" t="inlineStr">
        <is>
          <t>ZMB</t>
        </is>
      </c>
      <c r="DM53" t="inlineStr">
        <is>
          <t>ZMB</t>
        </is>
      </c>
      <c r="DN53" t="inlineStr">
        <is>
          <t>ZMB</t>
        </is>
      </c>
      <c r="DO53" t="inlineStr">
        <is>
          <t>ZMB</t>
        </is>
      </c>
      <c r="DP53" t="inlineStr">
        <is>
          <t>ZMB</t>
        </is>
      </c>
      <c r="DQ53" t="inlineStr">
        <is>
          <t>ZMB</t>
        </is>
      </c>
      <c r="DR53" t="inlineStr">
        <is>
          <t>ZMB</t>
        </is>
      </c>
      <c r="DS53" t="inlineStr">
        <is>
          <t>ZMB</t>
        </is>
      </c>
      <c r="DT53" t="inlineStr">
        <is>
          <t>ZMB</t>
        </is>
      </c>
      <c r="DU53" t="inlineStr">
        <is>
          <t>ZMB</t>
        </is>
      </c>
      <c r="DV53" t="inlineStr">
        <is>
          <t>MOZ</t>
        </is>
      </c>
      <c r="DW53" t="inlineStr">
        <is>
          <t>MOZ</t>
        </is>
      </c>
      <c r="DX53" t="inlineStr">
        <is>
          <t>MOZ</t>
        </is>
      </c>
      <c r="DY53" t="inlineStr">
        <is>
          <t>MWI</t>
        </is>
      </c>
      <c r="DZ53" t="inlineStr">
        <is>
          <t>MWI</t>
        </is>
      </c>
      <c r="EA53" t="inlineStr">
        <is>
          <t>MWI</t>
        </is>
      </c>
      <c r="EB53" t="inlineStr">
        <is>
          <t>MWI</t>
        </is>
      </c>
      <c r="EC53" t="inlineStr">
        <is>
          <t>MOZ</t>
        </is>
      </c>
      <c r="ED53" t="inlineStr">
        <is>
          <t>MOZ</t>
        </is>
      </c>
      <c r="EE53" t="inlineStr">
        <is>
          <t>MOZ</t>
        </is>
      </c>
      <c r="EF53" t="inlineStr">
        <is>
          <t>MOZ</t>
        </is>
      </c>
      <c r="EG53" t="inlineStr">
        <is>
          <t>MOZ</t>
        </is>
      </c>
      <c r="EH53" t="inlineStr">
        <is>
          <t>MOZ</t>
        </is>
      </c>
      <c r="EI53" t="inlineStr">
        <is>
          <t>MOZ</t>
        </is>
      </c>
      <c r="EJ53" t="inlineStr">
        <is>
          <t>MOZ</t>
        </is>
      </c>
      <c r="EK53" t="inlineStr">
        <is>
          <t>MOZ</t>
        </is>
      </c>
      <c r="EL53" t="inlineStr">
        <is>
          <t>MOZ</t>
        </is>
      </c>
      <c r="FB53" t="inlineStr">
        <is>
          <t>MDG</t>
        </is>
      </c>
      <c r="FC53" t="inlineStr">
        <is>
          <t>MDG</t>
        </is>
      </c>
      <c r="FD53" t="inlineStr">
        <is>
          <t>MDG</t>
        </is>
      </c>
      <c r="FE53" t="inlineStr">
        <is>
          <t>MDG</t>
        </is>
      </c>
    </row>
    <row r="54">
      <c r="CI54" t="inlineStr">
        <is>
          <t>AGO</t>
        </is>
      </c>
      <c r="CJ54" t="inlineStr">
        <is>
          <t>AGO</t>
        </is>
      </c>
      <c r="CK54" t="inlineStr">
        <is>
          <t>AGO</t>
        </is>
      </c>
      <c r="CL54" t="inlineStr">
        <is>
          <t>AGO</t>
        </is>
      </c>
      <c r="CM54" t="inlineStr">
        <is>
          <t>AGO</t>
        </is>
      </c>
      <c r="CN54" t="inlineStr">
        <is>
          <t>AGO</t>
        </is>
      </c>
      <c r="CO54" t="inlineStr">
        <is>
          <t>AGO</t>
        </is>
      </c>
      <c r="CP54" t="inlineStr">
        <is>
          <t>AGO</t>
        </is>
      </c>
      <c r="CQ54" t="inlineStr">
        <is>
          <t>AGO</t>
        </is>
      </c>
      <c r="CR54" t="inlineStr">
        <is>
          <t>AGO</t>
        </is>
      </c>
      <c r="CS54" t="inlineStr">
        <is>
          <t>AGO</t>
        </is>
      </c>
      <c r="CT54" t="inlineStr">
        <is>
          <t>AGO</t>
        </is>
      </c>
      <c r="CU54" t="inlineStr">
        <is>
          <t>AGO</t>
        </is>
      </c>
      <c r="CV54" t="inlineStr">
        <is>
          <t>AGO</t>
        </is>
      </c>
      <c r="CW54" t="inlineStr">
        <is>
          <t>AGO</t>
        </is>
      </c>
      <c r="CX54" t="inlineStr">
        <is>
          <t>AGO</t>
        </is>
      </c>
      <c r="CY54" t="inlineStr">
        <is>
          <t>AGO</t>
        </is>
      </c>
      <c r="CZ54" t="inlineStr">
        <is>
          <t>AGO</t>
        </is>
      </c>
      <c r="DA54" t="inlineStr">
        <is>
          <t>AGO</t>
        </is>
      </c>
      <c r="DB54" t="inlineStr">
        <is>
          <t>ZMB</t>
        </is>
      </c>
      <c r="DC54" t="inlineStr">
        <is>
          <t>ZMB</t>
        </is>
      </c>
      <c r="DD54" t="inlineStr">
        <is>
          <t>ZMB</t>
        </is>
      </c>
      <c r="DE54" t="inlineStr">
        <is>
          <t>ZMB</t>
        </is>
      </c>
      <c r="DF54" t="inlineStr">
        <is>
          <t>ZMB</t>
        </is>
      </c>
      <c r="DG54" t="inlineStr">
        <is>
          <t>ZMB</t>
        </is>
      </c>
      <c r="DH54" t="inlineStr">
        <is>
          <t>ZMB</t>
        </is>
      </c>
      <c r="DI54" t="inlineStr">
        <is>
          <t>ZMB</t>
        </is>
      </c>
      <c r="DJ54" t="inlineStr">
        <is>
          <t>ZMB</t>
        </is>
      </c>
      <c r="DK54" t="inlineStr">
        <is>
          <t>ZMB</t>
        </is>
      </c>
      <c r="DL54" t="inlineStr">
        <is>
          <t>ZMB</t>
        </is>
      </c>
      <c r="DM54" t="inlineStr">
        <is>
          <t>ZMB</t>
        </is>
      </c>
      <c r="DN54" t="inlineStr">
        <is>
          <t>ZMB</t>
        </is>
      </c>
      <c r="DO54" t="inlineStr">
        <is>
          <t>ZMB</t>
        </is>
      </c>
      <c r="DP54" t="inlineStr">
        <is>
          <t>ZMB</t>
        </is>
      </c>
      <c r="DQ54" t="inlineStr">
        <is>
          <t>ZMB</t>
        </is>
      </c>
      <c r="DR54" t="inlineStr">
        <is>
          <t>ZMB</t>
        </is>
      </c>
      <c r="DS54" t="inlineStr">
        <is>
          <t>ZMB</t>
        </is>
      </c>
      <c r="DT54" t="inlineStr">
        <is>
          <t>ZMB</t>
        </is>
      </c>
      <c r="DU54" t="inlineStr">
        <is>
          <t>ZMB</t>
        </is>
      </c>
      <c r="DV54" t="inlineStr">
        <is>
          <t>ZMB</t>
        </is>
      </c>
      <c r="DW54" t="inlineStr">
        <is>
          <t>ZMB</t>
        </is>
      </c>
      <c r="DX54" t="inlineStr">
        <is>
          <t>MWI</t>
        </is>
      </c>
      <c r="DY54" t="inlineStr">
        <is>
          <t>MWI</t>
        </is>
      </c>
      <c r="DZ54" t="inlineStr">
        <is>
          <t>MWI</t>
        </is>
      </c>
      <c r="EA54" t="inlineStr">
        <is>
          <t>MWI</t>
        </is>
      </c>
      <c r="EB54" t="inlineStr">
        <is>
          <t>MOZ</t>
        </is>
      </c>
      <c r="EC54" t="inlineStr">
        <is>
          <t>MOZ</t>
        </is>
      </c>
      <c r="ED54" t="inlineStr">
        <is>
          <t>MOZ</t>
        </is>
      </c>
      <c r="EE54" t="inlineStr">
        <is>
          <t>MOZ</t>
        </is>
      </c>
      <c r="EF54" t="inlineStr">
        <is>
          <t>MOZ</t>
        </is>
      </c>
      <c r="EG54" t="inlineStr">
        <is>
          <t>MOZ</t>
        </is>
      </c>
      <c r="EH54" t="inlineStr">
        <is>
          <t>MOZ</t>
        </is>
      </c>
      <c r="EI54" t="inlineStr">
        <is>
          <t>MOZ</t>
        </is>
      </c>
      <c r="EJ54" t="inlineStr">
        <is>
          <t>MOZ</t>
        </is>
      </c>
      <c r="EK54" t="inlineStr">
        <is>
          <t>MOZ</t>
        </is>
      </c>
      <c r="EL54" t="inlineStr">
        <is>
          <t>MOZ</t>
        </is>
      </c>
      <c r="FC54" t="inlineStr">
        <is>
          <t>MDG</t>
        </is>
      </c>
      <c r="FD54" t="inlineStr">
        <is>
          <t>MDG</t>
        </is>
      </c>
      <c r="FE54" t="inlineStr">
        <is>
          <t>MDG</t>
        </is>
      </c>
    </row>
    <row r="55">
      <c r="CI55" t="inlineStr">
        <is>
          <t>AGO</t>
        </is>
      </c>
      <c r="CJ55" t="inlineStr">
        <is>
          <t>AGO</t>
        </is>
      </c>
      <c r="CK55" t="inlineStr">
        <is>
          <t>AGO</t>
        </is>
      </c>
      <c r="CL55" t="inlineStr">
        <is>
          <t>AGO</t>
        </is>
      </c>
      <c r="CM55" t="inlineStr">
        <is>
          <t>AGO</t>
        </is>
      </c>
      <c r="CN55" t="inlineStr">
        <is>
          <t>AGO</t>
        </is>
      </c>
      <c r="CO55" t="inlineStr">
        <is>
          <t>AGO</t>
        </is>
      </c>
      <c r="CP55" t="inlineStr">
        <is>
          <t>AGO</t>
        </is>
      </c>
      <c r="CQ55" t="inlineStr">
        <is>
          <t>AGO</t>
        </is>
      </c>
      <c r="CR55" t="inlineStr">
        <is>
          <t>AGO</t>
        </is>
      </c>
      <c r="CS55" t="inlineStr">
        <is>
          <t>AGO</t>
        </is>
      </c>
      <c r="CT55" t="inlineStr">
        <is>
          <t>AGO</t>
        </is>
      </c>
      <c r="CU55" t="inlineStr">
        <is>
          <t>AGO</t>
        </is>
      </c>
      <c r="CV55" t="inlineStr">
        <is>
          <t>AGO</t>
        </is>
      </c>
      <c r="CW55" t="inlineStr">
        <is>
          <t>AGO</t>
        </is>
      </c>
      <c r="CX55" t="inlineStr">
        <is>
          <t>AGO</t>
        </is>
      </c>
      <c r="CY55" t="inlineStr">
        <is>
          <t>AGO</t>
        </is>
      </c>
      <c r="CZ55" t="inlineStr">
        <is>
          <t>AGO</t>
        </is>
      </c>
      <c r="DA55" t="inlineStr">
        <is>
          <t>AGO</t>
        </is>
      </c>
      <c r="DB55" t="inlineStr">
        <is>
          <t>ZMB</t>
        </is>
      </c>
      <c r="DC55" t="inlineStr">
        <is>
          <t>ZMB</t>
        </is>
      </c>
      <c r="DD55" t="inlineStr">
        <is>
          <t>ZMB</t>
        </is>
      </c>
      <c r="DE55" t="inlineStr">
        <is>
          <t>ZMB</t>
        </is>
      </c>
      <c r="DF55" t="inlineStr">
        <is>
          <t>ZMB</t>
        </is>
      </c>
      <c r="DG55" t="inlineStr">
        <is>
          <t>ZMB</t>
        </is>
      </c>
      <c r="DH55" t="inlineStr">
        <is>
          <t>ZMB</t>
        </is>
      </c>
      <c r="DI55" t="inlineStr">
        <is>
          <t>ZMB</t>
        </is>
      </c>
      <c r="DJ55" t="inlineStr">
        <is>
          <t>ZMB</t>
        </is>
      </c>
      <c r="DK55" t="inlineStr">
        <is>
          <t>ZMB</t>
        </is>
      </c>
      <c r="DL55" t="inlineStr">
        <is>
          <t>ZMB</t>
        </is>
      </c>
      <c r="DM55" t="inlineStr">
        <is>
          <t>ZMB</t>
        </is>
      </c>
      <c r="DN55" t="inlineStr">
        <is>
          <t>ZMB</t>
        </is>
      </c>
      <c r="DO55" t="inlineStr">
        <is>
          <t>ZMB</t>
        </is>
      </c>
      <c r="DP55" t="inlineStr">
        <is>
          <t>COD</t>
        </is>
      </c>
      <c r="DQ55" t="inlineStr">
        <is>
          <t>ZMB</t>
        </is>
      </c>
      <c r="DR55" t="inlineStr">
        <is>
          <t>ZMB</t>
        </is>
      </c>
      <c r="DS55" t="inlineStr">
        <is>
          <t>ZMB</t>
        </is>
      </c>
      <c r="DT55" t="inlineStr">
        <is>
          <t>ZMB</t>
        </is>
      </c>
      <c r="DU55" t="inlineStr">
        <is>
          <t>ZMB</t>
        </is>
      </c>
      <c r="DV55" t="inlineStr">
        <is>
          <t>ZMB</t>
        </is>
      </c>
      <c r="DW55" t="inlineStr">
        <is>
          <t>ZMB</t>
        </is>
      </c>
      <c r="DX55" t="inlineStr">
        <is>
          <t>MWI</t>
        </is>
      </c>
      <c r="DY55" t="inlineStr">
        <is>
          <t>MWI</t>
        </is>
      </c>
      <c r="DZ55" t="inlineStr">
        <is>
          <t>MWI</t>
        </is>
      </c>
      <c r="EA55" t="inlineStr">
        <is>
          <t>MOZ</t>
        </is>
      </c>
      <c r="EB55" t="inlineStr">
        <is>
          <t>MOZ</t>
        </is>
      </c>
      <c r="EC55" t="inlineStr">
        <is>
          <t>MOZ</t>
        </is>
      </c>
      <c r="ED55" t="inlineStr">
        <is>
          <t>MOZ</t>
        </is>
      </c>
      <c r="EE55" t="inlineStr">
        <is>
          <t>MOZ</t>
        </is>
      </c>
      <c r="EF55" t="inlineStr">
        <is>
          <t>MOZ</t>
        </is>
      </c>
      <c r="EG55" t="inlineStr">
        <is>
          <t>MOZ</t>
        </is>
      </c>
      <c r="EH55" t="inlineStr">
        <is>
          <t>MOZ</t>
        </is>
      </c>
      <c r="EI55" t="inlineStr">
        <is>
          <t>MOZ</t>
        </is>
      </c>
      <c r="EJ55" t="inlineStr">
        <is>
          <t>MOZ</t>
        </is>
      </c>
      <c r="EK55" t="inlineStr">
        <is>
          <t>MOZ</t>
        </is>
      </c>
      <c r="EL55" t="inlineStr">
        <is>
          <t>MOZ</t>
        </is>
      </c>
      <c r="FC55" t="inlineStr">
        <is>
          <t>MDG</t>
        </is>
      </c>
      <c r="FD55" t="inlineStr">
        <is>
          <t>MDG</t>
        </is>
      </c>
      <c r="FE55" t="inlineStr">
        <is>
          <t>MDG</t>
        </is>
      </c>
    </row>
    <row r="56">
      <c r="CJ56" t="inlineStr">
        <is>
          <t>AGO</t>
        </is>
      </c>
      <c r="CK56" t="inlineStr">
        <is>
          <t>AGO</t>
        </is>
      </c>
      <c r="CL56" t="inlineStr">
        <is>
          <t>AGO</t>
        </is>
      </c>
      <c r="CM56" t="inlineStr">
        <is>
          <t>AGO</t>
        </is>
      </c>
      <c r="CN56" t="inlineStr">
        <is>
          <t>AGO</t>
        </is>
      </c>
      <c r="CO56" t="inlineStr">
        <is>
          <t>AGO</t>
        </is>
      </c>
      <c r="CP56" t="inlineStr">
        <is>
          <t>AGO</t>
        </is>
      </c>
      <c r="CQ56" t="inlineStr">
        <is>
          <t>AGO</t>
        </is>
      </c>
      <c r="CR56" t="inlineStr">
        <is>
          <t>AGO</t>
        </is>
      </c>
      <c r="CS56" t="inlineStr">
        <is>
          <t>AGO</t>
        </is>
      </c>
      <c r="CT56" t="inlineStr">
        <is>
          <t>AGO</t>
        </is>
      </c>
      <c r="CU56" t="inlineStr">
        <is>
          <t>AGO</t>
        </is>
      </c>
      <c r="CV56" t="inlineStr">
        <is>
          <t>AGO</t>
        </is>
      </c>
      <c r="CW56" t="inlineStr">
        <is>
          <t>AGO</t>
        </is>
      </c>
      <c r="CX56" t="inlineStr">
        <is>
          <t>AGO</t>
        </is>
      </c>
      <c r="CY56" t="inlineStr">
        <is>
          <t>AGO</t>
        </is>
      </c>
      <c r="CZ56" t="inlineStr">
        <is>
          <t>AGO</t>
        </is>
      </c>
      <c r="DA56" t="inlineStr">
        <is>
          <t>AGO</t>
        </is>
      </c>
      <c r="DB56" t="inlineStr">
        <is>
          <t>AGO</t>
        </is>
      </c>
      <c r="DC56" t="inlineStr">
        <is>
          <t>AGO</t>
        </is>
      </c>
      <c r="DD56" t="inlineStr">
        <is>
          <t>AGO</t>
        </is>
      </c>
      <c r="DE56" t="inlineStr">
        <is>
          <t>AGO</t>
        </is>
      </c>
      <c r="DF56" t="inlineStr">
        <is>
          <t>ZMB</t>
        </is>
      </c>
      <c r="DG56" t="inlineStr">
        <is>
          <t>ZMB</t>
        </is>
      </c>
      <c r="DH56" t="inlineStr">
        <is>
          <t>ZMB</t>
        </is>
      </c>
      <c r="DI56" t="inlineStr">
        <is>
          <t>ZMB</t>
        </is>
      </c>
      <c r="DJ56" t="inlineStr">
        <is>
          <t>ZMB</t>
        </is>
      </c>
      <c r="DK56" t="inlineStr">
        <is>
          <t>ZMB</t>
        </is>
      </c>
      <c r="DL56" t="inlineStr">
        <is>
          <t>ZMB</t>
        </is>
      </c>
      <c r="DM56" t="inlineStr">
        <is>
          <t>ZMB</t>
        </is>
      </c>
      <c r="DN56" t="inlineStr">
        <is>
          <t>ZMB</t>
        </is>
      </c>
      <c r="DO56" t="inlineStr">
        <is>
          <t>COD</t>
        </is>
      </c>
      <c r="DP56" t="inlineStr">
        <is>
          <t>COD</t>
        </is>
      </c>
      <c r="DQ56" t="inlineStr">
        <is>
          <t>ZMB</t>
        </is>
      </c>
      <c r="DR56" t="inlineStr">
        <is>
          <t>ZMB</t>
        </is>
      </c>
      <c r="DS56" t="inlineStr">
        <is>
          <t>ZMB</t>
        </is>
      </c>
      <c r="DT56" t="inlineStr">
        <is>
          <t>ZMB</t>
        </is>
      </c>
      <c r="DU56" t="inlineStr">
        <is>
          <t>ZMB</t>
        </is>
      </c>
      <c r="DV56" t="inlineStr">
        <is>
          <t>ZMB</t>
        </is>
      </c>
      <c r="DW56" t="inlineStr">
        <is>
          <t>ZMB</t>
        </is>
      </c>
      <c r="DX56" t="inlineStr">
        <is>
          <t>MWI</t>
        </is>
      </c>
      <c r="DY56" t="inlineStr">
        <is>
          <t>MWI</t>
        </is>
      </c>
      <c r="DZ56" t="inlineStr">
        <is>
          <t>MWI</t>
        </is>
      </c>
      <c r="EA56" t="inlineStr">
        <is>
          <t>MOZ</t>
        </is>
      </c>
      <c r="EB56" t="inlineStr">
        <is>
          <t>MOZ</t>
        </is>
      </c>
      <c r="EC56" t="inlineStr">
        <is>
          <t>MOZ</t>
        </is>
      </c>
      <c r="ED56" t="inlineStr">
        <is>
          <t>MOZ</t>
        </is>
      </c>
      <c r="EE56" t="inlineStr">
        <is>
          <t>MOZ</t>
        </is>
      </c>
      <c r="EF56" t="inlineStr">
        <is>
          <t>MOZ</t>
        </is>
      </c>
      <c r="EG56" t="inlineStr">
        <is>
          <t>MOZ</t>
        </is>
      </c>
      <c r="EH56" t="inlineStr">
        <is>
          <t>MOZ</t>
        </is>
      </c>
      <c r="EI56" t="inlineStr">
        <is>
          <t>MOZ</t>
        </is>
      </c>
      <c r="EJ56" t="inlineStr">
        <is>
          <t>MOZ</t>
        </is>
      </c>
      <c r="EK56" t="inlineStr">
        <is>
          <t>MOZ</t>
        </is>
      </c>
      <c r="EL56" t="inlineStr">
        <is>
          <t>MOZ</t>
        </is>
      </c>
      <c r="FD56" t="inlineStr">
        <is>
          <t>MDG</t>
        </is>
      </c>
    </row>
    <row r="57">
      <c r="CK57" t="inlineStr">
        <is>
          <t>AGO</t>
        </is>
      </c>
      <c r="CL57" t="inlineStr">
        <is>
          <t>AGO</t>
        </is>
      </c>
      <c r="CM57" t="inlineStr">
        <is>
          <t>AGO</t>
        </is>
      </c>
      <c r="CN57" t="inlineStr">
        <is>
          <t>AGO</t>
        </is>
      </c>
      <c r="CO57" t="inlineStr">
        <is>
          <t>AGO</t>
        </is>
      </c>
      <c r="CP57" t="inlineStr">
        <is>
          <t>AGO</t>
        </is>
      </c>
      <c r="CQ57" t="inlineStr">
        <is>
          <t>AGO</t>
        </is>
      </c>
      <c r="CR57" t="inlineStr">
        <is>
          <t>AGO</t>
        </is>
      </c>
      <c r="CS57" t="inlineStr">
        <is>
          <t>AGO</t>
        </is>
      </c>
      <c r="CT57" t="inlineStr">
        <is>
          <t>AGO</t>
        </is>
      </c>
      <c r="CU57" t="inlineStr">
        <is>
          <t>AGO</t>
        </is>
      </c>
      <c r="CV57" t="inlineStr">
        <is>
          <t>AGO</t>
        </is>
      </c>
      <c r="CW57" t="inlineStr">
        <is>
          <t>AGO</t>
        </is>
      </c>
      <c r="CX57" t="inlineStr">
        <is>
          <t>AGO</t>
        </is>
      </c>
      <c r="CY57" t="inlineStr">
        <is>
          <t>AGO</t>
        </is>
      </c>
      <c r="CZ57" t="inlineStr">
        <is>
          <t>AGO</t>
        </is>
      </c>
      <c r="DA57" t="inlineStr">
        <is>
          <t>AGO</t>
        </is>
      </c>
      <c r="DB57" t="inlineStr">
        <is>
          <t>AGO</t>
        </is>
      </c>
      <c r="DC57" t="inlineStr">
        <is>
          <t>AGO</t>
        </is>
      </c>
      <c r="DD57" t="inlineStr">
        <is>
          <t>AGO</t>
        </is>
      </c>
      <c r="DE57" t="inlineStr">
        <is>
          <t>AGO</t>
        </is>
      </c>
      <c r="DF57" t="inlineStr">
        <is>
          <t>ZMB</t>
        </is>
      </c>
      <c r="DG57" t="inlineStr">
        <is>
          <t>ZMB</t>
        </is>
      </c>
      <c r="DH57" t="inlineStr">
        <is>
          <t>ZMB</t>
        </is>
      </c>
      <c r="DI57" t="inlineStr">
        <is>
          <t>ZMB</t>
        </is>
      </c>
      <c r="DJ57" t="inlineStr">
        <is>
          <t>ZMB</t>
        </is>
      </c>
      <c r="DK57" t="inlineStr">
        <is>
          <t>ZMB</t>
        </is>
      </c>
      <c r="DL57" t="inlineStr">
        <is>
          <t>ZMB</t>
        </is>
      </c>
      <c r="DM57" t="inlineStr">
        <is>
          <t>ZMB</t>
        </is>
      </c>
      <c r="DN57" t="inlineStr">
        <is>
          <t>COD</t>
        </is>
      </c>
      <c r="DO57" t="inlineStr">
        <is>
          <t>COD</t>
        </is>
      </c>
      <c r="DP57" t="inlineStr">
        <is>
          <t>ZMB</t>
        </is>
      </c>
      <c r="DQ57" t="inlineStr">
        <is>
          <t>ZMB</t>
        </is>
      </c>
      <c r="DR57" t="inlineStr">
        <is>
          <t>ZMB</t>
        </is>
      </c>
      <c r="DS57" t="inlineStr">
        <is>
          <t>ZMB</t>
        </is>
      </c>
      <c r="DT57" t="inlineStr">
        <is>
          <t>ZMB</t>
        </is>
      </c>
      <c r="DU57" t="inlineStr">
        <is>
          <t>ZMB</t>
        </is>
      </c>
      <c r="DV57" t="inlineStr">
        <is>
          <t>ZMB</t>
        </is>
      </c>
      <c r="DW57" t="inlineStr">
        <is>
          <t>ZMB</t>
        </is>
      </c>
      <c r="DX57" t="inlineStr">
        <is>
          <t>ZMB</t>
        </is>
      </c>
      <c r="DY57" t="inlineStr">
        <is>
          <t>MWI</t>
        </is>
      </c>
      <c r="DZ57" t="inlineStr">
        <is>
          <t>MWI</t>
        </is>
      </c>
      <c r="EA57" t="inlineStr">
        <is>
          <t>MOZ</t>
        </is>
      </c>
      <c r="EB57" t="inlineStr">
        <is>
          <t>MOZ</t>
        </is>
      </c>
      <c r="EC57" t="inlineStr">
        <is>
          <t>MOZ</t>
        </is>
      </c>
      <c r="ED57" t="inlineStr">
        <is>
          <t>MOZ</t>
        </is>
      </c>
      <c r="EE57" t="inlineStr">
        <is>
          <t>MOZ</t>
        </is>
      </c>
      <c r="EF57" t="inlineStr">
        <is>
          <t>MOZ</t>
        </is>
      </c>
      <c r="EG57" t="inlineStr">
        <is>
          <t>MOZ</t>
        </is>
      </c>
      <c r="EH57" t="inlineStr">
        <is>
          <t>MOZ</t>
        </is>
      </c>
      <c r="EI57" t="inlineStr">
        <is>
          <t>MOZ</t>
        </is>
      </c>
      <c r="EJ57" t="inlineStr">
        <is>
          <t>MOZ</t>
        </is>
      </c>
      <c r="EK57" t="inlineStr">
        <is>
          <t>MOZ</t>
        </is>
      </c>
      <c r="EL57" t="inlineStr">
        <is>
          <t>MOZ</t>
        </is>
      </c>
      <c r="ER57" t="inlineStr">
        <is>
          <t>COM</t>
        </is>
      </c>
      <c r="ES57" t="inlineStr">
        <is>
          <t>COM</t>
        </is>
      </c>
      <c r="ET57" t="inlineStr">
        <is>
          <t>COM</t>
        </is>
      </c>
      <c r="FD57" t="inlineStr">
        <is>
          <t>MDG</t>
        </is>
      </c>
    </row>
    <row r="58">
      <c r="CK58" t="inlineStr">
        <is>
          <t>AGO</t>
        </is>
      </c>
      <c r="CL58" t="inlineStr">
        <is>
          <t>AGO</t>
        </is>
      </c>
      <c r="CM58" t="inlineStr">
        <is>
          <t>AGO</t>
        </is>
      </c>
      <c r="CN58" t="inlineStr">
        <is>
          <t>AGO</t>
        </is>
      </c>
      <c r="CO58" t="inlineStr">
        <is>
          <t>AGO</t>
        </is>
      </c>
      <c r="CP58" t="inlineStr">
        <is>
          <t>AGO</t>
        </is>
      </c>
      <c r="CQ58" t="inlineStr">
        <is>
          <t>AGO</t>
        </is>
      </c>
      <c r="CR58" t="inlineStr">
        <is>
          <t>AGO</t>
        </is>
      </c>
      <c r="CS58" t="inlineStr">
        <is>
          <t>AGO</t>
        </is>
      </c>
      <c r="CT58" t="inlineStr">
        <is>
          <t>AGO</t>
        </is>
      </c>
      <c r="CU58" t="inlineStr">
        <is>
          <t>AGO</t>
        </is>
      </c>
      <c r="CV58" t="inlineStr">
        <is>
          <t>AGO</t>
        </is>
      </c>
      <c r="CW58" t="inlineStr">
        <is>
          <t>AGO</t>
        </is>
      </c>
      <c r="CX58" t="inlineStr">
        <is>
          <t>AGO</t>
        </is>
      </c>
      <c r="CY58" t="inlineStr">
        <is>
          <t>AGO</t>
        </is>
      </c>
      <c r="CZ58" t="inlineStr">
        <is>
          <t>AGO</t>
        </is>
      </c>
      <c r="DA58" t="inlineStr">
        <is>
          <t>AGO</t>
        </is>
      </c>
      <c r="DB58" t="inlineStr">
        <is>
          <t>AGO</t>
        </is>
      </c>
      <c r="DC58" t="inlineStr">
        <is>
          <t>AGO</t>
        </is>
      </c>
      <c r="DD58" t="inlineStr">
        <is>
          <t>AGO</t>
        </is>
      </c>
      <c r="DE58" t="inlineStr">
        <is>
          <t>AGO</t>
        </is>
      </c>
      <c r="DF58" t="inlineStr">
        <is>
          <t>ZMB</t>
        </is>
      </c>
      <c r="DG58" t="inlineStr">
        <is>
          <t>ZMB</t>
        </is>
      </c>
      <c r="DH58" t="inlineStr">
        <is>
          <t>ZMB</t>
        </is>
      </c>
      <c r="DI58" t="inlineStr">
        <is>
          <t>COD</t>
        </is>
      </c>
      <c r="DJ58" t="inlineStr">
        <is>
          <t>COD</t>
        </is>
      </c>
      <c r="DK58" t="inlineStr">
        <is>
          <t>COD</t>
        </is>
      </c>
      <c r="DL58" t="inlineStr">
        <is>
          <t>COD</t>
        </is>
      </c>
      <c r="DM58" t="inlineStr">
        <is>
          <t>COD</t>
        </is>
      </c>
      <c r="DN58" t="inlineStr">
        <is>
          <t>COD</t>
        </is>
      </c>
      <c r="DO58" t="inlineStr">
        <is>
          <t>ZMB</t>
        </is>
      </c>
      <c r="DP58" t="inlineStr">
        <is>
          <t>ZMB</t>
        </is>
      </c>
      <c r="DQ58" t="inlineStr">
        <is>
          <t>ZMB</t>
        </is>
      </c>
      <c r="DR58" t="inlineStr">
        <is>
          <t>ZMB</t>
        </is>
      </c>
      <c r="DS58" t="inlineStr">
        <is>
          <t>ZMB</t>
        </is>
      </c>
      <c r="DT58" t="inlineStr">
        <is>
          <t>ZMB</t>
        </is>
      </c>
      <c r="DU58" t="inlineStr">
        <is>
          <t>ZMB</t>
        </is>
      </c>
      <c r="DV58" t="inlineStr">
        <is>
          <t>ZMB</t>
        </is>
      </c>
      <c r="DW58" t="inlineStr">
        <is>
          <t>ZMB</t>
        </is>
      </c>
      <c r="DX58" t="inlineStr">
        <is>
          <t>MWI</t>
        </is>
      </c>
      <c r="DY58" t="inlineStr">
        <is>
          <t>MWI</t>
        </is>
      </c>
      <c r="DZ58" t="inlineStr">
        <is>
          <t>MWI</t>
        </is>
      </c>
      <c r="EA58" t="inlineStr">
        <is>
          <t>MOZ</t>
        </is>
      </c>
      <c r="EB58" t="inlineStr">
        <is>
          <t>MOZ</t>
        </is>
      </c>
      <c r="EC58" t="inlineStr">
        <is>
          <t>MOZ</t>
        </is>
      </c>
      <c r="ED58" t="inlineStr">
        <is>
          <t>MOZ</t>
        </is>
      </c>
      <c r="EE58" t="inlineStr">
        <is>
          <t>MOZ</t>
        </is>
      </c>
      <c r="EF58" t="inlineStr">
        <is>
          <t>MOZ</t>
        </is>
      </c>
      <c r="EG58" t="inlineStr">
        <is>
          <t>MOZ</t>
        </is>
      </c>
      <c r="EH58" t="inlineStr">
        <is>
          <t>MOZ</t>
        </is>
      </c>
      <c r="EI58" t="inlineStr">
        <is>
          <t>MOZ</t>
        </is>
      </c>
      <c r="EJ58" t="inlineStr">
        <is>
          <t>MOZ</t>
        </is>
      </c>
      <c r="EK58" t="inlineStr">
        <is>
          <t>MOZ</t>
        </is>
      </c>
      <c r="EL58" t="inlineStr">
        <is>
          <t>MOZ</t>
        </is>
      </c>
      <c r="ER58" t="inlineStr">
        <is>
          <t>COM</t>
        </is>
      </c>
      <c r="ES58" t="inlineStr">
        <is>
          <t>COM</t>
        </is>
      </c>
      <c r="ET58" t="inlineStr">
        <is>
          <t>COM</t>
        </is>
      </c>
    </row>
    <row r="59">
      <c r="CK59" t="inlineStr">
        <is>
          <t>AGO</t>
        </is>
      </c>
      <c r="CL59" t="inlineStr">
        <is>
          <t>AGO</t>
        </is>
      </c>
      <c r="CM59" t="inlineStr">
        <is>
          <t>AGO</t>
        </is>
      </c>
      <c r="CN59" t="inlineStr">
        <is>
          <t>AGO</t>
        </is>
      </c>
      <c r="CO59" t="inlineStr">
        <is>
          <t>AGO</t>
        </is>
      </c>
      <c r="CP59" t="inlineStr">
        <is>
          <t>AGO</t>
        </is>
      </c>
      <c r="CQ59" t="inlineStr">
        <is>
          <t>AGO</t>
        </is>
      </c>
      <c r="CR59" t="inlineStr">
        <is>
          <t>AGO</t>
        </is>
      </c>
      <c r="CS59" t="inlineStr">
        <is>
          <t>AGO</t>
        </is>
      </c>
      <c r="CT59" t="inlineStr">
        <is>
          <t>AGO</t>
        </is>
      </c>
      <c r="CU59" t="inlineStr">
        <is>
          <t>AGO</t>
        </is>
      </c>
      <c r="CV59" t="inlineStr">
        <is>
          <t>AGO</t>
        </is>
      </c>
      <c r="CW59" t="inlineStr">
        <is>
          <t>AGO</t>
        </is>
      </c>
      <c r="CX59" t="inlineStr">
        <is>
          <t>AGO</t>
        </is>
      </c>
      <c r="CY59" t="inlineStr">
        <is>
          <t>AGO</t>
        </is>
      </c>
      <c r="CZ59" t="inlineStr">
        <is>
          <t>AGO</t>
        </is>
      </c>
      <c r="DA59" t="inlineStr">
        <is>
          <t>AGO</t>
        </is>
      </c>
      <c r="DB59" t="inlineStr">
        <is>
          <t>AGO</t>
        </is>
      </c>
      <c r="DC59" t="inlineStr">
        <is>
          <t>AGO</t>
        </is>
      </c>
      <c r="DD59" t="inlineStr">
        <is>
          <t>AGO</t>
        </is>
      </c>
      <c r="DE59" t="inlineStr">
        <is>
          <t>AGO</t>
        </is>
      </c>
      <c r="DF59" t="inlineStr">
        <is>
          <t>ZMB</t>
        </is>
      </c>
      <c r="DG59" t="inlineStr">
        <is>
          <t>ZMB</t>
        </is>
      </c>
      <c r="DH59" t="inlineStr">
        <is>
          <t>COD</t>
        </is>
      </c>
      <c r="DI59" t="inlineStr">
        <is>
          <t>COD</t>
        </is>
      </c>
      <c r="DJ59" t="inlineStr">
        <is>
          <t>COD</t>
        </is>
      </c>
      <c r="DK59" t="inlineStr">
        <is>
          <t>COD</t>
        </is>
      </c>
      <c r="DL59" t="inlineStr">
        <is>
          <t>COD</t>
        </is>
      </c>
      <c r="DM59" t="inlineStr">
        <is>
          <t>COD</t>
        </is>
      </c>
      <c r="DN59" t="inlineStr">
        <is>
          <t>COD</t>
        </is>
      </c>
      <c r="DO59" t="inlineStr">
        <is>
          <t>ZMB</t>
        </is>
      </c>
      <c r="DP59" t="inlineStr">
        <is>
          <t>ZMB</t>
        </is>
      </c>
      <c r="DQ59" t="inlineStr">
        <is>
          <t>ZMB</t>
        </is>
      </c>
      <c r="DR59" t="inlineStr">
        <is>
          <t>ZMB</t>
        </is>
      </c>
      <c r="DS59" t="inlineStr">
        <is>
          <t>ZMB</t>
        </is>
      </c>
      <c r="DT59" t="inlineStr">
        <is>
          <t>ZMB</t>
        </is>
      </c>
      <c r="DU59" t="inlineStr">
        <is>
          <t>ZMB</t>
        </is>
      </c>
      <c r="DV59" t="inlineStr">
        <is>
          <t>ZMB</t>
        </is>
      </c>
      <c r="DW59" t="inlineStr">
        <is>
          <t>ZMB</t>
        </is>
      </c>
      <c r="DX59" t="inlineStr">
        <is>
          <t>MWI</t>
        </is>
      </c>
      <c r="DY59" t="inlineStr">
        <is>
          <t>MWI</t>
        </is>
      </c>
      <c r="DZ59" t="inlineStr">
        <is>
          <t>MWI</t>
        </is>
      </c>
      <c r="EA59" t="inlineStr">
        <is>
          <t>TZA</t>
        </is>
      </c>
      <c r="EB59" t="inlineStr">
        <is>
          <t>TZA</t>
        </is>
      </c>
      <c r="EC59" t="inlineStr">
        <is>
          <t>TZA</t>
        </is>
      </c>
      <c r="ED59" t="inlineStr">
        <is>
          <t>TZA</t>
        </is>
      </c>
      <c r="EE59" t="inlineStr">
        <is>
          <t>TZA</t>
        </is>
      </c>
      <c r="EF59" t="inlineStr">
        <is>
          <t>TZA</t>
        </is>
      </c>
      <c r="EG59" t="inlineStr">
        <is>
          <t>TZA</t>
        </is>
      </c>
      <c r="EH59" t="inlineStr">
        <is>
          <t>TZA</t>
        </is>
      </c>
      <c r="EI59" t="inlineStr">
        <is>
          <t>MOZ</t>
        </is>
      </c>
      <c r="EJ59" t="inlineStr">
        <is>
          <t>MOZ</t>
        </is>
      </c>
      <c r="EK59" t="inlineStr">
        <is>
          <t>MOZ</t>
        </is>
      </c>
      <c r="EL59" t="inlineStr">
        <is>
          <t>MOZ</t>
        </is>
      </c>
    </row>
    <row r="60">
      <c r="CK60" t="inlineStr">
        <is>
          <t>AGO</t>
        </is>
      </c>
      <c r="CL60" t="inlineStr">
        <is>
          <t>AGO</t>
        </is>
      </c>
      <c r="CM60" t="inlineStr">
        <is>
          <t>AGO</t>
        </is>
      </c>
      <c r="CN60" t="inlineStr">
        <is>
          <t>AGO</t>
        </is>
      </c>
      <c r="CO60" t="inlineStr">
        <is>
          <t>AGO</t>
        </is>
      </c>
      <c r="CP60" t="inlineStr">
        <is>
          <t>AGO</t>
        </is>
      </c>
      <c r="CQ60" t="inlineStr">
        <is>
          <t>AGO</t>
        </is>
      </c>
      <c r="CR60" t="inlineStr">
        <is>
          <t>AGO</t>
        </is>
      </c>
      <c r="CS60" t="inlineStr">
        <is>
          <t>AGO</t>
        </is>
      </c>
      <c r="CT60" t="inlineStr">
        <is>
          <t>AGO</t>
        </is>
      </c>
      <c r="CU60" t="inlineStr">
        <is>
          <t>AGO</t>
        </is>
      </c>
      <c r="CV60" t="inlineStr">
        <is>
          <t>AGO</t>
        </is>
      </c>
      <c r="CW60" t="inlineStr">
        <is>
          <t>AGO</t>
        </is>
      </c>
      <c r="CX60" t="inlineStr">
        <is>
          <t>AGO</t>
        </is>
      </c>
      <c r="CY60" t="inlineStr">
        <is>
          <t>AGO</t>
        </is>
      </c>
      <c r="CZ60" t="inlineStr">
        <is>
          <t>AGO</t>
        </is>
      </c>
      <c r="DA60" t="inlineStr">
        <is>
          <t>AGO</t>
        </is>
      </c>
      <c r="DB60" t="inlineStr">
        <is>
          <t>COD</t>
        </is>
      </c>
      <c r="DC60" t="inlineStr">
        <is>
          <t>COD</t>
        </is>
      </c>
      <c r="DD60" t="inlineStr">
        <is>
          <t>COD</t>
        </is>
      </c>
      <c r="DE60" t="inlineStr">
        <is>
          <t>COD</t>
        </is>
      </c>
      <c r="DF60" t="inlineStr">
        <is>
          <t>COD</t>
        </is>
      </c>
      <c r="DG60" t="inlineStr">
        <is>
          <t>COD</t>
        </is>
      </c>
      <c r="DH60" t="inlineStr">
        <is>
          <t>COD</t>
        </is>
      </c>
      <c r="DI60" t="inlineStr">
        <is>
          <t>COD</t>
        </is>
      </c>
      <c r="DJ60" t="inlineStr">
        <is>
          <t>COD</t>
        </is>
      </c>
      <c r="DK60" t="inlineStr">
        <is>
          <t>COD</t>
        </is>
      </c>
      <c r="DL60" t="inlineStr">
        <is>
          <t>COD</t>
        </is>
      </c>
      <c r="DM60" t="inlineStr">
        <is>
          <t>COD</t>
        </is>
      </c>
      <c r="DN60" t="inlineStr">
        <is>
          <t>COD</t>
        </is>
      </c>
      <c r="DO60" t="inlineStr">
        <is>
          <t>ZMB</t>
        </is>
      </c>
      <c r="DP60" t="inlineStr">
        <is>
          <t>ZMB</t>
        </is>
      </c>
      <c r="DQ60" t="inlineStr">
        <is>
          <t>ZMB</t>
        </is>
      </c>
      <c r="DR60" t="inlineStr">
        <is>
          <t>ZMB</t>
        </is>
      </c>
      <c r="DS60" t="inlineStr">
        <is>
          <t>ZMB</t>
        </is>
      </c>
      <c r="DT60" t="inlineStr">
        <is>
          <t>ZMB</t>
        </is>
      </c>
      <c r="DU60" t="inlineStr">
        <is>
          <t>ZMB</t>
        </is>
      </c>
      <c r="DV60" t="inlineStr">
        <is>
          <t>ZMB</t>
        </is>
      </c>
      <c r="DW60" t="inlineStr">
        <is>
          <t>ZMB</t>
        </is>
      </c>
      <c r="DX60" t="inlineStr">
        <is>
          <t>ZMB</t>
        </is>
      </c>
      <c r="DY60" t="inlineStr">
        <is>
          <t>MWI</t>
        </is>
      </c>
      <c r="DZ60" t="inlineStr">
        <is>
          <t>MWI</t>
        </is>
      </c>
      <c r="EA60" t="inlineStr">
        <is>
          <t>TZA</t>
        </is>
      </c>
      <c r="EB60" t="inlineStr">
        <is>
          <t>TZA</t>
        </is>
      </c>
      <c r="EC60" t="inlineStr">
        <is>
          <t>TZA</t>
        </is>
      </c>
      <c r="ED60" t="inlineStr">
        <is>
          <t>TZA</t>
        </is>
      </c>
      <c r="EE60" t="inlineStr">
        <is>
          <t>TZA</t>
        </is>
      </c>
      <c r="EF60" t="inlineStr">
        <is>
          <t>TZA</t>
        </is>
      </c>
      <c r="EG60" t="inlineStr">
        <is>
          <t>TZA</t>
        </is>
      </c>
      <c r="EH60" t="inlineStr">
        <is>
          <t>TZA</t>
        </is>
      </c>
      <c r="EI60" t="inlineStr">
        <is>
          <t>TZA</t>
        </is>
      </c>
      <c r="EJ60" t="inlineStr">
        <is>
          <t>TZA</t>
        </is>
      </c>
      <c r="EK60" t="inlineStr">
        <is>
          <t>MOZ</t>
        </is>
      </c>
      <c r="EL60" t="inlineStr">
        <is>
          <t>MOZ</t>
        </is>
      </c>
    </row>
    <row r="61">
      <c r="CK61" t="inlineStr">
        <is>
          <t>AGO</t>
        </is>
      </c>
      <c r="CL61" t="inlineStr">
        <is>
          <t>AGO</t>
        </is>
      </c>
      <c r="CM61" t="inlineStr">
        <is>
          <t>AGO</t>
        </is>
      </c>
      <c r="CN61" t="inlineStr">
        <is>
          <t>AGO</t>
        </is>
      </c>
      <c r="CO61" t="inlineStr">
        <is>
          <t>AGO</t>
        </is>
      </c>
      <c r="CP61" t="inlineStr">
        <is>
          <t>AGO</t>
        </is>
      </c>
      <c r="CQ61" t="inlineStr">
        <is>
          <t>AGO</t>
        </is>
      </c>
      <c r="CR61" t="inlineStr">
        <is>
          <t>AGO</t>
        </is>
      </c>
      <c r="CS61" t="inlineStr">
        <is>
          <t>AGO</t>
        </is>
      </c>
      <c r="CT61" t="inlineStr">
        <is>
          <t>AGO</t>
        </is>
      </c>
      <c r="CU61" t="inlineStr">
        <is>
          <t>AGO</t>
        </is>
      </c>
      <c r="CV61" t="inlineStr">
        <is>
          <t>AGO</t>
        </is>
      </c>
      <c r="CW61" t="inlineStr">
        <is>
          <t>AGO</t>
        </is>
      </c>
      <c r="CX61" t="inlineStr">
        <is>
          <t>AGO</t>
        </is>
      </c>
      <c r="CY61" t="inlineStr">
        <is>
          <t>AGO</t>
        </is>
      </c>
      <c r="CZ61" t="inlineStr">
        <is>
          <t>AGO</t>
        </is>
      </c>
      <c r="DA61" t="inlineStr">
        <is>
          <t>AGO</t>
        </is>
      </c>
      <c r="DB61" t="inlineStr">
        <is>
          <t>COD</t>
        </is>
      </c>
      <c r="DC61" t="inlineStr">
        <is>
          <t>COD</t>
        </is>
      </c>
      <c r="DD61" t="inlineStr">
        <is>
          <t>COD</t>
        </is>
      </c>
      <c r="DE61" t="inlineStr">
        <is>
          <t>COD</t>
        </is>
      </c>
      <c r="DF61" t="inlineStr">
        <is>
          <t>COD</t>
        </is>
      </c>
      <c r="DG61" t="inlineStr">
        <is>
          <t>COD</t>
        </is>
      </c>
      <c r="DH61" t="inlineStr">
        <is>
          <t>COD</t>
        </is>
      </c>
      <c r="DI61" t="inlineStr">
        <is>
          <t>COD</t>
        </is>
      </c>
      <c r="DJ61" t="inlineStr">
        <is>
          <t>COD</t>
        </is>
      </c>
      <c r="DK61" t="inlineStr">
        <is>
          <t>COD</t>
        </is>
      </c>
      <c r="DL61" t="inlineStr">
        <is>
          <t>COD</t>
        </is>
      </c>
      <c r="DM61" t="inlineStr">
        <is>
          <t>COD</t>
        </is>
      </c>
      <c r="DN61" t="inlineStr">
        <is>
          <t>COD</t>
        </is>
      </c>
      <c r="DO61" t="inlineStr">
        <is>
          <t>ZMB</t>
        </is>
      </c>
      <c r="DP61" t="inlineStr">
        <is>
          <t>ZMB</t>
        </is>
      </c>
      <c r="DQ61" t="inlineStr">
        <is>
          <t>ZMB</t>
        </is>
      </c>
      <c r="DR61" t="inlineStr">
        <is>
          <t>ZMB</t>
        </is>
      </c>
      <c r="DS61" t="inlineStr">
        <is>
          <t>ZMB</t>
        </is>
      </c>
      <c r="DT61" t="inlineStr">
        <is>
          <t>ZMB</t>
        </is>
      </c>
      <c r="DU61" t="inlineStr">
        <is>
          <t>ZMB</t>
        </is>
      </c>
      <c r="DV61" t="inlineStr">
        <is>
          <t>ZMB</t>
        </is>
      </c>
      <c r="DW61" t="inlineStr">
        <is>
          <t>ZMB</t>
        </is>
      </c>
      <c r="DX61" t="inlineStr">
        <is>
          <t>ZMB</t>
        </is>
      </c>
      <c r="DY61" t="inlineStr">
        <is>
          <t>MWI</t>
        </is>
      </c>
      <c r="DZ61" t="inlineStr">
        <is>
          <t>MWI</t>
        </is>
      </c>
      <c r="EA61" t="inlineStr">
        <is>
          <t>TZA</t>
        </is>
      </c>
      <c r="EB61" t="inlineStr">
        <is>
          <t>TZA</t>
        </is>
      </c>
      <c r="EC61" t="inlineStr">
        <is>
          <t>TZA</t>
        </is>
      </c>
      <c r="ED61" t="inlineStr">
        <is>
          <t>TZA</t>
        </is>
      </c>
      <c r="EE61" t="inlineStr">
        <is>
          <t>TZA</t>
        </is>
      </c>
      <c r="EF61" t="inlineStr">
        <is>
          <t>TZA</t>
        </is>
      </c>
      <c r="EG61" t="inlineStr">
        <is>
          <t>TZA</t>
        </is>
      </c>
      <c r="EH61" t="inlineStr">
        <is>
          <t>TZA</t>
        </is>
      </c>
      <c r="EI61" t="inlineStr">
        <is>
          <t>TZA</t>
        </is>
      </c>
      <c r="EJ61" t="inlineStr">
        <is>
          <t>TZA</t>
        </is>
      </c>
      <c r="EK61" t="inlineStr">
        <is>
          <t>TZA</t>
        </is>
      </c>
    </row>
    <row r="62">
      <c r="CJ62" t="inlineStr">
        <is>
          <t>AGO</t>
        </is>
      </c>
      <c r="CK62" t="inlineStr">
        <is>
          <t>AGO</t>
        </is>
      </c>
      <c r="CL62" t="inlineStr">
        <is>
          <t>AGO</t>
        </is>
      </c>
      <c r="CM62" t="inlineStr">
        <is>
          <t>AGO</t>
        </is>
      </c>
      <c r="CN62" t="inlineStr">
        <is>
          <t>AGO</t>
        </is>
      </c>
      <c r="CO62" t="inlineStr">
        <is>
          <t>AGO</t>
        </is>
      </c>
      <c r="CP62" t="inlineStr">
        <is>
          <t>AGO</t>
        </is>
      </c>
      <c r="CQ62" t="inlineStr">
        <is>
          <t>AGO</t>
        </is>
      </c>
      <c r="CR62" t="inlineStr">
        <is>
          <t>AGO</t>
        </is>
      </c>
      <c r="CS62" t="inlineStr">
        <is>
          <t>AGO</t>
        </is>
      </c>
      <c r="CT62" t="inlineStr">
        <is>
          <t>AGO</t>
        </is>
      </c>
      <c r="CU62" t="inlineStr">
        <is>
          <t>AGO</t>
        </is>
      </c>
      <c r="CV62" t="inlineStr">
        <is>
          <t>AGO</t>
        </is>
      </c>
      <c r="CW62" t="inlineStr">
        <is>
          <t>AGO</t>
        </is>
      </c>
      <c r="CX62" t="inlineStr">
        <is>
          <t>AGO</t>
        </is>
      </c>
      <c r="CY62" t="inlineStr">
        <is>
          <t>AGO</t>
        </is>
      </c>
      <c r="CZ62" t="inlineStr">
        <is>
          <t>AGO</t>
        </is>
      </c>
      <c r="DA62" t="inlineStr">
        <is>
          <t>AGO</t>
        </is>
      </c>
      <c r="DB62" t="inlineStr">
        <is>
          <t>COD</t>
        </is>
      </c>
      <c r="DC62" t="inlineStr">
        <is>
          <t>COD</t>
        </is>
      </c>
      <c r="DD62" t="inlineStr">
        <is>
          <t>COD</t>
        </is>
      </c>
      <c r="DE62" t="inlineStr">
        <is>
          <t>COD</t>
        </is>
      </c>
      <c r="DF62" t="inlineStr">
        <is>
          <t>COD</t>
        </is>
      </c>
      <c r="DG62" t="inlineStr">
        <is>
          <t>COD</t>
        </is>
      </c>
      <c r="DH62" t="inlineStr">
        <is>
          <t>COD</t>
        </is>
      </c>
      <c r="DI62" t="inlineStr">
        <is>
          <t>COD</t>
        </is>
      </c>
      <c r="DJ62" t="inlineStr">
        <is>
          <t>COD</t>
        </is>
      </c>
      <c r="DK62" t="inlineStr">
        <is>
          <t>COD</t>
        </is>
      </c>
      <c r="DL62" t="inlineStr">
        <is>
          <t>COD</t>
        </is>
      </c>
      <c r="DM62" t="inlineStr">
        <is>
          <t>COD</t>
        </is>
      </c>
      <c r="DN62" t="inlineStr">
        <is>
          <t>COD</t>
        </is>
      </c>
      <c r="DO62" t="inlineStr">
        <is>
          <t>ZMB</t>
        </is>
      </c>
      <c r="DP62" t="inlineStr">
        <is>
          <t>ZMB</t>
        </is>
      </c>
      <c r="DQ62" t="inlineStr">
        <is>
          <t>ZMB</t>
        </is>
      </c>
      <c r="DR62" t="inlineStr">
        <is>
          <t>ZMB</t>
        </is>
      </c>
      <c r="DS62" t="inlineStr">
        <is>
          <t>ZMB</t>
        </is>
      </c>
      <c r="DT62" t="inlineStr">
        <is>
          <t>ZMB</t>
        </is>
      </c>
      <c r="DU62" t="inlineStr">
        <is>
          <t>ZMB</t>
        </is>
      </c>
      <c r="DV62" t="inlineStr">
        <is>
          <t>ZMB</t>
        </is>
      </c>
      <c r="DW62" t="inlineStr">
        <is>
          <t>ZMB</t>
        </is>
      </c>
      <c r="DX62" t="inlineStr">
        <is>
          <t>ZMB</t>
        </is>
      </c>
      <c r="DY62" t="inlineStr">
        <is>
          <t>MWI</t>
        </is>
      </c>
      <c r="DZ62" t="inlineStr">
        <is>
          <t>TZA</t>
        </is>
      </c>
      <c r="EA62" t="inlineStr">
        <is>
          <t>TZA</t>
        </is>
      </c>
      <c r="EB62" t="inlineStr">
        <is>
          <t>TZA</t>
        </is>
      </c>
      <c r="EC62" t="inlineStr">
        <is>
          <t>TZA</t>
        </is>
      </c>
      <c r="ED62" t="inlineStr">
        <is>
          <t>TZA</t>
        </is>
      </c>
      <c r="EE62" t="inlineStr">
        <is>
          <t>TZA</t>
        </is>
      </c>
      <c r="EF62" t="inlineStr">
        <is>
          <t>TZA</t>
        </is>
      </c>
      <c r="EG62" t="inlineStr">
        <is>
          <t>TZA</t>
        </is>
      </c>
      <c r="EH62" t="inlineStr">
        <is>
          <t>TZA</t>
        </is>
      </c>
      <c r="EI62" t="inlineStr">
        <is>
          <t>TZA</t>
        </is>
      </c>
      <c r="EJ62" t="inlineStr">
        <is>
          <t>TZA</t>
        </is>
      </c>
      <c r="EK62" t="inlineStr">
        <is>
          <t>TZA</t>
        </is>
      </c>
    </row>
    <row r="63">
      <c r="CJ63" t="inlineStr">
        <is>
          <t>AGO</t>
        </is>
      </c>
      <c r="CK63" t="inlineStr">
        <is>
          <t>AGO</t>
        </is>
      </c>
      <c r="CL63" t="inlineStr">
        <is>
          <t>AGO</t>
        </is>
      </c>
      <c r="CM63" t="inlineStr">
        <is>
          <t>AGO</t>
        </is>
      </c>
      <c r="CN63" t="inlineStr">
        <is>
          <t>AGO</t>
        </is>
      </c>
      <c r="CO63" t="inlineStr">
        <is>
          <t>AGO</t>
        </is>
      </c>
      <c r="CP63" t="inlineStr">
        <is>
          <t>AGO</t>
        </is>
      </c>
      <c r="CQ63" t="inlineStr">
        <is>
          <t>AGO</t>
        </is>
      </c>
      <c r="CR63" t="inlineStr">
        <is>
          <t>AGO</t>
        </is>
      </c>
      <c r="CS63" t="inlineStr">
        <is>
          <t>AGO</t>
        </is>
      </c>
      <c r="CT63" t="inlineStr">
        <is>
          <t>AGO</t>
        </is>
      </c>
      <c r="CU63" t="inlineStr">
        <is>
          <t>AGO</t>
        </is>
      </c>
      <c r="CV63" t="inlineStr">
        <is>
          <t>AGO</t>
        </is>
      </c>
      <c r="CW63" t="inlineStr">
        <is>
          <t>AGO</t>
        </is>
      </c>
      <c r="CX63" t="inlineStr">
        <is>
          <t>AGO</t>
        </is>
      </c>
      <c r="CY63" t="inlineStr">
        <is>
          <t>AGO</t>
        </is>
      </c>
      <c r="CZ63" t="inlineStr">
        <is>
          <t>AGO</t>
        </is>
      </c>
      <c r="DA63" t="inlineStr">
        <is>
          <t>AGO</t>
        </is>
      </c>
      <c r="DB63" t="inlineStr">
        <is>
          <t>COD</t>
        </is>
      </c>
      <c r="DC63" t="inlineStr">
        <is>
          <t>COD</t>
        </is>
      </c>
      <c r="DD63" t="inlineStr">
        <is>
          <t>COD</t>
        </is>
      </c>
      <c r="DE63" t="inlineStr">
        <is>
          <t>COD</t>
        </is>
      </c>
      <c r="DF63" t="inlineStr">
        <is>
          <t>COD</t>
        </is>
      </c>
      <c r="DG63" t="inlineStr">
        <is>
          <t>COD</t>
        </is>
      </c>
      <c r="DH63" t="inlineStr">
        <is>
          <t>COD</t>
        </is>
      </c>
      <c r="DI63" t="inlineStr">
        <is>
          <t>COD</t>
        </is>
      </c>
      <c r="DJ63" t="inlineStr">
        <is>
          <t>COD</t>
        </is>
      </c>
      <c r="DK63" t="inlineStr">
        <is>
          <t>COD</t>
        </is>
      </c>
      <c r="DL63" t="inlineStr">
        <is>
          <t>COD</t>
        </is>
      </c>
      <c r="DM63" t="inlineStr">
        <is>
          <t>COD</t>
        </is>
      </c>
      <c r="DN63" t="inlineStr">
        <is>
          <t>COD</t>
        </is>
      </c>
      <c r="DO63" t="inlineStr">
        <is>
          <t>ZMB</t>
        </is>
      </c>
      <c r="DP63" t="inlineStr">
        <is>
          <t>ZMB</t>
        </is>
      </c>
      <c r="DQ63" t="inlineStr">
        <is>
          <t>ZMB</t>
        </is>
      </c>
      <c r="DR63" t="inlineStr">
        <is>
          <t>ZMB</t>
        </is>
      </c>
      <c r="DS63" t="inlineStr">
        <is>
          <t>ZMB</t>
        </is>
      </c>
      <c r="DT63" t="inlineStr">
        <is>
          <t>ZMB</t>
        </is>
      </c>
      <c r="DU63" t="inlineStr">
        <is>
          <t>ZMB</t>
        </is>
      </c>
      <c r="DV63" t="inlineStr">
        <is>
          <t>ZMB</t>
        </is>
      </c>
      <c r="DW63" t="inlineStr">
        <is>
          <t>ZMB</t>
        </is>
      </c>
      <c r="DX63" t="inlineStr">
        <is>
          <t>TZA</t>
        </is>
      </c>
      <c r="DY63" t="inlineStr">
        <is>
          <t>TZA</t>
        </is>
      </c>
      <c r="DZ63" t="inlineStr">
        <is>
          <t>TZA</t>
        </is>
      </c>
      <c r="EA63" t="inlineStr">
        <is>
          <t>TZA</t>
        </is>
      </c>
      <c r="EB63" t="inlineStr">
        <is>
          <t>TZA</t>
        </is>
      </c>
      <c r="EC63" t="inlineStr">
        <is>
          <t>TZA</t>
        </is>
      </c>
      <c r="ED63" t="inlineStr">
        <is>
          <t>TZA</t>
        </is>
      </c>
      <c r="EE63" t="inlineStr">
        <is>
          <t>TZA</t>
        </is>
      </c>
      <c r="EF63" t="inlineStr">
        <is>
          <t>TZA</t>
        </is>
      </c>
      <c r="EG63" t="inlineStr">
        <is>
          <t>TZA</t>
        </is>
      </c>
      <c r="EH63" t="inlineStr">
        <is>
          <t>TZA</t>
        </is>
      </c>
      <c r="EI63" t="inlineStr">
        <is>
          <t>TZA</t>
        </is>
      </c>
      <c r="EJ63" t="inlineStr">
        <is>
          <t>TZA</t>
        </is>
      </c>
    </row>
    <row r="64">
      <c r="CJ64" t="inlineStr">
        <is>
          <t>AGO</t>
        </is>
      </c>
      <c r="CK64" t="inlineStr">
        <is>
          <t>AGO</t>
        </is>
      </c>
      <c r="CL64" t="inlineStr">
        <is>
          <t>AGO</t>
        </is>
      </c>
      <c r="CM64" t="inlineStr">
        <is>
          <t>AGO</t>
        </is>
      </c>
      <c r="CN64" t="inlineStr">
        <is>
          <t>AGO</t>
        </is>
      </c>
      <c r="CO64" t="inlineStr">
        <is>
          <t>AGO</t>
        </is>
      </c>
      <c r="CP64" t="inlineStr">
        <is>
          <t>AGO</t>
        </is>
      </c>
      <c r="CQ64" t="inlineStr">
        <is>
          <t>AGO</t>
        </is>
      </c>
      <c r="CR64" t="inlineStr">
        <is>
          <t>AGO</t>
        </is>
      </c>
      <c r="CS64" t="inlineStr">
        <is>
          <t>AGO</t>
        </is>
      </c>
      <c r="CT64" t="inlineStr">
        <is>
          <t>AGO</t>
        </is>
      </c>
      <c r="CU64" t="inlineStr">
        <is>
          <t>AGO</t>
        </is>
      </c>
      <c r="CV64" t="inlineStr">
        <is>
          <t>AGO</t>
        </is>
      </c>
      <c r="CW64" t="inlineStr">
        <is>
          <t>AGO</t>
        </is>
      </c>
      <c r="CX64" t="inlineStr">
        <is>
          <t>AGO</t>
        </is>
      </c>
      <c r="CY64" t="inlineStr">
        <is>
          <t>AGO</t>
        </is>
      </c>
      <c r="CZ64" t="inlineStr">
        <is>
          <t>AGO</t>
        </is>
      </c>
      <c r="DA64" t="inlineStr">
        <is>
          <t>AGO</t>
        </is>
      </c>
      <c r="DB64" t="inlineStr">
        <is>
          <t>COD</t>
        </is>
      </c>
      <c r="DC64" t="inlineStr">
        <is>
          <t>COD</t>
        </is>
      </c>
      <c r="DD64" t="inlineStr">
        <is>
          <t>COD</t>
        </is>
      </c>
      <c r="DE64" t="inlineStr">
        <is>
          <t>COD</t>
        </is>
      </c>
      <c r="DF64" t="inlineStr">
        <is>
          <t>COD</t>
        </is>
      </c>
      <c r="DG64" t="inlineStr">
        <is>
          <t>COD</t>
        </is>
      </c>
      <c r="DH64" t="inlineStr">
        <is>
          <t>COD</t>
        </is>
      </c>
      <c r="DI64" t="inlineStr">
        <is>
          <t>COD</t>
        </is>
      </c>
      <c r="DJ64" t="inlineStr">
        <is>
          <t>COD</t>
        </is>
      </c>
      <c r="DK64" t="inlineStr">
        <is>
          <t>COD</t>
        </is>
      </c>
      <c r="DL64" t="inlineStr">
        <is>
          <t>COD</t>
        </is>
      </c>
      <c r="DM64" t="inlineStr">
        <is>
          <t>COD</t>
        </is>
      </c>
      <c r="DN64" t="inlineStr">
        <is>
          <t>COD</t>
        </is>
      </c>
      <c r="DO64" t="inlineStr">
        <is>
          <t>ZMB</t>
        </is>
      </c>
      <c r="DP64" t="inlineStr">
        <is>
          <t>ZMB</t>
        </is>
      </c>
      <c r="DQ64" t="inlineStr">
        <is>
          <t>ZMB</t>
        </is>
      </c>
      <c r="DR64" t="inlineStr">
        <is>
          <t>ZMB</t>
        </is>
      </c>
      <c r="DS64" t="inlineStr">
        <is>
          <t>ZMB</t>
        </is>
      </c>
      <c r="DT64" t="inlineStr">
        <is>
          <t>ZMB</t>
        </is>
      </c>
      <c r="DU64" t="inlineStr">
        <is>
          <t>TZA</t>
        </is>
      </c>
      <c r="DV64" t="inlineStr">
        <is>
          <t>TZA</t>
        </is>
      </c>
      <c r="DW64" t="inlineStr">
        <is>
          <t>TZA</t>
        </is>
      </c>
      <c r="DX64" t="inlineStr">
        <is>
          <t>TZA</t>
        </is>
      </c>
      <c r="DY64" t="inlineStr">
        <is>
          <t>TZA</t>
        </is>
      </c>
      <c r="DZ64" t="inlineStr">
        <is>
          <t>TZA</t>
        </is>
      </c>
      <c r="EA64" t="inlineStr">
        <is>
          <t>TZA</t>
        </is>
      </c>
      <c r="EB64" t="inlineStr">
        <is>
          <t>TZA</t>
        </is>
      </c>
      <c r="EC64" t="inlineStr">
        <is>
          <t>TZA</t>
        </is>
      </c>
      <c r="ED64" t="inlineStr">
        <is>
          <t>TZA</t>
        </is>
      </c>
      <c r="EE64" t="inlineStr">
        <is>
          <t>TZA</t>
        </is>
      </c>
      <c r="EF64" t="inlineStr">
        <is>
          <t>TZA</t>
        </is>
      </c>
      <c r="EG64" t="inlineStr">
        <is>
          <t>TZA</t>
        </is>
      </c>
      <c r="EH64" t="inlineStr">
        <is>
          <t>TZA</t>
        </is>
      </c>
      <c r="EI64" t="inlineStr">
        <is>
          <t>TZA</t>
        </is>
      </c>
      <c r="EJ64" t="inlineStr">
        <is>
          <t>TZA</t>
        </is>
      </c>
    </row>
    <row r="65">
      <c r="CJ65" t="inlineStr">
        <is>
          <t>AGO</t>
        </is>
      </c>
      <c r="CK65" t="inlineStr">
        <is>
          <t>AGO</t>
        </is>
      </c>
      <c r="CL65" t="inlineStr">
        <is>
          <t>AGO</t>
        </is>
      </c>
      <c r="CM65" t="inlineStr">
        <is>
          <t>AGO</t>
        </is>
      </c>
      <c r="CN65" t="inlineStr">
        <is>
          <t>AGO</t>
        </is>
      </c>
      <c r="CO65" t="inlineStr">
        <is>
          <t>AGO</t>
        </is>
      </c>
      <c r="CP65" t="inlineStr">
        <is>
          <t>AGO</t>
        </is>
      </c>
      <c r="CQ65" t="inlineStr">
        <is>
          <t>AGO</t>
        </is>
      </c>
      <c r="CR65" t="inlineStr">
        <is>
          <t>AGO</t>
        </is>
      </c>
      <c r="CS65" t="inlineStr">
        <is>
          <t>AGO</t>
        </is>
      </c>
      <c r="CT65" t="inlineStr">
        <is>
          <t>AGO</t>
        </is>
      </c>
      <c r="CU65" t="inlineStr">
        <is>
          <t>AGO</t>
        </is>
      </c>
      <c r="CV65" t="inlineStr">
        <is>
          <t>AGO</t>
        </is>
      </c>
      <c r="CW65" t="inlineStr">
        <is>
          <t>AGO</t>
        </is>
      </c>
      <c r="CX65" t="inlineStr">
        <is>
          <t>AGO</t>
        </is>
      </c>
      <c r="CY65" t="inlineStr">
        <is>
          <t>AGO</t>
        </is>
      </c>
      <c r="CZ65" t="inlineStr">
        <is>
          <t>AGO</t>
        </is>
      </c>
      <c r="DA65" t="inlineStr">
        <is>
          <t>AGO</t>
        </is>
      </c>
      <c r="DB65" t="inlineStr">
        <is>
          <t>COD</t>
        </is>
      </c>
      <c r="DC65" t="inlineStr">
        <is>
          <t>COD</t>
        </is>
      </c>
      <c r="DD65" t="inlineStr">
        <is>
          <t>COD</t>
        </is>
      </c>
      <c r="DE65" t="inlineStr">
        <is>
          <t>COD</t>
        </is>
      </c>
      <c r="DF65" t="inlineStr">
        <is>
          <t>COD</t>
        </is>
      </c>
      <c r="DG65" t="inlineStr">
        <is>
          <t>COD</t>
        </is>
      </c>
      <c r="DH65" t="inlineStr">
        <is>
          <t>COD</t>
        </is>
      </c>
      <c r="DI65" t="inlineStr">
        <is>
          <t>COD</t>
        </is>
      </c>
      <c r="DJ65" t="inlineStr">
        <is>
          <t>COD</t>
        </is>
      </c>
      <c r="DK65" t="inlineStr">
        <is>
          <t>COD</t>
        </is>
      </c>
      <c r="DL65" t="inlineStr">
        <is>
          <t>COD</t>
        </is>
      </c>
      <c r="DM65" t="inlineStr">
        <is>
          <t>COD</t>
        </is>
      </c>
      <c r="DN65" t="inlineStr">
        <is>
          <t>COD</t>
        </is>
      </c>
      <c r="DO65" t="inlineStr">
        <is>
          <t>COD</t>
        </is>
      </c>
      <c r="DP65" t="inlineStr">
        <is>
          <t>COD</t>
        </is>
      </c>
      <c r="DQ65" t="inlineStr">
        <is>
          <t>COD</t>
        </is>
      </c>
      <c r="DR65" t="inlineStr">
        <is>
          <t>COD</t>
        </is>
      </c>
      <c r="DS65" t="inlineStr">
        <is>
          <t>TZA</t>
        </is>
      </c>
      <c r="DT65" t="inlineStr">
        <is>
          <t>TZA</t>
        </is>
      </c>
      <c r="DU65" t="inlineStr">
        <is>
          <t>TZA</t>
        </is>
      </c>
      <c r="DV65" t="inlineStr">
        <is>
          <t>TZA</t>
        </is>
      </c>
      <c r="DW65" t="inlineStr">
        <is>
          <t>TZA</t>
        </is>
      </c>
      <c r="DX65" t="inlineStr">
        <is>
          <t>TZA</t>
        </is>
      </c>
      <c r="DY65" t="inlineStr">
        <is>
          <t>TZA</t>
        </is>
      </c>
      <c r="DZ65" t="inlineStr">
        <is>
          <t>TZA</t>
        </is>
      </c>
      <c r="EA65" t="inlineStr">
        <is>
          <t>TZA</t>
        </is>
      </c>
      <c r="EB65" t="inlineStr">
        <is>
          <t>TZA</t>
        </is>
      </c>
      <c r="EC65" t="inlineStr">
        <is>
          <t>TZA</t>
        </is>
      </c>
      <c r="ED65" t="inlineStr">
        <is>
          <t>TZA</t>
        </is>
      </c>
      <c r="EE65" t="inlineStr">
        <is>
          <t>TZA</t>
        </is>
      </c>
      <c r="EF65" t="inlineStr">
        <is>
          <t>TZA</t>
        </is>
      </c>
      <c r="EG65" t="inlineStr">
        <is>
          <t>TZA</t>
        </is>
      </c>
      <c r="EH65" t="inlineStr">
        <is>
          <t>TZA</t>
        </is>
      </c>
      <c r="EI65" t="inlineStr">
        <is>
          <t>TZA</t>
        </is>
      </c>
    </row>
    <row r="66">
      <c r="CJ66" t="inlineStr">
        <is>
          <t>AGO</t>
        </is>
      </c>
      <c r="CK66" t="inlineStr">
        <is>
          <t>AGO</t>
        </is>
      </c>
      <c r="CL66" t="inlineStr">
        <is>
          <t>AGO</t>
        </is>
      </c>
      <c r="CM66" t="inlineStr">
        <is>
          <t>AGO</t>
        </is>
      </c>
      <c r="CN66" t="inlineStr">
        <is>
          <t>AGO</t>
        </is>
      </c>
      <c r="CO66" t="inlineStr">
        <is>
          <t>AGO</t>
        </is>
      </c>
      <c r="CP66" t="inlineStr">
        <is>
          <t>AGO</t>
        </is>
      </c>
      <c r="CQ66" t="inlineStr">
        <is>
          <t>AGO</t>
        </is>
      </c>
      <c r="CR66" t="inlineStr">
        <is>
          <t>COD</t>
        </is>
      </c>
      <c r="CS66" t="inlineStr">
        <is>
          <t>COD</t>
        </is>
      </c>
      <c r="CT66" t="inlineStr">
        <is>
          <t>COD</t>
        </is>
      </c>
      <c r="CU66" t="inlineStr">
        <is>
          <t>COD</t>
        </is>
      </c>
      <c r="CV66" t="inlineStr">
        <is>
          <t>AGO</t>
        </is>
      </c>
      <c r="CW66" t="inlineStr">
        <is>
          <t>AGO</t>
        </is>
      </c>
      <c r="CX66" t="inlineStr">
        <is>
          <t>AGO</t>
        </is>
      </c>
      <c r="CY66" t="inlineStr">
        <is>
          <t>AGO</t>
        </is>
      </c>
      <c r="CZ66" t="inlineStr">
        <is>
          <t>AGO</t>
        </is>
      </c>
      <c r="DA66" t="inlineStr">
        <is>
          <t>COD</t>
        </is>
      </c>
      <c r="DB66" t="inlineStr">
        <is>
          <t>COD</t>
        </is>
      </c>
      <c r="DC66" t="inlineStr">
        <is>
          <t>COD</t>
        </is>
      </c>
      <c r="DD66" t="inlineStr">
        <is>
          <t>COD</t>
        </is>
      </c>
      <c r="DE66" t="inlineStr">
        <is>
          <t>COD</t>
        </is>
      </c>
      <c r="DF66" t="inlineStr">
        <is>
          <t>COD</t>
        </is>
      </c>
      <c r="DG66" t="inlineStr">
        <is>
          <t>COD</t>
        </is>
      </c>
      <c r="DH66" t="inlineStr">
        <is>
          <t>COD</t>
        </is>
      </c>
      <c r="DI66" t="inlineStr">
        <is>
          <t>COD</t>
        </is>
      </c>
      <c r="DJ66" t="inlineStr">
        <is>
          <t>COD</t>
        </is>
      </c>
      <c r="DK66" t="inlineStr">
        <is>
          <t>COD</t>
        </is>
      </c>
      <c r="DL66" t="inlineStr">
        <is>
          <t>COD</t>
        </is>
      </c>
      <c r="DM66" t="inlineStr">
        <is>
          <t>COD</t>
        </is>
      </c>
      <c r="DN66" t="inlineStr">
        <is>
          <t>COD</t>
        </is>
      </c>
      <c r="DO66" t="inlineStr">
        <is>
          <t>COD</t>
        </is>
      </c>
      <c r="DP66" t="inlineStr">
        <is>
          <t>COD</t>
        </is>
      </c>
      <c r="DQ66" t="inlineStr">
        <is>
          <t>COD</t>
        </is>
      </c>
      <c r="DR66" t="inlineStr">
        <is>
          <t>COD</t>
        </is>
      </c>
      <c r="DS66" t="inlineStr">
        <is>
          <t>TZA</t>
        </is>
      </c>
      <c r="DT66" t="inlineStr">
        <is>
          <t>TZA</t>
        </is>
      </c>
      <c r="DU66" t="inlineStr">
        <is>
          <t>TZA</t>
        </is>
      </c>
      <c r="DV66" t="inlineStr">
        <is>
          <t>TZA</t>
        </is>
      </c>
      <c r="DW66" t="inlineStr">
        <is>
          <t>TZA</t>
        </is>
      </c>
      <c r="DX66" t="inlineStr">
        <is>
          <t>TZA</t>
        </is>
      </c>
      <c r="DY66" t="inlineStr">
        <is>
          <t>TZA</t>
        </is>
      </c>
      <c r="DZ66" t="inlineStr">
        <is>
          <t>TZA</t>
        </is>
      </c>
      <c r="EA66" t="inlineStr">
        <is>
          <t>TZA</t>
        </is>
      </c>
      <c r="EB66" t="inlineStr">
        <is>
          <t>TZA</t>
        </is>
      </c>
      <c r="EC66" t="inlineStr">
        <is>
          <t>TZA</t>
        </is>
      </c>
      <c r="ED66" t="inlineStr">
        <is>
          <t>TZA</t>
        </is>
      </c>
      <c r="EE66" t="inlineStr">
        <is>
          <t>TZA</t>
        </is>
      </c>
      <c r="EF66" t="inlineStr">
        <is>
          <t>TZA</t>
        </is>
      </c>
      <c r="EG66" t="inlineStr">
        <is>
          <t>TZA</t>
        </is>
      </c>
      <c r="EH66" t="inlineStr">
        <is>
          <t>TZA</t>
        </is>
      </c>
      <c r="EI66" t="inlineStr">
        <is>
          <t>TZA</t>
        </is>
      </c>
      <c r="JR66" t="inlineStr">
        <is>
          <t>IDN</t>
        </is>
      </c>
      <c r="JU66" t="inlineStr">
        <is>
          <t>IDN</t>
        </is>
      </c>
    </row>
    <row r="67">
      <c r="CJ67" t="inlineStr">
        <is>
          <t>AGO</t>
        </is>
      </c>
      <c r="CK67" t="inlineStr">
        <is>
          <t>AGO</t>
        </is>
      </c>
      <c r="CL67" t="inlineStr">
        <is>
          <t>AGO</t>
        </is>
      </c>
      <c r="CM67" t="inlineStr">
        <is>
          <t>AGO</t>
        </is>
      </c>
      <c r="CN67" t="inlineStr">
        <is>
          <t>AGO</t>
        </is>
      </c>
      <c r="CO67" t="inlineStr">
        <is>
          <t>AGO</t>
        </is>
      </c>
      <c r="CP67" t="inlineStr">
        <is>
          <t>AGO</t>
        </is>
      </c>
      <c r="CQ67" t="inlineStr">
        <is>
          <t>AGO</t>
        </is>
      </c>
      <c r="CR67" t="inlineStr">
        <is>
          <t>COD</t>
        </is>
      </c>
      <c r="CS67" t="inlineStr">
        <is>
          <t>COD</t>
        </is>
      </c>
      <c r="CT67" t="inlineStr">
        <is>
          <t>COD</t>
        </is>
      </c>
      <c r="CU67" t="inlineStr">
        <is>
          <t>COD</t>
        </is>
      </c>
      <c r="CV67" t="inlineStr">
        <is>
          <t>COD</t>
        </is>
      </c>
      <c r="CW67" t="inlineStr">
        <is>
          <t>AGO</t>
        </is>
      </c>
      <c r="CX67" t="inlineStr">
        <is>
          <t>AGO</t>
        </is>
      </c>
      <c r="CY67" t="inlineStr">
        <is>
          <t>COD</t>
        </is>
      </c>
      <c r="CZ67" t="inlineStr">
        <is>
          <t>COD</t>
        </is>
      </c>
      <c r="DA67" t="inlineStr">
        <is>
          <t>COD</t>
        </is>
      </c>
      <c r="DB67" t="inlineStr">
        <is>
          <t>COD</t>
        </is>
      </c>
      <c r="DC67" t="inlineStr">
        <is>
          <t>COD</t>
        </is>
      </c>
      <c r="DD67" t="inlineStr">
        <is>
          <t>COD</t>
        </is>
      </c>
      <c r="DE67" t="inlineStr">
        <is>
          <t>COD</t>
        </is>
      </c>
      <c r="DF67" t="inlineStr">
        <is>
          <t>COD</t>
        </is>
      </c>
      <c r="DG67" t="inlineStr">
        <is>
          <t>COD</t>
        </is>
      </c>
      <c r="DH67" t="inlineStr">
        <is>
          <t>COD</t>
        </is>
      </c>
      <c r="DI67" t="inlineStr">
        <is>
          <t>COD</t>
        </is>
      </c>
      <c r="DJ67" t="inlineStr">
        <is>
          <t>COD</t>
        </is>
      </c>
      <c r="DK67" t="inlineStr">
        <is>
          <t>COD</t>
        </is>
      </c>
      <c r="DL67" t="inlineStr">
        <is>
          <t>COD</t>
        </is>
      </c>
      <c r="DM67" t="inlineStr">
        <is>
          <t>COD</t>
        </is>
      </c>
      <c r="DN67" t="inlineStr">
        <is>
          <t>COD</t>
        </is>
      </c>
      <c r="DO67" t="inlineStr">
        <is>
          <t>COD</t>
        </is>
      </c>
      <c r="DP67" t="inlineStr">
        <is>
          <t>COD</t>
        </is>
      </c>
      <c r="DQ67" t="inlineStr">
        <is>
          <t>COD</t>
        </is>
      </c>
      <c r="DR67" t="inlineStr">
        <is>
          <t>COD</t>
        </is>
      </c>
      <c r="DS67" t="inlineStr">
        <is>
          <t>TZA</t>
        </is>
      </c>
      <c r="DT67" t="inlineStr">
        <is>
          <t>TZA</t>
        </is>
      </c>
      <c r="DU67" t="inlineStr">
        <is>
          <t>TZA</t>
        </is>
      </c>
      <c r="DV67" t="inlineStr">
        <is>
          <t>TZA</t>
        </is>
      </c>
      <c r="DW67" t="inlineStr">
        <is>
          <t>TZA</t>
        </is>
      </c>
      <c r="DX67" t="inlineStr">
        <is>
          <t>TZA</t>
        </is>
      </c>
      <c r="DY67" t="inlineStr">
        <is>
          <t>TZA</t>
        </is>
      </c>
      <c r="DZ67" t="inlineStr">
        <is>
          <t>TZA</t>
        </is>
      </c>
      <c r="EA67" t="inlineStr">
        <is>
          <t>TZA</t>
        </is>
      </c>
      <c r="EB67" t="inlineStr">
        <is>
          <t>TZA</t>
        </is>
      </c>
      <c r="EC67" t="inlineStr">
        <is>
          <t>TZA</t>
        </is>
      </c>
      <c r="ED67" t="inlineStr">
        <is>
          <t>TZA</t>
        </is>
      </c>
      <c r="EE67" t="inlineStr">
        <is>
          <t>TZA</t>
        </is>
      </c>
      <c r="EF67" t="inlineStr">
        <is>
          <t>TZA</t>
        </is>
      </c>
      <c r="EG67" t="inlineStr">
        <is>
          <t>TZA</t>
        </is>
      </c>
      <c r="EH67" t="inlineStr">
        <is>
          <t>TZA</t>
        </is>
      </c>
      <c r="EI67" t="inlineStr">
        <is>
          <t>TZA</t>
        </is>
      </c>
      <c r="EJ67" t="inlineStr">
        <is>
          <t>TZA</t>
        </is>
      </c>
      <c r="JO67" t="inlineStr">
        <is>
          <t>IDN</t>
        </is>
      </c>
      <c r="JP67" t="inlineStr">
        <is>
          <t>IDN</t>
        </is>
      </c>
      <c r="JQ67" t="inlineStr">
        <is>
          <t>IDN</t>
        </is>
      </c>
      <c r="JR67" t="inlineStr">
        <is>
          <t>IDN</t>
        </is>
      </c>
      <c r="JS67" t="inlineStr">
        <is>
          <t>IDN</t>
        </is>
      </c>
      <c r="JT67" t="inlineStr">
        <is>
          <t>IDN</t>
        </is>
      </c>
      <c r="JU67" t="inlineStr">
        <is>
          <t>IDN</t>
        </is>
      </c>
    </row>
    <row r="68">
      <c r="CI68" t="inlineStr">
        <is>
          <t>AGO</t>
        </is>
      </c>
      <c r="CJ68" t="inlineStr">
        <is>
          <t>AGO</t>
        </is>
      </c>
      <c r="CK68" t="inlineStr">
        <is>
          <t>AGO</t>
        </is>
      </c>
      <c r="CL68" t="inlineStr">
        <is>
          <t>AGO</t>
        </is>
      </c>
      <c r="CM68" t="inlineStr">
        <is>
          <t>AGO</t>
        </is>
      </c>
      <c r="CN68" t="inlineStr">
        <is>
          <t>AGO</t>
        </is>
      </c>
      <c r="CO68" t="inlineStr">
        <is>
          <t>AGO</t>
        </is>
      </c>
      <c r="CP68" t="inlineStr">
        <is>
          <t>AGO</t>
        </is>
      </c>
      <c r="CQ68" t="inlineStr">
        <is>
          <t>COD</t>
        </is>
      </c>
      <c r="CR68" t="inlineStr">
        <is>
          <t>COD</t>
        </is>
      </c>
      <c r="CS68" t="inlineStr">
        <is>
          <t>COD</t>
        </is>
      </c>
      <c r="CT68" t="inlineStr">
        <is>
          <t>COD</t>
        </is>
      </c>
      <c r="CU68" t="inlineStr">
        <is>
          <t>COD</t>
        </is>
      </c>
      <c r="CV68" t="inlineStr">
        <is>
          <t>COD</t>
        </is>
      </c>
      <c r="CW68" t="inlineStr">
        <is>
          <t>COD</t>
        </is>
      </c>
      <c r="CX68" t="inlineStr">
        <is>
          <t>COD</t>
        </is>
      </c>
      <c r="CY68" t="inlineStr">
        <is>
          <t>COD</t>
        </is>
      </c>
      <c r="CZ68" t="inlineStr">
        <is>
          <t>COD</t>
        </is>
      </c>
      <c r="DA68" t="inlineStr">
        <is>
          <t>COD</t>
        </is>
      </c>
      <c r="DB68" t="inlineStr">
        <is>
          <t>COD</t>
        </is>
      </c>
      <c r="DC68" t="inlineStr">
        <is>
          <t>COD</t>
        </is>
      </c>
      <c r="DD68" t="inlineStr">
        <is>
          <t>COD</t>
        </is>
      </c>
      <c r="DE68" t="inlineStr">
        <is>
          <t>COD</t>
        </is>
      </c>
      <c r="DF68" t="inlineStr">
        <is>
          <t>COD</t>
        </is>
      </c>
      <c r="DG68" t="inlineStr">
        <is>
          <t>COD</t>
        </is>
      </c>
      <c r="DH68" t="inlineStr">
        <is>
          <t>COD</t>
        </is>
      </c>
      <c r="DI68" t="inlineStr">
        <is>
          <t>COD</t>
        </is>
      </c>
      <c r="DJ68" t="inlineStr">
        <is>
          <t>COD</t>
        </is>
      </c>
      <c r="DK68" t="inlineStr">
        <is>
          <t>COD</t>
        </is>
      </c>
      <c r="DL68" t="inlineStr">
        <is>
          <t>COD</t>
        </is>
      </c>
      <c r="DM68" t="inlineStr">
        <is>
          <t>COD</t>
        </is>
      </c>
      <c r="DN68" t="inlineStr">
        <is>
          <t>COD</t>
        </is>
      </c>
      <c r="DO68" t="inlineStr">
        <is>
          <t>COD</t>
        </is>
      </c>
      <c r="DP68" t="inlineStr">
        <is>
          <t>COD</t>
        </is>
      </c>
      <c r="DQ68" t="inlineStr">
        <is>
          <t>COD</t>
        </is>
      </c>
      <c r="DR68" t="inlineStr">
        <is>
          <t>TZA</t>
        </is>
      </c>
      <c r="DS68" t="inlineStr">
        <is>
          <t>TZA</t>
        </is>
      </c>
      <c r="DT68" t="inlineStr">
        <is>
          <t>TZA</t>
        </is>
      </c>
      <c r="DU68" t="inlineStr">
        <is>
          <t>TZA</t>
        </is>
      </c>
      <c r="DV68" t="inlineStr">
        <is>
          <t>TZA</t>
        </is>
      </c>
      <c r="DW68" t="inlineStr">
        <is>
          <t>TZA</t>
        </is>
      </c>
      <c r="DX68" t="inlineStr">
        <is>
          <t>TZA</t>
        </is>
      </c>
      <c r="DY68" t="inlineStr">
        <is>
          <t>TZA</t>
        </is>
      </c>
      <c r="DZ68" t="inlineStr">
        <is>
          <t>TZA</t>
        </is>
      </c>
      <c r="EA68" t="inlineStr">
        <is>
          <t>TZA</t>
        </is>
      </c>
      <c r="EB68" t="inlineStr">
        <is>
          <t>TZA</t>
        </is>
      </c>
      <c r="EC68" t="inlineStr">
        <is>
          <t>TZA</t>
        </is>
      </c>
      <c r="ED68" t="inlineStr">
        <is>
          <t>TZA</t>
        </is>
      </c>
      <c r="EE68" t="inlineStr">
        <is>
          <t>TZA</t>
        </is>
      </c>
      <c r="EF68" t="inlineStr">
        <is>
          <t>TZA</t>
        </is>
      </c>
      <c r="EG68" t="inlineStr">
        <is>
          <t>TZA</t>
        </is>
      </c>
      <c r="EH68" t="inlineStr">
        <is>
          <t>TZA</t>
        </is>
      </c>
      <c r="EI68" t="inlineStr">
        <is>
          <t>TZA</t>
        </is>
      </c>
      <c r="EJ68" t="inlineStr">
        <is>
          <t>TZA</t>
        </is>
      </c>
      <c r="JM68" t="inlineStr">
        <is>
          <t>IDN</t>
        </is>
      </c>
      <c r="JN68" t="inlineStr">
        <is>
          <t>IDN</t>
        </is>
      </c>
      <c r="JO68" t="inlineStr">
        <is>
          <t>IDN</t>
        </is>
      </c>
      <c r="JP68" t="inlineStr">
        <is>
          <t>IDN</t>
        </is>
      </c>
      <c r="JQ68" t="inlineStr">
        <is>
          <t>IDN</t>
        </is>
      </c>
      <c r="JR68" t="inlineStr">
        <is>
          <t>IDN</t>
        </is>
      </c>
    </row>
    <row r="69">
      <c r="CH69" t="inlineStr">
        <is>
          <t>AGO</t>
        </is>
      </c>
      <c r="CI69" t="inlineStr">
        <is>
          <t>AGO</t>
        </is>
      </c>
      <c r="CJ69" t="inlineStr">
        <is>
          <t>AGO</t>
        </is>
      </c>
      <c r="CK69" t="inlineStr">
        <is>
          <t>AGO</t>
        </is>
      </c>
      <c r="CL69" t="inlineStr">
        <is>
          <t>AGO</t>
        </is>
      </c>
      <c r="CM69" t="inlineStr">
        <is>
          <t>AGO</t>
        </is>
      </c>
      <c r="CN69" t="inlineStr">
        <is>
          <t>AGO</t>
        </is>
      </c>
      <c r="CO69" t="inlineStr">
        <is>
          <t>AGO</t>
        </is>
      </c>
      <c r="CP69" t="inlineStr">
        <is>
          <t>AGO</t>
        </is>
      </c>
      <c r="CQ69" t="inlineStr">
        <is>
          <t>COD</t>
        </is>
      </c>
      <c r="CR69" t="inlineStr">
        <is>
          <t>COD</t>
        </is>
      </c>
      <c r="CS69" t="inlineStr">
        <is>
          <t>COD</t>
        </is>
      </c>
      <c r="CT69" t="inlineStr">
        <is>
          <t>COD</t>
        </is>
      </c>
      <c r="CU69" t="inlineStr">
        <is>
          <t>COD</t>
        </is>
      </c>
      <c r="CV69" t="inlineStr">
        <is>
          <t>COD</t>
        </is>
      </c>
      <c r="CW69" t="inlineStr">
        <is>
          <t>COD</t>
        </is>
      </c>
      <c r="CX69" t="inlineStr">
        <is>
          <t>COD</t>
        </is>
      </c>
      <c r="CY69" t="inlineStr">
        <is>
          <t>COD</t>
        </is>
      </c>
      <c r="CZ69" t="inlineStr">
        <is>
          <t>COD</t>
        </is>
      </c>
      <c r="DA69" t="inlineStr">
        <is>
          <t>COD</t>
        </is>
      </c>
      <c r="DB69" t="inlineStr">
        <is>
          <t>COD</t>
        </is>
      </c>
      <c r="DC69" t="inlineStr">
        <is>
          <t>COD</t>
        </is>
      </c>
      <c r="DD69" t="inlineStr">
        <is>
          <t>COD</t>
        </is>
      </c>
      <c r="DE69" t="inlineStr">
        <is>
          <t>COD</t>
        </is>
      </c>
      <c r="DF69" t="inlineStr">
        <is>
          <t>COD</t>
        </is>
      </c>
      <c r="DG69" t="inlineStr">
        <is>
          <t>COD</t>
        </is>
      </c>
      <c r="DH69" t="inlineStr">
        <is>
          <t>COD</t>
        </is>
      </c>
      <c r="DI69" t="inlineStr">
        <is>
          <t>COD</t>
        </is>
      </c>
      <c r="DJ69" t="inlineStr">
        <is>
          <t>COD</t>
        </is>
      </c>
      <c r="DK69" t="inlineStr">
        <is>
          <t>COD</t>
        </is>
      </c>
      <c r="DL69" t="inlineStr">
        <is>
          <t>COD</t>
        </is>
      </c>
      <c r="DM69" t="inlineStr">
        <is>
          <t>COD</t>
        </is>
      </c>
      <c r="DN69" t="inlineStr">
        <is>
          <t>COD</t>
        </is>
      </c>
      <c r="DO69" t="inlineStr">
        <is>
          <t>COD</t>
        </is>
      </c>
      <c r="DP69" t="inlineStr">
        <is>
          <t>COD</t>
        </is>
      </c>
      <c r="DQ69" t="inlineStr">
        <is>
          <t>TZA</t>
        </is>
      </c>
      <c r="DR69" t="inlineStr">
        <is>
          <t>TZA</t>
        </is>
      </c>
      <c r="DS69" t="inlineStr">
        <is>
          <t>TZA</t>
        </is>
      </c>
      <c r="DT69" t="inlineStr">
        <is>
          <t>TZA</t>
        </is>
      </c>
      <c r="DU69" t="inlineStr">
        <is>
          <t>TZA</t>
        </is>
      </c>
      <c r="DV69" t="inlineStr">
        <is>
          <t>TZA</t>
        </is>
      </c>
      <c r="DW69" t="inlineStr">
        <is>
          <t>TZA</t>
        </is>
      </c>
      <c r="DX69" t="inlineStr">
        <is>
          <t>TZA</t>
        </is>
      </c>
      <c r="DY69" t="inlineStr">
        <is>
          <t>TZA</t>
        </is>
      </c>
      <c r="DZ69" t="inlineStr">
        <is>
          <t>TZA</t>
        </is>
      </c>
      <c r="EA69" t="inlineStr">
        <is>
          <t>TZA</t>
        </is>
      </c>
      <c r="EB69" t="inlineStr">
        <is>
          <t>TZA</t>
        </is>
      </c>
      <c r="EC69" t="inlineStr">
        <is>
          <t>TZA</t>
        </is>
      </c>
      <c r="ED69" t="inlineStr">
        <is>
          <t>TZA</t>
        </is>
      </c>
      <c r="EE69" t="inlineStr">
        <is>
          <t>TZA</t>
        </is>
      </c>
      <c r="EF69" t="inlineStr">
        <is>
          <t>TZA</t>
        </is>
      </c>
      <c r="EG69" t="inlineStr">
        <is>
          <t>TZA</t>
        </is>
      </c>
      <c r="EH69" t="inlineStr">
        <is>
          <t>TZA</t>
        </is>
      </c>
      <c r="EI69" t="inlineStr">
        <is>
          <t>TZA</t>
        </is>
      </c>
      <c r="JN69" t="inlineStr">
        <is>
          <t>IDN</t>
        </is>
      </c>
      <c r="JO69" t="inlineStr">
        <is>
          <t>IDN</t>
        </is>
      </c>
      <c r="JP69" t="inlineStr">
        <is>
          <t>IDN</t>
        </is>
      </c>
      <c r="JQ69" t="inlineStr">
        <is>
          <t>IDN</t>
        </is>
      </c>
    </row>
    <row r="70">
      <c r="CH70" t="inlineStr">
        <is>
          <t>AGO</t>
        </is>
      </c>
      <c r="CI70" t="inlineStr">
        <is>
          <t>COD</t>
        </is>
      </c>
      <c r="CJ70" t="inlineStr">
        <is>
          <t>COD</t>
        </is>
      </c>
      <c r="CK70" t="inlineStr">
        <is>
          <t>COD</t>
        </is>
      </c>
      <c r="CL70" t="inlineStr">
        <is>
          <t>COD</t>
        </is>
      </c>
      <c r="CM70" t="inlineStr">
        <is>
          <t>COD</t>
        </is>
      </c>
      <c r="CN70" t="inlineStr">
        <is>
          <t>COD</t>
        </is>
      </c>
      <c r="CO70" t="inlineStr">
        <is>
          <t>COD</t>
        </is>
      </c>
      <c r="CP70" t="inlineStr">
        <is>
          <t>COD</t>
        </is>
      </c>
      <c r="CQ70" t="inlineStr">
        <is>
          <t>COD</t>
        </is>
      </c>
      <c r="CR70" t="inlineStr">
        <is>
          <t>COD</t>
        </is>
      </c>
      <c r="CS70" t="inlineStr">
        <is>
          <t>COD</t>
        </is>
      </c>
      <c r="CT70" t="inlineStr">
        <is>
          <t>COD</t>
        </is>
      </c>
      <c r="CU70" t="inlineStr">
        <is>
          <t>COD</t>
        </is>
      </c>
      <c r="CV70" t="inlineStr">
        <is>
          <t>COD</t>
        </is>
      </c>
      <c r="CW70" t="inlineStr">
        <is>
          <t>COD</t>
        </is>
      </c>
      <c r="CX70" t="inlineStr">
        <is>
          <t>COD</t>
        </is>
      </c>
      <c r="CY70" t="inlineStr">
        <is>
          <t>COD</t>
        </is>
      </c>
      <c r="CZ70" t="inlineStr">
        <is>
          <t>COD</t>
        </is>
      </c>
      <c r="DA70" t="inlineStr">
        <is>
          <t>COD</t>
        </is>
      </c>
      <c r="DB70" t="inlineStr">
        <is>
          <t>COD</t>
        </is>
      </c>
      <c r="DC70" t="inlineStr">
        <is>
          <t>COD</t>
        </is>
      </c>
      <c r="DD70" t="inlineStr">
        <is>
          <t>COD</t>
        </is>
      </c>
      <c r="DE70" t="inlineStr">
        <is>
          <t>COD</t>
        </is>
      </c>
      <c r="DF70" t="inlineStr">
        <is>
          <t>COD</t>
        </is>
      </c>
      <c r="DG70" t="inlineStr">
        <is>
          <t>COD</t>
        </is>
      </c>
      <c r="DH70" t="inlineStr">
        <is>
          <t>COD</t>
        </is>
      </c>
      <c r="DI70" t="inlineStr">
        <is>
          <t>COD</t>
        </is>
      </c>
      <c r="DJ70" t="inlineStr">
        <is>
          <t>COD</t>
        </is>
      </c>
      <c r="DK70" t="inlineStr">
        <is>
          <t>COD</t>
        </is>
      </c>
      <c r="DL70" t="inlineStr">
        <is>
          <t>COD</t>
        </is>
      </c>
      <c r="DM70" t="inlineStr">
        <is>
          <t>COD</t>
        </is>
      </c>
      <c r="DN70" t="inlineStr">
        <is>
          <t>COD</t>
        </is>
      </c>
      <c r="DO70" t="inlineStr">
        <is>
          <t>COD</t>
        </is>
      </c>
      <c r="DP70" t="inlineStr">
        <is>
          <t>COD</t>
        </is>
      </c>
      <c r="DQ70" t="inlineStr">
        <is>
          <t>TZA</t>
        </is>
      </c>
      <c r="DR70" t="inlineStr">
        <is>
          <t>TZA</t>
        </is>
      </c>
      <c r="DS70" t="inlineStr">
        <is>
          <t>TZA</t>
        </is>
      </c>
      <c r="DT70" t="inlineStr">
        <is>
          <t>TZA</t>
        </is>
      </c>
      <c r="DU70" t="inlineStr">
        <is>
          <t>TZA</t>
        </is>
      </c>
      <c r="DV70" t="inlineStr">
        <is>
          <t>TZA</t>
        </is>
      </c>
      <c r="DW70" t="inlineStr">
        <is>
          <t>TZA</t>
        </is>
      </c>
      <c r="DX70" t="inlineStr">
        <is>
          <t>TZA</t>
        </is>
      </c>
      <c r="DY70" t="inlineStr">
        <is>
          <t>TZA</t>
        </is>
      </c>
      <c r="DZ70" t="inlineStr">
        <is>
          <t>TZA</t>
        </is>
      </c>
      <c r="EA70" t="inlineStr">
        <is>
          <t>TZA</t>
        </is>
      </c>
      <c r="EB70" t="inlineStr">
        <is>
          <t>TZA</t>
        </is>
      </c>
      <c r="EC70" t="inlineStr">
        <is>
          <t>TZA</t>
        </is>
      </c>
      <c r="ED70" t="inlineStr">
        <is>
          <t>TZA</t>
        </is>
      </c>
      <c r="EE70" t="inlineStr">
        <is>
          <t>TZA</t>
        </is>
      </c>
      <c r="EF70" t="inlineStr">
        <is>
          <t>TZA</t>
        </is>
      </c>
      <c r="EG70" t="inlineStr">
        <is>
          <t>TZA</t>
        </is>
      </c>
      <c r="EH70" t="inlineStr">
        <is>
          <t>TZA</t>
        </is>
      </c>
      <c r="EI70" t="inlineStr">
        <is>
          <t>TZA</t>
        </is>
      </c>
      <c r="JK70" t="inlineStr">
        <is>
          <t>IDN</t>
        </is>
      </c>
      <c r="JL70" t="inlineStr">
        <is>
          <t>IDN</t>
        </is>
      </c>
      <c r="JM70" t="inlineStr">
        <is>
          <t>IDN</t>
        </is>
      </c>
    </row>
    <row r="71">
      <c r="CH71" t="inlineStr">
        <is>
          <t>AGO</t>
        </is>
      </c>
      <c r="CI71" t="inlineStr">
        <is>
          <t>COD</t>
        </is>
      </c>
      <c r="CJ71" t="inlineStr">
        <is>
          <t>COD</t>
        </is>
      </c>
      <c r="CK71" t="inlineStr">
        <is>
          <t>COD</t>
        </is>
      </c>
      <c r="CL71" t="inlineStr">
        <is>
          <t>COD</t>
        </is>
      </c>
      <c r="CM71" t="inlineStr">
        <is>
          <t>COD</t>
        </is>
      </c>
      <c r="CN71" t="inlineStr">
        <is>
          <t>COD</t>
        </is>
      </c>
      <c r="CO71" t="inlineStr">
        <is>
          <t>COD</t>
        </is>
      </c>
      <c r="CP71" t="inlineStr">
        <is>
          <t>COD</t>
        </is>
      </c>
      <c r="CQ71" t="inlineStr">
        <is>
          <t>COD</t>
        </is>
      </c>
      <c r="CR71" t="inlineStr">
        <is>
          <t>COD</t>
        </is>
      </c>
      <c r="CS71" t="inlineStr">
        <is>
          <t>COD</t>
        </is>
      </c>
      <c r="CT71" t="inlineStr">
        <is>
          <t>COD</t>
        </is>
      </c>
      <c r="CU71" t="inlineStr">
        <is>
          <t>COD</t>
        </is>
      </c>
      <c r="CV71" t="inlineStr">
        <is>
          <t>COD</t>
        </is>
      </c>
      <c r="CW71" t="inlineStr">
        <is>
          <t>COD</t>
        </is>
      </c>
      <c r="CX71" t="inlineStr">
        <is>
          <t>COD</t>
        </is>
      </c>
      <c r="CY71" t="inlineStr">
        <is>
          <t>COD</t>
        </is>
      </c>
      <c r="CZ71" t="inlineStr">
        <is>
          <t>COD</t>
        </is>
      </c>
      <c r="DA71" t="inlineStr">
        <is>
          <t>COD</t>
        </is>
      </c>
      <c r="DB71" t="inlineStr">
        <is>
          <t>COD</t>
        </is>
      </c>
      <c r="DC71" t="inlineStr">
        <is>
          <t>COD</t>
        </is>
      </c>
      <c r="DD71" t="inlineStr">
        <is>
          <t>COD</t>
        </is>
      </c>
      <c r="DE71" t="inlineStr">
        <is>
          <t>COD</t>
        </is>
      </c>
      <c r="DF71" t="inlineStr">
        <is>
          <t>COD</t>
        </is>
      </c>
      <c r="DG71" t="inlineStr">
        <is>
          <t>COD</t>
        </is>
      </c>
      <c r="DH71" t="inlineStr">
        <is>
          <t>COD</t>
        </is>
      </c>
      <c r="DI71" t="inlineStr">
        <is>
          <t>COD</t>
        </is>
      </c>
      <c r="DJ71" t="inlineStr">
        <is>
          <t>COD</t>
        </is>
      </c>
      <c r="DK71" t="inlineStr">
        <is>
          <t>COD</t>
        </is>
      </c>
      <c r="DL71" t="inlineStr">
        <is>
          <t>COD</t>
        </is>
      </c>
      <c r="DM71" t="inlineStr">
        <is>
          <t>COD</t>
        </is>
      </c>
      <c r="DN71" t="inlineStr">
        <is>
          <t>COD</t>
        </is>
      </c>
      <c r="DO71" t="inlineStr">
        <is>
          <t>COD</t>
        </is>
      </c>
      <c r="DP71" t="inlineStr">
        <is>
          <t>COD</t>
        </is>
      </c>
      <c r="DQ71" t="inlineStr">
        <is>
          <t>TZA</t>
        </is>
      </c>
      <c r="DR71" t="inlineStr">
        <is>
          <t>TZA</t>
        </is>
      </c>
      <c r="DS71" t="inlineStr">
        <is>
          <t>TZA</t>
        </is>
      </c>
      <c r="DT71" t="inlineStr">
        <is>
          <t>TZA</t>
        </is>
      </c>
      <c r="DU71" t="inlineStr">
        <is>
          <t>TZA</t>
        </is>
      </c>
      <c r="DV71" t="inlineStr">
        <is>
          <t>TZA</t>
        </is>
      </c>
      <c r="DW71" t="inlineStr">
        <is>
          <t>TZA</t>
        </is>
      </c>
      <c r="DX71" t="inlineStr">
        <is>
          <t>TZA</t>
        </is>
      </c>
      <c r="DY71" t="inlineStr">
        <is>
          <t>TZA</t>
        </is>
      </c>
      <c r="DZ71" t="inlineStr">
        <is>
          <t>TZA</t>
        </is>
      </c>
      <c r="EA71" t="inlineStr">
        <is>
          <t>TZA</t>
        </is>
      </c>
      <c r="EB71" t="inlineStr">
        <is>
          <t>TZA</t>
        </is>
      </c>
      <c r="EC71" t="inlineStr">
        <is>
          <t>TZA</t>
        </is>
      </c>
      <c r="ED71" t="inlineStr">
        <is>
          <t>TZA</t>
        </is>
      </c>
      <c r="EE71" t="inlineStr">
        <is>
          <t>TZA</t>
        </is>
      </c>
      <c r="EF71" t="inlineStr">
        <is>
          <t>TZA</t>
        </is>
      </c>
      <c r="EG71" t="inlineStr">
        <is>
          <t>TZA</t>
        </is>
      </c>
      <c r="EH71" t="inlineStr">
        <is>
          <t>TZA</t>
        </is>
      </c>
      <c r="EI71" t="inlineStr">
        <is>
          <t>TZA</t>
        </is>
      </c>
      <c r="JJ71" t="inlineStr">
        <is>
          <t>IDN</t>
        </is>
      </c>
      <c r="JK71" t="inlineStr">
        <is>
          <t>IDN</t>
        </is>
      </c>
      <c r="JL71" t="inlineStr">
        <is>
          <t>IDN</t>
        </is>
      </c>
      <c r="JM71" t="inlineStr">
        <is>
          <t>IDN</t>
        </is>
      </c>
    </row>
    <row r="72">
      <c r="CG72" t="inlineStr">
        <is>
          <t>COG</t>
        </is>
      </c>
      <c r="CH72" t="inlineStr">
        <is>
          <t>AGO</t>
        </is>
      </c>
      <c r="CI72" t="inlineStr">
        <is>
          <t>AGO</t>
        </is>
      </c>
      <c r="CJ72" t="inlineStr">
        <is>
          <t>COG</t>
        </is>
      </c>
      <c r="CK72" t="inlineStr">
        <is>
          <t>COD</t>
        </is>
      </c>
      <c r="CL72" t="inlineStr">
        <is>
          <t>COG</t>
        </is>
      </c>
      <c r="CM72" t="inlineStr">
        <is>
          <t>COG</t>
        </is>
      </c>
      <c r="CN72" t="inlineStr">
        <is>
          <t>COD</t>
        </is>
      </c>
      <c r="CO72" t="inlineStr">
        <is>
          <t>COD</t>
        </is>
      </c>
      <c r="CP72" t="inlineStr">
        <is>
          <t>COD</t>
        </is>
      </c>
      <c r="CQ72" t="inlineStr">
        <is>
          <t>COD</t>
        </is>
      </c>
      <c r="CR72" t="inlineStr">
        <is>
          <t>COD</t>
        </is>
      </c>
      <c r="CS72" t="inlineStr">
        <is>
          <t>COD</t>
        </is>
      </c>
      <c r="CT72" t="inlineStr">
        <is>
          <t>COD</t>
        </is>
      </c>
      <c r="CU72" t="inlineStr">
        <is>
          <t>COD</t>
        </is>
      </c>
      <c r="CV72" t="inlineStr">
        <is>
          <t>COD</t>
        </is>
      </c>
      <c r="CW72" t="inlineStr">
        <is>
          <t>COD</t>
        </is>
      </c>
      <c r="CX72" t="inlineStr">
        <is>
          <t>COD</t>
        </is>
      </c>
      <c r="CY72" t="inlineStr">
        <is>
          <t>COD</t>
        </is>
      </c>
      <c r="CZ72" t="inlineStr">
        <is>
          <t>COD</t>
        </is>
      </c>
      <c r="DA72" t="inlineStr">
        <is>
          <t>COD</t>
        </is>
      </c>
      <c r="DB72" t="inlineStr">
        <is>
          <t>COD</t>
        </is>
      </c>
      <c r="DC72" t="inlineStr">
        <is>
          <t>COD</t>
        </is>
      </c>
      <c r="DD72" t="inlineStr">
        <is>
          <t>COD</t>
        </is>
      </c>
      <c r="DE72" t="inlineStr">
        <is>
          <t>COD</t>
        </is>
      </c>
      <c r="DF72" t="inlineStr">
        <is>
          <t>COD</t>
        </is>
      </c>
      <c r="DG72" t="inlineStr">
        <is>
          <t>COD</t>
        </is>
      </c>
      <c r="DH72" t="inlineStr">
        <is>
          <t>COD</t>
        </is>
      </c>
      <c r="DI72" t="inlineStr">
        <is>
          <t>COD</t>
        </is>
      </c>
      <c r="DJ72" t="inlineStr">
        <is>
          <t>COD</t>
        </is>
      </c>
      <c r="DK72" t="inlineStr">
        <is>
          <t>COD</t>
        </is>
      </c>
      <c r="DL72" t="inlineStr">
        <is>
          <t>COD</t>
        </is>
      </c>
      <c r="DM72" t="inlineStr">
        <is>
          <t>COD</t>
        </is>
      </c>
      <c r="DN72" t="inlineStr">
        <is>
          <t>COD</t>
        </is>
      </c>
      <c r="DO72" t="inlineStr">
        <is>
          <t>COD</t>
        </is>
      </c>
      <c r="DP72" t="inlineStr">
        <is>
          <t>COD</t>
        </is>
      </c>
      <c r="DQ72" t="inlineStr">
        <is>
          <t>TZA</t>
        </is>
      </c>
      <c r="DR72" t="inlineStr">
        <is>
          <t>TZA</t>
        </is>
      </c>
      <c r="DS72" t="inlineStr">
        <is>
          <t>TZA</t>
        </is>
      </c>
      <c r="DT72" t="inlineStr">
        <is>
          <t>TZA</t>
        </is>
      </c>
      <c r="DU72" t="inlineStr">
        <is>
          <t>TZA</t>
        </is>
      </c>
      <c r="DV72" t="inlineStr">
        <is>
          <t>TZA</t>
        </is>
      </c>
      <c r="DW72" t="inlineStr">
        <is>
          <t>TZA</t>
        </is>
      </c>
      <c r="DX72" t="inlineStr">
        <is>
          <t>TZA</t>
        </is>
      </c>
      <c r="DY72" t="inlineStr">
        <is>
          <t>TZA</t>
        </is>
      </c>
      <c r="DZ72" t="inlineStr">
        <is>
          <t>TZA</t>
        </is>
      </c>
      <c r="EA72" t="inlineStr">
        <is>
          <t>TZA</t>
        </is>
      </c>
      <c r="EB72" t="inlineStr">
        <is>
          <t>TZA</t>
        </is>
      </c>
      <c r="EC72" t="inlineStr">
        <is>
          <t>TZA</t>
        </is>
      </c>
      <c r="ED72" t="inlineStr">
        <is>
          <t>TZA</t>
        </is>
      </c>
      <c r="EE72" t="inlineStr">
        <is>
          <t>TZA</t>
        </is>
      </c>
      <c r="EF72" t="inlineStr">
        <is>
          <t>TZA</t>
        </is>
      </c>
      <c r="EG72" t="inlineStr">
        <is>
          <t>TZA</t>
        </is>
      </c>
      <c r="EH72" t="inlineStr">
        <is>
          <t>TZA</t>
        </is>
      </c>
      <c r="EI72" t="inlineStr">
        <is>
          <t>TZA</t>
        </is>
      </c>
      <c r="JI72" t="inlineStr">
        <is>
          <t>IDN</t>
        </is>
      </c>
      <c r="JJ72" t="inlineStr">
        <is>
          <t>IDN</t>
        </is>
      </c>
      <c r="JK72" t="inlineStr">
        <is>
          <t>IDN</t>
        </is>
      </c>
      <c r="JL72" t="inlineStr">
        <is>
          <t>IDN</t>
        </is>
      </c>
      <c r="JM72" t="inlineStr">
        <is>
          <t>IDN</t>
        </is>
      </c>
    </row>
    <row r="73">
      <c r="CG73" t="inlineStr">
        <is>
          <t>COG</t>
        </is>
      </c>
      <c r="CH73" t="inlineStr">
        <is>
          <t>COG</t>
        </is>
      </c>
      <c r="CI73" t="inlineStr">
        <is>
          <t>COG</t>
        </is>
      </c>
      <c r="CJ73" t="inlineStr">
        <is>
          <t>COG</t>
        </is>
      </c>
      <c r="CK73" t="inlineStr">
        <is>
          <t>COG</t>
        </is>
      </c>
      <c r="CL73" t="inlineStr">
        <is>
          <t>COG</t>
        </is>
      </c>
      <c r="CM73" t="inlineStr">
        <is>
          <t>COG</t>
        </is>
      </c>
      <c r="CN73" t="inlineStr">
        <is>
          <t>COG</t>
        </is>
      </c>
      <c r="CO73" t="inlineStr">
        <is>
          <t>COD</t>
        </is>
      </c>
      <c r="CP73" t="inlineStr">
        <is>
          <t>COD</t>
        </is>
      </c>
      <c r="CQ73" t="inlineStr">
        <is>
          <t>COD</t>
        </is>
      </c>
      <c r="CR73" t="inlineStr">
        <is>
          <t>COD</t>
        </is>
      </c>
      <c r="CS73" t="inlineStr">
        <is>
          <t>COD</t>
        </is>
      </c>
      <c r="CT73" t="inlineStr">
        <is>
          <t>COD</t>
        </is>
      </c>
      <c r="CU73" t="inlineStr">
        <is>
          <t>COD</t>
        </is>
      </c>
      <c r="CV73" t="inlineStr">
        <is>
          <t>COD</t>
        </is>
      </c>
      <c r="CW73" t="inlineStr">
        <is>
          <t>COD</t>
        </is>
      </c>
      <c r="CX73" t="inlineStr">
        <is>
          <t>COD</t>
        </is>
      </c>
      <c r="CY73" t="inlineStr">
        <is>
          <t>COD</t>
        </is>
      </c>
      <c r="CZ73" t="inlineStr">
        <is>
          <t>COD</t>
        </is>
      </c>
      <c r="DA73" t="inlineStr">
        <is>
          <t>COD</t>
        </is>
      </c>
      <c r="DB73" t="inlineStr">
        <is>
          <t>COD</t>
        </is>
      </c>
      <c r="DC73" t="inlineStr">
        <is>
          <t>COD</t>
        </is>
      </c>
      <c r="DD73" t="inlineStr">
        <is>
          <t>COD</t>
        </is>
      </c>
      <c r="DE73" t="inlineStr">
        <is>
          <t>COD</t>
        </is>
      </c>
      <c r="DF73" t="inlineStr">
        <is>
          <t>COD</t>
        </is>
      </c>
      <c r="DG73" t="inlineStr">
        <is>
          <t>COD</t>
        </is>
      </c>
      <c r="DH73" t="inlineStr">
        <is>
          <t>COD</t>
        </is>
      </c>
      <c r="DI73" t="inlineStr">
        <is>
          <t>COD</t>
        </is>
      </c>
      <c r="DJ73" t="inlineStr">
        <is>
          <t>COD</t>
        </is>
      </c>
      <c r="DK73" t="inlineStr">
        <is>
          <t>COD</t>
        </is>
      </c>
      <c r="DL73" t="inlineStr">
        <is>
          <t>COD</t>
        </is>
      </c>
      <c r="DM73" t="inlineStr">
        <is>
          <t>COD</t>
        </is>
      </c>
      <c r="DN73" t="inlineStr">
        <is>
          <t>COD</t>
        </is>
      </c>
      <c r="DO73" t="inlineStr">
        <is>
          <t>COD</t>
        </is>
      </c>
      <c r="DP73" t="inlineStr">
        <is>
          <t>COD</t>
        </is>
      </c>
      <c r="DQ73" t="inlineStr">
        <is>
          <t>BDI</t>
        </is>
      </c>
      <c r="DR73" t="inlineStr">
        <is>
          <t>TZA</t>
        </is>
      </c>
      <c r="DS73" t="inlineStr">
        <is>
          <t>TZA</t>
        </is>
      </c>
      <c r="DT73" t="inlineStr">
        <is>
          <t>TZA</t>
        </is>
      </c>
      <c r="DU73" t="inlineStr">
        <is>
          <t>TZA</t>
        </is>
      </c>
      <c r="DV73" t="inlineStr">
        <is>
          <t>TZA</t>
        </is>
      </c>
      <c r="DW73" t="inlineStr">
        <is>
          <t>TZA</t>
        </is>
      </c>
      <c r="DX73" t="inlineStr">
        <is>
          <t>TZA</t>
        </is>
      </c>
      <c r="DY73" t="inlineStr">
        <is>
          <t>TZA</t>
        </is>
      </c>
      <c r="DZ73" t="inlineStr">
        <is>
          <t>TZA</t>
        </is>
      </c>
      <c r="EA73" t="inlineStr">
        <is>
          <t>TZA</t>
        </is>
      </c>
      <c r="EB73" t="inlineStr">
        <is>
          <t>TZA</t>
        </is>
      </c>
      <c r="EC73" t="inlineStr">
        <is>
          <t>TZA</t>
        </is>
      </c>
      <c r="ED73" t="inlineStr">
        <is>
          <t>TZA</t>
        </is>
      </c>
      <c r="EE73" t="inlineStr">
        <is>
          <t>TZA</t>
        </is>
      </c>
      <c r="EF73" t="inlineStr">
        <is>
          <t>TZA</t>
        </is>
      </c>
      <c r="EG73" t="inlineStr">
        <is>
          <t>TZA</t>
        </is>
      </c>
      <c r="EH73" t="inlineStr">
        <is>
          <t>TZA</t>
        </is>
      </c>
      <c r="EI73" t="inlineStr">
        <is>
          <t>KEN</t>
        </is>
      </c>
      <c r="EJ73" t="inlineStr">
        <is>
          <t>KEN</t>
        </is>
      </c>
      <c r="JG73" t="inlineStr">
        <is>
          <t>IDN</t>
        </is>
      </c>
      <c r="JH73" t="inlineStr">
        <is>
          <t>IDN</t>
        </is>
      </c>
      <c r="JI73" t="inlineStr">
        <is>
          <t>IDN</t>
        </is>
      </c>
      <c r="JJ73" t="inlineStr">
        <is>
          <t>IDN</t>
        </is>
      </c>
      <c r="JK73" t="inlineStr">
        <is>
          <t>IDN</t>
        </is>
      </c>
      <c r="JL73" t="inlineStr">
        <is>
          <t>IDN</t>
        </is>
      </c>
      <c r="JM73" t="inlineStr">
        <is>
          <t>IDN</t>
        </is>
      </c>
    </row>
    <row r="74">
      <c r="CF74" t="inlineStr">
        <is>
          <t>GAB</t>
        </is>
      </c>
      <c r="CG74" t="inlineStr">
        <is>
          <t>COG</t>
        </is>
      </c>
      <c r="CH74" t="inlineStr">
        <is>
          <t>COG</t>
        </is>
      </c>
      <c r="CI74" t="inlineStr">
        <is>
          <t>COG</t>
        </is>
      </c>
      <c r="CJ74" t="inlineStr">
        <is>
          <t>COG</t>
        </is>
      </c>
      <c r="CK74" t="inlineStr">
        <is>
          <t>COG</t>
        </is>
      </c>
      <c r="CL74" t="inlineStr">
        <is>
          <t>COG</t>
        </is>
      </c>
      <c r="CM74" t="inlineStr">
        <is>
          <t>COG</t>
        </is>
      </c>
      <c r="CN74" t="inlineStr">
        <is>
          <t>COG</t>
        </is>
      </c>
      <c r="CO74" t="inlineStr">
        <is>
          <t>COG</t>
        </is>
      </c>
      <c r="CP74" t="inlineStr">
        <is>
          <t>COD</t>
        </is>
      </c>
      <c r="CQ74" t="inlineStr">
        <is>
          <t>COD</t>
        </is>
      </c>
      <c r="CR74" t="inlineStr">
        <is>
          <t>COD</t>
        </is>
      </c>
      <c r="CS74" t="inlineStr">
        <is>
          <t>COD</t>
        </is>
      </c>
      <c r="CT74" t="inlineStr">
        <is>
          <t>COD</t>
        </is>
      </c>
      <c r="CU74" t="inlineStr">
        <is>
          <t>COD</t>
        </is>
      </c>
      <c r="CV74" t="inlineStr">
        <is>
          <t>COD</t>
        </is>
      </c>
      <c r="CW74" t="inlineStr">
        <is>
          <t>COD</t>
        </is>
      </c>
      <c r="CX74" t="inlineStr">
        <is>
          <t>COD</t>
        </is>
      </c>
      <c r="CY74" t="inlineStr">
        <is>
          <t>COD</t>
        </is>
      </c>
      <c r="CZ74" t="inlineStr">
        <is>
          <t>COD</t>
        </is>
      </c>
      <c r="DA74" t="inlineStr">
        <is>
          <t>COD</t>
        </is>
      </c>
      <c r="DB74" t="inlineStr">
        <is>
          <t>COD</t>
        </is>
      </c>
      <c r="DC74" t="inlineStr">
        <is>
          <t>COD</t>
        </is>
      </c>
      <c r="DD74" t="inlineStr">
        <is>
          <t>COD</t>
        </is>
      </c>
      <c r="DE74" t="inlineStr">
        <is>
          <t>COD</t>
        </is>
      </c>
      <c r="DF74" t="inlineStr">
        <is>
          <t>COD</t>
        </is>
      </c>
      <c r="DG74" t="inlineStr">
        <is>
          <t>COD</t>
        </is>
      </c>
      <c r="DH74" t="inlineStr">
        <is>
          <t>COD</t>
        </is>
      </c>
      <c r="DI74" t="inlineStr">
        <is>
          <t>COD</t>
        </is>
      </c>
      <c r="DJ74" t="inlineStr">
        <is>
          <t>COD</t>
        </is>
      </c>
      <c r="DK74" t="inlineStr">
        <is>
          <t>COD</t>
        </is>
      </c>
      <c r="DL74" t="inlineStr">
        <is>
          <t>COD</t>
        </is>
      </c>
      <c r="DM74" t="inlineStr">
        <is>
          <t>COD</t>
        </is>
      </c>
      <c r="DN74" t="inlineStr">
        <is>
          <t>COD</t>
        </is>
      </c>
      <c r="DO74" t="inlineStr">
        <is>
          <t>COD</t>
        </is>
      </c>
      <c r="DP74" t="inlineStr">
        <is>
          <t>COD</t>
        </is>
      </c>
      <c r="DQ74" t="inlineStr">
        <is>
          <t>BDI</t>
        </is>
      </c>
      <c r="DR74" t="inlineStr">
        <is>
          <t>BDI</t>
        </is>
      </c>
      <c r="DS74" t="inlineStr">
        <is>
          <t>TZA</t>
        </is>
      </c>
      <c r="DT74" t="inlineStr">
        <is>
          <t>TZA</t>
        </is>
      </c>
      <c r="DU74" t="inlineStr">
        <is>
          <t>TZA</t>
        </is>
      </c>
      <c r="DV74" t="inlineStr">
        <is>
          <t>TZA</t>
        </is>
      </c>
      <c r="DW74" t="inlineStr">
        <is>
          <t>TZA</t>
        </is>
      </c>
      <c r="DX74" t="inlineStr">
        <is>
          <t>TZA</t>
        </is>
      </c>
      <c r="DY74" t="inlineStr">
        <is>
          <t>TZA</t>
        </is>
      </c>
      <c r="DZ74" t="inlineStr">
        <is>
          <t>TZA</t>
        </is>
      </c>
      <c r="EA74" t="inlineStr">
        <is>
          <t>TZA</t>
        </is>
      </c>
      <c r="EB74" t="inlineStr">
        <is>
          <t>TZA</t>
        </is>
      </c>
      <c r="EC74" t="inlineStr">
        <is>
          <t>TZA</t>
        </is>
      </c>
      <c r="ED74" t="inlineStr">
        <is>
          <t>TZA</t>
        </is>
      </c>
      <c r="EE74" t="inlineStr">
        <is>
          <t>TZA</t>
        </is>
      </c>
      <c r="EF74" t="inlineStr">
        <is>
          <t>TZA</t>
        </is>
      </c>
      <c r="EG74" t="inlineStr">
        <is>
          <t>TZA</t>
        </is>
      </c>
      <c r="EH74" t="inlineStr">
        <is>
          <t>KEN</t>
        </is>
      </c>
      <c r="EI74" t="inlineStr">
        <is>
          <t>KEN</t>
        </is>
      </c>
      <c r="EJ74" t="inlineStr">
        <is>
          <t>KEN</t>
        </is>
      </c>
      <c r="EK74" t="inlineStr">
        <is>
          <t>KEN</t>
        </is>
      </c>
      <c r="JG74" t="inlineStr">
        <is>
          <t>IDN</t>
        </is>
      </c>
      <c r="JH74" t="inlineStr">
        <is>
          <t>IDN</t>
        </is>
      </c>
      <c r="JI74" t="inlineStr">
        <is>
          <t>IDN</t>
        </is>
      </c>
      <c r="JJ74" t="inlineStr">
        <is>
          <t>IDN</t>
        </is>
      </c>
      <c r="JK74" t="inlineStr">
        <is>
          <t>IDN</t>
        </is>
      </c>
      <c r="JL74" t="inlineStr">
        <is>
          <t>IDN</t>
        </is>
      </c>
      <c r="JM74" t="inlineStr">
        <is>
          <t>IDN</t>
        </is>
      </c>
    </row>
    <row r="75">
      <c r="CE75" t="inlineStr">
        <is>
          <t>GAB</t>
        </is>
      </c>
      <c r="CF75" t="inlineStr">
        <is>
          <t>GAB</t>
        </is>
      </c>
      <c r="CG75" t="inlineStr">
        <is>
          <t>GAB</t>
        </is>
      </c>
      <c r="CH75" t="inlineStr">
        <is>
          <t>COG</t>
        </is>
      </c>
      <c r="CI75" t="inlineStr">
        <is>
          <t>COG</t>
        </is>
      </c>
      <c r="CJ75" t="inlineStr">
        <is>
          <t>COG</t>
        </is>
      </c>
      <c r="CK75" t="inlineStr">
        <is>
          <t>COG</t>
        </is>
      </c>
      <c r="CL75" t="inlineStr">
        <is>
          <t>COG</t>
        </is>
      </c>
      <c r="CM75" t="inlineStr">
        <is>
          <t>COG</t>
        </is>
      </c>
      <c r="CN75" t="inlineStr">
        <is>
          <t>COG</t>
        </is>
      </c>
      <c r="CO75" t="inlineStr">
        <is>
          <t>COG</t>
        </is>
      </c>
      <c r="CP75" t="inlineStr">
        <is>
          <t>COD</t>
        </is>
      </c>
      <c r="CQ75" t="inlineStr">
        <is>
          <t>COD</t>
        </is>
      </c>
      <c r="CR75" t="inlineStr">
        <is>
          <t>COD</t>
        </is>
      </c>
      <c r="CS75" t="inlineStr">
        <is>
          <t>COD</t>
        </is>
      </c>
      <c r="CT75" t="inlineStr">
        <is>
          <t>COD</t>
        </is>
      </c>
      <c r="CU75" t="inlineStr">
        <is>
          <t>COD</t>
        </is>
      </c>
      <c r="CV75" t="inlineStr">
        <is>
          <t>COD</t>
        </is>
      </c>
      <c r="CW75" t="inlineStr">
        <is>
          <t>COD</t>
        </is>
      </c>
      <c r="CX75" t="inlineStr">
        <is>
          <t>COD</t>
        </is>
      </c>
      <c r="CY75" t="inlineStr">
        <is>
          <t>COD</t>
        </is>
      </c>
      <c r="CZ75" t="inlineStr">
        <is>
          <t>COD</t>
        </is>
      </c>
      <c r="DA75" t="inlineStr">
        <is>
          <t>COD</t>
        </is>
      </c>
      <c r="DB75" t="inlineStr">
        <is>
          <t>COD</t>
        </is>
      </c>
      <c r="DC75" t="inlineStr">
        <is>
          <t>COD</t>
        </is>
      </c>
      <c r="DD75" t="inlineStr">
        <is>
          <t>COD</t>
        </is>
      </c>
      <c r="DE75" t="inlineStr">
        <is>
          <t>COD</t>
        </is>
      </c>
      <c r="DF75" t="inlineStr">
        <is>
          <t>COD</t>
        </is>
      </c>
      <c r="DG75" t="inlineStr">
        <is>
          <t>COD</t>
        </is>
      </c>
      <c r="DH75" t="inlineStr">
        <is>
          <t>COD</t>
        </is>
      </c>
      <c r="DI75" t="inlineStr">
        <is>
          <t>COD</t>
        </is>
      </c>
      <c r="DJ75" t="inlineStr">
        <is>
          <t>COD</t>
        </is>
      </c>
      <c r="DK75" t="inlineStr">
        <is>
          <t>COD</t>
        </is>
      </c>
      <c r="DL75" t="inlineStr">
        <is>
          <t>COD</t>
        </is>
      </c>
      <c r="DM75" t="inlineStr">
        <is>
          <t>COD</t>
        </is>
      </c>
      <c r="DN75" t="inlineStr">
        <is>
          <t>COD</t>
        </is>
      </c>
      <c r="DO75" t="inlineStr">
        <is>
          <t>COD</t>
        </is>
      </c>
      <c r="DP75" t="inlineStr">
        <is>
          <t>COD</t>
        </is>
      </c>
      <c r="DQ75" t="inlineStr">
        <is>
          <t>BDI</t>
        </is>
      </c>
      <c r="DR75" t="inlineStr">
        <is>
          <t>BDI</t>
        </is>
      </c>
      <c r="DS75" t="inlineStr">
        <is>
          <t>TZA</t>
        </is>
      </c>
      <c r="DT75" t="inlineStr">
        <is>
          <t>TZA</t>
        </is>
      </c>
      <c r="DU75" t="inlineStr">
        <is>
          <t>TZA</t>
        </is>
      </c>
      <c r="DV75" t="inlineStr">
        <is>
          <t>TZA</t>
        </is>
      </c>
      <c r="DW75" t="inlineStr">
        <is>
          <t>TZA</t>
        </is>
      </c>
      <c r="DX75" t="inlineStr">
        <is>
          <t>TZA</t>
        </is>
      </c>
      <c r="DY75" t="inlineStr">
        <is>
          <t>TZA</t>
        </is>
      </c>
      <c r="DZ75" t="inlineStr">
        <is>
          <t>TZA</t>
        </is>
      </c>
      <c r="EA75" t="inlineStr">
        <is>
          <t>TZA</t>
        </is>
      </c>
      <c r="EB75" t="inlineStr">
        <is>
          <t>TZA</t>
        </is>
      </c>
      <c r="EC75" t="inlineStr">
        <is>
          <t>TZA</t>
        </is>
      </c>
      <c r="ED75" t="inlineStr">
        <is>
          <t>TZA</t>
        </is>
      </c>
      <c r="EE75" t="inlineStr">
        <is>
          <t>TZA</t>
        </is>
      </c>
      <c r="EF75" t="inlineStr">
        <is>
          <t>TZA</t>
        </is>
      </c>
      <c r="EG75" t="inlineStr">
        <is>
          <t>KEN</t>
        </is>
      </c>
      <c r="EH75" t="inlineStr">
        <is>
          <t>KEN</t>
        </is>
      </c>
      <c r="EI75" t="inlineStr">
        <is>
          <t>KEN</t>
        </is>
      </c>
      <c r="EJ75" t="inlineStr">
        <is>
          <t>KEN</t>
        </is>
      </c>
      <c r="EK75" t="inlineStr">
        <is>
          <t>KEN</t>
        </is>
      </c>
      <c r="JF75" t="inlineStr">
        <is>
          <t>IDN</t>
        </is>
      </c>
      <c r="JG75" t="inlineStr">
        <is>
          <t>IDN</t>
        </is>
      </c>
      <c r="JH75" t="inlineStr">
        <is>
          <t>IDN</t>
        </is>
      </c>
      <c r="JI75" t="inlineStr">
        <is>
          <t>IDN</t>
        </is>
      </c>
      <c r="JJ75" t="inlineStr">
        <is>
          <t>IDN</t>
        </is>
      </c>
      <c r="JK75" t="inlineStr">
        <is>
          <t>IDN</t>
        </is>
      </c>
      <c r="JL75" t="inlineStr">
        <is>
          <t>IDN</t>
        </is>
      </c>
      <c r="JM75" t="inlineStr">
        <is>
          <t>IDN</t>
        </is>
      </c>
    </row>
    <row r="76">
      <c r="CD76" t="inlineStr">
        <is>
          <t>GAB</t>
        </is>
      </c>
      <c r="CE76" t="inlineStr">
        <is>
          <t>GAB</t>
        </is>
      </c>
      <c r="CF76" t="inlineStr">
        <is>
          <t>GAB</t>
        </is>
      </c>
      <c r="CG76" t="inlineStr">
        <is>
          <t>COG</t>
        </is>
      </c>
      <c r="CH76" t="inlineStr">
        <is>
          <t>COG</t>
        </is>
      </c>
      <c r="CI76" t="inlineStr">
        <is>
          <t>COG</t>
        </is>
      </c>
      <c r="CJ76" t="inlineStr">
        <is>
          <t>COG</t>
        </is>
      </c>
      <c r="CK76" t="inlineStr">
        <is>
          <t>COG</t>
        </is>
      </c>
      <c r="CL76" t="inlineStr">
        <is>
          <t>COG</t>
        </is>
      </c>
      <c r="CM76" t="inlineStr">
        <is>
          <t>COG</t>
        </is>
      </c>
      <c r="CN76" t="inlineStr">
        <is>
          <t>COG</t>
        </is>
      </c>
      <c r="CO76" t="inlineStr">
        <is>
          <t>COG</t>
        </is>
      </c>
      <c r="CP76" t="inlineStr">
        <is>
          <t>COD</t>
        </is>
      </c>
      <c r="CQ76" t="inlineStr">
        <is>
          <t>COD</t>
        </is>
      </c>
      <c r="CR76" t="inlineStr">
        <is>
          <t>COD</t>
        </is>
      </c>
      <c r="CS76" t="inlineStr">
        <is>
          <t>COD</t>
        </is>
      </c>
      <c r="CT76" t="inlineStr">
        <is>
          <t>COD</t>
        </is>
      </c>
      <c r="CU76" t="inlineStr">
        <is>
          <t>COD</t>
        </is>
      </c>
      <c r="CV76" t="inlineStr">
        <is>
          <t>COD</t>
        </is>
      </c>
      <c r="CW76" t="inlineStr">
        <is>
          <t>COD</t>
        </is>
      </c>
      <c r="CX76" t="inlineStr">
        <is>
          <t>COD</t>
        </is>
      </c>
      <c r="CY76" t="inlineStr">
        <is>
          <t>COD</t>
        </is>
      </c>
      <c r="CZ76" t="inlineStr">
        <is>
          <t>COD</t>
        </is>
      </c>
      <c r="DA76" t="inlineStr">
        <is>
          <t>COD</t>
        </is>
      </c>
      <c r="DB76" t="inlineStr">
        <is>
          <t>COD</t>
        </is>
      </c>
      <c r="DC76" t="inlineStr">
        <is>
          <t>COD</t>
        </is>
      </c>
      <c r="DD76" t="inlineStr">
        <is>
          <t>COD</t>
        </is>
      </c>
      <c r="DE76" t="inlineStr">
        <is>
          <t>COD</t>
        </is>
      </c>
      <c r="DF76" t="inlineStr">
        <is>
          <t>COD</t>
        </is>
      </c>
      <c r="DG76" t="inlineStr">
        <is>
          <t>COD</t>
        </is>
      </c>
      <c r="DH76" t="inlineStr">
        <is>
          <t>COD</t>
        </is>
      </c>
      <c r="DI76" t="inlineStr">
        <is>
          <t>COD</t>
        </is>
      </c>
      <c r="DJ76" t="inlineStr">
        <is>
          <t>COD</t>
        </is>
      </c>
      <c r="DK76" t="inlineStr">
        <is>
          <t>COD</t>
        </is>
      </c>
      <c r="DL76" t="inlineStr">
        <is>
          <t>COD</t>
        </is>
      </c>
      <c r="DM76" t="inlineStr">
        <is>
          <t>COD</t>
        </is>
      </c>
      <c r="DN76" t="inlineStr">
        <is>
          <t>COD</t>
        </is>
      </c>
      <c r="DO76" t="inlineStr">
        <is>
          <t>COD</t>
        </is>
      </c>
      <c r="DP76" t="inlineStr">
        <is>
          <t>RWA</t>
        </is>
      </c>
      <c r="DQ76" t="inlineStr">
        <is>
          <t>BDI</t>
        </is>
      </c>
      <c r="DR76" t="inlineStr">
        <is>
          <t>BDI</t>
        </is>
      </c>
      <c r="DS76" t="inlineStr">
        <is>
          <t>TZA</t>
        </is>
      </c>
      <c r="DT76" t="inlineStr">
        <is>
          <t>TZA</t>
        </is>
      </c>
      <c r="DU76" t="inlineStr">
        <is>
          <t>TZA</t>
        </is>
      </c>
      <c r="DV76" t="inlineStr">
        <is>
          <t>TZA</t>
        </is>
      </c>
      <c r="DW76" t="inlineStr">
        <is>
          <t>TZA</t>
        </is>
      </c>
      <c r="DX76" t="inlineStr">
        <is>
          <t>TZA</t>
        </is>
      </c>
      <c r="DY76" t="inlineStr">
        <is>
          <t>TZA</t>
        </is>
      </c>
      <c r="DZ76" t="inlineStr">
        <is>
          <t>TZA</t>
        </is>
      </c>
      <c r="EA76" t="inlineStr">
        <is>
          <t>TZA</t>
        </is>
      </c>
      <c r="EB76" t="inlineStr">
        <is>
          <t>TZA</t>
        </is>
      </c>
      <c r="EC76" t="inlineStr">
        <is>
          <t>TZA</t>
        </is>
      </c>
      <c r="ED76" t="inlineStr">
        <is>
          <t>TZA</t>
        </is>
      </c>
      <c r="EE76" t="inlineStr">
        <is>
          <t>TZA</t>
        </is>
      </c>
      <c r="EF76" t="inlineStr">
        <is>
          <t>KEN</t>
        </is>
      </c>
      <c r="EG76" t="inlineStr">
        <is>
          <t>KEN</t>
        </is>
      </c>
      <c r="EH76" t="inlineStr">
        <is>
          <t>KEN</t>
        </is>
      </c>
      <c r="EI76" t="inlineStr">
        <is>
          <t>KEN</t>
        </is>
      </c>
      <c r="EJ76" t="inlineStr">
        <is>
          <t>KEN</t>
        </is>
      </c>
      <c r="EK76" t="inlineStr">
        <is>
          <t>KEN</t>
        </is>
      </c>
      <c r="JE76" t="inlineStr">
        <is>
          <t>IDN</t>
        </is>
      </c>
      <c r="JF76" t="inlineStr">
        <is>
          <t>IDN</t>
        </is>
      </c>
      <c r="JG76" t="inlineStr">
        <is>
          <t>IDN</t>
        </is>
      </c>
      <c r="JH76" t="inlineStr">
        <is>
          <t>IDN</t>
        </is>
      </c>
      <c r="JI76" t="inlineStr">
        <is>
          <t>IDN</t>
        </is>
      </c>
      <c r="JJ76" t="inlineStr">
        <is>
          <t>IDN</t>
        </is>
      </c>
      <c r="JK76" t="inlineStr">
        <is>
          <t>IDN</t>
        </is>
      </c>
      <c r="JL76" t="inlineStr">
        <is>
          <t>IDN</t>
        </is>
      </c>
      <c r="JM76" t="inlineStr">
        <is>
          <t>IDN</t>
        </is>
      </c>
    </row>
    <row r="77">
      <c r="CC77" t="inlineStr">
        <is>
          <t>GAB</t>
        </is>
      </c>
      <c r="CD77" t="inlineStr">
        <is>
          <t>GAB</t>
        </is>
      </c>
      <c r="CE77" t="inlineStr">
        <is>
          <t>GAB</t>
        </is>
      </c>
      <c r="CF77" t="inlineStr">
        <is>
          <t>GAB</t>
        </is>
      </c>
      <c r="CG77" t="inlineStr">
        <is>
          <t>GAB</t>
        </is>
      </c>
      <c r="CH77" t="inlineStr">
        <is>
          <t>GAB</t>
        </is>
      </c>
      <c r="CI77" t="inlineStr">
        <is>
          <t>COG</t>
        </is>
      </c>
      <c r="CJ77" t="inlineStr">
        <is>
          <t>GAB</t>
        </is>
      </c>
      <c r="CK77" t="inlineStr">
        <is>
          <t>GAB</t>
        </is>
      </c>
      <c r="CL77" t="inlineStr">
        <is>
          <t>COG</t>
        </is>
      </c>
      <c r="CM77" t="inlineStr">
        <is>
          <t>COG</t>
        </is>
      </c>
      <c r="CN77" t="inlineStr">
        <is>
          <t>COG</t>
        </is>
      </c>
      <c r="CO77" t="inlineStr">
        <is>
          <t>COG</t>
        </is>
      </c>
      <c r="CP77" t="inlineStr">
        <is>
          <t>COD</t>
        </is>
      </c>
      <c r="CQ77" t="inlineStr">
        <is>
          <t>COD</t>
        </is>
      </c>
      <c r="CR77" t="inlineStr">
        <is>
          <t>COD</t>
        </is>
      </c>
      <c r="CS77" t="inlineStr">
        <is>
          <t>COD</t>
        </is>
      </c>
      <c r="CT77" t="inlineStr">
        <is>
          <t>COD</t>
        </is>
      </c>
      <c r="CU77" t="inlineStr">
        <is>
          <t>COD</t>
        </is>
      </c>
      <c r="CV77" t="inlineStr">
        <is>
          <t>COD</t>
        </is>
      </c>
      <c r="CW77" t="inlineStr">
        <is>
          <t>COD</t>
        </is>
      </c>
      <c r="CX77" t="inlineStr">
        <is>
          <t>COD</t>
        </is>
      </c>
      <c r="CY77" t="inlineStr">
        <is>
          <t>COD</t>
        </is>
      </c>
      <c r="CZ77" t="inlineStr">
        <is>
          <t>COD</t>
        </is>
      </c>
      <c r="DA77" t="inlineStr">
        <is>
          <t>COD</t>
        </is>
      </c>
      <c r="DB77" t="inlineStr">
        <is>
          <t>COD</t>
        </is>
      </c>
      <c r="DC77" t="inlineStr">
        <is>
          <t>COD</t>
        </is>
      </c>
      <c r="DD77" t="inlineStr">
        <is>
          <t>COD</t>
        </is>
      </c>
      <c r="DE77" t="inlineStr">
        <is>
          <t>COD</t>
        </is>
      </c>
      <c r="DF77" t="inlineStr">
        <is>
          <t>COD</t>
        </is>
      </c>
      <c r="DG77" t="inlineStr">
        <is>
          <t>COD</t>
        </is>
      </c>
      <c r="DH77" t="inlineStr">
        <is>
          <t>COD</t>
        </is>
      </c>
      <c r="DI77" t="inlineStr">
        <is>
          <t>COD</t>
        </is>
      </c>
      <c r="DJ77" t="inlineStr">
        <is>
          <t>COD</t>
        </is>
      </c>
      <c r="DK77" t="inlineStr">
        <is>
          <t>COD</t>
        </is>
      </c>
      <c r="DL77" t="inlineStr">
        <is>
          <t>COD</t>
        </is>
      </c>
      <c r="DM77" t="inlineStr">
        <is>
          <t>COD</t>
        </is>
      </c>
      <c r="DN77" t="inlineStr">
        <is>
          <t>COD</t>
        </is>
      </c>
      <c r="DO77" t="inlineStr">
        <is>
          <t>COD</t>
        </is>
      </c>
      <c r="DP77" t="inlineStr">
        <is>
          <t>RWA</t>
        </is>
      </c>
      <c r="DQ77" t="inlineStr">
        <is>
          <t>RWA</t>
        </is>
      </c>
      <c r="DR77" t="inlineStr">
        <is>
          <t>RWA</t>
        </is>
      </c>
      <c r="DS77" t="inlineStr">
        <is>
          <t>RWA</t>
        </is>
      </c>
      <c r="DT77" t="inlineStr">
        <is>
          <t>TZA</t>
        </is>
      </c>
      <c r="DU77" t="inlineStr">
        <is>
          <t>TZA</t>
        </is>
      </c>
      <c r="DV77" t="inlineStr">
        <is>
          <t>TZA</t>
        </is>
      </c>
      <c r="DW77" t="inlineStr">
        <is>
          <t>TZA</t>
        </is>
      </c>
      <c r="DX77" t="inlineStr">
        <is>
          <t>TZA</t>
        </is>
      </c>
      <c r="DY77" t="inlineStr">
        <is>
          <t>TZA</t>
        </is>
      </c>
      <c r="DZ77" t="inlineStr">
        <is>
          <t>TZA</t>
        </is>
      </c>
      <c r="EA77" t="inlineStr">
        <is>
          <t>TZA</t>
        </is>
      </c>
      <c r="EB77" t="inlineStr">
        <is>
          <t>TZA</t>
        </is>
      </c>
      <c r="EC77" t="inlineStr">
        <is>
          <t>TZA</t>
        </is>
      </c>
      <c r="ED77" t="inlineStr">
        <is>
          <t>KEN</t>
        </is>
      </c>
      <c r="EE77" t="inlineStr">
        <is>
          <t>KEN</t>
        </is>
      </c>
      <c r="EF77" t="inlineStr">
        <is>
          <t>KEN</t>
        </is>
      </c>
      <c r="EG77" t="inlineStr">
        <is>
          <t>KEN</t>
        </is>
      </c>
      <c r="EH77" t="inlineStr">
        <is>
          <t>KEN</t>
        </is>
      </c>
      <c r="EI77" t="inlineStr">
        <is>
          <t>KEN</t>
        </is>
      </c>
      <c r="EJ77" t="inlineStr">
        <is>
          <t>KEN</t>
        </is>
      </c>
      <c r="EK77" t="inlineStr">
        <is>
          <t>KEN</t>
        </is>
      </c>
      <c r="EL77" t="inlineStr">
        <is>
          <t>KEN</t>
        </is>
      </c>
      <c r="EM77" t="inlineStr">
        <is>
          <t>KEN</t>
        </is>
      </c>
      <c r="JD77" t="inlineStr">
        <is>
          <t>IDN</t>
        </is>
      </c>
      <c r="JE77" t="inlineStr">
        <is>
          <t>IDN</t>
        </is>
      </c>
      <c r="JF77" t="inlineStr">
        <is>
          <t>IDN</t>
        </is>
      </c>
      <c r="JG77" t="inlineStr">
        <is>
          <t>IDN</t>
        </is>
      </c>
      <c r="JH77" t="inlineStr">
        <is>
          <t>IDN</t>
        </is>
      </c>
      <c r="JI77" t="inlineStr">
        <is>
          <t>IDN</t>
        </is>
      </c>
      <c r="JJ77" t="inlineStr">
        <is>
          <t>IDN</t>
        </is>
      </c>
      <c r="JK77" t="inlineStr">
        <is>
          <t>IDN</t>
        </is>
      </c>
    </row>
    <row r="78">
      <c r="CB78" t="inlineStr">
        <is>
          <t>GAB</t>
        </is>
      </c>
      <c r="CC78" t="inlineStr">
        <is>
          <t>GAB</t>
        </is>
      </c>
      <c r="CD78" t="inlineStr">
        <is>
          <t>GAB</t>
        </is>
      </c>
      <c r="CE78" t="inlineStr">
        <is>
          <t>GAB</t>
        </is>
      </c>
      <c r="CF78" t="inlineStr">
        <is>
          <t>GAB</t>
        </is>
      </c>
      <c r="CG78" t="inlineStr">
        <is>
          <t>GAB</t>
        </is>
      </c>
      <c r="CH78" t="inlineStr">
        <is>
          <t>GAB</t>
        </is>
      </c>
      <c r="CI78" t="inlineStr">
        <is>
          <t>GAB</t>
        </is>
      </c>
      <c r="CJ78" t="inlineStr">
        <is>
          <t>GAB</t>
        </is>
      </c>
      <c r="CK78" t="inlineStr">
        <is>
          <t>GAB</t>
        </is>
      </c>
      <c r="CL78" t="inlineStr">
        <is>
          <t>GAB</t>
        </is>
      </c>
      <c r="CM78" t="inlineStr">
        <is>
          <t>COG</t>
        </is>
      </c>
      <c r="CN78" t="inlineStr">
        <is>
          <t>COG</t>
        </is>
      </c>
      <c r="CO78" t="inlineStr">
        <is>
          <t>COG</t>
        </is>
      </c>
      <c r="CP78" t="inlineStr">
        <is>
          <t>COG</t>
        </is>
      </c>
      <c r="CQ78" t="inlineStr">
        <is>
          <t>COD</t>
        </is>
      </c>
      <c r="CR78" t="inlineStr">
        <is>
          <t>COD</t>
        </is>
      </c>
      <c r="CS78" t="inlineStr">
        <is>
          <t>COD</t>
        </is>
      </c>
      <c r="CT78" t="inlineStr">
        <is>
          <t>COD</t>
        </is>
      </c>
      <c r="CU78" t="inlineStr">
        <is>
          <t>COD</t>
        </is>
      </c>
      <c r="CV78" t="inlineStr">
        <is>
          <t>COD</t>
        </is>
      </c>
      <c r="CW78" t="inlineStr">
        <is>
          <t>COD</t>
        </is>
      </c>
      <c r="CX78" t="inlineStr">
        <is>
          <t>COD</t>
        </is>
      </c>
      <c r="CY78" t="inlineStr">
        <is>
          <t>COD</t>
        </is>
      </c>
      <c r="CZ78" t="inlineStr">
        <is>
          <t>COD</t>
        </is>
      </c>
      <c r="DA78" t="inlineStr">
        <is>
          <t>COD</t>
        </is>
      </c>
      <c r="DB78" t="inlineStr">
        <is>
          <t>COD</t>
        </is>
      </c>
      <c r="DC78" t="inlineStr">
        <is>
          <t>COD</t>
        </is>
      </c>
      <c r="DD78" t="inlineStr">
        <is>
          <t>COD</t>
        </is>
      </c>
      <c r="DE78" t="inlineStr">
        <is>
          <t>COD</t>
        </is>
      </c>
      <c r="DF78" t="inlineStr">
        <is>
          <t>COD</t>
        </is>
      </c>
      <c r="DG78" t="inlineStr">
        <is>
          <t>COD</t>
        </is>
      </c>
      <c r="DH78" t="inlineStr">
        <is>
          <t>COD</t>
        </is>
      </c>
      <c r="DI78" t="inlineStr">
        <is>
          <t>COD</t>
        </is>
      </c>
      <c r="DJ78" t="inlineStr">
        <is>
          <t>COD</t>
        </is>
      </c>
      <c r="DK78" t="inlineStr">
        <is>
          <t>COD</t>
        </is>
      </c>
      <c r="DL78" t="inlineStr">
        <is>
          <t>COD</t>
        </is>
      </c>
      <c r="DM78" t="inlineStr">
        <is>
          <t>COD</t>
        </is>
      </c>
      <c r="DN78" t="inlineStr">
        <is>
          <t>COD</t>
        </is>
      </c>
      <c r="DO78" t="inlineStr">
        <is>
          <t>COD</t>
        </is>
      </c>
      <c r="DP78" t="inlineStr">
        <is>
          <t>COD</t>
        </is>
      </c>
      <c r="DQ78" t="inlineStr">
        <is>
          <t>RWA</t>
        </is>
      </c>
      <c r="DR78" t="inlineStr">
        <is>
          <t>RWA</t>
        </is>
      </c>
      <c r="DS78" t="inlineStr">
        <is>
          <t>RWA</t>
        </is>
      </c>
      <c r="DT78" t="inlineStr">
        <is>
          <t>TZA</t>
        </is>
      </c>
      <c r="DU78" t="inlineStr">
        <is>
          <t>TZA</t>
        </is>
      </c>
      <c r="DV78" t="inlineStr">
        <is>
          <t>TZA</t>
        </is>
      </c>
      <c r="DW78" t="inlineStr">
        <is>
          <t>TZA</t>
        </is>
      </c>
      <c r="DX78" t="inlineStr">
        <is>
          <t>TZA</t>
        </is>
      </c>
      <c r="DY78" t="inlineStr">
        <is>
          <t>TZA</t>
        </is>
      </c>
      <c r="DZ78" t="inlineStr">
        <is>
          <t>TZA</t>
        </is>
      </c>
      <c r="EA78" t="inlineStr">
        <is>
          <t>TZA</t>
        </is>
      </c>
      <c r="EB78" t="inlineStr">
        <is>
          <t>TZA</t>
        </is>
      </c>
      <c r="EC78" t="inlineStr">
        <is>
          <t>KEN</t>
        </is>
      </c>
      <c r="ED78" t="inlineStr">
        <is>
          <t>KEN</t>
        </is>
      </c>
      <c r="EE78" t="inlineStr">
        <is>
          <t>KEN</t>
        </is>
      </c>
      <c r="EF78" t="inlineStr">
        <is>
          <t>KEN</t>
        </is>
      </c>
      <c r="EG78" t="inlineStr">
        <is>
          <t>KEN</t>
        </is>
      </c>
      <c r="EH78" t="inlineStr">
        <is>
          <t>KEN</t>
        </is>
      </c>
      <c r="EI78" t="inlineStr">
        <is>
          <t>KEN</t>
        </is>
      </c>
      <c r="EJ78" t="inlineStr">
        <is>
          <t>KEN</t>
        </is>
      </c>
      <c r="EK78" t="inlineStr">
        <is>
          <t>KEN</t>
        </is>
      </c>
      <c r="EL78" t="inlineStr">
        <is>
          <t>KEN</t>
        </is>
      </c>
      <c r="EM78" t="inlineStr">
        <is>
          <t>KEN</t>
        </is>
      </c>
      <c r="EN78" t="inlineStr">
        <is>
          <t>KEN</t>
        </is>
      </c>
      <c r="JC78" t="inlineStr">
        <is>
          <t>IDN</t>
        </is>
      </c>
      <c r="JD78" t="inlineStr">
        <is>
          <t>IDN</t>
        </is>
      </c>
      <c r="JE78" t="inlineStr">
        <is>
          <t>IDN</t>
        </is>
      </c>
      <c r="JF78" t="inlineStr">
        <is>
          <t>IDN</t>
        </is>
      </c>
      <c r="JG78" t="inlineStr">
        <is>
          <t>IDN</t>
        </is>
      </c>
      <c r="JH78" t="inlineStr">
        <is>
          <t>IDN</t>
        </is>
      </c>
      <c r="JI78" t="inlineStr">
        <is>
          <t>IDN</t>
        </is>
      </c>
      <c r="JJ78" t="inlineStr">
        <is>
          <t>IDN</t>
        </is>
      </c>
    </row>
    <row r="79">
      <c r="CB79" t="inlineStr">
        <is>
          <t>GAB</t>
        </is>
      </c>
      <c r="CC79" t="inlineStr">
        <is>
          <t>GAB</t>
        </is>
      </c>
      <c r="CD79" t="inlineStr">
        <is>
          <t>GAB</t>
        </is>
      </c>
      <c r="CE79" t="inlineStr">
        <is>
          <t>GAB</t>
        </is>
      </c>
      <c r="CF79" t="inlineStr">
        <is>
          <t>GAB</t>
        </is>
      </c>
      <c r="CG79" t="inlineStr">
        <is>
          <t>GAB</t>
        </is>
      </c>
      <c r="CH79" t="inlineStr">
        <is>
          <t>GAB</t>
        </is>
      </c>
      <c r="CI79" t="inlineStr">
        <is>
          <t>GAB</t>
        </is>
      </c>
      <c r="CJ79" t="inlineStr">
        <is>
          <t>GAB</t>
        </is>
      </c>
      <c r="CK79" t="inlineStr">
        <is>
          <t>GAB</t>
        </is>
      </c>
      <c r="CL79" t="inlineStr">
        <is>
          <t>GAB</t>
        </is>
      </c>
      <c r="CM79" t="inlineStr">
        <is>
          <t>COG</t>
        </is>
      </c>
      <c r="CN79" t="inlineStr">
        <is>
          <t>COG</t>
        </is>
      </c>
      <c r="CO79" t="inlineStr">
        <is>
          <t>COG</t>
        </is>
      </c>
      <c r="CP79" t="inlineStr">
        <is>
          <t>COG</t>
        </is>
      </c>
      <c r="CQ79" t="inlineStr">
        <is>
          <t>COG</t>
        </is>
      </c>
      <c r="CR79" t="inlineStr">
        <is>
          <t>COD</t>
        </is>
      </c>
      <c r="CS79" t="inlineStr">
        <is>
          <t>COD</t>
        </is>
      </c>
      <c r="CT79" t="inlineStr">
        <is>
          <t>COD</t>
        </is>
      </c>
      <c r="CU79" t="inlineStr">
        <is>
          <t>COD</t>
        </is>
      </c>
      <c r="CV79" t="inlineStr">
        <is>
          <t>COD</t>
        </is>
      </c>
      <c r="CW79" t="inlineStr">
        <is>
          <t>COD</t>
        </is>
      </c>
      <c r="CX79" t="inlineStr">
        <is>
          <t>COD</t>
        </is>
      </c>
      <c r="CY79" t="inlineStr">
        <is>
          <t>COD</t>
        </is>
      </c>
      <c r="CZ79" t="inlineStr">
        <is>
          <t>COD</t>
        </is>
      </c>
      <c r="DA79" t="inlineStr">
        <is>
          <t>COD</t>
        </is>
      </c>
      <c r="DB79" t="inlineStr">
        <is>
          <t>COD</t>
        </is>
      </c>
      <c r="DC79" t="inlineStr">
        <is>
          <t>COD</t>
        </is>
      </c>
      <c r="DD79" t="inlineStr">
        <is>
          <t>COD</t>
        </is>
      </c>
      <c r="DE79" t="inlineStr">
        <is>
          <t>COD</t>
        </is>
      </c>
      <c r="DF79" t="inlineStr">
        <is>
          <t>COD</t>
        </is>
      </c>
      <c r="DG79" t="inlineStr">
        <is>
          <t>COD</t>
        </is>
      </c>
      <c r="DH79" t="inlineStr">
        <is>
          <t>COD</t>
        </is>
      </c>
      <c r="DI79" t="inlineStr">
        <is>
          <t>COD</t>
        </is>
      </c>
      <c r="DJ79" t="inlineStr">
        <is>
          <t>COD</t>
        </is>
      </c>
      <c r="DK79" t="inlineStr">
        <is>
          <t>COD</t>
        </is>
      </c>
      <c r="DL79" t="inlineStr">
        <is>
          <t>COD</t>
        </is>
      </c>
      <c r="DM79" t="inlineStr">
        <is>
          <t>COD</t>
        </is>
      </c>
      <c r="DN79" t="inlineStr">
        <is>
          <t>COD</t>
        </is>
      </c>
      <c r="DO79" t="inlineStr">
        <is>
          <t>COD</t>
        </is>
      </c>
      <c r="DP79" t="inlineStr">
        <is>
          <t>COD</t>
        </is>
      </c>
      <c r="DQ79" t="inlineStr">
        <is>
          <t>UGA</t>
        </is>
      </c>
      <c r="DR79" t="inlineStr">
        <is>
          <t>RWA</t>
        </is>
      </c>
      <c r="DS79" t="inlineStr">
        <is>
          <t>TZA</t>
        </is>
      </c>
      <c r="DT79" t="inlineStr">
        <is>
          <t>TZA</t>
        </is>
      </c>
      <c r="DU79" t="inlineStr">
        <is>
          <t>TZA</t>
        </is>
      </c>
      <c r="DV79" t="inlineStr">
        <is>
          <t>TZA</t>
        </is>
      </c>
      <c r="DW79" t="inlineStr">
        <is>
          <t>TZA</t>
        </is>
      </c>
      <c r="DX79" t="inlineStr">
        <is>
          <t>TZA</t>
        </is>
      </c>
      <c r="DY79" t="inlineStr">
        <is>
          <t>TZA</t>
        </is>
      </c>
      <c r="DZ79" t="inlineStr">
        <is>
          <t>TZA</t>
        </is>
      </c>
      <c r="EA79" t="inlineStr">
        <is>
          <t>KEN</t>
        </is>
      </c>
      <c r="EB79" t="inlineStr">
        <is>
          <t>KEN</t>
        </is>
      </c>
      <c r="EC79" t="inlineStr">
        <is>
          <t>KEN</t>
        </is>
      </c>
      <c r="ED79" t="inlineStr">
        <is>
          <t>KEN</t>
        </is>
      </c>
      <c r="EE79" t="inlineStr">
        <is>
          <t>KEN</t>
        </is>
      </c>
      <c r="EF79" t="inlineStr">
        <is>
          <t>KEN</t>
        </is>
      </c>
      <c r="EG79" t="inlineStr">
        <is>
          <t>KEN</t>
        </is>
      </c>
      <c r="EH79" t="inlineStr">
        <is>
          <t>KEN</t>
        </is>
      </c>
      <c r="EI79" t="inlineStr">
        <is>
          <t>KEN</t>
        </is>
      </c>
      <c r="EJ79" t="inlineStr">
        <is>
          <t>KEN</t>
        </is>
      </c>
      <c r="EK79" t="inlineStr">
        <is>
          <t>KEN</t>
        </is>
      </c>
      <c r="EL79" t="inlineStr">
        <is>
          <t>KEN</t>
        </is>
      </c>
      <c r="EM79" t="inlineStr">
        <is>
          <t>KEN</t>
        </is>
      </c>
      <c r="EN79" t="inlineStr">
        <is>
          <t>KEN</t>
        </is>
      </c>
      <c r="EO79" t="inlineStr">
        <is>
          <t>SOM</t>
        </is>
      </c>
      <c r="JC79" t="inlineStr">
        <is>
          <t>IDN</t>
        </is>
      </c>
      <c r="JD79" t="inlineStr">
        <is>
          <t>IDN</t>
        </is>
      </c>
      <c r="JE79" t="inlineStr">
        <is>
          <t>IDN</t>
        </is>
      </c>
      <c r="JF79" t="inlineStr">
        <is>
          <t>IDN</t>
        </is>
      </c>
      <c r="JG79" t="inlineStr">
        <is>
          <t>IDN</t>
        </is>
      </c>
      <c r="JH79" t="inlineStr">
        <is>
          <t>IDN</t>
        </is>
      </c>
      <c r="JI79" t="inlineStr">
        <is>
          <t>IDN</t>
        </is>
      </c>
      <c r="JJ79" t="inlineStr">
        <is>
          <t>IDN</t>
        </is>
      </c>
      <c r="JU79" t="inlineStr">
        <is>
          <t>IDN</t>
        </is>
      </c>
    </row>
    <row r="80">
      <c r="CB80" t="inlineStr">
        <is>
          <t>GAB</t>
        </is>
      </c>
      <c r="CC80" t="inlineStr">
        <is>
          <t>GAB</t>
        </is>
      </c>
      <c r="CD80" t="inlineStr">
        <is>
          <t>GAB</t>
        </is>
      </c>
      <c r="CE80" t="inlineStr">
        <is>
          <t>GAB</t>
        </is>
      </c>
      <c r="CF80" t="inlineStr">
        <is>
          <t>GAB</t>
        </is>
      </c>
      <c r="CG80" t="inlineStr">
        <is>
          <t>GAB</t>
        </is>
      </c>
      <c r="CH80" t="inlineStr">
        <is>
          <t>GAB</t>
        </is>
      </c>
      <c r="CI80" t="inlineStr">
        <is>
          <t>GAB</t>
        </is>
      </c>
      <c r="CJ80" t="inlineStr">
        <is>
          <t>GAB</t>
        </is>
      </c>
      <c r="CK80" t="inlineStr">
        <is>
          <t>GAB</t>
        </is>
      </c>
      <c r="CL80" t="inlineStr">
        <is>
          <t>GAB</t>
        </is>
      </c>
      <c r="CM80" t="inlineStr">
        <is>
          <t>COG</t>
        </is>
      </c>
      <c r="CN80" t="inlineStr">
        <is>
          <t>COG</t>
        </is>
      </c>
      <c r="CO80" t="inlineStr">
        <is>
          <t>COG</t>
        </is>
      </c>
      <c r="CP80" t="inlineStr">
        <is>
          <t>COG</t>
        </is>
      </c>
      <c r="CQ80" t="inlineStr">
        <is>
          <t>COG</t>
        </is>
      </c>
      <c r="CR80" t="inlineStr">
        <is>
          <t>COG</t>
        </is>
      </c>
      <c r="CS80" t="inlineStr">
        <is>
          <t>COD</t>
        </is>
      </c>
      <c r="CT80" t="inlineStr">
        <is>
          <t>COD</t>
        </is>
      </c>
      <c r="CU80" t="inlineStr">
        <is>
          <t>COD</t>
        </is>
      </c>
      <c r="CV80" t="inlineStr">
        <is>
          <t>COD</t>
        </is>
      </c>
      <c r="CW80" t="inlineStr">
        <is>
          <t>COD</t>
        </is>
      </c>
      <c r="CX80" t="inlineStr">
        <is>
          <t>COD</t>
        </is>
      </c>
      <c r="CY80" t="inlineStr">
        <is>
          <t>COD</t>
        </is>
      </c>
      <c r="CZ80" t="inlineStr">
        <is>
          <t>COD</t>
        </is>
      </c>
      <c r="DA80" t="inlineStr">
        <is>
          <t>COD</t>
        </is>
      </c>
      <c r="DB80" t="inlineStr">
        <is>
          <t>COD</t>
        </is>
      </c>
      <c r="DC80" t="inlineStr">
        <is>
          <t>COD</t>
        </is>
      </c>
      <c r="DD80" t="inlineStr">
        <is>
          <t>COD</t>
        </is>
      </c>
      <c r="DE80" t="inlineStr">
        <is>
          <t>COD</t>
        </is>
      </c>
      <c r="DF80" t="inlineStr">
        <is>
          <t>COD</t>
        </is>
      </c>
      <c r="DG80" t="inlineStr">
        <is>
          <t>COD</t>
        </is>
      </c>
      <c r="DH80" t="inlineStr">
        <is>
          <t>COD</t>
        </is>
      </c>
      <c r="DI80" t="inlineStr">
        <is>
          <t>COD</t>
        </is>
      </c>
      <c r="DJ80" t="inlineStr">
        <is>
          <t>COD</t>
        </is>
      </c>
      <c r="DK80" t="inlineStr">
        <is>
          <t>COD</t>
        </is>
      </c>
      <c r="DL80" t="inlineStr">
        <is>
          <t>COD</t>
        </is>
      </c>
      <c r="DM80" t="inlineStr">
        <is>
          <t>COD</t>
        </is>
      </c>
      <c r="DN80" t="inlineStr">
        <is>
          <t>COD</t>
        </is>
      </c>
      <c r="DO80" t="inlineStr">
        <is>
          <t>COD</t>
        </is>
      </c>
      <c r="DP80" t="inlineStr">
        <is>
          <t>COD</t>
        </is>
      </c>
      <c r="DQ80" t="inlineStr">
        <is>
          <t>UGA</t>
        </is>
      </c>
      <c r="DR80" t="inlineStr">
        <is>
          <t>UGA</t>
        </is>
      </c>
      <c r="DS80" t="inlineStr">
        <is>
          <t>UGA</t>
        </is>
      </c>
      <c r="DT80" t="inlineStr">
        <is>
          <t>UGA</t>
        </is>
      </c>
      <c r="DU80" t="inlineStr">
        <is>
          <t>UGA</t>
        </is>
      </c>
      <c r="DV80" t="inlineStr">
        <is>
          <t>UGA</t>
        </is>
      </c>
      <c r="DW80" t="inlineStr">
        <is>
          <t>UGA</t>
        </is>
      </c>
      <c r="DX80" t="inlineStr">
        <is>
          <t>UGA</t>
        </is>
      </c>
      <c r="DY80" t="inlineStr">
        <is>
          <t>UGA</t>
        </is>
      </c>
      <c r="DZ80" t="inlineStr">
        <is>
          <t>KEN</t>
        </is>
      </c>
      <c r="EA80" t="inlineStr">
        <is>
          <t>KEN</t>
        </is>
      </c>
      <c r="EB80" t="inlineStr">
        <is>
          <t>KEN</t>
        </is>
      </c>
      <c r="EC80" t="inlineStr">
        <is>
          <t>KEN</t>
        </is>
      </c>
      <c r="ED80" t="inlineStr">
        <is>
          <t>KEN</t>
        </is>
      </c>
      <c r="EE80" t="inlineStr">
        <is>
          <t>KEN</t>
        </is>
      </c>
      <c r="EF80" t="inlineStr">
        <is>
          <t>KEN</t>
        </is>
      </c>
      <c r="EG80" t="inlineStr">
        <is>
          <t>KEN</t>
        </is>
      </c>
      <c r="EH80" t="inlineStr">
        <is>
          <t>KEN</t>
        </is>
      </c>
      <c r="EI80" t="inlineStr">
        <is>
          <t>KEN</t>
        </is>
      </c>
      <c r="EJ80" t="inlineStr">
        <is>
          <t>KEN</t>
        </is>
      </c>
      <c r="EK80" t="inlineStr">
        <is>
          <t>KEN</t>
        </is>
      </c>
      <c r="EL80" t="inlineStr">
        <is>
          <t>KEN</t>
        </is>
      </c>
      <c r="EM80" t="inlineStr">
        <is>
          <t>KEN</t>
        </is>
      </c>
      <c r="EN80" t="inlineStr">
        <is>
          <t>SOM</t>
        </is>
      </c>
      <c r="EO80" t="inlineStr">
        <is>
          <t>SOM</t>
        </is>
      </c>
      <c r="JB80" t="inlineStr">
        <is>
          <t>IDN</t>
        </is>
      </c>
      <c r="JC80" t="inlineStr">
        <is>
          <t>IDN</t>
        </is>
      </c>
      <c r="JD80" t="inlineStr">
        <is>
          <t>IDN</t>
        </is>
      </c>
      <c r="JE80" t="inlineStr">
        <is>
          <t>IDN</t>
        </is>
      </c>
      <c r="JF80" t="inlineStr">
        <is>
          <t>IDN</t>
        </is>
      </c>
      <c r="JG80" t="inlineStr">
        <is>
          <t>IDN</t>
        </is>
      </c>
      <c r="JH80" t="inlineStr">
        <is>
          <t>IDN</t>
        </is>
      </c>
      <c r="JU80" t="inlineStr">
        <is>
          <t>IDN</t>
        </is>
      </c>
    </row>
    <row r="81">
      <c r="CB81" t="inlineStr">
        <is>
          <t>GAB</t>
        </is>
      </c>
      <c r="CC81" t="inlineStr">
        <is>
          <t>GAB</t>
        </is>
      </c>
      <c r="CD81" t="inlineStr">
        <is>
          <t>GAB</t>
        </is>
      </c>
      <c r="CE81" t="inlineStr">
        <is>
          <t>GAB</t>
        </is>
      </c>
      <c r="CF81" t="inlineStr">
        <is>
          <t>GAB</t>
        </is>
      </c>
      <c r="CG81" t="inlineStr">
        <is>
          <t>GAB</t>
        </is>
      </c>
      <c r="CH81" t="inlineStr">
        <is>
          <t>GAB</t>
        </is>
      </c>
      <c r="CI81" t="inlineStr">
        <is>
          <t>GAB</t>
        </is>
      </c>
      <c r="CJ81" t="inlineStr">
        <is>
          <t>GAB</t>
        </is>
      </c>
      <c r="CK81" t="inlineStr">
        <is>
          <t>GAB</t>
        </is>
      </c>
      <c r="CL81" t="inlineStr">
        <is>
          <t>COG</t>
        </is>
      </c>
      <c r="CM81" t="inlineStr">
        <is>
          <t>COG</t>
        </is>
      </c>
      <c r="CN81" t="inlineStr">
        <is>
          <t>COG</t>
        </is>
      </c>
      <c r="CO81" t="inlineStr">
        <is>
          <t>COG</t>
        </is>
      </c>
      <c r="CP81" t="inlineStr">
        <is>
          <t>COG</t>
        </is>
      </c>
      <c r="CQ81" t="inlineStr">
        <is>
          <t>COG</t>
        </is>
      </c>
      <c r="CR81" t="inlineStr">
        <is>
          <t>COG</t>
        </is>
      </c>
      <c r="CS81" t="inlineStr">
        <is>
          <t>COD</t>
        </is>
      </c>
      <c r="CT81" t="inlineStr">
        <is>
          <t>COD</t>
        </is>
      </c>
      <c r="CU81" t="inlineStr">
        <is>
          <t>COD</t>
        </is>
      </c>
      <c r="CV81" t="inlineStr">
        <is>
          <t>COD</t>
        </is>
      </c>
      <c r="CW81" t="inlineStr">
        <is>
          <t>COD</t>
        </is>
      </c>
      <c r="CX81" t="inlineStr">
        <is>
          <t>COD</t>
        </is>
      </c>
      <c r="CY81" t="inlineStr">
        <is>
          <t>COD</t>
        </is>
      </c>
      <c r="CZ81" t="inlineStr">
        <is>
          <t>COD</t>
        </is>
      </c>
      <c r="DA81" t="inlineStr">
        <is>
          <t>COD</t>
        </is>
      </c>
      <c r="DB81" t="inlineStr">
        <is>
          <t>COD</t>
        </is>
      </c>
      <c r="DC81" t="inlineStr">
        <is>
          <t>COD</t>
        </is>
      </c>
      <c r="DD81" t="inlineStr">
        <is>
          <t>COD</t>
        </is>
      </c>
      <c r="DE81" t="inlineStr">
        <is>
          <t>COD</t>
        </is>
      </c>
      <c r="DF81" t="inlineStr">
        <is>
          <t>COD</t>
        </is>
      </c>
      <c r="DG81" t="inlineStr">
        <is>
          <t>COD</t>
        </is>
      </c>
      <c r="DH81" t="inlineStr">
        <is>
          <t>COD</t>
        </is>
      </c>
      <c r="DI81" t="inlineStr">
        <is>
          <t>COD</t>
        </is>
      </c>
      <c r="DJ81" t="inlineStr">
        <is>
          <t>COD</t>
        </is>
      </c>
      <c r="DK81" t="inlineStr">
        <is>
          <t>COD</t>
        </is>
      </c>
      <c r="DL81" t="inlineStr">
        <is>
          <t>COD</t>
        </is>
      </c>
      <c r="DM81" t="inlineStr">
        <is>
          <t>COD</t>
        </is>
      </c>
      <c r="DN81" t="inlineStr">
        <is>
          <t>COD</t>
        </is>
      </c>
      <c r="DO81" t="inlineStr">
        <is>
          <t>COD</t>
        </is>
      </c>
      <c r="DP81" t="inlineStr">
        <is>
          <t>COD</t>
        </is>
      </c>
      <c r="DQ81" t="inlineStr">
        <is>
          <t>COD</t>
        </is>
      </c>
      <c r="DR81" t="inlineStr">
        <is>
          <t>UGA</t>
        </is>
      </c>
      <c r="DS81" t="inlineStr">
        <is>
          <t>UGA</t>
        </is>
      </c>
      <c r="DT81" t="inlineStr">
        <is>
          <t>UGA</t>
        </is>
      </c>
      <c r="DU81" t="inlineStr">
        <is>
          <t>UGA</t>
        </is>
      </c>
      <c r="DV81" t="inlineStr">
        <is>
          <t>UGA</t>
        </is>
      </c>
      <c r="DW81" t="inlineStr">
        <is>
          <t>UGA</t>
        </is>
      </c>
      <c r="DX81" t="inlineStr">
        <is>
          <t>UGA</t>
        </is>
      </c>
      <c r="DY81" t="inlineStr">
        <is>
          <t>UGA</t>
        </is>
      </c>
      <c r="DZ81" t="inlineStr">
        <is>
          <t>KEN</t>
        </is>
      </c>
      <c r="EA81" t="inlineStr">
        <is>
          <t>KEN</t>
        </is>
      </c>
      <c r="EB81" t="inlineStr">
        <is>
          <t>KEN</t>
        </is>
      </c>
      <c r="EC81" t="inlineStr">
        <is>
          <t>KEN</t>
        </is>
      </c>
      <c r="ED81" t="inlineStr">
        <is>
          <t>KEN</t>
        </is>
      </c>
      <c r="EE81" t="inlineStr">
        <is>
          <t>KEN</t>
        </is>
      </c>
      <c r="EF81" t="inlineStr">
        <is>
          <t>KEN</t>
        </is>
      </c>
      <c r="EG81" t="inlineStr">
        <is>
          <t>KEN</t>
        </is>
      </c>
      <c r="EH81" t="inlineStr">
        <is>
          <t>KEN</t>
        </is>
      </c>
      <c r="EI81" t="inlineStr">
        <is>
          <t>KEN</t>
        </is>
      </c>
      <c r="EJ81" t="inlineStr">
        <is>
          <t>KEN</t>
        </is>
      </c>
      <c r="EK81" t="inlineStr">
        <is>
          <t>KEN</t>
        </is>
      </c>
      <c r="EL81" t="inlineStr">
        <is>
          <t>KEN</t>
        </is>
      </c>
      <c r="EM81" t="inlineStr">
        <is>
          <t>KEN</t>
        </is>
      </c>
      <c r="EN81" t="inlineStr">
        <is>
          <t>SOM</t>
        </is>
      </c>
      <c r="EO81" t="inlineStr">
        <is>
          <t>SOM</t>
        </is>
      </c>
      <c r="EP81" t="inlineStr">
        <is>
          <t>SOM</t>
        </is>
      </c>
      <c r="GY81" t="inlineStr">
        <is>
          <t>MDV</t>
        </is>
      </c>
      <c r="GZ81" t="inlineStr">
        <is>
          <t>MDV</t>
        </is>
      </c>
      <c r="JA81" t="inlineStr">
        <is>
          <t>IDN</t>
        </is>
      </c>
      <c r="JB81" t="inlineStr">
        <is>
          <t>IDN</t>
        </is>
      </c>
      <c r="JC81" t="inlineStr">
        <is>
          <t>IDN</t>
        </is>
      </c>
      <c r="JD81" t="inlineStr">
        <is>
          <t>IDN</t>
        </is>
      </c>
      <c r="JE81" t="inlineStr">
        <is>
          <t>IDN</t>
        </is>
      </c>
      <c r="JF81" t="inlineStr">
        <is>
          <t>IDN</t>
        </is>
      </c>
      <c r="JG81" t="inlineStr">
        <is>
          <t>IDN</t>
        </is>
      </c>
      <c r="JH81" t="inlineStr">
        <is>
          <t>IDN</t>
        </is>
      </c>
      <c r="JT81" t="inlineStr">
        <is>
          <t>IDN</t>
        </is>
      </c>
      <c r="JU81" t="inlineStr">
        <is>
          <t>IDN</t>
        </is>
      </c>
    </row>
    <row r="82">
      <c r="BW82" t="inlineStr">
        <is>
          <t>STP</t>
        </is>
      </c>
      <c r="BX82" t="inlineStr">
        <is>
          <t>STP</t>
        </is>
      </c>
      <c r="CC82" t="inlineStr">
        <is>
          <t>GAB</t>
        </is>
      </c>
      <c r="CD82" t="inlineStr">
        <is>
          <t>GAB</t>
        </is>
      </c>
      <c r="CE82" t="inlineStr">
        <is>
          <t>GAB</t>
        </is>
      </c>
      <c r="CF82" t="inlineStr">
        <is>
          <t>GAB</t>
        </is>
      </c>
      <c r="CG82" t="inlineStr">
        <is>
          <t>GAB</t>
        </is>
      </c>
      <c r="CH82" t="inlineStr">
        <is>
          <t>GAB</t>
        </is>
      </c>
      <c r="CI82" t="inlineStr">
        <is>
          <t>GAB</t>
        </is>
      </c>
      <c r="CJ82" t="inlineStr">
        <is>
          <t>GAB</t>
        </is>
      </c>
      <c r="CK82" t="inlineStr">
        <is>
          <t>GAB</t>
        </is>
      </c>
      <c r="CL82" t="inlineStr">
        <is>
          <t>COG</t>
        </is>
      </c>
      <c r="CM82" t="inlineStr">
        <is>
          <t>COG</t>
        </is>
      </c>
      <c r="CN82" t="inlineStr">
        <is>
          <t>COG</t>
        </is>
      </c>
      <c r="CO82" t="inlineStr">
        <is>
          <t>COG</t>
        </is>
      </c>
      <c r="CP82" t="inlineStr">
        <is>
          <t>COG</t>
        </is>
      </c>
      <c r="CQ82" t="inlineStr">
        <is>
          <t>COG</t>
        </is>
      </c>
      <c r="CR82" t="inlineStr">
        <is>
          <t>COG</t>
        </is>
      </c>
      <c r="CS82" t="inlineStr">
        <is>
          <t>COG</t>
        </is>
      </c>
      <c r="CT82" t="inlineStr">
        <is>
          <t>COD</t>
        </is>
      </c>
      <c r="CU82" t="inlineStr">
        <is>
          <t>COD</t>
        </is>
      </c>
      <c r="CV82" t="inlineStr">
        <is>
          <t>COD</t>
        </is>
      </c>
      <c r="CW82" t="inlineStr">
        <is>
          <t>COD</t>
        </is>
      </c>
      <c r="CX82" t="inlineStr">
        <is>
          <t>COD</t>
        </is>
      </c>
      <c r="CY82" t="inlineStr">
        <is>
          <t>COD</t>
        </is>
      </c>
      <c r="CZ82" t="inlineStr">
        <is>
          <t>COD</t>
        </is>
      </c>
      <c r="DA82" t="inlineStr">
        <is>
          <t>COD</t>
        </is>
      </c>
      <c r="DB82" t="inlineStr">
        <is>
          <t>COD</t>
        </is>
      </c>
      <c r="DC82" t="inlineStr">
        <is>
          <t>COD</t>
        </is>
      </c>
      <c r="DD82" t="inlineStr">
        <is>
          <t>COD</t>
        </is>
      </c>
      <c r="DE82" t="inlineStr">
        <is>
          <t>COD</t>
        </is>
      </c>
      <c r="DF82" t="inlineStr">
        <is>
          <t>COD</t>
        </is>
      </c>
      <c r="DG82" t="inlineStr">
        <is>
          <t>COD</t>
        </is>
      </c>
      <c r="DH82" t="inlineStr">
        <is>
          <t>COD</t>
        </is>
      </c>
      <c r="DI82" t="inlineStr">
        <is>
          <t>COD</t>
        </is>
      </c>
      <c r="DJ82" t="inlineStr">
        <is>
          <t>COD</t>
        </is>
      </c>
      <c r="DK82" t="inlineStr">
        <is>
          <t>COD</t>
        </is>
      </c>
      <c r="DL82" t="inlineStr">
        <is>
          <t>COD</t>
        </is>
      </c>
      <c r="DM82" t="inlineStr">
        <is>
          <t>COD</t>
        </is>
      </c>
      <c r="DN82" t="inlineStr">
        <is>
          <t>COD</t>
        </is>
      </c>
      <c r="DO82" t="inlineStr">
        <is>
          <t>COD</t>
        </is>
      </c>
      <c r="DP82" t="inlineStr">
        <is>
          <t>COD</t>
        </is>
      </c>
      <c r="DQ82" t="inlineStr">
        <is>
          <t>COD</t>
        </is>
      </c>
      <c r="DR82" t="inlineStr">
        <is>
          <t>UGA</t>
        </is>
      </c>
      <c r="DS82" t="inlineStr">
        <is>
          <t>UGA</t>
        </is>
      </c>
      <c r="DT82" t="inlineStr">
        <is>
          <t>UGA</t>
        </is>
      </c>
      <c r="DU82" t="inlineStr">
        <is>
          <t>UGA</t>
        </is>
      </c>
      <c r="DV82" t="inlineStr">
        <is>
          <t>UGA</t>
        </is>
      </c>
      <c r="DW82" t="inlineStr">
        <is>
          <t>UGA</t>
        </is>
      </c>
      <c r="DX82" t="inlineStr">
        <is>
          <t>UGA</t>
        </is>
      </c>
      <c r="DY82" t="inlineStr">
        <is>
          <t>UGA</t>
        </is>
      </c>
      <c r="DZ82" t="inlineStr">
        <is>
          <t>KEN</t>
        </is>
      </c>
      <c r="EA82" t="inlineStr">
        <is>
          <t>KEN</t>
        </is>
      </c>
      <c r="EB82" t="inlineStr">
        <is>
          <t>KEN</t>
        </is>
      </c>
      <c r="EC82" t="inlineStr">
        <is>
          <t>KEN</t>
        </is>
      </c>
      <c r="ED82" t="inlineStr">
        <is>
          <t>KEN</t>
        </is>
      </c>
      <c r="EE82" t="inlineStr">
        <is>
          <t>KEN</t>
        </is>
      </c>
      <c r="EF82" t="inlineStr">
        <is>
          <t>KEN</t>
        </is>
      </c>
      <c r="EG82" t="inlineStr">
        <is>
          <t>KEN</t>
        </is>
      </c>
      <c r="EH82" t="inlineStr">
        <is>
          <t>KEN</t>
        </is>
      </c>
      <c r="EI82" t="inlineStr">
        <is>
          <t>KEN</t>
        </is>
      </c>
      <c r="EJ82" t="inlineStr">
        <is>
          <t>KEN</t>
        </is>
      </c>
      <c r="EK82" t="inlineStr">
        <is>
          <t>KEN</t>
        </is>
      </c>
      <c r="EL82" t="inlineStr">
        <is>
          <t>KEN</t>
        </is>
      </c>
      <c r="EM82" t="inlineStr">
        <is>
          <t>KEN</t>
        </is>
      </c>
      <c r="EN82" t="inlineStr">
        <is>
          <t>SOM</t>
        </is>
      </c>
      <c r="EO82" t="inlineStr">
        <is>
          <t>SOM</t>
        </is>
      </c>
      <c r="EP82" t="inlineStr">
        <is>
          <t>SOM</t>
        </is>
      </c>
      <c r="EQ82" t="inlineStr">
        <is>
          <t>SOM</t>
        </is>
      </c>
      <c r="GY82" t="inlineStr">
        <is>
          <t>MDV</t>
        </is>
      </c>
      <c r="GZ82" t="inlineStr">
        <is>
          <t>MDV</t>
        </is>
      </c>
      <c r="IZ82" t="inlineStr">
        <is>
          <t>IDN</t>
        </is>
      </c>
      <c r="JA82" t="inlineStr">
        <is>
          <t>IDN</t>
        </is>
      </c>
      <c r="JB82" t="inlineStr">
        <is>
          <t>IDN</t>
        </is>
      </c>
      <c r="JC82" t="inlineStr">
        <is>
          <t>IDN</t>
        </is>
      </c>
      <c r="JD82" t="inlineStr">
        <is>
          <t>IDN</t>
        </is>
      </c>
      <c r="JE82" t="inlineStr">
        <is>
          <t>IDN</t>
        </is>
      </c>
      <c r="JF82" t="inlineStr">
        <is>
          <t>IDN</t>
        </is>
      </c>
      <c r="JG82" t="inlineStr">
        <is>
          <t>IDN</t>
        </is>
      </c>
      <c r="JH82" t="inlineStr">
        <is>
          <t>IDN</t>
        </is>
      </c>
      <c r="JT82" t="inlineStr">
        <is>
          <t>IDN</t>
        </is>
      </c>
      <c r="JU82" t="inlineStr">
        <is>
          <t>IDN</t>
        </is>
      </c>
    </row>
    <row r="83">
      <c r="BW83" t="inlineStr">
        <is>
          <t>STP</t>
        </is>
      </c>
      <c r="BX83" t="inlineStr">
        <is>
          <t>STP</t>
        </is>
      </c>
      <c r="CC83" t="inlineStr">
        <is>
          <t>GAB</t>
        </is>
      </c>
      <c r="CD83" t="inlineStr">
        <is>
          <t>GAB</t>
        </is>
      </c>
      <c r="CE83" t="inlineStr">
        <is>
          <t>GAB</t>
        </is>
      </c>
      <c r="CF83" t="inlineStr">
        <is>
          <t>GAB</t>
        </is>
      </c>
      <c r="CG83" t="inlineStr">
        <is>
          <t>GAB</t>
        </is>
      </c>
      <c r="CH83" t="inlineStr">
        <is>
          <t>GAB</t>
        </is>
      </c>
      <c r="CI83" t="inlineStr">
        <is>
          <t>GAB</t>
        </is>
      </c>
      <c r="CJ83" t="inlineStr">
        <is>
          <t>GAB</t>
        </is>
      </c>
      <c r="CK83" t="inlineStr">
        <is>
          <t>GAB</t>
        </is>
      </c>
      <c r="CL83" t="inlineStr">
        <is>
          <t>COG</t>
        </is>
      </c>
      <c r="CM83" t="inlineStr">
        <is>
          <t>COG</t>
        </is>
      </c>
      <c r="CN83" t="inlineStr">
        <is>
          <t>COG</t>
        </is>
      </c>
      <c r="CO83" t="inlineStr">
        <is>
          <t>COG</t>
        </is>
      </c>
      <c r="CP83" t="inlineStr">
        <is>
          <t>COG</t>
        </is>
      </c>
      <c r="CQ83" t="inlineStr">
        <is>
          <t>COG</t>
        </is>
      </c>
      <c r="CR83" t="inlineStr">
        <is>
          <t>COG</t>
        </is>
      </c>
      <c r="CS83" t="inlineStr">
        <is>
          <t>COG</t>
        </is>
      </c>
      <c r="CT83" t="inlineStr">
        <is>
          <t>COD</t>
        </is>
      </c>
      <c r="CU83" t="inlineStr">
        <is>
          <t>COD</t>
        </is>
      </c>
      <c r="CV83" t="inlineStr">
        <is>
          <t>COD</t>
        </is>
      </c>
      <c r="CW83" t="inlineStr">
        <is>
          <t>COD</t>
        </is>
      </c>
      <c r="CX83" t="inlineStr">
        <is>
          <t>COD</t>
        </is>
      </c>
      <c r="CY83" t="inlineStr">
        <is>
          <t>COD</t>
        </is>
      </c>
      <c r="CZ83" t="inlineStr">
        <is>
          <t>COD</t>
        </is>
      </c>
      <c r="DA83" t="inlineStr">
        <is>
          <t>COD</t>
        </is>
      </c>
      <c r="DB83" t="inlineStr">
        <is>
          <t>COD</t>
        </is>
      </c>
      <c r="DC83" t="inlineStr">
        <is>
          <t>COD</t>
        </is>
      </c>
      <c r="DD83" t="inlineStr">
        <is>
          <t>COD</t>
        </is>
      </c>
      <c r="DE83" t="inlineStr">
        <is>
          <t>COD</t>
        </is>
      </c>
      <c r="DF83" t="inlineStr">
        <is>
          <t>COD</t>
        </is>
      </c>
      <c r="DG83" t="inlineStr">
        <is>
          <t>COD</t>
        </is>
      </c>
      <c r="DH83" t="inlineStr">
        <is>
          <t>COD</t>
        </is>
      </c>
      <c r="DI83" t="inlineStr">
        <is>
          <t>COD</t>
        </is>
      </c>
      <c r="DJ83" t="inlineStr">
        <is>
          <t>COD</t>
        </is>
      </c>
      <c r="DK83" t="inlineStr">
        <is>
          <t>COD</t>
        </is>
      </c>
      <c r="DL83" t="inlineStr">
        <is>
          <t>COD</t>
        </is>
      </c>
      <c r="DM83" t="inlineStr">
        <is>
          <t>COD</t>
        </is>
      </c>
      <c r="DN83" t="inlineStr">
        <is>
          <t>COD</t>
        </is>
      </c>
      <c r="DO83" t="inlineStr">
        <is>
          <t>COD</t>
        </is>
      </c>
      <c r="DP83" t="inlineStr">
        <is>
          <t>COD</t>
        </is>
      </c>
      <c r="DQ83" t="inlineStr">
        <is>
          <t>COD</t>
        </is>
      </c>
      <c r="DR83" t="inlineStr">
        <is>
          <t>UGA</t>
        </is>
      </c>
      <c r="DS83" t="inlineStr">
        <is>
          <t>UGA</t>
        </is>
      </c>
      <c r="DT83" t="inlineStr">
        <is>
          <t>UGA</t>
        </is>
      </c>
      <c r="DU83" t="inlineStr">
        <is>
          <t>UGA</t>
        </is>
      </c>
      <c r="DV83" t="inlineStr">
        <is>
          <t>UGA</t>
        </is>
      </c>
      <c r="DW83" t="inlineStr">
        <is>
          <t>UGA</t>
        </is>
      </c>
      <c r="DX83" t="inlineStr">
        <is>
          <t>UGA</t>
        </is>
      </c>
      <c r="DY83" t="inlineStr">
        <is>
          <t>UGA</t>
        </is>
      </c>
      <c r="DZ83" t="inlineStr">
        <is>
          <t>UGA</t>
        </is>
      </c>
      <c r="EA83" t="inlineStr">
        <is>
          <t>KEN</t>
        </is>
      </c>
      <c r="EB83" t="inlineStr">
        <is>
          <t>KEN</t>
        </is>
      </c>
      <c r="EC83" t="inlineStr">
        <is>
          <t>KEN</t>
        </is>
      </c>
      <c r="ED83" t="inlineStr">
        <is>
          <t>KEN</t>
        </is>
      </c>
      <c r="EE83" t="inlineStr">
        <is>
          <t>KEN</t>
        </is>
      </c>
      <c r="EF83" t="inlineStr">
        <is>
          <t>KEN</t>
        </is>
      </c>
      <c r="EG83" t="inlineStr">
        <is>
          <t>KEN</t>
        </is>
      </c>
      <c r="EH83" t="inlineStr">
        <is>
          <t>KEN</t>
        </is>
      </c>
      <c r="EI83" t="inlineStr">
        <is>
          <t>KEN</t>
        </is>
      </c>
      <c r="EJ83" t="inlineStr">
        <is>
          <t>KEN</t>
        </is>
      </c>
      <c r="EK83" t="inlineStr">
        <is>
          <t>KEN</t>
        </is>
      </c>
      <c r="EL83" t="inlineStr">
        <is>
          <t>KEN</t>
        </is>
      </c>
      <c r="EM83" t="inlineStr">
        <is>
          <t>KEN</t>
        </is>
      </c>
      <c r="EN83" t="inlineStr">
        <is>
          <t>SOM</t>
        </is>
      </c>
      <c r="EO83" t="inlineStr">
        <is>
          <t>SOM</t>
        </is>
      </c>
      <c r="EP83" t="inlineStr">
        <is>
          <t>SOM</t>
        </is>
      </c>
      <c r="EQ83" t="inlineStr">
        <is>
          <t>SOM</t>
        </is>
      </c>
      <c r="ER83" t="inlineStr">
        <is>
          <t>SOM</t>
        </is>
      </c>
      <c r="GY83" t="inlineStr">
        <is>
          <t>MDV</t>
        </is>
      </c>
      <c r="GZ83" t="inlineStr">
        <is>
          <t>MDV</t>
        </is>
      </c>
      <c r="IZ83" t="inlineStr">
        <is>
          <t>IDN</t>
        </is>
      </c>
      <c r="JA83" t="inlineStr">
        <is>
          <t>IDN</t>
        </is>
      </c>
      <c r="JB83" t="inlineStr">
        <is>
          <t>IDN</t>
        </is>
      </c>
      <c r="JC83" t="inlineStr">
        <is>
          <t>IDN</t>
        </is>
      </c>
      <c r="JD83" t="inlineStr">
        <is>
          <t>IDN</t>
        </is>
      </c>
      <c r="JE83" t="inlineStr">
        <is>
          <t>IDN</t>
        </is>
      </c>
      <c r="JF83" t="inlineStr">
        <is>
          <t>IDN</t>
        </is>
      </c>
      <c r="JG83" t="inlineStr">
        <is>
          <t>IDN</t>
        </is>
      </c>
      <c r="JT83" t="inlineStr">
        <is>
          <t>IDN</t>
        </is>
      </c>
      <c r="JU83" t="inlineStr">
        <is>
          <t>IDN</t>
        </is>
      </c>
    </row>
    <row r="84">
      <c r="BW84" t="inlineStr">
        <is>
          <t>STP</t>
        </is>
      </c>
      <c r="BX84" t="inlineStr">
        <is>
          <t>STP</t>
        </is>
      </c>
      <c r="CC84" t="inlineStr">
        <is>
          <t>GNQ</t>
        </is>
      </c>
      <c r="CD84" t="inlineStr">
        <is>
          <t>GNQ</t>
        </is>
      </c>
      <c r="CE84" t="inlineStr">
        <is>
          <t>GNQ</t>
        </is>
      </c>
      <c r="CF84" t="inlineStr">
        <is>
          <t>GNQ</t>
        </is>
      </c>
      <c r="CG84" t="inlineStr">
        <is>
          <t>GAB</t>
        </is>
      </c>
      <c r="CH84" t="inlineStr">
        <is>
          <t>GAB</t>
        </is>
      </c>
      <c r="CI84" t="inlineStr">
        <is>
          <t>GAB</t>
        </is>
      </c>
      <c r="CJ84" t="inlineStr">
        <is>
          <t>GAB</t>
        </is>
      </c>
      <c r="CK84" t="inlineStr">
        <is>
          <t>GAB</t>
        </is>
      </c>
      <c r="CL84" t="inlineStr">
        <is>
          <t>COG</t>
        </is>
      </c>
      <c r="CM84" t="inlineStr">
        <is>
          <t>COG</t>
        </is>
      </c>
      <c r="CN84" t="inlineStr">
        <is>
          <t>COG</t>
        </is>
      </c>
      <c r="CO84" t="inlineStr">
        <is>
          <t>COG</t>
        </is>
      </c>
      <c r="CP84" t="inlineStr">
        <is>
          <t>COG</t>
        </is>
      </c>
      <c r="CQ84" t="inlineStr">
        <is>
          <t>COG</t>
        </is>
      </c>
      <c r="CR84" t="inlineStr">
        <is>
          <t>COG</t>
        </is>
      </c>
      <c r="CS84" t="inlineStr">
        <is>
          <t>COG</t>
        </is>
      </c>
      <c r="CT84" t="inlineStr">
        <is>
          <t>COD</t>
        </is>
      </c>
      <c r="CU84" t="inlineStr">
        <is>
          <t>COD</t>
        </is>
      </c>
      <c r="CV84" t="inlineStr">
        <is>
          <t>COD</t>
        </is>
      </c>
      <c r="CW84" t="inlineStr">
        <is>
          <t>COD</t>
        </is>
      </c>
      <c r="CX84" t="inlineStr">
        <is>
          <t>COD</t>
        </is>
      </c>
      <c r="CY84" t="inlineStr">
        <is>
          <t>COD</t>
        </is>
      </c>
      <c r="CZ84" t="inlineStr">
        <is>
          <t>COD</t>
        </is>
      </c>
      <c r="DA84" t="inlineStr">
        <is>
          <t>COD</t>
        </is>
      </c>
      <c r="DB84" t="inlineStr">
        <is>
          <t>COD</t>
        </is>
      </c>
      <c r="DC84" t="inlineStr">
        <is>
          <t>COD</t>
        </is>
      </c>
      <c r="DD84" t="inlineStr">
        <is>
          <t>COD</t>
        </is>
      </c>
      <c r="DE84" t="inlineStr">
        <is>
          <t>COD</t>
        </is>
      </c>
      <c r="DF84" t="inlineStr">
        <is>
          <t>COD</t>
        </is>
      </c>
      <c r="DG84" t="inlineStr">
        <is>
          <t>COD</t>
        </is>
      </c>
      <c r="DH84" t="inlineStr">
        <is>
          <t>COD</t>
        </is>
      </c>
      <c r="DI84" t="inlineStr">
        <is>
          <t>COD</t>
        </is>
      </c>
      <c r="DJ84" t="inlineStr">
        <is>
          <t>COD</t>
        </is>
      </c>
      <c r="DK84" t="inlineStr">
        <is>
          <t>COD</t>
        </is>
      </c>
      <c r="DL84" t="inlineStr">
        <is>
          <t>COD</t>
        </is>
      </c>
      <c r="DM84" t="inlineStr">
        <is>
          <t>COD</t>
        </is>
      </c>
      <c r="DN84" t="inlineStr">
        <is>
          <t>COD</t>
        </is>
      </c>
      <c r="DO84" t="inlineStr">
        <is>
          <t>COD</t>
        </is>
      </c>
      <c r="DP84" t="inlineStr">
        <is>
          <t>COD</t>
        </is>
      </c>
      <c r="DQ84" t="inlineStr">
        <is>
          <t>COD</t>
        </is>
      </c>
      <c r="DR84" t="inlineStr">
        <is>
          <t>UGA</t>
        </is>
      </c>
      <c r="DS84" t="inlineStr">
        <is>
          <t>UGA</t>
        </is>
      </c>
      <c r="DT84" t="inlineStr">
        <is>
          <t>UGA</t>
        </is>
      </c>
      <c r="DU84" t="inlineStr">
        <is>
          <t>UGA</t>
        </is>
      </c>
      <c r="DV84" t="inlineStr">
        <is>
          <t>UGA</t>
        </is>
      </c>
      <c r="DW84" t="inlineStr">
        <is>
          <t>UGA</t>
        </is>
      </c>
      <c r="DX84" t="inlineStr">
        <is>
          <t>UGA</t>
        </is>
      </c>
      <c r="DY84" t="inlineStr">
        <is>
          <t>UGA</t>
        </is>
      </c>
      <c r="DZ84" t="inlineStr">
        <is>
          <t>UGA</t>
        </is>
      </c>
      <c r="EA84" t="inlineStr">
        <is>
          <t>KEN</t>
        </is>
      </c>
      <c r="EB84" t="inlineStr">
        <is>
          <t>KEN</t>
        </is>
      </c>
      <c r="EC84" t="inlineStr">
        <is>
          <t>KEN</t>
        </is>
      </c>
      <c r="ED84" t="inlineStr">
        <is>
          <t>KEN</t>
        </is>
      </c>
      <c r="EE84" t="inlineStr">
        <is>
          <t>KEN</t>
        </is>
      </c>
      <c r="EF84" t="inlineStr">
        <is>
          <t>KEN</t>
        </is>
      </c>
      <c r="EG84" t="inlineStr">
        <is>
          <t>KEN</t>
        </is>
      </c>
      <c r="EH84" t="inlineStr">
        <is>
          <t>KEN</t>
        </is>
      </c>
      <c r="EI84" t="inlineStr">
        <is>
          <t>KEN</t>
        </is>
      </c>
      <c r="EJ84" t="inlineStr">
        <is>
          <t>KEN</t>
        </is>
      </c>
      <c r="EK84" t="inlineStr">
        <is>
          <t>KEN</t>
        </is>
      </c>
      <c r="EL84" t="inlineStr">
        <is>
          <t>KEN</t>
        </is>
      </c>
      <c r="EM84" t="inlineStr">
        <is>
          <t>KEN</t>
        </is>
      </c>
      <c r="EN84" t="inlineStr">
        <is>
          <t>SOM</t>
        </is>
      </c>
      <c r="EO84" t="inlineStr">
        <is>
          <t>SOM</t>
        </is>
      </c>
      <c r="EP84" t="inlineStr">
        <is>
          <t>SOM</t>
        </is>
      </c>
      <c r="EQ84" t="inlineStr">
        <is>
          <t>SOM</t>
        </is>
      </c>
      <c r="ER84" t="inlineStr">
        <is>
          <t>SOM</t>
        </is>
      </c>
      <c r="ES84" t="inlineStr">
        <is>
          <t>SOM</t>
        </is>
      </c>
      <c r="ET84" t="inlineStr">
        <is>
          <t>SOM</t>
        </is>
      </c>
      <c r="GY84" t="inlineStr">
        <is>
          <t>MDV</t>
        </is>
      </c>
      <c r="GZ84" t="inlineStr">
        <is>
          <t>MDV</t>
        </is>
      </c>
      <c r="IZ84" t="inlineStr">
        <is>
          <t>IDN</t>
        </is>
      </c>
      <c r="JA84" t="inlineStr">
        <is>
          <t>IDN</t>
        </is>
      </c>
      <c r="JB84" t="inlineStr">
        <is>
          <t>IDN</t>
        </is>
      </c>
      <c r="JC84" t="inlineStr">
        <is>
          <t>IDN</t>
        </is>
      </c>
      <c r="JD84" t="inlineStr">
        <is>
          <t>IDN</t>
        </is>
      </c>
      <c r="JE84" t="inlineStr">
        <is>
          <t>IDN</t>
        </is>
      </c>
      <c r="JF84" t="inlineStr">
        <is>
          <t>IDN</t>
        </is>
      </c>
      <c r="JI84" t="inlineStr">
        <is>
          <t>MYS</t>
        </is>
      </c>
      <c r="JT84" t="inlineStr">
        <is>
          <t>IDN</t>
        </is>
      </c>
      <c r="JU84" t="inlineStr">
        <is>
          <t>IDN</t>
        </is>
      </c>
    </row>
    <row r="85">
      <c r="CC85" t="inlineStr">
        <is>
          <t>GNQ</t>
        </is>
      </c>
      <c r="CD85" t="inlineStr">
        <is>
          <t>GNQ</t>
        </is>
      </c>
      <c r="CE85" t="inlineStr">
        <is>
          <t>GNQ</t>
        </is>
      </c>
      <c r="CF85" t="inlineStr">
        <is>
          <t>GNQ</t>
        </is>
      </c>
      <c r="CG85" t="inlineStr">
        <is>
          <t>GAB</t>
        </is>
      </c>
      <c r="CH85" t="inlineStr">
        <is>
          <t>GAB</t>
        </is>
      </c>
      <c r="CI85" t="inlineStr">
        <is>
          <t>GAB</t>
        </is>
      </c>
      <c r="CJ85" t="inlineStr">
        <is>
          <t>COG</t>
        </is>
      </c>
      <c r="CK85" t="inlineStr">
        <is>
          <t>COG</t>
        </is>
      </c>
      <c r="CL85" t="inlineStr">
        <is>
          <t>COG</t>
        </is>
      </c>
      <c r="CM85" t="inlineStr">
        <is>
          <t>COG</t>
        </is>
      </c>
      <c r="CN85" t="inlineStr">
        <is>
          <t>COG</t>
        </is>
      </c>
      <c r="CO85" t="inlineStr">
        <is>
          <t>COG</t>
        </is>
      </c>
      <c r="CP85" t="inlineStr">
        <is>
          <t>COG</t>
        </is>
      </c>
      <c r="CQ85" t="inlineStr">
        <is>
          <t>COG</t>
        </is>
      </c>
      <c r="CR85" t="inlineStr">
        <is>
          <t>COG</t>
        </is>
      </c>
      <c r="CS85" t="inlineStr">
        <is>
          <t>COG</t>
        </is>
      </c>
      <c r="CT85" t="inlineStr">
        <is>
          <t>COD</t>
        </is>
      </c>
      <c r="CU85" t="inlineStr">
        <is>
          <t>COD</t>
        </is>
      </c>
      <c r="CV85" t="inlineStr">
        <is>
          <t>COD</t>
        </is>
      </c>
      <c r="CW85" t="inlineStr">
        <is>
          <t>COD</t>
        </is>
      </c>
      <c r="CX85" t="inlineStr">
        <is>
          <t>COD</t>
        </is>
      </c>
      <c r="CY85" t="inlineStr">
        <is>
          <t>COD</t>
        </is>
      </c>
      <c r="CZ85" t="inlineStr">
        <is>
          <t>COD</t>
        </is>
      </c>
      <c r="DA85" t="inlineStr">
        <is>
          <t>COD</t>
        </is>
      </c>
      <c r="DB85" t="inlineStr">
        <is>
          <t>COD</t>
        </is>
      </c>
      <c r="DC85" t="inlineStr">
        <is>
          <t>COD</t>
        </is>
      </c>
      <c r="DD85" t="inlineStr">
        <is>
          <t>COD</t>
        </is>
      </c>
      <c r="DE85" t="inlineStr">
        <is>
          <t>COD</t>
        </is>
      </c>
      <c r="DF85" t="inlineStr">
        <is>
          <t>COD</t>
        </is>
      </c>
      <c r="DG85" t="inlineStr">
        <is>
          <t>COD</t>
        </is>
      </c>
      <c r="DH85" t="inlineStr">
        <is>
          <t>COD</t>
        </is>
      </c>
      <c r="DI85" t="inlineStr">
        <is>
          <t>COD</t>
        </is>
      </c>
      <c r="DJ85" t="inlineStr">
        <is>
          <t>COD</t>
        </is>
      </c>
      <c r="DK85" t="inlineStr">
        <is>
          <t>COD</t>
        </is>
      </c>
      <c r="DL85" t="inlineStr">
        <is>
          <t>COD</t>
        </is>
      </c>
      <c r="DM85" t="inlineStr">
        <is>
          <t>COD</t>
        </is>
      </c>
      <c r="DN85" t="inlineStr">
        <is>
          <t>COD</t>
        </is>
      </c>
      <c r="DO85" t="inlineStr">
        <is>
          <t>COD</t>
        </is>
      </c>
      <c r="DP85" t="inlineStr">
        <is>
          <t>COD</t>
        </is>
      </c>
      <c r="DQ85" t="inlineStr">
        <is>
          <t>COD</t>
        </is>
      </c>
      <c r="DR85" t="inlineStr">
        <is>
          <t>COD</t>
        </is>
      </c>
      <c r="DS85" t="inlineStr">
        <is>
          <t>UGA</t>
        </is>
      </c>
      <c r="DT85" t="inlineStr">
        <is>
          <t>UGA</t>
        </is>
      </c>
      <c r="DU85" t="inlineStr">
        <is>
          <t>UGA</t>
        </is>
      </c>
      <c r="DV85" t="inlineStr">
        <is>
          <t>UGA</t>
        </is>
      </c>
      <c r="DW85" t="inlineStr">
        <is>
          <t>UGA</t>
        </is>
      </c>
      <c r="DX85" t="inlineStr">
        <is>
          <t>UGA</t>
        </is>
      </c>
      <c r="DY85" t="inlineStr">
        <is>
          <t>UGA</t>
        </is>
      </c>
      <c r="DZ85" t="inlineStr">
        <is>
          <t>UGA</t>
        </is>
      </c>
      <c r="EA85" t="inlineStr">
        <is>
          <t>UGA</t>
        </is>
      </c>
      <c r="EB85" t="inlineStr">
        <is>
          <t>KEN</t>
        </is>
      </c>
      <c r="EC85" t="inlineStr">
        <is>
          <t>KEN</t>
        </is>
      </c>
      <c r="ED85" t="inlineStr">
        <is>
          <t>KEN</t>
        </is>
      </c>
      <c r="EE85" t="inlineStr">
        <is>
          <t>KEN</t>
        </is>
      </c>
      <c r="EF85" t="inlineStr">
        <is>
          <t>KEN</t>
        </is>
      </c>
      <c r="EG85" t="inlineStr">
        <is>
          <t>KEN</t>
        </is>
      </c>
      <c r="EH85" t="inlineStr">
        <is>
          <t>KEN</t>
        </is>
      </c>
      <c r="EI85" t="inlineStr">
        <is>
          <t>KEN</t>
        </is>
      </c>
      <c r="EJ85" t="inlineStr">
        <is>
          <t>KEN</t>
        </is>
      </c>
      <c r="EK85" t="inlineStr">
        <is>
          <t>KEN</t>
        </is>
      </c>
      <c r="EL85" t="inlineStr">
        <is>
          <t>KEN</t>
        </is>
      </c>
      <c r="EM85" t="inlineStr">
        <is>
          <t>KEN</t>
        </is>
      </c>
      <c r="EN85" t="inlineStr">
        <is>
          <t>SOM</t>
        </is>
      </c>
      <c r="EO85" t="inlineStr">
        <is>
          <t>SOM</t>
        </is>
      </c>
      <c r="EP85" t="inlineStr">
        <is>
          <t>SOM</t>
        </is>
      </c>
      <c r="EQ85" t="inlineStr">
        <is>
          <t>SOM</t>
        </is>
      </c>
      <c r="ER85" t="inlineStr">
        <is>
          <t>SOM</t>
        </is>
      </c>
      <c r="ES85" t="inlineStr">
        <is>
          <t>SOM</t>
        </is>
      </c>
      <c r="ET85" t="inlineStr">
        <is>
          <t>SOM</t>
        </is>
      </c>
      <c r="EU85" t="inlineStr">
        <is>
          <t>SOM</t>
        </is>
      </c>
      <c r="GY85" t="inlineStr">
        <is>
          <t>MDV</t>
        </is>
      </c>
      <c r="GZ85" t="inlineStr">
        <is>
          <t>MDV</t>
        </is>
      </c>
      <c r="IY85" t="inlineStr">
        <is>
          <t>IDN</t>
        </is>
      </c>
      <c r="IZ85" t="inlineStr">
        <is>
          <t>IDN</t>
        </is>
      </c>
      <c r="JA85" t="inlineStr">
        <is>
          <t>IDN</t>
        </is>
      </c>
      <c r="JB85" t="inlineStr">
        <is>
          <t>IDN</t>
        </is>
      </c>
      <c r="JC85" t="inlineStr">
        <is>
          <t>IDN</t>
        </is>
      </c>
      <c r="JD85" t="inlineStr">
        <is>
          <t>IDN</t>
        </is>
      </c>
      <c r="JE85" t="inlineStr">
        <is>
          <t>IDN</t>
        </is>
      </c>
      <c r="JH85" t="inlineStr">
        <is>
          <t>MYS</t>
        </is>
      </c>
      <c r="JI85" t="inlineStr">
        <is>
          <t>MYS</t>
        </is>
      </c>
      <c r="JU85" t="inlineStr">
        <is>
          <t>MYS</t>
        </is>
      </c>
    </row>
    <row r="86">
      <c r="CC86" t="inlineStr">
        <is>
          <t>GNQ</t>
        </is>
      </c>
      <c r="CD86" t="inlineStr">
        <is>
          <t>GNQ</t>
        </is>
      </c>
      <c r="CE86" t="inlineStr">
        <is>
          <t>GNQ</t>
        </is>
      </c>
      <c r="CF86" t="inlineStr">
        <is>
          <t>GNQ</t>
        </is>
      </c>
      <c r="CG86" t="inlineStr">
        <is>
          <t>GAB</t>
        </is>
      </c>
      <c r="CH86" t="inlineStr">
        <is>
          <t>CMR</t>
        </is>
      </c>
      <c r="CI86" t="inlineStr">
        <is>
          <t>GAB</t>
        </is>
      </c>
      <c r="CJ86" t="inlineStr">
        <is>
          <t>COG</t>
        </is>
      </c>
      <c r="CK86" t="inlineStr">
        <is>
          <t>CMR</t>
        </is>
      </c>
      <c r="CL86" t="inlineStr">
        <is>
          <t>CMR</t>
        </is>
      </c>
      <c r="CM86" t="inlineStr">
        <is>
          <t>CMR</t>
        </is>
      </c>
      <c r="CN86" t="inlineStr">
        <is>
          <t>CMR</t>
        </is>
      </c>
      <c r="CO86" t="inlineStr">
        <is>
          <t>CMR</t>
        </is>
      </c>
      <c r="CP86" t="inlineStr">
        <is>
          <t>COG</t>
        </is>
      </c>
      <c r="CQ86" t="inlineStr">
        <is>
          <t>COG</t>
        </is>
      </c>
      <c r="CR86" t="inlineStr">
        <is>
          <t>COG</t>
        </is>
      </c>
      <c r="CS86" t="inlineStr">
        <is>
          <t>COG</t>
        </is>
      </c>
      <c r="CT86" t="inlineStr">
        <is>
          <t>COD</t>
        </is>
      </c>
      <c r="CU86" t="inlineStr">
        <is>
          <t>COD</t>
        </is>
      </c>
      <c r="CV86" t="inlineStr">
        <is>
          <t>COD</t>
        </is>
      </c>
      <c r="CW86" t="inlineStr">
        <is>
          <t>COD</t>
        </is>
      </c>
      <c r="CX86" t="inlineStr">
        <is>
          <t>COD</t>
        </is>
      </c>
      <c r="CY86" t="inlineStr">
        <is>
          <t>COD</t>
        </is>
      </c>
      <c r="CZ86" t="inlineStr">
        <is>
          <t>COD</t>
        </is>
      </c>
      <c r="DA86" t="inlineStr">
        <is>
          <t>COD</t>
        </is>
      </c>
      <c r="DB86" t="inlineStr">
        <is>
          <t>COD</t>
        </is>
      </c>
      <c r="DC86" t="inlineStr">
        <is>
          <t>COD</t>
        </is>
      </c>
      <c r="DD86" t="inlineStr">
        <is>
          <t>COD</t>
        </is>
      </c>
      <c r="DE86" t="inlineStr">
        <is>
          <t>COD</t>
        </is>
      </c>
      <c r="DF86" t="inlineStr">
        <is>
          <t>COD</t>
        </is>
      </c>
      <c r="DG86" t="inlineStr">
        <is>
          <t>COD</t>
        </is>
      </c>
      <c r="DH86" t="inlineStr">
        <is>
          <t>COD</t>
        </is>
      </c>
      <c r="DI86" t="inlineStr">
        <is>
          <t>COD</t>
        </is>
      </c>
      <c r="DJ86" t="inlineStr">
        <is>
          <t>COD</t>
        </is>
      </c>
      <c r="DK86" t="inlineStr">
        <is>
          <t>COD</t>
        </is>
      </c>
      <c r="DL86" t="inlineStr">
        <is>
          <t>COD</t>
        </is>
      </c>
      <c r="DM86" t="inlineStr">
        <is>
          <t>COD</t>
        </is>
      </c>
      <c r="DN86" t="inlineStr">
        <is>
          <t>COD</t>
        </is>
      </c>
      <c r="DO86" t="inlineStr">
        <is>
          <t>COD</t>
        </is>
      </c>
      <c r="DP86" t="inlineStr">
        <is>
          <t>COD</t>
        </is>
      </c>
      <c r="DQ86" t="inlineStr">
        <is>
          <t>COD</t>
        </is>
      </c>
      <c r="DR86" t="inlineStr">
        <is>
          <t>COD</t>
        </is>
      </c>
      <c r="DS86" t="inlineStr">
        <is>
          <t>COD</t>
        </is>
      </c>
      <c r="DT86" t="inlineStr">
        <is>
          <t>UGA</t>
        </is>
      </c>
      <c r="DU86" t="inlineStr">
        <is>
          <t>UGA</t>
        </is>
      </c>
      <c r="DV86" t="inlineStr">
        <is>
          <t>UGA</t>
        </is>
      </c>
      <c r="DW86" t="inlineStr">
        <is>
          <t>UGA</t>
        </is>
      </c>
      <c r="DX86" t="inlineStr">
        <is>
          <t>UGA</t>
        </is>
      </c>
      <c r="DY86" t="inlineStr">
        <is>
          <t>UGA</t>
        </is>
      </c>
      <c r="DZ86" t="inlineStr">
        <is>
          <t>UGA</t>
        </is>
      </c>
      <c r="EA86" t="inlineStr">
        <is>
          <t>UGA</t>
        </is>
      </c>
      <c r="EB86" t="inlineStr">
        <is>
          <t>KEN</t>
        </is>
      </c>
      <c r="EC86" t="inlineStr">
        <is>
          <t>KEN</t>
        </is>
      </c>
      <c r="ED86" t="inlineStr">
        <is>
          <t>KEN</t>
        </is>
      </c>
      <c r="EE86" t="inlineStr">
        <is>
          <t>KEN</t>
        </is>
      </c>
      <c r="EF86" t="inlineStr">
        <is>
          <t>KEN</t>
        </is>
      </c>
      <c r="EG86" t="inlineStr">
        <is>
          <t>KEN</t>
        </is>
      </c>
      <c r="EH86" t="inlineStr">
        <is>
          <t>KEN</t>
        </is>
      </c>
      <c r="EI86" t="inlineStr">
        <is>
          <t>KEN</t>
        </is>
      </c>
      <c r="EJ86" t="inlineStr">
        <is>
          <t>KEN</t>
        </is>
      </c>
      <c r="EK86" t="inlineStr">
        <is>
          <t>KEN</t>
        </is>
      </c>
      <c r="EL86" t="inlineStr">
        <is>
          <t>KEN</t>
        </is>
      </c>
      <c r="EM86" t="inlineStr">
        <is>
          <t>KEN</t>
        </is>
      </c>
      <c r="EN86" t="inlineStr">
        <is>
          <t>SOM</t>
        </is>
      </c>
      <c r="EO86" t="inlineStr">
        <is>
          <t>SOM</t>
        </is>
      </c>
      <c r="EP86" t="inlineStr">
        <is>
          <t>SOM</t>
        </is>
      </c>
      <c r="EQ86" t="inlineStr">
        <is>
          <t>SOM</t>
        </is>
      </c>
      <c r="ER86" t="inlineStr">
        <is>
          <t>SOM</t>
        </is>
      </c>
      <c r="ES86" t="inlineStr">
        <is>
          <t>SOM</t>
        </is>
      </c>
      <c r="ET86" t="inlineStr">
        <is>
          <t>SOM</t>
        </is>
      </c>
      <c r="EU86" t="inlineStr">
        <is>
          <t>SOM</t>
        </is>
      </c>
      <c r="EV86" t="inlineStr">
        <is>
          <t>SOM</t>
        </is>
      </c>
      <c r="EW86" t="inlineStr">
        <is>
          <t>SOM</t>
        </is>
      </c>
      <c r="GY86" t="inlineStr">
        <is>
          <t>MDV</t>
        </is>
      </c>
      <c r="GZ86" t="inlineStr">
        <is>
          <t>MDV</t>
        </is>
      </c>
      <c r="IX86" t="inlineStr">
        <is>
          <t>IDN</t>
        </is>
      </c>
      <c r="IY86" t="inlineStr">
        <is>
          <t>IDN</t>
        </is>
      </c>
      <c r="IZ86" t="inlineStr">
        <is>
          <t>IDN</t>
        </is>
      </c>
      <c r="JA86" t="inlineStr">
        <is>
          <t>IDN</t>
        </is>
      </c>
      <c r="JB86" t="inlineStr">
        <is>
          <t>IDN</t>
        </is>
      </c>
      <c r="JF86" t="inlineStr">
        <is>
          <t>MYS</t>
        </is>
      </c>
      <c r="JG86" t="inlineStr">
        <is>
          <t>MYS</t>
        </is>
      </c>
      <c r="JH86" t="inlineStr">
        <is>
          <t>MYS</t>
        </is>
      </c>
      <c r="JI86" t="inlineStr">
        <is>
          <t>MYS</t>
        </is>
      </c>
    </row>
    <row r="87">
      <c r="CC87" t="inlineStr">
        <is>
          <t>CMR</t>
        </is>
      </c>
      <c r="CD87" t="inlineStr">
        <is>
          <t>CMR</t>
        </is>
      </c>
      <c r="CE87" t="inlineStr">
        <is>
          <t>CMR</t>
        </is>
      </c>
      <c r="CF87" t="inlineStr">
        <is>
          <t>CMR</t>
        </is>
      </c>
      <c r="CG87" t="inlineStr">
        <is>
          <t>CMR</t>
        </is>
      </c>
      <c r="CH87" t="inlineStr">
        <is>
          <t>CMR</t>
        </is>
      </c>
      <c r="CI87" t="inlineStr">
        <is>
          <t>CMR</t>
        </is>
      </c>
      <c r="CJ87" t="inlineStr">
        <is>
          <t>CMR</t>
        </is>
      </c>
      <c r="CK87" t="inlineStr">
        <is>
          <t>CMR</t>
        </is>
      </c>
      <c r="CL87" t="inlineStr">
        <is>
          <t>CMR</t>
        </is>
      </c>
      <c r="CM87" t="inlineStr">
        <is>
          <t>CMR</t>
        </is>
      </c>
      <c r="CN87" t="inlineStr">
        <is>
          <t>CMR</t>
        </is>
      </c>
      <c r="CO87" t="inlineStr">
        <is>
          <t>CMR</t>
        </is>
      </c>
      <c r="CP87" t="inlineStr">
        <is>
          <t>CAF</t>
        </is>
      </c>
      <c r="CQ87" t="inlineStr">
        <is>
          <t>COG</t>
        </is>
      </c>
      <c r="CR87" t="inlineStr">
        <is>
          <t>COG</t>
        </is>
      </c>
      <c r="CS87" t="inlineStr">
        <is>
          <t>COG</t>
        </is>
      </c>
      <c r="CT87" t="inlineStr">
        <is>
          <t>COG</t>
        </is>
      </c>
      <c r="CU87" t="inlineStr">
        <is>
          <t>COD</t>
        </is>
      </c>
      <c r="CV87" t="inlineStr">
        <is>
          <t>COD</t>
        </is>
      </c>
      <c r="CW87" t="inlineStr">
        <is>
          <t>COD</t>
        </is>
      </c>
      <c r="CX87" t="inlineStr">
        <is>
          <t>COD</t>
        </is>
      </c>
      <c r="CY87" t="inlineStr">
        <is>
          <t>COD</t>
        </is>
      </c>
      <c r="CZ87" t="inlineStr">
        <is>
          <t>COD</t>
        </is>
      </c>
      <c r="DA87" t="inlineStr">
        <is>
          <t>COD</t>
        </is>
      </c>
      <c r="DB87" t="inlineStr">
        <is>
          <t>COD</t>
        </is>
      </c>
      <c r="DC87" t="inlineStr">
        <is>
          <t>COD</t>
        </is>
      </c>
      <c r="DD87" t="inlineStr">
        <is>
          <t>COD</t>
        </is>
      </c>
      <c r="DE87" t="inlineStr">
        <is>
          <t>COD</t>
        </is>
      </c>
      <c r="DF87" t="inlineStr">
        <is>
          <t>COD</t>
        </is>
      </c>
      <c r="DG87" t="inlineStr">
        <is>
          <t>COD</t>
        </is>
      </c>
      <c r="DH87" t="inlineStr">
        <is>
          <t>COD</t>
        </is>
      </c>
      <c r="DI87" t="inlineStr">
        <is>
          <t>COD</t>
        </is>
      </c>
      <c r="DJ87" t="inlineStr">
        <is>
          <t>COD</t>
        </is>
      </c>
      <c r="DK87" t="inlineStr">
        <is>
          <t>COD</t>
        </is>
      </c>
      <c r="DL87" t="inlineStr">
        <is>
          <t>COD</t>
        </is>
      </c>
      <c r="DM87" t="inlineStr">
        <is>
          <t>COD</t>
        </is>
      </c>
      <c r="DN87" t="inlineStr">
        <is>
          <t>COD</t>
        </is>
      </c>
      <c r="DO87" t="inlineStr">
        <is>
          <t>COD</t>
        </is>
      </c>
      <c r="DP87" t="inlineStr">
        <is>
          <t>COD</t>
        </is>
      </c>
      <c r="DQ87" t="inlineStr">
        <is>
          <t>COD</t>
        </is>
      </c>
      <c r="DR87" t="inlineStr">
        <is>
          <t>COD</t>
        </is>
      </c>
      <c r="DS87" t="inlineStr">
        <is>
          <t>COD</t>
        </is>
      </c>
      <c r="DT87" t="inlineStr">
        <is>
          <t>UGA</t>
        </is>
      </c>
      <c r="DU87" t="inlineStr">
        <is>
          <t>UGA</t>
        </is>
      </c>
      <c r="DV87" t="inlineStr">
        <is>
          <t>UGA</t>
        </is>
      </c>
      <c r="DW87" t="inlineStr">
        <is>
          <t>UGA</t>
        </is>
      </c>
      <c r="DX87" t="inlineStr">
        <is>
          <t>UGA</t>
        </is>
      </c>
      <c r="DY87" t="inlineStr">
        <is>
          <t>UGA</t>
        </is>
      </c>
      <c r="DZ87" t="inlineStr">
        <is>
          <t>UGA</t>
        </is>
      </c>
      <c r="EA87" t="inlineStr">
        <is>
          <t>KEN</t>
        </is>
      </c>
      <c r="EB87" t="inlineStr">
        <is>
          <t>KEN</t>
        </is>
      </c>
      <c r="EC87" t="inlineStr">
        <is>
          <t>KEN</t>
        </is>
      </c>
      <c r="ED87" t="inlineStr">
        <is>
          <t>KEN</t>
        </is>
      </c>
      <c r="EE87" t="inlineStr">
        <is>
          <t>KEN</t>
        </is>
      </c>
      <c r="EF87" t="inlineStr">
        <is>
          <t>KEN</t>
        </is>
      </c>
      <c r="EG87" t="inlineStr">
        <is>
          <t>KEN</t>
        </is>
      </c>
      <c r="EH87" t="inlineStr">
        <is>
          <t>KEN</t>
        </is>
      </c>
      <c r="EI87" t="inlineStr">
        <is>
          <t>KEN</t>
        </is>
      </c>
      <c r="EJ87" t="inlineStr">
        <is>
          <t>KEN</t>
        </is>
      </c>
      <c r="EK87" t="inlineStr">
        <is>
          <t>KEN</t>
        </is>
      </c>
      <c r="EL87" t="inlineStr">
        <is>
          <t>KEN</t>
        </is>
      </c>
      <c r="EM87" t="inlineStr">
        <is>
          <t>KEN</t>
        </is>
      </c>
      <c r="EN87" t="inlineStr">
        <is>
          <t>SOM</t>
        </is>
      </c>
      <c r="EO87" t="inlineStr">
        <is>
          <t>SOM</t>
        </is>
      </c>
      <c r="EP87" t="inlineStr">
        <is>
          <t>SOM</t>
        </is>
      </c>
      <c r="EQ87" t="inlineStr">
        <is>
          <t>SOM</t>
        </is>
      </c>
      <c r="ER87" t="inlineStr">
        <is>
          <t>SOM</t>
        </is>
      </c>
      <c r="ES87" t="inlineStr">
        <is>
          <t>SOM</t>
        </is>
      </c>
      <c r="ET87" t="inlineStr">
        <is>
          <t>SOM</t>
        </is>
      </c>
      <c r="EU87" t="inlineStr">
        <is>
          <t>SOM</t>
        </is>
      </c>
      <c r="EV87" t="inlineStr">
        <is>
          <t>SOM</t>
        </is>
      </c>
      <c r="EW87" t="inlineStr">
        <is>
          <t>SOM</t>
        </is>
      </c>
      <c r="EX87" t="inlineStr">
        <is>
          <t>SOM</t>
        </is>
      </c>
      <c r="GY87" t="inlineStr">
        <is>
          <t>MDV</t>
        </is>
      </c>
      <c r="GZ87" t="inlineStr">
        <is>
          <t>MDV</t>
        </is>
      </c>
      <c r="IW87" t="inlineStr">
        <is>
          <t>IDN</t>
        </is>
      </c>
      <c r="IX87" t="inlineStr">
        <is>
          <t>IDN</t>
        </is>
      </c>
      <c r="IY87" t="inlineStr">
        <is>
          <t>IDN</t>
        </is>
      </c>
      <c r="IZ87" t="inlineStr">
        <is>
          <t>IDN</t>
        </is>
      </c>
      <c r="JA87" t="inlineStr">
        <is>
          <t>IDN</t>
        </is>
      </c>
      <c r="JE87" t="inlineStr">
        <is>
          <t>MYS</t>
        </is>
      </c>
      <c r="JF87" t="inlineStr">
        <is>
          <t>MYS</t>
        </is>
      </c>
      <c r="JG87" t="inlineStr">
        <is>
          <t>MYS</t>
        </is>
      </c>
      <c r="JH87" t="inlineStr">
        <is>
          <t>MYS</t>
        </is>
      </c>
    </row>
    <row r="88">
      <c r="CC88" t="inlineStr">
        <is>
          <t>CMR</t>
        </is>
      </c>
      <c r="CD88" t="inlineStr">
        <is>
          <t>CMR</t>
        </is>
      </c>
      <c r="CE88" t="inlineStr">
        <is>
          <t>CMR</t>
        </is>
      </c>
      <c r="CF88" t="inlineStr">
        <is>
          <t>CMR</t>
        </is>
      </c>
      <c r="CG88" t="inlineStr">
        <is>
          <t>CMR</t>
        </is>
      </c>
      <c r="CH88" t="inlineStr">
        <is>
          <t>CMR</t>
        </is>
      </c>
      <c r="CI88" t="inlineStr">
        <is>
          <t>CMR</t>
        </is>
      </c>
      <c r="CJ88" t="inlineStr">
        <is>
          <t>CMR</t>
        </is>
      </c>
      <c r="CK88" t="inlineStr">
        <is>
          <t>CMR</t>
        </is>
      </c>
      <c r="CL88" t="inlineStr">
        <is>
          <t>CMR</t>
        </is>
      </c>
      <c r="CM88" t="inlineStr">
        <is>
          <t>CMR</t>
        </is>
      </c>
      <c r="CN88" t="inlineStr">
        <is>
          <t>CMR</t>
        </is>
      </c>
      <c r="CO88" t="inlineStr">
        <is>
          <t>CAF</t>
        </is>
      </c>
      <c r="CP88" t="inlineStr">
        <is>
          <t>CAF</t>
        </is>
      </c>
      <c r="CQ88" t="inlineStr">
        <is>
          <t>COG</t>
        </is>
      </c>
      <c r="CR88" t="inlineStr">
        <is>
          <t>COG</t>
        </is>
      </c>
      <c r="CS88" t="inlineStr">
        <is>
          <t>COG</t>
        </is>
      </c>
      <c r="CT88" t="inlineStr">
        <is>
          <t>COG</t>
        </is>
      </c>
      <c r="CU88" t="inlineStr">
        <is>
          <t>COD</t>
        </is>
      </c>
      <c r="CV88" t="inlineStr">
        <is>
          <t>COD</t>
        </is>
      </c>
      <c r="CW88" t="inlineStr">
        <is>
          <t>COD</t>
        </is>
      </c>
      <c r="CX88" t="inlineStr">
        <is>
          <t>COD</t>
        </is>
      </c>
      <c r="CY88" t="inlineStr">
        <is>
          <t>COD</t>
        </is>
      </c>
      <c r="CZ88" t="inlineStr">
        <is>
          <t>COD</t>
        </is>
      </c>
      <c r="DA88" t="inlineStr">
        <is>
          <t>COD</t>
        </is>
      </c>
      <c r="DB88" t="inlineStr">
        <is>
          <t>COD</t>
        </is>
      </c>
      <c r="DC88" t="inlineStr">
        <is>
          <t>COD</t>
        </is>
      </c>
      <c r="DD88" t="inlineStr">
        <is>
          <t>COD</t>
        </is>
      </c>
      <c r="DE88" t="inlineStr">
        <is>
          <t>COD</t>
        </is>
      </c>
      <c r="DF88" t="inlineStr">
        <is>
          <t>COD</t>
        </is>
      </c>
      <c r="DG88" t="inlineStr">
        <is>
          <t>COD</t>
        </is>
      </c>
      <c r="DH88" t="inlineStr">
        <is>
          <t>COD</t>
        </is>
      </c>
      <c r="DI88" t="inlineStr">
        <is>
          <t>COD</t>
        </is>
      </c>
      <c r="DJ88" t="inlineStr">
        <is>
          <t>COD</t>
        </is>
      </c>
      <c r="DK88" t="inlineStr">
        <is>
          <t>COD</t>
        </is>
      </c>
      <c r="DL88" t="inlineStr">
        <is>
          <t>COD</t>
        </is>
      </c>
      <c r="DM88" t="inlineStr">
        <is>
          <t>COD</t>
        </is>
      </c>
      <c r="DN88" t="inlineStr">
        <is>
          <t>COD</t>
        </is>
      </c>
      <c r="DO88" t="inlineStr">
        <is>
          <t>COD</t>
        </is>
      </c>
      <c r="DP88" t="inlineStr">
        <is>
          <t>COD</t>
        </is>
      </c>
      <c r="DQ88" t="inlineStr">
        <is>
          <t>COD</t>
        </is>
      </c>
      <c r="DR88" t="inlineStr">
        <is>
          <t>COD</t>
        </is>
      </c>
      <c r="DS88" t="inlineStr">
        <is>
          <t>COD</t>
        </is>
      </c>
      <c r="DT88" t="inlineStr">
        <is>
          <t>UGA</t>
        </is>
      </c>
      <c r="DU88" t="inlineStr">
        <is>
          <t>UGA</t>
        </is>
      </c>
      <c r="DV88" t="inlineStr">
        <is>
          <t>UGA</t>
        </is>
      </c>
      <c r="DW88" t="inlineStr">
        <is>
          <t>UGA</t>
        </is>
      </c>
      <c r="DX88" t="inlineStr">
        <is>
          <t>UGA</t>
        </is>
      </c>
      <c r="DY88" t="inlineStr">
        <is>
          <t>UGA</t>
        </is>
      </c>
      <c r="DZ88" t="inlineStr">
        <is>
          <t>UGA</t>
        </is>
      </c>
      <c r="EA88" t="inlineStr">
        <is>
          <t>KEN</t>
        </is>
      </c>
      <c r="EB88" t="inlineStr">
        <is>
          <t>KEN</t>
        </is>
      </c>
      <c r="EC88" t="inlineStr">
        <is>
          <t>KEN</t>
        </is>
      </c>
      <c r="ED88" t="inlineStr">
        <is>
          <t>KEN</t>
        </is>
      </c>
      <c r="EE88" t="inlineStr">
        <is>
          <t>KEN</t>
        </is>
      </c>
      <c r="EF88" t="inlineStr">
        <is>
          <t>KEN</t>
        </is>
      </c>
      <c r="EG88" t="inlineStr">
        <is>
          <t>KEN</t>
        </is>
      </c>
      <c r="EH88" t="inlineStr">
        <is>
          <t>KEN</t>
        </is>
      </c>
      <c r="EI88" t="inlineStr">
        <is>
          <t>KEN</t>
        </is>
      </c>
      <c r="EJ88" t="inlineStr">
        <is>
          <t>KEN</t>
        </is>
      </c>
      <c r="EK88" t="inlineStr">
        <is>
          <t>KEN</t>
        </is>
      </c>
      <c r="EL88" t="inlineStr">
        <is>
          <t>KEN</t>
        </is>
      </c>
      <c r="EM88" t="inlineStr">
        <is>
          <t>KEN</t>
        </is>
      </c>
      <c r="EN88" t="inlineStr">
        <is>
          <t>KEN</t>
        </is>
      </c>
      <c r="EO88" t="inlineStr">
        <is>
          <t>SOM</t>
        </is>
      </c>
      <c r="EP88" t="inlineStr">
        <is>
          <t>SOM</t>
        </is>
      </c>
      <c r="EQ88" t="inlineStr">
        <is>
          <t>SOM</t>
        </is>
      </c>
      <c r="ER88" t="inlineStr">
        <is>
          <t>SOM</t>
        </is>
      </c>
      <c r="ES88" t="inlineStr">
        <is>
          <t>SOM</t>
        </is>
      </c>
      <c r="ET88" t="inlineStr">
        <is>
          <t>SOM</t>
        </is>
      </c>
      <c r="EU88" t="inlineStr">
        <is>
          <t>SOM</t>
        </is>
      </c>
      <c r="EV88" t="inlineStr">
        <is>
          <t>SOM</t>
        </is>
      </c>
      <c r="EW88" t="inlineStr">
        <is>
          <t>SOM</t>
        </is>
      </c>
      <c r="EX88" t="inlineStr">
        <is>
          <t>SOM</t>
        </is>
      </c>
      <c r="EY88" t="inlineStr">
        <is>
          <t>SOM</t>
        </is>
      </c>
      <c r="GY88" t="inlineStr">
        <is>
          <t>MDV</t>
        </is>
      </c>
      <c r="GZ88" t="inlineStr">
        <is>
          <t>MDV</t>
        </is>
      </c>
      <c r="IV88" t="inlineStr">
        <is>
          <t>IDN</t>
        </is>
      </c>
      <c r="IW88" t="inlineStr">
        <is>
          <t>IDN</t>
        </is>
      </c>
      <c r="IX88" t="inlineStr">
        <is>
          <t>IDN</t>
        </is>
      </c>
      <c r="IY88" t="inlineStr">
        <is>
          <t>IDN</t>
        </is>
      </c>
      <c r="IZ88" t="inlineStr">
        <is>
          <t>IDN</t>
        </is>
      </c>
      <c r="JE88" t="inlineStr">
        <is>
          <t>MYS</t>
        </is>
      </c>
      <c r="JF88" t="inlineStr">
        <is>
          <t>MYS</t>
        </is>
      </c>
      <c r="JG88" t="inlineStr">
        <is>
          <t>MYS</t>
        </is>
      </c>
      <c r="JH88" t="inlineStr">
        <is>
          <t>MYS</t>
        </is>
      </c>
    </row>
    <row r="89">
      <c r="CC89" t="inlineStr">
        <is>
          <t>CMR</t>
        </is>
      </c>
      <c r="CD89" t="inlineStr">
        <is>
          <t>CMR</t>
        </is>
      </c>
      <c r="CE89" t="inlineStr">
        <is>
          <t>CMR</t>
        </is>
      </c>
      <c r="CF89" t="inlineStr">
        <is>
          <t>CMR</t>
        </is>
      </c>
      <c r="CG89" t="inlineStr">
        <is>
          <t>CMR</t>
        </is>
      </c>
      <c r="CH89" t="inlineStr">
        <is>
          <t>CMR</t>
        </is>
      </c>
      <c r="CI89" t="inlineStr">
        <is>
          <t>CMR</t>
        </is>
      </c>
      <c r="CJ89" t="inlineStr">
        <is>
          <t>CMR</t>
        </is>
      </c>
      <c r="CK89" t="inlineStr">
        <is>
          <t>CMR</t>
        </is>
      </c>
      <c r="CL89" t="inlineStr">
        <is>
          <t>CMR</t>
        </is>
      </c>
      <c r="CM89" t="inlineStr">
        <is>
          <t>CMR</t>
        </is>
      </c>
      <c r="CN89" t="inlineStr">
        <is>
          <t>CAF</t>
        </is>
      </c>
      <c r="CO89" t="inlineStr">
        <is>
          <t>CAF</t>
        </is>
      </c>
      <c r="CP89" t="inlineStr">
        <is>
          <t>CAF</t>
        </is>
      </c>
      <c r="CQ89" t="inlineStr">
        <is>
          <t>CAF</t>
        </is>
      </c>
      <c r="CR89" t="inlineStr">
        <is>
          <t>CAF</t>
        </is>
      </c>
      <c r="CS89" t="inlineStr">
        <is>
          <t>CAF</t>
        </is>
      </c>
      <c r="CT89" t="inlineStr">
        <is>
          <t>CAF</t>
        </is>
      </c>
      <c r="CU89" t="inlineStr">
        <is>
          <t>COD</t>
        </is>
      </c>
      <c r="CV89" t="inlineStr">
        <is>
          <t>COD</t>
        </is>
      </c>
      <c r="CW89" t="inlineStr">
        <is>
          <t>COD</t>
        </is>
      </c>
      <c r="CX89" t="inlineStr">
        <is>
          <t>COD</t>
        </is>
      </c>
      <c r="CY89" t="inlineStr">
        <is>
          <t>COD</t>
        </is>
      </c>
      <c r="CZ89" t="inlineStr">
        <is>
          <t>COD</t>
        </is>
      </c>
      <c r="DA89" t="inlineStr">
        <is>
          <t>COD</t>
        </is>
      </c>
      <c r="DB89" t="inlineStr">
        <is>
          <t>COD</t>
        </is>
      </c>
      <c r="DC89" t="inlineStr">
        <is>
          <t>COD</t>
        </is>
      </c>
      <c r="DD89" t="inlineStr">
        <is>
          <t>COD</t>
        </is>
      </c>
      <c r="DE89" t="inlineStr">
        <is>
          <t>COD</t>
        </is>
      </c>
      <c r="DF89" t="inlineStr">
        <is>
          <t>COD</t>
        </is>
      </c>
      <c r="DG89" t="inlineStr">
        <is>
          <t>COD</t>
        </is>
      </c>
      <c r="DH89" t="inlineStr">
        <is>
          <t>COD</t>
        </is>
      </c>
      <c r="DI89" t="inlineStr">
        <is>
          <t>COD</t>
        </is>
      </c>
      <c r="DJ89" t="inlineStr">
        <is>
          <t>COD</t>
        </is>
      </c>
      <c r="DK89" t="inlineStr">
        <is>
          <t>COD</t>
        </is>
      </c>
      <c r="DL89" t="inlineStr">
        <is>
          <t>COD</t>
        </is>
      </c>
      <c r="DM89" t="inlineStr">
        <is>
          <t>COD</t>
        </is>
      </c>
      <c r="DN89" t="inlineStr">
        <is>
          <t>COD</t>
        </is>
      </c>
      <c r="DO89" t="inlineStr">
        <is>
          <t>COD</t>
        </is>
      </c>
      <c r="DP89" t="inlineStr">
        <is>
          <t>COD</t>
        </is>
      </c>
      <c r="DQ89" t="inlineStr">
        <is>
          <t>COD</t>
        </is>
      </c>
      <c r="DR89" t="inlineStr">
        <is>
          <t>COD</t>
        </is>
      </c>
      <c r="DS89" t="inlineStr">
        <is>
          <t>SSD</t>
        </is>
      </c>
      <c r="DT89" t="inlineStr">
        <is>
          <t>UGA</t>
        </is>
      </c>
      <c r="DU89" t="inlineStr">
        <is>
          <t>SSD</t>
        </is>
      </c>
      <c r="DV89" t="inlineStr">
        <is>
          <t>SSD</t>
        </is>
      </c>
      <c r="DW89" t="inlineStr">
        <is>
          <t>UGA</t>
        </is>
      </c>
      <c r="DX89" t="inlineStr">
        <is>
          <t>UGA</t>
        </is>
      </c>
      <c r="DY89" t="inlineStr">
        <is>
          <t>UGA</t>
        </is>
      </c>
      <c r="DZ89" t="inlineStr">
        <is>
          <t>UGA</t>
        </is>
      </c>
      <c r="EA89" t="inlineStr">
        <is>
          <t>KEN</t>
        </is>
      </c>
      <c r="EB89" t="inlineStr">
        <is>
          <t>KEN</t>
        </is>
      </c>
      <c r="EC89" t="inlineStr">
        <is>
          <t>KEN</t>
        </is>
      </c>
      <c r="ED89" t="inlineStr">
        <is>
          <t>KEN</t>
        </is>
      </c>
      <c r="EE89" t="inlineStr">
        <is>
          <t>KEN</t>
        </is>
      </c>
      <c r="EF89" t="inlineStr">
        <is>
          <t>KEN</t>
        </is>
      </c>
      <c r="EG89" t="inlineStr">
        <is>
          <t>KEN</t>
        </is>
      </c>
      <c r="EH89" t="inlineStr">
        <is>
          <t>ETH</t>
        </is>
      </c>
      <c r="EI89" t="inlineStr">
        <is>
          <t>ETH</t>
        </is>
      </c>
      <c r="EJ89" t="inlineStr">
        <is>
          <t>ETH</t>
        </is>
      </c>
      <c r="EK89" t="inlineStr">
        <is>
          <t>ETH</t>
        </is>
      </c>
      <c r="EL89" t="inlineStr">
        <is>
          <t>KEN</t>
        </is>
      </c>
      <c r="EM89" t="inlineStr">
        <is>
          <t>KEN</t>
        </is>
      </c>
      <c r="EN89" t="inlineStr">
        <is>
          <t>KEN</t>
        </is>
      </c>
      <c r="EO89" t="inlineStr">
        <is>
          <t>SOM</t>
        </is>
      </c>
      <c r="EP89" t="inlineStr">
        <is>
          <t>SOM</t>
        </is>
      </c>
      <c r="EQ89" t="inlineStr">
        <is>
          <t>SOM</t>
        </is>
      </c>
      <c r="ER89" t="inlineStr">
        <is>
          <t>SOM</t>
        </is>
      </c>
      <c r="ES89" t="inlineStr">
        <is>
          <t>SOM</t>
        </is>
      </c>
      <c r="ET89" t="inlineStr">
        <is>
          <t>SOM</t>
        </is>
      </c>
      <c r="EU89" t="inlineStr">
        <is>
          <t>SOM</t>
        </is>
      </c>
      <c r="EV89" t="inlineStr">
        <is>
          <t>SOM</t>
        </is>
      </c>
      <c r="EW89" t="inlineStr">
        <is>
          <t>SOM</t>
        </is>
      </c>
      <c r="EX89" t="inlineStr">
        <is>
          <t>SOM</t>
        </is>
      </c>
      <c r="EY89" t="inlineStr">
        <is>
          <t>SOM</t>
        </is>
      </c>
      <c r="EZ89" t="inlineStr">
        <is>
          <t>SOM</t>
        </is>
      </c>
      <c r="GY89" t="inlineStr">
        <is>
          <t>MDV</t>
        </is>
      </c>
      <c r="GZ89" t="inlineStr">
        <is>
          <t>MDV</t>
        </is>
      </c>
      <c r="IU89" t="inlineStr">
        <is>
          <t>IDN</t>
        </is>
      </c>
      <c r="IV89" t="inlineStr">
        <is>
          <t>IDN</t>
        </is>
      </c>
      <c r="IW89" t="inlineStr">
        <is>
          <t>IDN</t>
        </is>
      </c>
      <c r="IX89" t="inlineStr">
        <is>
          <t>IDN</t>
        </is>
      </c>
      <c r="IY89" t="inlineStr">
        <is>
          <t>IDN</t>
        </is>
      </c>
      <c r="JD89" t="inlineStr">
        <is>
          <t>MYS</t>
        </is>
      </c>
      <c r="JE89" t="inlineStr">
        <is>
          <t>MYS</t>
        </is>
      </c>
      <c r="JF89" t="inlineStr">
        <is>
          <t>MYS</t>
        </is>
      </c>
      <c r="JG89" t="inlineStr">
        <is>
          <t>MYS</t>
        </is>
      </c>
      <c r="JH89" t="inlineStr">
        <is>
          <t>MYS</t>
        </is>
      </c>
    </row>
    <row r="90">
      <c r="CB90" t="inlineStr">
        <is>
          <t>CMR</t>
        </is>
      </c>
      <c r="CC90" t="inlineStr">
        <is>
          <t>CMR</t>
        </is>
      </c>
      <c r="CD90" t="inlineStr">
        <is>
          <t>CMR</t>
        </is>
      </c>
      <c r="CE90" t="inlineStr">
        <is>
          <t>CMR</t>
        </is>
      </c>
      <c r="CF90" t="inlineStr">
        <is>
          <t>CMR</t>
        </is>
      </c>
      <c r="CG90" t="inlineStr">
        <is>
          <t>CMR</t>
        </is>
      </c>
      <c r="CH90" t="inlineStr">
        <is>
          <t>CMR</t>
        </is>
      </c>
      <c r="CI90" t="inlineStr">
        <is>
          <t>CMR</t>
        </is>
      </c>
      <c r="CJ90" t="inlineStr">
        <is>
          <t>CMR</t>
        </is>
      </c>
      <c r="CK90" t="inlineStr">
        <is>
          <t>CMR</t>
        </is>
      </c>
      <c r="CL90" t="inlineStr">
        <is>
          <t>CMR</t>
        </is>
      </c>
      <c r="CM90" t="inlineStr">
        <is>
          <t>CMR</t>
        </is>
      </c>
      <c r="CN90" t="inlineStr">
        <is>
          <t>CAF</t>
        </is>
      </c>
      <c r="CO90" t="inlineStr">
        <is>
          <t>CAF</t>
        </is>
      </c>
      <c r="CP90" t="inlineStr">
        <is>
          <t>CAF</t>
        </is>
      </c>
      <c r="CQ90" t="inlineStr">
        <is>
          <t>CAF</t>
        </is>
      </c>
      <c r="CR90" t="inlineStr">
        <is>
          <t>CAF</t>
        </is>
      </c>
      <c r="CS90" t="inlineStr">
        <is>
          <t>CAF</t>
        </is>
      </c>
      <c r="CT90" t="inlineStr">
        <is>
          <t>CAF</t>
        </is>
      </c>
      <c r="CU90" t="inlineStr">
        <is>
          <t>COD</t>
        </is>
      </c>
      <c r="CV90" t="inlineStr">
        <is>
          <t>COD</t>
        </is>
      </c>
      <c r="CW90" t="inlineStr">
        <is>
          <t>COD</t>
        </is>
      </c>
      <c r="CX90" t="inlineStr">
        <is>
          <t>COD</t>
        </is>
      </c>
      <c r="CY90" t="inlineStr">
        <is>
          <t>COD</t>
        </is>
      </c>
      <c r="CZ90" t="inlineStr">
        <is>
          <t>COD</t>
        </is>
      </c>
      <c r="DA90" t="inlineStr">
        <is>
          <t>CAF</t>
        </is>
      </c>
      <c r="DB90" t="inlineStr">
        <is>
          <t>CAF</t>
        </is>
      </c>
      <c r="DC90" t="inlineStr">
        <is>
          <t>COD</t>
        </is>
      </c>
      <c r="DD90" t="inlineStr">
        <is>
          <t>COD</t>
        </is>
      </c>
      <c r="DE90" t="inlineStr">
        <is>
          <t>COD</t>
        </is>
      </c>
      <c r="DF90" t="inlineStr">
        <is>
          <t>COD</t>
        </is>
      </c>
      <c r="DG90" t="inlineStr">
        <is>
          <t>COD</t>
        </is>
      </c>
      <c r="DH90" t="inlineStr">
        <is>
          <t>COD</t>
        </is>
      </c>
      <c r="DI90" t="inlineStr">
        <is>
          <t>COD</t>
        </is>
      </c>
      <c r="DJ90" t="inlineStr">
        <is>
          <t>COD</t>
        </is>
      </c>
      <c r="DK90" t="inlineStr">
        <is>
          <t>COD</t>
        </is>
      </c>
      <c r="DL90" t="inlineStr">
        <is>
          <t>COD</t>
        </is>
      </c>
      <c r="DM90" t="inlineStr">
        <is>
          <t>COD</t>
        </is>
      </c>
      <c r="DN90" t="inlineStr">
        <is>
          <t>COD</t>
        </is>
      </c>
      <c r="DO90" t="inlineStr">
        <is>
          <t>COD</t>
        </is>
      </c>
      <c r="DP90" t="inlineStr">
        <is>
          <t>COD</t>
        </is>
      </c>
      <c r="DQ90" t="inlineStr">
        <is>
          <t>COD</t>
        </is>
      </c>
      <c r="DR90" t="inlineStr">
        <is>
          <t>SSD</t>
        </is>
      </c>
      <c r="DS90" t="inlineStr">
        <is>
          <t>SSD</t>
        </is>
      </c>
      <c r="DT90" t="inlineStr">
        <is>
          <t>SSD</t>
        </is>
      </c>
      <c r="DU90" t="inlineStr">
        <is>
          <t>SSD</t>
        </is>
      </c>
      <c r="DV90" t="inlineStr">
        <is>
          <t>SSD</t>
        </is>
      </c>
      <c r="DW90" t="inlineStr">
        <is>
          <t>SSD</t>
        </is>
      </c>
      <c r="DX90" t="inlineStr">
        <is>
          <t>SSD</t>
        </is>
      </c>
      <c r="DY90" t="inlineStr">
        <is>
          <t>SSD</t>
        </is>
      </c>
      <c r="DZ90" t="inlineStr">
        <is>
          <t>KEN</t>
        </is>
      </c>
      <c r="EA90" t="inlineStr">
        <is>
          <t>KEN</t>
        </is>
      </c>
      <c r="EB90" t="inlineStr">
        <is>
          <t>KEN</t>
        </is>
      </c>
      <c r="EC90" t="inlineStr">
        <is>
          <t>KEN</t>
        </is>
      </c>
      <c r="ED90" t="inlineStr">
        <is>
          <t>KEN</t>
        </is>
      </c>
      <c r="EE90" t="inlineStr">
        <is>
          <t>KEN</t>
        </is>
      </c>
      <c r="EF90" t="inlineStr">
        <is>
          <t>ETH</t>
        </is>
      </c>
      <c r="EG90" t="inlineStr">
        <is>
          <t>ETH</t>
        </is>
      </c>
      <c r="EH90" t="inlineStr">
        <is>
          <t>ETH</t>
        </is>
      </c>
      <c r="EI90" t="inlineStr">
        <is>
          <t>ETH</t>
        </is>
      </c>
      <c r="EJ90" t="inlineStr">
        <is>
          <t>ETH</t>
        </is>
      </c>
      <c r="EK90" t="inlineStr">
        <is>
          <t>ETH</t>
        </is>
      </c>
      <c r="EL90" t="inlineStr">
        <is>
          <t>ETH</t>
        </is>
      </c>
      <c r="EM90" t="inlineStr">
        <is>
          <t>ETH</t>
        </is>
      </c>
      <c r="EN90" t="inlineStr">
        <is>
          <t>ETH</t>
        </is>
      </c>
      <c r="EO90" t="inlineStr">
        <is>
          <t>ETH</t>
        </is>
      </c>
      <c r="EP90" t="inlineStr">
        <is>
          <t>ETH</t>
        </is>
      </c>
      <c r="EQ90" t="inlineStr">
        <is>
          <t>SOM</t>
        </is>
      </c>
      <c r="ER90" t="inlineStr">
        <is>
          <t>SOM</t>
        </is>
      </c>
      <c r="ES90" t="inlineStr">
        <is>
          <t>SOM</t>
        </is>
      </c>
      <c r="ET90" t="inlineStr">
        <is>
          <t>SOM</t>
        </is>
      </c>
      <c r="EU90" t="inlineStr">
        <is>
          <t>SOM</t>
        </is>
      </c>
      <c r="EV90" t="inlineStr">
        <is>
          <t>SOM</t>
        </is>
      </c>
      <c r="EW90" t="inlineStr">
        <is>
          <t>SOM</t>
        </is>
      </c>
      <c r="EX90" t="inlineStr">
        <is>
          <t>SOM</t>
        </is>
      </c>
      <c r="EY90" t="inlineStr">
        <is>
          <t>SOM</t>
        </is>
      </c>
      <c r="EZ90" t="inlineStr">
        <is>
          <t>SOM</t>
        </is>
      </c>
      <c r="FA90" t="inlineStr">
        <is>
          <t>SOM</t>
        </is>
      </c>
      <c r="GY90" t="inlineStr">
        <is>
          <t>MDV</t>
        </is>
      </c>
      <c r="GZ90" t="inlineStr">
        <is>
          <t>MDV</t>
        </is>
      </c>
      <c r="IT90" t="inlineStr">
        <is>
          <t>IDN</t>
        </is>
      </c>
      <c r="IU90" t="inlineStr">
        <is>
          <t>IDN</t>
        </is>
      </c>
      <c r="IV90" t="inlineStr">
        <is>
          <t>IDN</t>
        </is>
      </c>
      <c r="IW90" t="inlineStr">
        <is>
          <t>IDN</t>
        </is>
      </c>
      <c r="IX90" t="inlineStr">
        <is>
          <t>IDN</t>
        </is>
      </c>
      <c r="JC90" t="inlineStr">
        <is>
          <t>MYS</t>
        </is>
      </c>
      <c r="JD90" t="inlineStr">
        <is>
          <t>MYS</t>
        </is>
      </c>
      <c r="JE90" t="inlineStr">
        <is>
          <t>MYS</t>
        </is>
      </c>
      <c r="JF90" t="inlineStr">
        <is>
          <t>MYS</t>
        </is>
      </c>
      <c r="JG90" t="inlineStr">
        <is>
          <t>MYS</t>
        </is>
      </c>
      <c r="JH90" t="inlineStr">
        <is>
          <t>MYS</t>
        </is>
      </c>
    </row>
    <row r="91">
      <c r="AR91" t="inlineStr">
        <is>
          <t>LBR</t>
        </is>
      </c>
      <c r="AS91" t="inlineStr">
        <is>
          <t>LBR</t>
        </is>
      </c>
      <c r="AT91" t="inlineStr">
        <is>
          <t>LBR</t>
        </is>
      </c>
      <c r="AU91" t="inlineStr">
        <is>
          <t>CIV</t>
        </is>
      </c>
      <c r="AV91" t="inlineStr">
        <is>
          <t>CIV</t>
        </is>
      </c>
      <c r="BU91" t="inlineStr">
        <is>
          <t>NGA</t>
        </is>
      </c>
      <c r="BV91" t="inlineStr">
        <is>
          <t>NGA</t>
        </is>
      </c>
      <c r="BW91" t="inlineStr">
        <is>
          <t>NGA</t>
        </is>
      </c>
      <c r="BX91" t="inlineStr">
        <is>
          <t>NGA</t>
        </is>
      </c>
      <c r="BY91" t="inlineStr">
        <is>
          <t>NGA</t>
        </is>
      </c>
      <c r="BZ91" t="inlineStr">
        <is>
          <t>NGA</t>
        </is>
      </c>
      <c r="CA91" t="inlineStr">
        <is>
          <t>CMR</t>
        </is>
      </c>
      <c r="CB91" t="inlineStr">
        <is>
          <t>CMR</t>
        </is>
      </c>
      <c r="CC91" t="inlineStr">
        <is>
          <t>CMR</t>
        </is>
      </c>
      <c r="CD91" t="inlineStr">
        <is>
          <t>CMR</t>
        </is>
      </c>
      <c r="CE91" t="inlineStr">
        <is>
          <t>CMR</t>
        </is>
      </c>
      <c r="CF91" t="inlineStr">
        <is>
          <t>CMR</t>
        </is>
      </c>
      <c r="CG91" t="inlineStr">
        <is>
          <t>CMR</t>
        </is>
      </c>
      <c r="CH91" t="inlineStr">
        <is>
          <t>CMR</t>
        </is>
      </c>
      <c r="CI91" t="inlineStr">
        <is>
          <t>CMR</t>
        </is>
      </c>
      <c r="CJ91" t="inlineStr">
        <is>
          <t>CMR</t>
        </is>
      </c>
      <c r="CK91" t="inlineStr">
        <is>
          <t>CMR</t>
        </is>
      </c>
      <c r="CL91" t="inlineStr">
        <is>
          <t>CMR</t>
        </is>
      </c>
      <c r="CM91" t="inlineStr">
        <is>
          <t>CAF</t>
        </is>
      </c>
      <c r="CN91" t="inlineStr">
        <is>
          <t>CAF</t>
        </is>
      </c>
      <c r="CO91" t="inlineStr">
        <is>
          <t>CAF</t>
        </is>
      </c>
      <c r="CP91" t="inlineStr">
        <is>
          <t>CAF</t>
        </is>
      </c>
      <c r="CQ91" t="inlineStr">
        <is>
          <t>CAF</t>
        </is>
      </c>
      <c r="CR91" t="inlineStr">
        <is>
          <t>CAF</t>
        </is>
      </c>
      <c r="CS91" t="inlineStr">
        <is>
          <t>CAF</t>
        </is>
      </c>
      <c r="CT91" t="inlineStr">
        <is>
          <t>CAF</t>
        </is>
      </c>
      <c r="CU91" t="inlineStr">
        <is>
          <t>CAF</t>
        </is>
      </c>
      <c r="CV91" t="inlineStr">
        <is>
          <t>COD</t>
        </is>
      </c>
      <c r="CW91" t="inlineStr">
        <is>
          <t>COD</t>
        </is>
      </c>
      <c r="CX91" t="inlineStr">
        <is>
          <t>CAF</t>
        </is>
      </c>
      <c r="CY91" t="inlineStr">
        <is>
          <t>CAF</t>
        </is>
      </c>
      <c r="CZ91" t="inlineStr">
        <is>
          <t>CAF</t>
        </is>
      </c>
      <c r="DA91" t="inlineStr">
        <is>
          <t>CAF</t>
        </is>
      </c>
      <c r="DB91" t="inlineStr">
        <is>
          <t>CAF</t>
        </is>
      </c>
      <c r="DC91" t="inlineStr">
        <is>
          <t>CAF</t>
        </is>
      </c>
      <c r="DD91" t="inlineStr">
        <is>
          <t>CAF</t>
        </is>
      </c>
      <c r="DE91" t="inlineStr">
        <is>
          <t>COD</t>
        </is>
      </c>
      <c r="DF91" t="inlineStr">
        <is>
          <t>COD</t>
        </is>
      </c>
      <c r="DG91" t="inlineStr">
        <is>
          <t>COD</t>
        </is>
      </c>
      <c r="DH91" t="inlineStr">
        <is>
          <t>COD</t>
        </is>
      </c>
      <c r="DI91" t="inlineStr">
        <is>
          <t>COD</t>
        </is>
      </c>
      <c r="DJ91" t="inlineStr">
        <is>
          <t>COD</t>
        </is>
      </c>
      <c r="DK91" t="inlineStr">
        <is>
          <t>COD</t>
        </is>
      </c>
      <c r="DL91" t="inlineStr">
        <is>
          <t>COD</t>
        </is>
      </c>
      <c r="DM91" t="inlineStr">
        <is>
          <t>SSD</t>
        </is>
      </c>
      <c r="DN91" t="inlineStr">
        <is>
          <t>SSD</t>
        </is>
      </c>
      <c r="DO91" t="inlineStr">
        <is>
          <t>SSD</t>
        </is>
      </c>
      <c r="DP91" t="inlineStr">
        <is>
          <t>SSD</t>
        </is>
      </c>
      <c r="DQ91" t="inlineStr">
        <is>
          <t>SSD</t>
        </is>
      </c>
      <c r="DR91" t="inlineStr">
        <is>
          <t>SSD</t>
        </is>
      </c>
      <c r="DS91" t="inlineStr">
        <is>
          <t>SSD</t>
        </is>
      </c>
      <c r="DT91" t="inlineStr">
        <is>
          <t>SSD</t>
        </is>
      </c>
      <c r="DU91" t="inlineStr">
        <is>
          <t>SSD</t>
        </is>
      </c>
      <c r="DV91" t="inlineStr">
        <is>
          <t>SSD</t>
        </is>
      </c>
      <c r="DW91" t="inlineStr">
        <is>
          <t>SSD</t>
        </is>
      </c>
      <c r="DX91" t="inlineStr">
        <is>
          <t>SSD</t>
        </is>
      </c>
      <c r="DY91" t="inlineStr">
        <is>
          <t>SSD</t>
        </is>
      </c>
      <c r="DZ91" t="inlineStr">
        <is>
          <t>SSD</t>
        </is>
      </c>
      <c r="EA91" t="inlineStr">
        <is>
          <t>KEN</t>
        </is>
      </c>
      <c r="EB91" t="inlineStr">
        <is>
          <t>KEN</t>
        </is>
      </c>
      <c r="EC91" t="inlineStr">
        <is>
          <t>KEN</t>
        </is>
      </c>
      <c r="ED91" t="inlineStr">
        <is>
          <t>ETH</t>
        </is>
      </c>
      <c r="EE91" t="inlineStr">
        <is>
          <t>ETH</t>
        </is>
      </c>
      <c r="EF91" t="inlineStr">
        <is>
          <t>ETH</t>
        </is>
      </c>
      <c r="EG91" t="inlineStr">
        <is>
          <t>ETH</t>
        </is>
      </c>
      <c r="EH91" t="inlineStr">
        <is>
          <t>ETH</t>
        </is>
      </c>
      <c r="EI91" t="inlineStr">
        <is>
          <t>ETH</t>
        </is>
      </c>
      <c r="EJ91" t="inlineStr">
        <is>
          <t>ETH</t>
        </is>
      </c>
      <c r="EK91" t="inlineStr">
        <is>
          <t>ETH</t>
        </is>
      </c>
      <c r="EL91" t="inlineStr">
        <is>
          <t>ETH</t>
        </is>
      </c>
      <c r="EM91" t="inlineStr">
        <is>
          <t>ETH</t>
        </is>
      </c>
      <c r="EN91" t="inlineStr">
        <is>
          <t>ETH</t>
        </is>
      </c>
      <c r="EO91" t="inlineStr">
        <is>
          <t>ETH</t>
        </is>
      </c>
      <c r="EP91" t="inlineStr">
        <is>
          <t>ETH</t>
        </is>
      </c>
      <c r="EQ91" t="inlineStr">
        <is>
          <t>ETH</t>
        </is>
      </c>
      <c r="ER91" t="inlineStr">
        <is>
          <t>ETH</t>
        </is>
      </c>
      <c r="ES91" t="inlineStr">
        <is>
          <t>SOM</t>
        </is>
      </c>
      <c r="ET91" t="inlineStr">
        <is>
          <t>SOM</t>
        </is>
      </c>
      <c r="EU91" t="inlineStr">
        <is>
          <t>SOM</t>
        </is>
      </c>
      <c r="EV91" t="inlineStr">
        <is>
          <t>SOM</t>
        </is>
      </c>
      <c r="EW91" t="inlineStr">
        <is>
          <t>SOM</t>
        </is>
      </c>
      <c r="EX91" t="inlineStr">
        <is>
          <t>SOM</t>
        </is>
      </c>
      <c r="EY91" t="inlineStr">
        <is>
          <t>SOM</t>
        </is>
      </c>
      <c r="EZ91" t="inlineStr">
        <is>
          <t>SOM</t>
        </is>
      </c>
      <c r="FA91" t="inlineStr">
        <is>
          <t>SOM</t>
        </is>
      </c>
      <c r="GY91" t="inlineStr">
        <is>
          <t>MDV</t>
        </is>
      </c>
      <c r="GZ91" t="inlineStr">
        <is>
          <t>MDV</t>
        </is>
      </c>
      <c r="IS91" t="inlineStr">
        <is>
          <t>IDN</t>
        </is>
      </c>
      <c r="IT91" t="inlineStr">
        <is>
          <t>IDN</t>
        </is>
      </c>
      <c r="IU91" t="inlineStr">
        <is>
          <t>IDN</t>
        </is>
      </c>
      <c r="IV91" t="inlineStr">
        <is>
          <t>IDN</t>
        </is>
      </c>
      <c r="IW91" t="inlineStr">
        <is>
          <t>IDN</t>
        </is>
      </c>
      <c r="JC91" t="inlineStr">
        <is>
          <t>MYS</t>
        </is>
      </c>
      <c r="JD91" t="inlineStr">
        <is>
          <t>MYS</t>
        </is>
      </c>
      <c r="JE91" t="inlineStr">
        <is>
          <t>MYS</t>
        </is>
      </c>
      <c r="JF91" t="inlineStr">
        <is>
          <t>MYS</t>
        </is>
      </c>
      <c r="JG91" t="inlineStr">
        <is>
          <t>MYS</t>
        </is>
      </c>
      <c r="JH91" t="inlineStr">
        <is>
          <t>MYS</t>
        </is>
      </c>
    </row>
    <row r="92">
      <c r="AQ92" t="inlineStr">
        <is>
          <t>LBR</t>
        </is>
      </c>
      <c r="AR92" t="inlineStr">
        <is>
          <t>LBR</t>
        </is>
      </c>
      <c r="AS92" t="inlineStr">
        <is>
          <t>LBR</t>
        </is>
      </c>
      <c r="AT92" t="inlineStr">
        <is>
          <t>LBR</t>
        </is>
      </c>
      <c r="AU92" t="inlineStr">
        <is>
          <t>CIV</t>
        </is>
      </c>
      <c r="AV92" t="inlineStr">
        <is>
          <t>CIV</t>
        </is>
      </c>
      <c r="AW92" t="inlineStr">
        <is>
          <t>CIV</t>
        </is>
      </c>
      <c r="AX92" t="inlineStr">
        <is>
          <t>CIV</t>
        </is>
      </c>
      <c r="AY92" t="inlineStr">
        <is>
          <t>CIV</t>
        </is>
      </c>
      <c r="AZ92" t="inlineStr">
        <is>
          <t>CIV</t>
        </is>
      </c>
      <c r="BA92" t="inlineStr">
        <is>
          <t>CIV</t>
        </is>
      </c>
      <c r="BB92" t="inlineStr">
        <is>
          <t>CIV</t>
        </is>
      </c>
      <c r="BC92" t="inlineStr">
        <is>
          <t>CIV</t>
        </is>
      </c>
      <c r="BD92" t="inlineStr">
        <is>
          <t>GHA</t>
        </is>
      </c>
      <c r="BE92" t="inlineStr">
        <is>
          <t>GHA</t>
        </is>
      </c>
      <c r="BF92" t="inlineStr">
        <is>
          <t>GHA</t>
        </is>
      </c>
      <c r="BG92" t="inlineStr">
        <is>
          <t>GHA</t>
        </is>
      </c>
      <c r="BH92" t="inlineStr">
        <is>
          <t>GHA</t>
        </is>
      </c>
      <c r="BT92" t="inlineStr">
        <is>
          <t>NGA</t>
        </is>
      </c>
      <c r="BU92" t="inlineStr">
        <is>
          <t>NGA</t>
        </is>
      </c>
      <c r="BV92" t="inlineStr">
        <is>
          <t>NGA</t>
        </is>
      </c>
      <c r="BW92" t="inlineStr">
        <is>
          <t>NGA</t>
        </is>
      </c>
      <c r="BX92" t="inlineStr">
        <is>
          <t>NGA</t>
        </is>
      </c>
      <c r="BY92" t="inlineStr">
        <is>
          <t>NGA</t>
        </is>
      </c>
      <c r="BZ92" t="inlineStr">
        <is>
          <t>NGA</t>
        </is>
      </c>
      <c r="CA92" t="inlineStr">
        <is>
          <t>CMR</t>
        </is>
      </c>
      <c r="CB92" t="inlineStr">
        <is>
          <t>CMR</t>
        </is>
      </c>
      <c r="CC92" t="inlineStr">
        <is>
          <t>CMR</t>
        </is>
      </c>
      <c r="CD92" t="inlineStr">
        <is>
          <t>CMR</t>
        </is>
      </c>
      <c r="CE92" t="inlineStr">
        <is>
          <t>CMR</t>
        </is>
      </c>
      <c r="CF92" t="inlineStr">
        <is>
          <t>CMR</t>
        </is>
      </c>
      <c r="CG92" t="inlineStr">
        <is>
          <t>CMR</t>
        </is>
      </c>
      <c r="CH92" t="inlineStr">
        <is>
          <t>CMR</t>
        </is>
      </c>
      <c r="CI92" t="inlineStr">
        <is>
          <t>CMR</t>
        </is>
      </c>
      <c r="CJ92" t="inlineStr">
        <is>
          <t>CMR</t>
        </is>
      </c>
      <c r="CK92" t="inlineStr">
        <is>
          <t>CMR</t>
        </is>
      </c>
      <c r="CL92" t="inlineStr">
        <is>
          <t>CMR</t>
        </is>
      </c>
      <c r="CM92" t="inlineStr">
        <is>
          <t>CAF</t>
        </is>
      </c>
      <c r="CN92" t="inlineStr">
        <is>
          <t>CAF</t>
        </is>
      </c>
      <c r="CO92" t="inlineStr">
        <is>
          <t>CAF</t>
        </is>
      </c>
      <c r="CP92" t="inlineStr">
        <is>
          <t>CAF</t>
        </is>
      </c>
      <c r="CQ92" t="inlineStr">
        <is>
          <t>CAF</t>
        </is>
      </c>
      <c r="CR92" t="inlineStr">
        <is>
          <t>CAF</t>
        </is>
      </c>
      <c r="CS92" t="inlineStr">
        <is>
          <t>CAF</t>
        </is>
      </c>
      <c r="CT92" t="inlineStr">
        <is>
          <t>CAF</t>
        </is>
      </c>
      <c r="CU92" t="inlineStr">
        <is>
          <t>CAF</t>
        </is>
      </c>
      <c r="CV92" t="inlineStr">
        <is>
          <t>CAF</t>
        </is>
      </c>
      <c r="CW92" t="inlineStr">
        <is>
          <t>CAF</t>
        </is>
      </c>
      <c r="CX92" t="inlineStr">
        <is>
          <t>CAF</t>
        </is>
      </c>
      <c r="CY92" t="inlineStr">
        <is>
          <t>CAF</t>
        </is>
      </c>
      <c r="CZ92" t="inlineStr">
        <is>
          <t>CAF</t>
        </is>
      </c>
      <c r="DA92" t="inlineStr">
        <is>
          <t>CAF</t>
        </is>
      </c>
      <c r="DB92" t="inlineStr">
        <is>
          <t>CAF</t>
        </is>
      </c>
      <c r="DC92" t="inlineStr">
        <is>
          <t>CAF</t>
        </is>
      </c>
      <c r="DD92" t="inlineStr">
        <is>
          <t>CAF</t>
        </is>
      </c>
      <c r="DE92" t="inlineStr">
        <is>
          <t>CAF</t>
        </is>
      </c>
      <c r="DF92" t="inlineStr">
        <is>
          <t>CAF</t>
        </is>
      </c>
      <c r="DG92" t="inlineStr">
        <is>
          <t>CAF</t>
        </is>
      </c>
      <c r="DH92" t="inlineStr">
        <is>
          <t>CAF</t>
        </is>
      </c>
      <c r="DI92" t="inlineStr">
        <is>
          <t>CAF</t>
        </is>
      </c>
      <c r="DJ92" t="inlineStr">
        <is>
          <t>CAF</t>
        </is>
      </c>
      <c r="DK92" t="inlineStr">
        <is>
          <t>CAF</t>
        </is>
      </c>
      <c r="DL92" t="inlineStr">
        <is>
          <t>CAF</t>
        </is>
      </c>
      <c r="DM92" t="inlineStr">
        <is>
          <t>SSD</t>
        </is>
      </c>
      <c r="DN92" t="inlineStr">
        <is>
          <t>SSD</t>
        </is>
      </c>
      <c r="DO92" t="inlineStr">
        <is>
          <t>SSD</t>
        </is>
      </c>
      <c r="DP92" t="inlineStr">
        <is>
          <t>SSD</t>
        </is>
      </c>
      <c r="DQ92" t="inlineStr">
        <is>
          <t>SSD</t>
        </is>
      </c>
      <c r="DR92" t="inlineStr">
        <is>
          <t>SSD</t>
        </is>
      </c>
      <c r="DS92" t="inlineStr">
        <is>
          <t>SSD</t>
        </is>
      </c>
      <c r="DT92" t="inlineStr">
        <is>
          <t>SSD</t>
        </is>
      </c>
      <c r="DU92" t="inlineStr">
        <is>
          <t>SSD</t>
        </is>
      </c>
      <c r="DV92" t="inlineStr">
        <is>
          <t>SSD</t>
        </is>
      </c>
      <c r="DW92" t="inlineStr">
        <is>
          <t>SSD</t>
        </is>
      </c>
      <c r="DX92" t="inlineStr">
        <is>
          <t>SSD</t>
        </is>
      </c>
      <c r="DY92" t="inlineStr">
        <is>
          <t>SSD</t>
        </is>
      </c>
      <c r="DZ92" t="inlineStr">
        <is>
          <t>SSD</t>
        </is>
      </c>
      <c r="EA92" t="inlineStr">
        <is>
          <t>SSD</t>
        </is>
      </c>
      <c r="EB92" t="inlineStr">
        <is>
          <t>KEN</t>
        </is>
      </c>
      <c r="EC92" t="inlineStr">
        <is>
          <t>KEN</t>
        </is>
      </c>
      <c r="ED92" t="inlineStr">
        <is>
          <t>ETH</t>
        </is>
      </c>
      <c r="EE92" t="inlineStr">
        <is>
          <t>ETH</t>
        </is>
      </c>
      <c r="EF92" t="inlineStr">
        <is>
          <t>ETH</t>
        </is>
      </c>
      <c r="EG92" t="inlineStr">
        <is>
          <t>ETH</t>
        </is>
      </c>
      <c r="EH92" t="inlineStr">
        <is>
          <t>ETH</t>
        </is>
      </c>
      <c r="EI92" t="inlineStr">
        <is>
          <t>ETH</t>
        </is>
      </c>
      <c r="EJ92" t="inlineStr">
        <is>
          <t>ETH</t>
        </is>
      </c>
      <c r="EK92" t="inlineStr">
        <is>
          <t>ETH</t>
        </is>
      </c>
      <c r="EL92" t="inlineStr">
        <is>
          <t>ETH</t>
        </is>
      </c>
      <c r="EM92" t="inlineStr">
        <is>
          <t>ETH</t>
        </is>
      </c>
      <c r="EN92" t="inlineStr">
        <is>
          <t>ETH</t>
        </is>
      </c>
      <c r="EO92" t="inlineStr">
        <is>
          <t>ETH</t>
        </is>
      </c>
      <c r="EP92" t="inlineStr">
        <is>
          <t>ETH</t>
        </is>
      </c>
      <c r="EQ92" t="inlineStr">
        <is>
          <t>ETH</t>
        </is>
      </c>
      <c r="ER92" t="inlineStr">
        <is>
          <t>ETH</t>
        </is>
      </c>
      <c r="ES92" t="inlineStr">
        <is>
          <t>ETH</t>
        </is>
      </c>
      <c r="ET92" t="inlineStr">
        <is>
          <t>ETH</t>
        </is>
      </c>
      <c r="EU92" t="inlineStr">
        <is>
          <t>ETH</t>
        </is>
      </c>
      <c r="EV92" t="inlineStr">
        <is>
          <t>SOM</t>
        </is>
      </c>
      <c r="EW92" t="inlineStr">
        <is>
          <t>SOM</t>
        </is>
      </c>
      <c r="EX92" t="inlineStr">
        <is>
          <t>SOM</t>
        </is>
      </c>
      <c r="EY92" t="inlineStr">
        <is>
          <t>SOM</t>
        </is>
      </c>
      <c r="EZ92" t="inlineStr">
        <is>
          <t>SOM</t>
        </is>
      </c>
      <c r="FA92" t="inlineStr">
        <is>
          <t>SOM</t>
        </is>
      </c>
      <c r="FB92" t="inlineStr">
        <is>
          <t>SOM</t>
        </is>
      </c>
      <c r="GY92" t="inlineStr">
        <is>
          <t>MDV</t>
        </is>
      </c>
      <c r="GZ92" t="inlineStr">
        <is>
          <t>MDV</t>
        </is>
      </c>
      <c r="IS92" t="inlineStr">
        <is>
          <t>IDN</t>
        </is>
      </c>
      <c r="IT92" t="inlineStr">
        <is>
          <t>IDN</t>
        </is>
      </c>
      <c r="IU92" t="inlineStr">
        <is>
          <t>IDN</t>
        </is>
      </c>
      <c r="IV92" t="inlineStr">
        <is>
          <t>IDN</t>
        </is>
      </c>
      <c r="JB92" t="inlineStr">
        <is>
          <t>MYS</t>
        </is>
      </c>
      <c r="JC92" t="inlineStr">
        <is>
          <t>MYS</t>
        </is>
      </c>
      <c r="JD92" t="inlineStr">
        <is>
          <t>MYS</t>
        </is>
      </c>
      <c r="JE92" t="inlineStr">
        <is>
          <t>MYS</t>
        </is>
      </c>
      <c r="JF92" t="inlineStr">
        <is>
          <t>MYS</t>
        </is>
      </c>
      <c r="JG92" t="inlineStr">
        <is>
          <t>MYS</t>
        </is>
      </c>
    </row>
    <row r="93">
      <c r="AP93" t="inlineStr">
        <is>
          <t>LBR</t>
        </is>
      </c>
      <c r="AQ93" t="inlineStr">
        <is>
          <t>LBR</t>
        </is>
      </c>
      <c r="AR93" t="inlineStr">
        <is>
          <t>LBR</t>
        </is>
      </c>
      <c r="AS93" t="inlineStr">
        <is>
          <t>LBR</t>
        </is>
      </c>
      <c r="AT93" t="inlineStr">
        <is>
          <t>LBR</t>
        </is>
      </c>
      <c r="AU93" t="inlineStr">
        <is>
          <t>CIV</t>
        </is>
      </c>
      <c r="AV93" t="inlineStr">
        <is>
          <t>CIV</t>
        </is>
      </c>
      <c r="AW93" t="inlineStr">
        <is>
          <t>CIV</t>
        </is>
      </c>
      <c r="AX93" t="inlineStr">
        <is>
          <t>CIV</t>
        </is>
      </c>
      <c r="AY93" t="inlineStr">
        <is>
          <t>CIV</t>
        </is>
      </c>
      <c r="AZ93" t="inlineStr">
        <is>
          <t>CIV</t>
        </is>
      </c>
      <c r="BA93" t="inlineStr">
        <is>
          <t>CIV</t>
        </is>
      </c>
      <c r="BB93" t="inlineStr">
        <is>
          <t>CIV</t>
        </is>
      </c>
      <c r="BC93" t="inlineStr">
        <is>
          <t>CIV</t>
        </is>
      </c>
      <c r="BD93" t="inlineStr">
        <is>
          <t>GHA</t>
        </is>
      </c>
      <c r="BE93" t="inlineStr">
        <is>
          <t>GHA</t>
        </is>
      </c>
      <c r="BF93" t="inlineStr">
        <is>
          <t>GHA</t>
        </is>
      </c>
      <c r="BG93" t="inlineStr">
        <is>
          <t>GHA</t>
        </is>
      </c>
      <c r="BH93" t="inlineStr">
        <is>
          <t>GHA</t>
        </is>
      </c>
      <c r="BI93" t="inlineStr">
        <is>
          <t>GHA</t>
        </is>
      </c>
      <c r="BJ93" t="inlineStr">
        <is>
          <t>GHA</t>
        </is>
      </c>
      <c r="BT93" t="inlineStr">
        <is>
          <t>NGA</t>
        </is>
      </c>
      <c r="BU93" t="inlineStr">
        <is>
          <t>NGA</t>
        </is>
      </c>
      <c r="BV93" t="inlineStr">
        <is>
          <t>NGA</t>
        </is>
      </c>
      <c r="BW93" t="inlineStr">
        <is>
          <t>NGA</t>
        </is>
      </c>
      <c r="BX93" t="inlineStr">
        <is>
          <t>NGA</t>
        </is>
      </c>
      <c r="BY93" t="inlineStr">
        <is>
          <t>NGA</t>
        </is>
      </c>
      <c r="BZ93" t="inlineStr">
        <is>
          <t>NGA</t>
        </is>
      </c>
      <c r="CA93" t="inlineStr">
        <is>
          <t>NGA</t>
        </is>
      </c>
      <c r="CB93" t="inlineStr">
        <is>
          <t>CMR</t>
        </is>
      </c>
      <c r="CC93" t="inlineStr">
        <is>
          <t>CMR</t>
        </is>
      </c>
      <c r="CD93" t="inlineStr">
        <is>
          <t>CMR</t>
        </is>
      </c>
      <c r="CE93" t="inlineStr">
        <is>
          <t>CMR</t>
        </is>
      </c>
      <c r="CF93" t="inlineStr">
        <is>
          <t>CMR</t>
        </is>
      </c>
      <c r="CG93" t="inlineStr">
        <is>
          <t>CMR</t>
        </is>
      </c>
      <c r="CH93" t="inlineStr">
        <is>
          <t>CMR</t>
        </is>
      </c>
      <c r="CI93" t="inlineStr">
        <is>
          <t>CMR</t>
        </is>
      </c>
      <c r="CJ93" t="inlineStr">
        <is>
          <t>CMR</t>
        </is>
      </c>
      <c r="CK93" t="inlineStr">
        <is>
          <t>CMR</t>
        </is>
      </c>
      <c r="CL93" t="inlineStr">
        <is>
          <t>CMR</t>
        </is>
      </c>
      <c r="CM93" t="inlineStr">
        <is>
          <t>CAF</t>
        </is>
      </c>
      <c r="CN93" t="inlineStr">
        <is>
          <t>CAF</t>
        </is>
      </c>
      <c r="CO93" t="inlineStr">
        <is>
          <t>CAF</t>
        </is>
      </c>
      <c r="CP93" t="inlineStr">
        <is>
          <t>CAF</t>
        </is>
      </c>
      <c r="CQ93" t="inlineStr">
        <is>
          <t>CAF</t>
        </is>
      </c>
      <c r="CR93" t="inlineStr">
        <is>
          <t>CAF</t>
        </is>
      </c>
      <c r="CS93" t="inlineStr">
        <is>
          <t>CAF</t>
        </is>
      </c>
      <c r="CT93" t="inlineStr">
        <is>
          <t>CAF</t>
        </is>
      </c>
      <c r="CU93" t="inlineStr">
        <is>
          <t>CAF</t>
        </is>
      </c>
      <c r="CV93" t="inlineStr">
        <is>
          <t>CAF</t>
        </is>
      </c>
      <c r="CW93" t="inlineStr">
        <is>
          <t>CAF</t>
        </is>
      </c>
      <c r="CX93" t="inlineStr">
        <is>
          <t>CAF</t>
        </is>
      </c>
      <c r="CY93" t="inlineStr">
        <is>
          <t>CAF</t>
        </is>
      </c>
      <c r="CZ93" t="inlineStr">
        <is>
          <t>CAF</t>
        </is>
      </c>
      <c r="DA93" t="inlineStr">
        <is>
          <t>CAF</t>
        </is>
      </c>
      <c r="DB93" t="inlineStr">
        <is>
          <t>CAF</t>
        </is>
      </c>
      <c r="DC93" t="inlineStr">
        <is>
          <t>CAF</t>
        </is>
      </c>
      <c r="DD93" t="inlineStr">
        <is>
          <t>CAF</t>
        </is>
      </c>
      <c r="DE93" t="inlineStr">
        <is>
          <t>CAF</t>
        </is>
      </c>
      <c r="DF93" t="inlineStr">
        <is>
          <t>CAF</t>
        </is>
      </c>
      <c r="DG93" t="inlineStr">
        <is>
          <t>CAF</t>
        </is>
      </c>
      <c r="DH93" t="inlineStr">
        <is>
          <t>CAF</t>
        </is>
      </c>
      <c r="DI93" t="inlineStr">
        <is>
          <t>CAF</t>
        </is>
      </c>
      <c r="DJ93" t="inlineStr">
        <is>
          <t>CAF</t>
        </is>
      </c>
      <c r="DK93" t="inlineStr">
        <is>
          <t>CAF</t>
        </is>
      </c>
      <c r="DL93" t="inlineStr">
        <is>
          <t>SSD</t>
        </is>
      </c>
      <c r="DM93" t="inlineStr">
        <is>
          <t>SSD</t>
        </is>
      </c>
      <c r="DN93" t="inlineStr">
        <is>
          <t>SSD</t>
        </is>
      </c>
      <c r="DO93" t="inlineStr">
        <is>
          <t>SSD</t>
        </is>
      </c>
      <c r="DP93" t="inlineStr">
        <is>
          <t>SSD</t>
        </is>
      </c>
      <c r="DQ93" t="inlineStr">
        <is>
          <t>SSD</t>
        </is>
      </c>
      <c r="DR93" t="inlineStr">
        <is>
          <t>SSD</t>
        </is>
      </c>
      <c r="DS93" t="inlineStr">
        <is>
          <t>SSD</t>
        </is>
      </c>
      <c r="DT93" t="inlineStr">
        <is>
          <t>SSD</t>
        </is>
      </c>
      <c r="DU93" t="inlineStr">
        <is>
          <t>SSD</t>
        </is>
      </c>
      <c r="DV93" t="inlineStr">
        <is>
          <t>SSD</t>
        </is>
      </c>
      <c r="DW93" t="inlineStr">
        <is>
          <t>SSD</t>
        </is>
      </c>
      <c r="DX93" t="inlineStr">
        <is>
          <t>SSD</t>
        </is>
      </c>
      <c r="DY93" t="inlineStr">
        <is>
          <t>SSD</t>
        </is>
      </c>
      <c r="DZ93" t="inlineStr">
        <is>
          <t>SSD</t>
        </is>
      </c>
      <c r="EA93" t="inlineStr">
        <is>
          <t>SSD</t>
        </is>
      </c>
      <c r="EB93" t="inlineStr">
        <is>
          <t>ETH</t>
        </is>
      </c>
      <c r="EC93" t="inlineStr">
        <is>
          <t>ETH</t>
        </is>
      </c>
      <c r="ED93" t="inlineStr">
        <is>
          <t>ETH</t>
        </is>
      </c>
      <c r="EE93" t="inlineStr">
        <is>
          <t>ETH</t>
        </is>
      </c>
      <c r="EF93" t="inlineStr">
        <is>
          <t>ETH</t>
        </is>
      </c>
      <c r="EG93" t="inlineStr">
        <is>
          <t>ETH</t>
        </is>
      </c>
      <c r="EH93" t="inlineStr">
        <is>
          <t>ETH</t>
        </is>
      </c>
      <c r="EI93" t="inlineStr">
        <is>
          <t>ETH</t>
        </is>
      </c>
      <c r="EJ93" t="inlineStr">
        <is>
          <t>ETH</t>
        </is>
      </c>
      <c r="EK93" t="inlineStr">
        <is>
          <t>ETH</t>
        </is>
      </c>
      <c r="EL93" t="inlineStr">
        <is>
          <t>ETH</t>
        </is>
      </c>
      <c r="EM93" t="inlineStr">
        <is>
          <t>ETH</t>
        </is>
      </c>
      <c r="EN93" t="inlineStr">
        <is>
          <t>ETH</t>
        </is>
      </c>
      <c r="EO93" t="inlineStr">
        <is>
          <t>ETH</t>
        </is>
      </c>
      <c r="EP93" t="inlineStr">
        <is>
          <t>ETH</t>
        </is>
      </c>
      <c r="EQ93" t="inlineStr">
        <is>
          <t>ETH</t>
        </is>
      </c>
      <c r="ER93" t="inlineStr">
        <is>
          <t>ETH</t>
        </is>
      </c>
      <c r="ES93" t="inlineStr">
        <is>
          <t>ETH</t>
        </is>
      </c>
      <c r="ET93" t="inlineStr">
        <is>
          <t>ETH</t>
        </is>
      </c>
      <c r="EU93" t="inlineStr">
        <is>
          <t>ETH</t>
        </is>
      </c>
      <c r="EV93" t="inlineStr">
        <is>
          <t>ETH</t>
        </is>
      </c>
      <c r="EW93" t="inlineStr">
        <is>
          <t>SOM</t>
        </is>
      </c>
      <c r="EX93" t="inlineStr">
        <is>
          <t>SOM</t>
        </is>
      </c>
      <c r="EY93" t="inlineStr">
        <is>
          <t>SOM</t>
        </is>
      </c>
      <c r="EZ93" t="inlineStr">
        <is>
          <t>SOM</t>
        </is>
      </c>
      <c r="FA93" t="inlineStr">
        <is>
          <t>SOM</t>
        </is>
      </c>
      <c r="FB93" t="inlineStr">
        <is>
          <t>SOM</t>
        </is>
      </c>
      <c r="FC93" t="inlineStr">
        <is>
          <t>SOM</t>
        </is>
      </c>
      <c r="GY93" t="inlineStr">
        <is>
          <t>MDV</t>
        </is>
      </c>
      <c r="GZ93" t="inlineStr">
        <is>
          <t>MDV</t>
        </is>
      </c>
      <c r="JC93" t="inlineStr">
        <is>
          <t>MYS</t>
        </is>
      </c>
      <c r="JD93" t="inlineStr">
        <is>
          <t>THA</t>
        </is>
      </c>
      <c r="JE93" t="inlineStr">
        <is>
          <t>MYS</t>
        </is>
      </c>
      <c r="JF93" t="inlineStr">
        <is>
          <t>MYS</t>
        </is>
      </c>
    </row>
    <row r="94">
      <c r="AN94" t="inlineStr">
        <is>
          <t>LBR</t>
        </is>
      </c>
      <c r="AO94" t="inlineStr">
        <is>
          <t>LBR</t>
        </is>
      </c>
      <c r="AP94" t="inlineStr">
        <is>
          <t>LBR</t>
        </is>
      </c>
      <c r="AQ94" t="inlineStr">
        <is>
          <t>LBR</t>
        </is>
      </c>
      <c r="AR94" t="inlineStr">
        <is>
          <t>LBR</t>
        </is>
      </c>
      <c r="AS94" t="inlineStr">
        <is>
          <t>CIV</t>
        </is>
      </c>
      <c r="AT94" t="inlineStr">
        <is>
          <t>CIV</t>
        </is>
      </c>
      <c r="AU94" t="inlineStr">
        <is>
          <t>CIV</t>
        </is>
      </c>
      <c r="AV94" t="inlineStr">
        <is>
          <t>CIV</t>
        </is>
      </c>
      <c r="AW94" t="inlineStr">
        <is>
          <t>CIV</t>
        </is>
      </c>
      <c r="AX94" t="inlineStr">
        <is>
          <t>CIV</t>
        </is>
      </c>
      <c r="AY94" t="inlineStr">
        <is>
          <t>CIV</t>
        </is>
      </c>
      <c r="AZ94" t="inlineStr">
        <is>
          <t>CIV</t>
        </is>
      </c>
      <c r="BA94" t="inlineStr">
        <is>
          <t>CIV</t>
        </is>
      </c>
      <c r="BB94" t="inlineStr">
        <is>
          <t>CIV</t>
        </is>
      </c>
      <c r="BC94" t="inlineStr">
        <is>
          <t>CIV</t>
        </is>
      </c>
      <c r="BD94" t="inlineStr">
        <is>
          <t>GHA</t>
        </is>
      </c>
      <c r="BE94" t="inlineStr">
        <is>
          <t>GHA</t>
        </is>
      </c>
      <c r="BF94" t="inlineStr">
        <is>
          <t>GHA</t>
        </is>
      </c>
      <c r="BG94" t="inlineStr">
        <is>
          <t>GHA</t>
        </is>
      </c>
      <c r="BH94" t="inlineStr">
        <is>
          <t>GHA</t>
        </is>
      </c>
      <c r="BI94" t="inlineStr">
        <is>
          <t>GHA</t>
        </is>
      </c>
      <c r="BJ94" t="inlineStr">
        <is>
          <t>GHA</t>
        </is>
      </c>
      <c r="BK94" t="inlineStr">
        <is>
          <t>GHA</t>
        </is>
      </c>
      <c r="BL94" t="inlineStr">
        <is>
          <t>TGO</t>
        </is>
      </c>
      <c r="BM94" t="inlineStr">
        <is>
          <t>TGO</t>
        </is>
      </c>
      <c r="BN94" t="inlineStr">
        <is>
          <t>BEN</t>
        </is>
      </c>
      <c r="BS94" t="inlineStr">
        <is>
          <t>NGA</t>
        </is>
      </c>
      <c r="BT94" t="inlineStr">
        <is>
          <t>NGA</t>
        </is>
      </c>
      <c r="BU94" t="inlineStr">
        <is>
          <t>NGA</t>
        </is>
      </c>
      <c r="BV94" t="inlineStr">
        <is>
          <t>NGA</t>
        </is>
      </c>
      <c r="BW94" t="inlineStr">
        <is>
          <t>NGA</t>
        </is>
      </c>
      <c r="BX94" t="inlineStr">
        <is>
          <t>NGA</t>
        </is>
      </c>
      <c r="BY94" t="inlineStr">
        <is>
          <t>NGA</t>
        </is>
      </c>
      <c r="BZ94" t="inlineStr">
        <is>
          <t>NGA</t>
        </is>
      </c>
      <c r="CA94" t="inlineStr">
        <is>
          <t>NGA</t>
        </is>
      </c>
      <c r="CB94" t="inlineStr">
        <is>
          <t>CMR</t>
        </is>
      </c>
      <c r="CC94" t="inlineStr">
        <is>
          <t>CMR</t>
        </is>
      </c>
      <c r="CD94" t="inlineStr">
        <is>
          <t>CMR</t>
        </is>
      </c>
      <c r="CE94" t="inlineStr">
        <is>
          <t>CMR</t>
        </is>
      </c>
      <c r="CF94" t="inlineStr">
        <is>
          <t>CMR</t>
        </is>
      </c>
      <c r="CG94" t="inlineStr">
        <is>
          <t>CMR</t>
        </is>
      </c>
      <c r="CH94" t="inlineStr">
        <is>
          <t>CMR</t>
        </is>
      </c>
      <c r="CI94" t="inlineStr">
        <is>
          <t>CMR</t>
        </is>
      </c>
      <c r="CJ94" t="inlineStr">
        <is>
          <t>CMR</t>
        </is>
      </c>
      <c r="CK94" t="inlineStr">
        <is>
          <t>CMR</t>
        </is>
      </c>
      <c r="CL94" t="inlineStr">
        <is>
          <t>CMR</t>
        </is>
      </c>
      <c r="CM94" t="inlineStr">
        <is>
          <t>CAF</t>
        </is>
      </c>
      <c r="CN94" t="inlineStr">
        <is>
          <t>CAF</t>
        </is>
      </c>
      <c r="CO94" t="inlineStr">
        <is>
          <t>CAF</t>
        </is>
      </c>
      <c r="CP94" t="inlineStr">
        <is>
          <t>CAF</t>
        </is>
      </c>
      <c r="CQ94" t="inlineStr">
        <is>
          <t>CAF</t>
        </is>
      </c>
      <c r="CR94" t="inlineStr">
        <is>
          <t>CAF</t>
        </is>
      </c>
      <c r="CS94" t="inlineStr">
        <is>
          <t>CAF</t>
        </is>
      </c>
      <c r="CT94" t="inlineStr">
        <is>
          <t>CAF</t>
        </is>
      </c>
      <c r="CU94" t="inlineStr">
        <is>
          <t>CAF</t>
        </is>
      </c>
      <c r="CV94" t="inlineStr">
        <is>
          <t>CAF</t>
        </is>
      </c>
      <c r="CW94" t="inlineStr">
        <is>
          <t>CAF</t>
        </is>
      </c>
      <c r="CX94" t="inlineStr">
        <is>
          <t>CAF</t>
        </is>
      </c>
      <c r="CY94" t="inlineStr">
        <is>
          <t>CAF</t>
        </is>
      </c>
      <c r="CZ94" t="inlineStr">
        <is>
          <t>CAF</t>
        </is>
      </c>
      <c r="DA94" t="inlineStr">
        <is>
          <t>CAF</t>
        </is>
      </c>
      <c r="DB94" t="inlineStr">
        <is>
          <t>CAF</t>
        </is>
      </c>
      <c r="DC94" t="inlineStr">
        <is>
          <t>CAF</t>
        </is>
      </c>
      <c r="DD94" t="inlineStr">
        <is>
          <t>CAF</t>
        </is>
      </c>
      <c r="DE94" t="inlineStr">
        <is>
          <t>CAF</t>
        </is>
      </c>
      <c r="DF94" t="inlineStr">
        <is>
          <t>CAF</t>
        </is>
      </c>
      <c r="DG94" t="inlineStr">
        <is>
          <t>CAF</t>
        </is>
      </c>
      <c r="DH94" t="inlineStr">
        <is>
          <t>CAF</t>
        </is>
      </c>
      <c r="DI94" t="inlineStr">
        <is>
          <t>CAF</t>
        </is>
      </c>
      <c r="DJ94" t="inlineStr">
        <is>
          <t>CAF</t>
        </is>
      </c>
      <c r="DK94" t="inlineStr">
        <is>
          <t>SSD</t>
        </is>
      </c>
      <c r="DL94" t="inlineStr">
        <is>
          <t>SSD</t>
        </is>
      </c>
      <c r="DM94" t="inlineStr">
        <is>
          <t>SSD</t>
        </is>
      </c>
      <c r="DN94" t="inlineStr">
        <is>
          <t>SSD</t>
        </is>
      </c>
      <c r="DO94" t="inlineStr">
        <is>
          <t>SSD</t>
        </is>
      </c>
      <c r="DP94" t="inlineStr">
        <is>
          <t>SSD</t>
        </is>
      </c>
      <c r="DQ94" t="inlineStr">
        <is>
          <t>SSD</t>
        </is>
      </c>
      <c r="DR94" t="inlineStr">
        <is>
          <t>SSD</t>
        </is>
      </c>
      <c r="DS94" t="inlineStr">
        <is>
          <t>SSD</t>
        </is>
      </c>
      <c r="DT94" t="inlineStr">
        <is>
          <t>SSD</t>
        </is>
      </c>
      <c r="DU94" t="inlineStr">
        <is>
          <t>SSD</t>
        </is>
      </c>
      <c r="DV94" t="inlineStr">
        <is>
          <t>SSD</t>
        </is>
      </c>
      <c r="DW94" t="inlineStr">
        <is>
          <t>SSD</t>
        </is>
      </c>
      <c r="DX94" t="inlineStr">
        <is>
          <t>SSD</t>
        </is>
      </c>
      <c r="DY94" t="inlineStr">
        <is>
          <t>SSD</t>
        </is>
      </c>
      <c r="DZ94" t="inlineStr">
        <is>
          <t>SSD</t>
        </is>
      </c>
      <c r="EA94" t="inlineStr">
        <is>
          <t>SSD</t>
        </is>
      </c>
      <c r="EB94" t="inlineStr">
        <is>
          <t>ETH</t>
        </is>
      </c>
      <c r="EC94" t="inlineStr">
        <is>
          <t>ETH</t>
        </is>
      </c>
      <c r="ED94" t="inlineStr">
        <is>
          <t>ETH</t>
        </is>
      </c>
      <c r="EE94" t="inlineStr">
        <is>
          <t>ETH</t>
        </is>
      </c>
      <c r="EF94" t="inlineStr">
        <is>
          <t>ETH</t>
        </is>
      </c>
      <c r="EG94" t="inlineStr">
        <is>
          <t>ETH</t>
        </is>
      </c>
      <c r="EH94" t="inlineStr">
        <is>
          <t>ETH</t>
        </is>
      </c>
      <c r="EI94" t="inlineStr">
        <is>
          <t>ETH</t>
        </is>
      </c>
      <c r="EJ94" t="inlineStr">
        <is>
          <t>ETH</t>
        </is>
      </c>
      <c r="EK94" t="inlineStr">
        <is>
          <t>ETH</t>
        </is>
      </c>
      <c r="EL94" t="inlineStr">
        <is>
          <t>ETH</t>
        </is>
      </c>
      <c r="EM94" t="inlineStr">
        <is>
          <t>ETH</t>
        </is>
      </c>
      <c r="EN94" t="inlineStr">
        <is>
          <t>ETH</t>
        </is>
      </c>
      <c r="EO94" t="inlineStr">
        <is>
          <t>ETH</t>
        </is>
      </c>
      <c r="EP94" t="inlineStr">
        <is>
          <t>ETH</t>
        </is>
      </c>
      <c r="EQ94" t="inlineStr">
        <is>
          <t>ETH</t>
        </is>
      </c>
      <c r="ER94" t="inlineStr">
        <is>
          <t>ETH</t>
        </is>
      </c>
      <c r="ES94" t="inlineStr">
        <is>
          <t>ETH</t>
        </is>
      </c>
      <c r="ET94" t="inlineStr">
        <is>
          <t>ETH</t>
        </is>
      </c>
      <c r="EU94" t="inlineStr">
        <is>
          <t>ETH</t>
        </is>
      </c>
      <c r="EV94" t="inlineStr">
        <is>
          <t>ETH</t>
        </is>
      </c>
      <c r="EW94" t="inlineStr">
        <is>
          <t>ETH</t>
        </is>
      </c>
      <c r="EX94" t="inlineStr">
        <is>
          <t>SOM</t>
        </is>
      </c>
      <c r="EY94" t="inlineStr">
        <is>
          <t>SOM</t>
        </is>
      </c>
      <c r="EZ94" t="inlineStr">
        <is>
          <t>SOM</t>
        </is>
      </c>
      <c r="FA94" t="inlineStr">
        <is>
          <t>SOM</t>
        </is>
      </c>
      <c r="FB94" t="inlineStr">
        <is>
          <t>SOM</t>
        </is>
      </c>
      <c r="FC94" t="inlineStr">
        <is>
          <t>SOM</t>
        </is>
      </c>
      <c r="GY94" t="inlineStr">
        <is>
          <t>MDV</t>
        </is>
      </c>
      <c r="GZ94" t="inlineStr">
        <is>
          <t>MDV</t>
        </is>
      </c>
      <c r="HN94" t="inlineStr">
        <is>
          <t>LKA</t>
        </is>
      </c>
      <c r="HO94" t="inlineStr">
        <is>
          <t>LKA</t>
        </is>
      </c>
      <c r="HP94" t="inlineStr">
        <is>
          <t>LKA</t>
        </is>
      </c>
      <c r="JB94" t="inlineStr">
        <is>
          <t>MYS</t>
        </is>
      </c>
      <c r="JC94" t="inlineStr">
        <is>
          <t>MYS</t>
        </is>
      </c>
      <c r="JD94" t="inlineStr">
        <is>
          <t>THA</t>
        </is>
      </c>
      <c r="JE94" t="inlineStr">
        <is>
          <t>THA</t>
        </is>
      </c>
    </row>
    <row r="95">
      <c r="AM95" t="inlineStr">
        <is>
          <t>LBR</t>
        </is>
      </c>
      <c r="AN95" t="inlineStr">
        <is>
          <t>LBR</t>
        </is>
      </c>
      <c r="AO95" t="inlineStr">
        <is>
          <t>LBR</t>
        </is>
      </c>
      <c r="AP95" t="inlineStr">
        <is>
          <t>LBR</t>
        </is>
      </c>
      <c r="AQ95" t="inlineStr">
        <is>
          <t>LBR</t>
        </is>
      </c>
      <c r="AR95" t="inlineStr">
        <is>
          <t>LBR</t>
        </is>
      </c>
      <c r="AS95" t="inlineStr">
        <is>
          <t>CIV</t>
        </is>
      </c>
      <c r="AT95" t="inlineStr">
        <is>
          <t>CIV</t>
        </is>
      </c>
      <c r="AU95" t="inlineStr">
        <is>
          <t>CIV</t>
        </is>
      </c>
      <c r="AV95" t="inlineStr">
        <is>
          <t>CIV</t>
        </is>
      </c>
      <c r="AW95" t="inlineStr">
        <is>
          <t>CIV</t>
        </is>
      </c>
      <c r="AX95" t="inlineStr">
        <is>
          <t>CIV</t>
        </is>
      </c>
      <c r="AY95" t="inlineStr">
        <is>
          <t>CIV</t>
        </is>
      </c>
      <c r="AZ95" t="inlineStr">
        <is>
          <t>CIV</t>
        </is>
      </c>
      <c r="BA95" t="inlineStr">
        <is>
          <t>CIV</t>
        </is>
      </c>
      <c r="BB95" t="inlineStr">
        <is>
          <t>CIV</t>
        </is>
      </c>
      <c r="BC95" t="inlineStr">
        <is>
          <t>CIV</t>
        </is>
      </c>
      <c r="BD95" t="inlineStr">
        <is>
          <t>GHA</t>
        </is>
      </c>
      <c r="BE95" t="inlineStr">
        <is>
          <t>GHA</t>
        </is>
      </c>
      <c r="BF95" t="inlineStr">
        <is>
          <t>GHA</t>
        </is>
      </c>
      <c r="BG95" t="inlineStr">
        <is>
          <t>GHA</t>
        </is>
      </c>
      <c r="BH95" t="inlineStr">
        <is>
          <t>GHA</t>
        </is>
      </c>
      <c r="BI95" t="inlineStr">
        <is>
          <t>GHA</t>
        </is>
      </c>
      <c r="BJ95" t="inlineStr">
        <is>
          <t>GHA</t>
        </is>
      </c>
      <c r="BK95" t="inlineStr">
        <is>
          <t>TGO</t>
        </is>
      </c>
      <c r="BL95" t="inlineStr">
        <is>
          <t>TGO</t>
        </is>
      </c>
      <c r="BM95" t="inlineStr">
        <is>
          <t>BEN</t>
        </is>
      </c>
      <c r="BN95" t="inlineStr">
        <is>
          <t>BEN</t>
        </is>
      </c>
      <c r="BO95" t="inlineStr">
        <is>
          <t>NGA</t>
        </is>
      </c>
      <c r="BP95" t="inlineStr">
        <is>
          <t>NGA</t>
        </is>
      </c>
      <c r="BQ95" t="inlineStr">
        <is>
          <t>NGA</t>
        </is>
      </c>
      <c r="BR95" t="inlineStr">
        <is>
          <t>NGA</t>
        </is>
      </c>
      <c r="BS95" t="inlineStr">
        <is>
          <t>NGA</t>
        </is>
      </c>
      <c r="BT95" t="inlineStr">
        <is>
          <t>NGA</t>
        </is>
      </c>
      <c r="BU95" t="inlineStr">
        <is>
          <t>NGA</t>
        </is>
      </c>
      <c r="BV95" t="inlineStr">
        <is>
          <t>NGA</t>
        </is>
      </c>
      <c r="BW95" t="inlineStr">
        <is>
          <t>NGA</t>
        </is>
      </c>
      <c r="BX95" t="inlineStr">
        <is>
          <t>NGA</t>
        </is>
      </c>
      <c r="BY95" t="inlineStr">
        <is>
          <t>NGA</t>
        </is>
      </c>
      <c r="BZ95" t="inlineStr">
        <is>
          <t>NGA</t>
        </is>
      </c>
      <c r="CA95" t="inlineStr">
        <is>
          <t>NGA</t>
        </is>
      </c>
      <c r="CB95" t="inlineStr">
        <is>
          <t>NGA</t>
        </is>
      </c>
      <c r="CC95" t="inlineStr">
        <is>
          <t>NGA</t>
        </is>
      </c>
      <c r="CD95" t="inlineStr">
        <is>
          <t>CMR</t>
        </is>
      </c>
      <c r="CE95" t="inlineStr">
        <is>
          <t>CMR</t>
        </is>
      </c>
      <c r="CF95" t="inlineStr">
        <is>
          <t>NGA</t>
        </is>
      </c>
      <c r="CG95" t="inlineStr">
        <is>
          <t>CMR</t>
        </is>
      </c>
      <c r="CH95" t="inlineStr">
        <is>
          <t>CMR</t>
        </is>
      </c>
      <c r="CI95" t="inlineStr">
        <is>
          <t>CMR</t>
        </is>
      </c>
      <c r="CJ95" t="inlineStr">
        <is>
          <t>CMR</t>
        </is>
      </c>
      <c r="CK95" t="inlineStr">
        <is>
          <t>CMR</t>
        </is>
      </c>
      <c r="CL95" t="inlineStr">
        <is>
          <t>CMR</t>
        </is>
      </c>
      <c r="CM95" t="inlineStr">
        <is>
          <t>CMR</t>
        </is>
      </c>
      <c r="CN95" t="inlineStr">
        <is>
          <t>CAF</t>
        </is>
      </c>
      <c r="CO95" t="inlineStr">
        <is>
          <t>CAF</t>
        </is>
      </c>
      <c r="CP95" t="inlineStr">
        <is>
          <t>CAF</t>
        </is>
      </c>
      <c r="CQ95" t="inlineStr">
        <is>
          <t>CAF</t>
        </is>
      </c>
      <c r="CR95" t="inlineStr">
        <is>
          <t>CAF</t>
        </is>
      </c>
      <c r="CS95" t="inlineStr">
        <is>
          <t>CAF</t>
        </is>
      </c>
      <c r="CT95" t="inlineStr">
        <is>
          <t>CAF</t>
        </is>
      </c>
      <c r="CU95" t="inlineStr">
        <is>
          <t>CAF</t>
        </is>
      </c>
      <c r="CV95" t="inlineStr">
        <is>
          <t>CAF</t>
        </is>
      </c>
      <c r="CW95" t="inlineStr">
        <is>
          <t>CAF</t>
        </is>
      </c>
      <c r="CX95" t="inlineStr">
        <is>
          <t>CAF</t>
        </is>
      </c>
      <c r="CY95" t="inlineStr">
        <is>
          <t>CAF</t>
        </is>
      </c>
      <c r="CZ95" t="inlineStr">
        <is>
          <t>CAF</t>
        </is>
      </c>
      <c r="DA95" t="inlineStr">
        <is>
          <t>CAF</t>
        </is>
      </c>
      <c r="DB95" t="inlineStr">
        <is>
          <t>CAF</t>
        </is>
      </c>
      <c r="DC95" t="inlineStr">
        <is>
          <t>CAF</t>
        </is>
      </c>
      <c r="DD95" t="inlineStr">
        <is>
          <t>CAF</t>
        </is>
      </c>
      <c r="DE95" t="inlineStr">
        <is>
          <t>CAF</t>
        </is>
      </c>
      <c r="DF95" t="inlineStr">
        <is>
          <t>CAF</t>
        </is>
      </c>
      <c r="DG95" t="inlineStr">
        <is>
          <t>CAF</t>
        </is>
      </c>
      <c r="DH95" t="inlineStr">
        <is>
          <t>CAF</t>
        </is>
      </c>
      <c r="DI95" t="inlineStr">
        <is>
          <t>CAF</t>
        </is>
      </c>
      <c r="DJ95" t="inlineStr">
        <is>
          <t>SSD</t>
        </is>
      </c>
      <c r="DK95" t="inlineStr">
        <is>
          <t>SSD</t>
        </is>
      </c>
      <c r="DL95" t="inlineStr">
        <is>
          <t>SSD</t>
        </is>
      </c>
      <c r="DM95" t="inlineStr">
        <is>
          <t>SSD</t>
        </is>
      </c>
      <c r="DN95" t="inlineStr">
        <is>
          <t>SSD</t>
        </is>
      </c>
      <c r="DO95" t="inlineStr">
        <is>
          <t>SSD</t>
        </is>
      </c>
      <c r="DP95" t="inlineStr">
        <is>
          <t>SSD</t>
        </is>
      </c>
      <c r="DQ95" t="inlineStr">
        <is>
          <t>SSD</t>
        </is>
      </c>
      <c r="DR95" t="inlineStr">
        <is>
          <t>SSD</t>
        </is>
      </c>
      <c r="DS95" t="inlineStr">
        <is>
          <t>SSD</t>
        </is>
      </c>
      <c r="DT95" t="inlineStr">
        <is>
          <t>SSD</t>
        </is>
      </c>
      <c r="DU95" t="inlineStr">
        <is>
          <t>SSD</t>
        </is>
      </c>
      <c r="DV95" t="inlineStr">
        <is>
          <t>SSD</t>
        </is>
      </c>
      <c r="DW95" t="inlineStr">
        <is>
          <t>SSD</t>
        </is>
      </c>
      <c r="DX95" t="inlineStr">
        <is>
          <t>SSD</t>
        </is>
      </c>
      <c r="DY95" t="inlineStr">
        <is>
          <t>SSD</t>
        </is>
      </c>
      <c r="DZ95" t="inlineStr">
        <is>
          <t>SSD</t>
        </is>
      </c>
      <c r="EA95" t="inlineStr">
        <is>
          <t>ETH</t>
        </is>
      </c>
      <c r="EB95" t="inlineStr">
        <is>
          <t>ETH</t>
        </is>
      </c>
      <c r="EC95" t="inlineStr">
        <is>
          <t>ETH</t>
        </is>
      </c>
      <c r="ED95" t="inlineStr">
        <is>
          <t>ETH</t>
        </is>
      </c>
      <c r="EE95" t="inlineStr">
        <is>
          <t>ETH</t>
        </is>
      </c>
      <c r="EF95" t="inlineStr">
        <is>
          <t>ETH</t>
        </is>
      </c>
      <c r="EG95" t="inlineStr">
        <is>
          <t>ETH</t>
        </is>
      </c>
      <c r="EH95" t="inlineStr">
        <is>
          <t>ETH</t>
        </is>
      </c>
      <c r="EI95" t="inlineStr">
        <is>
          <t>ETH</t>
        </is>
      </c>
      <c r="EJ95" t="inlineStr">
        <is>
          <t>ETH</t>
        </is>
      </c>
      <c r="EK95" t="inlineStr">
        <is>
          <t>ETH</t>
        </is>
      </c>
      <c r="EL95" t="inlineStr">
        <is>
          <t>ETH</t>
        </is>
      </c>
      <c r="EM95" t="inlineStr">
        <is>
          <t>ETH</t>
        </is>
      </c>
      <c r="EN95" t="inlineStr">
        <is>
          <t>ETH</t>
        </is>
      </c>
      <c r="EO95" t="inlineStr">
        <is>
          <t>ETH</t>
        </is>
      </c>
      <c r="EP95" t="inlineStr">
        <is>
          <t>ETH</t>
        </is>
      </c>
      <c r="EQ95" t="inlineStr">
        <is>
          <t>ETH</t>
        </is>
      </c>
      <c r="ER95" t="inlineStr">
        <is>
          <t>ETH</t>
        </is>
      </c>
      <c r="ES95" t="inlineStr">
        <is>
          <t>ETH</t>
        </is>
      </c>
      <c r="ET95" t="inlineStr">
        <is>
          <t>ETH</t>
        </is>
      </c>
      <c r="EU95" t="inlineStr">
        <is>
          <t>ETH</t>
        </is>
      </c>
      <c r="EV95" t="inlineStr">
        <is>
          <t>ETH</t>
        </is>
      </c>
      <c r="EW95" t="inlineStr">
        <is>
          <t>ETH</t>
        </is>
      </c>
      <c r="EX95" t="inlineStr">
        <is>
          <t>ETH</t>
        </is>
      </c>
      <c r="EY95" t="inlineStr">
        <is>
          <t>SOM</t>
        </is>
      </c>
      <c r="EZ95" t="inlineStr">
        <is>
          <t>SOM</t>
        </is>
      </c>
      <c r="FA95" t="inlineStr">
        <is>
          <t>SOM</t>
        </is>
      </c>
      <c r="FB95" t="inlineStr">
        <is>
          <t>SOM</t>
        </is>
      </c>
      <c r="FC95" t="inlineStr">
        <is>
          <t>SOM</t>
        </is>
      </c>
      <c r="FD95" t="inlineStr">
        <is>
          <t>SOM</t>
        </is>
      </c>
      <c r="GY95" t="inlineStr">
        <is>
          <t>MDV</t>
        </is>
      </c>
      <c r="GZ95" t="inlineStr">
        <is>
          <t>MDV</t>
        </is>
      </c>
      <c r="HN95" t="inlineStr">
        <is>
          <t>LKA</t>
        </is>
      </c>
      <c r="HO95" t="inlineStr">
        <is>
          <t>LKA</t>
        </is>
      </c>
      <c r="HP95" t="inlineStr">
        <is>
          <t>LKA</t>
        </is>
      </c>
      <c r="JB95" t="inlineStr">
        <is>
          <t>THA</t>
        </is>
      </c>
      <c r="JC95" t="inlineStr">
        <is>
          <t>THA</t>
        </is>
      </c>
      <c r="JD95" t="inlineStr">
        <is>
          <t>THA</t>
        </is>
      </c>
    </row>
    <row r="96">
      <c r="AK96" t="inlineStr">
        <is>
          <t>SLE</t>
        </is>
      </c>
      <c r="AL96" t="inlineStr">
        <is>
          <t>SLE</t>
        </is>
      </c>
      <c r="AM96" t="inlineStr">
        <is>
          <t>SLE</t>
        </is>
      </c>
      <c r="AN96" t="inlineStr">
        <is>
          <t>LBR</t>
        </is>
      </c>
      <c r="AO96" t="inlineStr">
        <is>
          <t>LBR</t>
        </is>
      </c>
      <c r="AP96" t="inlineStr">
        <is>
          <t>LBR</t>
        </is>
      </c>
      <c r="AQ96" t="inlineStr">
        <is>
          <t>LBR</t>
        </is>
      </c>
      <c r="AR96" t="inlineStr">
        <is>
          <t>LBR</t>
        </is>
      </c>
      <c r="AS96" t="inlineStr">
        <is>
          <t>CIV</t>
        </is>
      </c>
      <c r="AT96" t="inlineStr">
        <is>
          <t>CIV</t>
        </is>
      </c>
      <c r="AU96" t="inlineStr">
        <is>
          <t>CIV</t>
        </is>
      </c>
      <c r="AV96" t="inlineStr">
        <is>
          <t>CIV</t>
        </is>
      </c>
      <c r="AW96" t="inlineStr">
        <is>
          <t>CIV</t>
        </is>
      </c>
      <c r="AX96" t="inlineStr">
        <is>
          <t>CIV</t>
        </is>
      </c>
      <c r="AY96" t="inlineStr">
        <is>
          <t>CIV</t>
        </is>
      </c>
      <c r="AZ96" t="inlineStr">
        <is>
          <t>CIV</t>
        </is>
      </c>
      <c r="BA96" t="inlineStr">
        <is>
          <t>CIV</t>
        </is>
      </c>
      <c r="BB96" t="inlineStr">
        <is>
          <t>CIV</t>
        </is>
      </c>
      <c r="BC96" t="inlineStr">
        <is>
          <t>CIV</t>
        </is>
      </c>
      <c r="BD96" t="inlineStr">
        <is>
          <t>GHA</t>
        </is>
      </c>
      <c r="BE96" t="inlineStr">
        <is>
          <t>GHA</t>
        </is>
      </c>
      <c r="BF96" t="inlineStr">
        <is>
          <t>GHA</t>
        </is>
      </c>
      <c r="BG96" t="inlineStr">
        <is>
          <t>GHA</t>
        </is>
      </c>
      <c r="BH96" t="inlineStr">
        <is>
          <t>GHA</t>
        </is>
      </c>
      <c r="BI96" t="inlineStr">
        <is>
          <t>GHA</t>
        </is>
      </c>
      <c r="BJ96" t="inlineStr">
        <is>
          <t>GHA</t>
        </is>
      </c>
      <c r="BK96" t="inlineStr">
        <is>
          <t>TGO</t>
        </is>
      </c>
      <c r="BL96" t="inlineStr">
        <is>
          <t>TGO</t>
        </is>
      </c>
      <c r="BM96" t="inlineStr">
        <is>
          <t>BEN</t>
        </is>
      </c>
      <c r="BN96" t="inlineStr">
        <is>
          <t>BEN</t>
        </is>
      </c>
      <c r="BO96" t="inlineStr">
        <is>
          <t>NGA</t>
        </is>
      </c>
      <c r="BP96" t="inlineStr">
        <is>
          <t>NGA</t>
        </is>
      </c>
      <c r="BQ96" t="inlineStr">
        <is>
          <t>NGA</t>
        </is>
      </c>
      <c r="BR96" t="inlineStr">
        <is>
          <t>NGA</t>
        </is>
      </c>
      <c r="BS96" t="inlineStr">
        <is>
          <t>NGA</t>
        </is>
      </c>
      <c r="BT96" t="inlineStr">
        <is>
          <t>NGA</t>
        </is>
      </c>
      <c r="BU96" t="inlineStr">
        <is>
          <t>NGA</t>
        </is>
      </c>
      <c r="BV96" t="inlineStr">
        <is>
          <t>NGA</t>
        </is>
      </c>
      <c r="BW96" t="inlineStr">
        <is>
          <t>NGA</t>
        </is>
      </c>
      <c r="BX96" t="inlineStr">
        <is>
          <t>NGA</t>
        </is>
      </c>
      <c r="BY96" t="inlineStr">
        <is>
          <t>NGA</t>
        </is>
      </c>
      <c r="BZ96" t="inlineStr">
        <is>
          <t>NGA</t>
        </is>
      </c>
      <c r="CA96" t="inlineStr">
        <is>
          <t>NGA</t>
        </is>
      </c>
      <c r="CB96" t="inlineStr">
        <is>
          <t>NGA</t>
        </is>
      </c>
      <c r="CC96" t="inlineStr">
        <is>
          <t>NGA</t>
        </is>
      </c>
      <c r="CD96" t="inlineStr">
        <is>
          <t>NGA</t>
        </is>
      </c>
      <c r="CE96" t="inlineStr">
        <is>
          <t>NGA</t>
        </is>
      </c>
      <c r="CF96" t="inlineStr">
        <is>
          <t>NGA</t>
        </is>
      </c>
      <c r="CG96" t="inlineStr">
        <is>
          <t>NGA</t>
        </is>
      </c>
      <c r="CH96" t="inlineStr">
        <is>
          <t>CMR</t>
        </is>
      </c>
      <c r="CI96" t="inlineStr">
        <is>
          <t>CMR</t>
        </is>
      </c>
      <c r="CJ96" t="inlineStr">
        <is>
          <t>CMR</t>
        </is>
      </c>
      <c r="CK96" t="inlineStr">
        <is>
          <t>CMR</t>
        </is>
      </c>
      <c r="CL96" t="inlineStr">
        <is>
          <t>CMR</t>
        </is>
      </c>
      <c r="CM96" t="inlineStr">
        <is>
          <t>CMR</t>
        </is>
      </c>
      <c r="CN96" t="inlineStr">
        <is>
          <t>CAF</t>
        </is>
      </c>
      <c r="CO96" t="inlineStr">
        <is>
          <t>CAF</t>
        </is>
      </c>
      <c r="CP96" t="inlineStr">
        <is>
          <t>CAF</t>
        </is>
      </c>
      <c r="CQ96" t="inlineStr">
        <is>
          <t>CAF</t>
        </is>
      </c>
      <c r="CR96" t="inlineStr">
        <is>
          <t>CAF</t>
        </is>
      </c>
      <c r="CS96" t="inlineStr">
        <is>
          <t>CAF</t>
        </is>
      </c>
      <c r="CT96" t="inlineStr">
        <is>
          <t>CAF</t>
        </is>
      </c>
      <c r="CU96" t="inlineStr">
        <is>
          <t>CAF</t>
        </is>
      </c>
      <c r="CV96" t="inlineStr">
        <is>
          <t>CAF</t>
        </is>
      </c>
      <c r="CW96" t="inlineStr">
        <is>
          <t>CAF</t>
        </is>
      </c>
      <c r="CX96" t="inlineStr">
        <is>
          <t>CAF</t>
        </is>
      </c>
      <c r="CY96" t="inlineStr">
        <is>
          <t>CAF</t>
        </is>
      </c>
      <c r="CZ96" t="inlineStr">
        <is>
          <t>CAF</t>
        </is>
      </c>
      <c r="DA96" t="inlineStr">
        <is>
          <t>CAF</t>
        </is>
      </c>
      <c r="DB96" t="inlineStr">
        <is>
          <t>CAF</t>
        </is>
      </c>
      <c r="DC96" t="inlineStr">
        <is>
          <t>CAF</t>
        </is>
      </c>
      <c r="DD96" t="inlineStr">
        <is>
          <t>CAF</t>
        </is>
      </c>
      <c r="DE96" t="inlineStr">
        <is>
          <t>CAF</t>
        </is>
      </c>
      <c r="DF96" t="inlineStr">
        <is>
          <t>CAF</t>
        </is>
      </c>
      <c r="DG96" t="inlineStr">
        <is>
          <t>CAF</t>
        </is>
      </c>
      <c r="DH96" t="inlineStr">
        <is>
          <t>CAF</t>
        </is>
      </c>
      <c r="DI96" t="inlineStr">
        <is>
          <t>SSD</t>
        </is>
      </c>
      <c r="DJ96" t="inlineStr">
        <is>
          <t>SSD</t>
        </is>
      </c>
      <c r="DK96" t="inlineStr">
        <is>
          <t>SSD</t>
        </is>
      </c>
      <c r="DL96" t="inlineStr">
        <is>
          <t>SSD</t>
        </is>
      </c>
      <c r="DM96" t="inlineStr">
        <is>
          <t>SSD</t>
        </is>
      </c>
      <c r="DN96" t="inlineStr">
        <is>
          <t>SSD</t>
        </is>
      </c>
      <c r="DO96" t="inlineStr">
        <is>
          <t>SSD</t>
        </is>
      </c>
      <c r="DP96" t="inlineStr">
        <is>
          <t>SSD</t>
        </is>
      </c>
      <c r="DQ96" t="inlineStr">
        <is>
          <t>SSD</t>
        </is>
      </c>
      <c r="DR96" t="inlineStr">
        <is>
          <t>SSD</t>
        </is>
      </c>
      <c r="DS96" t="inlineStr">
        <is>
          <t>SSD</t>
        </is>
      </c>
      <c r="DT96" t="inlineStr">
        <is>
          <t>SSD</t>
        </is>
      </c>
      <c r="DU96" t="inlineStr">
        <is>
          <t>SSD</t>
        </is>
      </c>
      <c r="DV96" t="inlineStr">
        <is>
          <t>SSD</t>
        </is>
      </c>
      <c r="DW96" t="inlineStr">
        <is>
          <t>SSD</t>
        </is>
      </c>
      <c r="DX96" t="inlineStr">
        <is>
          <t>SSD</t>
        </is>
      </c>
      <c r="DY96" t="inlineStr">
        <is>
          <t>SSD</t>
        </is>
      </c>
      <c r="DZ96" t="inlineStr">
        <is>
          <t>ETH</t>
        </is>
      </c>
      <c r="EA96" t="inlineStr">
        <is>
          <t>ETH</t>
        </is>
      </c>
      <c r="EB96" t="inlineStr">
        <is>
          <t>ETH</t>
        </is>
      </c>
      <c r="EC96" t="inlineStr">
        <is>
          <t>ETH</t>
        </is>
      </c>
      <c r="ED96" t="inlineStr">
        <is>
          <t>ETH</t>
        </is>
      </c>
      <c r="EE96" t="inlineStr">
        <is>
          <t>ETH</t>
        </is>
      </c>
      <c r="EF96" t="inlineStr">
        <is>
          <t>ETH</t>
        </is>
      </c>
      <c r="EG96" t="inlineStr">
        <is>
          <t>ETH</t>
        </is>
      </c>
      <c r="EH96" t="inlineStr">
        <is>
          <t>ETH</t>
        </is>
      </c>
      <c r="EI96" t="inlineStr">
        <is>
          <t>ETH</t>
        </is>
      </c>
      <c r="EJ96" t="inlineStr">
        <is>
          <t>ETH</t>
        </is>
      </c>
      <c r="EK96" t="inlineStr">
        <is>
          <t>ETH</t>
        </is>
      </c>
      <c r="EL96" t="inlineStr">
        <is>
          <t>ETH</t>
        </is>
      </c>
      <c r="EM96" t="inlineStr">
        <is>
          <t>ETH</t>
        </is>
      </c>
      <c r="EN96" t="inlineStr">
        <is>
          <t>ETH</t>
        </is>
      </c>
      <c r="EO96" t="inlineStr">
        <is>
          <t>ETH</t>
        </is>
      </c>
      <c r="EP96" t="inlineStr">
        <is>
          <t>ETH</t>
        </is>
      </c>
      <c r="EQ96" t="inlineStr">
        <is>
          <t>ETH</t>
        </is>
      </c>
      <c r="ER96" t="inlineStr">
        <is>
          <t>ETH</t>
        </is>
      </c>
      <c r="ES96" t="inlineStr">
        <is>
          <t>ETH</t>
        </is>
      </c>
      <c r="ET96" t="inlineStr">
        <is>
          <t>ETH</t>
        </is>
      </c>
      <c r="EU96" t="inlineStr">
        <is>
          <t>ETH</t>
        </is>
      </c>
      <c r="EV96" t="inlineStr">
        <is>
          <t>ETH</t>
        </is>
      </c>
      <c r="EW96" t="inlineStr">
        <is>
          <t>ETH</t>
        </is>
      </c>
      <c r="EX96" t="inlineStr">
        <is>
          <t>ETH</t>
        </is>
      </c>
      <c r="EY96" t="inlineStr">
        <is>
          <t>ETH</t>
        </is>
      </c>
      <c r="EZ96" t="inlineStr">
        <is>
          <t>SOM</t>
        </is>
      </c>
      <c r="FA96" t="inlineStr">
        <is>
          <t>SOM</t>
        </is>
      </c>
      <c r="FB96" t="inlineStr">
        <is>
          <t>SOM</t>
        </is>
      </c>
      <c r="FC96" t="inlineStr">
        <is>
          <t>SOM</t>
        </is>
      </c>
      <c r="FD96" t="inlineStr">
        <is>
          <t>SOM</t>
        </is>
      </c>
      <c r="HN96" t="inlineStr">
        <is>
          <t>LKA</t>
        </is>
      </c>
      <c r="HO96" t="inlineStr">
        <is>
          <t>LKA</t>
        </is>
      </c>
      <c r="HP96" t="inlineStr">
        <is>
          <t>LKA</t>
        </is>
      </c>
      <c r="JA96" t="inlineStr">
        <is>
          <t>THA</t>
        </is>
      </c>
      <c r="JB96" t="inlineStr">
        <is>
          <t>THA</t>
        </is>
      </c>
    </row>
    <row r="97">
      <c r="AJ97" t="inlineStr">
        <is>
          <t>SLE</t>
        </is>
      </c>
      <c r="AK97" t="inlineStr">
        <is>
          <t>SLE</t>
        </is>
      </c>
      <c r="AL97" t="inlineStr">
        <is>
          <t>SLE</t>
        </is>
      </c>
      <c r="AM97" t="inlineStr">
        <is>
          <t>SLE</t>
        </is>
      </c>
      <c r="AN97" t="inlineStr">
        <is>
          <t>LBR</t>
        </is>
      </c>
      <c r="AO97" t="inlineStr">
        <is>
          <t>LBR</t>
        </is>
      </c>
      <c r="AP97" t="inlineStr">
        <is>
          <t>LBR</t>
        </is>
      </c>
      <c r="AQ97" t="inlineStr">
        <is>
          <t>GIN</t>
        </is>
      </c>
      <c r="AR97" t="inlineStr">
        <is>
          <t>GIN</t>
        </is>
      </c>
      <c r="AS97" t="inlineStr">
        <is>
          <t>CIV</t>
        </is>
      </c>
      <c r="AT97" t="inlineStr">
        <is>
          <t>CIV</t>
        </is>
      </c>
      <c r="AU97" t="inlineStr">
        <is>
          <t>CIV</t>
        </is>
      </c>
      <c r="AV97" t="inlineStr">
        <is>
          <t>CIV</t>
        </is>
      </c>
      <c r="AW97" t="inlineStr">
        <is>
          <t>CIV</t>
        </is>
      </c>
      <c r="AX97" t="inlineStr">
        <is>
          <t>CIV</t>
        </is>
      </c>
      <c r="AY97" t="inlineStr">
        <is>
          <t>CIV</t>
        </is>
      </c>
      <c r="AZ97" t="inlineStr">
        <is>
          <t>CIV</t>
        </is>
      </c>
      <c r="BA97" t="inlineStr">
        <is>
          <t>CIV</t>
        </is>
      </c>
      <c r="BB97" t="inlineStr">
        <is>
          <t>CIV</t>
        </is>
      </c>
      <c r="BC97" t="inlineStr">
        <is>
          <t>CIV</t>
        </is>
      </c>
      <c r="BD97" t="inlineStr">
        <is>
          <t>GHA</t>
        </is>
      </c>
      <c r="BE97" t="inlineStr">
        <is>
          <t>GHA</t>
        </is>
      </c>
      <c r="BF97" t="inlineStr">
        <is>
          <t>GHA</t>
        </is>
      </c>
      <c r="BG97" t="inlineStr">
        <is>
          <t>GHA</t>
        </is>
      </c>
      <c r="BH97" t="inlineStr">
        <is>
          <t>GHA</t>
        </is>
      </c>
      <c r="BI97" t="inlineStr">
        <is>
          <t>GHA</t>
        </is>
      </c>
      <c r="BJ97" t="inlineStr">
        <is>
          <t>GHA</t>
        </is>
      </c>
      <c r="BK97" t="inlineStr">
        <is>
          <t>TGO</t>
        </is>
      </c>
      <c r="BL97" t="inlineStr">
        <is>
          <t>TGO</t>
        </is>
      </c>
      <c r="BM97" t="inlineStr">
        <is>
          <t>BEN</t>
        </is>
      </c>
      <c r="BN97" t="inlineStr">
        <is>
          <t>BEN</t>
        </is>
      </c>
      <c r="BO97" t="inlineStr">
        <is>
          <t>NGA</t>
        </is>
      </c>
      <c r="BP97" t="inlineStr">
        <is>
          <t>NGA</t>
        </is>
      </c>
      <c r="BQ97" t="inlineStr">
        <is>
          <t>NGA</t>
        </is>
      </c>
      <c r="BR97" t="inlineStr">
        <is>
          <t>NGA</t>
        </is>
      </c>
      <c r="BS97" t="inlineStr">
        <is>
          <t>NGA</t>
        </is>
      </c>
      <c r="BT97" t="inlineStr">
        <is>
          <t>NGA</t>
        </is>
      </c>
      <c r="BU97" t="inlineStr">
        <is>
          <t>NGA</t>
        </is>
      </c>
      <c r="BV97" t="inlineStr">
        <is>
          <t>NGA</t>
        </is>
      </c>
      <c r="BW97" t="inlineStr">
        <is>
          <t>NGA</t>
        </is>
      </c>
      <c r="BX97" t="inlineStr">
        <is>
          <t>NGA</t>
        </is>
      </c>
      <c r="BY97" t="inlineStr">
        <is>
          <t>NGA</t>
        </is>
      </c>
      <c r="BZ97" t="inlineStr">
        <is>
          <t>NGA</t>
        </is>
      </c>
      <c r="CA97" t="inlineStr">
        <is>
          <t>NGA</t>
        </is>
      </c>
      <c r="CB97" t="inlineStr">
        <is>
          <t>NGA</t>
        </is>
      </c>
      <c r="CC97" t="inlineStr">
        <is>
          <t>NGA</t>
        </is>
      </c>
      <c r="CD97" t="inlineStr">
        <is>
          <t>NGA</t>
        </is>
      </c>
      <c r="CE97" t="inlineStr">
        <is>
          <t>NGA</t>
        </is>
      </c>
      <c r="CF97" t="inlineStr">
        <is>
          <t>NGA</t>
        </is>
      </c>
      <c r="CG97" t="inlineStr">
        <is>
          <t>NGA</t>
        </is>
      </c>
      <c r="CH97" t="inlineStr">
        <is>
          <t>CMR</t>
        </is>
      </c>
      <c r="CI97" t="inlineStr">
        <is>
          <t>CMR</t>
        </is>
      </c>
      <c r="CJ97" t="inlineStr">
        <is>
          <t>CMR</t>
        </is>
      </c>
      <c r="CK97" t="inlineStr">
        <is>
          <t>CMR</t>
        </is>
      </c>
      <c r="CL97" t="inlineStr">
        <is>
          <t>CMR</t>
        </is>
      </c>
      <c r="CM97" t="inlineStr">
        <is>
          <t>CMR</t>
        </is>
      </c>
      <c r="CN97" t="inlineStr">
        <is>
          <t>CMR</t>
        </is>
      </c>
      <c r="CO97" t="inlineStr">
        <is>
          <t>TCD</t>
        </is>
      </c>
      <c r="CP97" t="inlineStr">
        <is>
          <t>TCD</t>
        </is>
      </c>
      <c r="CQ97" t="inlineStr">
        <is>
          <t>TCD</t>
        </is>
      </c>
      <c r="CR97" t="inlineStr">
        <is>
          <t>TCD</t>
        </is>
      </c>
      <c r="CS97" t="inlineStr">
        <is>
          <t>CAF</t>
        </is>
      </c>
      <c r="CT97" t="inlineStr">
        <is>
          <t>CAF</t>
        </is>
      </c>
      <c r="CU97" t="inlineStr">
        <is>
          <t>CAF</t>
        </is>
      </c>
      <c r="CV97" t="inlineStr">
        <is>
          <t>CAF</t>
        </is>
      </c>
      <c r="CW97" t="inlineStr">
        <is>
          <t>CAF</t>
        </is>
      </c>
      <c r="CX97" t="inlineStr">
        <is>
          <t>CAF</t>
        </is>
      </c>
      <c r="CY97" t="inlineStr">
        <is>
          <t>CAF</t>
        </is>
      </c>
      <c r="CZ97" t="inlineStr">
        <is>
          <t>CAF</t>
        </is>
      </c>
      <c r="DA97" t="inlineStr">
        <is>
          <t>CAF</t>
        </is>
      </c>
      <c r="DB97" t="inlineStr">
        <is>
          <t>CAF</t>
        </is>
      </c>
      <c r="DC97" t="inlineStr">
        <is>
          <t>CAF</t>
        </is>
      </c>
      <c r="DD97" t="inlineStr">
        <is>
          <t>CAF</t>
        </is>
      </c>
      <c r="DE97" t="inlineStr">
        <is>
          <t>CAF</t>
        </is>
      </c>
      <c r="DF97" t="inlineStr">
        <is>
          <t>CAF</t>
        </is>
      </c>
      <c r="DG97" t="inlineStr">
        <is>
          <t>CAF</t>
        </is>
      </c>
      <c r="DH97" t="inlineStr">
        <is>
          <t>SSD</t>
        </is>
      </c>
      <c r="DI97" t="inlineStr">
        <is>
          <t>SSD</t>
        </is>
      </c>
      <c r="DJ97" t="inlineStr">
        <is>
          <t>SSD</t>
        </is>
      </c>
      <c r="DK97" t="inlineStr">
        <is>
          <t>SSD</t>
        </is>
      </c>
      <c r="DL97" t="inlineStr">
        <is>
          <t>SSD</t>
        </is>
      </c>
      <c r="DM97" t="inlineStr">
        <is>
          <t>SSD</t>
        </is>
      </c>
      <c r="DN97" t="inlineStr">
        <is>
          <t>SSD</t>
        </is>
      </c>
      <c r="DO97" t="inlineStr">
        <is>
          <t>SSD</t>
        </is>
      </c>
      <c r="DP97" t="inlineStr">
        <is>
          <t>SSD</t>
        </is>
      </c>
      <c r="DQ97" t="inlineStr">
        <is>
          <t>SSD</t>
        </is>
      </c>
      <c r="DR97" t="inlineStr">
        <is>
          <t>SSD</t>
        </is>
      </c>
      <c r="DS97" t="inlineStr">
        <is>
          <t>SSD</t>
        </is>
      </c>
      <c r="DT97" t="inlineStr">
        <is>
          <t>SSD</t>
        </is>
      </c>
      <c r="DU97" t="inlineStr">
        <is>
          <t>SSD</t>
        </is>
      </c>
      <c r="DV97" t="inlineStr">
        <is>
          <t>SSD</t>
        </is>
      </c>
      <c r="DW97" t="inlineStr">
        <is>
          <t>SSD</t>
        </is>
      </c>
      <c r="DX97" t="inlineStr">
        <is>
          <t>SSD</t>
        </is>
      </c>
      <c r="DY97" t="inlineStr">
        <is>
          <t>ETH</t>
        </is>
      </c>
      <c r="DZ97" t="inlineStr">
        <is>
          <t>ETH</t>
        </is>
      </c>
      <c r="EA97" t="inlineStr">
        <is>
          <t>ETH</t>
        </is>
      </c>
      <c r="EB97" t="inlineStr">
        <is>
          <t>ETH</t>
        </is>
      </c>
      <c r="EC97" t="inlineStr">
        <is>
          <t>ETH</t>
        </is>
      </c>
      <c r="ED97" t="inlineStr">
        <is>
          <t>ETH</t>
        </is>
      </c>
      <c r="EE97" t="inlineStr">
        <is>
          <t>ETH</t>
        </is>
      </c>
      <c r="EF97" t="inlineStr">
        <is>
          <t>ETH</t>
        </is>
      </c>
      <c r="EG97" t="inlineStr">
        <is>
          <t>ETH</t>
        </is>
      </c>
      <c r="EH97" t="inlineStr">
        <is>
          <t>ETH</t>
        </is>
      </c>
      <c r="EI97" t="inlineStr">
        <is>
          <t>ETH</t>
        </is>
      </c>
      <c r="EJ97" t="inlineStr">
        <is>
          <t>ETH</t>
        </is>
      </c>
      <c r="EK97" t="inlineStr">
        <is>
          <t>ETH</t>
        </is>
      </c>
      <c r="EL97" t="inlineStr">
        <is>
          <t>ETH</t>
        </is>
      </c>
      <c r="EM97" t="inlineStr">
        <is>
          <t>ETH</t>
        </is>
      </c>
      <c r="EN97" t="inlineStr">
        <is>
          <t>ETH</t>
        </is>
      </c>
      <c r="EO97" t="inlineStr">
        <is>
          <t>ETH</t>
        </is>
      </c>
      <c r="EP97" t="inlineStr">
        <is>
          <t>ETH</t>
        </is>
      </c>
      <c r="EQ97" t="inlineStr">
        <is>
          <t>ETH</t>
        </is>
      </c>
      <c r="ER97" t="inlineStr">
        <is>
          <t>ETH</t>
        </is>
      </c>
      <c r="ES97" t="inlineStr">
        <is>
          <t>ETH</t>
        </is>
      </c>
      <c r="ET97" t="inlineStr">
        <is>
          <t>ETH</t>
        </is>
      </c>
      <c r="EU97" t="inlineStr">
        <is>
          <t>ETH</t>
        </is>
      </c>
      <c r="EV97" t="inlineStr">
        <is>
          <t>ETH</t>
        </is>
      </c>
      <c r="EW97" t="inlineStr">
        <is>
          <t>ETH</t>
        </is>
      </c>
      <c r="EX97" t="inlineStr">
        <is>
          <t>ETH</t>
        </is>
      </c>
      <c r="EY97" t="inlineStr">
        <is>
          <t>ETH</t>
        </is>
      </c>
      <c r="EZ97" t="inlineStr">
        <is>
          <t>ETH</t>
        </is>
      </c>
      <c r="FA97" t="inlineStr">
        <is>
          <t>SOM</t>
        </is>
      </c>
      <c r="FB97" t="inlineStr">
        <is>
          <t>SOM</t>
        </is>
      </c>
      <c r="FC97" t="inlineStr">
        <is>
          <t>SOM</t>
        </is>
      </c>
      <c r="FD97" t="inlineStr">
        <is>
          <t>SOM</t>
        </is>
      </c>
      <c r="FE97" t="inlineStr">
        <is>
          <t>SOM</t>
        </is>
      </c>
      <c r="HN97" t="inlineStr">
        <is>
          <t>LKA</t>
        </is>
      </c>
      <c r="HO97" t="inlineStr">
        <is>
          <t>LKA</t>
        </is>
      </c>
      <c r="HP97" t="inlineStr">
        <is>
          <t>LKA</t>
        </is>
      </c>
      <c r="IZ97" t="inlineStr">
        <is>
          <t>THA</t>
        </is>
      </c>
      <c r="JA97" t="inlineStr">
        <is>
          <t>THA</t>
        </is>
      </c>
      <c r="JB97" t="inlineStr">
        <is>
          <t>THA</t>
        </is>
      </c>
    </row>
    <row r="98">
      <c r="AJ98" t="inlineStr">
        <is>
          <t>SLE</t>
        </is>
      </c>
      <c r="AK98" t="inlineStr">
        <is>
          <t>SLE</t>
        </is>
      </c>
      <c r="AL98" t="inlineStr">
        <is>
          <t>SLE</t>
        </is>
      </c>
      <c r="AM98" t="inlineStr">
        <is>
          <t>SLE</t>
        </is>
      </c>
      <c r="AN98" t="inlineStr">
        <is>
          <t>SLE</t>
        </is>
      </c>
      <c r="AO98" t="inlineStr">
        <is>
          <t>LBR</t>
        </is>
      </c>
      <c r="AP98" t="inlineStr">
        <is>
          <t>LBR</t>
        </is>
      </c>
      <c r="AQ98" t="inlineStr">
        <is>
          <t>GIN</t>
        </is>
      </c>
      <c r="AR98" t="inlineStr">
        <is>
          <t>GIN</t>
        </is>
      </c>
      <c r="AS98" t="inlineStr">
        <is>
          <t>CIV</t>
        </is>
      </c>
      <c r="AT98" t="inlineStr">
        <is>
          <t>CIV</t>
        </is>
      </c>
      <c r="AU98" t="inlineStr">
        <is>
          <t>CIV</t>
        </is>
      </c>
      <c r="AV98" t="inlineStr">
        <is>
          <t>CIV</t>
        </is>
      </c>
      <c r="AW98" t="inlineStr">
        <is>
          <t>CIV</t>
        </is>
      </c>
      <c r="AX98" t="inlineStr">
        <is>
          <t>CIV</t>
        </is>
      </c>
      <c r="AY98" t="inlineStr">
        <is>
          <t>CIV</t>
        </is>
      </c>
      <c r="AZ98" t="inlineStr">
        <is>
          <t>CIV</t>
        </is>
      </c>
      <c r="BA98" t="inlineStr">
        <is>
          <t>CIV</t>
        </is>
      </c>
      <c r="BB98" t="inlineStr">
        <is>
          <t>CIV</t>
        </is>
      </c>
      <c r="BC98" t="inlineStr">
        <is>
          <t>CIV</t>
        </is>
      </c>
      <c r="BD98" t="inlineStr">
        <is>
          <t>CIV</t>
        </is>
      </c>
      <c r="BE98" t="inlineStr">
        <is>
          <t>GHA</t>
        </is>
      </c>
      <c r="BF98" t="inlineStr">
        <is>
          <t>GHA</t>
        </is>
      </c>
      <c r="BG98" t="inlineStr">
        <is>
          <t>GHA</t>
        </is>
      </c>
      <c r="BH98" t="inlineStr">
        <is>
          <t>GHA</t>
        </is>
      </c>
      <c r="BI98" t="inlineStr">
        <is>
          <t>GHA</t>
        </is>
      </c>
      <c r="BJ98" t="inlineStr">
        <is>
          <t>GHA</t>
        </is>
      </c>
      <c r="BK98" t="inlineStr">
        <is>
          <t>TGO</t>
        </is>
      </c>
      <c r="BL98" t="inlineStr">
        <is>
          <t>TGO</t>
        </is>
      </c>
      <c r="BM98" t="inlineStr">
        <is>
          <t>BEN</t>
        </is>
      </c>
      <c r="BN98" t="inlineStr">
        <is>
          <t>BEN</t>
        </is>
      </c>
      <c r="BO98" t="inlineStr">
        <is>
          <t>NGA</t>
        </is>
      </c>
      <c r="BP98" t="inlineStr">
        <is>
          <t>NGA</t>
        </is>
      </c>
      <c r="BQ98" t="inlineStr">
        <is>
          <t>NGA</t>
        </is>
      </c>
      <c r="BR98" t="inlineStr">
        <is>
          <t>NGA</t>
        </is>
      </c>
      <c r="BS98" t="inlineStr">
        <is>
          <t>NGA</t>
        </is>
      </c>
      <c r="BT98" t="inlineStr">
        <is>
          <t>NGA</t>
        </is>
      </c>
      <c r="BU98" t="inlineStr">
        <is>
          <t>NGA</t>
        </is>
      </c>
      <c r="BV98" t="inlineStr">
        <is>
          <t>NGA</t>
        </is>
      </c>
      <c r="BW98" t="inlineStr">
        <is>
          <t>NGA</t>
        </is>
      </c>
      <c r="BX98" t="inlineStr">
        <is>
          <t>NGA</t>
        </is>
      </c>
      <c r="BY98" t="inlineStr">
        <is>
          <t>NGA</t>
        </is>
      </c>
      <c r="BZ98" t="inlineStr">
        <is>
          <t>NGA</t>
        </is>
      </c>
      <c r="CA98" t="inlineStr">
        <is>
          <t>NGA</t>
        </is>
      </c>
      <c r="CB98" t="inlineStr">
        <is>
          <t>NGA</t>
        </is>
      </c>
      <c r="CC98" t="inlineStr">
        <is>
          <t>NGA</t>
        </is>
      </c>
      <c r="CD98" t="inlineStr">
        <is>
          <t>NGA</t>
        </is>
      </c>
      <c r="CE98" t="inlineStr">
        <is>
          <t>NGA</t>
        </is>
      </c>
      <c r="CF98" t="inlineStr">
        <is>
          <t>NGA</t>
        </is>
      </c>
      <c r="CG98" t="inlineStr">
        <is>
          <t>NGA</t>
        </is>
      </c>
      <c r="CH98" t="inlineStr">
        <is>
          <t>CMR</t>
        </is>
      </c>
      <c r="CI98" t="inlineStr">
        <is>
          <t>CMR</t>
        </is>
      </c>
      <c r="CJ98" t="inlineStr">
        <is>
          <t>CMR</t>
        </is>
      </c>
      <c r="CK98" t="inlineStr">
        <is>
          <t>CMR</t>
        </is>
      </c>
      <c r="CL98" t="inlineStr">
        <is>
          <t>CMR</t>
        </is>
      </c>
      <c r="CM98" t="inlineStr">
        <is>
          <t>CMR</t>
        </is>
      </c>
      <c r="CN98" t="inlineStr">
        <is>
          <t>TCD</t>
        </is>
      </c>
      <c r="CO98" t="inlineStr">
        <is>
          <t>TCD</t>
        </is>
      </c>
      <c r="CP98" t="inlineStr">
        <is>
          <t>TCD</t>
        </is>
      </c>
      <c r="CQ98" t="inlineStr">
        <is>
          <t>TCD</t>
        </is>
      </c>
      <c r="CR98" t="inlineStr">
        <is>
          <t>TCD</t>
        </is>
      </c>
      <c r="CS98" t="inlineStr">
        <is>
          <t>TCD</t>
        </is>
      </c>
      <c r="CT98" t="inlineStr">
        <is>
          <t>TCD</t>
        </is>
      </c>
      <c r="CU98" t="inlineStr">
        <is>
          <t>CAF</t>
        </is>
      </c>
      <c r="CV98" t="inlineStr">
        <is>
          <t>CAF</t>
        </is>
      </c>
      <c r="CW98" t="inlineStr">
        <is>
          <t>CAF</t>
        </is>
      </c>
      <c r="CX98" t="inlineStr">
        <is>
          <t>CAF</t>
        </is>
      </c>
      <c r="CY98" t="inlineStr">
        <is>
          <t>CAF</t>
        </is>
      </c>
      <c r="CZ98" t="inlineStr">
        <is>
          <t>CAF</t>
        </is>
      </c>
      <c r="DA98" t="inlineStr">
        <is>
          <t>CAF</t>
        </is>
      </c>
      <c r="DB98" t="inlineStr">
        <is>
          <t>CAF</t>
        </is>
      </c>
      <c r="DC98" t="inlineStr">
        <is>
          <t>CAF</t>
        </is>
      </c>
      <c r="DD98" t="inlineStr">
        <is>
          <t>CAF</t>
        </is>
      </c>
      <c r="DE98" t="inlineStr">
        <is>
          <t>CAF</t>
        </is>
      </c>
      <c r="DF98" t="inlineStr">
        <is>
          <t>CAF</t>
        </is>
      </c>
      <c r="DG98" t="inlineStr">
        <is>
          <t>SSD</t>
        </is>
      </c>
      <c r="DH98" t="inlineStr">
        <is>
          <t>SSD</t>
        </is>
      </c>
      <c r="DI98" t="inlineStr">
        <is>
          <t>SSD</t>
        </is>
      </c>
      <c r="DJ98" t="inlineStr">
        <is>
          <t>SSD</t>
        </is>
      </c>
      <c r="DK98" t="inlineStr">
        <is>
          <t>SSD</t>
        </is>
      </c>
      <c r="DL98" t="inlineStr">
        <is>
          <t>SSD</t>
        </is>
      </c>
      <c r="DM98" t="inlineStr">
        <is>
          <t>SSD</t>
        </is>
      </c>
      <c r="DN98" t="inlineStr">
        <is>
          <t>SSD</t>
        </is>
      </c>
      <c r="DO98" t="inlineStr">
        <is>
          <t>SSD</t>
        </is>
      </c>
      <c r="DP98" t="inlineStr">
        <is>
          <t>SSD</t>
        </is>
      </c>
      <c r="DQ98" t="inlineStr">
        <is>
          <t>SSD</t>
        </is>
      </c>
      <c r="DR98" t="inlineStr">
        <is>
          <t>SSD</t>
        </is>
      </c>
      <c r="DS98" t="inlineStr">
        <is>
          <t>SSD</t>
        </is>
      </c>
      <c r="DT98" t="inlineStr">
        <is>
          <t>SSD</t>
        </is>
      </c>
      <c r="DU98" t="inlineStr">
        <is>
          <t>SSD</t>
        </is>
      </c>
      <c r="DV98" t="inlineStr">
        <is>
          <t>SSD</t>
        </is>
      </c>
      <c r="DW98" t="inlineStr">
        <is>
          <t>SSD</t>
        </is>
      </c>
      <c r="DX98" t="inlineStr">
        <is>
          <t>ETH</t>
        </is>
      </c>
      <c r="DY98" t="inlineStr">
        <is>
          <t>ETH</t>
        </is>
      </c>
      <c r="DZ98" t="inlineStr">
        <is>
          <t>ETH</t>
        </is>
      </c>
      <c r="EA98" t="inlineStr">
        <is>
          <t>ETH</t>
        </is>
      </c>
      <c r="EB98" t="inlineStr">
        <is>
          <t>ETH</t>
        </is>
      </c>
      <c r="EC98" t="inlineStr">
        <is>
          <t>ETH</t>
        </is>
      </c>
      <c r="ED98" t="inlineStr">
        <is>
          <t>ETH</t>
        </is>
      </c>
      <c r="EE98" t="inlineStr">
        <is>
          <t>ETH</t>
        </is>
      </c>
      <c r="EF98" t="inlineStr">
        <is>
          <t>ETH</t>
        </is>
      </c>
      <c r="EG98" t="inlineStr">
        <is>
          <t>ETH</t>
        </is>
      </c>
      <c r="EH98" t="inlineStr">
        <is>
          <t>ETH</t>
        </is>
      </c>
      <c r="EI98" t="inlineStr">
        <is>
          <t>ETH</t>
        </is>
      </c>
      <c r="EJ98" t="inlineStr">
        <is>
          <t>ETH</t>
        </is>
      </c>
      <c r="EK98" t="inlineStr">
        <is>
          <t>ETH</t>
        </is>
      </c>
      <c r="EL98" t="inlineStr">
        <is>
          <t>ETH</t>
        </is>
      </c>
      <c r="EM98" t="inlineStr">
        <is>
          <t>ETH</t>
        </is>
      </c>
      <c r="EN98" t="inlineStr">
        <is>
          <t>ETH</t>
        </is>
      </c>
      <c r="EO98" t="inlineStr">
        <is>
          <t>ETH</t>
        </is>
      </c>
      <c r="EP98" t="inlineStr">
        <is>
          <t>ETH</t>
        </is>
      </c>
      <c r="EQ98" t="inlineStr">
        <is>
          <t>ETH</t>
        </is>
      </c>
      <c r="ER98" t="inlineStr">
        <is>
          <t>ETH</t>
        </is>
      </c>
      <c r="ES98" t="inlineStr">
        <is>
          <t>ETH</t>
        </is>
      </c>
      <c r="ET98" t="inlineStr">
        <is>
          <t>ETH</t>
        </is>
      </c>
      <c r="EU98" t="inlineStr">
        <is>
          <t>ETH</t>
        </is>
      </c>
      <c r="EV98" t="inlineStr">
        <is>
          <t>ETH</t>
        </is>
      </c>
      <c r="EW98" t="inlineStr">
        <is>
          <t>ETH</t>
        </is>
      </c>
      <c r="EX98" t="inlineStr">
        <is>
          <t>ETH</t>
        </is>
      </c>
      <c r="EY98" t="inlineStr">
        <is>
          <t>SOL</t>
        </is>
      </c>
      <c r="EZ98" t="inlineStr">
        <is>
          <t>SOL</t>
        </is>
      </c>
      <c r="FA98" t="inlineStr">
        <is>
          <t>SOL</t>
        </is>
      </c>
      <c r="FB98" t="inlineStr">
        <is>
          <t>SOM</t>
        </is>
      </c>
      <c r="FC98" t="inlineStr">
        <is>
          <t>SOM</t>
        </is>
      </c>
      <c r="FD98" t="inlineStr">
        <is>
          <t>SOM</t>
        </is>
      </c>
      <c r="FE98" t="inlineStr">
        <is>
          <t>SOM</t>
        </is>
      </c>
      <c r="HI98" t="inlineStr">
        <is>
          <t>IND</t>
        </is>
      </c>
      <c r="HM98" t="inlineStr">
        <is>
          <t>LKA</t>
        </is>
      </c>
      <c r="HN98" t="inlineStr">
        <is>
          <t>LKA</t>
        </is>
      </c>
      <c r="HO98" t="inlineStr">
        <is>
          <t>LKA</t>
        </is>
      </c>
      <c r="HP98" t="inlineStr">
        <is>
          <t>LKA</t>
        </is>
      </c>
      <c r="IX98" t="inlineStr">
        <is>
          <t>THA</t>
        </is>
      </c>
      <c r="IY98" t="inlineStr">
        <is>
          <t>THA</t>
        </is>
      </c>
      <c r="IZ98" t="inlineStr">
        <is>
          <t>THA</t>
        </is>
      </c>
      <c r="JA98" t="inlineStr">
        <is>
          <t>THA</t>
        </is>
      </c>
      <c r="JB98" t="inlineStr">
        <is>
          <t>THA</t>
        </is>
      </c>
    </row>
    <row r="99">
      <c r="AJ99" t="inlineStr">
        <is>
          <t>SLE</t>
        </is>
      </c>
      <c r="AK99" t="inlineStr">
        <is>
          <t>SLE</t>
        </is>
      </c>
      <c r="AL99" t="inlineStr">
        <is>
          <t>SLE</t>
        </is>
      </c>
      <c r="AM99" t="inlineStr">
        <is>
          <t>SLE</t>
        </is>
      </c>
      <c r="AN99" t="inlineStr">
        <is>
          <t>SLE</t>
        </is>
      </c>
      <c r="AO99" t="inlineStr">
        <is>
          <t>GIN</t>
        </is>
      </c>
      <c r="AP99" t="inlineStr">
        <is>
          <t>GIN</t>
        </is>
      </c>
      <c r="AQ99" t="inlineStr">
        <is>
          <t>GIN</t>
        </is>
      </c>
      <c r="AR99" t="inlineStr">
        <is>
          <t>GIN</t>
        </is>
      </c>
      <c r="AS99" t="inlineStr">
        <is>
          <t>GIN</t>
        </is>
      </c>
      <c r="AT99" t="inlineStr">
        <is>
          <t>CIV</t>
        </is>
      </c>
      <c r="AU99" t="inlineStr">
        <is>
          <t>CIV</t>
        </is>
      </c>
      <c r="AV99" t="inlineStr">
        <is>
          <t>CIV</t>
        </is>
      </c>
      <c r="AW99" t="inlineStr">
        <is>
          <t>CIV</t>
        </is>
      </c>
      <c r="AX99" t="inlineStr">
        <is>
          <t>CIV</t>
        </is>
      </c>
      <c r="AY99" t="inlineStr">
        <is>
          <t>CIV</t>
        </is>
      </c>
      <c r="AZ99" t="inlineStr">
        <is>
          <t>CIV</t>
        </is>
      </c>
      <c r="BA99" t="inlineStr">
        <is>
          <t>CIV</t>
        </is>
      </c>
      <c r="BB99" t="inlineStr">
        <is>
          <t>CIV</t>
        </is>
      </c>
      <c r="BC99" t="inlineStr">
        <is>
          <t>CIV</t>
        </is>
      </c>
      <c r="BD99" t="inlineStr">
        <is>
          <t>CIV</t>
        </is>
      </c>
      <c r="BE99" t="inlineStr">
        <is>
          <t>GHA</t>
        </is>
      </c>
      <c r="BF99" t="inlineStr">
        <is>
          <t>GHA</t>
        </is>
      </c>
      <c r="BG99" t="inlineStr">
        <is>
          <t>GHA</t>
        </is>
      </c>
      <c r="BH99" t="inlineStr">
        <is>
          <t>GHA</t>
        </is>
      </c>
      <c r="BI99" t="inlineStr">
        <is>
          <t>GHA</t>
        </is>
      </c>
      <c r="BJ99" t="inlineStr">
        <is>
          <t>GHA</t>
        </is>
      </c>
      <c r="BK99" t="inlineStr">
        <is>
          <t>TGO</t>
        </is>
      </c>
      <c r="BL99" t="inlineStr">
        <is>
          <t>TGO</t>
        </is>
      </c>
      <c r="BM99" t="inlineStr">
        <is>
          <t>BEN</t>
        </is>
      </c>
      <c r="BN99" t="inlineStr">
        <is>
          <t>BEN</t>
        </is>
      </c>
      <c r="BO99" t="inlineStr">
        <is>
          <t>BEN</t>
        </is>
      </c>
      <c r="BP99" t="inlineStr">
        <is>
          <t>NGA</t>
        </is>
      </c>
      <c r="BQ99" t="inlineStr">
        <is>
          <t>NGA</t>
        </is>
      </c>
      <c r="BR99" t="inlineStr">
        <is>
          <t>NGA</t>
        </is>
      </c>
      <c r="BS99" t="inlineStr">
        <is>
          <t>NGA</t>
        </is>
      </c>
      <c r="BT99" t="inlineStr">
        <is>
          <t>NGA</t>
        </is>
      </c>
      <c r="BU99" t="inlineStr">
        <is>
          <t>NGA</t>
        </is>
      </c>
      <c r="BV99" t="inlineStr">
        <is>
          <t>NGA</t>
        </is>
      </c>
      <c r="BW99" t="inlineStr">
        <is>
          <t>NGA</t>
        </is>
      </c>
      <c r="BX99" t="inlineStr">
        <is>
          <t>NGA</t>
        </is>
      </c>
      <c r="BY99" t="inlineStr">
        <is>
          <t>NGA</t>
        </is>
      </c>
      <c r="BZ99" t="inlineStr">
        <is>
          <t>NGA</t>
        </is>
      </c>
      <c r="CA99" t="inlineStr">
        <is>
          <t>NGA</t>
        </is>
      </c>
      <c r="CB99" t="inlineStr">
        <is>
          <t>NGA</t>
        </is>
      </c>
      <c r="CC99" t="inlineStr">
        <is>
          <t>NGA</t>
        </is>
      </c>
      <c r="CD99" t="inlineStr">
        <is>
          <t>NGA</t>
        </is>
      </c>
      <c r="CE99" t="inlineStr">
        <is>
          <t>NGA</t>
        </is>
      </c>
      <c r="CF99" t="inlineStr">
        <is>
          <t>NGA</t>
        </is>
      </c>
      <c r="CG99" t="inlineStr">
        <is>
          <t>NGA</t>
        </is>
      </c>
      <c r="CH99" t="inlineStr">
        <is>
          <t>NGA</t>
        </is>
      </c>
      <c r="CI99" t="inlineStr">
        <is>
          <t>NGA</t>
        </is>
      </c>
      <c r="CJ99" t="inlineStr">
        <is>
          <t>CMR</t>
        </is>
      </c>
      <c r="CK99" t="inlineStr">
        <is>
          <t>CMR</t>
        </is>
      </c>
      <c r="CL99" t="inlineStr">
        <is>
          <t>CMR</t>
        </is>
      </c>
      <c r="CM99" t="inlineStr">
        <is>
          <t>CMR</t>
        </is>
      </c>
      <c r="CN99" t="inlineStr">
        <is>
          <t>TCD</t>
        </is>
      </c>
      <c r="CO99" t="inlineStr">
        <is>
          <t>TCD</t>
        </is>
      </c>
      <c r="CP99" t="inlineStr">
        <is>
          <t>TCD</t>
        </is>
      </c>
      <c r="CQ99" t="inlineStr">
        <is>
          <t>TCD</t>
        </is>
      </c>
      <c r="CR99" t="inlineStr">
        <is>
          <t>TCD</t>
        </is>
      </c>
      <c r="CS99" t="inlineStr">
        <is>
          <t>TCD</t>
        </is>
      </c>
      <c r="CT99" t="inlineStr">
        <is>
          <t>TCD</t>
        </is>
      </c>
      <c r="CU99" t="inlineStr">
        <is>
          <t>TCD</t>
        </is>
      </c>
      <c r="CV99" t="inlineStr">
        <is>
          <t>CAF</t>
        </is>
      </c>
      <c r="CW99" t="inlineStr">
        <is>
          <t>CAF</t>
        </is>
      </c>
      <c r="CX99" t="inlineStr">
        <is>
          <t>CAF</t>
        </is>
      </c>
      <c r="CY99" t="inlineStr">
        <is>
          <t>CAF</t>
        </is>
      </c>
      <c r="CZ99" t="inlineStr">
        <is>
          <t>CAF</t>
        </is>
      </c>
      <c r="DA99" t="inlineStr">
        <is>
          <t>CAF</t>
        </is>
      </c>
      <c r="DB99" t="inlineStr">
        <is>
          <t>CAF</t>
        </is>
      </c>
      <c r="DC99" t="inlineStr">
        <is>
          <t>CAF</t>
        </is>
      </c>
      <c r="DD99" t="inlineStr">
        <is>
          <t>CAF</t>
        </is>
      </c>
      <c r="DE99" t="inlineStr">
        <is>
          <t>SDN</t>
        </is>
      </c>
      <c r="DF99" t="inlineStr">
        <is>
          <t>SSD</t>
        </is>
      </c>
      <c r="DG99" t="inlineStr">
        <is>
          <t>SSD</t>
        </is>
      </c>
      <c r="DH99" t="inlineStr">
        <is>
          <t>SSD</t>
        </is>
      </c>
      <c r="DI99" t="inlineStr">
        <is>
          <t>SSD</t>
        </is>
      </c>
      <c r="DJ99" t="inlineStr">
        <is>
          <t>SSD</t>
        </is>
      </c>
      <c r="DK99" t="inlineStr">
        <is>
          <t>SSD</t>
        </is>
      </c>
      <c r="DL99" t="inlineStr">
        <is>
          <t>SSD</t>
        </is>
      </c>
      <c r="DM99" t="inlineStr">
        <is>
          <t>SSD</t>
        </is>
      </c>
      <c r="DN99" t="inlineStr">
        <is>
          <t>SSD</t>
        </is>
      </c>
      <c r="DO99" t="inlineStr">
        <is>
          <t>SSD</t>
        </is>
      </c>
      <c r="DP99" t="inlineStr">
        <is>
          <t>SSD</t>
        </is>
      </c>
      <c r="DQ99" t="inlineStr">
        <is>
          <t>SSD</t>
        </is>
      </c>
      <c r="DR99" t="inlineStr">
        <is>
          <t>SSD</t>
        </is>
      </c>
      <c r="DS99" t="inlineStr">
        <is>
          <t>SSD</t>
        </is>
      </c>
      <c r="DT99" t="inlineStr">
        <is>
          <t>SSD</t>
        </is>
      </c>
      <c r="DU99" t="inlineStr">
        <is>
          <t>SSD</t>
        </is>
      </c>
      <c r="DV99" t="inlineStr">
        <is>
          <t>SSD</t>
        </is>
      </c>
      <c r="DW99" t="inlineStr">
        <is>
          <t>SSD</t>
        </is>
      </c>
      <c r="DX99" t="inlineStr">
        <is>
          <t>SSD</t>
        </is>
      </c>
      <c r="DY99" t="inlineStr">
        <is>
          <t>SSD</t>
        </is>
      </c>
      <c r="DZ99" t="inlineStr">
        <is>
          <t>ETH</t>
        </is>
      </c>
      <c r="EA99" t="inlineStr">
        <is>
          <t>ETH</t>
        </is>
      </c>
      <c r="EB99" t="inlineStr">
        <is>
          <t>ETH</t>
        </is>
      </c>
      <c r="EC99" t="inlineStr">
        <is>
          <t>ETH</t>
        </is>
      </c>
      <c r="ED99" t="inlineStr">
        <is>
          <t>ETH</t>
        </is>
      </c>
      <c r="EE99" t="inlineStr">
        <is>
          <t>ETH</t>
        </is>
      </c>
      <c r="EF99" t="inlineStr">
        <is>
          <t>ETH</t>
        </is>
      </c>
      <c r="EG99" t="inlineStr">
        <is>
          <t>ETH</t>
        </is>
      </c>
      <c r="EH99" t="inlineStr">
        <is>
          <t>ETH</t>
        </is>
      </c>
      <c r="EI99" t="inlineStr">
        <is>
          <t>ETH</t>
        </is>
      </c>
      <c r="EJ99" t="inlineStr">
        <is>
          <t>ETH</t>
        </is>
      </c>
      <c r="EK99" t="inlineStr">
        <is>
          <t>ETH</t>
        </is>
      </c>
      <c r="EL99" t="inlineStr">
        <is>
          <t>ETH</t>
        </is>
      </c>
      <c r="EM99" t="inlineStr">
        <is>
          <t>ETH</t>
        </is>
      </c>
      <c r="EN99" t="inlineStr">
        <is>
          <t>ETH</t>
        </is>
      </c>
      <c r="EO99" t="inlineStr">
        <is>
          <t>ETH</t>
        </is>
      </c>
      <c r="EP99" t="inlineStr">
        <is>
          <t>ETH</t>
        </is>
      </c>
      <c r="EQ99" t="inlineStr">
        <is>
          <t>ETH</t>
        </is>
      </c>
      <c r="ER99" t="inlineStr">
        <is>
          <t>ETH</t>
        </is>
      </c>
      <c r="ES99" t="inlineStr">
        <is>
          <t>ETH</t>
        </is>
      </c>
      <c r="ET99" t="inlineStr">
        <is>
          <t>ETH</t>
        </is>
      </c>
      <c r="EU99" t="inlineStr">
        <is>
          <t>ETH</t>
        </is>
      </c>
      <c r="EV99" t="inlineStr">
        <is>
          <t>SOL</t>
        </is>
      </c>
      <c r="EW99" t="inlineStr">
        <is>
          <t>SOL</t>
        </is>
      </c>
      <c r="EX99" t="inlineStr">
        <is>
          <t>SOL</t>
        </is>
      </c>
      <c r="EY99" t="inlineStr">
        <is>
          <t>SOL</t>
        </is>
      </c>
      <c r="EZ99" t="inlineStr">
        <is>
          <t>SOL</t>
        </is>
      </c>
      <c r="FA99" t="inlineStr">
        <is>
          <t>SOL</t>
        </is>
      </c>
      <c r="FB99" t="inlineStr">
        <is>
          <t>SOL</t>
        </is>
      </c>
      <c r="FC99" t="inlineStr">
        <is>
          <t>SOM</t>
        </is>
      </c>
      <c r="FD99" t="inlineStr">
        <is>
          <t>SOM</t>
        </is>
      </c>
      <c r="FE99" t="inlineStr">
        <is>
          <t>SOM</t>
        </is>
      </c>
      <c r="FF99" t="inlineStr">
        <is>
          <t>SOM</t>
        </is>
      </c>
      <c r="HG99" t="inlineStr">
        <is>
          <t>IND</t>
        </is>
      </c>
      <c r="HH99" t="inlineStr">
        <is>
          <t>IND</t>
        </is>
      </c>
      <c r="HI99" t="inlineStr">
        <is>
          <t>IND</t>
        </is>
      </c>
      <c r="HN99" t="inlineStr">
        <is>
          <t>LKA</t>
        </is>
      </c>
      <c r="HO99" t="inlineStr">
        <is>
          <t>LKA</t>
        </is>
      </c>
      <c r="IX99" t="inlineStr">
        <is>
          <t>THA</t>
        </is>
      </c>
      <c r="IY99" t="inlineStr">
        <is>
          <t>THA</t>
        </is>
      </c>
      <c r="IZ99" t="inlineStr">
        <is>
          <t>THA</t>
        </is>
      </c>
      <c r="JA99" t="inlineStr">
        <is>
          <t>THA</t>
        </is>
      </c>
      <c r="JL99" t="inlineStr">
        <is>
          <t>VNM</t>
        </is>
      </c>
    </row>
    <row r="100">
      <c r="AI100" t="inlineStr">
        <is>
          <t>GIN</t>
        </is>
      </c>
      <c r="AJ100" t="inlineStr">
        <is>
          <t>SLE</t>
        </is>
      </c>
      <c r="AK100" t="inlineStr">
        <is>
          <t>SLE</t>
        </is>
      </c>
      <c r="AL100" t="inlineStr">
        <is>
          <t>SLE</t>
        </is>
      </c>
      <c r="AM100" t="inlineStr">
        <is>
          <t>SLE</t>
        </is>
      </c>
      <c r="AN100" t="inlineStr">
        <is>
          <t>SLE</t>
        </is>
      </c>
      <c r="AO100" t="inlineStr">
        <is>
          <t>GIN</t>
        </is>
      </c>
      <c r="AP100" t="inlineStr">
        <is>
          <t>GIN</t>
        </is>
      </c>
      <c r="AQ100" t="inlineStr">
        <is>
          <t>GIN</t>
        </is>
      </c>
      <c r="AR100" t="inlineStr">
        <is>
          <t>GIN</t>
        </is>
      </c>
      <c r="AS100" t="inlineStr">
        <is>
          <t>GIN</t>
        </is>
      </c>
      <c r="AT100" t="inlineStr">
        <is>
          <t>CIV</t>
        </is>
      </c>
      <c r="AU100" t="inlineStr">
        <is>
          <t>CIV</t>
        </is>
      </c>
      <c r="AV100" t="inlineStr">
        <is>
          <t>CIV</t>
        </is>
      </c>
      <c r="AW100" t="inlineStr">
        <is>
          <t>CIV</t>
        </is>
      </c>
      <c r="AX100" t="inlineStr">
        <is>
          <t>CIV</t>
        </is>
      </c>
      <c r="AY100" t="inlineStr">
        <is>
          <t>CIV</t>
        </is>
      </c>
      <c r="AZ100" t="inlineStr">
        <is>
          <t>CIV</t>
        </is>
      </c>
      <c r="BA100" t="inlineStr">
        <is>
          <t>CIV</t>
        </is>
      </c>
      <c r="BB100" t="inlineStr">
        <is>
          <t>CIV</t>
        </is>
      </c>
      <c r="BC100" t="inlineStr">
        <is>
          <t>CIV</t>
        </is>
      </c>
      <c r="BD100" t="inlineStr">
        <is>
          <t>GHA</t>
        </is>
      </c>
      <c r="BE100" t="inlineStr">
        <is>
          <t>GHA</t>
        </is>
      </c>
      <c r="BF100" t="inlineStr">
        <is>
          <t>GHA</t>
        </is>
      </c>
      <c r="BG100" t="inlineStr">
        <is>
          <t>GHA</t>
        </is>
      </c>
      <c r="BH100" t="inlineStr">
        <is>
          <t>GHA</t>
        </is>
      </c>
      <c r="BI100" t="inlineStr">
        <is>
          <t>GHA</t>
        </is>
      </c>
      <c r="BJ100" t="inlineStr">
        <is>
          <t>GHA</t>
        </is>
      </c>
      <c r="BK100" t="inlineStr">
        <is>
          <t>TGO</t>
        </is>
      </c>
      <c r="BL100" t="inlineStr">
        <is>
          <t>TGO</t>
        </is>
      </c>
      <c r="BM100" t="inlineStr">
        <is>
          <t>BEN</t>
        </is>
      </c>
      <c r="BN100" t="inlineStr">
        <is>
          <t>BEN</t>
        </is>
      </c>
      <c r="BO100" t="inlineStr">
        <is>
          <t>BEN</t>
        </is>
      </c>
      <c r="BP100" t="inlineStr">
        <is>
          <t>NGA</t>
        </is>
      </c>
      <c r="BQ100" t="inlineStr">
        <is>
          <t>NGA</t>
        </is>
      </c>
      <c r="BR100" t="inlineStr">
        <is>
          <t>NGA</t>
        </is>
      </c>
      <c r="BS100" t="inlineStr">
        <is>
          <t>NGA</t>
        </is>
      </c>
      <c r="BT100" t="inlineStr">
        <is>
          <t>NGA</t>
        </is>
      </c>
      <c r="BU100" t="inlineStr">
        <is>
          <t>NGA</t>
        </is>
      </c>
      <c r="BV100" t="inlineStr">
        <is>
          <t>NGA</t>
        </is>
      </c>
      <c r="BW100" t="inlineStr">
        <is>
          <t>NGA</t>
        </is>
      </c>
      <c r="BX100" t="inlineStr">
        <is>
          <t>NGA</t>
        </is>
      </c>
      <c r="BY100" t="inlineStr">
        <is>
          <t>NGA</t>
        </is>
      </c>
      <c r="BZ100" t="inlineStr">
        <is>
          <t>NGA</t>
        </is>
      </c>
      <c r="CA100" t="inlineStr">
        <is>
          <t>NGA</t>
        </is>
      </c>
      <c r="CB100" t="inlineStr">
        <is>
          <t>NGA</t>
        </is>
      </c>
      <c r="CC100" t="inlineStr">
        <is>
          <t>NGA</t>
        </is>
      </c>
      <c r="CD100" t="inlineStr">
        <is>
          <t>NGA</t>
        </is>
      </c>
      <c r="CE100" t="inlineStr">
        <is>
          <t>NGA</t>
        </is>
      </c>
      <c r="CF100" t="inlineStr">
        <is>
          <t>NGA</t>
        </is>
      </c>
      <c r="CG100" t="inlineStr">
        <is>
          <t>NGA</t>
        </is>
      </c>
      <c r="CH100" t="inlineStr">
        <is>
          <t>NGA</t>
        </is>
      </c>
      <c r="CI100" t="inlineStr">
        <is>
          <t>NGA</t>
        </is>
      </c>
      <c r="CJ100" t="inlineStr">
        <is>
          <t>CMR</t>
        </is>
      </c>
      <c r="CK100" t="inlineStr">
        <is>
          <t>CMR</t>
        </is>
      </c>
      <c r="CL100" t="inlineStr">
        <is>
          <t>CMR</t>
        </is>
      </c>
      <c r="CM100" t="inlineStr">
        <is>
          <t>TCD</t>
        </is>
      </c>
      <c r="CN100" t="inlineStr">
        <is>
          <t>TCD</t>
        </is>
      </c>
      <c r="CO100" t="inlineStr">
        <is>
          <t>TCD</t>
        </is>
      </c>
      <c r="CP100" t="inlineStr">
        <is>
          <t>TCD</t>
        </is>
      </c>
      <c r="CQ100" t="inlineStr">
        <is>
          <t>TCD</t>
        </is>
      </c>
      <c r="CR100" t="inlineStr">
        <is>
          <t>TCD</t>
        </is>
      </c>
      <c r="CS100" t="inlineStr">
        <is>
          <t>TCD</t>
        </is>
      </c>
      <c r="CT100" t="inlineStr">
        <is>
          <t>TCD</t>
        </is>
      </c>
      <c r="CU100" t="inlineStr">
        <is>
          <t>TCD</t>
        </is>
      </c>
      <c r="CV100" t="inlineStr">
        <is>
          <t>TCD</t>
        </is>
      </c>
      <c r="CW100" t="inlineStr">
        <is>
          <t>TCD</t>
        </is>
      </c>
      <c r="CX100" t="inlineStr">
        <is>
          <t>TCD</t>
        </is>
      </c>
      <c r="CY100" t="inlineStr">
        <is>
          <t>CAF</t>
        </is>
      </c>
      <c r="CZ100" t="inlineStr">
        <is>
          <t>CAF</t>
        </is>
      </c>
      <c r="DA100" t="inlineStr">
        <is>
          <t>CAF</t>
        </is>
      </c>
      <c r="DB100" t="inlineStr">
        <is>
          <t>CAF</t>
        </is>
      </c>
      <c r="DC100" t="inlineStr">
        <is>
          <t>CAF</t>
        </is>
      </c>
      <c r="DD100" t="inlineStr">
        <is>
          <t>CAF</t>
        </is>
      </c>
      <c r="DE100" t="inlineStr">
        <is>
          <t>SDN</t>
        </is>
      </c>
      <c r="DF100" t="inlineStr">
        <is>
          <t>SDN</t>
        </is>
      </c>
      <c r="DG100" t="inlineStr">
        <is>
          <t>SSD</t>
        </is>
      </c>
      <c r="DH100" t="inlineStr">
        <is>
          <t>SSD</t>
        </is>
      </c>
      <c r="DI100" t="inlineStr">
        <is>
          <t>SSD</t>
        </is>
      </c>
      <c r="DJ100" t="inlineStr">
        <is>
          <t>SSD</t>
        </is>
      </c>
      <c r="DK100" t="inlineStr">
        <is>
          <t>SSD</t>
        </is>
      </c>
      <c r="DL100" t="inlineStr">
        <is>
          <t>SSD</t>
        </is>
      </c>
      <c r="DM100" t="inlineStr">
        <is>
          <t>SSD</t>
        </is>
      </c>
      <c r="DN100" t="inlineStr">
        <is>
          <t>SSD</t>
        </is>
      </c>
      <c r="DO100" t="inlineStr">
        <is>
          <t>SSD</t>
        </is>
      </c>
      <c r="DP100" t="inlineStr">
        <is>
          <t>SSD</t>
        </is>
      </c>
      <c r="DQ100" t="inlineStr">
        <is>
          <t>SSD</t>
        </is>
      </c>
      <c r="DR100" t="inlineStr">
        <is>
          <t>SSD</t>
        </is>
      </c>
      <c r="DS100" t="inlineStr">
        <is>
          <t>SSD</t>
        </is>
      </c>
      <c r="DT100" t="inlineStr">
        <is>
          <t>SSD</t>
        </is>
      </c>
      <c r="DU100" t="inlineStr">
        <is>
          <t>SSD</t>
        </is>
      </c>
      <c r="DV100" t="inlineStr">
        <is>
          <t>SSD</t>
        </is>
      </c>
      <c r="DW100" t="inlineStr">
        <is>
          <t>SSD</t>
        </is>
      </c>
      <c r="DX100" t="inlineStr">
        <is>
          <t>SSD</t>
        </is>
      </c>
      <c r="DY100" t="inlineStr">
        <is>
          <t>SSD</t>
        </is>
      </c>
      <c r="DZ100" t="inlineStr">
        <is>
          <t>ETH</t>
        </is>
      </c>
      <c r="EA100" t="inlineStr">
        <is>
          <t>ETH</t>
        </is>
      </c>
      <c r="EB100" t="inlineStr">
        <is>
          <t>ETH</t>
        </is>
      </c>
      <c r="EC100" t="inlineStr">
        <is>
          <t>ETH</t>
        </is>
      </c>
      <c r="ED100" t="inlineStr">
        <is>
          <t>ETH</t>
        </is>
      </c>
      <c r="EE100" t="inlineStr">
        <is>
          <t>ETH</t>
        </is>
      </c>
      <c r="EF100" t="inlineStr">
        <is>
          <t>ETH</t>
        </is>
      </c>
      <c r="EG100" t="inlineStr">
        <is>
          <t>ETH</t>
        </is>
      </c>
      <c r="EH100" t="inlineStr">
        <is>
          <t>ETH</t>
        </is>
      </c>
      <c r="EI100" t="inlineStr">
        <is>
          <t>ETH</t>
        </is>
      </c>
      <c r="EJ100" t="inlineStr">
        <is>
          <t>ETH</t>
        </is>
      </c>
      <c r="EK100" t="inlineStr">
        <is>
          <t>ETH</t>
        </is>
      </c>
      <c r="EL100" t="inlineStr">
        <is>
          <t>ETH</t>
        </is>
      </c>
      <c r="EM100" t="inlineStr">
        <is>
          <t>ETH</t>
        </is>
      </c>
      <c r="EN100" t="inlineStr">
        <is>
          <t>ETH</t>
        </is>
      </c>
      <c r="EO100" t="inlineStr">
        <is>
          <t>ETH</t>
        </is>
      </c>
      <c r="EP100" t="inlineStr">
        <is>
          <t>ETH</t>
        </is>
      </c>
      <c r="EQ100" t="inlineStr">
        <is>
          <t>ETH</t>
        </is>
      </c>
      <c r="ER100" t="inlineStr">
        <is>
          <t>ETH</t>
        </is>
      </c>
      <c r="ES100" t="inlineStr">
        <is>
          <t>SOL</t>
        </is>
      </c>
      <c r="ET100" t="inlineStr">
        <is>
          <t>SOL</t>
        </is>
      </c>
      <c r="EU100" t="inlineStr">
        <is>
          <t>SOL</t>
        </is>
      </c>
      <c r="EV100" t="inlineStr">
        <is>
          <t>SOL</t>
        </is>
      </c>
      <c r="EW100" t="inlineStr">
        <is>
          <t>SOL</t>
        </is>
      </c>
      <c r="EX100" t="inlineStr">
        <is>
          <t>SOL</t>
        </is>
      </c>
      <c r="EY100" t="inlineStr">
        <is>
          <t>SOL</t>
        </is>
      </c>
      <c r="EZ100" t="inlineStr">
        <is>
          <t>SOL</t>
        </is>
      </c>
      <c r="FA100" t="inlineStr">
        <is>
          <t>SOL</t>
        </is>
      </c>
      <c r="FB100" t="inlineStr">
        <is>
          <t>SOL</t>
        </is>
      </c>
      <c r="FC100" t="inlineStr">
        <is>
          <t>SOL</t>
        </is>
      </c>
      <c r="FD100" t="inlineStr">
        <is>
          <t>SOM</t>
        </is>
      </c>
      <c r="FE100" t="inlineStr">
        <is>
          <t>SOM</t>
        </is>
      </c>
      <c r="FF100" t="inlineStr">
        <is>
          <t>SOM</t>
        </is>
      </c>
      <c r="HG100" t="inlineStr">
        <is>
          <t>IND</t>
        </is>
      </c>
      <c r="HH100" t="inlineStr">
        <is>
          <t>IND</t>
        </is>
      </c>
      <c r="HI100" t="inlineStr">
        <is>
          <t>IND</t>
        </is>
      </c>
      <c r="HJ100" t="inlineStr">
        <is>
          <t>IND</t>
        </is>
      </c>
      <c r="HK100" t="inlineStr">
        <is>
          <t>IND</t>
        </is>
      </c>
      <c r="HN100" t="inlineStr">
        <is>
          <t>LKA</t>
        </is>
      </c>
      <c r="HO100" t="inlineStr">
        <is>
          <t>LKA</t>
        </is>
      </c>
      <c r="IY100" t="inlineStr">
        <is>
          <t>THA</t>
        </is>
      </c>
      <c r="JL100" t="inlineStr">
        <is>
          <t>VNM</t>
        </is>
      </c>
      <c r="JM100" t="inlineStr">
        <is>
          <t>VNM</t>
        </is>
      </c>
    </row>
    <row r="101">
      <c r="AH101" t="inlineStr">
        <is>
          <t>GIN</t>
        </is>
      </c>
      <c r="AI101" t="inlineStr">
        <is>
          <t>GIN</t>
        </is>
      </c>
      <c r="AJ101" t="inlineStr">
        <is>
          <t>GIN</t>
        </is>
      </c>
      <c r="AK101" t="inlineStr">
        <is>
          <t>SLE</t>
        </is>
      </c>
      <c r="AL101" t="inlineStr">
        <is>
          <t>SLE</t>
        </is>
      </c>
      <c r="AM101" t="inlineStr">
        <is>
          <t>SLE</t>
        </is>
      </c>
      <c r="AN101" t="inlineStr">
        <is>
          <t>GIN</t>
        </is>
      </c>
      <c r="AO101" t="inlineStr">
        <is>
          <t>GIN</t>
        </is>
      </c>
      <c r="AP101" t="inlineStr">
        <is>
          <t>GIN</t>
        </is>
      </c>
      <c r="AQ101" t="inlineStr">
        <is>
          <t>GIN</t>
        </is>
      </c>
      <c r="AR101" t="inlineStr">
        <is>
          <t>GIN</t>
        </is>
      </c>
      <c r="AS101" t="inlineStr">
        <is>
          <t>CIV</t>
        </is>
      </c>
      <c r="AT101" t="inlineStr">
        <is>
          <t>CIV</t>
        </is>
      </c>
      <c r="AU101" t="inlineStr">
        <is>
          <t>CIV</t>
        </is>
      </c>
      <c r="AV101" t="inlineStr">
        <is>
          <t>CIV</t>
        </is>
      </c>
      <c r="AW101" t="inlineStr">
        <is>
          <t>CIV</t>
        </is>
      </c>
      <c r="AX101" t="inlineStr">
        <is>
          <t>CIV</t>
        </is>
      </c>
      <c r="AY101" t="inlineStr">
        <is>
          <t>CIV</t>
        </is>
      </c>
      <c r="AZ101" t="inlineStr">
        <is>
          <t>CIV</t>
        </is>
      </c>
      <c r="BA101" t="inlineStr">
        <is>
          <t>BFA</t>
        </is>
      </c>
      <c r="BB101" t="inlineStr">
        <is>
          <t>CIV</t>
        </is>
      </c>
      <c r="BC101" t="inlineStr">
        <is>
          <t>CIV</t>
        </is>
      </c>
      <c r="BD101" t="inlineStr">
        <is>
          <t>GHA</t>
        </is>
      </c>
      <c r="BE101" t="inlineStr">
        <is>
          <t>GHA</t>
        </is>
      </c>
      <c r="BF101" t="inlineStr">
        <is>
          <t>GHA</t>
        </is>
      </c>
      <c r="BG101" t="inlineStr">
        <is>
          <t>GHA</t>
        </is>
      </c>
      <c r="BH101" t="inlineStr">
        <is>
          <t>GHA</t>
        </is>
      </c>
      <c r="BI101" t="inlineStr">
        <is>
          <t>GHA</t>
        </is>
      </c>
      <c r="BJ101" t="inlineStr">
        <is>
          <t>GHA</t>
        </is>
      </c>
      <c r="BK101" t="inlineStr">
        <is>
          <t>TGO</t>
        </is>
      </c>
      <c r="BL101" t="inlineStr">
        <is>
          <t>TGO</t>
        </is>
      </c>
      <c r="BM101" t="inlineStr">
        <is>
          <t>BEN</t>
        </is>
      </c>
      <c r="BN101" t="inlineStr">
        <is>
          <t>BEN</t>
        </is>
      </c>
      <c r="BO101" t="inlineStr">
        <is>
          <t>BEN</t>
        </is>
      </c>
      <c r="BP101" t="inlineStr">
        <is>
          <t>BEN</t>
        </is>
      </c>
      <c r="BQ101" t="inlineStr">
        <is>
          <t>NGA</t>
        </is>
      </c>
      <c r="BR101" t="inlineStr">
        <is>
          <t>NGA</t>
        </is>
      </c>
      <c r="BS101" t="inlineStr">
        <is>
          <t>NGA</t>
        </is>
      </c>
      <c r="BT101" t="inlineStr">
        <is>
          <t>NGA</t>
        </is>
      </c>
      <c r="BU101" t="inlineStr">
        <is>
          <t>NGA</t>
        </is>
      </c>
      <c r="BV101" t="inlineStr">
        <is>
          <t>NGA</t>
        </is>
      </c>
      <c r="BW101" t="inlineStr">
        <is>
          <t>NGA</t>
        </is>
      </c>
      <c r="BX101" t="inlineStr">
        <is>
          <t>NGA</t>
        </is>
      </c>
      <c r="BY101" t="inlineStr">
        <is>
          <t>NGA</t>
        </is>
      </c>
      <c r="BZ101" t="inlineStr">
        <is>
          <t>NGA</t>
        </is>
      </c>
      <c r="CA101" t="inlineStr">
        <is>
          <t>NGA</t>
        </is>
      </c>
      <c r="CB101" t="inlineStr">
        <is>
          <t>NGA</t>
        </is>
      </c>
      <c r="CC101" t="inlineStr">
        <is>
          <t>NGA</t>
        </is>
      </c>
      <c r="CD101" t="inlineStr">
        <is>
          <t>NGA</t>
        </is>
      </c>
      <c r="CE101" t="inlineStr">
        <is>
          <t>NGA</t>
        </is>
      </c>
      <c r="CF101" t="inlineStr">
        <is>
          <t>NGA</t>
        </is>
      </c>
      <c r="CG101" t="inlineStr">
        <is>
          <t>NGA</t>
        </is>
      </c>
      <c r="CH101" t="inlineStr">
        <is>
          <t>NGA</t>
        </is>
      </c>
      <c r="CI101" t="inlineStr">
        <is>
          <t>NGA</t>
        </is>
      </c>
      <c r="CJ101" t="inlineStr">
        <is>
          <t>CMR</t>
        </is>
      </c>
      <c r="CK101" t="inlineStr">
        <is>
          <t>CMR</t>
        </is>
      </c>
      <c r="CL101" t="inlineStr">
        <is>
          <t>TCD</t>
        </is>
      </c>
      <c r="CM101" t="inlineStr">
        <is>
          <t>TCD</t>
        </is>
      </c>
      <c r="CN101" t="inlineStr">
        <is>
          <t>TCD</t>
        </is>
      </c>
      <c r="CO101" t="inlineStr">
        <is>
          <t>TCD</t>
        </is>
      </c>
      <c r="CP101" t="inlineStr">
        <is>
          <t>TCD</t>
        </is>
      </c>
      <c r="CQ101" t="inlineStr">
        <is>
          <t>TCD</t>
        </is>
      </c>
      <c r="CR101" t="inlineStr">
        <is>
          <t>TCD</t>
        </is>
      </c>
      <c r="CS101" t="inlineStr">
        <is>
          <t>TCD</t>
        </is>
      </c>
      <c r="CT101" t="inlineStr">
        <is>
          <t>TCD</t>
        </is>
      </c>
      <c r="CU101" t="inlineStr">
        <is>
          <t>TCD</t>
        </is>
      </c>
      <c r="CV101" t="inlineStr">
        <is>
          <t>TCD</t>
        </is>
      </c>
      <c r="CW101" t="inlineStr">
        <is>
          <t>TCD</t>
        </is>
      </c>
      <c r="CX101" t="inlineStr">
        <is>
          <t>TCD</t>
        </is>
      </c>
      <c r="CY101" t="inlineStr">
        <is>
          <t>TCD</t>
        </is>
      </c>
      <c r="CZ101" t="inlineStr">
        <is>
          <t>CAF</t>
        </is>
      </c>
      <c r="DA101" t="inlineStr">
        <is>
          <t>CAF</t>
        </is>
      </c>
      <c r="DB101" t="inlineStr">
        <is>
          <t>CAF</t>
        </is>
      </c>
      <c r="DC101" t="inlineStr">
        <is>
          <t>CAF</t>
        </is>
      </c>
      <c r="DD101" t="inlineStr">
        <is>
          <t>CAF</t>
        </is>
      </c>
      <c r="DE101" t="inlineStr">
        <is>
          <t>SDN</t>
        </is>
      </c>
      <c r="DF101" t="inlineStr">
        <is>
          <t>SDN</t>
        </is>
      </c>
      <c r="DG101" t="inlineStr">
        <is>
          <t>SDN</t>
        </is>
      </c>
      <c r="DH101" t="inlineStr">
        <is>
          <t>SSD</t>
        </is>
      </c>
      <c r="DI101" t="inlineStr">
        <is>
          <t>SSD</t>
        </is>
      </c>
      <c r="DJ101" t="inlineStr">
        <is>
          <t>SSD</t>
        </is>
      </c>
      <c r="DK101" t="inlineStr">
        <is>
          <t>SDN</t>
        </is>
      </c>
      <c r="DL101" t="inlineStr">
        <is>
          <t>SDN</t>
        </is>
      </c>
      <c r="DM101" t="inlineStr">
        <is>
          <t>SDN</t>
        </is>
      </c>
      <c r="DN101" t="inlineStr">
        <is>
          <t>SDN</t>
        </is>
      </c>
      <c r="DO101" t="inlineStr">
        <is>
          <t>SDN</t>
        </is>
      </c>
      <c r="DP101" t="inlineStr">
        <is>
          <t>SDN</t>
        </is>
      </c>
      <c r="DQ101" t="inlineStr">
        <is>
          <t>SSD</t>
        </is>
      </c>
      <c r="DR101" t="inlineStr">
        <is>
          <t>SSD</t>
        </is>
      </c>
      <c r="DS101" t="inlineStr">
        <is>
          <t>SSD</t>
        </is>
      </c>
      <c r="DT101" t="inlineStr">
        <is>
          <t>SSD</t>
        </is>
      </c>
      <c r="DU101" t="inlineStr">
        <is>
          <t>SSD</t>
        </is>
      </c>
      <c r="DV101" t="inlineStr">
        <is>
          <t>SSD</t>
        </is>
      </c>
      <c r="DW101" t="inlineStr">
        <is>
          <t>SSD</t>
        </is>
      </c>
      <c r="DX101" t="inlineStr">
        <is>
          <t>SSD</t>
        </is>
      </c>
      <c r="DY101" t="inlineStr">
        <is>
          <t>SSD</t>
        </is>
      </c>
      <c r="DZ101" t="inlineStr">
        <is>
          <t>ETH</t>
        </is>
      </c>
      <c r="EA101" t="inlineStr">
        <is>
          <t>ETH</t>
        </is>
      </c>
      <c r="EB101" t="inlineStr">
        <is>
          <t>ETH</t>
        </is>
      </c>
      <c r="EC101" t="inlineStr">
        <is>
          <t>ETH</t>
        </is>
      </c>
      <c r="ED101" t="inlineStr">
        <is>
          <t>ETH</t>
        </is>
      </c>
      <c r="EE101" t="inlineStr">
        <is>
          <t>ETH</t>
        </is>
      </c>
      <c r="EF101" t="inlineStr">
        <is>
          <t>ETH</t>
        </is>
      </c>
      <c r="EG101" t="inlineStr">
        <is>
          <t>ETH</t>
        </is>
      </c>
      <c r="EH101" t="inlineStr">
        <is>
          <t>ETH</t>
        </is>
      </c>
      <c r="EI101" t="inlineStr">
        <is>
          <t>ETH</t>
        </is>
      </c>
      <c r="EJ101" t="inlineStr">
        <is>
          <t>ETH</t>
        </is>
      </c>
      <c r="EK101" t="inlineStr">
        <is>
          <t>ETH</t>
        </is>
      </c>
      <c r="EL101" t="inlineStr">
        <is>
          <t>ETH</t>
        </is>
      </c>
      <c r="EM101" t="inlineStr">
        <is>
          <t>ETH</t>
        </is>
      </c>
      <c r="EN101" t="inlineStr">
        <is>
          <t>ETH</t>
        </is>
      </c>
      <c r="EO101" t="inlineStr">
        <is>
          <t>ETH</t>
        </is>
      </c>
      <c r="EP101" t="inlineStr">
        <is>
          <t>ETH</t>
        </is>
      </c>
      <c r="EQ101" t="inlineStr">
        <is>
          <t>ETH</t>
        </is>
      </c>
      <c r="ER101" t="inlineStr">
        <is>
          <t>SOL</t>
        </is>
      </c>
      <c r="ES101" t="inlineStr">
        <is>
          <t>SOL</t>
        </is>
      </c>
      <c r="ET101" t="inlineStr">
        <is>
          <t>SOL</t>
        </is>
      </c>
      <c r="EU101" t="inlineStr">
        <is>
          <t>SOL</t>
        </is>
      </c>
      <c r="EV101" t="inlineStr">
        <is>
          <t>SOL</t>
        </is>
      </c>
      <c r="EW101" t="inlineStr">
        <is>
          <t>SOL</t>
        </is>
      </c>
      <c r="EX101" t="inlineStr">
        <is>
          <t>SOL</t>
        </is>
      </c>
      <c r="EY101" t="inlineStr">
        <is>
          <t>SOL</t>
        </is>
      </c>
      <c r="EZ101" t="inlineStr">
        <is>
          <t>SOL</t>
        </is>
      </c>
      <c r="FA101" t="inlineStr">
        <is>
          <t>SOL</t>
        </is>
      </c>
      <c r="FB101" t="inlineStr">
        <is>
          <t>SOL</t>
        </is>
      </c>
      <c r="FC101" t="inlineStr">
        <is>
          <t>SOL</t>
        </is>
      </c>
      <c r="FD101" t="inlineStr">
        <is>
          <t>SOM</t>
        </is>
      </c>
      <c r="FE101" t="inlineStr">
        <is>
          <t>SOM</t>
        </is>
      </c>
      <c r="FF101" t="inlineStr">
        <is>
          <t>SOM</t>
        </is>
      </c>
      <c r="HG101" t="inlineStr">
        <is>
          <t>IND</t>
        </is>
      </c>
      <c r="HH101" t="inlineStr">
        <is>
          <t>IND</t>
        </is>
      </c>
      <c r="HI101" t="inlineStr">
        <is>
          <t>IND</t>
        </is>
      </c>
      <c r="HJ101" t="inlineStr">
        <is>
          <t>IND</t>
        </is>
      </c>
      <c r="HK101" t="inlineStr">
        <is>
          <t>IND</t>
        </is>
      </c>
      <c r="IY101" t="inlineStr">
        <is>
          <t>THA</t>
        </is>
      </c>
      <c r="JL101" t="inlineStr">
        <is>
          <t>VNM</t>
        </is>
      </c>
      <c r="JM101" t="inlineStr">
        <is>
          <t>VNM</t>
        </is>
      </c>
      <c r="JN101" t="inlineStr">
        <is>
          <t>VNM</t>
        </is>
      </c>
    </row>
    <row r="102">
      <c r="AG102" t="inlineStr">
        <is>
          <t>GIN</t>
        </is>
      </c>
      <c r="AH102" t="inlineStr">
        <is>
          <t>GIN</t>
        </is>
      </c>
      <c r="AI102" t="inlineStr">
        <is>
          <t>GIN</t>
        </is>
      </c>
      <c r="AJ102" t="inlineStr">
        <is>
          <t>GIN</t>
        </is>
      </c>
      <c r="AK102" t="inlineStr">
        <is>
          <t>GIN</t>
        </is>
      </c>
      <c r="AL102" t="inlineStr">
        <is>
          <t>GIN</t>
        </is>
      </c>
      <c r="AM102" t="inlineStr">
        <is>
          <t>GIN</t>
        </is>
      </c>
      <c r="AN102" t="inlineStr">
        <is>
          <t>GIN</t>
        </is>
      </c>
      <c r="AO102" t="inlineStr">
        <is>
          <t>GIN</t>
        </is>
      </c>
      <c r="AP102" t="inlineStr">
        <is>
          <t>GIN</t>
        </is>
      </c>
      <c r="AQ102" t="inlineStr">
        <is>
          <t>GIN</t>
        </is>
      </c>
      <c r="AR102" t="inlineStr">
        <is>
          <t>GIN</t>
        </is>
      </c>
      <c r="AS102" t="inlineStr">
        <is>
          <t>GIN</t>
        </is>
      </c>
      <c r="AT102" t="inlineStr">
        <is>
          <t>MLI</t>
        </is>
      </c>
      <c r="AU102" t="inlineStr">
        <is>
          <t>MLI</t>
        </is>
      </c>
      <c r="AV102" t="inlineStr">
        <is>
          <t>CIV</t>
        </is>
      </c>
      <c r="AW102" t="inlineStr">
        <is>
          <t>CIV</t>
        </is>
      </c>
      <c r="AX102" t="inlineStr">
        <is>
          <t>MLI</t>
        </is>
      </c>
      <c r="AY102" t="inlineStr">
        <is>
          <t>CIV</t>
        </is>
      </c>
      <c r="AZ102" t="inlineStr">
        <is>
          <t>BFA</t>
        </is>
      </c>
      <c r="BA102" t="inlineStr">
        <is>
          <t>BFA</t>
        </is>
      </c>
      <c r="BB102" t="inlineStr">
        <is>
          <t>BFA</t>
        </is>
      </c>
      <c r="BC102" t="inlineStr">
        <is>
          <t>BFA</t>
        </is>
      </c>
      <c r="BD102" t="inlineStr">
        <is>
          <t>GHA</t>
        </is>
      </c>
      <c r="BE102" t="inlineStr">
        <is>
          <t>GHA</t>
        </is>
      </c>
      <c r="BF102" t="inlineStr">
        <is>
          <t>GHA</t>
        </is>
      </c>
      <c r="BG102" t="inlineStr">
        <is>
          <t>GHA</t>
        </is>
      </c>
      <c r="BH102" t="inlineStr">
        <is>
          <t>GHA</t>
        </is>
      </c>
      <c r="BI102" t="inlineStr">
        <is>
          <t>GHA</t>
        </is>
      </c>
      <c r="BJ102" t="inlineStr">
        <is>
          <t>GHA</t>
        </is>
      </c>
      <c r="BK102" t="inlineStr">
        <is>
          <t>TGO</t>
        </is>
      </c>
      <c r="BL102" t="inlineStr">
        <is>
          <t>BEN</t>
        </is>
      </c>
      <c r="BM102" t="inlineStr">
        <is>
          <t>BEN</t>
        </is>
      </c>
      <c r="BN102" t="inlineStr">
        <is>
          <t>BEN</t>
        </is>
      </c>
      <c r="BO102" t="inlineStr">
        <is>
          <t>BEN</t>
        </is>
      </c>
      <c r="BP102" t="inlineStr">
        <is>
          <t>BEN</t>
        </is>
      </c>
      <c r="BQ102" t="inlineStr">
        <is>
          <t>NGA</t>
        </is>
      </c>
      <c r="BR102" t="inlineStr">
        <is>
          <t>NGA</t>
        </is>
      </c>
      <c r="BS102" t="inlineStr">
        <is>
          <t>NGA</t>
        </is>
      </c>
      <c r="BT102" t="inlineStr">
        <is>
          <t>NGA</t>
        </is>
      </c>
      <c r="BU102" t="inlineStr">
        <is>
          <t>NGA</t>
        </is>
      </c>
      <c r="BV102" t="inlineStr">
        <is>
          <t>NGA</t>
        </is>
      </c>
      <c r="BW102" t="inlineStr">
        <is>
          <t>NGA</t>
        </is>
      </c>
      <c r="BX102" t="inlineStr">
        <is>
          <t>NGA</t>
        </is>
      </c>
      <c r="BY102" t="inlineStr">
        <is>
          <t>NGA</t>
        </is>
      </c>
      <c r="BZ102" t="inlineStr">
        <is>
          <t>NGA</t>
        </is>
      </c>
      <c r="CA102" t="inlineStr">
        <is>
          <t>NGA</t>
        </is>
      </c>
      <c r="CB102" t="inlineStr">
        <is>
          <t>NGA</t>
        </is>
      </c>
      <c r="CC102" t="inlineStr">
        <is>
          <t>NGA</t>
        </is>
      </c>
      <c r="CD102" t="inlineStr">
        <is>
          <t>NGA</t>
        </is>
      </c>
      <c r="CE102" t="inlineStr">
        <is>
          <t>NGA</t>
        </is>
      </c>
      <c r="CF102" t="inlineStr">
        <is>
          <t>NGA</t>
        </is>
      </c>
      <c r="CG102" t="inlineStr">
        <is>
          <t>NGA</t>
        </is>
      </c>
      <c r="CH102" t="inlineStr">
        <is>
          <t>NGA</t>
        </is>
      </c>
      <c r="CI102" t="inlineStr">
        <is>
          <t>NGA</t>
        </is>
      </c>
      <c r="CJ102" t="inlineStr">
        <is>
          <t>NGA</t>
        </is>
      </c>
      <c r="CK102" t="inlineStr">
        <is>
          <t>CMR</t>
        </is>
      </c>
      <c r="CL102" t="inlineStr">
        <is>
          <t>CMR</t>
        </is>
      </c>
      <c r="CM102" t="inlineStr">
        <is>
          <t>CMR</t>
        </is>
      </c>
      <c r="CN102" t="inlineStr">
        <is>
          <t>CMR</t>
        </is>
      </c>
      <c r="CO102" t="inlineStr">
        <is>
          <t>TCD</t>
        </is>
      </c>
      <c r="CP102" t="inlineStr">
        <is>
          <t>TCD</t>
        </is>
      </c>
      <c r="CQ102" t="inlineStr">
        <is>
          <t>TCD</t>
        </is>
      </c>
      <c r="CR102" t="inlineStr">
        <is>
          <t>TCD</t>
        </is>
      </c>
      <c r="CS102" t="inlineStr">
        <is>
          <t>TCD</t>
        </is>
      </c>
      <c r="CT102" t="inlineStr">
        <is>
          <t>TCD</t>
        </is>
      </c>
      <c r="CU102" t="inlineStr">
        <is>
          <t>TCD</t>
        </is>
      </c>
      <c r="CV102" t="inlineStr">
        <is>
          <t>TCD</t>
        </is>
      </c>
      <c r="CW102" t="inlineStr">
        <is>
          <t>TCD</t>
        </is>
      </c>
      <c r="CX102" t="inlineStr">
        <is>
          <t>TCD</t>
        </is>
      </c>
      <c r="CY102" t="inlineStr">
        <is>
          <t>TCD</t>
        </is>
      </c>
      <c r="CZ102" t="inlineStr">
        <is>
          <t>TCD</t>
        </is>
      </c>
      <c r="DA102" t="inlineStr">
        <is>
          <t>CAF</t>
        </is>
      </c>
      <c r="DB102" t="inlineStr">
        <is>
          <t>CAF</t>
        </is>
      </c>
      <c r="DC102" t="inlineStr">
        <is>
          <t>CAF</t>
        </is>
      </c>
      <c r="DD102" t="inlineStr">
        <is>
          <t>CAF</t>
        </is>
      </c>
      <c r="DE102" t="inlineStr">
        <is>
          <t>SDN</t>
        </is>
      </c>
      <c r="DF102" t="inlineStr">
        <is>
          <t>SDN</t>
        </is>
      </c>
      <c r="DG102" t="inlineStr">
        <is>
          <t>SDN</t>
        </is>
      </c>
      <c r="DH102" t="inlineStr">
        <is>
          <t>SSD</t>
        </is>
      </c>
      <c r="DI102" t="inlineStr">
        <is>
          <t>SSD</t>
        </is>
      </c>
      <c r="DJ102" t="inlineStr">
        <is>
          <t>SDN</t>
        </is>
      </c>
      <c r="DK102" t="inlineStr">
        <is>
          <t>SDN</t>
        </is>
      </c>
      <c r="DL102" t="inlineStr">
        <is>
          <t>SDN</t>
        </is>
      </c>
      <c r="DM102" t="inlineStr">
        <is>
          <t>SDN</t>
        </is>
      </c>
      <c r="DN102" t="inlineStr">
        <is>
          <t>SDN</t>
        </is>
      </c>
      <c r="DO102" t="inlineStr">
        <is>
          <t>SDN</t>
        </is>
      </c>
      <c r="DP102" t="inlineStr">
        <is>
          <t>SDN</t>
        </is>
      </c>
      <c r="DQ102" t="inlineStr">
        <is>
          <t>SDN</t>
        </is>
      </c>
      <c r="DR102" t="inlineStr">
        <is>
          <t>SDN</t>
        </is>
      </c>
      <c r="DS102" t="inlineStr">
        <is>
          <t>SDN</t>
        </is>
      </c>
      <c r="DT102" t="inlineStr">
        <is>
          <t>SDN</t>
        </is>
      </c>
      <c r="DU102" t="inlineStr">
        <is>
          <t>SSD</t>
        </is>
      </c>
      <c r="DV102" t="inlineStr">
        <is>
          <t>SSD</t>
        </is>
      </c>
      <c r="DW102" t="inlineStr">
        <is>
          <t>SSD</t>
        </is>
      </c>
      <c r="DX102" t="inlineStr">
        <is>
          <t>SSD</t>
        </is>
      </c>
      <c r="DY102" t="inlineStr">
        <is>
          <t>SDN</t>
        </is>
      </c>
      <c r="DZ102" t="inlineStr">
        <is>
          <t>ETH</t>
        </is>
      </c>
      <c r="EA102" t="inlineStr">
        <is>
          <t>ETH</t>
        </is>
      </c>
      <c r="EB102" t="inlineStr">
        <is>
          <t>ETH</t>
        </is>
      </c>
      <c r="EC102" t="inlineStr">
        <is>
          <t>ETH</t>
        </is>
      </c>
      <c r="ED102" t="inlineStr">
        <is>
          <t>ETH</t>
        </is>
      </c>
      <c r="EE102" t="inlineStr">
        <is>
          <t>ETH</t>
        </is>
      </c>
      <c r="EF102" t="inlineStr">
        <is>
          <t>ETH</t>
        </is>
      </c>
      <c r="EG102" t="inlineStr">
        <is>
          <t>ETH</t>
        </is>
      </c>
      <c r="EH102" t="inlineStr">
        <is>
          <t>ETH</t>
        </is>
      </c>
      <c r="EI102" t="inlineStr">
        <is>
          <t>ETH</t>
        </is>
      </c>
      <c r="EJ102" t="inlineStr">
        <is>
          <t>ETH</t>
        </is>
      </c>
      <c r="EK102" t="inlineStr">
        <is>
          <t>ETH</t>
        </is>
      </c>
      <c r="EL102" t="inlineStr">
        <is>
          <t>ETH</t>
        </is>
      </c>
      <c r="EM102" t="inlineStr">
        <is>
          <t>ETH</t>
        </is>
      </c>
      <c r="EN102" t="inlineStr">
        <is>
          <t>ETH</t>
        </is>
      </c>
      <c r="EO102" t="inlineStr">
        <is>
          <t>ETH</t>
        </is>
      </c>
      <c r="EP102" t="inlineStr">
        <is>
          <t>ETH</t>
        </is>
      </c>
      <c r="EQ102" t="inlineStr">
        <is>
          <t>ETH</t>
        </is>
      </c>
      <c r="ER102" t="inlineStr">
        <is>
          <t>SOL</t>
        </is>
      </c>
      <c r="ES102" t="inlineStr">
        <is>
          <t>SOL</t>
        </is>
      </c>
      <c r="ET102" t="inlineStr">
        <is>
          <t>SOL</t>
        </is>
      </c>
      <c r="EU102" t="inlineStr">
        <is>
          <t>SOL</t>
        </is>
      </c>
      <c r="EV102" t="inlineStr">
        <is>
          <t>SOL</t>
        </is>
      </c>
      <c r="EW102" t="inlineStr">
        <is>
          <t>SOL</t>
        </is>
      </c>
      <c r="EX102" t="inlineStr">
        <is>
          <t>SOL</t>
        </is>
      </c>
      <c r="EY102" t="inlineStr">
        <is>
          <t>SOL</t>
        </is>
      </c>
      <c r="EZ102" t="inlineStr">
        <is>
          <t>SOL</t>
        </is>
      </c>
      <c r="FA102" t="inlineStr">
        <is>
          <t>SOL</t>
        </is>
      </c>
      <c r="FB102" t="inlineStr">
        <is>
          <t>SOL</t>
        </is>
      </c>
      <c r="FC102" t="inlineStr">
        <is>
          <t>SOL</t>
        </is>
      </c>
      <c r="FD102" t="inlineStr">
        <is>
          <t>SOM</t>
        </is>
      </c>
      <c r="FE102" t="inlineStr">
        <is>
          <t>SOM</t>
        </is>
      </c>
      <c r="FF102" t="inlineStr">
        <is>
          <t>SOM</t>
        </is>
      </c>
      <c r="FG102" t="inlineStr">
        <is>
          <t>SOM</t>
        </is>
      </c>
      <c r="HF102" t="inlineStr">
        <is>
          <t>IND</t>
        </is>
      </c>
      <c r="HG102" t="inlineStr">
        <is>
          <t>IND</t>
        </is>
      </c>
      <c r="HH102" t="inlineStr">
        <is>
          <t>IND</t>
        </is>
      </c>
      <c r="HI102" t="inlineStr">
        <is>
          <t>IND</t>
        </is>
      </c>
      <c r="HJ102" t="inlineStr">
        <is>
          <t>IND</t>
        </is>
      </c>
      <c r="HK102" t="inlineStr">
        <is>
          <t>IND</t>
        </is>
      </c>
      <c r="HL102" t="inlineStr">
        <is>
          <t>IND</t>
        </is>
      </c>
      <c r="IY102" t="inlineStr">
        <is>
          <t>THA</t>
        </is>
      </c>
      <c r="IZ102" t="inlineStr">
        <is>
          <t>THA</t>
        </is>
      </c>
      <c r="JK102" t="inlineStr">
        <is>
          <t>VNM</t>
        </is>
      </c>
      <c r="JL102" t="inlineStr">
        <is>
          <t>VNM</t>
        </is>
      </c>
      <c r="JM102" t="inlineStr">
        <is>
          <t>VNM</t>
        </is>
      </c>
      <c r="JN102" t="inlineStr">
        <is>
          <t>VNM</t>
        </is>
      </c>
      <c r="JO102" t="inlineStr">
        <is>
          <t>VNM</t>
        </is>
      </c>
    </row>
    <row r="103">
      <c r="AF103" t="inlineStr">
        <is>
          <t>GIN</t>
        </is>
      </c>
      <c r="AG103" t="inlineStr">
        <is>
          <t>GIN</t>
        </is>
      </c>
      <c r="AH103" t="inlineStr">
        <is>
          <t>GIN</t>
        </is>
      </c>
      <c r="AI103" t="inlineStr">
        <is>
          <t>GIN</t>
        </is>
      </c>
      <c r="AJ103" t="inlineStr">
        <is>
          <t>GIN</t>
        </is>
      </c>
      <c r="AK103" t="inlineStr">
        <is>
          <t>GIN</t>
        </is>
      </c>
      <c r="AL103" t="inlineStr">
        <is>
          <t>GIN</t>
        </is>
      </c>
      <c r="AM103" t="inlineStr">
        <is>
          <t>GIN</t>
        </is>
      </c>
      <c r="AN103" t="inlineStr">
        <is>
          <t>GIN</t>
        </is>
      </c>
      <c r="AO103" t="inlineStr">
        <is>
          <t>GIN</t>
        </is>
      </c>
      <c r="AP103" t="inlineStr">
        <is>
          <t>GIN</t>
        </is>
      </c>
      <c r="AQ103" t="inlineStr">
        <is>
          <t>GIN</t>
        </is>
      </c>
      <c r="AR103" t="inlineStr">
        <is>
          <t>GIN</t>
        </is>
      </c>
      <c r="AS103" t="inlineStr">
        <is>
          <t>MLI</t>
        </is>
      </c>
      <c r="AT103" t="inlineStr">
        <is>
          <t>MLI</t>
        </is>
      </c>
      <c r="AU103" t="inlineStr">
        <is>
          <t>MLI</t>
        </is>
      </c>
      <c r="AV103" t="inlineStr">
        <is>
          <t>MLI</t>
        </is>
      </c>
      <c r="AW103" t="inlineStr">
        <is>
          <t>MLI</t>
        </is>
      </c>
      <c r="AX103" t="inlineStr">
        <is>
          <t>MLI</t>
        </is>
      </c>
      <c r="AY103" t="inlineStr">
        <is>
          <t>BFA</t>
        </is>
      </c>
      <c r="AZ103" t="inlineStr">
        <is>
          <t>BFA</t>
        </is>
      </c>
      <c r="BA103" t="inlineStr">
        <is>
          <t>BFA</t>
        </is>
      </c>
      <c r="BB103" t="inlineStr">
        <is>
          <t>BFA</t>
        </is>
      </c>
      <c r="BC103" t="inlineStr">
        <is>
          <t>BFA</t>
        </is>
      </c>
      <c r="BD103" t="inlineStr">
        <is>
          <t>GHA</t>
        </is>
      </c>
      <c r="BE103" t="inlineStr">
        <is>
          <t>GHA</t>
        </is>
      </c>
      <c r="BF103" t="inlineStr">
        <is>
          <t>GHA</t>
        </is>
      </c>
      <c r="BG103" t="inlineStr">
        <is>
          <t>GHA</t>
        </is>
      </c>
      <c r="BH103" t="inlineStr">
        <is>
          <t>GHA</t>
        </is>
      </c>
      <c r="BI103" t="inlineStr">
        <is>
          <t>GHA</t>
        </is>
      </c>
      <c r="BJ103" t="inlineStr">
        <is>
          <t>TGO</t>
        </is>
      </c>
      <c r="BK103" t="inlineStr">
        <is>
          <t>TGO</t>
        </is>
      </c>
      <c r="BL103" t="inlineStr">
        <is>
          <t>BEN</t>
        </is>
      </c>
      <c r="BM103" t="inlineStr">
        <is>
          <t>BEN</t>
        </is>
      </c>
      <c r="BN103" t="inlineStr">
        <is>
          <t>BEN</t>
        </is>
      </c>
      <c r="BO103" t="inlineStr">
        <is>
          <t>BEN</t>
        </is>
      </c>
      <c r="BP103" t="inlineStr">
        <is>
          <t>BEN</t>
        </is>
      </c>
      <c r="BQ103" t="inlineStr">
        <is>
          <t>BEN</t>
        </is>
      </c>
      <c r="BR103" t="inlineStr">
        <is>
          <t>NGA</t>
        </is>
      </c>
      <c r="BS103" t="inlineStr">
        <is>
          <t>NGA</t>
        </is>
      </c>
      <c r="BT103" t="inlineStr">
        <is>
          <t>NGA</t>
        </is>
      </c>
      <c r="BU103" t="inlineStr">
        <is>
          <t>NGA</t>
        </is>
      </c>
      <c r="BV103" t="inlineStr">
        <is>
          <t>NGA</t>
        </is>
      </c>
      <c r="BW103" t="inlineStr">
        <is>
          <t>NGA</t>
        </is>
      </c>
      <c r="BX103" t="inlineStr">
        <is>
          <t>NGA</t>
        </is>
      </c>
      <c r="BY103" t="inlineStr">
        <is>
          <t>NGA</t>
        </is>
      </c>
      <c r="BZ103" t="inlineStr">
        <is>
          <t>NGA</t>
        </is>
      </c>
      <c r="CA103" t="inlineStr">
        <is>
          <t>NGA</t>
        </is>
      </c>
      <c r="CB103" t="inlineStr">
        <is>
          <t>NGA</t>
        </is>
      </c>
      <c r="CC103" t="inlineStr">
        <is>
          <t>NGA</t>
        </is>
      </c>
      <c r="CD103" t="inlineStr">
        <is>
          <t>NGA</t>
        </is>
      </c>
      <c r="CE103" t="inlineStr">
        <is>
          <t>NGA</t>
        </is>
      </c>
      <c r="CF103" t="inlineStr">
        <is>
          <t>NGA</t>
        </is>
      </c>
      <c r="CG103" t="inlineStr">
        <is>
          <t>NGA</t>
        </is>
      </c>
      <c r="CH103" t="inlineStr">
        <is>
          <t>NGA</t>
        </is>
      </c>
      <c r="CI103" t="inlineStr">
        <is>
          <t>NGA</t>
        </is>
      </c>
      <c r="CJ103" t="inlineStr">
        <is>
          <t>NGA</t>
        </is>
      </c>
      <c r="CK103" t="inlineStr">
        <is>
          <t>CMR</t>
        </is>
      </c>
      <c r="CL103" t="inlineStr">
        <is>
          <t>CMR</t>
        </is>
      </c>
      <c r="CM103" t="inlineStr">
        <is>
          <t>CMR</t>
        </is>
      </c>
      <c r="CN103" t="inlineStr">
        <is>
          <t>TCD</t>
        </is>
      </c>
      <c r="CO103" t="inlineStr">
        <is>
          <t>TCD</t>
        </is>
      </c>
      <c r="CP103" t="inlineStr">
        <is>
          <t>TCD</t>
        </is>
      </c>
      <c r="CQ103" t="inlineStr">
        <is>
          <t>TCD</t>
        </is>
      </c>
      <c r="CR103" t="inlineStr">
        <is>
          <t>TCD</t>
        </is>
      </c>
      <c r="CS103" t="inlineStr">
        <is>
          <t>TCD</t>
        </is>
      </c>
      <c r="CT103" t="inlineStr">
        <is>
          <t>TCD</t>
        </is>
      </c>
      <c r="CU103" t="inlineStr">
        <is>
          <t>TCD</t>
        </is>
      </c>
      <c r="CV103" t="inlineStr">
        <is>
          <t>TCD</t>
        </is>
      </c>
      <c r="CW103" t="inlineStr">
        <is>
          <t>TCD</t>
        </is>
      </c>
      <c r="CX103" t="inlineStr">
        <is>
          <t>TCD</t>
        </is>
      </c>
      <c r="CY103" t="inlineStr">
        <is>
          <t>TCD</t>
        </is>
      </c>
      <c r="CZ103" t="inlineStr">
        <is>
          <t>TCD</t>
        </is>
      </c>
      <c r="DA103" t="inlineStr">
        <is>
          <t>TCD</t>
        </is>
      </c>
      <c r="DB103" t="inlineStr">
        <is>
          <t>CAF</t>
        </is>
      </c>
      <c r="DC103" t="inlineStr">
        <is>
          <t>CAF</t>
        </is>
      </c>
      <c r="DD103" t="inlineStr">
        <is>
          <t>SDN</t>
        </is>
      </c>
      <c r="DE103" t="inlineStr">
        <is>
          <t>SDN</t>
        </is>
      </c>
      <c r="DF103" t="inlineStr">
        <is>
          <t>SDN</t>
        </is>
      </c>
      <c r="DG103" t="inlineStr">
        <is>
          <t>SDN</t>
        </is>
      </c>
      <c r="DH103" t="inlineStr">
        <is>
          <t>SDN</t>
        </is>
      </c>
      <c r="DI103" t="inlineStr">
        <is>
          <t>SDN</t>
        </is>
      </c>
      <c r="DJ103" t="inlineStr">
        <is>
          <t>SDN</t>
        </is>
      </c>
      <c r="DK103" t="inlineStr">
        <is>
          <t>SDN</t>
        </is>
      </c>
      <c r="DL103" t="inlineStr">
        <is>
          <t>SDN</t>
        </is>
      </c>
      <c r="DM103" t="inlineStr">
        <is>
          <t>SDN</t>
        </is>
      </c>
      <c r="DN103" t="inlineStr">
        <is>
          <t>SDN</t>
        </is>
      </c>
      <c r="DO103" t="inlineStr">
        <is>
          <t>SDN</t>
        </is>
      </c>
      <c r="DP103" t="inlineStr">
        <is>
          <t>SDN</t>
        </is>
      </c>
      <c r="DQ103" t="inlineStr">
        <is>
          <t>SDN</t>
        </is>
      </c>
      <c r="DR103" t="inlineStr">
        <is>
          <t>SDN</t>
        </is>
      </c>
      <c r="DS103" t="inlineStr">
        <is>
          <t>SDN</t>
        </is>
      </c>
      <c r="DT103" t="inlineStr">
        <is>
          <t>SDN</t>
        </is>
      </c>
      <c r="DU103" t="inlineStr">
        <is>
          <t>SDN</t>
        </is>
      </c>
      <c r="DV103" t="inlineStr">
        <is>
          <t>SSD</t>
        </is>
      </c>
      <c r="DW103" t="inlineStr">
        <is>
          <t>SSD</t>
        </is>
      </c>
      <c r="DX103" t="inlineStr">
        <is>
          <t>SDN</t>
        </is>
      </c>
      <c r="DY103" t="inlineStr">
        <is>
          <t>SDN</t>
        </is>
      </c>
      <c r="DZ103" t="inlineStr">
        <is>
          <t>SDN</t>
        </is>
      </c>
      <c r="EA103" t="inlineStr">
        <is>
          <t>ETH</t>
        </is>
      </c>
      <c r="EB103" t="inlineStr">
        <is>
          <t>ETH</t>
        </is>
      </c>
      <c r="EC103" t="inlineStr">
        <is>
          <t>ETH</t>
        </is>
      </c>
      <c r="ED103" t="inlineStr">
        <is>
          <t>ETH</t>
        </is>
      </c>
      <c r="EE103" t="inlineStr">
        <is>
          <t>ETH</t>
        </is>
      </c>
      <c r="EF103" t="inlineStr">
        <is>
          <t>ETH</t>
        </is>
      </c>
      <c r="EG103" t="inlineStr">
        <is>
          <t>ETH</t>
        </is>
      </c>
      <c r="EH103" t="inlineStr">
        <is>
          <t>ETH</t>
        </is>
      </c>
      <c r="EI103" t="inlineStr">
        <is>
          <t>ETH</t>
        </is>
      </c>
      <c r="EJ103" t="inlineStr">
        <is>
          <t>ETH</t>
        </is>
      </c>
      <c r="EK103" t="inlineStr">
        <is>
          <t>ETH</t>
        </is>
      </c>
      <c r="EL103" t="inlineStr">
        <is>
          <t>ETH</t>
        </is>
      </c>
      <c r="EM103" t="inlineStr">
        <is>
          <t>ETH</t>
        </is>
      </c>
      <c r="EN103" t="inlineStr">
        <is>
          <t>ETH</t>
        </is>
      </c>
      <c r="EO103" t="inlineStr">
        <is>
          <t>ETH</t>
        </is>
      </c>
      <c r="EP103" t="inlineStr">
        <is>
          <t>ETH</t>
        </is>
      </c>
      <c r="EQ103" t="inlineStr">
        <is>
          <t>SOL</t>
        </is>
      </c>
      <c r="ER103" t="inlineStr">
        <is>
          <t>SOL</t>
        </is>
      </c>
      <c r="ES103" t="inlineStr">
        <is>
          <t>SOL</t>
        </is>
      </c>
      <c r="EX103" t="inlineStr">
        <is>
          <t>SOL</t>
        </is>
      </c>
      <c r="EY103" t="inlineStr">
        <is>
          <t>SOL</t>
        </is>
      </c>
      <c r="EZ103" t="inlineStr">
        <is>
          <t>SOL</t>
        </is>
      </c>
      <c r="FA103" t="inlineStr">
        <is>
          <t>SOL</t>
        </is>
      </c>
      <c r="FB103" t="inlineStr">
        <is>
          <t>SOL</t>
        </is>
      </c>
      <c r="FC103" t="inlineStr">
        <is>
          <t>SOL</t>
        </is>
      </c>
      <c r="FD103" t="inlineStr">
        <is>
          <t>SOM</t>
        </is>
      </c>
      <c r="FE103" t="inlineStr">
        <is>
          <t>SOM</t>
        </is>
      </c>
      <c r="FF103" t="inlineStr">
        <is>
          <t>SOM</t>
        </is>
      </c>
      <c r="FG103" t="inlineStr">
        <is>
          <t>SOM</t>
        </is>
      </c>
      <c r="HF103" t="inlineStr">
        <is>
          <t>IND</t>
        </is>
      </c>
      <c r="HG103" t="inlineStr">
        <is>
          <t>IND</t>
        </is>
      </c>
      <c r="HH103" t="inlineStr">
        <is>
          <t>IND</t>
        </is>
      </c>
      <c r="HI103" t="inlineStr">
        <is>
          <t>IND</t>
        </is>
      </c>
      <c r="HJ103" t="inlineStr">
        <is>
          <t>IND</t>
        </is>
      </c>
      <c r="HK103" t="inlineStr">
        <is>
          <t>IND</t>
        </is>
      </c>
      <c r="HL103" t="inlineStr">
        <is>
          <t>IND</t>
        </is>
      </c>
      <c r="HM103" t="inlineStr">
        <is>
          <t>IND</t>
        </is>
      </c>
      <c r="IY103" t="inlineStr">
        <is>
          <t>MMR</t>
        </is>
      </c>
      <c r="IZ103" t="inlineStr">
        <is>
          <t>THA</t>
        </is>
      </c>
      <c r="JI103" t="inlineStr">
        <is>
          <t>KHM</t>
        </is>
      </c>
      <c r="JJ103" t="inlineStr">
        <is>
          <t>KHM</t>
        </is>
      </c>
      <c r="JK103" t="inlineStr">
        <is>
          <t>KHM</t>
        </is>
      </c>
      <c r="JL103" t="inlineStr">
        <is>
          <t>VNM</t>
        </is>
      </c>
      <c r="JM103" t="inlineStr">
        <is>
          <t>VNM</t>
        </is>
      </c>
      <c r="JN103" t="inlineStr">
        <is>
          <t>VNM</t>
        </is>
      </c>
      <c r="JO103" t="inlineStr">
        <is>
          <t>VNM</t>
        </is>
      </c>
      <c r="JP103" t="inlineStr">
        <is>
          <t>VNM</t>
        </is>
      </c>
      <c r="JQ103" t="inlineStr">
        <is>
          <t>VNM</t>
        </is>
      </c>
    </row>
    <row r="104">
      <c r="AE104" t="inlineStr">
        <is>
          <t>GNB</t>
        </is>
      </c>
      <c r="AF104" t="inlineStr">
        <is>
          <t>GIN</t>
        </is>
      </c>
      <c r="AG104" t="inlineStr">
        <is>
          <t>GIN</t>
        </is>
      </c>
      <c r="AH104" t="inlineStr">
        <is>
          <t>GIN</t>
        </is>
      </c>
      <c r="AI104" t="inlineStr">
        <is>
          <t>GIN</t>
        </is>
      </c>
      <c r="AJ104" t="inlineStr">
        <is>
          <t>GIN</t>
        </is>
      </c>
      <c r="AK104" t="inlineStr">
        <is>
          <t>GIN</t>
        </is>
      </c>
      <c r="AL104" t="inlineStr">
        <is>
          <t>GIN</t>
        </is>
      </c>
      <c r="AM104" t="inlineStr">
        <is>
          <t>GIN</t>
        </is>
      </c>
      <c r="AN104" t="inlineStr">
        <is>
          <t>GIN</t>
        </is>
      </c>
      <c r="AO104" t="inlineStr">
        <is>
          <t>GIN</t>
        </is>
      </c>
      <c r="AP104" t="inlineStr">
        <is>
          <t>GIN</t>
        </is>
      </c>
      <c r="AQ104" t="inlineStr">
        <is>
          <t>GIN</t>
        </is>
      </c>
      <c r="AR104" t="inlineStr">
        <is>
          <t>GIN</t>
        </is>
      </c>
      <c r="AS104" t="inlineStr">
        <is>
          <t>MLI</t>
        </is>
      </c>
      <c r="AT104" t="inlineStr">
        <is>
          <t>MLI</t>
        </is>
      </c>
      <c r="AU104" t="inlineStr">
        <is>
          <t>MLI</t>
        </is>
      </c>
      <c r="AV104" t="inlineStr">
        <is>
          <t>MLI</t>
        </is>
      </c>
      <c r="AW104" t="inlineStr">
        <is>
          <t>MLI</t>
        </is>
      </c>
      <c r="AX104" t="inlineStr">
        <is>
          <t>MLI</t>
        </is>
      </c>
      <c r="AY104" t="inlineStr">
        <is>
          <t>BFA</t>
        </is>
      </c>
      <c r="AZ104" t="inlineStr">
        <is>
          <t>BFA</t>
        </is>
      </c>
      <c r="BA104" t="inlineStr">
        <is>
          <t>BFA</t>
        </is>
      </c>
      <c r="BB104" t="inlineStr">
        <is>
          <t>BFA</t>
        </is>
      </c>
      <c r="BC104" t="inlineStr">
        <is>
          <t>BFA</t>
        </is>
      </c>
      <c r="BD104" t="inlineStr">
        <is>
          <t>BFA</t>
        </is>
      </c>
      <c r="BE104" t="inlineStr">
        <is>
          <t>BFA</t>
        </is>
      </c>
      <c r="BF104" t="inlineStr">
        <is>
          <t>BFA</t>
        </is>
      </c>
      <c r="BG104" t="inlineStr">
        <is>
          <t>BFA</t>
        </is>
      </c>
      <c r="BH104" t="inlineStr">
        <is>
          <t>BFA</t>
        </is>
      </c>
      <c r="BI104" t="inlineStr">
        <is>
          <t>BFA</t>
        </is>
      </c>
      <c r="BJ104" t="inlineStr">
        <is>
          <t>BFA</t>
        </is>
      </c>
      <c r="BK104" t="inlineStr">
        <is>
          <t>BFA</t>
        </is>
      </c>
      <c r="BL104" t="inlineStr">
        <is>
          <t>BFA</t>
        </is>
      </c>
      <c r="BM104" t="inlineStr">
        <is>
          <t>BEN</t>
        </is>
      </c>
      <c r="BN104" t="inlineStr">
        <is>
          <t>BEN</t>
        </is>
      </c>
      <c r="BO104" t="inlineStr">
        <is>
          <t>BEN</t>
        </is>
      </c>
      <c r="BP104" t="inlineStr">
        <is>
          <t>BEN</t>
        </is>
      </c>
      <c r="BQ104" t="inlineStr">
        <is>
          <t>NGA</t>
        </is>
      </c>
      <c r="BR104" t="inlineStr">
        <is>
          <t>NGA</t>
        </is>
      </c>
      <c r="BS104" t="inlineStr">
        <is>
          <t>NGA</t>
        </is>
      </c>
      <c r="BT104" t="inlineStr">
        <is>
          <t>NGA</t>
        </is>
      </c>
      <c r="BU104" t="inlineStr">
        <is>
          <t>NGA</t>
        </is>
      </c>
      <c r="BV104" t="inlineStr">
        <is>
          <t>NGA</t>
        </is>
      </c>
      <c r="BW104" t="inlineStr">
        <is>
          <t>NGA</t>
        </is>
      </c>
      <c r="BX104" t="inlineStr">
        <is>
          <t>NGA</t>
        </is>
      </c>
      <c r="BY104" t="inlineStr">
        <is>
          <t>NGA</t>
        </is>
      </c>
      <c r="BZ104" t="inlineStr">
        <is>
          <t>NGA</t>
        </is>
      </c>
      <c r="CA104" t="inlineStr">
        <is>
          <t>NGA</t>
        </is>
      </c>
      <c r="CB104" t="inlineStr">
        <is>
          <t>NGA</t>
        </is>
      </c>
      <c r="CC104" t="inlineStr">
        <is>
          <t>NGA</t>
        </is>
      </c>
      <c r="CD104" t="inlineStr">
        <is>
          <t>NGA</t>
        </is>
      </c>
      <c r="CE104" t="inlineStr">
        <is>
          <t>NGA</t>
        </is>
      </c>
      <c r="CF104" t="inlineStr">
        <is>
          <t>NGA</t>
        </is>
      </c>
      <c r="CG104" t="inlineStr">
        <is>
          <t>NGA</t>
        </is>
      </c>
      <c r="CH104" t="inlineStr">
        <is>
          <t>NGA</t>
        </is>
      </c>
      <c r="CI104" t="inlineStr">
        <is>
          <t>NGA</t>
        </is>
      </c>
      <c r="CJ104" t="inlineStr">
        <is>
          <t>NGA</t>
        </is>
      </c>
      <c r="CK104" t="inlineStr">
        <is>
          <t>NGA</t>
        </is>
      </c>
      <c r="CL104" t="inlineStr">
        <is>
          <t>CMR</t>
        </is>
      </c>
      <c r="CM104" t="inlineStr">
        <is>
          <t>CMR</t>
        </is>
      </c>
      <c r="CN104" t="inlineStr">
        <is>
          <t>TCD</t>
        </is>
      </c>
      <c r="CO104" t="inlineStr">
        <is>
          <t>TCD</t>
        </is>
      </c>
      <c r="CP104" t="inlineStr">
        <is>
          <t>TCD</t>
        </is>
      </c>
      <c r="CQ104" t="inlineStr">
        <is>
          <t>TCD</t>
        </is>
      </c>
      <c r="CR104" t="inlineStr">
        <is>
          <t>TCD</t>
        </is>
      </c>
      <c r="CS104" t="inlineStr">
        <is>
          <t>TCD</t>
        </is>
      </c>
      <c r="CT104" t="inlineStr">
        <is>
          <t>TCD</t>
        </is>
      </c>
      <c r="CU104" t="inlineStr">
        <is>
          <t>TCD</t>
        </is>
      </c>
      <c r="CV104" t="inlineStr">
        <is>
          <t>TCD</t>
        </is>
      </c>
      <c r="CW104" t="inlineStr">
        <is>
          <t>TCD</t>
        </is>
      </c>
      <c r="CX104" t="inlineStr">
        <is>
          <t>TCD</t>
        </is>
      </c>
      <c r="CY104" t="inlineStr">
        <is>
          <t>TCD</t>
        </is>
      </c>
      <c r="CZ104" t="inlineStr">
        <is>
          <t>TCD</t>
        </is>
      </c>
      <c r="DA104" t="inlineStr">
        <is>
          <t>TCD</t>
        </is>
      </c>
      <c r="DB104" t="inlineStr">
        <is>
          <t>TCD</t>
        </is>
      </c>
      <c r="DC104" t="inlineStr">
        <is>
          <t>TCD</t>
        </is>
      </c>
      <c r="DD104" t="inlineStr">
        <is>
          <t>SDN</t>
        </is>
      </c>
      <c r="DE104" t="inlineStr">
        <is>
          <t>SDN</t>
        </is>
      </c>
      <c r="DF104" t="inlineStr">
        <is>
          <t>SDN</t>
        </is>
      </c>
      <c r="DG104" t="inlineStr">
        <is>
          <t>SDN</t>
        </is>
      </c>
      <c r="DH104" t="inlineStr">
        <is>
          <t>SDN</t>
        </is>
      </c>
      <c r="DI104" t="inlineStr">
        <is>
          <t>SDN</t>
        </is>
      </c>
      <c r="DJ104" t="inlineStr">
        <is>
          <t>SDN</t>
        </is>
      </c>
      <c r="DK104" t="inlineStr">
        <is>
          <t>SDN</t>
        </is>
      </c>
      <c r="DL104" t="inlineStr">
        <is>
          <t>SDN</t>
        </is>
      </c>
      <c r="DM104" t="inlineStr">
        <is>
          <t>SDN</t>
        </is>
      </c>
      <c r="DN104" t="inlineStr">
        <is>
          <t>SDN</t>
        </is>
      </c>
      <c r="DO104" t="inlineStr">
        <is>
          <t>SDN</t>
        </is>
      </c>
      <c r="DP104" t="inlineStr">
        <is>
          <t>SDN</t>
        </is>
      </c>
      <c r="DQ104" t="inlineStr">
        <is>
          <t>SDN</t>
        </is>
      </c>
      <c r="DR104" t="inlineStr">
        <is>
          <t>SDN</t>
        </is>
      </c>
      <c r="DS104" t="inlineStr">
        <is>
          <t>SDN</t>
        </is>
      </c>
      <c r="DT104" t="inlineStr">
        <is>
          <t>SDN</t>
        </is>
      </c>
      <c r="DU104" t="inlineStr">
        <is>
          <t>SDN</t>
        </is>
      </c>
      <c r="DV104" t="inlineStr">
        <is>
          <t>SDN</t>
        </is>
      </c>
      <c r="DW104" t="inlineStr">
        <is>
          <t>SSD</t>
        </is>
      </c>
      <c r="DX104" t="inlineStr">
        <is>
          <t>SDN</t>
        </is>
      </c>
      <c r="DY104" t="inlineStr">
        <is>
          <t>SDN</t>
        </is>
      </c>
      <c r="DZ104" t="inlineStr">
        <is>
          <t>SDN</t>
        </is>
      </c>
      <c r="EA104" t="inlineStr">
        <is>
          <t>SDN</t>
        </is>
      </c>
      <c r="EB104" t="inlineStr">
        <is>
          <t>ETH</t>
        </is>
      </c>
      <c r="EC104" t="inlineStr">
        <is>
          <t>ETH</t>
        </is>
      </c>
      <c r="ED104" t="inlineStr">
        <is>
          <t>ETH</t>
        </is>
      </c>
      <c r="EE104" t="inlineStr">
        <is>
          <t>ETH</t>
        </is>
      </c>
      <c r="EF104" t="inlineStr">
        <is>
          <t>ETH</t>
        </is>
      </c>
      <c r="EG104" t="inlineStr">
        <is>
          <t>ETH</t>
        </is>
      </c>
      <c r="EH104" t="inlineStr">
        <is>
          <t>ETH</t>
        </is>
      </c>
      <c r="EI104" t="inlineStr">
        <is>
          <t>ETH</t>
        </is>
      </c>
      <c r="EJ104" t="inlineStr">
        <is>
          <t>ETH</t>
        </is>
      </c>
      <c r="EK104" t="inlineStr">
        <is>
          <t>ETH</t>
        </is>
      </c>
      <c r="EL104" t="inlineStr">
        <is>
          <t>ETH</t>
        </is>
      </c>
      <c r="EM104" t="inlineStr">
        <is>
          <t>ETH</t>
        </is>
      </c>
      <c r="EN104" t="inlineStr">
        <is>
          <t>ETH</t>
        </is>
      </c>
      <c r="EO104" t="inlineStr">
        <is>
          <t>DJI</t>
        </is>
      </c>
      <c r="EP104" t="inlineStr">
        <is>
          <t>DJI</t>
        </is>
      </c>
      <c r="EQ104" t="inlineStr">
        <is>
          <t>DJI</t>
        </is>
      </c>
      <c r="ER104" t="inlineStr">
        <is>
          <t>SOL</t>
        </is>
      </c>
      <c r="FB104" t="inlineStr">
        <is>
          <t>SOL</t>
        </is>
      </c>
      <c r="FC104" t="inlineStr">
        <is>
          <t>SOL</t>
        </is>
      </c>
      <c r="FD104" t="inlineStr">
        <is>
          <t>SOM</t>
        </is>
      </c>
      <c r="FE104" t="inlineStr">
        <is>
          <t>SOM</t>
        </is>
      </c>
      <c r="FF104" t="inlineStr">
        <is>
          <t>SOM</t>
        </is>
      </c>
      <c r="FG104" t="inlineStr">
        <is>
          <t>SOM</t>
        </is>
      </c>
      <c r="HF104" t="inlineStr">
        <is>
          <t>IND</t>
        </is>
      </c>
      <c r="HG104" t="inlineStr">
        <is>
          <t>IND</t>
        </is>
      </c>
      <c r="HH104" t="inlineStr">
        <is>
          <t>IND</t>
        </is>
      </c>
      <c r="HI104" t="inlineStr">
        <is>
          <t>IND</t>
        </is>
      </c>
      <c r="HJ104" t="inlineStr">
        <is>
          <t>IND</t>
        </is>
      </c>
      <c r="HK104" t="inlineStr">
        <is>
          <t>IND</t>
        </is>
      </c>
      <c r="HL104" t="inlineStr">
        <is>
          <t>IND</t>
        </is>
      </c>
      <c r="HM104" t="inlineStr">
        <is>
          <t>IND</t>
        </is>
      </c>
      <c r="IY104" t="inlineStr">
        <is>
          <t>MMR</t>
        </is>
      </c>
      <c r="IZ104" t="inlineStr">
        <is>
          <t>THA</t>
        </is>
      </c>
      <c r="JH104" t="inlineStr">
        <is>
          <t>KHM</t>
        </is>
      </c>
      <c r="JI104" t="inlineStr">
        <is>
          <t>KHM</t>
        </is>
      </c>
      <c r="JJ104" t="inlineStr">
        <is>
          <t>KHM</t>
        </is>
      </c>
      <c r="JK104" t="inlineStr">
        <is>
          <t>KHM</t>
        </is>
      </c>
      <c r="JL104" t="inlineStr">
        <is>
          <t>KHM</t>
        </is>
      </c>
      <c r="JM104" t="inlineStr">
        <is>
          <t>KHM</t>
        </is>
      </c>
      <c r="JN104" t="inlineStr">
        <is>
          <t>VNM</t>
        </is>
      </c>
      <c r="JO104" t="inlineStr">
        <is>
          <t>VNM</t>
        </is>
      </c>
      <c r="JP104" t="inlineStr">
        <is>
          <t>VNM</t>
        </is>
      </c>
      <c r="JQ104" t="inlineStr">
        <is>
          <t>VNM</t>
        </is>
      </c>
      <c r="JR104" t="inlineStr">
        <is>
          <t>VNM</t>
        </is>
      </c>
    </row>
    <row r="105">
      <c r="AC105" t="inlineStr">
        <is>
          <t>GNB</t>
        </is>
      </c>
      <c r="AD105" t="inlineStr">
        <is>
          <t>GNB</t>
        </is>
      </c>
      <c r="AE105" t="inlineStr">
        <is>
          <t>GNB</t>
        </is>
      </c>
      <c r="AF105" t="inlineStr">
        <is>
          <t>GNB</t>
        </is>
      </c>
      <c r="AG105" t="inlineStr">
        <is>
          <t>GNB</t>
        </is>
      </c>
      <c r="AH105" t="inlineStr">
        <is>
          <t>GIN</t>
        </is>
      </c>
      <c r="AI105" t="inlineStr">
        <is>
          <t>GIN</t>
        </is>
      </c>
      <c r="AJ105" t="inlineStr">
        <is>
          <t>GIN</t>
        </is>
      </c>
      <c r="AK105" t="inlineStr">
        <is>
          <t>GIN</t>
        </is>
      </c>
      <c r="AL105" t="inlineStr">
        <is>
          <t>GIN</t>
        </is>
      </c>
      <c r="AM105" t="inlineStr">
        <is>
          <t>GIN</t>
        </is>
      </c>
      <c r="AN105" t="inlineStr">
        <is>
          <t>GIN</t>
        </is>
      </c>
      <c r="AO105" t="inlineStr">
        <is>
          <t>GIN</t>
        </is>
      </c>
      <c r="AP105" t="inlineStr">
        <is>
          <t>GIN</t>
        </is>
      </c>
      <c r="AQ105" t="inlineStr">
        <is>
          <t>GIN</t>
        </is>
      </c>
      <c r="AR105" t="inlineStr">
        <is>
          <t>GIN</t>
        </is>
      </c>
      <c r="AS105" t="inlineStr">
        <is>
          <t>MLI</t>
        </is>
      </c>
      <c r="AT105" t="inlineStr">
        <is>
          <t>MLI</t>
        </is>
      </c>
      <c r="AU105" t="inlineStr">
        <is>
          <t>MLI</t>
        </is>
      </c>
      <c r="AV105" t="inlineStr">
        <is>
          <t>MLI</t>
        </is>
      </c>
      <c r="AW105" t="inlineStr">
        <is>
          <t>MLI</t>
        </is>
      </c>
      <c r="AX105" t="inlineStr">
        <is>
          <t>MLI</t>
        </is>
      </c>
      <c r="AY105" t="inlineStr">
        <is>
          <t>MLI</t>
        </is>
      </c>
      <c r="AZ105" t="inlineStr">
        <is>
          <t>BFA</t>
        </is>
      </c>
      <c r="BA105" t="inlineStr">
        <is>
          <t>BFA</t>
        </is>
      </c>
      <c r="BB105" t="inlineStr">
        <is>
          <t>BFA</t>
        </is>
      </c>
      <c r="BC105" t="inlineStr">
        <is>
          <t>BFA</t>
        </is>
      </c>
      <c r="BD105" t="inlineStr">
        <is>
          <t>BFA</t>
        </is>
      </c>
      <c r="BE105" t="inlineStr">
        <is>
          <t>BFA</t>
        </is>
      </c>
      <c r="BF105" t="inlineStr">
        <is>
          <t>BFA</t>
        </is>
      </c>
      <c r="BG105" t="inlineStr">
        <is>
          <t>BFA</t>
        </is>
      </c>
      <c r="BH105" t="inlineStr">
        <is>
          <t>BFA</t>
        </is>
      </c>
      <c r="BI105" t="inlineStr">
        <is>
          <t>BFA</t>
        </is>
      </c>
      <c r="BJ105" t="inlineStr">
        <is>
          <t>BFA</t>
        </is>
      </c>
      <c r="BK105" t="inlineStr">
        <is>
          <t>BFA</t>
        </is>
      </c>
      <c r="BL105" t="inlineStr">
        <is>
          <t>BFA</t>
        </is>
      </c>
      <c r="BM105" t="inlineStr">
        <is>
          <t>BFA</t>
        </is>
      </c>
      <c r="BN105" t="inlineStr">
        <is>
          <t>BEN</t>
        </is>
      </c>
      <c r="BO105" t="inlineStr">
        <is>
          <t>BEN</t>
        </is>
      </c>
      <c r="BP105" t="inlineStr">
        <is>
          <t>BEN</t>
        </is>
      </c>
      <c r="BQ105" t="inlineStr">
        <is>
          <t>NGA</t>
        </is>
      </c>
      <c r="BR105" t="inlineStr">
        <is>
          <t>NGA</t>
        </is>
      </c>
      <c r="BS105" t="inlineStr">
        <is>
          <t>NGA</t>
        </is>
      </c>
      <c r="BT105" t="inlineStr">
        <is>
          <t>NGA</t>
        </is>
      </c>
      <c r="BU105" t="inlineStr">
        <is>
          <t>NGA</t>
        </is>
      </c>
      <c r="BV105" t="inlineStr">
        <is>
          <t>NGA</t>
        </is>
      </c>
      <c r="BW105" t="inlineStr">
        <is>
          <t>NGA</t>
        </is>
      </c>
      <c r="BX105" t="inlineStr">
        <is>
          <t>NGA</t>
        </is>
      </c>
      <c r="BY105" t="inlineStr">
        <is>
          <t>NGA</t>
        </is>
      </c>
      <c r="BZ105" t="inlineStr">
        <is>
          <t>NGA</t>
        </is>
      </c>
      <c r="CA105" t="inlineStr">
        <is>
          <t>NGA</t>
        </is>
      </c>
      <c r="CB105" t="inlineStr">
        <is>
          <t>NGA</t>
        </is>
      </c>
      <c r="CC105" t="inlineStr">
        <is>
          <t>NGA</t>
        </is>
      </c>
      <c r="CD105" t="inlineStr">
        <is>
          <t>NGA</t>
        </is>
      </c>
      <c r="CE105" t="inlineStr">
        <is>
          <t>NGA</t>
        </is>
      </c>
      <c r="CF105" t="inlineStr">
        <is>
          <t>NGA</t>
        </is>
      </c>
      <c r="CG105" t="inlineStr">
        <is>
          <t>NGA</t>
        </is>
      </c>
      <c r="CH105" t="inlineStr">
        <is>
          <t>NGA</t>
        </is>
      </c>
      <c r="CI105" t="inlineStr">
        <is>
          <t>NGA</t>
        </is>
      </c>
      <c r="CJ105" t="inlineStr">
        <is>
          <t>NGA</t>
        </is>
      </c>
      <c r="CK105" t="inlineStr">
        <is>
          <t>NGA</t>
        </is>
      </c>
      <c r="CL105" t="inlineStr">
        <is>
          <t>NGA</t>
        </is>
      </c>
      <c r="CM105" t="inlineStr">
        <is>
          <t>CMR</t>
        </is>
      </c>
      <c r="CN105" t="inlineStr">
        <is>
          <t>TCD</t>
        </is>
      </c>
      <c r="CO105" t="inlineStr">
        <is>
          <t>TCD</t>
        </is>
      </c>
      <c r="CP105" t="inlineStr">
        <is>
          <t>TCD</t>
        </is>
      </c>
      <c r="CQ105" t="inlineStr">
        <is>
          <t>TCD</t>
        </is>
      </c>
      <c r="CR105" t="inlineStr">
        <is>
          <t>TCD</t>
        </is>
      </c>
      <c r="CS105" t="inlineStr">
        <is>
          <t>TCD</t>
        </is>
      </c>
      <c r="CT105" t="inlineStr">
        <is>
          <t>TCD</t>
        </is>
      </c>
      <c r="CU105" t="inlineStr">
        <is>
          <t>TCD</t>
        </is>
      </c>
      <c r="CV105" t="inlineStr">
        <is>
          <t>TCD</t>
        </is>
      </c>
      <c r="CW105" t="inlineStr">
        <is>
          <t>TCD</t>
        </is>
      </c>
      <c r="CX105" t="inlineStr">
        <is>
          <t>TCD</t>
        </is>
      </c>
      <c r="CY105" t="inlineStr">
        <is>
          <t>TCD</t>
        </is>
      </c>
      <c r="CZ105" t="inlineStr">
        <is>
          <t>TCD</t>
        </is>
      </c>
      <c r="DA105" t="inlineStr">
        <is>
          <t>TCD</t>
        </is>
      </c>
      <c r="DB105" t="inlineStr">
        <is>
          <t>TCD</t>
        </is>
      </c>
      <c r="DC105" t="inlineStr">
        <is>
          <t>SDN</t>
        </is>
      </c>
      <c r="DD105" t="inlineStr">
        <is>
          <t>SDN</t>
        </is>
      </c>
      <c r="DE105" t="inlineStr">
        <is>
          <t>SDN</t>
        </is>
      </c>
      <c r="DF105" t="inlineStr">
        <is>
          <t>SDN</t>
        </is>
      </c>
      <c r="DG105" t="inlineStr">
        <is>
          <t>SDN</t>
        </is>
      </c>
      <c r="DH105" t="inlineStr">
        <is>
          <t>SDN</t>
        </is>
      </c>
      <c r="DI105" t="inlineStr">
        <is>
          <t>SDN</t>
        </is>
      </c>
      <c r="DJ105" t="inlineStr">
        <is>
          <t>SDN</t>
        </is>
      </c>
      <c r="DK105" t="inlineStr">
        <is>
          <t>SDN</t>
        </is>
      </c>
      <c r="DL105" t="inlineStr">
        <is>
          <t>SDN</t>
        </is>
      </c>
      <c r="DM105" t="inlineStr">
        <is>
          <t>SDN</t>
        </is>
      </c>
      <c r="DN105" t="inlineStr">
        <is>
          <t>SDN</t>
        </is>
      </c>
      <c r="DO105" t="inlineStr">
        <is>
          <t>SDN</t>
        </is>
      </c>
      <c r="DP105" t="inlineStr">
        <is>
          <t>SDN</t>
        </is>
      </c>
      <c r="DQ105" t="inlineStr">
        <is>
          <t>SDN</t>
        </is>
      </c>
      <c r="DR105" t="inlineStr">
        <is>
          <t>SDN</t>
        </is>
      </c>
      <c r="DS105" t="inlineStr">
        <is>
          <t>SDN</t>
        </is>
      </c>
      <c r="DT105" t="inlineStr">
        <is>
          <t>SDN</t>
        </is>
      </c>
      <c r="DU105" t="inlineStr">
        <is>
          <t>SDN</t>
        </is>
      </c>
      <c r="DV105" t="inlineStr">
        <is>
          <t>SDN</t>
        </is>
      </c>
      <c r="DW105" t="inlineStr">
        <is>
          <t>SSD</t>
        </is>
      </c>
      <c r="DX105" t="inlineStr">
        <is>
          <t>SDN</t>
        </is>
      </c>
      <c r="DY105" t="inlineStr">
        <is>
          <t>SDN</t>
        </is>
      </c>
      <c r="DZ105" t="inlineStr">
        <is>
          <t>SDN</t>
        </is>
      </c>
      <c r="EA105" t="inlineStr">
        <is>
          <t>SDN</t>
        </is>
      </c>
      <c r="EB105" t="inlineStr">
        <is>
          <t>ETH</t>
        </is>
      </c>
      <c r="EC105" t="inlineStr">
        <is>
          <t>ETH</t>
        </is>
      </c>
      <c r="ED105" t="inlineStr">
        <is>
          <t>ETH</t>
        </is>
      </c>
      <c r="EE105" t="inlineStr">
        <is>
          <t>ETH</t>
        </is>
      </c>
      <c r="EF105" t="inlineStr">
        <is>
          <t>ETH</t>
        </is>
      </c>
      <c r="EG105" t="inlineStr">
        <is>
          <t>ETH</t>
        </is>
      </c>
      <c r="EH105" t="inlineStr">
        <is>
          <t>ETH</t>
        </is>
      </c>
      <c r="EI105" t="inlineStr">
        <is>
          <t>ETH</t>
        </is>
      </c>
      <c r="EJ105" t="inlineStr">
        <is>
          <t>ETH</t>
        </is>
      </c>
      <c r="EK105" t="inlineStr">
        <is>
          <t>ETH</t>
        </is>
      </c>
      <c r="EL105" t="inlineStr">
        <is>
          <t>ETH</t>
        </is>
      </c>
      <c r="EM105" t="inlineStr">
        <is>
          <t>ETH</t>
        </is>
      </c>
      <c r="EN105" t="inlineStr">
        <is>
          <t>ETH</t>
        </is>
      </c>
      <c r="EO105" t="inlineStr">
        <is>
          <t>DJI</t>
        </is>
      </c>
      <c r="EP105" t="inlineStr">
        <is>
          <t>DJI</t>
        </is>
      </c>
      <c r="EQ105" t="inlineStr">
        <is>
          <t>DJI</t>
        </is>
      </c>
      <c r="FG105" t="inlineStr">
        <is>
          <t>SOM</t>
        </is>
      </c>
      <c r="HE105" t="inlineStr">
        <is>
          <t>IND</t>
        </is>
      </c>
      <c r="HF105" t="inlineStr">
        <is>
          <t>IND</t>
        </is>
      </c>
      <c r="HG105" t="inlineStr">
        <is>
          <t>IND</t>
        </is>
      </c>
      <c r="HH105" t="inlineStr">
        <is>
          <t>IND</t>
        </is>
      </c>
      <c r="HI105" t="inlineStr">
        <is>
          <t>IND</t>
        </is>
      </c>
      <c r="HJ105" t="inlineStr">
        <is>
          <t>IND</t>
        </is>
      </c>
      <c r="HK105" t="inlineStr">
        <is>
          <t>IND</t>
        </is>
      </c>
      <c r="HL105" t="inlineStr">
        <is>
          <t>IND</t>
        </is>
      </c>
      <c r="HM105" t="inlineStr">
        <is>
          <t>IND</t>
        </is>
      </c>
      <c r="IY105" t="inlineStr">
        <is>
          <t>MMR</t>
        </is>
      </c>
      <c r="IZ105" t="inlineStr">
        <is>
          <t>MMR</t>
        </is>
      </c>
      <c r="JA105" t="inlineStr">
        <is>
          <t>THA</t>
        </is>
      </c>
      <c r="JH105" t="inlineStr">
        <is>
          <t>KHM</t>
        </is>
      </c>
      <c r="JI105" t="inlineStr">
        <is>
          <t>KHM</t>
        </is>
      </c>
      <c r="JJ105" t="inlineStr">
        <is>
          <t>KHM</t>
        </is>
      </c>
      <c r="JK105" t="inlineStr">
        <is>
          <t>KHM</t>
        </is>
      </c>
      <c r="JL105" t="inlineStr">
        <is>
          <t>KHM</t>
        </is>
      </c>
      <c r="JM105" t="inlineStr">
        <is>
          <t>KHM</t>
        </is>
      </c>
      <c r="JN105" t="inlineStr">
        <is>
          <t>VNM</t>
        </is>
      </c>
      <c r="JO105" t="inlineStr">
        <is>
          <t>VNM</t>
        </is>
      </c>
      <c r="JP105" t="inlineStr">
        <is>
          <t>VNM</t>
        </is>
      </c>
      <c r="JQ105" t="inlineStr">
        <is>
          <t>VNM</t>
        </is>
      </c>
      <c r="JR105" t="inlineStr">
        <is>
          <t>VNM</t>
        </is>
      </c>
      <c r="JS105" t="inlineStr">
        <is>
          <t>VNM</t>
        </is>
      </c>
    </row>
    <row r="106">
      <c r="AC106" t="inlineStr">
        <is>
          <t>GNB</t>
        </is>
      </c>
      <c r="AD106" t="inlineStr">
        <is>
          <t>GNB</t>
        </is>
      </c>
      <c r="AE106" t="inlineStr">
        <is>
          <t>GNB</t>
        </is>
      </c>
      <c r="AF106" t="inlineStr">
        <is>
          <t>GNB</t>
        </is>
      </c>
      <c r="AG106" t="inlineStr">
        <is>
          <t>GNB</t>
        </is>
      </c>
      <c r="AH106" t="inlineStr">
        <is>
          <t>GNB</t>
        </is>
      </c>
      <c r="AI106" t="inlineStr">
        <is>
          <t>GIN</t>
        </is>
      </c>
      <c r="AJ106" t="inlineStr">
        <is>
          <t>GIN</t>
        </is>
      </c>
      <c r="AK106" t="inlineStr">
        <is>
          <t>GIN</t>
        </is>
      </c>
      <c r="AL106" t="inlineStr">
        <is>
          <t>GIN</t>
        </is>
      </c>
      <c r="AM106" t="inlineStr">
        <is>
          <t>MLI</t>
        </is>
      </c>
      <c r="AN106" t="inlineStr">
        <is>
          <t>MLI</t>
        </is>
      </c>
      <c r="AO106" t="inlineStr">
        <is>
          <t>MLI</t>
        </is>
      </c>
      <c r="AP106" t="inlineStr">
        <is>
          <t>MLI</t>
        </is>
      </c>
      <c r="AQ106" t="inlineStr">
        <is>
          <t>GIN</t>
        </is>
      </c>
      <c r="AR106" t="inlineStr">
        <is>
          <t>MLI</t>
        </is>
      </c>
      <c r="AS106" t="inlineStr">
        <is>
          <t>MLI</t>
        </is>
      </c>
      <c r="AT106" t="inlineStr">
        <is>
          <t>MLI</t>
        </is>
      </c>
      <c r="AU106" t="inlineStr">
        <is>
          <t>MLI</t>
        </is>
      </c>
      <c r="AV106" t="inlineStr">
        <is>
          <t>MLI</t>
        </is>
      </c>
      <c r="AW106" t="inlineStr">
        <is>
          <t>MLI</t>
        </is>
      </c>
      <c r="AX106" t="inlineStr">
        <is>
          <t>MLI</t>
        </is>
      </c>
      <c r="AY106" t="inlineStr">
        <is>
          <t>MLI</t>
        </is>
      </c>
      <c r="AZ106" t="inlineStr">
        <is>
          <t>MLI</t>
        </is>
      </c>
      <c r="BA106" t="inlineStr">
        <is>
          <t>BFA</t>
        </is>
      </c>
      <c r="BB106" t="inlineStr">
        <is>
          <t>BFA</t>
        </is>
      </c>
      <c r="BC106" t="inlineStr">
        <is>
          <t>BFA</t>
        </is>
      </c>
      <c r="BD106" t="inlineStr">
        <is>
          <t>BFA</t>
        </is>
      </c>
      <c r="BE106" t="inlineStr">
        <is>
          <t>BFA</t>
        </is>
      </c>
      <c r="BF106" t="inlineStr">
        <is>
          <t>BFA</t>
        </is>
      </c>
      <c r="BG106" t="inlineStr">
        <is>
          <t>BFA</t>
        </is>
      </c>
      <c r="BH106" t="inlineStr">
        <is>
          <t>BFA</t>
        </is>
      </c>
      <c r="BI106" t="inlineStr">
        <is>
          <t>BFA</t>
        </is>
      </c>
      <c r="BJ106" t="inlineStr">
        <is>
          <t>BFA</t>
        </is>
      </c>
      <c r="BK106" t="inlineStr">
        <is>
          <t>BFA</t>
        </is>
      </c>
      <c r="BL106" t="inlineStr">
        <is>
          <t>BFA</t>
        </is>
      </c>
      <c r="BM106" t="inlineStr">
        <is>
          <t>BFA</t>
        </is>
      </c>
      <c r="BN106" t="inlineStr">
        <is>
          <t>NER</t>
        </is>
      </c>
      <c r="BO106" t="inlineStr">
        <is>
          <t>NER</t>
        </is>
      </c>
      <c r="BP106" t="inlineStr">
        <is>
          <t>NER</t>
        </is>
      </c>
      <c r="BQ106" t="inlineStr">
        <is>
          <t>NGA</t>
        </is>
      </c>
      <c r="BR106" t="inlineStr">
        <is>
          <t>NGA</t>
        </is>
      </c>
      <c r="BS106" t="inlineStr">
        <is>
          <t>NGA</t>
        </is>
      </c>
      <c r="BT106" t="inlineStr">
        <is>
          <t>NGA</t>
        </is>
      </c>
      <c r="BU106" t="inlineStr">
        <is>
          <t>NGA</t>
        </is>
      </c>
      <c r="BV106" t="inlineStr">
        <is>
          <t>NGA</t>
        </is>
      </c>
      <c r="BW106" t="inlineStr">
        <is>
          <t>NGA</t>
        </is>
      </c>
      <c r="BX106" t="inlineStr">
        <is>
          <t>NGA</t>
        </is>
      </c>
      <c r="BY106" t="inlineStr">
        <is>
          <t>NGA</t>
        </is>
      </c>
      <c r="BZ106" t="inlineStr">
        <is>
          <t>NGA</t>
        </is>
      </c>
      <c r="CA106" t="inlineStr">
        <is>
          <t>NGA</t>
        </is>
      </c>
      <c r="CB106" t="inlineStr">
        <is>
          <t>NGA</t>
        </is>
      </c>
      <c r="CC106" t="inlineStr">
        <is>
          <t>NGA</t>
        </is>
      </c>
      <c r="CD106" t="inlineStr">
        <is>
          <t>NGA</t>
        </is>
      </c>
      <c r="CE106" t="inlineStr">
        <is>
          <t>NGA</t>
        </is>
      </c>
      <c r="CF106" t="inlineStr">
        <is>
          <t>NGA</t>
        </is>
      </c>
      <c r="CG106" t="inlineStr">
        <is>
          <t>NGA</t>
        </is>
      </c>
      <c r="CH106" t="inlineStr">
        <is>
          <t>NGA</t>
        </is>
      </c>
      <c r="CI106" t="inlineStr">
        <is>
          <t>NGA</t>
        </is>
      </c>
      <c r="CJ106" t="inlineStr">
        <is>
          <t>NGA</t>
        </is>
      </c>
      <c r="CK106" t="inlineStr">
        <is>
          <t>NGA</t>
        </is>
      </c>
      <c r="CL106" t="inlineStr">
        <is>
          <t>NGA</t>
        </is>
      </c>
      <c r="CM106" t="inlineStr">
        <is>
          <t>CMR</t>
        </is>
      </c>
      <c r="CN106" t="inlineStr">
        <is>
          <t>TCD</t>
        </is>
      </c>
      <c r="CO106" t="inlineStr">
        <is>
          <t>TCD</t>
        </is>
      </c>
      <c r="CP106" t="inlineStr">
        <is>
          <t>TCD</t>
        </is>
      </c>
      <c r="CQ106" t="inlineStr">
        <is>
          <t>TCD</t>
        </is>
      </c>
      <c r="CR106" t="inlineStr">
        <is>
          <t>TCD</t>
        </is>
      </c>
      <c r="CS106" t="inlineStr">
        <is>
          <t>TCD</t>
        </is>
      </c>
      <c r="CT106" t="inlineStr">
        <is>
          <t>TCD</t>
        </is>
      </c>
      <c r="CU106" t="inlineStr">
        <is>
          <t>TCD</t>
        </is>
      </c>
      <c r="CV106" t="inlineStr">
        <is>
          <t>TCD</t>
        </is>
      </c>
      <c r="CW106" t="inlineStr">
        <is>
          <t>TCD</t>
        </is>
      </c>
      <c r="CX106" t="inlineStr">
        <is>
          <t>TCD</t>
        </is>
      </c>
      <c r="CY106" t="inlineStr">
        <is>
          <t>TCD</t>
        </is>
      </c>
      <c r="CZ106" t="inlineStr">
        <is>
          <t>TCD</t>
        </is>
      </c>
      <c r="DA106" t="inlineStr">
        <is>
          <t>TCD</t>
        </is>
      </c>
      <c r="DB106" t="inlineStr">
        <is>
          <t>TCD</t>
        </is>
      </c>
      <c r="DC106" t="inlineStr">
        <is>
          <t>SDN</t>
        </is>
      </c>
      <c r="DD106" t="inlineStr">
        <is>
          <t>SDN</t>
        </is>
      </c>
      <c r="DE106" t="inlineStr">
        <is>
          <t>SDN</t>
        </is>
      </c>
      <c r="DF106" t="inlineStr">
        <is>
          <t>SDN</t>
        </is>
      </c>
      <c r="DG106" t="inlineStr">
        <is>
          <t>SDN</t>
        </is>
      </c>
      <c r="DH106" t="inlineStr">
        <is>
          <t>SDN</t>
        </is>
      </c>
      <c r="DI106" t="inlineStr">
        <is>
          <t>SDN</t>
        </is>
      </c>
      <c r="DJ106" t="inlineStr">
        <is>
          <t>SDN</t>
        </is>
      </c>
      <c r="DK106" t="inlineStr">
        <is>
          <t>SDN</t>
        </is>
      </c>
      <c r="DL106" t="inlineStr">
        <is>
          <t>SDN</t>
        </is>
      </c>
      <c r="DM106" t="inlineStr">
        <is>
          <t>SDN</t>
        </is>
      </c>
      <c r="DN106" t="inlineStr">
        <is>
          <t>SDN</t>
        </is>
      </c>
      <c r="DO106" t="inlineStr">
        <is>
          <t>SDN</t>
        </is>
      </c>
      <c r="DP106" t="inlineStr">
        <is>
          <t>SDN</t>
        </is>
      </c>
      <c r="DQ106" t="inlineStr">
        <is>
          <t>SDN</t>
        </is>
      </c>
      <c r="DR106" t="inlineStr">
        <is>
          <t>SDN</t>
        </is>
      </c>
      <c r="DS106" t="inlineStr">
        <is>
          <t>SDN</t>
        </is>
      </c>
      <c r="DT106" t="inlineStr">
        <is>
          <t>SDN</t>
        </is>
      </c>
      <c r="DU106" t="inlineStr">
        <is>
          <t>SDN</t>
        </is>
      </c>
      <c r="DV106" t="inlineStr">
        <is>
          <t>SDN</t>
        </is>
      </c>
      <c r="DW106" t="inlineStr">
        <is>
          <t>SDN</t>
        </is>
      </c>
      <c r="DX106" t="inlineStr">
        <is>
          <t>SDN</t>
        </is>
      </c>
      <c r="DY106" t="inlineStr">
        <is>
          <t>SDN</t>
        </is>
      </c>
      <c r="DZ106" t="inlineStr">
        <is>
          <t>SDN</t>
        </is>
      </c>
      <c r="EA106" t="inlineStr">
        <is>
          <t>SDN</t>
        </is>
      </c>
      <c r="EB106" t="inlineStr">
        <is>
          <t>SDN</t>
        </is>
      </c>
      <c r="EC106" t="inlineStr">
        <is>
          <t>ETH</t>
        </is>
      </c>
      <c r="ED106" t="inlineStr">
        <is>
          <t>ETH</t>
        </is>
      </c>
      <c r="EE106" t="inlineStr">
        <is>
          <t>ETH</t>
        </is>
      </c>
      <c r="EF106" t="inlineStr">
        <is>
          <t>ETH</t>
        </is>
      </c>
      <c r="EG106" t="inlineStr">
        <is>
          <t>ETH</t>
        </is>
      </c>
      <c r="EH106" t="inlineStr">
        <is>
          <t>ETH</t>
        </is>
      </c>
      <c r="EI106" t="inlineStr">
        <is>
          <t>ETH</t>
        </is>
      </c>
      <c r="EJ106" t="inlineStr">
        <is>
          <t>ETH</t>
        </is>
      </c>
      <c r="EK106" t="inlineStr">
        <is>
          <t>ETH</t>
        </is>
      </c>
      <c r="EL106" t="inlineStr">
        <is>
          <t>ETH</t>
        </is>
      </c>
      <c r="EM106" t="inlineStr">
        <is>
          <t>ETH</t>
        </is>
      </c>
      <c r="EN106" t="inlineStr">
        <is>
          <t>ETH</t>
        </is>
      </c>
      <c r="EO106" t="inlineStr">
        <is>
          <t>ETH</t>
        </is>
      </c>
      <c r="EP106" t="inlineStr">
        <is>
          <t>DJI</t>
        </is>
      </c>
      <c r="EQ106" t="inlineStr">
        <is>
          <t>DJI</t>
        </is>
      </c>
      <c r="ER106" t="inlineStr">
        <is>
          <t>DJI</t>
        </is>
      </c>
      <c r="HD106" t="inlineStr">
        <is>
          <t>IND</t>
        </is>
      </c>
      <c r="HE106" t="inlineStr">
        <is>
          <t>IND</t>
        </is>
      </c>
      <c r="HF106" t="inlineStr">
        <is>
          <t>IND</t>
        </is>
      </c>
      <c r="HG106" t="inlineStr">
        <is>
          <t>IND</t>
        </is>
      </c>
      <c r="HH106" t="inlineStr">
        <is>
          <t>IND</t>
        </is>
      </c>
      <c r="HI106" t="inlineStr">
        <is>
          <t>IND</t>
        </is>
      </c>
      <c r="HJ106" t="inlineStr">
        <is>
          <t>IND</t>
        </is>
      </c>
      <c r="HK106" t="inlineStr">
        <is>
          <t>IND</t>
        </is>
      </c>
      <c r="HL106" t="inlineStr">
        <is>
          <t>IND</t>
        </is>
      </c>
      <c r="HM106" t="inlineStr">
        <is>
          <t>IND</t>
        </is>
      </c>
      <c r="IY106" t="inlineStr">
        <is>
          <t>MMR</t>
        </is>
      </c>
      <c r="IZ106" t="inlineStr">
        <is>
          <t>MMR</t>
        </is>
      </c>
      <c r="JA106" t="inlineStr">
        <is>
          <t>THA</t>
        </is>
      </c>
      <c r="JG106" t="inlineStr">
        <is>
          <t>KHM</t>
        </is>
      </c>
      <c r="JH106" t="inlineStr">
        <is>
          <t>KHM</t>
        </is>
      </c>
      <c r="JI106" t="inlineStr">
        <is>
          <t>KHM</t>
        </is>
      </c>
      <c r="JJ106" t="inlineStr">
        <is>
          <t>KHM</t>
        </is>
      </c>
      <c r="JK106" t="inlineStr">
        <is>
          <t>KHM</t>
        </is>
      </c>
      <c r="JL106" t="inlineStr">
        <is>
          <t>KHM</t>
        </is>
      </c>
      <c r="JM106" t="inlineStr">
        <is>
          <t>KHM</t>
        </is>
      </c>
      <c r="JN106" t="inlineStr">
        <is>
          <t>KHM</t>
        </is>
      </c>
      <c r="JO106" t="inlineStr">
        <is>
          <t>KHM</t>
        </is>
      </c>
      <c r="JP106" t="inlineStr">
        <is>
          <t>KHM</t>
        </is>
      </c>
      <c r="JQ106" t="inlineStr">
        <is>
          <t>VNM</t>
        </is>
      </c>
      <c r="JR106" t="inlineStr">
        <is>
          <t>VNM</t>
        </is>
      </c>
      <c r="JS106" t="inlineStr">
        <is>
          <t>VNM</t>
        </is>
      </c>
    </row>
    <row r="107">
      <c r="AB107" t="inlineStr">
        <is>
          <t>SEN</t>
        </is>
      </c>
      <c r="AC107" t="inlineStr">
        <is>
          <t>SEN</t>
        </is>
      </c>
      <c r="AD107" t="inlineStr">
        <is>
          <t>SEN</t>
        </is>
      </c>
      <c r="AE107" t="inlineStr">
        <is>
          <t>SEN</t>
        </is>
      </c>
      <c r="AF107" t="inlineStr">
        <is>
          <t>SEN</t>
        </is>
      </c>
      <c r="AG107" t="inlineStr">
        <is>
          <t>SEN</t>
        </is>
      </c>
      <c r="AH107" t="inlineStr">
        <is>
          <t>SEN</t>
        </is>
      </c>
      <c r="AI107" t="inlineStr">
        <is>
          <t>SEN</t>
        </is>
      </c>
      <c r="AJ107" t="inlineStr">
        <is>
          <t>SEN</t>
        </is>
      </c>
      <c r="AK107" t="inlineStr">
        <is>
          <t>SEN</t>
        </is>
      </c>
      <c r="AL107" t="inlineStr">
        <is>
          <t>SEN</t>
        </is>
      </c>
      <c r="AM107" t="inlineStr">
        <is>
          <t>MLI</t>
        </is>
      </c>
      <c r="AN107" t="inlineStr">
        <is>
          <t>MLI</t>
        </is>
      </c>
      <c r="AO107" t="inlineStr">
        <is>
          <t>MLI</t>
        </is>
      </c>
      <c r="AP107" t="inlineStr">
        <is>
          <t>MLI</t>
        </is>
      </c>
      <c r="AQ107" t="inlineStr">
        <is>
          <t>MLI</t>
        </is>
      </c>
      <c r="AR107" t="inlineStr">
        <is>
          <t>MLI</t>
        </is>
      </c>
      <c r="AS107" t="inlineStr">
        <is>
          <t>MLI</t>
        </is>
      </c>
      <c r="AT107" t="inlineStr">
        <is>
          <t>MLI</t>
        </is>
      </c>
      <c r="AU107" t="inlineStr">
        <is>
          <t>MLI</t>
        </is>
      </c>
      <c r="AV107" t="inlineStr">
        <is>
          <t>MLI</t>
        </is>
      </c>
      <c r="AW107" t="inlineStr">
        <is>
          <t>MLI</t>
        </is>
      </c>
      <c r="AX107" t="inlineStr">
        <is>
          <t>MLI</t>
        </is>
      </c>
      <c r="AY107" t="inlineStr">
        <is>
          <t>MLI</t>
        </is>
      </c>
      <c r="AZ107" t="inlineStr">
        <is>
          <t>MLI</t>
        </is>
      </c>
      <c r="BA107" t="inlineStr">
        <is>
          <t>BFA</t>
        </is>
      </c>
      <c r="BB107" t="inlineStr">
        <is>
          <t>BFA</t>
        </is>
      </c>
      <c r="BC107" t="inlineStr">
        <is>
          <t>BFA</t>
        </is>
      </c>
      <c r="BD107" t="inlineStr">
        <is>
          <t>BFA</t>
        </is>
      </c>
      <c r="BE107" t="inlineStr">
        <is>
          <t>BFA</t>
        </is>
      </c>
      <c r="BF107" t="inlineStr">
        <is>
          <t>BFA</t>
        </is>
      </c>
      <c r="BG107" t="inlineStr">
        <is>
          <t>BFA</t>
        </is>
      </c>
      <c r="BH107" t="inlineStr">
        <is>
          <t>BFA</t>
        </is>
      </c>
      <c r="BI107" t="inlineStr">
        <is>
          <t>BFA</t>
        </is>
      </c>
      <c r="BJ107" t="inlineStr">
        <is>
          <t>BFA</t>
        </is>
      </c>
      <c r="BK107" t="inlineStr">
        <is>
          <t>BFA</t>
        </is>
      </c>
      <c r="BL107" t="inlineStr">
        <is>
          <t>BFA</t>
        </is>
      </c>
      <c r="BM107" t="inlineStr">
        <is>
          <t>NER</t>
        </is>
      </c>
      <c r="BN107" t="inlineStr">
        <is>
          <t>NER</t>
        </is>
      </c>
      <c r="BO107" t="inlineStr">
        <is>
          <t>NER</t>
        </is>
      </c>
      <c r="BP107" t="inlineStr">
        <is>
          <t>NER</t>
        </is>
      </c>
      <c r="BQ107" t="inlineStr">
        <is>
          <t>NER</t>
        </is>
      </c>
      <c r="BR107" t="inlineStr">
        <is>
          <t>NGA</t>
        </is>
      </c>
      <c r="BS107" t="inlineStr">
        <is>
          <t>NGA</t>
        </is>
      </c>
      <c r="BT107" t="inlineStr">
        <is>
          <t>NGA</t>
        </is>
      </c>
      <c r="BU107" t="inlineStr">
        <is>
          <t>NGA</t>
        </is>
      </c>
      <c r="BV107" t="inlineStr">
        <is>
          <t>NGA</t>
        </is>
      </c>
      <c r="BW107" t="inlineStr">
        <is>
          <t>NGA</t>
        </is>
      </c>
      <c r="BX107" t="inlineStr">
        <is>
          <t>NGA</t>
        </is>
      </c>
      <c r="BY107" t="inlineStr">
        <is>
          <t>NGA</t>
        </is>
      </c>
      <c r="BZ107" t="inlineStr">
        <is>
          <t>NGA</t>
        </is>
      </c>
      <c r="CA107" t="inlineStr">
        <is>
          <t>NGA</t>
        </is>
      </c>
      <c r="CB107" t="inlineStr">
        <is>
          <t>NGA</t>
        </is>
      </c>
      <c r="CC107" t="inlineStr">
        <is>
          <t>NGA</t>
        </is>
      </c>
      <c r="CD107" t="inlineStr">
        <is>
          <t>NGA</t>
        </is>
      </c>
      <c r="CE107" t="inlineStr">
        <is>
          <t>NGA</t>
        </is>
      </c>
      <c r="CF107" t="inlineStr">
        <is>
          <t>NGA</t>
        </is>
      </c>
      <c r="CG107" t="inlineStr">
        <is>
          <t>NGA</t>
        </is>
      </c>
      <c r="CH107" t="inlineStr">
        <is>
          <t>NGA</t>
        </is>
      </c>
      <c r="CI107" t="inlineStr">
        <is>
          <t>NGA</t>
        </is>
      </c>
      <c r="CJ107" t="inlineStr">
        <is>
          <t>NGA</t>
        </is>
      </c>
      <c r="CK107" t="inlineStr">
        <is>
          <t>NGA</t>
        </is>
      </c>
      <c r="CL107" t="inlineStr">
        <is>
          <t>CMR</t>
        </is>
      </c>
      <c r="CM107" t="inlineStr">
        <is>
          <t>TCD</t>
        </is>
      </c>
      <c r="CN107" t="inlineStr">
        <is>
          <t>TCD</t>
        </is>
      </c>
      <c r="CO107" t="inlineStr">
        <is>
          <t>TCD</t>
        </is>
      </c>
      <c r="CP107" t="inlineStr">
        <is>
          <t>TCD</t>
        </is>
      </c>
      <c r="CQ107" t="inlineStr">
        <is>
          <t>TCD</t>
        </is>
      </c>
      <c r="CR107" t="inlineStr">
        <is>
          <t>TCD</t>
        </is>
      </c>
      <c r="CS107" t="inlineStr">
        <is>
          <t>TCD</t>
        </is>
      </c>
      <c r="CT107" t="inlineStr">
        <is>
          <t>TCD</t>
        </is>
      </c>
      <c r="CU107" t="inlineStr">
        <is>
          <t>TCD</t>
        </is>
      </c>
      <c r="CV107" t="inlineStr">
        <is>
          <t>TCD</t>
        </is>
      </c>
      <c r="CW107" t="inlineStr">
        <is>
          <t>TCD</t>
        </is>
      </c>
      <c r="CX107" t="inlineStr">
        <is>
          <t>TCD</t>
        </is>
      </c>
      <c r="CY107" t="inlineStr">
        <is>
          <t>TCD</t>
        </is>
      </c>
      <c r="CZ107" t="inlineStr">
        <is>
          <t>TCD</t>
        </is>
      </c>
      <c r="DA107" t="inlineStr">
        <is>
          <t>TCD</t>
        </is>
      </c>
      <c r="DB107" t="inlineStr">
        <is>
          <t>SDN</t>
        </is>
      </c>
      <c r="DC107" t="inlineStr">
        <is>
          <t>SDN</t>
        </is>
      </c>
      <c r="DD107" t="inlineStr">
        <is>
          <t>SDN</t>
        </is>
      </c>
      <c r="DE107" t="inlineStr">
        <is>
          <t>SDN</t>
        </is>
      </c>
      <c r="DF107" t="inlineStr">
        <is>
          <t>SDN</t>
        </is>
      </c>
      <c r="DG107" t="inlineStr">
        <is>
          <t>SDN</t>
        </is>
      </c>
      <c r="DH107" t="inlineStr">
        <is>
          <t>SDN</t>
        </is>
      </c>
      <c r="DI107" t="inlineStr">
        <is>
          <t>SDN</t>
        </is>
      </c>
      <c r="DJ107" t="inlineStr">
        <is>
          <t>SDN</t>
        </is>
      </c>
      <c r="DK107" t="inlineStr">
        <is>
          <t>SDN</t>
        </is>
      </c>
      <c r="DL107" t="inlineStr">
        <is>
          <t>SDN</t>
        </is>
      </c>
      <c r="DM107" t="inlineStr">
        <is>
          <t>SDN</t>
        </is>
      </c>
      <c r="DN107" t="inlineStr">
        <is>
          <t>SDN</t>
        </is>
      </c>
      <c r="DO107" t="inlineStr">
        <is>
          <t>SDN</t>
        </is>
      </c>
      <c r="DP107" t="inlineStr">
        <is>
          <t>SDN</t>
        </is>
      </c>
      <c r="DQ107" t="inlineStr">
        <is>
          <t>SDN</t>
        </is>
      </c>
      <c r="DR107" t="inlineStr">
        <is>
          <t>SDN</t>
        </is>
      </c>
      <c r="DS107" t="inlineStr">
        <is>
          <t>SDN</t>
        </is>
      </c>
      <c r="DT107" t="inlineStr">
        <is>
          <t>SDN</t>
        </is>
      </c>
      <c r="DU107" t="inlineStr">
        <is>
          <t>SDN</t>
        </is>
      </c>
      <c r="DV107" t="inlineStr">
        <is>
          <t>SDN</t>
        </is>
      </c>
      <c r="DW107" t="inlineStr">
        <is>
          <t>SDN</t>
        </is>
      </c>
      <c r="DX107" t="inlineStr">
        <is>
          <t>SDN</t>
        </is>
      </c>
      <c r="DY107" t="inlineStr">
        <is>
          <t>SDN</t>
        </is>
      </c>
      <c r="DZ107" t="inlineStr">
        <is>
          <t>SDN</t>
        </is>
      </c>
      <c r="EA107" t="inlineStr">
        <is>
          <t>SDN</t>
        </is>
      </c>
      <c r="EB107" t="inlineStr">
        <is>
          <t>SDN</t>
        </is>
      </c>
      <c r="EC107" t="inlineStr">
        <is>
          <t>SDN</t>
        </is>
      </c>
      <c r="ED107" t="inlineStr">
        <is>
          <t>ETH</t>
        </is>
      </c>
      <c r="EE107" t="inlineStr">
        <is>
          <t>ETH</t>
        </is>
      </c>
      <c r="EF107" t="inlineStr">
        <is>
          <t>ETH</t>
        </is>
      </c>
      <c r="EG107" t="inlineStr">
        <is>
          <t>ETH</t>
        </is>
      </c>
      <c r="EH107" t="inlineStr">
        <is>
          <t>ETH</t>
        </is>
      </c>
      <c r="EI107" t="inlineStr">
        <is>
          <t>ETH</t>
        </is>
      </c>
      <c r="EJ107" t="inlineStr">
        <is>
          <t>ETH</t>
        </is>
      </c>
      <c r="EK107" t="inlineStr">
        <is>
          <t>ETH</t>
        </is>
      </c>
      <c r="EL107" t="inlineStr">
        <is>
          <t>ETH</t>
        </is>
      </c>
      <c r="EM107" t="inlineStr">
        <is>
          <t>ETH</t>
        </is>
      </c>
      <c r="EN107" t="inlineStr">
        <is>
          <t>ETH</t>
        </is>
      </c>
      <c r="EO107" t="inlineStr">
        <is>
          <t>ETH</t>
        </is>
      </c>
      <c r="EP107" t="inlineStr">
        <is>
          <t>ERI</t>
        </is>
      </c>
      <c r="EQ107" t="inlineStr">
        <is>
          <t>ERI</t>
        </is>
      </c>
      <c r="ES107" t="inlineStr">
        <is>
          <t>YEM</t>
        </is>
      </c>
      <c r="ET107" t="inlineStr">
        <is>
          <t>YEM</t>
        </is>
      </c>
      <c r="EU107" t="inlineStr">
        <is>
          <t>YEM</t>
        </is>
      </c>
      <c r="HD107" t="inlineStr">
        <is>
          <t>IND</t>
        </is>
      </c>
      <c r="HE107" t="inlineStr">
        <is>
          <t>IND</t>
        </is>
      </c>
      <c r="HF107" t="inlineStr">
        <is>
          <t>IND</t>
        </is>
      </c>
      <c r="HG107" t="inlineStr">
        <is>
          <t>IND</t>
        </is>
      </c>
      <c r="HH107" t="inlineStr">
        <is>
          <t>IND</t>
        </is>
      </c>
      <c r="HI107" t="inlineStr">
        <is>
          <t>IND</t>
        </is>
      </c>
      <c r="HJ107" t="inlineStr">
        <is>
          <t>IND</t>
        </is>
      </c>
      <c r="HK107" t="inlineStr">
        <is>
          <t>IND</t>
        </is>
      </c>
      <c r="HL107" t="inlineStr">
        <is>
          <t>IND</t>
        </is>
      </c>
      <c r="HM107" t="inlineStr">
        <is>
          <t>IND</t>
        </is>
      </c>
      <c r="IY107" t="inlineStr">
        <is>
          <t>MMR</t>
        </is>
      </c>
      <c r="IZ107" t="inlineStr">
        <is>
          <t>THA</t>
        </is>
      </c>
      <c r="JA107" t="inlineStr">
        <is>
          <t>THA</t>
        </is>
      </c>
      <c r="JD107" t="inlineStr">
        <is>
          <t>THA</t>
        </is>
      </c>
      <c r="JE107" t="inlineStr">
        <is>
          <t>THA</t>
        </is>
      </c>
      <c r="JF107" t="inlineStr">
        <is>
          <t>THA</t>
        </is>
      </c>
      <c r="JG107" t="inlineStr">
        <is>
          <t>KHM</t>
        </is>
      </c>
      <c r="JH107" t="inlineStr">
        <is>
          <t>KHM</t>
        </is>
      </c>
      <c r="JI107" t="inlineStr">
        <is>
          <t>KHM</t>
        </is>
      </c>
      <c r="JJ107" t="inlineStr">
        <is>
          <t>KHM</t>
        </is>
      </c>
      <c r="JK107" t="inlineStr">
        <is>
          <t>KHM</t>
        </is>
      </c>
      <c r="JL107" t="inlineStr">
        <is>
          <t>KHM</t>
        </is>
      </c>
      <c r="JM107" t="inlineStr">
        <is>
          <t>KHM</t>
        </is>
      </c>
      <c r="JN107" t="inlineStr">
        <is>
          <t>KHM</t>
        </is>
      </c>
      <c r="JO107" t="inlineStr">
        <is>
          <t>KHM</t>
        </is>
      </c>
      <c r="JP107" t="inlineStr">
        <is>
          <t>KHM</t>
        </is>
      </c>
      <c r="JQ107" t="inlineStr">
        <is>
          <t>VNM</t>
        </is>
      </c>
      <c r="JR107" t="inlineStr">
        <is>
          <t>VNM</t>
        </is>
      </c>
      <c r="JS107" t="inlineStr">
        <is>
          <t>VNM</t>
        </is>
      </c>
      <c r="JT107" t="inlineStr">
        <is>
          <t>VNM</t>
        </is>
      </c>
    </row>
    <row r="108">
      <c r="AB108" t="inlineStr">
        <is>
          <t>GMB</t>
        </is>
      </c>
      <c r="AC108" t="inlineStr">
        <is>
          <t>GMB</t>
        </is>
      </c>
      <c r="AD108" t="inlineStr">
        <is>
          <t>GMB</t>
        </is>
      </c>
      <c r="AE108" t="inlineStr">
        <is>
          <t>SEN</t>
        </is>
      </c>
      <c r="AF108" t="inlineStr">
        <is>
          <t>SEN</t>
        </is>
      </c>
      <c r="AG108" t="inlineStr">
        <is>
          <t>SEN</t>
        </is>
      </c>
      <c r="AH108" t="inlineStr">
        <is>
          <t>SEN</t>
        </is>
      </c>
      <c r="AI108" t="inlineStr">
        <is>
          <t>SEN</t>
        </is>
      </c>
      <c r="AJ108" t="inlineStr">
        <is>
          <t>SEN</t>
        </is>
      </c>
      <c r="AK108" t="inlineStr">
        <is>
          <t>SEN</t>
        </is>
      </c>
      <c r="AL108" t="inlineStr">
        <is>
          <t>SEN</t>
        </is>
      </c>
      <c r="AM108" t="inlineStr">
        <is>
          <t>MLI</t>
        </is>
      </c>
      <c r="AN108" t="inlineStr">
        <is>
          <t>MLI</t>
        </is>
      </c>
      <c r="AO108" t="inlineStr">
        <is>
          <t>MLI</t>
        </is>
      </c>
      <c r="AP108" t="inlineStr">
        <is>
          <t>MLI</t>
        </is>
      </c>
      <c r="AQ108" t="inlineStr">
        <is>
          <t>MLI</t>
        </is>
      </c>
      <c r="AR108" t="inlineStr">
        <is>
          <t>MLI</t>
        </is>
      </c>
      <c r="AS108" t="inlineStr">
        <is>
          <t>MLI</t>
        </is>
      </c>
      <c r="AT108" t="inlineStr">
        <is>
          <t>MLI</t>
        </is>
      </c>
      <c r="AU108" t="inlineStr">
        <is>
          <t>MLI</t>
        </is>
      </c>
      <c r="AV108" t="inlineStr">
        <is>
          <t>MLI</t>
        </is>
      </c>
      <c r="AW108" t="inlineStr">
        <is>
          <t>MLI</t>
        </is>
      </c>
      <c r="AX108" t="inlineStr">
        <is>
          <t>MLI</t>
        </is>
      </c>
      <c r="AY108" t="inlineStr">
        <is>
          <t>MLI</t>
        </is>
      </c>
      <c r="AZ108" t="inlineStr">
        <is>
          <t>MLI</t>
        </is>
      </c>
      <c r="BA108" t="inlineStr">
        <is>
          <t>BFA</t>
        </is>
      </c>
      <c r="BB108" t="inlineStr">
        <is>
          <t>BFA</t>
        </is>
      </c>
      <c r="BC108" t="inlineStr">
        <is>
          <t>BFA</t>
        </is>
      </c>
      <c r="BD108" t="inlineStr">
        <is>
          <t>BFA</t>
        </is>
      </c>
      <c r="BE108" t="inlineStr">
        <is>
          <t>BFA</t>
        </is>
      </c>
      <c r="BF108" t="inlineStr">
        <is>
          <t>BFA</t>
        </is>
      </c>
      <c r="BG108" t="inlineStr">
        <is>
          <t>BFA</t>
        </is>
      </c>
      <c r="BH108" t="inlineStr">
        <is>
          <t>BFA</t>
        </is>
      </c>
      <c r="BI108" t="inlineStr">
        <is>
          <t>BFA</t>
        </is>
      </c>
      <c r="BJ108" t="inlineStr">
        <is>
          <t>BFA</t>
        </is>
      </c>
      <c r="BK108" t="inlineStr">
        <is>
          <t>BFA</t>
        </is>
      </c>
      <c r="BL108" t="inlineStr">
        <is>
          <t>NER</t>
        </is>
      </c>
      <c r="BM108" t="inlineStr">
        <is>
          <t>NER</t>
        </is>
      </c>
      <c r="BN108" t="inlineStr">
        <is>
          <t>NER</t>
        </is>
      </c>
      <c r="BO108" t="inlineStr">
        <is>
          <t>NER</t>
        </is>
      </c>
      <c r="BP108" t="inlineStr">
        <is>
          <t>NER</t>
        </is>
      </c>
      <c r="BQ108" t="inlineStr">
        <is>
          <t>NER</t>
        </is>
      </c>
      <c r="BR108" t="inlineStr">
        <is>
          <t>NGA</t>
        </is>
      </c>
      <c r="BS108" t="inlineStr">
        <is>
          <t>NGA</t>
        </is>
      </c>
      <c r="BT108" t="inlineStr">
        <is>
          <t>NGA</t>
        </is>
      </c>
      <c r="BU108" t="inlineStr">
        <is>
          <t>NGA</t>
        </is>
      </c>
      <c r="BV108" t="inlineStr">
        <is>
          <t>NGA</t>
        </is>
      </c>
      <c r="BW108" t="inlineStr">
        <is>
          <t>NER</t>
        </is>
      </c>
      <c r="BX108" t="inlineStr">
        <is>
          <t>NER</t>
        </is>
      </c>
      <c r="BY108" t="inlineStr">
        <is>
          <t>NGA</t>
        </is>
      </c>
      <c r="BZ108" t="inlineStr">
        <is>
          <t>NER</t>
        </is>
      </c>
      <c r="CA108" t="inlineStr">
        <is>
          <t>NER</t>
        </is>
      </c>
      <c r="CB108" t="inlineStr">
        <is>
          <t>NER</t>
        </is>
      </c>
      <c r="CC108" t="inlineStr">
        <is>
          <t>NER</t>
        </is>
      </c>
      <c r="CD108" t="inlineStr">
        <is>
          <t>NGA</t>
        </is>
      </c>
      <c r="CE108" t="inlineStr">
        <is>
          <t>NGA</t>
        </is>
      </c>
      <c r="CF108" t="inlineStr">
        <is>
          <t>NGA</t>
        </is>
      </c>
      <c r="CG108" t="inlineStr">
        <is>
          <t>NER</t>
        </is>
      </c>
      <c r="CH108" t="inlineStr">
        <is>
          <t>NER</t>
        </is>
      </c>
      <c r="CI108" t="inlineStr">
        <is>
          <t>NGA</t>
        </is>
      </c>
      <c r="CJ108" t="inlineStr">
        <is>
          <t>NGA</t>
        </is>
      </c>
      <c r="CK108" t="inlineStr">
        <is>
          <t>NER</t>
        </is>
      </c>
      <c r="CL108" t="inlineStr">
        <is>
          <t>NER</t>
        </is>
      </c>
      <c r="CM108" t="inlineStr">
        <is>
          <t>TCD</t>
        </is>
      </c>
      <c r="CN108" t="inlineStr">
        <is>
          <t>TCD</t>
        </is>
      </c>
      <c r="CO108" t="inlineStr">
        <is>
          <t>TCD</t>
        </is>
      </c>
      <c r="CP108" t="inlineStr">
        <is>
          <t>TCD</t>
        </is>
      </c>
      <c r="CQ108" t="inlineStr">
        <is>
          <t>TCD</t>
        </is>
      </c>
      <c r="CR108" t="inlineStr">
        <is>
          <t>TCD</t>
        </is>
      </c>
      <c r="CS108" t="inlineStr">
        <is>
          <t>TCD</t>
        </is>
      </c>
      <c r="CT108" t="inlineStr">
        <is>
          <t>TCD</t>
        </is>
      </c>
      <c r="CU108" t="inlineStr">
        <is>
          <t>TCD</t>
        </is>
      </c>
      <c r="CV108" t="inlineStr">
        <is>
          <t>TCD</t>
        </is>
      </c>
      <c r="CW108" t="inlineStr">
        <is>
          <t>TCD</t>
        </is>
      </c>
      <c r="CX108" t="inlineStr">
        <is>
          <t>TCD</t>
        </is>
      </c>
      <c r="CY108" t="inlineStr">
        <is>
          <t>TCD</t>
        </is>
      </c>
      <c r="CZ108" t="inlineStr">
        <is>
          <t>TCD</t>
        </is>
      </c>
      <c r="DA108" t="inlineStr">
        <is>
          <t>TCD</t>
        </is>
      </c>
      <c r="DB108" t="inlineStr">
        <is>
          <t>SDN</t>
        </is>
      </c>
      <c r="DC108" t="inlineStr">
        <is>
          <t>SDN</t>
        </is>
      </c>
      <c r="DD108" t="inlineStr">
        <is>
          <t>SDN</t>
        </is>
      </c>
      <c r="DE108" t="inlineStr">
        <is>
          <t>SDN</t>
        </is>
      </c>
      <c r="DF108" t="inlineStr">
        <is>
          <t>SDN</t>
        </is>
      </c>
      <c r="DG108" t="inlineStr">
        <is>
          <t>SDN</t>
        </is>
      </c>
      <c r="DH108" t="inlineStr">
        <is>
          <t>SDN</t>
        </is>
      </c>
      <c r="DI108" t="inlineStr">
        <is>
          <t>SDN</t>
        </is>
      </c>
      <c r="DJ108" t="inlineStr">
        <is>
          <t>SDN</t>
        </is>
      </c>
      <c r="DK108" t="inlineStr">
        <is>
          <t>SDN</t>
        </is>
      </c>
      <c r="DL108" t="inlineStr">
        <is>
          <t>SDN</t>
        </is>
      </c>
      <c r="DM108" t="inlineStr">
        <is>
          <t>SDN</t>
        </is>
      </c>
      <c r="DN108" t="inlineStr">
        <is>
          <t>SDN</t>
        </is>
      </c>
      <c r="DO108" t="inlineStr">
        <is>
          <t>SDN</t>
        </is>
      </c>
      <c r="DP108" t="inlineStr">
        <is>
          <t>SDN</t>
        </is>
      </c>
      <c r="DQ108" t="inlineStr">
        <is>
          <t>SDN</t>
        </is>
      </c>
      <c r="DR108" t="inlineStr">
        <is>
          <t>SDN</t>
        </is>
      </c>
      <c r="DS108" t="inlineStr">
        <is>
          <t>SDN</t>
        </is>
      </c>
      <c r="DT108" t="inlineStr">
        <is>
          <t>SDN</t>
        </is>
      </c>
      <c r="DU108" t="inlineStr">
        <is>
          <t>SDN</t>
        </is>
      </c>
      <c r="DV108" t="inlineStr">
        <is>
          <t>SDN</t>
        </is>
      </c>
      <c r="DW108" t="inlineStr">
        <is>
          <t>SDN</t>
        </is>
      </c>
      <c r="DX108" t="inlineStr">
        <is>
          <t>SDN</t>
        </is>
      </c>
      <c r="DY108" t="inlineStr">
        <is>
          <t>SDN</t>
        </is>
      </c>
      <c r="DZ108" t="inlineStr">
        <is>
          <t>SDN</t>
        </is>
      </c>
      <c r="EA108" t="inlineStr">
        <is>
          <t>SDN</t>
        </is>
      </c>
      <c r="EB108" t="inlineStr">
        <is>
          <t>SDN</t>
        </is>
      </c>
      <c r="EC108" t="inlineStr">
        <is>
          <t>SDN</t>
        </is>
      </c>
      <c r="ED108" t="inlineStr">
        <is>
          <t>ETH</t>
        </is>
      </c>
      <c r="EE108" t="inlineStr">
        <is>
          <t>ETH</t>
        </is>
      </c>
      <c r="EF108" t="inlineStr">
        <is>
          <t>ETH</t>
        </is>
      </c>
      <c r="EG108" t="inlineStr">
        <is>
          <t>ETH</t>
        </is>
      </c>
      <c r="EH108" t="inlineStr">
        <is>
          <t>ETH</t>
        </is>
      </c>
      <c r="EI108" t="inlineStr">
        <is>
          <t>ETH</t>
        </is>
      </c>
      <c r="EJ108" t="inlineStr">
        <is>
          <t>ETH</t>
        </is>
      </c>
      <c r="EK108" t="inlineStr">
        <is>
          <t>ETH</t>
        </is>
      </c>
      <c r="EL108" t="inlineStr">
        <is>
          <t>ETH</t>
        </is>
      </c>
      <c r="EM108" t="inlineStr">
        <is>
          <t>ETH</t>
        </is>
      </c>
      <c r="EN108" t="inlineStr">
        <is>
          <t>ETH</t>
        </is>
      </c>
      <c r="EO108" t="inlineStr">
        <is>
          <t>ERI</t>
        </is>
      </c>
      <c r="EP108" t="inlineStr">
        <is>
          <t>ERI</t>
        </is>
      </c>
      <c r="ER108" t="inlineStr">
        <is>
          <t>YEM</t>
        </is>
      </c>
      <c r="ES108" t="inlineStr">
        <is>
          <t>YEM</t>
        </is>
      </c>
      <c r="ET108" t="inlineStr">
        <is>
          <t>YEM</t>
        </is>
      </c>
      <c r="EU108" t="inlineStr">
        <is>
          <t>YEM</t>
        </is>
      </c>
      <c r="EV108" t="inlineStr">
        <is>
          <t>YEM</t>
        </is>
      </c>
      <c r="HD108" t="inlineStr">
        <is>
          <t>IND</t>
        </is>
      </c>
      <c r="HE108" t="inlineStr">
        <is>
          <t>IND</t>
        </is>
      </c>
      <c r="HF108" t="inlineStr">
        <is>
          <t>IND</t>
        </is>
      </c>
      <c r="HG108" t="inlineStr">
        <is>
          <t>IND</t>
        </is>
      </c>
      <c r="HH108" t="inlineStr">
        <is>
          <t>IND</t>
        </is>
      </c>
      <c r="HI108" t="inlineStr">
        <is>
          <t>IND</t>
        </is>
      </c>
      <c r="HJ108" t="inlineStr">
        <is>
          <t>IND</t>
        </is>
      </c>
      <c r="HK108" t="inlineStr">
        <is>
          <t>IND</t>
        </is>
      </c>
      <c r="HL108" t="inlineStr">
        <is>
          <t>IND</t>
        </is>
      </c>
      <c r="HM108" t="inlineStr">
        <is>
          <t>IND</t>
        </is>
      </c>
      <c r="HN108" t="inlineStr">
        <is>
          <t>IND</t>
        </is>
      </c>
      <c r="IY108" t="inlineStr">
        <is>
          <t>MMR</t>
        </is>
      </c>
      <c r="IZ108" t="inlineStr">
        <is>
          <t>THA</t>
        </is>
      </c>
      <c r="JA108" t="inlineStr">
        <is>
          <t>THA</t>
        </is>
      </c>
      <c r="JD108" t="inlineStr">
        <is>
          <t>THA</t>
        </is>
      </c>
      <c r="JE108" t="inlineStr">
        <is>
          <t>THA</t>
        </is>
      </c>
      <c r="JF108" t="inlineStr">
        <is>
          <t>THA</t>
        </is>
      </c>
      <c r="JG108" t="inlineStr">
        <is>
          <t>KHM</t>
        </is>
      </c>
      <c r="JH108" t="inlineStr">
        <is>
          <t>KHM</t>
        </is>
      </c>
      <c r="JI108" t="inlineStr">
        <is>
          <t>KHM</t>
        </is>
      </c>
      <c r="JJ108" t="inlineStr">
        <is>
          <t>KHM</t>
        </is>
      </c>
      <c r="JK108" t="inlineStr">
        <is>
          <t>KHM</t>
        </is>
      </c>
      <c r="JL108" t="inlineStr">
        <is>
          <t>KHM</t>
        </is>
      </c>
      <c r="JM108" t="inlineStr">
        <is>
          <t>KHM</t>
        </is>
      </c>
      <c r="JN108" t="inlineStr">
        <is>
          <t>KHM</t>
        </is>
      </c>
      <c r="JO108" t="inlineStr">
        <is>
          <t>KHM</t>
        </is>
      </c>
      <c r="JP108" t="inlineStr">
        <is>
          <t>KHM</t>
        </is>
      </c>
      <c r="JQ108" t="inlineStr">
        <is>
          <t>VNM</t>
        </is>
      </c>
      <c r="JR108" t="inlineStr">
        <is>
          <t>VNM</t>
        </is>
      </c>
      <c r="JS108" t="inlineStr">
        <is>
          <t>VNM</t>
        </is>
      </c>
      <c r="JT108" t="inlineStr">
        <is>
          <t>VNM</t>
        </is>
      </c>
    </row>
    <row r="109">
      <c r="AB109" t="inlineStr">
        <is>
          <t>SEN</t>
        </is>
      </c>
      <c r="AC109" t="inlineStr">
        <is>
          <t>SEN</t>
        </is>
      </c>
      <c r="AD109" t="inlineStr">
        <is>
          <t>SEN</t>
        </is>
      </c>
      <c r="AE109" t="inlineStr">
        <is>
          <t>GMB</t>
        </is>
      </c>
      <c r="AF109" t="inlineStr">
        <is>
          <t>SEN</t>
        </is>
      </c>
      <c r="AG109" t="inlineStr">
        <is>
          <t>SEN</t>
        </is>
      </c>
      <c r="AH109" t="inlineStr">
        <is>
          <t>SEN</t>
        </is>
      </c>
      <c r="AI109" t="inlineStr">
        <is>
          <t>SEN</t>
        </is>
      </c>
      <c r="AJ109" t="inlineStr">
        <is>
          <t>SEN</t>
        </is>
      </c>
      <c r="AK109" t="inlineStr">
        <is>
          <t>SEN</t>
        </is>
      </c>
      <c r="AL109" t="inlineStr">
        <is>
          <t>MLI</t>
        </is>
      </c>
      <c r="AM109" t="inlineStr">
        <is>
          <t>MLI</t>
        </is>
      </c>
      <c r="AN109" t="inlineStr">
        <is>
          <t>MLI</t>
        </is>
      </c>
      <c r="AO109" t="inlineStr">
        <is>
          <t>MLI</t>
        </is>
      </c>
      <c r="AP109" t="inlineStr">
        <is>
          <t>MLI</t>
        </is>
      </c>
      <c r="AQ109" t="inlineStr">
        <is>
          <t>MLI</t>
        </is>
      </c>
      <c r="AR109" t="inlineStr">
        <is>
          <t>MLI</t>
        </is>
      </c>
      <c r="AS109" t="inlineStr">
        <is>
          <t>MLI</t>
        </is>
      </c>
      <c r="AT109" t="inlineStr">
        <is>
          <t>MLI</t>
        </is>
      </c>
      <c r="AU109" t="inlineStr">
        <is>
          <t>MLI</t>
        </is>
      </c>
      <c r="AV109" t="inlineStr">
        <is>
          <t>MLI</t>
        </is>
      </c>
      <c r="AW109" t="inlineStr">
        <is>
          <t>MLI</t>
        </is>
      </c>
      <c r="AX109" t="inlineStr">
        <is>
          <t>MLI</t>
        </is>
      </c>
      <c r="AY109" t="inlineStr">
        <is>
          <t>MLI</t>
        </is>
      </c>
      <c r="AZ109" t="inlineStr">
        <is>
          <t>MLI</t>
        </is>
      </c>
      <c r="BA109" t="inlineStr">
        <is>
          <t>MLI</t>
        </is>
      </c>
      <c r="BB109" t="inlineStr">
        <is>
          <t>MLI</t>
        </is>
      </c>
      <c r="BC109" t="inlineStr">
        <is>
          <t>MLI</t>
        </is>
      </c>
      <c r="BD109" t="inlineStr">
        <is>
          <t>BFA</t>
        </is>
      </c>
      <c r="BE109" t="inlineStr">
        <is>
          <t>BFA</t>
        </is>
      </c>
      <c r="BF109" t="inlineStr">
        <is>
          <t>BFA</t>
        </is>
      </c>
      <c r="BG109" t="inlineStr">
        <is>
          <t>BFA</t>
        </is>
      </c>
      <c r="BH109" t="inlineStr">
        <is>
          <t>BFA</t>
        </is>
      </c>
      <c r="BI109" t="inlineStr">
        <is>
          <t>BFA</t>
        </is>
      </c>
      <c r="BJ109" t="inlineStr">
        <is>
          <t>BFA</t>
        </is>
      </c>
      <c r="BK109" t="inlineStr">
        <is>
          <t>NER</t>
        </is>
      </c>
      <c r="BL109" t="inlineStr">
        <is>
          <t>NER</t>
        </is>
      </c>
      <c r="BM109" t="inlineStr">
        <is>
          <t>NER</t>
        </is>
      </c>
      <c r="BN109" t="inlineStr">
        <is>
          <t>NER</t>
        </is>
      </c>
      <c r="BO109" t="inlineStr">
        <is>
          <t>NER</t>
        </is>
      </c>
      <c r="BP109" t="inlineStr">
        <is>
          <t>NER</t>
        </is>
      </c>
      <c r="BQ109" t="inlineStr">
        <is>
          <t>NER</t>
        </is>
      </c>
      <c r="BR109" t="inlineStr">
        <is>
          <t>NER</t>
        </is>
      </c>
      <c r="BS109" t="inlineStr">
        <is>
          <t>NGA</t>
        </is>
      </c>
      <c r="BT109" t="inlineStr">
        <is>
          <t>NGA</t>
        </is>
      </c>
      <c r="BU109" t="inlineStr">
        <is>
          <t>NGA</t>
        </is>
      </c>
      <c r="BV109" t="inlineStr">
        <is>
          <t>NER</t>
        </is>
      </c>
      <c r="BW109" t="inlineStr">
        <is>
          <t>NER</t>
        </is>
      </c>
      <c r="BX109" t="inlineStr">
        <is>
          <t>NER</t>
        </is>
      </c>
      <c r="BY109" t="inlineStr">
        <is>
          <t>NER</t>
        </is>
      </c>
      <c r="BZ109" t="inlineStr">
        <is>
          <t>NER</t>
        </is>
      </c>
      <c r="CA109" t="inlineStr">
        <is>
          <t>NER</t>
        </is>
      </c>
      <c r="CB109" t="inlineStr">
        <is>
          <t>NER</t>
        </is>
      </c>
      <c r="CC109" t="inlineStr">
        <is>
          <t>NER</t>
        </is>
      </c>
      <c r="CD109" t="inlineStr">
        <is>
          <t>NER</t>
        </is>
      </c>
      <c r="CE109" t="inlineStr">
        <is>
          <t>NER</t>
        </is>
      </c>
      <c r="CF109" t="inlineStr">
        <is>
          <t>NER</t>
        </is>
      </c>
      <c r="CG109" t="inlineStr">
        <is>
          <t>NER</t>
        </is>
      </c>
      <c r="CH109" t="inlineStr">
        <is>
          <t>NER</t>
        </is>
      </c>
      <c r="CI109" t="inlineStr">
        <is>
          <t>NER</t>
        </is>
      </c>
      <c r="CJ109" t="inlineStr">
        <is>
          <t>NER</t>
        </is>
      </c>
      <c r="CK109" t="inlineStr">
        <is>
          <t>NER</t>
        </is>
      </c>
      <c r="CL109" t="inlineStr">
        <is>
          <t>TCD</t>
        </is>
      </c>
      <c r="CM109" t="inlineStr">
        <is>
          <t>TCD</t>
        </is>
      </c>
      <c r="CN109" t="inlineStr">
        <is>
          <t>TCD</t>
        </is>
      </c>
      <c r="CO109" t="inlineStr">
        <is>
          <t>TCD</t>
        </is>
      </c>
      <c r="CP109" t="inlineStr">
        <is>
          <t>TCD</t>
        </is>
      </c>
      <c r="CQ109" t="inlineStr">
        <is>
          <t>TCD</t>
        </is>
      </c>
      <c r="CR109" t="inlineStr">
        <is>
          <t>TCD</t>
        </is>
      </c>
      <c r="CS109" t="inlineStr">
        <is>
          <t>TCD</t>
        </is>
      </c>
      <c r="CT109" t="inlineStr">
        <is>
          <t>TCD</t>
        </is>
      </c>
      <c r="CU109" t="inlineStr">
        <is>
          <t>TCD</t>
        </is>
      </c>
      <c r="CV109" t="inlineStr">
        <is>
          <t>TCD</t>
        </is>
      </c>
      <c r="CW109" t="inlineStr">
        <is>
          <t>TCD</t>
        </is>
      </c>
      <c r="CX109" t="inlineStr">
        <is>
          <t>TCD</t>
        </is>
      </c>
      <c r="CY109" t="inlineStr">
        <is>
          <t>TCD</t>
        </is>
      </c>
      <c r="CZ109" t="inlineStr">
        <is>
          <t>TCD</t>
        </is>
      </c>
      <c r="DA109" t="inlineStr">
        <is>
          <t>TCD</t>
        </is>
      </c>
      <c r="DB109" t="inlineStr">
        <is>
          <t>SDN</t>
        </is>
      </c>
      <c r="DC109" t="inlineStr">
        <is>
          <t>SDN</t>
        </is>
      </c>
      <c r="DD109" t="inlineStr">
        <is>
          <t>SDN</t>
        </is>
      </c>
      <c r="DE109" t="inlineStr">
        <is>
          <t>SDN</t>
        </is>
      </c>
      <c r="DF109" t="inlineStr">
        <is>
          <t>SDN</t>
        </is>
      </c>
      <c r="DG109" t="inlineStr">
        <is>
          <t>SDN</t>
        </is>
      </c>
      <c r="DH109" t="inlineStr">
        <is>
          <t>SDN</t>
        </is>
      </c>
      <c r="DI109" t="inlineStr">
        <is>
          <t>SDN</t>
        </is>
      </c>
      <c r="DJ109" t="inlineStr">
        <is>
          <t>SDN</t>
        </is>
      </c>
      <c r="DK109" t="inlineStr">
        <is>
          <t>SDN</t>
        </is>
      </c>
      <c r="DL109" t="inlineStr">
        <is>
          <t>SDN</t>
        </is>
      </c>
      <c r="DM109" t="inlineStr">
        <is>
          <t>SDN</t>
        </is>
      </c>
      <c r="DN109" t="inlineStr">
        <is>
          <t>SDN</t>
        </is>
      </c>
      <c r="DO109" t="inlineStr">
        <is>
          <t>SDN</t>
        </is>
      </c>
      <c r="DP109" t="inlineStr">
        <is>
          <t>SDN</t>
        </is>
      </c>
      <c r="DQ109" t="inlineStr">
        <is>
          <t>SDN</t>
        </is>
      </c>
      <c r="DR109" t="inlineStr">
        <is>
          <t>SDN</t>
        </is>
      </c>
      <c r="DS109" t="inlineStr">
        <is>
          <t>SDN</t>
        </is>
      </c>
      <c r="DT109" t="inlineStr">
        <is>
          <t>SDN</t>
        </is>
      </c>
      <c r="DU109" t="inlineStr">
        <is>
          <t>SDN</t>
        </is>
      </c>
      <c r="DV109" t="inlineStr">
        <is>
          <t>SDN</t>
        </is>
      </c>
      <c r="DW109" t="inlineStr">
        <is>
          <t>SDN</t>
        </is>
      </c>
      <c r="DX109" t="inlineStr">
        <is>
          <t>SDN</t>
        </is>
      </c>
      <c r="DY109" t="inlineStr">
        <is>
          <t>SDN</t>
        </is>
      </c>
      <c r="DZ109" t="inlineStr">
        <is>
          <t>SDN</t>
        </is>
      </c>
      <c r="EA109" t="inlineStr">
        <is>
          <t>SDN</t>
        </is>
      </c>
      <c r="EB109" t="inlineStr">
        <is>
          <t>SDN</t>
        </is>
      </c>
      <c r="EC109" t="inlineStr">
        <is>
          <t>SDN</t>
        </is>
      </c>
      <c r="ED109" t="inlineStr">
        <is>
          <t>SDN</t>
        </is>
      </c>
      <c r="EE109" t="inlineStr">
        <is>
          <t>ETH</t>
        </is>
      </c>
      <c r="EF109" t="inlineStr">
        <is>
          <t>ETH</t>
        </is>
      </c>
      <c r="EG109" t="inlineStr">
        <is>
          <t>ETH</t>
        </is>
      </c>
      <c r="EH109" t="inlineStr">
        <is>
          <t>ETH</t>
        </is>
      </c>
      <c r="EI109" t="inlineStr">
        <is>
          <t>ETH</t>
        </is>
      </c>
      <c r="EJ109" t="inlineStr">
        <is>
          <t>ETH</t>
        </is>
      </c>
      <c r="EK109" t="inlineStr">
        <is>
          <t>ETH</t>
        </is>
      </c>
      <c r="EL109" t="inlineStr">
        <is>
          <t>ETH</t>
        </is>
      </c>
      <c r="EM109" t="inlineStr">
        <is>
          <t>ETH</t>
        </is>
      </c>
      <c r="EN109" t="inlineStr">
        <is>
          <t>ERI</t>
        </is>
      </c>
      <c r="EO109" t="inlineStr">
        <is>
          <t>ERI</t>
        </is>
      </c>
      <c r="ES109" t="inlineStr">
        <is>
          <t>YEM</t>
        </is>
      </c>
      <c r="ET109" t="inlineStr">
        <is>
          <t>YEM</t>
        </is>
      </c>
      <c r="EU109" t="inlineStr">
        <is>
          <t>YEM</t>
        </is>
      </c>
      <c r="EV109" t="inlineStr">
        <is>
          <t>YEM</t>
        </is>
      </c>
      <c r="EW109" t="inlineStr">
        <is>
          <t>YEM</t>
        </is>
      </c>
      <c r="EX109" t="inlineStr">
        <is>
          <t>YEM</t>
        </is>
      </c>
      <c r="EY109" t="inlineStr">
        <is>
          <t>YEM</t>
        </is>
      </c>
      <c r="EZ109" t="inlineStr">
        <is>
          <t>YEM</t>
        </is>
      </c>
      <c r="HC109" t="inlineStr">
        <is>
          <t>IND</t>
        </is>
      </c>
      <c r="HD109" t="inlineStr">
        <is>
          <t>IND</t>
        </is>
      </c>
      <c r="HE109" t="inlineStr">
        <is>
          <t>IND</t>
        </is>
      </c>
      <c r="HF109" t="inlineStr">
        <is>
          <t>IND</t>
        </is>
      </c>
      <c r="HG109" t="inlineStr">
        <is>
          <t>IND</t>
        </is>
      </c>
      <c r="HH109" t="inlineStr">
        <is>
          <t>IND</t>
        </is>
      </c>
      <c r="HI109" t="inlineStr">
        <is>
          <t>IND</t>
        </is>
      </c>
      <c r="HJ109" t="inlineStr">
        <is>
          <t>IND</t>
        </is>
      </c>
      <c r="HK109" t="inlineStr">
        <is>
          <t>IND</t>
        </is>
      </c>
      <c r="HL109" t="inlineStr">
        <is>
          <t>IND</t>
        </is>
      </c>
      <c r="HM109" t="inlineStr">
        <is>
          <t>IND</t>
        </is>
      </c>
      <c r="IX109" t="inlineStr">
        <is>
          <t>MMR</t>
        </is>
      </c>
      <c r="IY109" t="inlineStr">
        <is>
          <t>MMR</t>
        </is>
      </c>
      <c r="IZ109" t="inlineStr">
        <is>
          <t>THA</t>
        </is>
      </c>
      <c r="JA109" t="inlineStr">
        <is>
          <t>THA</t>
        </is>
      </c>
      <c r="JB109" t="inlineStr">
        <is>
          <t>THA</t>
        </is>
      </c>
      <c r="JC109" t="inlineStr">
        <is>
          <t>THA</t>
        </is>
      </c>
      <c r="JD109" t="inlineStr">
        <is>
          <t>THA</t>
        </is>
      </c>
      <c r="JE109" t="inlineStr">
        <is>
          <t>THA</t>
        </is>
      </c>
      <c r="JF109" t="inlineStr">
        <is>
          <t>THA</t>
        </is>
      </c>
      <c r="JG109" t="inlineStr">
        <is>
          <t>KHM</t>
        </is>
      </c>
      <c r="JH109" t="inlineStr">
        <is>
          <t>KHM</t>
        </is>
      </c>
      <c r="JI109" t="inlineStr">
        <is>
          <t>KHM</t>
        </is>
      </c>
      <c r="JJ109" t="inlineStr">
        <is>
          <t>KHM</t>
        </is>
      </c>
      <c r="JK109" t="inlineStr">
        <is>
          <t>KHM</t>
        </is>
      </c>
      <c r="JL109" t="inlineStr">
        <is>
          <t>KHM</t>
        </is>
      </c>
      <c r="JM109" t="inlineStr">
        <is>
          <t>KHM</t>
        </is>
      </c>
      <c r="JN109" t="inlineStr">
        <is>
          <t>KHM</t>
        </is>
      </c>
      <c r="JO109" t="inlineStr">
        <is>
          <t>KHM</t>
        </is>
      </c>
      <c r="JP109" t="inlineStr">
        <is>
          <t>KHM</t>
        </is>
      </c>
      <c r="JQ109" t="inlineStr">
        <is>
          <t>VNM</t>
        </is>
      </c>
      <c r="JR109" t="inlineStr">
        <is>
          <t>VNM</t>
        </is>
      </c>
      <c r="JS109" t="inlineStr">
        <is>
          <t>VNM</t>
        </is>
      </c>
      <c r="JT109" t="inlineStr">
        <is>
          <t>VNM</t>
        </is>
      </c>
    </row>
    <row r="110">
      <c r="AB110" t="inlineStr">
        <is>
          <t>SEN</t>
        </is>
      </c>
      <c r="AC110" t="inlineStr">
        <is>
          <t>SEN</t>
        </is>
      </c>
      <c r="AD110" t="inlineStr">
        <is>
          <t>SEN</t>
        </is>
      </c>
      <c r="AE110" t="inlineStr">
        <is>
          <t>SEN</t>
        </is>
      </c>
      <c r="AF110" t="inlineStr">
        <is>
          <t>SEN</t>
        </is>
      </c>
      <c r="AG110" t="inlineStr">
        <is>
          <t>SEN</t>
        </is>
      </c>
      <c r="AH110" t="inlineStr">
        <is>
          <t>SEN</t>
        </is>
      </c>
      <c r="AI110" t="inlineStr">
        <is>
          <t>SEN</t>
        </is>
      </c>
      <c r="AJ110" t="inlineStr">
        <is>
          <t>SEN</t>
        </is>
      </c>
      <c r="AK110" t="inlineStr">
        <is>
          <t>SEN</t>
        </is>
      </c>
      <c r="AL110" t="inlineStr">
        <is>
          <t>MLI</t>
        </is>
      </c>
      <c r="AM110" t="inlineStr">
        <is>
          <t>MLI</t>
        </is>
      </c>
      <c r="AN110" t="inlineStr">
        <is>
          <t>MLI</t>
        </is>
      </c>
      <c r="AO110" t="inlineStr">
        <is>
          <t>MLI</t>
        </is>
      </c>
      <c r="AP110" t="inlineStr">
        <is>
          <t>MLI</t>
        </is>
      </c>
      <c r="AQ110" t="inlineStr">
        <is>
          <t>MLI</t>
        </is>
      </c>
      <c r="AR110" t="inlineStr">
        <is>
          <t>MLI</t>
        </is>
      </c>
      <c r="AS110" t="inlineStr">
        <is>
          <t>MLI</t>
        </is>
      </c>
      <c r="AT110" t="inlineStr">
        <is>
          <t>MLI</t>
        </is>
      </c>
      <c r="AU110" t="inlineStr">
        <is>
          <t>MLI</t>
        </is>
      </c>
      <c r="AV110" t="inlineStr">
        <is>
          <t>MLI</t>
        </is>
      </c>
      <c r="AW110" t="inlineStr">
        <is>
          <t>MLI</t>
        </is>
      </c>
      <c r="AX110" t="inlineStr">
        <is>
          <t>MLI</t>
        </is>
      </c>
      <c r="AY110" t="inlineStr">
        <is>
          <t>MLI</t>
        </is>
      </c>
      <c r="AZ110" t="inlineStr">
        <is>
          <t>MLI</t>
        </is>
      </c>
      <c r="BA110" t="inlineStr">
        <is>
          <t>MLI</t>
        </is>
      </c>
      <c r="BB110" t="inlineStr">
        <is>
          <t>MLI</t>
        </is>
      </c>
      <c r="BC110" t="inlineStr">
        <is>
          <t>MLI</t>
        </is>
      </c>
      <c r="BD110" t="inlineStr">
        <is>
          <t>MLI</t>
        </is>
      </c>
      <c r="BE110" t="inlineStr">
        <is>
          <t>MLI</t>
        </is>
      </c>
      <c r="BF110" t="inlineStr">
        <is>
          <t>BFA</t>
        </is>
      </c>
      <c r="BG110" t="inlineStr">
        <is>
          <t>BFA</t>
        </is>
      </c>
      <c r="BH110" t="inlineStr">
        <is>
          <t>BFA</t>
        </is>
      </c>
      <c r="BI110" t="inlineStr">
        <is>
          <t>BFA</t>
        </is>
      </c>
      <c r="BJ110" t="inlineStr">
        <is>
          <t>BFA</t>
        </is>
      </c>
      <c r="BK110" t="inlineStr">
        <is>
          <t>NER</t>
        </is>
      </c>
      <c r="BL110" t="inlineStr">
        <is>
          <t>NER</t>
        </is>
      </c>
      <c r="BM110" t="inlineStr">
        <is>
          <t>NER</t>
        </is>
      </c>
      <c r="BN110" t="inlineStr">
        <is>
          <t>NER</t>
        </is>
      </c>
      <c r="BO110" t="inlineStr">
        <is>
          <t>NER</t>
        </is>
      </c>
      <c r="BP110" t="inlineStr">
        <is>
          <t>NER</t>
        </is>
      </c>
      <c r="BQ110" t="inlineStr">
        <is>
          <t>NER</t>
        </is>
      </c>
      <c r="BR110" t="inlineStr">
        <is>
          <t>NER</t>
        </is>
      </c>
      <c r="BS110" t="inlineStr">
        <is>
          <t>NER</t>
        </is>
      </c>
      <c r="BT110" t="inlineStr">
        <is>
          <t>NER</t>
        </is>
      </c>
      <c r="BU110" t="inlineStr">
        <is>
          <t>NER</t>
        </is>
      </c>
      <c r="BV110" t="inlineStr">
        <is>
          <t>NER</t>
        </is>
      </c>
      <c r="BW110" t="inlineStr">
        <is>
          <t>NER</t>
        </is>
      </c>
      <c r="BX110" t="inlineStr">
        <is>
          <t>NER</t>
        </is>
      </c>
      <c r="BY110" t="inlineStr">
        <is>
          <t>NER</t>
        </is>
      </c>
      <c r="BZ110" t="inlineStr">
        <is>
          <t>NER</t>
        </is>
      </c>
      <c r="CA110" t="inlineStr">
        <is>
          <t>NER</t>
        </is>
      </c>
      <c r="CB110" t="inlineStr">
        <is>
          <t>NER</t>
        </is>
      </c>
      <c r="CC110" t="inlineStr">
        <is>
          <t>NER</t>
        </is>
      </c>
      <c r="CD110" t="inlineStr">
        <is>
          <t>NER</t>
        </is>
      </c>
      <c r="CE110" t="inlineStr">
        <is>
          <t>NER</t>
        </is>
      </c>
      <c r="CF110" t="inlineStr">
        <is>
          <t>NER</t>
        </is>
      </c>
      <c r="CG110" t="inlineStr">
        <is>
          <t>NER</t>
        </is>
      </c>
      <c r="CH110" t="inlineStr">
        <is>
          <t>NER</t>
        </is>
      </c>
      <c r="CI110" t="inlineStr">
        <is>
          <t>NER</t>
        </is>
      </c>
      <c r="CJ110" t="inlineStr">
        <is>
          <t>NER</t>
        </is>
      </c>
      <c r="CK110" t="inlineStr">
        <is>
          <t>TCD</t>
        </is>
      </c>
      <c r="CL110" t="inlineStr">
        <is>
          <t>TCD</t>
        </is>
      </c>
      <c r="CM110" t="inlineStr">
        <is>
          <t>TCD</t>
        </is>
      </c>
      <c r="CN110" t="inlineStr">
        <is>
          <t>TCD</t>
        </is>
      </c>
      <c r="CO110" t="inlineStr">
        <is>
          <t>TCD</t>
        </is>
      </c>
      <c r="CP110" t="inlineStr">
        <is>
          <t>TCD</t>
        </is>
      </c>
      <c r="CQ110" t="inlineStr">
        <is>
          <t>TCD</t>
        </is>
      </c>
      <c r="CR110" t="inlineStr">
        <is>
          <t>TCD</t>
        </is>
      </c>
      <c r="CS110" t="inlineStr">
        <is>
          <t>TCD</t>
        </is>
      </c>
      <c r="CT110" t="inlineStr">
        <is>
          <t>TCD</t>
        </is>
      </c>
      <c r="CU110" t="inlineStr">
        <is>
          <t>TCD</t>
        </is>
      </c>
      <c r="CV110" t="inlineStr">
        <is>
          <t>TCD</t>
        </is>
      </c>
      <c r="CW110" t="inlineStr">
        <is>
          <t>TCD</t>
        </is>
      </c>
      <c r="CX110" t="inlineStr">
        <is>
          <t>TCD</t>
        </is>
      </c>
      <c r="CY110" t="inlineStr">
        <is>
          <t>TCD</t>
        </is>
      </c>
      <c r="CZ110" t="inlineStr">
        <is>
          <t>TCD</t>
        </is>
      </c>
      <c r="DA110" t="inlineStr">
        <is>
          <t>TCD</t>
        </is>
      </c>
      <c r="DB110" t="inlineStr">
        <is>
          <t>TCD</t>
        </is>
      </c>
      <c r="DC110" t="inlineStr">
        <is>
          <t>SDN</t>
        </is>
      </c>
      <c r="DD110" t="inlineStr">
        <is>
          <t>SDN</t>
        </is>
      </c>
      <c r="DE110" t="inlineStr">
        <is>
          <t>SDN</t>
        </is>
      </c>
      <c r="DF110" t="inlineStr">
        <is>
          <t>SDN</t>
        </is>
      </c>
      <c r="DG110" t="inlineStr">
        <is>
          <t>SDN</t>
        </is>
      </c>
      <c r="DH110" t="inlineStr">
        <is>
          <t>SDN</t>
        </is>
      </c>
      <c r="DI110" t="inlineStr">
        <is>
          <t>SDN</t>
        </is>
      </c>
      <c r="DJ110" t="inlineStr">
        <is>
          <t>SDN</t>
        </is>
      </c>
      <c r="DK110" t="inlineStr">
        <is>
          <t>SDN</t>
        </is>
      </c>
      <c r="DL110" t="inlineStr">
        <is>
          <t>SDN</t>
        </is>
      </c>
      <c r="DM110" t="inlineStr">
        <is>
          <t>SDN</t>
        </is>
      </c>
      <c r="DN110" t="inlineStr">
        <is>
          <t>SDN</t>
        </is>
      </c>
      <c r="DO110" t="inlineStr">
        <is>
          <t>SDN</t>
        </is>
      </c>
      <c r="DP110" t="inlineStr">
        <is>
          <t>SDN</t>
        </is>
      </c>
      <c r="DQ110" t="inlineStr">
        <is>
          <t>SDN</t>
        </is>
      </c>
      <c r="DR110" t="inlineStr">
        <is>
          <t>SDN</t>
        </is>
      </c>
      <c r="DS110" t="inlineStr">
        <is>
          <t>SDN</t>
        </is>
      </c>
      <c r="DT110" t="inlineStr">
        <is>
          <t>SDN</t>
        </is>
      </c>
      <c r="DU110" t="inlineStr">
        <is>
          <t>SDN</t>
        </is>
      </c>
      <c r="DV110" t="inlineStr">
        <is>
          <t>SDN</t>
        </is>
      </c>
      <c r="DW110" t="inlineStr">
        <is>
          <t>SDN</t>
        </is>
      </c>
      <c r="DX110" t="inlineStr">
        <is>
          <t>SDN</t>
        </is>
      </c>
      <c r="DY110" t="inlineStr">
        <is>
          <t>SDN</t>
        </is>
      </c>
      <c r="DZ110" t="inlineStr">
        <is>
          <t>SDN</t>
        </is>
      </c>
      <c r="EA110" t="inlineStr">
        <is>
          <t>SDN</t>
        </is>
      </c>
      <c r="EB110" t="inlineStr">
        <is>
          <t>SDN</t>
        </is>
      </c>
      <c r="EC110" t="inlineStr">
        <is>
          <t>SDN</t>
        </is>
      </c>
      <c r="ED110" t="inlineStr">
        <is>
          <t>SDN</t>
        </is>
      </c>
      <c r="EE110" t="inlineStr">
        <is>
          <t>ETH</t>
        </is>
      </c>
      <c r="EF110" t="inlineStr">
        <is>
          <t>ETH</t>
        </is>
      </c>
      <c r="EG110" t="inlineStr">
        <is>
          <t>ETH</t>
        </is>
      </c>
      <c r="EH110" t="inlineStr">
        <is>
          <t>ETH</t>
        </is>
      </c>
      <c r="EI110" t="inlineStr">
        <is>
          <t>ETH</t>
        </is>
      </c>
      <c r="EJ110" t="inlineStr">
        <is>
          <t>ETH</t>
        </is>
      </c>
      <c r="EK110" t="inlineStr">
        <is>
          <t>ETH</t>
        </is>
      </c>
      <c r="EL110" t="inlineStr">
        <is>
          <t>ETH</t>
        </is>
      </c>
      <c r="EM110" t="inlineStr">
        <is>
          <t>ERI</t>
        </is>
      </c>
      <c r="EN110" t="inlineStr">
        <is>
          <t>ERI</t>
        </is>
      </c>
      <c r="ER110" t="inlineStr">
        <is>
          <t>YEM</t>
        </is>
      </c>
      <c r="ES110" t="inlineStr">
        <is>
          <t>YEM</t>
        </is>
      </c>
      <c r="ET110" t="inlineStr">
        <is>
          <t>YEM</t>
        </is>
      </c>
      <c r="EU110" t="inlineStr">
        <is>
          <t>YEM</t>
        </is>
      </c>
      <c r="EV110" t="inlineStr">
        <is>
          <t>YEM</t>
        </is>
      </c>
      <c r="EW110" t="inlineStr">
        <is>
          <t>YEM</t>
        </is>
      </c>
      <c r="EX110" t="inlineStr">
        <is>
          <t>YEM</t>
        </is>
      </c>
      <c r="EY110" t="inlineStr">
        <is>
          <t>YEM</t>
        </is>
      </c>
      <c r="EZ110" t="inlineStr">
        <is>
          <t>YEM</t>
        </is>
      </c>
      <c r="FA110" t="inlineStr">
        <is>
          <t>YEM</t>
        </is>
      </c>
      <c r="FB110" t="inlineStr">
        <is>
          <t>YEM</t>
        </is>
      </c>
      <c r="FC110" t="inlineStr">
        <is>
          <t>YEM</t>
        </is>
      </c>
      <c r="HC110" t="inlineStr">
        <is>
          <t>IND</t>
        </is>
      </c>
      <c r="HD110" t="inlineStr">
        <is>
          <t>IND</t>
        </is>
      </c>
      <c r="HE110" t="inlineStr">
        <is>
          <t>IND</t>
        </is>
      </c>
      <c r="HF110" t="inlineStr">
        <is>
          <t>IND</t>
        </is>
      </c>
      <c r="HG110" t="inlineStr">
        <is>
          <t>IND</t>
        </is>
      </c>
      <c r="HH110" t="inlineStr">
        <is>
          <t>IND</t>
        </is>
      </c>
      <c r="HI110" t="inlineStr">
        <is>
          <t>IND</t>
        </is>
      </c>
      <c r="HJ110" t="inlineStr">
        <is>
          <t>IND</t>
        </is>
      </c>
      <c r="HK110" t="inlineStr">
        <is>
          <t>IND</t>
        </is>
      </c>
      <c r="HL110" t="inlineStr">
        <is>
          <t>IND</t>
        </is>
      </c>
      <c r="HM110" t="inlineStr">
        <is>
          <t>IND</t>
        </is>
      </c>
      <c r="IX110" t="inlineStr">
        <is>
          <t>MMR</t>
        </is>
      </c>
      <c r="IY110" t="inlineStr">
        <is>
          <t>THA</t>
        </is>
      </c>
      <c r="IZ110" t="inlineStr">
        <is>
          <t>THA</t>
        </is>
      </c>
      <c r="JA110" t="inlineStr">
        <is>
          <t>THA</t>
        </is>
      </c>
      <c r="JB110" t="inlineStr">
        <is>
          <t>THA</t>
        </is>
      </c>
      <c r="JC110" t="inlineStr">
        <is>
          <t>THA</t>
        </is>
      </c>
      <c r="JD110" t="inlineStr">
        <is>
          <t>THA</t>
        </is>
      </c>
      <c r="JE110" t="inlineStr">
        <is>
          <t>THA</t>
        </is>
      </c>
      <c r="JF110" t="inlineStr">
        <is>
          <t>THA</t>
        </is>
      </c>
      <c r="JG110" t="inlineStr">
        <is>
          <t>THA</t>
        </is>
      </c>
      <c r="JH110" t="inlineStr">
        <is>
          <t>KHM</t>
        </is>
      </c>
      <c r="JI110" t="inlineStr">
        <is>
          <t>KHM</t>
        </is>
      </c>
      <c r="JJ110" t="inlineStr">
        <is>
          <t>KHM</t>
        </is>
      </c>
      <c r="JK110" t="inlineStr">
        <is>
          <t>KHM</t>
        </is>
      </c>
      <c r="JL110" t="inlineStr">
        <is>
          <t>KHM</t>
        </is>
      </c>
      <c r="JM110" t="inlineStr">
        <is>
          <t>LAO</t>
        </is>
      </c>
      <c r="JN110" t="inlineStr">
        <is>
          <t>LAO</t>
        </is>
      </c>
      <c r="JO110" t="inlineStr">
        <is>
          <t>KHM</t>
        </is>
      </c>
      <c r="JP110" t="inlineStr">
        <is>
          <t>KHM</t>
        </is>
      </c>
      <c r="JQ110" t="inlineStr">
        <is>
          <t>VNM</t>
        </is>
      </c>
      <c r="JR110" t="inlineStr">
        <is>
          <t>VNM</t>
        </is>
      </c>
      <c r="JS110" t="inlineStr">
        <is>
          <t>VNM</t>
        </is>
      </c>
    </row>
    <row r="111">
      <c r="AA111" t="inlineStr">
        <is>
          <t>SEN</t>
        </is>
      </c>
      <c r="AB111" t="inlineStr">
        <is>
          <t>SEN</t>
        </is>
      </c>
      <c r="AC111" t="inlineStr">
        <is>
          <t>SEN</t>
        </is>
      </c>
      <c r="AD111" t="inlineStr">
        <is>
          <t>SEN</t>
        </is>
      </c>
      <c r="AE111" t="inlineStr">
        <is>
          <t>SEN</t>
        </is>
      </c>
      <c r="AF111" t="inlineStr">
        <is>
          <t>SEN</t>
        </is>
      </c>
      <c r="AG111" t="inlineStr">
        <is>
          <t>SEN</t>
        </is>
      </c>
      <c r="AH111" t="inlineStr">
        <is>
          <t>SEN</t>
        </is>
      </c>
      <c r="AI111" t="inlineStr">
        <is>
          <t>SEN</t>
        </is>
      </c>
      <c r="AJ111" t="inlineStr">
        <is>
          <t>SEN</t>
        </is>
      </c>
      <c r="AK111" t="inlineStr">
        <is>
          <t>MRT</t>
        </is>
      </c>
      <c r="AL111" t="inlineStr">
        <is>
          <t>MLI</t>
        </is>
      </c>
      <c r="AM111" t="inlineStr">
        <is>
          <t>MLI</t>
        </is>
      </c>
      <c r="AN111" t="inlineStr">
        <is>
          <t>MLI</t>
        </is>
      </c>
      <c r="AO111" t="inlineStr">
        <is>
          <t>MLI</t>
        </is>
      </c>
      <c r="AP111" t="inlineStr">
        <is>
          <t>MLI</t>
        </is>
      </c>
      <c r="AQ111" t="inlineStr">
        <is>
          <t>MLI</t>
        </is>
      </c>
      <c r="AR111" t="inlineStr">
        <is>
          <t>MLI</t>
        </is>
      </c>
      <c r="AS111" t="inlineStr">
        <is>
          <t>MLI</t>
        </is>
      </c>
      <c r="AT111" t="inlineStr">
        <is>
          <t>MLI</t>
        </is>
      </c>
      <c r="AU111" t="inlineStr">
        <is>
          <t>MLI</t>
        </is>
      </c>
      <c r="AV111" t="inlineStr">
        <is>
          <t>MLI</t>
        </is>
      </c>
      <c r="AW111" t="inlineStr">
        <is>
          <t>MLI</t>
        </is>
      </c>
      <c r="AX111" t="inlineStr">
        <is>
          <t>MLI</t>
        </is>
      </c>
      <c r="AY111" t="inlineStr">
        <is>
          <t>MLI</t>
        </is>
      </c>
      <c r="AZ111" t="inlineStr">
        <is>
          <t>MLI</t>
        </is>
      </c>
      <c r="BA111" t="inlineStr">
        <is>
          <t>MLI</t>
        </is>
      </c>
      <c r="BB111" t="inlineStr">
        <is>
          <t>MLI</t>
        </is>
      </c>
      <c r="BC111" t="inlineStr">
        <is>
          <t>MLI</t>
        </is>
      </c>
      <c r="BD111" t="inlineStr">
        <is>
          <t>MLI</t>
        </is>
      </c>
      <c r="BE111" t="inlineStr">
        <is>
          <t>MLI</t>
        </is>
      </c>
      <c r="BF111" t="inlineStr">
        <is>
          <t>MLI</t>
        </is>
      </c>
      <c r="BG111" t="inlineStr">
        <is>
          <t>BFA</t>
        </is>
      </c>
      <c r="BH111" t="inlineStr">
        <is>
          <t>BFA</t>
        </is>
      </c>
      <c r="BI111" t="inlineStr">
        <is>
          <t>BFA</t>
        </is>
      </c>
      <c r="BJ111" t="inlineStr">
        <is>
          <t>BFA</t>
        </is>
      </c>
      <c r="BK111" t="inlineStr">
        <is>
          <t>NER</t>
        </is>
      </c>
      <c r="BL111" t="inlineStr">
        <is>
          <t>NER</t>
        </is>
      </c>
      <c r="BM111" t="inlineStr">
        <is>
          <t>NER</t>
        </is>
      </c>
      <c r="BN111" t="inlineStr">
        <is>
          <t>NER</t>
        </is>
      </c>
      <c r="BO111" t="inlineStr">
        <is>
          <t>NER</t>
        </is>
      </c>
      <c r="BP111" t="inlineStr">
        <is>
          <t>NER</t>
        </is>
      </c>
      <c r="BQ111" t="inlineStr">
        <is>
          <t>NER</t>
        </is>
      </c>
      <c r="BR111" t="inlineStr">
        <is>
          <t>NER</t>
        </is>
      </c>
      <c r="BS111" t="inlineStr">
        <is>
          <t>NER</t>
        </is>
      </c>
      <c r="BT111" t="inlineStr">
        <is>
          <t>NER</t>
        </is>
      </c>
      <c r="BU111" t="inlineStr">
        <is>
          <t>NER</t>
        </is>
      </c>
      <c r="BV111" t="inlineStr">
        <is>
          <t>NER</t>
        </is>
      </c>
      <c r="BW111" t="inlineStr">
        <is>
          <t>NER</t>
        </is>
      </c>
      <c r="BX111" t="inlineStr">
        <is>
          <t>NER</t>
        </is>
      </c>
      <c r="BY111" t="inlineStr">
        <is>
          <t>NER</t>
        </is>
      </c>
      <c r="BZ111" t="inlineStr">
        <is>
          <t>NER</t>
        </is>
      </c>
      <c r="CA111" t="inlineStr">
        <is>
          <t>NER</t>
        </is>
      </c>
      <c r="CB111" t="inlineStr">
        <is>
          <t>NER</t>
        </is>
      </c>
      <c r="CC111" t="inlineStr">
        <is>
          <t>NER</t>
        </is>
      </c>
      <c r="CD111" t="inlineStr">
        <is>
          <t>NER</t>
        </is>
      </c>
      <c r="CE111" t="inlineStr">
        <is>
          <t>NER</t>
        </is>
      </c>
      <c r="CF111" t="inlineStr">
        <is>
          <t>NER</t>
        </is>
      </c>
      <c r="CG111" t="inlineStr">
        <is>
          <t>NER</t>
        </is>
      </c>
      <c r="CH111" t="inlineStr">
        <is>
          <t>NER</t>
        </is>
      </c>
      <c r="CI111" t="inlineStr">
        <is>
          <t>NER</t>
        </is>
      </c>
      <c r="CJ111" t="inlineStr">
        <is>
          <t>NER</t>
        </is>
      </c>
      <c r="CK111" t="inlineStr">
        <is>
          <t>TCD</t>
        </is>
      </c>
      <c r="CL111" t="inlineStr">
        <is>
          <t>TCD</t>
        </is>
      </c>
      <c r="CM111" t="inlineStr">
        <is>
          <t>TCD</t>
        </is>
      </c>
      <c r="CN111" t="inlineStr">
        <is>
          <t>TCD</t>
        </is>
      </c>
      <c r="CO111" t="inlineStr">
        <is>
          <t>TCD</t>
        </is>
      </c>
      <c r="CP111" t="inlineStr">
        <is>
          <t>TCD</t>
        </is>
      </c>
      <c r="CQ111" t="inlineStr">
        <is>
          <t>TCD</t>
        </is>
      </c>
      <c r="CR111" t="inlineStr">
        <is>
          <t>TCD</t>
        </is>
      </c>
      <c r="CS111" t="inlineStr">
        <is>
          <t>TCD</t>
        </is>
      </c>
      <c r="CT111" t="inlineStr">
        <is>
          <t>TCD</t>
        </is>
      </c>
      <c r="CU111" t="inlineStr">
        <is>
          <t>TCD</t>
        </is>
      </c>
      <c r="CV111" t="inlineStr">
        <is>
          <t>TCD</t>
        </is>
      </c>
      <c r="CW111" t="inlineStr">
        <is>
          <t>TCD</t>
        </is>
      </c>
      <c r="CX111" t="inlineStr">
        <is>
          <t>TCD</t>
        </is>
      </c>
      <c r="CY111" t="inlineStr">
        <is>
          <t>TCD</t>
        </is>
      </c>
      <c r="CZ111" t="inlineStr">
        <is>
          <t>TCD</t>
        </is>
      </c>
      <c r="DA111" t="inlineStr">
        <is>
          <t>TCD</t>
        </is>
      </c>
      <c r="DB111" t="inlineStr">
        <is>
          <t>TCD</t>
        </is>
      </c>
      <c r="DC111" t="inlineStr">
        <is>
          <t>SDN</t>
        </is>
      </c>
      <c r="DD111" t="inlineStr">
        <is>
          <t>SDN</t>
        </is>
      </c>
      <c r="DE111" t="inlineStr">
        <is>
          <t>SDN</t>
        </is>
      </c>
      <c r="DF111" t="inlineStr">
        <is>
          <t>SDN</t>
        </is>
      </c>
      <c r="DG111" t="inlineStr">
        <is>
          <t>SDN</t>
        </is>
      </c>
      <c r="DH111" t="inlineStr">
        <is>
          <t>SDN</t>
        </is>
      </c>
      <c r="DI111" t="inlineStr">
        <is>
          <t>SDN</t>
        </is>
      </c>
      <c r="DJ111" t="inlineStr">
        <is>
          <t>SDN</t>
        </is>
      </c>
      <c r="DK111" t="inlineStr">
        <is>
          <t>SDN</t>
        </is>
      </c>
      <c r="DL111" t="inlineStr">
        <is>
          <t>SDN</t>
        </is>
      </c>
      <c r="DM111" t="inlineStr">
        <is>
          <t>SDN</t>
        </is>
      </c>
      <c r="DN111" t="inlineStr">
        <is>
          <t>SDN</t>
        </is>
      </c>
      <c r="DO111" t="inlineStr">
        <is>
          <t>SDN</t>
        </is>
      </c>
      <c r="DP111" t="inlineStr">
        <is>
          <t>SDN</t>
        </is>
      </c>
      <c r="DQ111" t="inlineStr">
        <is>
          <t>SDN</t>
        </is>
      </c>
      <c r="DR111" t="inlineStr">
        <is>
          <t>SDN</t>
        </is>
      </c>
      <c r="DS111" t="inlineStr">
        <is>
          <t>SDN</t>
        </is>
      </c>
      <c r="DT111" t="inlineStr">
        <is>
          <t>SDN</t>
        </is>
      </c>
      <c r="DU111" t="inlineStr">
        <is>
          <t>SDN</t>
        </is>
      </c>
      <c r="DV111" t="inlineStr">
        <is>
          <t>SDN</t>
        </is>
      </c>
      <c r="DW111" t="inlineStr">
        <is>
          <t>SDN</t>
        </is>
      </c>
      <c r="DX111" t="inlineStr">
        <is>
          <t>SDN</t>
        </is>
      </c>
      <c r="DY111" t="inlineStr">
        <is>
          <t>SDN</t>
        </is>
      </c>
      <c r="DZ111" t="inlineStr">
        <is>
          <t>SDN</t>
        </is>
      </c>
      <c r="EA111" t="inlineStr">
        <is>
          <t>SDN</t>
        </is>
      </c>
      <c r="EB111" t="inlineStr">
        <is>
          <t>SDN</t>
        </is>
      </c>
      <c r="EC111" t="inlineStr">
        <is>
          <t>SDN</t>
        </is>
      </c>
      <c r="ED111" t="inlineStr">
        <is>
          <t>SDN</t>
        </is>
      </c>
      <c r="EE111" t="inlineStr">
        <is>
          <t>ERI</t>
        </is>
      </c>
      <c r="EF111" t="inlineStr">
        <is>
          <t>ERI</t>
        </is>
      </c>
      <c r="EG111" t="inlineStr">
        <is>
          <t>ERI</t>
        </is>
      </c>
      <c r="EH111" t="inlineStr">
        <is>
          <t>ERI</t>
        </is>
      </c>
      <c r="EI111" t="inlineStr">
        <is>
          <t>ERI</t>
        </is>
      </c>
      <c r="EJ111" t="inlineStr">
        <is>
          <t>ERI</t>
        </is>
      </c>
      <c r="EK111" t="inlineStr">
        <is>
          <t>ERI</t>
        </is>
      </c>
      <c r="EL111" t="inlineStr">
        <is>
          <t>ERI</t>
        </is>
      </c>
      <c r="EM111" t="inlineStr">
        <is>
          <t>ERI</t>
        </is>
      </c>
      <c r="ER111" t="inlineStr">
        <is>
          <t>YEM</t>
        </is>
      </c>
      <c r="ES111" t="inlineStr">
        <is>
          <t>YEM</t>
        </is>
      </c>
      <c r="ET111" t="inlineStr">
        <is>
          <t>YEM</t>
        </is>
      </c>
      <c r="EU111" t="inlineStr">
        <is>
          <t>YEM</t>
        </is>
      </c>
      <c r="EV111" t="inlineStr">
        <is>
          <t>YEM</t>
        </is>
      </c>
      <c r="EW111" t="inlineStr">
        <is>
          <t>YEM</t>
        </is>
      </c>
      <c r="EX111" t="inlineStr">
        <is>
          <t>YEM</t>
        </is>
      </c>
      <c r="EY111" t="inlineStr">
        <is>
          <t>YEM</t>
        </is>
      </c>
      <c r="EZ111" t="inlineStr">
        <is>
          <t>YEM</t>
        </is>
      </c>
      <c r="FA111" t="inlineStr">
        <is>
          <t>YEM</t>
        </is>
      </c>
      <c r="FB111" t="inlineStr">
        <is>
          <t>YEM</t>
        </is>
      </c>
      <c r="FC111" t="inlineStr">
        <is>
          <t>YEM</t>
        </is>
      </c>
      <c r="FD111" t="inlineStr">
        <is>
          <t>YEM</t>
        </is>
      </c>
      <c r="HC111" t="inlineStr">
        <is>
          <t>IND</t>
        </is>
      </c>
      <c r="HD111" t="inlineStr">
        <is>
          <t>IND</t>
        </is>
      </c>
      <c r="HE111" t="inlineStr">
        <is>
          <t>IND</t>
        </is>
      </c>
      <c r="HF111" t="inlineStr">
        <is>
          <t>IND</t>
        </is>
      </c>
      <c r="HG111" t="inlineStr">
        <is>
          <t>IND</t>
        </is>
      </c>
      <c r="HH111" t="inlineStr">
        <is>
          <t>IND</t>
        </is>
      </c>
      <c r="HI111" t="inlineStr">
        <is>
          <t>IND</t>
        </is>
      </c>
      <c r="HJ111" t="inlineStr">
        <is>
          <t>IND</t>
        </is>
      </c>
      <c r="HK111" t="inlineStr">
        <is>
          <t>IND</t>
        </is>
      </c>
      <c r="HL111" t="inlineStr">
        <is>
          <t>IND</t>
        </is>
      </c>
      <c r="HM111" t="inlineStr">
        <is>
          <t>IND</t>
        </is>
      </c>
      <c r="IX111" t="inlineStr">
        <is>
          <t>MMR</t>
        </is>
      </c>
      <c r="IY111" t="inlineStr">
        <is>
          <t>THA</t>
        </is>
      </c>
      <c r="IZ111" t="inlineStr">
        <is>
          <t>THA</t>
        </is>
      </c>
      <c r="JA111" t="inlineStr">
        <is>
          <t>THA</t>
        </is>
      </c>
      <c r="JB111" t="inlineStr">
        <is>
          <t>THA</t>
        </is>
      </c>
      <c r="JC111" t="inlineStr">
        <is>
          <t>THA</t>
        </is>
      </c>
      <c r="JD111" t="inlineStr">
        <is>
          <t>THA</t>
        </is>
      </c>
      <c r="JE111" t="inlineStr">
        <is>
          <t>THA</t>
        </is>
      </c>
      <c r="JF111" t="inlineStr">
        <is>
          <t>THA</t>
        </is>
      </c>
      <c r="JG111" t="inlineStr">
        <is>
          <t>THA</t>
        </is>
      </c>
      <c r="JH111" t="inlineStr">
        <is>
          <t>THA</t>
        </is>
      </c>
      <c r="JI111" t="inlineStr">
        <is>
          <t>THA</t>
        </is>
      </c>
      <c r="JJ111" t="inlineStr">
        <is>
          <t>THA</t>
        </is>
      </c>
      <c r="JK111" t="inlineStr">
        <is>
          <t>THA</t>
        </is>
      </c>
      <c r="JL111" t="inlineStr">
        <is>
          <t>THA</t>
        </is>
      </c>
      <c r="JM111" t="inlineStr">
        <is>
          <t>LAO</t>
        </is>
      </c>
      <c r="JN111" t="inlineStr">
        <is>
          <t>LAO</t>
        </is>
      </c>
      <c r="JO111" t="inlineStr">
        <is>
          <t>LAO</t>
        </is>
      </c>
      <c r="JP111" t="inlineStr">
        <is>
          <t>LAO</t>
        </is>
      </c>
      <c r="JQ111" t="inlineStr">
        <is>
          <t>VNM</t>
        </is>
      </c>
      <c r="JR111" t="inlineStr">
        <is>
          <t>VNM</t>
        </is>
      </c>
      <c r="JS111" t="inlineStr">
        <is>
          <t>VNM</t>
        </is>
      </c>
    </row>
    <row r="112">
      <c r="K112" t="inlineStr">
        <is>
          <t>CPV</t>
        </is>
      </c>
      <c r="L112" t="inlineStr">
        <is>
          <t>CPV</t>
        </is>
      </c>
      <c r="M112" t="inlineStr">
        <is>
          <t>CPV</t>
        </is>
      </c>
      <c r="N112" t="inlineStr">
        <is>
          <t>CPV</t>
        </is>
      </c>
      <c r="O112" t="inlineStr">
        <is>
          <t>CPV</t>
        </is>
      </c>
      <c r="P112" t="inlineStr">
        <is>
          <t>CPV</t>
        </is>
      </c>
      <c r="AB112" t="inlineStr">
        <is>
          <t>SEN</t>
        </is>
      </c>
      <c r="AC112" t="inlineStr">
        <is>
          <t>SEN</t>
        </is>
      </c>
      <c r="AD112" t="inlineStr">
        <is>
          <t>SEN</t>
        </is>
      </c>
      <c r="AE112" t="inlineStr">
        <is>
          <t>SEN</t>
        </is>
      </c>
      <c r="AF112" t="inlineStr">
        <is>
          <t>SEN</t>
        </is>
      </c>
      <c r="AG112" t="inlineStr">
        <is>
          <t>SEN</t>
        </is>
      </c>
      <c r="AH112" t="inlineStr">
        <is>
          <t>SEN</t>
        </is>
      </c>
      <c r="AI112" t="inlineStr">
        <is>
          <t>SEN</t>
        </is>
      </c>
      <c r="AJ112" t="inlineStr">
        <is>
          <t>MRT</t>
        </is>
      </c>
      <c r="AK112" t="inlineStr">
        <is>
          <t>MRT</t>
        </is>
      </c>
      <c r="AL112" t="inlineStr">
        <is>
          <t>MRT</t>
        </is>
      </c>
      <c r="AM112" t="inlineStr">
        <is>
          <t>MLI</t>
        </is>
      </c>
      <c r="AN112" t="inlineStr">
        <is>
          <t>MRT</t>
        </is>
      </c>
      <c r="AO112" t="inlineStr">
        <is>
          <t>MLI</t>
        </is>
      </c>
      <c r="AP112" t="inlineStr">
        <is>
          <t>MLI</t>
        </is>
      </c>
      <c r="AQ112" t="inlineStr">
        <is>
          <t>MLI</t>
        </is>
      </c>
      <c r="AR112" t="inlineStr">
        <is>
          <t>MLI</t>
        </is>
      </c>
      <c r="AS112" t="inlineStr">
        <is>
          <t>MLI</t>
        </is>
      </c>
      <c r="AT112" t="inlineStr">
        <is>
          <t>MLI</t>
        </is>
      </c>
      <c r="AU112" t="inlineStr">
        <is>
          <t>MLI</t>
        </is>
      </c>
      <c r="AV112" t="inlineStr">
        <is>
          <t>MLI</t>
        </is>
      </c>
      <c r="AW112" t="inlineStr">
        <is>
          <t>MLI</t>
        </is>
      </c>
      <c r="AX112" t="inlineStr">
        <is>
          <t>MLI</t>
        </is>
      </c>
      <c r="AY112" t="inlineStr">
        <is>
          <t>MLI</t>
        </is>
      </c>
      <c r="AZ112" t="inlineStr">
        <is>
          <t>MLI</t>
        </is>
      </c>
      <c r="BA112" t="inlineStr">
        <is>
          <t>MLI</t>
        </is>
      </c>
      <c r="BB112" t="inlineStr">
        <is>
          <t>MLI</t>
        </is>
      </c>
      <c r="BC112" t="inlineStr">
        <is>
          <t>MLI</t>
        </is>
      </c>
      <c r="BD112" t="inlineStr">
        <is>
          <t>MLI</t>
        </is>
      </c>
      <c r="BE112" t="inlineStr">
        <is>
          <t>MLI</t>
        </is>
      </c>
      <c r="BF112" t="inlineStr">
        <is>
          <t>MLI</t>
        </is>
      </c>
      <c r="BG112" t="inlineStr">
        <is>
          <t>MLI</t>
        </is>
      </c>
      <c r="BH112" t="inlineStr">
        <is>
          <t>MLI</t>
        </is>
      </c>
      <c r="BI112" t="inlineStr">
        <is>
          <t>MLI</t>
        </is>
      </c>
      <c r="BJ112" t="inlineStr">
        <is>
          <t>MLI</t>
        </is>
      </c>
      <c r="BK112" t="inlineStr">
        <is>
          <t>MLI</t>
        </is>
      </c>
      <c r="BL112" t="inlineStr">
        <is>
          <t>MLI</t>
        </is>
      </c>
      <c r="BM112" t="inlineStr">
        <is>
          <t>NER</t>
        </is>
      </c>
      <c r="BN112" t="inlineStr">
        <is>
          <t>NER</t>
        </is>
      </c>
      <c r="BO112" t="inlineStr">
        <is>
          <t>NER</t>
        </is>
      </c>
      <c r="BP112" t="inlineStr">
        <is>
          <t>NER</t>
        </is>
      </c>
      <c r="BQ112" t="inlineStr">
        <is>
          <t>NER</t>
        </is>
      </c>
      <c r="BR112" t="inlineStr">
        <is>
          <t>NER</t>
        </is>
      </c>
      <c r="BS112" t="inlineStr">
        <is>
          <t>NER</t>
        </is>
      </c>
      <c r="BT112" t="inlineStr">
        <is>
          <t>NER</t>
        </is>
      </c>
      <c r="BU112" t="inlineStr">
        <is>
          <t>NER</t>
        </is>
      </c>
      <c r="BV112" t="inlineStr">
        <is>
          <t>NER</t>
        </is>
      </c>
      <c r="BW112" t="inlineStr">
        <is>
          <t>NER</t>
        </is>
      </c>
      <c r="BX112" t="inlineStr">
        <is>
          <t>NER</t>
        </is>
      </c>
      <c r="BY112" t="inlineStr">
        <is>
          <t>NER</t>
        </is>
      </c>
      <c r="BZ112" t="inlineStr">
        <is>
          <t>NER</t>
        </is>
      </c>
      <c r="CA112" t="inlineStr">
        <is>
          <t>NER</t>
        </is>
      </c>
      <c r="CB112" t="inlineStr">
        <is>
          <t>NER</t>
        </is>
      </c>
      <c r="CC112" t="inlineStr">
        <is>
          <t>NER</t>
        </is>
      </c>
      <c r="CD112" t="inlineStr">
        <is>
          <t>NER</t>
        </is>
      </c>
      <c r="CE112" t="inlineStr">
        <is>
          <t>NER</t>
        </is>
      </c>
      <c r="CF112" t="inlineStr">
        <is>
          <t>NER</t>
        </is>
      </c>
      <c r="CG112" t="inlineStr">
        <is>
          <t>NER</t>
        </is>
      </c>
      <c r="CH112" t="inlineStr">
        <is>
          <t>NER</t>
        </is>
      </c>
      <c r="CI112" t="inlineStr">
        <is>
          <t>NER</t>
        </is>
      </c>
      <c r="CJ112" t="inlineStr">
        <is>
          <t>NER</t>
        </is>
      </c>
      <c r="CK112" t="inlineStr">
        <is>
          <t>NER</t>
        </is>
      </c>
      <c r="CL112" t="inlineStr">
        <is>
          <t>TCD</t>
        </is>
      </c>
      <c r="CM112" t="inlineStr">
        <is>
          <t>TCD</t>
        </is>
      </c>
      <c r="CN112" t="inlineStr">
        <is>
          <t>TCD</t>
        </is>
      </c>
      <c r="CO112" t="inlineStr">
        <is>
          <t>TCD</t>
        </is>
      </c>
      <c r="CP112" t="inlineStr">
        <is>
          <t>TCD</t>
        </is>
      </c>
      <c r="CQ112" t="inlineStr">
        <is>
          <t>TCD</t>
        </is>
      </c>
      <c r="CR112" t="inlineStr">
        <is>
          <t>TCD</t>
        </is>
      </c>
      <c r="CS112" t="inlineStr">
        <is>
          <t>TCD</t>
        </is>
      </c>
      <c r="CT112" t="inlineStr">
        <is>
          <t>TCD</t>
        </is>
      </c>
      <c r="CU112" t="inlineStr">
        <is>
          <t>TCD</t>
        </is>
      </c>
      <c r="CV112" t="inlineStr">
        <is>
          <t>TCD</t>
        </is>
      </c>
      <c r="CW112" t="inlineStr">
        <is>
          <t>TCD</t>
        </is>
      </c>
      <c r="CX112" t="inlineStr">
        <is>
          <t>TCD</t>
        </is>
      </c>
      <c r="CY112" t="inlineStr">
        <is>
          <t>TCD</t>
        </is>
      </c>
      <c r="CZ112" t="inlineStr">
        <is>
          <t>TCD</t>
        </is>
      </c>
      <c r="DA112" t="inlineStr">
        <is>
          <t>TCD</t>
        </is>
      </c>
      <c r="DB112" t="inlineStr">
        <is>
          <t>TCD</t>
        </is>
      </c>
      <c r="DC112" t="inlineStr">
        <is>
          <t>TCD</t>
        </is>
      </c>
      <c r="DD112" t="inlineStr">
        <is>
          <t>SDN</t>
        </is>
      </c>
      <c r="DE112" t="inlineStr">
        <is>
          <t>SDN</t>
        </is>
      </c>
      <c r="DF112" t="inlineStr">
        <is>
          <t>SDN</t>
        </is>
      </c>
      <c r="DG112" t="inlineStr">
        <is>
          <t>SDN</t>
        </is>
      </c>
      <c r="DH112" t="inlineStr">
        <is>
          <t>SDN</t>
        </is>
      </c>
      <c r="DI112" t="inlineStr">
        <is>
          <t>SDN</t>
        </is>
      </c>
      <c r="DJ112" t="inlineStr">
        <is>
          <t>SDN</t>
        </is>
      </c>
      <c r="DK112" t="inlineStr">
        <is>
          <t>SDN</t>
        </is>
      </c>
      <c r="DL112" t="inlineStr">
        <is>
          <t>SDN</t>
        </is>
      </c>
      <c r="DM112" t="inlineStr">
        <is>
          <t>SDN</t>
        </is>
      </c>
      <c r="DN112" t="inlineStr">
        <is>
          <t>SDN</t>
        </is>
      </c>
      <c r="DO112" t="inlineStr">
        <is>
          <t>SDN</t>
        </is>
      </c>
      <c r="DP112" t="inlineStr">
        <is>
          <t>SDN</t>
        </is>
      </c>
      <c r="DQ112" t="inlineStr">
        <is>
          <t>SDN</t>
        </is>
      </c>
      <c r="DR112" t="inlineStr">
        <is>
          <t>SDN</t>
        </is>
      </c>
      <c r="DS112" t="inlineStr">
        <is>
          <t>SDN</t>
        </is>
      </c>
      <c r="DT112" t="inlineStr">
        <is>
          <t>SDN</t>
        </is>
      </c>
      <c r="DU112" t="inlineStr">
        <is>
          <t>SDN</t>
        </is>
      </c>
      <c r="DV112" t="inlineStr">
        <is>
          <t>SDN</t>
        </is>
      </c>
      <c r="DW112" t="inlineStr">
        <is>
          <t>SDN</t>
        </is>
      </c>
      <c r="DX112" t="inlineStr">
        <is>
          <t>SDN</t>
        </is>
      </c>
      <c r="DY112" t="inlineStr">
        <is>
          <t>SDN</t>
        </is>
      </c>
      <c r="DZ112" t="inlineStr">
        <is>
          <t>SDN</t>
        </is>
      </c>
      <c r="EA112" t="inlineStr">
        <is>
          <t>SDN</t>
        </is>
      </c>
      <c r="EB112" t="inlineStr">
        <is>
          <t>SDN</t>
        </is>
      </c>
      <c r="EC112" t="inlineStr">
        <is>
          <t>SDN</t>
        </is>
      </c>
      <c r="ED112" t="inlineStr">
        <is>
          <t>SDN</t>
        </is>
      </c>
      <c r="EE112" t="inlineStr">
        <is>
          <t>ERI</t>
        </is>
      </c>
      <c r="EF112" t="inlineStr">
        <is>
          <t>ERI</t>
        </is>
      </c>
      <c r="EG112" t="inlineStr">
        <is>
          <t>ERI</t>
        </is>
      </c>
      <c r="EH112" t="inlineStr">
        <is>
          <t>ERI</t>
        </is>
      </c>
      <c r="EI112" t="inlineStr">
        <is>
          <t>ERI</t>
        </is>
      </c>
      <c r="EJ112" t="inlineStr">
        <is>
          <t>ERI</t>
        </is>
      </c>
      <c r="EK112" t="inlineStr">
        <is>
          <t>ERI</t>
        </is>
      </c>
      <c r="ER112" t="inlineStr">
        <is>
          <t>YEM</t>
        </is>
      </c>
      <c r="ES112" t="inlineStr">
        <is>
          <t>YEM</t>
        </is>
      </c>
      <c r="ET112" t="inlineStr">
        <is>
          <t>YEM</t>
        </is>
      </c>
      <c r="EU112" t="inlineStr">
        <is>
          <t>YEM</t>
        </is>
      </c>
      <c r="EV112" t="inlineStr">
        <is>
          <t>YEM</t>
        </is>
      </c>
      <c r="EW112" t="inlineStr">
        <is>
          <t>YEM</t>
        </is>
      </c>
      <c r="EX112" t="inlineStr">
        <is>
          <t>YEM</t>
        </is>
      </c>
      <c r="EY112" t="inlineStr">
        <is>
          <t>YEM</t>
        </is>
      </c>
      <c r="EZ112" t="inlineStr">
        <is>
          <t>YEM</t>
        </is>
      </c>
      <c r="FA112" t="inlineStr">
        <is>
          <t>YEM</t>
        </is>
      </c>
      <c r="FB112" t="inlineStr">
        <is>
          <t>YEM</t>
        </is>
      </c>
      <c r="FC112" t="inlineStr">
        <is>
          <t>YEM</t>
        </is>
      </c>
      <c r="FD112" t="inlineStr">
        <is>
          <t>YEM</t>
        </is>
      </c>
      <c r="FE112" t="inlineStr">
        <is>
          <t>YEM</t>
        </is>
      </c>
      <c r="FF112" t="inlineStr">
        <is>
          <t>YEM</t>
        </is>
      </c>
      <c r="FG112" t="inlineStr">
        <is>
          <t>YEM</t>
        </is>
      </c>
      <c r="FH112" t="inlineStr">
        <is>
          <t>YEM</t>
        </is>
      </c>
      <c r="HB112" t="inlineStr">
        <is>
          <t>IND</t>
        </is>
      </c>
      <c r="HC112" t="inlineStr">
        <is>
          <t>IND</t>
        </is>
      </c>
      <c r="HD112" t="inlineStr">
        <is>
          <t>IND</t>
        </is>
      </c>
      <c r="HE112" t="inlineStr">
        <is>
          <t>IND</t>
        </is>
      </c>
      <c r="HF112" t="inlineStr">
        <is>
          <t>IND</t>
        </is>
      </c>
      <c r="HG112" t="inlineStr">
        <is>
          <t>IND</t>
        </is>
      </c>
      <c r="HH112" t="inlineStr">
        <is>
          <t>IND</t>
        </is>
      </c>
      <c r="HI112" t="inlineStr">
        <is>
          <t>IND</t>
        </is>
      </c>
      <c r="HJ112" t="inlineStr">
        <is>
          <t>IND</t>
        </is>
      </c>
      <c r="HK112" t="inlineStr">
        <is>
          <t>IND</t>
        </is>
      </c>
      <c r="HL112" t="inlineStr">
        <is>
          <t>IND</t>
        </is>
      </c>
      <c r="HM112" t="inlineStr">
        <is>
          <t>IND</t>
        </is>
      </c>
      <c r="IW112" t="inlineStr">
        <is>
          <t>MMR</t>
        </is>
      </c>
      <c r="IX112" t="inlineStr">
        <is>
          <t>MMR</t>
        </is>
      </c>
      <c r="IY112" t="inlineStr">
        <is>
          <t>THA</t>
        </is>
      </c>
      <c r="IZ112" t="inlineStr">
        <is>
          <t>THA</t>
        </is>
      </c>
      <c r="JA112" t="inlineStr">
        <is>
          <t>THA</t>
        </is>
      </c>
      <c r="JB112" t="inlineStr">
        <is>
          <t>THA</t>
        </is>
      </c>
      <c r="JC112" t="inlineStr">
        <is>
          <t>THA</t>
        </is>
      </c>
      <c r="JD112" t="inlineStr">
        <is>
          <t>THA</t>
        </is>
      </c>
      <c r="JE112" t="inlineStr">
        <is>
          <t>THA</t>
        </is>
      </c>
      <c r="JF112" t="inlineStr">
        <is>
          <t>THA</t>
        </is>
      </c>
      <c r="JG112" t="inlineStr">
        <is>
          <t>THA</t>
        </is>
      </c>
      <c r="JH112" t="inlineStr">
        <is>
          <t>THA</t>
        </is>
      </c>
      <c r="JI112" t="inlineStr">
        <is>
          <t>THA</t>
        </is>
      </c>
      <c r="JJ112" t="inlineStr">
        <is>
          <t>THA</t>
        </is>
      </c>
      <c r="JK112" t="inlineStr">
        <is>
          <t>THA</t>
        </is>
      </c>
      <c r="JL112" t="inlineStr">
        <is>
          <t>THA</t>
        </is>
      </c>
      <c r="JM112" t="inlineStr">
        <is>
          <t>LAO</t>
        </is>
      </c>
      <c r="JN112" t="inlineStr">
        <is>
          <t>LAO</t>
        </is>
      </c>
      <c r="JO112" t="inlineStr">
        <is>
          <t>LAO</t>
        </is>
      </c>
      <c r="JP112" t="inlineStr">
        <is>
          <t>LAO</t>
        </is>
      </c>
      <c r="JQ112" t="inlineStr">
        <is>
          <t>VNM</t>
        </is>
      </c>
      <c r="JR112" t="inlineStr">
        <is>
          <t>VNM</t>
        </is>
      </c>
      <c r="JS112" t="inlineStr">
        <is>
          <t>VNM</t>
        </is>
      </c>
    </row>
    <row r="113">
      <c r="K113" t="inlineStr">
        <is>
          <t>CPV</t>
        </is>
      </c>
      <c r="L113" t="inlineStr">
        <is>
          <t>CPV</t>
        </is>
      </c>
      <c r="M113" t="inlineStr">
        <is>
          <t>CPV</t>
        </is>
      </c>
      <c r="N113" t="inlineStr">
        <is>
          <t>CPV</t>
        </is>
      </c>
      <c r="O113" t="inlineStr">
        <is>
          <t>CPV</t>
        </is>
      </c>
      <c r="P113" t="inlineStr">
        <is>
          <t>CPV</t>
        </is>
      </c>
      <c r="AC113" t="inlineStr">
        <is>
          <t>SEN</t>
        </is>
      </c>
      <c r="AD113" t="inlineStr">
        <is>
          <t>SEN</t>
        </is>
      </c>
      <c r="AE113" t="inlineStr">
        <is>
          <t>SEN</t>
        </is>
      </c>
      <c r="AF113" t="inlineStr">
        <is>
          <t>SEN</t>
        </is>
      </c>
      <c r="AG113" t="inlineStr">
        <is>
          <t>SEN</t>
        </is>
      </c>
      <c r="AH113" t="inlineStr">
        <is>
          <t>SEN</t>
        </is>
      </c>
      <c r="AI113" t="inlineStr">
        <is>
          <t>SEN</t>
        </is>
      </c>
      <c r="AJ113" t="inlineStr">
        <is>
          <t>MRT</t>
        </is>
      </c>
      <c r="AK113" t="inlineStr">
        <is>
          <t>MRT</t>
        </is>
      </c>
      <c r="AL113" t="inlineStr">
        <is>
          <t>MRT</t>
        </is>
      </c>
      <c r="AM113" t="inlineStr">
        <is>
          <t>MRT</t>
        </is>
      </c>
      <c r="AN113" t="inlineStr">
        <is>
          <t>MRT</t>
        </is>
      </c>
      <c r="AO113" t="inlineStr">
        <is>
          <t>MRT</t>
        </is>
      </c>
      <c r="AP113" t="inlineStr">
        <is>
          <t>MRT</t>
        </is>
      </c>
      <c r="AQ113" t="inlineStr">
        <is>
          <t>MRT</t>
        </is>
      </c>
      <c r="AR113" t="inlineStr">
        <is>
          <t>MRT</t>
        </is>
      </c>
      <c r="AS113" t="inlineStr">
        <is>
          <t>MRT</t>
        </is>
      </c>
      <c r="AT113" t="inlineStr">
        <is>
          <t>MRT</t>
        </is>
      </c>
      <c r="AU113" t="inlineStr">
        <is>
          <t>MRT</t>
        </is>
      </c>
      <c r="AV113" t="inlineStr">
        <is>
          <t>MRT</t>
        </is>
      </c>
      <c r="AW113" t="inlineStr">
        <is>
          <t>MRT</t>
        </is>
      </c>
      <c r="AX113" t="inlineStr">
        <is>
          <t>MRT</t>
        </is>
      </c>
      <c r="AY113" t="inlineStr">
        <is>
          <t>MLI</t>
        </is>
      </c>
      <c r="AZ113" t="inlineStr">
        <is>
          <t>MLI</t>
        </is>
      </c>
      <c r="BA113" t="inlineStr">
        <is>
          <t>MLI</t>
        </is>
      </c>
      <c r="BB113" t="inlineStr">
        <is>
          <t>MLI</t>
        </is>
      </c>
      <c r="BC113" t="inlineStr">
        <is>
          <t>MLI</t>
        </is>
      </c>
      <c r="BD113" t="inlineStr">
        <is>
          <t>MLI</t>
        </is>
      </c>
      <c r="BE113" t="inlineStr">
        <is>
          <t>MLI</t>
        </is>
      </c>
      <c r="BF113" t="inlineStr">
        <is>
          <t>MLI</t>
        </is>
      </c>
      <c r="BG113" t="inlineStr">
        <is>
          <t>MLI</t>
        </is>
      </c>
      <c r="BH113" t="inlineStr">
        <is>
          <t>MLI</t>
        </is>
      </c>
      <c r="BI113" t="inlineStr">
        <is>
          <t>MLI</t>
        </is>
      </c>
      <c r="BJ113" t="inlineStr">
        <is>
          <t>MLI</t>
        </is>
      </c>
      <c r="BK113" t="inlineStr">
        <is>
          <t>MLI</t>
        </is>
      </c>
      <c r="BL113" t="inlineStr">
        <is>
          <t>MLI</t>
        </is>
      </c>
      <c r="BM113" t="inlineStr">
        <is>
          <t>MLI</t>
        </is>
      </c>
      <c r="BN113" t="inlineStr">
        <is>
          <t>MLI</t>
        </is>
      </c>
      <c r="BO113" t="inlineStr">
        <is>
          <t>MLI</t>
        </is>
      </c>
      <c r="BP113" t="inlineStr">
        <is>
          <t>MLI</t>
        </is>
      </c>
      <c r="BQ113" t="inlineStr">
        <is>
          <t>NER</t>
        </is>
      </c>
      <c r="BR113" t="inlineStr">
        <is>
          <t>NER</t>
        </is>
      </c>
      <c r="BS113" t="inlineStr">
        <is>
          <t>NER</t>
        </is>
      </c>
      <c r="BT113" t="inlineStr">
        <is>
          <t>NER</t>
        </is>
      </c>
      <c r="BU113" t="inlineStr">
        <is>
          <t>NER</t>
        </is>
      </c>
      <c r="BV113" t="inlineStr">
        <is>
          <t>NER</t>
        </is>
      </c>
      <c r="BW113" t="inlineStr">
        <is>
          <t>NER</t>
        </is>
      </c>
      <c r="BX113" t="inlineStr">
        <is>
          <t>NER</t>
        </is>
      </c>
      <c r="BY113" t="inlineStr">
        <is>
          <t>NER</t>
        </is>
      </c>
      <c r="BZ113" t="inlineStr">
        <is>
          <t>NER</t>
        </is>
      </c>
      <c r="CA113" t="inlineStr">
        <is>
          <t>NER</t>
        </is>
      </c>
      <c r="CB113" t="inlineStr">
        <is>
          <t>NER</t>
        </is>
      </c>
      <c r="CC113" t="inlineStr">
        <is>
          <t>NER</t>
        </is>
      </c>
      <c r="CD113" t="inlineStr">
        <is>
          <t>NER</t>
        </is>
      </c>
      <c r="CE113" t="inlineStr">
        <is>
          <t>NER</t>
        </is>
      </c>
      <c r="CF113" t="inlineStr">
        <is>
          <t>NER</t>
        </is>
      </c>
      <c r="CG113" t="inlineStr">
        <is>
          <t>NER</t>
        </is>
      </c>
      <c r="CH113" t="inlineStr">
        <is>
          <t>NER</t>
        </is>
      </c>
      <c r="CI113" t="inlineStr">
        <is>
          <t>NER</t>
        </is>
      </c>
      <c r="CJ113" t="inlineStr">
        <is>
          <t>NER</t>
        </is>
      </c>
      <c r="CK113" t="inlineStr">
        <is>
          <t>NER</t>
        </is>
      </c>
      <c r="CL113" t="inlineStr">
        <is>
          <t>TCD</t>
        </is>
      </c>
      <c r="CM113" t="inlineStr">
        <is>
          <t>TCD</t>
        </is>
      </c>
      <c r="CN113" t="inlineStr">
        <is>
          <t>TCD</t>
        </is>
      </c>
      <c r="CO113" t="inlineStr">
        <is>
          <t>TCD</t>
        </is>
      </c>
      <c r="CP113" t="inlineStr">
        <is>
          <t>TCD</t>
        </is>
      </c>
      <c r="CQ113" t="inlineStr">
        <is>
          <t>TCD</t>
        </is>
      </c>
      <c r="CR113" t="inlineStr">
        <is>
          <t>TCD</t>
        </is>
      </c>
      <c r="CS113" t="inlineStr">
        <is>
          <t>TCD</t>
        </is>
      </c>
      <c r="CT113" t="inlineStr">
        <is>
          <t>TCD</t>
        </is>
      </c>
      <c r="CU113" t="inlineStr">
        <is>
          <t>TCD</t>
        </is>
      </c>
      <c r="CV113" t="inlineStr">
        <is>
          <t>TCD</t>
        </is>
      </c>
      <c r="CW113" t="inlineStr">
        <is>
          <t>TCD</t>
        </is>
      </c>
      <c r="CX113" t="inlineStr">
        <is>
          <t>TCD</t>
        </is>
      </c>
      <c r="CY113" t="inlineStr">
        <is>
          <t>TCD</t>
        </is>
      </c>
      <c r="CZ113" t="inlineStr">
        <is>
          <t>TCD</t>
        </is>
      </c>
      <c r="DA113" t="inlineStr">
        <is>
          <t>TCD</t>
        </is>
      </c>
      <c r="DB113" t="inlineStr">
        <is>
          <t>TCD</t>
        </is>
      </c>
      <c r="DC113" t="inlineStr">
        <is>
          <t>TCD</t>
        </is>
      </c>
      <c r="DD113" t="inlineStr">
        <is>
          <t>TCD</t>
        </is>
      </c>
      <c r="DE113" t="inlineStr">
        <is>
          <t>TCD</t>
        </is>
      </c>
      <c r="DF113" t="inlineStr">
        <is>
          <t>SDN</t>
        </is>
      </c>
      <c r="DG113" t="inlineStr">
        <is>
          <t>SDN</t>
        </is>
      </c>
      <c r="DH113" t="inlineStr">
        <is>
          <t>SDN</t>
        </is>
      </c>
      <c r="DI113" t="inlineStr">
        <is>
          <t>SDN</t>
        </is>
      </c>
      <c r="DJ113" t="inlineStr">
        <is>
          <t>SDN</t>
        </is>
      </c>
      <c r="DK113" t="inlineStr">
        <is>
          <t>SDN</t>
        </is>
      </c>
      <c r="DL113" t="inlineStr">
        <is>
          <t>SDN</t>
        </is>
      </c>
      <c r="DM113" t="inlineStr">
        <is>
          <t>SDN</t>
        </is>
      </c>
      <c r="DN113" t="inlineStr">
        <is>
          <t>SDN</t>
        </is>
      </c>
      <c r="DO113" t="inlineStr">
        <is>
          <t>SDN</t>
        </is>
      </c>
      <c r="DP113" t="inlineStr">
        <is>
          <t>SDN</t>
        </is>
      </c>
      <c r="DQ113" t="inlineStr">
        <is>
          <t>SDN</t>
        </is>
      </c>
      <c r="DR113" t="inlineStr">
        <is>
          <t>SDN</t>
        </is>
      </c>
      <c r="DS113" t="inlineStr">
        <is>
          <t>SDN</t>
        </is>
      </c>
      <c r="DT113" t="inlineStr">
        <is>
          <t>SDN</t>
        </is>
      </c>
      <c r="DU113" t="inlineStr">
        <is>
          <t>SDN</t>
        </is>
      </c>
      <c r="DV113" t="inlineStr">
        <is>
          <t>SDN</t>
        </is>
      </c>
      <c r="DW113" t="inlineStr">
        <is>
          <t>SDN</t>
        </is>
      </c>
      <c r="DX113" t="inlineStr">
        <is>
          <t>SDN</t>
        </is>
      </c>
      <c r="DY113" t="inlineStr">
        <is>
          <t>SDN</t>
        </is>
      </c>
      <c r="DZ113" t="inlineStr">
        <is>
          <t>SDN</t>
        </is>
      </c>
      <c r="EA113" t="inlineStr">
        <is>
          <t>SDN</t>
        </is>
      </c>
      <c r="EB113" t="inlineStr">
        <is>
          <t>SDN</t>
        </is>
      </c>
      <c r="EC113" t="inlineStr">
        <is>
          <t>SDN</t>
        </is>
      </c>
      <c r="ED113" t="inlineStr">
        <is>
          <t>SDN</t>
        </is>
      </c>
      <c r="EE113" t="inlineStr">
        <is>
          <t>ERI</t>
        </is>
      </c>
      <c r="EF113" t="inlineStr">
        <is>
          <t>ERI</t>
        </is>
      </c>
      <c r="EG113" t="inlineStr">
        <is>
          <t>ERI</t>
        </is>
      </c>
      <c r="EH113" t="inlineStr">
        <is>
          <t>ERI</t>
        </is>
      </c>
      <c r="EI113" t="inlineStr">
        <is>
          <t>ERI</t>
        </is>
      </c>
      <c r="EJ113" t="inlineStr">
        <is>
          <t>ERI</t>
        </is>
      </c>
      <c r="EQ113" t="inlineStr">
        <is>
          <t>YEM</t>
        </is>
      </c>
      <c r="ER113" t="inlineStr">
        <is>
          <t>YEM</t>
        </is>
      </c>
      <c r="ES113" t="inlineStr">
        <is>
          <t>YEM</t>
        </is>
      </c>
      <c r="ET113" t="inlineStr">
        <is>
          <t>YEM</t>
        </is>
      </c>
      <c r="EU113" t="inlineStr">
        <is>
          <t>YEM</t>
        </is>
      </c>
      <c r="EV113" t="inlineStr">
        <is>
          <t>YEM</t>
        </is>
      </c>
      <c r="EW113" t="inlineStr">
        <is>
          <t>YEM</t>
        </is>
      </c>
      <c r="EX113" t="inlineStr">
        <is>
          <t>YEM</t>
        </is>
      </c>
      <c r="EY113" t="inlineStr">
        <is>
          <t>YEM</t>
        </is>
      </c>
      <c r="EZ113" t="inlineStr">
        <is>
          <t>YEM</t>
        </is>
      </c>
      <c r="FA113" t="inlineStr">
        <is>
          <t>YEM</t>
        </is>
      </c>
      <c r="FB113" t="inlineStr">
        <is>
          <t>YEM</t>
        </is>
      </c>
      <c r="FC113" t="inlineStr">
        <is>
          <t>YEM</t>
        </is>
      </c>
      <c r="FD113" t="inlineStr">
        <is>
          <t>YEM</t>
        </is>
      </c>
      <c r="FE113" t="inlineStr">
        <is>
          <t>YEM</t>
        </is>
      </c>
      <c r="FF113" t="inlineStr">
        <is>
          <t>YEM</t>
        </is>
      </c>
      <c r="FG113" t="inlineStr">
        <is>
          <t>YEM</t>
        </is>
      </c>
      <c r="FH113" t="inlineStr">
        <is>
          <t>YEM</t>
        </is>
      </c>
      <c r="FI113" t="inlineStr">
        <is>
          <t>YEM</t>
        </is>
      </c>
      <c r="HA113" t="inlineStr">
        <is>
          <t>IND</t>
        </is>
      </c>
      <c r="HB113" t="inlineStr">
        <is>
          <t>IND</t>
        </is>
      </c>
      <c r="HC113" t="inlineStr">
        <is>
          <t>IND</t>
        </is>
      </c>
      <c r="HD113" t="inlineStr">
        <is>
          <t>IND</t>
        </is>
      </c>
      <c r="HE113" t="inlineStr">
        <is>
          <t>IND</t>
        </is>
      </c>
      <c r="HF113" t="inlineStr">
        <is>
          <t>IND</t>
        </is>
      </c>
      <c r="HG113" t="inlineStr">
        <is>
          <t>IND</t>
        </is>
      </c>
      <c r="HH113" t="inlineStr">
        <is>
          <t>IND</t>
        </is>
      </c>
      <c r="HI113" t="inlineStr">
        <is>
          <t>IND</t>
        </is>
      </c>
      <c r="HJ113" t="inlineStr">
        <is>
          <t>IND</t>
        </is>
      </c>
      <c r="HK113" t="inlineStr">
        <is>
          <t>IND</t>
        </is>
      </c>
      <c r="HL113" t="inlineStr">
        <is>
          <t>IND</t>
        </is>
      </c>
      <c r="HM113" t="inlineStr">
        <is>
          <t>IND</t>
        </is>
      </c>
      <c r="HN113" t="inlineStr">
        <is>
          <t>IND</t>
        </is>
      </c>
      <c r="IR113" t="inlineStr">
        <is>
          <t>MMR</t>
        </is>
      </c>
      <c r="IW113" t="inlineStr">
        <is>
          <t>MMR</t>
        </is>
      </c>
      <c r="IX113" t="inlineStr">
        <is>
          <t>MMR</t>
        </is>
      </c>
      <c r="IY113" t="inlineStr">
        <is>
          <t>THA</t>
        </is>
      </c>
      <c r="IZ113" t="inlineStr">
        <is>
          <t>THA</t>
        </is>
      </c>
      <c r="JA113" t="inlineStr">
        <is>
          <t>THA</t>
        </is>
      </c>
      <c r="JB113" t="inlineStr">
        <is>
          <t>THA</t>
        </is>
      </c>
      <c r="JC113" t="inlineStr">
        <is>
          <t>THA</t>
        </is>
      </c>
      <c r="JD113" t="inlineStr">
        <is>
          <t>THA</t>
        </is>
      </c>
      <c r="JE113" t="inlineStr">
        <is>
          <t>THA</t>
        </is>
      </c>
      <c r="JF113" t="inlineStr">
        <is>
          <t>THA</t>
        </is>
      </c>
      <c r="JG113" t="inlineStr">
        <is>
          <t>THA</t>
        </is>
      </c>
      <c r="JH113" t="inlineStr">
        <is>
          <t>THA</t>
        </is>
      </c>
      <c r="JI113" t="inlineStr">
        <is>
          <t>THA</t>
        </is>
      </c>
      <c r="JJ113" t="inlineStr">
        <is>
          <t>THA</t>
        </is>
      </c>
      <c r="JK113" t="inlineStr">
        <is>
          <t>THA</t>
        </is>
      </c>
      <c r="JL113" t="inlineStr">
        <is>
          <t>THA</t>
        </is>
      </c>
      <c r="JM113" t="inlineStr">
        <is>
          <t>LAO</t>
        </is>
      </c>
      <c r="JN113" t="inlineStr">
        <is>
          <t>LAO</t>
        </is>
      </c>
      <c r="JO113" t="inlineStr">
        <is>
          <t>LAO</t>
        </is>
      </c>
      <c r="JP113" t="inlineStr">
        <is>
          <t>LAO</t>
        </is>
      </c>
      <c r="JQ113" t="inlineStr">
        <is>
          <t>VNM</t>
        </is>
      </c>
      <c r="JR113" t="inlineStr">
        <is>
          <t>VNM</t>
        </is>
      </c>
    </row>
    <row r="114">
      <c r="K114" t="inlineStr">
        <is>
          <t>CPV</t>
        </is>
      </c>
      <c r="L114" t="inlineStr">
        <is>
          <t>CPV</t>
        </is>
      </c>
      <c r="M114" t="inlineStr">
        <is>
          <t>CPV</t>
        </is>
      </c>
      <c r="N114" t="inlineStr">
        <is>
          <t>CPV</t>
        </is>
      </c>
      <c r="O114" t="inlineStr">
        <is>
          <t>CPV</t>
        </is>
      </c>
      <c r="P114" t="inlineStr">
        <is>
          <t>CPV</t>
        </is>
      </c>
      <c r="AC114" t="inlineStr">
        <is>
          <t>SEN</t>
        </is>
      </c>
      <c r="AD114" t="inlineStr">
        <is>
          <t>SEN</t>
        </is>
      </c>
      <c r="AE114" t="inlineStr">
        <is>
          <t>SEN</t>
        </is>
      </c>
      <c r="AF114" t="inlineStr">
        <is>
          <t>SEN</t>
        </is>
      </c>
      <c r="AG114" t="inlineStr">
        <is>
          <t>SEN</t>
        </is>
      </c>
      <c r="AH114" t="inlineStr">
        <is>
          <t>MRT</t>
        </is>
      </c>
      <c r="AI114" t="inlineStr">
        <is>
          <t>MRT</t>
        </is>
      </c>
      <c r="AJ114" t="inlineStr">
        <is>
          <t>MRT</t>
        </is>
      </c>
      <c r="AK114" t="inlineStr">
        <is>
          <t>MRT</t>
        </is>
      </c>
      <c r="AL114" t="inlineStr">
        <is>
          <t>MRT</t>
        </is>
      </c>
      <c r="AM114" t="inlineStr">
        <is>
          <t>MRT</t>
        </is>
      </c>
      <c r="AN114" t="inlineStr">
        <is>
          <t>MRT</t>
        </is>
      </c>
      <c r="AO114" t="inlineStr">
        <is>
          <t>MRT</t>
        </is>
      </c>
      <c r="AP114" t="inlineStr">
        <is>
          <t>MRT</t>
        </is>
      </c>
      <c r="AQ114" t="inlineStr">
        <is>
          <t>MRT</t>
        </is>
      </c>
      <c r="AR114" t="inlineStr">
        <is>
          <t>MRT</t>
        </is>
      </c>
      <c r="AS114" t="inlineStr">
        <is>
          <t>MRT</t>
        </is>
      </c>
      <c r="AT114" t="inlineStr">
        <is>
          <t>MRT</t>
        </is>
      </c>
      <c r="AU114" t="inlineStr">
        <is>
          <t>MRT</t>
        </is>
      </c>
      <c r="AV114" t="inlineStr">
        <is>
          <t>MRT</t>
        </is>
      </c>
      <c r="AW114" t="inlineStr">
        <is>
          <t>MRT</t>
        </is>
      </c>
      <c r="AX114" t="inlineStr">
        <is>
          <t>MRT</t>
        </is>
      </c>
      <c r="AY114" t="inlineStr">
        <is>
          <t>MLI</t>
        </is>
      </c>
      <c r="AZ114" t="inlineStr">
        <is>
          <t>MLI</t>
        </is>
      </c>
      <c r="BA114" t="inlineStr">
        <is>
          <t>MLI</t>
        </is>
      </c>
      <c r="BB114" t="inlineStr">
        <is>
          <t>MLI</t>
        </is>
      </c>
      <c r="BC114" t="inlineStr">
        <is>
          <t>MLI</t>
        </is>
      </c>
      <c r="BD114" t="inlineStr">
        <is>
          <t>MLI</t>
        </is>
      </c>
      <c r="BE114" t="inlineStr">
        <is>
          <t>MLI</t>
        </is>
      </c>
      <c r="BF114" t="inlineStr">
        <is>
          <t>MLI</t>
        </is>
      </c>
      <c r="BG114" t="inlineStr">
        <is>
          <t>MLI</t>
        </is>
      </c>
      <c r="BH114" t="inlineStr">
        <is>
          <t>MLI</t>
        </is>
      </c>
      <c r="BI114" t="inlineStr">
        <is>
          <t>MLI</t>
        </is>
      </c>
      <c r="BJ114" t="inlineStr">
        <is>
          <t>MLI</t>
        </is>
      </c>
      <c r="BK114" t="inlineStr">
        <is>
          <t>MLI</t>
        </is>
      </c>
      <c r="BL114" t="inlineStr">
        <is>
          <t>MLI</t>
        </is>
      </c>
      <c r="BM114" t="inlineStr">
        <is>
          <t>MLI</t>
        </is>
      </c>
      <c r="BN114" t="inlineStr">
        <is>
          <t>MLI</t>
        </is>
      </c>
      <c r="BO114" t="inlineStr">
        <is>
          <t>MLI</t>
        </is>
      </c>
      <c r="BP114" t="inlineStr">
        <is>
          <t>MLI</t>
        </is>
      </c>
      <c r="BQ114" t="inlineStr">
        <is>
          <t>MLI</t>
        </is>
      </c>
      <c r="BR114" t="inlineStr">
        <is>
          <t>NER</t>
        </is>
      </c>
      <c r="BS114" t="inlineStr">
        <is>
          <t>NER</t>
        </is>
      </c>
      <c r="BT114" t="inlineStr">
        <is>
          <t>NER</t>
        </is>
      </c>
      <c r="BU114" t="inlineStr">
        <is>
          <t>NER</t>
        </is>
      </c>
      <c r="BV114" t="inlineStr">
        <is>
          <t>NER</t>
        </is>
      </c>
      <c r="BW114" t="inlineStr">
        <is>
          <t>NER</t>
        </is>
      </c>
      <c r="BX114" t="inlineStr">
        <is>
          <t>NER</t>
        </is>
      </c>
      <c r="BY114" t="inlineStr">
        <is>
          <t>NER</t>
        </is>
      </c>
      <c r="BZ114" t="inlineStr">
        <is>
          <t>NER</t>
        </is>
      </c>
      <c r="CA114" t="inlineStr">
        <is>
          <t>NER</t>
        </is>
      </c>
      <c r="CB114" t="inlineStr">
        <is>
          <t>NER</t>
        </is>
      </c>
      <c r="CC114" t="inlineStr">
        <is>
          <t>NER</t>
        </is>
      </c>
      <c r="CD114" t="inlineStr">
        <is>
          <t>NER</t>
        </is>
      </c>
      <c r="CE114" t="inlineStr">
        <is>
          <t>NER</t>
        </is>
      </c>
      <c r="CF114" t="inlineStr">
        <is>
          <t>NER</t>
        </is>
      </c>
      <c r="CG114" t="inlineStr">
        <is>
          <t>NER</t>
        </is>
      </c>
      <c r="CH114" t="inlineStr">
        <is>
          <t>NER</t>
        </is>
      </c>
      <c r="CI114" t="inlineStr">
        <is>
          <t>NER</t>
        </is>
      </c>
      <c r="CJ114" t="inlineStr">
        <is>
          <t>NER</t>
        </is>
      </c>
      <c r="CK114" t="inlineStr">
        <is>
          <t>NER</t>
        </is>
      </c>
      <c r="CL114" t="inlineStr">
        <is>
          <t>NER</t>
        </is>
      </c>
      <c r="CM114" t="inlineStr">
        <is>
          <t>TCD</t>
        </is>
      </c>
      <c r="CN114" t="inlineStr">
        <is>
          <t>TCD</t>
        </is>
      </c>
      <c r="CO114" t="inlineStr">
        <is>
          <t>TCD</t>
        </is>
      </c>
      <c r="CP114" t="inlineStr">
        <is>
          <t>TCD</t>
        </is>
      </c>
      <c r="CQ114" t="inlineStr">
        <is>
          <t>TCD</t>
        </is>
      </c>
      <c r="CR114" t="inlineStr">
        <is>
          <t>TCD</t>
        </is>
      </c>
      <c r="CS114" t="inlineStr">
        <is>
          <t>TCD</t>
        </is>
      </c>
      <c r="CT114" t="inlineStr">
        <is>
          <t>TCD</t>
        </is>
      </c>
      <c r="CU114" t="inlineStr">
        <is>
          <t>TCD</t>
        </is>
      </c>
      <c r="CV114" t="inlineStr">
        <is>
          <t>TCD</t>
        </is>
      </c>
      <c r="CW114" t="inlineStr">
        <is>
          <t>TCD</t>
        </is>
      </c>
      <c r="CX114" t="inlineStr">
        <is>
          <t>TCD</t>
        </is>
      </c>
      <c r="CY114" t="inlineStr">
        <is>
          <t>TCD</t>
        </is>
      </c>
      <c r="CZ114" t="inlineStr">
        <is>
          <t>TCD</t>
        </is>
      </c>
      <c r="DA114" t="inlineStr">
        <is>
          <t>TCD</t>
        </is>
      </c>
      <c r="DB114" t="inlineStr">
        <is>
          <t>TCD</t>
        </is>
      </c>
      <c r="DC114" t="inlineStr">
        <is>
          <t>TCD</t>
        </is>
      </c>
      <c r="DD114" t="inlineStr">
        <is>
          <t>TCD</t>
        </is>
      </c>
      <c r="DE114" t="inlineStr">
        <is>
          <t>TCD</t>
        </is>
      </c>
      <c r="DF114" t="inlineStr">
        <is>
          <t>SDN</t>
        </is>
      </c>
      <c r="DG114" t="inlineStr">
        <is>
          <t>SDN</t>
        </is>
      </c>
      <c r="DH114" t="inlineStr">
        <is>
          <t>SDN</t>
        </is>
      </c>
      <c r="DI114" t="inlineStr">
        <is>
          <t>SDN</t>
        </is>
      </c>
      <c r="DJ114" t="inlineStr">
        <is>
          <t>SDN</t>
        </is>
      </c>
      <c r="DK114" t="inlineStr">
        <is>
          <t>SDN</t>
        </is>
      </c>
      <c r="DL114" t="inlineStr">
        <is>
          <t>SDN</t>
        </is>
      </c>
      <c r="DM114" t="inlineStr">
        <is>
          <t>SDN</t>
        </is>
      </c>
      <c r="DN114" t="inlineStr">
        <is>
          <t>SDN</t>
        </is>
      </c>
      <c r="DO114" t="inlineStr">
        <is>
          <t>SDN</t>
        </is>
      </c>
      <c r="DP114" t="inlineStr">
        <is>
          <t>SDN</t>
        </is>
      </c>
      <c r="DQ114" t="inlineStr">
        <is>
          <t>SDN</t>
        </is>
      </c>
      <c r="DR114" t="inlineStr">
        <is>
          <t>SDN</t>
        </is>
      </c>
      <c r="DS114" t="inlineStr">
        <is>
          <t>SDN</t>
        </is>
      </c>
      <c r="DT114" t="inlineStr">
        <is>
          <t>SDN</t>
        </is>
      </c>
      <c r="DU114" t="inlineStr">
        <is>
          <t>SDN</t>
        </is>
      </c>
      <c r="DV114" t="inlineStr">
        <is>
          <t>SDN</t>
        </is>
      </c>
      <c r="DW114" t="inlineStr">
        <is>
          <t>SDN</t>
        </is>
      </c>
      <c r="DX114" t="inlineStr">
        <is>
          <t>SDN</t>
        </is>
      </c>
      <c r="DY114" t="inlineStr">
        <is>
          <t>SDN</t>
        </is>
      </c>
      <c r="DZ114" t="inlineStr">
        <is>
          <t>SDN</t>
        </is>
      </c>
      <c r="EA114" t="inlineStr">
        <is>
          <t>SDN</t>
        </is>
      </c>
      <c r="EB114" t="inlineStr">
        <is>
          <t>SDN</t>
        </is>
      </c>
      <c r="EC114" t="inlineStr">
        <is>
          <t>SDN</t>
        </is>
      </c>
      <c r="ED114" t="inlineStr">
        <is>
          <t>SDN</t>
        </is>
      </c>
      <c r="EE114" t="inlineStr">
        <is>
          <t>ERI</t>
        </is>
      </c>
      <c r="EF114" t="inlineStr">
        <is>
          <t>ERI</t>
        </is>
      </c>
      <c r="EG114" t="inlineStr">
        <is>
          <t>ERI</t>
        </is>
      </c>
      <c r="EH114" t="inlineStr">
        <is>
          <t>ERI</t>
        </is>
      </c>
      <c r="EI114" t="inlineStr">
        <is>
          <t>ERI</t>
        </is>
      </c>
      <c r="ER114" t="inlineStr">
        <is>
          <t>YEM</t>
        </is>
      </c>
      <c r="ES114" t="inlineStr">
        <is>
          <t>YEM</t>
        </is>
      </c>
      <c r="ET114" t="inlineStr">
        <is>
          <t>YEM</t>
        </is>
      </c>
      <c r="EU114" t="inlineStr">
        <is>
          <t>YEM</t>
        </is>
      </c>
      <c r="EV114" t="inlineStr">
        <is>
          <t>YEM</t>
        </is>
      </c>
      <c r="EW114" t="inlineStr">
        <is>
          <t>YEM</t>
        </is>
      </c>
      <c r="EX114" t="inlineStr">
        <is>
          <t>YEM</t>
        </is>
      </c>
      <c r="EY114" t="inlineStr">
        <is>
          <t>YEM</t>
        </is>
      </c>
      <c r="EZ114" t="inlineStr">
        <is>
          <t>YEM</t>
        </is>
      </c>
      <c r="FA114" t="inlineStr">
        <is>
          <t>YEM</t>
        </is>
      </c>
      <c r="FB114" t="inlineStr">
        <is>
          <t>YEM</t>
        </is>
      </c>
      <c r="FC114" t="inlineStr">
        <is>
          <t>YEM</t>
        </is>
      </c>
      <c r="FD114" t="inlineStr">
        <is>
          <t>YEM</t>
        </is>
      </c>
      <c r="FE114" t="inlineStr">
        <is>
          <t>YEM</t>
        </is>
      </c>
      <c r="FF114" t="inlineStr">
        <is>
          <t>YEM</t>
        </is>
      </c>
      <c r="FG114" t="inlineStr">
        <is>
          <t>YEM</t>
        </is>
      </c>
      <c r="FH114" t="inlineStr">
        <is>
          <t>YEM</t>
        </is>
      </c>
      <c r="FI114" t="inlineStr">
        <is>
          <t>YEM</t>
        </is>
      </c>
      <c r="FJ114" t="inlineStr">
        <is>
          <t>YEM</t>
        </is>
      </c>
      <c r="HA114" t="inlineStr">
        <is>
          <t>IND</t>
        </is>
      </c>
      <c r="HB114" t="inlineStr">
        <is>
          <t>IND</t>
        </is>
      </c>
      <c r="HC114" t="inlineStr">
        <is>
          <t>IND</t>
        </is>
      </c>
      <c r="HD114" t="inlineStr">
        <is>
          <t>IND</t>
        </is>
      </c>
      <c r="HE114" t="inlineStr">
        <is>
          <t>IND</t>
        </is>
      </c>
      <c r="HF114" t="inlineStr">
        <is>
          <t>IND</t>
        </is>
      </c>
      <c r="HG114" t="inlineStr">
        <is>
          <t>IND</t>
        </is>
      </c>
      <c r="HH114" t="inlineStr">
        <is>
          <t>IND</t>
        </is>
      </c>
      <c r="HI114" t="inlineStr">
        <is>
          <t>IND</t>
        </is>
      </c>
      <c r="HJ114" t="inlineStr">
        <is>
          <t>IND</t>
        </is>
      </c>
      <c r="HK114" t="inlineStr">
        <is>
          <t>IND</t>
        </is>
      </c>
      <c r="HL114" t="inlineStr">
        <is>
          <t>IND</t>
        </is>
      </c>
      <c r="HM114" t="inlineStr">
        <is>
          <t>IND</t>
        </is>
      </c>
      <c r="HN114" t="inlineStr">
        <is>
          <t>IND</t>
        </is>
      </c>
      <c r="HO114" t="inlineStr">
        <is>
          <t>IND</t>
        </is>
      </c>
      <c r="HP114" t="inlineStr">
        <is>
          <t>IND</t>
        </is>
      </c>
      <c r="IP114" t="inlineStr">
        <is>
          <t>MMR</t>
        </is>
      </c>
      <c r="IQ114" t="inlineStr">
        <is>
          <t>MMR</t>
        </is>
      </c>
      <c r="IR114" t="inlineStr">
        <is>
          <t>MMR</t>
        </is>
      </c>
      <c r="IS114" t="inlineStr">
        <is>
          <t>MMR</t>
        </is>
      </c>
      <c r="IW114" t="inlineStr">
        <is>
          <t>MMR</t>
        </is>
      </c>
      <c r="IX114" t="inlineStr">
        <is>
          <t>MMR</t>
        </is>
      </c>
      <c r="IY114" t="inlineStr">
        <is>
          <t>MMR</t>
        </is>
      </c>
      <c r="IZ114" t="inlineStr">
        <is>
          <t>THA</t>
        </is>
      </c>
      <c r="JA114" t="inlineStr">
        <is>
          <t>THA</t>
        </is>
      </c>
      <c r="JB114" t="inlineStr">
        <is>
          <t>THA</t>
        </is>
      </c>
      <c r="JC114" t="inlineStr">
        <is>
          <t>THA</t>
        </is>
      </c>
      <c r="JD114" t="inlineStr">
        <is>
          <t>THA</t>
        </is>
      </c>
      <c r="JE114" t="inlineStr">
        <is>
          <t>THA</t>
        </is>
      </c>
      <c r="JF114" t="inlineStr">
        <is>
          <t>THA</t>
        </is>
      </c>
      <c r="JG114" t="inlineStr">
        <is>
          <t>THA</t>
        </is>
      </c>
      <c r="JH114" t="inlineStr">
        <is>
          <t>THA</t>
        </is>
      </c>
      <c r="JI114" t="inlineStr">
        <is>
          <t>THA</t>
        </is>
      </c>
      <c r="JJ114" t="inlineStr">
        <is>
          <t>THA</t>
        </is>
      </c>
      <c r="JK114" t="inlineStr">
        <is>
          <t>THA</t>
        </is>
      </c>
      <c r="JL114" t="inlineStr">
        <is>
          <t>LAO</t>
        </is>
      </c>
      <c r="JM114" t="inlineStr">
        <is>
          <t>LAO</t>
        </is>
      </c>
      <c r="JN114" t="inlineStr">
        <is>
          <t>LAO</t>
        </is>
      </c>
      <c r="JO114" t="inlineStr">
        <is>
          <t>LAO</t>
        </is>
      </c>
      <c r="JP114" t="inlineStr">
        <is>
          <t>VNM</t>
        </is>
      </c>
      <c r="JQ114" t="inlineStr">
        <is>
          <t>VNM</t>
        </is>
      </c>
    </row>
    <row r="115">
      <c r="K115" t="inlineStr">
        <is>
          <t>CPV</t>
        </is>
      </c>
      <c r="L115" t="inlineStr">
        <is>
          <t>CPV</t>
        </is>
      </c>
      <c r="M115" t="inlineStr">
        <is>
          <t>CPV</t>
        </is>
      </c>
      <c r="N115" t="inlineStr">
        <is>
          <t>CPV</t>
        </is>
      </c>
      <c r="O115" t="inlineStr">
        <is>
          <t>CPV</t>
        </is>
      </c>
      <c r="P115" t="inlineStr">
        <is>
          <t>CPV</t>
        </is>
      </c>
      <c r="AC115" t="inlineStr">
        <is>
          <t>MRT</t>
        </is>
      </c>
      <c r="AD115" t="inlineStr">
        <is>
          <t>MRT</t>
        </is>
      </c>
      <c r="AE115" t="inlineStr">
        <is>
          <t>MRT</t>
        </is>
      </c>
      <c r="AF115" t="inlineStr">
        <is>
          <t>MRT</t>
        </is>
      </c>
      <c r="AG115" t="inlineStr">
        <is>
          <t>MRT</t>
        </is>
      </c>
      <c r="AH115" t="inlineStr">
        <is>
          <t>MRT</t>
        </is>
      </c>
      <c r="AI115" t="inlineStr">
        <is>
          <t>MRT</t>
        </is>
      </c>
      <c r="AJ115" t="inlineStr">
        <is>
          <t>MRT</t>
        </is>
      </c>
      <c r="AK115" t="inlineStr">
        <is>
          <t>MRT</t>
        </is>
      </c>
      <c r="AL115" t="inlineStr">
        <is>
          <t>MRT</t>
        </is>
      </c>
      <c r="AM115" t="inlineStr">
        <is>
          <t>MRT</t>
        </is>
      </c>
      <c r="AN115" t="inlineStr">
        <is>
          <t>MRT</t>
        </is>
      </c>
      <c r="AO115" t="inlineStr">
        <is>
          <t>MRT</t>
        </is>
      </c>
      <c r="AP115" t="inlineStr">
        <is>
          <t>MRT</t>
        </is>
      </c>
      <c r="AQ115" t="inlineStr">
        <is>
          <t>MRT</t>
        </is>
      </c>
      <c r="AR115" t="inlineStr">
        <is>
          <t>MRT</t>
        </is>
      </c>
      <c r="AS115" t="inlineStr">
        <is>
          <t>MRT</t>
        </is>
      </c>
      <c r="AT115" t="inlineStr">
        <is>
          <t>MRT</t>
        </is>
      </c>
      <c r="AU115" t="inlineStr">
        <is>
          <t>MRT</t>
        </is>
      </c>
      <c r="AV115" t="inlineStr">
        <is>
          <t>MRT</t>
        </is>
      </c>
      <c r="AW115" t="inlineStr">
        <is>
          <t>MRT</t>
        </is>
      </c>
      <c r="AX115" t="inlineStr">
        <is>
          <t>MRT</t>
        </is>
      </c>
      <c r="AY115" t="inlineStr">
        <is>
          <t>MLI</t>
        </is>
      </c>
      <c r="AZ115" t="inlineStr">
        <is>
          <t>MLI</t>
        </is>
      </c>
      <c r="BA115" t="inlineStr">
        <is>
          <t>MLI</t>
        </is>
      </c>
      <c r="BB115" t="inlineStr">
        <is>
          <t>MLI</t>
        </is>
      </c>
      <c r="BC115" t="inlineStr">
        <is>
          <t>MLI</t>
        </is>
      </c>
      <c r="BD115" t="inlineStr">
        <is>
          <t>MLI</t>
        </is>
      </c>
      <c r="BE115" t="inlineStr">
        <is>
          <t>MLI</t>
        </is>
      </c>
      <c r="BF115" t="inlineStr">
        <is>
          <t>MLI</t>
        </is>
      </c>
      <c r="BG115" t="inlineStr">
        <is>
          <t>MLI</t>
        </is>
      </c>
      <c r="BH115" t="inlineStr">
        <is>
          <t>MLI</t>
        </is>
      </c>
      <c r="BI115" t="inlineStr">
        <is>
          <t>MLI</t>
        </is>
      </c>
      <c r="BJ115" t="inlineStr">
        <is>
          <t>MLI</t>
        </is>
      </c>
      <c r="BK115" t="inlineStr">
        <is>
          <t>MLI</t>
        </is>
      </c>
      <c r="BL115" t="inlineStr">
        <is>
          <t>MLI</t>
        </is>
      </c>
      <c r="BM115" t="inlineStr">
        <is>
          <t>MLI</t>
        </is>
      </c>
      <c r="BN115" t="inlineStr">
        <is>
          <t>MLI</t>
        </is>
      </c>
      <c r="BO115" t="inlineStr">
        <is>
          <t>MLI</t>
        </is>
      </c>
      <c r="BP115" t="inlineStr">
        <is>
          <t>MLI</t>
        </is>
      </c>
      <c r="BQ115" t="inlineStr">
        <is>
          <t>MLI</t>
        </is>
      </c>
      <c r="BR115" t="inlineStr">
        <is>
          <t>NER</t>
        </is>
      </c>
      <c r="BS115" t="inlineStr">
        <is>
          <t>NER</t>
        </is>
      </c>
      <c r="BT115" t="inlineStr">
        <is>
          <t>NER</t>
        </is>
      </c>
      <c r="BU115" t="inlineStr">
        <is>
          <t>NER</t>
        </is>
      </c>
      <c r="BV115" t="inlineStr">
        <is>
          <t>NER</t>
        </is>
      </c>
      <c r="BW115" t="inlineStr">
        <is>
          <t>NER</t>
        </is>
      </c>
      <c r="BX115" t="inlineStr">
        <is>
          <t>NER</t>
        </is>
      </c>
      <c r="BY115" t="inlineStr">
        <is>
          <t>NER</t>
        </is>
      </c>
      <c r="BZ115" t="inlineStr">
        <is>
          <t>NER</t>
        </is>
      </c>
      <c r="CA115" t="inlineStr">
        <is>
          <t>NER</t>
        </is>
      </c>
      <c r="CB115" t="inlineStr">
        <is>
          <t>NER</t>
        </is>
      </c>
      <c r="CC115" t="inlineStr">
        <is>
          <t>NER</t>
        </is>
      </c>
      <c r="CD115" t="inlineStr">
        <is>
          <t>NER</t>
        </is>
      </c>
      <c r="CE115" t="inlineStr">
        <is>
          <t>NER</t>
        </is>
      </c>
      <c r="CF115" t="inlineStr">
        <is>
          <t>NER</t>
        </is>
      </c>
      <c r="CG115" t="inlineStr">
        <is>
          <t>NER</t>
        </is>
      </c>
      <c r="CH115" t="inlineStr">
        <is>
          <t>NER</t>
        </is>
      </c>
      <c r="CI115" t="inlineStr">
        <is>
          <t>NER</t>
        </is>
      </c>
      <c r="CJ115" t="inlineStr">
        <is>
          <t>NER</t>
        </is>
      </c>
      <c r="CK115" t="inlineStr">
        <is>
          <t>NER</t>
        </is>
      </c>
      <c r="CL115" t="inlineStr">
        <is>
          <t>NER</t>
        </is>
      </c>
      <c r="CM115" t="inlineStr">
        <is>
          <t>NER</t>
        </is>
      </c>
      <c r="CN115" t="inlineStr">
        <is>
          <t>NER</t>
        </is>
      </c>
      <c r="CO115" t="inlineStr">
        <is>
          <t>TCD</t>
        </is>
      </c>
      <c r="CP115" t="inlineStr">
        <is>
          <t>TCD</t>
        </is>
      </c>
      <c r="CQ115" t="inlineStr">
        <is>
          <t>TCD</t>
        </is>
      </c>
      <c r="CR115" t="inlineStr">
        <is>
          <t>TCD</t>
        </is>
      </c>
      <c r="CS115" t="inlineStr">
        <is>
          <t>TCD</t>
        </is>
      </c>
      <c r="CT115" t="inlineStr">
        <is>
          <t>TCD</t>
        </is>
      </c>
      <c r="CU115" t="inlineStr">
        <is>
          <t>TCD</t>
        </is>
      </c>
      <c r="CV115" t="inlineStr">
        <is>
          <t>TCD</t>
        </is>
      </c>
      <c r="CW115" t="inlineStr">
        <is>
          <t>TCD</t>
        </is>
      </c>
      <c r="CX115" t="inlineStr">
        <is>
          <t>TCD</t>
        </is>
      </c>
      <c r="CY115" t="inlineStr">
        <is>
          <t>TCD</t>
        </is>
      </c>
      <c r="CZ115" t="inlineStr">
        <is>
          <t>TCD</t>
        </is>
      </c>
      <c r="DA115" t="inlineStr">
        <is>
          <t>TCD</t>
        </is>
      </c>
      <c r="DB115" t="inlineStr">
        <is>
          <t>TCD</t>
        </is>
      </c>
      <c r="DC115" t="inlineStr">
        <is>
          <t>TCD</t>
        </is>
      </c>
      <c r="DD115" t="inlineStr">
        <is>
          <t>TCD</t>
        </is>
      </c>
      <c r="DE115" t="inlineStr">
        <is>
          <t>TCD</t>
        </is>
      </c>
      <c r="DF115" t="inlineStr">
        <is>
          <t>SDN</t>
        </is>
      </c>
      <c r="DG115" t="inlineStr">
        <is>
          <t>SDN</t>
        </is>
      </c>
      <c r="DH115" t="inlineStr">
        <is>
          <t>SDN</t>
        </is>
      </c>
      <c r="DI115" t="inlineStr">
        <is>
          <t>SDN</t>
        </is>
      </c>
      <c r="DJ115" t="inlineStr">
        <is>
          <t>SDN</t>
        </is>
      </c>
      <c r="DK115" t="inlineStr">
        <is>
          <t>SDN</t>
        </is>
      </c>
      <c r="DL115" t="inlineStr">
        <is>
          <t>SDN</t>
        </is>
      </c>
      <c r="DM115" t="inlineStr">
        <is>
          <t>SDN</t>
        </is>
      </c>
      <c r="DN115" t="inlineStr">
        <is>
          <t>SDN</t>
        </is>
      </c>
      <c r="DO115" t="inlineStr">
        <is>
          <t>SDN</t>
        </is>
      </c>
      <c r="DP115" t="inlineStr">
        <is>
          <t>SDN</t>
        </is>
      </c>
      <c r="DQ115" t="inlineStr">
        <is>
          <t>SDN</t>
        </is>
      </c>
      <c r="DR115" t="inlineStr">
        <is>
          <t>SDN</t>
        </is>
      </c>
      <c r="DS115" t="inlineStr">
        <is>
          <t>SDN</t>
        </is>
      </c>
      <c r="DT115" t="inlineStr">
        <is>
          <t>SDN</t>
        </is>
      </c>
      <c r="DU115" t="inlineStr">
        <is>
          <t>SDN</t>
        </is>
      </c>
      <c r="DV115" t="inlineStr">
        <is>
          <t>SDN</t>
        </is>
      </c>
      <c r="DW115" t="inlineStr">
        <is>
          <t>SDN</t>
        </is>
      </c>
      <c r="DX115" t="inlineStr">
        <is>
          <t>SDN</t>
        </is>
      </c>
      <c r="DY115" t="inlineStr">
        <is>
          <t>SDN</t>
        </is>
      </c>
      <c r="DZ115" t="inlineStr">
        <is>
          <t>SDN</t>
        </is>
      </c>
      <c r="EA115" t="inlineStr">
        <is>
          <t>SDN</t>
        </is>
      </c>
      <c r="EB115" t="inlineStr">
        <is>
          <t>SDN</t>
        </is>
      </c>
      <c r="EC115" t="inlineStr">
        <is>
          <t>SDN</t>
        </is>
      </c>
      <c r="ED115" t="inlineStr">
        <is>
          <t>SDN</t>
        </is>
      </c>
      <c r="EE115" t="inlineStr">
        <is>
          <t>SDN</t>
        </is>
      </c>
      <c r="EF115" t="inlineStr">
        <is>
          <t>ERI</t>
        </is>
      </c>
      <c r="EG115" t="inlineStr">
        <is>
          <t>ERI</t>
        </is>
      </c>
      <c r="EH115" t="inlineStr">
        <is>
          <t>ERI</t>
        </is>
      </c>
      <c r="EI115" t="inlineStr">
        <is>
          <t>ERI</t>
        </is>
      </c>
      <c r="EQ115" t="inlineStr">
        <is>
          <t>SAU</t>
        </is>
      </c>
      <c r="ER115" t="inlineStr">
        <is>
          <t>YEM</t>
        </is>
      </c>
      <c r="ES115" t="inlineStr">
        <is>
          <t>YEM</t>
        </is>
      </c>
      <c r="ET115" t="inlineStr">
        <is>
          <t>YEM</t>
        </is>
      </c>
      <c r="EU115" t="inlineStr">
        <is>
          <t>YEM</t>
        </is>
      </c>
      <c r="EV115" t="inlineStr">
        <is>
          <t>YEM</t>
        </is>
      </c>
      <c r="EW115" t="inlineStr">
        <is>
          <t>YEM</t>
        </is>
      </c>
      <c r="EX115" t="inlineStr">
        <is>
          <t>YEM</t>
        </is>
      </c>
      <c r="EY115" t="inlineStr">
        <is>
          <t>YEM</t>
        </is>
      </c>
      <c r="EZ115" t="inlineStr">
        <is>
          <t>YEM</t>
        </is>
      </c>
      <c r="FA115" t="inlineStr">
        <is>
          <t>YEM</t>
        </is>
      </c>
      <c r="FB115" t="inlineStr">
        <is>
          <t>YEM</t>
        </is>
      </c>
      <c r="FC115" t="inlineStr">
        <is>
          <t>YEM</t>
        </is>
      </c>
      <c r="FD115" t="inlineStr">
        <is>
          <t>YEM</t>
        </is>
      </c>
      <c r="FE115" t="inlineStr">
        <is>
          <t>YEM</t>
        </is>
      </c>
      <c r="FF115" t="inlineStr">
        <is>
          <t>YEM</t>
        </is>
      </c>
      <c r="FG115" t="inlineStr">
        <is>
          <t>YEM</t>
        </is>
      </c>
      <c r="FH115" t="inlineStr">
        <is>
          <t>YEM</t>
        </is>
      </c>
      <c r="FI115" t="inlineStr">
        <is>
          <t>YEM</t>
        </is>
      </c>
      <c r="FJ115" t="inlineStr">
        <is>
          <t>YEM</t>
        </is>
      </c>
      <c r="FK115" t="inlineStr">
        <is>
          <t>YEM</t>
        </is>
      </c>
      <c r="FL115" t="inlineStr">
        <is>
          <t>OMN</t>
        </is>
      </c>
      <c r="HA115" t="inlineStr">
        <is>
          <t>IND</t>
        </is>
      </c>
      <c r="HB115" t="inlineStr">
        <is>
          <t>IND</t>
        </is>
      </c>
      <c r="HC115" t="inlineStr">
        <is>
          <t>IND</t>
        </is>
      </c>
      <c r="HD115" t="inlineStr">
        <is>
          <t>IND</t>
        </is>
      </c>
      <c r="HE115" t="inlineStr">
        <is>
          <t>IND</t>
        </is>
      </c>
      <c r="HF115" t="inlineStr">
        <is>
          <t>IND</t>
        </is>
      </c>
      <c r="HG115" t="inlineStr">
        <is>
          <t>IND</t>
        </is>
      </c>
      <c r="HH115" t="inlineStr">
        <is>
          <t>IND</t>
        </is>
      </c>
      <c r="HI115" t="inlineStr">
        <is>
          <t>IND</t>
        </is>
      </c>
      <c r="HJ115" t="inlineStr">
        <is>
          <t>IND</t>
        </is>
      </c>
      <c r="HK115" t="inlineStr">
        <is>
          <t>IND</t>
        </is>
      </c>
      <c r="HL115" t="inlineStr">
        <is>
          <t>IND</t>
        </is>
      </c>
      <c r="HM115" t="inlineStr">
        <is>
          <t>IND</t>
        </is>
      </c>
      <c r="HN115" t="inlineStr">
        <is>
          <t>IND</t>
        </is>
      </c>
      <c r="HO115" t="inlineStr">
        <is>
          <t>IND</t>
        </is>
      </c>
      <c r="HP115" t="inlineStr">
        <is>
          <t>IND</t>
        </is>
      </c>
      <c r="HQ115" t="inlineStr">
        <is>
          <t>IND</t>
        </is>
      </c>
      <c r="IQ115" t="inlineStr">
        <is>
          <t>MMR</t>
        </is>
      </c>
      <c r="IR115" t="inlineStr">
        <is>
          <t>MMR</t>
        </is>
      </c>
      <c r="IS115" t="inlineStr">
        <is>
          <t>MMR</t>
        </is>
      </c>
      <c r="IT115" t="inlineStr">
        <is>
          <t>MMR</t>
        </is>
      </c>
      <c r="IU115" t="inlineStr">
        <is>
          <t>MMR</t>
        </is>
      </c>
      <c r="IW115" t="inlineStr">
        <is>
          <t>MMR</t>
        </is>
      </c>
      <c r="IX115" t="inlineStr">
        <is>
          <t>MMR</t>
        </is>
      </c>
      <c r="IY115" t="inlineStr">
        <is>
          <t>THA</t>
        </is>
      </c>
      <c r="IZ115" t="inlineStr">
        <is>
          <t>THA</t>
        </is>
      </c>
      <c r="JA115" t="inlineStr">
        <is>
          <t>THA</t>
        </is>
      </c>
      <c r="JB115" t="inlineStr">
        <is>
          <t>THA</t>
        </is>
      </c>
      <c r="JC115" t="inlineStr">
        <is>
          <t>THA</t>
        </is>
      </c>
      <c r="JD115" t="inlineStr">
        <is>
          <t>THA</t>
        </is>
      </c>
      <c r="JE115" t="inlineStr">
        <is>
          <t>THA</t>
        </is>
      </c>
      <c r="JF115" t="inlineStr">
        <is>
          <t>THA</t>
        </is>
      </c>
      <c r="JG115" t="inlineStr">
        <is>
          <t>THA</t>
        </is>
      </c>
      <c r="JH115" t="inlineStr">
        <is>
          <t>THA</t>
        </is>
      </c>
      <c r="JI115" t="inlineStr">
        <is>
          <t>THA</t>
        </is>
      </c>
      <c r="JJ115" t="inlineStr">
        <is>
          <t>THA</t>
        </is>
      </c>
      <c r="JK115" t="inlineStr">
        <is>
          <t>THA</t>
        </is>
      </c>
      <c r="JL115" t="inlineStr">
        <is>
          <t>LAO</t>
        </is>
      </c>
      <c r="JM115" t="inlineStr">
        <is>
          <t>LAO</t>
        </is>
      </c>
      <c r="JN115" t="inlineStr">
        <is>
          <t>LAO</t>
        </is>
      </c>
      <c r="JO115" t="inlineStr">
        <is>
          <t>VNM</t>
        </is>
      </c>
      <c r="JP115" t="inlineStr">
        <is>
          <t>VNM</t>
        </is>
      </c>
    </row>
    <row r="116">
      <c r="AC116" t="inlineStr">
        <is>
          <t>MRT</t>
        </is>
      </c>
      <c r="AD116" t="inlineStr">
        <is>
          <t>MRT</t>
        </is>
      </c>
      <c r="AE116" t="inlineStr">
        <is>
          <t>MRT</t>
        </is>
      </c>
      <c r="AF116" t="inlineStr">
        <is>
          <t>MRT</t>
        </is>
      </c>
      <c r="AG116" t="inlineStr">
        <is>
          <t>MRT</t>
        </is>
      </c>
      <c r="AH116" t="inlineStr">
        <is>
          <t>MRT</t>
        </is>
      </c>
      <c r="AI116" t="inlineStr">
        <is>
          <t>MRT</t>
        </is>
      </c>
      <c r="AJ116" t="inlineStr">
        <is>
          <t>MRT</t>
        </is>
      </c>
      <c r="AK116" t="inlineStr">
        <is>
          <t>MRT</t>
        </is>
      </c>
      <c r="AL116" t="inlineStr">
        <is>
          <t>MRT</t>
        </is>
      </c>
      <c r="AM116" t="inlineStr">
        <is>
          <t>MRT</t>
        </is>
      </c>
      <c r="AN116" t="inlineStr">
        <is>
          <t>MRT</t>
        </is>
      </c>
      <c r="AO116" t="inlineStr">
        <is>
          <t>MRT</t>
        </is>
      </c>
      <c r="AP116" t="inlineStr">
        <is>
          <t>MRT</t>
        </is>
      </c>
      <c r="AQ116" t="inlineStr">
        <is>
          <t>MRT</t>
        </is>
      </c>
      <c r="AR116" t="inlineStr">
        <is>
          <t>MRT</t>
        </is>
      </c>
      <c r="AS116" t="inlineStr">
        <is>
          <t>MRT</t>
        </is>
      </c>
      <c r="AT116" t="inlineStr">
        <is>
          <t>MRT</t>
        </is>
      </c>
      <c r="AU116" t="inlineStr">
        <is>
          <t>MRT</t>
        </is>
      </c>
      <c r="AV116" t="inlineStr">
        <is>
          <t>MRT</t>
        </is>
      </c>
      <c r="AW116" t="inlineStr">
        <is>
          <t>MRT</t>
        </is>
      </c>
      <c r="AX116" t="inlineStr">
        <is>
          <t>MRT</t>
        </is>
      </c>
      <c r="AY116" t="inlineStr">
        <is>
          <t>MLI</t>
        </is>
      </c>
      <c r="AZ116" t="inlineStr">
        <is>
          <t>MLI</t>
        </is>
      </c>
      <c r="BA116" t="inlineStr">
        <is>
          <t>MLI</t>
        </is>
      </c>
      <c r="BB116" t="inlineStr">
        <is>
          <t>MLI</t>
        </is>
      </c>
      <c r="BC116" t="inlineStr">
        <is>
          <t>MLI</t>
        </is>
      </c>
      <c r="BD116" t="inlineStr">
        <is>
          <t>MLI</t>
        </is>
      </c>
      <c r="BE116" t="inlineStr">
        <is>
          <t>MLI</t>
        </is>
      </c>
      <c r="BF116" t="inlineStr">
        <is>
          <t>MLI</t>
        </is>
      </c>
      <c r="BG116" t="inlineStr">
        <is>
          <t>MLI</t>
        </is>
      </c>
      <c r="BH116" t="inlineStr">
        <is>
          <t>MLI</t>
        </is>
      </c>
      <c r="BI116" t="inlineStr">
        <is>
          <t>MLI</t>
        </is>
      </c>
      <c r="BJ116" t="inlineStr">
        <is>
          <t>MLI</t>
        </is>
      </c>
      <c r="BK116" t="inlineStr">
        <is>
          <t>MLI</t>
        </is>
      </c>
      <c r="BL116" t="inlineStr">
        <is>
          <t>MLI</t>
        </is>
      </c>
      <c r="BM116" t="inlineStr">
        <is>
          <t>MLI</t>
        </is>
      </c>
      <c r="BN116" t="inlineStr">
        <is>
          <t>MLI</t>
        </is>
      </c>
      <c r="BO116" t="inlineStr">
        <is>
          <t>MLI</t>
        </is>
      </c>
      <c r="BP116" t="inlineStr">
        <is>
          <t>MLI</t>
        </is>
      </c>
      <c r="BQ116" t="inlineStr">
        <is>
          <t>MLI</t>
        </is>
      </c>
      <c r="BR116" t="inlineStr">
        <is>
          <t>MLI</t>
        </is>
      </c>
      <c r="BS116" t="inlineStr">
        <is>
          <t>NER</t>
        </is>
      </c>
      <c r="BT116" t="inlineStr">
        <is>
          <t>NER</t>
        </is>
      </c>
      <c r="BU116" t="inlineStr">
        <is>
          <t>NER</t>
        </is>
      </c>
      <c r="BV116" t="inlineStr">
        <is>
          <t>NER</t>
        </is>
      </c>
      <c r="BW116" t="inlineStr">
        <is>
          <t>NER</t>
        </is>
      </c>
      <c r="BX116" t="inlineStr">
        <is>
          <t>NER</t>
        </is>
      </c>
      <c r="BY116" t="inlineStr">
        <is>
          <t>NER</t>
        </is>
      </c>
      <c r="BZ116" t="inlineStr">
        <is>
          <t>NER</t>
        </is>
      </c>
      <c r="CA116" t="inlineStr">
        <is>
          <t>NER</t>
        </is>
      </c>
      <c r="CB116" t="inlineStr">
        <is>
          <t>NER</t>
        </is>
      </c>
      <c r="CC116" t="inlineStr">
        <is>
          <t>NER</t>
        </is>
      </c>
      <c r="CD116" t="inlineStr">
        <is>
          <t>NER</t>
        </is>
      </c>
      <c r="CE116" t="inlineStr">
        <is>
          <t>NER</t>
        </is>
      </c>
      <c r="CF116" t="inlineStr">
        <is>
          <t>NER</t>
        </is>
      </c>
      <c r="CG116" t="inlineStr">
        <is>
          <t>NER</t>
        </is>
      </c>
      <c r="CH116" t="inlineStr">
        <is>
          <t>NER</t>
        </is>
      </c>
      <c r="CI116" t="inlineStr">
        <is>
          <t>NER</t>
        </is>
      </c>
      <c r="CJ116" t="inlineStr">
        <is>
          <t>NER</t>
        </is>
      </c>
      <c r="CK116" t="inlineStr">
        <is>
          <t>NER</t>
        </is>
      </c>
      <c r="CL116" t="inlineStr">
        <is>
          <t>NER</t>
        </is>
      </c>
      <c r="CM116" t="inlineStr">
        <is>
          <t>NER</t>
        </is>
      </c>
      <c r="CN116" t="inlineStr">
        <is>
          <t>NER</t>
        </is>
      </c>
      <c r="CO116" t="inlineStr">
        <is>
          <t>TCD</t>
        </is>
      </c>
      <c r="CP116" t="inlineStr">
        <is>
          <t>TCD</t>
        </is>
      </c>
      <c r="CQ116" t="inlineStr">
        <is>
          <t>TCD</t>
        </is>
      </c>
      <c r="CR116" t="inlineStr">
        <is>
          <t>TCD</t>
        </is>
      </c>
      <c r="CS116" t="inlineStr">
        <is>
          <t>TCD</t>
        </is>
      </c>
      <c r="CT116" t="inlineStr">
        <is>
          <t>TCD</t>
        </is>
      </c>
      <c r="CU116" t="inlineStr">
        <is>
          <t>TCD</t>
        </is>
      </c>
      <c r="CV116" t="inlineStr">
        <is>
          <t>TCD</t>
        </is>
      </c>
      <c r="CW116" t="inlineStr">
        <is>
          <t>TCD</t>
        </is>
      </c>
      <c r="CX116" t="inlineStr">
        <is>
          <t>TCD</t>
        </is>
      </c>
      <c r="CY116" t="inlineStr">
        <is>
          <t>TCD</t>
        </is>
      </c>
      <c r="CZ116" t="inlineStr">
        <is>
          <t>TCD</t>
        </is>
      </c>
      <c r="DA116" t="inlineStr">
        <is>
          <t>TCD</t>
        </is>
      </c>
      <c r="DB116" t="inlineStr">
        <is>
          <t>TCD</t>
        </is>
      </c>
      <c r="DC116" t="inlineStr">
        <is>
          <t>TCD</t>
        </is>
      </c>
      <c r="DD116" t="inlineStr">
        <is>
          <t>TCD</t>
        </is>
      </c>
      <c r="DE116" t="inlineStr">
        <is>
          <t>TCD</t>
        </is>
      </c>
      <c r="DF116" t="inlineStr">
        <is>
          <t>SDN</t>
        </is>
      </c>
      <c r="DG116" t="inlineStr">
        <is>
          <t>SDN</t>
        </is>
      </c>
      <c r="DH116" t="inlineStr">
        <is>
          <t>SDN</t>
        </is>
      </c>
      <c r="DI116" t="inlineStr">
        <is>
          <t>SDN</t>
        </is>
      </c>
      <c r="DJ116" t="inlineStr">
        <is>
          <t>SDN</t>
        </is>
      </c>
      <c r="DK116" t="inlineStr">
        <is>
          <t>SDN</t>
        </is>
      </c>
      <c r="DL116" t="inlineStr">
        <is>
          <t>SDN</t>
        </is>
      </c>
      <c r="DM116" t="inlineStr">
        <is>
          <t>SDN</t>
        </is>
      </c>
      <c r="DN116" t="inlineStr">
        <is>
          <t>SDN</t>
        </is>
      </c>
      <c r="DO116" t="inlineStr">
        <is>
          <t>SDN</t>
        </is>
      </c>
      <c r="DP116" t="inlineStr">
        <is>
          <t>SDN</t>
        </is>
      </c>
      <c r="DQ116" t="inlineStr">
        <is>
          <t>SDN</t>
        </is>
      </c>
      <c r="DR116" t="inlineStr">
        <is>
          <t>SDN</t>
        </is>
      </c>
      <c r="DS116" t="inlineStr">
        <is>
          <t>SDN</t>
        </is>
      </c>
      <c r="DT116" t="inlineStr">
        <is>
          <t>SDN</t>
        </is>
      </c>
      <c r="DU116" t="inlineStr">
        <is>
          <t>SDN</t>
        </is>
      </c>
      <c r="DV116" t="inlineStr">
        <is>
          <t>SDN</t>
        </is>
      </c>
      <c r="DW116" t="inlineStr">
        <is>
          <t>SDN</t>
        </is>
      </c>
      <c r="DX116" t="inlineStr">
        <is>
          <t>SDN</t>
        </is>
      </c>
      <c r="DY116" t="inlineStr">
        <is>
          <t>SDN</t>
        </is>
      </c>
      <c r="DZ116" t="inlineStr">
        <is>
          <t>SDN</t>
        </is>
      </c>
      <c r="EA116" t="inlineStr">
        <is>
          <t>SDN</t>
        </is>
      </c>
      <c r="EB116" t="inlineStr">
        <is>
          <t>SDN</t>
        </is>
      </c>
      <c r="EC116" t="inlineStr">
        <is>
          <t>SDN</t>
        </is>
      </c>
      <c r="ED116" t="inlineStr">
        <is>
          <t>SDN</t>
        </is>
      </c>
      <c r="EE116" t="inlineStr">
        <is>
          <t>SDN</t>
        </is>
      </c>
      <c r="EF116" t="inlineStr">
        <is>
          <t>ERI</t>
        </is>
      </c>
      <c r="EG116" t="inlineStr">
        <is>
          <t>ERI</t>
        </is>
      </c>
      <c r="EH116" t="inlineStr">
        <is>
          <t>ERI</t>
        </is>
      </c>
      <c r="EI116" t="inlineStr">
        <is>
          <t>ERI</t>
        </is>
      </c>
      <c r="EQ116" t="inlineStr">
        <is>
          <t>SAU</t>
        </is>
      </c>
      <c r="ER116" t="inlineStr">
        <is>
          <t>YEM</t>
        </is>
      </c>
      <c r="ES116" t="inlineStr">
        <is>
          <t>YEM</t>
        </is>
      </c>
      <c r="ET116" t="inlineStr">
        <is>
          <t>YEM</t>
        </is>
      </c>
      <c r="EU116" t="inlineStr">
        <is>
          <t>YEM</t>
        </is>
      </c>
      <c r="EV116" t="inlineStr">
        <is>
          <t>YEM</t>
        </is>
      </c>
      <c r="EW116" t="inlineStr">
        <is>
          <t>YEM</t>
        </is>
      </c>
      <c r="EX116" t="inlineStr">
        <is>
          <t>SAU</t>
        </is>
      </c>
      <c r="EY116" t="inlineStr">
        <is>
          <t>YEM</t>
        </is>
      </c>
      <c r="EZ116" t="inlineStr">
        <is>
          <t>SAU</t>
        </is>
      </c>
      <c r="FA116" t="inlineStr">
        <is>
          <t>YEM</t>
        </is>
      </c>
      <c r="FB116" t="inlineStr">
        <is>
          <t>YEM</t>
        </is>
      </c>
      <c r="FC116" t="inlineStr">
        <is>
          <t>YEM</t>
        </is>
      </c>
      <c r="FD116" t="inlineStr">
        <is>
          <t>YEM</t>
        </is>
      </c>
      <c r="FE116" t="inlineStr">
        <is>
          <t>YEM</t>
        </is>
      </c>
      <c r="FF116" t="inlineStr">
        <is>
          <t>YEM</t>
        </is>
      </c>
      <c r="FG116" t="inlineStr">
        <is>
          <t>YEM</t>
        </is>
      </c>
      <c r="FH116" t="inlineStr">
        <is>
          <t>YEM</t>
        </is>
      </c>
      <c r="FI116" t="inlineStr">
        <is>
          <t>YEM</t>
        </is>
      </c>
      <c r="FJ116" t="inlineStr">
        <is>
          <t>YEM</t>
        </is>
      </c>
      <c r="FK116" t="inlineStr">
        <is>
          <t>YEM</t>
        </is>
      </c>
      <c r="FL116" t="inlineStr">
        <is>
          <t>OMN</t>
        </is>
      </c>
      <c r="FM116" t="inlineStr">
        <is>
          <t>OMN</t>
        </is>
      </c>
      <c r="FN116" t="inlineStr">
        <is>
          <t>OMN</t>
        </is>
      </c>
      <c r="FO116" t="inlineStr">
        <is>
          <t>OMN</t>
        </is>
      </c>
      <c r="FP116" t="inlineStr">
        <is>
          <t>OMN</t>
        </is>
      </c>
      <c r="HA116" t="inlineStr">
        <is>
          <t>IND</t>
        </is>
      </c>
      <c r="HB116" t="inlineStr">
        <is>
          <t>IND</t>
        </is>
      </c>
      <c r="HC116" t="inlineStr">
        <is>
          <t>IND</t>
        </is>
      </c>
      <c r="HD116" t="inlineStr">
        <is>
          <t>IND</t>
        </is>
      </c>
      <c r="HE116" t="inlineStr">
        <is>
          <t>IND</t>
        </is>
      </c>
      <c r="HF116" t="inlineStr">
        <is>
          <t>IND</t>
        </is>
      </c>
      <c r="HG116" t="inlineStr">
        <is>
          <t>IND</t>
        </is>
      </c>
      <c r="HH116" t="inlineStr">
        <is>
          <t>IND</t>
        </is>
      </c>
      <c r="HI116" t="inlineStr">
        <is>
          <t>IND</t>
        </is>
      </c>
      <c r="HJ116" t="inlineStr">
        <is>
          <t>IND</t>
        </is>
      </c>
      <c r="HK116" t="inlineStr">
        <is>
          <t>IND</t>
        </is>
      </c>
      <c r="HL116" t="inlineStr">
        <is>
          <t>IND</t>
        </is>
      </c>
      <c r="HM116" t="inlineStr">
        <is>
          <t>IND</t>
        </is>
      </c>
      <c r="HN116" t="inlineStr">
        <is>
          <t>IND</t>
        </is>
      </c>
      <c r="HO116" t="inlineStr">
        <is>
          <t>IND</t>
        </is>
      </c>
      <c r="HP116" t="inlineStr">
        <is>
          <t>IND</t>
        </is>
      </c>
      <c r="HQ116" t="inlineStr">
        <is>
          <t>IND</t>
        </is>
      </c>
      <c r="HR116" t="inlineStr">
        <is>
          <t>IND</t>
        </is>
      </c>
      <c r="IQ116" t="inlineStr">
        <is>
          <t>MMR</t>
        </is>
      </c>
      <c r="IR116" t="inlineStr">
        <is>
          <t>MMR</t>
        </is>
      </c>
      <c r="IS116" t="inlineStr">
        <is>
          <t>MMR</t>
        </is>
      </c>
      <c r="IT116" t="inlineStr">
        <is>
          <t>MMR</t>
        </is>
      </c>
      <c r="IU116" t="inlineStr">
        <is>
          <t>MMR</t>
        </is>
      </c>
      <c r="IV116" t="inlineStr">
        <is>
          <t>MMR</t>
        </is>
      </c>
      <c r="IW116" t="inlineStr">
        <is>
          <t>MMR</t>
        </is>
      </c>
      <c r="IX116" t="inlineStr">
        <is>
          <t>THA</t>
        </is>
      </c>
      <c r="IY116" t="inlineStr">
        <is>
          <t>THA</t>
        </is>
      </c>
      <c r="IZ116" t="inlineStr">
        <is>
          <t>THA</t>
        </is>
      </c>
      <c r="JA116" t="inlineStr">
        <is>
          <t>THA</t>
        </is>
      </c>
      <c r="JB116" t="inlineStr">
        <is>
          <t>THA</t>
        </is>
      </c>
      <c r="JC116" t="inlineStr">
        <is>
          <t>THA</t>
        </is>
      </c>
      <c r="JD116" t="inlineStr">
        <is>
          <t>THA</t>
        </is>
      </c>
      <c r="JE116" t="inlineStr">
        <is>
          <t>THA</t>
        </is>
      </c>
      <c r="JF116" t="inlineStr">
        <is>
          <t>THA</t>
        </is>
      </c>
      <c r="JG116" t="inlineStr">
        <is>
          <t>THA</t>
        </is>
      </c>
      <c r="JH116" t="inlineStr">
        <is>
          <t>THA</t>
        </is>
      </c>
      <c r="JI116" t="inlineStr">
        <is>
          <t>THA</t>
        </is>
      </c>
      <c r="JJ116" t="inlineStr">
        <is>
          <t>THA</t>
        </is>
      </c>
      <c r="JK116" t="inlineStr">
        <is>
          <t>LAO</t>
        </is>
      </c>
      <c r="JL116" t="inlineStr">
        <is>
          <t>LAO</t>
        </is>
      </c>
      <c r="JM116" t="inlineStr">
        <is>
          <t>LAO</t>
        </is>
      </c>
      <c r="JN116" t="inlineStr">
        <is>
          <t>VNM</t>
        </is>
      </c>
      <c r="JO116" t="inlineStr">
        <is>
          <t>VNM</t>
        </is>
      </c>
    </row>
    <row r="117">
      <c r="AD117" t="inlineStr">
        <is>
          <t>MRT</t>
        </is>
      </c>
      <c r="AE117" t="inlineStr">
        <is>
          <t>MRT</t>
        </is>
      </c>
      <c r="AF117" t="inlineStr">
        <is>
          <t>MRT</t>
        </is>
      </c>
      <c r="AG117" t="inlineStr">
        <is>
          <t>MRT</t>
        </is>
      </c>
      <c r="AH117" t="inlineStr">
        <is>
          <t>MRT</t>
        </is>
      </c>
      <c r="AI117" t="inlineStr">
        <is>
          <t>MRT</t>
        </is>
      </c>
      <c r="AJ117" t="inlineStr">
        <is>
          <t>MRT</t>
        </is>
      </c>
      <c r="AK117" t="inlineStr">
        <is>
          <t>MRT</t>
        </is>
      </c>
      <c r="AL117" t="inlineStr">
        <is>
          <t>MRT</t>
        </is>
      </c>
      <c r="AM117" t="inlineStr">
        <is>
          <t>MRT</t>
        </is>
      </c>
      <c r="AN117" t="inlineStr">
        <is>
          <t>MRT</t>
        </is>
      </c>
      <c r="AO117" t="inlineStr">
        <is>
          <t>MRT</t>
        </is>
      </c>
      <c r="AP117" t="inlineStr">
        <is>
          <t>MRT</t>
        </is>
      </c>
      <c r="AQ117" t="inlineStr">
        <is>
          <t>MRT</t>
        </is>
      </c>
      <c r="AR117" t="inlineStr">
        <is>
          <t>MRT</t>
        </is>
      </c>
      <c r="AS117" t="inlineStr">
        <is>
          <t>MRT</t>
        </is>
      </c>
      <c r="AT117" t="inlineStr">
        <is>
          <t>MRT</t>
        </is>
      </c>
      <c r="AU117" t="inlineStr">
        <is>
          <t>MRT</t>
        </is>
      </c>
      <c r="AV117" t="inlineStr">
        <is>
          <t>MRT</t>
        </is>
      </c>
      <c r="AW117" t="inlineStr">
        <is>
          <t>MRT</t>
        </is>
      </c>
      <c r="AX117" t="inlineStr">
        <is>
          <t>MRT</t>
        </is>
      </c>
      <c r="AY117" t="inlineStr">
        <is>
          <t>MLI</t>
        </is>
      </c>
      <c r="AZ117" t="inlineStr">
        <is>
          <t>MLI</t>
        </is>
      </c>
      <c r="BA117" t="inlineStr">
        <is>
          <t>MLI</t>
        </is>
      </c>
      <c r="BB117" t="inlineStr">
        <is>
          <t>MLI</t>
        </is>
      </c>
      <c r="BC117" t="inlineStr">
        <is>
          <t>MLI</t>
        </is>
      </c>
      <c r="BD117" t="inlineStr">
        <is>
          <t>MLI</t>
        </is>
      </c>
      <c r="BE117" t="inlineStr">
        <is>
          <t>MLI</t>
        </is>
      </c>
      <c r="BF117" t="inlineStr">
        <is>
          <t>MLI</t>
        </is>
      </c>
      <c r="BG117" t="inlineStr">
        <is>
          <t>MLI</t>
        </is>
      </c>
      <c r="BH117" t="inlineStr">
        <is>
          <t>MLI</t>
        </is>
      </c>
      <c r="BI117" t="inlineStr">
        <is>
          <t>MLI</t>
        </is>
      </c>
      <c r="BJ117" t="inlineStr">
        <is>
          <t>MLI</t>
        </is>
      </c>
      <c r="BK117" t="inlineStr">
        <is>
          <t>MLI</t>
        </is>
      </c>
      <c r="BL117" t="inlineStr">
        <is>
          <t>MLI</t>
        </is>
      </c>
      <c r="BM117" t="inlineStr">
        <is>
          <t>MLI</t>
        </is>
      </c>
      <c r="BN117" t="inlineStr">
        <is>
          <t>MLI</t>
        </is>
      </c>
      <c r="BO117" t="inlineStr">
        <is>
          <t>MLI</t>
        </is>
      </c>
      <c r="BP117" t="inlineStr">
        <is>
          <t>MLI</t>
        </is>
      </c>
      <c r="BQ117" t="inlineStr">
        <is>
          <t>MLI</t>
        </is>
      </c>
      <c r="BR117" t="inlineStr">
        <is>
          <t>MLI</t>
        </is>
      </c>
      <c r="BS117" t="inlineStr">
        <is>
          <t>NER</t>
        </is>
      </c>
      <c r="BT117" t="inlineStr">
        <is>
          <t>NER</t>
        </is>
      </c>
      <c r="BU117" t="inlineStr">
        <is>
          <t>NER</t>
        </is>
      </c>
      <c r="BV117" t="inlineStr">
        <is>
          <t>NER</t>
        </is>
      </c>
      <c r="BW117" t="inlineStr">
        <is>
          <t>NER</t>
        </is>
      </c>
      <c r="BX117" t="inlineStr">
        <is>
          <t>NER</t>
        </is>
      </c>
      <c r="BY117" t="inlineStr">
        <is>
          <t>NER</t>
        </is>
      </c>
      <c r="BZ117" t="inlineStr">
        <is>
          <t>NER</t>
        </is>
      </c>
      <c r="CA117" t="inlineStr">
        <is>
          <t>NER</t>
        </is>
      </c>
      <c r="CB117" t="inlineStr">
        <is>
          <t>NER</t>
        </is>
      </c>
      <c r="CC117" t="inlineStr">
        <is>
          <t>NER</t>
        </is>
      </c>
      <c r="CD117" t="inlineStr">
        <is>
          <t>NER</t>
        </is>
      </c>
      <c r="CE117" t="inlineStr">
        <is>
          <t>NER</t>
        </is>
      </c>
      <c r="CF117" t="inlineStr">
        <is>
          <t>NER</t>
        </is>
      </c>
      <c r="CG117" t="inlineStr">
        <is>
          <t>NER</t>
        </is>
      </c>
      <c r="CH117" t="inlineStr">
        <is>
          <t>NER</t>
        </is>
      </c>
      <c r="CI117" t="inlineStr">
        <is>
          <t>NER</t>
        </is>
      </c>
      <c r="CJ117" t="inlineStr">
        <is>
          <t>NER</t>
        </is>
      </c>
      <c r="CK117" t="inlineStr">
        <is>
          <t>NER</t>
        </is>
      </c>
      <c r="CL117" t="inlineStr">
        <is>
          <t>NER</t>
        </is>
      </c>
      <c r="CM117" t="inlineStr">
        <is>
          <t>NER</t>
        </is>
      </c>
      <c r="CN117" t="inlineStr">
        <is>
          <t>NER</t>
        </is>
      </c>
      <c r="CO117" t="inlineStr">
        <is>
          <t>TCD</t>
        </is>
      </c>
      <c r="CP117" t="inlineStr">
        <is>
          <t>TCD</t>
        </is>
      </c>
      <c r="CQ117" t="inlineStr">
        <is>
          <t>TCD</t>
        </is>
      </c>
      <c r="CR117" t="inlineStr">
        <is>
          <t>TCD</t>
        </is>
      </c>
      <c r="CS117" t="inlineStr">
        <is>
          <t>TCD</t>
        </is>
      </c>
      <c r="CT117" t="inlineStr">
        <is>
          <t>TCD</t>
        </is>
      </c>
      <c r="CU117" t="inlineStr">
        <is>
          <t>TCD</t>
        </is>
      </c>
      <c r="CV117" t="inlineStr">
        <is>
          <t>TCD</t>
        </is>
      </c>
      <c r="CW117" t="inlineStr">
        <is>
          <t>TCD</t>
        </is>
      </c>
      <c r="CX117" t="inlineStr">
        <is>
          <t>TCD</t>
        </is>
      </c>
      <c r="CY117" t="inlineStr">
        <is>
          <t>TCD</t>
        </is>
      </c>
      <c r="CZ117" t="inlineStr">
        <is>
          <t>TCD</t>
        </is>
      </c>
      <c r="DA117" t="inlineStr">
        <is>
          <t>TCD</t>
        </is>
      </c>
      <c r="DB117" t="inlineStr">
        <is>
          <t>TCD</t>
        </is>
      </c>
      <c r="DC117" t="inlineStr">
        <is>
          <t>TCD</t>
        </is>
      </c>
      <c r="DD117" t="inlineStr">
        <is>
          <t>TCD</t>
        </is>
      </c>
      <c r="DE117" t="inlineStr">
        <is>
          <t>TCD</t>
        </is>
      </c>
      <c r="DF117" t="inlineStr">
        <is>
          <t>SDN</t>
        </is>
      </c>
      <c r="DG117" t="inlineStr">
        <is>
          <t>SDN</t>
        </is>
      </c>
      <c r="DH117" t="inlineStr">
        <is>
          <t>SDN</t>
        </is>
      </c>
      <c r="DI117" t="inlineStr">
        <is>
          <t>SDN</t>
        </is>
      </c>
      <c r="DJ117" t="inlineStr">
        <is>
          <t>SDN</t>
        </is>
      </c>
      <c r="DK117" t="inlineStr">
        <is>
          <t>SDN</t>
        </is>
      </c>
      <c r="DL117" t="inlineStr">
        <is>
          <t>SDN</t>
        </is>
      </c>
      <c r="DM117" t="inlineStr">
        <is>
          <t>SDN</t>
        </is>
      </c>
      <c r="DN117" t="inlineStr">
        <is>
          <t>SDN</t>
        </is>
      </c>
      <c r="DO117" t="inlineStr">
        <is>
          <t>SDN</t>
        </is>
      </c>
      <c r="DP117" t="inlineStr">
        <is>
          <t>SDN</t>
        </is>
      </c>
      <c r="DQ117" t="inlineStr">
        <is>
          <t>SDN</t>
        </is>
      </c>
      <c r="DR117" t="inlineStr">
        <is>
          <t>SDN</t>
        </is>
      </c>
      <c r="DS117" t="inlineStr">
        <is>
          <t>SDN</t>
        </is>
      </c>
      <c r="DT117" t="inlineStr">
        <is>
          <t>SDN</t>
        </is>
      </c>
      <c r="DU117" t="inlineStr">
        <is>
          <t>SDN</t>
        </is>
      </c>
      <c r="DV117" t="inlineStr">
        <is>
          <t>SDN</t>
        </is>
      </c>
      <c r="DW117" t="inlineStr">
        <is>
          <t>SDN</t>
        </is>
      </c>
      <c r="DX117" t="inlineStr">
        <is>
          <t>SDN</t>
        </is>
      </c>
      <c r="DY117" t="inlineStr">
        <is>
          <t>SDN</t>
        </is>
      </c>
      <c r="DZ117" t="inlineStr">
        <is>
          <t>SDN</t>
        </is>
      </c>
      <c r="EA117" t="inlineStr">
        <is>
          <t>SDN</t>
        </is>
      </c>
      <c r="EB117" t="inlineStr">
        <is>
          <t>SDN</t>
        </is>
      </c>
      <c r="EC117" t="inlineStr">
        <is>
          <t>SDN</t>
        </is>
      </c>
      <c r="ED117" t="inlineStr">
        <is>
          <t>SDN</t>
        </is>
      </c>
      <c r="EE117" t="inlineStr">
        <is>
          <t>SDN</t>
        </is>
      </c>
      <c r="EF117" t="inlineStr">
        <is>
          <t>SDN</t>
        </is>
      </c>
      <c r="EG117" t="inlineStr">
        <is>
          <t>SDN</t>
        </is>
      </c>
      <c r="EH117" t="inlineStr">
        <is>
          <t>ERI</t>
        </is>
      </c>
      <c r="EP117" t="inlineStr">
        <is>
          <t>SAU</t>
        </is>
      </c>
      <c r="EQ117" t="inlineStr">
        <is>
          <t>SAU</t>
        </is>
      </c>
      <c r="ER117" t="inlineStr">
        <is>
          <t>SAU</t>
        </is>
      </c>
      <c r="ES117" t="inlineStr">
        <is>
          <t>SAU</t>
        </is>
      </c>
      <c r="ET117" t="inlineStr">
        <is>
          <t>SAU</t>
        </is>
      </c>
      <c r="EU117" t="inlineStr">
        <is>
          <t>SAU</t>
        </is>
      </c>
      <c r="EV117" t="inlineStr">
        <is>
          <t>SAU</t>
        </is>
      </c>
      <c r="EW117" t="inlineStr">
        <is>
          <t>SAU</t>
        </is>
      </c>
      <c r="EX117" t="inlineStr">
        <is>
          <t>SAU</t>
        </is>
      </c>
      <c r="EY117" t="inlineStr">
        <is>
          <t>SAU</t>
        </is>
      </c>
      <c r="EZ117" t="inlineStr">
        <is>
          <t>SAU</t>
        </is>
      </c>
      <c r="FA117" t="inlineStr">
        <is>
          <t>SAU</t>
        </is>
      </c>
      <c r="FB117" t="inlineStr">
        <is>
          <t>YEM</t>
        </is>
      </c>
      <c r="FC117" t="inlineStr">
        <is>
          <t>YEM</t>
        </is>
      </c>
      <c r="FD117" t="inlineStr">
        <is>
          <t>YEM</t>
        </is>
      </c>
      <c r="FE117" t="inlineStr">
        <is>
          <t>YEM</t>
        </is>
      </c>
      <c r="FF117" t="inlineStr">
        <is>
          <t>YEM</t>
        </is>
      </c>
      <c r="FG117" t="inlineStr">
        <is>
          <t>YEM</t>
        </is>
      </c>
      <c r="FH117" t="inlineStr">
        <is>
          <t>YEM</t>
        </is>
      </c>
      <c r="FI117" t="inlineStr">
        <is>
          <t>YEM</t>
        </is>
      </c>
      <c r="FJ117" t="inlineStr">
        <is>
          <t>YEM</t>
        </is>
      </c>
      <c r="FK117" t="inlineStr">
        <is>
          <t>OMN</t>
        </is>
      </c>
      <c r="FL117" t="inlineStr">
        <is>
          <t>OMN</t>
        </is>
      </c>
      <c r="FM117" t="inlineStr">
        <is>
          <t>OMN</t>
        </is>
      </c>
      <c r="FN117" t="inlineStr">
        <is>
          <t>OMN</t>
        </is>
      </c>
      <c r="FO117" t="inlineStr">
        <is>
          <t>OMN</t>
        </is>
      </c>
      <c r="FP117" t="inlineStr">
        <is>
          <t>OMN</t>
        </is>
      </c>
      <c r="GZ117" t="inlineStr">
        <is>
          <t>IND</t>
        </is>
      </c>
      <c r="HA117" t="inlineStr">
        <is>
          <t>IND</t>
        </is>
      </c>
      <c r="HB117" t="inlineStr">
        <is>
          <t>IND</t>
        </is>
      </c>
      <c r="HC117" t="inlineStr">
        <is>
          <t>IND</t>
        </is>
      </c>
      <c r="HD117" t="inlineStr">
        <is>
          <t>IND</t>
        </is>
      </c>
      <c r="HE117" t="inlineStr">
        <is>
          <t>IND</t>
        </is>
      </c>
      <c r="HF117" t="inlineStr">
        <is>
          <t>IND</t>
        </is>
      </c>
      <c r="HG117" t="inlineStr">
        <is>
          <t>IND</t>
        </is>
      </c>
      <c r="HH117" t="inlineStr">
        <is>
          <t>IND</t>
        </is>
      </c>
      <c r="HI117" t="inlineStr">
        <is>
          <t>IND</t>
        </is>
      </c>
      <c r="HJ117" t="inlineStr">
        <is>
          <t>IND</t>
        </is>
      </c>
      <c r="HK117" t="inlineStr">
        <is>
          <t>IND</t>
        </is>
      </c>
      <c r="HL117" t="inlineStr">
        <is>
          <t>IND</t>
        </is>
      </c>
      <c r="HM117" t="inlineStr">
        <is>
          <t>IND</t>
        </is>
      </c>
      <c r="HN117" t="inlineStr">
        <is>
          <t>IND</t>
        </is>
      </c>
      <c r="HO117" t="inlineStr">
        <is>
          <t>IND</t>
        </is>
      </c>
      <c r="HP117" t="inlineStr">
        <is>
          <t>IND</t>
        </is>
      </c>
      <c r="HQ117" t="inlineStr">
        <is>
          <t>IND</t>
        </is>
      </c>
      <c r="HR117" t="inlineStr">
        <is>
          <t>IND</t>
        </is>
      </c>
      <c r="HS117" t="inlineStr">
        <is>
          <t>IND</t>
        </is>
      </c>
      <c r="HT117" t="inlineStr">
        <is>
          <t>IND</t>
        </is>
      </c>
      <c r="IQ117" t="inlineStr">
        <is>
          <t>MMR</t>
        </is>
      </c>
      <c r="IR117" t="inlineStr">
        <is>
          <t>MMR</t>
        </is>
      </c>
      <c r="IS117" t="inlineStr">
        <is>
          <t>MMR</t>
        </is>
      </c>
      <c r="IT117" t="inlineStr">
        <is>
          <t>MMR</t>
        </is>
      </c>
      <c r="IU117" t="inlineStr">
        <is>
          <t>MMR</t>
        </is>
      </c>
      <c r="IV117" t="inlineStr">
        <is>
          <t>MMR</t>
        </is>
      </c>
      <c r="IW117" t="inlineStr">
        <is>
          <t>MMR</t>
        </is>
      </c>
      <c r="IX117" t="inlineStr">
        <is>
          <t>THA</t>
        </is>
      </c>
      <c r="IY117" t="inlineStr">
        <is>
          <t>THA</t>
        </is>
      </c>
      <c r="IZ117" t="inlineStr">
        <is>
          <t>THA</t>
        </is>
      </c>
      <c r="JA117" t="inlineStr">
        <is>
          <t>THA</t>
        </is>
      </c>
      <c r="JB117" t="inlineStr">
        <is>
          <t>THA</t>
        </is>
      </c>
      <c r="JC117" t="inlineStr">
        <is>
          <t>THA</t>
        </is>
      </c>
      <c r="JD117" t="inlineStr">
        <is>
          <t>LAO</t>
        </is>
      </c>
      <c r="JE117" t="inlineStr">
        <is>
          <t>THA</t>
        </is>
      </c>
      <c r="JF117" t="inlineStr">
        <is>
          <t>THA</t>
        </is>
      </c>
      <c r="JG117" t="inlineStr">
        <is>
          <t>THA</t>
        </is>
      </c>
      <c r="JH117" t="inlineStr">
        <is>
          <t>THA</t>
        </is>
      </c>
      <c r="JI117" t="inlineStr">
        <is>
          <t>THA</t>
        </is>
      </c>
      <c r="JJ117" t="inlineStr">
        <is>
          <t>THA</t>
        </is>
      </c>
      <c r="JK117" t="inlineStr">
        <is>
          <t>LAO</t>
        </is>
      </c>
      <c r="JL117" t="inlineStr">
        <is>
          <t>LAO</t>
        </is>
      </c>
      <c r="JM117" t="inlineStr">
        <is>
          <t>VNM</t>
        </is>
      </c>
      <c r="JN117" t="inlineStr">
        <is>
          <t>VNM</t>
        </is>
      </c>
    </row>
    <row r="118">
      <c r="AD118" t="inlineStr">
        <is>
          <t>MRT</t>
        </is>
      </c>
      <c r="AE118" t="inlineStr">
        <is>
          <t>MRT</t>
        </is>
      </c>
      <c r="AF118" t="inlineStr">
        <is>
          <t>MRT</t>
        </is>
      </c>
      <c r="AG118" t="inlineStr">
        <is>
          <t>MRT</t>
        </is>
      </c>
      <c r="AH118" t="inlineStr">
        <is>
          <t>MRT</t>
        </is>
      </c>
      <c r="AI118" t="inlineStr">
        <is>
          <t>MRT</t>
        </is>
      </c>
      <c r="AJ118" t="inlineStr">
        <is>
          <t>MRT</t>
        </is>
      </c>
      <c r="AK118" t="inlineStr">
        <is>
          <t>MRT</t>
        </is>
      </c>
      <c r="AL118" t="inlineStr">
        <is>
          <t>MRT</t>
        </is>
      </c>
      <c r="AM118" t="inlineStr">
        <is>
          <t>MRT</t>
        </is>
      </c>
      <c r="AN118" t="inlineStr">
        <is>
          <t>MRT</t>
        </is>
      </c>
      <c r="AO118" t="inlineStr">
        <is>
          <t>MRT</t>
        </is>
      </c>
      <c r="AP118" t="inlineStr">
        <is>
          <t>MRT</t>
        </is>
      </c>
      <c r="AQ118" t="inlineStr">
        <is>
          <t>MRT</t>
        </is>
      </c>
      <c r="AR118" t="inlineStr">
        <is>
          <t>MRT</t>
        </is>
      </c>
      <c r="AS118" t="inlineStr">
        <is>
          <t>MRT</t>
        </is>
      </c>
      <c r="AT118" t="inlineStr">
        <is>
          <t>MRT</t>
        </is>
      </c>
      <c r="AU118" t="inlineStr">
        <is>
          <t>MRT</t>
        </is>
      </c>
      <c r="AV118" t="inlineStr">
        <is>
          <t>MRT</t>
        </is>
      </c>
      <c r="AW118" t="inlineStr">
        <is>
          <t>MRT</t>
        </is>
      </c>
      <c r="AX118" t="inlineStr">
        <is>
          <t>MRT</t>
        </is>
      </c>
      <c r="AY118" t="inlineStr">
        <is>
          <t>MLI</t>
        </is>
      </c>
      <c r="AZ118" t="inlineStr">
        <is>
          <t>MLI</t>
        </is>
      </c>
      <c r="BA118" t="inlineStr">
        <is>
          <t>MLI</t>
        </is>
      </c>
      <c r="BB118" t="inlineStr">
        <is>
          <t>MLI</t>
        </is>
      </c>
      <c r="BC118" t="inlineStr">
        <is>
          <t>MLI</t>
        </is>
      </c>
      <c r="BD118" t="inlineStr">
        <is>
          <t>MLI</t>
        </is>
      </c>
      <c r="BE118" t="inlineStr">
        <is>
          <t>MLI</t>
        </is>
      </c>
      <c r="BF118" t="inlineStr">
        <is>
          <t>MLI</t>
        </is>
      </c>
      <c r="BG118" t="inlineStr">
        <is>
          <t>MLI</t>
        </is>
      </c>
      <c r="BH118" t="inlineStr">
        <is>
          <t>MLI</t>
        </is>
      </c>
      <c r="BI118" t="inlineStr">
        <is>
          <t>MLI</t>
        </is>
      </c>
      <c r="BJ118" t="inlineStr">
        <is>
          <t>MLI</t>
        </is>
      </c>
      <c r="BK118" t="inlineStr">
        <is>
          <t>MLI</t>
        </is>
      </c>
      <c r="BL118" t="inlineStr">
        <is>
          <t>MLI</t>
        </is>
      </c>
      <c r="BM118" t="inlineStr">
        <is>
          <t>MLI</t>
        </is>
      </c>
      <c r="BN118" t="inlineStr">
        <is>
          <t>MLI</t>
        </is>
      </c>
      <c r="BO118" t="inlineStr">
        <is>
          <t>MLI</t>
        </is>
      </c>
      <c r="BP118" t="inlineStr">
        <is>
          <t>MLI</t>
        </is>
      </c>
      <c r="BQ118" t="inlineStr">
        <is>
          <t>MLI</t>
        </is>
      </c>
      <c r="BR118" t="inlineStr">
        <is>
          <t>MLI</t>
        </is>
      </c>
      <c r="BS118" t="inlineStr">
        <is>
          <t>NER</t>
        </is>
      </c>
      <c r="BT118" t="inlineStr">
        <is>
          <t>NER</t>
        </is>
      </c>
      <c r="BU118" t="inlineStr">
        <is>
          <t>NER</t>
        </is>
      </c>
      <c r="BV118" t="inlineStr">
        <is>
          <t>NER</t>
        </is>
      </c>
      <c r="BW118" t="inlineStr">
        <is>
          <t>NER</t>
        </is>
      </c>
      <c r="BX118" t="inlineStr">
        <is>
          <t>NER</t>
        </is>
      </c>
      <c r="BY118" t="inlineStr">
        <is>
          <t>NER</t>
        </is>
      </c>
      <c r="BZ118" t="inlineStr">
        <is>
          <t>NER</t>
        </is>
      </c>
      <c r="CA118" t="inlineStr">
        <is>
          <t>NER</t>
        </is>
      </c>
      <c r="CB118" t="inlineStr">
        <is>
          <t>NER</t>
        </is>
      </c>
      <c r="CC118" t="inlineStr">
        <is>
          <t>NER</t>
        </is>
      </c>
      <c r="CD118" t="inlineStr">
        <is>
          <t>NER</t>
        </is>
      </c>
      <c r="CE118" t="inlineStr">
        <is>
          <t>NER</t>
        </is>
      </c>
      <c r="CF118" t="inlineStr">
        <is>
          <t>NER</t>
        </is>
      </c>
      <c r="CG118" t="inlineStr">
        <is>
          <t>NER</t>
        </is>
      </c>
      <c r="CH118" t="inlineStr">
        <is>
          <t>NER</t>
        </is>
      </c>
      <c r="CI118" t="inlineStr">
        <is>
          <t>NER</t>
        </is>
      </c>
      <c r="CJ118" t="inlineStr">
        <is>
          <t>NER</t>
        </is>
      </c>
      <c r="CK118" t="inlineStr">
        <is>
          <t>NER</t>
        </is>
      </c>
      <c r="CL118" t="inlineStr">
        <is>
          <t>NER</t>
        </is>
      </c>
      <c r="CM118" t="inlineStr">
        <is>
          <t>NER</t>
        </is>
      </c>
      <c r="CN118" t="inlineStr">
        <is>
          <t>NER</t>
        </is>
      </c>
      <c r="CO118" t="inlineStr">
        <is>
          <t>TCD</t>
        </is>
      </c>
      <c r="CP118" t="inlineStr">
        <is>
          <t>TCD</t>
        </is>
      </c>
      <c r="CQ118" t="inlineStr">
        <is>
          <t>TCD</t>
        </is>
      </c>
      <c r="CR118" t="inlineStr">
        <is>
          <t>TCD</t>
        </is>
      </c>
      <c r="CS118" t="inlineStr">
        <is>
          <t>TCD</t>
        </is>
      </c>
      <c r="CT118" t="inlineStr">
        <is>
          <t>TCD</t>
        </is>
      </c>
      <c r="CU118" t="inlineStr">
        <is>
          <t>TCD</t>
        </is>
      </c>
      <c r="CV118" t="inlineStr">
        <is>
          <t>TCD</t>
        </is>
      </c>
      <c r="CW118" t="inlineStr">
        <is>
          <t>TCD</t>
        </is>
      </c>
      <c r="CX118" t="inlineStr">
        <is>
          <t>TCD</t>
        </is>
      </c>
      <c r="CY118" t="inlineStr">
        <is>
          <t>TCD</t>
        </is>
      </c>
      <c r="CZ118" t="inlineStr">
        <is>
          <t>TCD</t>
        </is>
      </c>
      <c r="DA118" t="inlineStr">
        <is>
          <t>TCD</t>
        </is>
      </c>
      <c r="DB118" t="inlineStr">
        <is>
          <t>TCD</t>
        </is>
      </c>
      <c r="DC118" t="inlineStr">
        <is>
          <t>TCD</t>
        </is>
      </c>
      <c r="DD118" t="inlineStr">
        <is>
          <t>TCD</t>
        </is>
      </c>
      <c r="DE118" t="inlineStr">
        <is>
          <t>TCD</t>
        </is>
      </c>
      <c r="DF118" t="inlineStr">
        <is>
          <t>SDN</t>
        </is>
      </c>
      <c r="DG118" t="inlineStr">
        <is>
          <t>SDN</t>
        </is>
      </c>
      <c r="DH118" t="inlineStr">
        <is>
          <t>SDN</t>
        </is>
      </c>
      <c r="DI118" t="inlineStr">
        <is>
          <t>SDN</t>
        </is>
      </c>
      <c r="DJ118" t="inlineStr">
        <is>
          <t>SDN</t>
        </is>
      </c>
      <c r="DK118" t="inlineStr">
        <is>
          <t>SDN</t>
        </is>
      </c>
      <c r="DL118" t="inlineStr">
        <is>
          <t>SDN</t>
        </is>
      </c>
      <c r="DM118" t="inlineStr">
        <is>
          <t>SDN</t>
        </is>
      </c>
      <c r="DN118" t="inlineStr">
        <is>
          <t>SDN</t>
        </is>
      </c>
      <c r="DO118" t="inlineStr">
        <is>
          <t>SDN</t>
        </is>
      </c>
      <c r="DP118" t="inlineStr">
        <is>
          <t>SDN</t>
        </is>
      </c>
      <c r="DQ118" t="inlineStr">
        <is>
          <t>SDN</t>
        </is>
      </c>
      <c r="DR118" t="inlineStr">
        <is>
          <t>SDN</t>
        </is>
      </c>
      <c r="DS118" t="inlineStr">
        <is>
          <t>SDN</t>
        </is>
      </c>
      <c r="DT118" t="inlineStr">
        <is>
          <t>SDN</t>
        </is>
      </c>
      <c r="DU118" t="inlineStr">
        <is>
          <t>SDN</t>
        </is>
      </c>
      <c r="DV118" t="inlineStr">
        <is>
          <t>SDN</t>
        </is>
      </c>
      <c r="DW118" t="inlineStr">
        <is>
          <t>SDN</t>
        </is>
      </c>
      <c r="DX118" t="inlineStr">
        <is>
          <t>SDN</t>
        </is>
      </c>
      <c r="DY118" t="inlineStr">
        <is>
          <t>SDN</t>
        </is>
      </c>
      <c r="DZ118" t="inlineStr">
        <is>
          <t>SDN</t>
        </is>
      </c>
      <c r="EA118" t="inlineStr">
        <is>
          <t>SDN</t>
        </is>
      </c>
      <c r="EB118" t="inlineStr">
        <is>
          <t>SDN</t>
        </is>
      </c>
      <c r="EC118" t="inlineStr">
        <is>
          <t>SDN</t>
        </is>
      </c>
      <c r="ED118" t="inlineStr">
        <is>
          <t>SDN</t>
        </is>
      </c>
      <c r="EE118" t="inlineStr">
        <is>
          <t>SDN</t>
        </is>
      </c>
      <c r="EF118" t="inlineStr">
        <is>
          <t>SDN</t>
        </is>
      </c>
      <c r="EG118" t="inlineStr">
        <is>
          <t>SDN</t>
        </is>
      </c>
      <c r="EO118" t="inlineStr">
        <is>
          <t>SAU</t>
        </is>
      </c>
      <c r="EP118" t="inlineStr">
        <is>
          <t>SAU</t>
        </is>
      </c>
      <c r="EQ118" t="inlineStr">
        <is>
          <t>SAU</t>
        </is>
      </c>
      <c r="ER118" t="inlineStr">
        <is>
          <t>SAU</t>
        </is>
      </c>
      <c r="ES118" t="inlineStr">
        <is>
          <t>SAU</t>
        </is>
      </c>
      <c r="ET118" t="inlineStr">
        <is>
          <t>SAU</t>
        </is>
      </c>
      <c r="EU118" t="inlineStr">
        <is>
          <t>SAU</t>
        </is>
      </c>
      <c r="EV118" t="inlineStr">
        <is>
          <t>SAU</t>
        </is>
      </c>
      <c r="EW118" t="inlineStr">
        <is>
          <t>SAU</t>
        </is>
      </c>
      <c r="EX118" t="inlineStr">
        <is>
          <t>SAU</t>
        </is>
      </c>
      <c r="EY118" t="inlineStr">
        <is>
          <t>SAU</t>
        </is>
      </c>
      <c r="EZ118" t="inlineStr">
        <is>
          <t>SAU</t>
        </is>
      </c>
      <c r="FA118" t="inlineStr">
        <is>
          <t>SAU</t>
        </is>
      </c>
      <c r="FB118" t="inlineStr">
        <is>
          <t>SAU</t>
        </is>
      </c>
      <c r="FC118" t="inlineStr">
        <is>
          <t>YEM</t>
        </is>
      </c>
      <c r="FD118" t="inlineStr">
        <is>
          <t>YEM</t>
        </is>
      </c>
      <c r="FE118" t="inlineStr">
        <is>
          <t>YEM</t>
        </is>
      </c>
      <c r="FF118" t="inlineStr">
        <is>
          <t>YEM</t>
        </is>
      </c>
      <c r="FG118" t="inlineStr">
        <is>
          <t>YEM</t>
        </is>
      </c>
      <c r="FH118" t="inlineStr">
        <is>
          <t>YEM</t>
        </is>
      </c>
      <c r="FI118" t="inlineStr">
        <is>
          <t>YEM</t>
        </is>
      </c>
      <c r="FJ118" t="inlineStr">
        <is>
          <t>YEM</t>
        </is>
      </c>
      <c r="FK118" t="inlineStr">
        <is>
          <t>OMN</t>
        </is>
      </c>
      <c r="FL118" t="inlineStr">
        <is>
          <t>OMN</t>
        </is>
      </c>
      <c r="FM118" t="inlineStr">
        <is>
          <t>OMN</t>
        </is>
      </c>
      <c r="FN118" t="inlineStr">
        <is>
          <t>OMN</t>
        </is>
      </c>
      <c r="FO118" t="inlineStr">
        <is>
          <t>OMN</t>
        </is>
      </c>
      <c r="FP118" t="inlineStr">
        <is>
          <t>OMN</t>
        </is>
      </c>
      <c r="FQ118" t="inlineStr">
        <is>
          <t>OMN</t>
        </is>
      </c>
      <c r="FR118" t="inlineStr">
        <is>
          <t>OMN</t>
        </is>
      </c>
      <c r="GZ118" t="inlineStr">
        <is>
          <t>IND</t>
        </is>
      </c>
      <c r="HA118" t="inlineStr">
        <is>
          <t>IND</t>
        </is>
      </c>
      <c r="HB118" t="inlineStr">
        <is>
          <t>IND</t>
        </is>
      </c>
      <c r="HC118" t="inlineStr">
        <is>
          <t>IND</t>
        </is>
      </c>
      <c r="HD118" t="inlineStr">
        <is>
          <t>IND</t>
        </is>
      </c>
      <c r="HE118" t="inlineStr">
        <is>
          <t>IND</t>
        </is>
      </c>
      <c r="HF118" t="inlineStr">
        <is>
          <t>IND</t>
        </is>
      </c>
      <c r="HG118" t="inlineStr">
        <is>
          <t>IND</t>
        </is>
      </c>
      <c r="HH118" t="inlineStr">
        <is>
          <t>IND</t>
        </is>
      </c>
      <c r="HI118" t="inlineStr">
        <is>
          <t>IND</t>
        </is>
      </c>
      <c r="HJ118" t="inlineStr">
        <is>
          <t>IND</t>
        </is>
      </c>
      <c r="HK118" t="inlineStr">
        <is>
          <t>IND</t>
        </is>
      </c>
      <c r="HL118" t="inlineStr">
        <is>
          <t>IND</t>
        </is>
      </c>
      <c r="HM118" t="inlineStr">
        <is>
          <t>IND</t>
        </is>
      </c>
      <c r="HN118" t="inlineStr">
        <is>
          <t>IND</t>
        </is>
      </c>
      <c r="HO118" t="inlineStr">
        <is>
          <t>IND</t>
        </is>
      </c>
      <c r="HP118" t="inlineStr">
        <is>
          <t>IND</t>
        </is>
      </c>
      <c r="HQ118" t="inlineStr">
        <is>
          <t>IND</t>
        </is>
      </c>
      <c r="HR118" t="inlineStr">
        <is>
          <t>IND</t>
        </is>
      </c>
      <c r="HS118" t="inlineStr">
        <is>
          <t>IND</t>
        </is>
      </c>
      <c r="HT118" t="inlineStr">
        <is>
          <t>IND</t>
        </is>
      </c>
      <c r="HU118" t="inlineStr">
        <is>
          <t>IND</t>
        </is>
      </c>
      <c r="IQ118" t="inlineStr">
        <is>
          <t>MMR</t>
        </is>
      </c>
      <c r="IR118" t="inlineStr">
        <is>
          <t>MMR</t>
        </is>
      </c>
      <c r="IS118" t="inlineStr">
        <is>
          <t>MMR</t>
        </is>
      </c>
      <c r="IT118" t="inlineStr">
        <is>
          <t>MMR</t>
        </is>
      </c>
      <c r="IU118" t="inlineStr">
        <is>
          <t>MMR</t>
        </is>
      </c>
      <c r="IV118" t="inlineStr">
        <is>
          <t>MMR</t>
        </is>
      </c>
      <c r="IW118" t="inlineStr">
        <is>
          <t>THA</t>
        </is>
      </c>
      <c r="IX118" t="inlineStr">
        <is>
          <t>THA</t>
        </is>
      </c>
      <c r="IY118" t="inlineStr">
        <is>
          <t>THA</t>
        </is>
      </c>
      <c r="IZ118" t="inlineStr">
        <is>
          <t>THA</t>
        </is>
      </c>
      <c r="JA118" t="inlineStr">
        <is>
          <t>THA</t>
        </is>
      </c>
      <c r="JB118" t="inlineStr">
        <is>
          <t>THA</t>
        </is>
      </c>
      <c r="JC118" t="inlineStr">
        <is>
          <t>THA</t>
        </is>
      </c>
      <c r="JD118" t="inlineStr">
        <is>
          <t>LAO</t>
        </is>
      </c>
      <c r="JE118" t="inlineStr">
        <is>
          <t>LAO</t>
        </is>
      </c>
      <c r="JF118" t="inlineStr">
        <is>
          <t>LAO</t>
        </is>
      </c>
      <c r="JG118" t="inlineStr">
        <is>
          <t>LAO</t>
        </is>
      </c>
      <c r="JH118" t="inlineStr">
        <is>
          <t>THA</t>
        </is>
      </c>
      <c r="JI118" t="inlineStr">
        <is>
          <t>THA</t>
        </is>
      </c>
      <c r="JJ118" t="inlineStr">
        <is>
          <t>LAO</t>
        </is>
      </c>
      <c r="JK118" t="inlineStr">
        <is>
          <t>LAO</t>
        </is>
      </c>
      <c r="JL118" t="inlineStr">
        <is>
          <t>LAO</t>
        </is>
      </c>
      <c r="JM118" t="inlineStr">
        <is>
          <t>VNM</t>
        </is>
      </c>
    </row>
    <row r="119">
      <c r="AD119" t="inlineStr">
        <is>
          <t>MRT</t>
        </is>
      </c>
      <c r="AE119" t="inlineStr">
        <is>
          <t>MRT</t>
        </is>
      </c>
      <c r="AF119" t="inlineStr">
        <is>
          <t>MRT</t>
        </is>
      </c>
      <c r="AG119" t="inlineStr">
        <is>
          <t>MRT</t>
        </is>
      </c>
      <c r="AH119" t="inlineStr">
        <is>
          <t>MRT</t>
        </is>
      </c>
      <c r="AI119" t="inlineStr">
        <is>
          <t>MRT</t>
        </is>
      </c>
      <c r="AJ119" t="inlineStr">
        <is>
          <t>MRT</t>
        </is>
      </c>
      <c r="AK119" t="inlineStr">
        <is>
          <t>MRT</t>
        </is>
      </c>
      <c r="AL119" t="inlineStr">
        <is>
          <t>MRT</t>
        </is>
      </c>
      <c r="AM119" t="inlineStr">
        <is>
          <t>MRT</t>
        </is>
      </c>
      <c r="AN119" t="inlineStr">
        <is>
          <t>MRT</t>
        </is>
      </c>
      <c r="AO119" t="inlineStr">
        <is>
          <t>MRT</t>
        </is>
      </c>
      <c r="AP119" t="inlineStr">
        <is>
          <t>MRT</t>
        </is>
      </c>
      <c r="AQ119" t="inlineStr">
        <is>
          <t>MRT</t>
        </is>
      </c>
      <c r="AR119" t="inlineStr">
        <is>
          <t>MRT</t>
        </is>
      </c>
      <c r="AS119" t="inlineStr">
        <is>
          <t>MRT</t>
        </is>
      </c>
      <c r="AT119" t="inlineStr">
        <is>
          <t>MRT</t>
        </is>
      </c>
      <c r="AU119" t="inlineStr">
        <is>
          <t>MRT</t>
        </is>
      </c>
      <c r="AV119" t="inlineStr">
        <is>
          <t>MRT</t>
        </is>
      </c>
      <c r="AW119" t="inlineStr">
        <is>
          <t>MRT</t>
        </is>
      </c>
      <c r="AX119" t="inlineStr">
        <is>
          <t>MLI</t>
        </is>
      </c>
      <c r="AY119" t="inlineStr">
        <is>
          <t>MLI</t>
        </is>
      </c>
      <c r="AZ119" t="inlineStr">
        <is>
          <t>MLI</t>
        </is>
      </c>
      <c r="BA119" t="inlineStr">
        <is>
          <t>MLI</t>
        </is>
      </c>
      <c r="BB119" t="inlineStr">
        <is>
          <t>MLI</t>
        </is>
      </c>
      <c r="BC119" t="inlineStr">
        <is>
          <t>MLI</t>
        </is>
      </c>
      <c r="BD119" t="inlineStr">
        <is>
          <t>MLI</t>
        </is>
      </c>
      <c r="BE119" t="inlineStr">
        <is>
          <t>MLI</t>
        </is>
      </c>
      <c r="BF119" t="inlineStr">
        <is>
          <t>MLI</t>
        </is>
      </c>
      <c r="BG119" t="inlineStr">
        <is>
          <t>MLI</t>
        </is>
      </c>
      <c r="BH119" t="inlineStr">
        <is>
          <t>MLI</t>
        </is>
      </c>
      <c r="BI119" t="inlineStr">
        <is>
          <t>MLI</t>
        </is>
      </c>
      <c r="BJ119" t="inlineStr">
        <is>
          <t>MLI</t>
        </is>
      </c>
      <c r="BK119" t="inlineStr">
        <is>
          <t>MLI</t>
        </is>
      </c>
      <c r="BL119" t="inlineStr">
        <is>
          <t>MLI</t>
        </is>
      </c>
      <c r="BM119" t="inlineStr">
        <is>
          <t>MLI</t>
        </is>
      </c>
      <c r="BN119" t="inlineStr">
        <is>
          <t>MLI</t>
        </is>
      </c>
      <c r="BO119" t="inlineStr">
        <is>
          <t>MLI</t>
        </is>
      </c>
      <c r="BP119" t="inlineStr">
        <is>
          <t>MLI</t>
        </is>
      </c>
      <c r="BQ119" t="inlineStr">
        <is>
          <t>MLI</t>
        </is>
      </c>
      <c r="BR119" t="inlineStr">
        <is>
          <t>MLI</t>
        </is>
      </c>
      <c r="BS119" t="inlineStr">
        <is>
          <t>NER</t>
        </is>
      </c>
      <c r="BT119" t="inlineStr">
        <is>
          <t>NER</t>
        </is>
      </c>
      <c r="BU119" t="inlineStr">
        <is>
          <t>NER</t>
        </is>
      </c>
      <c r="BV119" t="inlineStr">
        <is>
          <t>NER</t>
        </is>
      </c>
      <c r="BW119" t="inlineStr">
        <is>
          <t>NER</t>
        </is>
      </c>
      <c r="BX119" t="inlineStr">
        <is>
          <t>NER</t>
        </is>
      </c>
      <c r="BY119" t="inlineStr">
        <is>
          <t>NER</t>
        </is>
      </c>
      <c r="BZ119" t="inlineStr">
        <is>
          <t>NER</t>
        </is>
      </c>
      <c r="CA119" t="inlineStr">
        <is>
          <t>NER</t>
        </is>
      </c>
      <c r="CB119" t="inlineStr">
        <is>
          <t>NER</t>
        </is>
      </c>
      <c r="CC119" t="inlineStr">
        <is>
          <t>NER</t>
        </is>
      </c>
      <c r="CD119" t="inlineStr">
        <is>
          <t>NER</t>
        </is>
      </c>
      <c r="CE119" t="inlineStr">
        <is>
          <t>NER</t>
        </is>
      </c>
      <c r="CF119" t="inlineStr">
        <is>
          <t>NER</t>
        </is>
      </c>
      <c r="CG119" t="inlineStr">
        <is>
          <t>NER</t>
        </is>
      </c>
      <c r="CH119" t="inlineStr">
        <is>
          <t>NER</t>
        </is>
      </c>
      <c r="CI119" t="inlineStr">
        <is>
          <t>NER</t>
        </is>
      </c>
      <c r="CJ119" t="inlineStr">
        <is>
          <t>NER</t>
        </is>
      </c>
      <c r="CK119" t="inlineStr">
        <is>
          <t>NER</t>
        </is>
      </c>
      <c r="CL119" t="inlineStr">
        <is>
          <t>NER</t>
        </is>
      </c>
      <c r="CM119" t="inlineStr">
        <is>
          <t>NER</t>
        </is>
      </c>
      <c r="CN119" t="inlineStr">
        <is>
          <t>NER</t>
        </is>
      </c>
      <c r="CO119" t="inlineStr">
        <is>
          <t>TCD</t>
        </is>
      </c>
      <c r="CP119" t="inlineStr">
        <is>
          <t>TCD</t>
        </is>
      </c>
      <c r="CQ119" t="inlineStr">
        <is>
          <t>TCD</t>
        </is>
      </c>
      <c r="CR119" t="inlineStr">
        <is>
          <t>TCD</t>
        </is>
      </c>
      <c r="CS119" t="inlineStr">
        <is>
          <t>TCD</t>
        </is>
      </c>
      <c r="CT119" t="inlineStr">
        <is>
          <t>TCD</t>
        </is>
      </c>
      <c r="CU119" t="inlineStr">
        <is>
          <t>TCD</t>
        </is>
      </c>
      <c r="CV119" t="inlineStr">
        <is>
          <t>TCD</t>
        </is>
      </c>
      <c r="CW119" t="inlineStr">
        <is>
          <t>TCD</t>
        </is>
      </c>
      <c r="CX119" t="inlineStr">
        <is>
          <t>TCD</t>
        </is>
      </c>
      <c r="CY119" t="inlineStr">
        <is>
          <t>TCD</t>
        </is>
      </c>
      <c r="CZ119" t="inlineStr">
        <is>
          <t>TCD</t>
        </is>
      </c>
      <c r="DA119" t="inlineStr">
        <is>
          <t>TCD</t>
        </is>
      </c>
      <c r="DB119" t="inlineStr">
        <is>
          <t>TCD</t>
        </is>
      </c>
      <c r="DC119" t="inlineStr">
        <is>
          <t>TCD</t>
        </is>
      </c>
      <c r="DD119" t="inlineStr">
        <is>
          <t>TCD</t>
        </is>
      </c>
      <c r="DE119" t="inlineStr">
        <is>
          <t>TCD</t>
        </is>
      </c>
      <c r="DF119" t="inlineStr">
        <is>
          <t>SDN</t>
        </is>
      </c>
      <c r="DG119" t="inlineStr">
        <is>
          <t>SDN</t>
        </is>
      </c>
      <c r="DH119" t="inlineStr">
        <is>
          <t>SDN</t>
        </is>
      </c>
      <c r="DI119" t="inlineStr">
        <is>
          <t>SDN</t>
        </is>
      </c>
      <c r="DJ119" t="inlineStr">
        <is>
          <t>SDN</t>
        </is>
      </c>
      <c r="DK119" t="inlineStr">
        <is>
          <t>SDN</t>
        </is>
      </c>
      <c r="DL119" t="inlineStr">
        <is>
          <t>SDN</t>
        </is>
      </c>
      <c r="DM119" t="inlineStr">
        <is>
          <t>SDN</t>
        </is>
      </c>
      <c r="DN119" t="inlineStr">
        <is>
          <t>SDN</t>
        </is>
      </c>
      <c r="DO119" t="inlineStr">
        <is>
          <t>SDN</t>
        </is>
      </c>
      <c r="DP119" t="inlineStr">
        <is>
          <t>SDN</t>
        </is>
      </c>
      <c r="DQ119" t="inlineStr">
        <is>
          <t>SDN</t>
        </is>
      </c>
      <c r="DR119" t="inlineStr">
        <is>
          <t>SDN</t>
        </is>
      </c>
      <c r="DS119" t="inlineStr">
        <is>
          <t>SDN</t>
        </is>
      </c>
      <c r="DT119" t="inlineStr">
        <is>
          <t>SDN</t>
        </is>
      </c>
      <c r="DU119" t="inlineStr">
        <is>
          <t>SDN</t>
        </is>
      </c>
      <c r="DV119" t="inlineStr">
        <is>
          <t>SDN</t>
        </is>
      </c>
      <c r="DW119" t="inlineStr">
        <is>
          <t>SDN</t>
        </is>
      </c>
      <c r="DX119" t="inlineStr">
        <is>
          <t>SDN</t>
        </is>
      </c>
      <c r="DY119" t="inlineStr">
        <is>
          <t>SDN</t>
        </is>
      </c>
      <c r="DZ119" t="inlineStr">
        <is>
          <t>SDN</t>
        </is>
      </c>
      <c r="EA119" t="inlineStr">
        <is>
          <t>SDN</t>
        </is>
      </c>
      <c r="EB119" t="inlineStr">
        <is>
          <t>SDN</t>
        </is>
      </c>
      <c r="EC119" t="inlineStr">
        <is>
          <t>SDN</t>
        </is>
      </c>
      <c r="ED119" t="inlineStr">
        <is>
          <t>SDN</t>
        </is>
      </c>
      <c r="EE119" t="inlineStr">
        <is>
          <t>SDN</t>
        </is>
      </c>
      <c r="EF119" t="inlineStr">
        <is>
          <t>SDN</t>
        </is>
      </c>
      <c r="EN119" t="inlineStr">
        <is>
          <t>SAU</t>
        </is>
      </c>
      <c r="EO119" t="inlineStr">
        <is>
          <t>SAU</t>
        </is>
      </c>
      <c r="EP119" t="inlineStr">
        <is>
          <t>SAU</t>
        </is>
      </c>
      <c r="EQ119" t="inlineStr">
        <is>
          <t>SAU</t>
        </is>
      </c>
      <c r="ER119" t="inlineStr">
        <is>
          <t>SAU</t>
        </is>
      </c>
      <c r="ES119" t="inlineStr">
        <is>
          <t>SAU</t>
        </is>
      </c>
      <c r="ET119" t="inlineStr">
        <is>
          <t>SAU</t>
        </is>
      </c>
      <c r="EU119" t="inlineStr">
        <is>
          <t>SAU</t>
        </is>
      </c>
      <c r="EV119" t="inlineStr">
        <is>
          <t>SAU</t>
        </is>
      </c>
      <c r="EW119" t="inlineStr">
        <is>
          <t>SAU</t>
        </is>
      </c>
      <c r="EX119" t="inlineStr">
        <is>
          <t>SAU</t>
        </is>
      </c>
      <c r="EY119" t="inlineStr">
        <is>
          <t>SAU</t>
        </is>
      </c>
      <c r="EZ119" t="inlineStr">
        <is>
          <t>SAU</t>
        </is>
      </c>
      <c r="FA119" t="inlineStr">
        <is>
          <t>SAU</t>
        </is>
      </c>
      <c r="FB119" t="inlineStr">
        <is>
          <t>SAU</t>
        </is>
      </c>
      <c r="FC119" t="inlineStr">
        <is>
          <t>SAU</t>
        </is>
      </c>
      <c r="FD119" t="inlineStr">
        <is>
          <t>SAU</t>
        </is>
      </c>
      <c r="FE119" t="inlineStr">
        <is>
          <t>SAU</t>
        </is>
      </c>
      <c r="FF119" t="inlineStr">
        <is>
          <t>YEM</t>
        </is>
      </c>
      <c r="FG119" t="inlineStr">
        <is>
          <t>YEM</t>
        </is>
      </c>
      <c r="FH119" t="inlineStr">
        <is>
          <t>YEM</t>
        </is>
      </c>
      <c r="FI119" t="inlineStr">
        <is>
          <t>YEM</t>
        </is>
      </c>
      <c r="FJ119" t="inlineStr">
        <is>
          <t>OMN</t>
        </is>
      </c>
      <c r="FK119" t="inlineStr">
        <is>
          <t>OMN</t>
        </is>
      </c>
      <c r="FL119" t="inlineStr">
        <is>
          <t>OMN</t>
        </is>
      </c>
      <c r="FM119" t="inlineStr">
        <is>
          <t>OMN</t>
        </is>
      </c>
      <c r="FN119" t="inlineStr">
        <is>
          <t>OMN</t>
        </is>
      </c>
      <c r="FO119" t="inlineStr">
        <is>
          <t>OMN</t>
        </is>
      </c>
      <c r="FP119" t="inlineStr">
        <is>
          <t>OMN</t>
        </is>
      </c>
      <c r="FQ119" t="inlineStr">
        <is>
          <t>OMN</t>
        </is>
      </c>
      <c r="FR119" t="inlineStr">
        <is>
          <t>OMN</t>
        </is>
      </c>
      <c r="FS119" t="inlineStr">
        <is>
          <t>OMN</t>
        </is>
      </c>
      <c r="GZ119" t="inlineStr">
        <is>
          <t>IND</t>
        </is>
      </c>
      <c r="HA119" t="inlineStr">
        <is>
          <t>IND</t>
        </is>
      </c>
      <c r="HB119" t="inlineStr">
        <is>
          <t>IND</t>
        </is>
      </c>
      <c r="HC119" t="inlineStr">
        <is>
          <t>IND</t>
        </is>
      </c>
      <c r="HD119" t="inlineStr">
        <is>
          <t>IND</t>
        </is>
      </c>
      <c r="HE119" t="inlineStr">
        <is>
          <t>IND</t>
        </is>
      </c>
      <c r="HF119" t="inlineStr">
        <is>
          <t>IND</t>
        </is>
      </c>
      <c r="HG119" t="inlineStr">
        <is>
          <t>IND</t>
        </is>
      </c>
      <c r="HH119" t="inlineStr">
        <is>
          <t>IND</t>
        </is>
      </c>
      <c r="HI119" t="inlineStr">
        <is>
          <t>IND</t>
        </is>
      </c>
      <c r="HJ119" t="inlineStr">
        <is>
          <t>IND</t>
        </is>
      </c>
      <c r="HK119" t="inlineStr">
        <is>
          <t>IND</t>
        </is>
      </c>
      <c r="HL119" t="inlineStr">
        <is>
          <t>IND</t>
        </is>
      </c>
      <c r="HM119" t="inlineStr">
        <is>
          <t>IND</t>
        </is>
      </c>
      <c r="HN119" t="inlineStr">
        <is>
          <t>IND</t>
        </is>
      </c>
      <c r="HO119" t="inlineStr">
        <is>
          <t>IND</t>
        </is>
      </c>
      <c r="HP119" t="inlineStr">
        <is>
          <t>IND</t>
        </is>
      </c>
      <c r="HQ119" t="inlineStr">
        <is>
          <t>IND</t>
        </is>
      </c>
      <c r="HR119" t="inlineStr">
        <is>
          <t>IND</t>
        </is>
      </c>
      <c r="HS119" t="inlineStr">
        <is>
          <t>IND</t>
        </is>
      </c>
      <c r="HT119" t="inlineStr">
        <is>
          <t>IND</t>
        </is>
      </c>
      <c r="HU119" t="inlineStr">
        <is>
          <t>IND</t>
        </is>
      </c>
      <c r="HV119" t="inlineStr">
        <is>
          <t>IND</t>
        </is>
      </c>
      <c r="IP119" t="inlineStr">
        <is>
          <t>MMR</t>
        </is>
      </c>
      <c r="IQ119" t="inlineStr">
        <is>
          <t>MMR</t>
        </is>
      </c>
      <c r="IR119" t="inlineStr">
        <is>
          <t>MMR</t>
        </is>
      </c>
      <c r="IS119" t="inlineStr">
        <is>
          <t>MMR</t>
        </is>
      </c>
      <c r="IT119" t="inlineStr">
        <is>
          <t>MMR</t>
        </is>
      </c>
      <c r="IU119" t="inlineStr">
        <is>
          <t>MMR</t>
        </is>
      </c>
      <c r="IV119" t="inlineStr">
        <is>
          <t>MMR</t>
        </is>
      </c>
      <c r="IW119" t="inlineStr">
        <is>
          <t>MMR</t>
        </is>
      </c>
      <c r="IX119" t="inlineStr">
        <is>
          <t>THA</t>
        </is>
      </c>
      <c r="IY119" t="inlineStr">
        <is>
          <t>THA</t>
        </is>
      </c>
      <c r="IZ119" t="inlineStr">
        <is>
          <t>THA</t>
        </is>
      </c>
      <c r="JA119" t="inlineStr">
        <is>
          <t>THA</t>
        </is>
      </c>
      <c r="JB119" t="inlineStr">
        <is>
          <t>THA</t>
        </is>
      </c>
      <c r="JC119" t="inlineStr">
        <is>
          <t>THA</t>
        </is>
      </c>
      <c r="JD119" t="inlineStr">
        <is>
          <t>LAO</t>
        </is>
      </c>
      <c r="JE119" t="inlineStr">
        <is>
          <t>LAO</t>
        </is>
      </c>
      <c r="JF119" t="inlineStr">
        <is>
          <t>LAO</t>
        </is>
      </c>
      <c r="JG119" t="inlineStr">
        <is>
          <t>LAO</t>
        </is>
      </c>
      <c r="JH119" t="inlineStr">
        <is>
          <t>LAO</t>
        </is>
      </c>
      <c r="JI119" t="inlineStr">
        <is>
          <t>LAO</t>
        </is>
      </c>
      <c r="JJ119" t="inlineStr">
        <is>
          <t>LAO</t>
        </is>
      </c>
      <c r="JK119" t="inlineStr">
        <is>
          <t>LAO</t>
        </is>
      </c>
      <c r="JL119" t="inlineStr">
        <is>
          <t>VNM</t>
        </is>
      </c>
      <c r="JM119" t="inlineStr">
        <is>
          <t>VNM</t>
        </is>
      </c>
      <c r="JS119" t="inlineStr">
        <is>
          <t>CHN</t>
        </is>
      </c>
      <c r="JT119" t="inlineStr">
        <is>
          <t>CHN</t>
        </is>
      </c>
      <c r="JU119" t="inlineStr">
        <is>
          <t>CHN</t>
        </is>
      </c>
    </row>
    <row r="120">
      <c r="AC120" t="inlineStr">
        <is>
          <t>MRT</t>
        </is>
      </c>
      <c r="AD120" t="inlineStr">
        <is>
          <t>MRT</t>
        </is>
      </c>
      <c r="AE120" t="inlineStr">
        <is>
          <t>MRT</t>
        </is>
      </c>
      <c r="AF120" t="inlineStr">
        <is>
          <t>MRT</t>
        </is>
      </c>
      <c r="AG120" t="inlineStr">
        <is>
          <t>MRT</t>
        </is>
      </c>
      <c r="AH120" t="inlineStr">
        <is>
          <t>MRT</t>
        </is>
      </c>
      <c r="AI120" t="inlineStr">
        <is>
          <t>MRT</t>
        </is>
      </c>
      <c r="AJ120" t="inlineStr">
        <is>
          <t>MRT</t>
        </is>
      </c>
      <c r="AK120" t="inlineStr">
        <is>
          <t>MRT</t>
        </is>
      </c>
      <c r="AL120" t="inlineStr">
        <is>
          <t>MRT</t>
        </is>
      </c>
      <c r="AM120" t="inlineStr">
        <is>
          <t>MRT</t>
        </is>
      </c>
      <c r="AN120" t="inlineStr">
        <is>
          <t>MRT</t>
        </is>
      </c>
      <c r="AO120" t="inlineStr">
        <is>
          <t>MRT</t>
        </is>
      </c>
      <c r="AP120" t="inlineStr">
        <is>
          <t>MRT</t>
        </is>
      </c>
      <c r="AQ120" t="inlineStr">
        <is>
          <t>MRT</t>
        </is>
      </c>
      <c r="AR120" t="inlineStr">
        <is>
          <t>MRT</t>
        </is>
      </c>
      <c r="AS120" t="inlineStr">
        <is>
          <t>MRT</t>
        </is>
      </c>
      <c r="AT120" t="inlineStr">
        <is>
          <t>MRT</t>
        </is>
      </c>
      <c r="AU120" t="inlineStr">
        <is>
          <t>MRT</t>
        </is>
      </c>
      <c r="AV120" t="inlineStr">
        <is>
          <t>MRT</t>
        </is>
      </c>
      <c r="AW120" t="inlineStr">
        <is>
          <t>MRT</t>
        </is>
      </c>
      <c r="AX120" t="inlineStr">
        <is>
          <t>MLI</t>
        </is>
      </c>
      <c r="AY120" t="inlineStr">
        <is>
          <t>MLI</t>
        </is>
      </c>
      <c r="AZ120" t="inlineStr">
        <is>
          <t>MLI</t>
        </is>
      </c>
      <c r="BA120" t="inlineStr">
        <is>
          <t>MLI</t>
        </is>
      </c>
      <c r="BB120" t="inlineStr">
        <is>
          <t>MLI</t>
        </is>
      </c>
      <c r="BC120" t="inlineStr">
        <is>
          <t>MLI</t>
        </is>
      </c>
      <c r="BD120" t="inlineStr">
        <is>
          <t>MLI</t>
        </is>
      </c>
      <c r="BE120" t="inlineStr">
        <is>
          <t>MLI</t>
        </is>
      </c>
      <c r="BF120" t="inlineStr">
        <is>
          <t>MLI</t>
        </is>
      </c>
      <c r="BG120" t="inlineStr">
        <is>
          <t>MLI</t>
        </is>
      </c>
      <c r="BH120" t="inlineStr">
        <is>
          <t>MLI</t>
        </is>
      </c>
      <c r="BI120" t="inlineStr">
        <is>
          <t>MLI</t>
        </is>
      </c>
      <c r="BJ120" t="inlineStr">
        <is>
          <t>MLI</t>
        </is>
      </c>
      <c r="BK120" t="inlineStr">
        <is>
          <t>MLI</t>
        </is>
      </c>
      <c r="BL120" t="inlineStr">
        <is>
          <t>MLI</t>
        </is>
      </c>
      <c r="BM120" t="inlineStr">
        <is>
          <t>MLI</t>
        </is>
      </c>
      <c r="BN120" t="inlineStr">
        <is>
          <t>MLI</t>
        </is>
      </c>
      <c r="BO120" t="inlineStr">
        <is>
          <t>MLI</t>
        </is>
      </c>
      <c r="BP120" t="inlineStr">
        <is>
          <t>DZA</t>
        </is>
      </c>
      <c r="BQ120" t="inlineStr">
        <is>
          <t>DZA</t>
        </is>
      </c>
      <c r="BR120" t="inlineStr">
        <is>
          <t>DZA</t>
        </is>
      </c>
      <c r="BS120" t="inlineStr">
        <is>
          <t>NER</t>
        </is>
      </c>
      <c r="BT120" t="inlineStr">
        <is>
          <t>NER</t>
        </is>
      </c>
      <c r="BU120" t="inlineStr">
        <is>
          <t>NER</t>
        </is>
      </c>
      <c r="BV120" t="inlineStr">
        <is>
          <t>NER</t>
        </is>
      </c>
      <c r="BW120" t="inlineStr">
        <is>
          <t>NER</t>
        </is>
      </c>
      <c r="BX120" t="inlineStr">
        <is>
          <t>NER</t>
        </is>
      </c>
      <c r="BY120" t="inlineStr">
        <is>
          <t>NER</t>
        </is>
      </c>
      <c r="BZ120" t="inlineStr">
        <is>
          <t>NER</t>
        </is>
      </c>
      <c r="CA120" t="inlineStr">
        <is>
          <t>NER</t>
        </is>
      </c>
      <c r="CB120" t="inlineStr">
        <is>
          <t>NER</t>
        </is>
      </c>
      <c r="CC120" t="inlineStr">
        <is>
          <t>NER</t>
        </is>
      </c>
      <c r="CD120" t="inlineStr">
        <is>
          <t>NER</t>
        </is>
      </c>
      <c r="CE120" t="inlineStr">
        <is>
          <t>NER</t>
        </is>
      </c>
      <c r="CF120" t="inlineStr">
        <is>
          <t>NER</t>
        </is>
      </c>
      <c r="CG120" t="inlineStr">
        <is>
          <t>NER</t>
        </is>
      </c>
      <c r="CH120" t="inlineStr">
        <is>
          <t>NER</t>
        </is>
      </c>
      <c r="CI120" t="inlineStr">
        <is>
          <t>NER</t>
        </is>
      </c>
      <c r="CJ120" t="inlineStr">
        <is>
          <t>NER</t>
        </is>
      </c>
      <c r="CK120" t="inlineStr">
        <is>
          <t>NER</t>
        </is>
      </c>
      <c r="CL120" t="inlineStr">
        <is>
          <t>NER</t>
        </is>
      </c>
      <c r="CM120" t="inlineStr">
        <is>
          <t>NER</t>
        </is>
      </c>
      <c r="CN120" t="inlineStr">
        <is>
          <t>NER</t>
        </is>
      </c>
      <c r="CO120" t="inlineStr">
        <is>
          <t>TCD</t>
        </is>
      </c>
      <c r="CP120" t="inlineStr">
        <is>
          <t>TCD</t>
        </is>
      </c>
      <c r="CQ120" t="inlineStr">
        <is>
          <t>TCD</t>
        </is>
      </c>
      <c r="CR120" t="inlineStr">
        <is>
          <t>TCD</t>
        </is>
      </c>
      <c r="CS120" t="inlineStr">
        <is>
          <t>TCD</t>
        </is>
      </c>
      <c r="CT120" t="inlineStr">
        <is>
          <t>TCD</t>
        </is>
      </c>
      <c r="CU120" t="inlineStr">
        <is>
          <t>TCD</t>
        </is>
      </c>
      <c r="CV120" t="inlineStr">
        <is>
          <t>TCD</t>
        </is>
      </c>
      <c r="CW120" t="inlineStr">
        <is>
          <t>TCD</t>
        </is>
      </c>
      <c r="CX120" t="inlineStr">
        <is>
          <t>TCD</t>
        </is>
      </c>
      <c r="CY120" t="inlineStr">
        <is>
          <t>TCD</t>
        </is>
      </c>
      <c r="CZ120" t="inlineStr">
        <is>
          <t>TCD</t>
        </is>
      </c>
      <c r="DA120" t="inlineStr">
        <is>
          <t>TCD</t>
        </is>
      </c>
      <c r="DB120" t="inlineStr">
        <is>
          <t>TCD</t>
        </is>
      </c>
      <c r="DC120" t="inlineStr">
        <is>
          <t>TCD</t>
        </is>
      </c>
      <c r="DD120" t="inlineStr">
        <is>
          <t>TCD</t>
        </is>
      </c>
      <c r="DE120" t="inlineStr">
        <is>
          <t>TCD</t>
        </is>
      </c>
      <c r="DF120" t="inlineStr">
        <is>
          <t>SDN</t>
        </is>
      </c>
      <c r="DG120" t="inlineStr">
        <is>
          <t>SDN</t>
        </is>
      </c>
      <c r="DH120" t="inlineStr">
        <is>
          <t>SDN</t>
        </is>
      </c>
      <c r="DI120" t="inlineStr">
        <is>
          <t>SDN</t>
        </is>
      </c>
      <c r="DJ120" t="inlineStr">
        <is>
          <t>SDN</t>
        </is>
      </c>
      <c r="DK120" t="inlineStr">
        <is>
          <t>SDN</t>
        </is>
      </c>
      <c r="DL120" t="inlineStr">
        <is>
          <t>SDN</t>
        </is>
      </c>
      <c r="DM120" t="inlineStr">
        <is>
          <t>SDN</t>
        </is>
      </c>
      <c r="DN120" t="inlineStr">
        <is>
          <t>SDN</t>
        </is>
      </c>
      <c r="DO120" t="inlineStr">
        <is>
          <t>SDN</t>
        </is>
      </c>
      <c r="DP120" t="inlineStr">
        <is>
          <t>SDN</t>
        </is>
      </c>
      <c r="DQ120" t="inlineStr">
        <is>
          <t>SDN</t>
        </is>
      </c>
      <c r="DR120" t="inlineStr">
        <is>
          <t>SDN</t>
        </is>
      </c>
      <c r="DS120" t="inlineStr">
        <is>
          <t>SDN</t>
        </is>
      </c>
      <c r="DT120" t="inlineStr">
        <is>
          <t>SDN</t>
        </is>
      </c>
      <c r="DU120" t="inlineStr">
        <is>
          <t>SDN</t>
        </is>
      </c>
      <c r="DV120" t="inlineStr">
        <is>
          <t>SDN</t>
        </is>
      </c>
      <c r="DW120" t="inlineStr">
        <is>
          <t>SDN</t>
        </is>
      </c>
      <c r="DX120" t="inlineStr">
        <is>
          <t>SDN</t>
        </is>
      </c>
      <c r="DY120" t="inlineStr">
        <is>
          <t>SDN</t>
        </is>
      </c>
      <c r="DZ120" t="inlineStr">
        <is>
          <t>SDN</t>
        </is>
      </c>
      <c r="EA120" t="inlineStr">
        <is>
          <t>SDN</t>
        </is>
      </c>
      <c r="EB120" t="inlineStr">
        <is>
          <t>SDN</t>
        </is>
      </c>
      <c r="EC120" t="inlineStr">
        <is>
          <t>SDN</t>
        </is>
      </c>
      <c r="ED120" t="inlineStr">
        <is>
          <t>SDN</t>
        </is>
      </c>
      <c r="EE120" t="inlineStr">
        <is>
          <t>SDN</t>
        </is>
      </c>
      <c r="EF120" t="inlineStr">
        <is>
          <t>SDN</t>
        </is>
      </c>
      <c r="EN120" t="inlineStr">
        <is>
          <t>SAU</t>
        </is>
      </c>
      <c r="EO120" t="inlineStr">
        <is>
          <t>SAU</t>
        </is>
      </c>
      <c r="EP120" t="inlineStr">
        <is>
          <t>SAU</t>
        </is>
      </c>
      <c r="EQ120" t="inlineStr">
        <is>
          <t>SAU</t>
        </is>
      </c>
      <c r="ER120" t="inlineStr">
        <is>
          <t>SAU</t>
        </is>
      </c>
      <c r="ES120" t="inlineStr">
        <is>
          <t>SAU</t>
        </is>
      </c>
      <c r="ET120" t="inlineStr">
        <is>
          <t>SAU</t>
        </is>
      </c>
      <c r="EU120" t="inlineStr">
        <is>
          <t>SAU</t>
        </is>
      </c>
      <c r="EV120" t="inlineStr">
        <is>
          <t>SAU</t>
        </is>
      </c>
      <c r="EW120" t="inlineStr">
        <is>
          <t>SAU</t>
        </is>
      </c>
      <c r="EX120" t="inlineStr">
        <is>
          <t>SAU</t>
        </is>
      </c>
      <c r="EY120" t="inlineStr">
        <is>
          <t>SAU</t>
        </is>
      </c>
      <c r="EZ120" t="inlineStr">
        <is>
          <t>SAU</t>
        </is>
      </c>
      <c r="FA120" t="inlineStr">
        <is>
          <t>SAU</t>
        </is>
      </c>
      <c r="FB120" t="inlineStr">
        <is>
          <t>SAU</t>
        </is>
      </c>
      <c r="FC120" t="inlineStr">
        <is>
          <t>SAU</t>
        </is>
      </c>
      <c r="FD120" t="inlineStr">
        <is>
          <t>SAU</t>
        </is>
      </c>
      <c r="FE120" t="inlineStr">
        <is>
          <t>SAU</t>
        </is>
      </c>
      <c r="FF120" t="inlineStr">
        <is>
          <t>SAU</t>
        </is>
      </c>
      <c r="FG120" t="inlineStr">
        <is>
          <t>SAU</t>
        </is>
      </c>
      <c r="FH120" t="inlineStr">
        <is>
          <t>SAU</t>
        </is>
      </c>
      <c r="FI120" t="inlineStr">
        <is>
          <t>SAU</t>
        </is>
      </c>
      <c r="FJ120" t="inlineStr">
        <is>
          <t>SAU</t>
        </is>
      </c>
      <c r="FK120" t="inlineStr">
        <is>
          <t>OMN</t>
        </is>
      </c>
      <c r="FL120" t="inlineStr">
        <is>
          <t>OMN</t>
        </is>
      </c>
      <c r="FM120" t="inlineStr">
        <is>
          <t>OMN</t>
        </is>
      </c>
      <c r="FN120" t="inlineStr">
        <is>
          <t>OMN</t>
        </is>
      </c>
      <c r="FO120" t="inlineStr">
        <is>
          <t>OMN</t>
        </is>
      </c>
      <c r="FP120" t="inlineStr">
        <is>
          <t>OMN</t>
        </is>
      </c>
      <c r="FQ120" t="inlineStr">
        <is>
          <t>OMN</t>
        </is>
      </c>
      <c r="FR120" t="inlineStr">
        <is>
          <t>OMN</t>
        </is>
      </c>
      <c r="FS120" t="inlineStr">
        <is>
          <t>OMN</t>
        </is>
      </c>
      <c r="FT120" t="inlineStr">
        <is>
          <t>OMN</t>
        </is>
      </c>
      <c r="FU120" t="inlineStr">
        <is>
          <t>OMN</t>
        </is>
      </c>
      <c r="GZ120" t="inlineStr">
        <is>
          <t>IND</t>
        </is>
      </c>
      <c r="HA120" t="inlineStr">
        <is>
          <t>IND</t>
        </is>
      </c>
      <c r="HB120" t="inlineStr">
        <is>
          <t>IND</t>
        </is>
      </c>
      <c r="HC120" t="inlineStr">
        <is>
          <t>IND</t>
        </is>
      </c>
      <c r="HD120" t="inlineStr">
        <is>
          <t>IND</t>
        </is>
      </c>
      <c r="HE120" t="inlineStr">
        <is>
          <t>IND</t>
        </is>
      </c>
      <c r="HF120" t="inlineStr">
        <is>
          <t>IND</t>
        </is>
      </c>
      <c r="HG120" t="inlineStr">
        <is>
          <t>IND</t>
        </is>
      </c>
      <c r="HH120" t="inlineStr">
        <is>
          <t>IND</t>
        </is>
      </c>
      <c r="HI120" t="inlineStr">
        <is>
          <t>IND</t>
        </is>
      </c>
      <c r="HJ120" t="inlineStr">
        <is>
          <t>IND</t>
        </is>
      </c>
      <c r="HK120" t="inlineStr">
        <is>
          <t>IND</t>
        </is>
      </c>
      <c r="HL120" t="inlineStr">
        <is>
          <t>IND</t>
        </is>
      </c>
      <c r="HM120" t="inlineStr">
        <is>
          <t>IND</t>
        </is>
      </c>
      <c r="HN120" t="inlineStr">
        <is>
          <t>IND</t>
        </is>
      </c>
      <c r="HO120" t="inlineStr">
        <is>
          <t>IND</t>
        </is>
      </c>
      <c r="HP120" t="inlineStr">
        <is>
          <t>IND</t>
        </is>
      </c>
      <c r="HQ120" t="inlineStr">
        <is>
          <t>IND</t>
        </is>
      </c>
      <c r="HR120" t="inlineStr">
        <is>
          <t>IND</t>
        </is>
      </c>
      <c r="HS120" t="inlineStr">
        <is>
          <t>IND</t>
        </is>
      </c>
      <c r="HT120" t="inlineStr">
        <is>
          <t>IND</t>
        </is>
      </c>
      <c r="HU120" t="inlineStr">
        <is>
          <t>IND</t>
        </is>
      </c>
      <c r="HV120" t="inlineStr">
        <is>
          <t>IND</t>
        </is>
      </c>
      <c r="HW120" t="inlineStr">
        <is>
          <t>IND</t>
        </is>
      </c>
      <c r="IO120" t="inlineStr">
        <is>
          <t>MMR</t>
        </is>
      </c>
      <c r="IP120" t="inlineStr">
        <is>
          <t>MMR</t>
        </is>
      </c>
      <c r="IQ120" t="inlineStr">
        <is>
          <t>MMR</t>
        </is>
      </c>
      <c r="IR120" t="inlineStr">
        <is>
          <t>MMR</t>
        </is>
      </c>
      <c r="IS120" t="inlineStr">
        <is>
          <t>MMR</t>
        </is>
      </c>
      <c r="IT120" t="inlineStr">
        <is>
          <t>MMR</t>
        </is>
      </c>
      <c r="IU120" t="inlineStr">
        <is>
          <t>MMR</t>
        </is>
      </c>
      <c r="IV120" t="inlineStr">
        <is>
          <t>MMR</t>
        </is>
      </c>
      <c r="IW120" t="inlineStr">
        <is>
          <t>MMR</t>
        </is>
      </c>
      <c r="IX120" t="inlineStr">
        <is>
          <t>THA</t>
        </is>
      </c>
      <c r="IY120" t="inlineStr">
        <is>
          <t>THA</t>
        </is>
      </c>
      <c r="IZ120" t="inlineStr">
        <is>
          <t>THA</t>
        </is>
      </c>
      <c r="JA120" t="inlineStr">
        <is>
          <t>THA</t>
        </is>
      </c>
      <c r="JB120" t="inlineStr">
        <is>
          <t>THA</t>
        </is>
      </c>
      <c r="JC120" t="inlineStr">
        <is>
          <t>THA</t>
        </is>
      </c>
      <c r="JD120" t="inlineStr">
        <is>
          <t>LAO</t>
        </is>
      </c>
      <c r="JE120" t="inlineStr">
        <is>
          <t>LAO</t>
        </is>
      </c>
      <c r="JF120" t="inlineStr">
        <is>
          <t>LAO</t>
        </is>
      </c>
      <c r="JG120" t="inlineStr">
        <is>
          <t>LAO</t>
        </is>
      </c>
      <c r="JH120" t="inlineStr">
        <is>
          <t>LAO</t>
        </is>
      </c>
      <c r="JI120" t="inlineStr">
        <is>
          <t>LAO</t>
        </is>
      </c>
      <c r="JJ120" t="inlineStr">
        <is>
          <t>VNM</t>
        </is>
      </c>
      <c r="JK120" t="inlineStr">
        <is>
          <t>VNM</t>
        </is>
      </c>
      <c r="JL120" t="inlineStr">
        <is>
          <t>VNM</t>
        </is>
      </c>
      <c r="JS120" t="inlineStr">
        <is>
          <t>CHN</t>
        </is>
      </c>
      <c r="JT120" t="inlineStr">
        <is>
          <t>CHN</t>
        </is>
      </c>
      <c r="JU120" t="inlineStr">
        <is>
          <t>CHN</t>
        </is>
      </c>
    </row>
    <row r="121">
      <c r="AC121" t="inlineStr">
        <is>
          <t>MRT</t>
        </is>
      </c>
      <c r="AD121" t="inlineStr">
        <is>
          <t>MRT</t>
        </is>
      </c>
      <c r="AE121" t="inlineStr">
        <is>
          <t>MRT</t>
        </is>
      </c>
      <c r="AF121" t="inlineStr">
        <is>
          <t>MRT</t>
        </is>
      </c>
      <c r="AG121" t="inlineStr">
        <is>
          <t>MRT</t>
        </is>
      </c>
      <c r="AH121" t="inlineStr">
        <is>
          <t>MRT</t>
        </is>
      </c>
      <c r="AI121" t="inlineStr">
        <is>
          <t>MRT</t>
        </is>
      </c>
      <c r="AJ121" t="inlineStr">
        <is>
          <t>MRT</t>
        </is>
      </c>
      <c r="AK121" t="inlineStr">
        <is>
          <t>MRT</t>
        </is>
      </c>
      <c r="AL121" t="inlineStr">
        <is>
          <t>MRT</t>
        </is>
      </c>
      <c r="AM121" t="inlineStr">
        <is>
          <t>MRT</t>
        </is>
      </c>
      <c r="AN121" t="inlineStr">
        <is>
          <t>MRT</t>
        </is>
      </c>
      <c r="AO121" t="inlineStr">
        <is>
          <t>MRT</t>
        </is>
      </c>
      <c r="AP121" t="inlineStr">
        <is>
          <t>MRT</t>
        </is>
      </c>
      <c r="AQ121" t="inlineStr">
        <is>
          <t>MRT</t>
        </is>
      </c>
      <c r="AR121" t="inlineStr">
        <is>
          <t>MRT</t>
        </is>
      </c>
      <c r="AS121" t="inlineStr">
        <is>
          <t>MRT</t>
        </is>
      </c>
      <c r="AT121" t="inlineStr">
        <is>
          <t>MRT</t>
        </is>
      </c>
      <c r="AU121" t="inlineStr">
        <is>
          <t>MRT</t>
        </is>
      </c>
      <c r="AV121" t="inlineStr">
        <is>
          <t>MRT</t>
        </is>
      </c>
      <c r="AW121" t="inlineStr">
        <is>
          <t>MRT</t>
        </is>
      </c>
      <c r="AX121" t="inlineStr">
        <is>
          <t>MLI</t>
        </is>
      </c>
      <c r="AY121" t="inlineStr">
        <is>
          <t>MLI</t>
        </is>
      </c>
      <c r="AZ121" t="inlineStr">
        <is>
          <t>MLI</t>
        </is>
      </c>
      <c r="BA121" t="inlineStr">
        <is>
          <t>MLI</t>
        </is>
      </c>
      <c r="BB121" t="inlineStr">
        <is>
          <t>MLI</t>
        </is>
      </c>
      <c r="BC121" t="inlineStr">
        <is>
          <t>MLI</t>
        </is>
      </c>
      <c r="BD121" t="inlineStr">
        <is>
          <t>MLI</t>
        </is>
      </c>
      <c r="BE121" t="inlineStr">
        <is>
          <t>MLI</t>
        </is>
      </c>
      <c r="BF121" t="inlineStr">
        <is>
          <t>MLI</t>
        </is>
      </c>
      <c r="BG121" t="inlineStr">
        <is>
          <t>MLI</t>
        </is>
      </c>
      <c r="BH121" t="inlineStr">
        <is>
          <t>MLI</t>
        </is>
      </c>
      <c r="BI121" t="inlineStr">
        <is>
          <t>MLI</t>
        </is>
      </c>
      <c r="BJ121" t="inlineStr">
        <is>
          <t>MLI</t>
        </is>
      </c>
      <c r="BK121" t="inlineStr">
        <is>
          <t>MLI</t>
        </is>
      </c>
      <c r="BL121" t="inlineStr">
        <is>
          <t>MLI</t>
        </is>
      </c>
      <c r="BM121" t="inlineStr">
        <is>
          <t>MLI</t>
        </is>
      </c>
      <c r="BN121" t="inlineStr">
        <is>
          <t>MLI</t>
        </is>
      </c>
      <c r="BO121" t="inlineStr">
        <is>
          <t>MLI</t>
        </is>
      </c>
      <c r="BP121" t="inlineStr">
        <is>
          <t>DZA</t>
        </is>
      </c>
      <c r="BQ121" t="inlineStr">
        <is>
          <t>DZA</t>
        </is>
      </c>
      <c r="BR121" t="inlineStr">
        <is>
          <t>DZA</t>
        </is>
      </c>
      <c r="BS121" t="inlineStr">
        <is>
          <t>DZA</t>
        </is>
      </c>
      <c r="BT121" t="inlineStr">
        <is>
          <t>DZA</t>
        </is>
      </c>
      <c r="BU121" t="inlineStr">
        <is>
          <t>DZA</t>
        </is>
      </c>
      <c r="BV121" t="inlineStr">
        <is>
          <t>NER</t>
        </is>
      </c>
      <c r="BW121" t="inlineStr">
        <is>
          <t>NER</t>
        </is>
      </c>
      <c r="BX121" t="inlineStr">
        <is>
          <t>NER</t>
        </is>
      </c>
      <c r="BY121" t="inlineStr">
        <is>
          <t>NER</t>
        </is>
      </c>
      <c r="BZ121" t="inlineStr">
        <is>
          <t>NER</t>
        </is>
      </c>
      <c r="CA121" t="inlineStr">
        <is>
          <t>NER</t>
        </is>
      </c>
      <c r="CB121" t="inlineStr">
        <is>
          <t>NER</t>
        </is>
      </c>
      <c r="CC121" t="inlineStr">
        <is>
          <t>NER</t>
        </is>
      </c>
      <c r="CD121" t="inlineStr">
        <is>
          <t>NER</t>
        </is>
      </c>
      <c r="CE121" t="inlineStr">
        <is>
          <t>NER</t>
        </is>
      </c>
      <c r="CF121" t="inlineStr">
        <is>
          <t>NER</t>
        </is>
      </c>
      <c r="CG121" t="inlineStr">
        <is>
          <t>NER</t>
        </is>
      </c>
      <c r="CH121" t="inlineStr">
        <is>
          <t>NER</t>
        </is>
      </c>
      <c r="CI121" t="inlineStr">
        <is>
          <t>NER</t>
        </is>
      </c>
      <c r="CJ121" t="inlineStr">
        <is>
          <t>NER</t>
        </is>
      </c>
      <c r="CK121" t="inlineStr">
        <is>
          <t>NER</t>
        </is>
      </c>
      <c r="CL121" t="inlineStr">
        <is>
          <t>NER</t>
        </is>
      </c>
      <c r="CM121" t="inlineStr">
        <is>
          <t>NER</t>
        </is>
      </c>
      <c r="CN121" t="inlineStr">
        <is>
          <t>NER</t>
        </is>
      </c>
      <c r="CO121" t="inlineStr">
        <is>
          <t>TCD</t>
        </is>
      </c>
      <c r="CP121" t="inlineStr">
        <is>
          <t>TCD</t>
        </is>
      </c>
      <c r="CQ121" t="inlineStr">
        <is>
          <t>TCD</t>
        </is>
      </c>
      <c r="CR121" t="inlineStr">
        <is>
          <t>TCD</t>
        </is>
      </c>
      <c r="CS121" t="inlineStr">
        <is>
          <t>TCD</t>
        </is>
      </c>
      <c r="CT121" t="inlineStr">
        <is>
          <t>TCD</t>
        </is>
      </c>
      <c r="CU121" t="inlineStr">
        <is>
          <t>TCD</t>
        </is>
      </c>
      <c r="CV121" t="inlineStr">
        <is>
          <t>TCD</t>
        </is>
      </c>
      <c r="CW121" t="inlineStr">
        <is>
          <t>TCD</t>
        </is>
      </c>
      <c r="CX121" t="inlineStr">
        <is>
          <t>TCD</t>
        </is>
      </c>
      <c r="CY121" t="inlineStr">
        <is>
          <t>TCD</t>
        </is>
      </c>
      <c r="CZ121" t="inlineStr">
        <is>
          <t>TCD</t>
        </is>
      </c>
      <c r="DA121" t="inlineStr">
        <is>
          <t>TCD</t>
        </is>
      </c>
      <c r="DB121" t="inlineStr">
        <is>
          <t>TCD</t>
        </is>
      </c>
      <c r="DC121" t="inlineStr">
        <is>
          <t>TCD</t>
        </is>
      </c>
      <c r="DD121" t="inlineStr">
        <is>
          <t>TCD</t>
        </is>
      </c>
      <c r="DE121" t="inlineStr">
        <is>
          <t>LBY</t>
        </is>
      </c>
      <c r="DF121" t="inlineStr">
        <is>
          <t>SDN</t>
        </is>
      </c>
      <c r="DG121" t="inlineStr">
        <is>
          <t>SDN</t>
        </is>
      </c>
      <c r="DH121" t="inlineStr">
        <is>
          <t>SDN</t>
        </is>
      </c>
      <c r="DI121" t="inlineStr">
        <is>
          <t>SDN</t>
        </is>
      </c>
      <c r="DJ121" t="inlineStr">
        <is>
          <t>SDN</t>
        </is>
      </c>
      <c r="DK121" t="inlineStr">
        <is>
          <t>SDN</t>
        </is>
      </c>
      <c r="DL121" t="inlineStr">
        <is>
          <t>SDN</t>
        </is>
      </c>
      <c r="DM121" t="inlineStr">
        <is>
          <t>SDN</t>
        </is>
      </c>
      <c r="DN121" t="inlineStr">
        <is>
          <t>SDN</t>
        </is>
      </c>
      <c r="DO121" t="inlineStr">
        <is>
          <t>SDN</t>
        </is>
      </c>
      <c r="DP121" t="inlineStr">
        <is>
          <t>SDN</t>
        </is>
      </c>
      <c r="DQ121" t="inlineStr">
        <is>
          <t>SDN</t>
        </is>
      </c>
      <c r="DR121" t="inlineStr">
        <is>
          <t>SDN</t>
        </is>
      </c>
      <c r="DS121" t="inlineStr">
        <is>
          <t>SDN</t>
        </is>
      </c>
      <c r="DT121" t="inlineStr">
        <is>
          <t>SDN</t>
        </is>
      </c>
      <c r="DU121" t="inlineStr">
        <is>
          <t>SDN</t>
        </is>
      </c>
      <c r="DV121" t="inlineStr">
        <is>
          <t>SDN</t>
        </is>
      </c>
      <c r="DW121" t="inlineStr">
        <is>
          <t>SDN</t>
        </is>
      </c>
      <c r="DX121" t="inlineStr">
        <is>
          <t>SDN</t>
        </is>
      </c>
      <c r="DY121" t="inlineStr">
        <is>
          <t>SDN</t>
        </is>
      </c>
      <c r="DZ121" t="inlineStr">
        <is>
          <t>SDN</t>
        </is>
      </c>
      <c r="EA121" t="inlineStr">
        <is>
          <t>SDN</t>
        </is>
      </c>
      <c r="EB121" t="inlineStr">
        <is>
          <t>SDN</t>
        </is>
      </c>
      <c r="EC121" t="inlineStr">
        <is>
          <t>SDN</t>
        </is>
      </c>
      <c r="ED121" t="inlineStr">
        <is>
          <t>SDN</t>
        </is>
      </c>
      <c r="EE121" t="inlineStr">
        <is>
          <t>SDN</t>
        </is>
      </c>
      <c r="EM121" t="inlineStr">
        <is>
          <t>SAU</t>
        </is>
      </c>
      <c r="EN121" t="inlineStr">
        <is>
          <t>SAU</t>
        </is>
      </c>
      <c r="EO121" t="inlineStr">
        <is>
          <t>SAU</t>
        </is>
      </c>
      <c r="EP121" t="inlineStr">
        <is>
          <t>SAU</t>
        </is>
      </c>
      <c r="EQ121" t="inlineStr">
        <is>
          <t>SAU</t>
        </is>
      </c>
      <c r="ER121" t="inlineStr">
        <is>
          <t>SAU</t>
        </is>
      </c>
      <c r="ES121" t="inlineStr">
        <is>
          <t>SAU</t>
        </is>
      </c>
      <c r="ET121" t="inlineStr">
        <is>
          <t>SAU</t>
        </is>
      </c>
      <c r="EU121" t="inlineStr">
        <is>
          <t>SAU</t>
        </is>
      </c>
      <c r="EV121" t="inlineStr">
        <is>
          <t>SAU</t>
        </is>
      </c>
      <c r="EW121" t="inlineStr">
        <is>
          <t>SAU</t>
        </is>
      </c>
      <c r="EX121" t="inlineStr">
        <is>
          <t>SAU</t>
        </is>
      </c>
      <c r="EY121" t="inlineStr">
        <is>
          <t>SAU</t>
        </is>
      </c>
      <c r="EZ121" t="inlineStr">
        <is>
          <t>SAU</t>
        </is>
      </c>
      <c r="FA121" t="inlineStr">
        <is>
          <t>SAU</t>
        </is>
      </c>
      <c r="FB121" t="inlineStr">
        <is>
          <t>SAU</t>
        </is>
      </c>
      <c r="FC121" t="inlineStr">
        <is>
          <t>SAU</t>
        </is>
      </c>
      <c r="FD121" t="inlineStr">
        <is>
          <t>SAU</t>
        </is>
      </c>
      <c r="FE121" t="inlineStr">
        <is>
          <t>SAU</t>
        </is>
      </c>
      <c r="FF121" t="inlineStr">
        <is>
          <t>SAU</t>
        </is>
      </c>
      <c r="FG121" t="inlineStr">
        <is>
          <t>SAU</t>
        </is>
      </c>
      <c r="FH121" t="inlineStr">
        <is>
          <t>SAU</t>
        </is>
      </c>
      <c r="FI121" t="inlineStr">
        <is>
          <t>SAU</t>
        </is>
      </c>
      <c r="FJ121" t="inlineStr">
        <is>
          <t>SAU</t>
        </is>
      </c>
      <c r="FK121" t="inlineStr">
        <is>
          <t>SAU</t>
        </is>
      </c>
      <c r="FL121" t="inlineStr">
        <is>
          <t>SAU</t>
        </is>
      </c>
      <c r="FM121" t="inlineStr">
        <is>
          <t>SAU</t>
        </is>
      </c>
      <c r="FN121" t="inlineStr">
        <is>
          <t>OMN</t>
        </is>
      </c>
      <c r="FO121" t="inlineStr">
        <is>
          <t>OMN</t>
        </is>
      </c>
      <c r="FP121" t="inlineStr">
        <is>
          <t>OMN</t>
        </is>
      </c>
      <c r="FQ121" t="inlineStr">
        <is>
          <t>OMN</t>
        </is>
      </c>
      <c r="FR121" t="inlineStr">
        <is>
          <t>OMN</t>
        </is>
      </c>
      <c r="FS121" t="inlineStr">
        <is>
          <t>OMN</t>
        </is>
      </c>
      <c r="FT121" t="inlineStr">
        <is>
          <t>OMN</t>
        </is>
      </c>
      <c r="GZ121" t="inlineStr">
        <is>
          <t>IND</t>
        </is>
      </c>
      <c r="HA121" t="inlineStr">
        <is>
          <t>IND</t>
        </is>
      </c>
      <c r="HB121" t="inlineStr">
        <is>
          <t>IND</t>
        </is>
      </c>
      <c r="HC121" t="inlineStr">
        <is>
          <t>IND</t>
        </is>
      </c>
      <c r="HD121" t="inlineStr">
        <is>
          <t>IND</t>
        </is>
      </c>
      <c r="HE121" t="inlineStr">
        <is>
          <t>IND</t>
        </is>
      </c>
      <c r="HF121" t="inlineStr">
        <is>
          <t>IND</t>
        </is>
      </c>
      <c r="HG121" t="inlineStr">
        <is>
          <t>IND</t>
        </is>
      </c>
      <c r="HH121" t="inlineStr">
        <is>
          <t>IND</t>
        </is>
      </c>
      <c r="HI121" t="inlineStr">
        <is>
          <t>IND</t>
        </is>
      </c>
      <c r="HJ121" t="inlineStr">
        <is>
          <t>IND</t>
        </is>
      </c>
      <c r="HK121" t="inlineStr">
        <is>
          <t>IND</t>
        </is>
      </c>
      <c r="HL121" t="inlineStr">
        <is>
          <t>IND</t>
        </is>
      </c>
      <c r="HM121" t="inlineStr">
        <is>
          <t>IND</t>
        </is>
      </c>
      <c r="HN121" t="inlineStr">
        <is>
          <t>IND</t>
        </is>
      </c>
      <c r="HO121" t="inlineStr">
        <is>
          <t>IND</t>
        </is>
      </c>
      <c r="HP121" t="inlineStr">
        <is>
          <t>IND</t>
        </is>
      </c>
      <c r="HQ121" t="inlineStr">
        <is>
          <t>IND</t>
        </is>
      </c>
      <c r="HR121" t="inlineStr">
        <is>
          <t>IND</t>
        </is>
      </c>
      <c r="HS121" t="inlineStr">
        <is>
          <t>IND</t>
        </is>
      </c>
      <c r="HT121" t="inlineStr">
        <is>
          <t>IND</t>
        </is>
      </c>
      <c r="HU121" t="inlineStr">
        <is>
          <t>IND</t>
        </is>
      </c>
      <c r="HV121" t="inlineStr">
        <is>
          <t>IND</t>
        </is>
      </c>
      <c r="HW121" t="inlineStr">
        <is>
          <t>IND</t>
        </is>
      </c>
      <c r="HX121" t="inlineStr">
        <is>
          <t>IND</t>
        </is>
      </c>
      <c r="IO121" t="inlineStr">
        <is>
          <t>MMR</t>
        </is>
      </c>
      <c r="IP121" t="inlineStr">
        <is>
          <t>MMR</t>
        </is>
      </c>
      <c r="IQ121" t="inlineStr">
        <is>
          <t>MMR</t>
        </is>
      </c>
      <c r="IR121" t="inlineStr">
        <is>
          <t>MMR</t>
        </is>
      </c>
      <c r="IS121" t="inlineStr">
        <is>
          <t>MMR</t>
        </is>
      </c>
      <c r="IT121" t="inlineStr">
        <is>
          <t>MMR</t>
        </is>
      </c>
      <c r="IU121" t="inlineStr">
        <is>
          <t>MMR</t>
        </is>
      </c>
      <c r="IV121" t="inlineStr">
        <is>
          <t>MMR</t>
        </is>
      </c>
      <c r="IW121" t="inlineStr">
        <is>
          <t>MMR</t>
        </is>
      </c>
      <c r="IX121" t="inlineStr">
        <is>
          <t>MMR</t>
        </is>
      </c>
      <c r="IY121" t="inlineStr">
        <is>
          <t>MMR</t>
        </is>
      </c>
      <c r="IZ121" t="inlineStr">
        <is>
          <t>THA</t>
        </is>
      </c>
      <c r="JA121" t="inlineStr">
        <is>
          <t>THA</t>
        </is>
      </c>
      <c r="JB121" t="inlineStr">
        <is>
          <t>THA</t>
        </is>
      </c>
      <c r="JC121" t="inlineStr">
        <is>
          <t>LAO</t>
        </is>
      </c>
      <c r="JD121" t="inlineStr">
        <is>
          <t>LAO</t>
        </is>
      </c>
      <c r="JE121" t="inlineStr">
        <is>
          <t>LAO</t>
        </is>
      </c>
      <c r="JF121" t="inlineStr">
        <is>
          <t>LAO</t>
        </is>
      </c>
      <c r="JG121" t="inlineStr">
        <is>
          <t>LAO</t>
        </is>
      </c>
      <c r="JH121" t="inlineStr">
        <is>
          <t>LAO</t>
        </is>
      </c>
      <c r="JI121" t="inlineStr">
        <is>
          <t>LAO</t>
        </is>
      </c>
      <c r="JJ121" t="inlineStr">
        <is>
          <t>LAO</t>
        </is>
      </c>
      <c r="JK121" t="inlineStr">
        <is>
          <t>VNM</t>
        </is>
      </c>
      <c r="JL121" t="inlineStr">
        <is>
          <t>VNM</t>
        </is>
      </c>
      <c r="JM121" t="inlineStr">
        <is>
          <t>VNM</t>
        </is>
      </c>
      <c r="JT121" t="inlineStr">
        <is>
          <t>CHN</t>
        </is>
      </c>
      <c r="JU121" t="inlineStr">
        <is>
          <t>CHN</t>
        </is>
      </c>
    </row>
    <row r="122">
      <c r="AC122" t="inlineStr">
        <is>
          <t>MRT</t>
        </is>
      </c>
      <c r="AD122" t="inlineStr">
        <is>
          <t>MRT</t>
        </is>
      </c>
      <c r="AE122" t="inlineStr">
        <is>
          <t>MRT</t>
        </is>
      </c>
      <c r="AF122" t="inlineStr">
        <is>
          <t>MRT</t>
        </is>
      </c>
      <c r="AG122" t="inlineStr">
        <is>
          <t>MRT</t>
        </is>
      </c>
      <c r="AH122" t="inlineStr">
        <is>
          <t>MRT</t>
        </is>
      </c>
      <c r="AI122" t="inlineStr">
        <is>
          <t>MRT</t>
        </is>
      </c>
      <c r="AJ122" t="inlineStr">
        <is>
          <t>MRT</t>
        </is>
      </c>
      <c r="AK122" t="inlineStr">
        <is>
          <t>MRT</t>
        </is>
      </c>
      <c r="AL122" t="inlineStr">
        <is>
          <t>MRT</t>
        </is>
      </c>
      <c r="AM122" t="inlineStr">
        <is>
          <t>MRT</t>
        </is>
      </c>
      <c r="AN122" t="inlineStr">
        <is>
          <t>MRT</t>
        </is>
      </c>
      <c r="AO122" t="inlineStr">
        <is>
          <t>MRT</t>
        </is>
      </c>
      <c r="AP122" t="inlineStr">
        <is>
          <t>MRT</t>
        </is>
      </c>
      <c r="AQ122" t="inlineStr">
        <is>
          <t>MRT</t>
        </is>
      </c>
      <c r="AR122" t="inlineStr">
        <is>
          <t>MRT</t>
        </is>
      </c>
      <c r="AS122" t="inlineStr">
        <is>
          <t>MRT</t>
        </is>
      </c>
      <c r="AT122" t="inlineStr">
        <is>
          <t>MRT</t>
        </is>
      </c>
      <c r="AU122" t="inlineStr">
        <is>
          <t>MRT</t>
        </is>
      </c>
      <c r="AV122" t="inlineStr">
        <is>
          <t>MRT</t>
        </is>
      </c>
      <c r="AW122" t="inlineStr">
        <is>
          <t>MRT</t>
        </is>
      </c>
      <c r="AX122" t="inlineStr">
        <is>
          <t>MLI</t>
        </is>
      </c>
      <c r="AY122" t="inlineStr">
        <is>
          <t>MLI</t>
        </is>
      </c>
      <c r="AZ122" t="inlineStr">
        <is>
          <t>MLI</t>
        </is>
      </c>
      <c r="BA122" t="inlineStr">
        <is>
          <t>MLI</t>
        </is>
      </c>
      <c r="BB122" t="inlineStr">
        <is>
          <t>MLI</t>
        </is>
      </c>
      <c r="BC122" t="inlineStr">
        <is>
          <t>MLI</t>
        </is>
      </c>
      <c r="BD122" t="inlineStr">
        <is>
          <t>MLI</t>
        </is>
      </c>
      <c r="BE122" t="inlineStr">
        <is>
          <t>MLI</t>
        </is>
      </c>
      <c r="BF122" t="inlineStr">
        <is>
          <t>MLI</t>
        </is>
      </c>
      <c r="BG122" t="inlineStr">
        <is>
          <t>MLI</t>
        </is>
      </c>
      <c r="BH122" t="inlineStr">
        <is>
          <t>MLI</t>
        </is>
      </c>
      <c r="BI122" t="inlineStr">
        <is>
          <t>MLI</t>
        </is>
      </c>
      <c r="BJ122" t="inlineStr">
        <is>
          <t>MLI</t>
        </is>
      </c>
      <c r="BK122" t="inlineStr">
        <is>
          <t>MLI</t>
        </is>
      </c>
      <c r="BL122" t="inlineStr">
        <is>
          <t>MLI</t>
        </is>
      </c>
      <c r="BM122" t="inlineStr">
        <is>
          <t>MLI</t>
        </is>
      </c>
      <c r="BN122" t="inlineStr">
        <is>
          <t>DZA</t>
        </is>
      </c>
      <c r="BO122" t="inlineStr">
        <is>
          <t>DZA</t>
        </is>
      </c>
      <c r="BP122" t="inlineStr">
        <is>
          <t>DZA</t>
        </is>
      </c>
      <c r="BQ122" t="inlineStr">
        <is>
          <t>DZA</t>
        </is>
      </c>
      <c r="BR122" t="inlineStr">
        <is>
          <t>DZA</t>
        </is>
      </c>
      <c r="BS122" t="inlineStr">
        <is>
          <t>DZA</t>
        </is>
      </c>
      <c r="BT122" t="inlineStr">
        <is>
          <t>DZA</t>
        </is>
      </c>
      <c r="BU122" t="inlineStr">
        <is>
          <t>DZA</t>
        </is>
      </c>
      <c r="BV122" t="inlineStr">
        <is>
          <t>DZA</t>
        </is>
      </c>
      <c r="BW122" t="inlineStr">
        <is>
          <t>NER</t>
        </is>
      </c>
      <c r="BX122" t="inlineStr">
        <is>
          <t>NER</t>
        </is>
      </c>
      <c r="BY122" t="inlineStr">
        <is>
          <t>NER</t>
        </is>
      </c>
      <c r="BZ122" t="inlineStr">
        <is>
          <t>NER</t>
        </is>
      </c>
      <c r="CA122" t="inlineStr">
        <is>
          <t>NER</t>
        </is>
      </c>
      <c r="CB122" t="inlineStr">
        <is>
          <t>NER</t>
        </is>
      </c>
      <c r="CC122" t="inlineStr">
        <is>
          <t>NER</t>
        </is>
      </c>
      <c r="CD122" t="inlineStr">
        <is>
          <t>NER</t>
        </is>
      </c>
      <c r="CE122" t="inlineStr">
        <is>
          <t>NER</t>
        </is>
      </c>
      <c r="CF122" t="inlineStr">
        <is>
          <t>NER</t>
        </is>
      </c>
      <c r="CG122" t="inlineStr">
        <is>
          <t>NER</t>
        </is>
      </c>
      <c r="CH122" t="inlineStr">
        <is>
          <t>NER</t>
        </is>
      </c>
      <c r="CI122" t="inlineStr">
        <is>
          <t>NER</t>
        </is>
      </c>
      <c r="CJ122" t="inlineStr">
        <is>
          <t>NER</t>
        </is>
      </c>
      <c r="CK122" t="inlineStr">
        <is>
          <t>NER</t>
        </is>
      </c>
      <c r="CL122" t="inlineStr">
        <is>
          <t>NER</t>
        </is>
      </c>
      <c r="CM122" t="inlineStr">
        <is>
          <t>NER</t>
        </is>
      </c>
      <c r="CN122" t="inlineStr">
        <is>
          <t>NER</t>
        </is>
      </c>
      <c r="CO122" t="inlineStr">
        <is>
          <t>NER</t>
        </is>
      </c>
      <c r="CP122" t="inlineStr">
        <is>
          <t>TCD</t>
        </is>
      </c>
      <c r="CQ122" t="inlineStr">
        <is>
          <t>TCD</t>
        </is>
      </c>
      <c r="CR122" t="inlineStr">
        <is>
          <t>TCD</t>
        </is>
      </c>
      <c r="CS122" t="inlineStr">
        <is>
          <t>TCD</t>
        </is>
      </c>
      <c r="CT122" t="inlineStr">
        <is>
          <t>TCD</t>
        </is>
      </c>
      <c r="CU122" t="inlineStr">
        <is>
          <t>TCD</t>
        </is>
      </c>
      <c r="CV122" t="inlineStr">
        <is>
          <t>TCD</t>
        </is>
      </c>
      <c r="CW122" t="inlineStr">
        <is>
          <t>TCD</t>
        </is>
      </c>
      <c r="CX122" t="inlineStr">
        <is>
          <t>TCD</t>
        </is>
      </c>
      <c r="CY122" t="inlineStr">
        <is>
          <t>TCD</t>
        </is>
      </c>
      <c r="CZ122" t="inlineStr">
        <is>
          <t>TCD</t>
        </is>
      </c>
      <c r="DA122" t="inlineStr">
        <is>
          <t>TCD</t>
        </is>
      </c>
      <c r="DB122" t="inlineStr">
        <is>
          <t>TCD</t>
        </is>
      </c>
      <c r="DC122" t="inlineStr">
        <is>
          <t>LBY</t>
        </is>
      </c>
      <c r="DD122" t="inlineStr">
        <is>
          <t>LBY</t>
        </is>
      </c>
      <c r="DE122" t="inlineStr">
        <is>
          <t>LBY</t>
        </is>
      </c>
      <c r="DF122" t="inlineStr">
        <is>
          <t>LBY</t>
        </is>
      </c>
      <c r="DG122" t="inlineStr">
        <is>
          <t>LBY</t>
        </is>
      </c>
      <c r="DH122" t="inlineStr">
        <is>
          <t>SDN</t>
        </is>
      </c>
      <c r="DI122" t="inlineStr">
        <is>
          <t>SDN</t>
        </is>
      </c>
      <c r="DJ122" t="inlineStr">
        <is>
          <t>SDN</t>
        </is>
      </c>
      <c r="DK122" t="inlineStr">
        <is>
          <t>SDN</t>
        </is>
      </c>
      <c r="DL122" t="inlineStr">
        <is>
          <t>SDN</t>
        </is>
      </c>
      <c r="DM122" t="inlineStr">
        <is>
          <t>SDN</t>
        </is>
      </c>
      <c r="DN122" t="inlineStr">
        <is>
          <t>SDN</t>
        </is>
      </c>
      <c r="DO122" t="inlineStr">
        <is>
          <t>SDN</t>
        </is>
      </c>
      <c r="DP122" t="inlineStr">
        <is>
          <t>SDN</t>
        </is>
      </c>
      <c r="DQ122" t="inlineStr">
        <is>
          <t>SDN</t>
        </is>
      </c>
      <c r="DR122" t="inlineStr">
        <is>
          <t>SDN</t>
        </is>
      </c>
      <c r="DS122" t="inlineStr">
        <is>
          <t>SDN</t>
        </is>
      </c>
      <c r="DT122" t="inlineStr">
        <is>
          <t>SDN</t>
        </is>
      </c>
      <c r="DU122" t="inlineStr">
        <is>
          <t>SDN</t>
        </is>
      </c>
      <c r="DV122" t="inlineStr">
        <is>
          <t>SDN</t>
        </is>
      </c>
      <c r="DW122" t="inlineStr">
        <is>
          <t>SDN</t>
        </is>
      </c>
      <c r="DX122" t="inlineStr">
        <is>
          <t>SDN</t>
        </is>
      </c>
      <c r="DY122" t="inlineStr">
        <is>
          <t>SDN</t>
        </is>
      </c>
      <c r="DZ122" t="inlineStr">
        <is>
          <t>SDN</t>
        </is>
      </c>
      <c r="EA122" t="inlineStr">
        <is>
          <t>SDN</t>
        </is>
      </c>
      <c r="EB122" t="inlineStr">
        <is>
          <t>SDN</t>
        </is>
      </c>
      <c r="EC122" t="inlineStr">
        <is>
          <t>SDN</t>
        </is>
      </c>
      <c r="ED122" t="inlineStr">
        <is>
          <t>SDN</t>
        </is>
      </c>
      <c r="EE122" t="inlineStr">
        <is>
          <t>SDN</t>
        </is>
      </c>
      <c r="EL122" t="inlineStr">
        <is>
          <t>SAU</t>
        </is>
      </c>
      <c r="EM122" t="inlineStr">
        <is>
          <t>SAU</t>
        </is>
      </c>
      <c r="EN122" t="inlineStr">
        <is>
          <t>SAU</t>
        </is>
      </c>
      <c r="EO122" t="inlineStr">
        <is>
          <t>SAU</t>
        </is>
      </c>
      <c r="EP122" t="inlineStr">
        <is>
          <t>SAU</t>
        </is>
      </c>
      <c r="EQ122" t="inlineStr">
        <is>
          <t>SAU</t>
        </is>
      </c>
      <c r="ER122" t="inlineStr">
        <is>
          <t>SAU</t>
        </is>
      </c>
      <c r="ES122" t="inlineStr">
        <is>
          <t>SAU</t>
        </is>
      </c>
      <c r="ET122" t="inlineStr">
        <is>
          <t>SAU</t>
        </is>
      </c>
      <c r="EU122" t="inlineStr">
        <is>
          <t>SAU</t>
        </is>
      </c>
      <c r="EV122" t="inlineStr">
        <is>
          <t>SAU</t>
        </is>
      </c>
      <c r="EW122" t="inlineStr">
        <is>
          <t>SAU</t>
        </is>
      </c>
      <c r="EX122" t="inlineStr">
        <is>
          <t>SAU</t>
        </is>
      </c>
      <c r="EY122" t="inlineStr">
        <is>
          <t>SAU</t>
        </is>
      </c>
      <c r="EZ122" t="inlineStr">
        <is>
          <t>SAU</t>
        </is>
      </c>
      <c r="FA122" t="inlineStr">
        <is>
          <t>SAU</t>
        </is>
      </c>
      <c r="FB122" t="inlineStr">
        <is>
          <t>SAU</t>
        </is>
      </c>
      <c r="FC122" t="inlineStr">
        <is>
          <t>SAU</t>
        </is>
      </c>
      <c r="FD122" t="inlineStr">
        <is>
          <t>SAU</t>
        </is>
      </c>
      <c r="FE122" t="inlineStr">
        <is>
          <t>SAU</t>
        </is>
      </c>
      <c r="FF122" t="inlineStr">
        <is>
          <t>SAU</t>
        </is>
      </c>
      <c r="FG122" t="inlineStr">
        <is>
          <t>SAU</t>
        </is>
      </c>
      <c r="FH122" t="inlineStr">
        <is>
          <t>SAU</t>
        </is>
      </c>
      <c r="FI122" t="inlineStr">
        <is>
          <t>SAU</t>
        </is>
      </c>
      <c r="FJ122" t="inlineStr">
        <is>
          <t>SAU</t>
        </is>
      </c>
      <c r="FK122" t="inlineStr">
        <is>
          <t>SAU</t>
        </is>
      </c>
      <c r="FL122" t="inlineStr">
        <is>
          <t>SAU</t>
        </is>
      </c>
      <c r="FM122" t="inlineStr">
        <is>
          <t>SAU</t>
        </is>
      </c>
      <c r="FN122" t="inlineStr">
        <is>
          <t>SAU</t>
        </is>
      </c>
      <c r="FO122" t="inlineStr">
        <is>
          <t>SAU</t>
        </is>
      </c>
      <c r="FP122" t="inlineStr">
        <is>
          <t>OMN</t>
        </is>
      </c>
      <c r="FQ122" t="inlineStr">
        <is>
          <t>OMN</t>
        </is>
      </c>
      <c r="FR122" t="inlineStr">
        <is>
          <t>OMN</t>
        </is>
      </c>
      <c r="FS122" t="inlineStr">
        <is>
          <t>OMN</t>
        </is>
      </c>
      <c r="FT122" t="inlineStr">
        <is>
          <t>OMN</t>
        </is>
      </c>
      <c r="FU122" t="inlineStr">
        <is>
          <t>OMN</t>
        </is>
      </c>
      <c r="GZ122" t="inlineStr">
        <is>
          <t>IND</t>
        </is>
      </c>
      <c r="HA122" t="inlineStr">
        <is>
          <t>IND</t>
        </is>
      </c>
      <c r="HB122" t="inlineStr">
        <is>
          <t>IND</t>
        </is>
      </c>
      <c r="HC122" t="inlineStr">
        <is>
          <t>IND</t>
        </is>
      </c>
      <c r="HD122" t="inlineStr">
        <is>
          <t>IND</t>
        </is>
      </c>
      <c r="HE122" t="inlineStr">
        <is>
          <t>IND</t>
        </is>
      </c>
      <c r="HF122" t="inlineStr">
        <is>
          <t>IND</t>
        </is>
      </c>
      <c r="HG122" t="inlineStr">
        <is>
          <t>IND</t>
        </is>
      </c>
      <c r="HH122" t="inlineStr">
        <is>
          <t>IND</t>
        </is>
      </c>
      <c r="HI122" t="inlineStr">
        <is>
          <t>IND</t>
        </is>
      </c>
      <c r="HJ122" t="inlineStr">
        <is>
          <t>IND</t>
        </is>
      </c>
      <c r="HK122" t="inlineStr">
        <is>
          <t>IND</t>
        </is>
      </c>
      <c r="HL122" t="inlineStr">
        <is>
          <t>IND</t>
        </is>
      </c>
      <c r="HM122" t="inlineStr">
        <is>
          <t>IND</t>
        </is>
      </c>
      <c r="HN122" t="inlineStr">
        <is>
          <t>IND</t>
        </is>
      </c>
      <c r="HO122" t="inlineStr">
        <is>
          <t>IND</t>
        </is>
      </c>
      <c r="HP122" t="inlineStr">
        <is>
          <t>IND</t>
        </is>
      </c>
      <c r="HQ122" t="inlineStr">
        <is>
          <t>IND</t>
        </is>
      </c>
      <c r="HR122" t="inlineStr">
        <is>
          <t>IND</t>
        </is>
      </c>
      <c r="HS122" t="inlineStr">
        <is>
          <t>IND</t>
        </is>
      </c>
      <c r="HT122" t="inlineStr">
        <is>
          <t>IND</t>
        </is>
      </c>
      <c r="HU122" t="inlineStr">
        <is>
          <t>IND</t>
        </is>
      </c>
      <c r="HV122" t="inlineStr">
        <is>
          <t>IND</t>
        </is>
      </c>
      <c r="HW122" t="inlineStr">
        <is>
          <t>IND</t>
        </is>
      </c>
      <c r="HX122" t="inlineStr">
        <is>
          <t>IND</t>
        </is>
      </c>
      <c r="HY122" t="inlineStr">
        <is>
          <t>IND</t>
        </is>
      </c>
      <c r="HZ122" t="inlineStr">
        <is>
          <t>IND</t>
        </is>
      </c>
      <c r="IM122" t="inlineStr">
        <is>
          <t>MMR</t>
        </is>
      </c>
      <c r="IN122" t="inlineStr">
        <is>
          <t>MMR</t>
        </is>
      </c>
      <c r="IO122" t="inlineStr">
        <is>
          <t>MMR</t>
        </is>
      </c>
      <c r="IP122" t="inlineStr">
        <is>
          <t>MMR</t>
        </is>
      </c>
      <c r="IQ122" t="inlineStr">
        <is>
          <t>MMR</t>
        </is>
      </c>
      <c r="IR122" t="inlineStr">
        <is>
          <t>MMR</t>
        </is>
      </c>
      <c r="IS122" t="inlineStr">
        <is>
          <t>MMR</t>
        </is>
      </c>
      <c r="IT122" t="inlineStr">
        <is>
          <t>MMR</t>
        </is>
      </c>
      <c r="IU122" t="inlineStr">
        <is>
          <t>MMR</t>
        </is>
      </c>
      <c r="IV122" t="inlineStr">
        <is>
          <t>MMR</t>
        </is>
      </c>
      <c r="IW122" t="inlineStr">
        <is>
          <t>MMR</t>
        </is>
      </c>
      <c r="IX122" t="inlineStr">
        <is>
          <t>MMR</t>
        </is>
      </c>
      <c r="IY122" t="inlineStr">
        <is>
          <t>MMR</t>
        </is>
      </c>
      <c r="IZ122" t="inlineStr">
        <is>
          <t>MMR</t>
        </is>
      </c>
      <c r="JA122" t="inlineStr">
        <is>
          <t>THA</t>
        </is>
      </c>
      <c r="JB122" t="inlineStr">
        <is>
          <t>THA</t>
        </is>
      </c>
      <c r="JC122" t="inlineStr">
        <is>
          <t>LAO</t>
        </is>
      </c>
      <c r="JD122" t="inlineStr">
        <is>
          <t>LAO</t>
        </is>
      </c>
      <c r="JE122" t="inlineStr">
        <is>
          <t>LAO</t>
        </is>
      </c>
      <c r="JF122" t="inlineStr">
        <is>
          <t>LAO</t>
        </is>
      </c>
      <c r="JG122" t="inlineStr">
        <is>
          <t>LAO</t>
        </is>
      </c>
      <c r="JH122" t="inlineStr">
        <is>
          <t>LAO</t>
        </is>
      </c>
      <c r="JI122" t="inlineStr">
        <is>
          <t>LAO</t>
        </is>
      </c>
      <c r="JJ122" t="inlineStr">
        <is>
          <t>LAO</t>
        </is>
      </c>
      <c r="JK122" t="inlineStr">
        <is>
          <t>VNM</t>
        </is>
      </c>
      <c r="JL122" t="inlineStr">
        <is>
          <t>VNM</t>
        </is>
      </c>
      <c r="JM122" t="inlineStr">
        <is>
          <t>VNM</t>
        </is>
      </c>
      <c r="JN122" t="inlineStr">
        <is>
          <t>VNM</t>
        </is>
      </c>
    </row>
    <row r="123">
      <c r="AB123" t="inlineStr">
        <is>
          <t>MRT</t>
        </is>
      </c>
      <c r="AC123" t="inlineStr">
        <is>
          <t>MRT</t>
        </is>
      </c>
      <c r="AD123" t="inlineStr">
        <is>
          <t>MRT</t>
        </is>
      </c>
      <c r="AE123" t="inlineStr">
        <is>
          <t>MRT</t>
        </is>
      </c>
      <c r="AF123" t="inlineStr">
        <is>
          <t>MRT</t>
        </is>
      </c>
      <c r="AG123" t="inlineStr">
        <is>
          <t>MRT</t>
        </is>
      </c>
      <c r="AH123" t="inlineStr">
        <is>
          <t>MRT</t>
        </is>
      </c>
      <c r="AI123" t="inlineStr">
        <is>
          <t>MRT</t>
        </is>
      </c>
      <c r="AJ123" t="inlineStr">
        <is>
          <t>MRT</t>
        </is>
      </c>
      <c r="AK123" t="inlineStr">
        <is>
          <t>MRT</t>
        </is>
      </c>
      <c r="AL123" t="inlineStr">
        <is>
          <t>MRT</t>
        </is>
      </c>
      <c r="AM123" t="inlineStr">
        <is>
          <t>MRT</t>
        </is>
      </c>
      <c r="AN123" t="inlineStr">
        <is>
          <t>MRT</t>
        </is>
      </c>
      <c r="AO123" t="inlineStr">
        <is>
          <t>MRT</t>
        </is>
      </c>
      <c r="AP123" t="inlineStr">
        <is>
          <t>MRT</t>
        </is>
      </c>
      <c r="AQ123" t="inlineStr">
        <is>
          <t>MRT</t>
        </is>
      </c>
      <c r="AR123" t="inlineStr">
        <is>
          <t>MRT</t>
        </is>
      </c>
      <c r="AS123" t="inlineStr">
        <is>
          <t>MRT</t>
        </is>
      </c>
      <c r="AT123" t="inlineStr">
        <is>
          <t>MRT</t>
        </is>
      </c>
      <c r="AU123" t="inlineStr">
        <is>
          <t>MRT</t>
        </is>
      </c>
      <c r="AV123" t="inlineStr">
        <is>
          <t>MRT</t>
        </is>
      </c>
      <c r="AW123" t="inlineStr">
        <is>
          <t>MRT</t>
        </is>
      </c>
      <c r="AX123" t="inlineStr">
        <is>
          <t>MLI</t>
        </is>
      </c>
      <c r="AY123" t="inlineStr">
        <is>
          <t>MLI</t>
        </is>
      </c>
      <c r="AZ123" t="inlineStr">
        <is>
          <t>MLI</t>
        </is>
      </c>
      <c r="BA123" t="inlineStr">
        <is>
          <t>MLI</t>
        </is>
      </c>
      <c r="BB123" t="inlineStr">
        <is>
          <t>MLI</t>
        </is>
      </c>
      <c r="BC123" t="inlineStr">
        <is>
          <t>MLI</t>
        </is>
      </c>
      <c r="BD123" t="inlineStr">
        <is>
          <t>MLI</t>
        </is>
      </c>
      <c r="BE123" t="inlineStr">
        <is>
          <t>MLI</t>
        </is>
      </c>
      <c r="BF123" t="inlineStr">
        <is>
          <t>MLI</t>
        </is>
      </c>
      <c r="BG123" t="inlineStr">
        <is>
          <t>MLI</t>
        </is>
      </c>
      <c r="BH123" t="inlineStr">
        <is>
          <t>MLI</t>
        </is>
      </c>
      <c r="BI123" t="inlineStr">
        <is>
          <t>MLI</t>
        </is>
      </c>
      <c r="BJ123" t="inlineStr">
        <is>
          <t>MLI</t>
        </is>
      </c>
      <c r="BK123" t="inlineStr">
        <is>
          <t>MLI</t>
        </is>
      </c>
      <c r="BL123" t="inlineStr">
        <is>
          <t>MLI</t>
        </is>
      </c>
      <c r="BM123" t="inlineStr">
        <is>
          <t>DZA</t>
        </is>
      </c>
      <c r="BN123" t="inlineStr">
        <is>
          <t>DZA</t>
        </is>
      </c>
      <c r="BO123" t="inlineStr">
        <is>
          <t>DZA</t>
        </is>
      </c>
      <c r="BP123" t="inlineStr">
        <is>
          <t>DZA</t>
        </is>
      </c>
      <c r="BQ123" t="inlineStr">
        <is>
          <t>DZA</t>
        </is>
      </c>
      <c r="BR123" t="inlineStr">
        <is>
          <t>DZA</t>
        </is>
      </c>
      <c r="BS123" t="inlineStr">
        <is>
          <t>DZA</t>
        </is>
      </c>
      <c r="BT123" t="inlineStr">
        <is>
          <t>DZA</t>
        </is>
      </c>
      <c r="BU123" t="inlineStr">
        <is>
          <t>DZA</t>
        </is>
      </c>
      <c r="BV123" t="inlineStr">
        <is>
          <t>DZA</t>
        </is>
      </c>
      <c r="BW123" t="inlineStr">
        <is>
          <t>DZA</t>
        </is>
      </c>
      <c r="BX123" t="inlineStr">
        <is>
          <t>DZA</t>
        </is>
      </c>
      <c r="BY123" t="inlineStr">
        <is>
          <t>NER</t>
        </is>
      </c>
      <c r="BZ123" t="inlineStr">
        <is>
          <t>NER</t>
        </is>
      </c>
      <c r="CA123" t="inlineStr">
        <is>
          <t>NER</t>
        </is>
      </c>
      <c r="CB123" t="inlineStr">
        <is>
          <t>NER</t>
        </is>
      </c>
      <c r="CC123" t="inlineStr">
        <is>
          <t>NER</t>
        </is>
      </c>
      <c r="CD123" t="inlineStr">
        <is>
          <t>NER</t>
        </is>
      </c>
      <c r="CE123" t="inlineStr">
        <is>
          <t>NER</t>
        </is>
      </c>
      <c r="CF123" t="inlineStr">
        <is>
          <t>NER</t>
        </is>
      </c>
      <c r="CG123" t="inlineStr">
        <is>
          <t>NER</t>
        </is>
      </c>
      <c r="CH123" t="inlineStr">
        <is>
          <t>NER</t>
        </is>
      </c>
      <c r="CI123" t="inlineStr">
        <is>
          <t>NER</t>
        </is>
      </c>
      <c r="CJ123" t="inlineStr">
        <is>
          <t>NER</t>
        </is>
      </c>
      <c r="CK123" t="inlineStr">
        <is>
          <t>NER</t>
        </is>
      </c>
      <c r="CL123" t="inlineStr">
        <is>
          <t>NER</t>
        </is>
      </c>
      <c r="CM123" t="inlineStr">
        <is>
          <t>NER</t>
        </is>
      </c>
      <c r="CN123" t="inlineStr">
        <is>
          <t>NER</t>
        </is>
      </c>
      <c r="CO123" t="inlineStr">
        <is>
          <t>TCD</t>
        </is>
      </c>
      <c r="CP123" t="inlineStr">
        <is>
          <t>TCD</t>
        </is>
      </c>
      <c r="CQ123" t="inlineStr">
        <is>
          <t>TCD</t>
        </is>
      </c>
      <c r="CR123" t="inlineStr">
        <is>
          <t>TCD</t>
        </is>
      </c>
      <c r="CS123" t="inlineStr">
        <is>
          <t>TCD</t>
        </is>
      </c>
      <c r="CT123" t="inlineStr">
        <is>
          <t>TCD</t>
        </is>
      </c>
      <c r="CU123" t="inlineStr">
        <is>
          <t>TCD</t>
        </is>
      </c>
      <c r="CV123" t="inlineStr">
        <is>
          <t>TCD</t>
        </is>
      </c>
      <c r="CW123" t="inlineStr">
        <is>
          <t>TCD</t>
        </is>
      </c>
      <c r="CX123" t="inlineStr">
        <is>
          <t>TCD</t>
        </is>
      </c>
      <c r="CY123" t="inlineStr">
        <is>
          <t>TCD</t>
        </is>
      </c>
      <c r="CZ123" t="inlineStr">
        <is>
          <t>TCD</t>
        </is>
      </c>
      <c r="DA123" t="inlineStr">
        <is>
          <t>LBY</t>
        </is>
      </c>
      <c r="DB123" t="inlineStr">
        <is>
          <t>LBY</t>
        </is>
      </c>
      <c r="DC123" t="inlineStr">
        <is>
          <t>LBY</t>
        </is>
      </c>
      <c r="DD123" t="inlineStr">
        <is>
          <t>LBY</t>
        </is>
      </c>
      <c r="DE123" t="inlineStr">
        <is>
          <t>LBY</t>
        </is>
      </c>
      <c r="DF123" t="inlineStr">
        <is>
          <t>LBY</t>
        </is>
      </c>
      <c r="DG123" t="inlineStr">
        <is>
          <t>LBY</t>
        </is>
      </c>
      <c r="DH123" t="inlineStr">
        <is>
          <t>SDN</t>
        </is>
      </c>
      <c r="DI123" t="inlineStr">
        <is>
          <t>SDN</t>
        </is>
      </c>
      <c r="DJ123" t="inlineStr">
        <is>
          <t>SDN</t>
        </is>
      </c>
      <c r="DK123" t="inlineStr">
        <is>
          <t>SDN</t>
        </is>
      </c>
      <c r="DL123" t="inlineStr">
        <is>
          <t>SDN</t>
        </is>
      </c>
      <c r="DM123" t="inlineStr">
        <is>
          <t>SDN</t>
        </is>
      </c>
      <c r="DN123" t="inlineStr">
        <is>
          <t>SDN</t>
        </is>
      </c>
      <c r="DO123" t="inlineStr">
        <is>
          <t>SDN</t>
        </is>
      </c>
      <c r="DP123" t="inlineStr">
        <is>
          <t>SDN</t>
        </is>
      </c>
      <c r="DQ123" t="inlineStr">
        <is>
          <t>SDN</t>
        </is>
      </c>
      <c r="DR123" t="inlineStr">
        <is>
          <t>SDN</t>
        </is>
      </c>
      <c r="DS123" t="inlineStr">
        <is>
          <t>SDN</t>
        </is>
      </c>
      <c r="DT123" t="inlineStr">
        <is>
          <t>SDN</t>
        </is>
      </c>
      <c r="DU123" t="inlineStr">
        <is>
          <t>SDN</t>
        </is>
      </c>
      <c r="DV123" t="inlineStr">
        <is>
          <t>SDN</t>
        </is>
      </c>
      <c r="DW123" t="inlineStr">
        <is>
          <t>SDN</t>
        </is>
      </c>
      <c r="DX123" t="inlineStr">
        <is>
          <t>SDN</t>
        </is>
      </c>
      <c r="DY123" t="inlineStr">
        <is>
          <t>SDN</t>
        </is>
      </c>
      <c r="DZ123" t="inlineStr">
        <is>
          <t>SDN</t>
        </is>
      </c>
      <c r="EA123" t="inlineStr">
        <is>
          <t>SDN</t>
        </is>
      </c>
      <c r="EB123" t="inlineStr">
        <is>
          <t>SDN</t>
        </is>
      </c>
      <c r="EC123" t="inlineStr">
        <is>
          <t>SDN</t>
        </is>
      </c>
      <c r="ED123" t="inlineStr">
        <is>
          <t>SDN</t>
        </is>
      </c>
      <c r="EE123" t="inlineStr">
        <is>
          <t>SDN</t>
        </is>
      </c>
      <c r="EK123" t="inlineStr">
        <is>
          <t>SAU</t>
        </is>
      </c>
      <c r="EL123" t="inlineStr">
        <is>
          <t>SAU</t>
        </is>
      </c>
      <c r="EM123" t="inlineStr">
        <is>
          <t>SAU</t>
        </is>
      </c>
      <c r="EN123" t="inlineStr">
        <is>
          <t>SAU</t>
        </is>
      </c>
      <c r="EO123" t="inlineStr">
        <is>
          <t>SAU</t>
        </is>
      </c>
      <c r="EP123" t="inlineStr">
        <is>
          <t>SAU</t>
        </is>
      </c>
      <c r="EQ123" t="inlineStr">
        <is>
          <t>SAU</t>
        </is>
      </c>
      <c r="ER123" t="inlineStr">
        <is>
          <t>SAU</t>
        </is>
      </c>
      <c r="ES123" t="inlineStr">
        <is>
          <t>SAU</t>
        </is>
      </c>
      <c r="ET123" t="inlineStr">
        <is>
          <t>SAU</t>
        </is>
      </c>
      <c r="EU123" t="inlineStr">
        <is>
          <t>SAU</t>
        </is>
      </c>
      <c r="EV123" t="inlineStr">
        <is>
          <t>SAU</t>
        </is>
      </c>
      <c r="EW123" t="inlineStr">
        <is>
          <t>SAU</t>
        </is>
      </c>
      <c r="EX123" t="inlineStr">
        <is>
          <t>SAU</t>
        </is>
      </c>
      <c r="EY123" t="inlineStr">
        <is>
          <t>SAU</t>
        </is>
      </c>
      <c r="EZ123" t="inlineStr">
        <is>
          <t>SAU</t>
        </is>
      </c>
      <c r="FA123" t="inlineStr">
        <is>
          <t>SAU</t>
        </is>
      </c>
      <c r="FB123" t="inlineStr">
        <is>
          <t>SAU</t>
        </is>
      </c>
      <c r="FC123" t="inlineStr">
        <is>
          <t>SAU</t>
        </is>
      </c>
      <c r="FD123" t="inlineStr">
        <is>
          <t>SAU</t>
        </is>
      </c>
      <c r="FE123" t="inlineStr">
        <is>
          <t>SAU</t>
        </is>
      </c>
      <c r="FF123" t="inlineStr">
        <is>
          <t>SAU</t>
        </is>
      </c>
      <c r="FG123" t="inlineStr">
        <is>
          <t>SAU</t>
        </is>
      </c>
      <c r="FH123" t="inlineStr">
        <is>
          <t>SAU</t>
        </is>
      </c>
      <c r="FI123" t="inlineStr">
        <is>
          <t>SAU</t>
        </is>
      </c>
      <c r="FJ123" t="inlineStr">
        <is>
          <t>SAU</t>
        </is>
      </c>
      <c r="FK123" t="inlineStr">
        <is>
          <t>SAU</t>
        </is>
      </c>
      <c r="FL123" t="inlineStr">
        <is>
          <t>SAU</t>
        </is>
      </c>
      <c r="FM123" t="inlineStr">
        <is>
          <t>SAU</t>
        </is>
      </c>
      <c r="FN123" t="inlineStr">
        <is>
          <t>SAU</t>
        </is>
      </c>
      <c r="FO123" t="inlineStr">
        <is>
          <t>SAU</t>
        </is>
      </c>
      <c r="FP123" t="inlineStr">
        <is>
          <t>OMN</t>
        </is>
      </c>
      <c r="FQ123" t="inlineStr">
        <is>
          <t>OMN</t>
        </is>
      </c>
      <c r="FR123" t="inlineStr">
        <is>
          <t>OMN</t>
        </is>
      </c>
      <c r="FS123" t="inlineStr">
        <is>
          <t>OMN</t>
        </is>
      </c>
      <c r="FT123" t="inlineStr">
        <is>
          <t>OMN</t>
        </is>
      </c>
      <c r="FU123" t="inlineStr">
        <is>
          <t>OMN</t>
        </is>
      </c>
      <c r="FV123" t="inlineStr">
        <is>
          <t>OMN</t>
        </is>
      </c>
      <c r="GZ123" t="inlineStr">
        <is>
          <t>IND</t>
        </is>
      </c>
      <c r="HA123" t="inlineStr">
        <is>
          <t>IND</t>
        </is>
      </c>
      <c r="HB123" t="inlineStr">
        <is>
          <t>IND</t>
        </is>
      </c>
      <c r="HC123" t="inlineStr">
        <is>
          <t>IND</t>
        </is>
      </c>
      <c r="HD123" t="inlineStr">
        <is>
          <t>IND</t>
        </is>
      </c>
      <c r="HE123" t="inlineStr">
        <is>
          <t>IND</t>
        </is>
      </c>
      <c r="HF123" t="inlineStr">
        <is>
          <t>IND</t>
        </is>
      </c>
      <c r="HG123" t="inlineStr">
        <is>
          <t>IND</t>
        </is>
      </c>
      <c r="HH123" t="inlineStr">
        <is>
          <t>IND</t>
        </is>
      </c>
      <c r="HI123" t="inlineStr">
        <is>
          <t>IND</t>
        </is>
      </c>
      <c r="HJ123" t="inlineStr">
        <is>
          <t>IND</t>
        </is>
      </c>
      <c r="HK123" t="inlineStr">
        <is>
          <t>IND</t>
        </is>
      </c>
      <c r="HL123" t="inlineStr">
        <is>
          <t>IND</t>
        </is>
      </c>
      <c r="HM123" t="inlineStr">
        <is>
          <t>IND</t>
        </is>
      </c>
      <c r="HN123" t="inlineStr">
        <is>
          <t>IND</t>
        </is>
      </c>
      <c r="HO123" t="inlineStr">
        <is>
          <t>IND</t>
        </is>
      </c>
      <c r="HP123" t="inlineStr">
        <is>
          <t>IND</t>
        </is>
      </c>
      <c r="HQ123" t="inlineStr">
        <is>
          <t>IND</t>
        </is>
      </c>
      <c r="HR123" t="inlineStr">
        <is>
          <t>IND</t>
        </is>
      </c>
      <c r="HS123" t="inlineStr">
        <is>
          <t>IND</t>
        </is>
      </c>
      <c r="HT123" t="inlineStr">
        <is>
          <t>IND</t>
        </is>
      </c>
      <c r="HU123" t="inlineStr">
        <is>
          <t>IND</t>
        </is>
      </c>
      <c r="HV123" t="inlineStr">
        <is>
          <t>IND</t>
        </is>
      </c>
      <c r="HW123" t="inlineStr">
        <is>
          <t>IND</t>
        </is>
      </c>
      <c r="HX123" t="inlineStr">
        <is>
          <t>IND</t>
        </is>
      </c>
      <c r="HY123" t="inlineStr">
        <is>
          <t>IND</t>
        </is>
      </c>
      <c r="HZ123" t="inlineStr">
        <is>
          <t>IND</t>
        </is>
      </c>
      <c r="IA123" t="inlineStr">
        <is>
          <t>IND</t>
        </is>
      </c>
      <c r="IM123" t="inlineStr">
        <is>
          <t>MMR</t>
        </is>
      </c>
      <c r="IN123" t="inlineStr">
        <is>
          <t>MMR</t>
        </is>
      </c>
      <c r="IO123" t="inlineStr">
        <is>
          <t>MMR</t>
        </is>
      </c>
      <c r="IP123" t="inlineStr">
        <is>
          <t>MMR</t>
        </is>
      </c>
      <c r="IQ123" t="inlineStr">
        <is>
          <t>MMR</t>
        </is>
      </c>
      <c r="IR123" t="inlineStr">
        <is>
          <t>MMR</t>
        </is>
      </c>
      <c r="IS123" t="inlineStr">
        <is>
          <t>MMR</t>
        </is>
      </c>
      <c r="IT123" t="inlineStr">
        <is>
          <t>MMR</t>
        </is>
      </c>
      <c r="IU123" t="inlineStr">
        <is>
          <t>MMR</t>
        </is>
      </c>
      <c r="IV123" t="inlineStr">
        <is>
          <t>MMR</t>
        </is>
      </c>
      <c r="IW123" t="inlineStr">
        <is>
          <t>MMR</t>
        </is>
      </c>
      <c r="IX123" t="inlineStr">
        <is>
          <t>MMR</t>
        </is>
      </c>
      <c r="IY123" t="inlineStr">
        <is>
          <t>MMR</t>
        </is>
      </c>
      <c r="IZ123" t="inlineStr">
        <is>
          <t>MMR</t>
        </is>
      </c>
      <c r="JA123" t="inlineStr">
        <is>
          <t>MMR</t>
        </is>
      </c>
      <c r="JB123" t="inlineStr">
        <is>
          <t>MMR</t>
        </is>
      </c>
      <c r="JC123" t="inlineStr">
        <is>
          <t>LAO</t>
        </is>
      </c>
      <c r="JD123" t="inlineStr">
        <is>
          <t>LAO</t>
        </is>
      </c>
      <c r="JE123" t="inlineStr">
        <is>
          <t>LAO</t>
        </is>
      </c>
      <c r="JF123" t="inlineStr">
        <is>
          <t>LAO</t>
        </is>
      </c>
      <c r="JG123" t="inlineStr">
        <is>
          <t>LAO</t>
        </is>
      </c>
      <c r="JH123" t="inlineStr">
        <is>
          <t>LAO</t>
        </is>
      </c>
      <c r="JI123" t="inlineStr">
        <is>
          <t>LAO</t>
        </is>
      </c>
      <c r="JJ123" t="inlineStr">
        <is>
          <t>LAO</t>
        </is>
      </c>
      <c r="JK123" t="inlineStr">
        <is>
          <t>VNM</t>
        </is>
      </c>
      <c r="JL123" t="inlineStr">
        <is>
          <t>VNM</t>
        </is>
      </c>
      <c r="JM123" t="inlineStr">
        <is>
          <t>VNM</t>
        </is>
      </c>
      <c r="JN123" t="inlineStr">
        <is>
          <t>VNM</t>
        </is>
      </c>
      <c r="JO123" t="inlineStr">
        <is>
          <t>VNM</t>
        </is>
      </c>
      <c r="JU123" t="inlineStr">
        <is>
          <t>CHN</t>
        </is>
      </c>
    </row>
    <row r="124">
      <c r="AB124" t="inlineStr">
        <is>
          <t>MRT</t>
        </is>
      </c>
      <c r="AC124" t="inlineStr">
        <is>
          <t>MRT</t>
        </is>
      </c>
      <c r="AD124" t="inlineStr">
        <is>
          <t>MRT</t>
        </is>
      </c>
      <c r="AE124" t="inlineStr">
        <is>
          <t>MRT</t>
        </is>
      </c>
      <c r="AF124" t="inlineStr">
        <is>
          <t>MRT</t>
        </is>
      </c>
      <c r="AG124" t="inlineStr">
        <is>
          <t>MRT</t>
        </is>
      </c>
      <c r="AH124" t="inlineStr">
        <is>
          <t>MRT</t>
        </is>
      </c>
      <c r="AI124" t="inlineStr">
        <is>
          <t>MRT</t>
        </is>
      </c>
      <c r="AJ124" t="inlineStr">
        <is>
          <t>MRT</t>
        </is>
      </c>
      <c r="AK124" t="inlineStr">
        <is>
          <t>MRT</t>
        </is>
      </c>
      <c r="AL124" t="inlineStr">
        <is>
          <t>MRT</t>
        </is>
      </c>
      <c r="AM124" t="inlineStr">
        <is>
          <t>MRT</t>
        </is>
      </c>
      <c r="AN124" t="inlineStr">
        <is>
          <t>MRT</t>
        </is>
      </c>
      <c r="AO124" t="inlineStr">
        <is>
          <t>MRT</t>
        </is>
      </c>
      <c r="AP124" t="inlineStr">
        <is>
          <t>MRT</t>
        </is>
      </c>
      <c r="AQ124" t="inlineStr">
        <is>
          <t>MRT</t>
        </is>
      </c>
      <c r="AR124" t="inlineStr">
        <is>
          <t>MRT</t>
        </is>
      </c>
      <c r="AS124" t="inlineStr">
        <is>
          <t>MRT</t>
        </is>
      </c>
      <c r="AT124" t="inlineStr">
        <is>
          <t>MRT</t>
        </is>
      </c>
      <c r="AU124" t="inlineStr">
        <is>
          <t>MRT</t>
        </is>
      </c>
      <c r="AV124" t="inlineStr">
        <is>
          <t>MRT</t>
        </is>
      </c>
      <c r="AW124" t="inlineStr">
        <is>
          <t>MRT</t>
        </is>
      </c>
      <c r="AX124" t="inlineStr">
        <is>
          <t>MLI</t>
        </is>
      </c>
      <c r="AY124" t="inlineStr">
        <is>
          <t>MLI</t>
        </is>
      </c>
      <c r="AZ124" t="inlineStr">
        <is>
          <t>MLI</t>
        </is>
      </c>
      <c r="BA124" t="inlineStr">
        <is>
          <t>MLI</t>
        </is>
      </c>
      <c r="BB124" t="inlineStr">
        <is>
          <t>MLI</t>
        </is>
      </c>
      <c r="BC124" t="inlineStr">
        <is>
          <t>MLI</t>
        </is>
      </c>
      <c r="BD124" t="inlineStr">
        <is>
          <t>MLI</t>
        </is>
      </c>
      <c r="BE124" t="inlineStr">
        <is>
          <t>MLI</t>
        </is>
      </c>
      <c r="BF124" t="inlineStr">
        <is>
          <t>MLI</t>
        </is>
      </c>
      <c r="BG124" t="inlineStr">
        <is>
          <t>MLI</t>
        </is>
      </c>
      <c r="BH124" t="inlineStr">
        <is>
          <t>MLI</t>
        </is>
      </c>
      <c r="BI124" t="inlineStr">
        <is>
          <t>MLI</t>
        </is>
      </c>
      <c r="BJ124" t="inlineStr">
        <is>
          <t>MLI</t>
        </is>
      </c>
      <c r="BK124" t="inlineStr">
        <is>
          <t>MLI</t>
        </is>
      </c>
      <c r="BL124" t="inlineStr">
        <is>
          <t>DZA</t>
        </is>
      </c>
      <c r="BM124" t="inlineStr">
        <is>
          <t>DZA</t>
        </is>
      </c>
      <c r="BN124" t="inlineStr">
        <is>
          <t>DZA</t>
        </is>
      </c>
      <c r="BO124" t="inlineStr">
        <is>
          <t>DZA</t>
        </is>
      </c>
      <c r="BP124" t="inlineStr">
        <is>
          <t>DZA</t>
        </is>
      </c>
      <c r="BQ124" t="inlineStr">
        <is>
          <t>DZA</t>
        </is>
      </c>
      <c r="BR124" t="inlineStr">
        <is>
          <t>DZA</t>
        </is>
      </c>
      <c r="BS124" t="inlineStr">
        <is>
          <t>DZA</t>
        </is>
      </c>
      <c r="BT124" t="inlineStr">
        <is>
          <t>DZA</t>
        </is>
      </c>
      <c r="BU124" t="inlineStr">
        <is>
          <t>DZA</t>
        </is>
      </c>
      <c r="BV124" t="inlineStr">
        <is>
          <t>DZA</t>
        </is>
      </c>
      <c r="BW124" t="inlineStr">
        <is>
          <t>DZA</t>
        </is>
      </c>
      <c r="BX124" t="inlineStr">
        <is>
          <t>DZA</t>
        </is>
      </c>
      <c r="BY124" t="inlineStr">
        <is>
          <t>DZA</t>
        </is>
      </c>
      <c r="BZ124" t="inlineStr">
        <is>
          <t>NER</t>
        </is>
      </c>
      <c r="CA124" t="inlineStr">
        <is>
          <t>NER</t>
        </is>
      </c>
      <c r="CB124" t="inlineStr">
        <is>
          <t>NER</t>
        </is>
      </c>
      <c r="CC124" t="inlineStr">
        <is>
          <t>NER</t>
        </is>
      </c>
      <c r="CD124" t="inlineStr">
        <is>
          <t>NER</t>
        </is>
      </c>
      <c r="CE124" t="inlineStr">
        <is>
          <t>NER</t>
        </is>
      </c>
      <c r="CF124" t="inlineStr">
        <is>
          <t>NER</t>
        </is>
      </c>
      <c r="CG124" t="inlineStr">
        <is>
          <t>NER</t>
        </is>
      </c>
      <c r="CH124" t="inlineStr">
        <is>
          <t>NER</t>
        </is>
      </c>
      <c r="CI124" t="inlineStr">
        <is>
          <t>NER</t>
        </is>
      </c>
      <c r="CJ124" t="inlineStr">
        <is>
          <t>NER</t>
        </is>
      </c>
      <c r="CK124" t="inlineStr">
        <is>
          <t>NER</t>
        </is>
      </c>
      <c r="CL124" t="inlineStr">
        <is>
          <t>NER</t>
        </is>
      </c>
      <c r="CM124" t="inlineStr">
        <is>
          <t>NER</t>
        </is>
      </c>
      <c r="CN124" t="inlineStr">
        <is>
          <t>TCD</t>
        </is>
      </c>
      <c r="CO124" t="inlineStr">
        <is>
          <t>TCD</t>
        </is>
      </c>
      <c r="CP124" t="inlineStr">
        <is>
          <t>TCD</t>
        </is>
      </c>
      <c r="CQ124" t="inlineStr">
        <is>
          <t>TCD</t>
        </is>
      </c>
      <c r="CR124" t="inlineStr">
        <is>
          <t>TCD</t>
        </is>
      </c>
      <c r="CS124" t="inlineStr">
        <is>
          <t>TCD</t>
        </is>
      </c>
      <c r="CT124" t="inlineStr">
        <is>
          <t>TCD</t>
        </is>
      </c>
      <c r="CU124" t="inlineStr">
        <is>
          <t>TCD</t>
        </is>
      </c>
      <c r="CV124" t="inlineStr">
        <is>
          <t>TCD</t>
        </is>
      </c>
      <c r="CW124" t="inlineStr">
        <is>
          <t>TCD</t>
        </is>
      </c>
      <c r="CX124" t="inlineStr">
        <is>
          <t>TCD</t>
        </is>
      </c>
      <c r="CY124" t="inlineStr">
        <is>
          <t>LBY</t>
        </is>
      </c>
      <c r="CZ124" t="inlineStr">
        <is>
          <t>LBY</t>
        </is>
      </c>
      <c r="DA124" t="inlineStr">
        <is>
          <t>LBY</t>
        </is>
      </c>
      <c r="DB124" t="inlineStr">
        <is>
          <t>LBY</t>
        </is>
      </c>
      <c r="DC124" t="inlineStr">
        <is>
          <t>LBY</t>
        </is>
      </c>
      <c r="DD124" t="inlineStr">
        <is>
          <t>LBY</t>
        </is>
      </c>
      <c r="DE124" t="inlineStr">
        <is>
          <t>LBY</t>
        </is>
      </c>
      <c r="DF124" t="inlineStr">
        <is>
          <t>LBY</t>
        </is>
      </c>
      <c r="DG124" t="inlineStr">
        <is>
          <t>LBY</t>
        </is>
      </c>
      <c r="DH124" t="inlineStr">
        <is>
          <t>SDN</t>
        </is>
      </c>
      <c r="DI124" t="inlineStr">
        <is>
          <t>SDN</t>
        </is>
      </c>
      <c r="DJ124" t="inlineStr">
        <is>
          <t>SDN</t>
        </is>
      </c>
      <c r="DK124" t="inlineStr">
        <is>
          <t>SDN</t>
        </is>
      </c>
      <c r="DL124" t="inlineStr">
        <is>
          <t>SDN</t>
        </is>
      </c>
      <c r="DM124" t="inlineStr">
        <is>
          <t>SDN</t>
        </is>
      </c>
      <c r="DN124" t="inlineStr">
        <is>
          <t>SDN</t>
        </is>
      </c>
      <c r="DO124" t="inlineStr">
        <is>
          <t>SDN</t>
        </is>
      </c>
      <c r="DP124" t="inlineStr">
        <is>
          <t>SDN</t>
        </is>
      </c>
      <c r="DQ124" t="inlineStr">
        <is>
          <t>SDN</t>
        </is>
      </c>
      <c r="DR124" t="inlineStr">
        <is>
          <t>SDN</t>
        </is>
      </c>
      <c r="DS124" t="inlineStr">
        <is>
          <t>SDN</t>
        </is>
      </c>
      <c r="DT124" t="inlineStr">
        <is>
          <t>SDN</t>
        </is>
      </c>
      <c r="DU124" t="inlineStr">
        <is>
          <t>SDN</t>
        </is>
      </c>
      <c r="DV124" t="inlineStr">
        <is>
          <t>SDN</t>
        </is>
      </c>
      <c r="DW124" t="inlineStr">
        <is>
          <t>SDN</t>
        </is>
      </c>
      <c r="DX124" t="inlineStr">
        <is>
          <t>SDN</t>
        </is>
      </c>
      <c r="DY124" t="inlineStr">
        <is>
          <t>SDN</t>
        </is>
      </c>
      <c r="DZ124" t="inlineStr">
        <is>
          <t>SDN</t>
        </is>
      </c>
      <c r="EA124" t="inlineStr">
        <is>
          <t>SDN</t>
        </is>
      </c>
      <c r="EB124" t="inlineStr">
        <is>
          <t>SDN</t>
        </is>
      </c>
      <c r="EC124" t="inlineStr">
        <is>
          <t>SDN</t>
        </is>
      </c>
      <c r="ED124" t="inlineStr">
        <is>
          <t>SDN</t>
        </is>
      </c>
      <c r="EE124" t="inlineStr">
        <is>
          <t>SDN</t>
        </is>
      </c>
      <c r="EJ124" t="inlineStr">
        <is>
          <t>SAU</t>
        </is>
      </c>
      <c r="EK124" t="inlineStr">
        <is>
          <t>SAU</t>
        </is>
      </c>
      <c r="EL124" t="inlineStr">
        <is>
          <t>SAU</t>
        </is>
      </c>
      <c r="EM124" t="inlineStr">
        <is>
          <t>SAU</t>
        </is>
      </c>
      <c r="EN124" t="inlineStr">
        <is>
          <t>SAU</t>
        </is>
      </c>
      <c r="EO124" t="inlineStr">
        <is>
          <t>SAU</t>
        </is>
      </c>
      <c r="EP124" t="inlineStr">
        <is>
          <t>SAU</t>
        </is>
      </c>
      <c r="EQ124" t="inlineStr">
        <is>
          <t>SAU</t>
        </is>
      </c>
      <c r="ER124" t="inlineStr">
        <is>
          <t>SAU</t>
        </is>
      </c>
      <c r="ES124" t="inlineStr">
        <is>
          <t>SAU</t>
        </is>
      </c>
      <c r="ET124" t="inlineStr">
        <is>
          <t>SAU</t>
        </is>
      </c>
      <c r="EU124" t="inlineStr">
        <is>
          <t>SAU</t>
        </is>
      </c>
      <c r="EV124" t="inlineStr">
        <is>
          <t>SAU</t>
        </is>
      </c>
      <c r="EW124" t="inlineStr">
        <is>
          <t>SAU</t>
        </is>
      </c>
      <c r="EX124" t="inlineStr">
        <is>
          <t>SAU</t>
        </is>
      </c>
      <c r="EY124" t="inlineStr">
        <is>
          <t>SAU</t>
        </is>
      </c>
      <c r="EZ124" t="inlineStr">
        <is>
          <t>SAU</t>
        </is>
      </c>
      <c r="FA124" t="inlineStr">
        <is>
          <t>SAU</t>
        </is>
      </c>
      <c r="FB124" t="inlineStr">
        <is>
          <t>SAU</t>
        </is>
      </c>
      <c r="FC124" t="inlineStr">
        <is>
          <t>SAU</t>
        </is>
      </c>
      <c r="FD124" t="inlineStr">
        <is>
          <t>SAU</t>
        </is>
      </c>
      <c r="FE124" t="inlineStr">
        <is>
          <t>SAU</t>
        </is>
      </c>
      <c r="FF124" t="inlineStr">
        <is>
          <t>SAU</t>
        </is>
      </c>
      <c r="FG124" t="inlineStr">
        <is>
          <t>SAU</t>
        </is>
      </c>
      <c r="FH124" t="inlineStr">
        <is>
          <t>SAU</t>
        </is>
      </c>
      <c r="FI124" t="inlineStr">
        <is>
          <t>SAU</t>
        </is>
      </c>
      <c r="FJ124" t="inlineStr">
        <is>
          <t>SAU</t>
        </is>
      </c>
      <c r="FK124" t="inlineStr">
        <is>
          <t>SAU</t>
        </is>
      </c>
      <c r="FL124" t="inlineStr">
        <is>
          <t>SAU</t>
        </is>
      </c>
      <c r="FM124" t="inlineStr">
        <is>
          <t>SAU</t>
        </is>
      </c>
      <c r="FN124" t="inlineStr">
        <is>
          <t>SAU</t>
        </is>
      </c>
      <c r="FO124" t="inlineStr">
        <is>
          <t>SAU</t>
        </is>
      </c>
      <c r="FP124" t="inlineStr">
        <is>
          <t>SAU</t>
        </is>
      </c>
      <c r="FQ124" t="inlineStr">
        <is>
          <t>OMN</t>
        </is>
      </c>
      <c r="FR124" t="inlineStr">
        <is>
          <t>OMN</t>
        </is>
      </c>
      <c r="FS124" t="inlineStr">
        <is>
          <t>OMN</t>
        </is>
      </c>
      <c r="FT124" t="inlineStr">
        <is>
          <t>OMN</t>
        </is>
      </c>
      <c r="FU124" t="inlineStr">
        <is>
          <t>OMN</t>
        </is>
      </c>
      <c r="FV124" t="inlineStr">
        <is>
          <t>OMN</t>
        </is>
      </c>
      <c r="FW124" t="inlineStr">
        <is>
          <t>OMN</t>
        </is>
      </c>
      <c r="GT124" t="inlineStr">
        <is>
          <t>IND</t>
        </is>
      </c>
      <c r="GU124" t="inlineStr">
        <is>
          <t>IND</t>
        </is>
      </c>
      <c r="GV124" t="inlineStr">
        <is>
          <t>IND</t>
        </is>
      </c>
      <c r="GW124" t="inlineStr">
        <is>
          <t>IND</t>
        </is>
      </c>
      <c r="GX124" t="inlineStr">
        <is>
          <t>IND</t>
        </is>
      </c>
      <c r="GY124" t="inlineStr">
        <is>
          <t>IND</t>
        </is>
      </c>
      <c r="GZ124" t="inlineStr">
        <is>
          <t>IND</t>
        </is>
      </c>
      <c r="HA124" t="inlineStr">
        <is>
          <t>IND</t>
        </is>
      </c>
      <c r="HB124" t="inlineStr">
        <is>
          <t>IND</t>
        </is>
      </c>
      <c r="HC124" t="inlineStr">
        <is>
          <t>IND</t>
        </is>
      </c>
      <c r="HD124" t="inlineStr">
        <is>
          <t>IND</t>
        </is>
      </c>
      <c r="HE124" t="inlineStr">
        <is>
          <t>IND</t>
        </is>
      </c>
      <c r="HF124" t="inlineStr">
        <is>
          <t>IND</t>
        </is>
      </c>
      <c r="HG124" t="inlineStr">
        <is>
          <t>IND</t>
        </is>
      </c>
      <c r="HH124" t="inlineStr">
        <is>
          <t>IND</t>
        </is>
      </c>
      <c r="HI124" t="inlineStr">
        <is>
          <t>IND</t>
        </is>
      </c>
      <c r="HJ124" t="inlineStr">
        <is>
          <t>IND</t>
        </is>
      </c>
      <c r="HK124" t="inlineStr">
        <is>
          <t>IND</t>
        </is>
      </c>
      <c r="HL124" t="inlineStr">
        <is>
          <t>IND</t>
        </is>
      </c>
      <c r="HM124" t="inlineStr">
        <is>
          <t>IND</t>
        </is>
      </c>
      <c r="HN124" t="inlineStr">
        <is>
          <t>IND</t>
        </is>
      </c>
      <c r="HO124" t="inlineStr">
        <is>
          <t>IND</t>
        </is>
      </c>
      <c r="HP124" t="inlineStr">
        <is>
          <t>IND</t>
        </is>
      </c>
      <c r="HQ124" t="inlineStr">
        <is>
          <t>IND</t>
        </is>
      </c>
      <c r="HR124" t="inlineStr">
        <is>
          <t>IND</t>
        </is>
      </c>
      <c r="HS124" t="inlineStr">
        <is>
          <t>IND</t>
        </is>
      </c>
      <c r="HT124" t="inlineStr">
        <is>
          <t>IND</t>
        </is>
      </c>
      <c r="HU124" t="inlineStr">
        <is>
          <t>IND</t>
        </is>
      </c>
      <c r="HV124" t="inlineStr">
        <is>
          <t>IND</t>
        </is>
      </c>
      <c r="HW124" t="inlineStr">
        <is>
          <t>IND</t>
        </is>
      </c>
      <c r="HX124" t="inlineStr">
        <is>
          <t>IND</t>
        </is>
      </c>
      <c r="HY124" t="inlineStr">
        <is>
          <t>IND</t>
        </is>
      </c>
      <c r="HZ124" t="inlineStr">
        <is>
          <t>IND</t>
        </is>
      </c>
      <c r="IA124" t="inlineStr">
        <is>
          <t>IND</t>
        </is>
      </c>
      <c r="IL124" t="inlineStr">
        <is>
          <t>BGD</t>
        </is>
      </c>
      <c r="IM124" t="inlineStr">
        <is>
          <t>MMR</t>
        </is>
      </c>
      <c r="IN124" t="inlineStr">
        <is>
          <t>MMR</t>
        </is>
      </c>
      <c r="IO124" t="inlineStr">
        <is>
          <t>MMR</t>
        </is>
      </c>
      <c r="IP124" t="inlineStr">
        <is>
          <t>MMR</t>
        </is>
      </c>
      <c r="IQ124" t="inlineStr">
        <is>
          <t>MMR</t>
        </is>
      </c>
      <c r="IR124" t="inlineStr">
        <is>
          <t>MMR</t>
        </is>
      </c>
      <c r="IS124" t="inlineStr">
        <is>
          <t>MMR</t>
        </is>
      </c>
      <c r="IT124" t="inlineStr">
        <is>
          <t>MMR</t>
        </is>
      </c>
      <c r="IU124" t="inlineStr">
        <is>
          <t>MMR</t>
        </is>
      </c>
      <c r="IV124" t="inlineStr">
        <is>
          <t>MMR</t>
        </is>
      </c>
      <c r="IW124" t="inlineStr">
        <is>
          <t>MMR</t>
        </is>
      </c>
      <c r="IX124" t="inlineStr">
        <is>
          <t>MMR</t>
        </is>
      </c>
      <c r="IY124" t="inlineStr">
        <is>
          <t>MMR</t>
        </is>
      </c>
      <c r="IZ124" t="inlineStr">
        <is>
          <t>MMR</t>
        </is>
      </c>
      <c r="JA124" t="inlineStr">
        <is>
          <t>MMR</t>
        </is>
      </c>
      <c r="JB124" t="inlineStr">
        <is>
          <t>MMR</t>
        </is>
      </c>
      <c r="JC124" t="inlineStr">
        <is>
          <t>MMR</t>
        </is>
      </c>
      <c r="JD124" t="inlineStr">
        <is>
          <t>LAO</t>
        </is>
      </c>
      <c r="JE124" t="inlineStr">
        <is>
          <t>CHN</t>
        </is>
      </c>
      <c r="JF124" t="inlineStr">
        <is>
          <t>LAO</t>
        </is>
      </c>
      <c r="JG124" t="inlineStr">
        <is>
          <t>LAO</t>
        </is>
      </c>
      <c r="JH124" t="inlineStr">
        <is>
          <t>VNM</t>
        </is>
      </c>
      <c r="JI124" t="inlineStr">
        <is>
          <t>VNM</t>
        </is>
      </c>
      <c r="JJ124" t="inlineStr">
        <is>
          <t>VNM</t>
        </is>
      </c>
      <c r="JK124" t="inlineStr">
        <is>
          <t>VNM</t>
        </is>
      </c>
      <c r="JL124" t="inlineStr">
        <is>
          <t>VNM</t>
        </is>
      </c>
      <c r="JM124" t="inlineStr">
        <is>
          <t>VNM</t>
        </is>
      </c>
      <c r="JN124" t="inlineStr">
        <is>
          <t>VNM</t>
        </is>
      </c>
      <c r="JO124" t="inlineStr">
        <is>
          <t>VNM</t>
        </is>
      </c>
      <c r="JP124" t="inlineStr">
        <is>
          <t>VNM</t>
        </is>
      </c>
    </row>
    <row r="125">
      <c r="AB125" t="inlineStr">
        <is>
          <t>MAR</t>
        </is>
      </c>
      <c r="AC125" t="inlineStr">
        <is>
          <t>MAR</t>
        </is>
      </c>
      <c r="AD125" t="inlineStr">
        <is>
          <t>MAR</t>
        </is>
      </c>
      <c r="AE125" t="inlineStr">
        <is>
          <t>MAR</t>
        </is>
      </c>
      <c r="AF125" t="inlineStr">
        <is>
          <t>MAR</t>
        </is>
      </c>
      <c r="AG125" t="inlineStr">
        <is>
          <t>ESH</t>
        </is>
      </c>
      <c r="AH125" t="inlineStr">
        <is>
          <t>ESH</t>
        </is>
      </c>
      <c r="AI125" t="inlineStr">
        <is>
          <t>ESH</t>
        </is>
      </c>
      <c r="AJ125" t="inlineStr">
        <is>
          <t>MRT</t>
        </is>
      </c>
      <c r="AK125" t="inlineStr">
        <is>
          <t>MRT</t>
        </is>
      </c>
      <c r="AL125" t="inlineStr">
        <is>
          <t>MRT</t>
        </is>
      </c>
      <c r="AM125" t="inlineStr">
        <is>
          <t>MRT</t>
        </is>
      </c>
      <c r="AN125" t="inlineStr">
        <is>
          <t>MRT</t>
        </is>
      </c>
      <c r="AO125" t="inlineStr">
        <is>
          <t>MRT</t>
        </is>
      </c>
      <c r="AP125" t="inlineStr">
        <is>
          <t>MRT</t>
        </is>
      </c>
      <c r="AQ125" t="inlineStr">
        <is>
          <t>MRT</t>
        </is>
      </c>
      <c r="AR125" t="inlineStr">
        <is>
          <t>MRT</t>
        </is>
      </c>
      <c r="AS125" t="inlineStr">
        <is>
          <t>MRT</t>
        </is>
      </c>
      <c r="AT125" t="inlineStr">
        <is>
          <t>MRT</t>
        </is>
      </c>
      <c r="AU125" t="inlineStr">
        <is>
          <t>MRT</t>
        </is>
      </c>
      <c r="AV125" t="inlineStr">
        <is>
          <t>MRT</t>
        </is>
      </c>
      <c r="AW125" t="inlineStr">
        <is>
          <t>MRT</t>
        </is>
      </c>
      <c r="AX125" t="inlineStr">
        <is>
          <t>MLI</t>
        </is>
      </c>
      <c r="AY125" t="inlineStr">
        <is>
          <t>MLI</t>
        </is>
      </c>
      <c r="AZ125" t="inlineStr">
        <is>
          <t>MLI</t>
        </is>
      </c>
      <c r="BA125" t="inlineStr">
        <is>
          <t>MLI</t>
        </is>
      </c>
      <c r="BB125" t="inlineStr">
        <is>
          <t>MLI</t>
        </is>
      </c>
      <c r="BC125" t="inlineStr">
        <is>
          <t>MLI</t>
        </is>
      </c>
      <c r="BD125" t="inlineStr">
        <is>
          <t>MLI</t>
        </is>
      </c>
      <c r="BE125" t="inlineStr">
        <is>
          <t>MLI</t>
        </is>
      </c>
      <c r="BF125" t="inlineStr">
        <is>
          <t>MLI</t>
        </is>
      </c>
      <c r="BG125" t="inlineStr">
        <is>
          <t>MLI</t>
        </is>
      </c>
      <c r="BH125" t="inlineStr">
        <is>
          <t>MLI</t>
        </is>
      </c>
      <c r="BI125" t="inlineStr">
        <is>
          <t>MLI</t>
        </is>
      </c>
      <c r="BJ125" t="inlineStr">
        <is>
          <t>DZA</t>
        </is>
      </c>
      <c r="BK125" t="inlineStr">
        <is>
          <t>DZA</t>
        </is>
      </c>
      <c r="BL125" t="inlineStr">
        <is>
          <t>DZA</t>
        </is>
      </c>
      <c r="BM125" t="inlineStr">
        <is>
          <t>DZA</t>
        </is>
      </c>
      <c r="BN125" t="inlineStr">
        <is>
          <t>DZA</t>
        </is>
      </c>
      <c r="BO125" t="inlineStr">
        <is>
          <t>DZA</t>
        </is>
      </c>
      <c r="BP125" t="inlineStr">
        <is>
          <t>DZA</t>
        </is>
      </c>
      <c r="BQ125" t="inlineStr">
        <is>
          <t>DZA</t>
        </is>
      </c>
      <c r="BR125" t="inlineStr">
        <is>
          <t>DZA</t>
        </is>
      </c>
      <c r="BS125" t="inlineStr">
        <is>
          <t>DZA</t>
        </is>
      </c>
      <c r="BT125" t="inlineStr">
        <is>
          <t>DZA</t>
        </is>
      </c>
      <c r="BU125" t="inlineStr">
        <is>
          <t>DZA</t>
        </is>
      </c>
      <c r="BV125" t="inlineStr">
        <is>
          <t>DZA</t>
        </is>
      </c>
      <c r="BW125" t="inlineStr">
        <is>
          <t>DZA</t>
        </is>
      </c>
      <c r="BX125" t="inlineStr">
        <is>
          <t>DZA</t>
        </is>
      </c>
      <c r="BY125" t="inlineStr">
        <is>
          <t>DZA</t>
        </is>
      </c>
      <c r="BZ125" t="inlineStr">
        <is>
          <t>DZA</t>
        </is>
      </c>
      <c r="CA125" t="inlineStr">
        <is>
          <t>DZA</t>
        </is>
      </c>
      <c r="CB125" t="inlineStr">
        <is>
          <t>NER</t>
        </is>
      </c>
      <c r="CC125" t="inlineStr">
        <is>
          <t>NER</t>
        </is>
      </c>
      <c r="CD125" t="inlineStr">
        <is>
          <t>NER</t>
        </is>
      </c>
      <c r="CE125" t="inlineStr">
        <is>
          <t>NER</t>
        </is>
      </c>
      <c r="CF125" t="inlineStr">
        <is>
          <t>NER</t>
        </is>
      </c>
      <c r="CG125" t="inlineStr">
        <is>
          <t>NER</t>
        </is>
      </c>
      <c r="CH125" t="inlineStr">
        <is>
          <t>NER</t>
        </is>
      </c>
      <c r="CI125" t="inlineStr">
        <is>
          <t>NER</t>
        </is>
      </c>
      <c r="CJ125" t="inlineStr">
        <is>
          <t>NER</t>
        </is>
      </c>
      <c r="CK125" t="inlineStr">
        <is>
          <t>NER</t>
        </is>
      </c>
      <c r="CL125" t="inlineStr">
        <is>
          <t>NER</t>
        </is>
      </c>
      <c r="CM125" t="inlineStr">
        <is>
          <t>NER</t>
        </is>
      </c>
      <c r="CN125" t="inlineStr">
        <is>
          <t>TCD</t>
        </is>
      </c>
      <c r="CO125" t="inlineStr">
        <is>
          <t>TCD</t>
        </is>
      </c>
      <c r="CP125" t="inlineStr">
        <is>
          <t>TCD</t>
        </is>
      </c>
      <c r="CQ125" t="inlineStr">
        <is>
          <t>TCD</t>
        </is>
      </c>
      <c r="CR125" t="inlineStr">
        <is>
          <t>TCD</t>
        </is>
      </c>
      <c r="CS125" t="inlineStr">
        <is>
          <t>TCD</t>
        </is>
      </c>
      <c r="CT125" t="inlineStr">
        <is>
          <t>TCD</t>
        </is>
      </c>
      <c r="CU125" t="inlineStr">
        <is>
          <t>TCD</t>
        </is>
      </c>
      <c r="CV125" t="inlineStr">
        <is>
          <t>TCD</t>
        </is>
      </c>
      <c r="CW125" t="inlineStr">
        <is>
          <t>LBY</t>
        </is>
      </c>
      <c r="CX125" t="inlineStr">
        <is>
          <t>LBY</t>
        </is>
      </c>
      <c r="CY125" t="inlineStr">
        <is>
          <t>LBY</t>
        </is>
      </c>
      <c r="CZ125" t="inlineStr">
        <is>
          <t>LBY</t>
        </is>
      </c>
      <c r="DA125" t="inlineStr">
        <is>
          <t>LBY</t>
        </is>
      </c>
      <c r="DB125" t="inlineStr">
        <is>
          <t>LBY</t>
        </is>
      </c>
      <c r="DC125" t="inlineStr">
        <is>
          <t>LBY</t>
        </is>
      </c>
      <c r="DD125" t="inlineStr">
        <is>
          <t>LBY</t>
        </is>
      </c>
      <c r="DE125" t="inlineStr">
        <is>
          <t>LBY</t>
        </is>
      </c>
      <c r="DF125" t="inlineStr">
        <is>
          <t>LBY</t>
        </is>
      </c>
      <c r="DG125" t="inlineStr">
        <is>
          <t>LBY</t>
        </is>
      </c>
      <c r="DH125" t="inlineStr">
        <is>
          <t>SDN</t>
        </is>
      </c>
      <c r="DI125" t="inlineStr">
        <is>
          <t>SDN</t>
        </is>
      </c>
      <c r="DJ125" t="inlineStr">
        <is>
          <t>SDN</t>
        </is>
      </c>
      <c r="DK125" t="inlineStr">
        <is>
          <t>SDN</t>
        </is>
      </c>
      <c r="DL125" t="inlineStr">
        <is>
          <t>SDN</t>
        </is>
      </c>
      <c r="DM125" t="inlineStr">
        <is>
          <t>SDN</t>
        </is>
      </c>
      <c r="DN125" t="inlineStr">
        <is>
          <t>SDN</t>
        </is>
      </c>
      <c r="DO125" t="inlineStr">
        <is>
          <t>SDN</t>
        </is>
      </c>
      <c r="DP125" t="inlineStr">
        <is>
          <t>SDN</t>
        </is>
      </c>
      <c r="DQ125" t="inlineStr">
        <is>
          <t>SDN</t>
        </is>
      </c>
      <c r="DR125" t="inlineStr">
        <is>
          <t>SDN</t>
        </is>
      </c>
      <c r="DS125" t="inlineStr">
        <is>
          <t>SDN</t>
        </is>
      </c>
      <c r="DT125" t="inlineStr">
        <is>
          <t>SDN</t>
        </is>
      </c>
      <c r="DU125" t="inlineStr">
        <is>
          <t>SDN</t>
        </is>
      </c>
      <c r="DV125" t="inlineStr">
        <is>
          <t>SDN</t>
        </is>
      </c>
      <c r="DW125" t="inlineStr">
        <is>
          <t>SDN</t>
        </is>
      </c>
      <c r="DX125" t="inlineStr">
        <is>
          <t>SDN</t>
        </is>
      </c>
      <c r="DY125" t="inlineStr">
        <is>
          <t>SDN</t>
        </is>
      </c>
      <c r="DZ125" t="inlineStr">
        <is>
          <t>SDN</t>
        </is>
      </c>
      <c r="EA125" t="inlineStr">
        <is>
          <t>SDN</t>
        </is>
      </c>
      <c r="EB125" t="inlineStr">
        <is>
          <t>SDN</t>
        </is>
      </c>
      <c r="EC125" t="inlineStr">
        <is>
          <t>SDN</t>
        </is>
      </c>
      <c r="ED125" t="inlineStr">
        <is>
          <t>SDN</t>
        </is>
      </c>
      <c r="EE125" t="inlineStr">
        <is>
          <t>SDN</t>
        </is>
      </c>
      <c r="EJ125" t="inlineStr">
        <is>
          <t>SAU</t>
        </is>
      </c>
      <c r="EK125" t="inlineStr">
        <is>
          <t>SAU</t>
        </is>
      </c>
      <c r="EL125" t="inlineStr">
        <is>
          <t>SAU</t>
        </is>
      </c>
      <c r="EM125" t="inlineStr">
        <is>
          <t>SAU</t>
        </is>
      </c>
      <c r="EN125" t="inlineStr">
        <is>
          <t>SAU</t>
        </is>
      </c>
      <c r="EO125" t="inlineStr">
        <is>
          <t>SAU</t>
        </is>
      </c>
      <c r="EP125" t="inlineStr">
        <is>
          <t>SAU</t>
        </is>
      </c>
      <c r="EQ125" t="inlineStr">
        <is>
          <t>SAU</t>
        </is>
      </c>
      <c r="ER125" t="inlineStr">
        <is>
          <t>SAU</t>
        </is>
      </c>
      <c r="ES125" t="inlineStr">
        <is>
          <t>SAU</t>
        </is>
      </c>
      <c r="ET125" t="inlineStr">
        <is>
          <t>SAU</t>
        </is>
      </c>
      <c r="EU125" t="inlineStr">
        <is>
          <t>SAU</t>
        </is>
      </c>
      <c r="EV125" t="inlineStr">
        <is>
          <t>SAU</t>
        </is>
      </c>
      <c r="EW125" t="inlineStr">
        <is>
          <t>SAU</t>
        </is>
      </c>
      <c r="EX125" t="inlineStr">
        <is>
          <t>SAU</t>
        </is>
      </c>
      <c r="EY125" t="inlineStr">
        <is>
          <t>SAU</t>
        </is>
      </c>
      <c r="EZ125" t="inlineStr">
        <is>
          <t>SAU</t>
        </is>
      </c>
      <c r="FA125" t="inlineStr">
        <is>
          <t>SAU</t>
        </is>
      </c>
      <c r="FB125" t="inlineStr">
        <is>
          <t>SAU</t>
        </is>
      </c>
      <c r="FC125" t="inlineStr">
        <is>
          <t>SAU</t>
        </is>
      </c>
      <c r="FD125" t="inlineStr">
        <is>
          <t>SAU</t>
        </is>
      </c>
      <c r="FE125" t="inlineStr">
        <is>
          <t>SAU</t>
        </is>
      </c>
      <c r="FF125" t="inlineStr">
        <is>
          <t>SAU</t>
        </is>
      </c>
      <c r="FG125" t="inlineStr">
        <is>
          <t>SAU</t>
        </is>
      </c>
      <c r="FH125" t="inlineStr">
        <is>
          <t>SAU</t>
        </is>
      </c>
      <c r="FI125" t="inlineStr">
        <is>
          <t>SAU</t>
        </is>
      </c>
      <c r="FJ125" t="inlineStr">
        <is>
          <t>SAU</t>
        </is>
      </c>
      <c r="FK125" t="inlineStr">
        <is>
          <t>SAU</t>
        </is>
      </c>
      <c r="FL125" t="inlineStr">
        <is>
          <t>SAU</t>
        </is>
      </c>
      <c r="FM125" t="inlineStr">
        <is>
          <t>SAU</t>
        </is>
      </c>
      <c r="FN125" t="inlineStr">
        <is>
          <t>SAU</t>
        </is>
      </c>
      <c r="FO125" t="inlineStr">
        <is>
          <t>SAU</t>
        </is>
      </c>
      <c r="FP125" t="inlineStr">
        <is>
          <t>SAU</t>
        </is>
      </c>
      <c r="FQ125" t="inlineStr">
        <is>
          <t>OMN</t>
        </is>
      </c>
      <c r="FR125" t="inlineStr">
        <is>
          <t>OMN</t>
        </is>
      </c>
      <c r="FS125" t="inlineStr">
        <is>
          <t>OMN</t>
        </is>
      </c>
      <c r="FT125" t="inlineStr">
        <is>
          <t>OMN</t>
        </is>
      </c>
      <c r="FU125" t="inlineStr">
        <is>
          <t>OMN</t>
        </is>
      </c>
      <c r="FV125" t="inlineStr">
        <is>
          <t>OMN</t>
        </is>
      </c>
      <c r="FW125" t="inlineStr">
        <is>
          <t>OMN</t>
        </is>
      </c>
      <c r="FX125" t="inlineStr">
        <is>
          <t>OMN</t>
        </is>
      </c>
      <c r="GS125" t="inlineStr">
        <is>
          <t>IND</t>
        </is>
      </c>
      <c r="GT125" t="inlineStr">
        <is>
          <t>IND</t>
        </is>
      </c>
      <c r="GU125" t="inlineStr">
        <is>
          <t>IND</t>
        </is>
      </c>
      <c r="GV125" t="inlineStr">
        <is>
          <t>IND</t>
        </is>
      </c>
      <c r="GW125" t="inlineStr">
        <is>
          <t>IND</t>
        </is>
      </c>
      <c r="GX125" t="inlineStr">
        <is>
          <t>IND</t>
        </is>
      </c>
      <c r="GY125" t="inlineStr">
        <is>
          <t>IND</t>
        </is>
      </c>
      <c r="GZ125" t="inlineStr">
        <is>
          <t>IND</t>
        </is>
      </c>
      <c r="HA125" t="inlineStr">
        <is>
          <t>IND</t>
        </is>
      </c>
      <c r="HB125" t="inlineStr">
        <is>
          <t>IND</t>
        </is>
      </c>
      <c r="HC125" t="inlineStr">
        <is>
          <t>IND</t>
        </is>
      </c>
      <c r="HD125" t="inlineStr">
        <is>
          <t>IND</t>
        </is>
      </c>
      <c r="HE125" t="inlineStr">
        <is>
          <t>IND</t>
        </is>
      </c>
      <c r="HF125" t="inlineStr">
        <is>
          <t>IND</t>
        </is>
      </c>
      <c r="HG125" t="inlineStr">
        <is>
          <t>IND</t>
        </is>
      </c>
      <c r="HH125" t="inlineStr">
        <is>
          <t>IND</t>
        </is>
      </c>
      <c r="HI125" t="inlineStr">
        <is>
          <t>IND</t>
        </is>
      </c>
      <c r="HJ125" t="inlineStr">
        <is>
          <t>IND</t>
        </is>
      </c>
      <c r="HK125" t="inlineStr">
        <is>
          <t>IND</t>
        </is>
      </c>
      <c r="HL125" t="inlineStr">
        <is>
          <t>IND</t>
        </is>
      </c>
      <c r="HM125" t="inlineStr">
        <is>
          <t>IND</t>
        </is>
      </c>
      <c r="HN125" t="inlineStr">
        <is>
          <t>IND</t>
        </is>
      </c>
      <c r="HO125" t="inlineStr">
        <is>
          <t>IND</t>
        </is>
      </c>
      <c r="HP125" t="inlineStr">
        <is>
          <t>IND</t>
        </is>
      </c>
      <c r="HQ125" t="inlineStr">
        <is>
          <t>IND</t>
        </is>
      </c>
      <c r="HR125" t="inlineStr">
        <is>
          <t>IND</t>
        </is>
      </c>
      <c r="HS125" t="inlineStr">
        <is>
          <t>IND</t>
        </is>
      </c>
      <c r="HT125" t="inlineStr">
        <is>
          <t>IND</t>
        </is>
      </c>
      <c r="HU125" t="inlineStr">
        <is>
          <t>IND</t>
        </is>
      </c>
      <c r="HV125" t="inlineStr">
        <is>
          <t>IND</t>
        </is>
      </c>
      <c r="HW125" t="inlineStr">
        <is>
          <t>IND</t>
        </is>
      </c>
      <c r="HX125" t="inlineStr">
        <is>
          <t>IND</t>
        </is>
      </c>
      <c r="HY125" t="inlineStr">
        <is>
          <t>IND</t>
        </is>
      </c>
      <c r="HZ125" t="inlineStr">
        <is>
          <t>IND</t>
        </is>
      </c>
      <c r="IA125" t="inlineStr">
        <is>
          <t>IND</t>
        </is>
      </c>
      <c r="IB125" t="inlineStr">
        <is>
          <t>IND</t>
        </is>
      </c>
      <c r="IC125" t="inlineStr">
        <is>
          <t>IND</t>
        </is>
      </c>
      <c r="ID125" t="inlineStr">
        <is>
          <t>IND</t>
        </is>
      </c>
      <c r="IE125" t="inlineStr">
        <is>
          <t>IND</t>
        </is>
      </c>
      <c r="IL125" t="inlineStr">
        <is>
          <t>BGD</t>
        </is>
      </c>
      <c r="IM125" t="inlineStr">
        <is>
          <t>MMR</t>
        </is>
      </c>
      <c r="IN125" t="inlineStr">
        <is>
          <t>MMR</t>
        </is>
      </c>
      <c r="IO125" t="inlineStr">
        <is>
          <t>MMR</t>
        </is>
      </c>
      <c r="IP125" t="inlineStr">
        <is>
          <t>MMR</t>
        </is>
      </c>
      <c r="IQ125" t="inlineStr">
        <is>
          <t>MMR</t>
        </is>
      </c>
      <c r="IR125" t="inlineStr">
        <is>
          <t>MMR</t>
        </is>
      </c>
      <c r="IS125" t="inlineStr">
        <is>
          <t>MMR</t>
        </is>
      </c>
      <c r="IT125" t="inlineStr">
        <is>
          <t>MMR</t>
        </is>
      </c>
      <c r="IU125" t="inlineStr">
        <is>
          <t>MMR</t>
        </is>
      </c>
      <c r="IV125" t="inlineStr">
        <is>
          <t>MMR</t>
        </is>
      </c>
      <c r="IW125" t="inlineStr">
        <is>
          <t>MMR</t>
        </is>
      </c>
      <c r="IX125" t="inlineStr">
        <is>
          <t>MMR</t>
        </is>
      </c>
      <c r="IY125" t="inlineStr">
        <is>
          <t>MMR</t>
        </is>
      </c>
      <c r="IZ125" t="inlineStr">
        <is>
          <t>MMR</t>
        </is>
      </c>
      <c r="JA125" t="inlineStr">
        <is>
          <t>MMR</t>
        </is>
      </c>
      <c r="JB125" t="inlineStr">
        <is>
          <t>CHN</t>
        </is>
      </c>
      <c r="JC125" t="inlineStr">
        <is>
          <t>CHN</t>
        </is>
      </c>
      <c r="JD125" t="inlineStr">
        <is>
          <t>CHN</t>
        </is>
      </c>
      <c r="JE125" t="inlineStr">
        <is>
          <t>LAO</t>
        </is>
      </c>
      <c r="JF125" t="inlineStr">
        <is>
          <t>LAO</t>
        </is>
      </c>
      <c r="JG125" t="inlineStr">
        <is>
          <t>VNM</t>
        </is>
      </c>
      <c r="JH125" t="inlineStr">
        <is>
          <t>VNM</t>
        </is>
      </c>
      <c r="JI125" t="inlineStr">
        <is>
          <t>VNM</t>
        </is>
      </c>
      <c r="JJ125" t="inlineStr">
        <is>
          <t>VNM</t>
        </is>
      </c>
      <c r="JK125" t="inlineStr">
        <is>
          <t>VNM</t>
        </is>
      </c>
      <c r="JL125" t="inlineStr">
        <is>
          <t>VNM</t>
        </is>
      </c>
      <c r="JM125" t="inlineStr">
        <is>
          <t>VNM</t>
        </is>
      </c>
      <c r="JN125" t="inlineStr">
        <is>
          <t>VNM</t>
        </is>
      </c>
      <c r="JO125" t="inlineStr">
        <is>
          <t>VNM</t>
        </is>
      </c>
      <c r="JP125" t="inlineStr">
        <is>
          <t>VNM</t>
        </is>
      </c>
      <c r="JQ125" t="inlineStr">
        <is>
          <t>CHN</t>
        </is>
      </c>
      <c r="JR125" t="inlineStr">
        <is>
          <t>CHN</t>
        </is>
      </c>
      <c r="JS125" t="inlineStr">
        <is>
          <t>CHN</t>
        </is>
      </c>
      <c r="JT125" t="inlineStr">
        <is>
          <t>CHN</t>
        </is>
      </c>
      <c r="JU125" t="inlineStr">
        <is>
          <t>CHN</t>
        </is>
      </c>
    </row>
    <row r="126">
      <c r="AC126" t="inlineStr">
        <is>
          <t>MAR</t>
        </is>
      </c>
      <c r="AD126" t="inlineStr">
        <is>
          <t>MAR</t>
        </is>
      </c>
      <c r="AE126" t="inlineStr">
        <is>
          <t>MAR</t>
        </is>
      </c>
      <c r="AF126" t="inlineStr">
        <is>
          <t>MAR</t>
        </is>
      </c>
      <c r="AG126" t="inlineStr">
        <is>
          <t>ESH</t>
        </is>
      </c>
      <c r="AH126" t="inlineStr">
        <is>
          <t>ESH</t>
        </is>
      </c>
      <c r="AI126" t="inlineStr">
        <is>
          <t>ESH</t>
        </is>
      </c>
      <c r="AJ126" t="inlineStr">
        <is>
          <t>MRT</t>
        </is>
      </c>
      <c r="AK126" t="inlineStr">
        <is>
          <t>MRT</t>
        </is>
      </c>
      <c r="AL126" t="inlineStr">
        <is>
          <t>MRT</t>
        </is>
      </c>
      <c r="AM126" t="inlineStr">
        <is>
          <t>MRT</t>
        </is>
      </c>
      <c r="AN126" t="inlineStr">
        <is>
          <t>MRT</t>
        </is>
      </c>
      <c r="AO126" t="inlineStr">
        <is>
          <t>MRT</t>
        </is>
      </c>
      <c r="AP126" t="inlineStr">
        <is>
          <t>MRT</t>
        </is>
      </c>
      <c r="AQ126" t="inlineStr">
        <is>
          <t>MRT</t>
        </is>
      </c>
      <c r="AR126" t="inlineStr">
        <is>
          <t>MRT</t>
        </is>
      </c>
      <c r="AS126" t="inlineStr">
        <is>
          <t>MRT</t>
        </is>
      </c>
      <c r="AT126" t="inlineStr">
        <is>
          <t>MRT</t>
        </is>
      </c>
      <c r="AU126" t="inlineStr">
        <is>
          <t>MRT</t>
        </is>
      </c>
      <c r="AV126" t="inlineStr">
        <is>
          <t>MRT</t>
        </is>
      </c>
      <c r="AW126" t="inlineStr">
        <is>
          <t>MRT</t>
        </is>
      </c>
      <c r="AX126" t="inlineStr">
        <is>
          <t>MLI</t>
        </is>
      </c>
      <c r="AY126" t="inlineStr">
        <is>
          <t>MLI</t>
        </is>
      </c>
      <c r="AZ126" t="inlineStr">
        <is>
          <t>MLI</t>
        </is>
      </c>
      <c r="BA126" t="inlineStr">
        <is>
          <t>MLI</t>
        </is>
      </c>
      <c r="BB126" t="inlineStr">
        <is>
          <t>MLI</t>
        </is>
      </c>
      <c r="BC126" t="inlineStr">
        <is>
          <t>MLI</t>
        </is>
      </c>
      <c r="BD126" t="inlineStr">
        <is>
          <t>MLI</t>
        </is>
      </c>
      <c r="BE126" t="inlineStr">
        <is>
          <t>MLI</t>
        </is>
      </c>
      <c r="BF126" t="inlineStr">
        <is>
          <t>MLI</t>
        </is>
      </c>
      <c r="BG126" t="inlineStr">
        <is>
          <t>MLI</t>
        </is>
      </c>
      <c r="BH126" t="inlineStr">
        <is>
          <t>MLI</t>
        </is>
      </c>
      <c r="BI126" t="inlineStr">
        <is>
          <t>DZA</t>
        </is>
      </c>
      <c r="BJ126" t="inlineStr">
        <is>
          <t>DZA</t>
        </is>
      </c>
      <c r="BK126" t="inlineStr">
        <is>
          <t>DZA</t>
        </is>
      </c>
      <c r="BL126" t="inlineStr">
        <is>
          <t>DZA</t>
        </is>
      </c>
      <c r="BM126" t="inlineStr">
        <is>
          <t>DZA</t>
        </is>
      </c>
      <c r="BN126" t="inlineStr">
        <is>
          <t>DZA</t>
        </is>
      </c>
      <c r="BO126" t="inlineStr">
        <is>
          <t>DZA</t>
        </is>
      </c>
      <c r="BP126" t="inlineStr">
        <is>
          <t>DZA</t>
        </is>
      </c>
      <c r="BQ126" t="inlineStr">
        <is>
          <t>DZA</t>
        </is>
      </c>
      <c r="BR126" t="inlineStr">
        <is>
          <t>DZA</t>
        </is>
      </c>
      <c r="BS126" t="inlineStr">
        <is>
          <t>DZA</t>
        </is>
      </c>
      <c r="BT126" t="inlineStr">
        <is>
          <t>DZA</t>
        </is>
      </c>
      <c r="BU126" t="inlineStr">
        <is>
          <t>DZA</t>
        </is>
      </c>
      <c r="BV126" t="inlineStr">
        <is>
          <t>DZA</t>
        </is>
      </c>
      <c r="BW126" t="inlineStr">
        <is>
          <t>DZA</t>
        </is>
      </c>
      <c r="BX126" t="inlineStr">
        <is>
          <t>DZA</t>
        </is>
      </c>
      <c r="BY126" t="inlineStr">
        <is>
          <t>DZA</t>
        </is>
      </c>
      <c r="BZ126" t="inlineStr">
        <is>
          <t>DZA</t>
        </is>
      </c>
      <c r="CA126" t="inlineStr">
        <is>
          <t>DZA</t>
        </is>
      </c>
      <c r="CB126" t="inlineStr">
        <is>
          <t>DZA</t>
        </is>
      </c>
      <c r="CC126" t="inlineStr">
        <is>
          <t>DZA</t>
        </is>
      </c>
      <c r="CD126" t="inlineStr">
        <is>
          <t>NER</t>
        </is>
      </c>
      <c r="CE126" t="inlineStr">
        <is>
          <t>NER</t>
        </is>
      </c>
      <c r="CF126" t="inlineStr">
        <is>
          <t>NER</t>
        </is>
      </c>
      <c r="CG126" t="inlineStr">
        <is>
          <t>NER</t>
        </is>
      </c>
      <c r="CH126" t="inlineStr">
        <is>
          <t>NER</t>
        </is>
      </c>
      <c r="CI126" t="inlineStr">
        <is>
          <t>NER</t>
        </is>
      </c>
      <c r="CJ126" t="inlineStr">
        <is>
          <t>NER</t>
        </is>
      </c>
      <c r="CK126" t="inlineStr">
        <is>
          <t>NER</t>
        </is>
      </c>
      <c r="CL126" t="inlineStr">
        <is>
          <t>NER</t>
        </is>
      </c>
      <c r="CM126" t="inlineStr">
        <is>
          <t>NER</t>
        </is>
      </c>
      <c r="CN126" t="inlineStr">
        <is>
          <t>TCD</t>
        </is>
      </c>
      <c r="CO126" t="inlineStr">
        <is>
          <t>TCD</t>
        </is>
      </c>
      <c r="CP126" t="inlineStr">
        <is>
          <t>TCD</t>
        </is>
      </c>
      <c r="CQ126" t="inlineStr">
        <is>
          <t>TCD</t>
        </is>
      </c>
      <c r="CR126" t="inlineStr">
        <is>
          <t>TCD</t>
        </is>
      </c>
      <c r="CS126" t="inlineStr">
        <is>
          <t>TCD</t>
        </is>
      </c>
      <c r="CT126" t="inlineStr">
        <is>
          <t>TCD</t>
        </is>
      </c>
      <c r="CU126" t="inlineStr">
        <is>
          <t>LBY</t>
        </is>
      </c>
      <c r="CV126" t="inlineStr">
        <is>
          <t>LBY</t>
        </is>
      </c>
      <c r="CW126" t="inlineStr">
        <is>
          <t>LBY</t>
        </is>
      </c>
      <c r="CX126" t="inlineStr">
        <is>
          <t>LBY</t>
        </is>
      </c>
      <c r="CY126" t="inlineStr">
        <is>
          <t>LBY</t>
        </is>
      </c>
      <c r="CZ126" t="inlineStr">
        <is>
          <t>LBY</t>
        </is>
      </c>
      <c r="DA126" t="inlineStr">
        <is>
          <t>LBY</t>
        </is>
      </c>
      <c r="DB126" t="inlineStr">
        <is>
          <t>LBY</t>
        </is>
      </c>
      <c r="DC126" t="inlineStr">
        <is>
          <t>LBY</t>
        </is>
      </c>
      <c r="DD126" t="inlineStr">
        <is>
          <t>LBY</t>
        </is>
      </c>
      <c r="DE126" t="inlineStr">
        <is>
          <t>LBY</t>
        </is>
      </c>
      <c r="DF126" t="inlineStr">
        <is>
          <t>LBY</t>
        </is>
      </c>
      <c r="DG126" t="inlineStr">
        <is>
          <t>LBY</t>
        </is>
      </c>
      <c r="DH126" t="inlineStr">
        <is>
          <t>EGY</t>
        </is>
      </c>
      <c r="DI126" t="inlineStr">
        <is>
          <t>EGY</t>
        </is>
      </c>
      <c r="DJ126" t="inlineStr">
        <is>
          <t>EGY</t>
        </is>
      </c>
      <c r="DK126" t="inlineStr">
        <is>
          <t>EGY</t>
        </is>
      </c>
      <c r="DL126" t="inlineStr">
        <is>
          <t>EGY</t>
        </is>
      </c>
      <c r="DM126" t="inlineStr">
        <is>
          <t>EGY</t>
        </is>
      </c>
      <c r="DN126" t="inlineStr">
        <is>
          <t>EGY</t>
        </is>
      </c>
      <c r="DO126" t="inlineStr">
        <is>
          <t>EGY</t>
        </is>
      </c>
      <c r="DP126" t="inlineStr">
        <is>
          <t>EGY</t>
        </is>
      </c>
      <c r="DQ126" t="inlineStr">
        <is>
          <t>EGY</t>
        </is>
      </c>
      <c r="DR126" t="inlineStr">
        <is>
          <t>EGY</t>
        </is>
      </c>
      <c r="DS126" t="inlineStr">
        <is>
          <t>EGY</t>
        </is>
      </c>
      <c r="DT126" t="inlineStr">
        <is>
          <t>EGY</t>
        </is>
      </c>
      <c r="DU126" t="inlineStr">
        <is>
          <t>EGY</t>
        </is>
      </c>
      <c r="DV126" t="inlineStr">
        <is>
          <t>EGY</t>
        </is>
      </c>
      <c r="DW126" t="inlineStr">
        <is>
          <t>EGY</t>
        </is>
      </c>
      <c r="DX126" t="inlineStr">
        <is>
          <t>EGY</t>
        </is>
      </c>
      <c r="DY126" t="inlineStr">
        <is>
          <t>EGY</t>
        </is>
      </c>
      <c r="DZ126" t="inlineStr">
        <is>
          <t>EGY</t>
        </is>
      </c>
      <c r="EA126" t="inlineStr">
        <is>
          <t>EGY</t>
        </is>
      </c>
      <c r="EB126" t="inlineStr">
        <is>
          <t>EGY</t>
        </is>
      </c>
      <c r="EC126" t="inlineStr">
        <is>
          <t>EGY</t>
        </is>
      </c>
      <c r="ED126" t="inlineStr">
        <is>
          <t>EGY</t>
        </is>
      </c>
      <c r="EJ126" t="inlineStr">
        <is>
          <t>SAU</t>
        </is>
      </c>
      <c r="EK126" t="inlineStr">
        <is>
          <t>SAU</t>
        </is>
      </c>
      <c r="EL126" t="inlineStr">
        <is>
          <t>SAU</t>
        </is>
      </c>
      <c r="EM126" t="inlineStr">
        <is>
          <t>SAU</t>
        </is>
      </c>
      <c r="EN126" t="inlineStr">
        <is>
          <t>SAU</t>
        </is>
      </c>
      <c r="EO126" t="inlineStr">
        <is>
          <t>SAU</t>
        </is>
      </c>
      <c r="EP126" t="inlineStr">
        <is>
          <t>SAU</t>
        </is>
      </c>
      <c r="EQ126" t="inlineStr">
        <is>
          <t>SAU</t>
        </is>
      </c>
      <c r="ER126" t="inlineStr">
        <is>
          <t>SAU</t>
        </is>
      </c>
      <c r="ES126" t="inlineStr">
        <is>
          <t>SAU</t>
        </is>
      </c>
      <c r="ET126" t="inlineStr">
        <is>
          <t>SAU</t>
        </is>
      </c>
      <c r="EU126" t="inlineStr">
        <is>
          <t>SAU</t>
        </is>
      </c>
      <c r="EV126" t="inlineStr">
        <is>
          <t>SAU</t>
        </is>
      </c>
      <c r="EW126" t="inlineStr">
        <is>
          <t>SAU</t>
        </is>
      </c>
      <c r="EX126" t="inlineStr">
        <is>
          <t>SAU</t>
        </is>
      </c>
      <c r="EY126" t="inlineStr">
        <is>
          <t>SAU</t>
        </is>
      </c>
      <c r="EZ126" t="inlineStr">
        <is>
          <t>SAU</t>
        </is>
      </c>
      <c r="FA126" t="inlineStr">
        <is>
          <t>SAU</t>
        </is>
      </c>
      <c r="FB126" t="inlineStr">
        <is>
          <t>SAU</t>
        </is>
      </c>
      <c r="FC126" t="inlineStr">
        <is>
          <t>SAU</t>
        </is>
      </c>
      <c r="FD126" t="inlineStr">
        <is>
          <t>SAU</t>
        </is>
      </c>
      <c r="FE126" t="inlineStr">
        <is>
          <t>SAU</t>
        </is>
      </c>
      <c r="FF126" t="inlineStr">
        <is>
          <t>SAU</t>
        </is>
      </c>
      <c r="FG126" t="inlineStr">
        <is>
          <t>SAU</t>
        </is>
      </c>
      <c r="FH126" t="inlineStr">
        <is>
          <t>SAU</t>
        </is>
      </c>
      <c r="FI126" t="inlineStr">
        <is>
          <t>SAU</t>
        </is>
      </c>
      <c r="FJ126" t="inlineStr">
        <is>
          <t>SAU</t>
        </is>
      </c>
      <c r="FK126" t="inlineStr">
        <is>
          <t>SAU</t>
        </is>
      </c>
      <c r="FL126" t="inlineStr">
        <is>
          <t>SAU</t>
        </is>
      </c>
      <c r="FM126" t="inlineStr">
        <is>
          <t>SAU</t>
        </is>
      </c>
      <c r="FN126" t="inlineStr">
        <is>
          <t>SAU</t>
        </is>
      </c>
      <c r="FO126" t="inlineStr">
        <is>
          <t>SAU</t>
        </is>
      </c>
      <c r="FP126" t="inlineStr">
        <is>
          <t>SAU</t>
        </is>
      </c>
      <c r="FQ126" t="inlineStr">
        <is>
          <t>OMN</t>
        </is>
      </c>
      <c r="FR126" t="inlineStr">
        <is>
          <t>OMN</t>
        </is>
      </c>
      <c r="FS126" t="inlineStr">
        <is>
          <t>OMN</t>
        </is>
      </c>
      <c r="FT126" t="inlineStr">
        <is>
          <t>OMN</t>
        </is>
      </c>
      <c r="FU126" t="inlineStr">
        <is>
          <t>OMN</t>
        </is>
      </c>
      <c r="FV126" t="inlineStr">
        <is>
          <t>OMN</t>
        </is>
      </c>
      <c r="FW126" t="inlineStr">
        <is>
          <t>OMN</t>
        </is>
      </c>
      <c r="FX126" t="inlineStr">
        <is>
          <t>OMN</t>
        </is>
      </c>
      <c r="FY126" t="inlineStr">
        <is>
          <t>OMN</t>
        </is>
      </c>
      <c r="GS126" t="inlineStr">
        <is>
          <t>IND</t>
        </is>
      </c>
      <c r="GT126" t="inlineStr">
        <is>
          <t>IND</t>
        </is>
      </c>
      <c r="GU126" t="inlineStr">
        <is>
          <t>IND</t>
        </is>
      </c>
      <c r="GV126" t="inlineStr">
        <is>
          <t>IND</t>
        </is>
      </c>
      <c r="GW126" t="inlineStr">
        <is>
          <t>IND</t>
        </is>
      </c>
      <c r="GX126" t="inlineStr">
        <is>
          <t>IND</t>
        </is>
      </c>
      <c r="GY126" t="inlineStr">
        <is>
          <t>IND</t>
        </is>
      </c>
      <c r="GZ126" t="inlineStr">
        <is>
          <t>IND</t>
        </is>
      </c>
      <c r="HA126" t="inlineStr">
        <is>
          <t>IND</t>
        </is>
      </c>
      <c r="HB126" t="inlineStr">
        <is>
          <t>IND</t>
        </is>
      </c>
      <c r="HC126" t="inlineStr">
        <is>
          <t>IND</t>
        </is>
      </c>
      <c r="HD126" t="inlineStr">
        <is>
          <t>IND</t>
        </is>
      </c>
      <c r="HE126" t="inlineStr">
        <is>
          <t>IND</t>
        </is>
      </c>
      <c r="HF126" t="inlineStr">
        <is>
          <t>IND</t>
        </is>
      </c>
      <c r="HG126" t="inlineStr">
        <is>
          <t>IND</t>
        </is>
      </c>
      <c r="HH126" t="inlineStr">
        <is>
          <t>IND</t>
        </is>
      </c>
      <c r="HI126" t="inlineStr">
        <is>
          <t>IND</t>
        </is>
      </c>
      <c r="HJ126" t="inlineStr">
        <is>
          <t>IND</t>
        </is>
      </c>
      <c r="HK126" t="inlineStr">
        <is>
          <t>IND</t>
        </is>
      </c>
      <c r="HL126" t="inlineStr">
        <is>
          <t>IND</t>
        </is>
      </c>
      <c r="HM126" t="inlineStr">
        <is>
          <t>IND</t>
        </is>
      </c>
      <c r="HN126" t="inlineStr">
        <is>
          <t>IND</t>
        </is>
      </c>
      <c r="HO126" t="inlineStr">
        <is>
          <t>IND</t>
        </is>
      </c>
      <c r="HP126" t="inlineStr">
        <is>
          <t>IND</t>
        </is>
      </c>
      <c r="HQ126" t="inlineStr">
        <is>
          <t>IND</t>
        </is>
      </c>
      <c r="HR126" t="inlineStr">
        <is>
          <t>IND</t>
        </is>
      </c>
      <c r="HS126" t="inlineStr">
        <is>
          <t>IND</t>
        </is>
      </c>
      <c r="HT126" t="inlineStr">
        <is>
          <t>IND</t>
        </is>
      </c>
      <c r="HU126" t="inlineStr">
        <is>
          <t>IND</t>
        </is>
      </c>
      <c r="HV126" t="inlineStr">
        <is>
          <t>IND</t>
        </is>
      </c>
      <c r="HW126" t="inlineStr">
        <is>
          <t>IND</t>
        </is>
      </c>
      <c r="HX126" t="inlineStr">
        <is>
          <t>IND</t>
        </is>
      </c>
      <c r="HY126" t="inlineStr">
        <is>
          <t>IND</t>
        </is>
      </c>
      <c r="HZ126" t="inlineStr">
        <is>
          <t>IND</t>
        </is>
      </c>
      <c r="IA126" t="inlineStr">
        <is>
          <t>IND</t>
        </is>
      </c>
      <c r="IB126" t="inlineStr">
        <is>
          <t>IND</t>
        </is>
      </c>
      <c r="IC126" t="inlineStr">
        <is>
          <t>IND</t>
        </is>
      </c>
      <c r="ID126" t="inlineStr">
        <is>
          <t>IND</t>
        </is>
      </c>
      <c r="IE126" t="inlineStr">
        <is>
          <t>IND</t>
        </is>
      </c>
      <c r="IF126" t="inlineStr">
        <is>
          <t>BGD</t>
        </is>
      </c>
      <c r="IG126" t="inlineStr">
        <is>
          <t>BGD</t>
        </is>
      </c>
      <c r="IH126" t="inlineStr">
        <is>
          <t>BGD</t>
        </is>
      </c>
      <c r="IL126" t="inlineStr">
        <is>
          <t>BGD</t>
        </is>
      </c>
      <c r="IM126" t="inlineStr">
        <is>
          <t>IND</t>
        </is>
      </c>
      <c r="IN126" t="inlineStr">
        <is>
          <t>MMR</t>
        </is>
      </c>
      <c r="IO126" t="inlineStr">
        <is>
          <t>MMR</t>
        </is>
      </c>
      <c r="IP126" t="inlineStr">
        <is>
          <t>MMR</t>
        </is>
      </c>
      <c r="IQ126" t="inlineStr">
        <is>
          <t>MMR</t>
        </is>
      </c>
      <c r="IR126" t="inlineStr">
        <is>
          <t>MMR</t>
        </is>
      </c>
      <c r="IS126" t="inlineStr">
        <is>
          <t>MMR</t>
        </is>
      </c>
      <c r="IT126" t="inlineStr">
        <is>
          <t>MMR</t>
        </is>
      </c>
      <c r="IU126" t="inlineStr">
        <is>
          <t>MMR</t>
        </is>
      </c>
      <c r="IV126" t="inlineStr">
        <is>
          <t>MMR</t>
        </is>
      </c>
      <c r="IW126" t="inlineStr">
        <is>
          <t>MMR</t>
        </is>
      </c>
      <c r="IX126" t="inlineStr">
        <is>
          <t>MMR</t>
        </is>
      </c>
      <c r="IY126" t="inlineStr">
        <is>
          <t>MMR</t>
        </is>
      </c>
      <c r="IZ126" t="inlineStr">
        <is>
          <t>MMR</t>
        </is>
      </c>
      <c r="JA126" t="inlineStr">
        <is>
          <t>CHN</t>
        </is>
      </c>
      <c r="JB126" t="inlineStr">
        <is>
          <t>CHN</t>
        </is>
      </c>
      <c r="JC126" t="inlineStr">
        <is>
          <t>CHN</t>
        </is>
      </c>
      <c r="JD126" t="inlineStr">
        <is>
          <t>CHN</t>
        </is>
      </c>
      <c r="JE126" t="inlineStr">
        <is>
          <t>LAO</t>
        </is>
      </c>
      <c r="JF126" t="inlineStr">
        <is>
          <t>LAO</t>
        </is>
      </c>
      <c r="JG126" t="inlineStr">
        <is>
          <t>VNM</t>
        </is>
      </c>
      <c r="JH126" t="inlineStr">
        <is>
          <t>VNM</t>
        </is>
      </c>
      <c r="JI126" t="inlineStr">
        <is>
          <t>VNM</t>
        </is>
      </c>
      <c r="JJ126" t="inlineStr">
        <is>
          <t>VNM</t>
        </is>
      </c>
      <c r="JK126" t="inlineStr">
        <is>
          <t>VNM</t>
        </is>
      </c>
      <c r="JL126" t="inlineStr">
        <is>
          <t>VNM</t>
        </is>
      </c>
      <c r="JM126" t="inlineStr">
        <is>
          <t>VNM</t>
        </is>
      </c>
      <c r="JN126" t="inlineStr">
        <is>
          <t>VNM</t>
        </is>
      </c>
      <c r="JO126" t="inlineStr">
        <is>
          <t>CHN</t>
        </is>
      </c>
      <c r="JP126" t="inlineStr">
        <is>
          <t>CHN</t>
        </is>
      </c>
      <c r="JQ126" t="inlineStr">
        <is>
          <t>CHN</t>
        </is>
      </c>
      <c r="JR126" t="inlineStr">
        <is>
          <t>CHN</t>
        </is>
      </c>
      <c r="JS126" t="inlineStr">
        <is>
          <t>CHN</t>
        </is>
      </c>
      <c r="JT126" t="inlineStr">
        <is>
          <t>CHN</t>
        </is>
      </c>
      <c r="JU126" t="inlineStr">
        <is>
          <t>CHN</t>
        </is>
      </c>
    </row>
    <row r="127">
      <c r="AC127" t="inlineStr">
        <is>
          <t>MAR</t>
        </is>
      </c>
      <c r="AD127" t="inlineStr">
        <is>
          <t>MAR</t>
        </is>
      </c>
      <c r="AE127" t="inlineStr">
        <is>
          <t>MAR</t>
        </is>
      </c>
      <c r="AF127" t="inlineStr">
        <is>
          <t>MAR</t>
        </is>
      </c>
      <c r="AG127" t="inlineStr">
        <is>
          <t>MAR</t>
        </is>
      </c>
      <c r="AH127" t="inlineStr">
        <is>
          <t>ESH</t>
        </is>
      </c>
      <c r="AI127" t="inlineStr">
        <is>
          <t>ESH</t>
        </is>
      </c>
      <c r="AJ127" t="inlineStr">
        <is>
          <t>MRT</t>
        </is>
      </c>
      <c r="AK127" t="inlineStr">
        <is>
          <t>MRT</t>
        </is>
      </c>
      <c r="AL127" t="inlineStr">
        <is>
          <t>MRT</t>
        </is>
      </c>
      <c r="AM127" t="inlineStr">
        <is>
          <t>MRT</t>
        </is>
      </c>
      <c r="AN127" t="inlineStr">
        <is>
          <t>MRT</t>
        </is>
      </c>
      <c r="AO127" t="inlineStr">
        <is>
          <t>MRT</t>
        </is>
      </c>
      <c r="AP127" t="inlineStr">
        <is>
          <t>MRT</t>
        </is>
      </c>
      <c r="AQ127" t="inlineStr">
        <is>
          <t>MRT</t>
        </is>
      </c>
      <c r="AR127" t="inlineStr">
        <is>
          <t>MRT</t>
        </is>
      </c>
      <c r="AS127" t="inlineStr">
        <is>
          <t>MRT</t>
        </is>
      </c>
      <c r="AT127" t="inlineStr">
        <is>
          <t>MRT</t>
        </is>
      </c>
      <c r="AU127" t="inlineStr">
        <is>
          <t>MRT</t>
        </is>
      </c>
      <c r="AV127" t="inlineStr">
        <is>
          <t>MRT</t>
        </is>
      </c>
      <c r="AW127" t="inlineStr">
        <is>
          <t>MRT</t>
        </is>
      </c>
      <c r="AX127" t="inlineStr">
        <is>
          <t>MLI</t>
        </is>
      </c>
      <c r="AY127" t="inlineStr">
        <is>
          <t>MLI</t>
        </is>
      </c>
      <c r="AZ127" t="inlineStr">
        <is>
          <t>MLI</t>
        </is>
      </c>
      <c r="BA127" t="inlineStr">
        <is>
          <t>MLI</t>
        </is>
      </c>
      <c r="BB127" t="inlineStr">
        <is>
          <t>MLI</t>
        </is>
      </c>
      <c r="BC127" t="inlineStr">
        <is>
          <t>MLI</t>
        </is>
      </c>
      <c r="BD127" t="inlineStr">
        <is>
          <t>MLI</t>
        </is>
      </c>
      <c r="BE127" t="inlineStr">
        <is>
          <t>MLI</t>
        </is>
      </c>
      <c r="BF127" t="inlineStr">
        <is>
          <t>MLI</t>
        </is>
      </c>
      <c r="BG127" t="inlineStr">
        <is>
          <t>DZA</t>
        </is>
      </c>
      <c r="BH127" t="inlineStr">
        <is>
          <t>DZA</t>
        </is>
      </c>
      <c r="BI127" t="inlineStr">
        <is>
          <t>DZA</t>
        </is>
      </c>
      <c r="BJ127" t="inlineStr">
        <is>
          <t>DZA</t>
        </is>
      </c>
      <c r="BK127" t="inlineStr">
        <is>
          <t>DZA</t>
        </is>
      </c>
      <c r="BL127" t="inlineStr">
        <is>
          <t>DZA</t>
        </is>
      </c>
      <c r="BM127" t="inlineStr">
        <is>
          <t>DZA</t>
        </is>
      </c>
      <c r="BN127" t="inlineStr">
        <is>
          <t>DZA</t>
        </is>
      </c>
      <c r="BO127" t="inlineStr">
        <is>
          <t>DZA</t>
        </is>
      </c>
      <c r="BP127" t="inlineStr">
        <is>
          <t>DZA</t>
        </is>
      </c>
      <c r="BQ127" t="inlineStr">
        <is>
          <t>DZA</t>
        </is>
      </c>
      <c r="BR127" t="inlineStr">
        <is>
          <t>DZA</t>
        </is>
      </c>
      <c r="BS127" t="inlineStr">
        <is>
          <t>DZA</t>
        </is>
      </c>
      <c r="BT127" t="inlineStr">
        <is>
          <t>DZA</t>
        </is>
      </c>
      <c r="BU127" t="inlineStr">
        <is>
          <t>DZA</t>
        </is>
      </c>
      <c r="BV127" t="inlineStr">
        <is>
          <t>DZA</t>
        </is>
      </c>
      <c r="BW127" t="inlineStr">
        <is>
          <t>DZA</t>
        </is>
      </c>
      <c r="BX127" t="inlineStr">
        <is>
          <t>DZA</t>
        </is>
      </c>
      <c r="BY127" t="inlineStr">
        <is>
          <t>DZA</t>
        </is>
      </c>
      <c r="BZ127" t="inlineStr">
        <is>
          <t>DZA</t>
        </is>
      </c>
      <c r="CA127" t="inlineStr">
        <is>
          <t>DZA</t>
        </is>
      </c>
      <c r="CB127" t="inlineStr">
        <is>
          <t>DZA</t>
        </is>
      </c>
      <c r="CC127" t="inlineStr">
        <is>
          <t>DZA</t>
        </is>
      </c>
      <c r="CD127" t="inlineStr">
        <is>
          <t>DZA</t>
        </is>
      </c>
      <c r="CE127" t="inlineStr">
        <is>
          <t>NER</t>
        </is>
      </c>
      <c r="CF127" t="inlineStr">
        <is>
          <t>NER</t>
        </is>
      </c>
      <c r="CG127" t="inlineStr">
        <is>
          <t>NER</t>
        </is>
      </c>
      <c r="CH127" t="inlineStr">
        <is>
          <t>NER</t>
        </is>
      </c>
      <c r="CI127" t="inlineStr">
        <is>
          <t>NER</t>
        </is>
      </c>
      <c r="CJ127" t="inlineStr">
        <is>
          <t>NER</t>
        </is>
      </c>
      <c r="CK127" t="inlineStr">
        <is>
          <t>NER</t>
        </is>
      </c>
      <c r="CL127" t="inlineStr">
        <is>
          <t>LBY</t>
        </is>
      </c>
      <c r="CM127" t="inlineStr">
        <is>
          <t>NER</t>
        </is>
      </c>
      <c r="CN127" t="inlineStr">
        <is>
          <t>TCD</t>
        </is>
      </c>
      <c r="CO127" t="inlineStr">
        <is>
          <t>TCD</t>
        </is>
      </c>
      <c r="CP127" t="inlineStr">
        <is>
          <t>TCD</t>
        </is>
      </c>
      <c r="CQ127" t="inlineStr">
        <is>
          <t>TCD</t>
        </is>
      </c>
      <c r="CR127" t="inlineStr">
        <is>
          <t>LBY</t>
        </is>
      </c>
      <c r="CS127" t="inlineStr">
        <is>
          <t>LBY</t>
        </is>
      </c>
      <c r="CT127" t="inlineStr">
        <is>
          <t>LBY</t>
        </is>
      </c>
      <c r="CU127" t="inlineStr">
        <is>
          <t>LBY</t>
        </is>
      </c>
      <c r="CV127" t="inlineStr">
        <is>
          <t>LBY</t>
        </is>
      </c>
      <c r="CW127" t="inlineStr">
        <is>
          <t>LBY</t>
        </is>
      </c>
      <c r="CX127" t="inlineStr">
        <is>
          <t>LBY</t>
        </is>
      </c>
      <c r="CY127" t="inlineStr">
        <is>
          <t>LBY</t>
        </is>
      </c>
      <c r="CZ127" t="inlineStr">
        <is>
          <t>LBY</t>
        </is>
      </c>
      <c r="DA127" t="inlineStr">
        <is>
          <t>LBY</t>
        </is>
      </c>
      <c r="DB127" t="inlineStr">
        <is>
          <t>LBY</t>
        </is>
      </c>
      <c r="DC127" t="inlineStr">
        <is>
          <t>LBY</t>
        </is>
      </c>
      <c r="DD127" t="inlineStr">
        <is>
          <t>LBY</t>
        </is>
      </c>
      <c r="DE127" t="inlineStr">
        <is>
          <t>LBY</t>
        </is>
      </c>
      <c r="DF127" t="inlineStr">
        <is>
          <t>LBY</t>
        </is>
      </c>
      <c r="DG127" t="inlineStr">
        <is>
          <t>LBY</t>
        </is>
      </c>
      <c r="DH127" t="inlineStr">
        <is>
          <t>EGY</t>
        </is>
      </c>
      <c r="DI127" t="inlineStr">
        <is>
          <t>EGY</t>
        </is>
      </c>
      <c r="DJ127" t="inlineStr">
        <is>
          <t>EGY</t>
        </is>
      </c>
      <c r="DK127" t="inlineStr">
        <is>
          <t>EGY</t>
        </is>
      </c>
      <c r="DL127" t="inlineStr">
        <is>
          <t>EGY</t>
        </is>
      </c>
      <c r="DM127" t="inlineStr">
        <is>
          <t>EGY</t>
        </is>
      </c>
      <c r="DN127" t="inlineStr">
        <is>
          <t>EGY</t>
        </is>
      </c>
      <c r="DO127" t="inlineStr">
        <is>
          <t>EGY</t>
        </is>
      </c>
      <c r="DP127" t="inlineStr">
        <is>
          <t>EGY</t>
        </is>
      </c>
      <c r="DQ127" t="inlineStr">
        <is>
          <t>EGY</t>
        </is>
      </c>
      <c r="DR127" t="inlineStr">
        <is>
          <t>EGY</t>
        </is>
      </c>
      <c r="DS127" t="inlineStr">
        <is>
          <t>EGY</t>
        </is>
      </c>
      <c r="DT127" t="inlineStr">
        <is>
          <t>EGY</t>
        </is>
      </c>
      <c r="DU127" t="inlineStr">
        <is>
          <t>EGY</t>
        </is>
      </c>
      <c r="DV127" t="inlineStr">
        <is>
          <t>EGY</t>
        </is>
      </c>
      <c r="DW127" t="inlineStr">
        <is>
          <t>EGY</t>
        </is>
      </c>
      <c r="DX127" t="inlineStr">
        <is>
          <t>EGY</t>
        </is>
      </c>
      <c r="DY127" t="inlineStr">
        <is>
          <t>EGY</t>
        </is>
      </c>
      <c r="DZ127" t="inlineStr">
        <is>
          <t>EGY</t>
        </is>
      </c>
      <c r="EA127" t="inlineStr">
        <is>
          <t>EGY</t>
        </is>
      </c>
      <c r="EB127" t="inlineStr">
        <is>
          <t>EGY</t>
        </is>
      </c>
      <c r="EC127" t="inlineStr">
        <is>
          <t>EGY</t>
        </is>
      </c>
      <c r="EJ127" t="inlineStr">
        <is>
          <t>SAU</t>
        </is>
      </c>
      <c r="EK127" t="inlineStr">
        <is>
          <t>SAU</t>
        </is>
      </c>
      <c r="EL127" t="inlineStr">
        <is>
          <t>SAU</t>
        </is>
      </c>
      <c r="EM127" t="inlineStr">
        <is>
          <t>SAU</t>
        </is>
      </c>
      <c r="EN127" t="inlineStr">
        <is>
          <t>SAU</t>
        </is>
      </c>
      <c r="EO127" t="inlineStr">
        <is>
          <t>SAU</t>
        </is>
      </c>
      <c r="EP127" t="inlineStr">
        <is>
          <t>SAU</t>
        </is>
      </c>
      <c r="EQ127" t="inlineStr">
        <is>
          <t>SAU</t>
        </is>
      </c>
      <c r="ER127" t="inlineStr">
        <is>
          <t>SAU</t>
        </is>
      </c>
      <c r="ES127" t="inlineStr">
        <is>
          <t>SAU</t>
        </is>
      </c>
      <c r="ET127" t="inlineStr">
        <is>
          <t>SAU</t>
        </is>
      </c>
      <c r="EU127" t="inlineStr">
        <is>
          <t>SAU</t>
        </is>
      </c>
      <c r="EV127" t="inlineStr">
        <is>
          <t>SAU</t>
        </is>
      </c>
      <c r="EW127" t="inlineStr">
        <is>
          <t>SAU</t>
        </is>
      </c>
      <c r="EX127" t="inlineStr">
        <is>
          <t>SAU</t>
        </is>
      </c>
      <c r="EY127" t="inlineStr">
        <is>
          <t>SAU</t>
        </is>
      </c>
      <c r="EZ127" t="inlineStr">
        <is>
          <t>SAU</t>
        </is>
      </c>
      <c r="FA127" t="inlineStr">
        <is>
          <t>SAU</t>
        </is>
      </c>
      <c r="FB127" t="inlineStr">
        <is>
          <t>SAU</t>
        </is>
      </c>
      <c r="FC127" t="inlineStr">
        <is>
          <t>SAU</t>
        </is>
      </c>
      <c r="FD127" t="inlineStr">
        <is>
          <t>SAU</t>
        </is>
      </c>
      <c r="FE127" t="inlineStr">
        <is>
          <t>SAU</t>
        </is>
      </c>
      <c r="FF127" t="inlineStr">
        <is>
          <t>SAU</t>
        </is>
      </c>
      <c r="FG127" t="inlineStr">
        <is>
          <t>SAU</t>
        </is>
      </c>
      <c r="FH127" t="inlineStr">
        <is>
          <t>SAU</t>
        </is>
      </c>
      <c r="FI127" t="inlineStr">
        <is>
          <t>SAU</t>
        </is>
      </c>
      <c r="FJ127" t="inlineStr">
        <is>
          <t>SAU</t>
        </is>
      </c>
      <c r="FK127" t="inlineStr">
        <is>
          <t>SAU</t>
        </is>
      </c>
      <c r="FL127" t="inlineStr">
        <is>
          <t>SAU</t>
        </is>
      </c>
      <c r="FM127" t="inlineStr">
        <is>
          <t>ARE</t>
        </is>
      </c>
      <c r="FN127" t="inlineStr">
        <is>
          <t>ARE</t>
        </is>
      </c>
      <c r="FO127" t="inlineStr">
        <is>
          <t>ARE</t>
        </is>
      </c>
      <c r="FP127" t="inlineStr">
        <is>
          <t>OMN</t>
        </is>
      </c>
      <c r="FQ127" t="inlineStr">
        <is>
          <t>OMN</t>
        </is>
      </c>
      <c r="FR127" t="inlineStr">
        <is>
          <t>OMN</t>
        </is>
      </c>
      <c r="FS127" t="inlineStr">
        <is>
          <t>OMN</t>
        </is>
      </c>
      <c r="FT127" t="inlineStr">
        <is>
          <t>OMN</t>
        </is>
      </c>
      <c r="FU127" t="inlineStr">
        <is>
          <t>OMN</t>
        </is>
      </c>
      <c r="FV127" t="inlineStr">
        <is>
          <t>OMN</t>
        </is>
      </c>
      <c r="FW127" t="inlineStr">
        <is>
          <t>OMN</t>
        </is>
      </c>
      <c r="FX127" t="inlineStr">
        <is>
          <t>OMN</t>
        </is>
      </c>
      <c r="GS127" t="inlineStr">
        <is>
          <t>IND</t>
        </is>
      </c>
      <c r="GT127" t="inlineStr">
        <is>
          <t>IND</t>
        </is>
      </c>
      <c r="GU127" t="inlineStr">
        <is>
          <t>IND</t>
        </is>
      </c>
      <c r="GV127" t="inlineStr">
        <is>
          <t>IND</t>
        </is>
      </c>
      <c r="GW127" t="inlineStr">
        <is>
          <t>IND</t>
        </is>
      </c>
      <c r="GX127" t="inlineStr">
        <is>
          <t>IND</t>
        </is>
      </c>
      <c r="GY127" t="inlineStr">
        <is>
          <t>IND</t>
        </is>
      </c>
      <c r="GZ127" t="inlineStr">
        <is>
          <t>IND</t>
        </is>
      </c>
      <c r="HA127" t="inlineStr">
        <is>
          <t>IND</t>
        </is>
      </c>
      <c r="HB127" t="inlineStr">
        <is>
          <t>IND</t>
        </is>
      </c>
      <c r="HC127" t="inlineStr">
        <is>
          <t>IND</t>
        </is>
      </c>
      <c r="HD127" t="inlineStr">
        <is>
          <t>IND</t>
        </is>
      </c>
      <c r="HE127" t="inlineStr">
        <is>
          <t>IND</t>
        </is>
      </c>
      <c r="HF127" t="inlineStr">
        <is>
          <t>IND</t>
        </is>
      </c>
      <c r="HG127" t="inlineStr">
        <is>
          <t>IND</t>
        </is>
      </c>
      <c r="HH127" t="inlineStr">
        <is>
          <t>IND</t>
        </is>
      </c>
      <c r="HI127" t="inlineStr">
        <is>
          <t>IND</t>
        </is>
      </c>
      <c r="HJ127" t="inlineStr">
        <is>
          <t>IND</t>
        </is>
      </c>
      <c r="HK127" t="inlineStr">
        <is>
          <t>IND</t>
        </is>
      </c>
      <c r="HL127" t="inlineStr">
        <is>
          <t>IND</t>
        </is>
      </c>
      <c r="HM127" t="inlineStr">
        <is>
          <t>IND</t>
        </is>
      </c>
      <c r="HN127" t="inlineStr">
        <is>
          <t>IND</t>
        </is>
      </c>
      <c r="HO127" t="inlineStr">
        <is>
          <t>IND</t>
        </is>
      </c>
      <c r="HP127" t="inlineStr">
        <is>
          <t>IND</t>
        </is>
      </c>
      <c r="HQ127" t="inlineStr">
        <is>
          <t>IND</t>
        </is>
      </c>
      <c r="HR127" t="inlineStr">
        <is>
          <t>IND</t>
        </is>
      </c>
      <c r="HS127" t="inlineStr">
        <is>
          <t>IND</t>
        </is>
      </c>
      <c r="HT127" t="inlineStr">
        <is>
          <t>IND</t>
        </is>
      </c>
      <c r="HU127" t="inlineStr">
        <is>
          <t>IND</t>
        </is>
      </c>
      <c r="HV127" t="inlineStr">
        <is>
          <t>IND</t>
        </is>
      </c>
      <c r="HW127" t="inlineStr">
        <is>
          <t>IND</t>
        </is>
      </c>
      <c r="HX127" t="inlineStr">
        <is>
          <t>IND</t>
        </is>
      </c>
      <c r="HY127" t="inlineStr">
        <is>
          <t>IND</t>
        </is>
      </c>
      <c r="HZ127" t="inlineStr">
        <is>
          <t>IND</t>
        </is>
      </c>
      <c r="IA127" t="inlineStr">
        <is>
          <t>IND</t>
        </is>
      </c>
      <c r="IB127" t="inlineStr">
        <is>
          <t>IND</t>
        </is>
      </c>
      <c r="IC127" t="inlineStr">
        <is>
          <t>IND</t>
        </is>
      </c>
      <c r="ID127" t="inlineStr">
        <is>
          <t>IND</t>
        </is>
      </c>
      <c r="IE127" t="inlineStr">
        <is>
          <t>IND</t>
        </is>
      </c>
      <c r="IF127" t="inlineStr">
        <is>
          <t>BGD</t>
        </is>
      </c>
      <c r="IG127" t="inlineStr">
        <is>
          <t>BGD</t>
        </is>
      </c>
      <c r="IH127" t="inlineStr">
        <is>
          <t>BGD</t>
        </is>
      </c>
      <c r="IK127" t="inlineStr">
        <is>
          <t>BGD</t>
        </is>
      </c>
      <c r="IL127" t="inlineStr">
        <is>
          <t>BGD</t>
        </is>
      </c>
      <c r="IM127" t="inlineStr">
        <is>
          <t>IND</t>
        </is>
      </c>
      <c r="IN127" t="inlineStr">
        <is>
          <t>MMR</t>
        </is>
      </c>
      <c r="IO127" t="inlineStr">
        <is>
          <t>MMR</t>
        </is>
      </c>
      <c r="IP127" t="inlineStr">
        <is>
          <t>MMR</t>
        </is>
      </c>
      <c r="IQ127" t="inlineStr">
        <is>
          <t>MMR</t>
        </is>
      </c>
      <c r="IR127" t="inlineStr">
        <is>
          <t>MMR</t>
        </is>
      </c>
      <c r="IS127" t="inlineStr">
        <is>
          <t>MMR</t>
        </is>
      </c>
      <c r="IT127" t="inlineStr">
        <is>
          <t>MMR</t>
        </is>
      </c>
      <c r="IU127" t="inlineStr">
        <is>
          <t>MMR</t>
        </is>
      </c>
      <c r="IV127" t="inlineStr">
        <is>
          <t>MMR</t>
        </is>
      </c>
      <c r="IW127" t="inlineStr">
        <is>
          <t>MMR</t>
        </is>
      </c>
      <c r="IX127" t="inlineStr">
        <is>
          <t>MMR</t>
        </is>
      </c>
      <c r="IY127" t="inlineStr">
        <is>
          <t>MMR</t>
        </is>
      </c>
      <c r="IZ127" t="inlineStr">
        <is>
          <t>MMR</t>
        </is>
      </c>
      <c r="JA127" t="inlineStr">
        <is>
          <t>CHN</t>
        </is>
      </c>
      <c r="JB127" t="inlineStr">
        <is>
          <t>CHN</t>
        </is>
      </c>
      <c r="JC127" t="inlineStr">
        <is>
          <t>CHN</t>
        </is>
      </c>
      <c r="JD127" t="inlineStr">
        <is>
          <t>CHN</t>
        </is>
      </c>
      <c r="JE127" t="inlineStr">
        <is>
          <t>CHN</t>
        </is>
      </c>
      <c r="JF127" t="inlineStr">
        <is>
          <t>CHN</t>
        </is>
      </c>
      <c r="JG127" t="inlineStr">
        <is>
          <t>CHN</t>
        </is>
      </c>
      <c r="JH127" t="inlineStr">
        <is>
          <t>CHN</t>
        </is>
      </c>
      <c r="JI127" t="inlineStr">
        <is>
          <t>CHN</t>
        </is>
      </c>
      <c r="JJ127" t="inlineStr">
        <is>
          <t>VNM</t>
        </is>
      </c>
      <c r="JK127" t="inlineStr">
        <is>
          <t>VNM</t>
        </is>
      </c>
      <c r="JL127" t="inlineStr">
        <is>
          <t>VNM</t>
        </is>
      </c>
      <c r="JM127" t="inlineStr">
        <is>
          <t>VNM</t>
        </is>
      </c>
      <c r="JN127" t="inlineStr">
        <is>
          <t>VNM</t>
        </is>
      </c>
      <c r="JO127" t="inlineStr">
        <is>
          <t>CHN</t>
        </is>
      </c>
      <c r="JP127" t="inlineStr">
        <is>
          <t>CHN</t>
        </is>
      </c>
      <c r="JQ127" t="inlineStr">
        <is>
          <t>CHN</t>
        </is>
      </c>
      <c r="JR127" t="inlineStr">
        <is>
          <t>CHN</t>
        </is>
      </c>
      <c r="JS127" t="inlineStr">
        <is>
          <t>CHN</t>
        </is>
      </c>
      <c r="JT127" t="inlineStr">
        <is>
          <t>CHN</t>
        </is>
      </c>
      <c r="JU127" t="inlineStr">
        <is>
          <t>CHN</t>
        </is>
      </c>
    </row>
    <row r="128">
      <c r="AD128" t="inlineStr">
        <is>
          <t>MAR</t>
        </is>
      </c>
      <c r="AE128" t="inlineStr">
        <is>
          <t>MAR</t>
        </is>
      </c>
      <c r="AF128" t="inlineStr">
        <is>
          <t>MAR</t>
        </is>
      </c>
      <c r="AG128" t="inlineStr">
        <is>
          <t>MAR</t>
        </is>
      </c>
      <c r="AH128" t="inlineStr">
        <is>
          <t>ESH</t>
        </is>
      </c>
      <c r="AI128" t="inlineStr">
        <is>
          <t>ESH</t>
        </is>
      </c>
      <c r="AJ128" t="inlineStr">
        <is>
          <t>MRT</t>
        </is>
      </c>
      <c r="AK128" t="inlineStr">
        <is>
          <t>MRT</t>
        </is>
      </c>
      <c r="AL128" t="inlineStr">
        <is>
          <t>MRT</t>
        </is>
      </c>
      <c r="AM128" t="inlineStr">
        <is>
          <t>MRT</t>
        </is>
      </c>
      <c r="AN128" t="inlineStr">
        <is>
          <t>MRT</t>
        </is>
      </c>
      <c r="AO128" t="inlineStr">
        <is>
          <t>MRT</t>
        </is>
      </c>
      <c r="AP128" t="inlineStr">
        <is>
          <t>MRT</t>
        </is>
      </c>
      <c r="AQ128" t="inlineStr">
        <is>
          <t>MRT</t>
        </is>
      </c>
      <c r="AR128" t="inlineStr">
        <is>
          <t>MRT</t>
        </is>
      </c>
      <c r="AS128" t="inlineStr">
        <is>
          <t>MRT</t>
        </is>
      </c>
      <c r="AT128" t="inlineStr">
        <is>
          <t>MRT</t>
        </is>
      </c>
      <c r="AU128" t="inlineStr">
        <is>
          <t>MRT</t>
        </is>
      </c>
      <c r="AV128" t="inlineStr">
        <is>
          <t>MRT</t>
        </is>
      </c>
      <c r="AW128" t="inlineStr">
        <is>
          <t>MLI</t>
        </is>
      </c>
      <c r="AX128" t="inlineStr">
        <is>
          <t>MLI</t>
        </is>
      </c>
      <c r="AY128" t="inlineStr">
        <is>
          <t>MLI</t>
        </is>
      </c>
      <c r="AZ128" t="inlineStr">
        <is>
          <t>MLI</t>
        </is>
      </c>
      <c r="BA128" t="inlineStr">
        <is>
          <t>MLI</t>
        </is>
      </c>
      <c r="BB128" t="inlineStr">
        <is>
          <t>MLI</t>
        </is>
      </c>
      <c r="BC128" t="inlineStr">
        <is>
          <t>MLI</t>
        </is>
      </c>
      <c r="BD128" t="inlineStr">
        <is>
          <t>MLI</t>
        </is>
      </c>
      <c r="BE128" t="inlineStr">
        <is>
          <t>DZA</t>
        </is>
      </c>
      <c r="BF128" t="inlineStr">
        <is>
          <t>DZA</t>
        </is>
      </c>
      <c r="BG128" t="inlineStr">
        <is>
          <t>DZA</t>
        </is>
      </c>
      <c r="BH128" t="inlineStr">
        <is>
          <t>DZA</t>
        </is>
      </c>
      <c r="BI128" t="inlineStr">
        <is>
          <t>DZA</t>
        </is>
      </c>
      <c r="BJ128" t="inlineStr">
        <is>
          <t>DZA</t>
        </is>
      </c>
      <c r="BK128" t="inlineStr">
        <is>
          <t>DZA</t>
        </is>
      </c>
      <c r="BL128" t="inlineStr">
        <is>
          <t>DZA</t>
        </is>
      </c>
      <c r="BM128" t="inlineStr">
        <is>
          <t>DZA</t>
        </is>
      </c>
      <c r="BN128" t="inlineStr">
        <is>
          <t>DZA</t>
        </is>
      </c>
      <c r="BO128" t="inlineStr">
        <is>
          <t>DZA</t>
        </is>
      </c>
      <c r="BP128" t="inlineStr">
        <is>
          <t>DZA</t>
        </is>
      </c>
      <c r="BQ128" t="inlineStr">
        <is>
          <t>DZA</t>
        </is>
      </c>
      <c r="BR128" t="inlineStr">
        <is>
          <t>DZA</t>
        </is>
      </c>
      <c r="BS128" t="inlineStr">
        <is>
          <t>DZA</t>
        </is>
      </c>
      <c r="BT128" t="inlineStr">
        <is>
          <t>DZA</t>
        </is>
      </c>
      <c r="BU128" t="inlineStr">
        <is>
          <t>DZA</t>
        </is>
      </c>
      <c r="BV128" t="inlineStr">
        <is>
          <t>DZA</t>
        </is>
      </c>
      <c r="BW128" t="inlineStr">
        <is>
          <t>DZA</t>
        </is>
      </c>
      <c r="BX128" t="inlineStr">
        <is>
          <t>DZA</t>
        </is>
      </c>
      <c r="BY128" t="inlineStr">
        <is>
          <t>DZA</t>
        </is>
      </c>
      <c r="BZ128" t="inlineStr">
        <is>
          <t>DZA</t>
        </is>
      </c>
      <c r="CA128" t="inlineStr">
        <is>
          <t>DZA</t>
        </is>
      </c>
      <c r="CB128" t="inlineStr">
        <is>
          <t>DZA</t>
        </is>
      </c>
      <c r="CC128" t="inlineStr">
        <is>
          <t>DZA</t>
        </is>
      </c>
      <c r="CD128" t="inlineStr">
        <is>
          <t>DZA</t>
        </is>
      </c>
      <c r="CE128" t="inlineStr">
        <is>
          <t>DZA</t>
        </is>
      </c>
      <c r="CF128" t="inlineStr">
        <is>
          <t>DZA</t>
        </is>
      </c>
      <c r="CG128" t="inlineStr">
        <is>
          <t>NER</t>
        </is>
      </c>
      <c r="CH128" t="inlineStr">
        <is>
          <t>NER</t>
        </is>
      </c>
      <c r="CI128" t="inlineStr">
        <is>
          <t>NER</t>
        </is>
      </c>
      <c r="CJ128" t="inlineStr">
        <is>
          <t>LBY</t>
        </is>
      </c>
      <c r="CK128" t="inlineStr">
        <is>
          <t>LBY</t>
        </is>
      </c>
      <c r="CL128" t="inlineStr">
        <is>
          <t>LBY</t>
        </is>
      </c>
      <c r="CM128" t="inlineStr">
        <is>
          <t>LBY</t>
        </is>
      </c>
      <c r="CN128" t="inlineStr">
        <is>
          <t>LBY</t>
        </is>
      </c>
      <c r="CO128" t="inlineStr">
        <is>
          <t>TCD</t>
        </is>
      </c>
      <c r="CP128" t="inlineStr">
        <is>
          <t>LBY</t>
        </is>
      </c>
      <c r="CQ128" t="inlineStr">
        <is>
          <t>LBY</t>
        </is>
      </c>
      <c r="CR128" t="inlineStr">
        <is>
          <t>LBY</t>
        </is>
      </c>
      <c r="CS128" t="inlineStr">
        <is>
          <t>LBY</t>
        </is>
      </c>
      <c r="CT128" t="inlineStr">
        <is>
          <t>LBY</t>
        </is>
      </c>
      <c r="CU128" t="inlineStr">
        <is>
          <t>LBY</t>
        </is>
      </c>
      <c r="CV128" t="inlineStr">
        <is>
          <t>LBY</t>
        </is>
      </c>
      <c r="CW128" t="inlineStr">
        <is>
          <t>LBY</t>
        </is>
      </c>
      <c r="CX128" t="inlineStr">
        <is>
          <t>LBY</t>
        </is>
      </c>
      <c r="CY128" t="inlineStr">
        <is>
          <t>LBY</t>
        </is>
      </c>
      <c r="CZ128" t="inlineStr">
        <is>
          <t>LBY</t>
        </is>
      </c>
      <c r="DA128" t="inlineStr">
        <is>
          <t>LBY</t>
        </is>
      </c>
      <c r="DB128" t="inlineStr">
        <is>
          <t>LBY</t>
        </is>
      </c>
      <c r="DC128" t="inlineStr">
        <is>
          <t>LBY</t>
        </is>
      </c>
      <c r="DD128" t="inlineStr">
        <is>
          <t>LBY</t>
        </is>
      </c>
      <c r="DE128" t="inlineStr">
        <is>
          <t>LBY</t>
        </is>
      </c>
      <c r="DF128" t="inlineStr">
        <is>
          <t>LBY</t>
        </is>
      </c>
      <c r="DG128" t="inlineStr">
        <is>
          <t>LBY</t>
        </is>
      </c>
      <c r="DH128" t="inlineStr">
        <is>
          <t>EGY</t>
        </is>
      </c>
      <c r="DI128" t="inlineStr">
        <is>
          <t>EGY</t>
        </is>
      </c>
      <c r="DJ128" t="inlineStr">
        <is>
          <t>EGY</t>
        </is>
      </c>
      <c r="DK128" t="inlineStr">
        <is>
          <t>EGY</t>
        </is>
      </c>
      <c r="DL128" t="inlineStr">
        <is>
          <t>EGY</t>
        </is>
      </c>
      <c r="DM128" t="inlineStr">
        <is>
          <t>EGY</t>
        </is>
      </c>
      <c r="DN128" t="inlineStr">
        <is>
          <t>EGY</t>
        </is>
      </c>
      <c r="DO128" t="inlineStr">
        <is>
          <t>EGY</t>
        </is>
      </c>
      <c r="DP128" t="inlineStr">
        <is>
          <t>EGY</t>
        </is>
      </c>
      <c r="DQ128" t="inlineStr">
        <is>
          <t>EGY</t>
        </is>
      </c>
      <c r="DR128" t="inlineStr">
        <is>
          <t>EGY</t>
        </is>
      </c>
      <c r="DS128" t="inlineStr">
        <is>
          <t>EGY</t>
        </is>
      </c>
      <c r="DT128" t="inlineStr">
        <is>
          <t>EGY</t>
        </is>
      </c>
      <c r="DU128" t="inlineStr">
        <is>
          <t>EGY</t>
        </is>
      </c>
      <c r="DV128" t="inlineStr">
        <is>
          <t>EGY</t>
        </is>
      </c>
      <c r="DW128" t="inlineStr">
        <is>
          <t>EGY</t>
        </is>
      </c>
      <c r="DX128" t="inlineStr">
        <is>
          <t>EGY</t>
        </is>
      </c>
      <c r="DY128" t="inlineStr">
        <is>
          <t>EGY</t>
        </is>
      </c>
      <c r="DZ128" t="inlineStr">
        <is>
          <t>EGY</t>
        </is>
      </c>
      <c r="EA128" t="inlineStr">
        <is>
          <t>EGY</t>
        </is>
      </c>
      <c r="EB128" t="inlineStr">
        <is>
          <t>EGY</t>
        </is>
      </c>
      <c r="EI128" t="inlineStr">
        <is>
          <t>SAU</t>
        </is>
      </c>
      <c r="EJ128" t="inlineStr">
        <is>
          <t>SAU</t>
        </is>
      </c>
      <c r="EK128" t="inlineStr">
        <is>
          <t>SAU</t>
        </is>
      </c>
      <c r="EL128" t="inlineStr">
        <is>
          <t>SAU</t>
        </is>
      </c>
      <c r="EM128" t="inlineStr">
        <is>
          <t>SAU</t>
        </is>
      </c>
      <c r="EN128" t="inlineStr">
        <is>
          <t>SAU</t>
        </is>
      </c>
      <c r="EO128" t="inlineStr">
        <is>
          <t>SAU</t>
        </is>
      </c>
      <c r="EP128" t="inlineStr">
        <is>
          <t>SAU</t>
        </is>
      </c>
      <c r="EQ128" t="inlineStr">
        <is>
          <t>SAU</t>
        </is>
      </c>
      <c r="ER128" t="inlineStr">
        <is>
          <t>SAU</t>
        </is>
      </c>
      <c r="ES128" t="inlineStr">
        <is>
          <t>SAU</t>
        </is>
      </c>
      <c r="ET128" t="inlineStr">
        <is>
          <t>SAU</t>
        </is>
      </c>
      <c r="EU128" t="inlineStr">
        <is>
          <t>SAU</t>
        </is>
      </c>
      <c r="EV128" t="inlineStr">
        <is>
          <t>SAU</t>
        </is>
      </c>
      <c r="EW128" t="inlineStr">
        <is>
          <t>SAU</t>
        </is>
      </c>
      <c r="EX128" t="inlineStr">
        <is>
          <t>SAU</t>
        </is>
      </c>
      <c r="EY128" t="inlineStr">
        <is>
          <t>SAU</t>
        </is>
      </c>
      <c r="EZ128" t="inlineStr">
        <is>
          <t>SAU</t>
        </is>
      </c>
      <c r="FA128" t="inlineStr">
        <is>
          <t>SAU</t>
        </is>
      </c>
      <c r="FB128" t="inlineStr">
        <is>
          <t>SAU</t>
        </is>
      </c>
      <c r="FC128" t="inlineStr">
        <is>
          <t>SAU</t>
        </is>
      </c>
      <c r="FD128" t="inlineStr">
        <is>
          <t>SAU</t>
        </is>
      </c>
      <c r="FE128" t="inlineStr">
        <is>
          <t>SAU</t>
        </is>
      </c>
      <c r="FF128" t="inlineStr">
        <is>
          <t>SAU</t>
        </is>
      </c>
      <c r="FG128" t="inlineStr">
        <is>
          <t>SAU</t>
        </is>
      </c>
      <c r="FH128" t="inlineStr">
        <is>
          <t>SAU</t>
        </is>
      </c>
      <c r="FI128" t="inlineStr">
        <is>
          <t>SAU</t>
        </is>
      </c>
      <c r="FJ128" t="inlineStr">
        <is>
          <t>ARE</t>
        </is>
      </c>
      <c r="FK128" t="inlineStr">
        <is>
          <t>ARE</t>
        </is>
      </c>
      <c r="FL128" t="inlineStr">
        <is>
          <t>ARE</t>
        </is>
      </c>
      <c r="FM128" t="inlineStr">
        <is>
          <t>ARE</t>
        </is>
      </c>
      <c r="FN128" t="inlineStr">
        <is>
          <t>ARE</t>
        </is>
      </c>
      <c r="FO128" t="inlineStr">
        <is>
          <t>ARE</t>
        </is>
      </c>
      <c r="FP128" t="inlineStr">
        <is>
          <t>ARE</t>
        </is>
      </c>
      <c r="FQ128" t="inlineStr">
        <is>
          <t>OMN</t>
        </is>
      </c>
      <c r="FR128" t="inlineStr">
        <is>
          <t>OMN</t>
        </is>
      </c>
      <c r="FS128" t="inlineStr">
        <is>
          <t>OMN</t>
        </is>
      </c>
      <c r="FT128" t="inlineStr">
        <is>
          <t>OMN</t>
        </is>
      </c>
      <c r="FU128" t="inlineStr">
        <is>
          <t>OMN</t>
        </is>
      </c>
      <c r="FV128" t="inlineStr">
        <is>
          <t>OMN</t>
        </is>
      </c>
      <c r="FW128" t="inlineStr">
        <is>
          <t>OMN</t>
        </is>
      </c>
      <c r="GR128" t="inlineStr">
        <is>
          <t>IND</t>
        </is>
      </c>
      <c r="GS128" t="inlineStr">
        <is>
          <t>IND</t>
        </is>
      </c>
      <c r="GT128" t="inlineStr">
        <is>
          <t>IND</t>
        </is>
      </c>
      <c r="GU128" t="inlineStr">
        <is>
          <t>IND</t>
        </is>
      </c>
      <c r="GV128" t="inlineStr">
        <is>
          <t>IND</t>
        </is>
      </c>
      <c r="GW128" t="inlineStr">
        <is>
          <t>IND</t>
        </is>
      </c>
      <c r="GX128" t="inlineStr">
        <is>
          <t>IND</t>
        </is>
      </c>
      <c r="GY128" t="inlineStr">
        <is>
          <t>IND</t>
        </is>
      </c>
      <c r="GZ128" t="inlineStr">
        <is>
          <t>IND</t>
        </is>
      </c>
      <c r="HA128" t="inlineStr">
        <is>
          <t>IND</t>
        </is>
      </c>
      <c r="HB128" t="inlineStr">
        <is>
          <t>IND</t>
        </is>
      </c>
      <c r="HC128" t="inlineStr">
        <is>
          <t>IND</t>
        </is>
      </c>
      <c r="HD128" t="inlineStr">
        <is>
          <t>IND</t>
        </is>
      </c>
      <c r="HE128" t="inlineStr">
        <is>
          <t>IND</t>
        </is>
      </c>
      <c r="HF128" t="inlineStr">
        <is>
          <t>IND</t>
        </is>
      </c>
      <c r="HG128" t="inlineStr">
        <is>
          <t>IND</t>
        </is>
      </c>
      <c r="HH128" t="inlineStr">
        <is>
          <t>IND</t>
        </is>
      </c>
      <c r="HI128" t="inlineStr">
        <is>
          <t>IND</t>
        </is>
      </c>
      <c r="HJ128" t="inlineStr">
        <is>
          <t>IND</t>
        </is>
      </c>
      <c r="HK128" t="inlineStr">
        <is>
          <t>IND</t>
        </is>
      </c>
      <c r="HL128" t="inlineStr">
        <is>
          <t>IND</t>
        </is>
      </c>
      <c r="HM128" t="inlineStr">
        <is>
          <t>IND</t>
        </is>
      </c>
      <c r="HN128" t="inlineStr">
        <is>
          <t>IND</t>
        </is>
      </c>
      <c r="HO128" t="inlineStr">
        <is>
          <t>IND</t>
        </is>
      </c>
      <c r="HP128" t="inlineStr">
        <is>
          <t>IND</t>
        </is>
      </c>
      <c r="HQ128" t="inlineStr">
        <is>
          <t>IND</t>
        </is>
      </c>
      <c r="HR128" t="inlineStr">
        <is>
          <t>IND</t>
        </is>
      </c>
      <c r="HS128" t="inlineStr">
        <is>
          <t>IND</t>
        </is>
      </c>
      <c r="HT128" t="inlineStr">
        <is>
          <t>IND</t>
        </is>
      </c>
      <c r="HU128" t="inlineStr">
        <is>
          <t>IND</t>
        </is>
      </c>
      <c r="HV128" t="inlineStr">
        <is>
          <t>IND</t>
        </is>
      </c>
      <c r="HW128" t="inlineStr">
        <is>
          <t>IND</t>
        </is>
      </c>
      <c r="HX128" t="inlineStr">
        <is>
          <t>IND</t>
        </is>
      </c>
      <c r="HY128" t="inlineStr">
        <is>
          <t>IND</t>
        </is>
      </c>
      <c r="HZ128" t="inlineStr">
        <is>
          <t>IND</t>
        </is>
      </c>
      <c r="IA128" t="inlineStr">
        <is>
          <t>IND</t>
        </is>
      </c>
      <c r="IB128" t="inlineStr">
        <is>
          <t>IND</t>
        </is>
      </c>
      <c r="IC128" t="inlineStr">
        <is>
          <t>IND</t>
        </is>
      </c>
      <c r="ID128" t="inlineStr">
        <is>
          <t>IND</t>
        </is>
      </c>
      <c r="IE128" t="inlineStr">
        <is>
          <t>BGD</t>
        </is>
      </c>
      <c r="IF128" t="inlineStr">
        <is>
          <t>BGD</t>
        </is>
      </c>
      <c r="IG128" t="inlineStr">
        <is>
          <t>BGD</t>
        </is>
      </c>
      <c r="IH128" t="inlineStr">
        <is>
          <t>BGD</t>
        </is>
      </c>
      <c r="II128" t="inlineStr">
        <is>
          <t>BGD</t>
        </is>
      </c>
      <c r="IJ128" t="inlineStr">
        <is>
          <t>BGD</t>
        </is>
      </c>
      <c r="IK128" t="inlineStr">
        <is>
          <t>IND</t>
        </is>
      </c>
      <c r="IL128" t="inlineStr">
        <is>
          <t>BGD</t>
        </is>
      </c>
      <c r="IM128" t="inlineStr">
        <is>
          <t>IND</t>
        </is>
      </c>
      <c r="IN128" t="inlineStr">
        <is>
          <t>IND</t>
        </is>
      </c>
      <c r="IO128" t="inlineStr">
        <is>
          <t>MMR</t>
        </is>
      </c>
      <c r="IP128" t="inlineStr">
        <is>
          <t>MMR</t>
        </is>
      </c>
      <c r="IQ128" t="inlineStr">
        <is>
          <t>MMR</t>
        </is>
      </c>
      <c r="IR128" t="inlineStr">
        <is>
          <t>MMR</t>
        </is>
      </c>
      <c r="IS128" t="inlineStr">
        <is>
          <t>MMR</t>
        </is>
      </c>
      <c r="IT128" t="inlineStr">
        <is>
          <t>MMR</t>
        </is>
      </c>
      <c r="IU128" t="inlineStr">
        <is>
          <t>MMR</t>
        </is>
      </c>
      <c r="IV128" t="inlineStr">
        <is>
          <t>MMR</t>
        </is>
      </c>
      <c r="IW128" t="inlineStr">
        <is>
          <t>MMR</t>
        </is>
      </c>
      <c r="IX128" t="inlineStr">
        <is>
          <t>MMR</t>
        </is>
      </c>
      <c r="IY128" t="inlineStr">
        <is>
          <t>MMR</t>
        </is>
      </c>
      <c r="IZ128" t="inlineStr">
        <is>
          <t>CHN</t>
        </is>
      </c>
      <c r="JA128" t="inlineStr">
        <is>
          <t>CHN</t>
        </is>
      </c>
      <c r="JB128" t="inlineStr">
        <is>
          <t>CHN</t>
        </is>
      </c>
      <c r="JC128" t="inlineStr">
        <is>
          <t>CHN</t>
        </is>
      </c>
      <c r="JD128" t="inlineStr">
        <is>
          <t>CHN</t>
        </is>
      </c>
      <c r="JE128" t="inlineStr">
        <is>
          <t>CHN</t>
        </is>
      </c>
      <c r="JF128" t="inlineStr">
        <is>
          <t>CHN</t>
        </is>
      </c>
      <c r="JG128" t="inlineStr">
        <is>
          <t>CHN</t>
        </is>
      </c>
      <c r="JH128" t="inlineStr">
        <is>
          <t>CHN</t>
        </is>
      </c>
      <c r="JI128" t="inlineStr">
        <is>
          <t>CHN</t>
        </is>
      </c>
      <c r="JJ128" t="inlineStr">
        <is>
          <t>CHN</t>
        </is>
      </c>
      <c r="JK128" t="inlineStr">
        <is>
          <t>CHN</t>
        </is>
      </c>
      <c r="JL128" t="inlineStr">
        <is>
          <t>VNM</t>
        </is>
      </c>
      <c r="JM128" t="inlineStr">
        <is>
          <t>CHN</t>
        </is>
      </c>
      <c r="JN128" t="inlineStr">
        <is>
          <t>CHN</t>
        </is>
      </c>
      <c r="JO128" t="inlineStr">
        <is>
          <t>CHN</t>
        </is>
      </c>
      <c r="JP128" t="inlineStr">
        <is>
          <t>CHN</t>
        </is>
      </c>
      <c r="JQ128" t="inlineStr">
        <is>
          <t>CHN</t>
        </is>
      </c>
      <c r="JR128" t="inlineStr">
        <is>
          <t>CHN</t>
        </is>
      </c>
      <c r="JS128" t="inlineStr">
        <is>
          <t>CHN</t>
        </is>
      </c>
      <c r="JT128" t="inlineStr">
        <is>
          <t>CHN</t>
        </is>
      </c>
      <c r="JU128" t="inlineStr">
        <is>
          <t>CHN</t>
        </is>
      </c>
    </row>
    <row r="129">
      <c r="AD129" t="inlineStr">
        <is>
          <t>MAR</t>
        </is>
      </c>
      <c r="AE129" t="inlineStr">
        <is>
          <t>MAR</t>
        </is>
      </c>
      <c r="AF129" t="inlineStr">
        <is>
          <t>MAR</t>
        </is>
      </c>
      <c r="AG129" t="inlineStr">
        <is>
          <t>MAR</t>
        </is>
      </c>
      <c r="AH129" t="inlineStr">
        <is>
          <t>ESH</t>
        </is>
      </c>
      <c r="AI129" t="inlineStr">
        <is>
          <t>ESH</t>
        </is>
      </c>
      <c r="AJ129" t="inlineStr">
        <is>
          <t>ESH</t>
        </is>
      </c>
      <c r="AK129" t="inlineStr">
        <is>
          <t>ESH</t>
        </is>
      </c>
      <c r="AL129" t="inlineStr">
        <is>
          <t>MRT</t>
        </is>
      </c>
      <c r="AM129" t="inlineStr">
        <is>
          <t>MRT</t>
        </is>
      </c>
      <c r="AN129" t="inlineStr">
        <is>
          <t>MRT</t>
        </is>
      </c>
      <c r="AO129" t="inlineStr">
        <is>
          <t>MRT</t>
        </is>
      </c>
      <c r="AP129" t="inlineStr">
        <is>
          <t>MRT</t>
        </is>
      </c>
      <c r="AQ129" t="inlineStr">
        <is>
          <t>MRT</t>
        </is>
      </c>
      <c r="AR129" t="inlineStr">
        <is>
          <t>MRT</t>
        </is>
      </c>
      <c r="AS129" t="inlineStr">
        <is>
          <t>MRT</t>
        </is>
      </c>
      <c r="AT129" t="inlineStr">
        <is>
          <t>MRT</t>
        </is>
      </c>
      <c r="AU129" t="inlineStr">
        <is>
          <t>MRT</t>
        </is>
      </c>
      <c r="AV129" t="inlineStr">
        <is>
          <t>MRT</t>
        </is>
      </c>
      <c r="AW129" t="inlineStr">
        <is>
          <t>MLI</t>
        </is>
      </c>
      <c r="AX129" t="inlineStr">
        <is>
          <t>MLI</t>
        </is>
      </c>
      <c r="AY129" t="inlineStr">
        <is>
          <t>MLI</t>
        </is>
      </c>
      <c r="AZ129" t="inlineStr">
        <is>
          <t>MLI</t>
        </is>
      </c>
      <c r="BA129" t="inlineStr">
        <is>
          <t>MLI</t>
        </is>
      </c>
      <c r="BB129" t="inlineStr">
        <is>
          <t>MLI</t>
        </is>
      </c>
      <c r="BC129" t="inlineStr">
        <is>
          <t>MLI</t>
        </is>
      </c>
      <c r="BD129" t="inlineStr">
        <is>
          <t>DZA</t>
        </is>
      </c>
      <c r="BE129" t="inlineStr">
        <is>
          <t>DZA</t>
        </is>
      </c>
      <c r="BF129" t="inlineStr">
        <is>
          <t>DZA</t>
        </is>
      </c>
      <c r="BG129" t="inlineStr">
        <is>
          <t>DZA</t>
        </is>
      </c>
      <c r="BH129" t="inlineStr">
        <is>
          <t>DZA</t>
        </is>
      </c>
      <c r="BI129" t="inlineStr">
        <is>
          <t>DZA</t>
        </is>
      </c>
      <c r="BJ129" t="inlineStr">
        <is>
          <t>DZA</t>
        </is>
      </c>
      <c r="BK129" t="inlineStr">
        <is>
          <t>DZA</t>
        </is>
      </c>
      <c r="BL129" t="inlineStr">
        <is>
          <t>DZA</t>
        </is>
      </c>
      <c r="BM129" t="inlineStr">
        <is>
          <t>DZA</t>
        </is>
      </c>
      <c r="BN129" t="inlineStr">
        <is>
          <t>DZA</t>
        </is>
      </c>
      <c r="BO129" t="inlineStr">
        <is>
          <t>DZA</t>
        </is>
      </c>
      <c r="BP129" t="inlineStr">
        <is>
          <t>DZA</t>
        </is>
      </c>
      <c r="BQ129" t="inlineStr">
        <is>
          <t>DZA</t>
        </is>
      </c>
      <c r="BR129" t="inlineStr">
        <is>
          <t>DZA</t>
        </is>
      </c>
      <c r="BS129" t="inlineStr">
        <is>
          <t>DZA</t>
        </is>
      </c>
      <c r="BT129" t="inlineStr">
        <is>
          <t>DZA</t>
        </is>
      </c>
      <c r="BU129" t="inlineStr">
        <is>
          <t>DZA</t>
        </is>
      </c>
      <c r="BV129" t="inlineStr">
        <is>
          <t>DZA</t>
        </is>
      </c>
      <c r="BW129" t="inlineStr">
        <is>
          <t>DZA</t>
        </is>
      </c>
      <c r="BX129" t="inlineStr">
        <is>
          <t>DZA</t>
        </is>
      </c>
      <c r="BY129" t="inlineStr">
        <is>
          <t>DZA</t>
        </is>
      </c>
      <c r="BZ129" t="inlineStr">
        <is>
          <t>DZA</t>
        </is>
      </c>
      <c r="CA129" t="inlineStr">
        <is>
          <t>DZA</t>
        </is>
      </c>
      <c r="CB129" t="inlineStr">
        <is>
          <t>DZA</t>
        </is>
      </c>
      <c r="CC129" t="inlineStr">
        <is>
          <t>DZA</t>
        </is>
      </c>
      <c r="CD129" t="inlineStr">
        <is>
          <t>DZA</t>
        </is>
      </c>
      <c r="CE129" t="inlineStr">
        <is>
          <t>DZA</t>
        </is>
      </c>
      <c r="CF129" t="inlineStr">
        <is>
          <t>DZA</t>
        </is>
      </c>
      <c r="CG129" t="inlineStr">
        <is>
          <t>DZA</t>
        </is>
      </c>
      <c r="CH129" t="inlineStr">
        <is>
          <t>LBY</t>
        </is>
      </c>
      <c r="CI129" t="inlineStr">
        <is>
          <t>LBY</t>
        </is>
      </c>
      <c r="CJ129" t="inlineStr">
        <is>
          <t>LBY</t>
        </is>
      </c>
      <c r="CK129" t="inlineStr">
        <is>
          <t>LBY</t>
        </is>
      </c>
      <c r="CL129" t="inlineStr">
        <is>
          <t>LBY</t>
        </is>
      </c>
      <c r="CM129" t="inlineStr">
        <is>
          <t>LBY</t>
        </is>
      </c>
      <c r="CN129" t="inlineStr">
        <is>
          <t>LBY</t>
        </is>
      </c>
      <c r="CO129" t="inlineStr">
        <is>
          <t>LBY</t>
        </is>
      </c>
      <c r="CP129" t="inlineStr">
        <is>
          <t>LBY</t>
        </is>
      </c>
      <c r="CQ129" t="inlineStr">
        <is>
          <t>LBY</t>
        </is>
      </c>
      <c r="CR129" t="inlineStr">
        <is>
          <t>LBY</t>
        </is>
      </c>
      <c r="CS129" t="inlineStr">
        <is>
          <t>LBY</t>
        </is>
      </c>
      <c r="CT129" t="inlineStr">
        <is>
          <t>LBY</t>
        </is>
      </c>
      <c r="CU129" t="inlineStr">
        <is>
          <t>LBY</t>
        </is>
      </c>
      <c r="CV129" t="inlineStr">
        <is>
          <t>LBY</t>
        </is>
      </c>
      <c r="CW129" t="inlineStr">
        <is>
          <t>LBY</t>
        </is>
      </c>
      <c r="CX129" t="inlineStr">
        <is>
          <t>LBY</t>
        </is>
      </c>
      <c r="CY129" t="inlineStr">
        <is>
          <t>LBY</t>
        </is>
      </c>
      <c r="CZ129" t="inlineStr">
        <is>
          <t>LBY</t>
        </is>
      </c>
      <c r="DA129" t="inlineStr">
        <is>
          <t>LBY</t>
        </is>
      </c>
      <c r="DB129" t="inlineStr">
        <is>
          <t>LBY</t>
        </is>
      </c>
      <c r="DC129" t="inlineStr">
        <is>
          <t>LBY</t>
        </is>
      </c>
      <c r="DD129" t="inlineStr">
        <is>
          <t>LBY</t>
        </is>
      </c>
      <c r="DE129" t="inlineStr">
        <is>
          <t>LBY</t>
        </is>
      </c>
      <c r="DF129" t="inlineStr">
        <is>
          <t>LBY</t>
        </is>
      </c>
      <c r="DG129" t="inlineStr">
        <is>
          <t>LBY</t>
        </is>
      </c>
      <c r="DH129" t="inlineStr">
        <is>
          <t>EGY</t>
        </is>
      </c>
      <c r="DI129" t="inlineStr">
        <is>
          <t>EGY</t>
        </is>
      </c>
      <c r="DJ129" t="inlineStr">
        <is>
          <t>EGY</t>
        </is>
      </c>
      <c r="DK129" t="inlineStr">
        <is>
          <t>EGY</t>
        </is>
      </c>
      <c r="DL129" t="inlineStr">
        <is>
          <t>EGY</t>
        </is>
      </c>
      <c r="DM129" t="inlineStr">
        <is>
          <t>EGY</t>
        </is>
      </c>
      <c r="DN129" t="inlineStr">
        <is>
          <t>EGY</t>
        </is>
      </c>
      <c r="DO129" t="inlineStr">
        <is>
          <t>EGY</t>
        </is>
      </c>
      <c r="DP129" t="inlineStr">
        <is>
          <t>EGY</t>
        </is>
      </c>
      <c r="DQ129" t="inlineStr">
        <is>
          <t>EGY</t>
        </is>
      </c>
      <c r="DR129" t="inlineStr">
        <is>
          <t>EGY</t>
        </is>
      </c>
      <c r="DS129" t="inlineStr">
        <is>
          <t>EGY</t>
        </is>
      </c>
      <c r="DT129" t="inlineStr">
        <is>
          <t>EGY</t>
        </is>
      </c>
      <c r="DU129" t="inlineStr">
        <is>
          <t>EGY</t>
        </is>
      </c>
      <c r="DV129" t="inlineStr">
        <is>
          <t>EGY</t>
        </is>
      </c>
      <c r="DW129" t="inlineStr">
        <is>
          <t>EGY</t>
        </is>
      </c>
      <c r="DX129" t="inlineStr">
        <is>
          <t>EGY</t>
        </is>
      </c>
      <c r="DY129" t="inlineStr">
        <is>
          <t>EGY</t>
        </is>
      </c>
      <c r="DZ129" t="inlineStr">
        <is>
          <t>EGY</t>
        </is>
      </c>
      <c r="EA129" t="inlineStr">
        <is>
          <t>EGY</t>
        </is>
      </c>
      <c r="EB129" t="inlineStr">
        <is>
          <t>EGY</t>
        </is>
      </c>
      <c r="EI129" t="inlineStr">
        <is>
          <t>SAU</t>
        </is>
      </c>
      <c r="EJ129" t="inlineStr">
        <is>
          <t>SAU</t>
        </is>
      </c>
      <c r="EK129" t="inlineStr">
        <is>
          <t>SAU</t>
        </is>
      </c>
      <c r="EL129" t="inlineStr">
        <is>
          <t>SAU</t>
        </is>
      </c>
      <c r="EM129" t="inlineStr">
        <is>
          <t>SAU</t>
        </is>
      </c>
      <c r="EN129" t="inlineStr">
        <is>
          <t>SAU</t>
        </is>
      </c>
      <c r="EO129" t="inlineStr">
        <is>
          <t>SAU</t>
        </is>
      </c>
      <c r="EP129" t="inlineStr">
        <is>
          <t>SAU</t>
        </is>
      </c>
      <c r="EQ129" t="inlineStr">
        <is>
          <t>SAU</t>
        </is>
      </c>
      <c r="ER129" t="inlineStr">
        <is>
          <t>SAU</t>
        </is>
      </c>
      <c r="ES129" t="inlineStr">
        <is>
          <t>SAU</t>
        </is>
      </c>
      <c r="ET129" t="inlineStr">
        <is>
          <t>SAU</t>
        </is>
      </c>
      <c r="EU129" t="inlineStr">
        <is>
          <t>SAU</t>
        </is>
      </c>
      <c r="EV129" t="inlineStr">
        <is>
          <t>SAU</t>
        </is>
      </c>
      <c r="EW129" t="inlineStr">
        <is>
          <t>SAU</t>
        </is>
      </c>
      <c r="EX129" t="inlineStr">
        <is>
          <t>SAU</t>
        </is>
      </c>
      <c r="EY129" t="inlineStr">
        <is>
          <t>SAU</t>
        </is>
      </c>
      <c r="EZ129" t="inlineStr">
        <is>
          <t>SAU</t>
        </is>
      </c>
      <c r="FA129" t="inlineStr">
        <is>
          <t>SAU</t>
        </is>
      </c>
      <c r="FB129" t="inlineStr">
        <is>
          <t>SAU</t>
        </is>
      </c>
      <c r="FC129" t="inlineStr">
        <is>
          <t>SAU</t>
        </is>
      </c>
      <c r="FD129" t="inlineStr">
        <is>
          <t>SAU</t>
        </is>
      </c>
      <c r="FE129" t="inlineStr">
        <is>
          <t>SAU</t>
        </is>
      </c>
      <c r="FF129" t="inlineStr">
        <is>
          <t>SAU</t>
        </is>
      </c>
      <c r="FG129" t="inlineStr">
        <is>
          <t>SAU</t>
        </is>
      </c>
      <c r="FH129" t="inlineStr">
        <is>
          <t>SAU</t>
        </is>
      </c>
      <c r="FI129" t="inlineStr">
        <is>
          <t>ARE</t>
        </is>
      </c>
      <c r="FJ129" t="inlineStr">
        <is>
          <t>ARE</t>
        </is>
      </c>
      <c r="FK129" t="inlineStr">
        <is>
          <t>ARE</t>
        </is>
      </c>
      <c r="FL129" t="inlineStr">
        <is>
          <t>ARE</t>
        </is>
      </c>
      <c r="FM129" t="inlineStr">
        <is>
          <t>ARE</t>
        </is>
      </c>
      <c r="FN129" t="inlineStr">
        <is>
          <t>ARE</t>
        </is>
      </c>
      <c r="FO129" t="inlineStr">
        <is>
          <t>ARE</t>
        </is>
      </c>
      <c r="FP129" t="inlineStr">
        <is>
          <t>ARE</t>
        </is>
      </c>
      <c r="FQ129" t="inlineStr">
        <is>
          <t>OMN</t>
        </is>
      </c>
      <c r="FR129" t="inlineStr">
        <is>
          <t>OMN</t>
        </is>
      </c>
      <c r="FS129" t="inlineStr">
        <is>
          <t>OMN</t>
        </is>
      </c>
      <c r="FT129" t="inlineStr">
        <is>
          <t>OMN</t>
        </is>
      </c>
      <c r="FU129" t="inlineStr">
        <is>
          <t>OMN</t>
        </is>
      </c>
      <c r="GP129" t="inlineStr">
        <is>
          <t>IND</t>
        </is>
      </c>
      <c r="GQ129" t="inlineStr">
        <is>
          <t>IND</t>
        </is>
      </c>
      <c r="GR129" t="inlineStr">
        <is>
          <t>IND</t>
        </is>
      </c>
      <c r="GS129" t="inlineStr">
        <is>
          <t>IND</t>
        </is>
      </c>
      <c r="GT129" t="inlineStr">
        <is>
          <t>IND</t>
        </is>
      </c>
      <c r="GU129" t="inlineStr">
        <is>
          <t>IND</t>
        </is>
      </c>
      <c r="GV129" t="inlineStr">
        <is>
          <t>IND</t>
        </is>
      </c>
      <c r="GW129" t="inlineStr">
        <is>
          <t>IND</t>
        </is>
      </c>
      <c r="GX129" t="inlineStr">
        <is>
          <t>IND</t>
        </is>
      </c>
      <c r="GY129" t="inlineStr">
        <is>
          <t>IND</t>
        </is>
      </c>
      <c r="GZ129" t="inlineStr">
        <is>
          <t>IND</t>
        </is>
      </c>
      <c r="HA129" t="inlineStr">
        <is>
          <t>IND</t>
        </is>
      </c>
      <c r="HB129" t="inlineStr">
        <is>
          <t>IND</t>
        </is>
      </c>
      <c r="HC129" t="inlineStr">
        <is>
          <t>IND</t>
        </is>
      </c>
      <c r="HD129" t="inlineStr">
        <is>
          <t>IND</t>
        </is>
      </c>
      <c r="HE129" t="inlineStr">
        <is>
          <t>IND</t>
        </is>
      </c>
      <c r="HF129" t="inlineStr">
        <is>
          <t>IND</t>
        </is>
      </c>
      <c r="HG129" t="inlineStr">
        <is>
          <t>IND</t>
        </is>
      </c>
      <c r="HH129" t="inlineStr">
        <is>
          <t>IND</t>
        </is>
      </c>
      <c r="HI129" t="inlineStr">
        <is>
          <t>IND</t>
        </is>
      </c>
      <c r="HJ129" t="inlineStr">
        <is>
          <t>IND</t>
        </is>
      </c>
      <c r="HK129" t="inlineStr">
        <is>
          <t>IND</t>
        </is>
      </c>
      <c r="HL129" t="inlineStr">
        <is>
          <t>IND</t>
        </is>
      </c>
      <c r="HM129" t="inlineStr">
        <is>
          <t>IND</t>
        </is>
      </c>
      <c r="HN129" t="inlineStr">
        <is>
          <t>IND</t>
        </is>
      </c>
      <c r="HO129" t="inlineStr">
        <is>
          <t>IND</t>
        </is>
      </c>
      <c r="HP129" t="inlineStr">
        <is>
          <t>IND</t>
        </is>
      </c>
      <c r="HQ129" t="inlineStr">
        <is>
          <t>IND</t>
        </is>
      </c>
      <c r="HR129" t="inlineStr">
        <is>
          <t>IND</t>
        </is>
      </c>
      <c r="HS129" t="inlineStr">
        <is>
          <t>IND</t>
        </is>
      </c>
      <c r="HT129" t="inlineStr">
        <is>
          <t>IND</t>
        </is>
      </c>
      <c r="HU129" t="inlineStr">
        <is>
          <t>IND</t>
        </is>
      </c>
      <c r="HV129" t="inlineStr">
        <is>
          <t>IND</t>
        </is>
      </c>
      <c r="HW129" t="inlineStr">
        <is>
          <t>IND</t>
        </is>
      </c>
      <c r="HX129" t="inlineStr">
        <is>
          <t>IND</t>
        </is>
      </c>
      <c r="HY129" t="inlineStr">
        <is>
          <t>IND</t>
        </is>
      </c>
      <c r="HZ129" t="inlineStr">
        <is>
          <t>IND</t>
        </is>
      </c>
      <c r="IA129" t="inlineStr">
        <is>
          <t>IND</t>
        </is>
      </c>
      <c r="IB129" t="inlineStr">
        <is>
          <t>IND</t>
        </is>
      </c>
      <c r="IC129" t="inlineStr">
        <is>
          <t>IND</t>
        </is>
      </c>
      <c r="ID129" t="inlineStr">
        <is>
          <t>IND</t>
        </is>
      </c>
      <c r="IE129" t="inlineStr">
        <is>
          <t>BGD</t>
        </is>
      </c>
      <c r="IF129" t="inlineStr">
        <is>
          <t>BGD</t>
        </is>
      </c>
      <c r="IG129" t="inlineStr">
        <is>
          <t>BGD</t>
        </is>
      </c>
      <c r="IH129" t="inlineStr">
        <is>
          <t>BGD</t>
        </is>
      </c>
      <c r="II129" t="inlineStr">
        <is>
          <t>BGD</t>
        </is>
      </c>
      <c r="IJ129" t="inlineStr">
        <is>
          <t>BGD</t>
        </is>
      </c>
      <c r="IK129" t="inlineStr">
        <is>
          <t>IND</t>
        </is>
      </c>
      <c r="IL129" t="inlineStr">
        <is>
          <t>IND</t>
        </is>
      </c>
      <c r="IM129" t="inlineStr">
        <is>
          <t>IND</t>
        </is>
      </c>
      <c r="IN129" t="inlineStr">
        <is>
          <t>IND</t>
        </is>
      </c>
      <c r="IO129" t="inlineStr">
        <is>
          <t>MMR</t>
        </is>
      </c>
      <c r="IP129" t="inlineStr">
        <is>
          <t>MMR</t>
        </is>
      </c>
      <c r="IQ129" t="inlineStr">
        <is>
          <t>MMR</t>
        </is>
      </c>
      <c r="IR129" t="inlineStr">
        <is>
          <t>MMR</t>
        </is>
      </c>
      <c r="IS129" t="inlineStr">
        <is>
          <t>MMR</t>
        </is>
      </c>
      <c r="IT129" t="inlineStr">
        <is>
          <t>MMR</t>
        </is>
      </c>
      <c r="IU129" t="inlineStr">
        <is>
          <t>MMR</t>
        </is>
      </c>
      <c r="IV129" t="inlineStr">
        <is>
          <t>MMR</t>
        </is>
      </c>
      <c r="IW129" t="inlineStr">
        <is>
          <t>MMR</t>
        </is>
      </c>
      <c r="IX129" t="inlineStr">
        <is>
          <t>MMR</t>
        </is>
      </c>
      <c r="IY129" t="inlineStr">
        <is>
          <t>CHN</t>
        </is>
      </c>
      <c r="IZ129" t="inlineStr">
        <is>
          <t>CHN</t>
        </is>
      </c>
      <c r="JA129" t="inlineStr">
        <is>
          <t>CHN</t>
        </is>
      </c>
      <c r="JB129" t="inlineStr">
        <is>
          <t>CHN</t>
        </is>
      </c>
      <c r="JC129" t="inlineStr">
        <is>
          <t>CHN</t>
        </is>
      </c>
      <c r="JD129" t="inlineStr">
        <is>
          <t>CHN</t>
        </is>
      </c>
      <c r="JE129" t="inlineStr">
        <is>
          <t>CHN</t>
        </is>
      </c>
      <c r="JF129" t="inlineStr">
        <is>
          <t>CHN</t>
        </is>
      </c>
      <c r="JG129" t="inlineStr">
        <is>
          <t>CHN</t>
        </is>
      </c>
      <c r="JH129" t="inlineStr">
        <is>
          <t>CHN</t>
        </is>
      </c>
      <c r="JI129" t="inlineStr">
        <is>
          <t>CHN</t>
        </is>
      </c>
      <c r="JJ129" t="inlineStr">
        <is>
          <t>CHN</t>
        </is>
      </c>
      <c r="JK129" t="inlineStr">
        <is>
          <t>CHN</t>
        </is>
      </c>
      <c r="JL129" t="inlineStr">
        <is>
          <t>CHN</t>
        </is>
      </c>
      <c r="JM129" t="inlineStr">
        <is>
          <t>CHN</t>
        </is>
      </c>
      <c r="JN129" t="inlineStr">
        <is>
          <t>CHN</t>
        </is>
      </c>
      <c r="JO129" t="inlineStr">
        <is>
          <t>CHN</t>
        </is>
      </c>
      <c r="JP129" t="inlineStr">
        <is>
          <t>CHN</t>
        </is>
      </c>
      <c r="JQ129" t="inlineStr">
        <is>
          <t>CHN</t>
        </is>
      </c>
      <c r="JR129" t="inlineStr">
        <is>
          <t>CHN</t>
        </is>
      </c>
      <c r="JS129" t="inlineStr">
        <is>
          <t>CHN</t>
        </is>
      </c>
      <c r="JT129" t="inlineStr">
        <is>
          <t>CHN</t>
        </is>
      </c>
      <c r="JU129" t="inlineStr">
        <is>
          <t>CHN</t>
        </is>
      </c>
    </row>
    <row r="130">
      <c r="AE130" t="inlineStr">
        <is>
          <t>MAR</t>
        </is>
      </c>
      <c r="AF130" t="inlineStr">
        <is>
          <t>MAR</t>
        </is>
      </c>
      <c r="AG130" t="inlineStr">
        <is>
          <t>MAR</t>
        </is>
      </c>
      <c r="AH130" t="inlineStr">
        <is>
          <t>MAR</t>
        </is>
      </c>
      <c r="AI130" t="inlineStr">
        <is>
          <t>MAR</t>
        </is>
      </c>
      <c r="AJ130" t="inlineStr">
        <is>
          <t>ESH</t>
        </is>
      </c>
      <c r="AK130" t="inlineStr">
        <is>
          <t>ESH</t>
        </is>
      </c>
      <c r="AL130" t="inlineStr">
        <is>
          <t>MRT</t>
        </is>
      </c>
      <c r="AM130" t="inlineStr">
        <is>
          <t>MRT</t>
        </is>
      </c>
      <c r="AN130" t="inlineStr">
        <is>
          <t>MRT</t>
        </is>
      </c>
      <c r="AO130" t="inlineStr">
        <is>
          <t>MRT</t>
        </is>
      </c>
      <c r="AP130" t="inlineStr">
        <is>
          <t>MRT</t>
        </is>
      </c>
      <c r="AQ130" t="inlineStr">
        <is>
          <t>MRT</t>
        </is>
      </c>
      <c r="AR130" t="inlineStr">
        <is>
          <t>MRT</t>
        </is>
      </c>
      <c r="AS130" t="inlineStr">
        <is>
          <t>MRT</t>
        </is>
      </c>
      <c r="AT130" t="inlineStr">
        <is>
          <t>MRT</t>
        </is>
      </c>
      <c r="AU130" t="inlineStr">
        <is>
          <t>MRT</t>
        </is>
      </c>
      <c r="AV130" t="inlineStr">
        <is>
          <t>MRT</t>
        </is>
      </c>
      <c r="AW130" t="inlineStr">
        <is>
          <t>MLI</t>
        </is>
      </c>
      <c r="AX130" t="inlineStr">
        <is>
          <t>MLI</t>
        </is>
      </c>
      <c r="AY130" t="inlineStr">
        <is>
          <t>MLI</t>
        </is>
      </c>
      <c r="AZ130" t="inlineStr">
        <is>
          <t>MLI</t>
        </is>
      </c>
      <c r="BA130" t="inlineStr">
        <is>
          <t>MLI</t>
        </is>
      </c>
      <c r="BB130" t="inlineStr">
        <is>
          <t>DZA</t>
        </is>
      </c>
      <c r="BC130" t="inlineStr">
        <is>
          <t>DZA</t>
        </is>
      </c>
      <c r="BD130" t="inlineStr">
        <is>
          <t>DZA</t>
        </is>
      </c>
      <c r="BE130" t="inlineStr">
        <is>
          <t>DZA</t>
        </is>
      </c>
      <c r="BF130" t="inlineStr">
        <is>
          <t>DZA</t>
        </is>
      </c>
      <c r="BG130" t="inlineStr">
        <is>
          <t>DZA</t>
        </is>
      </c>
      <c r="BH130" t="inlineStr">
        <is>
          <t>DZA</t>
        </is>
      </c>
      <c r="BI130" t="inlineStr">
        <is>
          <t>DZA</t>
        </is>
      </c>
      <c r="BJ130" t="inlineStr">
        <is>
          <t>DZA</t>
        </is>
      </c>
      <c r="BK130" t="inlineStr">
        <is>
          <t>DZA</t>
        </is>
      </c>
      <c r="BL130" t="inlineStr">
        <is>
          <t>DZA</t>
        </is>
      </c>
      <c r="BM130" t="inlineStr">
        <is>
          <t>DZA</t>
        </is>
      </c>
      <c r="BN130" t="inlineStr">
        <is>
          <t>DZA</t>
        </is>
      </c>
      <c r="BO130" t="inlineStr">
        <is>
          <t>DZA</t>
        </is>
      </c>
      <c r="BP130" t="inlineStr">
        <is>
          <t>DZA</t>
        </is>
      </c>
      <c r="BQ130" t="inlineStr">
        <is>
          <t>DZA</t>
        </is>
      </c>
      <c r="BR130" t="inlineStr">
        <is>
          <t>DZA</t>
        </is>
      </c>
      <c r="BS130" t="inlineStr">
        <is>
          <t>DZA</t>
        </is>
      </c>
      <c r="BT130" t="inlineStr">
        <is>
          <t>DZA</t>
        </is>
      </c>
      <c r="BU130" t="inlineStr">
        <is>
          <t>DZA</t>
        </is>
      </c>
      <c r="BV130" t="inlineStr">
        <is>
          <t>DZA</t>
        </is>
      </c>
      <c r="BW130" t="inlineStr">
        <is>
          <t>DZA</t>
        </is>
      </c>
      <c r="BX130" t="inlineStr">
        <is>
          <t>DZA</t>
        </is>
      </c>
      <c r="BY130" t="inlineStr">
        <is>
          <t>DZA</t>
        </is>
      </c>
      <c r="BZ130" t="inlineStr">
        <is>
          <t>DZA</t>
        </is>
      </c>
      <c r="CA130" t="inlineStr">
        <is>
          <t>DZA</t>
        </is>
      </c>
      <c r="CB130" t="inlineStr">
        <is>
          <t>DZA</t>
        </is>
      </c>
      <c r="CC130" t="inlineStr">
        <is>
          <t>DZA</t>
        </is>
      </c>
      <c r="CD130" t="inlineStr">
        <is>
          <t>DZA</t>
        </is>
      </c>
      <c r="CE130" t="inlineStr">
        <is>
          <t>DZA</t>
        </is>
      </c>
      <c r="CF130" t="inlineStr">
        <is>
          <t>DZA</t>
        </is>
      </c>
      <c r="CG130" t="inlineStr">
        <is>
          <t>LBY</t>
        </is>
      </c>
      <c r="CH130" t="inlineStr">
        <is>
          <t>LBY</t>
        </is>
      </c>
      <c r="CI130" t="inlineStr">
        <is>
          <t>LBY</t>
        </is>
      </c>
      <c r="CJ130" t="inlineStr">
        <is>
          <t>LBY</t>
        </is>
      </c>
      <c r="CK130" t="inlineStr">
        <is>
          <t>LBY</t>
        </is>
      </c>
      <c r="CL130" t="inlineStr">
        <is>
          <t>LBY</t>
        </is>
      </c>
      <c r="CM130" t="inlineStr">
        <is>
          <t>LBY</t>
        </is>
      </c>
      <c r="CN130" t="inlineStr">
        <is>
          <t>LBY</t>
        </is>
      </c>
      <c r="CO130" t="inlineStr">
        <is>
          <t>LBY</t>
        </is>
      </c>
      <c r="CP130" t="inlineStr">
        <is>
          <t>LBY</t>
        </is>
      </c>
      <c r="CQ130" t="inlineStr">
        <is>
          <t>LBY</t>
        </is>
      </c>
      <c r="CR130" t="inlineStr">
        <is>
          <t>LBY</t>
        </is>
      </c>
      <c r="CS130" t="inlineStr">
        <is>
          <t>LBY</t>
        </is>
      </c>
      <c r="CT130" t="inlineStr">
        <is>
          <t>LBY</t>
        </is>
      </c>
      <c r="CU130" t="inlineStr">
        <is>
          <t>LBY</t>
        </is>
      </c>
      <c r="CV130" t="inlineStr">
        <is>
          <t>LBY</t>
        </is>
      </c>
      <c r="CW130" t="inlineStr">
        <is>
          <t>LBY</t>
        </is>
      </c>
      <c r="CX130" t="inlineStr">
        <is>
          <t>LBY</t>
        </is>
      </c>
      <c r="CY130" t="inlineStr">
        <is>
          <t>LBY</t>
        </is>
      </c>
      <c r="CZ130" t="inlineStr">
        <is>
          <t>LBY</t>
        </is>
      </c>
      <c r="DA130" t="inlineStr">
        <is>
          <t>LBY</t>
        </is>
      </c>
      <c r="DB130" t="inlineStr">
        <is>
          <t>LBY</t>
        </is>
      </c>
      <c r="DC130" t="inlineStr">
        <is>
          <t>LBY</t>
        </is>
      </c>
      <c r="DD130" t="inlineStr">
        <is>
          <t>LBY</t>
        </is>
      </c>
      <c r="DE130" t="inlineStr">
        <is>
          <t>LBY</t>
        </is>
      </c>
      <c r="DF130" t="inlineStr">
        <is>
          <t>LBY</t>
        </is>
      </c>
      <c r="DG130" t="inlineStr">
        <is>
          <t>LBY</t>
        </is>
      </c>
      <c r="DH130" t="inlineStr">
        <is>
          <t>EGY</t>
        </is>
      </c>
      <c r="DI130" t="inlineStr">
        <is>
          <t>EGY</t>
        </is>
      </c>
      <c r="DJ130" t="inlineStr">
        <is>
          <t>EGY</t>
        </is>
      </c>
      <c r="DK130" t="inlineStr">
        <is>
          <t>EGY</t>
        </is>
      </c>
      <c r="DL130" t="inlineStr">
        <is>
          <t>EGY</t>
        </is>
      </c>
      <c r="DM130" t="inlineStr">
        <is>
          <t>EGY</t>
        </is>
      </c>
      <c r="DN130" t="inlineStr">
        <is>
          <t>EGY</t>
        </is>
      </c>
      <c r="DO130" t="inlineStr">
        <is>
          <t>EGY</t>
        </is>
      </c>
      <c r="DP130" t="inlineStr">
        <is>
          <t>EGY</t>
        </is>
      </c>
      <c r="DQ130" t="inlineStr">
        <is>
          <t>EGY</t>
        </is>
      </c>
      <c r="DR130" t="inlineStr">
        <is>
          <t>EGY</t>
        </is>
      </c>
      <c r="DS130" t="inlineStr">
        <is>
          <t>EGY</t>
        </is>
      </c>
      <c r="DT130" t="inlineStr">
        <is>
          <t>EGY</t>
        </is>
      </c>
      <c r="DU130" t="inlineStr">
        <is>
          <t>EGY</t>
        </is>
      </c>
      <c r="DV130" t="inlineStr">
        <is>
          <t>EGY</t>
        </is>
      </c>
      <c r="DW130" t="inlineStr">
        <is>
          <t>EGY</t>
        </is>
      </c>
      <c r="DX130" t="inlineStr">
        <is>
          <t>EGY</t>
        </is>
      </c>
      <c r="DY130" t="inlineStr">
        <is>
          <t>EGY</t>
        </is>
      </c>
      <c r="DZ130" t="inlineStr">
        <is>
          <t>EGY</t>
        </is>
      </c>
      <c r="EA130" t="inlineStr">
        <is>
          <t>EGY</t>
        </is>
      </c>
      <c r="EB130" t="inlineStr">
        <is>
          <t>EGY</t>
        </is>
      </c>
      <c r="EG130" t="inlineStr">
        <is>
          <t>SAU</t>
        </is>
      </c>
      <c r="EH130" t="inlineStr">
        <is>
          <t>SAU</t>
        </is>
      </c>
      <c r="EI130" t="inlineStr">
        <is>
          <t>SAU</t>
        </is>
      </c>
      <c r="EJ130" t="inlineStr">
        <is>
          <t>SAU</t>
        </is>
      </c>
      <c r="EK130" t="inlineStr">
        <is>
          <t>SAU</t>
        </is>
      </c>
      <c r="EL130" t="inlineStr">
        <is>
          <t>SAU</t>
        </is>
      </c>
      <c r="EM130" t="inlineStr">
        <is>
          <t>SAU</t>
        </is>
      </c>
      <c r="EN130" t="inlineStr">
        <is>
          <t>SAU</t>
        </is>
      </c>
      <c r="EO130" t="inlineStr">
        <is>
          <t>SAU</t>
        </is>
      </c>
      <c r="EP130" t="inlineStr">
        <is>
          <t>SAU</t>
        </is>
      </c>
      <c r="EQ130" t="inlineStr">
        <is>
          <t>SAU</t>
        </is>
      </c>
      <c r="ER130" t="inlineStr">
        <is>
          <t>SAU</t>
        </is>
      </c>
      <c r="ES130" t="inlineStr">
        <is>
          <t>SAU</t>
        </is>
      </c>
      <c r="ET130" t="inlineStr">
        <is>
          <t>SAU</t>
        </is>
      </c>
      <c r="EU130" t="inlineStr">
        <is>
          <t>SAU</t>
        </is>
      </c>
      <c r="EV130" t="inlineStr">
        <is>
          <t>SAU</t>
        </is>
      </c>
      <c r="EW130" t="inlineStr">
        <is>
          <t>SAU</t>
        </is>
      </c>
      <c r="EX130" t="inlineStr">
        <is>
          <t>SAU</t>
        </is>
      </c>
      <c r="EY130" t="inlineStr">
        <is>
          <t>SAU</t>
        </is>
      </c>
      <c r="EZ130" t="inlineStr">
        <is>
          <t>SAU</t>
        </is>
      </c>
      <c r="FA130" t="inlineStr">
        <is>
          <t>SAU</t>
        </is>
      </c>
      <c r="FB130" t="inlineStr">
        <is>
          <t>SAU</t>
        </is>
      </c>
      <c r="FC130" t="inlineStr">
        <is>
          <t>SAU</t>
        </is>
      </c>
      <c r="FD130" t="inlineStr">
        <is>
          <t>SAU</t>
        </is>
      </c>
      <c r="FE130" t="inlineStr">
        <is>
          <t>SAU</t>
        </is>
      </c>
      <c r="FF130" t="inlineStr">
        <is>
          <t>SAU</t>
        </is>
      </c>
      <c r="FG130" t="inlineStr">
        <is>
          <t>SAU</t>
        </is>
      </c>
      <c r="FH130" t="inlineStr">
        <is>
          <t>SAU</t>
        </is>
      </c>
      <c r="FI130" t="inlineStr">
        <is>
          <t>ARE</t>
        </is>
      </c>
      <c r="FN130" t="inlineStr">
        <is>
          <t>ARE</t>
        </is>
      </c>
      <c r="FO130" t="inlineStr">
        <is>
          <t>ARE</t>
        </is>
      </c>
      <c r="FP130" t="inlineStr">
        <is>
          <t>ARE</t>
        </is>
      </c>
      <c r="FQ130" t="inlineStr">
        <is>
          <t>ARE</t>
        </is>
      </c>
      <c r="FR130" t="inlineStr">
        <is>
          <t>OMN</t>
        </is>
      </c>
      <c r="FS130" t="inlineStr">
        <is>
          <t>OMN</t>
        </is>
      </c>
      <c r="GO130" t="inlineStr">
        <is>
          <t>PAK</t>
        </is>
      </c>
      <c r="GP130" t="inlineStr">
        <is>
          <t>PAK</t>
        </is>
      </c>
      <c r="GQ130" t="inlineStr">
        <is>
          <t>IND</t>
        </is>
      </c>
      <c r="GR130" t="inlineStr">
        <is>
          <t>IND</t>
        </is>
      </c>
      <c r="GS130" t="inlineStr">
        <is>
          <t>IND</t>
        </is>
      </c>
      <c r="GT130" t="inlineStr">
        <is>
          <t>IND</t>
        </is>
      </c>
      <c r="GU130" t="inlineStr">
        <is>
          <t>IND</t>
        </is>
      </c>
      <c r="GV130" t="inlineStr">
        <is>
          <t>IND</t>
        </is>
      </c>
      <c r="GW130" t="inlineStr">
        <is>
          <t>IND</t>
        </is>
      </c>
      <c r="GX130" t="inlineStr">
        <is>
          <t>IND</t>
        </is>
      </c>
      <c r="GY130" t="inlineStr">
        <is>
          <t>IND</t>
        </is>
      </c>
      <c r="GZ130" t="inlineStr">
        <is>
          <t>IND</t>
        </is>
      </c>
      <c r="HA130" t="inlineStr">
        <is>
          <t>IND</t>
        </is>
      </c>
      <c r="HB130" t="inlineStr">
        <is>
          <t>IND</t>
        </is>
      </c>
      <c r="HC130" t="inlineStr">
        <is>
          <t>IND</t>
        </is>
      </c>
      <c r="HD130" t="inlineStr">
        <is>
          <t>IND</t>
        </is>
      </c>
      <c r="HE130" t="inlineStr">
        <is>
          <t>IND</t>
        </is>
      </c>
      <c r="HF130" t="inlineStr">
        <is>
          <t>IND</t>
        </is>
      </c>
      <c r="HG130" t="inlineStr">
        <is>
          <t>IND</t>
        </is>
      </c>
      <c r="HH130" t="inlineStr">
        <is>
          <t>IND</t>
        </is>
      </c>
      <c r="HI130" t="inlineStr">
        <is>
          <t>IND</t>
        </is>
      </c>
      <c r="HJ130" t="inlineStr">
        <is>
          <t>IND</t>
        </is>
      </c>
      <c r="HK130" t="inlineStr">
        <is>
          <t>IND</t>
        </is>
      </c>
      <c r="HL130" t="inlineStr">
        <is>
          <t>IND</t>
        </is>
      </c>
      <c r="HM130" t="inlineStr">
        <is>
          <t>IND</t>
        </is>
      </c>
      <c r="HN130" t="inlineStr">
        <is>
          <t>IND</t>
        </is>
      </c>
      <c r="HO130" t="inlineStr">
        <is>
          <t>IND</t>
        </is>
      </c>
      <c r="HP130" t="inlineStr">
        <is>
          <t>IND</t>
        </is>
      </c>
      <c r="HQ130" t="inlineStr">
        <is>
          <t>IND</t>
        </is>
      </c>
      <c r="HR130" t="inlineStr">
        <is>
          <t>IND</t>
        </is>
      </c>
      <c r="HS130" t="inlineStr">
        <is>
          <t>IND</t>
        </is>
      </c>
      <c r="HT130" t="inlineStr">
        <is>
          <t>IND</t>
        </is>
      </c>
      <c r="HU130" t="inlineStr">
        <is>
          <t>IND</t>
        </is>
      </c>
      <c r="HV130" t="inlineStr">
        <is>
          <t>IND</t>
        </is>
      </c>
      <c r="HW130" t="inlineStr">
        <is>
          <t>IND</t>
        </is>
      </c>
      <c r="HX130" t="inlineStr">
        <is>
          <t>IND</t>
        </is>
      </c>
      <c r="HY130" t="inlineStr">
        <is>
          <t>IND</t>
        </is>
      </c>
      <c r="HZ130" t="inlineStr">
        <is>
          <t>IND</t>
        </is>
      </c>
      <c r="IA130" t="inlineStr">
        <is>
          <t>IND</t>
        </is>
      </c>
      <c r="IB130" t="inlineStr">
        <is>
          <t>IND</t>
        </is>
      </c>
      <c r="IC130" t="inlineStr">
        <is>
          <t>IND</t>
        </is>
      </c>
      <c r="ID130" t="inlineStr">
        <is>
          <t>IND</t>
        </is>
      </c>
      <c r="IE130" t="inlineStr">
        <is>
          <t>BGD</t>
        </is>
      </c>
      <c r="IF130" t="inlineStr">
        <is>
          <t>BGD</t>
        </is>
      </c>
      <c r="IG130" t="inlineStr">
        <is>
          <t>BGD</t>
        </is>
      </c>
      <c r="IH130" t="inlineStr">
        <is>
          <t>BGD</t>
        </is>
      </c>
      <c r="II130" t="inlineStr">
        <is>
          <t>BGD</t>
        </is>
      </c>
      <c r="IJ130" t="inlineStr">
        <is>
          <t>BGD</t>
        </is>
      </c>
      <c r="IK130" t="inlineStr">
        <is>
          <t>BGD</t>
        </is>
      </c>
      <c r="IL130" t="inlineStr">
        <is>
          <t>IND</t>
        </is>
      </c>
      <c r="IM130" t="inlineStr">
        <is>
          <t>IND</t>
        </is>
      </c>
      <c r="IN130" t="inlineStr">
        <is>
          <t>IND</t>
        </is>
      </c>
      <c r="IO130" t="inlineStr">
        <is>
          <t>IND</t>
        </is>
      </c>
      <c r="IP130" t="inlineStr">
        <is>
          <t>IND</t>
        </is>
      </c>
      <c r="IQ130" t="inlineStr">
        <is>
          <t>MMR</t>
        </is>
      </c>
      <c r="IR130" t="inlineStr">
        <is>
          <t>MMR</t>
        </is>
      </c>
      <c r="IS130" t="inlineStr">
        <is>
          <t>MMR</t>
        </is>
      </c>
      <c r="IT130" t="inlineStr">
        <is>
          <t>MMR</t>
        </is>
      </c>
      <c r="IU130" t="inlineStr">
        <is>
          <t>MMR</t>
        </is>
      </c>
      <c r="IV130" t="inlineStr">
        <is>
          <t>MMR</t>
        </is>
      </c>
      <c r="IW130" t="inlineStr">
        <is>
          <t>CHN</t>
        </is>
      </c>
      <c r="IX130" t="inlineStr">
        <is>
          <t>CHN</t>
        </is>
      </c>
      <c r="IY130" t="inlineStr">
        <is>
          <t>CHN</t>
        </is>
      </c>
      <c r="IZ130" t="inlineStr">
        <is>
          <t>CHN</t>
        </is>
      </c>
      <c r="JA130" t="inlineStr">
        <is>
          <t>CHN</t>
        </is>
      </c>
      <c r="JB130" t="inlineStr">
        <is>
          <t>CHN</t>
        </is>
      </c>
      <c r="JC130" t="inlineStr">
        <is>
          <t>CHN</t>
        </is>
      </c>
      <c r="JD130" t="inlineStr">
        <is>
          <t>CHN</t>
        </is>
      </c>
      <c r="JE130" t="inlineStr">
        <is>
          <t>CHN</t>
        </is>
      </c>
      <c r="JF130" t="inlineStr">
        <is>
          <t>CHN</t>
        </is>
      </c>
      <c r="JG130" t="inlineStr">
        <is>
          <t>CHN</t>
        </is>
      </c>
      <c r="JH130" t="inlineStr">
        <is>
          <t>CHN</t>
        </is>
      </c>
      <c r="JI130" t="inlineStr">
        <is>
          <t>CHN</t>
        </is>
      </c>
      <c r="JJ130" t="inlineStr">
        <is>
          <t>CHN</t>
        </is>
      </c>
      <c r="JK130" t="inlineStr">
        <is>
          <t>CHN</t>
        </is>
      </c>
      <c r="JL130" t="inlineStr">
        <is>
          <t>CHN</t>
        </is>
      </c>
      <c r="JM130" t="inlineStr">
        <is>
          <t>CHN</t>
        </is>
      </c>
      <c r="JN130" t="inlineStr">
        <is>
          <t>CHN</t>
        </is>
      </c>
      <c r="JO130" t="inlineStr">
        <is>
          <t>CHN</t>
        </is>
      </c>
      <c r="JP130" t="inlineStr">
        <is>
          <t>CHN</t>
        </is>
      </c>
      <c r="JQ130" t="inlineStr">
        <is>
          <t>CHN</t>
        </is>
      </c>
      <c r="JR130" t="inlineStr">
        <is>
          <t>CHN</t>
        </is>
      </c>
      <c r="JS130" t="inlineStr">
        <is>
          <t>CHN</t>
        </is>
      </c>
      <c r="JT130" t="inlineStr">
        <is>
          <t>CHN</t>
        </is>
      </c>
      <c r="JU130" t="inlineStr">
        <is>
          <t>CHN</t>
        </is>
      </c>
    </row>
    <row r="131">
      <c r="AF131" t="inlineStr">
        <is>
          <t>MAR</t>
        </is>
      </c>
      <c r="AG131" t="inlineStr">
        <is>
          <t>MAR</t>
        </is>
      </c>
      <c r="AH131" t="inlineStr">
        <is>
          <t>MAR</t>
        </is>
      </c>
      <c r="AI131" t="inlineStr">
        <is>
          <t>MAR</t>
        </is>
      </c>
      <c r="AJ131" t="inlineStr">
        <is>
          <t>MAR</t>
        </is>
      </c>
      <c r="AK131" t="inlineStr">
        <is>
          <t>ESH</t>
        </is>
      </c>
      <c r="AL131" t="inlineStr">
        <is>
          <t>MRT</t>
        </is>
      </c>
      <c r="AM131" t="inlineStr">
        <is>
          <t>MRT</t>
        </is>
      </c>
      <c r="AN131" t="inlineStr">
        <is>
          <t>MRT</t>
        </is>
      </c>
      <c r="AO131" t="inlineStr">
        <is>
          <t>MRT</t>
        </is>
      </c>
      <c r="AP131" t="inlineStr">
        <is>
          <t>MRT</t>
        </is>
      </c>
      <c r="AQ131" t="inlineStr">
        <is>
          <t>MRT</t>
        </is>
      </c>
      <c r="AR131" t="inlineStr">
        <is>
          <t>MRT</t>
        </is>
      </c>
      <c r="AS131" t="inlineStr">
        <is>
          <t>MRT</t>
        </is>
      </c>
      <c r="AT131" t="inlineStr">
        <is>
          <t>MRT</t>
        </is>
      </c>
      <c r="AU131" t="inlineStr">
        <is>
          <t>MRT</t>
        </is>
      </c>
      <c r="AV131" t="inlineStr">
        <is>
          <t>MRT</t>
        </is>
      </c>
      <c r="AW131" t="inlineStr">
        <is>
          <t>MLI</t>
        </is>
      </c>
      <c r="AX131" t="inlineStr">
        <is>
          <t>MLI</t>
        </is>
      </c>
      <c r="AY131" t="inlineStr">
        <is>
          <t>MLI</t>
        </is>
      </c>
      <c r="AZ131" t="inlineStr">
        <is>
          <t>MLI</t>
        </is>
      </c>
      <c r="BA131" t="inlineStr">
        <is>
          <t>DZA</t>
        </is>
      </c>
      <c r="BB131" t="inlineStr">
        <is>
          <t>DZA</t>
        </is>
      </c>
      <c r="BC131" t="inlineStr">
        <is>
          <t>DZA</t>
        </is>
      </c>
      <c r="BD131" t="inlineStr">
        <is>
          <t>DZA</t>
        </is>
      </c>
      <c r="BE131" t="inlineStr">
        <is>
          <t>DZA</t>
        </is>
      </c>
      <c r="BF131" t="inlineStr">
        <is>
          <t>DZA</t>
        </is>
      </c>
      <c r="BG131" t="inlineStr">
        <is>
          <t>DZA</t>
        </is>
      </c>
      <c r="BH131" t="inlineStr">
        <is>
          <t>DZA</t>
        </is>
      </c>
      <c r="BI131" t="inlineStr">
        <is>
          <t>DZA</t>
        </is>
      </c>
      <c r="BJ131" t="inlineStr">
        <is>
          <t>DZA</t>
        </is>
      </c>
      <c r="BK131" t="inlineStr">
        <is>
          <t>DZA</t>
        </is>
      </c>
      <c r="BL131" t="inlineStr">
        <is>
          <t>DZA</t>
        </is>
      </c>
      <c r="BM131" t="inlineStr">
        <is>
          <t>DZA</t>
        </is>
      </c>
      <c r="BN131" t="inlineStr">
        <is>
          <t>DZA</t>
        </is>
      </c>
      <c r="BO131" t="inlineStr">
        <is>
          <t>DZA</t>
        </is>
      </c>
      <c r="BP131" t="inlineStr">
        <is>
          <t>DZA</t>
        </is>
      </c>
      <c r="BQ131" t="inlineStr">
        <is>
          <t>DZA</t>
        </is>
      </c>
      <c r="BR131" t="inlineStr">
        <is>
          <t>DZA</t>
        </is>
      </c>
      <c r="BS131" t="inlineStr">
        <is>
          <t>DZA</t>
        </is>
      </c>
      <c r="BT131" t="inlineStr">
        <is>
          <t>DZA</t>
        </is>
      </c>
      <c r="BU131" t="inlineStr">
        <is>
          <t>DZA</t>
        </is>
      </c>
      <c r="BV131" t="inlineStr">
        <is>
          <t>DZA</t>
        </is>
      </c>
      <c r="BW131" t="inlineStr">
        <is>
          <t>DZA</t>
        </is>
      </c>
      <c r="BX131" t="inlineStr">
        <is>
          <t>DZA</t>
        </is>
      </c>
      <c r="BY131" t="inlineStr">
        <is>
          <t>DZA</t>
        </is>
      </c>
      <c r="BZ131" t="inlineStr">
        <is>
          <t>DZA</t>
        </is>
      </c>
      <c r="CA131" t="inlineStr">
        <is>
          <t>DZA</t>
        </is>
      </c>
      <c r="CB131" t="inlineStr">
        <is>
          <t>DZA</t>
        </is>
      </c>
      <c r="CC131" t="inlineStr">
        <is>
          <t>DZA</t>
        </is>
      </c>
      <c r="CD131" t="inlineStr">
        <is>
          <t>LBY</t>
        </is>
      </c>
      <c r="CE131" t="inlineStr">
        <is>
          <t>LBY</t>
        </is>
      </c>
      <c r="CF131" t="inlineStr">
        <is>
          <t>LBY</t>
        </is>
      </c>
      <c r="CG131" t="inlineStr">
        <is>
          <t>LBY</t>
        </is>
      </c>
      <c r="CH131" t="inlineStr">
        <is>
          <t>LBY</t>
        </is>
      </c>
      <c r="CI131" t="inlineStr">
        <is>
          <t>LBY</t>
        </is>
      </c>
      <c r="CJ131" t="inlineStr">
        <is>
          <t>LBY</t>
        </is>
      </c>
      <c r="CK131" t="inlineStr">
        <is>
          <t>LBY</t>
        </is>
      </c>
      <c r="CL131" t="inlineStr">
        <is>
          <t>LBY</t>
        </is>
      </c>
      <c r="CM131" t="inlineStr">
        <is>
          <t>LBY</t>
        </is>
      </c>
      <c r="CN131" t="inlineStr">
        <is>
          <t>LBY</t>
        </is>
      </c>
      <c r="CO131" t="inlineStr">
        <is>
          <t>LBY</t>
        </is>
      </c>
      <c r="CP131" t="inlineStr">
        <is>
          <t>LBY</t>
        </is>
      </c>
      <c r="CQ131" t="inlineStr">
        <is>
          <t>LBY</t>
        </is>
      </c>
      <c r="CR131" t="inlineStr">
        <is>
          <t>LBY</t>
        </is>
      </c>
      <c r="CS131" t="inlineStr">
        <is>
          <t>LBY</t>
        </is>
      </c>
      <c r="CT131" t="inlineStr">
        <is>
          <t>LBY</t>
        </is>
      </c>
      <c r="CU131" t="inlineStr">
        <is>
          <t>LBY</t>
        </is>
      </c>
      <c r="CV131" t="inlineStr">
        <is>
          <t>LBY</t>
        </is>
      </c>
      <c r="CW131" t="inlineStr">
        <is>
          <t>LBY</t>
        </is>
      </c>
      <c r="CX131" t="inlineStr">
        <is>
          <t>LBY</t>
        </is>
      </c>
      <c r="CY131" t="inlineStr">
        <is>
          <t>LBY</t>
        </is>
      </c>
      <c r="CZ131" t="inlineStr">
        <is>
          <t>LBY</t>
        </is>
      </c>
      <c r="DA131" t="inlineStr">
        <is>
          <t>LBY</t>
        </is>
      </c>
      <c r="DB131" t="inlineStr">
        <is>
          <t>LBY</t>
        </is>
      </c>
      <c r="DC131" t="inlineStr">
        <is>
          <t>LBY</t>
        </is>
      </c>
      <c r="DD131" t="inlineStr">
        <is>
          <t>LBY</t>
        </is>
      </c>
      <c r="DE131" t="inlineStr">
        <is>
          <t>LBY</t>
        </is>
      </c>
      <c r="DF131" t="inlineStr">
        <is>
          <t>LBY</t>
        </is>
      </c>
      <c r="DG131" t="inlineStr">
        <is>
          <t>LBY</t>
        </is>
      </c>
      <c r="DH131" t="inlineStr">
        <is>
          <t>EGY</t>
        </is>
      </c>
      <c r="DI131" t="inlineStr">
        <is>
          <t>EGY</t>
        </is>
      </c>
      <c r="DJ131" t="inlineStr">
        <is>
          <t>EGY</t>
        </is>
      </c>
      <c r="DK131" t="inlineStr">
        <is>
          <t>EGY</t>
        </is>
      </c>
      <c r="DL131" t="inlineStr">
        <is>
          <t>EGY</t>
        </is>
      </c>
      <c r="DM131" t="inlineStr">
        <is>
          <t>EGY</t>
        </is>
      </c>
      <c r="DN131" t="inlineStr">
        <is>
          <t>EGY</t>
        </is>
      </c>
      <c r="DO131" t="inlineStr">
        <is>
          <t>EGY</t>
        </is>
      </c>
      <c r="DP131" t="inlineStr">
        <is>
          <t>EGY</t>
        </is>
      </c>
      <c r="DQ131" t="inlineStr">
        <is>
          <t>EGY</t>
        </is>
      </c>
      <c r="DR131" t="inlineStr">
        <is>
          <t>EGY</t>
        </is>
      </c>
      <c r="DS131" t="inlineStr">
        <is>
          <t>EGY</t>
        </is>
      </c>
      <c r="DT131" t="inlineStr">
        <is>
          <t>EGY</t>
        </is>
      </c>
      <c r="DU131" t="inlineStr">
        <is>
          <t>EGY</t>
        </is>
      </c>
      <c r="DV131" t="inlineStr">
        <is>
          <t>EGY</t>
        </is>
      </c>
      <c r="DW131" t="inlineStr">
        <is>
          <t>EGY</t>
        </is>
      </c>
      <c r="DX131" t="inlineStr">
        <is>
          <t>EGY</t>
        </is>
      </c>
      <c r="DY131" t="inlineStr">
        <is>
          <t>EGY</t>
        </is>
      </c>
      <c r="DZ131" t="inlineStr">
        <is>
          <t>EGY</t>
        </is>
      </c>
      <c r="EA131" t="inlineStr">
        <is>
          <t>EGY</t>
        </is>
      </c>
      <c r="EF131" t="inlineStr">
        <is>
          <t>SAU</t>
        </is>
      </c>
      <c r="EG131" t="inlineStr">
        <is>
          <t>SAU</t>
        </is>
      </c>
      <c r="EH131" t="inlineStr">
        <is>
          <t>SAU</t>
        </is>
      </c>
      <c r="EI131" t="inlineStr">
        <is>
          <t>SAU</t>
        </is>
      </c>
      <c r="EJ131" t="inlineStr">
        <is>
          <t>SAU</t>
        </is>
      </c>
      <c r="EK131" t="inlineStr">
        <is>
          <t>SAU</t>
        </is>
      </c>
      <c r="EL131" t="inlineStr">
        <is>
          <t>SAU</t>
        </is>
      </c>
      <c r="EM131" t="inlineStr">
        <is>
          <t>SAU</t>
        </is>
      </c>
      <c r="EN131" t="inlineStr">
        <is>
          <t>SAU</t>
        </is>
      </c>
      <c r="EO131" t="inlineStr">
        <is>
          <t>SAU</t>
        </is>
      </c>
      <c r="EP131" t="inlineStr">
        <is>
          <t>SAU</t>
        </is>
      </c>
      <c r="EQ131" t="inlineStr">
        <is>
          <t>SAU</t>
        </is>
      </c>
      <c r="ER131" t="inlineStr">
        <is>
          <t>SAU</t>
        </is>
      </c>
      <c r="ES131" t="inlineStr">
        <is>
          <t>SAU</t>
        </is>
      </c>
      <c r="ET131" t="inlineStr">
        <is>
          <t>SAU</t>
        </is>
      </c>
      <c r="EU131" t="inlineStr">
        <is>
          <t>SAU</t>
        </is>
      </c>
      <c r="EV131" t="inlineStr">
        <is>
          <t>SAU</t>
        </is>
      </c>
      <c r="EW131" t="inlineStr">
        <is>
          <t>SAU</t>
        </is>
      </c>
      <c r="EX131" t="inlineStr">
        <is>
          <t>SAU</t>
        </is>
      </c>
      <c r="EY131" t="inlineStr">
        <is>
          <t>SAU</t>
        </is>
      </c>
      <c r="EZ131" t="inlineStr">
        <is>
          <t>SAU</t>
        </is>
      </c>
      <c r="FA131" t="inlineStr">
        <is>
          <t>SAU</t>
        </is>
      </c>
      <c r="FB131" t="inlineStr">
        <is>
          <t>SAU</t>
        </is>
      </c>
      <c r="FC131" t="inlineStr">
        <is>
          <t>SAU</t>
        </is>
      </c>
      <c r="FD131" t="inlineStr">
        <is>
          <t>SAU</t>
        </is>
      </c>
      <c r="FE131" t="inlineStr">
        <is>
          <t>SAU</t>
        </is>
      </c>
      <c r="FF131" t="inlineStr">
        <is>
          <t>SAU</t>
        </is>
      </c>
      <c r="FG131" t="inlineStr">
        <is>
          <t>SAU</t>
        </is>
      </c>
      <c r="FH131" t="inlineStr">
        <is>
          <t>QAT</t>
        </is>
      </c>
      <c r="FO131" t="inlineStr">
        <is>
          <t>ARE</t>
        </is>
      </c>
      <c r="FP131" t="inlineStr">
        <is>
          <t>ARE</t>
        </is>
      </c>
      <c r="FQ131" t="inlineStr">
        <is>
          <t>ARE</t>
        </is>
      </c>
      <c r="FR131" t="inlineStr">
        <is>
          <t>OMN</t>
        </is>
      </c>
      <c r="GN131" t="inlineStr">
        <is>
          <t>PAK</t>
        </is>
      </c>
      <c r="GO131" t="inlineStr">
        <is>
          <t>PAK</t>
        </is>
      </c>
      <c r="GP131" t="inlineStr">
        <is>
          <t>PAK</t>
        </is>
      </c>
      <c r="GQ131" t="inlineStr">
        <is>
          <t>PAK</t>
        </is>
      </c>
      <c r="GR131" t="inlineStr">
        <is>
          <t>PAK</t>
        </is>
      </c>
      <c r="GS131" t="inlineStr">
        <is>
          <t>PAK</t>
        </is>
      </c>
      <c r="GT131" t="inlineStr">
        <is>
          <t>PAK</t>
        </is>
      </c>
      <c r="GU131" t="inlineStr">
        <is>
          <t>PAK</t>
        </is>
      </c>
      <c r="GV131" t="inlineStr">
        <is>
          <t>IND</t>
        </is>
      </c>
      <c r="GW131" t="inlineStr">
        <is>
          <t>IND</t>
        </is>
      </c>
      <c r="GX131" t="inlineStr">
        <is>
          <t>IND</t>
        </is>
      </c>
      <c r="GY131" t="inlineStr">
        <is>
          <t>IND</t>
        </is>
      </c>
      <c r="GZ131" t="inlineStr">
        <is>
          <t>IND</t>
        </is>
      </c>
      <c r="HA131" t="inlineStr">
        <is>
          <t>IND</t>
        </is>
      </c>
      <c r="HB131" t="inlineStr">
        <is>
          <t>IND</t>
        </is>
      </c>
      <c r="HC131" t="inlineStr">
        <is>
          <t>IND</t>
        </is>
      </c>
      <c r="HD131" t="inlineStr">
        <is>
          <t>IND</t>
        </is>
      </c>
      <c r="HE131" t="inlineStr">
        <is>
          <t>IND</t>
        </is>
      </c>
      <c r="HF131" t="inlineStr">
        <is>
          <t>IND</t>
        </is>
      </c>
      <c r="HG131" t="inlineStr">
        <is>
          <t>IND</t>
        </is>
      </c>
      <c r="HH131" t="inlineStr">
        <is>
          <t>IND</t>
        </is>
      </c>
      <c r="HI131" t="inlineStr">
        <is>
          <t>IND</t>
        </is>
      </c>
      <c r="HJ131" t="inlineStr">
        <is>
          <t>IND</t>
        </is>
      </c>
      <c r="HK131" t="inlineStr">
        <is>
          <t>IND</t>
        </is>
      </c>
      <c r="HL131" t="inlineStr">
        <is>
          <t>IND</t>
        </is>
      </c>
      <c r="HM131" t="inlineStr">
        <is>
          <t>IND</t>
        </is>
      </c>
      <c r="HN131" t="inlineStr">
        <is>
          <t>IND</t>
        </is>
      </c>
      <c r="HO131" t="inlineStr">
        <is>
          <t>IND</t>
        </is>
      </c>
      <c r="HP131" t="inlineStr">
        <is>
          <t>IND</t>
        </is>
      </c>
      <c r="HQ131" t="inlineStr">
        <is>
          <t>IND</t>
        </is>
      </c>
      <c r="HR131" t="inlineStr">
        <is>
          <t>IND</t>
        </is>
      </c>
      <c r="HS131" t="inlineStr">
        <is>
          <t>IND</t>
        </is>
      </c>
      <c r="HT131" t="inlineStr">
        <is>
          <t>IND</t>
        </is>
      </c>
      <c r="HU131" t="inlineStr">
        <is>
          <t>IND</t>
        </is>
      </c>
      <c r="HV131" t="inlineStr">
        <is>
          <t>IND</t>
        </is>
      </c>
      <c r="HW131" t="inlineStr">
        <is>
          <t>IND</t>
        </is>
      </c>
      <c r="HX131" t="inlineStr">
        <is>
          <t>IND</t>
        </is>
      </c>
      <c r="HY131" t="inlineStr">
        <is>
          <t>IND</t>
        </is>
      </c>
      <c r="HZ131" t="inlineStr">
        <is>
          <t>IND</t>
        </is>
      </c>
      <c r="IA131" t="inlineStr">
        <is>
          <t>IND</t>
        </is>
      </c>
      <c r="IB131" t="inlineStr">
        <is>
          <t>IND</t>
        </is>
      </c>
      <c r="IC131" t="inlineStr">
        <is>
          <t>IND</t>
        </is>
      </c>
      <c r="ID131" t="inlineStr">
        <is>
          <t>BGD</t>
        </is>
      </c>
      <c r="IE131" t="inlineStr">
        <is>
          <t>BGD</t>
        </is>
      </c>
      <c r="IF131" t="inlineStr">
        <is>
          <t>BGD</t>
        </is>
      </c>
      <c r="IG131" t="inlineStr">
        <is>
          <t>BGD</t>
        </is>
      </c>
      <c r="IH131" t="inlineStr">
        <is>
          <t>BGD</t>
        </is>
      </c>
      <c r="II131" t="inlineStr">
        <is>
          <t>BGD</t>
        </is>
      </c>
      <c r="IJ131" t="inlineStr">
        <is>
          <t>BGD</t>
        </is>
      </c>
      <c r="IK131" t="inlineStr">
        <is>
          <t>BGD</t>
        </is>
      </c>
      <c r="IL131" t="inlineStr">
        <is>
          <t>BGD</t>
        </is>
      </c>
      <c r="IM131" t="inlineStr">
        <is>
          <t>IND</t>
        </is>
      </c>
      <c r="IN131" t="inlineStr">
        <is>
          <t>IND</t>
        </is>
      </c>
      <c r="IO131" t="inlineStr">
        <is>
          <t>IND</t>
        </is>
      </c>
      <c r="IP131" t="inlineStr">
        <is>
          <t>IND</t>
        </is>
      </c>
      <c r="IQ131" t="inlineStr">
        <is>
          <t>MMR</t>
        </is>
      </c>
      <c r="IR131" t="inlineStr">
        <is>
          <t>MMR</t>
        </is>
      </c>
      <c r="IS131" t="inlineStr">
        <is>
          <t>MMR</t>
        </is>
      </c>
      <c r="IT131" t="inlineStr">
        <is>
          <t>MMR</t>
        </is>
      </c>
      <c r="IU131" t="inlineStr">
        <is>
          <t>MMR</t>
        </is>
      </c>
      <c r="IV131" t="inlineStr">
        <is>
          <t>MMR</t>
        </is>
      </c>
      <c r="IW131" t="inlineStr">
        <is>
          <t>CHN</t>
        </is>
      </c>
      <c r="IX131" t="inlineStr">
        <is>
          <t>CHN</t>
        </is>
      </c>
      <c r="IY131" t="inlineStr">
        <is>
          <t>CHN</t>
        </is>
      </c>
      <c r="IZ131" t="inlineStr">
        <is>
          <t>CHN</t>
        </is>
      </c>
      <c r="JA131" t="inlineStr">
        <is>
          <t>CHN</t>
        </is>
      </c>
      <c r="JB131" t="inlineStr">
        <is>
          <t>CHN</t>
        </is>
      </c>
      <c r="JC131" t="inlineStr">
        <is>
          <t>CHN</t>
        </is>
      </c>
      <c r="JD131" t="inlineStr">
        <is>
          <t>CHN</t>
        </is>
      </c>
      <c r="JE131" t="inlineStr">
        <is>
          <t>CHN</t>
        </is>
      </c>
      <c r="JF131" t="inlineStr">
        <is>
          <t>CHN</t>
        </is>
      </c>
      <c r="JG131" t="inlineStr">
        <is>
          <t>CHN</t>
        </is>
      </c>
      <c r="JH131" t="inlineStr">
        <is>
          <t>CHN</t>
        </is>
      </c>
      <c r="JI131" t="inlineStr">
        <is>
          <t>CHN</t>
        </is>
      </c>
      <c r="JJ131" t="inlineStr">
        <is>
          <t>CHN</t>
        </is>
      </c>
      <c r="JK131" t="inlineStr">
        <is>
          <t>CHN</t>
        </is>
      </c>
      <c r="JL131" t="inlineStr">
        <is>
          <t>CHN</t>
        </is>
      </c>
      <c r="JM131" t="inlineStr">
        <is>
          <t>CHN</t>
        </is>
      </c>
      <c r="JN131" t="inlineStr">
        <is>
          <t>CHN</t>
        </is>
      </c>
      <c r="JO131" t="inlineStr">
        <is>
          <t>CHN</t>
        </is>
      </c>
      <c r="JP131" t="inlineStr">
        <is>
          <t>CHN</t>
        </is>
      </c>
      <c r="JQ131" t="inlineStr">
        <is>
          <t>CHN</t>
        </is>
      </c>
      <c r="JR131" t="inlineStr">
        <is>
          <t>CHN</t>
        </is>
      </c>
      <c r="JS131" t="inlineStr">
        <is>
          <t>CHN</t>
        </is>
      </c>
      <c r="JT131" t="inlineStr">
        <is>
          <t>CHN</t>
        </is>
      </c>
      <c r="JU131" t="inlineStr">
        <is>
          <t>CHN</t>
        </is>
      </c>
    </row>
    <row r="132">
      <c r="AF132" t="inlineStr">
        <is>
          <t>MAR</t>
        </is>
      </c>
      <c r="AG132" t="inlineStr">
        <is>
          <t>MAR</t>
        </is>
      </c>
      <c r="AH132" t="inlineStr">
        <is>
          <t>MAR</t>
        </is>
      </c>
      <c r="AI132" t="inlineStr">
        <is>
          <t>MAR</t>
        </is>
      </c>
      <c r="AJ132" t="inlineStr">
        <is>
          <t>MAR</t>
        </is>
      </c>
      <c r="AK132" t="inlineStr">
        <is>
          <t>ESH</t>
        </is>
      </c>
      <c r="AL132" t="inlineStr">
        <is>
          <t>MRT</t>
        </is>
      </c>
      <c r="AM132" t="inlineStr">
        <is>
          <t>MRT</t>
        </is>
      </c>
      <c r="AN132" t="inlineStr">
        <is>
          <t>MRT</t>
        </is>
      </c>
      <c r="AO132" t="inlineStr">
        <is>
          <t>MRT</t>
        </is>
      </c>
      <c r="AP132" t="inlineStr">
        <is>
          <t>MRT</t>
        </is>
      </c>
      <c r="AQ132" t="inlineStr">
        <is>
          <t>MRT</t>
        </is>
      </c>
      <c r="AR132" t="inlineStr">
        <is>
          <t>MRT</t>
        </is>
      </c>
      <c r="AS132" t="inlineStr">
        <is>
          <t>MRT</t>
        </is>
      </c>
      <c r="AT132" t="inlineStr">
        <is>
          <t>MRT</t>
        </is>
      </c>
      <c r="AU132" t="inlineStr">
        <is>
          <t>MRT</t>
        </is>
      </c>
      <c r="AV132" t="inlineStr">
        <is>
          <t>MRT</t>
        </is>
      </c>
      <c r="AW132" t="inlineStr">
        <is>
          <t>MRT</t>
        </is>
      </c>
      <c r="AX132" t="inlineStr">
        <is>
          <t>MRT</t>
        </is>
      </c>
      <c r="AY132" t="inlineStr">
        <is>
          <t>DZA</t>
        </is>
      </c>
      <c r="AZ132" t="inlineStr">
        <is>
          <t>DZA</t>
        </is>
      </c>
      <c r="BA132" t="inlineStr">
        <is>
          <t>DZA</t>
        </is>
      </c>
      <c r="BB132" t="inlineStr">
        <is>
          <t>DZA</t>
        </is>
      </c>
      <c r="BC132" t="inlineStr">
        <is>
          <t>DZA</t>
        </is>
      </c>
      <c r="BD132" t="inlineStr">
        <is>
          <t>DZA</t>
        </is>
      </c>
      <c r="BE132" t="inlineStr">
        <is>
          <t>DZA</t>
        </is>
      </c>
      <c r="BF132" t="inlineStr">
        <is>
          <t>DZA</t>
        </is>
      </c>
      <c r="BG132" t="inlineStr">
        <is>
          <t>DZA</t>
        </is>
      </c>
      <c r="BH132" t="inlineStr">
        <is>
          <t>DZA</t>
        </is>
      </c>
      <c r="BI132" t="inlineStr">
        <is>
          <t>DZA</t>
        </is>
      </c>
      <c r="BJ132" t="inlineStr">
        <is>
          <t>DZA</t>
        </is>
      </c>
      <c r="BK132" t="inlineStr">
        <is>
          <t>DZA</t>
        </is>
      </c>
      <c r="BL132" t="inlineStr">
        <is>
          <t>DZA</t>
        </is>
      </c>
      <c r="BM132" t="inlineStr">
        <is>
          <t>DZA</t>
        </is>
      </c>
      <c r="BN132" t="inlineStr">
        <is>
          <t>DZA</t>
        </is>
      </c>
      <c r="BO132" t="inlineStr">
        <is>
          <t>DZA</t>
        </is>
      </c>
      <c r="BP132" t="inlineStr">
        <is>
          <t>DZA</t>
        </is>
      </c>
      <c r="BQ132" t="inlineStr">
        <is>
          <t>DZA</t>
        </is>
      </c>
      <c r="BR132" t="inlineStr">
        <is>
          <t>DZA</t>
        </is>
      </c>
      <c r="BS132" t="inlineStr">
        <is>
          <t>DZA</t>
        </is>
      </c>
      <c r="BT132" t="inlineStr">
        <is>
          <t>DZA</t>
        </is>
      </c>
      <c r="BU132" t="inlineStr">
        <is>
          <t>DZA</t>
        </is>
      </c>
      <c r="BV132" t="inlineStr">
        <is>
          <t>DZA</t>
        </is>
      </c>
      <c r="BW132" t="inlineStr">
        <is>
          <t>DZA</t>
        </is>
      </c>
      <c r="BX132" t="inlineStr">
        <is>
          <t>DZA</t>
        </is>
      </c>
      <c r="BY132" t="inlineStr">
        <is>
          <t>DZA</t>
        </is>
      </c>
      <c r="BZ132" t="inlineStr">
        <is>
          <t>DZA</t>
        </is>
      </c>
      <c r="CA132" t="inlineStr">
        <is>
          <t>DZA</t>
        </is>
      </c>
      <c r="CB132" t="inlineStr">
        <is>
          <t>DZA</t>
        </is>
      </c>
      <c r="CC132" t="inlineStr">
        <is>
          <t>DZA</t>
        </is>
      </c>
      <c r="CD132" t="inlineStr">
        <is>
          <t>LBY</t>
        </is>
      </c>
      <c r="CE132" t="inlineStr">
        <is>
          <t>LBY</t>
        </is>
      </c>
      <c r="CF132" t="inlineStr">
        <is>
          <t>LBY</t>
        </is>
      </c>
      <c r="CG132" t="inlineStr">
        <is>
          <t>LBY</t>
        </is>
      </c>
      <c r="CH132" t="inlineStr">
        <is>
          <t>LBY</t>
        </is>
      </c>
      <c r="CI132" t="inlineStr">
        <is>
          <t>LBY</t>
        </is>
      </c>
      <c r="CJ132" t="inlineStr">
        <is>
          <t>LBY</t>
        </is>
      </c>
      <c r="CK132" t="inlineStr">
        <is>
          <t>LBY</t>
        </is>
      </c>
      <c r="CL132" t="inlineStr">
        <is>
          <t>LBY</t>
        </is>
      </c>
      <c r="CM132" t="inlineStr">
        <is>
          <t>LBY</t>
        </is>
      </c>
      <c r="CN132" t="inlineStr">
        <is>
          <t>LBY</t>
        </is>
      </c>
      <c r="CO132" t="inlineStr">
        <is>
          <t>LBY</t>
        </is>
      </c>
      <c r="CP132" t="inlineStr">
        <is>
          <t>LBY</t>
        </is>
      </c>
      <c r="CQ132" t="inlineStr">
        <is>
          <t>LBY</t>
        </is>
      </c>
      <c r="CR132" t="inlineStr">
        <is>
          <t>LBY</t>
        </is>
      </c>
      <c r="CS132" t="inlineStr">
        <is>
          <t>LBY</t>
        </is>
      </c>
      <c r="CT132" t="inlineStr">
        <is>
          <t>LBY</t>
        </is>
      </c>
      <c r="CU132" t="inlineStr">
        <is>
          <t>LBY</t>
        </is>
      </c>
      <c r="CV132" t="inlineStr">
        <is>
          <t>LBY</t>
        </is>
      </c>
      <c r="CW132" t="inlineStr">
        <is>
          <t>LBY</t>
        </is>
      </c>
      <c r="CX132" t="inlineStr">
        <is>
          <t>LBY</t>
        </is>
      </c>
      <c r="CY132" t="inlineStr">
        <is>
          <t>LBY</t>
        </is>
      </c>
      <c r="CZ132" t="inlineStr">
        <is>
          <t>LBY</t>
        </is>
      </c>
      <c r="DA132" t="inlineStr">
        <is>
          <t>LBY</t>
        </is>
      </c>
      <c r="DB132" t="inlineStr">
        <is>
          <t>LBY</t>
        </is>
      </c>
      <c r="DC132" t="inlineStr">
        <is>
          <t>LBY</t>
        </is>
      </c>
      <c r="DD132" t="inlineStr">
        <is>
          <t>LBY</t>
        </is>
      </c>
      <c r="DE132" t="inlineStr">
        <is>
          <t>LBY</t>
        </is>
      </c>
      <c r="DF132" t="inlineStr">
        <is>
          <t>LBY</t>
        </is>
      </c>
      <c r="DG132" t="inlineStr">
        <is>
          <t>LBY</t>
        </is>
      </c>
      <c r="DH132" t="inlineStr">
        <is>
          <t>EGY</t>
        </is>
      </c>
      <c r="DI132" t="inlineStr">
        <is>
          <t>EGY</t>
        </is>
      </c>
      <c r="DJ132" t="inlineStr">
        <is>
          <t>EGY</t>
        </is>
      </c>
      <c r="DK132" t="inlineStr">
        <is>
          <t>EGY</t>
        </is>
      </c>
      <c r="DL132" t="inlineStr">
        <is>
          <t>EGY</t>
        </is>
      </c>
      <c r="DM132" t="inlineStr">
        <is>
          <t>EGY</t>
        </is>
      </c>
      <c r="DN132" t="inlineStr">
        <is>
          <t>EGY</t>
        </is>
      </c>
      <c r="DO132" t="inlineStr">
        <is>
          <t>EGY</t>
        </is>
      </c>
      <c r="DP132" t="inlineStr">
        <is>
          <t>EGY</t>
        </is>
      </c>
      <c r="DQ132" t="inlineStr">
        <is>
          <t>EGY</t>
        </is>
      </c>
      <c r="DR132" t="inlineStr">
        <is>
          <t>EGY</t>
        </is>
      </c>
      <c r="DS132" t="inlineStr">
        <is>
          <t>EGY</t>
        </is>
      </c>
      <c r="DT132" t="inlineStr">
        <is>
          <t>EGY</t>
        </is>
      </c>
      <c r="DU132" t="inlineStr">
        <is>
          <t>EGY</t>
        </is>
      </c>
      <c r="DV132" t="inlineStr">
        <is>
          <t>EGY</t>
        </is>
      </c>
      <c r="DW132" t="inlineStr">
        <is>
          <t>EGY</t>
        </is>
      </c>
      <c r="DX132" t="inlineStr">
        <is>
          <t>EGY</t>
        </is>
      </c>
      <c r="DY132" t="inlineStr">
        <is>
          <t>EGY</t>
        </is>
      </c>
      <c r="DZ132" t="inlineStr">
        <is>
          <t>EGY</t>
        </is>
      </c>
      <c r="EF132" t="inlineStr">
        <is>
          <t>SAU</t>
        </is>
      </c>
      <c r="EG132" t="inlineStr">
        <is>
          <t>SAU</t>
        </is>
      </c>
      <c r="EH132" t="inlineStr">
        <is>
          <t>SAU</t>
        </is>
      </c>
      <c r="EI132" t="inlineStr">
        <is>
          <t>SAU</t>
        </is>
      </c>
      <c r="EJ132" t="inlineStr">
        <is>
          <t>SAU</t>
        </is>
      </c>
      <c r="EK132" t="inlineStr">
        <is>
          <t>SAU</t>
        </is>
      </c>
      <c r="EL132" t="inlineStr">
        <is>
          <t>SAU</t>
        </is>
      </c>
      <c r="EM132" t="inlineStr">
        <is>
          <t>SAU</t>
        </is>
      </c>
      <c r="EN132" t="inlineStr">
        <is>
          <t>SAU</t>
        </is>
      </c>
      <c r="EO132" t="inlineStr">
        <is>
          <t>SAU</t>
        </is>
      </c>
      <c r="EP132" t="inlineStr">
        <is>
          <t>SAU</t>
        </is>
      </c>
      <c r="EQ132" t="inlineStr">
        <is>
          <t>SAU</t>
        </is>
      </c>
      <c r="ER132" t="inlineStr">
        <is>
          <t>SAU</t>
        </is>
      </c>
      <c r="ES132" t="inlineStr">
        <is>
          <t>SAU</t>
        </is>
      </c>
      <c r="ET132" t="inlineStr">
        <is>
          <t>SAU</t>
        </is>
      </c>
      <c r="EU132" t="inlineStr">
        <is>
          <t>SAU</t>
        </is>
      </c>
      <c r="EV132" t="inlineStr">
        <is>
          <t>SAU</t>
        </is>
      </c>
      <c r="EW132" t="inlineStr">
        <is>
          <t>SAU</t>
        </is>
      </c>
      <c r="EX132" t="inlineStr">
        <is>
          <t>SAU</t>
        </is>
      </c>
      <c r="EY132" t="inlineStr">
        <is>
          <t>SAU</t>
        </is>
      </c>
      <c r="EZ132" t="inlineStr">
        <is>
          <t>SAU</t>
        </is>
      </c>
      <c r="FA132" t="inlineStr">
        <is>
          <t>SAU</t>
        </is>
      </c>
      <c r="FB132" t="inlineStr">
        <is>
          <t>SAU</t>
        </is>
      </c>
      <c r="FC132" t="inlineStr">
        <is>
          <t>SAU</t>
        </is>
      </c>
      <c r="FD132" t="inlineStr">
        <is>
          <t>SAU</t>
        </is>
      </c>
      <c r="FE132" t="inlineStr">
        <is>
          <t>SAU</t>
        </is>
      </c>
      <c r="FF132" t="inlineStr">
        <is>
          <t>SAU</t>
        </is>
      </c>
      <c r="FH132" t="inlineStr">
        <is>
          <t>QAT</t>
        </is>
      </c>
      <c r="FP132" t="inlineStr">
        <is>
          <t>ARE</t>
        </is>
      </c>
      <c r="FQ132" t="inlineStr">
        <is>
          <t>ARE</t>
        </is>
      </c>
      <c r="FR132" t="inlineStr">
        <is>
          <t>ARE</t>
        </is>
      </c>
      <c r="GA132" t="inlineStr">
        <is>
          <t>IRN</t>
        </is>
      </c>
      <c r="GB132" t="inlineStr">
        <is>
          <t>IRN</t>
        </is>
      </c>
      <c r="GC132" t="inlineStr">
        <is>
          <t>PAK</t>
        </is>
      </c>
      <c r="GD132" t="inlineStr">
        <is>
          <t>PAK</t>
        </is>
      </c>
      <c r="GE132" t="inlineStr">
        <is>
          <t>PAK</t>
        </is>
      </c>
      <c r="GF132" t="inlineStr">
        <is>
          <t>PAK</t>
        </is>
      </c>
      <c r="GG132" t="inlineStr">
        <is>
          <t>PAK</t>
        </is>
      </c>
      <c r="GH132" t="inlineStr">
        <is>
          <t>PAK</t>
        </is>
      </c>
      <c r="GM132" t="inlineStr">
        <is>
          <t>PAK</t>
        </is>
      </c>
      <c r="GN132" t="inlineStr">
        <is>
          <t>PAK</t>
        </is>
      </c>
      <c r="GO132" t="inlineStr">
        <is>
          <t>PAK</t>
        </is>
      </c>
      <c r="GP132" t="inlineStr">
        <is>
          <t>PAK</t>
        </is>
      </c>
      <c r="GQ132" t="inlineStr">
        <is>
          <t>PAK</t>
        </is>
      </c>
      <c r="GR132" t="inlineStr">
        <is>
          <t>PAK</t>
        </is>
      </c>
      <c r="GS132" t="inlineStr">
        <is>
          <t>PAK</t>
        </is>
      </c>
      <c r="GT132" t="inlineStr">
        <is>
          <t>PAK</t>
        </is>
      </c>
      <c r="GU132" t="inlineStr">
        <is>
          <t>PAK</t>
        </is>
      </c>
      <c r="GV132" t="inlineStr">
        <is>
          <t>IND</t>
        </is>
      </c>
      <c r="GW132" t="inlineStr">
        <is>
          <t>IND</t>
        </is>
      </c>
      <c r="GX132" t="inlineStr">
        <is>
          <t>IND</t>
        </is>
      </c>
      <c r="GY132" t="inlineStr">
        <is>
          <t>IND</t>
        </is>
      </c>
      <c r="GZ132" t="inlineStr">
        <is>
          <t>IND</t>
        </is>
      </c>
      <c r="HA132" t="inlineStr">
        <is>
          <t>IND</t>
        </is>
      </c>
      <c r="HB132" t="inlineStr">
        <is>
          <t>IND</t>
        </is>
      </c>
      <c r="HC132" t="inlineStr">
        <is>
          <t>IND</t>
        </is>
      </c>
      <c r="HD132" t="inlineStr">
        <is>
          <t>IND</t>
        </is>
      </c>
      <c r="HE132" t="inlineStr">
        <is>
          <t>IND</t>
        </is>
      </c>
      <c r="HF132" t="inlineStr">
        <is>
          <t>IND</t>
        </is>
      </c>
      <c r="HG132" t="inlineStr">
        <is>
          <t>IND</t>
        </is>
      </c>
      <c r="HH132" t="inlineStr">
        <is>
          <t>IND</t>
        </is>
      </c>
      <c r="HI132" t="inlineStr">
        <is>
          <t>IND</t>
        </is>
      </c>
      <c r="HJ132" t="inlineStr">
        <is>
          <t>IND</t>
        </is>
      </c>
      <c r="HK132" t="inlineStr">
        <is>
          <t>IND</t>
        </is>
      </c>
      <c r="HL132" t="inlineStr">
        <is>
          <t>IND</t>
        </is>
      </c>
      <c r="HM132" t="inlineStr">
        <is>
          <t>IND</t>
        </is>
      </c>
      <c r="HN132" t="inlineStr">
        <is>
          <t>IND</t>
        </is>
      </c>
      <c r="HO132" t="inlineStr">
        <is>
          <t>IND</t>
        </is>
      </c>
      <c r="HP132" t="inlineStr">
        <is>
          <t>IND</t>
        </is>
      </c>
      <c r="HQ132" t="inlineStr">
        <is>
          <t>IND</t>
        </is>
      </c>
      <c r="HR132" t="inlineStr">
        <is>
          <t>IND</t>
        </is>
      </c>
      <c r="HS132" t="inlineStr">
        <is>
          <t>IND</t>
        </is>
      </c>
      <c r="HT132" t="inlineStr">
        <is>
          <t>IND</t>
        </is>
      </c>
      <c r="HU132" t="inlineStr">
        <is>
          <t>IND</t>
        </is>
      </c>
      <c r="HV132" t="inlineStr">
        <is>
          <t>IND</t>
        </is>
      </c>
      <c r="HW132" t="inlineStr">
        <is>
          <t>IND</t>
        </is>
      </c>
      <c r="HX132" t="inlineStr">
        <is>
          <t>IND</t>
        </is>
      </c>
      <c r="HY132" t="inlineStr">
        <is>
          <t>IND</t>
        </is>
      </c>
      <c r="HZ132" t="inlineStr">
        <is>
          <t>IND</t>
        </is>
      </c>
      <c r="IA132" t="inlineStr">
        <is>
          <t>IND</t>
        </is>
      </c>
      <c r="IB132" t="inlineStr">
        <is>
          <t>IND</t>
        </is>
      </c>
      <c r="IC132" t="inlineStr">
        <is>
          <t>IND</t>
        </is>
      </c>
      <c r="ID132" t="inlineStr">
        <is>
          <t>IND</t>
        </is>
      </c>
      <c r="IE132" t="inlineStr">
        <is>
          <t>IND</t>
        </is>
      </c>
      <c r="IF132" t="inlineStr">
        <is>
          <t>BGD</t>
        </is>
      </c>
      <c r="IG132" t="inlineStr">
        <is>
          <t>BGD</t>
        </is>
      </c>
      <c r="IH132" t="inlineStr">
        <is>
          <t>IND</t>
        </is>
      </c>
      <c r="II132" t="inlineStr">
        <is>
          <t>IND</t>
        </is>
      </c>
      <c r="IJ132" t="inlineStr">
        <is>
          <t>IND</t>
        </is>
      </c>
      <c r="IK132" t="inlineStr">
        <is>
          <t>IND</t>
        </is>
      </c>
      <c r="IL132" t="inlineStr">
        <is>
          <t>IND</t>
        </is>
      </c>
      <c r="IM132" t="inlineStr">
        <is>
          <t>IND</t>
        </is>
      </c>
      <c r="IN132" t="inlineStr">
        <is>
          <t>IND</t>
        </is>
      </c>
      <c r="IO132" t="inlineStr">
        <is>
          <t>IND</t>
        </is>
      </c>
      <c r="IP132" t="inlineStr">
        <is>
          <t>IND</t>
        </is>
      </c>
      <c r="IQ132" t="inlineStr">
        <is>
          <t>MMR</t>
        </is>
      </c>
      <c r="IR132" t="inlineStr">
        <is>
          <t>MMR</t>
        </is>
      </c>
      <c r="IS132" t="inlineStr">
        <is>
          <t>MMR</t>
        </is>
      </c>
      <c r="IT132" t="inlineStr">
        <is>
          <t>MMR</t>
        </is>
      </c>
      <c r="IU132" t="inlineStr">
        <is>
          <t>MMR</t>
        </is>
      </c>
      <c r="IV132" t="inlineStr">
        <is>
          <t>MMR</t>
        </is>
      </c>
      <c r="IW132" t="inlineStr">
        <is>
          <t>MMR</t>
        </is>
      </c>
      <c r="IX132" t="inlineStr">
        <is>
          <t>CHN</t>
        </is>
      </c>
      <c r="IY132" t="inlineStr">
        <is>
          <t>CHN</t>
        </is>
      </c>
      <c r="IZ132" t="inlineStr">
        <is>
          <t>CHN</t>
        </is>
      </c>
      <c r="JA132" t="inlineStr">
        <is>
          <t>CHN</t>
        </is>
      </c>
      <c r="JB132" t="inlineStr">
        <is>
          <t>CHN</t>
        </is>
      </c>
      <c r="JC132" t="inlineStr">
        <is>
          <t>CHN</t>
        </is>
      </c>
      <c r="JD132" t="inlineStr">
        <is>
          <t>CHN</t>
        </is>
      </c>
      <c r="JE132" t="inlineStr">
        <is>
          <t>CHN</t>
        </is>
      </c>
      <c r="JF132" t="inlineStr">
        <is>
          <t>CHN</t>
        </is>
      </c>
      <c r="JG132" t="inlineStr">
        <is>
          <t>CHN</t>
        </is>
      </c>
      <c r="JH132" t="inlineStr">
        <is>
          <t>CHN</t>
        </is>
      </c>
      <c r="JI132" t="inlineStr">
        <is>
          <t>CHN</t>
        </is>
      </c>
      <c r="JJ132" t="inlineStr">
        <is>
          <t>CHN</t>
        </is>
      </c>
      <c r="JK132" t="inlineStr">
        <is>
          <t>CHN</t>
        </is>
      </c>
      <c r="JL132" t="inlineStr">
        <is>
          <t>CHN</t>
        </is>
      </c>
      <c r="JM132" t="inlineStr">
        <is>
          <t>CHN</t>
        </is>
      </c>
      <c r="JN132" t="inlineStr">
        <is>
          <t>CHN</t>
        </is>
      </c>
      <c r="JO132" t="inlineStr">
        <is>
          <t>CHN</t>
        </is>
      </c>
      <c r="JP132" t="inlineStr">
        <is>
          <t>CHN</t>
        </is>
      </c>
      <c r="JQ132" t="inlineStr">
        <is>
          <t>CHN</t>
        </is>
      </c>
      <c r="JR132" t="inlineStr">
        <is>
          <t>CHN</t>
        </is>
      </c>
      <c r="JS132" t="inlineStr">
        <is>
          <t>CHN</t>
        </is>
      </c>
      <c r="JT132" t="inlineStr">
        <is>
          <t>CHN</t>
        </is>
      </c>
      <c r="JU132" t="inlineStr">
        <is>
          <t>CHN</t>
        </is>
      </c>
    </row>
    <row r="133">
      <c r="AG133" t="inlineStr">
        <is>
          <t>MAR</t>
        </is>
      </c>
      <c r="AH133" t="inlineStr">
        <is>
          <t>MAR</t>
        </is>
      </c>
      <c r="AI133" t="inlineStr">
        <is>
          <t>MAR</t>
        </is>
      </c>
      <c r="AJ133" t="inlineStr">
        <is>
          <t>MAR</t>
        </is>
      </c>
      <c r="AK133" t="inlineStr">
        <is>
          <t>MAR</t>
        </is>
      </c>
      <c r="AL133" t="inlineStr">
        <is>
          <t>MRT</t>
        </is>
      </c>
      <c r="AM133" t="inlineStr">
        <is>
          <t>MRT</t>
        </is>
      </c>
      <c r="AN133" t="inlineStr">
        <is>
          <t>MRT</t>
        </is>
      </c>
      <c r="AO133" t="inlineStr">
        <is>
          <t>MRT</t>
        </is>
      </c>
      <c r="AP133" t="inlineStr">
        <is>
          <t>MRT</t>
        </is>
      </c>
      <c r="AQ133" t="inlineStr">
        <is>
          <t>MRT</t>
        </is>
      </c>
      <c r="AR133" t="inlineStr">
        <is>
          <t>MRT</t>
        </is>
      </c>
      <c r="AS133" t="inlineStr">
        <is>
          <t>MRT</t>
        </is>
      </c>
      <c r="AT133" t="inlineStr">
        <is>
          <t>MRT</t>
        </is>
      </c>
      <c r="AU133" t="inlineStr">
        <is>
          <t>MRT</t>
        </is>
      </c>
      <c r="AV133" t="inlineStr">
        <is>
          <t>MRT</t>
        </is>
      </c>
      <c r="AW133" t="inlineStr">
        <is>
          <t>MRT</t>
        </is>
      </c>
      <c r="AX133" t="inlineStr">
        <is>
          <t>DZA</t>
        </is>
      </c>
      <c r="AY133" t="inlineStr">
        <is>
          <t>DZA</t>
        </is>
      </c>
      <c r="AZ133" t="inlineStr">
        <is>
          <t>DZA</t>
        </is>
      </c>
      <c r="BA133" t="inlineStr">
        <is>
          <t>DZA</t>
        </is>
      </c>
      <c r="BB133" t="inlineStr">
        <is>
          <t>DZA</t>
        </is>
      </c>
      <c r="BC133" t="inlineStr">
        <is>
          <t>DZA</t>
        </is>
      </c>
      <c r="BD133" t="inlineStr">
        <is>
          <t>DZA</t>
        </is>
      </c>
      <c r="BE133" t="inlineStr">
        <is>
          <t>DZA</t>
        </is>
      </c>
      <c r="BF133" t="inlineStr">
        <is>
          <t>DZA</t>
        </is>
      </c>
      <c r="BG133" t="inlineStr">
        <is>
          <t>DZA</t>
        </is>
      </c>
      <c r="BH133" t="inlineStr">
        <is>
          <t>DZA</t>
        </is>
      </c>
      <c r="BI133" t="inlineStr">
        <is>
          <t>DZA</t>
        </is>
      </c>
      <c r="BJ133" t="inlineStr">
        <is>
          <t>DZA</t>
        </is>
      </c>
      <c r="BK133" t="inlineStr">
        <is>
          <t>DZA</t>
        </is>
      </c>
      <c r="BL133" t="inlineStr">
        <is>
          <t>DZA</t>
        </is>
      </c>
      <c r="BM133" t="inlineStr">
        <is>
          <t>DZA</t>
        </is>
      </c>
      <c r="BN133" t="inlineStr">
        <is>
          <t>DZA</t>
        </is>
      </c>
      <c r="BO133" t="inlineStr">
        <is>
          <t>DZA</t>
        </is>
      </c>
      <c r="BP133" t="inlineStr">
        <is>
          <t>DZA</t>
        </is>
      </c>
      <c r="BQ133" t="inlineStr">
        <is>
          <t>DZA</t>
        </is>
      </c>
      <c r="BR133" t="inlineStr">
        <is>
          <t>DZA</t>
        </is>
      </c>
      <c r="BS133" t="inlineStr">
        <is>
          <t>DZA</t>
        </is>
      </c>
      <c r="BT133" t="inlineStr">
        <is>
          <t>DZA</t>
        </is>
      </c>
      <c r="BU133" t="inlineStr">
        <is>
          <t>DZA</t>
        </is>
      </c>
      <c r="BV133" t="inlineStr">
        <is>
          <t>DZA</t>
        </is>
      </c>
      <c r="BW133" t="inlineStr">
        <is>
          <t>DZA</t>
        </is>
      </c>
      <c r="BX133" t="inlineStr">
        <is>
          <t>DZA</t>
        </is>
      </c>
      <c r="BY133" t="inlineStr">
        <is>
          <t>DZA</t>
        </is>
      </c>
      <c r="BZ133" t="inlineStr">
        <is>
          <t>DZA</t>
        </is>
      </c>
      <c r="CA133" t="inlineStr">
        <is>
          <t>DZA</t>
        </is>
      </c>
      <c r="CB133" t="inlineStr">
        <is>
          <t>DZA</t>
        </is>
      </c>
      <c r="CC133" t="inlineStr">
        <is>
          <t>LBY</t>
        </is>
      </c>
      <c r="CD133" t="inlineStr">
        <is>
          <t>LBY</t>
        </is>
      </c>
      <c r="CE133" t="inlineStr">
        <is>
          <t>LBY</t>
        </is>
      </c>
      <c r="CF133" t="inlineStr">
        <is>
          <t>LBY</t>
        </is>
      </c>
      <c r="CG133" t="inlineStr">
        <is>
          <t>LBY</t>
        </is>
      </c>
      <c r="CH133" t="inlineStr">
        <is>
          <t>LBY</t>
        </is>
      </c>
      <c r="CI133" t="inlineStr">
        <is>
          <t>LBY</t>
        </is>
      </c>
      <c r="CJ133" t="inlineStr">
        <is>
          <t>LBY</t>
        </is>
      </c>
      <c r="CK133" t="inlineStr">
        <is>
          <t>LBY</t>
        </is>
      </c>
      <c r="CL133" t="inlineStr">
        <is>
          <t>LBY</t>
        </is>
      </c>
      <c r="CM133" t="inlineStr">
        <is>
          <t>LBY</t>
        </is>
      </c>
      <c r="CN133" t="inlineStr">
        <is>
          <t>LBY</t>
        </is>
      </c>
      <c r="CO133" t="inlineStr">
        <is>
          <t>LBY</t>
        </is>
      </c>
      <c r="CP133" t="inlineStr">
        <is>
          <t>LBY</t>
        </is>
      </c>
      <c r="CQ133" t="inlineStr">
        <is>
          <t>LBY</t>
        </is>
      </c>
      <c r="CR133" t="inlineStr">
        <is>
          <t>LBY</t>
        </is>
      </c>
      <c r="CS133" t="inlineStr">
        <is>
          <t>LBY</t>
        </is>
      </c>
      <c r="CT133" t="inlineStr">
        <is>
          <t>LBY</t>
        </is>
      </c>
      <c r="CU133" t="inlineStr">
        <is>
          <t>LBY</t>
        </is>
      </c>
      <c r="CV133" t="inlineStr">
        <is>
          <t>LBY</t>
        </is>
      </c>
      <c r="CW133" t="inlineStr">
        <is>
          <t>LBY</t>
        </is>
      </c>
      <c r="CX133" t="inlineStr">
        <is>
          <t>LBY</t>
        </is>
      </c>
      <c r="CY133" t="inlineStr">
        <is>
          <t>LBY</t>
        </is>
      </c>
      <c r="CZ133" t="inlineStr">
        <is>
          <t>LBY</t>
        </is>
      </c>
      <c r="DA133" t="inlineStr">
        <is>
          <t>LBY</t>
        </is>
      </c>
      <c r="DB133" t="inlineStr">
        <is>
          <t>LBY</t>
        </is>
      </c>
      <c r="DC133" t="inlineStr">
        <is>
          <t>LBY</t>
        </is>
      </c>
      <c r="DD133" t="inlineStr">
        <is>
          <t>LBY</t>
        </is>
      </c>
      <c r="DE133" t="inlineStr">
        <is>
          <t>LBY</t>
        </is>
      </c>
      <c r="DF133" t="inlineStr">
        <is>
          <t>LBY</t>
        </is>
      </c>
      <c r="DG133" t="inlineStr">
        <is>
          <t>LBY</t>
        </is>
      </c>
      <c r="DH133" t="inlineStr">
        <is>
          <t>EGY</t>
        </is>
      </c>
      <c r="DI133" t="inlineStr">
        <is>
          <t>EGY</t>
        </is>
      </c>
      <c r="DJ133" t="inlineStr">
        <is>
          <t>EGY</t>
        </is>
      </c>
      <c r="DK133" t="inlineStr">
        <is>
          <t>EGY</t>
        </is>
      </c>
      <c r="DL133" t="inlineStr">
        <is>
          <t>EGY</t>
        </is>
      </c>
      <c r="DM133" t="inlineStr">
        <is>
          <t>EGY</t>
        </is>
      </c>
      <c r="DN133" t="inlineStr">
        <is>
          <t>EGY</t>
        </is>
      </c>
      <c r="DO133" t="inlineStr">
        <is>
          <t>EGY</t>
        </is>
      </c>
      <c r="DP133" t="inlineStr">
        <is>
          <t>EGY</t>
        </is>
      </c>
      <c r="DQ133" t="inlineStr">
        <is>
          <t>EGY</t>
        </is>
      </c>
      <c r="DR133" t="inlineStr">
        <is>
          <t>EGY</t>
        </is>
      </c>
      <c r="DS133" t="inlineStr">
        <is>
          <t>EGY</t>
        </is>
      </c>
      <c r="DT133" t="inlineStr">
        <is>
          <t>EGY</t>
        </is>
      </c>
      <c r="DU133" t="inlineStr">
        <is>
          <t>EGY</t>
        </is>
      </c>
      <c r="DV133" t="inlineStr">
        <is>
          <t>EGY</t>
        </is>
      </c>
      <c r="DW133" t="inlineStr">
        <is>
          <t>EGY</t>
        </is>
      </c>
      <c r="DX133" t="inlineStr">
        <is>
          <t>EGY</t>
        </is>
      </c>
      <c r="DY133" t="inlineStr">
        <is>
          <t>EGY</t>
        </is>
      </c>
      <c r="DZ133" t="inlineStr">
        <is>
          <t>EGY</t>
        </is>
      </c>
      <c r="EE133" t="inlineStr">
        <is>
          <t>SAU</t>
        </is>
      </c>
      <c r="EF133" t="inlineStr">
        <is>
          <t>SAU</t>
        </is>
      </c>
      <c r="EG133" t="inlineStr">
        <is>
          <t>SAU</t>
        </is>
      </c>
      <c r="EH133" t="inlineStr">
        <is>
          <t>SAU</t>
        </is>
      </c>
      <c r="EI133" t="inlineStr">
        <is>
          <t>SAU</t>
        </is>
      </c>
      <c r="EJ133" t="inlineStr">
        <is>
          <t>SAU</t>
        </is>
      </c>
      <c r="EK133" t="inlineStr">
        <is>
          <t>SAU</t>
        </is>
      </c>
      <c r="EL133" t="inlineStr">
        <is>
          <t>SAU</t>
        </is>
      </c>
      <c r="EM133" t="inlineStr">
        <is>
          <t>SAU</t>
        </is>
      </c>
      <c r="EN133" t="inlineStr">
        <is>
          <t>SAU</t>
        </is>
      </c>
      <c r="EO133" t="inlineStr">
        <is>
          <t>SAU</t>
        </is>
      </c>
      <c r="EP133" t="inlineStr">
        <is>
          <t>SAU</t>
        </is>
      </c>
      <c r="EQ133" t="inlineStr">
        <is>
          <t>SAU</t>
        </is>
      </c>
      <c r="ER133" t="inlineStr">
        <is>
          <t>SAU</t>
        </is>
      </c>
      <c r="ES133" t="inlineStr">
        <is>
          <t>SAU</t>
        </is>
      </c>
      <c r="ET133" t="inlineStr">
        <is>
          <t>SAU</t>
        </is>
      </c>
      <c r="EU133" t="inlineStr">
        <is>
          <t>SAU</t>
        </is>
      </c>
      <c r="EV133" t="inlineStr">
        <is>
          <t>SAU</t>
        </is>
      </c>
      <c r="EW133" t="inlineStr">
        <is>
          <t>SAU</t>
        </is>
      </c>
      <c r="EX133" t="inlineStr">
        <is>
          <t>SAU</t>
        </is>
      </c>
      <c r="EY133" t="inlineStr">
        <is>
          <t>SAU</t>
        </is>
      </c>
      <c r="EZ133" t="inlineStr">
        <is>
          <t>SAU</t>
        </is>
      </c>
      <c r="FA133" t="inlineStr">
        <is>
          <t>SAU</t>
        </is>
      </c>
      <c r="FB133" t="inlineStr">
        <is>
          <t>SAU</t>
        </is>
      </c>
      <c r="FC133" t="inlineStr">
        <is>
          <t>SAU</t>
        </is>
      </c>
      <c r="FD133" t="inlineStr">
        <is>
          <t>SAU</t>
        </is>
      </c>
      <c r="FE133" t="inlineStr">
        <is>
          <t>SAU</t>
        </is>
      </c>
      <c r="FH133" t="inlineStr">
        <is>
          <t>QAT</t>
        </is>
      </c>
      <c r="FR133" t="inlineStr">
        <is>
          <t>OMN</t>
        </is>
      </c>
      <c r="FU133" t="inlineStr">
        <is>
          <t>IRN</t>
        </is>
      </c>
      <c r="FV133" t="inlineStr">
        <is>
          <t>IRN</t>
        </is>
      </c>
      <c r="FW133" t="inlineStr">
        <is>
          <t>IRN</t>
        </is>
      </c>
      <c r="FX133" t="inlineStr">
        <is>
          <t>IRN</t>
        </is>
      </c>
      <c r="FY133" t="inlineStr">
        <is>
          <t>IRN</t>
        </is>
      </c>
      <c r="FZ133" t="inlineStr">
        <is>
          <t>IRN</t>
        </is>
      </c>
      <c r="GA133" t="inlineStr">
        <is>
          <t>IRN</t>
        </is>
      </c>
      <c r="GB133" t="inlineStr">
        <is>
          <t>IRN</t>
        </is>
      </c>
      <c r="GC133" t="inlineStr">
        <is>
          <t>PAK</t>
        </is>
      </c>
      <c r="GD133" t="inlineStr">
        <is>
          <t>PAK</t>
        </is>
      </c>
      <c r="GE133" t="inlineStr">
        <is>
          <t>PAK</t>
        </is>
      </c>
      <c r="GF133" t="inlineStr">
        <is>
          <t>PAK</t>
        </is>
      </c>
      <c r="GG133" t="inlineStr">
        <is>
          <t>PAK</t>
        </is>
      </c>
      <c r="GH133" t="inlineStr">
        <is>
          <t>PAK</t>
        </is>
      </c>
      <c r="GI133" t="inlineStr">
        <is>
          <t>PAK</t>
        </is>
      </c>
      <c r="GJ133" t="inlineStr">
        <is>
          <t>PAK</t>
        </is>
      </c>
      <c r="GK133" t="inlineStr">
        <is>
          <t>PAK</t>
        </is>
      </c>
      <c r="GL133" t="inlineStr">
        <is>
          <t>PAK</t>
        </is>
      </c>
      <c r="GM133" t="inlineStr">
        <is>
          <t>PAK</t>
        </is>
      </c>
      <c r="GN133" t="inlineStr">
        <is>
          <t>PAK</t>
        </is>
      </c>
      <c r="GO133" t="inlineStr">
        <is>
          <t>PAK</t>
        </is>
      </c>
      <c r="GP133" t="inlineStr">
        <is>
          <t>PAK</t>
        </is>
      </c>
      <c r="GQ133" t="inlineStr">
        <is>
          <t>PAK</t>
        </is>
      </c>
      <c r="GR133" t="inlineStr">
        <is>
          <t>PAK</t>
        </is>
      </c>
      <c r="GS133" t="inlineStr">
        <is>
          <t>PAK</t>
        </is>
      </c>
      <c r="GT133" t="inlineStr">
        <is>
          <t>PAK</t>
        </is>
      </c>
      <c r="GU133" t="inlineStr">
        <is>
          <t>IND</t>
        </is>
      </c>
      <c r="GV133" t="inlineStr">
        <is>
          <t>IND</t>
        </is>
      </c>
      <c r="GW133" t="inlineStr">
        <is>
          <t>IND</t>
        </is>
      </c>
      <c r="GX133" t="inlineStr">
        <is>
          <t>IND</t>
        </is>
      </c>
      <c r="GY133" t="inlineStr">
        <is>
          <t>IND</t>
        </is>
      </c>
      <c r="GZ133" t="inlineStr">
        <is>
          <t>IND</t>
        </is>
      </c>
      <c r="HA133" t="inlineStr">
        <is>
          <t>IND</t>
        </is>
      </c>
      <c r="HB133" t="inlineStr">
        <is>
          <t>IND</t>
        </is>
      </c>
      <c r="HC133" t="inlineStr">
        <is>
          <t>IND</t>
        </is>
      </c>
      <c r="HD133" t="inlineStr">
        <is>
          <t>IND</t>
        </is>
      </c>
      <c r="HE133" t="inlineStr">
        <is>
          <t>IND</t>
        </is>
      </c>
      <c r="HF133" t="inlineStr">
        <is>
          <t>IND</t>
        </is>
      </c>
      <c r="HG133" t="inlineStr">
        <is>
          <t>IND</t>
        </is>
      </c>
      <c r="HH133" t="inlineStr">
        <is>
          <t>IND</t>
        </is>
      </c>
      <c r="HI133" t="inlineStr">
        <is>
          <t>IND</t>
        </is>
      </c>
      <c r="HJ133" t="inlineStr">
        <is>
          <t>IND</t>
        </is>
      </c>
      <c r="HK133" t="inlineStr">
        <is>
          <t>IND</t>
        </is>
      </c>
      <c r="HL133" t="inlineStr">
        <is>
          <t>IND</t>
        </is>
      </c>
      <c r="HM133" t="inlineStr">
        <is>
          <t>IND</t>
        </is>
      </c>
      <c r="HN133" t="inlineStr">
        <is>
          <t>IND</t>
        </is>
      </c>
      <c r="HO133" t="inlineStr">
        <is>
          <t>IND</t>
        </is>
      </c>
      <c r="HP133" t="inlineStr">
        <is>
          <t>IND</t>
        </is>
      </c>
      <c r="HQ133" t="inlineStr">
        <is>
          <t>IND</t>
        </is>
      </c>
      <c r="HR133" t="inlineStr">
        <is>
          <t>IND</t>
        </is>
      </c>
      <c r="HS133" t="inlineStr">
        <is>
          <t>IND</t>
        </is>
      </c>
      <c r="HT133" t="inlineStr">
        <is>
          <t>IND</t>
        </is>
      </c>
      <c r="HU133" t="inlineStr">
        <is>
          <t>IND</t>
        </is>
      </c>
      <c r="HV133" t="inlineStr">
        <is>
          <t>IND</t>
        </is>
      </c>
      <c r="HW133" t="inlineStr">
        <is>
          <t>IND</t>
        </is>
      </c>
      <c r="HX133" t="inlineStr">
        <is>
          <t>IND</t>
        </is>
      </c>
      <c r="HY133" t="inlineStr">
        <is>
          <t>IND</t>
        </is>
      </c>
      <c r="HZ133" t="inlineStr">
        <is>
          <t>IND</t>
        </is>
      </c>
      <c r="IA133" t="inlineStr">
        <is>
          <t>IND</t>
        </is>
      </c>
      <c r="IB133" t="inlineStr">
        <is>
          <t>IND</t>
        </is>
      </c>
      <c r="IC133" t="inlineStr">
        <is>
          <t>IND</t>
        </is>
      </c>
      <c r="ID133" t="inlineStr">
        <is>
          <t>BGD</t>
        </is>
      </c>
      <c r="IE133" t="inlineStr">
        <is>
          <t>BGD</t>
        </is>
      </c>
      <c r="IF133" t="inlineStr">
        <is>
          <t>BGD</t>
        </is>
      </c>
      <c r="IG133" t="inlineStr">
        <is>
          <t>BGD</t>
        </is>
      </c>
      <c r="IH133" t="inlineStr">
        <is>
          <t>IND</t>
        </is>
      </c>
      <c r="II133" t="inlineStr">
        <is>
          <t>IND</t>
        </is>
      </c>
      <c r="IJ133" t="inlineStr">
        <is>
          <t>IND</t>
        </is>
      </c>
      <c r="IK133" t="inlineStr">
        <is>
          <t>IND</t>
        </is>
      </c>
      <c r="IL133" t="inlineStr">
        <is>
          <t>IND</t>
        </is>
      </c>
      <c r="IM133" t="inlineStr">
        <is>
          <t>IND</t>
        </is>
      </c>
      <c r="IN133" t="inlineStr">
        <is>
          <t>IND</t>
        </is>
      </c>
      <c r="IO133" t="inlineStr">
        <is>
          <t>IND</t>
        </is>
      </c>
      <c r="IP133" t="inlineStr">
        <is>
          <t>IND</t>
        </is>
      </c>
      <c r="IQ133" t="inlineStr">
        <is>
          <t>IND</t>
        </is>
      </c>
      <c r="IR133" t="inlineStr">
        <is>
          <t>MMR</t>
        </is>
      </c>
      <c r="IS133" t="inlineStr">
        <is>
          <t>MMR</t>
        </is>
      </c>
      <c r="IT133" t="inlineStr">
        <is>
          <t>MMR</t>
        </is>
      </c>
      <c r="IU133" t="inlineStr">
        <is>
          <t>MMR</t>
        </is>
      </c>
      <c r="IV133" t="inlineStr">
        <is>
          <t>MMR</t>
        </is>
      </c>
      <c r="IW133" t="inlineStr">
        <is>
          <t>MMR</t>
        </is>
      </c>
      <c r="IX133" t="inlineStr">
        <is>
          <t>MMR</t>
        </is>
      </c>
      <c r="IY133" t="inlineStr">
        <is>
          <t>CHN</t>
        </is>
      </c>
      <c r="IZ133" t="inlineStr">
        <is>
          <t>CHN</t>
        </is>
      </c>
      <c r="JA133" t="inlineStr">
        <is>
          <t>CHN</t>
        </is>
      </c>
      <c r="JB133" t="inlineStr">
        <is>
          <t>CHN</t>
        </is>
      </c>
      <c r="JC133" t="inlineStr">
        <is>
          <t>CHN</t>
        </is>
      </c>
      <c r="JD133" t="inlineStr">
        <is>
          <t>CHN</t>
        </is>
      </c>
      <c r="JE133" t="inlineStr">
        <is>
          <t>CHN</t>
        </is>
      </c>
      <c r="JF133" t="inlineStr">
        <is>
          <t>CHN</t>
        </is>
      </c>
      <c r="JG133" t="inlineStr">
        <is>
          <t>CHN</t>
        </is>
      </c>
      <c r="JH133" t="inlineStr">
        <is>
          <t>CHN</t>
        </is>
      </c>
      <c r="JI133" t="inlineStr">
        <is>
          <t>CHN</t>
        </is>
      </c>
      <c r="JJ133" t="inlineStr">
        <is>
          <t>CHN</t>
        </is>
      </c>
      <c r="JK133" t="inlineStr">
        <is>
          <t>CHN</t>
        </is>
      </c>
      <c r="JL133" t="inlineStr">
        <is>
          <t>CHN</t>
        </is>
      </c>
      <c r="JM133" t="inlineStr">
        <is>
          <t>CHN</t>
        </is>
      </c>
      <c r="JN133" t="inlineStr">
        <is>
          <t>CHN</t>
        </is>
      </c>
      <c r="JO133" t="inlineStr">
        <is>
          <t>CHN</t>
        </is>
      </c>
      <c r="JP133" t="inlineStr">
        <is>
          <t>CHN</t>
        </is>
      </c>
      <c r="JQ133" t="inlineStr">
        <is>
          <t>CHN</t>
        </is>
      </c>
      <c r="JR133" t="inlineStr">
        <is>
          <t>CHN</t>
        </is>
      </c>
      <c r="JS133" t="inlineStr">
        <is>
          <t>CHN</t>
        </is>
      </c>
      <c r="JT133" t="inlineStr">
        <is>
          <t>CHN</t>
        </is>
      </c>
      <c r="JU133" t="inlineStr">
        <is>
          <t>CHN</t>
        </is>
      </c>
    </row>
    <row r="134">
      <c r="AG134" t="inlineStr">
        <is>
          <t>MAR</t>
        </is>
      </c>
      <c r="AH134" t="inlineStr">
        <is>
          <t>MAR</t>
        </is>
      </c>
      <c r="AI134" t="inlineStr">
        <is>
          <t>MAR</t>
        </is>
      </c>
      <c r="AJ134" t="inlineStr">
        <is>
          <t>MAR</t>
        </is>
      </c>
      <c r="AK134" t="inlineStr">
        <is>
          <t>MAR</t>
        </is>
      </c>
      <c r="AL134" t="inlineStr">
        <is>
          <t>MAR</t>
        </is>
      </c>
      <c r="AM134" t="inlineStr">
        <is>
          <t>ESH</t>
        </is>
      </c>
      <c r="AN134" t="inlineStr">
        <is>
          <t>ESH</t>
        </is>
      </c>
      <c r="AO134" t="inlineStr">
        <is>
          <t>ESH</t>
        </is>
      </c>
      <c r="AP134" t="inlineStr">
        <is>
          <t>ESH</t>
        </is>
      </c>
      <c r="AQ134" t="inlineStr">
        <is>
          <t>ESH</t>
        </is>
      </c>
      <c r="AR134" t="inlineStr">
        <is>
          <t>ESH</t>
        </is>
      </c>
      <c r="AS134" t="inlineStr">
        <is>
          <t>MRT</t>
        </is>
      </c>
      <c r="AT134" t="inlineStr">
        <is>
          <t>MRT</t>
        </is>
      </c>
      <c r="AU134" t="inlineStr">
        <is>
          <t>MRT</t>
        </is>
      </c>
      <c r="AV134" t="inlineStr">
        <is>
          <t>DZA</t>
        </is>
      </c>
      <c r="AW134" t="inlineStr">
        <is>
          <t>DZA</t>
        </is>
      </c>
      <c r="AX134" t="inlineStr">
        <is>
          <t>DZA</t>
        </is>
      </c>
      <c r="AY134" t="inlineStr">
        <is>
          <t>DZA</t>
        </is>
      </c>
      <c r="AZ134" t="inlineStr">
        <is>
          <t>DZA</t>
        </is>
      </c>
      <c r="BA134" t="inlineStr">
        <is>
          <t>DZA</t>
        </is>
      </c>
      <c r="BB134" t="inlineStr">
        <is>
          <t>DZA</t>
        </is>
      </c>
      <c r="BC134" t="inlineStr">
        <is>
          <t>DZA</t>
        </is>
      </c>
      <c r="BD134" t="inlineStr">
        <is>
          <t>DZA</t>
        </is>
      </c>
      <c r="BE134" t="inlineStr">
        <is>
          <t>DZA</t>
        </is>
      </c>
      <c r="BF134" t="inlineStr">
        <is>
          <t>DZA</t>
        </is>
      </c>
      <c r="BG134" t="inlineStr">
        <is>
          <t>DZA</t>
        </is>
      </c>
      <c r="BH134" t="inlineStr">
        <is>
          <t>DZA</t>
        </is>
      </c>
      <c r="BI134" t="inlineStr">
        <is>
          <t>DZA</t>
        </is>
      </c>
      <c r="BJ134" t="inlineStr">
        <is>
          <t>DZA</t>
        </is>
      </c>
      <c r="BK134" t="inlineStr">
        <is>
          <t>DZA</t>
        </is>
      </c>
      <c r="BL134" t="inlineStr">
        <is>
          <t>DZA</t>
        </is>
      </c>
      <c r="BM134" t="inlineStr">
        <is>
          <t>DZA</t>
        </is>
      </c>
      <c r="BN134" t="inlineStr">
        <is>
          <t>DZA</t>
        </is>
      </c>
      <c r="BO134" t="inlineStr">
        <is>
          <t>DZA</t>
        </is>
      </c>
      <c r="BP134" t="inlineStr">
        <is>
          <t>DZA</t>
        </is>
      </c>
      <c r="BQ134" t="inlineStr">
        <is>
          <t>DZA</t>
        </is>
      </c>
      <c r="BR134" t="inlineStr">
        <is>
          <t>DZA</t>
        </is>
      </c>
      <c r="BS134" t="inlineStr">
        <is>
          <t>DZA</t>
        </is>
      </c>
      <c r="BT134" t="inlineStr">
        <is>
          <t>DZA</t>
        </is>
      </c>
      <c r="BU134" t="inlineStr">
        <is>
          <t>DZA</t>
        </is>
      </c>
      <c r="BV134" t="inlineStr">
        <is>
          <t>DZA</t>
        </is>
      </c>
      <c r="BW134" t="inlineStr">
        <is>
          <t>DZA</t>
        </is>
      </c>
      <c r="BX134" t="inlineStr">
        <is>
          <t>DZA</t>
        </is>
      </c>
      <c r="BY134" t="inlineStr">
        <is>
          <t>DZA</t>
        </is>
      </c>
      <c r="BZ134" t="inlineStr">
        <is>
          <t>DZA</t>
        </is>
      </c>
      <c r="CA134" t="inlineStr">
        <is>
          <t>DZA</t>
        </is>
      </c>
      <c r="CB134" t="inlineStr">
        <is>
          <t>DZA</t>
        </is>
      </c>
      <c r="CC134" t="inlineStr">
        <is>
          <t>LBY</t>
        </is>
      </c>
      <c r="CD134" t="inlineStr">
        <is>
          <t>LBY</t>
        </is>
      </c>
      <c r="CE134" t="inlineStr">
        <is>
          <t>LBY</t>
        </is>
      </c>
      <c r="CF134" t="inlineStr">
        <is>
          <t>LBY</t>
        </is>
      </c>
      <c r="CG134" t="inlineStr">
        <is>
          <t>LBY</t>
        </is>
      </c>
      <c r="CH134" t="inlineStr">
        <is>
          <t>LBY</t>
        </is>
      </c>
      <c r="CI134" t="inlineStr">
        <is>
          <t>LBY</t>
        </is>
      </c>
      <c r="CJ134" t="inlineStr">
        <is>
          <t>LBY</t>
        </is>
      </c>
      <c r="CK134" t="inlineStr">
        <is>
          <t>LBY</t>
        </is>
      </c>
      <c r="CL134" t="inlineStr">
        <is>
          <t>LBY</t>
        </is>
      </c>
      <c r="CM134" t="inlineStr">
        <is>
          <t>LBY</t>
        </is>
      </c>
      <c r="CN134" t="inlineStr">
        <is>
          <t>LBY</t>
        </is>
      </c>
      <c r="CO134" t="inlineStr">
        <is>
          <t>LBY</t>
        </is>
      </c>
      <c r="CP134" t="inlineStr">
        <is>
          <t>LBY</t>
        </is>
      </c>
      <c r="CQ134" t="inlineStr">
        <is>
          <t>LBY</t>
        </is>
      </c>
      <c r="CR134" t="inlineStr">
        <is>
          <t>LBY</t>
        </is>
      </c>
      <c r="CS134" t="inlineStr">
        <is>
          <t>LBY</t>
        </is>
      </c>
      <c r="CT134" t="inlineStr">
        <is>
          <t>LBY</t>
        </is>
      </c>
      <c r="CU134" t="inlineStr">
        <is>
          <t>LBY</t>
        </is>
      </c>
      <c r="CV134" t="inlineStr">
        <is>
          <t>LBY</t>
        </is>
      </c>
      <c r="CW134" t="inlineStr">
        <is>
          <t>LBY</t>
        </is>
      </c>
      <c r="CX134" t="inlineStr">
        <is>
          <t>LBY</t>
        </is>
      </c>
      <c r="CY134" t="inlineStr">
        <is>
          <t>LBY</t>
        </is>
      </c>
      <c r="CZ134" t="inlineStr">
        <is>
          <t>LBY</t>
        </is>
      </c>
      <c r="DA134" t="inlineStr">
        <is>
          <t>LBY</t>
        </is>
      </c>
      <c r="DB134" t="inlineStr">
        <is>
          <t>LBY</t>
        </is>
      </c>
      <c r="DC134" t="inlineStr">
        <is>
          <t>LBY</t>
        </is>
      </c>
      <c r="DD134" t="inlineStr">
        <is>
          <t>LBY</t>
        </is>
      </c>
      <c r="DE134" t="inlineStr">
        <is>
          <t>LBY</t>
        </is>
      </c>
      <c r="DF134" t="inlineStr">
        <is>
          <t>LBY</t>
        </is>
      </c>
      <c r="DG134" t="inlineStr">
        <is>
          <t>LBY</t>
        </is>
      </c>
      <c r="DH134" t="inlineStr">
        <is>
          <t>EGY</t>
        </is>
      </c>
      <c r="DI134" t="inlineStr">
        <is>
          <t>EGY</t>
        </is>
      </c>
      <c r="DJ134" t="inlineStr">
        <is>
          <t>EGY</t>
        </is>
      </c>
      <c r="DK134" t="inlineStr">
        <is>
          <t>EGY</t>
        </is>
      </c>
      <c r="DL134" t="inlineStr">
        <is>
          <t>EGY</t>
        </is>
      </c>
      <c r="DM134" t="inlineStr">
        <is>
          <t>EGY</t>
        </is>
      </c>
      <c r="DN134" t="inlineStr">
        <is>
          <t>EGY</t>
        </is>
      </c>
      <c r="DO134" t="inlineStr">
        <is>
          <t>EGY</t>
        </is>
      </c>
      <c r="DP134" t="inlineStr">
        <is>
          <t>EGY</t>
        </is>
      </c>
      <c r="DQ134" t="inlineStr">
        <is>
          <t>EGY</t>
        </is>
      </c>
      <c r="DR134" t="inlineStr">
        <is>
          <t>EGY</t>
        </is>
      </c>
      <c r="DS134" t="inlineStr">
        <is>
          <t>EGY</t>
        </is>
      </c>
      <c r="DT134" t="inlineStr">
        <is>
          <t>EGY</t>
        </is>
      </c>
      <c r="DU134" t="inlineStr">
        <is>
          <t>EGY</t>
        </is>
      </c>
      <c r="DV134" t="inlineStr">
        <is>
          <t>EGY</t>
        </is>
      </c>
      <c r="DW134" t="inlineStr">
        <is>
          <t>EGY</t>
        </is>
      </c>
      <c r="DX134" t="inlineStr">
        <is>
          <t>EGY</t>
        </is>
      </c>
      <c r="DY134" t="inlineStr">
        <is>
          <t>EGY</t>
        </is>
      </c>
      <c r="EE134" t="inlineStr">
        <is>
          <t>SAU</t>
        </is>
      </c>
      <c r="EF134" t="inlineStr">
        <is>
          <t>SAU</t>
        </is>
      </c>
      <c r="EG134" t="inlineStr">
        <is>
          <t>SAU</t>
        </is>
      </c>
      <c r="EH134" t="inlineStr">
        <is>
          <t>SAU</t>
        </is>
      </c>
      <c r="EI134" t="inlineStr">
        <is>
          <t>SAU</t>
        </is>
      </c>
      <c r="EJ134" t="inlineStr">
        <is>
          <t>SAU</t>
        </is>
      </c>
      <c r="EK134" t="inlineStr">
        <is>
          <t>SAU</t>
        </is>
      </c>
      <c r="EL134" t="inlineStr">
        <is>
          <t>SAU</t>
        </is>
      </c>
      <c r="EM134" t="inlineStr">
        <is>
          <t>SAU</t>
        </is>
      </c>
      <c r="EN134" t="inlineStr">
        <is>
          <t>SAU</t>
        </is>
      </c>
      <c r="EO134" t="inlineStr">
        <is>
          <t>SAU</t>
        </is>
      </c>
      <c r="EP134" t="inlineStr">
        <is>
          <t>SAU</t>
        </is>
      </c>
      <c r="EQ134" t="inlineStr">
        <is>
          <t>SAU</t>
        </is>
      </c>
      <c r="ER134" t="inlineStr">
        <is>
          <t>SAU</t>
        </is>
      </c>
      <c r="ES134" t="inlineStr">
        <is>
          <t>SAU</t>
        </is>
      </c>
      <c r="ET134" t="inlineStr">
        <is>
          <t>SAU</t>
        </is>
      </c>
      <c r="EU134" t="inlineStr">
        <is>
          <t>SAU</t>
        </is>
      </c>
      <c r="EV134" t="inlineStr">
        <is>
          <t>SAU</t>
        </is>
      </c>
      <c r="EW134" t="inlineStr">
        <is>
          <t>SAU</t>
        </is>
      </c>
      <c r="EX134" t="inlineStr">
        <is>
          <t>SAU</t>
        </is>
      </c>
      <c r="EY134" t="inlineStr">
        <is>
          <t>SAU</t>
        </is>
      </c>
      <c r="EZ134" t="inlineStr">
        <is>
          <t>SAU</t>
        </is>
      </c>
      <c r="FA134" t="inlineStr">
        <is>
          <t>SAU</t>
        </is>
      </c>
      <c r="FB134" t="inlineStr">
        <is>
          <t>SAU</t>
        </is>
      </c>
      <c r="FC134" t="inlineStr">
        <is>
          <t>SAU</t>
        </is>
      </c>
      <c r="FD134" t="inlineStr">
        <is>
          <t>SAU</t>
        </is>
      </c>
      <c r="FE134" t="inlineStr">
        <is>
          <t>SAU</t>
        </is>
      </c>
      <c r="FG134" t="inlineStr">
        <is>
          <t>BHR</t>
        </is>
      </c>
      <c r="FR134" t="inlineStr">
        <is>
          <t>OMN</t>
        </is>
      </c>
      <c r="FT134" t="inlineStr">
        <is>
          <t>IRN</t>
        </is>
      </c>
      <c r="FU134" t="inlineStr">
        <is>
          <t>IRN</t>
        </is>
      </c>
      <c r="FV134" t="inlineStr">
        <is>
          <t>IRN</t>
        </is>
      </c>
      <c r="FW134" t="inlineStr">
        <is>
          <t>IRN</t>
        </is>
      </c>
      <c r="FX134" t="inlineStr">
        <is>
          <t>IRN</t>
        </is>
      </c>
      <c r="FY134" t="inlineStr">
        <is>
          <t>IRN</t>
        </is>
      </c>
      <c r="FZ134" t="inlineStr">
        <is>
          <t>IRN</t>
        </is>
      </c>
      <c r="GA134" t="inlineStr">
        <is>
          <t>IRN</t>
        </is>
      </c>
      <c r="GB134" t="inlineStr">
        <is>
          <t>IRN</t>
        </is>
      </c>
      <c r="GC134" t="inlineStr">
        <is>
          <t>IRN</t>
        </is>
      </c>
      <c r="GD134" t="inlineStr">
        <is>
          <t>PAK</t>
        </is>
      </c>
      <c r="GE134" t="inlineStr">
        <is>
          <t>PAK</t>
        </is>
      </c>
      <c r="GF134" t="inlineStr">
        <is>
          <t>PAK</t>
        </is>
      </c>
      <c r="GG134" t="inlineStr">
        <is>
          <t>PAK</t>
        </is>
      </c>
      <c r="GH134" t="inlineStr">
        <is>
          <t>PAK</t>
        </is>
      </c>
      <c r="GI134" t="inlineStr">
        <is>
          <t>PAK</t>
        </is>
      </c>
      <c r="GJ134" t="inlineStr">
        <is>
          <t>PAK</t>
        </is>
      </c>
      <c r="GK134" t="inlineStr">
        <is>
          <t>PAK</t>
        </is>
      </c>
      <c r="GL134" t="inlineStr">
        <is>
          <t>PAK</t>
        </is>
      </c>
      <c r="GM134" t="inlineStr">
        <is>
          <t>PAK</t>
        </is>
      </c>
      <c r="GN134" t="inlineStr">
        <is>
          <t>PAK</t>
        </is>
      </c>
      <c r="GO134" t="inlineStr">
        <is>
          <t>PAK</t>
        </is>
      </c>
      <c r="GP134" t="inlineStr">
        <is>
          <t>PAK</t>
        </is>
      </c>
      <c r="GQ134" t="inlineStr">
        <is>
          <t>PAK</t>
        </is>
      </c>
      <c r="GR134" t="inlineStr">
        <is>
          <t>PAK</t>
        </is>
      </c>
      <c r="GS134" t="inlineStr">
        <is>
          <t>PAK</t>
        </is>
      </c>
      <c r="GT134" t="inlineStr">
        <is>
          <t>IND</t>
        </is>
      </c>
      <c r="GU134" t="inlineStr">
        <is>
          <t>IND</t>
        </is>
      </c>
      <c r="GV134" t="inlineStr">
        <is>
          <t>IND</t>
        </is>
      </c>
      <c r="GW134" t="inlineStr">
        <is>
          <t>IND</t>
        </is>
      </c>
      <c r="GX134" t="inlineStr">
        <is>
          <t>IND</t>
        </is>
      </c>
      <c r="GY134" t="inlineStr">
        <is>
          <t>IND</t>
        </is>
      </c>
      <c r="GZ134" t="inlineStr">
        <is>
          <t>IND</t>
        </is>
      </c>
      <c r="HA134" t="inlineStr">
        <is>
          <t>IND</t>
        </is>
      </c>
      <c r="HB134" t="inlineStr">
        <is>
          <t>IND</t>
        </is>
      </c>
      <c r="HC134" t="inlineStr">
        <is>
          <t>IND</t>
        </is>
      </c>
      <c r="HD134" t="inlineStr">
        <is>
          <t>IND</t>
        </is>
      </c>
      <c r="HE134" t="inlineStr">
        <is>
          <t>IND</t>
        </is>
      </c>
      <c r="HF134" t="inlineStr">
        <is>
          <t>IND</t>
        </is>
      </c>
      <c r="HG134" t="inlineStr">
        <is>
          <t>IND</t>
        </is>
      </c>
      <c r="HH134" t="inlineStr">
        <is>
          <t>IND</t>
        </is>
      </c>
      <c r="HI134" t="inlineStr">
        <is>
          <t>IND</t>
        </is>
      </c>
      <c r="HJ134" t="inlineStr">
        <is>
          <t>IND</t>
        </is>
      </c>
      <c r="HK134" t="inlineStr">
        <is>
          <t>IND</t>
        </is>
      </c>
      <c r="HL134" t="inlineStr">
        <is>
          <t>IND</t>
        </is>
      </c>
      <c r="HM134" t="inlineStr">
        <is>
          <t>IND</t>
        </is>
      </c>
      <c r="HN134" t="inlineStr">
        <is>
          <t>IND</t>
        </is>
      </c>
      <c r="HO134" t="inlineStr">
        <is>
          <t>IND</t>
        </is>
      </c>
      <c r="HP134" t="inlineStr">
        <is>
          <t>IND</t>
        </is>
      </c>
      <c r="HQ134" t="inlineStr">
        <is>
          <t>IND</t>
        </is>
      </c>
      <c r="HR134" t="inlineStr">
        <is>
          <t>IND</t>
        </is>
      </c>
      <c r="HS134" t="inlineStr">
        <is>
          <t>IND</t>
        </is>
      </c>
      <c r="HT134" t="inlineStr">
        <is>
          <t>IND</t>
        </is>
      </c>
      <c r="HU134" t="inlineStr">
        <is>
          <t>IND</t>
        </is>
      </c>
      <c r="HV134" t="inlineStr">
        <is>
          <t>IND</t>
        </is>
      </c>
      <c r="HW134" t="inlineStr">
        <is>
          <t>IND</t>
        </is>
      </c>
      <c r="HX134" t="inlineStr">
        <is>
          <t>IND</t>
        </is>
      </c>
      <c r="HY134" t="inlineStr">
        <is>
          <t>IND</t>
        </is>
      </c>
      <c r="HZ134" t="inlineStr">
        <is>
          <t>IND</t>
        </is>
      </c>
      <c r="IA134" t="inlineStr">
        <is>
          <t>IND</t>
        </is>
      </c>
      <c r="IB134" t="inlineStr">
        <is>
          <t>IND</t>
        </is>
      </c>
      <c r="IC134" t="inlineStr">
        <is>
          <t>IND</t>
        </is>
      </c>
      <c r="ID134" t="inlineStr">
        <is>
          <t>IND</t>
        </is>
      </c>
      <c r="IE134" t="inlineStr">
        <is>
          <t>BGD</t>
        </is>
      </c>
      <c r="IF134" t="inlineStr">
        <is>
          <t>IND</t>
        </is>
      </c>
      <c r="IG134" t="inlineStr">
        <is>
          <t>IND</t>
        </is>
      </c>
      <c r="IH134" t="inlineStr">
        <is>
          <t>IND</t>
        </is>
      </c>
      <c r="II134" t="inlineStr">
        <is>
          <t>IND</t>
        </is>
      </c>
      <c r="IJ134" t="inlineStr">
        <is>
          <t>IND</t>
        </is>
      </c>
      <c r="IK134" t="inlineStr">
        <is>
          <t>IND</t>
        </is>
      </c>
      <c r="IL134" t="inlineStr">
        <is>
          <t>IND</t>
        </is>
      </c>
      <c r="IM134" t="inlineStr">
        <is>
          <t>IND</t>
        </is>
      </c>
      <c r="IN134" t="inlineStr">
        <is>
          <t>IND</t>
        </is>
      </c>
      <c r="IO134" t="inlineStr">
        <is>
          <t>IND</t>
        </is>
      </c>
      <c r="IP134" t="inlineStr">
        <is>
          <t>IND</t>
        </is>
      </c>
      <c r="IQ134" t="inlineStr">
        <is>
          <t>IND</t>
        </is>
      </c>
      <c r="IR134" t="inlineStr">
        <is>
          <t>MMR</t>
        </is>
      </c>
      <c r="IS134" t="inlineStr">
        <is>
          <t>MMR</t>
        </is>
      </c>
      <c r="IT134" t="inlineStr">
        <is>
          <t>MMR</t>
        </is>
      </c>
      <c r="IU134" t="inlineStr">
        <is>
          <t>MMR</t>
        </is>
      </c>
      <c r="IV134" t="inlineStr">
        <is>
          <t>MMR</t>
        </is>
      </c>
      <c r="IW134" t="inlineStr">
        <is>
          <t>MMR</t>
        </is>
      </c>
      <c r="IX134" t="inlineStr">
        <is>
          <t>MMR</t>
        </is>
      </c>
      <c r="IY134" t="inlineStr">
        <is>
          <t>CHN</t>
        </is>
      </c>
      <c r="IZ134" t="inlineStr">
        <is>
          <t>CHN</t>
        </is>
      </c>
      <c r="JA134" t="inlineStr">
        <is>
          <t>CHN</t>
        </is>
      </c>
      <c r="JB134" t="inlineStr">
        <is>
          <t>CHN</t>
        </is>
      </c>
      <c r="JC134" t="inlineStr">
        <is>
          <t>CHN</t>
        </is>
      </c>
      <c r="JD134" t="inlineStr">
        <is>
          <t>CHN</t>
        </is>
      </c>
      <c r="JE134" t="inlineStr">
        <is>
          <t>CHN</t>
        </is>
      </c>
      <c r="JF134" t="inlineStr">
        <is>
          <t>CHN</t>
        </is>
      </c>
      <c r="JG134" t="inlineStr">
        <is>
          <t>CHN</t>
        </is>
      </c>
      <c r="JH134" t="inlineStr">
        <is>
          <t>CHN</t>
        </is>
      </c>
      <c r="JI134" t="inlineStr">
        <is>
          <t>CHN</t>
        </is>
      </c>
      <c r="JJ134" t="inlineStr">
        <is>
          <t>CHN</t>
        </is>
      </c>
      <c r="JK134" t="inlineStr">
        <is>
          <t>CHN</t>
        </is>
      </c>
      <c r="JL134" t="inlineStr">
        <is>
          <t>CHN</t>
        </is>
      </c>
      <c r="JM134" t="inlineStr">
        <is>
          <t>CHN</t>
        </is>
      </c>
      <c r="JN134" t="inlineStr">
        <is>
          <t>CHN</t>
        </is>
      </c>
      <c r="JO134" t="inlineStr">
        <is>
          <t>CHN</t>
        </is>
      </c>
      <c r="JP134" t="inlineStr">
        <is>
          <t>CHN</t>
        </is>
      </c>
      <c r="JQ134" t="inlineStr">
        <is>
          <t>CHN</t>
        </is>
      </c>
      <c r="JR134" t="inlineStr">
        <is>
          <t>CHN</t>
        </is>
      </c>
      <c r="JS134" t="inlineStr">
        <is>
          <t>CHN</t>
        </is>
      </c>
      <c r="JT134" t="inlineStr">
        <is>
          <t>CHN</t>
        </is>
      </c>
      <c r="JU134" t="inlineStr">
        <is>
          <t>CHN</t>
        </is>
      </c>
    </row>
    <row r="135">
      <c r="AI135" t="inlineStr">
        <is>
          <t>MAR</t>
        </is>
      </c>
      <c r="AJ135" t="inlineStr">
        <is>
          <t>MAR</t>
        </is>
      </c>
      <c r="AK135" t="inlineStr">
        <is>
          <t>MAR</t>
        </is>
      </c>
      <c r="AL135" t="inlineStr">
        <is>
          <t>MAR</t>
        </is>
      </c>
      <c r="AM135" t="inlineStr">
        <is>
          <t>ESH</t>
        </is>
      </c>
      <c r="AN135" t="inlineStr">
        <is>
          <t>ESH</t>
        </is>
      </c>
      <c r="AO135" t="inlineStr">
        <is>
          <t>ESH</t>
        </is>
      </c>
      <c r="AP135" t="inlineStr">
        <is>
          <t>ESH</t>
        </is>
      </c>
      <c r="AQ135" t="inlineStr">
        <is>
          <t>ESH</t>
        </is>
      </c>
      <c r="AR135" t="inlineStr">
        <is>
          <t>ESH</t>
        </is>
      </c>
      <c r="AS135" t="inlineStr">
        <is>
          <t>MRT</t>
        </is>
      </c>
      <c r="AT135" t="inlineStr">
        <is>
          <t>MRT</t>
        </is>
      </c>
      <c r="AU135" t="inlineStr">
        <is>
          <t>DZA</t>
        </is>
      </c>
      <c r="AV135" t="inlineStr">
        <is>
          <t>DZA</t>
        </is>
      </c>
      <c r="AW135" t="inlineStr">
        <is>
          <t>DZA</t>
        </is>
      </c>
      <c r="AX135" t="inlineStr">
        <is>
          <t>DZA</t>
        </is>
      </c>
      <c r="AY135" t="inlineStr">
        <is>
          <t>DZA</t>
        </is>
      </c>
      <c r="AZ135" t="inlineStr">
        <is>
          <t>DZA</t>
        </is>
      </c>
      <c r="BA135" t="inlineStr">
        <is>
          <t>DZA</t>
        </is>
      </c>
      <c r="BB135" t="inlineStr">
        <is>
          <t>DZA</t>
        </is>
      </c>
      <c r="BC135" t="inlineStr">
        <is>
          <t>DZA</t>
        </is>
      </c>
      <c r="BD135" t="inlineStr">
        <is>
          <t>DZA</t>
        </is>
      </c>
      <c r="BE135" t="inlineStr">
        <is>
          <t>DZA</t>
        </is>
      </c>
      <c r="BF135" t="inlineStr">
        <is>
          <t>DZA</t>
        </is>
      </c>
      <c r="BG135" t="inlineStr">
        <is>
          <t>DZA</t>
        </is>
      </c>
      <c r="BH135" t="inlineStr">
        <is>
          <t>DZA</t>
        </is>
      </c>
      <c r="BI135" t="inlineStr">
        <is>
          <t>DZA</t>
        </is>
      </c>
      <c r="BJ135" t="inlineStr">
        <is>
          <t>DZA</t>
        </is>
      </c>
      <c r="BK135" t="inlineStr">
        <is>
          <t>DZA</t>
        </is>
      </c>
      <c r="BL135" t="inlineStr">
        <is>
          <t>DZA</t>
        </is>
      </c>
      <c r="BM135" t="inlineStr">
        <is>
          <t>DZA</t>
        </is>
      </c>
      <c r="BN135" t="inlineStr">
        <is>
          <t>DZA</t>
        </is>
      </c>
      <c r="BO135" t="inlineStr">
        <is>
          <t>DZA</t>
        </is>
      </c>
      <c r="BP135" t="inlineStr">
        <is>
          <t>DZA</t>
        </is>
      </c>
      <c r="BQ135" t="inlineStr">
        <is>
          <t>DZA</t>
        </is>
      </c>
      <c r="BR135" t="inlineStr">
        <is>
          <t>DZA</t>
        </is>
      </c>
      <c r="BS135" t="inlineStr">
        <is>
          <t>DZA</t>
        </is>
      </c>
      <c r="BT135" t="inlineStr">
        <is>
          <t>DZA</t>
        </is>
      </c>
      <c r="BU135" t="inlineStr">
        <is>
          <t>DZA</t>
        </is>
      </c>
      <c r="BV135" t="inlineStr">
        <is>
          <t>DZA</t>
        </is>
      </c>
      <c r="BW135" t="inlineStr">
        <is>
          <t>DZA</t>
        </is>
      </c>
      <c r="BX135" t="inlineStr">
        <is>
          <t>DZA</t>
        </is>
      </c>
      <c r="BY135" t="inlineStr">
        <is>
          <t>DZA</t>
        </is>
      </c>
      <c r="BZ135" t="inlineStr">
        <is>
          <t>DZA</t>
        </is>
      </c>
      <c r="CA135" t="inlineStr">
        <is>
          <t>DZA</t>
        </is>
      </c>
      <c r="CB135" t="inlineStr">
        <is>
          <t>DZA</t>
        </is>
      </c>
      <c r="CC135" t="inlineStr">
        <is>
          <t>LBY</t>
        </is>
      </c>
      <c r="CD135" t="inlineStr">
        <is>
          <t>LBY</t>
        </is>
      </c>
      <c r="CE135" t="inlineStr">
        <is>
          <t>LBY</t>
        </is>
      </c>
      <c r="CF135" t="inlineStr">
        <is>
          <t>LBY</t>
        </is>
      </c>
      <c r="CG135" t="inlineStr">
        <is>
          <t>LBY</t>
        </is>
      </c>
      <c r="CH135" t="inlineStr">
        <is>
          <t>LBY</t>
        </is>
      </c>
      <c r="CI135" t="inlineStr">
        <is>
          <t>LBY</t>
        </is>
      </c>
      <c r="CJ135" t="inlineStr">
        <is>
          <t>LBY</t>
        </is>
      </c>
      <c r="CK135" t="inlineStr">
        <is>
          <t>LBY</t>
        </is>
      </c>
      <c r="CL135" t="inlineStr">
        <is>
          <t>LBY</t>
        </is>
      </c>
      <c r="CM135" t="inlineStr">
        <is>
          <t>LBY</t>
        </is>
      </c>
      <c r="CN135" t="inlineStr">
        <is>
          <t>LBY</t>
        </is>
      </c>
      <c r="CO135" t="inlineStr">
        <is>
          <t>LBY</t>
        </is>
      </c>
      <c r="CP135" t="inlineStr">
        <is>
          <t>LBY</t>
        </is>
      </c>
      <c r="CQ135" t="inlineStr">
        <is>
          <t>LBY</t>
        </is>
      </c>
      <c r="CR135" t="inlineStr">
        <is>
          <t>LBY</t>
        </is>
      </c>
      <c r="CS135" t="inlineStr">
        <is>
          <t>LBY</t>
        </is>
      </c>
      <c r="CT135" t="inlineStr">
        <is>
          <t>LBY</t>
        </is>
      </c>
      <c r="CU135" t="inlineStr">
        <is>
          <t>LBY</t>
        </is>
      </c>
      <c r="CV135" t="inlineStr">
        <is>
          <t>LBY</t>
        </is>
      </c>
      <c r="CW135" t="inlineStr">
        <is>
          <t>LBY</t>
        </is>
      </c>
      <c r="CX135" t="inlineStr">
        <is>
          <t>LBY</t>
        </is>
      </c>
      <c r="CY135" t="inlineStr">
        <is>
          <t>LBY</t>
        </is>
      </c>
      <c r="CZ135" t="inlineStr">
        <is>
          <t>LBY</t>
        </is>
      </c>
      <c r="DA135" t="inlineStr">
        <is>
          <t>LBY</t>
        </is>
      </c>
      <c r="DB135" t="inlineStr">
        <is>
          <t>LBY</t>
        </is>
      </c>
      <c r="DC135" t="inlineStr">
        <is>
          <t>LBY</t>
        </is>
      </c>
      <c r="DD135" t="inlineStr">
        <is>
          <t>LBY</t>
        </is>
      </c>
      <c r="DE135" t="inlineStr">
        <is>
          <t>LBY</t>
        </is>
      </c>
      <c r="DF135" t="inlineStr">
        <is>
          <t>LBY</t>
        </is>
      </c>
      <c r="DG135" t="inlineStr">
        <is>
          <t>LBY</t>
        </is>
      </c>
      <c r="DH135" t="inlineStr">
        <is>
          <t>EGY</t>
        </is>
      </c>
      <c r="DI135" t="inlineStr">
        <is>
          <t>EGY</t>
        </is>
      </c>
      <c r="DJ135" t="inlineStr">
        <is>
          <t>EGY</t>
        </is>
      </c>
      <c r="DK135" t="inlineStr">
        <is>
          <t>EGY</t>
        </is>
      </c>
      <c r="DL135" t="inlineStr">
        <is>
          <t>EGY</t>
        </is>
      </c>
      <c r="DM135" t="inlineStr">
        <is>
          <t>EGY</t>
        </is>
      </c>
      <c r="DN135" t="inlineStr">
        <is>
          <t>EGY</t>
        </is>
      </c>
      <c r="DO135" t="inlineStr">
        <is>
          <t>EGY</t>
        </is>
      </c>
      <c r="DP135" t="inlineStr">
        <is>
          <t>EGY</t>
        </is>
      </c>
      <c r="DQ135" t="inlineStr">
        <is>
          <t>EGY</t>
        </is>
      </c>
      <c r="DR135" t="inlineStr">
        <is>
          <t>EGY</t>
        </is>
      </c>
      <c r="DS135" t="inlineStr">
        <is>
          <t>EGY</t>
        </is>
      </c>
      <c r="DT135" t="inlineStr">
        <is>
          <t>EGY</t>
        </is>
      </c>
      <c r="DU135" t="inlineStr">
        <is>
          <t>EGY</t>
        </is>
      </c>
      <c r="DV135" t="inlineStr">
        <is>
          <t>EGY</t>
        </is>
      </c>
      <c r="DW135" t="inlineStr">
        <is>
          <t>EGY</t>
        </is>
      </c>
      <c r="DX135" t="inlineStr">
        <is>
          <t>EGY</t>
        </is>
      </c>
      <c r="DY135" t="inlineStr">
        <is>
          <t>EGY</t>
        </is>
      </c>
      <c r="ED135" t="inlineStr">
        <is>
          <t>SAU</t>
        </is>
      </c>
      <c r="EE135" t="inlineStr">
        <is>
          <t>SAU</t>
        </is>
      </c>
      <c r="EF135" t="inlineStr">
        <is>
          <t>SAU</t>
        </is>
      </c>
      <c r="EG135" t="inlineStr">
        <is>
          <t>SAU</t>
        </is>
      </c>
      <c r="EH135" t="inlineStr">
        <is>
          <t>SAU</t>
        </is>
      </c>
      <c r="EI135" t="inlineStr">
        <is>
          <t>SAU</t>
        </is>
      </c>
      <c r="EJ135" t="inlineStr">
        <is>
          <t>SAU</t>
        </is>
      </c>
      <c r="EK135" t="inlineStr">
        <is>
          <t>SAU</t>
        </is>
      </c>
      <c r="EL135" t="inlineStr">
        <is>
          <t>SAU</t>
        </is>
      </c>
      <c r="EM135" t="inlineStr">
        <is>
          <t>SAU</t>
        </is>
      </c>
      <c r="EN135" t="inlineStr">
        <is>
          <t>SAU</t>
        </is>
      </c>
      <c r="EO135" t="inlineStr">
        <is>
          <t>SAU</t>
        </is>
      </c>
      <c r="EP135" t="inlineStr">
        <is>
          <t>SAU</t>
        </is>
      </c>
      <c r="EQ135" t="inlineStr">
        <is>
          <t>SAU</t>
        </is>
      </c>
      <c r="ER135" t="inlineStr">
        <is>
          <t>SAU</t>
        </is>
      </c>
      <c r="ES135" t="inlineStr">
        <is>
          <t>SAU</t>
        </is>
      </c>
      <c r="ET135" t="inlineStr">
        <is>
          <t>SAU</t>
        </is>
      </c>
      <c r="EU135" t="inlineStr">
        <is>
          <t>SAU</t>
        </is>
      </c>
      <c r="EV135" t="inlineStr">
        <is>
          <t>SAU</t>
        </is>
      </c>
      <c r="EW135" t="inlineStr">
        <is>
          <t>SAU</t>
        </is>
      </c>
      <c r="EX135" t="inlineStr">
        <is>
          <t>SAU</t>
        </is>
      </c>
      <c r="EY135" t="inlineStr">
        <is>
          <t>SAU</t>
        </is>
      </c>
      <c r="EZ135" t="inlineStr">
        <is>
          <t>SAU</t>
        </is>
      </c>
      <c r="FA135" t="inlineStr">
        <is>
          <t>SAU</t>
        </is>
      </c>
      <c r="FB135" t="inlineStr">
        <is>
          <t>SAU</t>
        </is>
      </c>
      <c r="FC135" t="inlineStr">
        <is>
          <t>SAU</t>
        </is>
      </c>
      <c r="FD135" t="inlineStr">
        <is>
          <t>SAU</t>
        </is>
      </c>
      <c r="FE135" t="inlineStr">
        <is>
          <t>SAU</t>
        </is>
      </c>
      <c r="FM135" t="inlineStr">
        <is>
          <t>IRN</t>
        </is>
      </c>
      <c r="FN135" t="inlineStr">
        <is>
          <t>IRN</t>
        </is>
      </c>
      <c r="FO135" t="inlineStr">
        <is>
          <t>IRN</t>
        </is>
      </c>
      <c r="FP135" t="inlineStr">
        <is>
          <t>IRN</t>
        </is>
      </c>
      <c r="FT135" t="inlineStr">
        <is>
          <t>IRN</t>
        </is>
      </c>
      <c r="FU135" t="inlineStr">
        <is>
          <t>IRN</t>
        </is>
      </c>
      <c r="FV135" t="inlineStr">
        <is>
          <t>IRN</t>
        </is>
      </c>
      <c r="FW135" t="inlineStr">
        <is>
          <t>IRN</t>
        </is>
      </c>
      <c r="FX135" t="inlineStr">
        <is>
          <t>IRN</t>
        </is>
      </c>
      <c r="FY135" t="inlineStr">
        <is>
          <t>IRN</t>
        </is>
      </c>
      <c r="FZ135" t="inlineStr">
        <is>
          <t>IRN</t>
        </is>
      </c>
      <c r="GA135" t="inlineStr">
        <is>
          <t>IRN</t>
        </is>
      </c>
      <c r="GB135" t="inlineStr">
        <is>
          <t>IRN</t>
        </is>
      </c>
      <c r="GC135" t="inlineStr">
        <is>
          <t>IRN</t>
        </is>
      </c>
      <c r="GD135" t="inlineStr">
        <is>
          <t>IRN</t>
        </is>
      </c>
      <c r="GE135" t="inlineStr">
        <is>
          <t>IRN</t>
        </is>
      </c>
      <c r="GF135" t="inlineStr">
        <is>
          <t>IRN</t>
        </is>
      </c>
      <c r="GG135" t="inlineStr">
        <is>
          <t>PAK</t>
        </is>
      </c>
      <c r="GH135" t="inlineStr">
        <is>
          <t>PAK</t>
        </is>
      </c>
      <c r="GI135" t="inlineStr">
        <is>
          <t>PAK</t>
        </is>
      </c>
      <c r="GJ135" t="inlineStr">
        <is>
          <t>PAK</t>
        </is>
      </c>
      <c r="GK135" t="inlineStr">
        <is>
          <t>PAK</t>
        </is>
      </c>
      <c r="GL135" t="inlineStr">
        <is>
          <t>PAK</t>
        </is>
      </c>
      <c r="GM135" t="inlineStr">
        <is>
          <t>PAK</t>
        </is>
      </c>
      <c r="GN135" t="inlineStr">
        <is>
          <t>PAK</t>
        </is>
      </c>
      <c r="GO135" t="inlineStr">
        <is>
          <t>PAK</t>
        </is>
      </c>
      <c r="GP135" t="inlineStr">
        <is>
          <t>PAK</t>
        </is>
      </c>
      <c r="GQ135" t="inlineStr">
        <is>
          <t>PAK</t>
        </is>
      </c>
      <c r="GR135" t="inlineStr">
        <is>
          <t>PAK</t>
        </is>
      </c>
      <c r="GS135" t="inlineStr">
        <is>
          <t>PAK</t>
        </is>
      </c>
      <c r="GT135" t="inlineStr">
        <is>
          <t>IND</t>
        </is>
      </c>
      <c r="GU135" t="inlineStr">
        <is>
          <t>IND</t>
        </is>
      </c>
      <c r="GV135" t="inlineStr">
        <is>
          <t>IND</t>
        </is>
      </c>
      <c r="GW135" t="inlineStr">
        <is>
          <t>IND</t>
        </is>
      </c>
      <c r="GX135" t="inlineStr">
        <is>
          <t>IND</t>
        </is>
      </c>
      <c r="GY135" t="inlineStr">
        <is>
          <t>IND</t>
        </is>
      </c>
      <c r="GZ135" t="inlineStr">
        <is>
          <t>IND</t>
        </is>
      </c>
      <c r="HA135" t="inlineStr">
        <is>
          <t>IND</t>
        </is>
      </c>
      <c r="HB135" t="inlineStr">
        <is>
          <t>IND</t>
        </is>
      </c>
      <c r="HC135" t="inlineStr">
        <is>
          <t>IND</t>
        </is>
      </c>
      <c r="HD135" t="inlineStr">
        <is>
          <t>IND</t>
        </is>
      </c>
      <c r="HE135" t="inlineStr">
        <is>
          <t>IND</t>
        </is>
      </c>
      <c r="HF135" t="inlineStr">
        <is>
          <t>IND</t>
        </is>
      </c>
      <c r="HG135" t="inlineStr">
        <is>
          <t>IND</t>
        </is>
      </c>
      <c r="HH135" t="inlineStr">
        <is>
          <t>IND</t>
        </is>
      </c>
      <c r="HI135" t="inlineStr">
        <is>
          <t>IND</t>
        </is>
      </c>
      <c r="HJ135" t="inlineStr">
        <is>
          <t>IND</t>
        </is>
      </c>
      <c r="HK135" t="inlineStr">
        <is>
          <t>IND</t>
        </is>
      </c>
      <c r="HL135" t="inlineStr">
        <is>
          <t>IND</t>
        </is>
      </c>
      <c r="HM135" t="inlineStr">
        <is>
          <t>IND</t>
        </is>
      </c>
      <c r="HN135" t="inlineStr">
        <is>
          <t>IND</t>
        </is>
      </c>
      <c r="HO135" t="inlineStr">
        <is>
          <t>IND</t>
        </is>
      </c>
      <c r="HP135" t="inlineStr">
        <is>
          <t>IND</t>
        </is>
      </c>
      <c r="HQ135" t="inlineStr">
        <is>
          <t>IND</t>
        </is>
      </c>
      <c r="HR135" t="inlineStr">
        <is>
          <t>IND</t>
        </is>
      </c>
      <c r="HS135" t="inlineStr">
        <is>
          <t>IND</t>
        </is>
      </c>
      <c r="HT135" t="inlineStr">
        <is>
          <t>IND</t>
        </is>
      </c>
      <c r="HU135" t="inlineStr">
        <is>
          <t>IND</t>
        </is>
      </c>
      <c r="HV135" t="inlineStr">
        <is>
          <t>IND</t>
        </is>
      </c>
      <c r="HW135" t="inlineStr">
        <is>
          <t>IND</t>
        </is>
      </c>
      <c r="HX135" t="inlineStr">
        <is>
          <t>NPL</t>
        </is>
      </c>
      <c r="HY135" t="inlineStr">
        <is>
          <t>NPL</t>
        </is>
      </c>
      <c r="HZ135" t="inlineStr">
        <is>
          <t>NPL</t>
        </is>
      </c>
      <c r="IA135" t="inlineStr">
        <is>
          <t>NPL</t>
        </is>
      </c>
      <c r="IB135" t="inlineStr">
        <is>
          <t>NPL</t>
        </is>
      </c>
      <c r="IC135" t="inlineStr">
        <is>
          <t>NPL</t>
        </is>
      </c>
      <c r="ID135" t="inlineStr">
        <is>
          <t>IND</t>
        </is>
      </c>
      <c r="IE135" t="inlineStr">
        <is>
          <t>IND</t>
        </is>
      </c>
      <c r="IF135" t="inlineStr">
        <is>
          <t>IND</t>
        </is>
      </c>
      <c r="IG135" t="inlineStr">
        <is>
          <t>BTN</t>
        </is>
      </c>
      <c r="IH135" t="inlineStr">
        <is>
          <t>IND</t>
        </is>
      </c>
      <c r="II135" t="inlineStr">
        <is>
          <t>IND</t>
        </is>
      </c>
      <c r="IJ135" t="inlineStr">
        <is>
          <t>IND</t>
        </is>
      </c>
      <c r="IK135" t="inlineStr">
        <is>
          <t>IND</t>
        </is>
      </c>
      <c r="IL135" t="inlineStr">
        <is>
          <t>IND</t>
        </is>
      </c>
      <c r="IM135" t="inlineStr">
        <is>
          <t>IND</t>
        </is>
      </c>
      <c r="IN135" t="inlineStr">
        <is>
          <t>IND</t>
        </is>
      </c>
      <c r="IO135" t="inlineStr">
        <is>
          <t>IND</t>
        </is>
      </c>
      <c r="IP135" t="inlineStr">
        <is>
          <t>IND</t>
        </is>
      </c>
      <c r="IQ135" t="inlineStr">
        <is>
          <t>IND</t>
        </is>
      </c>
      <c r="IR135" t="inlineStr">
        <is>
          <t>IND</t>
        </is>
      </c>
      <c r="IS135" t="inlineStr">
        <is>
          <t>MMR</t>
        </is>
      </c>
      <c r="IT135" t="inlineStr">
        <is>
          <t>MMR</t>
        </is>
      </c>
      <c r="IU135" t="inlineStr">
        <is>
          <t>MMR</t>
        </is>
      </c>
      <c r="IV135" t="inlineStr">
        <is>
          <t>MMR</t>
        </is>
      </c>
      <c r="IW135" t="inlineStr">
        <is>
          <t>MMR</t>
        </is>
      </c>
      <c r="IX135" t="inlineStr">
        <is>
          <t>MMR</t>
        </is>
      </c>
      <c r="IY135" t="inlineStr">
        <is>
          <t>CHN</t>
        </is>
      </c>
      <c r="IZ135" t="inlineStr">
        <is>
          <t>CHN</t>
        </is>
      </c>
      <c r="JA135" t="inlineStr">
        <is>
          <t>CHN</t>
        </is>
      </c>
      <c r="JB135" t="inlineStr">
        <is>
          <t>CHN</t>
        </is>
      </c>
      <c r="JC135" t="inlineStr">
        <is>
          <t>CHN</t>
        </is>
      </c>
      <c r="JD135" t="inlineStr">
        <is>
          <t>CHN</t>
        </is>
      </c>
      <c r="JE135" t="inlineStr">
        <is>
          <t>CHN</t>
        </is>
      </c>
      <c r="JF135" t="inlineStr">
        <is>
          <t>CHN</t>
        </is>
      </c>
      <c r="JG135" t="inlineStr">
        <is>
          <t>CHN</t>
        </is>
      </c>
      <c r="JH135" t="inlineStr">
        <is>
          <t>CHN</t>
        </is>
      </c>
      <c r="JI135" t="inlineStr">
        <is>
          <t>CHN</t>
        </is>
      </c>
      <c r="JJ135" t="inlineStr">
        <is>
          <t>CHN</t>
        </is>
      </c>
      <c r="JK135" t="inlineStr">
        <is>
          <t>CHN</t>
        </is>
      </c>
      <c r="JL135" t="inlineStr">
        <is>
          <t>CHN</t>
        </is>
      </c>
      <c r="JM135" t="inlineStr">
        <is>
          <t>CHN</t>
        </is>
      </c>
      <c r="JN135" t="inlineStr">
        <is>
          <t>CHN</t>
        </is>
      </c>
      <c r="JO135" t="inlineStr">
        <is>
          <t>CHN</t>
        </is>
      </c>
      <c r="JP135" t="inlineStr">
        <is>
          <t>CHN</t>
        </is>
      </c>
      <c r="JQ135" t="inlineStr">
        <is>
          <t>CHN</t>
        </is>
      </c>
      <c r="JR135" t="inlineStr">
        <is>
          <t>CHN</t>
        </is>
      </c>
      <c r="JS135" t="inlineStr">
        <is>
          <t>CHN</t>
        </is>
      </c>
      <c r="JT135" t="inlineStr">
        <is>
          <t>CHN</t>
        </is>
      </c>
      <c r="JU135" t="inlineStr">
        <is>
          <t>CHN</t>
        </is>
      </c>
    </row>
    <row r="136">
      <c r="AI136" t="inlineStr">
        <is>
          <t>MAR</t>
        </is>
      </c>
      <c r="AJ136" t="inlineStr">
        <is>
          <t>MAR</t>
        </is>
      </c>
      <c r="AK136" t="inlineStr">
        <is>
          <t>MAR</t>
        </is>
      </c>
      <c r="AL136" t="inlineStr">
        <is>
          <t>MAR</t>
        </is>
      </c>
      <c r="AM136" t="inlineStr">
        <is>
          <t>MAR</t>
        </is>
      </c>
      <c r="AN136" t="inlineStr">
        <is>
          <t>MAR</t>
        </is>
      </c>
      <c r="AO136" t="inlineStr">
        <is>
          <t>MAR</t>
        </is>
      </c>
      <c r="AP136" t="inlineStr">
        <is>
          <t>MAR</t>
        </is>
      </c>
      <c r="AQ136" t="inlineStr">
        <is>
          <t>MAR</t>
        </is>
      </c>
      <c r="AR136" t="inlineStr">
        <is>
          <t>ESH</t>
        </is>
      </c>
      <c r="AS136" t="inlineStr">
        <is>
          <t>DZA</t>
        </is>
      </c>
      <c r="AT136" t="inlineStr">
        <is>
          <t>DZA</t>
        </is>
      </c>
      <c r="AU136" t="inlineStr">
        <is>
          <t>DZA</t>
        </is>
      </c>
      <c r="AV136" t="inlineStr">
        <is>
          <t>DZA</t>
        </is>
      </c>
      <c r="AW136" t="inlineStr">
        <is>
          <t>DZA</t>
        </is>
      </c>
      <c r="AX136" t="inlineStr">
        <is>
          <t>DZA</t>
        </is>
      </c>
      <c r="AY136" t="inlineStr">
        <is>
          <t>DZA</t>
        </is>
      </c>
      <c r="AZ136" t="inlineStr">
        <is>
          <t>DZA</t>
        </is>
      </c>
      <c r="BA136" t="inlineStr">
        <is>
          <t>DZA</t>
        </is>
      </c>
      <c r="BB136" t="inlineStr">
        <is>
          <t>DZA</t>
        </is>
      </c>
      <c r="BC136" t="inlineStr">
        <is>
          <t>DZA</t>
        </is>
      </c>
      <c r="BD136" t="inlineStr">
        <is>
          <t>DZA</t>
        </is>
      </c>
      <c r="BE136" t="inlineStr">
        <is>
          <t>DZA</t>
        </is>
      </c>
      <c r="BF136" t="inlineStr">
        <is>
          <t>DZA</t>
        </is>
      </c>
      <c r="BG136" t="inlineStr">
        <is>
          <t>DZA</t>
        </is>
      </c>
      <c r="BH136" t="inlineStr">
        <is>
          <t>DZA</t>
        </is>
      </c>
      <c r="BI136" t="inlineStr">
        <is>
          <t>DZA</t>
        </is>
      </c>
      <c r="BJ136" t="inlineStr">
        <is>
          <t>DZA</t>
        </is>
      </c>
      <c r="BK136" t="inlineStr">
        <is>
          <t>DZA</t>
        </is>
      </c>
      <c r="BL136" t="inlineStr">
        <is>
          <t>DZA</t>
        </is>
      </c>
      <c r="BM136" t="inlineStr">
        <is>
          <t>DZA</t>
        </is>
      </c>
      <c r="BN136" t="inlineStr">
        <is>
          <t>DZA</t>
        </is>
      </c>
      <c r="BO136" t="inlineStr">
        <is>
          <t>DZA</t>
        </is>
      </c>
      <c r="BP136" t="inlineStr">
        <is>
          <t>DZA</t>
        </is>
      </c>
      <c r="BQ136" t="inlineStr">
        <is>
          <t>DZA</t>
        </is>
      </c>
      <c r="BR136" t="inlineStr">
        <is>
          <t>DZA</t>
        </is>
      </c>
      <c r="BS136" t="inlineStr">
        <is>
          <t>DZA</t>
        </is>
      </c>
      <c r="BT136" t="inlineStr">
        <is>
          <t>DZA</t>
        </is>
      </c>
      <c r="BU136" t="inlineStr">
        <is>
          <t>DZA</t>
        </is>
      </c>
      <c r="BV136" t="inlineStr">
        <is>
          <t>DZA</t>
        </is>
      </c>
      <c r="BW136" t="inlineStr">
        <is>
          <t>DZA</t>
        </is>
      </c>
      <c r="BX136" t="inlineStr">
        <is>
          <t>DZA</t>
        </is>
      </c>
      <c r="BY136" t="inlineStr">
        <is>
          <t>DZA</t>
        </is>
      </c>
      <c r="BZ136" t="inlineStr">
        <is>
          <t>DZA</t>
        </is>
      </c>
      <c r="CA136" t="inlineStr">
        <is>
          <t>DZA</t>
        </is>
      </c>
      <c r="CB136" t="inlineStr">
        <is>
          <t>DZA</t>
        </is>
      </c>
      <c r="CC136" t="inlineStr">
        <is>
          <t>LBY</t>
        </is>
      </c>
      <c r="CD136" t="inlineStr">
        <is>
          <t>LBY</t>
        </is>
      </c>
      <c r="CE136" t="inlineStr">
        <is>
          <t>LBY</t>
        </is>
      </c>
      <c r="CF136" t="inlineStr">
        <is>
          <t>LBY</t>
        </is>
      </c>
      <c r="CG136" t="inlineStr">
        <is>
          <t>LBY</t>
        </is>
      </c>
      <c r="CH136" t="inlineStr">
        <is>
          <t>LBY</t>
        </is>
      </c>
      <c r="CI136" t="inlineStr">
        <is>
          <t>LBY</t>
        </is>
      </c>
      <c r="CJ136" t="inlineStr">
        <is>
          <t>LBY</t>
        </is>
      </c>
      <c r="CK136" t="inlineStr">
        <is>
          <t>LBY</t>
        </is>
      </c>
      <c r="CL136" t="inlineStr">
        <is>
          <t>LBY</t>
        </is>
      </c>
      <c r="CM136" t="inlineStr">
        <is>
          <t>LBY</t>
        </is>
      </c>
      <c r="CN136" t="inlineStr">
        <is>
          <t>LBY</t>
        </is>
      </c>
      <c r="CO136" t="inlineStr">
        <is>
          <t>LBY</t>
        </is>
      </c>
      <c r="CP136" t="inlineStr">
        <is>
          <t>LBY</t>
        </is>
      </c>
      <c r="CQ136" t="inlineStr">
        <is>
          <t>LBY</t>
        </is>
      </c>
      <c r="CR136" t="inlineStr">
        <is>
          <t>LBY</t>
        </is>
      </c>
      <c r="CS136" t="inlineStr">
        <is>
          <t>LBY</t>
        </is>
      </c>
      <c r="CT136" t="inlineStr">
        <is>
          <t>LBY</t>
        </is>
      </c>
      <c r="CU136" t="inlineStr">
        <is>
          <t>LBY</t>
        </is>
      </c>
      <c r="CV136" t="inlineStr">
        <is>
          <t>LBY</t>
        </is>
      </c>
      <c r="CW136" t="inlineStr">
        <is>
          <t>LBY</t>
        </is>
      </c>
      <c r="CX136" t="inlineStr">
        <is>
          <t>LBY</t>
        </is>
      </c>
      <c r="CY136" t="inlineStr">
        <is>
          <t>LBY</t>
        </is>
      </c>
      <c r="CZ136" t="inlineStr">
        <is>
          <t>LBY</t>
        </is>
      </c>
      <c r="DA136" t="inlineStr">
        <is>
          <t>LBY</t>
        </is>
      </c>
      <c r="DB136" t="inlineStr">
        <is>
          <t>LBY</t>
        </is>
      </c>
      <c r="DC136" t="inlineStr">
        <is>
          <t>LBY</t>
        </is>
      </c>
      <c r="DD136" t="inlineStr">
        <is>
          <t>LBY</t>
        </is>
      </c>
      <c r="DE136" t="inlineStr">
        <is>
          <t>LBY</t>
        </is>
      </c>
      <c r="DF136" t="inlineStr">
        <is>
          <t>LBY</t>
        </is>
      </c>
      <c r="DG136" t="inlineStr">
        <is>
          <t>LBY</t>
        </is>
      </c>
      <c r="DH136" t="inlineStr">
        <is>
          <t>EGY</t>
        </is>
      </c>
      <c r="DI136" t="inlineStr">
        <is>
          <t>EGY</t>
        </is>
      </c>
      <c r="DJ136" t="inlineStr">
        <is>
          <t>EGY</t>
        </is>
      </c>
      <c r="DK136" t="inlineStr">
        <is>
          <t>EGY</t>
        </is>
      </c>
      <c r="DL136" t="inlineStr">
        <is>
          <t>EGY</t>
        </is>
      </c>
      <c r="DM136" t="inlineStr">
        <is>
          <t>EGY</t>
        </is>
      </c>
      <c r="DN136" t="inlineStr">
        <is>
          <t>EGY</t>
        </is>
      </c>
      <c r="DO136" t="inlineStr">
        <is>
          <t>EGY</t>
        </is>
      </c>
      <c r="DP136" t="inlineStr">
        <is>
          <t>EGY</t>
        </is>
      </c>
      <c r="DQ136" t="inlineStr">
        <is>
          <t>EGY</t>
        </is>
      </c>
      <c r="DR136" t="inlineStr">
        <is>
          <t>EGY</t>
        </is>
      </c>
      <c r="DS136" t="inlineStr">
        <is>
          <t>EGY</t>
        </is>
      </c>
      <c r="DT136" t="inlineStr">
        <is>
          <t>EGY</t>
        </is>
      </c>
      <c r="DU136" t="inlineStr">
        <is>
          <t>EGY</t>
        </is>
      </c>
      <c r="DV136" t="inlineStr">
        <is>
          <t>EGY</t>
        </is>
      </c>
      <c r="DW136" t="inlineStr">
        <is>
          <t>EGY</t>
        </is>
      </c>
      <c r="DX136" t="inlineStr">
        <is>
          <t>EGY</t>
        </is>
      </c>
      <c r="EC136" t="inlineStr">
        <is>
          <t>SAU</t>
        </is>
      </c>
      <c r="ED136" t="inlineStr">
        <is>
          <t>SAU</t>
        </is>
      </c>
      <c r="EE136" t="inlineStr">
        <is>
          <t>SAU</t>
        </is>
      </c>
      <c r="EF136" t="inlineStr">
        <is>
          <t>SAU</t>
        </is>
      </c>
      <c r="EG136" t="inlineStr">
        <is>
          <t>SAU</t>
        </is>
      </c>
      <c r="EH136" t="inlineStr">
        <is>
          <t>SAU</t>
        </is>
      </c>
      <c r="EI136" t="inlineStr">
        <is>
          <t>SAU</t>
        </is>
      </c>
      <c r="EJ136" t="inlineStr">
        <is>
          <t>SAU</t>
        </is>
      </c>
      <c r="EK136" t="inlineStr">
        <is>
          <t>SAU</t>
        </is>
      </c>
      <c r="EL136" t="inlineStr">
        <is>
          <t>SAU</t>
        </is>
      </c>
      <c r="EM136" t="inlineStr">
        <is>
          <t>SAU</t>
        </is>
      </c>
      <c r="EN136" t="inlineStr">
        <is>
          <t>SAU</t>
        </is>
      </c>
      <c r="EO136" t="inlineStr">
        <is>
          <t>SAU</t>
        </is>
      </c>
      <c r="EP136" t="inlineStr">
        <is>
          <t>SAU</t>
        </is>
      </c>
      <c r="EQ136" t="inlineStr">
        <is>
          <t>SAU</t>
        </is>
      </c>
      <c r="ER136" t="inlineStr">
        <is>
          <t>SAU</t>
        </is>
      </c>
      <c r="ES136" t="inlineStr">
        <is>
          <t>SAU</t>
        </is>
      </c>
      <c r="ET136" t="inlineStr">
        <is>
          <t>SAU</t>
        </is>
      </c>
      <c r="EU136" t="inlineStr">
        <is>
          <t>SAU</t>
        </is>
      </c>
      <c r="EV136" t="inlineStr">
        <is>
          <t>SAU</t>
        </is>
      </c>
      <c r="EW136" t="inlineStr">
        <is>
          <t>SAU</t>
        </is>
      </c>
      <c r="EX136" t="inlineStr">
        <is>
          <t>SAU</t>
        </is>
      </c>
      <c r="EY136" t="inlineStr">
        <is>
          <t>SAU</t>
        </is>
      </c>
      <c r="EZ136" t="inlineStr">
        <is>
          <t>SAU</t>
        </is>
      </c>
      <c r="FA136" t="inlineStr">
        <is>
          <t>SAU</t>
        </is>
      </c>
      <c r="FB136" t="inlineStr">
        <is>
          <t>SAU</t>
        </is>
      </c>
      <c r="FC136" t="inlineStr">
        <is>
          <t>SAU</t>
        </is>
      </c>
      <c r="FD136" t="inlineStr">
        <is>
          <t>SAU</t>
        </is>
      </c>
      <c r="FL136" t="inlineStr">
        <is>
          <t>IRN</t>
        </is>
      </c>
      <c r="FM136" t="inlineStr">
        <is>
          <t>IRN</t>
        </is>
      </c>
      <c r="FN136" t="inlineStr">
        <is>
          <t>IRN</t>
        </is>
      </c>
      <c r="FO136" t="inlineStr">
        <is>
          <t>IRN</t>
        </is>
      </c>
      <c r="FP136" t="inlineStr">
        <is>
          <t>IRN</t>
        </is>
      </c>
      <c r="FQ136" t="inlineStr">
        <is>
          <t>IRN</t>
        </is>
      </c>
      <c r="FR136" t="inlineStr">
        <is>
          <t>IRN</t>
        </is>
      </c>
      <c r="FS136" t="inlineStr">
        <is>
          <t>IRN</t>
        </is>
      </c>
      <c r="FT136" t="inlineStr">
        <is>
          <t>IRN</t>
        </is>
      </c>
      <c r="FU136" t="inlineStr">
        <is>
          <t>IRN</t>
        </is>
      </c>
      <c r="FV136" t="inlineStr">
        <is>
          <t>IRN</t>
        </is>
      </c>
      <c r="FW136" t="inlineStr">
        <is>
          <t>IRN</t>
        </is>
      </c>
      <c r="FX136" t="inlineStr">
        <is>
          <t>IRN</t>
        </is>
      </c>
      <c r="FY136" t="inlineStr">
        <is>
          <t>IRN</t>
        </is>
      </c>
      <c r="FZ136" t="inlineStr">
        <is>
          <t>IRN</t>
        </is>
      </c>
      <c r="GA136" t="inlineStr">
        <is>
          <t>IRN</t>
        </is>
      </c>
      <c r="GB136" t="inlineStr">
        <is>
          <t>IRN</t>
        </is>
      </c>
      <c r="GC136" t="inlineStr">
        <is>
          <t>IRN</t>
        </is>
      </c>
      <c r="GD136" t="inlineStr">
        <is>
          <t>IRN</t>
        </is>
      </c>
      <c r="GE136" t="inlineStr">
        <is>
          <t>IRN</t>
        </is>
      </c>
      <c r="GF136" t="inlineStr">
        <is>
          <t>PAK</t>
        </is>
      </c>
      <c r="GG136" t="inlineStr">
        <is>
          <t>PAK</t>
        </is>
      </c>
      <c r="GH136" t="inlineStr">
        <is>
          <t>PAK</t>
        </is>
      </c>
      <c r="GI136" t="inlineStr">
        <is>
          <t>PAK</t>
        </is>
      </c>
      <c r="GJ136" t="inlineStr">
        <is>
          <t>PAK</t>
        </is>
      </c>
      <c r="GK136" t="inlineStr">
        <is>
          <t>PAK</t>
        </is>
      </c>
      <c r="GL136" t="inlineStr">
        <is>
          <t>PAK</t>
        </is>
      </c>
      <c r="GM136" t="inlineStr">
        <is>
          <t>PAK</t>
        </is>
      </c>
      <c r="GN136" t="inlineStr">
        <is>
          <t>PAK</t>
        </is>
      </c>
      <c r="GO136" t="inlineStr">
        <is>
          <t>PAK</t>
        </is>
      </c>
      <c r="GP136" t="inlineStr">
        <is>
          <t>PAK</t>
        </is>
      </c>
      <c r="GQ136" t="inlineStr">
        <is>
          <t>PAK</t>
        </is>
      </c>
      <c r="GR136" t="inlineStr">
        <is>
          <t>PAK</t>
        </is>
      </c>
      <c r="GS136" t="inlineStr">
        <is>
          <t>PAK</t>
        </is>
      </c>
      <c r="GT136" t="inlineStr">
        <is>
          <t>IND</t>
        </is>
      </c>
      <c r="GU136" t="inlineStr">
        <is>
          <t>IND</t>
        </is>
      </c>
      <c r="GV136" t="inlineStr">
        <is>
          <t>IND</t>
        </is>
      </c>
      <c r="GW136" t="inlineStr">
        <is>
          <t>IND</t>
        </is>
      </c>
      <c r="GX136" t="inlineStr">
        <is>
          <t>IND</t>
        </is>
      </c>
      <c r="GY136" t="inlineStr">
        <is>
          <t>IND</t>
        </is>
      </c>
      <c r="GZ136" t="inlineStr">
        <is>
          <t>IND</t>
        </is>
      </c>
      <c r="HA136" t="inlineStr">
        <is>
          <t>IND</t>
        </is>
      </c>
      <c r="HB136" t="inlineStr">
        <is>
          <t>IND</t>
        </is>
      </c>
      <c r="HC136" t="inlineStr">
        <is>
          <t>IND</t>
        </is>
      </c>
      <c r="HD136" t="inlineStr">
        <is>
          <t>IND</t>
        </is>
      </c>
      <c r="HE136" t="inlineStr">
        <is>
          <t>IND</t>
        </is>
      </c>
      <c r="HF136" t="inlineStr">
        <is>
          <t>IND</t>
        </is>
      </c>
      <c r="HG136" t="inlineStr">
        <is>
          <t>IND</t>
        </is>
      </c>
      <c r="HH136" t="inlineStr">
        <is>
          <t>IND</t>
        </is>
      </c>
      <c r="HI136" t="inlineStr">
        <is>
          <t>IND</t>
        </is>
      </c>
      <c r="HJ136" t="inlineStr">
        <is>
          <t>IND</t>
        </is>
      </c>
      <c r="HK136" t="inlineStr">
        <is>
          <t>IND</t>
        </is>
      </c>
      <c r="HL136" t="inlineStr">
        <is>
          <t>IND</t>
        </is>
      </c>
      <c r="HM136" t="inlineStr">
        <is>
          <t>IND</t>
        </is>
      </c>
      <c r="HN136" t="inlineStr">
        <is>
          <t>IND</t>
        </is>
      </c>
      <c r="HO136" t="inlineStr">
        <is>
          <t>IND</t>
        </is>
      </c>
      <c r="HP136" t="inlineStr">
        <is>
          <t>IND</t>
        </is>
      </c>
      <c r="HQ136" t="inlineStr">
        <is>
          <t>IND</t>
        </is>
      </c>
      <c r="HR136" t="inlineStr">
        <is>
          <t>IND</t>
        </is>
      </c>
      <c r="HS136" t="inlineStr">
        <is>
          <t>IND</t>
        </is>
      </c>
      <c r="HT136" t="inlineStr">
        <is>
          <t>IND</t>
        </is>
      </c>
      <c r="HU136" t="inlineStr">
        <is>
          <t>IND</t>
        </is>
      </c>
      <c r="HV136" t="inlineStr">
        <is>
          <t>IND</t>
        </is>
      </c>
      <c r="HW136" t="inlineStr">
        <is>
          <t>NPL</t>
        </is>
      </c>
      <c r="HX136" t="inlineStr">
        <is>
          <t>NPL</t>
        </is>
      </c>
      <c r="HY136" t="inlineStr">
        <is>
          <t>NPL</t>
        </is>
      </c>
      <c r="HZ136" t="inlineStr">
        <is>
          <t>NPL</t>
        </is>
      </c>
      <c r="IA136" t="inlineStr">
        <is>
          <t>NPL</t>
        </is>
      </c>
      <c r="IB136" t="inlineStr">
        <is>
          <t>NPL</t>
        </is>
      </c>
      <c r="IC136" t="inlineStr">
        <is>
          <t>NPL</t>
        </is>
      </c>
      <c r="ID136" t="inlineStr">
        <is>
          <t>IND</t>
        </is>
      </c>
      <c r="IE136" t="inlineStr">
        <is>
          <t>IND</t>
        </is>
      </c>
      <c r="IF136" t="inlineStr">
        <is>
          <t>BTN</t>
        </is>
      </c>
      <c r="IG136" t="inlineStr">
        <is>
          <t>BTN</t>
        </is>
      </c>
      <c r="IH136" t="inlineStr">
        <is>
          <t>BTN</t>
        </is>
      </c>
      <c r="II136" t="inlineStr">
        <is>
          <t>BTN</t>
        </is>
      </c>
      <c r="IJ136" t="inlineStr">
        <is>
          <t>BTN</t>
        </is>
      </c>
      <c r="IK136" t="inlineStr">
        <is>
          <t>BTN</t>
        </is>
      </c>
      <c r="IL136" t="inlineStr">
        <is>
          <t>IND</t>
        </is>
      </c>
      <c r="IM136" t="inlineStr">
        <is>
          <t>IND</t>
        </is>
      </c>
      <c r="IN136" t="inlineStr">
        <is>
          <t>IND</t>
        </is>
      </c>
      <c r="IO136" t="inlineStr">
        <is>
          <t>IND</t>
        </is>
      </c>
      <c r="IP136" t="inlineStr">
        <is>
          <t>IND</t>
        </is>
      </c>
      <c r="IQ136" t="inlineStr">
        <is>
          <t>IND</t>
        </is>
      </c>
      <c r="IR136" t="inlineStr">
        <is>
          <t>IND</t>
        </is>
      </c>
      <c r="IS136" t="inlineStr">
        <is>
          <t>IND</t>
        </is>
      </c>
      <c r="IT136" t="inlineStr">
        <is>
          <t>IND</t>
        </is>
      </c>
      <c r="IU136" t="inlineStr">
        <is>
          <t>IND</t>
        </is>
      </c>
      <c r="IV136" t="inlineStr">
        <is>
          <t>MMR</t>
        </is>
      </c>
      <c r="IW136" t="inlineStr">
        <is>
          <t>MMR</t>
        </is>
      </c>
      <c r="IX136" t="inlineStr">
        <is>
          <t>MMR</t>
        </is>
      </c>
      <c r="IY136" t="inlineStr">
        <is>
          <t>CHN</t>
        </is>
      </c>
      <c r="IZ136" t="inlineStr">
        <is>
          <t>CHN</t>
        </is>
      </c>
      <c r="JA136" t="inlineStr">
        <is>
          <t>CHN</t>
        </is>
      </c>
      <c r="JB136" t="inlineStr">
        <is>
          <t>CHN</t>
        </is>
      </c>
      <c r="JC136" t="inlineStr">
        <is>
          <t>CHN</t>
        </is>
      </c>
      <c r="JD136" t="inlineStr">
        <is>
          <t>CHN</t>
        </is>
      </c>
      <c r="JE136" t="inlineStr">
        <is>
          <t>CHN</t>
        </is>
      </c>
      <c r="JF136" t="inlineStr">
        <is>
          <t>CHN</t>
        </is>
      </c>
      <c r="JG136" t="inlineStr">
        <is>
          <t>CHN</t>
        </is>
      </c>
      <c r="JH136" t="inlineStr">
        <is>
          <t>CHN</t>
        </is>
      </c>
      <c r="JI136" t="inlineStr">
        <is>
          <t>CHN</t>
        </is>
      </c>
      <c r="JJ136" t="inlineStr">
        <is>
          <t>CHN</t>
        </is>
      </c>
      <c r="JK136" t="inlineStr">
        <is>
          <t>CHN</t>
        </is>
      </c>
      <c r="JL136" t="inlineStr">
        <is>
          <t>CHN</t>
        </is>
      </c>
      <c r="JM136" t="inlineStr">
        <is>
          <t>CHN</t>
        </is>
      </c>
      <c r="JN136" t="inlineStr">
        <is>
          <t>CHN</t>
        </is>
      </c>
      <c r="JO136" t="inlineStr">
        <is>
          <t>CHN</t>
        </is>
      </c>
      <c r="JP136" t="inlineStr">
        <is>
          <t>CHN</t>
        </is>
      </c>
      <c r="JQ136" t="inlineStr">
        <is>
          <t>CHN</t>
        </is>
      </c>
      <c r="JR136" t="inlineStr">
        <is>
          <t>CHN</t>
        </is>
      </c>
      <c r="JS136" t="inlineStr">
        <is>
          <t>CHN</t>
        </is>
      </c>
      <c r="JT136" t="inlineStr">
        <is>
          <t>CHN</t>
        </is>
      </c>
      <c r="JU136" t="inlineStr">
        <is>
          <t>CHN</t>
        </is>
      </c>
    </row>
    <row r="137">
      <c r="AJ137" t="inlineStr">
        <is>
          <t>MAR</t>
        </is>
      </c>
      <c r="AK137" t="inlineStr">
        <is>
          <t>MAR</t>
        </is>
      </c>
      <c r="AL137" t="inlineStr">
        <is>
          <t>MAR</t>
        </is>
      </c>
      <c r="AM137" t="inlineStr">
        <is>
          <t>MAR</t>
        </is>
      </c>
      <c r="AN137" t="inlineStr">
        <is>
          <t>MAR</t>
        </is>
      </c>
      <c r="AO137" t="inlineStr">
        <is>
          <t>MAR</t>
        </is>
      </c>
      <c r="AP137" t="inlineStr">
        <is>
          <t>MAR</t>
        </is>
      </c>
      <c r="AQ137" t="inlineStr">
        <is>
          <t>MAR</t>
        </is>
      </c>
      <c r="AR137" t="inlineStr">
        <is>
          <t>MAR</t>
        </is>
      </c>
      <c r="AS137" t="inlineStr">
        <is>
          <t>DZA</t>
        </is>
      </c>
      <c r="AT137" t="inlineStr">
        <is>
          <t>DZA</t>
        </is>
      </c>
      <c r="AU137" t="inlineStr">
        <is>
          <t>DZA</t>
        </is>
      </c>
      <c r="AV137" t="inlineStr">
        <is>
          <t>DZA</t>
        </is>
      </c>
      <c r="AW137" t="inlineStr">
        <is>
          <t>DZA</t>
        </is>
      </c>
      <c r="AX137" t="inlineStr">
        <is>
          <t>DZA</t>
        </is>
      </c>
      <c r="AY137" t="inlineStr">
        <is>
          <t>DZA</t>
        </is>
      </c>
      <c r="AZ137" t="inlineStr">
        <is>
          <t>DZA</t>
        </is>
      </c>
      <c r="BA137" t="inlineStr">
        <is>
          <t>DZA</t>
        </is>
      </c>
      <c r="BB137" t="inlineStr">
        <is>
          <t>DZA</t>
        </is>
      </c>
      <c r="BC137" t="inlineStr">
        <is>
          <t>DZA</t>
        </is>
      </c>
      <c r="BD137" t="inlineStr">
        <is>
          <t>DZA</t>
        </is>
      </c>
      <c r="BE137" t="inlineStr">
        <is>
          <t>DZA</t>
        </is>
      </c>
      <c r="BF137" t="inlineStr">
        <is>
          <t>DZA</t>
        </is>
      </c>
      <c r="BG137" t="inlineStr">
        <is>
          <t>DZA</t>
        </is>
      </c>
      <c r="BH137" t="inlineStr">
        <is>
          <t>DZA</t>
        </is>
      </c>
      <c r="BI137" t="inlineStr">
        <is>
          <t>DZA</t>
        </is>
      </c>
      <c r="BJ137" t="inlineStr">
        <is>
          <t>DZA</t>
        </is>
      </c>
      <c r="BK137" t="inlineStr">
        <is>
          <t>DZA</t>
        </is>
      </c>
      <c r="BL137" t="inlineStr">
        <is>
          <t>DZA</t>
        </is>
      </c>
      <c r="BM137" t="inlineStr">
        <is>
          <t>DZA</t>
        </is>
      </c>
      <c r="BN137" t="inlineStr">
        <is>
          <t>DZA</t>
        </is>
      </c>
      <c r="BO137" t="inlineStr">
        <is>
          <t>DZA</t>
        </is>
      </c>
      <c r="BP137" t="inlineStr">
        <is>
          <t>DZA</t>
        </is>
      </c>
      <c r="BQ137" t="inlineStr">
        <is>
          <t>DZA</t>
        </is>
      </c>
      <c r="BR137" t="inlineStr">
        <is>
          <t>DZA</t>
        </is>
      </c>
      <c r="BS137" t="inlineStr">
        <is>
          <t>DZA</t>
        </is>
      </c>
      <c r="BT137" t="inlineStr">
        <is>
          <t>DZA</t>
        </is>
      </c>
      <c r="BU137" t="inlineStr">
        <is>
          <t>DZA</t>
        </is>
      </c>
      <c r="BV137" t="inlineStr">
        <is>
          <t>DZA</t>
        </is>
      </c>
      <c r="BW137" t="inlineStr">
        <is>
          <t>DZA</t>
        </is>
      </c>
      <c r="BX137" t="inlineStr">
        <is>
          <t>DZA</t>
        </is>
      </c>
      <c r="BY137" t="inlineStr">
        <is>
          <t>DZA</t>
        </is>
      </c>
      <c r="BZ137" t="inlineStr">
        <is>
          <t>DZA</t>
        </is>
      </c>
      <c r="CA137" t="inlineStr">
        <is>
          <t>DZA</t>
        </is>
      </c>
      <c r="CB137" t="inlineStr">
        <is>
          <t>DZA</t>
        </is>
      </c>
      <c r="CC137" t="inlineStr">
        <is>
          <t>LBY</t>
        </is>
      </c>
      <c r="CD137" t="inlineStr">
        <is>
          <t>LBY</t>
        </is>
      </c>
      <c r="CE137" t="inlineStr">
        <is>
          <t>LBY</t>
        </is>
      </c>
      <c r="CF137" t="inlineStr">
        <is>
          <t>LBY</t>
        </is>
      </c>
      <c r="CG137" t="inlineStr">
        <is>
          <t>LBY</t>
        </is>
      </c>
      <c r="CH137" t="inlineStr">
        <is>
          <t>LBY</t>
        </is>
      </c>
      <c r="CI137" t="inlineStr">
        <is>
          <t>LBY</t>
        </is>
      </c>
      <c r="CJ137" t="inlineStr">
        <is>
          <t>LBY</t>
        </is>
      </c>
      <c r="CK137" t="inlineStr">
        <is>
          <t>LBY</t>
        </is>
      </c>
      <c r="CL137" t="inlineStr">
        <is>
          <t>LBY</t>
        </is>
      </c>
      <c r="CM137" t="inlineStr">
        <is>
          <t>LBY</t>
        </is>
      </c>
      <c r="CN137" t="inlineStr">
        <is>
          <t>LBY</t>
        </is>
      </c>
      <c r="CO137" t="inlineStr">
        <is>
          <t>LBY</t>
        </is>
      </c>
      <c r="CP137" t="inlineStr">
        <is>
          <t>LBY</t>
        </is>
      </c>
      <c r="CQ137" t="inlineStr">
        <is>
          <t>LBY</t>
        </is>
      </c>
      <c r="CR137" t="inlineStr">
        <is>
          <t>LBY</t>
        </is>
      </c>
      <c r="CS137" t="inlineStr">
        <is>
          <t>LBY</t>
        </is>
      </c>
      <c r="CT137" t="inlineStr">
        <is>
          <t>LBY</t>
        </is>
      </c>
      <c r="CU137" t="inlineStr">
        <is>
          <t>LBY</t>
        </is>
      </c>
      <c r="CV137" t="inlineStr">
        <is>
          <t>LBY</t>
        </is>
      </c>
      <c r="CW137" t="inlineStr">
        <is>
          <t>LBY</t>
        </is>
      </c>
      <c r="CX137" t="inlineStr">
        <is>
          <t>LBY</t>
        </is>
      </c>
      <c r="CY137" t="inlineStr">
        <is>
          <t>LBY</t>
        </is>
      </c>
      <c r="CZ137" t="inlineStr">
        <is>
          <t>LBY</t>
        </is>
      </c>
      <c r="DA137" t="inlineStr">
        <is>
          <t>LBY</t>
        </is>
      </c>
      <c r="DB137" t="inlineStr">
        <is>
          <t>LBY</t>
        </is>
      </c>
      <c r="DC137" t="inlineStr">
        <is>
          <t>LBY</t>
        </is>
      </c>
      <c r="DD137" t="inlineStr">
        <is>
          <t>LBY</t>
        </is>
      </c>
      <c r="DE137" t="inlineStr">
        <is>
          <t>LBY</t>
        </is>
      </c>
      <c r="DF137" t="inlineStr">
        <is>
          <t>LBY</t>
        </is>
      </c>
      <c r="DG137" t="inlineStr">
        <is>
          <t>LBY</t>
        </is>
      </c>
      <c r="DH137" t="inlineStr">
        <is>
          <t>EGY</t>
        </is>
      </c>
      <c r="DI137" t="inlineStr">
        <is>
          <t>EGY</t>
        </is>
      </c>
      <c r="DJ137" t="inlineStr">
        <is>
          <t>EGY</t>
        </is>
      </c>
      <c r="DK137" t="inlineStr">
        <is>
          <t>EGY</t>
        </is>
      </c>
      <c r="DL137" t="inlineStr">
        <is>
          <t>EGY</t>
        </is>
      </c>
      <c r="DM137" t="inlineStr">
        <is>
          <t>EGY</t>
        </is>
      </c>
      <c r="DN137" t="inlineStr">
        <is>
          <t>EGY</t>
        </is>
      </c>
      <c r="DO137" t="inlineStr">
        <is>
          <t>EGY</t>
        </is>
      </c>
      <c r="DP137" t="inlineStr">
        <is>
          <t>EGY</t>
        </is>
      </c>
      <c r="DQ137" t="inlineStr">
        <is>
          <t>EGY</t>
        </is>
      </c>
      <c r="DR137" t="inlineStr">
        <is>
          <t>EGY</t>
        </is>
      </c>
      <c r="DS137" t="inlineStr">
        <is>
          <t>EGY</t>
        </is>
      </c>
      <c r="DT137" t="inlineStr">
        <is>
          <t>EGY</t>
        </is>
      </c>
      <c r="DU137" t="inlineStr">
        <is>
          <t>EGY</t>
        </is>
      </c>
      <c r="DV137" t="inlineStr">
        <is>
          <t>EGY</t>
        </is>
      </c>
      <c r="DW137" t="inlineStr">
        <is>
          <t>EGY</t>
        </is>
      </c>
      <c r="DX137" t="inlineStr">
        <is>
          <t>EGY</t>
        </is>
      </c>
      <c r="EC137" t="inlineStr">
        <is>
          <t>SAU</t>
        </is>
      </c>
      <c r="ED137" t="inlineStr">
        <is>
          <t>SAU</t>
        </is>
      </c>
      <c r="EE137" t="inlineStr">
        <is>
          <t>SAU</t>
        </is>
      </c>
      <c r="EF137" t="inlineStr">
        <is>
          <t>SAU</t>
        </is>
      </c>
      <c r="EG137" t="inlineStr">
        <is>
          <t>SAU</t>
        </is>
      </c>
      <c r="EH137" t="inlineStr">
        <is>
          <t>SAU</t>
        </is>
      </c>
      <c r="EI137" t="inlineStr">
        <is>
          <t>SAU</t>
        </is>
      </c>
      <c r="EJ137" t="inlineStr">
        <is>
          <t>SAU</t>
        </is>
      </c>
      <c r="EK137" t="inlineStr">
        <is>
          <t>SAU</t>
        </is>
      </c>
      <c r="EL137" t="inlineStr">
        <is>
          <t>SAU</t>
        </is>
      </c>
      <c r="EM137" t="inlineStr">
        <is>
          <t>SAU</t>
        </is>
      </c>
      <c r="EN137" t="inlineStr">
        <is>
          <t>SAU</t>
        </is>
      </c>
      <c r="EO137" t="inlineStr">
        <is>
          <t>SAU</t>
        </is>
      </c>
      <c r="EP137" t="inlineStr">
        <is>
          <t>SAU</t>
        </is>
      </c>
      <c r="EQ137" t="inlineStr">
        <is>
          <t>SAU</t>
        </is>
      </c>
      <c r="ER137" t="inlineStr">
        <is>
          <t>SAU</t>
        </is>
      </c>
      <c r="ES137" t="inlineStr">
        <is>
          <t>SAU</t>
        </is>
      </c>
      <c r="ET137" t="inlineStr">
        <is>
          <t>SAU</t>
        </is>
      </c>
      <c r="EU137" t="inlineStr">
        <is>
          <t>SAU</t>
        </is>
      </c>
      <c r="EV137" t="inlineStr">
        <is>
          <t>SAU</t>
        </is>
      </c>
      <c r="EW137" t="inlineStr">
        <is>
          <t>SAU</t>
        </is>
      </c>
      <c r="EX137" t="inlineStr">
        <is>
          <t>SAU</t>
        </is>
      </c>
      <c r="EY137" t="inlineStr">
        <is>
          <t>SAU</t>
        </is>
      </c>
      <c r="EZ137" t="inlineStr">
        <is>
          <t>SAU</t>
        </is>
      </c>
      <c r="FA137" t="inlineStr">
        <is>
          <t>SAU</t>
        </is>
      </c>
      <c r="FB137" t="inlineStr">
        <is>
          <t>SAU</t>
        </is>
      </c>
      <c r="FC137" t="inlineStr">
        <is>
          <t>SAU</t>
        </is>
      </c>
      <c r="FJ137" t="inlineStr">
        <is>
          <t>IRN</t>
        </is>
      </c>
      <c r="FK137" t="inlineStr">
        <is>
          <t>IRN</t>
        </is>
      </c>
      <c r="FL137" t="inlineStr">
        <is>
          <t>IRN</t>
        </is>
      </c>
      <c r="FM137" t="inlineStr">
        <is>
          <t>IRN</t>
        </is>
      </c>
      <c r="FN137" t="inlineStr">
        <is>
          <t>IRN</t>
        </is>
      </c>
      <c r="FO137" t="inlineStr">
        <is>
          <t>IRN</t>
        </is>
      </c>
      <c r="FP137" t="inlineStr">
        <is>
          <t>IRN</t>
        </is>
      </c>
      <c r="FQ137" t="inlineStr">
        <is>
          <t>IRN</t>
        </is>
      </c>
      <c r="FR137" t="inlineStr">
        <is>
          <t>IRN</t>
        </is>
      </c>
      <c r="FS137" t="inlineStr">
        <is>
          <t>IRN</t>
        </is>
      </c>
      <c r="FT137" t="inlineStr">
        <is>
          <t>IRN</t>
        </is>
      </c>
      <c r="FU137" t="inlineStr">
        <is>
          <t>IRN</t>
        </is>
      </c>
      <c r="FV137" t="inlineStr">
        <is>
          <t>IRN</t>
        </is>
      </c>
      <c r="FW137" t="inlineStr">
        <is>
          <t>IRN</t>
        </is>
      </c>
      <c r="FX137" t="inlineStr">
        <is>
          <t>IRN</t>
        </is>
      </c>
      <c r="FY137" t="inlineStr">
        <is>
          <t>IRN</t>
        </is>
      </c>
      <c r="FZ137" t="inlineStr">
        <is>
          <t>IRN</t>
        </is>
      </c>
      <c r="GA137" t="inlineStr">
        <is>
          <t>IRN</t>
        </is>
      </c>
      <c r="GB137" t="inlineStr">
        <is>
          <t>IRN</t>
        </is>
      </c>
      <c r="GC137" t="inlineStr">
        <is>
          <t>IRN</t>
        </is>
      </c>
      <c r="GD137" t="inlineStr">
        <is>
          <t>IRN</t>
        </is>
      </c>
      <c r="GE137" t="inlineStr">
        <is>
          <t>PAK</t>
        </is>
      </c>
      <c r="GF137" t="inlineStr">
        <is>
          <t>PAK</t>
        </is>
      </c>
      <c r="GG137" t="inlineStr">
        <is>
          <t>PAK</t>
        </is>
      </c>
      <c r="GH137" t="inlineStr">
        <is>
          <t>PAK</t>
        </is>
      </c>
      <c r="GI137" t="inlineStr">
        <is>
          <t>PAK</t>
        </is>
      </c>
      <c r="GJ137" t="inlineStr">
        <is>
          <t>PAK</t>
        </is>
      </c>
      <c r="GK137" t="inlineStr">
        <is>
          <t>PAK</t>
        </is>
      </c>
      <c r="GL137" t="inlineStr">
        <is>
          <t>PAK</t>
        </is>
      </c>
      <c r="GM137" t="inlineStr">
        <is>
          <t>PAK</t>
        </is>
      </c>
      <c r="GN137" t="inlineStr">
        <is>
          <t>PAK</t>
        </is>
      </c>
      <c r="GO137" t="inlineStr">
        <is>
          <t>PAK</t>
        </is>
      </c>
      <c r="GP137" t="inlineStr">
        <is>
          <t>PAK</t>
        </is>
      </c>
      <c r="GQ137" t="inlineStr">
        <is>
          <t>PAK</t>
        </is>
      </c>
      <c r="GR137" t="inlineStr">
        <is>
          <t>PAK</t>
        </is>
      </c>
      <c r="GS137" t="inlineStr">
        <is>
          <t>PAK</t>
        </is>
      </c>
      <c r="GT137" t="inlineStr">
        <is>
          <t>PAK</t>
        </is>
      </c>
      <c r="GU137" t="inlineStr">
        <is>
          <t>IND</t>
        </is>
      </c>
      <c r="GV137" t="inlineStr">
        <is>
          <t>IND</t>
        </is>
      </c>
      <c r="GW137" t="inlineStr">
        <is>
          <t>IND</t>
        </is>
      </c>
      <c r="GX137" t="inlineStr">
        <is>
          <t>IND</t>
        </is>
      </c>
      <c r="GY137" t="inlineStr">
        <is>
          <t>IND</t>
        </is>
      </c>
      <c r="GZ137" t="inlineStr">
        <is>
          <t>IND</t>
        </is>
      </c>
      <c r="HA137" t="inlineStr">
        <is>
          <t>IND</t>
        </is>
      </c>
      <c r="HB137" t="inlineStr">
        <is>
          <t>IND</t>
        </is>
      </c>
      <c r="HC137" t="inlineStr">
        <is>
          <t>IND</t>
        </is>
      </c>
      <c r="HD137" t="inlineStr">
        <is>
          <t>IND</t>
        </is>
      </c>
      <c r="HE137" t="inlineStr">
        <is>
          <t>IND</t>
        </is>
      </c>
      <c r="HF137" t="inlineStr">
        <is>
          <t>IND</t>
        </is>
      </c>
      <c r="HG137" t="inlineStr">
        <is>
          <t>IND</t>
        </is>
      </c>
      <c r="HH137" t="inlineStr">
        <is>
          <t>IND</t>
        </is>
      </c>
      <c r="HI137" t="inlineStr">
        <is>
          <t>IND</t>
        </is>
      </c>
      <c r="HJ137" t="inlineStr">
        <is>
          <t>IND</t>
        </is>
      </c>
      <c r="HK137" t="inlineStr">
        <is>
          <t>IND</t>
        </is>
      </c>
      <c r="HL137" t="inlineStr">
        <is>
          <t>IND</t>
        </is>
      </c>
      <c r="HM137" t="inlineStr">
        <is>
          <t>IND</t>
        </is>
      </c>
      <c r="HN137" t="inlineStr">
        <is>
          <t>IND</t>
        </is>
      </c>
      <c r="HO137" t="inlineStr">
        <is>
          <t>IND</t>
        </is>
      </c>
      <c r="HP137" t="inlineStr">
        <is>
          <t>IND</t>
        </is>
      </c>
      <c r="HQ137" t="inlineStr">
        <is>
          <t>IND</t>
        </is>
      </c>
      <c r="HR137" t="inlineStr">
        <is>
          <t>IND</t>
        </is>
      </c>
      <c r="HS137" t="inlineStr">
        <is>
          <t>NPL</t>
        </is>
      </c>
      <c r="HT137" t="inlineStr">
        <is>
          <t>NPL</t>
        </is>
      </c>
      <c r="HU137" t="inlineStr">
        <is>
          <t>NPL</t>
        </is>
      </c>
      <c r="HV137" t="inlineStr">
        <is>
          <t>NPL</t>
        </is>
      </c>
      <c r="HW137" t="inlineStr">
        <is>
          <t>NPL</t>
        </is>
      </c>
      <c r="HX137" t="inlineStr">
        <is>
          <t>NPL</t>
        </is>
      </c>
      <c r="HY137" t="inlineStr">
        <is>
          <t>NPL</t>
        </is>
      </c>
      <c r="HZ137" t="inlineStr">
        <is>
          <t>NPL</t>
        </is>
      </c>
      <c r="IA137" t="inlineStr">
        <is>
          <t>NPL</t>
        </is>
      </c>
      <c r="IB137" t="inlineStr">
        <is>
          <t>NPL</t>
        </is>
      </c>
      <c r="IC137" t="inlineStr">
        <is>
          <t>NPL</t>
        </is>
      </c>
      <c r="ID137" t="inlineStr">
        <is>
          <t>IND</t>
        </is>
      </c>
      <c r="IE137" t="inlineStr">
        <is>
          <t>IND</t>
        </is>
      </c>
      <c r="IF137" t="inlineStr">
        <is>
          <t>BTN</t>
        </is>
      </c>
      <c r="IG137" t="inlineStr">
        <is>
          <t>BTN</t>
        </is>
      </c>
      <c r="IH137" t="inlineStr">
        <is>
          <t>BTN</t>
        </is>
      </c>
      <c r="II137" t="inlineStr">
        <is>
          <t>BTN</t>
        </is>
      </c>
      <c r="IJ137" t="inlineStr">
        <is>
          <t>BTN</t>
        </is>
      </c>
      <c r="IK137" t="inlineStr">
        <is>
          <t>IND</t>
        </is>
      </c>
      <c r="IL137" t="inlineStr">
        <is>
          <t>IND</t>
        </is>
      </c>
      <c r="IM137" t="inlineStr">
        <is>
          <t>IND</t>
        </is>
      </c>
      <c r="IN137" t="inlineStr">
        <is>
          <t>IND</t>
        </is>
      </c>
      <c r="IO137" t="inlineStr">
        <is>
          <t>IND</t>
        </is>
      </c>
      <c r="IP137" t="inlineStr">
        <is>
          <t>IND</t>
        </is>
      </c>
      <c r="IQ137" t="inlineStr">
        <is>
          <t>IND</t>
        </is>
      </c>
      <c r="IR137" t="inlineStr">
        <is>
          <t>IND</t>
        </is>
      </c>
      <c r="IS137" t="inlineStr">
        <is>
          <t>IND</t>
        </is>
      </c>
      <c r="IT137" t="inlineStr">
        <is>
          <t>IND</t>
        </is>
      </c>
      <c r="IU137" t="inlineStr">
        <is>
          <t>IND</t>
        </is>
      </c>
      <c r="IV137" t="inlineStr">
        <is>
          <t>MMR</t>
        </is>
      </c>
      <c r="IW137" t="inlineStr">
        <is>
          <t>MMR</t>
        </is>
      </c>
      <c r="IX137" t="inlineStr">
        <is>
          <t>CHN</t>
        </is>
      </c>
      <c r="IY137" t="inlineStr">
        <is>
          <t>CHN</t>
        </is>
      </c>
      <c r="IZ137" t="inlineStr">
        <is>
          <t>CHN</t>
        </is>
      </c>
      <c r="JA137" t="inlineStr">
        <is>
          <t>CHN</t>
        </is>
      </c>
      <c r="JB137" t="inlineStr">
        <is>
          <t>CHN</t>
        </is>
      </c>
      <c r="JC137" t="inlineStr">
        <is>
          <t>CHN</t>
        </is>
      </c>
      <c r="JD137" t="inlineStr">
        <is>
          <t>CHN</t>
        </is>
      </c>
      <c r="JE137" t="inlineStr">
        <is>
          <t>CHN</t>
        </is>
      </c>
      <c r="JF137" t="inlineStr">
        <is>
          <t>CHN</t>
        </is>
      </c>
      <c r="JG137" t="inlineStr">
        <is>
          <t>CHN</t>
        </is>
      </c>
      <c r="JH137" t="inlineStr">
        <is>
          <t>CHN</t>
        </is>
      </c>
      <c r="JI137" t="inlineStr">
        <is>
          <t>CHN</t>
        </is>
      </c>
      <c r="JJ137" t="inlineStr">
        <is>
          <t>CHN</t>
        </is>
      </c>
      <c r="JK137" t="inlineStr">
        <is>
          <t>CHN</t>
        </is>
      </c>
      <c r="JL137" t="inlineStr">
        <is>
          <t>CHN</t>
        </is>
      </c>
      <c r="JM137" t="inlineStr">
        <is>
          <t>CHN</t>
        </is>
      </c>
      <c r="JN137" t="inlineStr">
        <is>
          <t>CHN</t>
        </is>
      </c>
      <c r="JO137" t="inlineStr">
        <is>
          <t>CHN</t>
        </is>
      </c>
      <c r="JP137" t="inlineStr">
        <is>
          <t>CHN</t>
        </is>
      </c>
      <c r="JQ137" t="inlineStr">
        <is>
          <t>CHN</t>
        </is>
      </c>
      <c r="JR137" t="inlineStr">
        <is>
          <t>CHN</t>
        </is>
      </c>
      <c r="JS137" t="inlineStr">
        <is>
          <t>CHN</t>
        </is>
      </c>
      <c r="JT137" t="inlineStr">
        <is>
          <t>CHN</t>
        </is>
      </c>
      <c r="JU137" t="inlineStr">
        <is>
          <t>CHN</t>
        </is>
      </c>
    </row>
    <row r="138">
      <c r="AM138" t="inlineStr">
        <is>
          <t>MAR</t>
        </is>
      </c>
      <c r="AN138" t="inlineStr">
        <is>
          <t>MAR</t>
        </is>
      </c>
      <c r="AO138" t="inlineStr">
        <is>
          <t>MAR</t>
        </is>
      </c>
      <c r="AP138" t="inlineStr">
        <is>
          <t>MAR</t>
        </is>
      </c>
      <c r="AQ138" t="inlineStr">
        <is>
          <t>MAR</t>
        </is>
      </c>
      <c r="AR138" t="inlineStr">
        <is>
          <t>MAR</t>
        </is>
      </c>
      <c r="AS138" t="inlineStr">
        <is>
          <t>DZA</t>
        </is>
      </c>
      <c r="AT138" t="inlineStr">
        <is>
          <t>DZA</t>
        </is>
      </c>
      <c r="AU138" t="inlineStr">
        <is>
          <t>DZA</t>
        </is>
      </c>
      <c r="AV138" t="inlineStr">
        <is>
          <t>DZA</t>
        </is>
      </c>
      <c r="AW138" t="inlineStr">
        <is>
          <t>DZA</t>
        </is>
      </c>
      <c r="AX138" t="inlineStr">
        <is>
          <t>DZA</t>
        </is>
      </c>
      <c r="AY138" t="inlineStr">
        <is>
          <t>DZA</t>
        </is>
      </c>
      <c r="AZ138" t="inlineStr">
        <is>
          <t>DZA</t>
        </is>
      </c>
      <c r="BA138" t="inlineStr">
        <is>
          <t>DZA</t>
        </is>
      </c>
      <c r="BB138" t="inlineStr">
        <is>
          <t>DZA</t>
        </is>
      </c>
      <c r="BC138" t="inlineStr">
        <is>
          <t>DZA</t>
        </is>
      </c>
      <c r="BD138" t="inlineStr">
        <is>
          <t>DZA</t>
        </is>
      </c>
      <c r="BE138" t="inlineStr">
        <is>
          <t>DZA</t>
        </is>
      </c>
      <c r="BF138" t="inlineStr">
        <is>
          <t>DZA</t>
        </is>
      </c>
      <c r="BG138" t="inlineStr">
        <is>
          <t>DZA</t>
        </is>
      </c>
      <c r="BH138" t="inlineStr">
        <is>
          <t>DZA</t>
        </is>
      </c>
      <c r="BI138" t="inlineStr">
        <is>
          <t>DZA</t>
        </is>
      </c>
      <c r="BJ138" t="inlineStr">
        <is>
          <t>DZA</t>
        </is>
      </c>
      <c r="BK138" t="inlineStr">
        <is>
          <t>DZA</t>
        </is>
      </c>
      <c r="BL138" t="inlineStr">
        <is>
          <t>DZA</t>
        </is>
      </c>
      <c r="BM138" t="inlineStr">
        <is>
          <t>DZA</t>
        </is>
      </c>
      <c r="BN138" t="inlineStr">
        <is>
          <t>DZA</t>
        </is>
      </c>
      <c r="BO138" t="inlineStr">
        <is>
          <t>DZA</t>
        </is>
      </c>
      <c r="BP138" t="inlineStr">
        <is>
          <t>DZA</t>
        </is>
      </c>
      <c r="BQ138" t="inlineStr">
        <is>
          <t>DZA</t>
        </is>
      </c>
      <c r="BR138" t="inlineStr">
        <is>
          <t>DZA</t>
        </is>
      </c>
      <c r="BS138" t="inlineStr">
        <is>
          <t>DZA</t>
        </is>
      </c>
      <c r="BT138" t="inlineStr">
        <is>
          <t>DZA</t>
        </is>
      </c>
      <c r="BU138" t="inlineStr">
        <is>
          <t>DZA</t>
        </is>
      </c>
      <c r="BV138" t="inlineStr">
        <is>
          <t>DZA</t>
        </is>
      </c>
      <c r="BW138" t="inlineStr">
        <is>
          <t>DZA</t>
        </is>
      </c>
      <c r="BX138" t="inlineStr">
        <is>
          <t>DZA</t>
        </is>
      </c>
      <c r="BY138" t="inlineStr">
        <is>
          <t>DZA</t>
        </is>
      </c>
      <c r="BZ138" t="inlineStr">
        <is>
          <t>DZA</t>
        </is>
      </c>
      <c r="CA138" t="inlineStr">
        <is>
          <t>DZA</t>
        </is>
      </c>
      <c r="CB138" t="inlineStr">
        <is>
          <t>DZA</t>
        </is>
      </c>
      <c r="CC138" t="inlineStr">
        <is>
          <t>LBY</t>
        </is>
      </c>
      <c r="CD138" t="inlineStr">
        <is>
          <t>LBY</t>
        </is>
      </c>
      <c r="CE138" t="inlineStr">
        <is>
          <t>LBY</t>
        </is>
      </c>
      <c r="CF138" t="inlineStr">
        <is>
          <t>LBY</t>
        </is>
      </c>
      <c r="CG138" t="inlineStr">
        <is>
          <t>LBY</t>
        </is>
      </c>
      <c r="CH138" t="inlineStr">
        <is>
          <t>LBY</t>
        </is>
      </c>
      <c r="CI138" t="inlineStr">
        <is>
          <t>LBY</t>
        </is>
      </c>
      <c r="CJ138" t="inlineStr">
        <is>
          <t>LBY</t>
        </is>
      </c>
      <c r="CK138" t="inlineStr">
        <is>
          <t>LBY</t>
        </is>
      </c>
      <c r="CL138" t="inlineStr">
        <is>
          <t>LBY</t>
        </is>
      </c>
      <c r="CM138" t="inlineStr">
        <is>
          <t>LBY</t>
        </is>
      </c>
      <c r="CN138" t="inlineStr">
        <is>
          <t>LBY</t>
        </is>
      </c>
      <c r="CO138" t="inlineStr">
        <is>
          <t>LBY</t>
        </is>
      </c>
      <c r="CP138" t="inlineStr">
        <is>
          <t>LBY</t>
        </is>
      </c>
      <c r="CQ138" t="inlineStr">
        <is>
          <t>LBY</t>
        </is>
      </c>
      <c r="CR138" t="inlineStr">
        <is>
          <t>LBY</t>
        </is>
      </c>
      <c r="CS138" t="inlineStr">
        <is>
          <t>LBY</t>
        </is>
      </c>
      <c r="CT138" t="inlineStr">
        <is>
          <t>LBY</t>
        </is>
      </c>
      <c r="CU138" t="inlineStr">
        <is>
          <t>LBY</t>
        </is>
      </c>
      <c r="CV138" t="inlineStr">
        <is>
          <t>LBY</t>
        </is>
      </c>
      <c r="CW138" t="inlineStr">
        <is>
          <t>LBY</t>
        </is>
      </c>
      <c r="CX138" t="inlineStr">
        <is>
          <t>LBY</t>
        </is>
      </c>
      <c r="CY138" t="inlineStr">
        <is>
          <t>LBY</t>
        </is>
      </c>
      <c r="CZ138" t="inlineStr">
        <is>
          <t>LBY</t>
        </is>
      </c>
      <c r="DA138" t="inlineStr">
        <is>
          <t>LBY</t>
        </is>
      </c>
      <c r="DB138" t="inlineStr">
        <is>
          <t>LBY</t>
        </is>
      </c>
      <c r="DC138" t="inlineStr">
        <is>
          <t>LBY</t>
        </is>
      </c>
      <c r="DD138" t="inlineStr">
        <is>
          <t>LBY</t>
        </is>
      </c>
      <c r="DE138" t="inlineStr">
        <is>
          <t>LBY</t>
        </is>
      </c>
      <c r="DF138" t="inlineStr">
        <is>
          <t>LBY</t>
        </is>
      </c>
      <c r="DG138" t="inlineStr">
        <is>
          <t>LBY</t>
        </is>
      </c>
      <c r="DH138" t="inlineStr">
        <is>
          <t>EGY</t>
        </is>
      </c>
      <c r="DI138" t="inlineStr">
        <is>
          <t>EGY</t>
        </is>
      </c>
      <c r="DJ138" t="inlineStr">
        <is>
          <t>EGY</t>
        </is>
      </c>
      <c r="DK138" t="inlineStr">
        <is>
          <t>EGY</t>
        </is>
      </c>
      <c r="DL138" t="inlineStr">
        <is>
          <t>EGY</t>
        </is>
      </c>
      <c r="DM138" t="inlineStr">
        <is>
          <t>EGY</t>
        </is>
      </c>
      <c r="DN138" t="inlineStr">
        <is>
          <t>EGY</t>
        </is>
      </c>
      <c r="DO138" t="inlineStr">
        <is>
          <t>EGY</t>
        </is>
      </c>
      <c r="DP138" t="inlineStr">
        <is>
          <t>EGY</t>
        </is>
      </c>
      <c r="DQ138" t="inlineStr">
        <is>
          <t>EGY</t>
        </is>
      </c>
      <c r="DR138" t="inlineStr">
        <is>
          <t>EGY</t>
        </is>
      </c>
      <c r="DS138" t="inlineStr">
        <is>
          <t>EGY</t>
        </is>
      </c>
      <c r="DT138" t="inlineStr">
        <is>
          <t>EGY</t>
        </is>
      </c>
      <c r="DU138" t="inlineStr">
        <is>
          <t>EGY</t>
        </is>
      </c>
      <c r="DV138" t="inlineStr">
        <is>
          <t>EGY</t>
        </is>
      </c>
      <c r="DW138" t="inlineStr">
        <is>
          <t>EGY</t>
        </is>
      </c>
      <c r="DY138" t="inlineStr">
        <is>
          <t>EGY</t>
        </is>
      </c>
      <c r="DZ138" t="inlineStr">
        <is>
          <t>EGY</t>
        </is>
      </c>
      <c r="EA138" t="inlineStr">
        <is>
          <t>SAU</t>
        </is>
      </c>
      <c r="EB138" t="inlineStr">
        <is>
          <t>SAU</t>
        </is>
      </c>
      <c r="EC138" t="inlineStr">
        <is>
          <t>SAU</t>
        </is>
      </c>
      <c r="ED138" t="inlineStr">
        <is>
          <t>SAU</t>
        </is>
      </c>
      <c r="EE138" t="inlineStr">
        <is>
          <t>SAU</t>
        </is>
      </c>
      <c r="EF138" t="inlineStr">
        <is>
          <t>SAU</t>
        </is>
      </c>
      <c r="EG138" t="inlineStr">
        <is>
          <t>SAU</t>
        </is>
      </c>
      <c r="EH138" t="inlineStr">
        <is>
          <t>SAU</t>
        </is>
      </c>
      <c r="EI138" t="inlineStr">
        <is>
          <t>SAU</t>
        </is>
      </c>
      <c r="EJ138" t="inlineStr">
        <is>
          <t>SAU</t>
        </is>
      </c>
      <c r="EK138" t="inlineStr">
        <is>
          <t>SAU</t>
        </is>
      </c>
      <c r="EL138" t="inlineStr">
        <is>
          <t>SAU</t>
        </is>
      </c>
      <c r="EM138" t="inlineStr">
        <is>
          <t>SAU</t>
        </is>
      </c>
      <c r="EN138" t="inlineStr">
        <is>
          <t>SAU</t>
        </is>
      </c>
      <c r="EO138" t="inlineStr">
        <is>
          <t>SAU</t>
        </is>
      </c>
      <c r="EP138" t="inlineStr">
        <is>
          <t>SAU</t>
        </is>
      </c>
      <c r="EQ138" t="inlineStr">
        <is>
          <t>SAU</t>
        </is>
      </c>
      <c r="ER138" t="inlineStr">
        <is>
          <t>SAU</t>
        </is>
      </c>
      <c r="ES138" t="inlineStr">
        <is>
          <t>SAU</t>
        </is>
      </c>
      <c r="ET138" t="inlineStr">
        <is>
          <t>SAU</t>
        </is>
      </c>
      <c r="EU138" t="inlineStr">
        <is>
          <t>SAU</t>
        </is>
      </c>
      <c r="EV138" t="inlineStr">
        <is>
          <t>SAU</t>
        </is>
      </c>
      <c r="EW138" t="inlineStr">
        <is>
          <t>SAU</t>
        </is>
      </c>
      <c r="EX138" t="inlineStr">
        <is>
          <t>SAU</t>
        </is>
      </c>
      <c r="EY138" t="inlineStr">
        <is>
          <t>SAU</t>
        </is>
      </c>
      <c r="EZ138" t="inlineStr">
        <is>
          <t>SAU</t>
        </is>
      </c>
      <c r="FA138" t="inlineStr">
        <is>
          <t>SAU</t>
        </is>
      </c>
      <c r="FB138" t="inlineStr">
        <is>
          <t>SAU</t>
        </is>
      </c>
      <c r="FI138" t="inlineStr">
        <is>
          <t>IRN</t>
        </is>
      </c>
      <c r="FJ138" t="inlineStr">
        <is>
          <t>IRN</t>
        </is>
      </c>
      <c r="FK138" t="inlineStr">
        <is>
          <t>IRN</t>
        </is>
      </c>
      <c r="FL138" t="inlineStr">
        <is>
          <t>IRN</t>
        </is>
      </c>
      <c r="FM138" t="inlineStr">
        <is>
          <t>IRN</t>
        </is>
      </c>
      <c r="FN138" t="inlineStr">
        <is>
          <t>IRN</t>
        </is>
      </c>
      <c r="FO138" t="inlineStr">
        <is>
          <t>IRN</t>
        </is>
      </c>
      <c r="FP138" t="inlineStr">
        <is>
          <t>IRN</t>
        </is>
      </c>
      <c r="FQ138" t="inlineStr">
        <is>
          <t>IRN</t>
        </is>
      </c>
      <c r="FR138" t="inlineStr">
        <is>
          <t>IRN</t>
        </is>
      </c>
      <c r="FS138" t="inlineStr">
        <is>
          <t>IRN</t>
        </is>
      </c>
      <c r="FT138" t="inlineStr">
        <is>
          <t>IRN</t>
        </is>
      </c>
      <c r="FU138" t="inlineStr">
        <is>
          <t>IRN</t>
        </is>
      </c>
      <c r="FV138" t="inlineStr">
        <is>
          <t>IRN</t>
        </is>
      </c>
      <c r="FW138" t="inlineStr">
        <is>
          <t>IRN</t>
        </is>
      </c>
      <c r="FX138" t="inlineStr">
        <is>
          <t>IRN</t>
        </is>
      </c>
      <c r="FY138" t="inlineStr">
        <is>
          <t>IRN</t>
        </is>
      </c>
      <c r="FZ138" t="inlineStr">
        <is>
          <t>IRN</t>
        </is>
      </c>
      <c r="GA138" t="inlineStr">
        <is>
          <t>IRN</t>
        </is>
      </c>
      <c r="GB138" t="inlineStr">
        <is>
          <t>IRN</t>
        </is>
      </c>
      <c r="GC138" t="inlineStr">
        <is>
          <t>IRN</t>
        </is>
      </c>
      <c r="GD138" t="inlineStr">
        <is>
          <t>IRN</t>
        </is>
      </c>
      <c r="GE138" t="inlineStr">
        <is>
          <t>PAK</t>
        </is>
      </c>
      <c r="GF138" t="inlineStr">
        <is>
          <t>PAK</t>
        </is>
      </c>
      <c r="GG138" t="inlineStr">
        <is>
          <t>PAK</t>
        </is>
      </c>
      <c r="GH138" t="inlineStr">
        <is>
          <t>PAK</t>
        </is>
      </c>
      <c r="GI138" t="inlineStr">
        <is>
          <t>PAK</t>
        </is>
      </c>
      <c r="GJ138" t="inlineStr">
        <is>
          <t>PAK</t>
        </is>
      </c>
      <c r="GK138" t="inlineStr">
        <is>
          <t>PAK</t>
        </is>
      </c>
      <c r="GL138" t="inlineStr">
        <is>
          <t>PAK</t>
        </is>
      </c>
      <c r="GM138" t="inlineStr">
        <is>
          <t>PAK</t>
        </is>
      </c>
      <c r="GN138" t="inlineStr">
        <is>
          <t>PAK</t>
        </is>
      </c>
      <c r="GO138" t="inlineStr">
        <is>
          <t>PAK</t>
        </is>
      </c>
      <c r="GP138" t="inlineStr">
        <is>
          <t>PAK</t>
        </is>
      </c>
      <c r="GQ138" t="inlineStr">
        <is>
          <t>PAK</t>
        </is>
      </c>
      <c r="GR138" t="inlineStr">
        <is>
          <t>PAK</t>
        </is>
      </c>
      <c r="GS138" t="inlineStr">
        <is>
          <t>PAK</t>
        </is>
      </c>
      <c r="GT138" t="inlineStr">
        <is>
          <t>PAK</t>
        </is>
      </c>
      <c r="GU138" t="inlineStr">
        <is>
          <t>PAK</t>
        </is>
      </c>
      <c r="GV138" t="inlineStr">
        <is>
          <t>PAK</t>
        </is>
      </c>
      <c r="GW138" t="inlineStr">
        <is>
          <t>PAK</t>
        </is>
      </c>
      <c r="GX138" t="inlineStr">
        <is>
          <t>IND</t>
        </is>
      </c>
      <c r="GY138" t="inlineStr">
        <is>
          <t>IND</t>
        </is>
      </c>
      <c r="GZ138" t="inlineStr">
        <is>
          <t>IND</t>
        </is>
      </c>
      <c r="HA138" t="inlineStr">
        <is>
          <t>IND</t>
        </is>
      </c>
      <c r="HB138" t="inlineStr">
        <is>
          <t>IND</t>
        </is>
      </c>
      <c r="HC138" t="inlineStr">
        <is>
          <t>IND</t>
        </is>
      </c>
      <c r="HD138" t="inlineStr">
        <is>
          <t>IND</t>
        </is>
      </c>
      <c r="HE138" t="inlineStr">
        <is>
          <t>IND</t>
        </is>
      </c>
      <c r="HF138" t="inlineStr">
        <is>
          <t>IND</t>
        </is>
      </c>
      <c r="HG138" t="inlineStr">
        <is>
          <t>IND</t>
        </is>
      </c>
      <c r="HH138" t="inlineStr">
        <is>
          <t>IND</t>
        </is>
      </c>
      <c r="HI138" t="inlineStr">
        <is>
          <t>IND</t>
        </is>
      </c>
      <c r="HJ138" t="inlineStr">
        <is>
          <t>IND</t>
        </is>
      </c>
      <c r="HK138" t="inlineStr">
        <is>
          <t>IND</t>
        </is>
      </c>
      <c r="HL138" t="inlineStr">
        <is>
          <t>IND</t>
        </is>
      </c>
      <c r="HM138" t="inlineStr">
        <is>
          <t>IND</t>
        </is>
      </c>
      <c r="HN138" t="inlineStr">
        <is>
          <t>IND</t>
        </is>
      </c>
      <c r="HO138" t="inlineStr">
        <is>
          <t>IND</t>
        </is>
      </c>
      <c r="HP138" t="inlineStr">
        <is>
          <t>IND</t>
        </is>
      </c>
      <c r="HQ138" t="inlineStr">
        <is>
          <t>NPL</t>
        </is>
      </c>
      <c r="HR138" t="inlineStr">
        <is>
          <t>NPL</t>
        </is>
      </c>
      <c r="HS138" t="inlineStr">
        <is>
          <t>NPL</t>
        </is>
      </c>
      <c r="HT138" t="inlineStr">
        <is>
          <t>NPL</t>
        </is>
      </c>
      <c r="HU138" t="inlineStr">
        <is>
          <t>NPL</t>
        </is>
      </c>
      <c r="HV138" t="inlineStr">
        <is>
          <t>NPL</t>
        </is>
      </c>
      <c r="HW138" t="inlineStr">
        <is>
          <t>NPL</t>
        </is>
      </c>
      <c r="HX138" t="inlineStr">
        <is>
          <t>NPL</t>
        </is>
      </c>
      <c r="HY138" t="inlineStr">
        <is>
          <t>CHN</t>
        </is>
      </c>
      <c r="HZ138" t="inlineStr">
        <is>
          <t>CHN</t>
        </is>
      </c>
      <c r="IA138" t="inlineStr">
        <is>
          <t>CHN</t>
        </is>
      </c>
      <c r="IB138" t="inlineStr">
        <is>
          <t>CHN</t>
        </is>
      </c>
      <c r="IC138" t="inlineStr">
        <is>
          <t>CHN</t>
        </is>
      </c>
      <c r="ID138" t="inlineStr">
        <is>
          <t>CHN</t>
        </is>
      </c>
      <c r="IE138" t="inlineStr">
        <is>
          <t>CHN</t>
        </is>
      </c>
      <c r="IF138" t="inlineStr">
        <is>
          <t>CHN</t>
        </is>
      </c>
      <c r="IG138" t="inlineStr">
        <is>
          <t>CHN</t>
        </is>
      </c>
      <c r="IH138" t="inlineStr">
        <is>
          <t>CHN</t>
        </is>
      </c>
      <c r="II138" t="inlineStr">
        <is>
          <t>CHN</t>
        </is>
      </c>
      <c r="IJ138" t="inlineStr">
        <is>
          <t>CHN</t>
        </is>
      </c>
      <c r="IK138" t="inlineStr">
        <is>
          <t>CHN</t>
        </is>
      </c>
      <c r="IL138" t="inlineStr">
        <is>
          <t>CHN</t>
        </is>
      </c>
      <c r="IM138" t="inlineStr">
        <is>
          <t>CHN</t>
        </is>
      </c>
      <c r="IN138" t="inlineStr">
        <is>
          <t>IND</t>
        </is>
      </c>
      <c r="IO138" t="inlineStr">
        <is>
          <t>IND</t>
        </is>
      </c>
      <c r="IP138" t="inlineStr">
        <is>
          <t>IND</t>
        </is>
      </c>
      <c r="IQ138" t="inlineStr">
        <is>
          <t>IND</t>
        </is>
      </c>
      <c r="IR138" t="inlineStr">
        <is>
          <t>IND</t>
        </is>
      </c>
      <c r="IS138" t="inlineStr">
        <is>
          <t>IND</t>
        </is>
      </c>
      <c r="IT138" t="inlineStr">
        <is>
          <t>IND</t>
        </is>
      </c>
      <c r="IU138" t="inlineStr">
        <is>
          <t>IND</t>
        </is>
      </c>
      <c r="IV138" t="inlineStr">
        <is>
          <t>IND</t>
        </is>
      </c>
      <c r="IW138" t="inlineStr">
        <is>
          <t>MMR</t>
        </is>
      </c>
      <c r="IX138" t="inlineStr">
        <is>
          <t>CHN</t>
        </is>
      </c>
      <c r="IY138" t="inlineStr">
        <is>
          <t>CHN</t>
        </is>
      </c>
      <c r="IZ138" t="inlineStr">
        <is>
          <t>CHN</t>
        </is>
      </c>
      <c r="JA138" t="inlineStr">
        <is>
          <t>CHN</t>
        </is>
      </c>
      <c r="JB138" t="inlineStr">
        <is>
          <t>CHN</t>
        </is>
      </c>
      <c r="JC138" t="inlineStr">
        <is>
          <t>CHN</t>
        </is>
      </c>
      <c r="JD138" t="inlineStr">
        <is>
          <t>CHN</t>
        </is>
      </c>
      <c r="JE138" t="inlineStr">
        <is>
          <t>CHN</t>
        </is>
      </c>
      <c r="JF138" t="inlineStr">
        <is>
          <t>CHN</t>
        </is>
      </c>
      <c r="JG138" t="inlineStr">
        <is>
          <t>CHN</t>
        </is>
      </c>
      <c r="JH138" t="inlineStr">
        <is>
          <t>CHN</t>
        </is>
      </c>
      <c r="JI138" t="inlineStr">
        <is>
          <t>CHN</t>
        </is>
      </c>
      <c r="JJ138" t="inlineStr">
        <is>
          <t>CHN</t>
        </is>
      </c>
      <c r="JK138" t="inlineStr">
        <is>
          <t>CHN</t>
        </is>
      </c>
      <c r="JL138" t="inlineStr">
        <is>
          <t>CHN</t>
        </is>
      </c>
      <c r="JM138" t="inlineStr">
        <is>
          <t>CHN</t>
        </is>
      </c>
      <c r="JN138" t="inlineStr">
        <is>
          <t>CHN</t>
        </is>
      </c>
      <c r="JO138" t="inlineStr">
        <is>
          <t>CHN</t>
        </is>
      </c>
      <c r="JP138" t="inlineStr">
        <is>
          <t>CHN</t>
        </is>
      </c>
      <c r="JQ138" t="inlineStr">
        <is>
          <t>CHN</t>
        </is>
      </c>
      <c r="JR138" t="inlineStr">
        <is>
          <t>CHN</t>
        </is>
      </c>
      <c r="JS138" t="inlineStr">
        <is>
          <t>CHN</t>
        </is>
      </c>
      <c r="JT138" t="inlineStr">
        <is>
          <t>CHN</t>
        </is>
      </c>
      <c r="JU138" t="inlineStr">
        <is>
          <t>CHN</t>
        </is>
      </c>
    </row>
    <row r="139">
      <c r="AN139" t="inlineStr">
        <is>
          <t>MAR</t>
        </is>
      </c>
      <c r="AO139" t="inlineStr">
        <is>
          <t>MAR</t>
        </is>
      </c>
      <c r="AP139" t="inlineStr">
        <is>
          <t>MAR</t>
        </is>
      </c>
      <c r="AQ139" t="inlineStr">
        <is>
          <t>MAR</t>
        </is>
      </c>
      <c r="AR139" t="inlineStr">
        <is>
          <t>MAR</t>
        </is>
      </c>
      <c r="AS139" t="inlineStr">
        <is>
          <t>DZA</t>
        </is>
      </c>
      <c r="AT139" t="inlineStr">
        <is>
          <t>DZA</t>
        </is>
      </c>
      <c r="AU139" t="inlineStr">
        <is>
          <t>DZA</t>
        </is>
      </c>
      <c r="AV139" t="inlineStr">
        <is>
          <t>DZA</t>
        </is>
      </c>
      <c r="AW139" t="inlineStr">
        <is>
          <t>DZA</t>
        </is>
      </c>
      <c r="AX139" t="inlineStr">
        <is>
          <t>DZA</t>
        </is>
      </c>
      <c r="AY139" t="inlineStr">
        <is>
          <t>DZA</t>
        </is>
      </c>
      <c r="AZ139" t="inlineStr">
        <is>
          <t>DZA</t>
        </is>
      </c>
      <c r="BA139" t="inlineStr">
        <is>
          <t>DZA</t>
        </is>
      </c>
      <c r="BB139" t="inlineStr">
        <is>
          <t>DZA</t>
        </is>
      </c>
      <c r="BC139" t="inlineStr">
        <is>
          <t>DZA</t>
        </is>
      </c>
      <c r="BD139" t="inlineStr">
        <is>
          <t>DZA</t>
        </is>
      </c>
      <c r="BE139" t="inlineStr">
        <is>
          <t>DZA</t>
        </is>
      </c>
      <c r="BF139" t="inlineStr">
        <is>
          <t>DZA</t>
        </is>
      </c>
      <c r="BG139" t="inlineStr">
        <is>
          <t>DZA</t>
        </is>
      </c>
      <c r="BH139" t="inlineStr">
        <is>
          <t>DZA</t>
        </is>
      </c>
      <c r="BI139" t="inlineStr">
        <is>
          <t>DZA</t>
        </is>
      </c>
      <c r="BJ139" t="inlineStr">
        <is>
          <t>DZA</t>
        </is>
      </c>
      <c r="BK139" t="inlineStr">
        <is>
          <t>DZA</t>
        </is>
      </c>
      <c r="BL139" t="inlineStr">
        <is>
          <t>DZA</t>
        </is>
      </c>
      <c r="BM139" t="inlineStr">
        <is>
          <t>DZA</t>
        </is>
      </c>
      <c r="BN139" t="inlineStr">
        <is>
          <t>DZA</t>
        </is>
      </c>
      <c r="BO139" t="inlineStr">
        <is>
          <t>DZA</t>
        </is>
      </c>
      <c r="BP139" t="inlineStr">
        <is>
          <t>DZA</t>
        </is>
      </c>
      <c r="BQ139" t="inlineStr">
        <is>
          <t>DZA</t>
        </is>
      </c>
      <c r="BR139" t="inlineStr">
        <is>
          <t>DZA</t>
        </is>
      </c>
      <c r="BS139" t="inlineStr">
        <is>
          <t>DZA</t>
        </is>
      </c>
      <c r="BT139" t="inlineStr">
        <is>
          <t>DZA</t>
        </is>
      </c>
      <c r="BU139" t="inlineStr">
        <is>
          <t>DZA</t>
        </is>
      </c>
      <c r="BV139" t="inlineStr">
        <is>
          <t>DZA</t>
        </is>
      </c>
      <c r="BW139" t="inlineStr">
        <is>
          <t>DZA</t>
        </is>
      </c>
      <c r="BX139" t="inlineStr">
        <is>
          <t>DZA</t>
        </is>
      </c>
      <c r="BY139" t="inlineStr">
        <is>
          <t>DZA</t>
        </is>
      </c>
      <c r="BZ139" t="inlineStr">
        <is>
          <t>DZA</t>
        </is>
      </c>
      <c r="CA139" t="inlineStr">
        <is>
          <t>DZA</t>
        </is>
      </c>
      <c r="CB139" t="inlineStr">
        <is>
          <t>DZA</t>
        </is>
      </c>
      <c r="CC139" t="inlineStr">
        <is>
          <t>DZA</t>
        </is>
      </c>
      <c r="CD139" t="inlineStr">
        <is>
          <t>LBY</t>
        </is>
      </c>
      <c r="CE139" t="inlineStr">
        <is>
          <t>LBY</t>
        </is>
      </c>
      <c r="CF139" t="inlineStr">
        <is>
          <t>LBY</t>
        </is>
      </c>
      <c r="CG139" t="inlineStr">
        <is>
          <t>LBY</t>
        </is>
      </c>
      <c r="CH139" t="inlineStr">
        <is>
          <t>LBY</t>
        </is>
      </c>
      <c r="CI139" t="inlineStr">
        <is>
          <t>LBY</t>
        </is>
      </c>
      <c r="CJ139" t="inlineStr">
        <is>
          <t>LBY</t>
        </is>
      </c>
      <c r="CK139" t="inlineStr">
        <is>
          <t>LBY</t>
        </is>
      </c>
      <c r="CL139" t="inlineStr">
        <is>
          <t>LBY</t>
        </is>
      </c>
      <c r="CM139" t="inlineStr">
        <is>
          <t>LBY</t>
        </is>
      </c>
      <c r="CN139" t="inlineStr">
        <is>
          <t>LBY</t>
        </is>
      </c>
      <c r="CO139" t="inlineStr">
        <is>
          <t>LBY</t>
        </is>
      </c>
      <c r="CP139" t="inlineStr">
        <is>
          <t>LBY</t>
        </is>
      </c>
      <c r="CQ139" t="inlineStr">
        <is>
          <t>LBY</t>
        </is>
      </c>
      <c r="CR139" t="inlineStr">
        <is>
          <t>LBY</t>
        </is>
      </c>
      <c r="CS139" t="inlineStr">
        <is>
          <t>LBY</t>
        </is>
      </c>
      <c r="CT139" t="inlineStr">
        <is>
          <t>LBY</t>
        </is>
      </c>
      <c r="CU139" t="inlineStr">
        <is>
          <t>LBY</t>
        </is>
      </c>
      <c r="CV139" t="inlineStr">
        <is>
          <t>LBY</t>
        </is>
      </c>
      <c r="CW139" t="inlineStr">
        <is>
          <t>LBY</t>
        </is>
      </c>
      <c r="CX139" t="inlineStr">
        <is>
          <t>LBY</t>
        </is>
      </c>
      <c r="CY139" t="inlineStr">
        <is>
          <t>LBY</t>
        </is>
      </c>
      <c r="CZ139" t="inlineStr">
        <is>
          <t>LBY</t>
        </is>
      </c>
      <c r="DA139" t="inlineStr">
        <is>
          <t>LBY</t>
        </is>
      </c>
      <c r="DB139" t="inlineStr">
        <is>
          <t>LBY</t>
        </is>
      </c>
      <c r="DC139" t="inlineStr">
        <is>
          <t>LBY</t>
        </is>
      </c>
      <c r="DD139" t="inlineStr">
        <is>
          <t>LBY</t>
        </is>
      </c>
      <c r="DE139" t="inlineStr">
        <is>
          <t>LBY</t>
        </is>
      </c>
      <c r="DF139" t="inlineStr">
        <is>
          <t>LBY</t>
        </is>
      </c>
      <c r="DG139" t="inlineStr">
        <is>
          <t>LBY</t>
        </is>
      </c>
      <c r="DH139" t="inlineStr">
        <is>
          <t>EGY</t>
        </is>
      </c>
      <c r="DI139" t="inlineStr">
        <is>
          <t>EGY</t>
        </is>
      </c>
      <c r="DJ139" t="inlineStr">
        <is>
          <t>EGY</t>
        </is>
      </c>
      <c r="DK139" t="inlineStr">
        <is>
          <t>EGY</t>
        </is>
      </c>
      <c r="DL139" t="inlineStr">
        <is>
          <t>EGY</t>
        </is>
      </c>
      <c r="DM139" t="inlineStr">
        <is>
          <t>EGY</t>
        </is>
      </c>
      <c r="DN139" t="inlineStr">
        <is>
          <t>EGY</t>
        </is>
      </c>
      <c r="DO139" t="inlineStr">
        <is>
          <t>EGY</t>
        </is>
      </c>
      <c r="DP139" t="inlineStr">
        <is>
          <t>EGY</t>
        </is>
      </c>
      <c r="DQ139" t="inlineStr">
        <is>
          <t>EGY</t>
        </is>
      </c>
      <c r="DR139" t="inlineStr">
        <is>
          <t>EGY</t>
        </is>
      </c>
      <c r="DS139" t="inlineStr">
        <is>
          <t>EGY</t>
        </is>
      </c>
      <c r="DT139" t="inlineStr">
        <is>
          <t>EGY</t>
        </is>
      </c>
      <c r="DU139" t="inlineStr">
        <is>
          <t>EGY</t>
        </is>
      </c>
      <c r="DV139" t="inlineStr">
        <is>
          <t>EGY</t>
        </is>
      </c>
      <c r="DX139" t="inlineStr">
        <is>
          <t>EGY</t>
        </is>
      </c>
      <c r="DY139" t="inlineStr">
        <is>
          <t>EGY</t>
        </is>
      </c>
      <c r="DZ139" t="inlineStr">
        <is>
          <t>EGY</t>
        </is>
      </c>
      <c r="EB139" t="inlineStr">
        <is>
          <t>SAU</t>
        </is>
      </c>
      <c r="EC139" t="inlineStr">
        <is>
          <t>SAU</t>
        </is>
      </c>
      <c r="ED139" t="inlineStr">
        <is>
          <t>SAU</t>
        </is>
      </c>
      <c r="EE139" t="inlineStr">
        <is>
          <t>SAU</t>
        </is>
      </c>
      <c r="EF139" t="inlineStr">
        <is>
          <t>SAU</t>
        </is>
      </c>
      <c r="EG139" t="inlineStr">
        <is>
          <t>SAU</t>
        </is>
      </c>
      <c r="EH139" t="inlineStr">
        <is>
          <t>SAU</t>
        </is>
      </c>
      <c r="EI139" t="inlineStr">
        <is>
          <t>SAU</t>
        </is>
      </c>
      <c r="EJ139" t="inlineStr">
        <is>
          <t>SAU</t>
        </is>
      </c>
      <c r="EK139" t="inlineStr">
        <is>
          <t>SAU</t>
        </is>
      </c>
      <c r="EL139" t="inlineStr">
        <is>
          <t>SAU</t>
        </is>
      </c>
      <c r="EM139" t="inlineStr">
        <is>
          <t>SAU</t>
        </is>
      </c>
      <c r="EN139" t="inlineStr">
        <is>
          <t>SAU</t>
        </is>
      </c>
      <c r="EO139" t="inlineStr">
        <is>
          <t>SAU</t>
        </is>
      </c>
      <c r="EP139" t="inlineStr">
        <is>
          <t>SAU</t>
        </is>
      </c>
      <c r="EQ139" t="inlineStr">
        <is>
          <t>SAU</t>
        </is>
      </c>
      <c r="ER139" t="inlineStr">
        <is>
          <t>SAU</t>
        </is>
      </c>
      <c r="ES139" t="inlineStr">
        <is>
          <t>SAU</t>
        </is>
      </c>
      <c r="ET139" t="inlineStr">
        <is>
          <t>SAU</t>
        </is>
      </c>
      <c r="EU139" t="inlineStr">
        <is>
          <t>SAU</t>
        </is>
      </c>
      <c r="EV139" t="inlineStr">
        <is>
          <t>SAU</t>
        </is>
      </c>
      <c r="EW139" t="inlineStr">
        <is>
          <t>SAU</t>
        </is>
      </c>
      <c r="EX139" t="inlineStr">
        <is>
          <t>SAU</t>
        </is>
      </c>
      <c r="EY139" t="inlineStr">
        <is>
          <t>SAU</t>
        </is>
      </c>
      <c r="EZ139" t="inlineStr">
        <is>
          <t>SAU</t>
        </is>
      </c>
      <c r="FA139" t="inlineStr">
        <is>
          <t>KWT</t>
        </is>
      </c>
      <c r="FB139" t="inlineStr">
        <is>
          <t>KWT</t>
        </is>
      </c>
      <c r="FH139" t="inlineStr">
        <is>
          <t>IRN</t>
        </is>
      </c>
      <c r="FI139" t="inlineStr">
        <is>
          <t>IRN</t>
        </is>
      </c>
      <c r="FJ139" t="inlineStr">
        <is>
          <t>IRN</t>
        </is>
      </c>
      <c r="FK139" t="inlineStr">
        <is>
          <t>IRN</t>
        </is>
      </c>
      <c r="FL139" t="inlineStr">
        <is>
          <t>IRN</t>
        </is>
      </c>
      <c r="FM139" t="inlineStr">
        <is>
          <t>IRN</t>
        </is>
      </c>
      <c r="FN139" t="inlineStr">
        <is>
          <t>IRN</t>
        </is>
      </c>
      <c r="FO139" t="inlineStr">
        <is>
          <t>IRN</t>
        </is>
      </c>
      <c r="FP139" t="inlineStr">
        <is>
          <t>IRN</t>
        </is>
      </c>
      <c r="FQ139" t="inlineStr">
        <is>
          <t>IRN</t>
        </is>
      </c>
      <c r="FR139" t="inlineStr">
        <is>
          <t>IRN</t>
        </is>
      </c>
      <c r="FS139" t="inlineStr">
        <is>
          <t>IRN</t>
        </is>
      </c>
      <c r="FT139" t="inlineStr">
        <is>
          <t>IRN</t>
        </is>
      </c>
      <c r="FU139" t="inlineStr">
        <is>
          <t>IRN</t>
        </is>
      </c>
      <c r="FV139" t="inlineStr">
        <is>
          <t>IRN</t>
        </is>
      </c>
      <c r="FW139" t="inlineStr">
        <is>
          <t>IRN</t>
        </is>
      </c>
      <c r="FX139" t="inlineStr">
        <is>
          <t>IRN</t>
        </is>
      </c>
      <c r="FY139" t="inlineStr">
        <is>
          <t>IRN</t>
        </is>
      </c>
      <c r="FZ139" t="inlineStr">
        <is>
          <t>IRN</t>
        </is>
      </c>
      <c r="GA139" t="inlineStr">
        <is>
          <t>IRN</t>
        </is>
      </c>
      <c r="GB139" t="inlineStr">
        <is>
          <t>IRN</t>
        </is>
      </c>
      <c r="GC139" t="inlineStr">
        <is>
          <t>PAK</t>
        </is>
      </c>
      <c r="GD139" t="inlineStr">
        <is>
          <t>PAK</t>
        </is>
      </c>
      <c r="GE139" t="inlineStr">
        <is>
          <t>PAK</t>
        </is>
      </c>
      <c r="GF139" t="inlineStr">
        <is>
          <t>PAK</t>
        </is>
      </c>
      <c r="GG139" t="inlineStr">
        <is>
          <t>PAK</t>
        </is>
      </c>
      <c r="GH139" t="inlineStr">
        <is>
          <t>PAK</t>
        </is>
      </c>
      <c r="GI139" t="inlineStr">
        <is>
          <t>PAK</t>
        </is>
      </c>
      <c r="GJ139" t="inlineStr">
        <is>
          <t>PAK</t>
        </is>
      </c>
      <c r="GK139" t="inlineStr">
        <is>
          <t>PAK</t>
        </is>
      </c>
      <c r="GL139" t="inlineStr">
        <is>
          <t>PAK</t>
        </is>
      </c>
      <c r="GM139" t="inlineStr">
        <is>
          <t>PAK</t>
        </is>
      </c>
      <c r="GN139" t="inlineStr">
        <is>
          <t>PAK</t>
        </is>
      </c>
      <c r="GO139" t="inlineStr">
        <is>
          <t>PAK</t>
        </is>
      </c>
      <c r="GP139" t="inlineStr">
        <is>
          <t>PAK</t>
        </is>
      </c>
      <c r="GQ139" t="inlineStr">
        <is>
          <t>PAK</t>
        </is>
      </c>
      <c r="GR139" t="inlineStr">
        <is>
          <t>PAK</t>
        </is>
      </c>
      <c r="GS139" t="inlineStr">
        <is>
          <t>PAK</t>
        </is>
      </c>
      <c r="GT139" t="inlineStr">
        <is>
          <t>PAK</t>
        </is>
      </c>
      <c r="GU139" t="inlineStr">
        <is>
          <t>PAK</t>
        </is>
      </c>
      <c r="GV139" t="inlineStr">
        <is>
          <t>PAK</t>
        </is>
      </c>
      <c r="GW139" t="inlineStr">
        <is>
          <t>PAK</t>
        </is>
      </c>
      <c r="GX139" t="inlineStr">
        <is>
          <t>PAK</t>
        </is>
      </c>
      <c r="GY139" t="inlineStr">
        <is>
          <t>IND</t>
        </is>
      </c>
      <c r="GZ139" t="inlineStr">
        <is>
          <t>IND</t>
        </is>
      </c>
      <c r="HA139" t="inlineStr">
        <is>
          <t>IND</t>
        </is>
      </c>
      <c r="HB139" t="inlineStr">
        <is>
          <t>IND</t>
        </is>
      </c>
      <c r="HC139" t="inlineStr">
        <is>
          <t>IND</t>
        </is>
      </c>
      <c r="HD139" t="inlineStr">
        <is>
          <t>IND</t>
        </is>
      </c>
      <c r="HE139" t="inlineStr">
        <is>
          <t>IND</t>
        </is>
      </c>
      <c r="HF139" t="inlineStr">
        <is>
          <t>IND</t>
        </is>
      </c>
      <c r="HG139" t="inlineStr">
        <is>
          <t>IND</t>
        </is>
      </c>
      <c r="HH139" t="inlineStr">
        <is>
          <t>IND</t>
        </is>
      </c>
      <c r="HI139" t="inlineStr">
        <is>
          <t>IND</t>
        </is>
      </c>
      <c r="HJ139" t="inlineStr">
        <is>
          <t>IND</t>
        </is>
      </c>
      <c r="HK139" t="inlineStr">
        <is>
          <t>IND</t>
        </is>
      </c>
      <c r="HL139" t="inlineStr">
        <is>
          <t>IND</t>
        </is>
      </c>
      <c r="HM139" t="inlineStr">
        <is>
          <t>IND</t>
        </is>
      </c>
      <c r="HN139" t="inlineStr">
        <is>
          <t>NPL</t>
        </is>
      </c>
      <c r="HO139" t="inlineStr">
        <is>
          <t>NPL</t>
        </is>
      </c>
      <c r="HP139" t="inlineStr">
        <is>
          <t>NPL</t>
        </is>
      </c>
      <c r="HQ139" t="inlineStr">
        <is>
          <t>NPL</t>
        </is>
      </c>
      <c r="HR139" t="inlineStr">
        <is>
          <t>NPL</t>
        </is>
      </c>
      <c r="HS139" t="inlineStr">
        <is>
          <t>NPL</t>
        </is>
      </c>
      <c r="HT139" t="inlineStr">
        <is>
          <t>NPL</t>
        </is>
      </c>
      <c r="HU139" t="inlineStr">
        <is>
          <t>NPL</t>
        </is>
      </c>
      <c r="HV139" t="inlineStr">
        <is>
          <t>NPL</t>
        </is>
      </c>
      <c r="HW139" t="inlineStr">
        <is>
          <t>CHN</t>
        </is>
      </c>
      <c r="HX139" t="inlineStr">
        <is>
          <t>CHN</t>
        </is>
      </c>
      <c r="HY139" t="inlineStr">
        <is>
          <t>CHN</t>
        </is>
      </c>
      <c r="HZ139" t="inlineStr">
        <is>
          <t>CHN</t>
        </is>
      </c>
      <c r="IA139" t="inlineStr">
        <is>
          <t>CHN</t>
        </is>
      </c>
      <c r="IB139" t="inlineStr">
        <is>
          <t>CHN</t>
        </is>
      </c>
      <c r="IC139" t="inlineStr">
        <is>
          <t>CHN</t>
        </is>
      </c>
      <c r="ID139" t="inlineStr">
        <is>
          <t>CHN</t>
        </is>
      </c>
      <c r="IE139" t="inlineStr">
        <is>
          <t>CHN</t>
        </is>
      </c>
      <c r="IF139" t="inlineStr">
        <is>
          <t>CHN</t>
        </is>
      </c>
      <c r="IG139" t="inlineStr">
        <is>
          <t>CHN</t>
        </is>
      </c>
      <c r="IH139" t="inlineStr">
        <is>
          <t>CHN</t>
        </is>
      </c>
      <c r="II139" t="inlineStr">
        <is>
          <t>CHN</t>
        </is>
      </c>
      <c r="IJ139" t="inlineStr">
        <is>
          <t>CHN</t>
        </is>
      </c>
      <c r="IK139" t="inlineStr">
        <is>
          <t>CHN</t>
        </is>
      </c>
      <c r="IL139" t="inlineStr">
        <is>
          <t>CHN</t>
        </is>
      </c>
      <c r="IM139" t="inlineStr">
        <is>
          <t>CHN</t>
        </is>
      </c>
      <c r="IN139" t="inlineStr">
        <is>
          <t>CHN</t>
        </is>
      </c>
      <c r="IO139" t="inlineStr">
        <is>
          <t>IND</t>
        </is>
      </c>
      <c r="IP139" t="inlineStr">
        <is>
          <t>IND</t>
        </is>
      </c>
      <c r="IQ139" t="inlineStr">
        <is>
          <t>IND</t>
        </is>
      </c>
      <c r="IR139" t="inlineStr">
        <is>
          <t>IND</t>
        </is>
      </c>
      <c r="IS139" t="inlineStr">
        <is>
          <t>IND</t>
        </is>
      </c>
      <c r="IT139" t="inlineStr">
        <is>
          <t>IND</t>
        </is>
      </c>
      <c r="IU139" t="inlineStr">
        <is>
          <t>CHN</t>
        </is>
      </c>
      <c r="IV139" t="inlineStr">
        <is>
          <t>CHN</t>
        </is>
      </c>
      <c r="IW139" t="inlineStr">
        <is>
          <t>CHN</t>
        </is>
      </c>
      <c r="IX139" t="inlineStr">
        <is>
          <t>CHN</t>
        </is>
      </c>
      <c r="IY139" t="inlineStr">
        <is>
          <t>CHN</t>
        </is>
      </c>
      <c r="IZ139" t="inlineStr">
        <is>
          <t>CHN</t>
        </is>
      </c>
      <c r="JA139" t="inlineStr">
        <is>
          <t>CHN</t>
        </is>
      </c>
      <c r="JB139" t="inlineStr">
        <is>
          <t>CHN</t>
        </is>
      </c>
      <c r="JC139" t="inlineStr">
        <is>
          <t>CHN</t>
        </is>
      </c>
      <c r="JD139" t="inlineStr">
        <is>
          <t>CHN</t>
        </is>
      </c>
      <c r="JE139" t="inlineStr">
        <is>
          <t>CHN</t>
        </is>
      </c>
      <c r="JF139" t="inlineStr">
        <is>
          <t>CHN</t>
        </is>
      </c>
      <c r="JG139" t="inlineStr">
        <is>
          <t>CHN</t>
        </is>
      </c>
      <c r="JH139" t="inlineStr">
        <is>
          <t>CHN</t>
        </is>
      </c>
      <c r="JI139" t="inlineStr">
        <is>
          <t>CHN</t>
        </is>
      </c>
      <c r="JJ139" t="inlineStr">
        <is>
          <t>CHN</t>
        </is>
      </c>
      <c r="JK139" t="inlineStr">
        <is>
          <t>CHN</t>
        </is>
      </c>
      <c r="JL139" t="inlineStr">
        <is>
          <t>CHN</t>
        </is>
      </c>
      <c r="JM139" t="inlineStr">
        <is>
          <t>CHN</t>
        </is>
      </c>
      <c r="JN139" t="inlineStr">
        <is>
          <t>CHN</t>
        </is>
      </c>
      <c r="JO139" t="inlineStr">
        <is>
          <t>CHN</t>
        </is>
      </c>
      <c r="JP139" t="inlineStr">
        <is>
          <t>CHN</t>
        </is>
      </c>
      <c r="JQ139" t="inlineStr">
        <is>
          <t>CHN</t>
        </is>
      </c>
      <c r="JR139" t="inlineStr">
        <is>
          <t>CHN</t>
        </is>
      </c>
      <c r="JS139" t="inlineStr">
        <is>
          <t>CHN</t>
        </is>
      </c>
      <c r="JT139" t="inlineStr">
        <is>
          <t>CHN</t>
        </is>
      </c>
      <c r="JU139" t="inlineStr">
        <is>
          <t>CHN</t>
        </is>
      </c>
    </row>
    <row r="140">
      <c r="AP140" t="inlineStr">
        <is>
          <t>MAR</t>
        </is>
      </c>
      <c r="AQ140" t="inlineStr">
        <is>
          <t>MAR</t>
        </is>
      </c>
      <c r="AR140" t="inlineStr">
        <is>
          <t>MAR</t>
        </is>
      </c>
      <c r="AS140" t="inlineStr">
        <is>
          <t>MAR</t>
        </is>
      </c>
      <c r="AT140" t="inlineStr">
        <is>
          <t>DZA</t>
        </is>
      </c>
      <c r="AU140" t="inlineStr">
        <is>
          <t>DZA</t>
        </is>
      </c>
      <c r="AV140" t="inlineStr">
        <is>
          <t>DZA</t>
        </is>
      </c>
      <c r="AW140" t="inlineStr">
        <is>
          <t>DZA</t>
        </is>
      </c>
      <c r="AX140" t="inlineStr">
        <is>
          <t>DZA</t>
        </is>
      </c>
      <c r="AY140" t="inlineStr">
        <is>
          <t>DZA</t>
        </is>
      </c>
      <c r="AZ140" t="inlineStr">
        <is>
          <t>DZA</t>
        </is>
      </c>
      <c r="BA140" t="inlineStr">
        <is>
          <t>DZA</t>
        </is>
      </c>
      <c r="BB140" t="inlineStr">
        <is>
          <t>DZA</t>
        </is>
      </c>
      <c r="BC140" t="inlineStr">
        <is>
          <t>DZA</t>
        </is>
      </c>
      <c r="BD140" t="inlineStr">
        <is>
          <t>DZA</t>
        </is>
      </c>
      <c r="BE140" t="inlineStr">
        <is>
          <t>DZA</t>
        </is>
      </c>
      <c r="BF140" t="inlineStr">
        <is>
          <t>DZA</t>
        </is>
      </c>
      <c r="BG140" t="inlineStr">
        <is>
          <t>DZA</t>
        </is>
      </c>
      <c r="BH140" t="inlineStr">
        <is>
          <t>DZA</t>
        </is>
      </c>
      <c r="BI140" t="inlineStr">
        <is>
          <t>DZA</t>
        </is>
      </c>
      <c r="BJ140" t="inlineStr">
        <is>
          <t>DZA</t>
        </is>
      </c>
      <c r="BK140" t="inlineStr">
        <is>
          <t>DZA</t>
        </is>
      </c>
      <c r="BL140" t="inlineStr">
        <is>
          <t>DZA</t>
        </is>
      </c>
      <c r="BM140" t="inlineStr">
        <is>
          <t>DZA</t>
        </is>
      </c>
      <c r="BN140" t="inlineStr">
        <is>
          <t>DZA</t>
        </is>
      </c>
      <c r="BO140" t="inlineStr">
        <is>
          <t>DZA</t>
        </is>
      </c>
      <c r="BP140" t="inlineStr">
        <is>
          <t>DZA</t>
        </is>
      </c>
      <c r="BQ140" t="inlineStr">
        <is>
          <t>DZA</t>
        </is>
      </c>
      <c r="BR140" t="inlineStr">
        <is>
          <t>DZA</t>
        </is>
      </c>
      <c r="BS140" t="inlineStr">
        <is>
          <t>DZA</t>
        </is>
      </c>
      <c r="BT140" t="inlineStr">
        <is>
          <t>DZA</t>
        </is>
      </c>
      <c r="BU140" t="inlineStr">
        <is>
          <t>DZA</t>
        </is>
      </c>
      <c r="BV140" t="inlineStr">
        <is>
          <t>DZA</t>
        </is>
      </c>
      <c r="BW140" t="inlineStr">
        <is>
          <t>DZA</t>
        </is>
      </c>
      <c r="BX140" t="inlineStr">
        <is>
          <t>DZA</t>
        </is>
      </c>
      <c r="BY140" t="inlineStr">
        <is>
          <t>DZA</t>
        </is>
      </c>
      <c r="BZ140" t="inlineStr">
        <is>
          <t>DZA</t>
        </is>
      </c>
      <c r="CA140" t="inlineStr">
        <is>
          <t>DZA</t>
        </is>
      </c>
      <c r="CB140" t="inlineStr">
        <is>
          <t>DZA</t>
        </is>
      </c>
      <c r="CC140" t="inlineStr">
        <is>
          <t>DZA</t>
        </is>
      </c>
      <c r="CD140" t="inlineStr">
        <is>
          <t>LBY</t>
        </is>
      </c>
      <c r="CE140" t="inlineStr">
        <is>
          <t>LBY</t>
        </is>
      </c>
      <c r="CF140" t="inlineStr">
        <is>
          <t>LBY</t>
        </is>
      </c>
      <c r="CG140" t="inlineStr">
        <is>
          <t>LBY</t>
        </is>
      </c>
      <c r="CH140" t="inlineStr">
        <is>
          <t>LBY</t>
        </is>
      </c>
      <c r="CI140" t="inlineStr">
        <is>
          <t>LBY</t>
        </is>
      </c>
      <c r="CJ140" t="inlineStr">
        <is>
          <t>LBY</t>
        </is>
      </c>
      <c r="CK140" t="inlineStr">
        <is>
          <t>LBY</t>
        </is>
      </c>
      <c r="CL140" t="inlineStr">
        <is>
          <t>LBY</t>
        </is>
      </c>
      <c r="CM140" t="inlineStr">
        <is>
          <t>LBY</t>
        </is>
      </c>
      <c r="CN140" t="inlineStr">
        <is>
          <t>LBY</t>
        </is>
      </c>
      <c r="CO140" t="inlineStr">
        <is>
          <t>LBY</t>
        </is>
      </c>
      <c r="CP140" t="inlineStr">
        <is>
          <t>LBY</t>
        </is>
      </c>
      <c r="CQ140" t="inlineStr">
        <is>
          <t>LBY</t>
        </is>
      </c>
      <c r="CR140" t="inlineStr">
        <is>
          <t>LBY</t>
        </is>
      </c>
      <c r="CS140" t="inlineStr">
        <is>
          <t>LBY</t>
        </is>
      </c>
      <c r="CT140" t="inlineStr">
        <is>
          <t>LBY</t>
        </is>
      </c>
      <c r="CU140" t="inlineStr">
        <is>
          <t>LBY</t>
        </is>
      </c>
      <c r="CV140" t="inlineStr">
        <is>
          <t>LBY</t>
        </is>
      </c>
      <c r="CW140" t="inlineStr">
        <is>
          <t>LBY</t>
        </is>
      </c>
      <c r="CX140" t="inlineStr">
        <is>
          <t>LBY</t>
        </is>
      </c>
      <c r="CY140" t="inlineStr">
        <is>
          <t>LBY</t>
        </is>
      </c>
      <c r="CZ140" t="inlineStr">
        <is>
          <t>LBY</t>
        </is>
      </c>
      <c r="DA140" t="inlineStr">
        <is>
          <t>LBY</t>
        </is>
      </c>
      <c r="DB140" t="inlineStr">
        <is>
          <t>LBY</t>
        </is>
      </c>
      <c r="DC140" t="inlineStr">
        <is>
          <t>LBY</t>
        </is>
      </c>
      <c r="DD140" t="inlineStr">
        <is>
          <t>LBY</t>
        </is>
      </c>
      <c r="DE140" t="inlineStr">
        <is>
          <t>LBY</t>
        </is>
      </c>
      <c r="DF140" t="inlineStr">
        <is>
          <t>LBY</t>
        </is>
      </c>
      <c r="DG140" t="inlineStr">
        <is>
          <t>LBY</t>
        </is>
      </c>
      <c r="DH140" t="inlineStr">
        <is>
          <t>EGY</t>
        </is>
      </c>
      <c r="DI140" t="inlineStr">
        <is>
          <t>EGY</t>
        </is>
      </c>
      <c r="DJ140" t="inlineStr">
        <is>
          <t>EGY</t>
        </is>
      </c>
      <c r="DK140" t="inlineStr">
        <is>
          <t>EGY</t>
        </is>
      </c>
      <c r="DL140" t="inlineStr">
        <is>
          <t>EGY</t>
        </is>
      </c>
      <c r="DM140" t="inlineStr">
        <is>
          <t>EGY</t>
        </is>
      </c>
      <c r="DN140" t="inlineStr">
        <is>
          <t>EGY</t>
        </is>
      </c>
      <c r="DO140" t="inlineStr">
        <is>
          <t>EGY</t>
        </is>
      </c>
      <c r="DP140" t="inlineStr">
        <is>
          <t>EGY</t>
        </is>
      </c>
      <c r="DQ140" t="inlineStr">
        <is>
          <t>EGY</t>
        </is>
      </c>
      <c r="DR140" t="inlineStr">
        <is>
          <t>EGY</t>
        </is>
      </c>
      <c r="DS140" t="inlineStr">
        <is>
          <t>EGY</t>
        </is>
      </c>
      <c r="DT140" t="inlineStr">
        <is>
          <t>EGY</t>
        </is>
      </c>
      <c r="DU140" t="inlineStr">
        <is>
          <t>EGY</t>
        </is>
      </c>
      <c r="DV140" t="inlineStr">
        <is>
          <t>EGY</t>
        </is>
      </c>
      <c r="DW140" t="inlineStr">
        <is>
          <t>EGY</t>
        </is>
      </c>
      <c r="DX140" t="inlineStr">
        <is>
          <t>EGY</t>
        </is>
      </c>
      <c r="DY140" t="inlineStr">
        <is>
          <t>EGY</t>
        </is>
      </c>
      <c r="DZ140" t="inlineStr">
        <is>
          <t>EGY</t>
        </is>
      </c>
      <c r="EB140" t="inlineStr">
        <is>
          <t>SAU</t>
        </is>
      </c>
      <c r="EC140" t="inlineStr">
        <is>
          <t>JOR</t>
        </is>
      </c>
      <c r="ED140" t="inlineStr">
        <is>
          <t>SAU</t>
        </is>
      </c>
      <c r="EE140" t="inlineStr">
        <is>
          <t>SAU</t>
        </is>
      </c>
      <c r="EF140" t="inlineStr">
        <is>
          <t>SAU</t>
        </is>
      </c>
      <c r="EG140" t="inlineStr">
        <is>
          <t>SAU</t>
        </is>
      </c>
      <c r="EH140" t="inlineStr">
        <is>
          <t>SAU</t>
        </is>
      </c>
      <c r="EI140" t="inlineStr">
        <is>
          <t>SAU</t>
        </is>
      </c>
      <c r="EJ140" t="inlineStr">
        <is>
          <t>SAU</t>
        </is>
      </c>
      <c r="EK140" t="inlineStr">
        <is>
          <t>SAU</t>
        </is>
      </c>
      <c r="EL140" t="inlineStr">
        <is>
          <t>SAU</t>
        </is>
      </c>
      <c r="EM140" t="inlineStr">
        <is>
          <t>SAU</t>
        </is>
      </c>
      <c r="EN140" t="inlineStr">
        <is>
          <t>SAU</t>
        </is>
      </c>
      <c r="EO140" t="inlineStr">
        <is>
          <t>SAU</t>
        </is>
      </c>
      <c r="EP140" t="inlineStr">
        <is>
          <t>SAU</t>
        </is>
      </c>
      <c r="EQ140" t="inlineStr">
        <is>
          <t>SAU</t>
        </is>
      </c>
      <c r="ER140" t="inlineStr">
        <is>
          <t>SAU</t>
        </is>
      </c>
      <c r="ES140" t="inlineStr">
        <is>
          <t>SAU</t>
        </is>
      </c>
      <c r="ET140" t="inlineStr">
        <is>
          <t>SAU</t>
        </is>
      </c>
      <c r="EU140" t="inlineStr">
        <is>
          <t>IRQ</t>
        </is>
      </c>
      <c r="EV140" t="inlineStr">
        <is>
          <t>IRQ</t>
        </is>
      </c>
      <c r="EW140" t="inlineStr">
        <is>
          <t>IRQ</t>
        </is>
      </c>
      <c r="EX140" t="inlineStr">
        <is>
          <t>IRQ</t>
        </is>
      </c>
      <c r="EY140" t="inlineStr">
        <is>
          <t>KWT</t>
        </is>
      </c>
      <c r="EZ140" t="inlineStr">
        <is>
          <t>KWT</t>
        </is>
      </c>
      <c r="FA140" t="inlineStr">
        <is>
          <t>KWT</t>
        </is>
      </c>
      <c r="FG140" t="inlineStr">
        <is>
          <t>IRN</t>
        </is>
      </c>
      <c r="FH140" t="inlineStr">
        <is>
          <t>IRN</t>
        </is>
      </c>
      <c r="FI140" t="inlineStr">
        <is>
          <t>IRN</t>
        </is>
      </c>
      <c r="FJ140" t="inlineStr">
        <is>
          <t>IRN</t>
        </is>
      </c>
      <c r="FK140" t="inlineStr">
        <is>
          <t>IRN</t>
        </is>
      </c>
      <c r="FL140" t="inlineStr">
        <is>
          <t>IRN</t>
        </is>
      </c>
      <c r="FM140" t="inlineStr">
        <is>
          <t>IRN</t>
        </is>
      </c>
      <c r="FN140" t="inlineStr">
        <is>
          <t>IRN</t>
        </is>
      </c>
      <c r="FO140" t="inlineStr">
        <is>
          <t>IRN</t>
        </is>
      </c>
      <c r="FP140" t="inlineStr">
        <is>
          <t>IRN</t>
        </is>
      </c>
      <c r="FQ140" t="inlineStr">
        <is>
          <t>IRN</t>
        </is>
      </c>
      <c r="FR140" t="inlineStr">
        <is>
          <t>IRN</t>
        </is>
      </c>
      <c r="FS140" t="inlineStr">
        <is>
          <t>IRN</t>
        </is>
      </c>
      <c r="FT140" t="inlineStr">
        <is>
          <t>IRN</t>
        </is>
      </c>
      <c r="FU140" t="inlineStr">
        <is>
          <t>IRN</t>
        </is>
      </c>
      <c r="FV140" t="inlineStr">
        <is>
          <t>IRN</t>
        </is>
      </c>
      <c r="FW140" t="inlineStr">
        <is>
          <t>IRN</t>
        </is>
      </c>
      <c r="FX140" t="inlineStr">
        <is>
          <t>IRN</t>
        </is>
      </c>
      <c r="FY140" t="inlineStr">
        <is>
          <t>IRN</t>
        </is>
      </c>
      <c r="FZ140" t="inlineStr">
        <is>
          <t>IRN</t>
        </is>
      </c>
      <c r="GA140" t="inlineStr">
        <is>
          <t>IRN</t>
        </is>
      </c>
      <c r="GB140" t="inlineStr">
        <is>
          <t>IRN</t>
        </is>
      </c>
      <c r="GC140" t="inlineStr">
        <is>
          <t>PAK</t>
        </is>
      </c>
      <c r="GD140" t="inlineStr">
        <is>
          <t>PAK</t>
        </is>
      </c>
      <c r="GE140" t="inlineStr">
        <is>
          <t>PAK</t>
        </is>
      </c>
      <c r="GF140" t="inlineStr">
        <is>
          <t>PAK</t>
        </is>
      </c>
      <c r="GG140" t="inlineStr">
        <is>
          <t>PAK</t>
        </is>
      </c>
      <c r="GH140" t="inlineStr">
        <is>
          <t>PAK</t>
        </is>
      </c>
      <c r="GI140" t="inlineStr">
        <is>
          <t>PAK</t>
        </is>
      </c>
      <c r="GJ140" t="inlineStr">
        <is>
          <t>PAK</t>
        </is>
      </c>
      <c r="GK140" t="inlineStr">
        <is>
          <t>PAK</t>
        </is>
      </c>
      <c r="GL140" t="inlineStr">
        <is>
          <t>PAK</t>
        </is>
      </c>
      <c r="GM140" t="inlineStr">
        <is>
          <t>PAK</t>
        </is>
      </c>
      <c r="GN140" t="inlineStr">
        <is>
          <t>PAK</t>
        </is>
      </c>
      <c r="GO140" t="inlineStr">
        <is>
          <t>PAK</t>
        </is>
      </c>
      <c r="GP140" t="inlineStr">
        <is>
          <t>PAK</t>
        </is>
      </c>
      <c r="GQ140" t="inlineStr">
        <is>
          <t>PAK</t>
        </is>
      </c>
      <c r="GR140" t="inlineStr">
        <is>
          <t>PAK</t>
        </is>
      </c>
      <c r="GS140" t="inlineStr">
        <is>
          <t>PAK</t>
        </is>
      </c>
      <c r="GT140" t="inlineStr">
        <is>
          <t>PAK</t>
        </is>
      </c>
      <c r="GU140" t="inlineStr">
        <is>
          <t>PAK</t>
        </is>
      </c>
      <c r="GV140" t="inlineStr">
        <is>
          <t>PAK</t>
        </is>
      </c>
      <c r="GW140" t="inlineStr">
        <is>
          <t>PAK</t>
        </is>
      </c>
      <c r="GX140" t="inlineStr">
        <is>
          <t>PAK</t>
        </is>
      </c>
      <c r="GY140" t="inlineStr">
        <is>
          <t>PAK</t>
        </is>
      </c>
      <c r="GZ140" t="inlineStr">
        <is>
          <t>IND</t>
        </is>
      </c>
      <c r="HA140" t="inlineStr">
        <is>
          <t>IND</t>
        </is>
      </c>
      <c r="HB140" t="inlineStr">
        <is>
          <t>IND</t>
        </is>
      </c>
      <c r="HC140" t="inlineStr">
        <is>
          <t>IND</t>
        </is>
      </c>
      <c r="HD140" t="inlineStr">
        <is>
          <t>IND</t>
        </is>
      </c>
      <c r="HE140" t="inlineStr">
        <is>
          <t>IND</t>
        </is>
      </c>
      <c r="HF140" t="inlineStr">
        <is>
          <t>IND</t>
        </is>
      </c>
      <c r="HG140" t="inlineStr">
        <is>
          <t>IND</t>
        </is>
      </c>
      <c r="HH140" t="inlineStr">
        <is>
          <t>IND</t>
        </is>
      </c>
      <c r="HI140" t="inlineStr">
        <is>
          <t>IND</t>
        </is>
      </c>
      <c r="HJ140" t="inlineStr">
        <is>
          <t>IND</t>
        </is>
      </c>
      <c r="HK140" t="inlineStr">
        <is>
          <t>IND</t>
        </is>
      </c>
      <c r="HL140" t="inlineStr">
        <is>
          <t>IND</t>
        </is>
      </c>
      <c r="HM140" t="inlineStr">
        <is>
          <t>IND</t>
        </is>
      </c>
      <c r="HN140" t="inlineStr">
        <is>
          <t>IND</t>
        </is>
      </c>
      <c r="HO140" t="inlineStr">
        <is>
          <t>NPL</t>
        </is>
      </c>
      <c r="HP140" t="inlineStr">
        <is>
          <t>NPL</t>
        </is>
      </c>
      <c r="HQ140" t="inlineStr">
        <is>
          <t>NPL</t>
        </is>
      </c>
      <c r="HR140" t="inlineStr">
        <is>
          <t>NPL</t>
        </is>
      </c>
      <c r="HS140" t="inlineStr">
        <is>
          <t>NPL</t>
        </is>
      </c>
      <c r="HT140" t="inlineStr">
        <is>
          <t>NPL</t>
        </is>
      </c>
      <c r="HU140" t="inlineStr">
        <is>
          <t>NPL</t>
        </is>
      </c>
      <c r="HV140" t="inlineStr">
        <is>
          <t>CHN</t>
        </is>
      </c>
      <c r="HW140" t="inlineStr">
        <is>
          <t>CHN</t>
        </is>
      </c>
      <c r="HX140" t="inlineStr">
        <is>
          <t>CHN</t>
        </is>
      </c>
      <c r="HY140" t="inlineStr">
        <is>
          <t>CHN</t>
        </is>
      </c>
      <c r="HZ140" t="inlineStr">
        <is>
          <t>CHN</t>
        </is>
      </c>
      <c r="IA140" t="inlineStr">
        <is>
          <t>CHN</t>
        </is>
      </c>
      <c r="IB140" t="inlineStr">
        <is>
          <t>CHN</t>
        </is>
      </c>
      <c r="IC140" t="inlineStr">
        <is>
          <t>CHN</t>
        </is>
      </c>
      <c r="ID140" t="inlineStr">
        <is>
          <t>CHN</t>
        </is>
      </c>
      <c r="IE140" t="inlineStr">
        <is>
          <t>CHN</t>
        </is>
      </c>
      <c r="IF140" t="inlineStr">
        <is>
          <t>CHN</t>
        </is>
      </c>
      <c r="IG140" t="inlineStr">
        <is>
          <t>CHN</t>
        </is>
      </c>
      <c r="IH140" t="inlineStr">
        <is>
          <t>CHN</t>
        </is>
      </c>
      <c r="II140" t="inlineStr">
        <is>
          <t>CHN</t>
        </is>
      </c>
      <c r="IJ140" t="inlineStr">
        <is>
          <t>CHN</t>
        </is>
      </c>
      <c r="IK140" t="inlineStr">
        <is>
          <t>CHN</t>
        </is>
      </c>
      <c r="IL140" t="inlineStr">
        <is>
          <t>CHN</t>
        </is>
      </c>
      <c r="IM140" t="inlineStr">
        <is>
          <t>CHN</t>
        </is>
      </c>
      <c r="IN140" t="inlineStr">
        <is>
          <t>CHN</t>
        </is>
      </c>
      <c r="IO140" t="inlineStr">
        <is>
          <t>CHN</t>
        </is>
      </c>
      <c r="IP140" t="inlineStr">
        <is>
          <t>CHN</t>
        </is>
      </c>
      <c r="IQ140" t="inlineStr">
        <is>
          <t>CHN</t>
        </is>
      </c>
      <c r="IR140" t="inlineStr">
        <is>
          <t>CHN</t>
        </is>
      </c>
      <c r="IS140" t="inlineStr">
        <is>
          <t>CHN</t>
        </is>
      </c>
      <c r="IT140" t="inlineStr">
        <is>
          <t>IND</t>
        </is>
      </c>
      <c r="IU140" t="inlineStr">
        <is>
          <t>CHN</t>
        </is>
      </c>
      <c r="IV140" t="inlineStr">
        <is>
          <t>CHN</t>
        </is>
      </c>
      <c r="IW140" t="inlineStr">
        <is>
          <t>CHN</t>
        </is>
      </c>
      <c r="IX140" t="inlineStr">
        <is>
          <t>CHN</t>
        </is>
      </c>
      <c r="IY140" t="inlineStr">
        <is>
          <t>CHN</t>
        </is>
      </c>
      <c r="IZ140" t="inlineStr">
        <is>
          <t>CHN</t>
        </is>
      </c>
      <c r="JA140" t="inlineStr">
        <is>
          <t>CHN</t>
        </is>
      </c>
      <c r="JB140" t="inlineStr">
        <is>
          <t>CHN</t>
        </is>
      </c>
      <c r="JC140" t="inlineStr">
        <is>
          <t>CHN</t>
        </is>
      </c>
      <c r="JD140" t="inlineStr">
        <is>
          <t>CHN</t>
        </is>
      </c>
      <c r="JE140" t="inlineStr">
        <is>
          <t>CHN</t>
        </is>
      </c>
      <c r="JF140" t="inlineStr">
        <is>
          <t>CHN</t>
        </is>
      </c>
      <c r="JG140" t="inlineStr">
        <is>
          <t>CHN</t>
        </is>
      </c>
      <c r="JH140" t="inlineStr">
        <is>
          <t>CHN</t>
        </is>
      </c>
      <c r="JI140" t="inlineStr">
        <is>
          <t>CHN</t>
        </is>
      </c>
      <c r="JJ140" t="inlineStr">
        <is>
          <t>CHN</t>
        </is>
      </c>
      <c r="JK140" t="inlineStr">
        <is>
          <t>CHN</t>
        </is>
      </c>
      <c r="JL140" t="inlineStr">
        <is>
          <t>CHN</t>
        </is>
      </c>
      <c r="JM140" t="inlineStr">
        <is>
          <t>CHN</t>
        </is>
      </c>
      <c r="JN140" t="inlineStr">
        <is>
          <t>CHN</t>
        </is>
      </c>
      <c r="JO140" t="inlineStr">
        <is>
          <t>CHN</t>
        </is>
      </c>
      <c r="JP140" t="inlineStr">
        <is>
          <t>CHN</t>
        </is>
      </c>
      <c r="JQ140" t="inlineStr">
        <is>
          <t>CHN</t>
        </is>
      </c>
      <c r="JR140" t="inlineStr">
        <is>
          <t>CHN</t>
        </is>
      </c>
      <c r="JS140" t="inlineStr">
        <is>
          <t>CHN</t>
        </is>
      </c>
      <c r="JT140" t="inlineStr">
        <is>
          <t>CHN</t>
        </is>
      </c>
      <c r="JU140" t="inlineStr">
        <is>
          <t>CHN</t>
        </is>
      </c>
    </row>
    <row r="141">
      <c r="AQ141" t="inlineStr">
        <is>
          <t>MAR</t>
        </is>
      </c>
      <c r="AR141" t="inlineStr">
        <is>
          <t>MAR</t>
        </is>
      </c>
      <c r="AS141" t="inlineStr">
        <is>
          <t>MAR</t>
        </is>
      </c>
      <c r="AT141" t="inlineStr">
        <is>
          <t>MAR</t>
        </is>
      </c>
      <c r="AU141" t="inlineStr">
        <is>
          <t>MAR</t>
        </is>
      </c>
      <c r="AV141" t="inlineStr">
        <is>
          <t>MAR</t>
        </is>
      </c>
      <c r="AW141" t="inlineStr">
        <is>
          <t>MAR</t>
        </is>
      </c>
      <c r="AX141" t="inlineStr">
        <is>
          <t>DZA</t>
        </is>
      </c>
      <c r="AY141" t="inlineStr">
        <is>
          <t>DZA</t>
        </is>
      </c>
      <c r="AZ141" t="inlineStr">
        <is>
          <t>DZA</t>
        </is>
      </c>
      <c r="BA141" t="inlineStr">
        <is>
          <t>DZA</t>
        </is>
      </c>
      <c r="BB141" t="inlineStr">
        <is>
          <t>DZA</t>
        </is>
      </c>
      <c r="BC141" t="inlineStr">
        <is>
          <t>DZA</t>
        </is>
      </c>
      <c r="BD141" t="inlineStr">
        <is>
          <t>DZA</t>
        </is>
      </c>
      <c r="BE141" t="inlineStr">
        <is>
          <t>DZA</t>
        </is>
      </c>
      <c r="BF141" t="inlineStr">
        <is>
          <t>DZA</t>
        </is>
      </c>
      <c r="BG141" t="inlineStr">
        <is>
          <t>DZA</t>
        </is>
      </c>
      <c r="BH141" t="inlineStr">
        <is>
          <t>DZA</t>
        </is>
      </c>
      <c r="BI141" t="inlineStr">
        <is>
          <t>DZA</t>
        </is>
      </c>
      <c r="BJ141" t="inlineStr">
        <is>
          <t>DZA</t>
        </is>
      </c>
      <c r="BK141" t="inlineStr">
        <is>
          <t>DZA</t>
        </is>
      </c>
      <c r="BL141" t="inlineStr">
        <is>
          <t>DZA</t>
        </is>
      </c>
      <c r="BM141" t="inlineStr">
        <is>
          <t>DZA</t>
        </is>
      </c>
      <c r="BN141" t="inlineStr">
        <is>
          <t>DZA</t>
        </is>
      </c>
      <c r="BO141" t="inlineStr">
        <is>
          <t>DZA</t>
        </is>
      </c>
      <c r="BP141" t="inlineStr">
        <is>
          <t>DZA</t>
        </is>
      </c>
      <c r="BQ141" t="inlineStr">
        <is>
          <t>DZA</t>
        </is>
      </c>
      <c r="BR141" t="inlineStr">
        <is>
          <t>DZA</t>
        </is>
      </c>
      <c r="BS141" t="inlineStr">
        <is>
          <t>DZA</t>
        </is>
      </c>
      <c r="BT141" t="inlineStr">
        <is>
          <t>DZA</t>
        </is>
      </c>
      <c r="BU141" t="inlineStr">
        <is>
          <t>DZA</t>
        </is>
      </c>
      <c r="BV141" t="inlineStr">
        <is>
          <t>DZA</t>
        </is>
      </c>
      <c r="BW141" t="inlineStr">
        <is>
          <t>DZA</t>
        </is>
      </c>
      <c r="BX141" t="inlineStr">
        <is>
          <t>DZA</t>
        </is>
      </c>
      <c r="BY141" t="inlineStr">
        <is>
          <t>DZA</t>
        </is>
      </c>
      <c r="BZ141" t="inlineStr">
        <is>
          <t>DZA</t>
        </is>
      </c>
      <c r="CA141" t="inlineStr">
        <is>
          <t>DZA</t>
        </is>
      </c>
      <c r="CB141" t="inlineStr">
        <is>
          <t>DZA</t>
        </is>
      </c>
      <c r="CC141" t="inlineStr">
        <is>
          <t>LBY</t>
        </is>
      </c>
      <c r="CD141" t="inlineStr">
        <is>
          <t>LBY</t>
        </is>
      </c>
      <c r="CE141" t="inlineStr">
        <is>
          <t>LBY</t>
        </is>
      </c>
      <c r="CF141" t="inlineStr">
        <is>
          <t>LBY</t>
        </is>
      </c>
      <c r="CG141" t="inlineStr">
        <is>
          <t>LBY</t>
        </is>
      </c>
      <c r="CH141" t="inlineStr">
        <is>
          <t>LBY</t>
        </is>
      </c>
      <c r="CI141" t="inlineStr">
        <is>
          <t>LBY</t>
        </is>
      </c>
      <c r="CJ141" t="inlineStr">
        <is>
          <t>LBY</t>
        </is>
      </c>
      <c r="CK141" t="inlineStr">
        <is>
          <t>LBY</t>
        </is>
      </c>
      <c r="CL141" t="inlineStr">
        <is>
          <t>LBY</t>
        </is>
      </c>
      <c r="CM141" t="inlineStr">
        <is>
          <t>LBY</t>
        </is>
      </c>
      <c r="CN141" t="inlineStr">
        <is>
          <t>LBY</t>
        </is>
      </c>
      <c r="CO141" t="inlineStr">
        <is>
          <t>LBY</t>
        </is>
      </c>
      <c r="CP141" t="inlineStr">
        <is>
          <t>LBY</t>
        </is>
      </c>
      <c r="CQ141" t="inlineStr">
        <is>
          <t>LBY</t>
        </is>
      </c>
      <c r="CR141" t="inlineStr">
        <is>
          <t>LBY</t>
        </is>
      </c>
      <c r="CS141" t="inlineStr">
        <is>
          <t>LBY</t>
        </is>
      </c>
      <c r="CT141" t="inlineStr">
        <is>
          <t>LBY</t>
        </is>
      </c>
      <c r="CU141" t="inlineStr">
        <is>
          <t>LBY</t>
        </is>
      </c>
      <c r="CV141" t="inlineStr">
        <is>
          <t>LBY</t>
        </is>
      </c>
      <c r="CW141" t="inlineStr">
        <is>
          <t>LBY</t>
        </is>
      </c>
      <c r="CX141" t="inlineStr">
        <is>
          <t>LBY</t>
        </is>
      </c>
      <c r="CY141" t="inlineStr">
        <is>
          <t>LBY</t>
        </is>
      </c>
      <c r="CZ141" t="inlineStr">
        <is>
          <t>LBY</t>
        </is>
      </c>
      <c r="DA141" t="inlineStr">
        <is>
          <t>LBY</t>
        </is>
      </c>
      <c r="DB141" t="inlineStr">
        <is>
          <t>LBY</t>
        </is>
      </c>
      <c r="DC141" t="inlineStr">
        <is>
          <t>LBY</t>
        </is>
      </c>
      <c r="DD141" t="inlineStr">
        <is>
          <t>LBY</t>
        </is>
      </c>
      <c r="DE141" t="inlineStr">
        <is>
          <t>LBY</t>
        </is>
      </c>
      <c r="DF141" t="inlineStr">
        <is>
          <t>LBY</t>
        </is>
      </c>
      <c r="DG141" t="inlineStr">
        <is>
          <t>LBY</t>
        </is>
      </c>
      <c r="DH141" t="inlineStr">
        <is>
          <t>EGY</t>
        </is>
      </c>
      <c r="DI141" t="inlineStr">
        <is>
          <t>EGY</t>
        </is>
      </c>
      <c r="DJ141" t="inlineStr">
        <is>
          <t>EGY</t>
        </is>
      </c>
      <c r="DK141" t="inlineStr">
        <is>
          <t>EGY</t>
        </is>
      </c>
      <c r="DL141" t="inlineStr">
        <is>
          <t>EGY</t>
        </is>
      </c>
      <c r="DM141" t="inlineStr">
        <is>
          <t>EGY</t>
        </is>
      </c>
      <c r="DN141" t="inlineStr">
        <is>
          <t>EGY</t>
        </is>
      </c>
      <c r="DO141" t="inlineStr">
        <is>
          <t>EGY</t>
        </is>
      </c>
      <c r="DP141" t="inlineStr">
        <is>
          <t>EGY</t>
        </is>
      </c>
      <c r="DQ141" t="inlineStr">
        <is>
          <t>EGY</t>
        </is>
      </c>
      <c r="DR141" t="inlineStr">
        <is>
          <t>EGY</t>
        </is>
      </c>
      <c r="DS141" t="inlineStr">
        <is>
          <t>EGY</t>
        </is>
      </c>
      <c r="DT141" t="inlineStr">
        <is>
          <t>EGY</t>
        </is>
      </c>
      <c r="DU141" t="inlineStr">
        <is>
          <t>EGY</t>
        </is>
      </c>
      <c r="DV141" t="inlineStr">
        <is>
          <t>EGY</t>
        </is>
      </c>
      <c r="DW141" t="inlineStr">
        <is>
          <t>EGY</t>
        </is>
      </c>
      <c r="DX141" t="inlineStr">
        <is>
          <t>EGY</t>
        </is>
      </c>
      <c r="DY141" t="inlineStr">
        <is>
          <t>EGY</t>
        </is>
      </c>
      <c r="DZ141" t="inlineStr">
        <is>
          <t>EGY</t>
        </is>
      </c>
      <c r="EA141" t="inlineStr">
        <is>
          <t>EGY</t>
        </is>
      </c>
      <c r="EB141" t="inlineStr">
        <is>
          <t>JOR</t>
        </is>
      </c>
      <c r="EC141" t="inlineStr">
        <is>
          <t>JOR</t>
        </is>
      </c>
      <c r="ED141" t="inlineStr">
        <is>
          <t>JOR</t>
        </is>
      </c>
      <c r="EE141" t="inlineStr">
        <is>
          <t>SAU</t>
        </is>
      </c>
      <c r="EF141" t="inlineStr">
        <is>
          <t>SAU</t>
        </is>
      </c>
      <c r="EG141" t="inlineStr">
        <is>
          <t>SAU</t>
        </is>
      </c>
      <c r="EH141" t="inlineStr">
        <is>
          <t>SAU</t>
        </is>
      </c>
      <c r="EI141" t="inlineStr">
        <is>
          <t>SAU</t>
        </is>
      </c>
      <c r="EJ141" t="inlineStr">
        <is>
          <t>SAU</t>
        </is>
      </c>
      <c r="EK141" t="inlineStr">
        <is>
          <t>SAU</t>
        </is>
      </c>
      <c r="EL141" t="inlineStr">
        <is>
          <t>SAU</t>
        </is>
      </c>
      <c r="EM141" t="inlineStr">
        <is>
          <t>SAU</t>
        </is>
      </c>
      <c r="EN141" t="inlineStr">
        <is>
          <t>SAU</t>
        </is>
      </c>
      <c r="EO141" t="inlineStr">
        <is>
          <t>SAU</t>
        </is>
      </c>
      <c r="EP141" t="inlineStr">
        <is>
          <t>SAU</t>
        </is>
      </c>
      <c r="EQ141" t="inlineStr">
        <is>
          <t>SAU</t>
        </is>
      </c>
      <c r="ER141" t="inlineStr">
        <is>
          <t>SAU</t>
        </is>
      </c>
      <c r="ES141" t="inlineStr">
        <is>
          <t>SAU</t>
        </is>
      </c>
      <c r="ET141" t="inlineStr">
        <is>
          <t>IRQ</t>
        </is>
      </c>
      <c r="EU141" t="inlineStr">
        <is>
          <t>IRQ</t>
        </is>
      </c>
      <c r="EV141" t="inlineStr">
        <is>
          <t>IRQ</t>
        </is>
      </c>
      <c r="EW141" t="inlineStr">
        <is>
          <t>IRQ</t>
        </is>
      </c>
      <c r="EX141" t="inlineStr">
        <is>
          <t>IRQ</t>
        </is>
      </c>
      <c r="EY141" t="inlineStr">
        <is>
          <t>IRQ</t>
        </is>
      </c>
      <c r="EZ141" t="inlineStr">
        <is>
          <t>KWT</t>
        </is>
      </c>
      <c r="FA141" t="inlineStr">
        <is>
          <t>KWT</t>
        </is>
      </c>
      <c r="FG141" t="inlineStr">
        <is>
          <t>IRN</t>
        </is>
      </c>
      <c r="FH141" t="inlineStr">
        <is>
          <t>IRN</t>
        </is>
      </c>
      <c r="FI141" t="inlineStr">
        <is>
          <t>IRN</t>
        </is>
      </c>
      <c r="FJ141" t="inlineStr">
        <is>
          <t>IRN</t>
        </is>
      </c>
      <c r="FK141" t="inlineStr">
        <is>
          <t>IRN</t>
        </is>
      </c>
      <c r="FL141" t="inlineStr">
        <is>
          <t>IRN</t>
        </is>
      </c>
      <c r="FM141" t="inlineStr">
        <is>
          <t>IRN</t>
        </is>
      </c>
      <c r="FN141" t="inlineStr">
        <is>
          <t>IRN</t>
        </is>
      </c>
      <c r="FO141" t="inlineStr">
        <is>
          <t>IRN</t>
        </is>
      </c>
      <c r="FP141" t="inlineStr">
        <is>
          <t>IRN</t>
        </is>
      </c>
      <c r="FQ141" t="inlineStr">
        <is>
          <t>IRN</t>
        </is>
      </c>
      <c r="FR141" t="inlineStr">
        <is>
          <t>IRN</t>
        </is>
      </c>
      <c r="FS141" t="inlineStr">
        <is>
          <t>IRN</t>
        </is>
      </c>
      <c r="FT141" t="inlineStr">
        <is>
          <t>IRN</t>
        </is>
      </c>
      <c r="FU141" t="inlineStr">
        <is>
          <t>IRN</t>
        </is>
      </c>
      <c r="FV141" t="inlineStr">
        <is>
          <t>IRN</t>
        </is>
      </c>
      <c r="FW141" t="inlineStr">
        <is>
          <t>IRN</t>
        </is>
      </c>
      <c r="FX141" t="inlineStr">
        <is>
          <t>IRN</t>
        </is>
      </c>
      <c r="FY141" t="inlineStr">
        <is>
          <t>IRN</t>
        </is>
      </c>
      <c r="FZ141" t="inlineStr">
        <is>
          <t>IRN</t>
        </is>
      </c>
      <c r="GA141" t="inlineStr">
        <is>
          <t>IRN</t>
        </is>
      </c>
      <c r="GB141" t="inlineStr">
        <is>
          <t>AFG</t>
        </is>
      </c>
      <c r="GC141" t="inlineStr">
        <is>
          <t>AFG</t>
        </is>
      </c>
      <c r="GD141" t="inlineStr">
        <is>
          <t>AFG</t>
        </is>
      </c>
      <c r="GE141" t="inlineStr">
        <is>
          <t>AFG</t>
        </is>
      </c>
      <c r="GF141" t="inlineStr">
        <is>
          <t>AFG</t>
        </is>
      </c>
      <c r="GG141" t="inlineStr">
        <is>
          <t>AFG</t>
        </is>
      </c>
      <c r="GH141" t="inlineStr">
        <is>
          <t>AFG</t>
        </is>
      </c>
      <c r="GI141" t="inlineStr">
        <is>
          <t>AFG</t>
        </is>
      </c>
      <c r="GJ141" t="inlineStr">
        <is>
          <t>AFG</t>
        </is>
      </c>
      <c r="GK141" t="inlineStr">
        <is>
          <t>AFG</t>
        </is>
      </c>
      <c r="GL141" t="inlineStr">
        <is>
          <t>PAK</t>
        </is>
      </c>
      <c r="GM141" t="inlineStr">
        <is>
          <t>PAK</t>
        </is>
      </c>
      <c r="GN141" t="inlineStr">
        <is>
          <t>PAK</t>
        </is>
      </c>
      <c r="GO141" t="inlineStr">
        <is>
          <t>PAK</t>
        </is>
      </c>
      <c r="GP141" t="inlineStr">
        <is>
          <t>PAK</t>
        </is>
      </c>
      <c r="GQ141" t="inlineStr">
        <is>
          <t>PAK</t>
        </is>
      </c>
      <c r="GR141" t="inlineStr">
        <is>
          <t>PAK</t>
        </is>
      </c>
      <c r="GS141" t="inlineStr">
        <is>
          <t>PAK</t>
        </is>
      </c>
      <c r="GT141" t="inlineStr">
        <is>
          <t>PAK</t>
        </is>
      </c>
      <c r="GU141" t="inlineStr">
        <is>
          <t>PAK</t>
        </is>
      </c>
      <c r="GV141" t="inlineStr">
        <is>
          <t>PAK</t>
        </is>
      </c>
      <c r="GW141" t="inlineStr">
        <is>
          <t>PAK</t>
        </is>
      </c>
      <c r="GX141" t="inlineStr">
        <is>
          <t>PAK</t>
        </is>
      </c>
      <c r="GY141" t="inlineStr">
        <is>
          <t>PAK</t>
        </is>
      </c>
      <c r="GZ141" t="inlineStr">
        <is>
          <t>PAK</t>
        </is>
      </c>
      <c r="HA141" t="inlineStr">
        <is>
          <t>IND</t>
        </is>
      </c>
      <c r="HB141" t="inlineStr">
        <is>
          <t>IND</t>
        </is>
      </c>
      <c r="HC141" t="inlineStr">
        <is>
          <t>IND</t>
        </is>
      </c>
      <c r="HD141" t="inlineStr">
        <is>
          <t>IND</t>
        </is>
      </c>
      <c r="HE141" t="inlineStr">
        <is>
          <t>IND</t>
        </is>
      </c>
      <c r="HF141" t="inlineStr">
        <is>
          <t>IND</t>
        </is>
      </c>
      <c r="HG141" t="inlineStr">
        <is>
          <t>IND</t>
        </is>
      </c>
      <c r="HH141" t="inlineStr">
        <is>
          <t>IND</t>
        </is>
      </c>
      <c r="HI141" t="inlineStr">
        <is>
          <t>IND</t>
        </is>
      </c>
      <c r="HJ141" t="inlineStr">
        <is>
          <t>IND</t>
        </is>
      </c>
      <c r="HK141" t="inlineStr">
        <is>
          <t>IND</t>
        </is>
      </c>
      <c r="HL141" t="inlineStr">
        <is>
          <t>IND</t>
        </is>
      </c>
      <c r="HM141" t="inlineStr">
        <is>
          <t>IND</t>
        </is>
      </c>
      <c r="HN141" t="inlineStr">
        <is>
          <t>IND</t>
        </is>
      </c>
      <c r="HO141" t="inlineStr">
        <is>
          <t>NPL</t>
        </is>
      </c>
      <c r="HP141" t="inlineStr">
        <is>
          <t>NPL</t>
        </is>
      </c>
      <c r="HQ141" t="inlineStr">
        <is>
          <t>NPL</t>
        </is>
      </c>
      <c r="HR141" t="inlineStr">
        <is>
          <t>NPL</t>
        </is>
      </c>
      <c r="HS141" t="inlineStr">
        <is>
          <t>NPL</t>
        </is>
      </c>
      <c r="HT141" t="inlineStr">
        <is>
          <t>CHN</t>
        </is>
      </c>
      <c r="HU141" t="inlineStr">
        <is>
          <t>CHN</t>
        </is>
      </c>
      <c r="HV141" t="inlineStr">
        <is>
          <t>CHN</t>
        </is>
      </c>
      <c r="HW141" t="inlineStr">
        <is>
          <t>CHN</t>
        </is>
      </c>
      <c r="HX141" t="inlineStr">
        <is>
          <t>CHN</t>
        </is>
      </c>
      <c r="HY141" t="inlineStr">
        <is>
          <t>CHN</t>
        </is>
      </c>
      <c r="HZ141" t="inlineStr">
        <is>
          <t>CHN</t>
        </is>
      </c>
      <c r="IA141" t="inlineStr">
        <is>
          <t>CHN</t>
        </is>
      </c>
      <c r="IB141" t="inlineStr">
        <is>
          <t>CHN</t>
        </is>
      </c>
      <c r="IC141" t="inlineStr">
        <is>
          <t>CHN</t>
        </is>
      </c>
      <c r="ID141" t="inlineStr">
        <is>
          <t>CHN</t>
        </is>
      </c>
      <c r="IE141" t="inlineStr">
        <is>
          <t>CHN</t>
        </is>
      </c>
      <c r="IF141" t="inlineStr">
        <is>
          <t>CHN</t>
        </is>
      </c>
      <c r="IG141" t="inlineStr">
        <is>
          <t>CHN</t>
        </is>
      </c>
      <c r="IH141" t="inlineStr">
        <is>
          <t>CHN</t>
        </is>
      </c>
      <c r="II141" t="inlineStr">
        <is>
          <t>CHN</t>
        </is>
      </c>
      <c r="IJ141" t="inlineStr">
        <is>
          <t>CHN</t>
        </is>
      </c>
      <c r="IK141" t="inlineStr">
        <is>
          <t>CHN</t>
        </is>
      </c>
      <c r="IL141" t="inlineStr">
        <is>
          <t>CHN</t>
        </is>
      </c>
      <c r="IM141" t="inlineStr">
        <is>
          <t>CHN</t>
        </is>
      </c>
      <c r="IN141" t="inlineStr">
        <is>
          <t>CHN</t>
        </is>
      </c>
      <c r="IO141" t="inlineStr">
        <is>
          <t>CHN</t>
        </is>
      </c>
      <c r="IP141" t="inlineStr">
        <is>
          <t>CHN</t>
        </is>
      </c>
      <c r="IQ141" t="inlineStr">
        <is>
          <t>CHN</t>
        </is>
      </c>
      <c r="IR141" t="inlineStr">
        <is>
          <t>CHN</t>
        </is>
      </c>
      <c r="IS141" t="inlineStr">
        <is>
          <t>CHN</t>
        </is>
      </c>
      <c r="IT141" t="inlineStr">
        <is>
          <t>CHN</t>
        </is>
      </c>
      <c r="IU141" t="inlineStr">
        <is>
          <t>CHN</t>
        </is>
      </c>
      <c r="IV141" t="inlineStr">
        <is>
          <t>CHN</t>
        </is>
      </c>
      <c r="IW141" t="inlineStr">
        <is>
          <t>CHN</t>
        </is>
      </c>
      <c r="IX141" t="inlineStr">
        <is>
          <t>CHN</t>
        </is>
      </c>
      <c r="IY141" t="inlineStr">
        <is>
          <t>CHN</t>
        </is>
      </c>
      <c r="IZ141" t="inlineStr">
        <is>
          <t>CHN</t>
        </is>
      </c>
      <c r="JA141" t="inlineStr">
        <is>
          <t>CHN</t>
        </is>
      </c>
      <c r="JB141" t="inlineStr">
        <is>
          <t>CHN</t>
        </is>
      </c>
      <c r="JC141" t="inlineStr">
        <is>
          <t>CHN</t>
        </is>
      </c>
      <c r="JD141" t="inlineStr">
        <is>
          <t>CHN</t>
        </is>
      </c>
      <c r="JE141" t="inlineStr">
        <is>
          <t>CHN</t>
        </is>
      </c>
      <c r="JF141" t="inlineStr">
        <is>
          <t>CHN</t>
        </is>
      </c>
      <c r="JG141" t="inlineStr">
        <is>
          <t>CHN</t>
        </is>
      </c>
      <c r="JH141" t="inlineStr">
        <is>
          <t>CHN</t>
        </is>
      </c>
      <c r="JI141" t="inlineStr">
        <is>
          <t>CHN</t>
        </is>
      </c>
      <c r="JJ141" t="inlineStr">
        <is>
          <t>CHN</t>
        </is>
      </c>
      <c r="JK141" t="inlineStr">
        <is>
          <t>CHN</t>
        </is>
      </c>
      <c r="JL141" t="inlineStr">
        <is>
          <t>CHN</t>
        </is>
      </c>
      <c r="JM141" t="inlineStr">
        <is>
          <t>CHN</t>
        </is>
      </c>
      <c r="JN141" t="inlineStr">
        <is>
          <t>CHN</t>
        </is>
      </c>
      <c r="JO141" t="inlineStr">
        <is>
          <t>CHN</t>
        </is>
      </c>
      <c r="JP141" t="inlineStr">
        <is>
          <t>CHN</t>
        </is>
      </c>
      <c r="JQ141" t="inlineStr">
        <is>
          <t>CHN</t>
        </is>
      </c>
      <c r="JR141" t="inlineStr">
        <is>
          <t>CHN</t>
        </is>
      </c>
      <c r="JS141" t="inlineStr">
        <is>
          <t>CHN</t>
        </is>
      </c>
      <c r="JT141" t="inlineStr">
        <is>
          <t>CHN</t>
        </is>
      </c>
      <c r="JU141" t="inlineStr">
        <is>
          <t>CHN</t>
        </is>
      </c>
    </row>
    <row r="142">
      <c r="AQ142" t="inlineStr">
        <is>
          <t>MAR</t>
        </is>
      </c>
      <c r="AR142" t="inlineStr">
        <is>
          <t>MAR</t>
        </is>
      </c>
      <c r="AS142" t="inlineStr">
        <is>
          <t>MAR</t>
        </is>
      </c>
      <c r="AT142" t="inlineStr">
        <is>
          <t>MAR</t>
        </is>
      </c>
      <c r="AU142" t="inlineStr">
        <is>
          <t>MAR</t>
        </is>
      </c>
      <c r="AV142" t="inlineStr">
        <is>
          <t>MAR</t>
        </is>
      </c>
      <c r="AW142" t="inlineStr">
        <is>
          <t>MAR</t>
        </is>
      </c>
      <c r="AX142" t="inlineStr">
        <is>
          <t>MAR</t>
        </is>
      </c>
      <c r="AY142" t="inlineStr">
        <is>
          <t>MAR</t>
        </is>
      </c>
      <c r="AZ142" t="inlineStr">
        <is>
          <t>DZA</t>
        </is>
      </c>
      <c r="BA142" t="inlineStr">
        <is>
          <t>DZA</t>
        </is>
      </c>
      <c r="BB142" t="inlineStr">
        <is>
          <t>DZA</t>
        </is>
      </c>
      <c r="BC142" t="inlineStr">
        <is>
          <t>DZA</t>
        </is>
      </c>
      <c r="BD142" t="inlineStr">
        <is>
          <t>DZA</t>
        </is>
      </c>
      <c r="BE142" t="inlineStr">
        <is>
          <t>DZA</t>
        </is>
      </c>
      <c r="BF142" t="inlineStr">
        <is>
          <t>DZA</t>
        </is>
      </c>
      <c r="BG142" t="inlineStr">
        <is>
          <t>DZA</t>
        </is>
      </c>
      <c r="BH142" t="inlineStr">
        <is>
          <t>DZA</t>
        </is>
      </c>
      <c r="BI142" t="inlineStr">
        <is>
          <t>DZA</t>
        </is>
      </c>
      <c r="BJ142" t="inlineStr">
        <is>
          <t>DZA</t>
        </is>
      </c>
      <c r="BK142" t="inlineStr">
        <is>
          <t>DZA</t>
        </is>
      </c>
      <c r="BL142" t="inlineStr">
        <is>
          <t>DZA</t>
        </is>
      </c>
      <c r="BM142" t="inlineStr">
        <is>
          <t>DZA</t>
        </is>
      </c>
      <c r="BN142" t="inlineStr">
        <is>
          <t>DZA</t>
        </is>
      </c>
      <c r="BO142" t="inlineStr">
        <is>
          <t>DZA</t>
        </is>
      </c>
      <c r="BP142" t="inlineStr">
        <is>
          <t>DZA</t>
        </is>
      </c>
      <c r="BQ142" t="inlineStr">
        <is>
          <t>DZA</t>
        </is>
      </c>
      <c r="BR142" t="inlineStr">
        <is>
          <t>DZA</t>
        </is>
      </c>
      <c r="BS142" t="inlineStr">
        <is>
          <t>DZA</t>
        </is>
      </c>
      <c r="BT142" t="inlineStr">
        <is>
          <t>DZA</t>
        </is>
      </c>
      <c r="BU142" t="inlineStr">
        <is>
          <t>DZA</t>
        </is>
      </c>
      <c r="BV142" t="inlineStr">
        <is>
          <t>DZA</t>
        </is>
      </c>
      <c r="BW142" t="inlineStr">
        <is>
          <t>DZA</t>
        </is>
      </c>
      <c r="BX142" t="inlineStr">
        <is>
          <t>DZA</t>
        </is>
      </c>
      <c r="BY142" t="inlineStr">
        <is>
          <t>DZA</t>
        </is>
      </c>
      <c r="BZ142" t="inlineStr">
        <is>
          <t>DZA</t>
        </is>
      </c>
      <c r="CA142" t="inlineStr">
        <is>
          <t>DZA</t>
        </is>
      </c>
      <c r="CB142" t="inlineStr">
        <is>
          <t>DZA</t>
        </is>
      </c>
      <c r="CC142" t="inlineStr">
        <is>
          <t>LBY</t>
        </is>
      </c>
      <c r="CD142" t="inlineStr">
        <is>
          <t>LBY</t>
        </is>
      </c>
      <c r="CE142" t="inlineStr">
        <is>
          <t>LBY</t>
        </is>
      </c>
      <c r="CF142" t="inlineStr">
        <is>
          <t>LBY</t>
        </is>
      </c>
      <c r="CG142" t="inlineStr">
        <is>
          <t>LBY</t>
        </is>
      </c>
      <c r="CH142" t="inlineStr">
        <is>
          <t>LBY</t>
        </is>
      </c>
      <c r="CI142" t="inlineStr">
        <is>
          <t>LBY</t>
        </is>
      </c>
      <c r="CJ142" t="inlineStr">
        <is>
          <t>LBY</t>
        </is>
      </c>
      <c r="CK142" t="inlineStr">
        <is>
          <t>LBY</t>
        </is>
      </c>
      <c r="CL142" t="inlineStr">
        <is>
          <t>LBY</t>
        </is>
      </c>
      <c r="CM142" t="inlineStr">
        <is>
          <t>LBY</t>
        </is>
      </c>
      <c r="CN142" t="inlineStr">
        <is>
          <t>LBY</t>
        </is>
      </c>
      <c r="CO142" t="inlineStr">
        <is>
          <t>LBY</t>
        </is>
      </c>
      <c r="CP142" t="inlineStr">
        <is>
          <t>LBY</t>
        </is>
      </c>
      <c r="CQ142" t="inlineStr">
        <is>
          <t>LBY</t>
        </is>
      </c>
      <c r="CR142" t="inlineStr">
        <is>
          <t>LBY</t>
        </is>
      </c>
      <c r="CS142" t="inlineStr">
        <is>
          <t>LBY</t>
        </is>
      </c>
      <c r="CT142" t="inlineStr">
        <is>
          <t>LBY</t>
        </is>
      </c>
      <c r="CU142" t="inlineStr">
        <is>
          <t>LBY</t>
        </is>
      </c>
      <c r="CV142" t="inlineStr">
        <is>
          <t>LBY</t>
        </is>
      </c>
      <c r="CW142" t="inlineStr">
        <is>
          <t>LBY</t>
        </is>
      </c>
      <c r="CX142" t="inlineStr">
        <is>
          <t>LBY</t>
        </is>
      </c>
      <c r="CY142" t="inlineStr">
        <is>
          <t>LBY</t>
        </is>
      </c>
      <c r="CZ142" t="inlineStr">
        <is>
          <t>LBY</t>
        </is>
      </c>
      <c r="DA142" t="inlineStr">
        <is>
          <t>LBY</t>
        </is>
      </c>
      <c r="DB142" t="inlineStr">
        <is>
          <t>LBY</t>
        </is>
      </c>
      <c r="DC142" t="inlineStr">
        <is>
          <t>LBY</t>
        </is>
      </c>
      <c r="DD142" t="inlineStr">
        <is>
          <t>LBY</t>
        </is>
      </c>
      <c r="DE142" t="inlineStr">
        <is>
          <t>LBY</t>
        </is>
      </c>
      <c r="DF142" t="inlineStr">
        <is>
          <t>LBY</t>
        </is>
      </c>
      <c r="DG142" t="inlineStr">
        <is>
          <t>LBY</t>
        </is>
      </c>
      <c r="DH142" t="inlineStr">
        <is>
          <t>EGY</t>
        </is>
      </c>
      <c r="DI142" t="inlineStr">
        <is>
          <t>EGY</t>
        </is>
      </c>
      <c r="DJ142" t="inlineStr">
        <is>
          <t>EGY</t>
        </is>
      </c>
      <c r="DK142" t="inlineStr">
        <is>
          <t>EGY</t>
        </is>
      </c>
      <c r="DL142" t="inlineStr">
        <is>
          <t>EGY</t>
        </is>
      </c>
      <c r="DM142" t="inlineStr">
        <is>
          <t>EGY</t>
        </is>
      </c>
      <c r="DN142" t="inlineStr">
        <is>
          <t>EGY</t>
        </is>
      </c>
      <c r="DO142" t="inlineStr">
        <is>
          <t>EGY</t>
        </is>
      </c>
      <c r="DP142" t="inlineStr">
        <is>
          <t>EGY</t>
        </is>
      </c>
      <c r="DQ142" t="inlineStr">
        <is>
          <t>EGY</t>
        </is>
      </c>
      <c r="DR142" t="inlineStr">
        <is>
          <t>EGY</t>
        </is>
      </c>
      <c r="DS142" t="inlineStr">
        <is>
          <t>EGY</t>
        </is>
      </c>
      <c r="DT142" t="inlineStr">
        <is>
          <t>EGY</t>
        </is>
      </c>
      <c r="DU142" t="inlineStr">
        <is>
          <t>EGY</t>
        </is>
      </c>
      <c r="DV142" t="inlineStr">
        <is>
          <t>EGY</t>
        </is>
      </c>
      <c r="DW142" t="inlineStr">
        <is>
          <t>EGY</t>
        </is>
      </c>
      <c r="DX142" t="inlineStr">
        <is>
          <t>EGY</t>
        </is>
      </c>
      <c r="DY142" t="inlineStr">
        <is>
          <t>EGY</t>
        </is>
      </c>
      <c r="DZ142" t="inlineStr">
        <is>
          <t>EGY</t>
        </is>
      </c>
      <c r="EA142" t="inlineStr">
        <is>
          <t>ISR</t>
        </is>
      </c>
      <c r="EB142" t="inlineStr">
        <is>
          <t>JOR</t>
        </is>
      </c>
      <c r="EC142" t="inlineStr">
        <is>
          <t>JOR</t>
        </is>
      </c>
      <c r="ED142" t="inlineStr">
        <is>
          <t>JOR</t>
        </is>
      </c>
      <c r="EE142" t="inlineStr">
        <is>
          <t>JOR</t>
        </is>
      </c>
      <c r="EF142" t="inlineStr">
        <is>
          <t>JOR</t>
        </is>
      </c>
      <c r="EG142" t="inlineStr">
        <is>
          <t>SAU</t>
        </is>
      </c>
      <c r="EH142" t="inlineStr">
        <is>
          <t>SAU</t>
        </is>
      </c>
      <c r="EI142" t="inlineStr">
        <is>
          <t>SAU</t>
        </is>
      </c>
      <c r="EJ142" t="inlineStr">
        <is>
          <t>SAU</t>
        </is>
      </c>
      <c r="EK142" t="inlineStr">
        <is>
          <t>SAU</t>
        </is>
      </c>
      <c r="EL142" t="inlineStr">
        <is>
          <t>SAU</t>
        </is>
      </c>
      <c r="EM142" t="inlineStr">
        <is>
          <t>SAU</t>
        </is>
      </c>
      <c r="EN142" t="inlineStr">
        <is>
          <t>SAU</t>
        </is>
      </c>
      <c r="EO142" t="inlineStr">
        <is>
          <t>SAU</t>
        </is>
      </c>
      <c r="EP142" t="inlineStr">
        <is>
          <t>SAU</t>
        </is>
      </c>
      <c r="EQ142" t="inlineStr">
        <is>
          <t>SAU</t>
        </is>
      </c>
      <c r="ER142" t="inlineStr">
        <is>
          <t>IRQ</t>
        </is>
      </c>
      <c r="ES142" t="inlineStr">
        <is>
          <t>IRQ</t>
        </is>
      </c>
      <c r="ET142" t="inlineStr">
        <is>
          <t>IRQ</t>
        </is>
      </c>
      <c r="EU142" t="inlineStr">
        <is>
          <t>IRQ</t>
        </is>
      </c>
      <c r="EV142" t="inlineStr">
        <is>
          <t>IRQ</t>
        </is>
      </c>
      <c r="EW142" t="inlineStr">
        <is>
          <t>IRQ</t>
        </is>
      </c>
      <c r="EX142" t="inlineStr">
        <is>
          <t>IRQ</t>
        </is>
      </c>
      <c r="EY142" t="inlineStr">
        <is>
          <t>IRQ</t>
        </is>
      </c>
      <c r="EZ142" t="inlineStr">
        <is>
          <t>IRQ</t>
        </is>
      </c>
      <c r="FA142" t="inlineStr">
        <is>
          <t>IRQ</t>
        </is>
      </c>
      <c r="FB142" t="inlineStr">
        <is>
          <t>IRN</t>
        </is>
      </c>
      <c r="FC142" t="inlineStr">
        <is>
          <t>IRN</t>
        </is>
      </c>
      <c r="FD142" t="inlineStr">
        <is>
          <t>IRN</t>
        </is>
      </c>
      <c r="FE142" t="inlineStr">
        <is>
          <t>IRN</t>
        </is>
      </c>
      <c r="FF142" t="inlineStr">
        <is>
          <t>IRN</t>
        </is>
      </c>
      <c r="FG142" t="inlineStr">
        <is>
          <t>IRN</t>
        </is>
      </c>
      <c r="FH142" t="inlineStr">
        <is>
          <t>IRN</t>
        </is>
      </c>
      <c r="FI142" t="inlineStr">
        <is>
          <t>IRN</t>
        </is>
      </c>
      <c r="FJ142" t="inlineStr">
        <is>
          <t>IRN</t>
        </is>
      </c>
      <c r="FK142" t="inlineStr">
        <is>
          <t>IRN</t>
        </is>
      </c>
      <c r="FL142" t="inlineStr">
        <is>
          <t>IRN</t>
        </is>
      </c>
      <c r="FM142" t="inlineStr">
        <is>
          <t>IRN</t>
        </is>
      </c>
      <c r="FN142" t="inlineStr">
        <is>
          <t>IRN</t>
        </is>
      </c>
      <c r="FO142" t="inlineStr">
        <is>
          <t>IRN</t>
        </is>
      </c>
      <c r="FP142" t="inlineStr">
        <is>
          <t>IRN</t>
        </is>
      </c>
      <c r="FQ142" t="inlineStr">
        <is>
          <t>IRN</t>
        </is>
      </c>
      <c r="FR142" t="inlineStr">
        <is>
          <t>IRN</t>
        </is>
      </c>
      <c r="FS142" t="inlineStr">
        <is>
          <t>IRN</t>
        </is>
      </c>
      <c r="FT142" t="inlineStr">
        <is>
          <t>IRN</t>
        </is>
      </c>
      <c r="FU142" t="inlineStr">
        <is>
          <t>IRN</t>
        </is>
      </c>
      <c r="FV142" t="inlineStr">
        <is>
          <t>IRN</t>
        </is>
      </c>
      <c r="FW142" t="inlineStr">
        <is>
          <t>IRN</t>
        </is>
      </c>
      <c r="FX142" t="inlineStr">
        <is>
          <t>IRN</t>
        </is>
      </c>
      <c r="FY142" t="inlineStr">
        <is>
          <t>IRN</t>
        </is>
      </c>
      <c r="FZ142" t="inlineStr">
        <is>
          <t>IRN</t>
        </is>
      </c>
      <c r="GA142" t="inlineStr">
        <is>
          <t>IRN</t>
        </is>
      </c>
      <c r="GB142" t="inlineStr">
        <is>
          <t>IRN</t>
        </is>
      </c>
      <c r="GC142" t="inlineStr">
        <is>
          <t>AFG</t>
        </is>
      </c>
      <c r="GD142" t="inlineStr">
        <is>
          <t>AFG</t>
        </is>
      </c>
      <c r="GE142" t="inlineStr">
        <is>
          <t>AFG</t>
        </is>
      </c>
      <c r="GF142" t="inlineStr">
        <is>
          <t>AFG</t>
        </is>
      </c>
      <c r="GG142" t="inlineStr">
        <is>
          <t>AFG</t>
        </is>
      </c>
      <c r="GH142" t="inlineStr">
        <is>
          <t>AFG</t>
        </is>
      </c>
      <c r="GI142" t="inlineStr">
        <is>
          <t>AFG</t>
        </is>
      </c>
      <c r="GJ142" t="inlineStr">
        <is>
          <t>AFG</t>
        </is>
      </c>
      <c r="GK142" t="inlineStr">
        <is>
          <t>AFG</t>
        </is>
      </c>
      <c r="GL142" t="inlineStr">
        <is>
          <t>AFG</t>
        </is>
      </c>
      <c r="GM142" t="inlineStr">
        <is>
          <t>PAK</t>
        </is>
      </c>
      <c r="GN142" t="inlineStr">
        <is>
          <t>PAK</t>
        </is>
      </c>
      <c r="GO142" t="inlineStr">
        <is>
          <t>PAK</t>
        </is>
      </c>
      <c r="GP142" t="inlineStr">
        <is>
          <t>PAK</t>
        </is>
      </c>
      <c r="GQ142" t="inlineStr">
        <is>
          <t>PAK</t>
        </is>
      </c>
      <c r="GR142" t="inlineStr">
        <is>
          <t>PAK</t>
        </is>
      </c>
      <c r="GS142" t="inlineStr">
        <is>
          <t>PAK</t>
        </is>
      </c>
      <c r="GT142" t="inlineStr">
        <is>
          <t>PAK</t>
        </is>
      </c>
      <c r="GU142" t="inlineStr">
        <is>
          <t>PAK</t>
        </is>
      </c>
      <c r="GV142" t="inlineStr">
        <is>
          <t>PAK</t>
        </is>
      </c>
      <c r="GW142" t="inlineStr">
        <is>
          <t>PAK</t>
        </is>
      </c>
      <c r="GX142" t="inlineStr">
        <is>
          <t>PAK</t>
        </is>
      </c>
      <c r="GY142" t="inlineStr">
        <is>
          <t>PAK</t>
        </is>
      </c>
      <c r="GZ142" t="inlineStr">
        <is>
          <t>PAK</t>
        </is>
      </c>
      <c r="HA142" t="inlineStr">
        <is>
          <t>IND</t>
        </is>
      </c>
      <c r="HB142" t="inlineStr">
        <is>
          <t>IND</t>
        </is>
      </c>
      <c r="HC142" t="inlineStr">
        <is>
          <t>IND</t>
        </is>
      </c>
      <c r="HD142" t="inlineStr">
        <is>
          <t>IND</t>
        </is>
      </c>
      <c r="HE142" t="inlineStr">
        <is>
          <t>IND</t>
        </is>
      </c>
      <c r="HF142" t="inlineStr">
        <is>
          <t>IND</t>
        </is>
      </c>
      <c r="HG142" t="inlineStr">
        <is>
          <t>IND</t>
        </is>
      </c>
      <c r="HH142" t="inlineStr">
        <is>
          <t>IND</t>
        </is>
      </c>
      <c r="HI142" t="inlineStr">
        <is>
          <t>IND</t>
        </is>
      </c>
      <c r="HJ142" t="inlineStr">
        <is>
          <t>IND</t>
        </is>
      </c>
      <c r="HK142" t="inlineStr">
        <is>
          <t>IND</t>
        </is>
      </c>
      <c r="HL142" t="inlineStr">
        <is>
          <t>IND</t>
        </is>
      </c>
      <c r="HM142" t="inlineStr">
        <is>
          <t>IND</t>
        </is>
      </c>
      <c r="HN142" t="inlineStr">
        <is>
          <t>IND</t>
        </is>
      </c>
      <c r="HO142" t="inlineStr">
        <is>
          <t>IND</t>
        </is>
      </c>
      <c r="HP142" t="inlineStr">
        <is>
          <t>NPL</t>
        </is>
      </c>
      <c r="HQ142" t="inlineStr">
        <is>
          <t>NPL</t>
        </is>
      </c>
      <c r="HR142" t="inlineStr">
        <is>
          <t>CHN</t>
        </is>
      </c>
      <c r="HS142" t="inlineStr">
        <is>
          <t>CHN</t>
        </is>
      </c>
      <c r="HT142" t="inlineStr">
        <is>
          <t>CHN</t>
        </is>
      </c>
      <c r="HU142" t="inlineStr">
        <is>
          <t>CHN</t>
        </is>
      </c>
      <c r="HV142" t="inlineStr">
        <is>
          <t>CHN</t>
        </is>
      </c>
      <c r="HW142" t="inlineStr">
        <is>
          <t>CHN</t>
        </is>
      </c>
      <c r="HX142" t="inlineStr">
        <is>
          <t>CHN</t>
        </is>
      </c>
      <c r="HY142" t="inlineStr">
        <is>
          <t>CHN</t>
        </is>
      </c>
      <c r="HZ142" t="inlineStr">
        <is>
          <t>CHN</t>
        </is>
      </c>
      <c r="IA142" t="inlineStr">
        <is>
          <t>CHN</t>
        </is>
      </c>
      <c r="IB142" t="inlineStr">
        <is>
          <t>CHN</t>
        </is>
      </c>
      <c r="IC142" t="inlineStr">
        <is>
          <t>CHN</t>
        </is>
      </c>
      <c r="ID142" t="inlineStr">
        <is>
          <t>CHN</t>
        </is>
      </c>
      <c r="IE142" t="inlineStr">
        <is>
          <t>CHN</t>
        </is>
      </c>
      <c r="IF142" t="inlineStr">
        <is>
          <t>CHN</t>
        </is>
      </c>
      <c r="IG142" t="inlineStr">
        <is>
          <t>CHN</t>
        </is>
      </c>
      <c r="IH142" t="inlineStr">
        <is>
          <t>CHN</t>
        </is>
      </c>
      <c r="II142" t="inlineStr">
        <is>
          <t>CHN</t>
        </is>
      </c>
      <c r="IJ142" t="inlineStr">
        <is>
          <t>CHN</t>
        </is>
      </c>
      <c r="IK142" t="inlineStr">
        <is>
          <t>CHN</t>
        </is>
      </c>
      <c r="IL142" t="inlineStr">
        <is>
          <t>CHN</t>
        </is>
      </c>
      <c r="IM142" t="inlineStr">
        <is>
          <t>CHN</t>
        </is>
      </c>
      <c r="IN142" t="inlineStr">
        <is>
          <t>CHN</t>
        </is>
      </c>
      <c r="IO142" t="inlineStr">
        <is>
          <t>CHN</t>
        </is>
      </c>
      <c r="IP142" t="inlineStr">
        <is>
          <t>CHN</t>
        </is>
      </c>
      <c r="IQ142" t="inlineStr">
        <is>
          <t>CHN</t>
        </is>
      </c>
      <c r="IR142" t="inlineStr">
        <is>
          <t>CHN</t>
        </is>
      </c>
      <c r="IS142" t="inlineStr">
        <is>
          <t>CHN</t>
        </is>
      </c>
      <c r="IT142" t="inlineStr">
        <is>
          <t>CHN</t>
        </is>
      </c>
      <c r="IU142" t="inlineStr">
        <is>
          <t>CHN</t>
        </is>
      </c>
      <c r="IV142" t="inlineStr">
        <is>
          <t>CHN</t>
        </is>
      </c>
      <c r="IW142" t="inlineStr">
        <is>
          <t>CHN</t>
        </is>
      </c>
      <c r="IX142" t="inlineStr">
        <is>
          <t>CHN</t>
        </is>
      </c>
      <c r="IY142" t="inlineStr">
        <is>
          <t>CHN</t>
        </is>
      </c>
      <c r="IZ142" t="inlineStr">
        <is>
          <t>CHN</t>
        </is>
      </c>
      <c r="JA142" t="inlineStr">
        <is>
          <t>CHN</t>
        </is>
      </c>
      <c r="JB142" t="inlineStr">
        <is>
          <t>CHN</t>
        </is>
      </c>
      <c r="JC142" t="inlineStr">
        <is>
          <t>CHN</t>
        </is>
      </c>
      <c r="JD142" t="inlineStr">
        <is>
          <t>CHN</t>
        </is>
      </c>
      <c r="JE142" t="inlineStr">
        <is>
          <t>CHN</t>
        </is>
      </c>
      <c r="JF142" t="inlineStr">
        <is>
          <t>CHN</t>
        </is>
      </c>
      <c r="JG142" t="inlineStr">
        <is>
          <t>CHN</t>
        </is>
      </c>
      <c r="JH142" t="inlineStr">
        <is>
          <t>CHN</t>
        </is>
      </c>
      <c r="JI142" t="inlineStr">
        <is>
          <t>CHN</t>
        </is>
      </c>
      <c r="JJ142" t="inlineStr">
        <is>
          <t>CHN</t>
        </is>
      </c>
      <c r="JK142" t="inlineStr">
        <is>
          <t>CHN</t>
        </is>
      </c>
      <c r="JL142" t="inlineStr">
        <is>
          <t>CHN</t>
        </is>
      </c>
      <c r="JM142" t="inlineStr">
        <is>
          <t>CHN</t>
        </is>
      </c>
      <c r="JN142" t="inlineStr">
        <is>
          <t>CHN</t>
        </is>
      </c>
      <c r="JO142" t="inlineStr">
        <is>
          <t>CHN</t>
        </is>
      </c>
      <c r="JP142" t="inlineStr">
        <is>
          <t>CHN</t>
        </is>
      </c>
      <c r="JQ142" t="inlineStr">
        <is>
          <t>CHN</t>
        </is>
      </c>
      <c r="JR142" t="inlineStr">
        <is>
          <t>CHN</t>
        </is>
      </c>
      <c r="JS142" t="inlineStr">
        <is>
          <t>CHN</t>
        </is>
      </c>
      <c r="JT142" t="inlineStr">
        <is>
          <t>CHN</t>
        </is>
      </c>
      <c r="JU142" t="inlineStr">
        <is>
          <t>CHN</t>
        </is>
      </c>
    </row>
    <row r="143">
      <c r="AQ143" t="inlineStr">
        <is>
          <t>MAR</t>
        </is>
      </c>
      <c r="AR143" t="inlineStr">
        <is>
          <t>MAR</t>
        </is>
      </c>
      <c r="AS143" t="inlineStr">
        <is>
          <t>MAR</t>
        </is>
      </c>
      <c r="AT143" t="inlineStr">
        <is>
          <t>MAR</t>
        </is>
      </c>
      <c r="AU143" t="inlineStr">
        <is>
          <t>MAR</t>
        </is>
      </c>
      <c r="AV143" t="inlineStr">
        <is>
          <t>MAR</t>
        </is>
      </c>
      <c r="AW143" t="inlineStr">
        <is>
          <t>MAR</t>
        </is>
      </c>
      <c r="AX143" t="inlineStr">
        <is>
          <t>MAR</t>
        </is>
      </c>
      <c r="AY143" t="inlineStr">
        <is>
          <t>MAR</t>
        </is>
      </c>
      <c r="AZ143" t="inlineStr">
        <is>
          <t>MAR</t>
        </is>
      </c>
      <c r="BA143" t="inlineStr">
        <is>
          <t>MAR</t>
        </is>
      </c>
      <c r="BB143" t="inlineStr">
        <is>
          <t>DZA</t>
        </is>
      </c>
      <c r="BC143" t="inlineStr">
        <is>
          <t>DZA</t>
        </is>
      </c>
      <c r="BD143" t="inlineStr">
        <is>
          <t>DZA</t>
        </is>
      </c>
      <c r="BE143" t="inlineStr">
        <is>
          <t>DZA</t>
        </is>
      </c>
      <c r="BF143" t="inlineStr">
        <is>
          <t>DZA</t>
        </is>
      </c>
      <c r="BG143" t="inlineStr">
        <is>
          <t>DZA</t>
        </is>
      </c>
      <c r="BH143" t="inlineStr">
        <is>
          <t>DZA</t>
        </is>
      </c>
      <c r="BI143" t="inlineStr">
        <is>
          <t>DZA</t>
        </is>
      </c>
      <c r="BJ143" t="inlineStr">
        <is>
          <t>DZA</t>
        </is>
      </c>
      <c r="BK143" t="inlineStr">
        <is>
          <t>DZA</t>
        </is>
      </c>
      <c r="BL143" t="inlineStr">
        <is>
          <t>DZA</t>
        </is>
      </c>
      <c r="BM143" t="inlineStr">
        <is>
          <t>DZA</t>
        </is>
      </c>
      <c r="BN143" t="inlineStr">
        <is>
          <t>DZA</t>
        </is>
      </c>
      <c r="BO143" t="inlineStr">
        <is>
          <t>DZA</t>
        </is>
      </c>
      <c r="BP143" t="inlineStr">
        <is>
          <t>DZA</t>
        </is>
      </c>
      <c r="BQ143" t="inlineStr">
        <is>
          <t>DZA</t>
        </is>
      </c>
      <c r="BR143" t="inlineStr">
        <is>
          <t>DZA</t>
        </is>
      </c>
      <c r="BS143" t="inlineStr">
        <is>
          <t>DZA</t>
        </is>
      </c>
      <c r="BT143" t="inlineStr">
        <is>
          <t>DZA</t>
        </is>
      </c>
      <c r="BU143" t="inlineStr">
        <is>
          <t>DZA</t>
        </is>
      </c>
      <c r="BV143" t="inlineStr">
        <is>
          <t>DZA</t>
        </is>
      </c>
      <c r="BW143" t="inlineStr">
        <is>
          <t>DZA</t>
        </is>
      </c>
      <c r="BX143" t="inlineStr">
        <is>
          <t>DZA</t>
        </is>
      </c>
      <c r="BY143" t="inlineStr">
        <is>
          <t>DZA</t>
        </is>
      </c>
      <c r="BZ143" t="inlineStr">
        <is>
          <t>DZA</t>
        </is>
      </c>
      <c r="CA143" t="inlineStr">
        <is>
          <t>DZA</t>
        </is>
      </c>
      <c r="CB143" t="inlineStr">
        <is>
          <t>DZA</t>
        </is>
      </c>
      <c r="CC143" t="inlineStr">
        <is>
          <t>TUN</t>
        </is>
      </c>
      <c r="CD143" t="inlineStr">
        <is>
          <t>LBY</t>
        </is>
      </c>
      <c r="CE143" t="inlineStr">
        <is>
          <t>LBY</t>
        </is>
      </c>
      <c r="CF143" t="inlineStr">
        <is>
          <t>LBY</t>
        </is>
      </c>
      <c r="CG143" t="inlineStr">
        <is>
          <t>LBY</t>
        </is>
      </c>
      <c r="CH143" t="inlineStr">
        <is>
          <t>LBY</t>
        </is>
      </c>
      <c r="CI143" t="inlineStr">
        <is>
          <t>LBY</t>
        </is>
      </c>
      <c r="CJ143" t="inlineStr">
        <is>
          <t>LBY</t>
        </is>
      </c>
      <c r="CK143" t="inlineStr">
        <is>
          <t>LBY</t>
        </is>
      </c>
      <c r="CL143" t="inlineStr">
        <is>
          <t>LBY</t>
        </is>
      </c>
      <c r="CM143" t="inlineStr">
        <is>
          <t>LBY</t>
        </is>
      </c>
      <c r="CN143" t="inlineStr">
        <is>
          <t>LBY</t>
        </is>
      </c>
      <c r="CO143" t="inlineStr">
        <is>
          <t>LBY</t>
        </is>
      </c>
      <c r="CP143" t="inlineStr">
        <is>
          <t>LBY</t>
        </is>
      </c>
      <c r="CQ143" t="inlineStr">
        <is>
          <t>LBY</t>
        </is>
      </c>
      <c r="CR143" t="inlineStr">
        <is>
          <t>LBY</t>
        </is>
      </c>
      <c r="CS143" t="inlineStr">
        <is>
          <t>LBY</t>
        </is>
      </c>
      <c r="CX143" t="inlineStr">
        <is>
          <t>LBY</t>
        </is>
      </c>
      <c r="CY143" t="inlineStr">
        <is>
          <t>LBY</t>
        </is>
      </c>
      <c r="CZ143" t="inlineStr">
        <is>
          <t>LBY</t>
        </is>
      </c>
      <c r="DA143" t="inlineStr">
        <is>
          <t>LBY</t>
        </is>
      </c>
      <c r="DB143" t="inlineStr">
        <is>
          <t>LBY</t>
        </is>
      </c>
      <c r="DC143" t="inlineStr">
        <is>
          <t>LBY</t>
        </is>
      </c>
      <c r="DD143" t="inlineStr">
        <is>
          <t>LBY</t>
        </is>
      </c>
      <c r="DE143" t="inlineStr">
        <is>
          <t>LBY</t>
        </is>
      </c>
      <c r="DF143" t="inlineStr">
        <is>
          <t>LBY</t>
        </is>
      </c>
      <c r="DG143" t="inlineStr">
        <is>
          <t>LBY</t>
        </is>
      </c>
      <c r="DH143" t="inlineStr">
        <is>
          <t>EGY</t>
        </is>
      </c>
      <c r="DI143" t="inlineStr">
        <is>
          <t>EGY</t>
        </is>
      </c>
      <c r="DJ143" t="inlineStr">
        <is>
          <t>EGY</t>
        </is>
      </c>
      <c r="DK143" t="inlineStr">
        <is>
          <t>EGY</t>
        </is>
      </c>
      <c r="DL143" t="inlineStr">
        <is>
          <t>EGY</t>
        </is>
      </c>
      <c r="DM143" t="inlineStr">
        <is>
          <t>EGY</t>
        </is>
      </c>
      <c r="DN143" t="inlineStr">
        <is>
          <t>EGY</t>
        </is>
      </c>
      <c r="DO143" t="inlineStr">
        <is>
          <t>EGY</t>
        </is>
      </c>
      <c r="DP143" t="inlineStr">
        <is>
          <t>EGY</t>
        </is>
      </c>
      <c r="DQ143" t="inlineStr">
        <is>
          <t>EGY</t>
        </is>
      </c>
      <c r="DR143" t="inlineStr">
        <is>
          <t>EGY</t>
        </is>
      </c>
      <c r="DS143" t="inlineStr">
        <is>
          <t>EGY</t>
        </is>
      </c>
      <c r="DT143" t="inlineStr">
        <is>
          <t>EGY</t>
        </is>
      </c>
      <c r="DU143" t="inlineStr">
        <is>
          <t>EGY</t>
        </is>
      </c>
      <c r="DV143" t="inlineStr">
        <is>
          <t>EGY</t>
        </is>
      </c>
      <c r="DW143" t="inlineStr">
        <is>
          <t>EGY</t>
        </is>
      </c>
      <c r="DX143" t="inlineStr">
        <is>
          <t>EGY</t>
        </is>
      </c>
      <c r="DY143" t="inlineStr">
        <is>
          <t>EGY</t>
        </is>
      </c>
      <c r="DZ143" t="inlineStr">
        <is>
          <t>EGY</t>
        </is>
      </c>
      <c r="EA143" t="inlineStr">
        <is>
          <t>ISR</t>
        </is>
      </c>
      <c r="EB143" t="inlineStr">
        <is>
          <t>ISR</t>
        </is>
      </c>
      <c r="EC143" t="inlineStr">
        <is>
          <t>JOR</t>
        </is>
      </c>
      <c r="ED143" t="inlineStr">
        <is>
          <t>JOR</t>
        </is>
      </c>
      <c r="EE143" t="inlineStr">
        <is>
          <t>JOR</t>
        </is>
      </c>
      <c r="EF143" t="inlineStr">
        <is>
          <t>JOR</t>
        </is>
      </c>
      <c r="EG143" t="inlineStr">
        <is>
          <t>JOR</t>
        </is>
      </c>
      <c r="EH143" t="inlineStr">
        <is>
          <t>SAU</t>
        </is>
      </c>
      <c r="EI143" t="inlineStr">
        <is>
          <t>SAU</t>
        </is>
      </c>
      <c r="EJ143" t="inlineStr">
        <is>
          <t>SAU</t>
        </is>
      </c>
      <c r="EK143" t="inlineStr">
        <is>
          <t>SAU</t>
        </is>
      </c>
      <c r="EL143" t="inlineStr">
        <is>
          <t>SAU</t>
        </is>
      </c>
      <c r="EM143" t="inlineStr">
        <is>
          <t>SAU</t>
        </is>
      </c>
      <c r="EN143" t="inlineStr">
        <is>
          <t>SAU</t>
        </is>
      </c>
      <c r="EO143" t="inlineStr">
        <is>
          <t>SAU</t>
        </is>
      </c>
      <c r="EP143" t="inlineStr">
        <is>
          <t>SAU</t>
        </is>
      </c>
      <c r="EQ143" t="inlineStr">
        <is>
          <t>IRQ</t>
        </is>
      </c>
      <c r="ER143" t="inlineStr">
        <is>
          <t>IRQ</t>
        </is>
      </c>
      <c r="ES143" t="inlineStr">
        <is>
          <t>IRQ</t>
        </is>
      </c>
      <c r="ET143" t="inlineStr">
        <is>
          <t>IRQ</t>
        </is>
      </c>
      <c r="EU143" t="inlineStr">
        <is>
          <t>IRQ</t>
        </is>
      </c>
      <c r="EV143" t="inlineStr">
        <is>
          <t>IRQ</t>
        </is>
      </c>
      <c r="EW143" t="inlineStr">
        <is>
          <t>IRQ</t>
        </is>
      </c>
      <c r="EX143" t="inlineStr">
        <is>
          <t>IRQ</t>
        </is>
      </c>
      <c r="EY143" t="inlineStr">
        <is>
          <t>IRQ</t>
        </is>
      </c>
      <c r="EZ143" t="inlineStr">
        <is>
          <t>IRQ</t>
        </is>
      </c>
      <c r="FA143" t="inlineStr">
        <is>
          <t>IRQ</t>
        </is>
      </c>
      <c r="FB143" t="inlineStr">
        <is>
          <t>IRN</t>
        </is>
      </c>
      <c r="FC143" t="inlineStr">
        <is>
          <t>IRN</t>
        </is>
      </c>
      <c r="FD143" t="inlineStr">
        <is>
          <t>IRN</t>
        </is>
      </c>
      <c r="FE143" t="inlineStr">
        <is>
          <t>IRN</t>
        </is>
      </c>
      <c r="FF143" t="inlineStr">
        <is>
          <t>IRN</t>
        </is>
      </c>
      <c r="FG143" t="inlineStr">
        <is>
          <t>IRN</t>
        </is>
      </c>
      <c r="FH143" t="inlineStr">
        <is>
          <t>IRN</t>
        </is>
      </c>
      <c r="FI143" t="inlineStr">
        <is>
          <t>IRN</t>
        </is>
      </c>
      <c r="FJ143" t="inlineStr">
        <is>
          <t>IRN</t>
        </is>
      </c>
      <c r="FK143" t="inlineStr">
        <is>
          <t>IRN</t>
        </is>
      </c>
      <c r="FL143" t="inlineStr">
        <is>
          <t>IRN</t>
        </is>
      </c>
      <c r="FM143" t="inlineStr">
        <is>
          <t>IRN</t>
        </is>
      </c>
      <c r="FN143" t="inlineStr">
        <is>
          <t>IRN</t>
        </is>
      </c>
      <c r="FO143" t="inlineStr">
        <is>
          <t>IRN</t>
        </is>
      </c>
      <c r="FP143" t="inlineStr">
        <is>
          <t>IRN</t>
        </is>
      </c>
      <c r="FQ143" t="inlineStr">
        <is>
          <t>IRN</t>
        </is>
      </c>
      <c r="FR143" t="inlineStr">
        <is>
          <t>IRN</t>
        </is>
      </c>
      <c r="FS143" t="inlineStr">
        <is>
          <t>IRN</t>
        </is>
      </c>
      <c r="FT143" t="inlineStr">
        <is>
          <t>IRN</t>
        </is>
      </c>
      <c r="FU143" t="inlineStr">
        <is>
          <t>IRN</t>
        </is>
      </c>
      <c r="FV143" t="inlineStr">
        <is>
          <t>IRN</t>
        </is>
      </c>
      <c r="FW143" t="inlineStr">
        <is>
          <t>IRN</t>
        </is>
      </c>
      <c r="FX143" t="inlineStr">
        <is>
          <t>IRN</t>
        </is>
      </c>
      <c r="FY143" t="inlineStr">
        <is>
          <t>IRN</t>
        </is>
      </c>
      <c r="FZ143" t="inlineStr">
        <is>
          <t>IRN</t>
        </is>
      </c>
      <c r="GA143" t="inlineStr">
        <is>
          <t>IRN</t>
        </is>
      </c>
      <c r="GB143" t="inlineStr">
        <is>
          <t>IRN</t>
        </is>
      </c>
      <c r="GC143" t="inlineStr">
        <is>
          <t>IRN</t>
        </is>
      </c>
      <c r="GD143" t="inlineStr">
        <is>
          <t>AFG</t>
        </is>
      </c>
      <c r="GE143" t="inlineStr">
        <is>
          <t>AFG</t>
        </is>
      </c>
      <c r="GF143" t="inlineStr">
        <is>
          <t>AFG</t>
        </is>
      </c>
      <c r="GG143" t="inlineStr">
        <is>
          <t>AFG</t>
        </is>
      </c>
      <c r="GH143" t="inlineStr">
        <is>
          <t>AFG</t>
        </is>
      </c>
      <c r="GI143" t="inlineStr">
        <is>
          <t>AFG</t>
        </is>
      </c>
      <c r="GJ143" t="inlineStr">
        <is>
          <t>AFG</t>
        </is>
      </c>
      <c r="GK143" t="inlineStr">
        <is>
          <t>AFG</t>
        </is>
      </c>
      <c r="GL143" t="inlineStr">
        <is>
          <t>AFG</t>
        </is>
      </c>
      <c r="GM143" t="inlineStr">
        <is>
          <t>PAK</t>
        </is>
      </c>
      <c r="GN143" t="inlineStr">
        <is>
          <t>PAK</t>
        </is>
      </c>
      <c r="GO143" t="inlineStr">
        <is>
          <t>PAK</t>
        </is>
      </c>
      <c r="GP143" t="inlineStr">
        <is>
          <t>PAK</t>
        </is>
      </c>
      <c r="GQ143" t="inlineStr">
        <is>
          <t>PAK</t>
        </is>
      </c>
      <c r="GR143" t="inlineStr">
        <is>
          <t>PAK</t>
        </is>
      </c>
      <c r="GS143" t="inlineStr">
        <is>
          <t>PAK</t>
        </is>
      </c>
      <c r="GT143" t="inlineStr">
        <is>
          <t>PAK</t>
        </is>
      </c>
      <c r="GU143" t="inlineStr">
        <is>
          <t>PAK</t>
        </is>
      </c>
      <c r="GV143" t="inlineStr">
        <is>
          <t>PAK</t>
        </is>
      </c>
      <c r="GW143" t="inlineStr">
        <is>
          <t>PAK</t>
        </is>
      </c>
      <c r="GX143" t="inlineStr">
        <is>
          <t>PAK</t>
        </is>
      </c>
      <c r="GY143" t="inlineStr">
        <is>
          <t>PAK</t>
        </is>
      </c>
      <c r="GZ143" t="inlineStr">
        <is>
          <t>PAK</t>
        </is>
      </c>
      <c r="HA143" t="inlineStr">
        <is>
          <t>PAK</t>
        </is>
      </c>
      <c r="HB143" t="inlineStr">
        <is>
          <t>IND</t>
        </is>
      </c>
      <c r="HC143" t="inlineStr">
        <is>
          <t>IND</t>
        </is>
      </c>
      <c r="HD143" t="inlineStr">
        <is>
          <t>IND</t>
        </is>
      </c>
      <c r="HE143" t="inlineStr">
        <is>
          <t>IND</t>
        </is>
      </c>
      <c r="HF143" t="inlineStr">
        <is>
          <t>IND</t>
        </is>
      </c>
      <c r="HG143" t="inlineStr">
        <is>
          <t>IND</t>
        </is>
      </c>
      <c r="HH143" t="inlineStr">
        <is>
          <t>IND</t>
        </is>
      </c>
      <c r="HI143" t="inlineStr">
        <is>
          <t>IND</t>
        </is>
      </c>
      <c r="HJ143" t="inlineStr">
        <is>
          <t>IND</t>
        </is>
      </c>
      <c r="HK143" t="inlineStr">
        <is>
          <t>IND</t>
        </is>
      </c>
      <c r="HL143" t="inlineStr">
        <is>
          <t>IND</t>
        </is>
      </c>
      <c r="HM143" t="inlineStr">
        <is>
          <t>IND</t>
        </is>
      </c>
      <c r="HN143" t="inlineStr">
        <is>
          <t>CHN</t>
        </is>
      </c>
      <c r="HO143" t="inlineStr">
        <is>
          <t>CHN</t>
        </is>
      </c>
      <c r="HP143" t="inlineStr">
        <is>
          <t>CHN</t>
        </is>
      </c>
      <c r="HQ143" t="inlineStr">
        <is>
          <t>CHN</t>
        </is>
      </c>
      <c r="HR143" t="inlineStr">
        <is>
          <t>CHN</t>
        </is>
      </c>
      <c r="HS143" t="inlineStr">
        <is>
          <t>CHN</t>
        </is>
      </c>
      <c r="HT143" t="inlineStr">
        <is>
          <t>CHN</t>
        </is>
      </c>
      <c r="HU143" t="inlineStr">
        <is>
          <t>CHN</t>
        </is>
      </c>
      <c r="HV143" t="inlineStr">
        <is>
          <t>CHN</t>
        </is>
      </c>
      <c r="HW143" t="inlineStr">
        <is>
          <t>CHN</t>
        </is>
      </c>
      <c r="HX143" t="inlineStr">
        <is>
          <t>CHN</t>
        </is>
      </c>
      <c r="HY143" t="inlineStr">
        <is>
          <t>CHN</t>
        </is>
      </c>
      <c r="HZ143" t="inlineStr">
        <is>
          <t>CHN</t>
        </is>
      </c>
      <c r="IA143" t="inlineStr">
        <is>
          <t>CHN</t>
        </is>
      </c>
      <c r="IB143" t="inlineStr">
        <is>
          <t>CHN</t>
        </is>
      </c>
      <c r="IC143" t="inlineStr">
        <is>
          <t>CHN</t>
        </is>
      </c>
      <c r="ID143" t="inlineStr">
        <is>
          <t>CHN</t>
        </is>
      </c>
      <c r="IE143" t="inlineStr">
        <is>
          <t>CHN</t>
        </is>
      </c>
      <c r="IF143" t="inlineStr">
        <is>
          <t>CHN</t>
        </is>
      </c>
      <c r="IG143" t="inlineStr">
        <is>
          <t>CHN</t>
        </is>
      </c>
      <c r="IH143" t="inlineStr">
        <is>
          <t>CHN</t>
        </is>
      </c>
      <c r="II143" t="inlineStr">
        <is>
          <t>CHN</t>
        </is>
      </c>
      <c r="IJ143" t="inlineStr">
        <is>
          <t>CHN</t>
        </is>
      </c>
      <c r="IK143" t="inlineStr">
        <is>
          <t>CHN</t>
        </is>
      </c>
      <c r="IL143" t="inlineStr">
        <is>
          <t>CHN</t>
        </is>
      </c>
      <c r="IM143" t="inlineStr">
        <is>
          <t>CHN</t>
        </is>
      </c>
      <c r="IN143" t="inlineStr">
        <is>
          <t>CHN</t>
        </is>
      </c>
      <c r="IO143" t="inlineStr">
        <is>
          <t>CHN</t>
        </is>
      </c>
      <c r="IP143" t="inlineStr">
        <is>
          <t>CHN</t>
        </is>
      </c>
      <c r="IQ143" t="inlineStr">
        <is>
          <t>CHN</t>
        </is>
      </c>
      <c r="IR143" t="inlineStr">
        <is>
          <t>CHN</t>
        </is>
      </c>
      <c r="IS143" t="inlineStr">
        <is>
          <t>CHN</t>
        </is>
      </c>
      <c r="IT143" t="inlineStr">
        <is>
          <t>CHN</t>
        </is>
      </c>
      <c r="IU143" t="inlineStr">
        <is>
          <t>CHN</t>
        </is>
      </c>
      <c r="IV143" t="inlineStr">
        <is>
          <t>CHN</t>
        </is>
      </c>
      <c r="IW143" t="inlineStr">
        <is>
          <t>CHN</t>
        </is>
      </c>
      <c r="IX143" t="inlineStr">
        <is>
          <t>CHN</t>
        </is>
      </c>
      <c r="IY143" t="inlineStr">
        <is>
          <t>CHN</t>
        </is>
      </c>
      <c r="IZ143" t="inlineStr">
        <is>
          <t>CHN</t>
        </is>
      </c>
      <c r="JA143" t="inlineStr">
        <is>
          <t>CHN</t>
        </is>
      </c>
      <c r="JB143" t="inlineStr">
        <is>
          <t>CHN</t>
        </is>
      </c>
      <c r="JC143" t="inlineStr">
        <is>
          <t>CHN</t>
        </is>
      </c>
      <c r="JD143" t="inlineStr">
        <is>
          <t>CHN</t>
        </is>
      </c>
      <c r="JE143" t="inlineStr">
        <is>
          <t>CHN</t>
        </is>
      </c>
      <c r="JF143" t="inlineStr">
        <is>
          <t>CHN</t>
        </is>
      </c>
      <c r="JG143" t="inlineStr">
        <is>
          <t>CHN</t>
        </is>
      </c>
      <c r="JH143" t="inlineStr">
        <is>
          <t>CHN</t>
        </is>
      </c>
      <c r="JI143" t="inlineStr">
        <is>
          <t>CHN</t>
        </is>
      </c>
      <c r="JJ143" t="inlineStr">
        <is>
          <t>CHN</t>
        </is>
      </c>
      <c r="JK143" t="inlineStr">
        <is>
          <t>CHN</t>
        </is>
      </c>
      <c r="JL143" t="inlineStr">
        <is>
          <t>CHN</t>
        </is>
      </c>
      <c r="JM143" t="inlineStr">
        <is>
          <t>CHN</t>
        </is>
      </c>
      <c r="JN143" t="inlineStr">
        <is>
          <t>CHN</t>
        </is>
      </c>
      <c r="JO143" t="inlineStr">
        <is>
          <t>CHN</t>
        </is>
      </c>
      <c r="JP143" t="inlineStr">
        <is>
          <t>CHN</t>
        </is>
      </c>
      <c r="JQ143" t="inlineStr">
        <is>
          <t>CHN</t>
        </is>
      </c>
      <c r="JR143" t="inlineStr">
        <is>
          <t>CHN</t>
        </is>
      </c>
      <c r="JS143" t="inlineStr">
        <is>
          <t>CHN</t>
        </is>
      </c>
      <c r="JT143" t="inlineStr">
        <is>
          <t>CHN</t>
        </is>
      </c>
      <c r="JU143" t="inlineStr">
        <is>
          <t>CHN</t>
        </is>
      </c>
    </row>
    <row r="144">
      <c r="AP144" t="inlineStr">
        <is>
          <t>MAR</t>
        </is>
      </c>
      <c r="AQ144" t="inlineStr">
        <is>
          <t>MAR</t>
        </is>
      </c>
      <c r="AR144" t="inlineStr">
        <is>
          <t>MAR</t>
        </is>
      </c>
      <c r="AS144" t="inlineStr">
        <is>
          <t>MAR</t>
        </is>
      </c>
      <c r="AT144" t="inlineStr">
        <is>
          <t>MAR</t>
        </is>
      </c>
      <c r="AU144" t="inlineStr">
        <is>
          <t>MAR</t>
        </is>
      </c>
      <c r="AV144" t="inlineStr">
        <is>
          <t>MAR</t>
        </is>
      </c>
      <c r="AW144" t="inlineStr">
        <is>
          <t>MAR</t>
        </is>
      </c>
      <c r="AX144" t="inlineStr">
        <is>
          <t>MAR</t>
        </is>
      </c>
      <c r="AY144" t="inlineStr">
        <is>
          <t>MAR</t>
        </is>
      </c>
      <c r="AZ144" t="inlineStr">
        <is>
          <t>MAR</t>
        </is>
      </c>
      <c r="BA144" t="inlineStr">
        <is>
          <t>MAR</t>
        </is>
      </c>
      <c r="BB144" t="inlineStr">
        <is>
          <t>MAR</t>
        </is>
      </c>
      <c r="BC144" t="inlineStr">
        <is>
          <t>DZA</t>
        </is>
      </c>
      <c r="BD144" t="inlineStr">
        <is>
          <t>DZA</t>
        </is>
      </c>
      <c r="BE144" t="inlineStr">
        <is>
          <t>DZA</t>
        </is>
      </c>
      <c r="BF144" t="inlineStr">
        <is>
          <t>DZA</t>
        </is>
      </c>
      <c r="BG144" t="inlineStr">
        <is>
          <t>DZA</t>
        </is>
      </c>
      <c r="BH144" t="inlineStr">
        <is>
          <t>DZA</t>
        </is>
      </c>
      <c r="BI144" t="inlineStr">
        <is>
          <t>DZA</t>
        </is>
      </c>
      <c r="BJ144" t="inlineStr">
        <is>
          <t>DZA</t>
        </is>
      </c>
      <c r="BK144" t="inlineStr">
        <is>
          <t>DZA</t>
        </is>
      </c>
      <c r="BL144" t="inlineStr">
        <is>
          <t>DZA</t>
        </is>
      </c>
      <c r="BM144" t="inlineStr">
        <is>
          <t>DZA</t>
        </is>
      </c>
      <c r="BN144" t="inlineStr">
        <is>
          <t>DZA</t>
        </is>
      </c>
      <c r="BO144" t="inlineStr">
        <is>
          <t>DZA</t>
        </is>
      </c>
      <c r="BP144" t="inlineStr">
        <is>
          <t>DZA</t>
        </is>
      </c>
      <c r="BQ144" t="inlineStr">
        <is>
          <t>DZA</t>
        </is>
      </c>
      <c r="BR144" t="inlineStr">
        <is>
          <t>DZA</t>
        </is>
      </c>
      <c r="BS144" t="inlineStr">
        <is>
          <t>DZA</t>
        </is>
      </c>
      <c r="BT144" t="inlineStr">
        <is>
          <t>DZA</t>
        </is>
      </c>
      <c r="BU144" t="inlineStr">
        <is>
          <t>DZA</t>
        </is>
      </c>
      <c r="BV144" t="inlineStr">
        <is>
          <t>DZA</t>
        </is>
      </c>
      <c r="BW144" t="inlineStr">
        <is>
          <t>DZA</t>
        </is>
      </c>
      <c r="BX144" t="inlineStr">
        <is>
          <t>DZA</t>
        </is>
      </c>
      <c r="BY144" t="inlineStr">
        <is>
          <t>DZA</t>
        </is>
      </c>
      <c r="BZ144" t="inlineStr">
        <is>
          <t>DZA</t>
        </is>
      </c>
      <c r="CA144" t="inlineStr">
        <is>
          <t>DZA</t>
        </is>
      </c>
      <c r="CB144" t="inlineStr">
        <is>
          <t>DZA</t>
        </is>
      </c>
      <c r="CC144" t="inlineStr">
        <is>
          <t>TUN</t>
        </is>
      </c>
      <c r="CD144" t="inlineStr">
        <is>
          <t>LBY</t>
        </is>
      </c>
      <c r="CE144" t="inlineStr">
        <is>
          <t>LBY</t>
        </is>
      </c>
      <c r="CF144" t="inlineStr">
        <is>
          <t>LBY</t>
        </is>
      </c>
      <c r="CG144" t="inlineStr">
        <is>
          <t>LBY</t>
        </is>
      </c>
      <c r="CH144" t="inlineStr">
        <is>
          <t>LBY</t>
        </is>
      </c>
      <c r="CI144" t="inlineStr">
        <is>
          <t>LBY</t>
        </is>
      </c>
      <c r="CJ144" t="inlineStr">
        <is>
          <t>LBY</t>
        </is>
      </c>
      <c r="CK144" t="inlineStr">
        <is>
          <t>LBY</t>
        </is>
      </c>
      <c r="CL144" t="inlineStr">
        <is>
          <t>LBY</t>
        </is>
      </c>
      <c r="CM144" t="inlineStr">
        <is>
          <t>LBY</t>
        </is>
      </c>
      <c r="CN144" t="inlineStr">
        <is>
          <t>LBY</t>
        </is>
      </c>
      <c r="CO144" t="inlineStr">
        <is>
          <t>LBY</t>
        </is>
      </c>
      <c r="CP144" t="inlineStr">
        <is>
          <t>LBY</t>
        </is>
      </c>
      <c r="CX144" t="inlineStr">
        <is>
          <t>LBY</t>
        </is>
      </c>
      <c r="CY144" t="inlineStr">
        <is>
          <t>LBY</t>
        </is>
      </c>
      <c r="CZ144" t="inlineStr">
        <is>
          <t>LBY</t>
        </is>
      </c>
      <c r="DA144" t="inlineStr">
        <is>
          <t>LBY</t>
        </is>
      </c>
      <c r="DB144" t="inlineStr">
        <is>
          <t>LBY</t>
        </is>
      </c>
      <c r="DC144" t="inlineStr">
        <is>
          <t>LBY</t>
        </is>
      </c>
      <c r="DD144" t="inlineStr">
        <is>
          <t>LBY</t>
        </is>
      </c>
      <c r="DE144" t="inlineStr">
        <is>
          <t>LBY</t>
        </is>
      </c>
      <c r="DF144" t="inlineStr">
        <is>
          <t>LBY</t>
        </is>
      </c>
      <c r="DG144" t="inlineStr">
        <is>
          <t>LBY</t>
        </is>
      </c>
      <c r="DH144" t="inlineStr">
        <is>
          <t>EGY</t>
        </is>
      </c>
      <c r="DI144" t="inlineStr">
        <is>
          <t>EGY</t>
        </is>
      </c>
      <c r="DJ144" t="inlineStr">
        <is>
          <t>EGY</t>
        </is>
      </c>
      <c r="DK144" t="inlineStr">
        <is>
          <t>EGY</t>
        </is>
      </c>
      <c r="DL144" t="inlineStr">
        <is>
          <t>EGY</t>
        </is>
      </c>
      <c r="DR144" t="inlineStr">
        <is>
          <t>EGY</t>
        </is>
      </c>
      <c r="DS144" t="inlineStr">
        <is>
          <t>EGY</t>
        </is>
      </c>
      <c r="DT144" t="inlineStr">
        <is>
          <t>EGY</t>
        </is>
      </c>
      <c r="DU144" t="inlineStr">
        <is>
          <t>EGY</t>
        </is>
      </c>
      <c r="EA144" t="inlineStr">
        <is>
          <t>ISR</t>
        </is>
      </c>
      <c r="EB144" t="inlineStr">
        <is>
          <t>ISR</t>
        </is>
      </c>
      <c r="EC144" t="inlineStr">
        <is>
          <t>JOR</t>
        </is>
      </c>
      <c r="ED144" t="inlineStr">
        <is>
          <t>JOR</t>
        </is>
      </c>
      <c r="EE144" t="inlineStr">
        <is>
          <t>JOR</t>
        </is>
      </c>
      <c r="EF144" t="inlineStr">
        <is>
          <t>JOR</t>
        </is>
      </c>
      <c r="EG144" t="inlineStr">
        <is>
          <t>SAU</t>
        </is>
      </c>
      <c r="EH144" t="inlineStr">
        <is>
          <t>SAU</t>
        </is>
      </c>
      <c r="EI144" t="inlineStr">
        <is>
          <t>SAU</t>
        </is>
      </c>
      <c r="EJ144" t="inlineStr">
        <is>
          <t>SAU</t>
        </is>
      </c>
      <c r="EK144" t="inlineStr">
        <is>
          <t>SAU</t>
        </is>
      </c>
      <c r="EL144" t="inlineStr">
        <is>
          <t>SAU</t>
        </is>
      </c>
      <c r="EM144" t="inlineStr">
        <is>
          <t>SAU</t>
        </is>
      </c>
      <c r="EN144" t="inlineStr">
        <is>
          <t>SAU</t>
        </is>
      </c>
      <c r="EO144" t="inlineStr">
        <is>
          <t>SAU</t>
        </is>
      </c>
      <c r="EP144" t="inlineStr">
        <is>
          <t>IRQ</t>
        </is>
      </c>
      <c r="EQ144" t="inlineStr">
        <is>
          <t>IRQ</t>
        </is>
      </c>
      <c r="ER144" t="inlineStr">
        <is>
          <t>IRQ</t>
        </is>
      </c>
      <c r="ES144" t="inlineStr">
        <is>
          <t>IRQ</t>
        </is>
      </c>
      <c r="ET144" t="inlineStr">
        <is>
          <t>IRQ</t>
        </is>
      </c>
      <c r="EU144" t="inlineStr">
        <is>
          <t>IRQ</t>
        </is>
      </c>
      <c r="EV144" t="inlineStr">
        <is>
          <t>IRQ</t>
        </is>
      </c>
      <c r="EW144" t="inlineStr">
        <is>
          <t>IRQ</t>
        </is>
      </c>
      <c r="EX144" t="inlineStr">
        <is>
          <t>IRQ</t>
        </is>
      </c>
      <c r="EY144" t="inlineStr">
        <is>
          <t>IRQ</t>
        </is>
      </c>
      <c r="EZ144" t="inlineStr">
        <is>
          <t>IRQ</t>
        </is>
      </c>
      <c r="FA144" t="inlineStr">
        <is>
          <t>IRN</t>
        </is>
      </c>
      <c r="FB144" t="inlineStr">
        <is>
          <t>IRN</t>
        </is>
      </c>
      <c r="FC144" t="inlineStr">
        <is>
          <t>IRN</t>
        </is>
      </c>
      <c r="FD144" t="inlineStr">
        <is>
          <t>IRN</t>
        </is>
      </c>
      <c r="FE144" t="inlineStr">
        <is>
          <t>IRN</t>
        </is>
      </c>
      <c r="FF144" t="inlineStr">
        <is>
          <t>IRN</t>
        </is>
      </c>
      <c r="FG144" t="inlineStr">
        <is>
          <t>IRN</t>
        </is>
      </c>
      <c r="FH144" t="inlineStr">
        <is>
          <t>IRN</t>
        </is>
      </c>
      <c r="FI144" t="inlineStr">
        <is>
          <t>IRN</t>
        </is>
      </c>
      <c r="FJ144" t="inlineStr">
        <is>
          <t>IRN</t>
        </is>
      </c>
      <c r="FK144" t="inlineStr">
        <is>
          <t>IRN</t>
        </is>
      </c>
      <c r="FL144" t="inlineStr">
        <is>
          <t>IRN</t>
        </is>
      </c>
      <c r="FM144" t="inlineStr">
        <is>
          <t>IRN</t>
        </is>
      </c>
      <c r="FN144" t="inlineStr">
        <is>
          <t>IRN</t>
        </is>
      </c>
      <c r="FO144" t="inlineStr">
        <is>
          <t>IRN</t>
        </is>
      </c>
      <c r="FP144" t="inlineStr">
        <is>
          <t>IRN</t>
        </is>
      </c>
      <c r="FQ144" t="inlineStr">
        <is>
          <t>IRN</t>
        </is>
      </c>
      <c r="FR144" t="inlineStr">
        <is>
          <t>IRN</t>
        </is>
      </c>
      <c r="FS144" t="inlineStr">
        <is>
          <t>IRN</t>
        </is>
      </c>
      <c r="FT144" t="inlineStr">
        <is>
          <t>IRN</t>
        </is>
      </c>
      <c r="FU144" t="inlineStr">
        <is>
          <t>IRN</t>
        </is>
      </c>
      <c r="FV144" t="inlineStr">
        <is>
          <t>IRN</t>
        </is>
      </c>
      <c r="FW144" t="inlineStr">
        <is>
          <t>IRN</t>
        </is>
      </c>
      <c r="FX144" t="inlineStr">
        <is>
          <t>IRN</t>
        </is>
      </c>
      <c r="FY144" t="inlineStr">
        <is>
          <t>IRN</t>
        </is>
      </c>
      <c r="FZ144" t="inlineStr">
        <is>
          <t>IRN</t>
        </is>
      </c>
      <c r="GA144" t="inlineStr">
        <is>
          <t>IRN</t>
        </is>
      </c>
      <c r="GB144" t="inlineStr">
        <is>
          <t>IRN</t>
        </is>
      </c>
      <c r="GC144" t="inlineStr">
        <is>
          <t>AFG</t>
        </is>
      </c>
      <c r="GD144" t="inlineStr">
        <is>
          <t>AFG</t>
        </is>
      </c>
      <c r="GE144" t="inlineStr">
        <is>
          <t>AFG</t>
        </is>
      </c>
      <c r="GF144" t="inlineStr">
        <is>
          <t>AFG</t>
        </is>
      </c>
      <c r="GG144" t="inlineStr">
        <is>
          <t>AFG</t>
        </is>
      </c>
      <c r="GH144" t="inlineStr">
        <is>
          <t>AFG</t>
        </is>
      </c>
      <c r="GI144" t="inlineStr">
        <is>
          <t>AFG</t>
        </is>
      </c>
      <c r="GJ144" t="inlineStr">
        <is>
          <t>AFG</t>
        </is>
      </c>
      <c r="GK144" t="inlineStr">
        <is>
          <t>AFG</t>
        </is>
      </c>
      <c r="GL144" t="inlineStr">
        <is>
          <t>AFG</t>
        </is>
      </c>
      <c r="GM144" t="inlineStr">
        <is>
          <t>AFG</t>
        </is>
      </c>
      <c r="GN144" t="inlineStr">
        <is>
          <t>PAK</t>
        </is>
      </c>
      <c r="GO144" t="inlineStr">
        <is>
          <t>PAK</t>
        </is>
      </c>
      <c r="GP144" t="inlineStr">
        <is>
          <t>PAK</t>
        </is>
      </c>
      <c r="GQ144" t="inlineStr">
        <is>
          <t>PAK</t>
        </is>
      </c>
      <c r="GR144" t="inlineStr">
        <is>
          <t>PAK</t>
        </is>
      </c>
      <c r="GS144" t="inlineStr">
        <is>
          <t>PAK</t>
        </is>
      </c>
      <c r="GT144" t="inlineStr">
        <is>
          <t>PAK</t>
        </is>
      </c>
      <c r="GU144" t="inlineStr">
        <is>
          <t>PAK</t>
        </is>
      </c>
      <c r="GV144" t="inlineStr">
        <is>
          <t>PAK</t>
        </is>
      </c>
      <c r="GW144" t="inlineStr">
        <is>
          <t>PAK</t>
        </is>
      </c>
      <c r="GX144" t="inlineStr">
        <is>
          <t>PAK</t>
        </is>
      </c>
      <c r="GY144" t="inlineStr">
        <is>
          <t>PAK</t>
        </is>
      </c>
      <c r="GZ144" t="inlineStr">
        <is>
          <t>PAK</t>
        </is>
      </c>
      <c r="HA144" t="inlineStr">
        <is>
          <t>PAK</t>
        </is>
      </c>
      <c r="HB144" t="inlineStr">
        <is>
          <t>PAK</t>
        </is>
      </c>
      <c r="HC144" t="inlineStr">
        <is>
          <t>IND</t>
        </is>
      </c>
      <c r="HD144" t="inlineStr">
        <is>
          <t>IND</t>
        </is>
      </c>
      <c r="HE144" t="inlineStr">
        <is>
          <t>IND</t>
        </is>
      </c>
      <c r="HF144" t="inlineStr">
        <is>
          <t>IND</t>
        </is>
      </c>
      <c r="HG144" t="inlineStr">
        <is>
          <t>IND</t>
        </is>
      </c>
      <c r="HH144" t="inlineStr">
        <is>
          <t>IND</t>
        </is>
      </c>
      <c r="HI144" t="inlineStr">
        <is>
          <t>IND</t>
        </is>
      </c>
      <c r="HJ144" t="inlineStr">
        <is>
          <t>IND</t>
        </is>
      </c>
      <c r="HK144" t="inlineStr">
        <is>
          <t>IND</t>
        </is>
      </c>
      <c r="HL144" t="inlineStr">
        <is>
          <t>CHN</t>
        </is>
      </c>
      <c r="HM144" t="inlineStr">
        <is>
          <t>CHN</t>
        </is>
      </c>
      <c r="HN144" t="inlineStr">
        <is>
          <t>CHN</t>
        </is>
      </c>
      <c r="HO144" t="inlineStr">
        <is>
          <t>CHN</t>
        </is>
      </c>
      <c r="HP144" t="inlineStr">
        <is>
          <t>CHN</t>
        </is>
      </c>
      <c r="HQ144" t="inlineStr">
        <is>
          <t>CHN</t>
        </is>
      </c>
      <c r="HR144" t="inlineStr">
        <is>
          <t>CHN</t>
        </is>
      </c>
      <c r="HS144" t="inlineStr">
        <is>
          <t>CHN</t>
        </is>
      </c>
      <c r="HT144" t="inlineStr">
        <is>
          <t>CHN</t>
        </is>
      </c>
      <c r="HU144" t="inlineStr">
        <is>
          <t>CHN</t>
        </is>
      </c>
      <c r="HV144" t="inlineStr">
        <is>
          <t>CHN</t>
        </is>
      </c>
      <c r="HW144" t="inlineStr">
        <is>
          <t>CHN</t>
        </is>
      </c>
      <c r="HX144" t="inlineStr">
        <is>
          <t>CHN</t>
        </is>
      </c>
      <c r="HY144" t="inlineStr">
        <is>
          <t>CHN</t>
        </is>
      </c>
      <c r="HZ144" t="inlineStr">
        <is>
          <t>CHN</t>
        </is>
      </c>
      <c r="IA144" t="inlineStr">
        <is>
          <t>CHN</t>
        </is>
      </c>
      <c r="IB144" t="inlineStr">
        <is>
          <t>CHN</t>
        </is>
      </c>
      <c r="IC144" t="inlineStr">
        <is>
          <t>CHN</t>
        </is>
      </c>
      <c r="ID144" t="inlineStr">
        <is>
          <t>CHN</t>
        </is>
      </c>
      <c r="IE144" t="inlineStr">
        <is>
          <t>CHN</t>
        </is>
      </c>
      <c r="IF144" t="inlineStr">
        <is>
          <t>CHN</t>
        </is>
      </c>
      <c r="IG144" t="inlineStr">
        <is>
          <t>CHN</t>
        </is>
      </c>
      <c r="IH144" t="inlineStr">
        <is>
          <t>CHN</t>
        </is>
      </c>
      <c r="II144" t="inlineStr">
        <is>
          <t>CHN</t>
        </is>
      </c>
      <c r="IJ144" t="inlineStr">
        <is>
          <t>CHN</t>
        </is>
      </c>
      <c r="IK144" t="inlineStr">
        <is>
          <t>CHN</t>
        </is>
      </c>
      <c r="IL144" t="inlineStr">
        <is>
          <t>CHN</t>
        </is>
      </c>
      <c r="IM144" t="inlineStr">
        <is>
          <t>CHN</t>
        </is>
      </c>
      <c r="IN144" t="inlineStr">
        <is>
          <t>CHN</t>
        </is>
      </c>
      <c r="IO144" t="inlineStr">
        <is>
          <t>CHN</t>
        </is>
      </c>
      <c r="IP144" t="inlineStr">
        <is>
          <t>CHN</t>
        </is>
      </c>
      <c r="IQ144" t="inlineStr">
        <is>
          <t>CHN</t>
        </is>
      </c>
      <c r="IR144" t="inlineStr">
        <is>
          <t>CHN</t>
        </is>
      </c>
      <c r="IS144" t="inlineStr">
        <is>
          <t>CHN</t>
        </is>
      </c>
      <c r="IT144" t="inlineStr">
        <is>
          <t>CHN</t>
        </is>
      </c>
      <c r="IU144" t="inlineStr">
        <is>
          <t>CHN</t>
        </is>
      </c>
      <c r="IV144" t="inlineStr">
        <is>
          <t>CHN</t>
        </is>
      </c>
      <c r="IW144" t="inlineStr">
        <is>
          <t>CHN</t>
        </is>
      </c>
      <c r="IX144" t="inlineStr">
        <is>
          <t>CHN</t>
        </is>
      </c>
      <c r="IY144" t="inlineStr">
        <is>
          <t>CHN</t>
        </is>
      </c>
      <c r="IZ144" t="inlineStr">
        <is>
          <t>CHN</t>
        </is>
      </c>
      <c r="JA144" t="inlineStr">
        <is>
          <t>CHN</t>
        </is>
      </c>
      <c r="JB144" t="inlineStr">
        <is>
          <t>CHN</t>
        </is>
      </c>
      <c r="JC144" t="inlineStr">
        <is>
          <t>CHN</t>
        </is>
      </c>
      <c r="JD144" t="inlineStr">
        <is>
          <t>CHN</t>
        </is>
      </c>
      <c r="JE144" t="inlineStr">
        <is>
          <t>CHN</t>
        </is>
      </c>
      <c r="JF144" t="inlineStr">
        <is>
          <t>CHN</t>
        </is>
      </c>
      <c r="JG144" t="inlineStr">
        <is>
          <t>CHN</t>
        </is>
      </c>
      <c r="JH144" t="inlineStr">
        <is>
          <t>CHN</t>
        </is>
      </c>
      <c r="JI144" t="inlineStr">
        <is>
          <t>CHN</t>
        </is>
      </c>
      <c r="JJ144" t="inlineStr">
        <is>
          <t>CHN</t>
        </is>
      </c>
      <c r="JK144" t="inlineStr">
        <is>
          <t>CHN</t>
        </is>
      </c>
      <c r="JL144" t="inlineStr">
        <is>
          <t>CHN</t>
        </is>
      </c>
      <c r="JM144" t="inlineStr">
        <is>
          <t>CHN</t>
        </is>
      </c>
      <c r="JN144" t="inlineStr">
        <is>
          <t>CHN</t>
        </is>
      </c>
      <c r="JO144" t="inlineStr">
        <is>
          <t>CHN</t>
        </is>
      </c>
      <c r="JP144" t="inlineStr">
        <is>
          <t>CHN</t>
        </is>
      </c>
      <c r="JQ144" t="inlineStr">
        <is>
          <t>CHN</t>
        </is>
      </c>
      <c r="JR144" t="inlineStr">
        <is>
          <t>CHN</t>
        </is>
      </c>
      <c r="JS144" t="inlineStr">
        <is>
          <t>CHN</t>
        </is>
      </c>
      <c r="JT144" t="inlineStr">
        <is>
          <t>CHN</t>
        </is>
      </c>
      <c r="JU144" t="inlineStr">
        <is>
          <t>CHN</t>
        </is>
      </c>
    </row>
    <row r="145">
      <c r="AQ145" t="inlineStr">
        <is>
          <t>MAR</t>
        </is>
      </c>
      <c r="AR145" t="inlineStr">
        <is>
          <t>MAR</t>
        </is>
      </c>
      <c r="AS145" t="inlineStr">
        <is>
          <t>MAR</t>
        </is>
      </c>
      <c r="AT145" t="inlineStr">
        <is>
          <t>MAR</t>
        </is>
      </c>
      <c r="AU145" t="inlineStr">
        <is>
          <t>MAR</t>
        </is>
      </c>
      <c r="AV145" t="inlineStr">
        <is>
          <t>MAR</t>
        </is>
      </c>
      <c r="AW145" t="inlineStr">
        <is>
          <t>MAR</t>
        </is>
      </c>
      <c r="AX145" t="inlineStr">
        <is>
          <t>MAR</t>
        </is>
      </c>
      <c r="AY145" t="inlineStr">
        <is>
          <t>MAR</t>
        </is>
      </c>
      <c r="AZ145" t="inlineStr">
        <is>
          <t>MAR</t>
        </is>
      </c>
      <c r="BA145" t="inlineStr">
        <is>
          <t>MAR</t>
        </is>
      </c>
      <c r="BB145" t="inlineStr">
        <is>
          <t>MAR</t>
        </is>
      </c>
      <c r="BC145" t="inlineStr">
        <is>
          <t>MAR</t>
        </is>
      </c>
      <c r="BD145" t="inlineStr">
        <is>
          <t>DZA</t>
        </is>
      </c>
      <c r="BE145" t="inlineStr">
        <is>
          <t>DZA</t>
        </is>
      </c>
      <c r="BF145" t="inlineStr">
        <is>
          <t>DZA</t>
        </is>
      </c>
      <c r="BG145" t="inlineStr">
        <is>
          <t>DZA</t>
        </is>
      </c>
      <c r="BH145" t="inlineStr">
        <is>
          <t>DZA</t>
        </is>
      </c>
      <c r="BI145" t="inlineStr">
        <is>
          <t>DZA</t>
        </is>
      </c>
      <c r="BJ145" t="inlineStr">
        <is>
          <t>DZA</t>
        </is>
      </c>
      <c r="BK145" t="inlineStr">
        <is>
          <t>DZA</t>
        </is>
      </c>
      <c r="BL145" t="inlineStr">
        <is>
          <t>DZA</t>
        </is>
      </c>
      <c r="BM145" t="inlineStr">
        <is>
          <t>DZA</t>
        </is>
      </c>
      <c r="BN145" t="inlineStr">
        <is>
          <t>DZA</t>
        </is>
      </c>
      <c r="BO145" t="inlineStr">
        <is>
          <t>DZA</t>
        </is>
      </c>
      <c r="BP145" t="inlineStr">
        <is>
          <t>DZA</t>
        </is>
      </c>
      <c r="BQ145" t="inlineStr">
        <is>
          <t>DZA</t>
        </is>
      </c>
      <c r="BR145" t="inlineStr">
        <is>
          <t>DZA</t>
        </is>
      </c>
      <c r="BS145" t="inlineStr">
        <is>
          <t>DZA</t>
        </is>
      </c>
      <c r="BT145" t="inlineStr">
        <is>
          <t>DZA</t>
        </is>
      </c>
      <c r="BU145" t="inlineStr">
        <is>
          <t>DZA</t>
        </is>
      </c>
      <c r="BV145" t="inlineStr">
        <is>
          <t>DZA</t>
        </is>
      </c>
      <c r="BW145" t="inlineStr">
        <is>
          <t>DZA</t>
        </is>
      </c>
      <c r="BX145" t="inlineStr">
        <is>
          <t>DZA</t>
        </is>
      </c>
      <c r="BY145" t="inlineStr">
        <is>
          <t>DZA</t>
        </is>
      </c>
      <c r="BZ145" t="inlineStr">
        <is>
          <t>DZA</t>
        </is>
      </c>
      <c r="CA145" t="inlineStr">
        <is>
          <t>DZA</t>
        </is>
      </c>
      <c r="CB145" t="inlineStr">
        <is>
          <t>TUN</t>
        </is>
      </c>
      <c r="CC145" t="inlineStr">
        <is>
          <t>TUN</t>
        </is>
      </c>
      <c r="CD145" t="inlineStr">
        <is>
          <t>TUN</t>
        </is>
      </c>
      <c r="CE145" t="inlineStr">
        <is>
          <t>LBY</t>
        </is>
      </c>
      <c r="CF145" t="inlineStr">
        <is>
          <t>LBY</t>
        </is>
      </c>
      <c r="CG145" t="inlineStr">
        <is>
          <t>LBY</t>
        </is>
      </c>
      <c r="CH145" t="inlineStr">
        <is>
          <t>LBY</t>
        </is>
      </c>
      <c r="CI145" t="inlineStr">
        <is>
          <t>LBY</t>
        </is>
      </c>
      <c r="CJ145" t="inlineStr">
        <is>
          <t>LBY</t>
        </is>
      </c>
      <c r="CK145" t="inlineStr">
        <is>
          <t>LBY</t>
        </is>
      </c>
      <c r="CL145" t="inlineStr">
        <is>
          <t>LBY</t>
        </is>
      </c>
      <c r="CM145" t="inlineStr">
        <is>
          <t>LBY</t>
        </is>
      </c>
      <c r="CN145" t="inlineStr">
        <is>
          <t>LBY</t>
        </is>
      </c>
      <c r="CX145" t="inlineStr">
        <is>
          <t>LBY</t>
        </is>
      </c>
      <c r="CY145" t="inlineStr">
        <is>
          <t>LBY</t>
        </is>
      </c>
      <c r="CZ145" t="inlineStr">
        <is>
          <t>LBY</t>
        </is>
      </c>
      <c r="DA145" t="inlineStr">
        <is>
          <t>LBY</t>
        </is>
      </c>
      <c r="DB145" t="inlineStr">
        <is>
          <t>LBY</t>
        </is>
      </c>
      <c r="DC145" t="inlineStr">
        <is>
          <t>LBY</t>
        </is>
      </c>
      <c r="DD145" t="inlineStr">
        <is>
          <t>LBY</t>
        </is>
      </c>
      <c r="DE145" t="inlineStr">
        <is>
          <t>LBY</t>
        </is>
      </c>
      <c r="DF145" t="inlineStr">
        <is>
          <t>LBY</t>
        </is>
      </c>
      <c r="DG145" t="inlineStr">
        <is>
          <t>LBY</t>
        </is>
      </c>
      <c r="EA145" t="inlineStr">
        <is>
          <t>ISR</t>
        </is>
      </c>
      <c r="EB145" t="inlineStr">
        <is>
          <t>PSE</t>
        </is>
      </c>
      <c r="EC145" t="inlineStr">
        <is>
          <t>JOR</t>
        </is>
      </c>
      <c r="ED145" t="inlineStr">
        <is>
          <t>JOR</t>
        </is>
      </c>
      <c r="EE145" t="inlineStr">
        <is>
          <t>JOR</t>
        </is>
      </c>
      <c r="EF145" t="inlineStr">
        <is>
          <t>JOR</t>
        </is>
      </c>
      <c r="EG145" t="inlineStr">
        <is>
          <t>JOR</t>
        </is>
      </c>
      <c r="EH145" t="inlineStr">
        <is>
          <t>SAU</t>
        </is>
      </c>
      <c r="EI145" t="inlineStr">
        <is>
          <t>SAU</t>
        </is>
      </c>
      <c r="EJ145" t="inlineStr">
        <is>
          <t>SAU</t>
        </is>
      </c>
      <c r="EK145" t="inlineStr">
        <is>
          <t>SAU</t>
        </is>
      </c>
      <c r="EL145" t="inlineStr">
        <is>
          <t>SAU</t>
        </is>
      </c>
      <c r="EM145" t="inlineStr">
        <is>
          <t>IRQ</t>
        </is>
      </c>
      <c r="EN145" t="inlineStr">
        <is>
          <t>IRQ</t>
        </is>
      </c>
      <c r="EO145" t="inlineStr">
        <is>
          <t>IRQ</t>
        </is>
      </c>
      <c r="EP145" t="inlineStr">
        <is>
          <t>IRQ</t>
        </is>
      </c>
      <c r="EQ145" t="inlineStr">
        <is>
          <t>IRQ</t>
        </is>
      </c>
      <c r="ER145" t="inlineStr">
        <is>
          <t>IRQ</t>
        </is>
      </c>
      <c r="ES145" t="inlineStr">
        <is>
          <t>IRQ</t>
        </is>
      </c>
      <c r="ET145" t="inlineStr">
        <is>
          <t>IRQ</t>
        </is>
      </c>
      <c r="EU145" t="inlineStr">
        <is>
          <t>IRQ</t>
        </is>
      </c>
      <c r="EV145" t="inlineStr">
        <is>
          <t>IRQ</t>
        </is>
      </c>
      <c r="EW145" t="inlineStr">
        <is>
          <t>IRQ</t>
        </is>
      </c>
      <c r="EX145" t="inlineStr">
        <is>
          <t>IRQ</t>
        </is>
      </c>
      <c r="EY145" t="inlineStr">
        <is>
          <t>IRQ</t>
        </is>
      </c>
      <c r="EZ145" t="inlineStr">
        <is>
          <t>IRQ</t>
        </is>
      </c>
      <c r="FA145" t="inlineStr">
        <is>
          <t>IRQ</t>
        </is>
      </c>
      <c r="FB145" t="inlineStr">
        <is>
          <t>IRN</t>
        </is>
      </c>
      <c r="FC145" t="inlineStr">
        <is>
          <t>IRN</t>
        </is>
      </c>
      <c r="FD145" t="inlineStr">
        <is>
          <t>IRN</t>
        </is>
      </c>
      <c r="FE145" t="inlineStr">
        <is>
          <t>IRN</t>
        </is>
      </c>
      <c r="FF145" t="inlineStr">
        <is>
          <t>IRN</t>
        </is>
      </c>
      <c r="FG145" t="inlineStr">
        <is>
          <t>IRN</t>
        </is>
      </c>
      <c r="FH145" t="inlineStr">
        <is>
          <t>IRN</t>
        </is>
      </c>
      <c r="FI145" t="inlineStr">
        <is>
          <t>IRN</t>
        </is>
      </c>
      <c r="FJ145" t="inlineStr">
        <is>
          <t>IRN</t>
        </is>
      </c>
      <c r="FK145" t="inlineStr">
        <is>
          <t>IRN</t>
        </is>
      </c>
      <c r="FL145" t="inlineStr">
        <is>
          <t>IRN</t>
        </is>
      </c>
      <c r="FM145" t="inlineStr">
        <is>
          <t>IRN</t>
        </is>
      </c>
      <c r="FN145" t="inlineStr">
        <is>
          <t>IRN</t>
        </is>
      </c>
      <c r="FO145" t="inlineStr">
        <is>
          <t>IRN</t>
        </is>
      </c>
      <c r="FP145" t="inlineStr">
        <is>
          <t>IRN</t>
        </is>
      </c>
      <c r="FQ145" t="inlineStr">
        <is>
          <t>IRN</t>
        </is>
      </c>
      <c r="FR145" t="inlineStr">
        <is>
          <t>IRN</t>
        </is>
      </c>
      <c r="FS145" t="inlineStr">
        <is>
          <t>IRN</t>
        </is>
      </c>
      <c r="FT145" t="inlineStr">
        <is>
          <t>IRN</t>
        </is>
      </c>
      <c r="FU145" t="inlineStr">
        <is>
          <t>IRN</t>
        </is>
      </c>
      <c r="FV145" t="inlineStr">
        <is>
          <t>IRN</t>
        </is>
      </c>
      <c r="FW145" t="inlineStr">
        <is>
          <t>IRN</t>
        </is>
      </c>
      <c r="FX145" t="inlineStr">
        <is>
          <t>IRN</t>
        </is>
      </c>
      <c r="FY145" t="inlineStr">
        <is>
          <t>IRN</t>
        </is>
      </c>
      <c r="FZ145" t="inlineStr">
        <is>
          <t>IRN</t>
        </is>
      </c>
      <c r="GA145" t="inlineStr">
        <is>
          <t>IRN</t>
        </is>
      </c>
      <c r="GB145" t="inlineStr">
        <is>
          <t>AFG</t>
        </is>
      </c>
      <c r="GC145" t="inlineStr">
        <is>
          <t>AFG</t>
        </is>
      </c>
      <c r="GD145" t="inlineStr">
        <is>
          <t>AFG</t>
        </is>
      </c>
      <c r="GE145" t="inlineStr">
        <is>
          <t>AFG</t>
        </is>
      </c>
      <c r="GF145" t="inlineStr">
        <is>
          <t>AFG</t>
        </is>
      </c>
      <c r="GG145" t="inlineStr">
        <is>
          <t>AFG</t>
        </is>
      </c>
      <c r="GH145" t="inlineStr">
        <is>
          <t>AFG</t>
        </is>
      </c>
      <c r="GI145" t="inlineStr">
        <is>
          <t>AFG</t>
        </is>
      </c>
      <c r="GJ145" t="inlineStr">
        <is>
          <t>AFG</t>
        </is>
      </c>
      <c r="GK145" t="inlineStr">
        <is>
          <t>AFG</t>
        </is>
      </c>
      <c r="GL145" t="inlineStr">
        <is>
          <t>AFG</t>
        </is>
      </c>
      <c r="GM145" t="inlineStr">
        <is>
          <t>AFG</t>
        </is>
      </c>
      <c r="GN145" t="inlineStr">
        <is>
          <t>AFG</t>
        </is>
      </c>
      <c r="GO145" t="inlineStr">
        <is>
          <t>AFG</t>
        </is>
      </c>
      <c r="GP145" t="inlineStr">
        <is>
          <t>AFG</t>
        </is>
      </c>
      <c r="GQ145" t="inlineStr">
        <is>
          <t>AFG</t>
        </is>
      </c>
      <c r="GR145" t="inlineStr">
        <is>
          <t>PAK</t>
        </is>
      </c>
      <c r="GS145" t="inlineStr">
        <is>
          <t>PAK</t>
        </is>
      </c>
      <c r="GT145" t="inlineStr">
        <is>
          <t>PAK</t>
        </is>
      </c>
      <c r="GU145" t="inlineStr">
        <is>
          <t>PAK</t>
        </is>
      </c>
      <c r="GV145" t="inlineStr">
        <is>
          <t>PAK</t>
        </is>
      </c>
      <c r="GW145" t="inlineStr">
        <is>
          <t>PAK</t>
        </is>
      </c>
      <c r="GX145" t="inlineStr">
        <is>
          <t>PAK</t>
        </is>
      </c>
      <c r="GY145" t="inlineStr">
        <is>
          <t>PAK</t>
        </is>
      </c>
      <c r="GZ145" t="inlineStr">
        <is>
          <t>PAK</t>
        </is>
      </c>
      <c r="HA145" t="inlineStr">
        <is>
          <t>PAK</t>
        </is>
      </c>
      <c r="HB145" t="inlineStr">
        <is>
          <t>PAK</t>
        </is>
      </c>
      <c r="HC145" t="inlineStr">
        <is>
          <t>IND</t>
        </is>
      </c>
      <c r="HD145" t="inlineStr">
        <is>
          <t>IND</t>
        </is>
      </c>
      <c r="HE145" t="inlineStr">
        <is>
          <t>IND</t>
        </is>
      </c>
      <c r="HF145" t="inlineStr">
        <is>
          <t>IND</t>
        </is>
      </c>
      <c r="HG145" t="inlineStr">
        <is>
          <t>IND</t>
        </is>
      </c>
      <c r="HH145" t="inlineStr">
        <is>
          <t>IND</t>
        </is>
      </c>
      <c r="HI145" t="inlineStr">
        <is>
          <t>IND</t>
        </is>
      </c>
      <c r="HJ145" t="inlineStr">
        <is>
          <t>IND</t>
        </is>
      </c>
      <c r="HK145" t="inlineStr">
        <is>
          <t>CHN</t>
        </is>
      </c>
      <c r="HL145" t="inlineStr">
        <is>
          <t>CHN</t>
        </is>
      </c>
      <c r="HM145" t="inlineStr">
        <is>
          <t>CHN</t>
        </is>
      </c>
      <c r="HN145" t="inlineStr">
        <is>
          <t>CHN</t>
        </is>
      </c>
      <c r="HO145" t="inlineStr">
        <is>
          <t>CHN</t>
        </is>
      </c>
      <c r="HP145" t="inlineStr">
        <is>
          <t>CHN</t>
        </is>
      </c>
      <c r="HQ145" t="inlineStr">
        <is>
          <t>CHN</t>
        </is>
      </c>
      <c r="HR145" t="inlineStr">
        <is>
          <t>CHN</t>
        </is>
      </c>
      <c r="HS145" t="inlineStr">
        <is>
          <t>CHN</t>
        </is>
      </c>
      <c r="HT145" t="inlineStr">
        <is>
          <t>CHN</t>
        </is>
      </c>
      <c r="HU145" t="inlineStr">
        <is>
          <t>CHN</t>
        </is>
      </c>
      <c r="HV145" t="inlineStr">
        <is>
          <t>CHN</t>
        </is>
      </c>
      <c r="HW145" t="inlineStr">
        <is>
          <t>CHN</t>
        </is>
      </c>
      <c r="HX145" t="inlineStr">
        <is>
          <t>CHN</t>
        </is>
      </c>
      <c r="HY145" t="inlineStr">
        <is>
          <t>CHN</t>
        </is>
      </c>
      <c r="HZ145" t="inlineStr">
        <is>
          <t>CHN</t>
        </is>
      </c>
      <c r="IA145" t="inlineStr">
        <is>
          <t>CHN</t>
        </is>
      </c>
      <c r="IB145" t="inlineStr">
        <is>
          <t>CHN</t>
        </is>
      </c>
      <c r="IC145" t="inlineStr">
        <is>
          <t>CHN</t>
        </is>
      </c>
      <c r="ID145" t="inlineStr">
        <is>
          <t>CHN</t>
        </is>
      </c>
      <c r="IE145" t="inlineStr">
        <is>
          <t>CHN</t>
        </is>
      </c>
      <c r="IF145" t="inlineStr">
        <is>
          <t>CHN</t>
        </is>
      </c>
      <c r="IG145" t="inlineStr">
        <is>
          <t>CHN</t>
        </is>
      </c>
      <c r="IH145" t="inlineStr">
        <is>
          <t>CHN</t>
        </is>
      </c>
      <c r="II145" t="inlineStr">
        <is>
          <t>CHN</t>
        </is>
      </c>
      <c r="IJ145" t="inlineStr">
        <is>
          <t>CHN</t>
        </is>
      </c>
      <c r="IK145" t="inlineStr">
        <is>
          <t>CHN</t>
        </is>
      </c>
      <c r="IL145" t="inlineStr">
        <is>
          <t>CHN</t>
        </is>
      </c>
      <c r="IM145" t="inlineStr">
        <is>
          <t>CHN</t>
        </is>
      </c>
      <c r="IN145" t="inlineStr">
        <is>
          <t>CHN</t>
        </is>
      </c>
      <c r="IO145" t="inlineStr">
        <is>
          <t>CHN</t>
        </is>
      </c>
      <c r="IP145" t="inlineStr">
        <is>
          <t>CHN</t>
        </is>
      </c>
      <c r="IQ145" t="inlineStr">
        <is>
          <t>CHN</t>
        </is>
      </c>
      <c r="IR145" t="inlineStr">
        <is>
          <t>CHN</t>
        </is>
      </c>
      <c r="IS145" t="inlineStr">
        <is>
          <t>CHN</t>
        </is>
      </c>
      <c r="IT145" t="inlineStr">
        <is>
          <t>CHN</t>
        </is>
      </c>
      <c r="IU145" t="inlineStr">
        <is>
          <t>CHN</t>
        </is>
      </c>
      <c r="IV145" t="inlineStr">
        <is>
          <t>CHN</t>
        </is>
      </c>
      <c r="IW145" t="inlineStr">
        <is>
          <t>CHN</t>
        </is>
      </c>
      <c r="IX145" t="inlineStr">
        <is>
          <t>CHN</t>
        </is>
      </c>
      <c r="IY145" t="inlineStr">
        <is>
          <t>CHN</t>
        </is>
      </c>
      <c r="IZ145" t="inlineStr">
        <is>
          <t>CHN</t>
        </is>
      </c>
      <c r="JA145" t="inlineStr">
        <is>
          <t>CHN</t>
        </is>
      </c>
      <c r="JB145" t="inlineStr">
        <is>
          <t>CHN</t>
        </is>
      </c>
      <c r="JC145" t="inlineStr">
        <is>
          <t>CHN</t>
        </is>
      </c>
      <c r="JD145" t="inlineStr">
        <is>
          <t>CHN</t>
        </is>
      </c>
      <c r="JE145" t="inlineStr">
        <is>
          <t>CHN</t>
        </is>
      </c>
      <c r="JF145" t="inlineStr">
        <is>
          <t>CHN</t>
        </is>
      </c>
      <c r="JG145" t="inlineStr">
        <is>
          <t>CHN</t>
        </is>
      </c>
      <c r="JH145" t="inlineStr">
        <is>
          <t>CHN</t>
        </is>
      </c>
      <c r="JI145" t="inlineStr">
        <is>
          <t>CHN</t>
        </is>
      </c>
      <c r="JJ145" t="inlineStr">
        <is>
          <t>CHN</t>
        </is>
      </c>
      <c r="JK145" t="inlineStr">
        <is>
          <t>CHN</t>
        </is>
      </c>
      <c r="JL145" t="inlineStr">
        <is>
          <t>CHN</t>
        </is>
      </c>
      <c r="JM145" t="inlineStr">
        <is>
          <t>CHN</t>
        </is>
      </c>
      <c r="JN145" t="inlineStr">
        <is>
          <t>CHN</t>
        </is>
      </c>
      <c r="JO145" t="inlineStr">
        <is>
          <t>CHN</t>
        </is>
      </c>
      <c r="JP145" t="inlineStr">
        <is>
          <t>CHN</t>
        </is>
      </c>
      <c r="JQ145" t="inlineStr">
        <is>
          <t>CHN</t>
        </is>
      </c>
      <c r="JR145" t="inlineStr">
        <is>
          <t>CHN</t>
        </is>
      </c>
      <c r="JS145" t="inlineStr">
        <is>
          <t>CHN</t>
        </is>
      </c>
      <c r="JT145" t="inlineStr">
        <is>
          <t>CHN</t>
        </is>
      </c>
      <c r="JU145" t="inlineStr">
        <is>
          <t>CHN</t>
        </is>
      </c>
    </row>
    <row r="146">
      <c r="AQ146" t="inlineStr">
        <is>
          <t>MAR</t>
        </is>
      </c>
      <c r="AR146" t="inlineStr">
        <is>
          <t>MAR</t>
        </is>
      </c>
      <c r="AS146" t="inlineStr">
        <is>
          <t>MAR</t>
        </is>
      </c>
      <c r="AT146" t="inlineStr">
        <is>
          <t>MAR</t>
        </is>
      </c>
      <c r="AU146" t="inlineStr">
        <is>
          <t>MAR</t>
        </is>
      </c>
      <c r="AV146" t="inlineStr">
        <is>
          <t>MAR</t>
        </is>
      </c>
      <c r="AW146" t="inlineStr">
        <is>
          <t>MAR</t>
        </is>
      </c>
      <c r="AX146" t="inlineStr">
        <is>
          <t>MAR</t>
        </is>
      </c>
      <c r="AY146" t="inlineStr">
        <is>
          <t>MAR</t>
        </is>
      </c>
      <c r="AZ146" t="inlineStr">
        <is>
          <t>MAR</t>
        </is>
      </c>
      <c r="BA146" t="inlineStr">
        <is>
          <t>MAR</t>
        </is>
      </c>
      <c r="BB146" t="inlineStr">
        <is>
          <t>MAR</t>
        </is>
      </c>
      <c r="BC146" t="inlineStr">
        <is>
          <t>MAR</t>
        </is>
      </c>
      <c r="BD146" t="inlineStr">
        <is>
          <t>MAR</t>
        </is>
      </c>
      <c r="BE146" t="inlineStr">
        <is>
          <t>MAR</t>
        </is>
      </c>
      <c r="BF146" t="inlineStr">
        <is>
          <t>MAR</t>
        </is>
      </c>
      <c r="BG146" t="inlineStr">
        <is>
          <t>DZA</t>
        </is>
      </c>
      <c r="BH146" t="inlineStr">
        <is>
          <t>DZA</t>
        </is>
      </c>
      <c r="BI146" t="inlineStr">
        <is>
          <t>DZA</t>
        </is>
      </c>
      <c r="BJ146" t="inlineStr">
        <is>
          <t>DZA</t>
        </is>
      </c>
      <c r="BK146" t="inlineStr">
        <is>
          <t>DZA</t>
        </is>
      </c>
      <c r="BL146" t="inlineStr">
        <is>
          <t>DZA</t>
        </is>
      </c>
      <c r="BM146" t="inlineStr">
        <is>
          <t>DZA</t>
        </is>
      </c>
      <c r="BN146" t="inlineStr">
        <is>
          <t>DZA</t>
        </is>
      </c>
      <c r="BO146" t="inlineStr">
        <is>
          <t>DZA</t>
        </is>
      </c>
      <c r="BP146" t="inlineStr">
        <is>
          <t>DZA</t>
        </is>
      </c>
      <c r="BQ146" t="inlineStr">
        <is>
          <t>DZA</t>
        </is>
      </c>
      <c r="BR146" t="inlineStr">
        <is>
          <t>DZA</t>
        </is>
      </c>
      <c r="BS146" t="inlineStr">
        <is>
          <t>DZA</t>
        </is>
      </c>
      <c r="BT146" t="inlineStr">
        <is>
          <t>DZA</t>
        </is>
      </c>
      <c r="BU146" t="inlineStr">
        <is>
          <t>DZA</t>
        </is>
      </c>
      <c r="BV146" t="inlineStr">
        <is>
          <t>DZA</t>
        </is>
      </c>
      <c r="BW146" t="inlineStr">
        <is>
          <t>DZA</t>
        </is>
      </c>
      <c r="BX146" t="inlineStr">
        <is>
          <t>DZA</t>
        </is>
      </c>
      <c r="BY146" t="inlineStr">
        <is>
          <t>DZA</t>
        </is>
      </c>
      <c r="BZ146" t="inlineStr">
        <is>
          <t>DZA</t>
        </is>
      </c>
      <c r="CA146" t="inlineStr">
        <is>
          <t>DZA</t>
        </is>
      </c>
      <c r="CB146" t="inlineStr">
        <is>
          <t>TUN</t>
        </is>
      </c>
      <c r="CC146" t="inlineStr">
        <is>
          <t>TUN</t>
        </is>
      </c>
      <c r="CD146" t="inlineStr">
        <is>
          <t>TUN</t>
        </is>
      </c>
      <c r="CE146" t="inlineStr">
        <is>
          <t>TUN</t>
        </is>
      </c>
      <c r="CF146" t="inlineStr">
        <is>
          <t>LBY</t>
        </is>
      </c>
      <c r="CG146" t="inlineStr">
        <is>
          <t>LBY</t>
        </is>
      </c>
      <c r="CH146" t="inlineStr">
        <is>
          <t>LBY</t>
        </is>
      </c>
      <c r="CI146" t="inlineStr">
        <is>
          <t>LBY</t>
        </is>
      </c>
      <c r="CJ146" t="inlineStr">
        <is>
          <t>LBY</t>
        </is>
      </c>
      <c r="CK146" t="inlineStr">
        <is>
          <t>LBY</t>
        </is>
      </c>
      <c r="CL146" t="inlineStr">
        <is>
          <t>LBY</t>
        </is>
      </c>
      <c r="CM146" t="inlineStr">
        <is>
          <t>LBY</t>
        </is>
      </c>
      <c r="CN146" t="inlineStr">
        <is>
          <t>LBY</t>
        </is>
      </c>
      <c r="CX146" t="inlineStr">
        <is>
          <t>LBY</t>
        </is>
      </c>
      <c r="CY146" t="inlineStr">
        <is>
          <t>LBY</t>
        </is>
      </c>
      <c r="CZ146" t="inlineStr">
        <is>
          <t>LBY</t>
        </is>
      </c>
      <c r="DA146" t="inlineStr">
        <is>
          <t>LBY</t>
        </is>
      </c>
      <c r="DB146" t="inlineStr">
        <is>
          <t>LBY</t>
        </is>
      </c>
      <c r="DC146" t="inlineStr">
        <is>
          <t>LBY</t>
        </is>
      </c>
      <c r="EB146" t="inlineStr">
        <is>
          <t>PSE</t>
        </is>
      </c>
      <c r="EC146" t="inlineStr">
        <is>
          <t>JOR</t>
        </is>
      </c>
      <c r="ED146" t="inlineStr">
        <is>
          <t>JOR</t>
        </is>
      </c>
      <c r="EE146" t="inlineStr">
        <is>
          <t>JOR</t>
        </is>
      </c>
      <c r="EF146" t="inlineStr">
        <is>
          <t>JOR</t>
        </is>
      </c>
      <c r="EG146" t="inlineStr">
        <is>
          <t>JOR</t>
        </is>
      </c>
      <c r="EH146" t="inlineStr">
        <is>
          <t>JOR</t>
        </is>
      </c>
      <c r="EI146" t="inlineStr">
        <is>
          <t>JOR</t>
        </is>
      </c>
      <c r="EJ146" t="inlineStr">
        <is>
          <t>IRQ</t>
        </is>
      </c>
      <c r="EK146" t="inlineStr">
        <is>
          <t>IRQ</t>
        </is>
      </c>
      <c r="EL146" t="inlineStr">
        <is>
          <t>IRQ</t>
        </is>
      </c>
      <c r="EM146" t="inlineStr">
        <is>
          <t>IRQ</t>
        </is>
      </c>
      <c r="EN146" t="inlineStr">
        <is>
          <t>IRQ</t>
        </is>
      </c>
      <c r="EO146" t="inlineStr">
        <is>
          <t>IRQ</t>
        </is>
      </c>
      <c r="EP146" t="inlineStr">
        <is>
          <t>IRQ</t>
        </is>
      </c>
      <c r="EQ146" t="inlineStr">
        <is>
          <t>IRQ</t>
        </is>
      </c>
      <c r="ER146" t="inlineStr">
        <is>
          <t>IRQ</t>
        </is>
      </c>
      <c r="ES146" t="inlineStr">
        <is>
          <t>IRQ</t>
        </is>
      </c>
      <c r="ET146" t="inlineStr">
        <is>
          <t>IRQ</t>
        </is>
      </c>
      <c r="EU146" t="inlineStr">
        <is>
          <t>IRQ</t>
        </is>
      </c>
      <c r="EV146" t="inlineStr">
        <is>
          <t>IRQ</t>
        </is>
      </c>
      <c r="EW146" t="inlineStr">
        <is>
          <t>IRQ</t>
        </is>
      </c>
      <c r="EX146" t="inlineStr">
        <is>
          <t>IRQ</t>
        </is>
      </c>
      <c r="EY146" t="inlineStr">
        <is>
          <t>IRQ</t>
        </is>
      </c>
      <c r="EZ146" t="inlineStr">
        <is>
          <t>IRQ</t>
        </is>
      </c>
      <c r="FA146" t="inlineStr">
        <is>
          <t>IRN</t>
        </is>
      </c>
      <c r="FB146" t="inlineStr">
        <is>
          <t>IRN</t>
        </is>
      </c>
      <c r="FC146" t="inlineStr">
        <is>
          <t>IRN</t>
        </is>
      </c>
      <c r="FD146" t="inlineStr">
        <is>
          <t>IRN</t>
        </is>
      </c>
      <c r="FE146" t="inlineStr">
        <is>
          <t>IRN</t>
        </is>
      </c>
      <c r="FF146" t="inlineStr">
        <is>
          <t>IRN</t>
        </is>
      </c>
      <c r="FG146" t="inlineStr">
        <is>
          <t>IRN</t>
        </is>
      </c>
      <c r="FH146" t="inlineStr">
        <is>
          <t>IRN</t>
        </is>
      </c>
      <c r="FI146" t="inlineStr">
        <is>
          <t>IRN</t>
        </is>
      </c>
      <c r="FJ146" t="inlineStr">
        <is>
          <t>IRN</t>
        </is>
      </c>
      <c r="FK146" t="inlineStr">
        <is>
          <t>IRN</t>
        </is>
      </c>
      <c r="FL146" t="inlineStr">
        <is>
          <t>IRN</t>
        </is>
      </c>
      <c r="FM146" t="inlineStr">
        <is>
          <t>IRN</t>
        </is>
      </c>
      <c r="FN146" t="inlineStr">
        <is>
          <t>IRN</t>
        </is>
      </c>
      <c r="FO146" t="inlineStr">
        <is>
          <t>IRN</t>
        </is>
      </c>
      <c r="FP146" t="inlineStr">
        <is>
          <t>IRN</t>
        </is>
      </c>
      <c r="FQ146" t="inlineStr">
        <is>
          <t>IRN</t>
        </is>
      </c>
      <c r="FR146" t="inlineStr">
        <is>
          <t>IRN</t>
        </is>
      </c>
      <c r="FS146" t="inlineStr">
        <is>
          <t>IRN</t>
        </is>
      </c>
      <c r="FT146" t="inlineStr">
        <is>
          <t>IRN</t>
        </is>
      </c>
      <c r="FU146" t="inlineStr">
        <is>
          <t>IRN</t>
        </is>
      </c>
      <c r="FV146" t="inlineStr">
        <is>
          <t>IRN</t>
        </is>
      </c>
      <c r="FW146" t="inlineStr">
        <is>
          <t>IRN</t>
        </is>
      </c>
      <c r="FX146" t="inlineStr">
        <is>
          <t>IRN</t>
        </is>
      </c>
      <c r="FY146" t="inlineStr">
        <is>
          <t>IRN</t>
        </is>
      </c>
      <c r="FZ146" t="inlineStr">
        <is>
          <t>IRN</t>
        </is>
      </c>
      <c r="GA146" t="inlineStr">
        <is>
          <t>IRN</t>
        </is>
      </c>
      <c r="GB146" t="inlineStr">
        <is>
          <t>AFG</t>
        </is>
      </c>
      <c r="GC146" t="inlineStr">
        <is>
          <t>AFG</t>
        </is>
      </c>
      <c r="GD146" t="inlineStr">
        <is>
          <t>AFG</t>
        </is>
      </c>
      <c r="GE146" t="inlineStr">
        <is>
          <t>AFG</t>
        </is>
      </c>
      <c r="GF146" t="inlineStr">
        <is>
          <t>AFG</t>
        </is>
      </c>
      <c r="GG146" t="inlineStr">
        <is>
          <t>AFG</t>
        </is>
      </c>
      <c r="GH146" t="inlineStr">
        <is>
          <t>AFG</t>
        </is>
      </c>
      <c r="GI146" t="inlineStr">
        <is>
          <t>AFG</t>
        </is>
      </c>
      <c r="GJ146" t="inlineStr">
        <is>
          <t>AFG</t>
        </is>
      </c>
      <c r="GK146" t="inlineStr">
        <is>
          <t>AFG</t>
        </is>
      </c>
      <c r="GL146" t="inlineStr">
        <is>
          <t>AFG</t>
        </is>
      </c>
      <c r="GM146" t="inlineStr">
        <is>
          <t>AFG</t>
        </is>
      </c>
      <c r="GN146" t="inlineStr">
        <is>
          <t>AFG</t>
        </is>
      </c>
      <c r="GO146" t="inlineStr">
        <is>
          <t>AFG</t>
        </is>
      </c>
      <c r="GP146" t="inlineStr">
        <is>
          <t>AFG</t>
        </is>
      </c>
      <c r="GQ146" t="inlineStr">
        <is>
          <t>AFG</t>
        </is>
      </c>
      <c r="GR146" t="inlineStr">
        <is>
          <t>AFG</t>
        </is>
      </c>
      <c r="GS146" t="inlineStr">
        <is>
          <t>PAK</t>
        </is>
      </c>
      <c r="GT146" t="inlineStr">
        <is>
          <t>PAK</t>
        </is>
      </c>
      <c r="GU146" t="inlineStr">
        <is>
          <t>PAK</t>
        </is>
      </c>
      <c r="GV146" t="inlineStr">
        <is>
          <t>PAK</t>
        </is>
      </c>
      <c r="GW146" t="inlineStr">
        <is>
          <t>PAK</t>
        </is>
      </c>
      <c r="GX146" t="inlineStr">
        <is>
          <t>PAK</t>
        </is>
      </c>
      <c r="GY146" t="inlineStr">
        <is>
          <t>PAK</t>
        </is>
      </c>
      <c r="GZ146" t="inlineStr">
        <is>
          <t>PAK</t>
        </is>
      </c>
      <c r="HA146" t="inlineStr">
        <is>
          <t>PAK</t>
        </is>
      </c>
      <c r="HB146" t="inlineStr">
        <is>
          <t>PAK</t>
        </is>
      </c>
      <c r="HC146" t="inlineStr">
        <is>
          <t>PAK</t>
        </is>
      </c>
      <c r="HD146" t="inlineStr">
        <is>
          <t>IND</t>
        </is>
      </c>
      <c r="HE146" t="inlineStr">
        <is>
          <t>IND</t>
        </is>
      </c>
      <c r="HF146" t="inlineStr">
        <is>
          <t>IND</t>
        </is>
      </c>
      <c r="HG146" t="inlineStr">
        <is>
          <t>IND</t>
        </is>
      </c>
      <c r="HH146" t="inlineStr">
        <is>
          <t>IND</t>
        </is>
      </c>
      <c r="HI146" t="inlineStr">
        <is>
          <t>IND</t>
        </is>
      </c>
      <c r="HJ146" t="inlineStr">
        <is>
          <t>IND</t>
        </is>
      </c>
      <c r="HK146" t="inlineStr">
        <is>
          <t>CHN</t>
        </is>
      </c>
      <c r="HL146" t="inlineStr">
        <is>
          <t>CHN</t>
        </is>
      </c>
      <c r="HM146" t="inlineStr">
        <is>
          <t>CHN</t>
        </is>
      </c>
      <c r="HN146" t="inlineStr">
        <is>
          <t>CHN</t>
        </is>
      </c>
      <c r="HO146" t="inlineStr">
        <is>
          <t>CHN</t>
        </is>
      </c>
      <c r="HP146" t="inlineStr">
        <is>
          <t>CHN</t>
        </is>
      </c>
      <c r="HQ146" t="inlineStr">
        <is>
          <t>CHN</t>
        </is>
      </c>
      <c r="HR146" t="inlineStr">
        <is>
          <t>CHN</t>
        </is>
      </c>
      <c r="HS146" t="inlineStr">
        <is>
          <t>CHN</t>
        </is>
      </c>
      <c r="HT146" t="inlineStr">
        <is>
          <t>CHN</t>
        </is>
      </c>
      <c r="HU146" t="inlineStr">
        <is>
          <t>CHN</t>
        </is>
      </c>
      <c r="HV146" t="inlineStr">
        <is>
          <t>CHN</t>
        </is>
      </c>
      <c r="HW146" t="inlineStr">
        <is>
          <t>CHN</t>
        </is>
      </c>
      <c r="HX146" t="inlineStr">
        <is>
          <t>CHN</t>
        </is>
      </c>
      <c r="HY146" t="inlineStr">
        <is>
          <t>CHN</t>
        </is>
      </c>
      <c r="HZ146" t="inlineStr">
        <is>
          <t>CHN</t>
        </is>
      </c>
      <c r="IA146" t="inlineStr">
        <is>
          <t>CHN</t>
        </is>
      </c>
      <c r="IB146" t="inlineStr">
        <is>
          <t>CHN</t>
        </is>
      </c>
      <c r="IC146" t="inlineStr">
        <is>
          <t>CHN</t>
        </is>
      </c>
      <c r="ID146" t="inlineStr">
        <is>
          <t>CHN</t>
        </is>
      </c>
      <c r="IE146" t="inlineStr">
        <is>
          <t>CHN</t>
        </is>
      </c>
      <c r="IF146" t="inlineStr">
        <is>
          <t>CHN</t>
        </is>
      </c>
      <c r="IG146" t="inlineStr">
        <is>
          <t>CHN</t>
        </is>
      </c>
      <c r="IH146" t="inlineStr">
        <is>
          <t>CHN</t>
        </is>
      </c>
      <c r="II146" t="inlineStr">
        <is>
          <t>CHN</t>
        </is>
      </c>
      <c r="IJ146" t="inlineStr">
        <is>
          <t>CHN</t>
        </is>
      </c>
      <c r="IK146" t="inlineStr">
        <is>
          <t>CHN</t>
        </is>
      </c>
      <c r="IL146" t="inlineStr">
        <is>
          <t>CHN</t>
        </is>
      </c>
      <c r="IM146" t="inlineStr">
        <is>
          <t>CHN</t>
        </is>
      </c>
      <c r="IN146" t="inlineStr">
        <is>
          <t>CHN</t>
        </is>
      </c>
      <c r="IO146" t="inlineStr">
        <is>
          <t>CHN</t>
        </is>
      </c>
      <c r="IP146" t="inlineStr">
        <is>
          <t>CHN</t>
        </is>
      </c>
      <c r="IQ146" t="inlineStr">
        <is>
          <t>CHN</t>
        </is>
      </c>
      <c r="IR146" t="inlineStr">
        <is>
          <t>CHN</t>
        </is>
      </c>
      <c r="IS146" t="inlineStr">
        <is>
          <t>CHN</t>
        </is>
      </c>
      <c r="IT146" t="inlineStr">
        <is>
          <t>CHN</t>
        </is>
      </c>
      <c r="IU146" t="inlineStr">
        <is>
          <t>CHN</t>
        </is>
      </c>
      <c r="IV146" t="inlineStr">
        <is>
          <t>CHN</t>
        </is>
      </c>
      <c r="IW146" t="inlineStr">
        <is>
          <t>CHN</t>
        </is>
      </c>
      <c r="IX146" t="inlineStr">
        <is>
          <t>CHN</t>
        </is>
      </c>
      <c r="IY146" t="inlineStr">
        <is>
          <t>CHN</t>
        </is>
      </c>
      <c r="IZ146" t="inlineStr">
        <is>
          <t>CHN</t>
        </is>
      </c>
      <c r="JA146" t="inlineStr">
        <is>
          <t>CHN</t>
        </is>
      </c>
      <c r="JB146" t="inlineStr">
        <is>
          <t>CHN</t>
        </is>
      </c>
      <c r="JC146" t="inlineStr">
        <is>
          <t>CHN</t>
        </is>
      </c>
      <c r="JD146" t="inlineStr">
        <is>
          <t>CHN</t>
        </is>
      </c>
      <c r="JE146" t="inlineStr">
        <is>
          <t>CHN</t>
        </is>
      </c>
      <c r="JF146" t="inlineStr">
        <is>
          <t>CHN</t>
        </is>
      </c>
      <c r="JG146" t="inlineStr">
        <is>
          <t>CHN</t>
        </is>
      </c>
      <c r="JH146" t="inlineStr">
        <is>
          <t>CHN</t>
        </is>
      </c>
      <c r="JI146" t="inlineStr">
        <is>
          <t>CHN</t>
        </is>
      </c>
      <c r="JJ146" t="inlineStr">
        <is>
          <t>CHN</t>
        </is>
      </c>
      <c r="JK146" t="inlineStr">
        <is>
          <t>CHN</t>
        </is>
      </c>
      <c r="JL146" t="inlineStr">
        <is>
          <t>CHN</t>
        </is>
      </c>
      <c r="JM146" t="inlineStr">
        <is>
          <t>CHN</t>
        </is>
      </c>
      <c r="JN146" t="inlineStr">
        <is>
          <t>CHN</t>
        </is>
      </c>
      <c r="JO146" t="inlineStr">
        <is>
          <t>CHN</t>
        </is>
      </c>
      <c r="JP146" t="inlineStr">
        <is>
          <t>CHN</t>
        </is>
      </c>
      <c r="JQ146" t="inlineStr">
        <is>
          <t>CHN</t>
        </is>
      </c>
      <c r="JR146" t="inlineStr">
        <is>
          <t>CHN</t>
        </is>
      </c>
      <c r="JS146" t="inlineStr">
        <is>
          <t>CHN</t>
        </is>
      </c>
      <c r="JT146" t="inlineStr">
        <is>
          <t>CHN</t>
        </is>
      </c>
      <c r="JU146" t="inlineStr">
        <is>
          <t>CHN</t>
        </is>
      </c>
    </row>
    <row r="147">
      <c r="AR147" t="inlineStr">
        <is>
          <t>MAR</t>
        </is>
      </c>
      <c r="AS147" t="inlineStr">
        <is>
          <t>MAR</t>
        </is>
      </c>
      <c r="AT147" t="inlineStr">
        <is>
          <t>MAR</t>
        </is>
      </c>
      <c r="AU147" t="inlineStr">
        <is>
          <t>MAR</t>
        </is>
      </c>
      <c r="AV147" t="inlineStr">
        <is>
          <t>MAR</t>
        </is>
      </c>
      <c r="AW147" t="inlineStr">
        <is>
          <t>MAR</t>
        </is>
      </c>
      <c r="AX147" t="inlineStr">
        <is>
          <t>MAR</t>
        </is>
      </c>
      <c r="AY147" t="inlineStr">
        <is>
          <t>MAR</t>
        </is>
      </c>
      <c r="AZ147" t="inlineStr">
        <is>
          <t>MAR</t>
        </is>
      </c>
      <c r="BA147" t="inlineStr">
        <is>
          <t>MAR</t>
        </is>
      </c>
      <c r="BB147" t="inlineStr">
        <is>
          <t>MAR</t>
        </is>
      </c>
      <c r="BC147" t="inlineStr">
        <is>
          <t>MAR</t>
        </is>
      </c>
      <c r="BD147" t="inlineStr">
        <is>
          <t>MAR</t>
        </is>
      </c>
      <c r="BE147" t="inlineStr">
        <is>
          <t>MAR</t>
        </is>
      </c>
      <c r="BF147" t="inlineStr">
        <is>
          <t>MAR</t>
        </is>
      </c>
      <c r="BG147" t="inlineStr">
        <is>
          <t>MAR</t>
        </is>
      </c>
      <c r="BH147" t="inlineStr">
        <is>
          <t>DZA</t>
        </is>
      </c>
      <c r="BI147" t="inlineStr">
        <is>
          <t>DZA</t>
        </is>
      </c>
      <c r="BJ147" t="inlineStr">
        <is>
          <t>DZA</t>
        </is>
      </c>
      <c r="BK147" t="inlineStr">
        <is>
          <t>DZA</t>
        </is>
      </c>
      <c r="BL147" t="inlineStr">
        <is>
          <t>DZA</t>
        </is>
      </c>
      <c r="BM147" t="inlineStr">
        <is>
          <t>DZA</t>
        </is>
      </c>
      <c r="BN147" t="inlineStr">
        <is>
          <t>DZA</t>
        </is>
      </c>
      <c r="BO147" t="inlineStr">
        <is>
          <t>DZA</t>
        </is>
      </c>
      <c r="BP147" t="inlineStr">
        <is>
          <t>DZA</t>
        </is>
      </c>
      <c r="BQ147" t="inlineStr">
        <is>
          <t>DZA</t>
        </is>
      </c>
      <c r="BR147" t="inlineStr">
        <is>
          <t>DZA</t>
        </is>
      </c>
      <c r="BS147" t="inlineStr">
        <is>
          <t>DZA</t>
        </is>
      </c>
      <c r="BT147" t="inlineStr">
        <is>
          <t>DZA</t>
        </is>
      </c>
      <c r="BU147" t="inlineStr">
        <is>
          <t>DZA</t>
        </is>
      </c>
      <c r="BV147" t="inlineStr">
        <is>
          <t>DZA</t>
        </is>
      </c>
      <c r="BW147" t="inlineStr">
        <is>
          <t>DZA</t>
        </is>
      </c>
      <c r="BX147" t="inlineStr">
        <is>
          <t>DZA</t>
        </is>
      </c>
      <c r="BY147" t="inlineStr">
        <is>
          <t>DZA</t>
        </is>
      </c>
      <c r="BZ147" t="inlineStr">
        <is>
          <t>DZA</t>
        </is>
      </c>
      <c r="CA147" t="inlineStr">
        <is>
          <t>TUN</t>
        </is>
      </c>
      <c r="CB147" t="inlineStr">
        <is>
          <t>TUN</t>
        </is>
      </c>
      <c r="CC147" t="inlineStr">
        <is>
          <t>TUN</t>
        </is>
      </c>
      <c r="CD147" t="inlineStr">
        <is>
          <t>TUN</t>
        </is>
      </c>
      <c r="CE147" t="inlineStr">
        <is>
          <t>TUN</t>
        </is>
      </c>
      <c r="CF147" t="inlineStr">
        <is>
          <t>TUN</t>
        </is>
      </c>
      <c r="CG147" t="inlineStr">
        <is>
          <t>LBY</t>
        </is>
      </c>
      <c r="CH147" t="inlineStr">
        <is>
          <t>LBY</t>
        </is>
      </c>
      <c r="CI147" t="inlineStr">
        <is>
          <t>LBY</t>
        </is>
      </c>
      <c r="CJ147" t="inlineStr">
        <is>
          <t>LBY</t>
        </is>
      </c>
      <c r="CZ147" t="inlineStr">
        <is>
          <t>LBY</t>
        </is>
      </c>
      <c r="DA147" t="inlineStr">
        <is>
          <t>LBY</t>
        </is>
      </c>
      <c r="EB147" t="inlineStr">
        <is>
          <t>ISR</t>
        </is>
      </c>
      <c r="EC147" t="inlineStr">
        <is>
          <t>SYR</t>
        </is>
      </c>
      <c r="ED147" t="inlineStr">
        <is>
          <t>SYR</t>
        </is>
      </c>
      <c r="EE147" t="inlineStr">
        <is>
          <t>SYR</t>
        </is>
      </c>
      <c r="EF147" t="inlineStr">
        <is>
          <t>SYR</t>
        </is>
      </c>
      <c r="EG147" t="inlineStr">
        <is>
          <t>JOR</t>
        </is>
      </c>
      <c r="EH147" t="inlineStr">
        <is>
          <t>JOR</t>
        </is>
      </c>
      <c r="EI147" t="inlineStr">
        <is>
          <t>JOR</t>
        </is>
      </c>
      <c r="EJ147" t="inlineStr">
        <is>
          <t>IRQ</t>
        </is>
      </c>
      <c r="EK147" t="inlineStr">
        <is>
          <t>IRQ</t>
        </is>
      </c>
      <c r="EL147" t="inlineStr">
        <is>
          <t>IRQ</t>
        </is>
      </c>
      <c r="EM147" t="inlineStr">
        <is>
          <t>IRQ</t>
        </is>
      </c>
      <c r="EN147" t="inlineStr">
        <is>
          <t>IRQ</t>
        </is>
      </c>
      <c r="EO147" t="inlineStr">
        <is>
          <t>IRQ</t>
        </is>
      </c>
      <c r="EP147" t="inlineStr">
        <is>
          <t>IRQ</t>
        </is>
      </c>
      <c r="EQ147" t="inlineStr">
        <is>
          <t>IRQ</t>
        </is>
      </c>
      <c r="ER147" t="inlineStr">
        <is>
          <t>IRQ</t>
        </is>
      </c>
      <c r="ES147" t="inlineStr">
        <is>
          <t>IRQ</t>
        </is>
      </c>
      <c r="ET147" t="inlineStr">
        <is>
          <t>IRQ</t>
        </is>
      </c>
      <c r="EU147" t="inlineStr">
        <is>
          <t>IRQ</t>
        </is>
      </c>
      <c r="EV147" t="inlineStr">
        <is>
          <t>IRQ</t>
        </is>
      </c>
      <c r="EW147" t="inlineStr">
        <is>
          <t>IRQ</t>
        </is>
      </c>
      <c r="EX147" t="inlineStr">
        <is>
          <t>IRQ</t>
        </is>
      </c>
      <c r="EY147" t="inlineStr">
        <is>
          <t>IRN</t>
        </is>
      </c>
      <c r="EZ147" t="inlineStr">
        <is>
          <t>IRN</t>
        </is>
      </c>
      <c r="FA147" t="inlineStr">
        <is>
          <t>IRN</t>
        </is>
      </c>
      <c r="FB147" t="inlineStr">
        <is>
          <t>IRN</t>
        </is>
      </c>
      <c r="FC147" t="inlineStr">
        <is>
          <t>IRN</t>
        </is>
      </c>
      <c r="FD147" t="inlineStr">
        <is>
          <t>IRN</t>
        </is>
      </c>
      <c r="FE147" t="inlineStr">
        <is>
          <t>IRN</t>
        </is>
      </c>
      <c r="FF147" t="inlineStr">
        <is>
          <t>IRN</t>
        </is>
      </c>
      <c r="FG147" t="inlineStr">
        <is>
          <t>IRN</t>
        </is>
      </c>
      <c r="FH147" t="inlineStr">
        <is>
          <t>IRN</t>
        </is>
      </c>
      <c r="FI147" t="inlineStr">
        <is>
          <t>IRN</t>
        </is>
      </c>
      <c r="FJ147" t="inlineStr">
        <is>
          <t>IRN</t>
        </is>
      </c>
      <c r="FK147" t="inlineStr">
        <is>
          <t>IRN</t>
        </is>
      </c>
      <c r="FL147" t="inlineStr">
        <is>
          <t>IRN</t>
        </is>
      </c>
      <c r="FM147" t="inlineStr">
        <is>
          <t>IRN</t>
        </is>
      </c>
      <c r="FN147" t="inlineStr">
        <is>
          <t>IRN</t>
        </is>
      </c>
      <c r="FO147" t="inlineStr">
        <is>
          <t>IRN</t>
        </is>
      </c>
      <c r="FP147" t="inlineStr">
        <is>
          <t>IRN</t>
        </is>
      </c>
      <c r="FQ147" t="inlineStr">
        <is>
          <t>IRN</t>
        </is>
      </c>
      <c r="FR147" t="inlineStr">
        <is>
          <t>IRN</t>
        </is>
      </c>
      <c r="FS147" t="inlineStr">
        <is>
          <t>IRN</t>
        </is>
      </c>
      <c r="FT147" t="inlineStr">
        <is>
          <t>IRN</t>
        </is>
      </c>
      <c r="FU147" t="inlineStr">
        <is>
          <t>IRN</t>
        </is>
      </c>
      <c r="FV147" t="inlineStr">
        <is>
          <t>IRN</t>
        </is>
      </c>
      <c r="FW147" t="inlineStr">
        <is>
          <t>IRN</t>
        </is>
      </c>
      <c r="FX147" t="inlineStr">
        <is>
          <t>IRN</t>
        </is>
      </c>
      <c r="FY147" t="inlineStr">
        <is>
          <t>IRN</t>
        </is>
      </c>
      <c r="FZ147" t="inlineStr">
        <is>
          <t>IRN</t>
        </is>
      </c>
      <c r="GA147" t="inlineStr">
        <is>
          <t>AFG</t>
        </is>
      </c>
      <c r="GB147" t="inlineStr">
        <is>
          <t>AFG</t>
        </is>
      </c>
      <c r="GC147" t="inlineStr">
        <is>
          <t>AFG</t>
        </is>
      </c>
      <c r="GD147" t="inlineStr">
        <is>
          <t>AFG</t>
        </is>
      </c>
      <c r="GE147" t="inlineStr">
        <is>
          <t>AFG</t>
        </is>
      </c>
      <c r="GF147" t="inlineStr">
        <is>
          <t>AFG</t>
        </is>
      </c>
      <c r="GG147" t="inlineStr">
        <is>
          <t>AFG</t>
        </is>
      </c>
      <c r="GH147" t="inlineStr">
        <is>
          <t>AFG</t>
        </is>
      </c>
      <c r="GI147" t="inlineStr">
        <is>
          <t>AFG</t>
        </is>
      </c>
      <c r="GJ147" t="inlineStr">
        <is>
          <t>AFG</t>
        </is>
      </c>
      <c r="GK147" t="inlineStr">
        <is>
          <t>AFG</t>
        </is>
      </c>
      <c r="GL147" t="inlineStr">
        <is>
          <t>AFG</t>
        </is>
      </c>
      <c r="GM147" t="inlineStr">
        <is>
          <t>AFG</t>
        </is>
      </c>
      <c r="GN147" t="inlineStr">
        <is>
          <t>AFG</t>
        </is>
      </c>
      <c r="GO147" t="inlineStr">
        <is>
          <t>AFG</t>
        </is>
      </c>
      <c r="GP147" t="inlineStr">
        <is>
          <t>AFG</t>
        </is>
      </c>
      <c r="GQ147" t="inlineStr">
        <is>
          <t>AFG</t>
        </is>
      </c>
      <c r="GR147" t="inlineStr">
        <is>
          <t>AFG</t>
        </is>
      </c>
      <c r="GS147" t="inlineStr">
        <is>
          <t>PAK</t>
        </is>
      </c>
      <c r="GT147" t="inlineStr">
        <is>
          <t>PAK</t>
        </is>
      </c>
      <c r="GU147" t="inlineStr">
        <is>
          <t>PAK</t>
        </is>
      </c>
      <c r="GV147" t="inlineStr">
        <is>
          <t>PAK</t>
        </is>
      </c>
      <c r="GW147" t="inlineStr">
        <is>
          <t>PAK</t>
        </is>
      </c>
      <c r="GX147" t="inlineStr">
        <is>
          <t>PAK</t>
        </is>
      </c>
      <c r="GY147" t="inlineStr">
        <is>
          <t>PAK</t>
        </is>
      </c>
      <c r="GZ147" t="inlineStr">
        <is>
          <t>PAK</t>
        </is>
      </c>
      <c r="HA147" t="inlineStr">
        <is>
          <t>PAK</t>
        </is>
      </c>
      <c r="HB147" t="inlineStr">
        <is>
          <t>PAK</t>
        </is>
      </c>
      <c r="HC147" t="inlineStr">
        <is>
          <t>IND</t>
        </is>
      </c>
      <c r="HD147" t="inlineStr">
        <is>
          <t>IND</t>
        </is>
      </c>
      <c r="HE147" t="inlineStr">
        <is>
          <t>IND</t>
        </is>
      </c>
      <c r="HF147" t="inlineStr">
        <is>
          <t>IND</t>
        </is>
      </c>
      <c r="HG147" t="inlineStr">
        <is>
          <t>IND</t>
        </is>
      </c>
      <c r="HH147" t="inlineStr">
        <is>
          <t>IND</t>
        </is>
      </c>
      <c r="HI147" t="inlineStr">
        <is>
          <t>IND</t>
        </is>
      </c>
      <c r="HJ147" t="inlineStr">
        <is>
          <t>IND</t>
        </is>
      </c>
      <c r="HK147" t="inlineStr">
        <is>
          <t>IND</t>
        </is>
      </c>
      <c r="HL147" t="inlineStr">
        <is>
          <t>CHN</t>
        </is>
      </c>
      <c r="HM147" t="inlineStr">
        <is>
          <t>CHN</t>
        </is>
      </c>
      <c r="HN147" t="inlineStr">
        <is>
          <t>CHN</t>
        </is>
      </c>
      <c r="HO147" t="inlineStr">
        <is>
          <t>CHN</t>
        </is>
      </c>
      <c r="HP147" t="inlineStr">
        <is>
          <t>CHN</t>
        </is>
      </c>
      <c r="HQ147" t="inlineStr">
        <is>
          <t>CHN</t>
        </is>
      </c>
      <c r="HR147" t="inlineStr">
        <is>
          <t>CHN</t>
        </is>
      </c>
      <c r="HS147" t="inlineStr">
        <is>
          <t>CHN</t>
        </is>
      </c>
      <c r="HT147" t="inlineStr">
        <is>
          <t>CHN</t>
        </is>
      </c>
      <c r="HU147" t="inlineStr">
        <is>
          <t>CHN</t>
        </is>
      </c>
      <c r="HV147" t="inlineStr">
        <is>
          <t>CHN</t>
        </is>
      </c>
      <c r="HW147" t="inlineStr">
        <is>
          <t>CHN</t>
        </is>
      </c>
      <c r="HX147" t="inlineStr">
        <is>
          <t>CHN</t>
        </is>
      </c>
      <c r="HY147" t="inlineStr">
        <is>
          <t>CHN</t>
        </is>
      </c>
      <c r="HZ147" t="inlineStr">
        <is>
          <t>CHN</t>
        </is>
      </c>
      <c r="IA147" t="inlineStr">
        <is>
          <t>CHN</t>
        </is>
      </c>
      <c r="IB147" t="inlineStr">
        <is>
          <t>CHN</t>
        </is>
      </c>
      <c r="IC147" t="inlineStr">
        <is>
          <t>CHN</t>
        </is>
      </c>
      <c r="ID147" t="inlineStr">
        <is>
          <t>CHN</t>
        </is>
      </c>
      <c r="IE147" t="inlineStr">
        <is>
          <t>CHN</t>
        </is>
      </c>
      <c r="IF147" t="inlineStr">
        <is>
          <t>CHN</t>
        </is>
      </c>
      <c r="IG147" t="inlineStr">
        <is>
          <t>CHN</t>
        </is>
      </c>
      <c r="IH147" t="inlineStr">
        <is>
          <t>CHN</t>
        </is>
      </c>
      <c r="II147" t="inlineStr">
        <is>
          <t>CHN</t>
        </is>
      </c>
      <c r="IJ147" t="inlineStr">
        <is>
          <t>CHN</t>
        </is>
      </c>
      <c r="IK147" t="inlineStr">
        <is>
          <t>CHN</t>
        </is>
      </c>
      <c r="IL147" t="inlineStr">
        <is>
          <t>CHN</t>
        </is>
      </c>
      <c r="IM147" t="inlineStr">
        <is>
          <t>CHN</t>
        </is>
      </c>
      <c r="IN147" t="inlineStr">
        <is>
          <t>CHN</t>
        </is>
      </c>
      <c r="IO147" t="inlineStr">
        <is>
          <t>CHN</t>
        </is>
      </c>
      <c r="IP147" t="inlineStr">
        <is>
          <t>CHN</t>
        </is>
      </c>
      <c r="IQ147" t="inlineStr">
        <is>
          <t>CHN</t>
        </is>
      </c>
      <c r="IR147" t="inlineStr">
        <is>
          <t>CHN</t>
        </is>
      </c>
      <c r="IS147" t="inlineStr">
        <is>
          <t>CHN</t>
        </is>
      </c>
      <c r="IT147" t="inlineStr">
        <is>
          <t>CHN</t>
        </is>
      </c>
      <c r="IU147" t="inlineStr">
        <is>
          <t>CHN</t>
        </is>
      </c>
      <c r="IV147" t="inlineStr">
        <is>
          <t>CHN</t>
        </is>
      </c>
      <c r="IW147" t="inlineStr">
        <is>
          <t>CHN</t>
        </is>
      </c>
      <c r="IX147" t="inlineStr">
        <is>
          <t>CHN</t>
        </is>
      </c>
      <c r="IY147" t="inlineStr">
        <is>
          <t>CHN</t>
        </is>
      </c>
      <c r="IZ147" t="inlineStr">
        <is>
          <t>CHN</t>
        </is>
      </c>
      <c r="JA147" t="inlineStr">
        <is>
          <t>CHN</t>
        </is>
      </c>
      <c r="JB147" t="inlineStr">
        <is>
          <t>CHN</t>
        </is>
      </c>
      <c r="JC147" t="inlineStr">
        <is>
          <t>CHN</t>
        </is>
      </c>
      <c r="JD147" t="inlineStr">
        <is>
          <t>CHN</t>
        </is>
      </c>
      <c r="JE147" t="inlineStr">
        <is>
          <t>CHN</t>
        </is>
      </c>
      <c r="JF147" t="inlineStr">
        <is>
          <t>CHN</t>
        </is>
      </c>
      <c r="JG147" t="inlineStr">
        <is>
          <t>CHN</t>
        </is>
      </c>
      <c r="JH147" t="inlineStr">
        <is>
          <t>CHN</t>
        </is>
      </c>
      <c r="JI147" t="inlineStr">
        <is>
          <t>CHN</t>
        </is>
      </c>
      <c r="JJ147" t="inlineStr">
        <is>
          <t>CHN</t>
        </is>
      </c>
      <c r="JK147" t="inlineStr">
        <is>
          <t>CHN</t>
        </is>
      </c>
      <c r="JL147" t="inlineStr">
        <is>
          <t>CHN</t>
        </is>
      </c>
      <c r="JM147" t="inlineStr">
        <is>
          <t>CHN</t>
        </is>
      </c>
      <c r="JN147" t="inlineStr">
        <is>
          <t>CHN</t>
        </is>
      </c>
      <c r="JO147" t="inlineStr">
        <is>
          <t>CHN</t>
        </is>
      </c>
      <c r="JP147" t="inlineStr">
        <is>
          <t>CHN</t>
        </is>
      </c>
      <c r="JQ147" t="inlineStr">
        <is>
          <t>CHN</t>
        </is>
      </c>
      <c r="JR147" t="inlineStr">
        <is>
          <t>CHN</t>
        </is>
      </c>
      <c r="JS147" t="inlineStr">
        <is>
          <t>CHN</t>
        </is>
      </c>
      <c r="JT147" t="inlineStr">
        <is>
          <t>CHN</t>
        </is>
      </c>
      <c r="JU147" t="inlineStr">
        <is>
          <t>CHN</t>
        </is>
      </c>
    </row>
    <row r="148">
      <c r="AS148" t="inlineStr">
        <is>
          <t>MAR</t>
        </is>
      </c>
      <c r="AT148" t="inlineStr">
        <is>
          <t>MAR</t>
        </is>
      </c>
      <c r="AU148" t="inlineStr">
        <is>
          <t>MAR</t>
        </is>
      </c>
      <c r="AV148" t="inlineStr">
        <is>
          <t>MAR</t>
        </is>
      </c>
      <c r="AW148" t="inlineStr">
        <is>
          <t>MAR</t>
        </is>
      </c>
      <c r="AX148" t="inlineStr">
        <is>
          <t>MAR</t>
        </is>
      </c>
      <c r="AY148" t="inlineStr">
        <is>
          <t>MAR</t>
        </is>
      </c>
      <c r="AZ148" t="inlineStr">
        <is>
          <t>MAR</t>
        </is>
      </c>
      <c r="BA148" t="inlineStr">
        <is>
          <t>MAR</t>
        </is>
      </c>
      <c r="BB148" t="inlineStr">
        <is>
          <t>MAR</t>
        </is>
      </c>
      <c r="BC148" t="inlineStr">
        <is>
          <t>MAR</t>
        </is>
      </c>
      <c r="BD148" t="inlineStr">
        <is>
          <t>MAR</t>
        </is>
      </c>
      <c r="BE148" t="inlineStr">
        <is>
          <t>MAR</t>
        </is>
      </c>
      <c r="BF148" t="inlineStr">
        <is>
          <t>MAR</t>
        </is>
      </c>
      <c r="BG148" t="inlineStr">
        <is>
          <t>DZA</t>
        </is>
      </c>
      <c r="BH148" t="inlineStr">
        <is>
          <t>DZA</t>
        </is>
      </c>
      <c r="BI148" t="inlineStr">
        <is>
          <t>DZA</t>
        </is>
      </c>
      <c r="BJ148" t="inlineStr">
        <is>
          <t>DZA</t>
        </is>
      </c>
      <c r="BK148" t="inlineStr">
        <is>
          <t>DZA</t>
        </is>
      </c>
      <c r="BL148" t="inlineStr">
        <is>
          <t>DZA</t>
        </is>
      </c>
      <c r="BM148" t="inlineStr">
        <is>
          <t>DZA</t>
        </is>
      </c>
      <c r="BN148" t="inlineStr">
        <is>
          <t>DZA</t>
        </is>
      </c>
      <c r="BO148" t="inlineStr">
        <is>
          <t>DZA</t>
        </is>
      </c>
      <c r="BP148" t="inlineStr">
        <is>
          <t>DZA</t>
        </is>
      </c>
      <c r="BQ148" t="inlineStr">
        <is>
          <t>DZA</t>
        </is>
      </c>
      <c r="BR148" t="inlineStr">
        <is>
          <t>DZA</t>
        </is>
      </c>
      <c r="BS148" t="inlineStr">
        <is>
          <t>DZA</t>
        </is>
      </c>
      <c r="BT148" t="inlineStr">
        <is>
          <t>DZA</t>
        </is>
      </c>
      <c r="BU148" t="inlineStr">
        <is>
          <t>DZA</t>
        </is>
      </c>
      <c r="BV148" t="inlineStr">
        <is>
          <t>DZA</t>
        </is>
      </c>
      <c r="BW148" t="inlineStr">
        <is>
          <t>DZA</t>
        </is>
      </c>
      <c r="BX148" t="inlineStr">
        <is>
          <t>DZA</t>
        </is>
      </c>
      <c r="BY148" t="inlineStr">
        <is>
          <t>TUN</t>
        </is>
      </c>
      <c r="BZ148" t="inlineStr">
        <is>
          <t>TUN</t>
        </is>
      </c>
      <c r="CA148" t="inlineStr">
        <is>
          <t>TUN</t>
        </is>
      </c>
      <c r="CB148" t="inlineStr">
        <is>
          <t>TUN</t>
        </is>
      </c>
      <c r="CC148" t="inlineStr">
        <is>
          <t>TUN</t>
        </is>
      </c>
      <c r="CD148" t="inlineStr">
        <is>
          <t>TUN</t>
        </is>
      </c>
      <c r="CE148" t="inlineStr">
        <is>
          <t>TUN</t>
        </is>
      </c>
      <c r="EB148" t="inlineStr">
        <is>
          <t>LBN</t>
        </is>
      </c>
      <c r="EC148" t="inlineStr">
        <is>
          <t>ISR</t>
        </is>
      </c>
      <c r="ED148" t="inlineStr">
        <is>
          <t>SYR</t>
        </is>
      </c>
      <c r="EE148" t="inlineStr">
        <is>
          <t>SYR</t>
        </is>
      </c>
      <c r="EF148" t="inlineStr">
        <is>
          <t>SYR</t>
        </is>
      </c>
      <c r="EG148" t="inlineStr">
        <is>
          <t>SYR</t>
        </is>
      </c>
      <c r="EH148" t="inlineStr">
        <is>
          <t>SYR</t>
        </is>
      </c>
      <c r="EI148" t="inlineStr">
        <is>
          <t>JOR</t>
        </is>
      </c>
      <c r="EJ148" t="inlineStr">
        <is>
          <t>IRQ</t>
        </is>
      </c>
      <c r="EK148" t="inlineStr">
        <is>
          <t>IRQ</t>
        </is>
      </c>
      <c r="EL148" t="inlineStr">
        <is>
          <t>IRQ</t>
        </is>
      </c>
      <c r="EM148" t="inlineStr">
        <is>
          <t>IRQ</t>
        </is>
      </c>
      <c r="EN148" t="inlineStr">
        <is>
          <t>IRQ</t>
        </is>
      </c>
      <c r="EO148" t="inlineStr">
        <is>
          <t>IRQ</t>
        </is>
      </c>
      <c r="EP148" t="inlineStr">
        <is>
          <t>IRQ</t>
        </is>
      </c>
      <c r="EQ148" t="inlineStr">
        <is>
          <t>IRQ</t>
        </is>
      </c>
      <c r="ER148" t="inlineStr">
        <is>
          <t>IRQ</t>
        </is>
      </c>
      <c r="ES148" t="inlineStr">
        <is>
          <t>IRQ</t>
        </is>
      </c>
      <c r="ET148" t="inlineStr">
        <is>
          <t>IRQ</t>
        </is>
      </c>
      <c r="EU148" t="inlineStr">
        <is>
          <t>IRQ</t>
        </is>
      </c>
      <c r="EV148" t="inlineStr">
        <is>
          <t>IRQ</t>
        </is>
      </c>
      <c r="EW148" t="inlineStr">
        <is>
          <t>IRQ</t>
        </is>
      </c>
      <c r="EX148" t="inlineStr">
        <is>
          <t>IRN</t>
        </is>
      </c>
      <c r="EY148" t="inlineStr">
        <is>
          <t>IRN</t>
        </is>
      </c>
      <c r="EZ148" t="inlineStr">
        <is>
          <t>IRN</t>
        </is>
      </c>
      <c r="FA148" t="inlineStr">
        <is>
          <t>IRN</t>
        </is>
      </c>
      <c r="FB148" t="inlineStr">
        <is>
          <t>IRN</t>
        </is>
      </c>
      <c r="FC148" t="inlineStr">
        <is>
          <t>IRN</t>
        </is>
      </c>
      <c r="FD148" t="inlineStr">
        <is>
          <t>IRN</t>
        </is>
      </c>
      <c r="FE148" t="inlineStr">
        <is>
          <t>IRN</t>
        </is>
      </c>
      <c r="FF148" t="inlineStr">
        <is>
          <t>IRN</t>
        </is>
      </c>
      <c r="FG148" t="inlineStr">
        <is>
          <t>IRN</t>
        </is>
      </c>
      <c r="FH148" t="inlineStr">
        <is>
          <t>IRN</t>
        </is>
      </c>
      <c r="FI148" t="inlineStr">
        <is>
          <t>IRN</t>
        </is>
      </c>
      <c r="FJ148" t="inlineStr">
        <is>
          <t>IRN</t>
        </is>
      </c>
      <c r="FK148" t="inlineStr">
        <is>
          <t>IRN</t>
        </is>
      </c>
      <c r="FL148" t="inlineStr">
        <is>
          <t>IRN</t>
        </is>
      </c>
      <c r="FM148" t="inlineStr">
        <is>
          <t>IRN</t>
        </is>
      </c>
      <c r="FN148" t="inlineStr">
        <is>
          <t>IRN</t>
        </is>
      </c>
      <c r="FO148" t="inlineStr">
        <is>
          <t>IRN</t>
        </is>
      </c>
      <c r="FP148" t="inlineStr">
        <is>
          <t>IRN</t>
        </is>
      </c>
      <c r="FQ148" t="inlineStr">
        <is>
          <t>IRN</t>
        </is>
      </c>
      <c r="FR148" t="inlineStr">
        <is>
          <t>IRN</t>
        </is>
      </c>
      <c r="FS148" t="inlineStr">
        <is>
          <t>IRN</t>
        </is>
      </c>
      <c r="FT148" t="inlineStr">
        <is>
          <t>IRN</t>
        </is>
      </c>
      <c r="FU148" t="inlineStr">
        <is>
          <t>IRN</t>
        </is>
      </c>
      <c r="FV148" t="inlineStr">
        <is>
          <t>IRN</t>
        </is>
      </c>
      <c r="FW148" t="inlineStr">
        <is>
          <t>IRN</t>
        </is>
      </c>
      <c r="FX148" t="inlineStr">
        <is>
          <t>IRN</t>
        </is>
      </c>
      <c r="FY148" t="inlineStr">
        <is>
          <t>IRN</t>
        </is>
      </c>
      <c r="FZ148" t="inlineStr">
        <is>
          <t>IRN</t>
        </is>
      </c>
      <c r="GA148" t="inlineStr">
        <is>
          <t>AFG</t>
        </is>
      </c>
      <c r="GB148" t="inlineStr">
        <is>
          <t>AFG</t>
        </is>
      </c>
      <c r="GC148" t="inlineStr">
        <is>
          <t>AFG</t>
        </is>
      </c>
      <c r="GD148" t="inlineStr">
        <is>
          <t>AFG</t>
        </is>
      </c>
      <c r="GE148" t="inlineStr">
        <is>
          <t>AFG</t>
        </is>
      </c>
      <c r="GF148" t="inlineStr">
        <is>
          <t>AFG</t>
        </is>
      </c>
      <c r="GG148" t="inlineStr">
        <is>
          <t>AFG</t>
        </is>
      </c>
      <c r="GH148" t="inlineStr">
        <is>
          <t>AFG</t>
        </is>
      </c>
      <c r="GI148" t="inlineStr">
        <is>
          <t>AFG</t>
        </is>
      </c>
      <c r="GJ148" t="inlineStr">
        <is>
          <t>AFG</t>
        </is>
      </c>
      <c r="GK148" t="inlineStr">
        <is>
          <t>AFG</t>
        </is>
      </c>
      <c r="GL148" t="inlineStr">
        <is>
          <t>AFG</t>
        </is>
      </c>
      <c r="GM148" t="inlineStr">
        <is>
          <t>AFG</t>
        </is>
      </c>
      <c r="GN148" t="inlineStr">
        <is>
          <t>AFG</t>
        </is>
      </c>
      <c r="GO148" t="inlineStr">
        <is>
          <t>AFG</t>
        </is>
      </c>
      <c r="GP148" t="inlineStr">
        <is>
          <t>AFG</t>
        </is>
      </c>
      <c r="GQ148" t="inlineStr">
        <is>
          <t>AFG</t>
        </is>
      </c>
      <c r="GR148" t="inlineStr">
        <is>
          <t>AFG</t>
        </is>
      </c>
      <c r="GS148" t="inlineStr">
        <is>
          <t>AFG</t>
        </is>
      </c>
      <c r="GT148" t="inlineStr">
        <is>
          <t>PAK</t>
        </is>
      </c>
      <c r="GU148" t="inlineStr">
        <is>
          <t>PAK</t>
        </is>
      </c>
      <c r="GV148" t="inlineStr">
        <is>
          <t>PAK</t>
        </is>
      </c>
      <c r="GW148" t="inlineStr">
        <is>
          <t>PAK</t>
        </is>
      </c>
      <c r="GX148" t="inlineStr">
        <is>
          <t>PAK</t>
        </is>
      </c>
      <c r="GY148" t="inlineStr">
        <is>
          <t>PAK</t>
        </is>
      </c>
      <c r="GZ148" t="inlineStr">
        <is>
          <t>PAK</t>
        </is>
      </c>
      <c r="HA148" t="inlineStr">
        <is>
          <t>PAK</t>
        </is>
      </c>
      <c r="HB148" t="inlineStr">
        <is>
          <t>IND</t>
        </is>
      </c>
      <c r="HC148" t="inlineStr">
        <is>
          <t>IND</t>
        </is>
      </c>
      <c r="HD148" t="inlineStr">
        <is>
          <t>IND</t>
        </is>
      </c>
      <c r="HE148" t="inlineStr">
        <is>
          <t>IND</t>
        </is>
      </c>
      <c r="HF148" t="inlineStr">
        <is>
          <t>IND</t>
        </is>
      </c>
      <c r="HG148" t="inlineStr">
        <is>
          <t>IND</t>
        </is>
      </c>
      <c r="HH148" t="inlineStr">
        <is>
          <t>IND</t>
        </is>
      </c>
      <c r="HI148" t="inlineStr">
        <is>
          <t>IND</t>
        </is>
      </c>
      <c r="HJ148" t="inlineStr">
        <is>
          <t>IND</t>
        </is>
      </c>
      <c r="HK148" t="inlineStr">
        <is>
          <t>IND</t>
        </is>
      </c>
      <c r="HL148" t="inlineStr">
        <is>
          <t>CHN</t>
        </is>
      </c>
      <c r="HM148" t="inlineStr">
        <is>
          <t>CHN</t>
        </is>
      </c>
      <c r="HN148" t="inlineStr">
        <is>
          <t>CHN</t>
        </is>
      </c>
      <c r="HO148" t="inlineStr">
        <is>
          <t>CHN</t>
        </is>
      </c>
      <c r="HP148" t="inlineStr">
        <is>
          <t>CHN</t>
        </is>
      </c>
      <c r="HQ148" t="inlineStr">
        <is>
          <t>CHN</t>
        </is>
      </c>
      <c r="HR148" t="inlineStr">
        <is>
          <t>CHN</t>
        </is>
      </c>
      <c r="HS148" t="inlineStr">
        <is>
          <t>CHN</t>
        </is>
      </c>
      <c r="HT148" t="inlineStr">
        <is>
          <t>CHN</t>
        </is>
      </c>
      <c r="HU148" t="inlineStr">
        <is>
          <t>CHN</t>
        </is>
      </c>
      <c r="HV148" t="inlineStr">
        <is>
          <t>CHN</t>
        </is>
      </c>
      <c r="HW148" t="inlineStr">
        <is>
          <t>CHN</t>
        </is>
      </c>
      <c r="HX148" t="inlineStr">
        <is>
          <t>CHN</t>
        </is>
      </c>
      <c r="HY148" t="inlineStr">
        <is>
          <t>CHN</t>
        </is>
      </c>
      <c r="HZ148" t="inlineStr">
        <is>
          <t>CHN</t>
        </is>
      </c>
      <c r="IA148" t="inlineStr">
        <is>
          <t>CHN</t>
        </is>
      </c>
      <c r="IB148" t="inlineStr">
        <is>
          <t>CHN</t>
        </is>
      </c>
      <c r="IC148" t="inlineStr">
        <is>
          <t>CHN</t>
        </is>
      </c>
      <c r="ID148" t="inlineStr">
        <is>
          <t>CHN</t>
        </is>
      </c>
      <c r="IE148" t="inlineStr">
        <is>
          <t>CHN</t>
        </is>
      </c>
      <c r="IF148" t="inlineStr">
        <is>
          <t>CHN</t>
        </is>
      </c>
      <c r="IG148" t="inlineStr">
        <is>
          <t>CHN</t>
        </is>
      </c>
      <c r="IH148" t="inlineStr">
        <is>
          <t>CHN</t>
        </is>
      </c>
      <c r="II148" t="inlineStr">
        <is>
          <t>CHN</t>
        </is>
      </c>
      <c r="IJ148" t="inlineStr">
        <is>
          <t>CHN</t>
        </is>
      </c>
      <c r="IK148" t="inlineStr">
        <is>
          <t>CHN</t>
        </is>
      </c>
      <c r="IL148" t="inlineStr">
        <is>
          <t>CHN</t>
        </is>
      </c>
      <c r="IM148" t="inlineStr">
        <is>
          <t>CHN</t>
        </is>
      </c>
      <c r="IN148" t="inlineStr">
        <is>
          <t>CHN</t>
        </is>
      </c>
      <c r="IO148" t="inlineStr">
        <is>
          <t>CHN</t>
        </is>
      </c>
      <c r="IP148" t="inlineStr">
        <is>
          <t>CHN</t>
        </is>
      </c>
      <c r="IQ148" t="inlineStr">
        <is>
          <t>CHN</t>
        </is>
      </c>
      <c r="IR148" t="inlineStr">
        <is>
          <t>CHN</t>
        </is>
      </c>
      <c r="IS148" t="inlineStr">
        <is>
          <t>CHN</t>
        </is>
      </c>
      <c r="IT148" t="inlineStr">
        <is>
          <t>CHN</t>
        </is>
      </c>
      <c r="IU148" t="inlineStr">
        <is>
          <t>CHN</t>
        </is>
      </c>
      <c r="IV148" t="inlineStr">
        <is>
          <t>CHN</t>
        </is>
      </c>
      <c r="IW148" t="inlineStr">
        <is>
          <t>CHN</t>
        </is>
      </c>
      <c r="IX148" t="inlineStr">
        <is>
          <t>CHN</t>
        </is>
      </c>
      <c r="IY148" t="inlineStr">
        <is>
          <t>CHN</t>
        </is>
      </c>
      <c r="IZ148" t="inlineStr">
        <is>
          <t>CHN</t>
        </is>
      </c>
      <c r="JA148" t="inlineStr">
        <is>
          <t>CHN</t>
        </is>
      </c>
      <c r="JB148" t="inlineStr">
        <is>
          <t>CHN</t>
        </is>
      </c>
      <c r="JC148" t="inlineStr">
        <is>
          <t>CHN</t>
        </is>
      </c>
      <c r="JD148" t="inlineStr">
        <is>
          <t>CHN</t>
        </is>
      </c>
      <c r="JE148" t="inlineStr">
        <is>
          <t>CHN</t>
        </is>
      </c>
      <c r="JF148" t="inlineStr">
        <is>
          <t>CHN</t>
        </is>
      </c>
      <c r="JG148" t="inlineStr">
        <is>
          <t>CHN</t>
        </is>
      </c>
      <c r="JH148" t="inlineStr">
        <is>
          <t>CHN</t>
        </is>
      </c>
      <c r="JI148" t="inlineStr">
        <is>
          <t>CHN</t>
        </is>
      </c>
      <c r="JJ148" t="inlineStr">
        <is>
          <t>CHN</t>
        </is>
      </c>
      <c r="JK148" t="inlineStr">
        <is>
          <t>CHN</t>
        </is>
      </c>
      <c r="JL148" t="inlineStr">
        <is>
          <t>CHN</t>
        </is>
      </c>
      <c r="JM148" t="inlineStr">
        <is>
          <t>CHN</t>
        </is>
      </c>
      <c r="JN148" t="inlineStr">
        <is>
          <t>CHN</t>
        </is>
      </c>
      <c r="JO148" t="inlineStr">
        <is>
          <t>CHN</t>
        </is>
      </c>
      <c r="JP148" t="inlineStr">
        <is>
          <t>CHN</t>
        </is>
      </c>
      <c r="JQ148" t="inlineStr">
        <is>
          <t>CHN</t>
        </is>
      </c>
      <c r="JR148" t="inlineStr">
        <is>
          <t>CHN</t>
        </is>
      </c>
      <c r="JS148" t="inlineStr">
        <is>
          <t>CHN</t>
        </is>
      </c>
      <c r="JT148" t="inlineStr">
        <is>
          <t>CHN</t>
        </is>
      </c>
      <c r="JU148" t="inlineStr">
        <is>
          <t>CHN</t>
        </is>
      </c>
    </row>
    <row r="149">
      <c r="AU149" t="inlineStr">
        <is>
          <t>MAR</t>
        </is>
      </c>
      <c r="AV149" t="inlineStr">
        <is>
          <t>MAR</t>
        </is>
      </c>
      <c r="AW149" t="inlineStr">
        <is>
          <t>MAR</t>
        </is>
      </c>
      <c r="AX149" t="inlineStr">
        <is>
          <t>MAR</t>
        </is>
      </c>
      <c r="AY149" t="inlineStr">
        <is>
          <t>MAR</t>
        </is>
      </c>
      <c r="AZ149" t="inlineStr">
        <is>
          <t>MAR</t>
        </is>
      </c>
      <c r="BA149" t="inlineStr">
        <is>
          <t>MAR</t>
        </is>
      </c>
      <c r="BB149" t="inlineStr">
        <is>
          <t>MAR</t>
        </is>
      </c>
      <c r="BC149" t="inlineStr">
        <is>
          <t>MAR</t>
        </is>
      </c>
      <c r="BD149" t="inlineStr">
        <is>
          <t>MAR</t>
        </is>
      </c>
      <c r="BE149" t="inlineStr">
        <is>
          <t>MAR</t>
        </is>
      </c>
      <c r="BF149" t="inlineStr">
        <is>
          <t>MAR</t>
        </is>
      </c>
      <c r="BG149" t="inlineStr">
        <is>
          <t>DZA</t>
        </is>
      </c>
      <c r="BH149" t="inlineStr">
        <is>
          <t>DZA</t>
        </is>
      </c>
      <c r="BI149" t="inlineStr">
        <is>
          <t>DZA</t>
        </is>
      </c>
      <c r="BJ149" t="inlineStr">
        <is>
          <t>DZA</t>
        </is>
      </c>
      <c r="BK149" t="inlineStr">
        <is>
          <t>DZA</t>
        </is>
      </c>
      <c r="BL149" t="inlineStr">
        <is>
          <t>DZA</t>
        </is>
      </c>
      <c r="BM149" t="inlineStr">
        <is>
          <t>DZA</t>
        </is>
      </c>
      <c r="BN149" t="inlineStr">
        <is>
          <t>DZA</t>
        </is>
      </c>
      <c r="BO149" t="inlineStr">
        <is>
          <t>DZA</t>
        </is>
      </c>
      <c r="BP149" t="inlineStr">
        <is>
          <t>DZA</t>
        </is>
      </c>
      <c r="BQ149" t="inlineStr">
        <is>
          <t>DZA</t>
        </is>
      </c>
      <c r="BR149" t="inlineStr">
        <is>
          <t>DZA</t>
        </is>
      </c>
      <c r="BS149" t="inlineStr">
        <is>
          <t>DZA</t>
        </is>
      </c>
      <c r="BT149" t="inlineStr">
        <is>
          <t>DZA</t>
        </is>
      </c>
      <c r="BU149" t="inlineStr">
        <is>
          <t>DZA</t>
        </is>
      </c>
      <c r="BV149" t="inlineStr">
        <is>
          <t>DZA</t>
        </is>
      </c>
      <c r="BW149" t="inlineStr">
        <is>
          <t>DZA</t>
        </is>
      </c>
      <c r="BX149" t="inlineStr">
        <is>
          <t>DZA</t>
        </is>
      </c>
      <c r="BY149" t="inlineStr">
        <is>
          <t>TUN</t>
        </is>
      </c>
      <c r="BZ149" t="inlineStr">
        <is>
          <t>TUN</t>
        </is>
      </c>
      <c r="CA149" t="inlineStr">
        <is>
          <t>TUN</t>
        </is>
      </c>
      <c r="CB149" t="inlineStr">
        <is>
          <t>TUN</t>
        </is>
      </c>
      <c r="CC149" t="inlineStr">
        <is>
          <t>TUN</t>
        </is>
      </c>
      <c r="CD149" t="inlineStr">
        <is>
          <t>TUN</t>
        </is>
      </c>
      <c r="CE149" t="inlineStr">
        <is>
          <t>TUN</t>
        </is>
      </c>
      <c r="EC149" t="inlineStr">
        <is>
          <t>LBN</t>
        </is>
      </c>
      <c r="ED149" t="inlineStr">
        <is>
          <t>SYR</t>
        </is>
      </c>
      <c r="EE149" t="inlineStr">
        <is>
          <t>SYR</t>
        </is>
      </c>
      <c r="EF149" t="inlineStr">
        <is>
          <t>SYR</t>
        </is>
      </c>
      <c r="EG149" t="inlineStr">
        <is>
          <t>SYR</t>
        </is>
      </c>
      <c r="EH149" t="inlineStr">
        <is>
          <t>SYR</t>
        </is>
      </c>
      <c r="EI149" t="inlineStr">
        <is>
          <t>SYR</t>
        </is>
      </c>
      <c r="EJ149" t="inlineStr">
        <is>
          <t>SYR</t>
        </is>
      </c>
      <c r="EK149" t="inlineStr">
        <is>
          <t>IRQ</t>
        </is>
      </c>
      <c r="EL149" t="inlineStr">
        <is>
          <t>IRQ</t>
        </is>
      </c>
      <c r="EM149" t="inlineStr">
        <is>
          <t>IRQ</t>
        </is>
      </c>
      <c r="EN149" t="inlineStr">
        <is>
          <t>IRQ</t>
        </is>
      </c>
      <c r="EO149" t="inlineStr">
        <is>
          <t>IRQ</t>
        </is>
      </c>
      <c r="EP149" t="inlineStr">
        <is>
          <t>IRQ</t>
        </is>
      </c>
      <c r="EQ149" t="inlineStr">
        <is>
          <t>IRQ</t>
        </is>
      </c>
      <c r="ER149" t="inlineStr">
        <is>
          <t>IRQ</t>
        </is>
      </c>
      <c r="ES149" t="inlineStr">
        <is>
          <t>IRQ</t>
        </is>
      </c>
      <c r="ET149" t="inlineStr">
        <is>
          <t>IRQ</t>
        </is>
      </c>
      <c r="EU149" t="inlineStr">
        <is>
          <t>IRQ</t>
        </is>
      </c>
      <c r="EV149" t="inlineStr">
        <is>
          <t>IRQ</t>
        </is>
      </c>
      <c r="EW149" t="inlineStr">
        <is>
          <t>IRN</t>
        </is>
      </c>
      <c r="EX149" t="inlineStr">
        <is>
          <t>IRN</t>
        </is>
      </c>
      <c r="EY149" t="inlineStr">
        <is>
          <t>IRN</t>
        </is>
      </c>
      <c r="EZ149" t="inlineStr">
        <is>
          <t>IRN</t>
        </is>
      </c>
      <c r="FA149" t="inlineStr">
        <is>
          <t>IRN</t>
        </is>
      </c>
      <c r="FB149" t="inlineStr">
        <is>
          <t>IRN</t>
        </is>
      </c>
      <c r="FC149" t="inlineStr">
        <is>
          <t>IRN</t>
        </is>
      </c>
      <c r="FD149" t="inlineStr">
        <is>
          <t>IRN</t>
        </is>
      </c>
      <c r="FE149" t="inlineStr">
        <is>
          <t>IRN</t>
        </is>
      </c>
      <c r="FF149" t="inlineStr">
        <is>
          <t>IRN</t>
        </is>
      </c>
      <c r="FG149" t="inlineStr">
        <is>
          <t>IRN</t>
        </is>
      </c>
      <c r="FH149" t="inlineStr">
        <is>
          <t>IRN</t>
        </is>
      </c>
      <c r="FI149" t="inlineStr">
        <is>
          <t>IRN</t>
        </is>
      </c>
      <c r="FJ149" t="inlineStr">
        <is>
          <t>IRN</t>
        </is>
      </c>
      <c r="FK149" t="inlineStr">
        <is>
          <t>IRN</t>
        </is>
      </c>
      <c r="FL149" t="inlineStr">
        <is>
          <t>IRN</t>
        </is>
      </c>
      <c r="FM149" t="inlineStr">
        <is>
          <t>IRN</t>
        </is>
      </c>
      <c r="FN149" t="inlineStr">
        <is>
          <t>IRN</t>
        </is>
      </c>
      <c r="FO149" t="inlineStr">
        <is>
          <t>IRN</t>
        </is>
      </c>
      <c r="FP149" t="inlineStr">
        <is>
          <t>IRN</t>
        </is>
      </c>
      <c r="FQ149" t="inlineStr">
        <is>
          <t>IRN</t>
        </is>
      </c>
      <c r="FR149" t="inlineStr">
        <is>
          <t>IRN</t>
        </is>
      </c>
      <c r="FS149" t="inlineStr">
        <is>
          <t>IRN</t>
        </is>
      </c>
      <c r="FT149" t="inlineStr">
        <is>
          <t>IRN</t>
        </is>
      </c>
      <c r="FU149" t="inlineStr">
        <is>
          <t>IRN</t>
        </is>
      </c>
      <c r="FV149" t="inlineStr">
        <is>
          <t>IRN</t>
        </is>
      </c>
      <c r="FW149" t="inlineStr">
        <is>
          <t>IRN</t>
        </is>
      </c>
      <c r="FX149" t="inlineStr">
        <is>
          <t>IRN</t>
        </is>
      </c>
      <c r="FY149" t="inlineStr">
        <is>
          <t>IRN</t>
        </is>
      </c>
      <c r="FZ149" t="inlineStr">
        <is>
          <t>IRN</t>
        </is>
      </c>
      <c r="GA149" t="inlineStr">
        <is>
          <t>AFG</t>
        </is>
      </c>
      <c r="GB149" t="inlineStr">
        <is>
          <t>AFG</t>
        </is>
      </c>
      <c r="GC149" t="inlineStr">
        <is>
          <t>AFG</t>
        </is>
      </c>
      <c r="GD149" t="inlineStr">
        <is>
          <t>AFG</t>
        </is>
      </c>
      <c r="GE149" t="inlineStr">
        <is>
          <t>AFG</t>
        </is>
      </c>
      <c r="GF149" t="inlineStr">
        <is>
          <t>AFG</t>
        </is>
      </c>
      <c r="GG149" t="inlineStr">
        <is>
          <t>AFG</t>
        </is>
      </c>
      <c r="GH149" t="inlineStr">
        <is>
          <t>AFG</t>
        </is>
      </c>
      <c r="GI149" t="inlineStr">
        <is>
          <t>AFG</t>
        </is>
      </c>
      <c r="GJ149" t="inlineStr">
        <is>
          <t>AFG</t>
        </is>
      </c>
      <c r="GK149" t="inlineStr">
        <is>
          <t>AFG</t>
        </is>
      </c>
      <c r="GL149" t="inlineStr">
        <is>
          <t>AFG</t>
        </is>
      </c>
      <c r="GM149" t="inlineStr">
        <is>
          <t>AFG</t>
        </is>
      </c>
      <c r="GN149" t="inlineStr">
        <is>
          <t>AFG</t>
        </is>
      </c>
      <c r="GO149" t="inlineStr">
        <is>
          <t>AFG</t>
        </is>
      </c>
      <c r="GP149" t="inlineStr">
        <is>
          <t>AFG</t>
        </is>
      </c>
      <c r="GQ149" t="inlineStr">
        <is>
          <t>AFG</t>
        </is>
      </c>
      <c r="GR149" t="inlineStr">
        <is>
          <t>AFG</t>
        </is>
      </c>
      <c r="GS149" t="inlineStr">
        <is>
          <t>AFG</t>
        </is>
      </c>
      <c r="GT149" t="inlineStr">
        <is>
          <t>PAK</t>
        </is>
      </c>
      <c r="GU149" t="inlineStr">
        <is>
          <t>PAK</t>
        </is>
      </c>
      <c r="GV149" t="inlineStr">
        <is>
          <t>PAK</t>
        </is>
      </c>
      <c r="GW149" t="inlineStr">
        <is>
          <t>PAK</t>
        </is>
      </c>
      <c r="GX149" t="inlineStr">
        <is>
          <t>PAK</t>
        </is>
      </c>
      <c r="GY149" t="inlineStr">
        <is>
          <t>PAK</t>
        </is>
      </c>
      <c r="GZ149" t="inlineStr">
        <is>
          <t>PAK</t>
        </is>
      </c>
      <c r="HA149" t="inlineStr">
        <is>
          <t>PAK</t>
        </is>
      </c>
      <c r="HB149" t="inlineStr">
        <is>
          <t>IND</t>
        </is>
      </c>
      <c r="HC149" t="inlineStr">
        <is>
          <t>IND</t>
        </is>
      </c>
      <c r="HD149" t="inlineStr">
        <is>
          <t>IND</t>
        </is>
      </c>
      <c r="HE149" t="inlineStr">
        <is>
          <t>IND</t>
        </is>
      </c>
      <c r="HF149" t="inlineStr">
        <is>
          <t>IND</t>
        </is>
      </c>
      <c r="HG149" t="inlineStr">
        <is>
          <t>IND</t>
        </is>
      </c>
      <c r="HH149" t="inlineStr">
        <is>
          <t>IND</t>
        </is>
      </c>
      <c r="HI149" t="inlineStr">
        <is>
          <t>IND</t>
        </is>
      </c>
      <c r="HJ149" t="inlineStr">
        <is>
          <t>IND</t>
        </is>
      </c>
      <c r="HK149" t="inlineStr">
        <is>
          <t>IND</t>
        </is>
      </c>
      <c r="HL149" t="inlineStr">
        <is>
          <t>CHN</t>
        </is>
      </c>
      <c r="HM149" t="inlineStr">
        <is>
          <t>CHN</t>
        </is>
      </c>
      <c r="HN149" t="inlineStr">
        <is>
          <t>CHN</t>
        </is>
      </c>
      <c r="HO149" t="inlineStr">
        <is>
          <t>CHN</t>
        </is>
      </c>
      <c r="HP149" t="inlineStr">
        <is>
          <t>CHN</t>
        </is>
      </c>
      <c r="HQ149" t="inlineStr">
        <is>
          <t>CHN</t>
        </is>
      </c>
      <c r="HR149" t="inlineStr">
        <is>
          <t>CHN</t>
        </is>
      </c>
      <c r="HS149" t="inlineStr">
        <is>
          <t>CHN</t>
        </is>
      </c>
      <c r="HT149" t="inlineStr">
        <is>
          <t>CHN</t>
        </is>
      </c>
      <c r="HU149" t="inlineStr">
        <is>
          <t>CHN</t>
        </is>
      </c>
      <c r="HV149" t="inlineStr">
        <is>
          <t>CHN</t>
        </is>
      </c>
      <c r="HW149" t="inlineStr">
        <is>
          <t>CHN</t>
        </is>
      </c>
      <c r="HX149" t="inlineStr">
        <is>
          <t>CHN</t>
        </is>
      </c>
      <c r="HY149" t="inlineStr">
        <is>
          <t>CHN</t>
        </is>
      </c>
      <c r="HZ149" t="inlineStr">
        <is>
          <t>CHN</t>
        </is>
      </c>
      <c r="IA149" t="inlineStr">
        <is>
          <t>CHN</t>
        </is>
      </c>
      <c r="IB149" t="inlineStr">
        <is>
          <t>CHN</t>
        </is>
      </c>
      <c r="IC149" t="inlineStr">
        <is>
          <t>CHN</t>
        </is>
      </c>
      <c r="ID149" t="inlineStr">
        <is>
          <t>CHN</t>
        </is>
      </c>
      <c r="IE149" t="inlineStr">
        <is>
          <t>CHN</t>
        </is>
      </c>
      <c r="IF149" t="inlineStr">
        <is>
          <t>CHN</t>
        </is>
      </c>
      <c r="IG149" t="inlineStr">
        <is>
          <t>CHN</t>
        </is>
      </c>
      <c r="IH149" t="inlineStr">
        <is>
          <t>CHN</t>
        </is>
      </c>
      <c r="II149" t="inlineStr">
        <is>
          <t>CHN</t>
        </is>
      </c>
      <c r="IJ149" t="inlineStr">
        <is>
          <t>CHN</t>
        </is>
      </c>
      <c r="IK149" t="inlineStr">
        <is>
          <t>CHN</t>
        </is>
      </c>
      <c r="IL149" t="inlineStr">
        <is>
          <t>CHN</t>
        </is>
      </c>
      <c r="IM149" t="inlineStr">
        <is>
          <t>CHN</t>
        </is>
      </c>
      <c r="IN149" t="inlineStr">
        <is>
          <t>CHN</t>
        </is>
      </c>
      <c r="IO149" t="inlineStr">
        <is>
          <t>CHN</t>
        </is>
      </c>
      <c r="IP149" t="inlineStr">
        <is>
          <t>CHN</t>
        </is>
      </c>
      <c r="IQ149" t="inlineStr">
        <is>
          <t>CHN</t>
        </is>
      </c>
      <c r="IR149" t="inlineStr">
        <is>
          <t>CHN</t>
        </is>
      </c>
      <c r="IS149" t="inlineStr">
        <is>
          <t>CHN</t>
        </is>
      </c>
      <c r="IT149" t="inlineStr">
        <is>
          <t>CHN</t>
        </is>
      </c>
      <c r="IU149" t="inlineStr">
        <is>
          <t>CHN</t>
        </is>
      </c>
      <c r="IV149" t="inlineStr">
        <is>
          <t>CHN</t>
        </is>
      </c>
      <c r="IW149" t="inlineStr">
        <is>
          <t>CHN</t>
        </is>
      </c>
      <c r="IX149" t="inlineStr">
        <is>
          <t>CHN</t>
        </is>
      </c>
      <c r="IY149" t="inlineStr">
        <is>
          <t>CHN</t>
        </is>
      </c>
      <c r="IZ149" t="inlineStr">
        <is>
          <t>CHN</t>
        </is>
      </c>
      <c r="JA149" t="inlineStr">
        <is>
          <t>CHN</t>
        </is>
      </c>
      <c r="JB149" t="inlineStr">
        <is>
          <t>CHN</t>
        </is>
      </c>
      <c r="JC149" t="inlineStr">
        <is>
          <t>CHN</t>
        </is>
      </c>
      <c r="JD149" t="inlineStr">
        <is>
          <t>CHN</t>
        </is>
      </c>
      <c r="JE149" t="inlineStr">
        <is>
          <t>CHN</t>
        </is>
      </c>
      <c r="JF149" t="inlineStr">
        <is>
          <t>CHN</t>
        </is>
      </c>
      <c r="JG149" t="inlineStr">
        <is>
          <t>CHN</t>
        </is>
      </c>
      <c r="JH149" t="inlineStr">
        <is>
          <t>CHN</t>
        </is>
      </c>
      <c r="JI149" t="inlineStr">
        <is>
          <t>CHN</t>
        </is>
      </c>
      <c r="JJ149" t="inlineStr">
        <is>
          <t>CHN</t>
        </is>
      </c>
      <c r="JK149" t="inlineStr">
        <is>
          <t>CHN</t>
        </is>
      </c>
      <c r="JL149" t="inlineStr">
        <is>
          <t>CHN</t>
        </is>
      </c>
      <c r="JM149" t="inlineStr">
        <is>
          <t>CHN</t>
        </is>
      </c>
      <c r="JN149" t="inlineStr">
        <is>
          <t>CHN</t>
        </is>
      </c>
      <c r="JO149" t="inlineStr">
        <is>
          <t>CHN</t>
        </is>
      </c>
      <c r="JP149" t="inlineStr">
        <is>
          <t>CHN</t>
        </is>
      </c>
      <c r="JQ149" t="inlineStr">
        <is>
          <t>CHN</t>
        </is>
      </c>
      <c r="JR149" t="inlineStr">
        <is>
          <t>CHN</t>
        </is>
      </c>
      <c r="JS149" t="inlineStr">
        <is>
          <t>CHN</t>
        </is>
      </c>
      <c r="JT149" t="inlineStr">
        <is>
          <t>CHN</t>
        </is>
      </c>
      <c r="JU149" t="inlineStr">
        <is>
          <t>CHN</t>
        </is>
      </c>
    </row>
    <row r="150">
      <c r="AV150" t="inlineStr">
        <is>
          <t>MAR</t>
        </is>
      </c>
      <c r="AW150" t="inlineStr">
        <is>
          <t>MAR</t>
        </is>
      </c>
      <c r="AX150" t="inlineStr">
        <is>
          <t>MAR</t>
        </is>
      </c>
      <c r="AY150" t="inlineStr">
        <is>
          <t>MAR</t>
        </is>
      </c>
      <c r="AZ150" t="inlineStr">
        <is>
          <t>MAR</t>
        </is>
      </c>
      <c r="BA150" t="inlineStr">
        <is>
          <t>MAR</t>
        </is>
      </c>
      <c r="BB150" t="inlineStr">
        <is>
          <t>MAR</t>
        </is>
      </c>
      <c r="BC150" t="inlineStr">
        <is>
          <t>MAR</t>
        </is>
      </c>
      <c r="BD150" t="inlineStr">
        <is>
          <t>MAR</t>
        </is>
      </c>
      <c r="BE150" t="inlineStr">
        <is>
          <t>MAR</t>
        </is>
      </c>
      <c r="BF150" t="inlineStr">
        <is>
          <t>DZA</t>
        </is>
      </c>
      <c r="BG150" t="inlineStr">
        <is>
          <t>DZA</t>
        </is>
      </c>
      <c r="BH150" t="inlineStr">
        <is>
          <t>DZA</t>
        </is>
      </c>
      <c r="BI150" t="inlineStr">
        <is>
          <t>DZA</t>
        </is>
      </c>
      <c r="BJ150" t="inlineStr">
        <is>
          <t>DZA</t>
        </is>
      </c>
      <c r="BK150" t="inlineStr">
        <is>
          <t>DZA</t>
        </is>
      </c>
      <c r="BL150" t="inlineStr">
        <is>
          <t>DZA</t>
        </is>
      </c>
      <c r="BM150" t="inlineStr">
        <is>
          <t>DZA</t>
        </is>
      </c>
      <c r="BN150" t="inlineStr">
        <is>
          <t>DZA</t>
        </is>
      </c>
      <c r="BO150" t="inlineStr">
        <is>
          <t>DZA</t>
        </is>
      </c>
      <c r="BP150" t="inlineStr">
        <is>
          <t>DZA</t>
        </is>
      </c>
      <c r="BQ150" t="inlineStr">
        <is>
          <t>DZA</t>
        </is>
      </c>
      <c r="BR150" t="inlineStr">
        <is>
          <t>DZA</t>
        </is>
      </c>
      <c r="BS150" t="inlineStr">
        <is>
          <t>DZA</t>
        </is>
      </c>
      <c r="BT150" t="inlineStr">
        <is>
          <t>DZA</t>
        </is>
      </c>
      <c r="BU150" t="inlineStr">
        <is>
          <t>DZA</t>
        </is>
      </c>
      <c r="BV150" t="inlineStr">
        <is>
          <t>DZA</t>
        </is>
      </c>
      <c r="BW150" t="inlineStr">
        <is>
          <t>DZA</t>
        </is>
      </c>
      <c r="BX150" t="inlineStr">
        <is>
          <t>DZA</t>
        </is>
      </c>
      <c r="BY150" t="inlineStr">
        <is>
          <t>TUN</t>
        </is>
      </c>
      <c r="BZ150" t="inlineStr">
        <is>
          <t>TUN</t>
        </is>
      </c>
      <c r="CA150" t="inlineStr">
        <is>
          <t>TUN</t>
        </is>
      </c>
      <c r="CB150" t="inlineStr">
        <is>
          <t>TUN</t>
        </is>
      </c>
      <c r="CC150" t="inlineStr">
        <is>
          <t>TUN</t>
        </is>
      </c>
      <c r="EC150" t="inlineStr">
        <is>
          <t>LBN</t>
        </is>
      </c>
      <c r="ED150" t="inlineStr">
        <is>
          <t>LBN</t>
        </is>
      </c>
      <c r="EE150" t="inlineStr">
        <is>
          <t>SYR</t>
        </is>
      </c>
      <c r="EF150" t="inlineStr">
        <is>
          <t>SYR</t>
        </is>
      </c>
      <c r="EG150" t="inlineStr">
        <is>
          <t>SYR</t>
        </is>
      </c>
      <c r="EH150" t="inlineStr">
        <is>
          <t>SYR</t>
        </is>
      </c>
      <c r="EI150" t="inlineStr">
        <is>
          <t>SYR</t>
        </is>
      </c>
      <c r="EJ150" t="inlineStr">
        <is>
          <t>SYR</t>
        </is>
      </c>
      <c r="EK150" t="inlineStr">
        <is>
          <t>SYR</t>
        </is>
      </c>
      <c r="EL150" t="inlineStr">
        <is>
          <t>SYR</t>
        </is>
      </c>
      <c r="EM150" t="inlineStr">
        <is>
          <t>IRQ</t>
        </is>
      </c>
      <c r="EN150" t="inlineStr">
        <is>
          <t>IRQ</t>
        </is>
      </c>
      <c r="EO150" t="inlineStr">
        <is>
          <t>IRQ</t>
        </is>
      </c>
      <c r="EP150" t="inlineStr">
        <is>
          <t>IRQ</t>
        </is>
      </c>
      <c r="EQ150" t="inlineStr">
        <is>
          <t>IRQ</t>
        </is>
      </c>
      <c r="ER150" t="inlineStr">
        <is>
          <t>IRQ</t>
        </is>
      </c>
      <c r="ES150" t="inlineStr">
        <is>
          <t>IRQ</t>
        </is>
      </c>
      <c r="ET150" t="inlineStr">
        <is>
          <t>IRQ</t>
        </is>
      </c>
      <c r="EU150" t="inlineStr">
        <is>
          <t>IRQ</t>
        </is>
      </c>
      <c r="EV150" t="inlineStr">
        <is>
          <t>IRQ</t>
        </is>
      </c>
      <c r="EW150" t="inlineStr">
        <is>
          <t>IRN</t>
        </is>
      </c>
      <c r="EX150" t="inlineStr">
        <is>
          <t>IRN</t>
        </is>
      </c>
      <c r="EY150" t="inlineStr">
        <is>
          <t>IRN</t>
        </is>
      </c>
      <c r="EZ150" t="inlineStr">
        <is>
          <t>IRN</t>
        </is>
      </c>
      <c r="FA150" t="inlineStr">
        <is>
          <t>IRN</t>
        </is>
      </c>
      <c r="FB150" t="inlineStr">
        <is>
          <t>IRN</t>
        </is>
      </c>
      <c r="FC150" t="inlineStr">
        <is>
          <t>IRN</t>
        </is>
      </c>
      <c r="FD150" t="inlineStr">
        <is>
          <t>IRN</t>
        </is>
      </c>
      <c r="FE150" t="inlineStr">
        <is>
          <t>IRN</t>
        </is>
      </c>
      <c r="FF150" t="inlineStr">
        <is>
          <t>IRN</t>
        </is>
      </c>
      <c r="FG150" t="inlineStr">
        <is>
          <t>IRN</t>
        </is>
      </c>
      <c r="FH150" t="inlineStr">
        <is>
          <t>IRN</t>
        </is>
      </c>
      <c r="FI150" t="inlineStr">
        <is>
          <t>IRN</t>
        </is>
      </c>
      <c r="FJ150" t="inlineStr">
        <is>
          <t>IRN</t>
        </is>
      </c>
      <c r="FK150" t="inlineStr">
        <is>
          <t>IRN</t>
        </is>
      </c>
      <c r="FL150" t="inlineStr">
        <is>
          <t>IRN</t>
        </is>
      </c>
      <c r="FM150" t="inlineStr">
        <is>
          <t>IRN</t>
        </is>
      </c>
      <c r="FN150" t="inlineStr">
        <is>
          <t>IRN</t>
        </is>
      </c>
      <c r="FO150" t="inlineStr">
        <is>
          <t>IRN</t>
        </is>
      </c>
      <c r="FP150" t="inlineStr">
        <is>
          <t>IRN</t>
        </is>
      </c>
      <c r="FQ150" t="inlineStr">
        <is>
          <t>IRN</t>
        </is>
      </c>
      <c r="FR150" t="inlineStr">
        <is>
          <t>IRN</t>
        </is>
      </c>
      <c r="FS150" t="inlineStr">
        <is>
          <t>IRN</t>
        </is>
      </c>
      <c r="FT150" t="inlineStr">
        <is>
          <t>IRN</t>
        </is>
      </c>
      <c r="FU150" t="inlineStr">
        <is>
          <t>IRN</t>
        </is>
      </c>
      <c r="FV150" t="inlineStr">
        <is>
          <t>IRN</t>
        </is>
      </c>
      <c r="FW150" t="inlineStr">
        <is>
          <t>IRN</t>
        </is>
      </c>
      <c r="FX150" t="inlineStr">
        <is>
          <t>IRN</t>
        </is>
      </c>
      <c r="FY150" t="inlineStr">
        <is>
          <t>IRN</t>
        </is>
      </c>
      <c r="FZ150" t="inlineStr">
        <is>
          <t>IRN</t>
        </is>
      </c>
      <c r="GA150" t="inlineStr">
        <is>
          <t>AFG</t>
        </is>
      </c>
      <c r="GB150" t="inlineStr">
        <is>
          <t>AFG</t>
        </is>
      </c>
      <c r="GC150" t="inlineStr">
        <is>
          <t>AFG</t>
        </is>
      </c>
      <c r="GD150" t="inlineStr">
        <is>
          <t>AFG</t>
        </is>
      </c>
      <c r="GE150" t="inlineStr">
        <is>
          <t>AFG</t>
        </is>
      </c>
      <c r="GF150" t="inlineStr">
        <is>
          <t>AFG</t>
        </is>
      </c>
      <c r="GG150" t="inlineStr">
        <is>
          <t>AFG</t>
        </is>
      </c>
      <c r="GH150" t="inlineStr">
        <is>
          <t>AFG</t>
        </is>
      </c>
      <c r="GI150" t="inlineStr">
        <is>
          <t>AFG</t>
        </is>
      </c>
      <c r="GJ150" t="inlineStr">
        <is>
          <t>AFG</t>
        </is>
      </c>
      <c r="GK150" t="inlineStr">
        <is>
          <t>AFG</t>
        </is>
      </c>
      <c r="GL150" t="inlineStr">
        <is>
          <t>AFG</t>
        </is>
      </c>
      <c r="GM150" t="inlineStr">
        <is>
          <t>AFG</t>
        </is>
      </c>
      <c r="GN150" t="inlineStr">
        <is>
          <t>AFG</t>
        </is>
      </c>
      <c r="GO150" t="inlineStr">
        <is>
          <t>AFG</t>
        </is>
      </c>
      <c r="GP150" t="inlineStr">
        <is>
          <t>AFG</t>
        </is>
      </c>
      <c r="GQ150" t="inlineStr">
        <is>
          <t>AFG</t>
        </is>
      </c>
      <c r="GR150" t="inlineStr">
        <is>
          <t>AFG</t>
        </is>
      </c>
      <c r="GS150" t="inlineStr">
        <is>
          <t>AFG</t>
        </is>
      </c>
      <c r="GT150" t="inlineStr">
        <is>
          <t>AFG</t>
        </is>
      </c>
      <c r="GU150" t="inlineStr">
        <is>
          <t>AFG</t>
        </is>
      </c>
      <c r="GV150" t="inlineStr">
        <is>
          <t>PAK</t>
        </is>
      </c>
      <c r="GW150" t="inlineStr">
        <is>
          <t>PAK</t>
        </is>
      </c>
      <c r="GX150" t="inlineStr">
        <is>
          <t>PAK</t>
        </is>
      </c>
      <c r="GY150" t="inlineStr">
        <is>
          <t>PAK</t>
        </is>
      </c>
      <c r="GZ150" t="inlineStr">
        <is>
          <t>PAK</t>
        </is>
      </c>
      <c r="HA150" t="inlineStr">
        <is>
          <t>PAK</t>
        </is>
      </c>
      <c r="HB150" t="inlineStr">
        <is>
          <t>IND</t>
        </is>
      </c>
      <c r="HC150" t="inlineStr">
        <is>
          <t>IND</t>
        </is>
      </c>
      <c r="HD150" t="inlineStr">
        <is>
          <t>IND</t>
        </is>
      </c>
      <c r="HE150" t="inlineStr">
        <is>
          <t>IND</t>
        </is>
      </c>
      <c r="HF150" t="inlineStr">
        <is>
          <t>IND</t>
        </is>
      </c>
      <c r="HG150" t="inlineStr">
        <is>
          <t>IND</t>
        </is>
      </c>
      <c r="HH150" t="inlineStr">
        <is>
          <t>IND</t>
        </is>
      </c>
      <c r="HI150" t="inlineStr">
        <is>
          <t>IND</t>
        </is>
      </c>
      <c r="HJ150" t="inlineStr">
        <is>
          <t>IND</t>
        </is>
      </c>
      <c r="HK150" t="inlineStr">
        <is>
          <t>IND</t>
        </is>
      </c>
      <c r="HL150" t="inlineStr">
        <is>
          <t>CHN</t>
        </is>
      </c>
      <c r="HM150" t="inlineStr">
        <is>
          <t>CHN</t>
        </is>
      </c>
      <c r="HN150" t="inlineStr">
        <is>
          <t>CHN</t>
        </is>
      </c>
      <c r="HO150" t="inlineStr">
        <is>
          <t>CHN</t>
        </is>
      </c>
      <c r="HP150" t="inlineStr">
        <is>
          <t>CHN</t>
        </is>
      </c>
      <c r="HQ150" t="inlineStr">
        <is>
          <t>CHN</t>
        </is>
      </c>
      <c r="HR150" t="inlineStr">
        <is>
          <t>CHN</t>
        </is>
      </c>
      <c r="HS150" t="inlineStr">
        <is>
          <t>CHN</t>
        </is>
      </c>
      <c r="HT150" t="inlineStr">
        <is>
          <t>CHN</t>
        </is>
      </c>
      <c r="HU150" t="inlineStr">
        <is>
          <t>CHN</t>
        </is>
      </c>
      <c r="HV150" t="inlineStr">
        <is>
          <t>CHN</t>
        </is>
      </c>
      <c r="HW150" t="inlineStr">
        <is>
          <t>CHN</t>
        </is>
      </c>
      <c r="HX150" t="inlineStr">
        <is>
          <t>CHN</t>
        </is>
      </c>
      <c r="HY150" t="inlineStr">
        <is>
          <t>CHN</t>
        </is>
      </c>
      <c r="HZ150" t="inlineStr">
        <is>
          <t>CHN</t>
        </is>
      </c>
      <c r="IA150" t="inlineStr">
        <is>
          <t>CHN</t>
        </is>
      </c>
      <c r="IB150" t="inlineStr">
        <is>
          <t>CHN</t>
        </is>
      </c>
      <c r="IC150" t="inlineStr">
        <is>
          <t>CHN</t>
        </is>
      </c>
      <c r="ID150" t="inlineStr">
        <is>
          <t>CHN</t>
        </is>
      </c>
      <c r="IE150" t="inlineStr">
        <is>
          <t>CHN</t>
        </is>
      </c>
      <c r="IF150" t="inlineStr">
        <is>
          <t>CHN</t>
        </is>
      </c>
      <c r="IG150" t="inlineStr">
        <is>
          <t>CHN</t>
        </is>
      </c>
      <c r="IH150" t="inlineStr">
        <is>
          <t>CHN</t>
        </is>
      </c>
      <c r="II150" t="inlineStr">
        <is>
          <t>CHN</t>
        </is>
      </c>
      <c r="IJ150" t="inlineStr">
        <is>
          <t>CHN</t>
        </is>
      </c>
      <c r="IK150" t="inlineStr">
        <is>
          <t>CHN</t>
        </is>
      </c>
      <c r="IL150" t="inlineStr">
        <is>
          <t>CHN</t>
        </is>
      </c>
      <c r="IM150" t="inlineStr">
        <is>
          <t>CHN</t>
        </is>
      </c>
      <c r="IN150" t="inlineStr">
        <is>
          <t>CHN</t>
        </is>
      </c>
      <c r="IO150" t="inlineStr">
        <is>
          <t>CHN</t>
        </is>
      </c>
      <c r="IP150" t="inlineStr">
        <is>
          <t>CHN</t>
        </is>
      </c>
      <c r="IQ150" t="inlineStr">
        <is>
          <t>CHN</t>
        </is>
      </c>
      <c r="IR150" t="inlineStr">
        <is>
          <t>CHN</t>
        </is>
      </c>
      <c r="IS150" t="inlineStr">
        <is>
          <t>CHN</t>
        </is>
      </c>
      <c r="IT150" t="inlineStr">
        <is>
          <t>CHN</t>
        </is>
      </c>
      <c r="IU150" t="inlineStr">
        <is>
          <t>CHN</t>
        </is>
      </c>
      <c r="IV150" t="inlineStr">
        <is>
          <t>CHN</t>
        </is>
      </c>
      <c r="IW150" t="inlineStr">
        <is>
          <t>CHN</t>
        </is>
      </c>
      <c r="IX150" t="inlineStr">
        <is>
          <t>CHN</t>
        </is>
      </c>
      <c r="IY150" t="inlineStr">
        <is>
          <t>CHN</t>
        </is>
      </c>
      <c r="IZ150" t="inlineStr">
        <is>
          <t>CHN</t>
        </is>
      </c>
      <c r="JA150" t="inlineStr">
        <is>
          <t>CHN</t>
        </is>
      </c>
      <c r="JB150" t="inlineStr">
        <is>
          <t>CHN</t>
        </is>
      </c>
      <c r="JC150" t="inlineStr">
        <is>
          <t>CHN</t>
        </is>
      </c>
      <c r="JD150" t="inlineStr">
        <is>
          <t>CHN</t>
        </is>
      </c>
      <c r="JE150" t="inlineStr">
        <is>
          <t>CHN</t>
        </is>
      </c>
      <c r="JF150" t="inlineStr">
        <is>
          <t>CHN</t>
        </is>
      </c>
      <c r="JG150" t="inlineStr">
        <is>
          <t>CHN</t>
        </is>
      </c>
      <c r="JH150" t="inlineStr">
        <is>
          <t>CHN</t>
        </is>
      </c>
      <c r="JI150" t="inlineStr">
        <is>
          <t>CHN</t>
        </is>
      </c>
      <c r="JJ150" t="inlineStr">
        <is>
          <t>CHN</t>
        </is>
      </c>
      <c r="JK150" t="inlineStr">
        <is>
          <t>CHN</t>
        </is>
      </c>
      <c r="JL150" t="inlineStr">
        <is>
          <t>CHN</t>
        </is>
      </c>
      <c r="JM150" t="inlineStr">
        <is>
          <t>CHN</t>
        </is>
      </c>
      <c r="JN150" t="inlineStr">
        <is>
          <t>CHN</t>
        </is>
      </c>
      <c r="JO150" t="inlineStr">
        <is>
          <t>CHN</t>
        </is>
      </c>
      <c r="JP150" t="inlineStr">
        <is>
          <t>CHN</t>
        </is>
      </c>
      <c r="JQ150" t="inlineStr">
        <is>
          <t>CHN</t>
        </is>
      </c>
      <c r="JR150" t="inlineStr">
        <is>
          <t>CHN</t>
        </is>
      </c>
      <c r="JS150" t="inlineStr">
        <is>
          <t>CHN</t>
        </is>
      </c>
      <c r="JT150" t="inlineStr">
        <is>
          <t>CHN</t>
        </is>
      </c>
      <c r="JU150" t="inlineStr">
        <is>
          <t>CHN</t>
        </is>
      </c>
    </row>
    <row r="151">
      <c r="AW151" t="inlineStr">
        <is>
          <t>MAR</t>
        </is>
      </c>
      <c r="AX151" t="inlineStr">
        <is>
          <t>MAR</t>
        </is>
      </c>
      <c r="AY151" t="inlineStr">
        <is>
          <t>MAR</t>
        </is>
      </c>
      <c r="AZ151" t="inlineStr">
        <is>
          <t>MAR</t>
        </is>
      </c>
      <c r="BA151" t="inlineStr">
        <is>
          <t>MAR</t>
        </is>
      </c>
      <c r="BB151" t="inlineStr">
        <is>
          <t>MAR</t>
        </is>
      </c>
      <c r="BC151" t="inlineStr">
        <is>
          <t>MAR</t>
        </is>
      </c>
      <c r="BD151" t="inlineStr">
        <is>
          <t>MAR</t>
        </is>
      </c>
      <c r="BE151" t="inlineStr">
        <is>
          <t>MAR</t>
        </is>
      </c>
      <c r="BF151" t="inlineStr">
        <is>
          <t>DZA</t>
        </is>
      </c>
      <c r="BG151" t="inlineStr">
        <is>
          <t>DZA</t>
        </is>
      </c>
      <c r="BH151" t="inlineStr">
        <is>
          <t>DZA</t>
        </is>
      </c>
      <c r="BI151" t="inlineStr">
        <is>
          <t>DZA</t>
        </is>
      </c>
      <c r="BJ151" t="inlineStr">
        <is>
          <t>DZA</t>
        </is>
      </c>
      <c r="BK151" t="inlineStr">
        <is>
          <t>DZA</t>
        </is>
      </c>
      <c r="BL151" t="inlineStr">
        <is>
          <t>DZA</t>
        </is>
      </c>
      <c r="BM151" t="inlineStr">
        <is>
          <t>DZA</t>
        </is>
      </c>
      <c r="BN151" t="inlineStr">
        <is>
          <t>DZA</t>
        </is>
      </c>
      <c r="BO151" t="inlineStr">
        <is>
          <t>DZA</t>
        </is>
      </c>
      <c r="BP151" t="inlineStr">
        <is>
          <t>DZA</t>
        </is>
      </c>
      <c r="BQ151" t="inlineStr">
        <is>
          <t>DZA</t>
        </is>
      </c>
      <c r="BR151" t="inlineStr">
        <is>
          <t>DZA</t>
        </is>
      </c>
      <c r="BS151" t="inlineStr">
        <is>
          <t>DZA</t>
        </is>
      </c>
      <c r="BT151" t="inlineStr">
        <is>
          <t>DZA</t>
        </is>
      </c>
      <c r="BU151" t="inlineStr">
        <is>
          <t>DZA</t>
        </is>
      </c>
      <c r="BV151" t="inlineStr">
        <is>
          <t>DZA</t>
        </is>
      </c>
      <c r="BW151" t="inlineStr">
        <is>
          <t>DZA</t>
        </is>
      </c>
      <c r="BX151" t="inlineStr">
        <is>
          <t>DZA</t>
        </is>
      </c>
      <c r="BY151" t="inlineStr">
        <is>
          <t>DZA</t>
        </is>
      </c>
      <c r="BZ151" t="inlineStr">
        <is>
          <t>TUN</t>
        </is>
      </c>
      <c r="CA151" t="inlineStr">
        <is>
          <t>TUN</t>
        </is>
      </c>
      <c r="CB151" t="inlineStr">
        <is>
          <t>TUN</t>
        </is>
      </c>
      <c r="CC151" t="inlineStr">
        <is>
          <t>TUN</t>
        </is>
      </c>
      <c r="CD151" t="inlineStr">
        <is>
          <t>TUN</t>
        </is>
      </c>
      <c r="DW151" t="inlineStr">
        <is>
          <t>CYP</t>
        </is>
      </c>
      <c r="DX151" t="inlineStr">
        <is>
          <t>CYP</t>
        </is>
      </c>
      <c r="ED151" t="inlineStr">
        <is>
          <t>SYR</t>
        </is>
      </c>
      <c r="EE151" t="inlineStr">
        <is>
          <t>SYR</t>
        </is>
      </c>
      <c r="EF151" t="inlineStr">
        <is>
          <t>SYR</t>
        </is>
      </c>
      <c r="EG151" t="inlineStr">
        <is>
          <t>SYR</t>
        </is>
      </c>
      <c r="EH151" t="inlineStr">
        <is>
          <t>SYR</t>
        </is>
      </c>
      <c r="EI151" t="inlineStr">
        <is>
          <t>SYR</t>
        </is>
      </c>
      <c r="EJ151" t="inlineStr">
        <is>
          <t>SYR</t>
        </is>
      </c>
      <c r="EK151" t="inlineStr">
        <is>
          <t>SYR</t>
        </is>
      </c>
      <c r="EL151" t="inlineStr">
        <is>
          <t>SYR</t>
        </is>
      </c>
      <c r="EM151" t="inlineStr">
        <is>
          <t>SYR</t>
        </is>
      </c>
      <c r="EN151" t="inlineStr">
        <is>
          <t>IRQ</t>
        </is>
      </c>
      <c r="EO151" t="inlineStr">
        <is>
          <t>IRQ</t>
        </is>
      </c>
      <c r="EP151" t="inlineStr">
        <is>
          <t>IRQ</t>
        </is>
      </c>
      <c r="EQ151" t="inlineStr">
        <is>
          <t>IRQ</t>
        </is>
      </c>
      <c r="ER151" t="inlineStr">
        <is>
          <t>IRQ</t>
        </is>
      </c>
      <c r="ES151" t="inlineStr">
        <is>
          <t>IRQ</t>
        </is>
      </c>
      <c r="ET151" t="inlineStr">
        <is>
          <t>IRQ</t>
        </is>
      </c>
      <c r="EU151" t="inlineStr">
        <is>
          <t>IRQ</t>
        </is>
      </c>
      <c r="EV151" t="inlineStr">
        <is>
          <t>IRQ</t>
        </is>
      </c>
      <c r="EW151" t="inlineStr">
        <is>
          <t>IRN</t>
        </is>
      </c>
      <c r="EX151" t="inlineStr">
        <is>
          <t>IRN</t>
        </is>
      </c>
      <c r="EY151" t="inlineStr">
        <is>
          <t>IRN</t>
        </is>
      </c>
      <c r="EZ151" t="inlineStr">
        <is>
          <t>IRN</t>
        </is>
      </c>
      <c r="FA151" t="inlineStr">
        <is>
          <t>IRN</t>
        </is>
      </c>
      <c r="FB151" t="inlineStr">
        <is>
          <t>IRN</t>
        </is>
      </c>
      <c r="FC151" t="inlineStr">
        <is>
          <t>IRN</t>
        </is>
      </c>
      <c r="FD151" t="inlineStr">
        <is>
          <t>IRN</t>
        </is>
      </c>
      <c r="FE151" t="inlineStr">
        <is>
          <t>IRN</t>
        </is>
      </c>
      <c r="FF151" t="inlineStr">
        <is>
          <t>IRN</t>
        </is>
      </c>
      <c r="FG151" t="inlineStr">
        <is>
          <t>IRN</t>
        </is>
      </c>
      <c r="FH151" t="inlineStr">
        <is>
          <t>IRN</t>
        </is>
      </c>
      <c r="FI151" t="inlineStr">
        <is>
          <t>IRN</t>
        </is>
      </c>
      <c r="FJ151" t="inlineStr">
        <is>
          <t>IRN</t>
        </is>
      </c>
      <c r="FK151" t="inlineStr">
        <is>
          <t>IRN</t>
        </is>
      </c>
      <c r="FL151" t="inlineStr">
        <is>
          <t>IRN</t>
        </is>
      </c>
      <c r="FM151" t="inlineStr">
        <is>
          <t>IRN</t>
        </is>
      </c>
      <c r="FN151" t="inlineStr">
        <is>
          <t>IRN</t>
        </is>
      </c>
      <c r="FO151" t="inlineStr">
        <is>
          <t>IRN</t>
        </is>
      </c>
      <c r="FP151" t="inlineStr">
        <is>
          <t>IRN</t>
        </is>
      </c>
      <c r="FQ151" t="inlineStr">
        <is>
          <t>IRN</t>
        </is>
      </c>
      <c r="FR151" t="inlineStr">
        <is>
          <t>IRN</t>
        </is>
      </c>
      <c r="FS151" t="inlineStr">
        <is>
          <t>IRN</t>
        </is>
      </c>
      <c r="FT151" t="inlineStr">
        <is>
          <t>IRN</t>
        </is>
      </c>
      <c r="FU151" t="inlineStr">
        <is>
          <t>IRN</t>
        </is>
      </c>
      <c r="FV151" t="inlineStr">
        <is>
          <t>IRN</t>
        </is>
      </c>
      <c r="FW151" t="inlineStr">
        <is>
          <t>IRN</t>
        </is>
      </c>
      <c r="FX151" t="inlineStr">
        <is>
          <t>IRN</t>
        </is>
      </c>
      <c r="FY151" t="inlineStr">
        <is>
          <t>IRN</t>
        </is>
      </c>
      <c r="FZ151" t="inlineStr">
        <is>
          <t>IRN</t>
        </is>
      </c>
      <c r="GA151" t="inlineStr">
        <is>
          <t>IRN</t>
        </is>
      </c>
      <c r="GB151" t="inlineStr">
        <is>
          <t>AFG</t>
        </is>
      </c>
      <c r="GC151" t="inlineStr">
        <is>
          <t>AFG</t>
        </is>
      </c>
      <c r="GD151" t="inlineStr">
        <is>
          <t>AFG</t>
        </is>
      </c>
      <c r="GE151" t="inlineStr">
        <is>
          <t>AFG</t>
        </is>
      </c>
      <c r="GF151" t="inlineStr">
        <is>
          <t>AFG</t>
        </is>
      </c>
      <c r="GG151" t="inlineStr">
        <is>
          <t>AFG</t>
        </is>
      </c>
      <c r="GH151" t="inlineStr">
        <is>
          <t>AFG</t>
        </is>
      </c>
      <c r="GI151" t="inlineStr">
        <is>
          <t>AFG</t>
        </is>
      </c>
      <c r="GJ151" t="inlineStr">
        <is>
          <t>AFG</t>
        </is>
      </c>
      <c r="GK151" t="inlineStr">
        <is>
          <t>AFG</t>
        </is>
      </c>
      <c r="GL151" t="inlineStr">
        <is>
          <t>AFG</t>
        </is>
      </c>
      <c r="GM151" t="inlineStr">
        <is>
          <t>AFG</t>
        </is>
      </c>
      <c r="GN151" t="inlineStr">
        <is>
          <t>AFG</t>
        </is>
      </c>
      <c r="GO151" t="inlineStr">
        <is>
          <t>AFG</t>
        </is>
      </c>
      <c r="GP151" t="inlineStr">
        <is>
          <t>AFG</t>
        </is>
      </c>
      <c r="GQ151" t="inlineStr">
        <is>
          <t>AFG</t>
        </is>
      </c>
      <c r="GR151" t="inlineStr">
        <is>
          <t>AFG</t>
        </is>
      </c>
      <c r="GS151" t="inlineStr">
        <is>
          <t>AFG</t>
        </is>
      </c>
      <c r="GT151" t="inlineStr">
        <is>
          <t>AFG</t>
        </is>
      </c>
      <c r="GU151" t="inlineStr">
        <is>
          <t>AFG</t>
        </is>
      </c>
      <c r="GV151" t="inlineStr">
        <is>
          <t>PAK</t>
        </is>
      </c>
      <c r="GW151" t="inlineStr">
        <is>
          <t>PAK</t>
        </is>
      </c>
      <c r="GX151" t="inlineStr">
        <is>
          <t>PAK</t>
        </is>
      </c>
      <c r="GY151" t="inlineStr">
        <is>
          <t>PAK</t>
        </is>
      </c>
      <c r="GZ151" t="inlineStr">
        <is>
          <t>PAK</t>
        </is>
      </c>
      <c r="HA151" t="inlineStr">
        <is>
          <t>PAK</t>
        </is>
      </c>
      <c r="HB151" t="inlineStr">
        <is>
          <t>PAK</t>
        </is>
      </c>
      <c r="HC151" t="inlineStr">
        <is>
          <t>PAK</t>
        </is>
      </c>
      <c r="HD151" t="inlineStr">
        <is>
          <t>PAK</t>
        </is>
      </c>
      <c r="HE151" t="inlineStr">
        <is>
          <t>PAK</t>
        </is>
      </c>
      <c r="HF151" t="inlineStr">
        <is>
          <t>PAK</t>
        </is>
      </c>
      <c r="HG151" t="inlineStr">
        <is>
          <t>PAK</t>
        </is>
      </c>
      <c r="HH151" t="inlineStr">
        <is>
          <t>IND</t>
        </is>
      </c>
      <c r="HI151" t="inlineStr">
        <is>
          <t>IND</t>
        </is>
      </c>
      <c r="HJ151" t="inlineStr">
        <is>
          <t>IND</t>
        </is>
      </c>
      <c r="HK151" t="inlineStr">
        <is>
          <t>CHN</t>
        </is>
      </c>
      <c r="HL151" t="inlineStr">
        <is>
          <t>CHN</t>
        </is>
      </c>
      <c r="HM151" t="inlineStr">
        <is>
          <t>CHN</t>
        </is>
      </c>
      <c r="HN151" t="inlineStr">
        <is>
          <t>CHN</t>
        </is>
      </c>
      <c r="HO151" t="inlineStr">
        <is>
          <t>CHN</t>
        </is>
      </c>
      <c r="HP151" t="inlineStr">
        <is>
          <t>CHN</t>
        </is>
      </c>
      <c r="HQ151" t="inlineStr">
        <is>
          <t>CHN</t>
        </is>
      </c>
      <c r="HR151" t="inlineStr">
        <is>
          <t>CHN</t>
        </is>
      </c>
      <c r="HS151" t="inlineStr">
        <is>
          <t>CHN</t>
        </is>
      </c>
      <c r="HT151" t="inlineStr">
        <is>
          <t>CHN</t>
        </is>
      </c>
      <c r="HU151" t="inlineStr">
        <is>
          <t>CHN</t>
        </is>
      </c>
      <c r="HV151" t="inlineStr">
        <is>
          <t>CHN</t>
        </is>
      </c>
      <c r="HW151" t="inlineStr">
        <is>
          <t>CHN</t>
        </is>
      </c>
      <c r="HX151" t="inlineStr">
        <is>
          <t>CHN</t>
        </is>
      </c>
      <c r="HY151" t="inlineStr">
        <is>
          <t>CHN</t>
        </is>
      </c>
      <c r="HZ151" t="inlineStr">
        <is>
          <t>CHN</t>
        </is>
      </c>
      <c r="IA151" t="inlineStr">
        <is>
          <t>CHN</t>
        </is>
      </c>
      <c r="IB151" t="inlineStr">
        <is>
          <t>CHN</t>
        </is>
      </c>
      <c r="IC151" t="inlineStr">
        <is>
          <t>CHN</t>
        </is>
      </c>
      <c r="ID151" t="inlineStr">
        <is>
          <t>CHN</t>
        </is>
      </c>
      <c r="IE151" t="inlineStr">
        <is>
          <t>CHN</t>
        </is>
      </c>
      <c r="IF151" t="inlineStr">
        <is>
          <t>CHN</t>
        </is>
      </c>
      <c r="IG151" t="inlineStr">
        <is>
          <t>CHN</t>
        </is>
      </c>
      <c r="IH151" t="inlineStr">
        <is>
          <t>CHN</t>
        </is>
      </c>
      <c r="II151" t="inlineStr">
        <is>
          <t>CHN</t>
        </is>
      </c>
      <c r="IJ151" t="inlineStr">
        <is>
          <t>CHN</t>
        </is>
      </c>
      <c r="IK151" t="inlineStr">
        <is>
          <t>CHN</t>
        </is>
      </c>
      <c r="IL151" t="inlineStr">
        <is>
          <t>CHN</t>
        </is>
      </c>
      <c r="IM151" t="inlineStr">
        <is>
          <t>CHN</t>
        </is>
      </c>
      <c r="IN151" t="inlineStr">
        <is>
          <t>CHN</t>
        </is>
      </c>
      <c r="IO151" t="inlineStr">
        <is>
          <t>CHN</t>
        </is>
      </c>
      <c r="IP151" t="inlineStr">
        <is>
          <t>CHN</t>
        </is>
      </c>
      <c r="IQ151" t="inlineStr">
        <is>
          <t>CHN</t>
        </is>
      </c>
      <c r="IR151" t="inlineStr">
        <is>
          <t>CHN</t>
        </is>
      </c>
      <c r="IS151" t="inlineStr">
        <is>
          <t>CHN</t>
        </is>
      </c>
      <c r="IT151" t="inlineStr">
        <is>
          <t>CHN</t>
        </is>
      </c>
      <c r="IU151" t="inlineStr">
        <is>
          <t>CHN</t>
        </is>
      </c>
      <c r="IV151" t="inlineStr">
        <is>
          <t>CHN</t>
        </is>
      </c>
      <c r="IW151" t="inlineStr">
        <is>
          <t>CHN</t>
        </is>
      </c>
      <c r="IX151" t="inlineStr">
        <is>
          <t>CHN</t>
        </is>
      </c>
      <c r="IY151" t="inlineStr">
        <is>
          <t>CHN</t>
        </is>
      </c>
      <c r="IZ151" t="inlineStr">
        <is>
          <t>CHN</t>
        </is>
      </c>
      <c r="JA151" t="inlineStr">
        <is>
          <t>CHN</t>
        </is>
      </c>
      <c r="JB151" t="inlineStr">
        <is>
          <t>CHN</t>
        </is>
      </c>
      <c r="JC151" t="inlineStr">
        <is>
          <t>CHN</t>
        </is>
      </c>
      <c r="JD151" t="inlineStr">
        <is>
          <t>CHN</t>
        </is>
      </c>
      <c r="JE151" t="inlineStr">
        <is>
          <t>CHN</t>
        </is>
      </c>
      <c r="JF151" t="inlineStr">
        <is>
          <t>CHN</t>
        </is>
      </c>
      <c r="JG151" t="inlineStr">
        <is>
          <t>CHN</t>
        </is>
      </c>
      <c r="JH151" t="inlineStr">
        <is>
          <t>CHN</t>
        </is>
      </c>
      <c r="JI151" t="inlineStr">
        <is>
          <t>CHN</t>
        </is>
      </c>
      <c r="JJ151" t="inlineStr">
        <is>
          <t>CHN</t>
        </is>
      </c>
      <c r="JK151" t="inlineStr">
        <is>
          <t>CHN</t>
        </is>
      </c>
      <c r="JL151" t="inlineStr">
        <is>
          <t>CHN</t>
        </is>
      </c>
      <c r="JM151" t="inlineStr">
        <is>
          <t>CHN</t>
        </is>
      </c>
      <c r="JN151" t="inlineStr">
        <is>
          <t>CHN</t>
        </is>
      </c>
      <c r="JO151" t="inlineStr">
        <is>
          <t>CHN</t>
        </is>
      </c>
      <c r="JP151" t="inlineStr">
        <is>
          <t>CHN</t>
        </is>
      </c>
      <c r="JQ151" t="inlineStr">
        <is>
          <t>CHN</t>
        </is>
      </c>
      <c r="JR151" t="inlineStr">
        <is>
          <t>CHN</t>
        </is>
      </c>
      <c r="JS151" t="inlineStr">
        <is>
          <t>CHN</t>
        </is>
      </c>
      <c r="JT151" t="inlineStr">
        <is>
          <t>CHN</t>
        </is>
      </c>
      <c r="JU151" t="inlineStr">
        <is>
          <t>CHN</t>
        </is>
      </c>
    </row>
    <row r="152">
      <c r="AX152" t="inlineStr">
        <is>
          <t>MAR</t>
        </is>
      </c>
      <c r="AY152" t="inlineStr">
        <is>
          <t>MAR</t>
        </is>
      </c>
      <c r="AZ152" t="inlineStr">
        <is>
          <t>MAR</t>
        </is>
      </c>
      <c r="BA152" t="inlineStr">
        <is>
          <t>MAR</t>
        </is>
      </c>
      <c r="BB152" t="inlineStr">
        <is>
          <t>MAR</t>
        </is>
      </c>
      <c r="BC152" t="inlineStr">
        <is>
          <t>MAR</t>
        </is>
      </c>
      <c r="BF152" t="inlineStr">
        <is>
          <t>DZA</t>
        </is>
      </c>
      <c r="BG152" t="inlineStr">
        <is>
          <t>DZA</t>
        </is>
      </c>
      <c r="BH152" t="inlineStr">
        <is>
          <t>DZA</t>
        </is>
      </c>
      <c r="BI152" t="inlineStr">
        <is>
          <t>DZA</t>
        </is>
      </c>
      <c r="BJ152" t="inlineStr">
        <is>
          <t>DZA</t>
        </is>
      </c>
      <c r="BK152" t="inlineStr">
        <is>
          <t>DZA</t>
        </is>
      </c>
      <c r="BL152" t="inlineStr">
        <is>
          <t>DZA</t>
        </is>
      </c>
      <c r="BM152" t="inlineStr">
        <is>
          <t>DZA</t>
        </is>
      </c>
      <c r="BN152" t="inlineStr">
        <is>
          <t>DZA</t>
        </is>
      </c>
      <c r="BO152" t="inlineStr">
        <is>
          <t>DZA</t>
        </is>
      </c>
      <c r="BP152" t="inlineStr">
        <is>
          <t>DZA</t>
        </is>
      </c>
      <c r="BQ152" t="inlineStr">
        <is>
          <t>DZA</t>
        </is>
      </c>
      <c r="BR152" t="inlineStr">
        <is>
          <t>DZA</t>
        </is>
      </c>
      <c r="BS152" t="inlineStr">
        <is>
          <t>DZA</t>
        </is>
      </c>
      <c r="BT152" t="inlineStr">
        <is>
          <t>DZA</t>
        </is>
      </c>
      <c r="BU152" t="inlineStr">
        <is>
          <t>DZA</t>
        </is>
      </c>
      <c r="BV152" t="inlineStr">
        <is>
          <t>DZA</t>
        </is>
      </c>
      <c r="BW152" t="inlineStr">
        <is>
          <t>DZA</t>
        </is>
      </c>
      <c r="BX152" t="inlineStr">
        <is>
          <t>DZA</t>
        </is>
      </c>
      <c r="BY152" t="inlineStr">
        <is>
          <t>DZA</t>
        </is>
      </c>
      <c r="BZ152" t="inlineStr">
        <is>
          <t>DZA</t>
        </is>
      </c>
      <c r="CA152" t="inlineStr">
        <is>
          <t>TUN</t>
        </is>
      </c>
      <c r="CB152" t="inlineStr">
        <is>
          <t>TUN</t>
        </is>
      </c>
      <c r="CC152" t="inlineStr">
        <is>
          <t>TUN</t>
        </is>
      </c>
      <c r="CD152" t="inlineStr">
        <is>
          <t>TUN</t>
        </is>
      </c>
      <c r="CE152" t="inlineStr">
        <is>
          <t>TUN</t>
        </is>
      </c>
      <c r="DE152" t="inlineStr">
        <is>
          <t>GRC</t>
        </is>
      </c>
      <c r="DF152" t="inlineStr">
        <is>
          <t>GRC</t>
        </is>
      </c>
      <c r="DG152" t="inlineStr">
        <is>
          <t>GRC</t>
        </is>
      </c>
      <c r="DH152" t="inlineStr">
        <is>
          <t>GRC</t>
        </is>
      </c>
      <c r="DI152" t="inlineStr">
        <is>
          <t>GRC</t>
        </is>
      </c>
      <c r="DJ152" t="inlineStr">
        <is>
          <t>GRC</t>
        </is>
      </c>
      <c r="DX152" t="inlineStr">
        <is>
          <t>CYN</t>
        </is>
      </c>
      <c r="DY152" t="inlineStr">
        <is>
          <t>CYN</t>
        </is>
      </c>
      <c r="ED152" t="inlineStr">
        <is>
          <t>SYR</t>
        </is>
      </c>
      <c r="EE152" t="inlineStr">
        <is>
          <t>SYR</t>
        </is>
      </c>
      <c r="EF152" t="inlineStr">
        <is>
          <t>SYR</t>
        </is>
      </c>
      <c r="EG152" t="inlineStr">
        <is>
          <t>SYR</t>
        </is>
      </c>
      <c r="EH152" t="inlineStr">
        <is>
          <t>SYR</t>
        </is>
      </c>
      <c r="EI152" t="inlineStr">
        <is>
          <t>SYR</t>
        </is>
      </c>
      <c r="EJ152" t="inlineStr">
        <is>
          <t>SYR</t>
        </is>
      </c>
      <c r="EK152" t="inlineStr">
        <is>
          <t>SYR</t>
        </is>
      </c>
      <c r="EL152" t="inlineStr">
        <is>
          <t>SYR</t>
        </is>
      </c>
      <c r="EM152" t="inlineStr">
        <is>
          <t>SYR</t>
        </is>
      </c>
      <c r="EN152" t="inlineStr">
        <is>
          <t>SYR</t>
        </is>
      </c>
      <c r="EO152" t="inlineStr">
        <is>
          <t>IRQ</t>
        </is>
      </c>
      <c r="EP152" t="inlineStr">
        <is>
          <t>IRQ</t>
        </is>
      </c>
      <c r="EQ152" t="inlineStr">
        <is>
          <t>IRQ</t>
        </is>
      </c>
      <c r="ER152" t="inlineStr">
        <is>
          <t>IRQ</t>
        </is>
      </c>
      <c r="ES152" t="inlineStr">
        <is>
          <t>IRQ</t>
        </is>
      </c>
      <c r="ET152" t="inlineStr">
        <is>
          <t>IRQ</t>
        </is>
      </c>
      <c r="EU152" t="inlineStr">
        <is>
          <t>IRQ</t>
        </is>
      </c>
      <c r="EV152" t="inlineStr">
        <is>
          <t>IRQ</t>
        </is>
      </c>
      <c r="EW152" t="inlineStr">
        <is>
          <t>IRQ</t>
        </is>
      </c>
      <c r="EX152" t="inlineStr">
        <is>
          <t>IRN</t>
        </is>
      </c>
      <c r="EY152" t="inlineStr">
        <is>
          <t>IRN</t>
        </is>
      </c>
      <c r="EZ152" t="inlineStr">
        <is>
          <t>IRN</t>
        </is>
      </c>
      <c r="FA152" t="inlineStr">
        <is>
          <t>IRN</t>
        </is>
      </c>
      <c r="FB152" t="inlineStr">
        <is>
          <t>IRN</t>
        </is>
      </c>
      <c r="FC152" t="inlineStr">
        <is>
          <t>IRN</t>
        </is>
      </c>
      <c r="FD152" t="inlineStr">
        <is>
          <t>IRN</t>
        </is>
      </c>
      <c r="FE152" t="inlineStr">
        <is>
          <t>IRN</t>
        </is>
      </c>
      <c r="FF152" t="inlineStr">
        <is>
          <t>IRN</t>
        </is>
      </c>
      <c r="FG152" t="inlineStr">
        <is>
          <t>IRN</t>
        </is>
      </c>
      <c r="FH152" t="inlineStr">
        <is>
          <t>IRN</t>
        </is>
      </c>
      <c r="FI152" t="inlineStr">
        <is>
          <t>IRN</t>
        </is>
      </c>
      <c r="FJ152" t="inlineStr">
        <is>
          <t>IRN</t>
        </is>
      </c>
      <c r="FK152" t="inlineStr">
        <is>
          <t>IRN</t>
        </is>
      </c>
      <c r="FL152" t="inlineStr">
        <is>
          <t>IRN</t>
        </is>
      </c>
      <c r="FM152" t="inlineStr">
        <is>
          <t>IRN</t>
        </is>
      </c>
      <c r="FN152" t="inlineStr">
        <is>
          <t>IRN</t>
        </is>
      </c>
      <c r="FO152" t="inlineStr">
        <is>
          <t>IRN</t>
        </is>
      </c>
      <c r="FP152" t="inlineStr">
        <is>
          <t>IRN</t>
        </is>
      </c>
      <c r="FQ152" t="inlineStr">
        <is>
          <t>IRN</t>
        </is>
      </c>
      <c r="FR152" t="inlineStr">
        <is>
          <t>IRN</t>
        </is>
      </c>
      <c r="FS152" t="inlineStr">
        <is>
          <t>IRN</t>
        </is>
      </c>
      <c r="FT152" t="inlineStr">
        <is>
          <t>IRN</t>
        </is>
      </c>
      <c r="FU152" t="inlineStr">
        <is>
          <t>IRN</t>
        </is>
      </c>
      <c r="FV152" t="inlineStr">
        <is>
          <t>IRN</t>
        </is>
      </c>
      <c r="FW152" t="inlineStr">
        <is>
          <t>IRN</t>
        </is>
      </c>
      <c r="FX152" t="inlineStr">
        <is>
          <t>IRN</t>
        </is>
      </c>
      <c r="FY152" t="inlineStr">
        <is>
          <t>IRN</t>
        </is>
      </c>
      <c r="FZ152" t="inlineStr">
        <is>
          <t>IRN</t>
        </is>
      </c>
      <c r="GA152" t="inlineStr">
        <is>
          <t>IRN</t>
        </is>
      </c>
      <c r="GB152" t="inlineStr">
        <is>
          <t>AFG</t>
        </is>
      </c>
      <c r="GC152" t="inlineStr">
        <is>
          <t>AFG</t>
        </is>
      </c>
      <c r="GD152" t="inlineStr">
        <is>
          <t>AFG</t>
        </is>
      </c>
      <c r="GE152" t="inlineStr">
        <is>
          <t>AFG</t>
        </is>
      </c>
      <c r="GF152" t="inlineStr">
        <is>
          <t>AFG</t>
        </is>
      </c>
      <c r="GG152" t="inlineStr">
        <is>
          <t>AFG</t>
        </is>
      </c>
      <c r="GH152" t="inlineStr">
        <is>
          <t>AFG</t>
        </is>
      </c>
      <c r="GI152" t="inlineStr">
        <is>
          <t>AFG</t>
        </is>
      </c>
      <c r="GJ152" t="inlineStr">
        <is>
          <t>AFG</t>
        </is>
      </c>
      <c r="GK152" t="inlineStr">
        <is>
          <t>AFG</t>
        </is>
      </c>
      <c r="GL152" t="inlineStr">
        <is>
          <t>AFG</t>
        </is>
      </c>
      <c r="GM152" t="inlineStr">
        <is>
          <t>AFG</t>
        </is>
      </c>
      <c r="GN152" t="inlineStr">
        <is>
          <t>AFG</t>
        </is>
      </c>
      <c r="GO152" t="inlineStr">
        <is>
          <t>AFG</t>
        </is>
      </c>
      <c r="GP152" t="inlineStr">
        <is>
          <t>AFG</t>
        </is>
      </c>
      <c r="GQ152" t="inlineStr">
        <is>
          <t>AFG</t>
        </is>
      </c>
      <c r="GR152" t="inlineStr">
        <is>
          <t>AFG</t>
        </is>
      </c>
      <c r="GS152" t="inlineStr">
        <is>
          <t>AFG</t>
        </is>
      </c>
      <c r="GT152" t="inlineStr">
        <is>
          <t>AFG</t>
        </is>
      </c>
      <c r="GU152" t="inlineStr">
        <is>
          <t>AFG</t>
        </is>
      </c>
      <c r="GV152" t="inlineStr">
        <is>
          <t>AFG</t>
        </is>
      </c>
      <c r="GW152" t="inlineStr">
        <is>
          <t>PAK</t>
        </is>
      </c>
      <c r="GX152" t="inlineStr">
        <is>
          <t>PAK</t>
        </is>
      </c>
      <c r="GY152" t="inlineStr">
        <is>
          <t>PAK</t>
        </is>
      </c>
      <c r="GZ152" t="inlineStr">
        <is>
          <t>PAK</t>
        </is>
      </c>
      <c r="HA152" t="inlineStr">
        <is>
          <t>PAK</t>
        </is>
      </c>
      <c r="HB152" t="inlineStr">
        <is>
          <t>PAK</t>
        </is>
      </c>
      <c r="HC152" t="inlineStr">
        <is>
          <t>PAK</t>
        </is>
      </c>
      <c r="HD152" t="inlineStr">
        <is>
          <t>PAK</t>
        </is>
      </c>
      <c r="HE152" t="inlineStr">
        <is>
          <t>PAK</t>
        </is>
      </c>
      <c r="HF152" t="inlineStr">
        <is>
          <t>PAK</t>
        </is>
      </c>
      <c r="HG152" t="inlineStr">
        <is>
          <t>PAK</t>
        </is>
      </c>
      <c r="HH152" t="inlineStr">
        <is>
          <t>PAK</t>
        </is>
      </c>
      <c r="HI152" t="inlineStr">
        <is>
          <t>IND</t>
        </is>
      </c>
      <c r="HJ152" t="inlineStr">
        <is>
          <t>CHN</t>
        </is>
      </c>
      <c r="HK152" t="inlineStr">
        <is>
          <t>CHN</t>
        </is>
      </c>
      <c r="HL152" t="inlineStr">
        <is>
          <t>CHN</t>
        </is>
      </c>
      <c r="HM152" t="inlineStr">
        <is>
          <t>CHN</t>
        </is>
      </c>
      <c r="HN152" t="inlineStr">
        <is>
          <t>CHN</t>
        </is>
      </c>
      <c r="HO152" t="inlineStr">
        <is>
          <t>CHN</t>
        </is>
      </c>
      <c r="HP152" t="inlineStr">
        <is>
          <t>CHN</t>
        </is>
      </c>
      <c r="HQ152" t="inlineStr">
        <is>
          <t>CHN</t>
        </is>
      </c>
      <c r="HR152" t="inlineStr">
        <is>
          <t>CHN</t>
        </is>
      </c>
      <c r="HS152" t="inlineStr">
        <is>
          <t>CHN</t>
        </is>
      </c>
      <c r="HT152" t="inlineStr">
        <is>
          <t>CHN</t>
        </is>
      </c>
      <c r="HU152" t="inlineStr">
        <is>
          <t>CHN</t>
        </is>
      </c>
      <c r="HV152" t="inlineStr">
        <is>
          <t>CHN</t>
        </is>
      </c>
      <c r="HW152" t="inlineStr">
        <is>
          <t>CHN</t>
        </is>
      </c>
      <c r="HX152" t="inlineStr">
        <is>
          <t>CHN</t>
        </is>
      </c>
      <c r="HY152" t="inlineStr">
        <is>
          <t>CHN</t>
        </is>
      </c>
      <c r="HZ152" t="inlineStr">
        <is>
          <t>CHN</t>
        </is>
      </c>
      <c r="IA152" t="inlineStr">
        <is>
          <t>CHN</t>
        </is>
      </c>
      <c r="IB152" t="inlineStr">
        <is>
          <t>CHN</t>
        </is>
      </c>
      <c r="IC152" t="inlineStr">
        <is>
          <t>CHN</t>
        </is>
      </c>
      <c r="ID152" t="inlineStr">
        <is>
          <t>CHN</t>
        </is>
      </c>
      <c r="IE152" t="inlineStr">
        <is>
          <t>CHN</t>
        </is>
      </c>
      <c r="IF152" t="inlineStr">
        <is>
          <t>CHN</t>
        </is>
      </c>
      <c r="IG152" t="inlineStr">
        <is>
          <t>CHN</t>
        </is>
      </c>
      <c r="IH152" t="inlineStr">
        <is>
          <t>CHN</t>
        </is>
      </c>
      <c r="II152" t="inlineStr">
        <is>
          <t>CHN</t>
        </is>
      </c>
      <c r="IJ152" t="inlineStr">
        <is>
          <t>CHN</t>
        </is>
      </c>
      <c r="IK152" t="inlineStr">
        <is>
          <t>CHN</t>
        </is>
      </c>
      <c r="IL152" t="inlineStr">
        <is>
          <t>CHN</t>
        </is>
      </c>
      <c r="IM152" t="inlineStr">
        <is>
          <t>CHN</t>
        </is>
      </c>
      <c r="IN152" t="inlineStr">
        <is>
          <t>CHN</t>
        </is>
      </c>
      <c r="IO152" t="inlineStr">
        <is>
          <t>CHN</t>
        </is>
      </c>
      <c r="IP152" t="inlineStr">
        <is>
          <t>CHN</t>
        </is>
      </c>
      <c r="IQ152" t="inlineStr">
        <is>
          <t>CHN</t>
        </is>
      </c>
      <c r="IR152" t="inlineStr">
        <is>
          <t>CHN</t>
        </is>
      </c>
      <c r="IS152" t="inlineStr">
        <is>
          <t>CHN</t>
        </is>
      </c>
      <c r="IT152" t="inlineStr">
        <is>
          <t>CHN</t>
        </is>
      </c>
      <c r="IU152" t="inlineStr">
        <is>
          <t>CHN</t>
        </is>
      </c>
      <c r="IV152" t="inlineStr">
        <is>
          <t>CHN</t>
        </is>
      </c>
      <c r="IW152" t="inlineStr">
        <is>
          <t>CHN</t>
        </is>
      </c>
      <c r="IX152" t="inlineStr">
        <is>
          <t>CHN</t>
        </is>
      </c>
      <c r="IY152" t="inlineStr">
        <is>
          <t>CHN</t>
        </is>
      </c>
      <c r="IZ152" t="inlineStr">
        <is>
          <t>CHN</t>
        </is>
      </c>
      <c r="JA152" t="inlineStr">
        <is>
          <t>CHN</t>
        </is>
      </c>
      <c r="JB152" t="inlineStr">
        <is>
          <t>CHN</t>
        </is>
      </c>
      <c r="JC152" t="inlineStr">
        <is>
          <t>CHN</t>
        </is>
      </c>
      <c r="JD152" t="inlineStr">
        <is>
          <t>CHN</t>
        </is>
      </c>
      <c r="JE152" t="inlineStr">
        <is>
          <t>CHN</t>
        </is>
      </c>
      <c r="JF152" t="inlineStr">
        <is>
          <t>CHN</t>
        </is>
      </c>
      <c r="JG152" t="inlineStr">
        <is>
          <t>CHN</t>
        </is>
      </c>
      <c r="JH152" t="inlineStr">
        <is>
          <t>CHN</t>
        </is>
      </c>
      <c r="JI152" t="inlineStr">
        <is>
          <t>CHN</t>
        </is>
      </c>
      <c r="JJ152" t="inlineStr">
        <is>
          <t>CHN</t>
        </is>
      </c>
      <c r="JK152" t="inlineStr">
        <is>
          <t>CHN</t>
        </is>
      </c>
      <c r="JL152" t="inlineStr">
        <is>
          <t>CHN</t>
        </is>
      </c>
      <c r="JM152" t="inlineStr">
        <is>
          <t>CHN</t>
        </is>
      </c>
      <c r="JN152" t="inlineStr">
        <is>
          <t>CHN</t>
        </is>
      </c>
      <c r="JO152" t="inlineStr">
        <is>
          <t>CHN</t>
        </is>
      </c>
      <c r="JP152" t="inlineStr">
        <is>
          <t>CHN</t>
        </is>
      </c>
      <c r="JQ152" t="inlineStr">
        <is>
          <t>CHN</t>
        </is>
      </c>
      <c r="JR152" t="inlineStr">
        <is>
          <t>CHN</t>
        </is>
      </c>
      <c r="JS152" t="inlineStr">
        <is>
          <t>CHN</t>
        </is>
      </c>
      <c r="JT152" t="inlineStr">
        <is>
          <t>CHN</t>
        </is>
      </c>
      <c r="JU152" t="inlineStr">
        <is>
          <t>CHN</t>
        </is>
      </c>
    </row>
    <row r="153">
      <c r="AX153" t="inlineStr">
        <is>
          <t>MAR</t>
        </is>
      </c>
      <c r="AY153" t="inlineStr">
        <is>
          <t>MAR</t>
        </is>
      </c>
      <c r="BH153" t="inlineStr">
        <is>
          <t>DZA</t>
        </is>
      </c>
      <c r="BI153" t="inlineStr">
        <is>
          <t>DZA</t>
        </is>
      </c>
      <c r="BJ153" t="inlineStr">
        <is>
          <t>DZA</t>
        </is>
      </c>
      <c r="BK153" t="inlineStr">
        <is>
          <t>DZA</t>
        </is>
      </c>
      <c r="BL153" t="inlineStr">
        <is>
          <t>DZA</t>
        </is>
      </c>
      <c r="BM153" t="inlineStr">
        <is>
          <t>DZA</t>
        </is>
      </c>
      <c r="BN153" t="inlineStr">
        <is>
          <t>DZA</t>
        </is>
      </c>
      <c r="BO153" t="inlineStr">
        <is>
          <t>DZA</t>
        </is>
      </c>
      <c r="BP153" t="inlineStr">
        <is>
          <t>DZA</t>
        </is>
      </c>
      <c r="BQ153" t="inlineStr">
        <is>
          <t>DZA</t>
        </is>
      </c>
      <c r="BR153" t="inlineStr">
        <is>
          <t>DZA</t>
        </is>
      </c>
      <c r="BS153" t="inlineStr">
        <is>
          <t>DZA</t>
        </is>
      </c>
      <c r="BT153" t="inlineStr">
        <is>
          <t>DZA</t>
        </is>
      </c>
      <c r="BU153" t="inlineStr">
        <is>
          <t>DZA</t>
        </is>
      </c>
      <c r="BV153" t="inlineStr">
        <is>
          <t>DZA</t>
        </is>
      </c>
      <c r="BW153" t="inlineStr">
        <is>
          <t>DZA</t>
        </is>
      </c>
      <c r="BX153" t="inlineStr">
        <is>
          <t>DZA</t>
        </is>
      </c>
      <c r="BY153" t="inlineStr">
        <is>
          <t>DZA</t>
        </is>
      </c>
      <c r="BZ153" t="inlineStr">
        <is>
          <t>DZA</t>
        </is>
      </c>
      <c r="CA153" t="inlineStr">
        <is>
          <t>TUN</t>
        </is>
      </c>
      <c r="CB153" t="inlineStr">
        <is>
          <t>TUN</t>
        </is>
      </c>
      <c r="CC153" t="inlineStr">
        <is>
          <t>TUN</t>
        </is>
      </c>
      <c r="CD153" t="inlineStr">
        <is>
          <t>TUN</t>
        </is>
      </c>
      <c r="CE153" t="inlineStr">
        <is>
          <t>TUN</t>
        </is>
      </c>
      <c r="CL153" t="inlineStr">
        <is>
          <t>MLT</t>
        </is>
      </c>
      <c r="ED153" t="inlineStr">
        <is>
          <t>SYR</t>
        </is>
      </c>
      <c r="EE153" t="inlineStr">
        <is>
          <t>SYR</t>
        </is>
      </c>
      <c r="EF153" t="inlineStr">
        <is>
          <t>SYR</t>
        </is>
      </c>
      <c r="EG153" t="inlineStr">
        <is>
          <t>SYR</t>
        </is>
      </c>
      <c r="EH153" t="inlineStr">
        <is>
          <t>SYR</t>
        </is>
      </c>
      <c r="EI153" t="inlineStr">
        <is>
          <t>SYR</t>
        </is>
      </c>
      <c r="EJ153" t="inlineStr">
        <is>
          <t>SYR</t>
        </is>
      </c>
      <c r="EK153" t="inlineStr">
        <is>
          <t>SYR</t>
        </is>
      </c>
      <c r="EL153" t="inlineStr">
        <is>
          <t>SYR</t>
        </is>
      </c>
      <c r="EM153" t="inlineStr">
        <is>
          <t>SYR</t>
        </is>
      </c>
      <c r="EN153" t="inlineStr">
        <is>
          <t>SYR</t>
        </is>
      </c>
      <c r="EO153" t="inlineStr">
        <is>
          <t>IRQ</t>
        </is>
      </c>
      <c r="EP153" t="inlineStr">
        <is>
          <t>IRQ</t>
        </is>
      </c>
      <c r="EQ153" t="inlineStr">
        <is>
          <t>IRQ</t>
        </is>
      </c>
      <c r="ER153" t="inlineStr">
        <is>
          <t>IRQ</t>
        </is>
      </c>
      <c r="ES153" t="inlineStr">
        <is>
          <t>IRQ</t>
        </is>
      </c>
      <c r="ET153" t="inlineStr">
        <is>
          <t>IRQ</t>
        </is>
      </c>
      <c r="EU153" t="inlineStr">
        <is>
          <t>IRQ</t>
        </is>
      </c>
      <c r="EV153" t="inlineStr">
        <is>
          <t>IRQ</t>
        </is>
      </c>
      <c r="EW153" t="inlineStr">
        <is>
          <t>IRQ</t>
        </is>
      </c>
      <c r="EX153" t="inlineStr">
        <is>
          <t>IRN</t>
        </is>
      </c>
      <c r="EY153" t="inlineStr">
        <is>
          <t>IRN</t>
        </is>
      </c>
      <c r="EZ153" t="inlineStr">
        <is>
          <t>IRN</t>
        </is>
      </c>
      <c r="FA153" t="inlineStr">
        <is>
          <t>IRN</t>
        </is>
      </c>
      <c r="FB153" t="inlineStr">
        <is>
          <t>IRN</t>
        </is>
      </c>
      <c r="FC153" t="inlineStr">
        <is>
          <t>IRN</t>
        </is>
      </c>
      <c r="FD153" t="inlineStr">
        <is>
          <t>IRN</t>
        </is>
      </c>
      <c r="FE153" t="inlineStr">
        <is>
          <t>IRN</t>
        </is>
      </c>
      <c r="FF153" t="inlineStr">
        <is>
          <t>IRN</t>
        </is>
      </c>
      <c r="FG153" t="inlineStr">
        <is>
          <t>IRN</t>
        </is>
      </c>
      <c r="FH153" t="inlineStr">
        <is>
          <t>IRN</t>
        </is>
      </c>
      <c r="FI153" t="inlineStr">
        <is>
          <t>IRN</t>
        </is>
      </c>
      <c r="FJ153" t="inlineStr">
        <is>
          <t>IRN</t>
        </is>
      </c>
      <c r="FK153" t="inlineStr">
        <is>
          <t>IRN</t>
        </is>
      </c>
      <c r="FL153" t="inlineStr">
        <is>
          <t>IRN</t>
        </is>
      </c>
      <c r="FM153" t="inlineStr">
        <is>
          <t>IRN</t>
        </is>
      </c>
      <c r="FN153" t="inlineStr">
        <is>
          <t>IRN</t>
        </is>
      </c>
      <c r="FO153" t="inlineStr">
        <is>
          <t>IRN</t>
        </is>
      </c>
      <c r="FP153" t="inlineStr">
        <is>
          <t>IRN</t>
        </is>
      </c>
      <c r="FQ153" t="inlineStr">
        <is>
          <t>IRN</t>
        </is>
      </c>
      <c r="FR153" t="inlineStr">
        <is>
          <t>IRN</t>
        </is>
      </c>
      <c r="FS153" t="inlineStr">
        <is>
          <t>IRN</t>
        </is>
      </c>
      <c r="FT153" t="inlineStr">
        <is>
          <t>IRN</t>
        </is>
      </c>
      <c r="FU153" t="inlineStr">
        <is>
          <t>IRN</t>
        </is>
      </c>
      <c r="FV153" t="inlineStr">
        <is>
          <t>IRN</t>
        </is>
      </c>
      <c r="FW153" t="inlineStr">
        <is>
          <t>IRN</t>
        </is>
      </c>
      <c r="FX153" t="inlineStr">
        <is>
          <t>IRN</t>
        </is>
      </c>
      <c r="FY153" t="inlineStr">
        <is>
          <t>IRN</t>
        </is>
      </c>
      <c r="FZ153" t="inlineStr">
        <is>
          <t>IRN</t>
        </is>
      </c>
      <c r="GA153" t="inlineStr">
        <is>
          <t>IRN</t>
        </is>
      </c>
      <c r="GB153" t="inlineStr">
        <is>
          <t>TKM</t>
        </is>
      </c>
      <c r="GC153" t="inlineStr">
        <is>
          <t>TKM</t>
        </is>
      </c>
      <c r="GD153" t="inlineStr">
        <is>
          <t>TKM</t>
        </is>
      </c>
      <c r="GE153" t="inlineStr">
        <is>
          <t>TKM</t>
        </is>
      </c>
      <c r="GF153" t="inlineStr">
        <is>
          <t>AFG</t>
        </is>
      </c>
      <c r="GG153" t="inlineStr">
        <is>
          <t>AFG</t>
        </is>
      </c>
      <c r="GH153" t="inlineStr">
        <is>
          <t>AFG</t>
        </is>
      </c>
      <c r="GI153" t="inlineStr">
        <is>
          <t>AFG</t>
        </is>
      </c>
      <c r="GJ153" t="inlineStr">
        <is>
          <t>AFG</t>
        </is>
      </c>
      <c r="GK153" t="inlineStr">
        <is>
          <t>AFG</t>
        </is>
      </c>
      <c r="GL153" t="inlineStr">
        <is>
          <t>AFG</t>
        </is>
      </c>
      <c r="GM153" t="inlineStr">
        <is>
          <t>AFG</t>
        </is>
      </c>
      <c r="GN153" t="inlineStr">
        <is>
          <t>AFG</t>
        </is>
      </c>
      <c r="GO153" t="inlineStr">
        <is>
          <t>AFG</t>
        </is>
      </c>
      <c r="GP153" t="inlineStr">
        <is>
          <t>AFG</t>
        </is>
      </c>
      <c r="GQ153" t="inlineStr">
        <is>
          <t>AFG</t>
        </is>
      </c>
      <c r="GR153" t="inlineStr">
        <is>
          <t>AFG</t>
        </is>
      </c>
      <c r="GS153" t="inlineStr">
        <is>
          <t>AFG</t>
        </is>
      </c>
      <c r="GT153" t="inlineStr">
        <is>
          <t>AFG</t>
        </is>
      </c>
      <c r="GU153" t="inlineStr">
        <is>
          <t>AFG</t>
        </is>
      </c>
      <c r="GV153" t="inlineStr">
        <is>
          <t>AFG</t>
        </is>
      </c>
      <c r="GW153" t="inlineStr">
        <is>
          <t>PAK</t>
        </is>
      </c>
      <c r="GX153" t="inlineStr">
        <is>
          <t>PAK</t>
        </is>
      </c>
      <c r="GY153" t="inlineStr">
        <is>
          <t>PAK</t>
        </is>
      </c>
      <c r="GZ153" t="inlineStr">
        <is>
          <t>PAK</t>
        </is>
      </c>
      <c r="HA153" t="inlineStr">
        <is>
          <t>PAK</t>
        </is>
      </c>
      <c r="HB153" t="inlineStr">
        <is>
          <t>PAK</t>
        </is>
      </c>
      <c r="HC153" t="inlineStr">
        <is>
          <t>PAK</t>
        </is>
      </c>
      <c r="HD153" t="inlineStr">
        <is>
          <t>PAK</t>
        </is>
      </c>
      <c r="HE153" t="inlineStr">
        <is>
          <t>PAK</t>
        </is>
      </c>
      <c r="HF153" t="inlineStr">
        <is>
          <t>PAK</t>
        </is>
      </c>
      <c r="HG153" t="inlineStr">
        <is>
          <t>PAK</t>
        </is>
      </c>
      <c r="HH153" t="inlineStr">
        <is>
          <t>CHN</t>
        </is>
      </c>
      <c r="HI153" t="inlineStr">
        <is>
          <t>CHN</t>
        </is>
      </c>
      <c r="HJ153" t="inlineStr">
        <is>
          <t>CHN</t>
        </is>
      </c>
      <c r="HK153" t="inlineStr">
        <is>
          <t>CHN</t>
        </is>
      </c>
      <c r="HL153" t="inlineStr">
        <is>
          <t>CHN</t>
        </is>
      </c>
      <c r="HM153" t="inlineStr">
        <is>
          <t>CHN</t>
        </is>
      </c>
      <c r="HN153" t="inlineStr">
        <is>
          <t>CHN</t>
        </is>
      </c>
      <c r="HO153" t="inlineStr">
        <is>
          <t>CHN</t>
        </is>
      </c>
      <c r="HP153" t="inlineStr">
        <is>
          <t>CHN</t>
        </is>
      </c>
      <c r="HQ153" t="inlineStr">
        <is>
          <t>CHN</t>
        </is>
      </c>
      <c r="HR153" t="inlineStr">
        <is>
          <t>CHN</t>
        </is>
      </c>
      <c r="HS153" t="inlineStr">
        <is>
          <t>CHN</t>
        </is>
      </c>
      <c r="HT153" t="inlineStr">
        <is>
          <t>CHN</t>
        </is>
      </c>
      <c r="HU153" t="inlineStr">
        <is>
          <t>CHN</t>
        </is>
      </c>
      <c r="HV153" t="inlineStr">
        <is>
          <t>CHN</t>
        </is>
      </c>
      <c r="HW153" t="inlineStr">
        <is>
          <t>CHN</t>
        </is>
      </c>
      <c r="HX153" t="inlineStr">
        <is>
          <t>CHN</t>
        </is>
      </c>
      <c r="HY153" t="inlineStr">
        <is>
          <t>CHN</t>
        </is>
      </c>
      <c r="HZ153" t="inlineStr">
        <is>
          <t>CHN</t>
        </is>
      </c>
      <c r="IA153" t="inlineStr">
        <is>
          <t>CHN</t>
        </is>
      </c>
      <c r="IB153" t="inlineStr">
        <is>
          <t>CHN</t>
        </is>
      </c>
      <c r="IC153" t="inlineStr">
        <is>
          <t>CHN</t>
        </is>
      </c>
      <c r="ID153" t="inlineStr">
        <is>
          <t>CHN</t>
        </is>
      </c>
      <c r="IE153" t="inlineStr">
        <is>
          <t>CHN</t>
        </is>
      </c>
      <c r="IF153" t="inlineStr">
        <is>
          <t>CHN</t>
        </is>
      </c>
      <c r="IG153" t="inlineStr">
        <is>
          <t>CHN</t>
        </is>
      </c>
      <c r="IH153" t="inlineStr">
        <is>
          <t>CHN</t>
        </is>
      </c>
      <c r="II153" t="inlineStr">
        <is>
          <t>CHN</t>
        </is>
      </c>
      <c r="IJ153" t="inlineStr">
        <is>
          <t>CHN</t>
        </is>
      </c>
      <c r="IK153" t="inlineStr">
        <is>
          <t>CHN</t>
        </is>
      </c>
      <c r="IL153" t="inlineStr">
        <is>
          <t>CHN</t>
        </is>
      </c>
      <c r="IM153" t="inlineStr">
        <is>
          <t>CHN</t>
        </is>
      </c>
      <c r="IN153" t="inlineStr">
        <is>
          <t>CHN</t>
        </is>
      </c>
      <c r="IO153" t="inlineStr">
        <is>
          <t>CHN</t>
        </is>
      </c>
      <c r="IP153" t="inlineStr">
        <is>
          <t>CHN</t>
        </is>
      </c>
      <c r="IQ153" t="inlineStr">
        <is>
          <t>CHN</t>
        </is>
      </c>
      <c r="IR153" t="inlineStr">
        <is>
          <t>CHN</t>
        </is>
      </c>
      <c r="IS153" t="inlineStr">
        <is>
          <t>CHN</t>
        </is>
      </c>
      <c r="IT153" t="inlineStr">
        <is>
          <t>CHN</t>
        </is>
      </c>
      <c r="IU153" t="inlineStr">
        <is>
          <t>CHN</t>
        </is>
      </c>
      <c r="IV153" t="inlineStr">
        <is>
          <t>CHN</t>
        </is>
      </c>
      <c r="IW153" t="inlineStr">
        <is>
          <t>CHN</t>
        </is>
      </c>
      <c r="IX153" t="inlineStr">
        <is>
          <t>CHN</t>
        </is>
      </c>
      <c r="IY153" t="inlineStr">
        <is>
          <t>CHN</t>
        </is>
      </c>
      <c r="IZ153" t="inlineStr">
        <is>
          <t>CHN</t>
        </is>
      </c>
      <c r="JA153" t="inlineStr">
        <is>
          <t>CHN</t>
        </is>
      </c>
      <c r="JB153" t="inlineStr">
        <is>
          <t>CHN</t>
        </is>
      </c>
      <c r="JC153" t="inlineStr">
        <is>
          <t>CHN</t>
        </is>
      </c>
      <c r="JD153" t="inlineStr">
        <is>
          <t>CHN</t>
        </is>
      </c>
      <c r="JE153" t="inlineStr">
        <is>
          <t>CHN</t>
        </is>
      </c>
      <c r="JF153" t="inlineStr">
        <is>
          <t>CHN</t>
        </is>
      </c>
      <c r="JG153" t="inlineStr">
        <is>
          <t>CHN</t>
        </is>
      </c>
      <c r="JH153" t="inlineStr">
        <is>
          <t>CHN</t>
        </is>
      </c>
      <c r="JI153" t="inlineStr">
        <is>
          <t>CHN</t>
        </is>
      </c>
      <c r="JJ153" t="inlineStr">
        <is>
          <t>CHN</t>
        </is>
      </c>
      <c r="JK153" t="inlineStr">
        <is>
          <t>CHN</t>
        </is>
      </c>
      <c r="JL153" t="inlineStr">
        <is>
          <t>CHN</t>
        </is>
      </c>
      <c r="JM153" t="inlineStr">
        <is>
          <t>CHN</t>
        </is>
      </c>
      <c r="JN153" t="inlineStr">
        <is>
          <t>CHN</t>
        </is>
      </c>
      <c r="JO153" t="inlineStr">
        <is>
          <t>CHN</t>
        </is>
      </c>
      <c r="JP153" t="inlineStr">
        <is>
          <t>CHN</t>
        </is>
      </c>
      <c r="JQ153" t="inlineStr">
        <is>
          <t>CHN</t>
        </is>
      </c>
      <c r="JR153" t="inlineStr">
        <is>
          <t>CHN</t>
        </is>
      </c>
      <c r="JS153" t="inlineStr">
        <is>
          <t>CHN</t>
        </is>
      </c>
      <c r="JT153" t="inlineStr">
        <is>
          <t>CHN</t>
        </is>
      </c>
      <c r="JU153" t="inlineStr">
        <is>
          <t>CHN</t>
        </is>
      </c>
    </row>
    <row r="154">
      <c r="AX154" t="inlineStr">
        <is>
          <t>ESP</t>
        </is>
      </c>
      <c r="AY154" t="inlineStr">
        <is>
          <t>ESP</t>
        </is>
      </c>
      <c r="BK154" t="inlineStr">
        <is>
          <t>DZA</t>
        </is>
      </c>
      <c r="BL154" t="inlineStr">
        <is>
          <t>DZA</t>
        </is>
      </c>
      <c r="BM154" t="inlineStr">
        <is>
          <t>DZA</t>
        </is>
      </c>
      <c r="BN154" t="inlineStr">
        <is>
          <t>DZA</t>
        </is>
      </c>
      <c r="BO154" t="inlineStr">
        <is>
          <t>DZA</t>
        </is>
      </c>
      <c r="BP154" t="inlineStr">
        <is>
          <t>DZA</t>
        </is>
      </c>
      <c r="BQ154" t="inlineStr">
        <is>
          <t>DZA</t>
        </is>
      </c>
      <c r="BR154" t="inlineStr">
        <is>
          <t>DZA</t>
        </is>
      </c>
      <c r="BS154" t="inlineStr">
        <is>
          <t>DZA</t>
        </is>
      </c>
      <c r="BT154" t="inlineStr">
        <is>
          <t>DZA</t>
        </is>
      </c>
      <c r="BU154" t="inlineStr">
        <is>
          <t>DZA</t>
        </is>
      </c>
      <c r="BV154" t="inlineStr">
        <is>
          <t>DZA</t>
        </is>
      </c>
      <c r="BW154" t="inlineStr">
        <is>
          <t>DZA</t>
        </is>
      </c>
      <c r="BX154" t="inlineStr">
        <is>
          <t>DZA</t>
        </is>
      </c>
      <c r="BY154" t="inlineStr">
        <is>
          <t>DZA</t>
        </is>
      </c>
      <c r="BZ154" t="inlineStr">
        <is>
          <t>TUN</t>
        </is>
      </c>
      <c r="CA154" t="inlineStr">
        <is>
          <t>TUN</t>
        </is>
      </c>
      <c r="CB154" t="inlineStr">
        <is>
          <t>TUN</t>
        </is>
      </c>
      <c r="CC154" t="inlineStr">
        <is>
          <t>TUN</t>
        </is>
      </c>
      <c r="CD154" t="inlineStr">
        <is>
          <t>TUN</t>
        </is>
      </c>
      <c r="DQ154" t="inlineStr">
        <is>
          <t>TUR</t>
        </is>
      </c>
      <c r="DR154" t="inlineStr">
        <is>
          <t>TUR</t>
        </is>
      </c>
      <c r="DW154" t="inlineStr">
        <is>
          <t>TUR</t>
        </is>
      </c>
      <c r="DX154" t="inlineStr">
        <is>
          <t>TUR</t>
        </is>
      </c>
      <c r="DY154" t="inlineStr">
        <is>
          <t>TUR</t>
        </is>
      </c>
      <c r="ED154" t="inlineStr">
        <is>
          <t>TUR</t>
        </is>
      </c>
      <c r="EE154" t="inlineStr">
        <is>
          <t>SYR</t>
        </is>
      </c>
      <c r="EF154" t="inlineStr">
        <is>
          <t>SYR</t>
        </is>
      </c>
      <c r="EG154" t="inlineStr">
        <is>
          <t>SYR</t>
        </is>
      </c>
      <c r="EH154" t="inlineStr">
        <is>
          <t>SYR</t>
        </is>
      </c>
      <c r="EI154" t="inlineStr">
        <is>
          <t>SYR</t>
        </is>
      </c>
      <c r="EJ154" t="inlineStr">
        <is>
          <t>SYR</t>
        </is>
      </c>
      <c r="EK154" t="inlineStr">
        <is>
          <t>SYR</t>
        </is>
      </c>
      <c r="EL154" t="inlineStr">
        <is>
          <t>SYR</t>
        </is>
      </c>
      <c r="EM154" t="inlineStr">
        <is>
          <t>SYR</t>
        </is>
      </c>
      <c r="EN154" t="inlineStr">
        <is>
          <t>SYR</t>
        </is>
      </c>
      <c r="EO154" t="inlineStr">
        <is>
          <t>IRQ</t>
        </is>
      </c>
      <c r="EP154" t="inlineStr">
        <is>
          <t>IRQ</t>
        </is>
      </c>
      <c r="EQ154" t="inlineStr">
        <is>
          <t>IRQ</t>
        </is>
      </c>
      <c r="ER154" t="inlineStr">
        <is>
          <t>IRQ</t>
        </is>
      </c>
      <c r="ES154" t="inlineStr">
        <is>
          <t>IRQ</t>
        </is>
      </c>
      <c r="ET154" t="inlineStr">
        <is>
          <t>IRQ</t>
        </is>
      </c>
      <c r="EU154" t="inlineStr">
        <is>
          <t>IRQ</t>
        </is>
      </c>
      <c r="EV154" t="inlineStr">
        <is>
          <t>IRQ</t>
        </is>
      </c>
      <c r="EW154" t="inlineStr">
        <is>
          <t>IRN</t>
        </is>
      </c>
      <c r="EX154" t="inlineStr">
        <is>
          <t>IRN</t>
        </is>
      </c>
      <c r="EY154" t="inlineStr">
        <is>
          <t>IRN</t>
        </is>
      </c>
      <c r="EZ154" t="inlineStr">
        <is>
          <t>IRN</t>
        </is>
      </c>
      <c r="FA154" t="inlineStr">
        <is>
          <t>IRN</t>
        </is>
      </c>
      <c r="FB154" t="inlineStr">
        <is>
          <t>IRN</t>
        </is>
      </c>
      <c r="FC154" t="inlineStr">
        <is>
          <t>IRN</t>
        </is>
      </c>
      <c r="FD154" t="inlineStr">
        <is>
          <t>IRN</t>
        </is>
      </c>
      <c r="FE154" t="inlineStr">
        <is>
          <t>IRN</t>
        </is>
      </c>
      <c r="FF154" t="inlineStr">
        <is>
          <t>IRN</t>
        </is>
      </c>
      <c r="FG154" t="inlineStr">
        <is>
          <t>IRN</t>
        </is>
      </c>
      <c r="FH154" t="inlineStr">
        <is>
          <t>IRN</t>
        </is>
      </c>
      <c r="FI154" t="inlineStr">
        <is>
          <t>IRN</t>
        </is>
      </c>
      <c r="FJ154" t="inlineStr">
        <is>
          <t>IRN</t>
        </is>
      </c>
      <c r="FK154" t="inlineStr">
        <is>
          <t>IRN</t>
        </is>
      </c>
      <c r="FL154" t="inlineStr">
        <is>
          <t>IRN</t>
        </is>
      </c>
      <c r="FM154" t="inlineStr">
        <is>
          <t>IRN</t>
        </is>
      </c>
      <c r="FN154" t="inlineStr">
        <is>
          <t>IRN</t>
        </is>
      </c>
      <c r="FO154" t="inlineStr">
        <is>
          <t>IRN</t>
        </is>
      </c>
      <c r="FP154" t="inlineStr">
        <is>
          <t>IRN</t>
        </is>
      </c>
      <c r="FQ154" t="inlineStr">
        <is>
          <t>IRN</t>
        </is>
      </c>
      <c r="FR154" t="inlineStr">
        <is>
          <t>IRN</t>
        </is>
      </c>
      <c r="FS154" t="inlineStr">
        <is>
          <t>IRN</t>
        </is>
      </c>
      <c r="FT154" t="inlineStr">
        <is>
          <t>IRN</t>
        </is>
      </c>
      <c r="FU154" t="inlineStr">
        <is>
          <t>IRN</t>
        </is>
      </c>
      <c r="FV154" t="inlineStr">
        <is>
          <t>IRN</t>
        </is>
      </c>
      <c r="FW154" t="inlineStr">
        <is>
          <t>IRN</t>
        </is>
      </c>
      <c r="FX154" t="inlineStr">
        <is>
          <t>IRN</t>
        </is>
      </c>
      <c r="FY154" t="inlineStr">
        <is>
          <t>IRN</t>
        </is>
      </c>
      <c r="FZ154" t="inlineStr">
        <is>
          <t>IRN</t>
        </is>
      </c>
      <c r="GA154" t="inlineStr">
        <is>
          <t>IRN</t>
        </is>
      </c>
      <c r="GB154" t="inlineStr">
        <is>
          <t>TKM</t>
        </is>
      </c>
      <c r="GC154" t="inlineStr">
        <is>
          <t>TKM</t>
        </is>
      </c>
      <c r="GD154" t="inlineStr">
        <is>
          <t>TKM</t>
        </is>
      </c>
      <c r="GE154" t="inlineStr">
        <is>
          <t>TKM</t>
        </is>
      </c>
      <c r="GF154" t="inlineStr">
        <is>
          <t>TKM</t>
        </is>
      </c>
      <c r="GG154" t="inlineStr">
        <is>
          <t>TKM</t>
        </is>
      </c>
      <c r="GH154" t="inlineStr">
        <is>
          <t>TKM</t>
        </is>
      </c>
      <c r="GI154" t="inlineStr">
        <is>
          <t>AFG</t>
        </is>
      </c>
      <c r="GJ154" t="inlineStr">
        <is>
          <t>AFG</t>
        </is>
      </c>
      <c r="GK154" t="inlineStr">
        <is>
          <t>AFG</t>
        </is>
      </c>
      <c r="GL154" t="inlineStr">
        <is>
          <t>AFG</t>
        </is>
      </c>
      <c r="GM154" t="inlineStr">
        <is>
          <t>AFG</t>
        </is>
      </c>
      <c r="GN154" t="inlineStr">
        <is>
          <t>AFG</t>
        </is>
      </c>
      <c r="GO154" t="inlineStr">
        <is>
          <t>AFG</t>
        </is>
      </c>
      <c r="GP154" t="inlineStr">
        <is>
          <t>AFG</t>
        </is>
      </c>
      <c r="GQ154" t="inlineStr">
        <is>
          <t>AFG</t>
        </is>
      </c>
      <c r="GR154" t="inlineStr">
        <is>
          <t>AFG</t>
        </is>
      </c>
      <c r="GS154" t="inlineStr">
        <is>
          <t>AFG</t>
        </is>
      </c>
      <c r="GT154" t="inlineStr">
        <is>
          <t>AFG</t>
        </is>
      </c>
      <c r="GU154" t="inlineStr">
        <is>
          <t>AFG</t>
        </is>
      </c>
      <c r="GV154" t="inlineStr">
        <is>
          <t>AFG</t>
        </is>
      </c>
      <c r="GW154" t="inlineStr">
        <is>
          <t>PAK</t>
        </is>
      </c>
      <c r="GX154" t="inlineStr">
        <is>
          <t>PAK</t>
        </is>
      </c>
      <c r="GY154" t="inlineStr">
        <is>
          <t>PAK</t>
        </is>
      </c>
      <c r="GZ154" t="inlineStr">
        <is>
          <t>PAK</t>
        </is>
      </c>
      <c r="HA154" t="inlineStr">
        <is>
          <t>PAK</t>
        </is>
      </c>
      <c r="HB154" t="inlineStr">
        <is>
          <t>PAK</t>
        </is>
      </c>
      <c r="HC154" t="inlineStr">
        <is>
          <t>PAK</t>
        </is>
      </c>
      <c r="HD154" t="inlineStr">
        <is>
          <t>PAK</t>
        </is>
      </c>
      <c r="HE154" t="inlineStr">
        <is>
          <t>PAK</t>
        </is>
      </c>
      <c r="HF154" t="inlineStr">
        <is>
          <t>CHN</t>
        </is>
      </c>
      <c r="HG154" t="inlineStr">
        <is>
          <t>CHN</t>
        </is>
      </c>
      <c r="HH154" t="inlineStr">
        <is>
          <t>CHN</t>
        </is>
      </c>
      <c r="HI154" t="inlineStr">
        <is>
          <t>CHN</t>
        </is>
      </c>
      <c r="HJ154" t="inlineStr">
        <is>
          <t>CHN</t>
        </is>
      </c>
      <c r="HK154" t="inlineStr">
        <is>
          <t>CHN</t>
        </is>
      </c>
      <c r="HL154" t="inlineStr">
        <is>
          <t>CHN</t>
        </is>
      </c>
      <c r="HM154" t="inlineStr">
        <is>
          <t>CHN</t>
        </is>
      </c>
      <c r="HN154" t="inlineStr">
        <is>
          <t>CHN</t>
        </is>
      </c>
      <c r="HO154" t="inlineStr">
        <is>
          <t>CHN</t>
        </is>
      </c>
      <c r="HP154" t="inlineStr">
        <is>
          <t>CHN</t>
        </is>
      </c>
      <c r="HQ154" t="inlineStr">
        <is>
          <t>CHN</t>
        </is>
      </c>
      <c r="HR154" t="inlineStr">
        <is>
          <t>CHN</t>
        </is>
      </c>
      <c r="HS154" t="inlineStr">
        <is>
          <t>CHN</t>
        </is>
      </c>
      <c r="HT154" t="inlineStr">
        <is>
          <t>CHN</t>
        </is>
      </c>
      <c r="HU154" t="inlineStr">
        <is>
          <t>CHN</t>
        </is>
      </c>
      <c r="HV154" t="inlineStr">
        <is>
          <t>CHN</t>
        </is>
      </c>
      <c r="HW154" t="inlineStr">
        <is>
          <t>CHN</t>
        </is>
      </c>
      <c r="HX154" t="inlineStr">
        <is>
          <t>CHN</t>
        </is>
      </c>
      <c r="HY154" t="inlineStr">
        <is>
          <t>CHN</t>
        </is>
      </c>
      <c r="HZ154" t="inlineStr">
        <is>
          <t>CHN</t>
        </is>
      </c>
      <c r="IA154" t="inlineStr">
        <is>
          <t>CHN</t>
        </is>
      </c>
      <c r="IB154" t="inlineStr">
        <is>
          <t>CHN</t>
        </is>
      </c>
      <c r="IC154" t="inlineStr">
        <is>
          <t>CHN</t>
        </is>
      </c>
      <c r="ID154" t="inlineStr">
        <is>
          <t>CHN</t>
        </is>
      </c>
      <c r="IE154" t="inlineStr">
        <is>
          <t>CHN</t>
        </is>
      </c>
      <c r="IF154" t="inlineStr">
        <is>
          <t>CHN</t>
        </is>
      </c>
      <c r="IG154" t="inlineStr">
        <is>
          <t>CHN</t>
        </is>
      </c>
      <c r="IH154" t="inlineStr">
        <is>
          <t>CHN</t>
        </is>
      </c>
      <c r="II154" t="inlineStr">
        <is>
          <t>CHN</t>
        </is>
      </c>
      <c r="IJ154" t="inlineStr">
        <is>
          <t>CHN</t>
        </is>
      </c>
      <c r="IK154" t="inlineStr">
        <is>
          <t>CHN</t>
        </is>
      </c>
      <c r="IL154" t="inlineStr">
        <is>
          <t>CHN</t>
        </is>
      </c>
      <c r="IM154" t="inlineStr">
        <is>
          <t>CHN</t>
        </is>
      </c>
      <c r="IN154" t="inlineStr">
        <is>
          <t>CHN</t>
        </is>
      </c>
      <c r="IO154" t="inlineStr">
        <is>
          <t>CHN</t>
        </is>
      </c>
      <c r="IP154" t="inlineStr">
        <is>
          <t>CHN</t>
        </is>
      </c>
      <c r="IQ154" t="inlineStr">
        <is>
          <t>CHN</t>
        </is>
      </c>
      <c r="IR154" t="inlineStr">
        <is>
          <t>CHN</t>
        </is>
      </c>
      <c r="IS154" t="inlineStr">
        <is>
          <t>CHN</t>
        </is>
      </c>
      <c r="IT154" t="inlineStr">
        <is>
          <t>CHN</t>
        </is>
      </c>
      <c r="IU154" t="inlineStr">
        <is>
          <t>CHN</t>
        </is>
      </c>
      <c r="IV154" t="inlineStr">
        <is>
          <t>CHN</t>
        </is>
      </c>
      <c r="IW154" t="inlineStr">
        <is>
          <t>CHN</t>
        </is>
      </c>
      <c r="IX154" t="inlineStr">
        <is>
          <t>CHN</t>
        </is>
      </c>
      <c r="IY154" t="inlineStr">
        <is>
          <t>CHN</t>
        </is>
      </c>
      <c r="IZ154" t="inlineStr">
        <is>
          <t>CHN</t>
        </is>
      </c>
      <c r="JA154" t="inlineStr">
        <is>
          <t>CHN</t>
        </is>
      </c>
      <c r="JB154" t="inlineStr">
        <is>
          <t>CHN</t>
        </is>
      </c>
      <c r="JC154" t="inlineStr">
        <is>
          <t>CHN</t>
        </is>
      </c>
      <c r="JD154" t="inlineStr">
        <is>
          <t>CHN</t>
        </is>
      </c>
      <c r="JE154" t="inlineStr">
        <is>
          <t>CHN</t>
        </is>
      </c>
      <c r="JF154" t="inlineStr">
        <is>
          <t>CHN</t>
        </is>
      </c>
      <c r="JG154" t="inlineStr">
        <is>
          <t>CHN</t>
        </is>
      </c>
      <c r="JH154" t="inlineStr">
        <is>
          <t>CHN</t>
        </is>
      </c>
      <c r="JI154" t="inlineStr">
        <is>
          <t>CHN</t>
        </is>
      </c>
      <c r="JJ154" t="inlineStr">
        <is>
          <t>CHN</t>
        </is>
      </c>
      <c r="JK154" t="inlineStr">
        <is>
          <t>CHN</t>
        </is>
      </c>
      <c r="JL154" t="inlineStr">
        <is>
          <t>CHN</t>
        </is>
      </c>
      <c r="JM154" t="inlineStr">
        <is>
          <t>CHN</t>
        </is>
      </c>
      <c r="JN154" t="inlineStr">
        <is>
          <t>CHN</t>
        </is>
      </c>
      <c r="JO154" t="inlineStr">
        <is>
          <t>CHN</t>
        </is>
      </c>
      <c r="JP154" t="inlineStr">
        <is>
          <t>CHN</t>
        </is>
      </c>
      <c r="JQ154" t="inlineStr">
        <is>
          <t>CHN</t>
        </is>
      </c>
      <c r="JR154" t="inlineStr">
        <is>
          <t>CHN</t>
        </is>
      </c>
      <c r="JS154" t="inlineStr">
        <is>
          <t>CHN</t>
        </is>
      </c>
      <c r="JT154" t="inlineStr">
        <is>
          <t>CHN</t>
        </is>
      </c>
      <c r="JU154" t="inlineStr">
        <is>
          <t>CHN</t>
        </is>
      </c>
    </row>
    <row r="155">
      <c r="AW155" t="inlineStr">
        <is>
          <t>ESP</t>
        </is>
      </c>
      <c r="AX155" t="inlineStr">
        <is>
          <t>ESP</t>
        </is>
      </c>
      <c r="AY155" t="inlineStr">
        <is>
          <t>ESP</t>
        </is>
      </c>
      <c r="AZ155" t="inlineStr">
        <is>
          <t>ESP</t>
        </is>
      </c>
      <c r="BA155" t="inlineStr">
        <is>
          <t>ESP</t>
        </is>
      </c>
      <c r="BB155" t="inlineStr">
        <is>
          <t>ESP</t>
        </is>
      </c>
      <c r="BC155" t="inlineStr">
        <is>
          <t>ESP</t>
        </is>
      </c>
      <c r="BD155" t="inlineStr">
        <is>
          <t>ESP</t>
        </is>
      </c>
      <c r="BE155" t="inlineStr">
        <is>
          <t>ESP</t>
        </is>
      </c>
      <c r="BP155" t="inlineStr">
        <is>
          <t>DZA</t>
        </is>
      </c>
      <c r="BQ155" t="inlineStr">
        <is>
          <t>DZA</t>
        </is>
      </c>
      <c r="BR155" t="inlineStr">
        <is>
          <t>DZA</t>
        </is>
      </c>
      <c r="BS155" t="inlineStr">
        <is>
          <t>DZA</t>
        </is>
      </c>
      <c r="BU155" t="inlineStr">
        <is>
          <t>DZA</t>
        </is>
      </c>
      <c r="BV155" t="inlineStr">
        <is>
          <t>DZA</t>
        </is>
      </c>
      <c r="BW155" t="inlineStr">
        <is>
          <t>DZA</t>
        </is>
      </c>
      <c r="BX155" t="inlineStr">
        <is>
          <t>DZA</t>
        </is>
      </c>
      <c r="BY155" t="inlineStr">
        <is>
          <t>DZA</t>
        </is>
      </c>
      <c r="BZ155" t="inlineStr">
        <is>
          <t>DZA</t>
        </is>
      </c>
      <c r="CA155" t="inlineStr">
        <is>
          <t>TUN</t>
        </is>
      </c>
      <c r="CB155" t="inlineStr">
        <is>
          <t>TUN</t>
        </is>
      </c>
      <c r="CC155" t="inlineStr">
        <is>
          <t>TUN</t>
        </is>
      </c>
      <c r="CD155" t="inlineStr">
        <is>
          <t>TUN</t>
        </is>
      </c>
      <c r="CE155" t="inlineStr">
        <is>
          <t>TUN</t>
        </is>
      </c>
      <c r="DB155" t="inlineStr">
        <is>
          <t>GRC</t>
        </is>
      </c>
      <c r="DC155" t="inlineStr">
        <is>
          <t>GRC</t>
        </is>
      </c>
      <c r="DM155" t="inlineStr">
        <is>
          <t>TUR</t>
        </is>
      </c>
      <c r="DN155" t="inlineStr">
        <is>
          <t>TUR</t>
        </is>
      </c>
      <c r="DO155" t="inlineStr">
        <is>
          <t>TUR</t>
        </is>
      </c>
      <c r="DP155" t="inlineStr">
        <is>
          <t>TUR</t>
        </is>
      </c>
      <c r="DQ155" t="inlineStr">
        <is>
          <t>TUR</t>
        </is>
      </c>
      <c r="DR155" t="inlineStr">
        <is>
          <t>TUR</t>
        </is>
      </c>
      <c r="DS155" t="inlineStr">
        <is>
          <t>TUR</t>
        </is>
      </c>
      <c r="DT155" t="inlineStr">
        <is>
          <t>TUR</t>
        </is>
      </c>
      <c r="DU155" t="inlineStr">
        <is>
          <t>TUR</t>
        </is>
      </c>
      <c r="DV155" t="inlineStr">
        <is>
          <t>TUR</t>
        </is>
      </c>
      <c r="DW155" t="inlineStr">
        <is>
          <t>TUR</t>
        </is>
      </c>
      <c r="DX155" t="inlineStr">
        <is>
          <t>TUR</t>
        </is>
      </c>
      <c r="DY155" t="inlineStr">
        <is>
          <t>TUR</t>
        </is>
      </c>
      <c r="DZ155" t="inlineStr">
        <is>
          <t>TUR</t>
        </is>
      </c>
      <c r="EB155" t="inlineStr">
        <is>
          <t>TUR</t>
        </is>
      </c>
      <c r="EC155" t="inlineStr">
        <is>
          <t>TUR</t>
        </is>
      </c>
      <c r="ED155" t="inlineStr">
        <is>
          <t>TUR</t>
        </is>
      </c>
      <c r="EE155" t="inlineStr">
        <is>
          <t>SYR</t>
        </is>
      </c>
      <c r="EF155" t="inlineStr">
        <is>
          <t>TUR</t>
        </is>
      </c>
      <c r="EG155" t="inlineStr">
        <is>
          <t>SYR</t>
        </is>
      </c>
      <c r="EH155" t="inlineStr">
        <is>
          <t>SYR</t>
        </is>
      </c>
      <c r="EI155" t="inlineStr">
        <is>
          <t>TUR</t>
        </is>
      </c>
      <c r="EJ155" t="inlineStr">
        <is>
          <t>TUR</t>
        </is>
      </c>
      <c r="EK155" t="inlineStr">
        <is>
          <t>SYR</t>
        </is>
      </c>
      <c r="EL155" t="inlineStr">
        <is>
          <t>SYR</t>
        </is>
      </c>
      <c r="EM155" t="inlineStr">
        <is>
          <t>SYR</t>
        </is>
      </c>
      <c r="EN155" t="inlineStr">
        <is>
          <t>SYR</t>
        </is>
      </c>
      <c r="EO155" t="inlineStr">
        <is>
          <t>SYR</t>
        </is>
      </c>
      <c r="EP155" t="inlineStr">
        <is>
          <t>IRQ</t>
        </is>
      </c>
      <c r="EQ155" t="inlineStr">
        <is>
          <t>IRQ</t>
        </is>
      </c>
      <c r="ER155" t="inlineStr">
        <is>
          <t>IRQ</t>
        </is>
      </c>
      <c r="ES155" t="inlineStr">
        <is>
          <t>IRQ</t>
        </is>
      </c>
      <c r="ET155" t="inlineStr">
        <is>
          <t>IRQ</t>
        </is>
      </c>
      <c r="EU155" t="inlineStr">
        <is>
          <t>IRQ</t>
        </is>
      </c>
      <c r="EV155" t="inlineStr">
        <is>
          <t>IRN</t>
        </is>
      </c>
      <c r="EW155" t="inlineStr">
        <is>
          <t>IRN</t>
        </is>
      </c>
      <c r="EX155" t="inlineStr">
        <is>
          <t>IRN</t>
        </is>
      </c>
      <c r="EY155" t="inlineStr">
        <is>
          <t>IRN</t>
        </is>
      </c>
      <c r="EZ155" t="inlineStr">
        <is>
          <t>IRN</t>
        </is>
      </c>
      <c r="FA155" t="inlineStr">
        <is>
          <t>IRN</t>
        </is>
      </c>
      <c r="FB155" t="inlineStr">
        <is>
          <t>IRN</t>
        </is>
      </c>
      <c r="FC155" t="inlineStr">
        <is>
          <t>IRN</t>
        </is>
      </c>
      <c r="FD155" t="inlineStr">
        <is>
          <t>IRN</t>
        </is>
      </c>
      <c r="FE155" t="inlineStr">
        <is>
          <t>IRN</t>
        </is>
      </c>
      <c r="FF155" t="inlineStr">
        <is>
          <t>IRN</t>
        </is>
      </c>
      <c r="FG155" t="inlineStr">
        <is>
          <t>IRN</t>
        </is>
      </c>
      <c r="FH155" t="inlineStr">
        <is>
          <t>IRN</t>
        </is>
      </c>
      <c r="FI155" t="inlineStr">
        <is>
          <t>IRN</t>
        </is>
      </c>
      <c r="FK155" t="inlineStr">
        <is>
          <t>IRN</t>
        </is>
      </c>
      <c r="FL155" t="inlineStr">
        <is>
          <t>IRN</t>
        </is>
      </c>
      <c r="FM155" t="inlineStr">
        <is>
          <t>IRN</t>
        </is>
      </c>
      <c r="FN155" t="inlineStr">
        <is>
          <t>IRN</t>
        </is>
      </c>
      <c r="FO155" t="inlineStr">
        <is>
          <t>IRN</t>
        </is>
      </c>
      <c r="FP155" t="inlineStr">
        <is>
          <t>IRN</t>
        </is>
      </c>
      <c r="FQ155" t="inlineStr">
        <is>
          <t>IRN</t>
        </is>
      </c>
      <c r="FR155" t="inlineStr">
        <is>
          <t>IRN</t>
        </is>
      </c>
      <c r="FS155" t="inlineStr">
        <is>
          <t>IRN</t>
        </is>
      </c>
      <c r="FT155" t="inlineStr">
        <is>
          <t>IRN</t>
        </is>
      </c>
      <c r="FU155" t="inlineStr">
        <is>
          <t>IRN</t>
        </is>
      </c>
      <c r="FV155" t="inlineStr">
        <is>
          <t>IRN</t>
        </is>
      </c>
      <c r="FW155" t="inlineStr">
        <is>
          <t>IRN</t>
        </is>
      </c>
      <c r="FX155" t="inlineStr">
        <is>
          <t>IRN</t>
        </is>
      </c>
      <c r="FY155" t="inlineStr">
        <is>
          <t>IRN</t>
        </is>
      </c>
      <c r="FZ155" t="inlineStr">
        <is>
          <t>TKM</t>
        </is>
      </c>
      <c r="GA155" t="inlineStr">
        <is>
          <t>TKM</t>
        </is>
      </c>
      <c r="GB155" t="inlineStr">
        <is>
          <t>TKM</t>
        </is>
      </c>
      <c r="GC155" t="inlineStr">
        <is>
          <t>TKM</t>
        </is>
      </c>
      <c r="GD155" t="inlineStr">
        <is>
          <t>TKM</t>
        </is>
      </c>
      <c r="GE155" t="inlineStr">
        <is>
          <t>TKM</t>
        </is>
      </c>
      <c r="GF155" t="inlineStr">
        <is>
          <t>TKM</t>
        </is>
      </c>
      <c r="GG155" t="inlineStr">
        <is>
          <t>TKM</t>
        </is>
      </c>
      <c r="GH155" t="inlineStr">
        <is>
          <t>TKM</t>
        </is>
      </c>
      <c r="GI155" t="inlineStr">
        <is>
          <t>AFG</t>
        </is>
      </c>
      <c r="GJ155" t="inlineStr">
        <is>
          <t>AFG</t>
        </is>
      </c>
      <c r="GK155" t="inlineStr">
        <is>
          <t>AFG</t>
        </is>
      </c>
      <c r="GL155" t="inlineStr">
        <is>
          <t>AFG</t>
        </is>
      </c>
      <c r="GM155" t="inlineStr">
        <is>
          <t>AFG</t>
        </is>
      </c>
      <c r="GN155" t="inlineStr">
        <is>
          <t>AFG</t>
        </is>
      </c>
      <c r="GO155" t="inlineStr">
        <is>
          <t>AFG</t>
        </is>
      </c>
      <c r="GP155" t="inlineStr">
        <is>
          <t>AFG</t>
        </is>
      </c>
      <c r="GQ155" t="inlineStr">
        <is>
          <t>AFG</t>
        </is>
      </c>
      <c r="GR155" t="inlineStr">
        <is>
          <t>AFG</t>
        </is>
      </c>
      <c r="GS155" t="inlineStr">
        <is>
          <t>AFG</t>
        </is>
      </c>
      <c r="GT155" t="inlineStr">
        <is>
          <t>AFG</t>
        </is>
      </c>
      <c r="GU155" t="inlineStr">
        <is>
          <t>AFG</t>
        </is>
      </c>
      <c r="GV155" t="inlineStr">
        <is>
          <t>AFG</t>
        </is>
      </c>
      <c r="GW155" t="inlineStr">
        <is>
          <t>AFG</t>
        </is>
      </c>
      <c r="GX155" t="inlineStr">
        <is>
          <t>AFG</t>
        </is>
      </c>
      <c r="GY155" t="inlineStr">
        <is>
          <t>AFG</t>
        </is>
      </c>
      <c r="GZ155" t="inlineStr">
        <is>
          <t>PAK</t>
        </is>
      </c>
      <c r="HA155" t="inlineStr">
        <is>
          <t>PAK</t>
        </is>
      </c>
      <c r="HB155" t="inlineStr">
        <is>
          <t>PAK</t>
        </is>
      </c>
      <c r="HC155" t="inlineStr">
        <is>
          <t>PAK</t>
        </is>
      </c>
      <c r="HD155" t="inlineStr">
        <is>
          <t>PAK</t>
        </is>
      </c>
      <c r="HE155" t="inlineStr">
        <is>
          <t>PAK</t>
        </is>
      </c>
      <c r="HF155" t="inlineStr">
        <is>
          <t>CHN</t>
        </is>
      </c>
      <c r="HG155" t="inlineStr">
        <is>
          <t>CHN</t>
        </is>
      </c>
      <c r="HH155" t="inlineStr">
        <is>
          <t>CHN</t>
        </is>
      </c>
      <c r="HI155" t="inlineStr">
        <is>
          <t>CHN</t>
        </is>
      </c>
      <c r="HJ155" t="inlineStr">
        <is>
          <t>CHN</t>
        </is>
      </c>
      <c r="HK155" t="inlineStr">
        <is>
          <t>CHN</t>
        </is>
      </c>
      <c r="HL155" t="inlineStr">
        <is>
          <t>CHN</t>
        </is>
      </c>
      <c r="HM155" t="inlineStr">
        <is>
          <t>CHN</t>
        </is>
      </c>
      <c r="HN155" t="inlineStr">
        <is>
          <t>CHN</t>
        </is>
      </c>
      <c r="HO155" t="inlineStr">
        <is>
          <t>CHN</t>
        </is>
      </c>
      <c r="HP155" t="inlineStr">
        <is>
          <t>CHN</t>
        </is>
      </c>
      <c r="HQ155" t="inlineStr">
        <is>
          <t>CHN</t>
        </is>
      </c>
      <c r="HR155" t="inlineStr">
        <is>
          <t>CHN</t>
        </is>
      </c>
      <c r="HS155" t="inlineStr">
        <is>
          <t>CHN</t>
        </is>
      </c>
      <c r="HT155" t="inlineStr">
        <is>
          <t>CHN</t>
        </is>
      </c>
      <c r="HU155" t="inlineStr">
        <is>
          <t>CHN</t>
        </is>
      </c>
      <c r="HV155" t="inlineStr">
        <is>
          <t>CHN</t>
        </is>
      </c>
      <c r="HW155" t="inlineStr">
        <is>
          <t>CHN</t>
        </is>
      </c>
      <c r="HX155" t="inlineStr">
        <is>
          <t>CHN</t>
        </is>
      </c>
      <c r="HY155" t="inlineStr">
        <is>
          <t>CHN</t>
        </is>
      </c>
      <c r="HZ155" t="inlineStr">
        <is>
          <t>CHN</t>
        </is>
      </c>
      <c r="IA155" t="inlineStr">
        <is>
          <t>CHN</t>
        </is>
      </c>
      <c r="IB155" t="inlineStr">
        <is>
          <t>CHN</t>
        </is>
      </c>
      <c r="IC155" t="inlineStr">
        <is>
          <t>CHN</t>
        </is>
      </c>
      <c r="ID155" t="inlineStr">
        <is>
          <t>CHN</t>
        </is>
      </c>
      <c r="IE155" t="inlineStr">
        <is>
          <t>CHN</t>
        </is>
      </c>
      <c r="IF155" t="inlineStr">
        <is>
          <t>CHN</t>
        </is>
      </c>
      <c r="IG155" t="inlineStr">
        <is>
          <t>CHN</t>
        </is>
      </c>
      <c r="IH155" t="inlineStr">
        <is>
          <t>CHN</t>
        </is>
      </c>
      <c r="II155" t="inlineStr">
        <is>
          <t>CHN</t>
        </is>
      </c>
      <c r="IJ155" t="inlineStr">
        <is>
          <t>CHN</t>
        </is>
      </c>
      <c r="IK155" t="inlineStr">
        <is>
          <t>CHN</t>
        </is>
      </c>
      <c r="IL155" t="inlineStr">
        <is>
          <t>CHN</t>
        </is>
      </c>
      <c r="IM155" t="inlineStr">
        <is>
          <t>CHN</t>
        </is>
      </c>
      <c r="IN155" t="inlineStr">
        <is>
          <t>CHN</t>
        </is>
      </c>
      <c r="IO155" t="inlineStr">
        <is>
          <t>CHN</t>
        </is>
      </c>
      <c r="IP155" t="inlineStr">
        <is>
          <t>CHN</t>
        </is>
      </c>
      <c r="IQ155" t="inlineStr">
        <is>
          <t>CHN</t>
        </is>
      </c>
      <c r="IR155" t="inlineStr">
        <is>
          <t>CHN</t>
        </is>
      </c>
      <c r="IS155" t="inlineStr">
        <is>
          <t>CHN</t>
        </is>
      </c>
      <c r="IT155" t="inlineStr">
        <is>
          <t>CHN</t>
        </is>
      </c>
      <c r="IU155" t="inlineStr">
        <is>
          <t>CHN</t>
        </is>
      </c>
      <c r="IV155" t="inlineStr">
        <is>
          <t>CHN</t>
        </is>
      </c>
      <c r="IW155" t="inlineStr">
        <is>
          <t>CHN</t>
        </is>
      </c>
      <c r="IX155" t="inlineStr">
        <is>
          <t>CHN</t>
        </is>
      </c>
      <c r="IY155" t="inlineStr">
        <is>
          <t>CHN</t>
        </is>
      </c>
      <c r="IZ155" t="inlineStr">
        <is>
          <t>CHN</t>
        </is>
      </c>
      <c r="JA155" t="inlineStr">
        <is>
          <t>CHN</t>
        </is>
      </c>
      <c r="JB155" t="inlineStr">
        <is>
          <t>CHN</t>
        </is>
      </c>
      <c r="JC155" t="inlineStr">
        <is>
          <t>CHN</t>
        </is>
      </c>
      <c r="JD155" t="inlineStr">
        <is>
          <t>CHN</t>
        </is>
      </c>
      <c r="JE155" t="inlineStr">
        <is>
          <t>CHN</t>
        </is>
      </c>
      <c r="JF155" t="inlineStr">
        <is>
          <t>CHN</t>
        </is>
      </c>
      <c r="JG155" t="inlineStr">
        <is>
          <t>CHN</t>
        </is>
      </c>
      <c r="JH155" t="inlineStr">
        <is>
          <t>CHN</t>
        </is>
      </c>
      <c r="JI155" t="inlineStr">
        <is>
          <t>CHN</t>
        </is>
      </c>
      <c r="JJ155" t="inlineStr">
        <is>
          <t>CHN</t>
        </is>
      </c>
      <c r="JK155" t="inlineStr">
        <is>
          <t>CHN</t>
        </is>
      </c>
      <c r="JL155" t="inlineStr">
        <is>
          <t>CHN</t>
        </is>
      </c>
      <c r="JM155" t="inlineStr">
        <is>
          <t>CHN</t>
        </is>
      </c>
      <c r="JN155" t="inlineStr">
        <is>
          <t>CHN</t>
        </is>
      </c>
      <c r="JO155" t="inlineStr">
        <is>
          <t>CHN</t>
        </is>
      </c>
      <c r="JP155" t="inlineStr">
        <is>
          <t>CHN</t>
        </is>
      </c>
      <c r="JQ155" t="inlineStr">
        <is>
          <t>CHN</t>
        </is>
      </c>
      <c r="JR155" t="inlineStr">
        <is>
          <t>CHN</t>
        </is>
      </c>
      <c r="JS155" t="inlineStr">
        <is>
          <t>CHN</t>
        </is>
      </c>
      <c r="JT155" t="inlineStr">
        <is>
          <t>CHN</t>
        </is>
      </c>
      <c r="JU155" t="inlineStr">
        <is>
          <t>CHN</t>
        </is>
      </c>
    </row>
    <row r="156">
      <c r="AR156" t="inlineStr">
        <is>
          <t>PRT</t>
        </is>
      </c>
      <c r="AS156" t="inlineStr">
        <is>
          <t>PRT</t>
        </is>
      </c>
      <c r="AT156" t="inlineStr">
        <is>
          <t>PRT</t>
        </is>
      </c>
      <c r="AU156" t="inlineStr">
        <is>
          <t>ESP</t>
        </is>
      </c>
      <c r="AV156" t="inlineStr">
        <is>
          <t>ESP</t>
        </is>
      </c>
      <c r="AW156" t="inlineStr">
        <is>
          <t>ESP</t>
        </is>
      </c>
      <c r="AX156" t="inlineStr">
        <is>
          <t>ESP</t>
        </is>
      </c>
      <c r="AY156" t="inlineStr">
        <is>
          <t>ESP</t>
        </is>
      </c>
      <c r="AZ156" t="inlineStr">
        <is>
          <t>ESP</t>
        </is>
      </c>
      <c r="BA156" t="inlineStr">
        <is>
          <t>ESP</t>
        </is>
      </c>
      <c r="BB156" t="inlineStr">
        <is>
          <t>ESP</t>
        </is>
      </c>
      <c r="BC156" t="inlineStr">
        <is>
          <t>ESP</t>
        </is>
      </c>
      <c r="BD156" t="inlineStr">
        <is>
          <t>ESP</t>
        </is>
      </c>
      <c r="BE156" t="inlineStr">
        <is>
          <t>ESP</t>
        </is>
      </c>
      <c r="BF156" t="inlineStr">
        <is>
          <t>ESP</t>
        </is>
      </c>
      <c r="CB156" t="inlineStr">
        <is>
          <t>TUN</t>
        </is>
      </c>
      <c r="CC156" t="inlineStr">
        <is>
          <t>TUN</t>
        </is>
      </c>
      <c r="CK156" t="inlineStr">
        <is>
          <t>ITA</t>
        </is>
      </c>
      <c r="CL156" t="inlineStr">
        <is>
          <t>ITA</t>
        </is>
      </c>
      <c r="CM156" t="inlineStr">
        <is>
          <t>ITA</t>
        </is>
      </c>
      <c r="CN156" t="inlineStr">
        <is>
          <t>ITA</t>
        </is>
      </c>
      <c r="DA156" t="inlineStr">
        <is>
          <t>GRC</t>
        </is>
      </c>
      <c r="DB156" t="inlineStr">
        <is>
          <t>GRC</t>
        </is>
      </c>
      <c r="DC156" t="inlineStr">
        <is>
          <t>GRC</t>
        </is>
      </c>
      <c r="DM156" t="inlineStr">
        <is>
          <t>TUR</t>
        </is>
      </c>
      <c r="DN156" t="inlineStr">
        <is>
          <t>TUR</t>
        </is>
      </c>
      <c r="DO156" t="inlineStr">
        <is>
          <t>TUR</t>
        </is>
      </c>
      <c r="DP156" t="inlineStr">
        <is>
          <t>TUR</t>
        </is>
      </c>
      <c r="DQ156" t="inlineStr">
        <is>
          <t>TUR</t>
        </is>
      </c>
      <c r="DR156" t="inlineStr">
        <is>
          <t>TUR</t>
        </is>
      </c>
      <c r="DS156" t="inlineStr">
        <is>
          <t>TUR</t>
        </is>
      </c>
      <c r="DT156" t="inlineStr">
        <is>
          <t>TUR</t>
        </is>
      </c>
      <c r="DU156" t="inlineStr">
        <is>
          <t>TUR</t>
        </is>
      </c>
      <c r="DV156" t="inlineStr">
        <is>
          <t>TUR</t>
        </is>
      </c>
      <c r="DW156" t="inlineStr">
        <is>
          <t>TUR</t>
        </is>
      </c>
      <c r="DX156" t="inlineStr">
        <is>
          <t>TUR</t>
        </is>
      </c>
      <c r="DY156" t="inlineStr">
        <is>
          <t>TUR</t>
        </is>
      </c>
      <c r="DZ156" t="inlineStr">
        <is>
          <t>TUR</t>
        </is>
      </c>
      <c r="EA156" t="inlineStr">
        <is>
          <t>TUR</t>
        </is>
      </c>
      <c r="EB156" t="inlineStr">
        <is>
          <t>TUR</t>
        </is>
      </c>
      <c r="EC156" t="inlineStr">
        <is>
          <t>TUR</t>
        </is>
      </c>
      <c r="ED156" t="inlineStr">
        <is>
          <t>TUR</t>
        </is>
      </c>
      <c r="EE156" t="inlineStr">
        <is>
          <t>TUR</t>
        </is>
      </c>
      <c r="EF156" t="inlineStr">
        <is>
          <t>TUR</t>
        </is>
      </c>
      <c r="EG156" t="inlineStr">
        <is>
          <t>TUR</t>
        </is>
      </c>
      <c r="EH156" t="inlineStr">
        <is>
          <t>TUR</t>
        </is>
      </c>
      <c r="EI156" t="inlineStr">
        <is>
          <t>TUR</t>
        </is>
      </c>
      <c r="EJ156" t="inlineStr">
        <is>
          <t>TUR</t>
        </is>
      </c>
      <c r="EK156" t="inlineStr">
        <is>
          <t>TUR</t>
        </is>
      </c>
      <c r="EL156" t="inlineStr">
        <is>
          <t>TUR</t>
        </is>
      </c>
      <c r="EM156" t="inlineStr">
        <is>
          <t>TUR</t>
        </is>
      </c>
      <c r="EN156" t="inlineStr">
        <is>
          <t>TUR</t>
        </is>
      </c>
      <c r="EO156" t="inlineStr">
        <is>
          <t>TUR</t>
        </is>
      </c>
      <c r="EP156" t="inlineStr">
        <is>
          <t>TUR</t>
        </is>
      </c>
      <c r="EQ156" t="inlineStr">
        <is>
          <t>IRQ</t>
        </is>
      </c>
      <c r="ER156" t="inlineStr">
        <is>
          <t>IRQ</t>
        </is>
      </c>
      <c r="ES156" t="inlineStr">
        <is>
          <t>IRQ</t>
        </is>
      </c>
      <c r="ET156" t="inlineStr">
        <is>
          <t>TUR</t>
        </is>
      </c>
      <c r="EU156" t="inlineStr">
        <is>
          <t>IRN</t>
        </is>
      </c>
      <c r="EV156" t="inlineStr">
        <is>
          <t>IRN</t>
        </is>
      </c>
      <c r="EW156" t="inlineStr">
        <is>
          <t>IRN</t>
        </is>
      </c>
      <c r="EX156" t="inlineStr">
        <is>
          <t>IRN</t>
        </is>
      </c>
      <c r="EY156" t="inlineStr">
        <is>
          <t>IRN</t>
        </is>
      </c>
      <c r="EZ156" t="inlineStr">
        <is>
          <t>IRN</t>
        </is>
      </c>
      <c r="FA156" t="inlineStr">
        <is>
          <t>IRN</t>
        </is>
      </c>
      <c r="FB156" t="inlineStr">
        <is>
          <t>IRN</t>
        </is>
      </c>
      <c r="FC156" t="inlineStr">
        <is>
          <t>IRN</t>
        </is>
      </c>
      <c r="FD156" t="inlineStr">
        <is>
          <t>IRN</t>
        </is>
      </c>
      <c r="FE156" t="inlineStr">
        <is>
          <t>IRN</t>
        </is>
      </c>
      <c r="FF156" t="inlineStr">
        <is>
          <t>IRN</t>
        </is>
      </c>
      <c r="FN156" t="inlineStr">
        <is>
          <t>IRN</t>
        </is>
      </c>
      <c r="FO156" t="inlineStr">
        <is>
          <t>IRN</t>
        </is>
      </c>
      <c r="FP156" t="inlineStr">
        <is>
          <t>IRN</t>
        </is>
      </c>
      <c r="FQ156" t="inlineStr">
        <is>
          <t>IRN</t>
        </is>
      </c>
      <c r="FR156" t="inlineStr">
        <is>
          <t>IRN</t>
        </is>
      </c>
      <c r="FS156" t="inlineStr">
        <is>
          <t>IRN</t>
        </is>
      </c>
      <c r="FT156" t="inlineStr">
        <is>
          <t>IRN</t>
        </is>
      </c>
      <c r="FU156" t="inlineStr">
        <is>
          <t>IRN</t>
        </is>
      </c>
      <c r="FV156" t="inlineStr">
        <is>
          <t>IRN</t>
        </is>
      </c>
      <c r="FW156" t="inlineStr">
        <is>
          <t>IRN</t>
        </is>
      </c>
      <c r="FX156" t="inlineStr">
        <is>
          <t>IRN</t>
        </is>
      </c>
      <c r="FY156" t="inlineStr">
        <is>
          <t>TKM</t>
        </is>
      </c>
      <c r="FZ156" t="inlineStr">
        <is>
          <t>TKM</t>
        </is>
      </c>
      <c r="GA156" t="inlineStr">
        <is>
          <t>TKM</t>
        </is>
      </c>
      <c r="GB156" t="inlineStr">
        <is>
          <t>TKM</t>
        </is>
      </c>
      <c r="GC156" t="inlineStr">
        <is>
          <t>TKM</t>
        </is>
      </c>
      <c r="GD156" t="inlineStr">
        <is>
          <t>TKM</t>
        </is>
      </c>
      <c r="GE156" t="inlineStr">
        <is>
          <t>TKM</t>
        </is>
      </c>
      <c r="GF156" t="inlineStr">
        <is>
          <t>TKM</t>
        </is>
      </c>
      <c r="GG156" t="inlineStr">
        <is>
          <t>TKM</t>
        </is>
      </c>
      <c r="GH156" t="inlineStr">
        <is>
          <t>TKM</t>
        </is>
      </c>
      <c r="GI156" t="inlineStr">
        <is>
          <t>TKM</t>
        </is>
      </c>
      <c r="GJ156" t="inlineStr">
        <is>
          <t>TKM</t>
        </is>
      </c>
      <c r="GK156" t="inlineStr">
        <is>
          <t>AFG</t>
        </is>
      </c>
      <c r="GL156" t="inlineStr">
        <is>
          <t>AFG</t>
        </is>
      </c>
      <c r="GM156" t="inlineStr">
        <is>
          <t>AFG</t>
        </is>
      </c>
      <c r="GN156" t="inlineStr">
        <is>
          <t>AFG</t>
        </is>
      </c>
      <c r="GO156" t="inlineStr">
        <is>
          <t>UZB</t>
        </is>
      </c>
      <c r="GP156" t="inlineStr">
        <is>
          <t>TJK</t>
        </is>
      </c>
      <c r="GQ156" t="inlineStr">
        <is>
          <t>AFG</t>
        </is>
      </c>
      <c r="GR156" t="inlineStr">
        <is>
          <t>TJK</t>
        </is>
      </c>
      <c r="GS156" t="inlineStr">
        <is>
          <t>AFG</t>
        </is>
      </c>
      <c r="GT156" t="inlineStr">
        <is>
          <t>AFG</t>
        </is>
      </c>
      <c r="GU156" t="inlineStr">
        <is>
          <t>AFG</t>
        </is>
      </c>
      <c r="GV156" t="inlineStr">
        <is>
          <t>AFG</t>
        </is>
      </c>
      <c r="GW156" t="inlineStr">
        <is>
          <t>TJK</t>
        </is>
      </c>
      <c r="GX156" t="inlineStr">
        <is>
          <t>TJK</t>
        </is>
      </c>
      <c r="GY156" t="inlineStr">
        <is>
          <t>TJK</t>
        </is>
      </c>
      <c r="GZ156" t="inlineStr">
        <is>
          <t>AFG</t>
        </is>
      </c>
      <c r="HA156" t="inlineStr">
        <is>
          <t>AFG</t>
        </is>
      </c>
      <c r="HB156" t="inlineStr">
        <is>
          <t>AFG</t>
        </is>
      </c>
      <c r="HC156" t="inlineStr">
        <is>
          <t>AFG</t>
        </is>
      </c>
      <c r="HD156" t="inlineStr">
        <is>
          <t>CHN</t>
        </is>
      </c>
      <c r="HE156" t="inlineStr">
        <is>
          <t>CHN</t>
        </is>
      </c>
      <c r="HF156" t="inlineStr">
        <is>
          <t>CHN</t>
        </is>
      </c>
      <c r="HG156" t="inlineStr">
        <is>
          <t>CHN</t>
        </is>
      </c>
      <c r="HH156" t="inlineStr">
        <is>
          <t>CHN</t>
        </is>
      </c>
      <c r="HI156" t="inlineStr">
        <is>
          <t>CHN</t>
        </is>
      </c>
      <c r="HJ156" t="inlineStr">
        <is>
          <t>CHN</t>
        </is>
      </c>
      <c r="HK156" t="inlineStr">
        <is>
          <t>CHN</t>
        </is>
      </c>
      <c r="HL156" t="inlineStr">
        <is>
          <t>CHN</t>
        </is>
      </c>
      <c r="HM156" t="inlineStr">
        <is>
          <t>CHN</t>
        </is>
      </c>
      <c r="HN156" t="inlineStr">
        <is>
          <t>CHN</t>
        </is>
      </c>
      <c r="HO156" t="inlineStr">
        <is>
          <t>CHN</t>
        </is>
      </c>
      <c r="HP156" t="inlineStr">
        <is>
          <t>CHN</t>
        </is>
      </c>
      <c r="HQ156" t="inlineStr">
        <is>
          <t>CHN</t>
        </is>
      </c>
      <c r="HR156" t="inlineStr">
        <is>
          <t>CHN</t>
        </is>
      </c>
      <c r="HS156" t="inlineStr">
        <is>
          <t>CHN</t>
        </is>
      </c>
      <c r="HT156" t="inlineStr">
        <is>
          <t>CHN</t>
        </is>
      </c>
      <c r="HU156" t="inlineStr">
        <is>
          <t>CHN</t>
        </is>
      </c>
      <c r="HV156" t="inlineStr">
        <is>
          <t>CHN</t>
        </is>
      </c>
      <c r="HW156" t="inlineStr">
        <is>
          <t>CHN</t>
        </is>
      </c>
      <c r="HX156" t="inlineStr">
        <is>
          <t>CHN</t>
        </is>
      </c>
      <c r="HY156" t="inlineStr">
        <is>
          <t>CHN</t>
        </is>
      </c>
      <c r="HZ156" t="inlineStr">
        <is>
          <t>CHN</t>
        </is>
      </c>
      <c r="IA156" t="inlineStr">
        <is>
          <t>CHN</t>
        </is>
      </c>
      <c r="IB156" t="inlineStr">
        <is>
          <t>CHN</t>
        </is>
      </c>
      <c r="IC156" t="inlineStr">
        <is>
          <t>CHN</t>
        </is>
      </c>
      <c r="ID156" t="inlineStr">
        <is>
          <t>CHN</t>
        </is>
      </c>
      <c r="IE156" t="inlineStr">
        <is>
          <t>CHN</t>
        </is>
      </c>
      <c r="IF156" t="inlineStr">
        <is>
          <t>CHN</t>
        </is>
      </c>
      <c r="IG156" t="inlineStr">
        <is>
          <t>CHN</t>
        </is>
      </c>
      <c r="IH156" t="inlineStr">
        <is>
          <t>CHN</t>
        </is>
      </c>
      <c r="II156" t="inlineStr">
        <is>
          <t>CHN</t>
        </is>
      </c>
      <c r="IJ156" t="inlineStr">
        <is>
          <t>CHN</t>
        </is>
      </c>
      <c r="IK156" t="inlineStr">
        <is>
          <t>CHN</t>
        </is>
      </c>
      <c r="IL156" t="inlineStr">
        <is>
          <t>CHN</t>
        </is>
      </c>
      <c r="IM156" t="inlineStr">
        <is>
          <t>CHN</t>
        </is>
      </c>
      <c r="IN156" t="inlineStr">
        <is>
          <t>CHN</t>
        </is>
      </c>
      <c r="IO156" t="inlineStr">
        <is>
          <t>CHN</t>
        </is>
      </c>
      <c r="IP156" t="inlineStr">
        <is>
          <t>CHN</t>
        </is>
      </c>
      <c r="IQ156" t="inlineStr">
        <is>
          <t>CHN</t>
        </is>
      </c>
      <c r="IR156" t="inlineStr">
        <is>
          <t>CHN</t>
        </is>
      </c>
      <c r="IS156" t="inlineStr">
        <is>
          <t>CHN</t>
        </is>
      </c>
      <c r="IT156" t="inlineStr">
        <is>
          <t>CHN</t>
        </is>
      </c>
      <c r="IU156" t="inlineStr">
        <is>
          <t>CHN</t>
        </is>
      </c>
      <c r="IV156" t="inlineStr">
        <is>
          <t>CHN</t>
        </is>
      </c>
      <c r="IW156" t="inlineStr">
        <is>
          <t>CHN</t>
        </is>
      </c>
      <c r="IX156" t="inlineStr">
        <is>
          <t>CHN</t>
        </is>
      </c>
      <c r="IY156" t="inlineStr">
        <is>
          <t>CHN</t>
        </is>
      </c>
      <c r="IZ156" t="inlineStr">
        <is>
          <t>CHN</t>
        </is>
      </c>
      <c r="JA156" t="inlineStr">
        <is>
          <t>CHN</t>
        </is>
      </c>
      <c r="JB156" t="inlineStr">
        <is>
          <t>CHN</t>
        </is>
      </c>
      <c r="JC156" t="inlineStr">
        <is>
          <t>CHN</t>
        </is>
      </c>
      <c r="JD156" t="inlineStr">
        <is>
          <t>CHN</t>
        </is>
      </c>
      <c r="JE156" t="inlineStr">
        <is>
          <t>CHN</t>
        </is>
      </c>
      <c r="JF156" t="inlineStr">
        <is>
          <t>CHN</t>
        </is>
      </c>
      <c r="JG156" t="inlineStr">
        <is>
          <t>CHN</t>
        </is>
      </c>
      <c r="JH156" t="inlineStr">
        <is>
          <t>CHN</t>
        </is>
      </c>
      <c r="JI156" t="inlineStr">
        <is>
          <t>CHN</t>
        </is>
      </c>
      <c r="JJ156" t="inlineStr">
        <is>
          <t>CHN</t>
        </is>
      </c>
      <c r="JK156" t="inlineStr">
        <is>
          <t>CHN</t>
        </is>
      </c>
      <c r="JL156" t="inlineStr">
        <is>
          <t>CHN</t>
        </is>
      </c>
      <c r="JM156" t="inlineStr">
        <is>
          <t>CHN</t>
        </is>
      </c>
      <c r="JN156" t="inlineStr">
        <is>
          <t>CHN</t>
        </is>
      </c>
      <c r="JO156" t="inlineStr">
        <is>
          <t>CHN</t>
        </is>
      </c>
      <c r="JP156" t="inlineStr">
        <is>
          <t>CHN</t>
        </is>
      </c>
      <c r="JQ156" t="inlineStr">
        <is>
          <t>CHN</t>
        </is>
      </c>
      <c r="JR156" t="inlineStr">
        <is>
          <t>CHN</t>
        </is>
      </c>
      <c r="JS156" t="inlineStr">
        <is>
          <t>CHN</t>
        </is>
      </c>
      <c r="JT156" t="inlineStr">
        <is>
          <t>CHN</t>
        </is>
      </c>
      <c r="JU156" t="inlineStr">
        <is>
          <t>CHN</t>
        </is>
      </c>
    </row>
    <row r="157">
      <c r="AR157" t="inlineStr">
        <is>
          <t>PRT</t>
        </is>
      </c>
      <c r="AS157" t="inlineStr">
        <is>
          <t>PRT</t>
        </is>
      </c>
      <c r="AT157" t="inlineStr">
        <is>
          <t>PRT</t>
        </is>
      </c>
      <c r="AU157" t="inlineStr">
        <is>
          <t>PRT</t>
        </is>
      </c>
      <c r="AV157" t="inlineStr">
        <is>
          <t>ESP</t>
        </is>
      </c>
      <c r="AW157" t="inlineStr">
        <is>
          <t>ESP</t>
        </is>
      </c>
      <c r="AX157" t="inlineStr">
        <is>
          <t>ESP</t>
        </is>
      </c>
      <c r="AY157" t="inlineStr">
        <is>
          <t>ESP</t>
        </is>
      </c>
      <c r="AZ157" t="inlineStr">
        <is>
          <t>ESP</t>
        </is>
      </c>
      <c r="BA157" t="inlineStr">
        <is>
          <t>ESP</t>
        </is>
      </c>
      <c r="BB157" t="inlineStr">
        <is>
          <t>ESP</t>
        </is>
      </c>
      <c r="BC157" t="inlineStr">
        <is>
          <t>ESP</t>
        </is>
      </c>
      <c r="BD157" t="inlineStr">
        <is>
          <t>ESP</t>
        </is>
      </c>
      <c r="BE157" t="inlineStr">
        <is>
          <t>ESP</t>
        </is>
      </c>
      <c r="BF157" t="inlineStr">
        <is>
          <t>ESP</t>
        </is>
      </c>
      <c r="BG157" t="inlineStr">
        <is>
          <t>ESP</t>
        </is>
      </c>
      <c r="BH157" t="inlineStr">
        <is>
          <t>ESP</t>
        </is>
      </c>
      <c r="CI157" t="inlineStr">
        <is>
          <t>ITA</t>
        </is>
      </c>
      <c r="CJ157" t="inlineStr">
        <is>
          <t>ITA</t>
        </is>
      </c>
      <c r="CK157" t="inlineStr">
        <is>
          <t>ITA</t>
        </is>
      </c>
      <c r="CL157" t="inlineStr">
        <is>
          <t>ITA</t>
        </is>
      </c>
      <c r="CM157" t="inlineStr">
        <is>
          <t>ITA</t>
        </is>
      </c>
      <c r="CN157" t="inlineStr">
        <is>
          <t>ITA</t>
        </is>
      </c>
      <c r="DA157" t="inlineStr">
        <is>
          <t>GRC</t>
        </is>
      </c>
      <c r="DB157" t="inlineStr">
        <is>
          <t>GRC</t>
        </is>
      </c>
      <c r="DC157" t="inlineStr">
        <is>
          <t>GRC</t>
        </is>
      </c>
      <c r="DE157" t="inlineStr">
        <is>
          <t>GRC</t>
        </is>
      </c>
      <c r="DL157" t="inlineStr">
        <is>
          <t>TUR</t>
        </is>
      </c>
      <c r="DM157" t="inlineStr">
        <is>
          <t>TUR</t>
        </is>
      </c>
      <c r="DN157" t="inlineStr">
        <is>
          <t>TUR</t>
        </is>
      </c>
      <c r="DO157" t="inlineStr">
        <is>
          <t>TUR</t>
        </is>
      </c>
      <c r="DP157" t="inlineStr">
        <is>
          <t>TUR</t>
        </is>
      </c>
      <c r="DQ157" t="inlineStr">
        <is>
          <t>TUR</t>
        </is>
      </c>
      <c r="DR157" t="inlineStr">
        <is>
          <t>TUR</t>
        </is>
      </c>
      <c r="DS157" t="inlineStr">
        <is>
          <t>TUR</t>
        </is>
      </c>
      <c r="DT157" t="inlineStr">
        <is>
          <t>TUR</t>
        </is>
      </c>
      <c r="DU157" t="inlineStr">
        <is>
          <t>TUR</t>
        </is>
      </c>
      <c r="DV157" t="inlineStr">
        <is>
          <t>TUR</t>
        </is>
      </c>
      <c r="DW157" t="inlineStr">
        <is>
          <t>TUR</t>
        </is>
      </c>
      <c r="DX157" t="inlineStr">
        <is>
          <t>TUR</t>
        </is>
      </c>
      <c r="DY157" t="inlineStr">
        <is>
          <t>TUR</t>
        </is>
      </c>
      <c r="DZ157" t="inlineStr">
        <is>
          <t>TUR</t>
        </is>
      </c>
      <c r="EA157" t="inlineStr">
        <is>
          <t>TUR</t>
        </is>
      </c>
      <c r="EB157" t="inlineStr">
        <is>
          <t>TUR</t>
        </is>
      </c>
      <c r="EC157" t="inlineStr">
        <is>
          <t>TUR</t>
        </is>
      </c>
      <c r="ED157" t="inlineStr">
        <is>
          <t>TUR</t>
        </is>
      </c>
      <c r="EE157" t="inlineStr">
        <is>
          <t>TUR</t>
        </is>
      </c>
      <c r="EF157" t="inlineStr">
        <is>
          <t>TUR</t>
        </is>
      </c>
      <c r="EG157" t="inlineStr">
        <is>
          <t>TUR</t>
        </is>
      </c>
      <c r="EH157" t="inlineStr">
        <is>
          <t>TUR</t>
        </is>
      </c>
      <c r="EI157" t="inlineStr">
        <is>
          <t>TUR</t>
        </is>
      </c>
      <c r="EJ157" t="inlineStr">
        <is>
          <t>TUR</t>
        </is>
      </c>
      <c r="EK157" t="inlineStr">
        <is>
          <t>TUR</t>
        </is>
      </c>
      <c r="EL157" t="inlineStr">
        <is>
          <t>TUR</t>
        </is>
      </c>
      <c r="EM157" t="inlineStr">
        <is>
          <t>TUR</t>
        </is>
      </c>
      <c r="EN157" t="inlineStr">
        <is>
          <t>TUR</t>
        </is>
      </c>
      <c r="EO157" t="inlineStr">
        <is>
          <t>TUR</t>
        </is>
      </c>
      <c r="EP157" t="inlineStr">
        <is>
          <t>TUR</t>
        </is>
      </c>
      <c r="EQ157" t="inlineStr">
        <is>
          <t>TUR</t>
        </is>
      </c>
      <c r="ER157" t="inlineStr">
        <is>
          <t>TUR</t>
        </is>
      </c>
      <c r="ES157" t="inlineStr">
        <is>
          <t>TUR</t>
        </is>
      </c>
      <c r="ET157" t="inlineStr">
        <is>
          <t>TUR</t>
        </is>
      </c>
      <c r="EU157" t="inlineStr">
        <is>
          <t>IRN</t>
        </is>
      </c>
      <c r="EV157" t="inlineStr">
        <is>
          <t>IRN</t>
        </is>
      </c>
      <c r="EW157" t="inlineStr">
        <is>
          <t>IRN</t>
        </is>
      </c>
      <c r="EX157" t="inlineStr">
        <is>
          <t>IRN</t>
        </is>
      </c>
      <c r="EY157" t="inlineStr">
        <is>
          <t>IRN</t>
        </is>
      </c>
      <c r="EZ157" t="inlineStr">
        <is>
          <t>IRN</t>
        </is>
      </c>
      <c r="FA157" t="inlineStr">
        <is>
          <t>IRN</t>
        </is>
      </c>
      <c r="FB157" t="inlineStr">
        <is>
          <t>IRN</t>
        </is>
      </c>
      <c r="FC157" t="inlineStr">
        <is>
          <t>IRN</t>
        </is>
      </c>
      <c r="FN157" t="inlineStr">
        <is>
          <t>TKM</t>
        </is>
      </c>
      <c r="FO157" t="inlineStr">
        <is>
          <t>TKM</t>
        </is>
      </c>
      <c r="FP157" t="inlineStr">
        <is>
          <t>IRN</t>
        </is>
      </c>
      <c r="FQ157" t="inlineStr">
        <is>
          <t>IRN</t>
        </is>
      </c>
      <c r="FR157" t="inlineStr">
        <is>
          <t>IRN</t>
        </is>
      </c>
      <c r="FS157" t="inlineStr">
        <is>
          <t>IRN</t>
        </is>
      </c>
      <c r="FT157" t="inlineStr">
        <is>
          <t>IRN</t>
        </is>
      </c>
      <c r="FU157" t="inlineStr">
        <is>
          <t>IRN</t>
        </is>
      </c>
      <c r="FV157" t="inlineStr">
        <is>
          <t>TKM</t>
        </is>
      </c>
      <c r="FW157" t="inlineStr">
        <is>
          <t>TKM</t>
        </is>
      </c>
      <c r="FX157" t="inlineStr">
        <is>
          <t>TKM</t>
        </is>
      </c>
      <c r="FY157" t="inlineStr">
        <is>
          <t>TKM</t>
        </is>
      </c>
      <c r="FZ157" t="inlineStr">
        <is>
          <t>TKM</t>
        </is>
      </c>
      <c r="GA157" t="inlineStr">
        <is>
          <t>TKM</t>
        </is>
      </c>
      <c r="GB157" t="inlineStr">
        <is>
          <t>TKM</t>
        </is>
      </c>
      <c r="GC157" t="inlineStr">
        <is>
          <t>TKM</t>
        </is>
      </c>
      <c r="GD157" t="inlineStr">
        <is>
          <t>TKM</t>
        </is>
      </c>
      <c r="GE157" t="inlineStr">
        <is>
          <t>TKM</t>
        </is>
      </c>
      <c r="GF157" t="inlineStr">
        <is>
          <t>TKM</t>
        </is>
      </c>
      <c r="GG157" t="inlineStr">
        <is>
          <t>TKM</t>
        </is>
      </c>
      <c r="GH157" t="inlineStr">
        <is>
          <t>TKM</t>
        </is>
      </c>
      <c r="GI157" t="inlineStr">
        <is>
          <t>TKM</t>
        </is>
      </c>
      <c r="GJ157" t="inlineStr">
        <is>
          <t>TKM</t>
        </is>
      </c>
      <c r="GK157" t="inlineStr">
        <is>
          <t>TKM</t>
        </is>
      </c>
      <c r="GL157" t="inlineStr">
        <is>
          <t>TKM</t>
        </is>
      </c>
      <c r="GM157" t="inlineStr">
        <is>
          <t>UZB</t>
        </is>
      </c>
      <c r="GN157" t="inlineStr">
        <is>
          <t>UZB</t>
        </is>
      </c>
      <c r="GO157" t="inlineStr">
        <is>
          <t>UZB</t>
        </is>
      </c>
      <c r="GP157" t="inlineStr">
        <is>
          <t>TJK</t>
        </is>
      </c>
      <c r="GQ157" t="inlineStr">
        <is>
          <t>TJK</t>
        </is>
      </c>
      <c r="GR157" t="inlineStr">
        <is>
          <t>TJK</t>
        </is>
      </c>
      <c r="GS157" t="inlineStr">
        <is>
          <t>TJK</t>
        </is>
      </c>
      <c r="GT157" t="inlineStr">
        <is>
          <t>TJK</t>
        </is>
      </c>
      <c r="GU157" t="inlineStr">
        <is>
          <t>AFG</t>
        </is>
      </c>
      <c r="GV157" t="inlineStr">
        <is>
          <t>AFG</t>
        </is>
      </c>
      <c r="GW157" t="inlineStr">
        <is>
          <t>TJK</t>
        </is>
      </c>
      <c r="GX157" t="inlineStr">
        <is>
          <t>TJK</t>
        </is>
      </c>
      <c r="GY157" t="inlineStr">
        <is>
          <t>TJK</t>
        </is>
      </c>
      <c r="GZ157" t="inlineStr">
        <is>
          <t>TJK</t>
        </is>
      </c>
      <c r="HA157" t="inlineStr">
        <is>
          <t>TJK</t>
        </is>
      </c>
      <c r="HB157" t="inlineStr">
        <is>
          <t>TJK</t>
        </is>
      </c>
      <c r="HC157" t="inlineStr">
        <is>
          <t>TJK</t>
        </is>
      </c>
      <c r="HD157" t="inlineStr">
        <is>
          <t>CHN</t>
        </is>
      </c>
      <c r="HE157" t="inlineStr">
        <is>
          <t>CHN</t>
        </is>
      </c>
      <c r="HF157" t="inlineStr">
        <is>
          <t>CHN</t>
        </is>
      </c>
      <c r="HG157" t="inlineStr">
        <is>
          <t>CHN</t>
        </is>
      </c>
      <c r="HH157" t="inlineStr">
        <is>
          <t>CHN</t>
        </is>
      </c>
      <c r="HI157" t="inlineStr">
        <is>
          <t>CHN</t>
        </is>
      </c>
      <c r="HJ157" t="inlineStr">
        <is>
          <t>CHN</t>
        </is>
      </c>
      <c r="HK157" t="inlineStr">
        <is>
          <t>CHN</t>
        </is>
      </c>
      <c r="HL157" t="inlineStr">
        <is>
          <t>CHN</t>
        </is>
      </c>
      <c r="HM157" t="inlineStr">
        <is>
          <t>CHN</t>
        </is>
      </c>
      <c r="HN157" t="inlineStr">
        <is>
          <t>CHN</t>
        </is>
      </c>
      <c r="HO157" t="inlineStr">
        <is>
          <t>CHN</t>
        </is>
      </c>
      <c r="HP157" t="inlineStr">
        <is>
          <t>CHN</t>
        </is>
      </c>
      <c r="HQ157" t="inlineStr">
        <is>
          <t>CHN</t>
        </is>
      </c>
      <c r="HR157" t="inlineStr">
        <is>
          <t>CHN</t>
        </is>
      </c>
      <c r="HS157" t="inlineStr">
        <is>
          <t>CHN</t>
        </is>
      </c>
      <c r="HT157" t="inlineStr">
        <is>
          <t>CHN</t>
        </is>
      </c>
      <c r="HU157" t="inlineStr">
        <is>
          <t>CHN</t>
        </is>
      </c>
      <c r="HV157" t="inlineStr">
        <is>
          <t>CHN</t>
        </is>
      </c>
      <c r="HW157" t="inlineStr">
        <is>
          <t>CHN</t>
        </is>
      </c>
      <c r="HX157" t="inlineStr">
        <is>
          <t>CHN</t>
        </is>
      </c>
      <c r="HY157" t="inlineStr">
        <is>
          <t>CHN</t>
        </is>
      </c>
      <c r="HZ157" t="inlineStr">
        <is>
          <t>CHN</t>
        </is>
      </c>
      <c r="IA157" t="inlineStr">
        <is>
          <t>CHN</t>
        </is>
      </c>
      <c r="IB157" t="inlineStr">
        <is>
          <t>CHN</t>
        </is>
      </c>
      <c r="IC157" t="inlineStr">
        <is>
          <t>CHN</t>
        </is>
      </c>
      <c r="ID157" t="inlineStr">
        <is>
          <t>CHN</t>
        </is>
      </c>
      <c r="IE157" t="inlineStr">
        <is>
          <t>CHN</t>
        </is>
      </c>
      <c r="IF157" t="inlineStr">
        <is>
          <t>CHN</t>
        </is>
      </c>
      <c r="IG157" t="inlineStr">
        <is>
          <t>CHN</t>
        </is>
      </c>
      <c r="IH157" t="inlineStr">
        <is>
          <t>CHN</t>
        </is>
      </c>
      <c r="II157" t="inlineStr">
        <is>
          <t>CHN</t>
        </is>
      </c>
      <c r="IJ157" t="inlineStr">
        <is>
          <t>CHN</t>
        </is>
      </c>
      <c r="IK157" t="inlineStr">
        <is>
          <t>CHN</t>
        </is>
      </c>
      <c r="IL157" t="inlineStr">
        <is>
          <t>CHN</t>
        </is>
      </c>
      <c r="IM157" t="inlineStr">
        <is>
          <t>CHN</t>
        </is>
      </c>
      <c r="IN157" t="inlineStr">
        <is>
          <t>CHN</t>
        </is>
      </c>
      <c r="IO157" t="inlineStr">
        <is>
          <t>CHN</t>
        </is>
      </c>
      <c r="IP157" t="inlineStr">
        <is>
          <t>CHN</t>
        </is>
      </c>
      <c r="IQ157" t="inlineStr">
        <is>
          <t>CHN</t>
        </is>
      </c>
      <c r="IR157" t="inlineStr">
        <is>
          <t>CHN</t>
        </is>
      </c>
      <c r="IS157" t="inlineStr">
        <is>
          <t>CHN</t>
        </is>
      </c>
      <c r="IT157" t="inlineStr">
        <is>
          <t>CHN</t>
        </is>
      </c>
      <c r="IU157" t="inlineStr">
        <is>
          <t>CHN</t>
        </is>
      </c>
      <c r="IV157" t="inlineStr">
        <is>
          <t>CHN</t>
        </is>
      </c>
      <c r="IW157" t="inlineStr">
        <is>
          <t>CHN</t>
        </is>
      </c>
      <c r="IX157" t="inlineStr">
        <is>
          <t>CHN</t>
        </is>
      </c>
      <c r="IY157" t="inlineStr">
        <is>
          <t>CHN</t>
        </is>
      </c>
      <c r="IZ157" t="inlineStr">
        <is>
          <t>CHN</t>
        </is>
      </c>
      <c r="JA157" t="inlineStr">
        <is>
          <t>CHN</t>
        </is>
      </c>
      <c r="JB157" t="inlineStr">
        <is>
          <t>CHN</t>
        </is>
      </c>
      <c r="JC157" t="inlineStr">
        <is>
          <t>CHN</t>
        </is>
      </c>
      <c r="JD157" t="inlineStr">
        <is>
          <t>CHN</t>
        </is>
      </c>
      <c r="JE157" t="inlineStr">
        <is>
          <t>CHN</t>
        </is>
      </c>
      <c r="JF157" t="inlineStr">
        <is>
          <t>CHN</t>
        </is>
      </c>
      <c r="JG157" t="inlineStr">
        <is>
          <t>CHN</t>
        </is>
      </c>
      <c r="JH157" t="inlineStr">
        <is>
          <t>CHN</t>
        </is>
      </c>
      <c r="JI157" t="inlineStr">
        <is>
          <t>CHN</t>
        </is>
      </c>
      <c r="JJ157" t="inlineStr">
        <is>
          <t>CHN</t>
        </is>
      </c>
      <c r="JK157" t="inlineStr">
        <is>
          <t>CHN</t>
        </is>
      </c>
      <c r="JL157" t="inlineStr">
        <is>
          <t>CHN</t>
        </is>
      </c>
      <c r="JM157" t="inlineStr">
        <is>
          <t>CHN</t>
        </is>
      </c>
      <c r="JN157" t="inlineStr">
        <is>
          <t>CHN</t>
        </is>
      </c>
      <c r="JO157" t="inlineStr">
        <is>
          <t>CHN</t>
        </is>
      </c>
      <c r="JP157" t="inlineStr">
        <is>
          <t>CHN</t>
        </is>
      </c>
      <c r="JQ157" t="inlineStr">
        <is>
          <t>CHN</t>
        </is>
      </c>
      <c r="JR157" t="inlineStr">
        <is>
          <t>CHN</t>
        </is>
      </c>
      <c r="JS157" t="inlineStr">
        <is>
          <t>CHN</t>
        </is>
      </c>
      <c r="JT157" t="inlineStr">
        <is>
          <t>CHN</t>
        </is>
      </c>
      <c r="JU157" t="inlineStr">
        <is>
          <t>CHN</t>
        </is>
      </c>
    </row>
    <row r="158">
      <c r="AR158" t="inlineStr">
        <is>
          <t>PRT</t>
        </is>
      </c>
      <c r="AS158" t="inlineStr">
        <is>
          <t>PRT</t>
        </is>
      </c>
      <c r="AT158" t="inlineStr">
        <is>
          <t>PRT</t>
        </is>
      </c>
      <c r="AU158" t="inlineStr">
        <is>
          <t>PRT</t>
        </is>
      </c>
      <c r="AV158" t="inlineStr">
        <is>
          <t>ESP</t>
        </is>
      </c>
      <c r="AW158" t="inlineStr">
        <is>
          <t>ESP</t>
        </is>
      </c>
      <c r="AX158" t="inlineStr">
        <is>
          <t>ESP</t>
        </is>
      </c>
      <c r="AY158" t="inlineStr">
        <is>
          <t>ESP</t>
        </is>
      </c>
      <c r="AZ158" t="inlineStr">
        <is>
          <t>ESP</t>
        </is>
      </c>
      <c r="BA158" t="inlineStr">
        <is>
          <t>ESP</t>
        </is>
      </c>
      <c r="BB158" t="inlineStr">
        <is>
          <t>ESP</t>
        </is>
      </c>
      <c r="BC158" t="inlineStr">
        <is>
          <t>ESP</t>
        </is>
      </c>
      <c r="BD158" t="inlineStr">
        <is>
          <t>ESP</t>
        </is>
      </c>
      <c r="BE158" t="inlineStr">
        <is>
          <t>ESP</t>
        </is>
      </c>
      <c r="BF158" t="inlineStr">
        <is>
          <t>ESP</t>
        </is>
      </c>
      <c r="BG158" t="inlineStr">
        <is>
          <t>ESP</t>
        </is>
      </c>
      <c r="BH158" t="inlineStr">
        <is>
          <t>ESP</t>
        </is>
      </c>
      <c r="CO158" t="inlineStr">
        <is>
          <t>ITA</t>
        </is>
      </c>
      <c r="CP158" t="inlineStr">
        <is>
          <t>ITA</t>
        </is>
      </c>
      <c r="CZ158" t="inlineStr">
        <is>
          <t>GRC</t>
        </is>
      </c>
      <c r="DA158" t="inlineStr">
        <is>
          <t>GRC</t>
        </is>
      </c>
      <c r="DB158" t="inlineStr">
        <is>
          <t>GRC</t>
        </is>
      </c>
      <c r="DC158" t="inlineStr">
        <is>
          <t>GRC</t>
        </is>
      </c>
      <c r="DD158" t="inlineStr">
        <is>
          <t>GRC</t>
        </is>
      </c>
      <c r="DE158" t="inlineStr">
        <is>
          <t>GRC</t>
        </is>
      </c>
      <c r="DK158" t="inlineStr">
        <is>
          <t>TUR</t>
        </is>
      </c>
      <c r="DL158" t="inlineStr">
        <is>
          <t>TUR</t>
        </is>
      </c>
      <c r="DM158" t="inlineStr">
        <is>
          <t>TUR</t>
        </is>
      </c>
      <c r="DN158" t="inlineStr">
        <is>
          <t>TUR</t>
        </is>
      </c>
      <c r="DO158" t="inlineStr">
        <is>
          <t>TUR</t>
        </is>
      </c>
      <c r="DP158" t="inlineStr">
        <is>
          <t>TUR</t>
        </is>
      </c>
      <c r="DQ158" t="inlineStr">
        <is>
          <t>TUR</t>
        </is>
      </c>
      <c r="DR158" t="inlineStr">
        <is>
          <t>TUR</t>
        </is>
      </c>
      <c r="DS158" t="inlineStr">
        <is>
          <t>TUR</t>
        </is>
      </c>
      <c r="DT158" t="inlineStr">
        <is>
          <t>TUR</t>
        </is>
      </c>
      <c r="DU158" t="inlineStr">
        <is>
          <t>TUR</t>
        </is>
      </c>
      <c r="DV158" t="inlineStr">
        <is>
          <t>TUR</t>
        </is>
      </c>
      <c r="DW158" t="inlineStr">
        <is>
          <t>TUR</t>
        </is>
      </c>
      <c r="DX158" t="inlineStr">
        <is>
          <t>TUR</t>
        </is>
      </c>
      <c r="DY158" t="inlineStr">
        <is>
          <t>TUR</t>
        </is>
      </c>
      <c r="DZ158" t="inlineStr">
        <is>
          <t>TUR</t>
        </is>
      </c>
      <c r="EA158" t="inlineStr">
        <is>
          <t>TUR</t>
        </is>
      </c>
      <c r="EB158" t="inlineStr">
        <is>
          <t>TUR</t>
        </is>
      </c>
      <c r="EC158" t="inlineStr">
        <is>
          <t>TUR</t>
        </is>
      </c>
      <c r="ED158" t="inlineStr">
        <is>
          <t>TUR</t>
        </is>
      </c>
      <c r="EE158" t="inlineStr">
        <is>
          <t>TUR</t>
        </is>
      </c>
      <c r="EF158" t="inlineStr">
        <is>
          <t>TUR</t>
        </is>
      </c>
      <c r="EG158" t="inlineStr">
        <is>
          <t>TUR</t>
        </is>
      </c>
      <c r="EH158" t="inlineStr">
        <is>
          <t>TUR</t>
        </is>
      </c>
      <c r="EI158" t="inlineStr">
        <is>
          <t>TUR</t>
        </is>
      </c>
      <c r="EJ158" t="inlineStr">
        <is>
          <t>TUR</t>
        </is>
      </c>
      <c r="EK158" t="inlineStr">
        <is>
          <t>TUR</t>
        </is>
      </c>
      <c r="EL158" t="inlineStr">
        <is>
          <t>TUR</t>
        </is>
      </c>
      <c r="EM158" t="inlineStr">
        <is>
          <t>TUR</t>
        </is>
      </c>
      <c r="EN158" t="inlineStr">
        <is>
          <t>TUR</t>
        </is>
      </c>
      <c r="EO158" t="inlineStr">
        <is>
          <t>TUR</t>
        </is>
      </c>
      <c r="EP158" t="inlineStr">
        <is>
          <t>TUR</t>
        </is>
      </c>
      <c r="EQ158" t="inlineStr">
        <is>
          <t>TUR</t>
        </is>
      </c>
      <c r="ER158" t="inlineStr">
        <is>
          <t>TUR</t>
        </is>
      </c>
      <c r="ES158" t="inlineStr">
        <is>
          <t>TUR</t>
        </is>
      </c>
      <c r="ET158" t="inlineStr">
        <is>
          <t>TUR</t>
        </is>
      </c>
      <c r="EU158" t="inlineStr">
        <is>
          <t>IRN</t>
        </is>
      </c>
      <c r="EV158" t="inlineStr">
        <is>
          <t>IRN</t>
        </is>
      </c>
      <c r="EW158" t="inlineStr">
        <is>
          <t>IRN</t>
        </is>
      </c>
      <c r="EX158" t="inlineStr">
        <is>
          <t>IRN</t>
        </is>
      </c>
      <c r="EY158" t="inlineStr">
        <is>
          <t>IRN</t>
        </is>
      </c>
      <c r="EZ158" t="inlineStr">
        <is>
          <t>IRN</t>
        </is>
      </c>
      <c r="FA158" t="inlineStr">
        <is>
          <t>IRN</t>
        </is>
      </c>
      <c r="FB158" t="inlineStr">
        <is>
          <t>IRN</t>
        </is>
      </c>
      <c r="FC158" t="inlineStr">
        <is>
          <t>IRN</t>
        </is>
      </c>
      <c r="FN158" t="inlineStr">
        <is>
          <t>TKM</t>
        </is>
      </c>
      <c r="FO158" t="inlineStr">
        <is>
          <t>TKM</t>
        </is>
      </c>
      <c r="FP158" t="inlineStr">
        <is>
          <t>TKM</t>
        </is>
      </c>
      <c r="FQ158" t="inlineStr">
        <is>
          <t>TKM</t>
        </is>
      </c>
      <c r="FR158" t="inlineStr">
        <is>
          <t>TKM</t>
        </is>
      </c>
      <c r="FS158" t="inlineStr">
        <is>
          <t>TKM</t>
        </is>
      </c>
      <c r="FT158" t="inlineStr">
        <is>
          <t>TKM</t>
        </is>
      </c>
      <c r="FU158" t="inlineStr">
        <is>
          <t>TKM</t>
        </is>
      </c>
      <c r="FV158" t="inlineStr">
        <is>
          <t>TKM</t>
        </is>
      </c>
      <c r="FW158" t="inlineStr">
        <is>
          <t>TKM</t>
        </is>
      </c>
      <c r="FX158" t="inlineStr">
        <is>
          <t>TKM</t>
        </is>
      </c>
      <c r="FY158" t="inlineStr">
        <is>
          <t>TKM</t>
        </is>
      </c>
      <c r="FZ158" t="inlineStr">
        <is>
          <t>TKM</t>
        </is>
      </c>
      <c r="GA158" t="inlineStr">
        <is>
          <t>TKM</t>
        </is>
      </c>
      <c r="GB158" t="inlineStr">
        <is>
          <t>TKM</t>
        </is>
      </c>
      <c r="GC158" t="inlineStr">
        <is>
          <t>TKM</t>
        </is>
      </c>
      <c r="GD158" t="inlineStr">
        <is>
          <t>TKM</t>
        </is>
      </c>
      <c r="GE158" t="inlineStr">
        <is>
          <t>TKM</t>
        </is>
      </c>
      <c r="GF158" t="inlineStr">
        <is>
          <t>TKM</t>
        </is>
      </c>
      <c r="GG158" t="inlineStr">
        <is>
          <t>TKM</t>
        </is>
      </c>
      <c r="GH158" t="inlineStr">
        <is>
          <t>TKM</t>
        </is>
      </c>
      <c r="GI158" t="inlineStr">
        <is>
          <t>TKM</t>
        </is>
      </c>
      <c r="GJ158" t="inlineStr">
        <is>
          <t>TKM</t>
        </is>
      </c>
      <c r="GK158" t="inlineStr">
        <is>
          <t>UZB</t>
        </is>
      </c>
      <c r="GL158" t="inlineStr">
        <is>
          <t>UZB</t>
        </is>
      </c>
      <c r="GM158" t="inlineStr">
        <is>
          <t>UZB</t>
        </is>
      </c>
      <c r="GN158" t="inlineStr">
        <is>
          <t>UZB</t>
        </is>
      </c>
      <c r="GO158" t="inlineStr">
        <is>
          <t>UZB</t>
        </is>
      </c>
      <c r="GP158" t="inlineStr">
        <is>
          <t>UZB</t>
        </is>
      </c>
      <c r="GQ158" t="inlineStr">
        <is>
          <t>TJK</t>
        </is>
      </c>
      <c r="GR158" t="inlineStr">
        <is>
          <t>TJK</t>
        </is>
      </c>
      <c r="GS158" t="inlineStr">
        <is>
          <t>TJK</t>
        </is>
      </c>
      <c r="GT158" t="inlineStr">
        <is>
          <t>TJK</t>
        </is>
      </c>
      <c r="GU158" t="inlineStr">
        <is>
          <t>AFG</t>
        </is>
      </c>
      <c r="GV158" t="inlineStr">
        <is>
          <t>AFG</t>
        </is>
      </c>
      <c r="GW158" t="inlineStr">
        <is>
          <t>TJK</t>
        </is>
      </c>
      <c r="GX158" t="inlineStr">
        <is>
          <t>TJK</t>
        </is>
      </c>
      <c r="GY158" t="inlineStr">
        <is>
          <t>TJK</t>
        </is>
      </c>
      <c r="GZ158" t="inlineStr">
        <is>
          <t>TJK</t>
        </is>
      </c>
      <c r="HA158" t="inlineStr">
        <is>
          <t>TJK</t>
        </is>
      </c>
      <c r="HB158" t="inlineStr">
        <is>
          <t>TJK</t>
        </is>
      </c>
      <c r="HC158" t="inlineStr">
        <is>
          <t>TJK</t>
        </is>
      </c>
      <c r="HD158" t="inlineStr">
        <is>
          <t>CHN</t>
        </is>
      </c>
      <c r="HE158" t="inlineStr">
        <is>
          <t>CHN</t>
        </is>
      </c>
      <c r="HF158" t="inlineStr">
        <is>
          <t>CHN</t>
        </is>
      </c>
      <c r="HG158" t="inlineStr">
        <is>
          <t>CHN</t>
        </is>
      </c>
      <c r="HH158" t="inlineStr">
        <is>
          <t>CHN</t>
        </is>
      </c>
      <c r="HI158" t="inlineStr">
        <is>
          <t>CHN</t>
        </is>
      </c>
      <c r="HJ158" t="inlineStr">
        <is>
          <t>CHN</t>
        </is>
      </c>
      <c r="HK158" t="inlineStr">
        <is>
          <t>CHN</t>
        </is>
      </c>
      <c r="HL158" t="inlineStr">
        <is>
          <t>CHN</t>
        </is>
      </c>
      <c r="HM158" t="inlineStr">
        <is>
          <t>CHN</t>
        </is>
      </c>
      <c r="HN158" t="inlineStr">
        <is>
          <t>CHN</t>
        </is>
      </c>
      <c r="HO158" t="inlineStr">
        <is>
          <t>CHN</t>
        </is>
      </c>
      <c r="HP158" t="inlineStr">
        <is>
          <t>CHN</t>
        </is>
      </c>
      <c r="HQ158" t="inlineStr">
        <is>
          <t>CHN</t>
        </is>
      </c>
      <c r="HR158" t="inlineStr">
        <is>
          <t>CHN</t>
        </is>
      </c>
      <c r="HS158" t="inlineStr">
        <is>
          <t>CHN</t>
        </is>
      </c>
      <c r="HT158" t="inlineStr">
        <is>
          <t>CHN</t>
        </is>
      </c>
      <c r="HU158" t="inlineStr">
        <is>
          <t>CHN</t>
        </is>
      </c>
      <c r="HV158" t="inlineStr">
        <is>
          <t>CHN</t>
        </is>
      </c>
      <c r="HW158" t="inlineStr">
        <is>
          <t>CHN</t>
        </is>
      </c>
      <c r="HX158" t="inlineStr">
        <is>
          <t>CHN</t>
        </is>
      </c>
      <c r="HY158" t="inlineStr">
        <is>
          <t>CHN</t>
        </is>
      </c>
      <c r="HZ158" t="inlineStr">
        <is>
          <t>CHN</t>
        </is>
      </c>
      <c r="IA158" t="inlineStr">
        <is>
          <t>CHN</t>
        </is>
      </c>
      <c r="IB158" t="inlineStr">
        <is>
          <t>CHN</t>
        </is>
      </c>
      <c r="IC158" t="inlineStr">
        <is>
          <t>CHN</t>
        </is>
      </c>
      <c r="ID158" t="inlineStr">
        <is>
          <t>CHN</t>
        </is>
      </c>
      <c r="IE158" t="inlineStr">
        <is>
          <t>CHN</t>
        </is>
      </c>
      <c r="IF158" t="inlineStr">
        <is>
          <t>CHN</t>
        </is>
      </c>
      <c r="IG158" t="inlineStr">
        <is>
          <t>CHN</t>
        </is>
      </c>
      <c r="IH158" t="inlineStr">
        <is>
          <t>CHN</t>
        </is>
      </c>
      <c r="II158" t="inlineStr">
        <is>
          <t>CHN</t>
        </is>
      </c>
      <c r="IJ158" t="inlineStr">
        <is>
          <t>CHN</t>
        </is>
      </c>
      <c r="IK158" t="inlineStr">
        <is>
          <t>CHN</t>
        </is>
      </c>
      <c r="IL158" t="inlineStr">
        <is>
          <t>CHN</t>
        </is>
      </c>
      <c r="IM158" t="inlineStr">
        <is>
          <t>CHN</t>
        </is>
      </c>
      <c r="IN158" t="inlineStr">
        <is>
          <t>CHN</t>
        </is>
      </c>
      <c r="IO158" t="inlineStr">
        <is>
          <t>CHN</t>
        </is>
      </c>
      <c r="IP158" t="inlineStr">
        <is>
          <t>CHN</t>
        </is>
      </c>
      <c r="IQ158" t="inlineStr">
        <is>
          <t>CHN</t>
        </is>
      </c>
      <c r="IR158" t="inlineStr">
        <is>
          <t>CHN</t>
        </is>
      </c>
      <c r="IS158" t="inlineStr">
        <is>
          <t>CHN</t>
        </is>
      </c>
      <c r="IT158" t="inlineStr">
        <is>
          <t>CHN</t>
        </is>
      </c>
      <c r="IU158" t="inlineStr">
        <is>
          <t>CHN</t>
        </is>
      </c>
      <c r="IV158" t="inlineStr">
        <is>
          <t>CHN</t>
        </is>
      </c>
      <c r="IW158" t="inlineStr">
        <is>
          <t>CHN</t>
        </is>
      </c>
      <c r="IX158" t="inlineStr">
        <is>
          <t>CHN</t>
        </is>
      </c>
      <c r="IY158" t="inlineStr">
        <is>
          <t>CHN</t>
        </is>
      </c>
      <c r="IZ158" t="inlineStr">
        <is>
          <t>CHN</t>
        </is>
      </c>
      <c r="JA158" t="inlineStr">
        <is>
          <t>CHN</t>
        </is>
      </c>
      <c r="JB158" t="inlineStr">
        <is>
          <t>CHN</t>
        </is>
      </c>
      <c r="JC158" t="inlineStr">
        <is>
          <t>CHN</t>
        </is>
      </c>
      <c r="JD158" t="inlineStr">
        <is>
          <t>CHN</t>
        </is>
      </c>
      <c r="JE158" t="inlineStr">
        <is>
          <t>CHN</t>
        </is>
      </c>
      <c r="JF158" t="inlineStr">
        <is>
          <t>CHN</t>
        </is>
      </c>
      <c r="JG158" t="inlineStr">
        <is>
          <t>CHN</t>
        </is>
      </c>
      <c r="JH158" t="inlineStr">
        <is>
          <t>CHN</t>
        </is>
      </c>
      <c r="JI158" t="inlineStr">
        <is>
          <t>CHN</t>
        </is>
      </c>
      <c r="JJ158" t="inlineStr">
        <is>
          <t>CHN</t>
        </is>
      </c>
      <c r="JK158" t="inlineStr">
        <is>
          <t>CHN</t>
        </is>
      </c>
      <c r="JL158" t="inlineStr">
        <is>
          <t>CHN</t>
        </is>
      </c>
      <c r="JM158" t="inlineStr">
        <is>
          <t>CHN</t>
        </is>
      </c>
      <c r="JN158" t="inlineStr">
        <is>
          <t>CHN</t>
        </is>
      </c>
      <c r="JO158" t="inlineStr">
        <is>
          <t>CHN</t>
        </is>
      </c>
      <c r="JP158" t="inlineStr">
        <is>
          <t>CHN</t>
        </is>
      </c>
      <c r="JQ158" t="inlineStr">
        <is>
          <t>CHN</t>
        </is>
      </c>
      <c r="JR158" t="inlineStr">
        <is>
          <t>CHN</t>
        </is>
      </c>
      <c r="JS158" t="inlineStr">
        <is>
          <t>CHN</t>
        </is>
      </c>
      <c r="JT158" t="inlineStr">
        <is>
          <t>CHN</t>
        </is>
      </c>
      <c r="JU158" t="inlineStr">
        <is>
          <t>CHN</t>
        </is>
      </c>
    </row>
    <row r="159">
      <c r="AQ159" t="inlineStr">
        <is>
          <t>PRT</t>
        </is>
      </c>
      <c r="AR159" t="inlineStr">
        <is>
          <t>PRT</t>
        </is>
      </c>
      <c r="AS159" t="inlineStr">
        <is>
          <t>PRT</t>
        </is>
      </c>
      <c r="AT159" t="inlineStr">
        <is>
          <t>PRT</t>
        </is>
      </c>
      <c r="AU159" t="inlineStr">
        <is>
          <t>PRT</t>
        </is>
      </c>
      <c r="AV159" t="inlineStr">
        <is>
          <t>ESP</t>
        </is>
      </c>
      <c r="AW159" t="inlineStr">
        <is>
          <t>ESP</t>
        </is>
      </c>
      <c r="AX159" t="inlineStr">
        <is>
          <t>ESP</t>
        </is>
      </c>
      <c r="AY159" t="inlineStr">
        <is>
          <t>ESP</t>
        </is>
      </c>
      <c r="AZ159" t="inlineStr">
        <is>
          <t>ESP</t>
        </is>
      </c>
      <c r="BA159" t="inlineStr">
        <is>
          <t>ESP</t>
        </is>
      </c>
      <c r="BB159" t="inlineStr">
        <is>
          <t>ESP</t>
        </is>
      </c>
      <c r="BC159" t="inlineStr">
        <is>
          <t>ESP</t>
        </is>
      </c>
      <c r="BD159" t="inlineStr">
        <is>
          <t>ESP</t>
        </is>
      </c>
      <c r="BE159" t="inlineStr">
        <is>
          <t>ESP</t>
        </is>
      </c>
      <c r="BF159" t="inlineStr">
        <is>
          <t>ESP</t>
        </is>
      </c>
      <c r="BG159" t="inlineStr">
        <is>
          <t>ESP</t>
        </is>
      </c>
      <c r="BH159" t="inlineStr">
        <is>
          <t>ESP</t>
        </is>
      </c>
      <c r="BI159" t="inlineStr">
        <is>
          <t>ESP</t>
        </is>
      </c>
      <c r="CP159" t="inlineStr">
        <is>
          <t>ITA</t>
        </is>
      </c>
      <c r="CY159" t="inlineStr">
        <is>
          <t>GRC</t>
        </is>
      </c>
      <c r="CZ159" t="inlineStr">
        <is>
          <t>GRC</t>
        </is>
      </c>
      <c r="DA159" t="inlineStr">
        <is>
          <t>GRC</t>
        </is>
      </c>
      <c r="DB159" t="inlineStr">
        <is>
          <t>GRC</t>
        </is>
      </c>
      <c r="DC159" t="inlineStr">
        <is>
          <t>GRC</t>
        </is>
      </c>
      <c r="DK159" t="inlineStr">
        <is>
          <t>TUR</t>
        </is>
      </c>
      <c r="DL159" t="inlineStr">
        <is>
          <t>TUR</t>
        </is>
      </c>
      <c r="DM159" t="inlineStr">
        <is>
          <t>TUR</t>
        </is>
      </c>
      <c r="DN159" t="inlineStr">
        <is>
          <t>TUR</t>
        </is>
      </c>
      <c r="DO159" t="inlineStr">
        <is>
          <t>TUR</t>
        </is>
      </c>
      <c r="DP159" t="inlineStr">
        <is>
          <t>TUR</t>
        </is>
      </c>
      <c r="DQ159" t="inlineStr">
        <is>
          <t>TUR</t>
        </is>
      </c>
      <c r="DR159" t="inlineStr">
        <is>
          <t>TUR</t>
        </is>
      </c>
      <c r="DS159" t="inlineStr">
        <is>
          <t>TUR</t>
        </is>
      </c>
      <c r="DT159" t="inlineStr">
        <is>
          <t>TUR</t>
        </is>
      </c>
      <c r="DU159" t="inlineStr">
        <is>
          <t>TUR</t>
        </is>
      </c>
      <c r="DV159" t="inlineStr">
        <is>
          <t>TUR</t>
        </is>
      </c>
      <c r="DW159" t="inlineStr">
        <is>
          <t>TUR</t>
        </is>
      </c>
      <c r="DX159" t="inlineStr">
        <is>
          <t>TUR</t>
        </is>
      </c>
      <c r="DY159" t="inlineStr">
        <is>
          <t>TUR</t>
        </is>
      </c>
      <c r="DZ159" t="inlineStr">
        <is>
          <t>TUR</t>
        </is>
      </c>
      <c r="EA159" t="inlineStr">
        <is>
          <t>TUR</t>
        </is>
      </c>
      <c r="EB159" t="inlineStr">
        <is>
          <t>TUR</t>
        </is>
      </c>
      <c r="EC159" t="inlineStr">
        <is>
          <t>TUR</t>
        </is>
      </c>
      <c r="ED159" t="inlineStr">
        <is>
          <t>TUR</t>
        </is>
      </c>
      <c r="EE159" t="inlineStr">
        <is>
          <t>TUR</t>
        </is>
      </c>
      <c r="EF159" t="inlineStr">
        <is>
          <t>TUR</t>
        </is>
      </c>
      <c r="EG159" t="inlineStr">
        <is>
          <t>TUR</t>
        </is>
      </c>
      <c r="EH159" t="inlineStr">
        <is>
          <t>TUR</t>
        </is>
      </c>
      <c r="EI159" t="inlineStr">
        <is>
          <t>TUR</t>
        </is>
      </c>
      <c r="EJ159" t="inlineStr">
        <is>
          <t>TUR</t>
        </is>
      </c>
      <c r="EK159" t="inlineStr">
        <is>
          <t>TUR</t>
        </is>
      </c>
      <c r="EL159" t="inlineStr">
        <is>
          <t>TUR</t>
        </is>
      </c>
      <c r="EM159" t="inlineStr">
        <is>
          <t>TUR</t>
        </is>
      </c>
      <c r="EN159" t="inlineStr">
        <is>
          <t>TUR</t>
        </is>
      </c>
      <c r="EO159" t="inlineStr">
        <is>
          <t>TUR</t>
        </is>
      </c>
      <c r="EP159" t="inlineStr">
        <is>
          <t>TUR</t>
        </is>
      </c>
      <c r="EQ159" t="inlineStr">
        <is>
          <t>TUR</t>
        </is>
      </c>
      <c r="ER159" t="inlineStr">
        <is>
          <t>TUR</t>
        </is>
      </c>
      <c r="ES159" t="inlineStr">
        <is>
          <t>TUR</t>
        </is>
      </c>
      <c r="ET159" t="inlineStr">
        <is>
          <t>TUR</t>
        </is>
      </c>
      <c r="EU159" t="inlineStr">
        <is>
          <t>IRN</t>
        </is>
      </c>
      <c r="EV159" t="inlineStr">
        <is>
          <t>IRN</t>
        </is>
      </c>
      <c r="EW159" t="inlineStr">
        <is>
          <t>IRN</t>
        </is>
      </c>
      <c r="EX159" t="inlineStr">
        <is>
          <t>ARM</t>
        </is>
      </c>
      <c r="EY159" t="inlineStr">
        <is>
          <t>IRN</t>
        </is>
      </c>
      <c r="EZ159" t="inlineStr">
        <is>
          <t>IRN</t>
        </is>
      </c>
      <c r="FA159" t="inlineStr">
        <is>
          <t>IRN</t>
        </is>
      </c>
      <c r="FB159" t="inlineStr">
        <is>
          <t>AZE</t>
        </is>
      </c>
      <c r="FC159" t="inlineStr">
        <is>
          <t>AZE</t>
        </is>
      </c>
      <c r="FN159" t="inlineStr">
        <is>
          <t>TKM</t>
        </is>
      </c>
      <c r="FO159" t="inlineStr">
        <is>
          <t>TKM</t>
        </is>
      </c>
      <c r="FP159" t="inlineStr">
        <is>
          <t>TKM</t>
        </is>
      </c>
      <c r="FQ159" t="inlineStr">
        <is>
          <t>TKM</t>
        </is>
      </c>
      <c r="FR159" t="inlineStr">
        <is>
          <t>TKM</t>
        </is>
      </c>
      <c r="FS159" t="inlineStr">
        <is>
          <t>TKM</t>
        </is>
      </c>
      <c r="FT159" t="inlineStr">
        <is>
          <t>TKM</t>
        </is>
      </c>
      <c r="FU159" t="inlineStr">
        <is>
          <t>TKM</t>
        </is>
      </c>
      <c r="FV159" t="inlineStr">
        <is>
          <t>TKM</t>
        </is>
      </c>
      <c r="FW159" t="inlineStr">
        <is>
          <t>TKM</t>
        </is>
      </c>
      <c r="FX159" t="inlineStr">
        <is>
          <t>TKM</t>
        </is>
      </c>
      <c r="FY159" t="inlineStr">
        <is>
          <t>TKM</t>
        </is>
      </c>
      <c r="FZ159" t="inlineStr">
        <is>
          <t>TKM</t>
        </is>
      </c>
      <c r="GA159" t="inlineStr">
        <is>
          <t>TKM</t>
        </is>
      </c>
      <c r="GB159" t="inlineStr">
        <is>
          <t>TKM</t>
        </is>
      </c>
      <c r="GC159" t="inlineStr">
        <is>
          <t>TKM</t>
        </is>
      </c>
      <c r="GD159" t="inlineStr">
        <is>
          <t>TKM</t>
        </is>
      </c>
      <c r="GE159" t="inlineStr">
        <is>
          <t>TKM</t>
        </is>
      </c>
      <c r="GF159" t="inlineStr">
        <is>
          <t>TKM</t>
        </is>
      </c>
      <c r="GG159" t="inlineStr">
        <is>
          <t>TKM</t>
        </is>
      </c>
      <c r="GH159" t="inlineStr">
        <is>
          <t>TKM</t>
        </is>
      </c>
      <c r="GI159" t="inlineStr">
        <is>
          <t>UZB</t>
        </is>
      </c>
      <c r="GJ159" t="inlineStr">
        <is>
          <t>UZB</t>
        </is>
      </c>
      <c r="GK159" t="inlineStr">
        <is>
          <t>UZB</t>
        </is>
      </c>
      <c r="GL159" t="inlineStr">
        <is>
          <t>UZB</t>
        </is>
      </c>
      <c r="GM159" t="inlineStr">
        <is>
          <t>UZB</t>
        </is>
      </c>
      <c r="GN159" t="inlineStr">
        <is>
          <t>UZB</t>
        </is>
      </c>
      <c r="GO159" t="inlineStr">
        <is>
          <t>UZB</t>
        </is>
      </c>
      <c r="GP159" t="inlineStr">
        <is>
          <t>TJK</t>
        </is>
      </c>
      <c r="GQ159" t="inlineStr">
        <is>
          <t>TJK</t>
        </is>
      </c>
      <c r="GR159" t="inlineStr">
        <is>
          <t>TJK</t>
        </is>
      </c>
      <c r="GS159" t="inlineStr">
        <is>
          <t>TJK</t>
        </is>
      </c>
      <c r="GT159" t="inlineStr">
        <is>
          <t>TJK</t>
        </is>
      </c>
      <c r="GU159" t="inlineStr">
        <is>
          <t>TJK</t>
        </is>
      </c>
      <c r="GV159" t="inlineStr">
        <is>
          <t>TJK</t>
        </is>
      </c>
      <c r="GW159" t="inlineStr">
        <is>
          <t>TJK</t>
        </is>
      </c>
      <c r="GX159" t="inlineStr">
        <is>
          <t>TJK</t>
        </is>
      </c>
      <c r="GY159" t="inlineStr">
        <is>
          <t>TJK</t>
        </is>
      </c>
      <c r="GZ159" t="inlineStr">
        <is>
          <t>TJK</t>
        </is>
      </c>
      <c r="HA159" t="inlineStr">
        <is>
          <t>TJK</t>
        </is>
      </c>
      <c r="HB159" t="inlineStr">
        <is>
          <t>CHN</t>
        </is>
      </c>
      <c r="HC159" t="inlineStr">
        <is>
          <t>CHN</t>
        </is>
      </c>
      <c r="HD159" t="inlineStr">
        <is>
          <t>CHN</t>
        </is>
      </c>
      <c r="HE159" t="inlineStr">
        <is>
          <t>CHN</t>
        </is>
      </c>
      <c r="HF159" t="inlineStr">
        <is>
          <t>CHN</t>
        </is>
      </c>
      <c r="HG159" t="inlineStr">
        <is>
          <t>CHN</t>
        </is>
      </c>
      <c r="HH159" t="inlineStr">
        <is>
          <t>CHN</t>
        </is>
      </c>
      <c r="HI159" t="inlineStr">
        <is>
          <t>CHN</t>
        </is>
      </c>
      <c r="HJ159" t="inlineStr">
        <is>
          <t>CHN</t>
        </is>
      </c>
      <c r="HK159" t="inlineStr">
        <is>
          <t>CHN</t>
        </is>
      </c>
      <c r="HL159" t="inlineStr">
        <is>
          <t>CHN</t>
        </is>
      </c>
      <c r="HM159" t="inlineStr">
        <is>
          <t>CHN</t>
        </is>
      </c>
      <c r="HN159" t="inlineStr">
        <is>
          <t>CHN</t>
        </is>
      </c>
      <c r="HO159" t="inlineStr">
        <is>
          <t>CHN</t>
        </is>
      </c>
      <c r="HP159" t="inlineStr">
        <is>
          <t>CHN</t>
        </is>
      </c>
      <c r="HQ159" t="inlineStr">
        <is>
          <t>CHN</t>
        </is>
      </c>
      <c r="HR159" t="inlineStr">
        <is>
          <t>CHN</t>
        </is>
      </c>
      <c r="HS159" t="inlineStr">
        <is>
          <t>CHN</t>
        </is>
      </c>
      <c r="HT159" t="inlineStr">
        <is>
          <t>CHN</t>
        </is>
      </c>
      <c r="HU159" t="inlineStr">
        <is>
          <t>CHN</t>
        </is>
      </c>
      <c r="HV159" t="inlineStr">
        <is>
          <t>CHN</t>
        </is>
      </c>
      <c r="HW159" t="inlineStr">
        <is>
          <t>CHN</t>
        </is>
      </c>
      <c r="HX159" t="inlineStr">
        <is>
          <t>CHN</t>
        </is>
      </c>
      <c r="HY159" t="inlineStr">
        <is>
          <t>CHN</t>
        </is>
      </c>
      <c r="HZ159" t="inlineStr">
        <is>
          <t>CHN</t>
        </is>
      </c>
      <c r="IA159" t="inlineStr">
        <is>
          <t>CHN</t>
        </is>
      </c>
      <c r="IB159" t="inlineStr">
        <is>
          <t>CHN</t>
        </is>
      </c>
      <c r="IC159" t="inlineStr">
        <is>
          <t>CHN</t>
        </is>
      </c>
      <c r="ID159" t="inlineStr">
        <is>
          <t>CHN</t>
        </is>
      </c>
      <c r="IE159" t="inlineStr">
        <is>
          <t>CHN</t>
        </is>
      </c>
      <c r="IF159" t="inlineStr">
        <is>
          <t>CHN</t>
        </is>
      </c>
      <c r="IG159" t="inlineStr">
        <is>
          <t>CHN</t>
        </is>
      </c>
      <c r="IH159" t="inlineStr">
        <is>
          <t>CHN</t>
        </is>
      </c>
      <c r="II159" t="inlineStr">
        <is>
          <t>CHN</t>
        </is>
      </c>
      <c r="IJ159" t="inlineStr">
        <is>
          <t>CHN</t>
        </is>
      </c>
      <c r="IK159" t="inlineStr">
        <is>
          <t>CHN</t>
        </is>
      </c>
      <c r="IL159" t="inlineStr">
        <is>
          <t>CHN</t>
        </is>
      </c>
      <c r="IM159" t="inlineStr">
        <is>
          <t>CHN</t>
        </is>
      </c>
      <c r="IN159" t="inlineStr">
        <is>
          <t>CHN</t>
        </is>
      </c>
      <c r="IO159" t="inlineStr">
        <is>
          <t>CHN</t>
        </is>
      </c>
      <c r="IP159" t="inlineStr">
        <is>
          <t>CHN</t>
        </is>
      </c>
      <c r="IQ159" t="inlineStr">
        <is>
          <t>CHN</t>
        </is>
      </c>
      <c r="IR159" t="inlineStr">
        <is>
          <t>CHN</t>
        </is>
      </c>
      <c r="IS159" t="inlineStr">
        <is>
          <t>CHN</t>
        </is>
      </c>
      <c r="IT159" t="inlineStr">
        <is>
          <t>CHN</t>
        </is>
      </c>
      <c r="IU159" t="inlineStr">
        <is>
          <t>CHN</t>
        </is>
      </c>
      <c r="IV159" t="inlineStr">
        <is>
          <t>CHN</t>
        </is>
      </c>
      <c r="IW159" t="inlineStr">
        <is>
          <t>CHN</t>
        </is>
      </c>
      <c r="IX159" t="inlineStr">
        <is>
          <t>CHN</t>
        </is>
      </c>
      <c r="IY159" t="inlineStr">
        <is>
          <t>CHN</t>
        </is>
      </c>
      <c r="IZ159" t="inlineStr">
        <is>
          <t>CHN</t>
        </is>
      </c>
      <c r="JA159" t="inlineStr">
        <is>
          <t>CHN</t>
        </is>
      </c>
      <c r="JB159" t="inlineStr">
        <is>
          <t>CHN</t>
        </is>
      </c>
      <c r="JC159" t="inlineStr">
        <is>
          <t>CHN</t>
        </is>
      </c>
      <c r="JD159" t="inlineStr">
        <is>
          <t>CHN</t>
        </is>
      </c>
      <c r="JE159" t="inlineStr">
        <is>
          <t>CHN</t>
        </is>
      </c>
      <c r="JF159" t="inlineStr">
        <is>
          <t>CHN</t>
        </is>
      </c>
      <c r="JG159" t="inlineStr">
        <is>
          <t>CHN</t>
        </is>
      </c>
      <c r="JH159" t="inlineStr">
        <is>
          <t>CHN</t>
        </is>
      </c>
      <c r="JI159" t="inlineStr">
        <is>
          <t>CHN</t>
        </is>
      </c>
      <c r="JJ159" t="inlineStr">
        <is>
          <t>CHN</t>
        </is>
      </c>
      <c r="JK159" t="inlineStr">
        <is>
          <t>CHN</t>
        </is>
      </c>
      <c r="JL159" t="inlineStr">
        <is>
          <t>CHN</t>
        </is>
      </c>
      <c r="JM159" t="inlineStr">
        <is>
          <t>CHN</t>
        </is>
      </c>
      <c r="JN159" t="inlineStr">
        <is>
          <t>CHN</t>
        </is>
      </c>
      <c r="JO159" t="inlineStr">
        <is>
          <t>CHN</t>
        </is>
      </c>
      <c r="JP159" t="inlineStr">
        <is>
          <t>CHN</t>
        </is>
      </c>
      <c r="JQ159" t="inlineStr">
        <is>
          <t>CHN</t>
        </is>
      </c>
      <c r="JR159" t="inlineStr">
        <is>
          <t>CHN</t>
        </is>
      </c>
      <c r="JS159" t="inlineStr">
        <is>
          <t>CHN</t>
        </is>
      </c>
      <c r="JT159" t="inlineStr">
        <is>
          <t>CHN</t>
        </is>
      </c>
      <c r="JU159" t="inlineStr">
        <is>
          <t>CHN</t>
        </is>
      </c>
    </row>
    <row r="160">
      <c r="AQ160" t="inlineStr">
        <is>
          <t>PRT</t>
        </is>
      </c>
      <c r="AR160" t="inlineStr">
        <is>
          <t>PRT</t>
        </is>
      </c>
      <c r="AS160" t="inlineStr">
        <is>
          <t>PRT</t>
        </is>
      </c>
      <c r="AT160" t="inlineStr">
        <is>
          <t>PRT</t>
        </is>
      </c>
      <c r="AU160" t="inlineStr">
        <is>
          <t>PRT</t>
        </is>
      </c>
      <c r="AV160" t="inlineStr">
        <is>
          <t>ESP</t>
        </is>
      </c>
      <c r="AW160" t="inlineStr">
        <is>
          <t>ESP</t>
        </is>
      </c>
      <c r="AX160" t="inlineStr">
        <is>
          <t>ESP</t>
        </is>
      </c>
      <c r="AY160" t="inlineStr">
        <is>
          <t>ESP</t>
        </is>
      </c>
      <c r="AZ160" t="inlineStr">
        <is>
          <t>ESP</t>
        </is>
      </c>
      <c r="BA160" t="inlineStr">
        <is>
          <t>ESP</t>
        </is>
      </c>
      <c r="BB160" t="inlineStr">
        <is>
          <t>ESP</t>
        </is>
      </c>
      <c r="BC160" t="inlineStr">
        <is>
          <t>ESP</t>
        </is>
      </c>
      <c r="BD160" t="inlineStr">
        <is>
          <t>ESP</t>
        </is>
      </c>
      <c r="BE160" t="inlineStr">
        <is>
          <t>ESP</t>
        </is>
      </c>
      <c r="BF160" t="inlineStr">
        <is>
          <t>ESP</t>
        </is>
      </c>
      <c r="BG160" t="inlineStr">
        <is>
          <t>ESP</t>
        </is>
      </c>
      <c r="BH160" t="inlineStr">
        <is>
          <t>ESP</t>
        </is>
      </c>
      <c r="BI160" t="inlineStr">
        <is>
          <t>ESP</t>
        </is>
      </c>
      <c r="CA160" t="inlineStr">
        <is>
          <t>ITA</t>
        </is>
      </c>
      <c r="CB160" t="inlineStr">
        <is>
          <t>ITA</t>
        </is>
      </c>
      <c r="CP160" t="inlineStr">
        <is>
          <t>ITA</t>
        </is>
      </c>
      <c r="CQ160" t="inlineStr">
        <is>
          <t>ITA</t>
        </is>
      </c>
      <c r="CY160" t="inlineStr">
        <is>
          <t>GRC</t>
        </is>
      </c>
      <c r="CZ160" t="inlineStr">
        <is>
          <t>GRC</t>
        </is>
      </c>
      <c r="DA160" t="inlineStr">
        <is>
          <t>GRC</t>
        </is>
      </c>
      <c r="DB160" t="inlineStr">
        <is>
          <t>GRC</t>
        </is>
      </c>
      <c r="DC160" t="inlineStr">
        <is>
          <t>GRC</t>
        </is>
      </c>
      <c r="DD160" t="inlineStr">
        <is>
          <t>GRC</t>
        </is>
      </c>
      <c r="DK160" t="inlineStr">
        <is>
          <t>TUR</t>
        </is>
      </c>
      <c r="DL160" t="inlineStr">
        <is>
          <t>TUR</t>
        </is>
      </c>
      <c r="DM160" t="inlineStr">
        <is>
          <t>TUR</t>
        </is>
      </c>
      <c r="DN160" t="inlineStr">
        <is>
          <t>TUR</t>
        </is>
      </c>
      <c r="DO160" t="inlineStr">
        <is>
          <t>TUR</t>
        </is>
      </c>
      <c r="DP160" t="inlineStr">
        <is>
          <t>TUR</t>
        </is>
      </c>
      <c r="DQ160" t="inlineStr">
        <is>
          <t>TUR</t>
        </is>
      </c>
      <c r="DR160" t="inlineStr">
        <is>
          <t>TUR</t>
        </is>
      </c>
      <c r="DS160" t="inlineStr">
        <is>
          <t>TUR</t>
        </is>
      </c>
      <c r="DT160" t="inlineStr">
        <is>
          <t>TUR</t>
        </is>
      </c>
      <c r="DU160" t="inlineStr">
        <is>
          <t>TUR</t>
        </is>
      </c>
      <c r="DV160" t="inlineStr">
        <is>
          <t>TUR</t>
        </is>
      </c>
      <c r="DW160" t="inlineStr">
        <is>
          <t>TUR</t>
        </is>
      </c>
      <c r="DX160" t="inlineStr">
        <is>
          <t>TUR</t>
        </is>
      </c>
      <c r="DY160" t="inlineStr">
        <is>
          <t>TUR</t>
        </is>
      </c>
      <c r="DZ160" t="inlineStr">
        <is>
          <t>TUR</t>
        </is>
      </c>
      <c r="EA160" t="inlineStr">
        <is>
          <t>TUR</t>
        </is>
      </c>
      <c r="EB160" t="inlineStr">
        <is>
          <t>TUR</t>
        </is>
      </c>
      <c r="EC160" t="inlineStr">
        <is>
          <t>TUR</t>
        </is>
      </c>
      <c r="ED160" t="inlineStr">
        <is>
          <t>TUR</t>
        </is>
      </c>
      <c r="EE160" t="inlineStr">
        <is>
          <t>TUR</t>
        </is>
      </c>
      <c r="EF160" t="inlineStr">
        <is>
          <t>TUR</t>
        </is>
      </c>
      <c r="EG160" t="inlineStr">
        <is>
          <t>TUR</t>
        </is>
      </c>
      <c r="EH160" t="inlineStr">
        <is>
          <t>TUR</t>
        </is>
      </c>
      <c r="EI160" t="inlineStr">
        <is>
          <t>TUR</t>
        </is>
      </c>
      <c r="EJ160" t="inlineStr">
        <is>
          <t>TUR</t>
        </is>
      </c>
      <c r="EK160" t="inlineStr">
        <is>
          <t>TUR</t>
        </is>
      </c>
      <c r="EL160" t="inlineStr">
        <is>
          <t>TUR</t>
        </is>
      </c>
      <c r="EM160" t="inlineStr">
        <is>
          <t>TUR</t>
        </is>
      </c>
      <c r="EN160" t="inlineStr">
        <is>
          <t>TUR</t>
        </is>
      </c>
      <c r="EO160" t="inlineStr">
        <is>
          <t>TUR</t>
        </is>
      </c>
      <c r="EP160" t="inlineStr">
        <is>
          <t>TUR</t>
        </is>
      </c>
      <c r="EQ160" t="inlineStr">
        <is>
          <t>TUR</t>
        </is>
      </c>
      <c r="ER160" t="inlineStr">
        <is>
          <t>TUR</t>
        </is>
      </c>
      <c r="ES160" t="inlineStr">
        <is>
          <t>TUR</t>
        </is>
      </c>
      <c r="ET160" t="inlineStr">
        <is>
          <t>IRN</t>
        </is>
      </c>
      <c r="EU160" t="inlineStr">
        <is>
          <t>IRN</t>
        </is>
      </c>
      <c r="EV160" t="inlineStr">
        <is>
          <t>AZE</t>
        </is>
      </c>
      <c r="EW160" t="inlineStr">
        <is>
          <t>AZE</t>
        </is>
      </c>
      <c r="EX160" t="inlineStr">
        <is>
          <t>ARM</t>
        </is>
      </c>
      <c r="EY160" t="inlineStr">
        <is>
          <t>AZE</t>
        </is>
      </c>
      <c r="EZ160" t="inlineStr">
        <is>
          <t>AZE</t>
        </is>
      </c>
      <c r="FA160" t="inlineStr">
        <is>
          <t>IRN</t>
        </is>
      </c>
      <c r="FB160" t="inlineStr">
        <is>
          <t>IRN</t>
        </is>
      </c>
      <c r="FC160" t="inlineStr">
        <is>
          <t>AZE</t>
        </is>
      </c>
      <c r="FD160" t="inlineStr">
        <is>
          <t>AZE</t>
        </is>
      </c>
      <c r="FL160" t="inlineStr">
        <is>
          <t>TKM</t>
        </is>
      </c>
      <c r="FM160" t="inlineStr">
        <is>
          <t>TKM</t>
        </is>
      </c>
      <c r="FN160" t="inlineStr">
        <is>
          <t>TKM</t>
        </is>
      </c>
      <c r="FO160" t="inlineStr">
        <is>
          <t>TKM</t>
        </is>
      </c>
      <c r="FP160" t="inlineStr">
        <is>
          <t>TKM</t>
        </is>
      </c>
      <c r="FQ160" t="inlineStr">
        <is>
          <t>TKM</t>
        </is>
      </c>
      <c r="FR160" t="inlineStr">
        <is>
          <t>TKM</t>
        </is>
      </c>
      <c r="FS160" t="inlineStr">
        <is>
          <t>TKM</t>
        </is>
      </c>
      <c r="FT160" t="inlineStr">
        <is>
          <t>TKM</t>
        </is>
      </c>
      <c r="FU160" t="inlineStr">
        <is>
          <t>TKM</t>
        </is>
      </c>
      <c r="FV160" t="inlineStr">
        <is>
          <t>TKM</t>
        </is>
      </c>
      <c r="FW160" t="inlineStr">
        <is>
          <t>TKM</t>
        </is>
      </c>
      <c r="FX160" t="inlineStr">
        <is>
          <t>TKM</t>
        </is>
      </c>
      <c r="FY160" t="inlineStr">
        <is>
          <t>TKM</t>
        </is>
      </c>
      <c r="FZ160" t="inlineStr">
        <is>
          <t>TKM</t>
        </is>
      </c>
      <c r="GA160" t="inlineStr">
        <is>
          <t>TKM</t>
        </is>
      </c>
      <c r="GB160" t="inlineStr">
        <is>
          <t>TKM</t>
        </is>
      </c>
      <c r="GC160" t="inlineStr">
        <is>
          <t>TKM</t>
        </is>
      </c>
      <c r="GD160" t="inlineStr">
        <is>
          <t>TKM</t>
        </is>
      </c>
      <c r="GE160" t="inlineStr">
        <is>
          <t>TKM</t>
        </is>
      </c>
      <c r="GF160" t="inlineStr">
        <is>
          <t>TKM</t>
        </is>
      </c>
      <c r="GG160" t="inlineStr">
        <is>
          <t>UZB</t>
        </is>
      </c>
      <c r="GH160" t="inlineStr">
        <is>
          <t>UZB</t>
        </is>
      </c>
      <c r="GI160" t="inlineStr">
        <is>
          <t>UZB</t>
        </is>
      </c>
      <c r="GJ160" t="inlineStr">
        <is>
          <t>UZB</t>
        </is>
      </c>
      <c r="GK160" t="inlineStr">
        <is>
          <t>UZB</t>
        </is>
      </c>
      <c r="GL160" t="inlineStr">
        <is>
          <t>UZB</t>
        </is>
      </c>
      <c r="GM160" t="inlineStr">
        <is>
          <t>UZB</t>
        </is>
      </c>
      <c r="GN160" t="inlineStr">
        <is>
          <t>UZB</t>
        </is>
      </c>
      <c r="GO160" t="inlineStr">
        <is>
          <t>TJK</t>
        </is>
      </c>
      <c r="GP160" t="inlineStr">
        <is>
          <t>TJK</t>
        </is>
      </c>
      <c r="GQ160" t="inlineStr">
        <is>
          <t>TJK</t>
        </is>
      </c>
      <c r="GR160" t="inlineStr">
        <is>
          <t>TJK</t>
        </is>
      </c>
      <c r="GS160" t="inlineStr">
        <is>
          <t>TJK</t>
        </is>
      </c>
      <c r="GT160" t="inlineStr">
        <is>
          <t>TJK</t>
        </is>
      </c>
      <c r="GU160" t="inlineStr">
        <is>
          <t>TJK</t>
        </is>
      </c>
      <c r="GV160" t="inlineStr">
        <is>
          <t>TJK</t>
        </is>
      </c>
      <c r="GW160" t="inlineStr">
        <is>
          <t>TJK</t>
        </is>
      </c>
      <c r="GX160" t="inlineStr">
        <is>
          <t>TJK</t>
        </is>
      </c>
      <c r="GY160" t="inlineStr">
        <is>
          <t>TJK</t>
        </is>
      </c>
      <c r="GZ160" t="inlineStr">
        <is>
          <t>TJK</t>
        </is>
      </c>
      <c r="HA160" t="inlineStr">
        <is>
          <t>CHN</t>
        </is>
      </c>
      <c r="HB160" t="inlineStr">
        <is>
          <t>CHN</t>
        </is>
      </c>
      <c r="HC160" t="inlineStr">
        <is>
          <t>CHN</t>
        </is>
      </c>
      <c r="HD160" t="inlineStr">
        <is>
          <t>CHN</t>
        </is>
      </c>
      <c r="HE160" t="inlineStr">
        <is>
          <t>CHN</t>
        </is>
      </c>
      <c r="HF160" t="inlineStr">
        <is>
          <t>CHN</t>
        </is>
      </c>
      <c r="HG160" t="inlineStr">
        <is>
          <t>CHN</t>
        </is>
      </c>
      <c r="HH160" t="inlineStr">
        <is>
          <t>CHN</t>
        </is>
      </c>
      <c r="HI160" t="inlineStr">
        <is>
          <t>CHN</t>
        </is>
      </c>
      <c r="HJ160" t="inlineStr">
        <is>
          <t>CHN</t>
        </is>
      </c>
      <c r="HK160" t="inlineStr">
        <is>
          <t>CHN</t>
        </is>
      </c>
      <c r="HL160" t="inlineStr">
        <is>
          <t>CHN</t>
        </is>
      </c>
      <c r="HM160" t="inlineStr">
        <is>
          <t>CHN</t>
        </is>
      </c>
      <c r="HN160" t="inlineStr">
        <is>
          <t>CHN</t>
        </is>
      </c>
      <c r="HO160" t="inlineStr">
        <is>
          <t>CHN</t>
        </is>
      </c>
      <c r="HP160" t="inlineStr">
        <is>
          <t>CHN</t>
        </is>
      </c>
      <c r="HQ160" t="inlineStr">
        <is>
          <t>CHN</t>
        </is>
      </c>
      <c r="HR160" t="inlineStr">
        <is>
          <t>CHN</t>
        </is>
      </c>
      <c r="HS160" t="inlineStr">
        <is>
          <t>CHN</t>
        </is>
      </c>
      <c r="HT160" t="inlineStr">
        <is>
          <t>CHN</t>
        </is>
      </c>
      <c r="HU160" t="inlineStr">
        <is>
          <t>CHN</t>
        </is>
      </c>
      <c r="HV160" t="inlineStr">
        <is>
          <t>CHN</t>
        </is>
      </c>
      <c r="HW160" t="inlineStr">
        <is>
          <t>CHN</t>
        </is>
      </c>
      <c r="HX160" t="inlineStr">
        <is>
          <t>CHN</t>
        </is>
      </c>
      <c r="HY160" t="inlineStr">
        <is>
          <t>CHN</t>
        </is>
      </c>
      <c r="HZ160" t="inlineStr">
        <is>
          <t>CHN</t>
        </is>
      </c>
      <c r="IA160" t="inlineStr">
        <is>
          <t>CHN</t>
        </is>
      </c>
      <c r="IB160" t="inlineStr">
        <is>
          <t>CHN</t>
        </is>
      </c>
      <c r="IC160" t="inlineStr">
        <is>
          <t>CHN</t>
        </is>
      </c>
      <c r="ID160" t="inlineStr">
        <is>
          <t>CHN</t>
        </is>
      </c>
      <c r="IE160" t="inlineStr">
        <is>
          <t>CHN</t>
        </is>
      </c>
      <c r="IF160" t="inlineStr">
        <is>
          <t>CHN</t>
        </is>
      </c>
      <c r="IG160" t="inlineStr">
        <is>
          <t>CHN</t>
        </is>
      </c>
      <c r="IH160" t="inlineStr">
        <is>
          <t>CHN</t>
        </is>
      </c>
      <c r="II160" t="inlineStr">
        <is>
          <t>CHN</t>
        </is>
      </c>
      <c r="IJ160" t="inlineStr">
        <is>
          <t>CHN</t>
        </is>
      </c>
      <c r="IK160" t="inlineStr">
        <is>
          <t>CHN</t>
        </is>
      </c>
      <c r="IL160" t="inlineStr">
        <is>
          <t>CHN</t>
        </is>
      </c>
      <c r="IM160" t="inlineStr">
        <is>
          <t>CHN</t>
        </is>
      </c>
      <c r="IN160" t="inlineStr">
        <is>
          <t>CHN</t>
        </is>
      </c>
      <c r="IO160" t="inlineStr">
        <is>
          <t>CHN</t>
        </is>
      </c>
      <c r="IP160" t="inlineStr">
        <is>
          <t>CHN</t>
        </is>
      </c>
      <c r="IQ160" t="inlineStr">
        <is>
          <t>CHN</t>
        </is>
      </c>
      <c r="IR160" t="inlineStr">
        <is>
          <t>CHN</t>
        </is>
      </c>
      <c r="IS160" t="inlineStr">
        <is>
          <t>CHN</t>
        </is>
      </c>
      <c r="IT160" t="inlineStr">
        <is>
          <t>CHN</t>
        </is>
      </c>
      <c r="IU160" t="inlineStr">
        <is>
          <t>CHN</t>
        </is>
      </c>
      <c r="IV160" t="inlineStr">
        <is>
          <t>CHN</t>
        </is>
      </c>
      <c r="IW160" t="inlineStr">
        <is>
          <t>CHN</t>
        </is>
      </c>
      <c r="IX160" t="inlineStr">
        <is>
          <t>CHN</t>
        </is>
      </c>
      <c r="IY160" t="inlineStr">
        <is>
          <t>CHN</t>
        </is>
      </c>
      <c r="IZ160" t="inlineStr">
        <is>
          <t>CHN</t>
        </is>
      </c>
      <c r="JA160" t="inlineStr">
        <is>
          <t>CHN</t>
        </is>
      </c>
      <c r="JB160" t="inlineStr">
        <is>
          <t>CHN</t>
        </is>
      </c>
      <c r="JC160" t="inlineStr">
        <is>
          <t>CHN</t>
        </is>
      </c>
      <c r="JD160" t="inlineStr">
        <is>
          <t>CHN</t>
        </is>
      </c>
      <c r="JE160" t="inlineStr">
        <is>
          <t>CHN</t>
        </is>
      </c>
      <c r="JF160" t="inlineStr">
        <is>
          <t>CHN</t>
        </is>
      </c>
      <c r="JG160" t="inlineStr">
        <is>
          <t>CHN</t>
        </is>
      </c>
      <c r="JH160" t="inlineStr">
        <is>
          <t>CHN</t>
        </is>
      </c>
      <c r="JI160" t="inlineStr">
        <is>
          <t>CHN</t>
        </is>
      </c>
      <c r="JJ160" t="inlineStr">
        <is>
          <t>CHN</t>
        </is>
      </c>
      <c r="JK160" t="inlineStr">
        <is>
          <t>CHN</t>
        </is>
      </c>
      <c r="JL160" t="inlineStr">
        <is>
          <t>CHN</t>
        </is>
      </c>
      <c r="JM160" t="inlineStr">
        <is>
          <t>CHN</t>
        </is>
      </c>
      <c r="JN160" t="inlineStr">
        <is>
          <t>CHN</t>
        </is>
      </c>
      <c r="JO160" t="inlineStr">
        <is>
          <t>CHN</t>
        </is>
      </c>
      <c r="JP160" t="inlineStr">
        <is>
          <t>CHN</t>
        </is>
      </c>
      <c r="JQ160" t="inlineStr">
        <is>
          <t>CHN</t>
        </is>
      </c>
      <c r="JR160" t="inlineStr">
        <is>
          <t>CHN</t>
        </is>
      </c>
      <c r="JS160" t="inlineStr">
        <is>
          <t>CHN</t>
        </is>
      </c>
      <c r="JT160" t="inlineStr">
        <is>
          <t>CHN</t>
        </is>
      </c>
      <c r="JU160" t="inlineStr">
        <is>
          <t>CHN</t>
        </is>
      </c>
    </row>
    <row r="161">
      <c r="AR161" t="inlineStr">
        <is>
          <t>PRT</t>
        </is>
      </c>
      <c r="AS161" t="inlineStr">
        <is>
          <t>PRT</t>
        </is>
      </c>
      <c r="AT161" t="inlineStr">
        <is>
          <t>PRT</t>
        </is>
      </c>
      <c r="AU161" t="inlineStr">
        <is>
          <t>PRT</t>
        </is>
      </c>
      <c r="AV161" t="inlineStr">
        <is>
          <t>ESP</t>
        </is>
      </c>
      <c r="AW161" t="inlineStr">
        <is>
          <t>ESP</t>
        </is>
      </c>
      <c r="AX161" t="inlineStr">
        <is>
          <t>ESP</t>
        </is>
      </c>
      <c r="AY161" t="inlineStr">
        <is>
          <t>ESP</t>
        </is>
      </c>
      <c r="AZ161" t="inlineStr">
        <is>
          <t>ESP</t>
        </is>
      </c>
      <c r="BA161" t="inlineStr">
        <is>
          <t>ESP</t>
        </is>
      </c>
      <c r="BB161" t="inlineStr">
        <is>
          <t>ESP</t>
        </is>
      </c>
      <c r="BC161" t="inlineStr">
        <is>
          <t>ESP</t>
        </is>
      </c>
      <c r="BD161" t="inlineStr">
        <is>
          <t>ESP</t>
        </is>
      </c>
      <c r="BE161" t="inlineStr">
        <is>
          <t>ESP</t>
        </is>
      </c>
      <c r="BF161" t="inlineStr">
        <is>
          <t>ESP</t>
        </is>
      </c>
      <c r="BG161" t="inlineStr">
        <is>
          <t>ESP</t>
        </is>
      </c>
      <c r="BH161" t="inlineStr">
        <is>
          <t>ESP</t>
        </is>
      </c>
      <c r="BI161" t="inlineStr">
        <is>
          <t>ESP</t>
        </is>
      </c>
      <c r="CA161" t="inlineStr">
        <is>
          <t>ITA</t>
        </is>
      </c>
      <c r="CB161" t="inlineStr">
        <is>
          <t>ITA</t>
        </is>
      </c>
      <c r="CO161" t="inlineStr">
        <is>
          <t>ITA</t>
        </is>
      </c>
      <c r="CP161" t="inlineStr">
        <is>
          <t>ITA</t>
        </is>
      </c>
      <c r="CX161" t="inlineStr">
        <is>
          <t>ALB</t>
        </is>
      </c>
      <c r="CY161" t="inlineStr">
        <is>
          <t>GRC</t>
        </is>
      </c>
      <c r="CZ161" t="inlineStr">
        <is>
          <t>GRC</t>
        </is>
      </c>
      <c r="DA161" t="inlineStr">
        <is>
          <t>GRC</t>
        </is>
      </c>
      <c r="DB161" t="inlineStr">
        <is>
          <t>GRC</t>
        </is>
      </c>
      <c r="DC161" t="inlineStr">
        <is>
          <t>GRC</t>
        </is>
      </c>
      <c r="DK161" t="inlineStr">
        <is>
          <t>TUR</t>
        </is>
      </c>
      <c r="DL161" t="inlineStr">
        <is>
          <t>TUR</t>
        </is>
      </c>
      <c r="DM161" t="inlineStr">
        <is>
          <t>TUR</t>
        </is>
      </c>
      <c r="DN161" t="inlineStr">
        <is>
          <t>TUR</t>
        </is>
      </c>
      <c r="DO161" t="inlineStr">
        <is>
          <t>TUR</t>
        </is>
      </c>
      <c r="DP161" t="inlineStr">
        <is>
          <t>TUR</t>
        </is>
      </c>
      <c r="DQ161" t="inlineStr">
        <is>
          <t>TUR</t>
        </is>
      </c>
      <c r="DR161" t="inlineStr">
        <is>
          <t>TUR</t>
        </is>
      </c>
      <c r="DS161" t="inlineStr">
        <is>
          <t>TUR</t>
        </is>
      </c>
      <c r="DT161" t="inlineStr">
        <is>
          <t>TUR</t>
        </is>
      </c>
      <c r="DU161" t="inlineStr">
        <is>
          <t>TUR</t>
        </is>
      </c>
      <c r="DV161" t="inlineStr">
        <is>
          <t>TUR</t>
        </is>
      </c>
      <c r="DW161" t="inlineStr">
        <is>
          <t>TUR</t>
        </is>
      </c>
      <c r="DX161" t="inlineStr">
        <is>
          <t>TUR</t>
        </is>
      </c>
      <c r="DY161" t="inlineStr">
        <is>
          <t>TUR</t>
        </is>
      </c>
      <c r="DZ161" t="inlineStr">
        <is>
          <t>TUR</t>
        </is>
      </c>
      <c r="EA161" t="inlineStr">
        <is>
          <t>TUR</t>
        </is>
      </c>
      <c r="EB161" t="inlineStr">
        <is>
          <t>TUR</t>
        </is>
      </c>
      <c r="EC161" t="inlineStr">
        <is>
          <t>TUR</t>
        </is>
      </c>
      <c r="ED161" t="inlineStr">
        <is>
          <t>TUR</t>
        </is>
      </c>
      <c r="EE161" t="inlineStr">
        <is>
          <t>TUR</t>
        </is>
      </c>
      <c r="EF161" t="inlineStr">
        <is>
          <t>TUR</t>
        </is>
      </c>
      <c r="EG161" t="inlineStr">
        <is>
          <t>TUR</t>
        </is>
      </c>
      <c r="EH161" t="inlineStr">
        <is>
          <t>TUR</t>
        </is>
      </c>
      <c r="EI161" t="inlineStr">
        <is>
          <t>TUR</t>
        </is>
      </c>
      <c r="EJ161" t="inlineStr">
        <is>
          <t>TUR</t>
        </is>
      </c>
      <c r="EK161" t="inlineStr">
        <is>
          <t>TUR</t>
        </is>
      </c>
      <c r="EL161" t="inlineStr">
        <is>
          <t>TUR</t>
        </is>
      </c>
      <c r="EM161" t="inlineStr">
        <is>
          <t>TUR</t>
        </is>
      </c>
      <c r="EN161" t="inlineStr">
        <is>
          <t>TUR</t>
        </is>
      </c>
      <c r="EO161" t="inlineStr">
        <is>
          <t>TUR</t>
        </is>
      </c>
      <c r="EP161" t="inlineStr">
        <is>
          <t>TUR</t>
        </is>
      </c>
      <c r="EQ161" t="inlineStr">
        <is>
          <t>TUR</t>
        </is>
      </c>
      <c r="ER161" t="inlineStr">
        <is>
          <t>TUR</t>
        </is>
      </c>
      <c r="ES161" t="inlineStr">
        <is>
          <t>TUR</t>
        </is>
      </c>
      <c r="ET161" t="inlineStr">
        <is>
          <t>TUR</t>
        </is>
      </c>
      <c r="EU161" t="inlineStr">
        <is>
          <t>ARM</t>
        </is>
      </c>
      <c r="EV161" t="inlineStr">
        <is>
          <t>ARM</t>
        </is>
      </c>
      <c r="EW161" t="inlineStr">
        <is>
          <t>ARM</t>
        </is>
      </c>
      <c r="EX161" t="inlineStr">
        <is>
          <t>AZE</t>
        </is>
      </c>
      <c r="EY161" t="inlineStr">
        <is>
          <t>AZE</t>
        </is>
      </c>
      <c r="EZ161" t="inlineStr">
        <is>
          <t>AZE</t>
        </is>
      </c>
      <c r="FA161" t="inlineStr">
        <is>
          <t>AZE</t>
        </is>
      </c>
      <c r="FB161" t="inlineStr">
        <is>
          <t>AZE</t>
        </is>
      </c>
      <c r="FC161" t="inlineStr">
        <is>
          <t>AZE</t>
        </is>
      </c>
      <c r="FD161" t="inlineStr">
        <is>
          <t>AZE</t>
        </is>
      </c>
      <c r="FM161" t="inlineStr">
        <is>
          <t>TKM</t>
        </is>
      </c>
      <c r="FN161" t="inlineStr">
        <is>
          <t>TKM</t>
        </is>
      </c>
      <c r="FO161" t="inlineStr">
        <is>
          <t>TKM</t>
        </is>
      </c>
      <c r="FP161" t="inlineStr">
        <is>
          <t>TKM</t>
        </is>
      </c>
      <c r="FQ161" t="inlineStr">
        <is>
          <t>TKM</t>
        </is>
      </c>
      <c r="FR161" t="inlineStr">
        <is>
          <t>TKM</t>
        </is>
      </c>
      <c r="FS161" t="inlineStr">
        <is>
          <t>TKM</t>
        </is>
      </c>
      <c r="FT161" t="inlineStr">
        <is>
          <t>TKM</t>
        </is>
      </c>
      <c r="FU161" t="inlineStr">
        <is>
          <t>TKM</t>
        </is>
      </c>
      <c r="FV161" t="inlineStr">
        <is>
          <t>TKM</t>
        </is>
      </c>
      <c r="FW161" t="inlineStr">
        <is>
          <t>TKM</t>
        </is>
      </c>
      <c r="FX161" t="inlineStr">
        <is>
          <t>TKM</t>
        </is>
      </c>
      <c r="FY161" t="inlineStr">
        <is>
          <t>TKM</t>
        </is>
      </c>
      <c r="FZ161" t="inlineStr">
        <is>
          <t>TKM</t>
        </is>
      </c>
      <c r="GA161" t="inlineStr">
        <is>
          <t>TKM</t>
        </is>
      </c>
      <c r="GB161" t="inlineStr">
        <is>
          <t>TKM</t>
        </is>
      </c>
      <c r="GC161" t="inlineStr">
        <is>
          <t>TKM</t>
        </is>
      </c>
      <c r="GD161" t="inlineStr">
        <is>
          <t>TKM</t>
        </is>
      </c>
      <c r="GE161" t="inlineStr">
        <is>
          <t>TKM</t>
        </is>
      </c>
      <c r="GF161" t="inlineStr">
        <is>
          <t>UZB</t>
        </is>
      </c>
      <c r="GG161" t="inlineStr">
        <is>
          <t>UZB</t>
        </is>
      </c>
      <c r="GH161" t="inlineStr">
        <is>
          <t>UZB</t>
        </is>
      </c>
      <c r="GI161" t="inlineStr">
        <is>
          <t>UZB</t>
        </is>
      </c>
      <c r="GJ161" t="inlineStr">
        <is>
          <t>UZB</t>
        </is>
      </c>
      <c r="GK161" t="inlineStr">
        <is>
          <t>UZB</t>
        </is>
      </c>
      <c r="GL161" t="inlineStr">
        <is>
          <t>UZB</t>
        </is>
      </c>
      <c r="GM161" t="inlineStr">
        <is>
          <t>UZB</t>
        </is>
      </c>
      <c r="GN161" t="inlineStr">
        <is>
          <t>UZB</t>
        </is>
      </c>
      <c r="GO161" t="inlineStr">
        <is>
          <t>UZB</t>
        </is>
      </c>
      <c r="GP161" t="inlineStr">
        <is>
          <t>UZB</t>
        </is>
      </c>
      <c r="GQ161" t="inlineStr">
        <is>
          <t>TJK</t>
        </is>
      </c>
      <c r="GR161" t="inlineStr">
        <is>
          <t>TJK</t>
        </is>
      </c>
      <c r="GS161" t="inlineStr">
        <is>
          <t>KGZ</t>
        </is>
      </c>
      <c r="GT161" t="inlineStr">
        <is>
          <t>KGZ</t>
        </is>
      </c>
      <c r="GU161" t="inlineStr">
        <is>
          <t>KGZ</t>
        </is>
      </c>
      <c r="GV161" t="inlineStr">
        <is>
          <t>KGZ</t>
        </is>
      </c>
      <c r="GW161" t="inlineStr">
        <is>
          <t>KGZ</t>
        </is>
      </c>
      <c r="GX161" t="inlineStr">
        <is>
          <t>KGZ</t>
        </is>
      </c>
      <c r="GY161" t="inlineStr">
        <is>
          <t>KGZ</t>
        </is>
      </c>
      <c r="GZ161" t="inlineStr">
        <is>
          <t>KGZ</t>
        </is>
      </c>
      <c r="HA161" t="inlineStr">
        <is>
          <t>KGZ</t>
        </is>
      </c>
      <c r="HB161" t="inlineStr">
        <is>
          <t>CHN</t>
        </is>
      </c>
      <c r="HC161" t="inlineStr">
        <is>
          <t>CHN</t>
        </is>
      </c>
      <c r="HD161" t="inlineStr">
        <is>
          <t>CHN</t>
        </is>
      </c>
      <c r="HE161" t="inlineStr">
        <is>
          <t>CHN</t>
        </is>
      </c>
      <c r="HF161" t="inlineStr">
        <is>
          <t>CHN</t>
        </is>
      </c>
      <c r="HG161" t="inlineStr">
        <is>
          <t>CHN</t>
        </is>
      </c>
      <c r="HH161" t="inlineStr">
        <is>
          <t>CHN</t>
        </is>
      </c>
      <c r="HI161" t="inlineStr">
        <is>
          <t>CHN</t>
        </is>
      </c>
      <c r="HJ161" t="inlineStr">
        <is>
          <t>CHN</t>
        </is>
      </c>
      <c r="HK161" t="inlineStr">
        <is>
          <t>CHN</t>
        </is>
      </c>
      <c r="HL161" t="inlineStr">
        <is>
          <t>CHN</t>
        </is>
      </c>
      <c r="HM161" t="inlineStr">
        <is>
          <t>CHN</t>
        </is>
      </c>
      <c r="HN161" t="inlineStr">
        <is>
          <t>CHN</t>
        </is>
      </c>
      <c r="HO161" t="inlineStr">
        <is>
          <t>CHN</t>
        </is>
      </c>
      <c r="HP161" t="inlineStr">
        <is>
          <t>CHN</t>
        </is>
      </c>
      <c r="HQ161" t="inlineStr">
        <is>
          <t>CHN</t>
        </is>
      </c>
      <c r="HR161" t="inlineStr">
        <is>
          <t>CHN</t>
        </is>
      </c>
      <c r="HS161" t="inlineStr">
        <is>
          <t>CHN</t>
        </is>
      </c>
      <c r="HT161" t="inlineStr">
        <is>
          <t>CHN</t>
        </is>
      </c>
      <c r="HU161" t="inlineStr">
        <is>
          <t>CHN</t>
        </is>
      </c>
      <c r="HV161" t="inlineStr">
        <is>
          <t>CHN</t>
        </is>
      </c>
      <c r="HW161" t="inlineStr">
        <is>
          <t>CHN</t>
        </is>
      </c>
      <c r="HX161" t="inlineStr">
        <is>
          <t>CHN</t>
        </is>
      </c>
      <c r="HY161" t="inlineStr">
        <is>
          <t>CHN</t>
        </is>
      </c>
      <c r="HZ161" t="inlineStr">
        <is>
          <t>CHN</t>
        </is>
      </c>
      <c r="IA161" t="inlineStr">
        <is>
          <t>CHN</t>
        </is>
      </c>
      <c r="IB161" t="inlineStr">
        <is>
          <t>CHN</t>
        </is>
      </c>
      <c r="IC161" t="inlineStr">
        <is>
          <t>CHN</t>
        </is>
      </c>
      <c r="ID161" t="inlineStr">
        <is>
          <t>CHN</t>
        </is>
      </c>
      <c r="IE161" t="inlineStr">
        <is>
          <t>CHN</t>
        </is>
      </c>
      <c r="IF161" t="inlineStr">
        <is>
          <t>CHN</t>
        </is>
      </c>
      <c r="IG161" t="inlineStr">
        <is>
          <t>CHN</t>
        </is>
      </c>
      <c r="IH161" t="inlineStr">
        <is>
          <t>CHN</t>
        </is>
      </c>
      <c r="II161" t="inlineStr">
        <is>
          <t>CHN</t>
        </is>
      </c>
      <c r="IJ161" t="inlineStr">
        <is>
          <t>CHN</t>
        </is>
      </c>
      <c r="IK161" t="inlineStr">
        <is>
          <t>CHN</t>
        </is>
      </c>
      <c r="IL161" t="inlineStr">
        <is>
          <t>CHN</t>
        </is>
      </c>
      <c r="IM161" t="inlineStr">
        <is>
          <t>CHN</t>
        </is>
      </c>
      <c r="IN161" t="inlineStr">
        <is>
          <t>CHN</t>
        </is>
      </c>
      <c r="IO161" t="inlineStr">
        <is>
          <t>CHN</t>
        </is>
      </c>
      <c r="IP161" t="inlineStr">
        <is>
          <t>CHN</t>
        </is>
      </c>
      <c r="IQ161" t="inlineStr">
        <is>
          <t>CHN</t>
        </is>
      </c>
      <c r="IR161" t="inlineStr">
        <is>
          <t>CHN</t>
        </is>
      </c>
      <c r="IS161" t="inlineStr">
        <is>
          <t>CHN</t>
        </is>
      </c>
      <c r="IT161" t="inlineStr">
        <is>
          <t>CHN</t>
        </is>
      </c>
      <c r="IU161" t="inlineStr">
        <is>
          <t>CHN</t>
        </is>
      </c>
      <c r="IV161" t="inlineStr">
        <is>
          <t>CHN</t>
        </is>
      </c>
      <c r="IW161" t="inlineStr">
        <is>
          <t>CHN</t>
        </is>
      </c>
      <c r="IX161" t="inlineStr">
        <is>
          <t>CHN</t>
        </is>
      </c>
      <c r="IY161" t="inlineStr">
        <is>
          <t>CHN</t>
        </is>
      </c>
      <c r="IZ161" t="inlineStr">
        <is>
          <t>CHN</t>
        </is>
      </c>
      <c r="JA161" t="inlineStr">
        <is>
          <t>CHN</t>
        </is>
      </c>
      <c r="JB161" t="inlineStr">
        <is>
          <t>CHN</t>
        </is>
      </c>
      <c r="JC161" t="inlineStr">
        <is>
          <t>CHN</t>
        </is>
      </c>
      <c r="JD161" t="inlineStr">
        <is>
          <t>CHN</t>
        </is>
      </c>
      <c r="JE161" t="inlineStr">
        <is>
          <t>CHN</t>
        </is>
      </c>
      <c r="JF161" t="inlineStr">
        <is>
          <t>CHN</t>
        </is>
      </c>
      <c r="JG161" t="inlineStr">
        <is>
          <t>CHN</t>
        </is>
      </c>
      <c r="JH161" t="inlineStr">
        <is>
          <t>CHN</t>
        </is>
      </c>
      <c r="JI161" t="inlineStr">
        <is>
          <t>CHN</t>
        </is>
      </c>
      <c r="JJ161" t="inlineStr">
        <is>
          <t>CHN</t>
        </is>
      </c>
      <c r="JK161" t="inlineStr">
        <is>
          <t>CHN</t>
        </is>
      </c>
      <c r="JL161" t="inlineStr">
        <is>
          <t>CHN</t>
        </is>
      </c>
      <c r="JM161" t="inlineStr">
        <is>
          <t>CHN</t>
        </is>
      </c>
      <c r="JN161" t="inlineStr">
        <is>
          <t>CHN</t>
        </is>
      </c>
      <c r="JO161" t="inlineStr">
        <is>
          <t>CHN</t>
        </is>
      </c>
      <c r="JP161" t="inlineStr">
        <is>
          <t>CHN</t>
        </is>
      </c>
      <c r="JQ161" t="inlineStr">
        <is>
          <t>CHN</t>
        </is>
      </c>
      <c r="JR161" t="inlineStr">
        <is>
          <t>CHN</t>
        </is>
      </c>
      <c r="JS161" t="inlineStr">
        <is>
          <t>CHN</t>
        </is>
      </c>
      <c r="JT161" t="inlineStr">
        <is>
          <t>CHN</t>
        </is>
      </c>
      <c r="JU161" t="inlineStr">
        <is>
          <t>CHN</t>
        </is>
      </c>
    </row>
    <row r="162">
      <c r="AR162" t="inlineStr">
        <is>
          <t>PRT</t>
        </is>
      </c>
      <c r="AS162" t="inlineStr">
        <is>
          <t>PRT</t>
        </is>
      </c>
      <c r="AT162" t="inlineStr">
        <is>
          <t>PRT</t>
        </is>
      </c>
      <c r="AU162" t="inlineStr">
        <is>
          <t>PRT</t>
        </is>
      </c>
      <c r="AV162" t="inlineStr">
        <is>
          <t>ESP</t>
        </is>
      </c>
      <c r="AW162" t="inlineStr">
        <is>
          <t>ESP</t>
        </is>
      </c>
      <c r="AX162" t="inlineStr">
        <is>
          <t>ESP</t>
        </is>
      </c>
      <c r="AY162" t="inlineStr">
        <is>
          <t>ESP</t>
        </is>
      </c>
      <c r="AZ162" t="inlineStr">
        <is>
          <t>ESP</t>
        </is>
      </c>
      <c r="BA162" t="inlineStr">
        <is>
          <t>ESP</t>
        </is>
      </c>
      <c r="BB162" t="inlineStr">
        <is>
          <t>ESP</t>
        </is>
      </c>
      <c r="BC162" t="inlineStr">
        <is>
          <t>ESP</t>
        </is>
      </c>
      <c r="BD162" t="inlineStr">
        <is>
          <t>ESP</t>
        </is>
      </c>
      <c r="BE162" t="inlineStr">
        <is>
          <t>ESP</t>
        </is>
      </c>
      <c r="BF162" t="inlineStr">
        <is>
          <t>ESP</t>
        </is>
      </c>
      <c r="BG162" t="inlineStr">
        <is>
          <t>ESP</t>
        </is>
      </c>
      <c r="BH162" t="inlineStr">
        <is>
          <t>ESP</t>
        </is>
      </c>
      <c r="BI162" t="inlineStr">
        <is>
          <t>ESP</t>
        </is>
      </c>
      <c r="CA162" t="inlineStr">
        <is>
          <t>ITA</t>
        </is>
      </c>
      <c r="CB162" t="inlineStr">
        <is>
          <t>ITA</t>
        </is>
      </c>
      <c r="CC162" t="inlineStr">
        <is>
          <t>ITA</t>
        </is>
      </c>
      <c r="CN162" t="inlineStr">
        <is>
          <t>ITA</t>
        </is>
      </c>
      <c r="CO162" t="inlineStr">
        <is>
          <t>ITA</t>
        </is>
      </c>
      <c r="CP162" t="inlineStr">
        <is>
          <t>ITA</t>
        </is>
      </c>
      <c r="CT162" t="inlineStr">
        <is>
          <t>ITA</t>
        </is>
      </c>
      <c r="CW162" t="inlineStr">
        <is>
          <t>ALB</t>
        </is>
      </c>
      <c r="CX162" t="inlineStr">
        <is>
          <t>ALB</t>
        </is>
      </c>
      <c r="CY162" t="inlineStr">
        <is>
          <t>GRC</t>
        </is>
      </c>
      <c r="CZ162" t="inlineStr">
        <is>
          <t>GRC</t>
        </is>
      </c>
      <c r="DA162" t="inlineStr">
        <is>
          <t>GRC</t>
        </is>
      </c>
      <c r="DB162" t="inlineStr">
        <is>
          <t>GRC</t>
        </is>
      </c>
      <c r="DD162" t="inlineStr">
        <is>
          <t>GRC</t>
        </is>
      </c>
      <c r="DE162" t="inlineStr">
        <is>
          <t>GRC</t>
        </is>
      </c>
      <c r="DF162" t="inlineStr">
        <is>
          <t>GRC</t>
        </is>
      </c>
      <c r="DL162" t="inlineStr">
        <is>
          <t>TUR</t>
        </is>
      </c>
      <c r="DM162" t="inlineStr">
        <is>
          <t>TUR</t>
        </is>
      </c>
      <c r="DN162" t="inlineStr">
        <is>
          <t>TUR</t>
        </is>
      </c>
      <c r="DO162" t="inlineStr">
        <is>
          <t>TUR</t>
        </is>
      </c>
      <c r="DP162" t="inlineStr">
        <is>
          <t>TUR</t>
        </is>
      </c>
      <c r="DQ162" t="inlineStr">
        <is>
          <t>TUR</t>
        </is>
      </c>
      <c r="DR162" t="inlineStr">
        <is>
          <t>TUR</t>
        </is>
      </c>
      <c r="DS162" t="inlineStr">
        <is>
          <t>TUR</t>
        </is>
      </c>
      <c r="DT162" t="inlineStr">
        <is>
          <t>TUR</t>
        </is>
      </c>
      <c r="DU162" t="inlineStr">
        <is>
          <t>TUR</t>
        </is>
      </c>
      <c r="DV162" t="inlineStr">
        <is>
          <t>TUR</t>
        </is>
      </c>
      <c r="DW162" t="inlineStr">
        <is>
          <t>TUR</t>
        </is>
      </c>
      <c r="DX162" t="inlineStr">
        <is>
          <t>TUR</t>
        </is>
      </c>
      <c r="DY162" t="inlineStr">
        <is>
          <t>TUR</t>
        </is>
      </c>
      <c r="DZ162" t="inlineStr">
        <is>
          <t>TUR</t>
        </is>
      </c>
      <c r="EA162" t="inlineStr">
        <is>
          <t>TUR</t>
        </is>
      </c>
      <c r="EB162" t="inlineStr">
        <is>
          <t>TUR</t>
        </is>
      </c>
      <c r="EC162" t="inlineStr">
        <is>
          <t>TUR</t>
        </is>
      </c>
      <c r="ED162" t="inlineStr">
        <is>
          <t>TUR</t>
        </is>
      </c>
      <c r="EE162" t="inlineStr">
        <is>
          <t>TUR</t>
        </is>
      </c>
      <c r="EF162" t="inlineStr">
        <is>
          <t>TUR</t>
        </is>
      </c>
      <c r="EG162" t="inlineStr">
        <is>
          <t>TUR</t>
        </is>
      </c>
      <c r="EH162" t="inlineStr">
        <is>
          <t>TUR</t>
        </is>
      </c>
      <c r="EI162" t="inlineStr">
        <is>
          <t>TUR</t>
        </is>
      </c>
      <c r="EJ162" t="inlineStr">
        <is>
          <t>TUR</t>
        </is>
      </c>
      <c r="EK162" t="inlineStr">
        <is>
          <t>TUR</t>
        </is>
      </c>
      <c r="EL162" t="inlineStr">
        <is>
          <t>TUR</t>
        </is>
      </c>
      <c r="EM162" t="inlineStr">
        <is>
          <t>TUR</t>
        </is>
      </c>
      <c r="EN162" t="inlineStr">
        <is>
          <t>TUR</t>
        </is>
      </c>
      <c r="EO162" t="inlineStr">
        <is>
          <t>TUR</t>
        </is>
      </c>
      <c r="EP162" t="inlineStr">
        <is>
          <t>TUR</t>
        </is>
      </c>
      <c r="EQ162" t="inlineStr">
        <is>
          <t>TUR</t>
        </is>
      </c>
      <c r="ER162" t="inlineStr">
        <is>
          <t>TUR</t>
        </is>
      </c>
      <c r="ES162" t="inlineStr">
        <is>
          <t>ARM</t>
        </is>
      </c>
      <c r="ET162" t="inlineStr">
        <is>
          <t>ARM</t>
        </is>
      </c>
      <c r="EU162" t="inlineStr">
        <is>
          <t>ARM</t>
        </is>
      </c>
      <c r="EV162" t="inlineStr">
        <is>
          <t>ARM</t>
        </is>
      </c>
      <c r="EW162" t="inlineStr">
        <is>
          <t>ARM</t>
        </is>
      </c>
      <c r="EX162" t="inlineStr">
        <is>
          <t>AZE</t>
        </is>
      </c>
      <c r="EY162" t="inlineStr">
        <is>
          <t>AZE</t>
        </is>
      </c>
      <c r="EZ162" t="inlineStr">
        <is>
          <t>AZE</t>
        </is>
      </c>
      <c r="FA162" t="inlineStr">
        <is>
          <t>AZE</t>
        </is>
      </c>
      <c r="FB162" t="inlineStr">
        <is>
          <t>AZE</t>
        </is>
      </c>
      <c r="FC162" t="inlineStr">
        <is>
          <t>AZE</t>
        </is>
      </c>
      <c r="FD162" t="inlineStr">
        <is>
          <t>AZE</t>
        </is>
      </c>
      <c r="FE162" t="inlineStr">
        <is>
          <t>AZE</t>
        </is>
      </c>
      <c r="FF162" t="inlineStr">
        <is>
          <t>AZE</t>
        </is>
      </c>
      <c r="FL162" t="inlineStr">
        <is>
          <t>TKM</t>
        </is>
      </c>
      <c r="FM162" t="inlineStr">
        <is>
          <t>TKM</t>
        </is>
      </c>
      <c r="FN162" t="inlineStr">
        <is>
          <t>TKM</t>
        </is>
      </c>
      <c r="FO162" t="inlineStr">
        <is>
          <t>TKM</t>
        </is>
      </c>
      <c r="FP162" t="inlineStr">
        <is>
          <t>TKM</t>
        </is>
      </c>
      <c r="FQ162" t="inlineStr">
        <is>
          <t>TKM</t>
        </is>
      </c>
      <c r="FR162" t="inlineStr">
        <is>
          <t>TKM</t>
        </is>
      </c>
      <c r="FS162" t="inlineStr">
        <is>
          <t>TKM</t>
        </is>
      </c>
      <c r="FT162" t="inlineStr">
        <is>
          <t>TKM</t>
        </is>
      </c>
      <c r="FU162" t="inlineStr">
        <is>
          <t>TKM</t>
        </is>
      </c>
      <c r="FV162" t="inlineStr">
        <is>
          <t>TKM</t>
        </is>
      </c>
      <c r="FW162" t="inlineStr">
        <is>
          <t>TKM</t>
        </is>
      </c>
      <c r="FX162" t="inlineStr">
        <is>
          <t>TKM</t>
        </is>
      </c>
      <c r="FY162" t="inlineStr">
        <is>
          <t>TKM</t>
        </is>
      </c>
      <c r="FZ162" t="inlineStr">
        <is>
          <t>TKM</t>
        </is>
      </c>
      <c r="GA162" t="inlineStr">
        <is>
          <t>TKM</t>
        </is>
      </c>
      <c r="GB162" t="inlineStr">
        <is>
          <t>TKM</t>
        </is>
      </c>
      <c r="GC162" t="inlineStr">
        <is>
          <t>TKM</t>
        </is>
      </c>
      <c r="GD162" t="inlineStr">
        <is>
          <t>TKM</t>
        </is>
      </c>
      <c r="GE162" t="inlineStr">
        <is>
          <t>UZB</t>
        </is>
      </c>
      <c r="GF162" t="inlineStr">
        <is>
          <t>UZB</t>
        </is>
      </c>
      <c r="GG162" t="inlineStr">
        <is>
          <t>UZB</t>
        </is>
      </c>
      <c r="GH162" t="inlineStr">
        <is>
          <t>UZB</t>
        </is>
      </c>
      <c r="GI162" t="inlineStr">
        <is>
          <t>UZB</t>
        </is>
      </c>
      <c r="GJ162" t="inlineStr">
        <is>
          <t>UZB</t>
        </is>
      </c>
      <c r="GK162" t="inlineStr">
        <is>
          <t>UZB</t>
        </is>
      </c>
      <c r="GL162" t="inlineStr">
        <is>
          <t>UZB</t>
        </is>
      </c>
      <c r="GM162" t="inlineStr">
        <is>
          <t>UZB</t>
        </is>
      </c>
      <c r="GN162" t="inlineStr">
        <is>
          <t>UZB</t>
        </is>
      </c>
      <c r="GO162" t="inlineStr">
        <is>
          <t>UZB</t>
        </is>
      </c>
      <c r="GP162" t="inlineStr">
        <is>
          <t>UZB</t>
        </is>
      </c>
      <c r="GQ162" t="inlineStr">
        <is>
          <t>UZB</t>
        </is>
      </c>
      <c r="GR162" t="inlineStr">
        <is>
          <t>TJK</t>
        </is>
      </c>
      <c r="GS162" t="inlineStr">
        <is>
          <t>TJK</t>
        </is>
      </c>
      <c r="GT162" t="inlineStr">
        <is>
          <t>TJK</t>
        </is>
      </c>
      <c r="GU162" t="inlineStr">
        <is>
          <t>UZB</t>
        </is>
      </c>
      <c r="GV162" t="inlineStr">
        <is>
          <t>UZB</t>
        </is>
      </c>
      <c r="GW162" t="inlineStr">
        <is>
          <t>UZB</t>
        </is>
      </c>
      <c r="GX162" t="inlineStr">
        <is>
          <t>KGZ</t>
        </is>
      </c>
      <c r="GY162" t="inlineStr">
        <is>
          <t>KGZ</t>
        </is>
      </c>
      <c r="GZ162" t="inlineStr">
        <is>
          <t>KGZ</t>
        </is>
      </c>
      <c r="HA162" t="inlineStr">
        <is>
          <t>KGZ</t>
        </is>
      </c>
      <c r="HB162" t="inlineStr">
        <is>
          <t>KGZ</t>
        </is>
      </c>
      <c r="HC162" t="inlineStr">
        <is>
          <t>CHN</t>
        </is>
      </c>
      <c r="HD162" t="inlineStr">
        <is>
          <t>CHN</t>
        </is>
      </c>
      <c r="HE162" t="inlineStr">
        <is>
          <t>CHN</t>
        </is>
      </c>
      <c r="HF162" t="inlineStr">
        <is>
          <t>CHN</t>
        </is>
      </c>
      <c r="HG162" t="inlineStr">
        <is>
          <t>CHN</t>
        </is>
      </c>
      <c r="HH162" t="inlineStr">
        <is>
          <t>CHN</t>
        </is>
      </c>
      <c r="HI162" t="inlineStr">
        <is>
          <t>CHN</t>
        </is>
      </c>
      <c r="HJ162" t="inlineStr">
        <is>
          <t>CHN</t>
        </is>
      </c>
      <c r="HK162" t="inlineStr">
        <is>
          <t>CHN</t>
        </is>
      </c>
      <c r="HL162" t="inlineStr">
        <is>
          <t>CHN</t>
        </is>
      </c>
      <c r="HM162" t="inlineStr">
        <is>
          <t>CHN</t>
        </is>
      </c>
      <c r="HN162" t="inlineStr">
        <is>
          <t>CHN</t>
        </is>
      </c>
      <c r="HO162" t="inlineStr">
        <is>
          <t>CHN</t>
        </is>
      </c>
      <c r="HP162" t="inlineStr">
        <is>
          <t>CHN</t>
        </is>
      </c>
      <c r="HQ162" t="inlineStr">
        <is>
          <t>CHN</t>
        </is>
      </c>
      <c r="HR162" t="inlineStr">
        <is>
          <t>CHN</t>
        </is>
      </c>
      <c r="HS162" t="inlineStr">
        <is>
          <t>CHN</t>
        </is>
      </c>
      <c r="HT162" t="inlineStr">
        <is>
          <t>CHN</t>
        </is>
      </c>
      <c r="HU162" t="inlineStr">
        <is>
          <t>CHN</t>
        </is>
      </c>
      <c r="HV162" t="inlineStr">
        <is>
          <t>CHN</t>
        </is>
      </c>
      <c r="HW162" t="inlineStr">
        <is>
          <t>CHN</t>
        </is>
      </c>
      <c r="HX162" t="inlineStr">
        <is>
          <t>CHN</t>
        </is>
      </c>
      <c r="HY162" t="inlineStr">
        <is>
          <t>CHN</t>
        </is>
      </c>
      <c r="HZ162" t="inlineStr">
        <is>
          <t>CHN</t>
        </is>
      </c>
      <c r="IA162" t="inlineStr">
        <is>
          <t>CHN</t>
        </is>
      </c>
      <c r="IB162" t="inlineStr">
        <is>
          <t>CHN</t>
        </is>
      </c>
      <c r="IC162" t="inlineStr">
        <is>
          <t>CHN</t>
        </is>
      </c>
      <c r="ID162" t="inlineStr">
        <is>
          <t>CHN</t>
        </is>
      </c>
      <c r="IE162" t="inlineStr">
        <is>
          <t>CHN</t>
        </is>
      </c>
      <c r="IF162" t="inlineStr">
        <is>
          <t>CHN</t>
        </is>
      </c>
      <c r="IG162" t="inlineStr">
        <is>
          <t>CHN</t>
        </is>
      </c>
      <c r="IH162" t="inlineStr">
        <is>
          <t>CHN</t>
        </is>
      </c>
      <c r="II162" t="inlineStr">
        <is>
          <t>CHN</t>
        </is>
      </c>
      <c r="IJ162" t="inlineStr">
        <is>
          <t>CHN</t>
        </is>
      </c>
      <c r="IK162" t="inlineStr">
        <is>
          <t>CHN</t>
        </is>
      </c>
      <c r="IL162" t="inlineStr">
        <is>
          <t>CHN</t>
        </is>
      </c>
      <c r="IM162" t="inlineStr">
        <is>
          <t>CHN</t>
        </is>
      </c>
      <c r="IN162" t="inlineStr">
        <is>
          <t>CHN</t>
        </is>
      </c>
      <c r="IO162" t="inlineStr">
        <is>
          <t>CHN</t>
        </is>
      </c>
      <c r="IP162" t="inlineStr">
        <is>
          <t>CHN</t>
        </is>
      </c>
      <c r="IQ162" t="inlineStr">
        <is>
          <t>CHN</t>
        </is>
      </c>
      <c r="IR162" t="inlineStr">
        <is>
          <t>CHN</t>
        </is>
      </c>
      <c r="IS162" t="inlineStr">
        <is>
          <t>CHN</t>
        </is>
      </c>
      <c r="IT162" t="inlineStr">
        <is>
          <t>CHN</t>
        </is>
      </c>
      <c r="IU162" t="inlineStr">
        <is>
          <t>CHN</t>
        </is>
      </c>
      <c r="IV162" t="inlineStr">
        <is>
          <t>CHN</t>
        </is>
      </c>
      <c r="IW162" t="inlineStr">
        <is>
          <t>CHN</t>
        </is>
      </c>
      <c r="IX162" t="inlineStr">
        <is>
          <t>CHN</t>
        </is>
      </c>
      <c r="IY162" t="inlineStr">
        <is>
          <t>CHN</t>
        </is>
      </c>
      <c r="IZ162" t="inlineStr">
        <is>
          <t>CHN</t>
        </is>
      </c>
      <c r="JA162" t="inlineStr">
        <is>
          <t>CHN</t>
        </is>
      </c>
      <c r="JB162" t="inlineStr">
        <is>
          <t>CHN</t>
        </is>
      </c>
      <c r="JC162" t="inlineStr">
        <is>
          <t>CHN</t>
        </is>
      </c>
      <c r="JD162" t="inlineStr">
        <is>
          <t>CHN</t>
        </is>
      </c>
      <c r="JE162" t="inlineStr">
        <is>
          <t>CHN</t>
        </is>
      </c>
      <c r="JF162" t="inlineStr">
        <is>
          <t>CHN</t>
        </is>
      </c>
      <c r="JG162" t="inlineStr">
        <is>
          <t>CHN</t>
        </is>
      </c>
      <c r="JH162" t="inlineStr">
        <is>
          <t>CHN</t>
        </is>
      </c>
      <c r="JI162" t="inlineStr">
        <is>
          <t>CHN</t>
        </is>
      </c>
      <c r="JJ162" t="inlineStr">
        <is>
          <t>CHN</t>
        </is>
      </c>
      <c r="JK162" t="inlineStr">
        <is>
          <t>CHN</t>
        </is>
      </c>
      <c r="JL162" t="inlineStr">
        <is>
          <t>CHN</t>
        </is>
      </c>
      <c r="JM162" t="inlineStr">
        <is>
          <t>CHN</t>
        </is>
      </c>
      <c r="JN162" t="inlineStr">
        <is>
          <t>CHN</t>
        </is>
      </c>
      <c r="JO162" t="inlineStr">
        <is>
          <t>CHN</t>
        </is>
      </c>
      <c r="JP162" t="inlineStr">
        <is>
          <t>CHN</t>
        </is>
      </c>
      <c r="JQ162" t="inlineStr">
        <is>
          <t>CHN</t>
        </is>
      </c>
      <c r="JR162" t="inlineStr">
        <is>
          <t>CHN</t>
        </is>
      </c>
      <c r="JS162" t="inlineStr">
        <is>
          <t>CHN</t>
        </is>
      </c>
      <c r="JT162" t="inlineStr">
        <is>
          <t>CHN</t>
        </is>
      </c>
      <c r="JU162" t="inlineStr">
        <is>
          <t>CHN</t>
        </is>
      </c>
    </row>
    <row r="163">
      <c r="AR163" t="inlineStr">
        <is>
          <t>PRT</t>
        </is>
      </c>
      <c r="AS163" t="inlineStr">
        <is>
          <t>PRT</t>
        </is>
      </c>
      <c r="AT163" t="inlineStr">
        <is>
          <t>PRT</t>
        </is>
      </c>
      <c r="AU163" t="inlineStr">
        <is>
          <t>PRT</t>
        </is>
      </c>
      <c r="AV163" t="inlineStr">
        <is>
          <t>ESP</t>
        </is>
      </c>
      <c r="AW163" t="inlineStr">
        <is>
          <t>ESP</t>
        </is>
      </c>
      <c r="AX163" t="inlineStr">
        <is>
          <t>ESP</t>
        </is>
      </c>
      <c r="AY163" t="inlineStr">
        <is>
          <t>ESP</t>
        </is>
      </c>
      <c r="AZ163" t="inlineStr">
        <is>
          <t>ESP</t>
        </is>
      </c>
      <c r="BA163" t="inlineStr">
        <is>
          <t>ESP</t>
        </is>
      </c>
      <c r="BB163" t="inlineStr">
        <is>
          <t>ESP</t>
        </is>
      </c>
      <c r="BC163" t="inlineStr">
        <is>
          <t>ESP</t>
        </is>
      </c>
      <c r="BD163" t="inlineStr">
        <is>
          <t>ESP</t>
        </is>
      </c>
      <c r="BE163" t="inlineStr">
        <is>
          <t>ESP</t>
        </is>
      </c>
      <c r="BF163" t="inlineStr">
        <is>
          <t>ESP</t>
        </is>
      </c>
      <c r="BG163" t="inlineStr">
        <is>
          <t>ESP</t>
        </is>
      </c>
      <c r="BH163" t="inlineStr">
        <is>
          <t>ESP</t>
        </is>
      </c>
      <c r="BI163" t="inlineStr">
        <is>
          <t>ESP</t>
        </is>
      </c>
      <c r="BJ163" t="inlineStr">
        <is>
          <t>ESP</t>
        </is>
      </c>
      <c r="BZ163" t="inlineStr">
        <is>
          <t>ITA</t>
        </is>
      </c>
      <c r="CA163" t="inlineStr">
        <is>
          <t>ITA</t>
        </is>
      </c>
      <c r="CB163" t="inlineStr">
        <is>
          <t>ITA</t>
        </is>
      </c>
      <c r="CL163" t="inlineStr">
        <is>
          <t>ITA</t>
        </is>
      </c>
      <c r="CM163" t="inlineStr">
        <is>
          <t>ITA</t>
        </is>
      </c>
      <c r="CN163" t="inlineStr">
        <is>
          <t>ITA</t>
        </is>
      </c>
      <c r="CO163" t="inlineStr">
        <is>
          <t>ITA</t>
        </is>
      </c>
      <c r="CP163" t="inlineStr">
        <is>
          <t>ITA</t>
        </is>
      </c>
      <c r="CQ163" t="inlineStr">
        <is>
          <t>ITA</t>
        </is>
      </c>
      <c r="CR163" t="inlineStr">
        <is>
          <t>ITA</t>
        </is>
      </c>
      <c r="CW163" t="inlineStr">
        <is>
          <t>ALB</t>
        </is>
      </c>
      <c r="CX163" t="inlineStr">
        <is>
          <t>ALB</t>
        </is>
      </c>
      <c r="CY163" t="inlineStr">
        <is>
          <t>ALB</t>
        </is>
      </c>
      <c r="CZ163" t="inlineStr">
        <is>
          <t>GRC</t>
        </is>
      </c>
      <c r="DA163" t="inlineStr">
        <is>
          <t>GRC</t>
        </is>
      </c>
      <c r="DB163" t="inlineStr">
        <is>
          <t>GRC</t>
        </is>
      </c>
      <c r="DC163" t="inlineStr">
        <is>
          <t>GRC</t>
        </is>
      </c>
      <c r="DD163" t="inlineStr">
        <is>
          <t>GRC</t>
        </is>
      </c>
      <c r="DE163" t="inlineStr">
        <is>
          <t>GRC</t>
        </is>
      </c>
      <c r="DJ163" t="inlineStr">
        <is>
          <t>TUR</t>
        </is>
      </c>
      <c r="DK163" t="inlineStr">
        <is>
          <t>TUR</t>
        </is>
      </c>
      <c r="DL163" t="inlineStr">
        <is>
          <t>TUR</t>
        </is>
      </c>
      <c r="DP163" t="inlineStr">
        <is>
          <t>TUR</t>
        </is>
      </c>
      <c r="DQ163" t="inlineStr">
        <is>
          <t>TUR</t>
        </is>
      </c>
      <c r="DR163" t="inlineStr">
        <is>
          <t>TUR</t>
        </is>
      </c>
      <c r="DS163" t="inlineStr">
        <is>
          <t>TUR</t>
        </is>
      </c>
      <c r="DT163" t="inlineStr">
        <is>
          <t>TUR</t>
        </is>
      </c>
      <c r="DU163" t="inlineStr">
        <is>
          <t>TUR</t>
        </is>
      </c>
      <c r="DV163" t="inlineStr">
        <is>
          <t>TUR</t>
        </is>
      </c>
      <c r="DW163" t="inlineStr">
        <is>
          <t>TUR</t>
        </is>
      </c>
      <c r="DX163" t="inlineStr">
        <is>
          <t>TUR</t>
        </is>
      </c>
      <c r="DY163" t="inlineStr">
        <is>
          <t>TUR</t>
        </is>
      </c>
      <c r="DZ163" t="inlineStr">
        <is>
          <t>TUR</t>
        </is>
      </c>
      <c r="EA163" t="inlineStr">
        <is>
          <t>TUR</t>
        </is>
      </c>
      <c r="EB163" t="inlineStr">
        <is>
          <t>TUR</t>
        </is>
      </c>
      <c r="EC163" t="inlineStr">
        <is>
          <t>TUR</t>
        </is>
      </c>
      <c r="ED163" t="inlineStr">
        <is>
          <t>TUR</t>
        </is>
      </c>
      <c r="EE163" t="inlineStr">
        <is>
          <t>TUR</t>
        </is>
      </c>
      <c r="EF163" t="inlineStr">
        <is>
          <t>TUR</t>
        </is>
      </c>
      <c r="EG163" t="inlineStr">
        <is>
          <t>TUR</t>
        </is>
      </c>
      <c r="EH163" t="inlineStr">
        <is>
          <t>TUR</t>
        </is>
      </c>
      <c r="EI163" t="inlineStr">
        <is>
          <t>TUR</t>
        </is>
      </c>
      <c r="EJ163" t="inlineStr">
        <is>
          <t>TUR</t>
        </is>
      </c>
      <c r="EK163" t="inlineStr">
        <is>
          <t>TUR</t>
        </is>
      </c>
      <c r="EL163" t="inlineStr">
        <is>
          <t>TUR</t>
        </is>
      </c>
      <c r="EM163" t="inlineStr">
        <is>
          <t>TUR</t>
        </is>
      </c>
      <c r="EN163" t="inlineStr">
        <is>
          <t>TUR</t>
        </is>
      </c>
      <c r="EO163" t="inlineStr">
        <is>
          <t>TUR</t>
        </is>
      </c>
      <c r="EP163" t="inlineStr">
        <is>
          <t>TUR</t>
        </is>
      </c>
      <c r="EQ163" t="inlineStr">
        <is>
          <t>TUR</t>
        </is>
      </c>
      <c r="ER163" t="inlineStr">
        <is>
          <t>TUR</t>
        </is>
      </c>
      <c r="ES163" t="inlineStr">
        <is>
          <t>ARM</t>
        </is>
      </c>
      <c r="ET163" t="inlineStr">
        <is>
          <t>ARM</t>
        </is>
      </c>
      <c r="EU163" t="inlineStr">
        <is>
          <t>ARM</t>
        </is>
      </c>
      <c r="EV163" t="inlineStr">
        <is>
          <t>ARM</t>
        </is>
      </c>
      <c r="EW163" t="inlineStr">
        <is>
          <t>AZE</t>
        </is>
      </c>
      <c r="EX163" t="inlineStr">
        <is>
          <t>AZE</t>
        </is>
      </c>
      <c r="EY163" t="inlineStr">
        <is>
          <t>AZE</t>
        </is>
      </c>
      <c r="EZ163" t="inlineStr">
        <is>
          <t>AZE</t>
        </is>
      </c>
      <c r="FA163" t="inlineStr">
        <is>
          <t>AZE</t>
        </is>
      </c>
      <c r="FB163" t="inlineStr">
        <is>
          <t>AZE</t>
        </is>
      </c>
      <c r="FC163" t="inlineStr">
        <is>
          <t>AZE</t>
        </is>
      </c>
      <c r="FD163" t="inlineStr">
        <is>
          <t>AZE</t>
        </is>
      </c>
      <c r="FL163" t="inlineStr">
        <is>
          <t>TKM</t>
        </is>
      </c>
      <c r="FN163" t="inlineStr">
        <is>
          <t>TKM</t>
        </is>
      </c>
      <c r="FO163" t="inlineStr">
        <is>
          <t>TKM</t>
        </is>
      </c>
      <c r="FP163" t="inlineStr">
        <is>
          <t>TKM</t>
        </is>
      </c>
      <c r="FQ163" t="inlineStr">
        <is>
          <t>TKM</t>
        </is>
      </c>
      <c r="FR163" t="inlineStr">
        <is>
          <t>TKM</t>
        </is>
      </c>
      <c r="FS163" t="inlineStr">
        <is>
          <t>TKM</t>
        </is>
      </c>
      <c r="FT163" t="inlineStr">
        <is>
          <t>TKM</t>
        </is>
      </c>
      <c r="FU163" t="inlineStr">
        <is>
          <t>TKM</t>
        </is>
      </c>
      <c r="FV163" t="inlineStr">
        <is>
          <t>TKM</t>
        </is>
      </c>
      <c r="FW163" t="inlineStr">
        <is>
          <t>TKM</t>
        </is>
      </c>
      <c r="FX163" t="inlineStr">
        <is>
          <t>TKM</t>
        </is>
      </c>
      <c r="FY163" t="inlineStr">
        <is>
          <t>TKM</t>
        </is>
      </c>
      <c r="FZ163" t="inlineStr">
        <is>
          <t>TKM</t>
        </is>
      </c>
      <c r="GA163" t="inlineStr">
        <is>
          <t>TKM</t>
        </is>
      </c>
      <c r="GB163" t="inlineStr">
        <is>
          <t>TKM</t>
        </is>
      </c>
      <c r="GC163" t="inlineStr">
        <is>
          <t>TKM</t>
        </is>
      </c>
      <c r="GD163" t="inlineStr">
        <is>
          <t>UZB</t>
        </is>
      </c>
      <c r="GE163" t="inlineStr">
        <is>
          <t>UZB</t>
        </is>
      </c>
      <c r="GF163" t="inlineStr">
        <is>
          <t>UZB</t>
        </is>
      </c>
      <c r="GG163" t="inlineStr">
        <is>
          <t>UZB</t>
        </is>
      </c>
      <c r="GH163" t="inlineStr">
        <is>
          <t>UZB</t>
        </is>
      </c>
      <c r="GI163" t="inlineStr">
        <is>
          <t>UZB</t>
        </is>
      </c>
      <c r="GJ163" t="inlineStr">
        <is>
          <t>UZB</t>
        </is>
      </c>
      <c r="GK163" t="inlineStr">
        <is>
          <t>UZB</t>
        </is>
      </c>
      <c r="GL163" t="inlineStr">
        <is>
          <t>UZB</t>
        </is>
      </c>
      <c r="GM163" t="inlineStr">
        <is>
          <t>UZB</t>
        </is>
      </c>
      <c r="GN163" t="inlineStr">
        <is>
          <t>UZB</t>
        </is>
      </c>
      <c r="GO163" t="inlineStr">
        <is>
          <t>UZB</t>
        </is>
      </c>
      <c r="GP163" t="inlineStr">
        <is>
          <t>KAZ</t>
        </is>
      </c>
      <c r="GQ163" t="inlineStr">
        <is>
          <t>UZB</t>
        </is>
      </c>
      <c r="GR163" t="inlineStr">
        <is>
          <t>UZB</t>
        </is>
      </c>
      <c r="GS163" t="inlineStr">
        <is>
          <t>TJK</t>
        </is>
      </c>
      <c r="GT163" t="inlineStr">
        <is>
          <t>TJK</t>
        </is>
      </c>
      <c r="GU163" t="inlineStr">
        <is>
          <t>UZB</t>
        </is>
      </c>
      <c r="GV163" t="inlineStr">
        <is>
          <t>UZB</t>
        </is>
      </c>
      <c r="GW163" t="inlineStr">
        <is>
          <t>UZB</t>
        </is>
      </c>
      <c r="GX163" t="inlineStr">
        <is>
          <t>UZB</t>
        </is>
      </c>
      <c r="GY163" t="inlineStr">
        <is>
          <t>UZB</t>
        </is>
      </c>
      <c r="GZ163" t="inlineStr">
        <is>
          <t>KGZ</t>
        </is>
      </c>
      <c r="HA163" t="inlineStr">
        <is>
          <t>KGZ</t>
        </is>
      </c>
      <c r="HB163" t="inlineStr">
        <is>
          <t>KGZ</t>
        </is>
      </c>
      <c r="HC163" t="inlineStr">
        <is>
          <t>KGZ</t>
        </is>
      </c>
      <c r="HD163" t="inlineStr">
        <is>
          <t>KGZ</t>
        </is>
      </c>
      <c r="HE163" t="inlineStr">
        <is>
          <t>KGZ</t>
        </is>
      </c>
      <c r="HF163" t="inlineStr">
        <is>
          <t>KGZ</t>
        </is>
      </c>
      <c r="HG163" t="inlineStr">
        <is>
          <t>CHN</t>
        </is>
      </c>
      <c r="HH163" t="inlineStr">
        <is>
          <t>CHN</t>
        </is>
      </c>
      <c r="HI163" t="inlineStr">
        <is>
          <t>CHN</t>
        </is>
      </c>
      <c r="HJ163" t="inlineStr">
        <is>
          <t>CHN</t>
        </is>
      </c>
      <c r="HK163" t="inlineStr">
        <is>
          <t>CHN</t>
        </is>
      </c>
      <c r="HL163" t="inlineStr">
        <is>
          <t>CHN</t>
        </is>
      </c>
      <c r="HM163" t="inlineStr">
        <is>
          <t>CHN</t>
        </is>
      </c>
      <c r="HN163" t="inlineStr">
        <is>
          <t>CHN</t>
        </is>
      </c>
      <c r="HO163" t="inlineStr">
        <is>
          <t>CHN</t>
        </is>
      </c>
      <c r="HP163" t="inlineStr">
        <is>
          <t>CHN</t>
        </is>
      </c>
      <c r="HQ163" t="inlineStr">
        <is>
          <t>CHN</t>
        </is>
      </c>
      <c r="HR163" t="inlineStr">
        <is>
          <t>CHN</t>
        </is>
      </c>
      <c r="HS163" t="inlineStr">
        <is>
          <t>CHN</t>
        </is>
      </c>
      <c r="HT163" t="inlineStr">
        <is>
          <t>CHN</t>
        </is>
      </c>
      <c r="HU163" t="inlineStr">
        <is>
          <t>CHN</t>
        </is>
      </c>
      <c r="HV163" t="inlineStr">
        <is>
          <t>CHN</t>
        </is>
      </c>
      <c r="HW163" t="inlineStr">
        <is>
          <t>CHN</t>
        </is>
      </c>
      <c r="HX163" t="inlineStr">
        <is>
          <t>CHN</t>
        </is>
      </c>
      <c r="HY163" t="inlineStr">
        <is>
          <t>CHN</t>
        </is>
      </c>
      <c r="HZ163" t="inlineStr">
        <is>
          <t>CHN</t>
        </is>
      </c>
      <c r="IA163" t="inlineStr">
        <is>
          <t>CHN</t>
        </is>
      </c>
      <c r="IB163" t="inlineStr">
        <is>
          <t>CHN</t>
        </is>
      </c>
      <c r="IC163" t="inlineStr">
        <is>
          <t>CHN</t>
        </is>
      </c>
      <c r="ID163" t="inlineStr">
        <is>
          <t>CHN</t>
        </is>
      </c>
      <c r="IE163" t="inlineStr">
        <is>
          <t>CHN</t>
        </is>
      </c>
      <c r="IF163" t="inlineStr">
        <is>
          <t>CHN</t>
        </is>
      </c>
      <c r="IG163" t="inlineStr">
        <is>
          <t>CHN</t>
        </is>
      </c>
      <c r="IH163" t="inlineStr">
        <is>
          <t>CHN</t>
        </is>
      </c>
      <c r="II163" t="inlineStr">
        <is>
          <t>CHN</t>
        </is>
      </c>
      <c r="IJ163" t="inlineStr">
        <is>
          <t>CHN</t>
        </is>
      </c>
      <c r="IK163" t="inlineStr">
        <is>
          <t>CHN</t>
        </is>
      </c>
      <c r="IL163" t="inlineStr">
        <is>
          <t>CHN</t>
        </is>
      </c>
      <c r="IM163" t="inlineStr">
        <is>
          <t>CHN</t>
        </is>
      </c>
      <c r="IN163" t="inlineStr">
        <is>
          <t>CHN</t>
        </is>
      </c>
      <c r="IO163" t="inlineStr">
        <is>
          <t>CHN</t>
        </is>
      </c>
      <c r="IP163" t="inlineStr">
        <is>
          <t>CHN</t>
        </is>
      </c>
      <c r="IQ163" t="inlineStr">
        <is>
          <t>CHN</t>
        </is>
      </c>
      <c r="IR163" t="inlineStr">
        <is>
          <t>CHN</t>
        </is>
      </c>
      <c r="IS163" t="inlineStr">
        <is>
          <t>CHN</t>
        </is>
      </c>
      <c r="IT163" t="inlineStr">
        <is>
          <t>CHN</t>
        </is>
      </c>
      <c r="IU163" t="inlineStr">
        <is>
          <t>CHN</t>
        </is>
      </c>
      <c r="IV163" t="inlineStr">
        <is>
          <t>CHN</t>
        </is>
      </c>
      <c r="IW163" t="inlineStr">
        <is>
          <t>CHN</t>
        </is>
      </c>
      <c r="IX163" t="inlineStr">
        <is>
          <t>CHN</t>
        </is>
      </c>
      <c r="IY163" t="inlineStr">
        <is>
          <t>CHN</t>
        </is>
      </c>
      <c r="IZ163" t="inlineStr">
        <is>
          <t>CHN</t>
        </is>
      </c>
      <c r="JA163" t="inlineStr">
        <is>
          <t>CHN</t>
        </is>
      </c>
      <c r="JB163" t="inlineStr">
        <is>
          <t>CHN</t>
        </is>
      </c>
      <c r="JC163" t="inlineStr">
        <is>
          <t>CHN</t>
        </is>
      </c>
      <c r="JD163" t="inlineStr">
        <is>
          <t>CHN</t>
        </is>
      </c>
      <c r="JE163" t="inlineStr">
        <is>
          <t>CHN</t>
        </is>
      </c>
      <c r="JF163" t="inlineStr">
        <is>
          <t>CHN</t>
        </is>
      </c>
      <c r="JG163" t="inlineStr">
        <is>
          <t>CHN</t>
        </is>
      </c>
      <c r="JH163" t="inlineStr">
        <is>
          <t>CHN</t>
        </is>
      </c>
      <c r="JI163" t="inlineStr">
        <is>
          <t>CHN</t>
        </is>
      </c>
      <c r="JJ163" t="inlineStr">
        <is>
          <t>CHN</t>
        </is>
      </c>
      <c r="JK163" t="inlineStr">
        <is>
          <t>CHN</t>
        </is>
      </c>
      <c r="JL163" t="inlineStr">
        <is>
          <t>CHN</t>
        </is>
      </c>
      <c r="JM163" t="inlineStr">
        <is>
          <t>CHN</t>
        </is>
      </c>
      <c r="JN163" t="inlineStr">
        <is>
          <t>CHN</t>
        </is>
      </c>
      <c r="JO163" t="inlineStr">
        <is>
          <t>CHN</t>
        </is>
      </c>
      <c r="JP163" t="inlineStr">
        <is>
          <t>CHN</t>
        </is>
      </c>
      <c r="JQ163" t="inlineStr">
        <is>
          <t>CHN</t>
        </is>
      </c>
      <c r="JR163" t="inlineStr">
        <is>
          <t>CHN</t>
        </is>
      </c>
      <c r="JS163" t="inlineStr">
        <is>
          <t>CHN</t>
        </is>
      </c>
      <c r="JT163" t="inlineStr">
        <is>
          <t>CHN</t>
        </is>
      </c>
      <c r="JU163" t="inlineStr">
        <is>
          <t>CHN</t>
        </is>
      </c>
    </row>
    <row r="164">
      <c r="AR164" t="inlineStr">
        <is>
          <t>PRT</t>
        </is>
      </c>
      <c r="AS164" t="inlineStr">
        <is>
          <t>PRT</t>
        </is>
      </c>
      <c r="AT164" t="inlineStr">
        <is>
          <t>PRT</t>
        </is>
      </c>
      <c r="AU164" t="inlineStr">
        <is>
          <t>PRT</t>
        </is>
      </c>
      <c r="AV164" t="inlineStr">
        <is>
          <t>PRT</t>
        </is>
      </c>
      <c r="AW164" t="inlineStr">
        <is>
          <t>ESP</t>
        </is>
      </c>
      <c r="AX164" t="inlineStr">
        <is>
          <t>ESP</t>
        </is>
      </c>
      <c r="AY164" t="inlineStr">
        <is>
          <t>ESP</t>
        </is>
      </c>
      <c r="AZ164" t="inlineStr">
        <is>
          <t>ESP</t>
        </is>
      </c>
      <c r="BA164" t="inlineStr">
        <is>
          <t>ESP</t>
        </is>
      </c>
      <c r="BB164" t="inlineStr">
        <is>
          <t>ESP</t>
        </is>
      </c>
      <c r="BC164" t="inlineStr">
        <is>
          <t>ESP</t>
        </is>
      </c>
      <c r="BD164" t="inlineStr">
        <is>
          <t>ESP</t>
        </is>
      </c>
      <c r="BE164" t="inlineStr">
        <is>
          <t>ESP</t>
        </is>
      </c>
      <c r="BF164" t="inlineStr">
        <is>
          <t>ESP</t>
        </is>
      </c>
      <c r="BG164" t="inlineStr">
        <is>
          <t>ESP</t>
        </is>
      </c>
      <c r="BH164" t="inlineStr">
        <is>
          <t>ESP</t>
        </is>
      </c>
      <c r="BI164" t="inlineStr">
        <is>
          <t>ESP</t>
        </is>
      </c>
      <c r="BJ164" t="inlineStr">
        <is>
          <t>ESP</t>
        </is>
      </c>
      <c r="BK164" t="inlineStr">
        <is>
          <t>ESP</t>
        </is>
      </c>
      <c r="BL164" t="inlineStr">
        <is>
          <t>ESP</t>
        </is>
      </c>
      <c r="BM164" t="inlineStr">
        <is>
          <t>ESP</t>
        </is>
      </c>
      <c r="CJ164" t="inlineStr">
        <is>
          <t>ITA</t>
        </is>
      </c>
      <c r="CK164" t="inlineStr">
        <is>
          <t>ITA</t>
        </is>
      </c>
      <c r="CL164" t="inlineStr">
        <is>
          <t>ITA</t>
        </is>
      </c>
      <c r="CM164" t="inlineStr">
        <is>
          <t>ITA</t>
        </is>
      </c>
      <c r="CN164" t="inlineStr">
        <is>
          <t>ITA</t>
        </is>
      </c>
      <c r="CO164" t="inlineStr">
        <is>
          <t>ITA</t>
        </is>
      </c>
      <c r="CP164" t="inlineStr">
        <is>
          <t>ITA</t>
        </is>
      </c>
      <c r="CW164" t="inlineStr">
        <is>
          <t>ALB</t>
        </is>
      </c>
      <c r="CX164" t="inlineStr">
        <is>
          <t>ALB</t>
        </is>
      </c>
      <c r="CY164" t="inlineStr">
        <is>
          <t>MKD</t>
        </is>
      </c>
      <c r="CZ164" t="inlineStr">
        <is>
          <t>MKD</t>
        </is>
      </c>
      <c r="DA164" t="inlineStr">
        <is>
          <t>MKD</t>
        </is>
      </c>
      <c r="DB164" t="inlineStr">
        <is>
          <t>MKD</t>
        </is>
      </c>
      <c r="DC164" t="inlineStr">
        <is>
          <t>GRC</t>
        </is>
      </c>
      <c r="DD164" t="inlineStr">
        <is>
          <t>GRC</t>
        </is>
      </c>
      <c r="DE164" t="inlineStr">
        <is>
          <t>GRC</t>
        </is>
      </c>
      <c r="DF164" t="inlineStr">
        <is>
          <t>GRC</t>
        </is>
      </c>
      <c r="DG164" t="inlineStr">
        <is>
          <t>GRC</t>
        </is>
      </c>
      <c r="DH164" t="inlineStr">
        <is>
          <t>BGR</t>
        </is>
      </c>
      <c r="DI164" t="inlineStr">
        <is>
          <t>GRC</t>
        </is>
      </c>
      <c r="DJ164" t="inlineStr">
        <is>
          <t>GRC</t>
        </is>
      </c>
      <c r="DK164" t="inlineStr">
        <is>
          <t>TUR</t>
        </is>
      </c>
      <c r="DL164" t="inlineStr">
        <is>
          <t>TUR</t>
        </is>
      </c>
      <c r="DM164" t="inlineStr">
        <is>
          <t>TUR</t>
        </is>
      </c>
      <c r="DN164" t="inlineStr">
        <is>
          <t>TUR</t>
        </is>
      </c>
      <c r="DO164" t="inlineStr">
        <is>
          <t>TUR</t>
        </is>
      </c>
      <c r="DU164" t="inlineStr">
        <is>
          <t>TUR</t>
        </is>
      </c>
      <c r="DV164" t="inlineStr">
        <is>
          <t>TUR</t>
        </is>
      </c>
      <c r="DW164" t="inlineStr">
        <is>
          <t>TUR</t>
        </is>
      </c>
      <c r="DX164" t="inlineStr">
        <is>
          <t>TUR</t>
        </is>
      </c>
      <c r="DY164" t="inlineStr">
        <is>
          <t>TUR</t>
        </is>
      </c>
      <c r="DZ164" t="inlineStr">
        <is>
          <t>TUR</t>
        </is>
      </c>
      <c r="EA164" t="inlineStr">
        <is>
          <t>TUR</t>
        </is>
      </c>
      <c r="EB164" t="inlineStr">
        <is>
          <t>TUR</t>
        </is>
      </c>
      <c r="EC164" t="inlineStr">
        <is>
          <t>TUR</t>
        </is>
      </c>
      <c r="ED164" t="inlineStr">
        <is>
          <t>TUR</t>
        </is>
      </c>
      <c r="EE164" t="inlineStr">
        <is>
          <t>TUR</t>
        </is>
      </c>
      <c r="EN164" t="inlineStr">
        <is>
          <t>TUR</t>
        </is>
      </c>
      <c r="EO164" t="inlineStr">
        <is>
          <t>TUR</t>
        </is>
      </c>
      <c r="EP164" t="inlineStr">
        <is>
          <t>TUR</t>
        </is>
      </c>
      <c r="EQ164" t="inlineStr">
        <is>
          <t>TUR</t>
        </is>
      </c>
      <c r="ER164" t="inlineStr">
        <is>
          <t>TUR</t>
        </is>
      </c>
      <c r="ES164" t="inlineStr">
        <is>
          <t>GEO</t>
        </is>
      </c>
      <c r="ET164" t="inlineStr">
        <is>
          <t>GEO</t>
        </is>
      </c>
      <c r="EU164" t="inlineStr">
        <is>
          <t>GEO</t>
        </is>
      </c>
      <c r="EV164" t="inlineStr">
        <is>
          <t>AZE</t>
        </is>
      </c>
      <c r="EW164" t="inlineStr">
        <is>
          <t>GEO</t>
        </is>
      </c>
      <c r="EX164" t="inlineStr">
        <is>
          <t>GEO</t>
        </is>
      </c>
      <c r="EY164" t="inlineStr">
        <is>
          <t>AZE</t>
        </is>
      </c>
      <c r="EZ164" t="inlineStr">
        <is>
          <t>AZE</t>
        </is>
      </c>
      <c r="FA164" t="inlineStr">
        <is>
          <t>RUS</t>
        </is>
      </c>
      <c r="FB164" t="inlineStr">
        <is>
          <t>AZE</t>
        </is>
      </c>
      <c r="FC164" t="inlineStr">
        <is>
          <t>AZE</t>
        </is>
      </c>
      <c r="FO164" t="inlineStr">
        <is>
          <t>TKM</t>
        </is>
      </c>
      <c r="FP164" t="inlineStr">
        <is>
          <t>TKM</t>
        </is>
      </c>
      <c r="FQ164" t="inlineStr">
        <is>
          <t>TKM</t>
        </is>
      </c>
      <c r="FR164" t="inlineStr">
        <is>
          <t>TKM</t>
        </is>
      </c>
      <c r="FS164" t="inlineStr">
        <is>
          <t>TKM</t>
        </is>
      </c>
      <c r="FT164" t="inlineStr">
        <is>
          <t>TKM</t>
        </is>
      </c>
      <c r="FU164" t="inlineStr">
        <is>
          <t>TKM</t>
        </is>
      </c>
      <c r="FV164" t="inlineStr">
        <is>
          <t>TKM</t>
        </is>
      </c>
      <c r="FW164" t="inlineStr">
        <is>
          <t>TKM</t>
        </is>
      </c>
      <c r="FX164" t="inlineStr">
        <is>
          <t>TKM</t>
        </is>
      </c>
      <c r="FY164" t="inlineStr">
        <is>
          <t>TKM</t>
        </is>
      </c>
      <c r="FZ164" t="inlineStr">
        <is>
          <t>TKM</t>
        </is>
      </c>
      <c r="GA164" t="inlineStr">
        <is>
          <t>UZB</t>
        </is>
      </c>
      <c r="GB164" t="inlineStr">
        <is>
          <t>TKM</t>
        </is>
      </c>
      <c r="GC164" t="inlineStr">
        <is>
          <t>UZB</t>
        </is>
      </c>
      <c r="GD164" t="inlineStr">
        <is>
          <t>UZB</t>
        </is>
      </c>
      <c r="GE164" t="inlineStr">
        <is>
          <t>UZB</t>
        </is>
      </c>
      <c r="GF164" t="inlineStr">
        <is>
          <t>UZB</t>
        </is>
      </c>
      <c r="GG164" t="inlineStr">
        <is>
          <t>UZB</t>
        </is>
      </c>
      <c r="GH164" t="inlineStr">
        <is>
          <t>UZB</t>
        </is>
      </c>
      <c r="GI164" t="inlineStr">
        <is>
          <t>UZB</t>
        </is>
      </c>
      <c r="GJ164" t="inlineStr">
        <is>
          <t>UZB</t>
        </is>
      </c>
      <c r="GK164" t="inlineStr">
        <is>
          <t>UZB</t>
        </is>
      </c>
      <c r="GL164" t="inlineStr">
        <is>
          <t>UZB</t>
        </is>
      </c>
      <c r="GM164" t="inlineStr">
        <is>
          <t>KAZ</t>
        </is>
      </c>
      <c r="GN164" t="inlineStr">
        <is>
          <t>KAZ</t>
        </is>
      </c>
      <c r="GO164" t="inlineStr">
        <is>
          <t>KAZ</t>
        </is>
      </c>
      <c r="GP164" t="inlineStr">
        <is>
          <t>KAZ</t>
        </is>
      </c>
      <c r="GQ164" t="inlineStr">
        <is>
          <t>KAZ</t>
        </is>
      </c>
      <c r="GR164" t="inlineStr">
        <is>
          <t>UZB</t>
        </is>
      </c>
      <c r="GS164" t="inlineStr">
        <is>
          <t>UZB</t>
        </is>
      </c>
      <c r="GT164" t="inlineStr">
        <is>
          <t>UZB</t>
        </is>
      </c>
      <c r="GU164" t="inlineStr">
        <is>
          <t>UZB</t>
        </is>
      </c>
      <c r="GV164" t="inlineStr">
        <is>
          <t>KGZ</t>
        </is>
      </c>
      <c r="GW164" t="inlineStr">
        <is>
          <t>UZB</t>
        </is>
      </c>
      <c r="GX164" t="inlineStr">
        <is>
          <t>KGZ</t>
        </is>
      </c>
      <c r="GY164" t="inlineStr">
        <is>
          <t>KGZ</t>
        </is>
      </c>
      <c r="GZ164" t="inlineStr">
        <is>
          <t>KGZ</t>
        </is>
      </c>
      <c r="HA164" t="inlineStr">
        <is>
          <t>KGZ</t>
        </is>
      </c>
      <c r="HB164" t="inlineStr">
        <is>
          <t>KGZ</t>
        </is>
      </c>
      <c r="HC164" t="inlineStr">
        <is>
          <t>KGZ</t>
        </is>
      </c>
      <c r="HD164" t="inlineStr">
        <is>
          <t>KGZ</t>
        </is>
      </c>
      <c r="HE164" t="inlineStr">
        <is>
          <t>KGZ</t>
        </is>
      </c>
      <c r="HF164" t="inlineStr">
        <is>
          <t>KGZ</t>
        </is>
      </c>
      <c r="HG164" t="inlineStr">
        <is>
          <t>KGZ</t>
        </is>
      </c>
      <c r="HH164" t="inlineStr">
        <is>
          <t>KGZ</t>
        </is>
      </c>
      <c r="HI164" t="inlineStr">
        <is>
          <t>KGZ</t>
        </is>
      </c>
      <c r="HJ164" t="inlineStr">
        <is>
          <t>CHN</t>
        </is>
      </c>
      <c r="HK164" t="inlineStr">
        <is>
          <t>CHN</t>
        </is>
      </c>
      <c r="HL164" t="inlineStr">
        <is>
          <t>CHN</t>
        </is>
      </c>
      <c r="HM164" t="inlineStr">
        <is>
          <t>CHN</t>
        </is>
      </c>
      <c r="HN164" t="inlineStr">
        <is>
          <t>CHN</t>
        </is>
      </c>
      <c r="HO164" t="inlineStr">
        <is>
          <t>CHN</t>
        </is>
      </c>
      <c r="HP164" t="inlineStr">
        <is>
          <t>CHN</t>
        </is>
      </c>
      <c r="HQ164" t="inlineStr">
        <is>
          <t>CHN</t>
        </is>
      </c>
      <c r="HR164" t="inlineStr">
        <is>
          <t>CHN</t>
        </is>
      </c>
      <c r="HS164" t="inlineStr">
        <is>
          <t>CHN</t>
        </is>
      </c>
      <c r="HT164" t="inlineStr">
        <is>
          <t>CHN</t>
        </is>
      </c>
      <c r="HU164" t="inlineStr">
        <is>
          <t>CHN</t>
        </is>
      </c>
      <c r="HV164" t="inlineStr">
        <is>
          <t>CHN</t>
        </is>
      </c>
      <c r="HW164" t="inlineStr">
        <is>
          <t>CHN</t>
        </is>
      </c>
      <c r="HX164" t="inlineStr">
        <is>
          <t>CHN</t>
        </is>
      </c>
      <c r="HY164" t="inlineStr">
        <is>
          <t>CHN</t>
        </is>
      </c>
      <c r="HZ164" t="inlineStr">
        <is>
          <t>CHN</t>
        </is>
      </c>
      <c r="IA164" t="inlineStr">
        <is>
          <t>CHN</t>
        </is>
      </c>
      <c r="IB164" t="inlineStr">
        <is>
          <t>CHN</t>
        </is>
      </c>
      <c r="IC164" t="inlineStr">
        <is>
          <t>CHN</t>
        </is>
      </c>
      <c r="ID164" t="inlineStr">
        <is>
          <t>CHN</t>
        </is>
      </c>
      <c r="IE164" t="inlineStr">
        <is>
          <t>CHN</t>
        </is>
      </c>
      <c r="IF164" t="inlineStr">
        <is>
          <t>CHN</t>
        </is>
      </c>
      <c r="IG164" t="inlineStr">
        <is>
          <t>CHN</t>
        </is>
      </c>
      <c r="IH164" t="inlineStr">
        <is>
          <t>CHN</t>
        </is>
      </c>
      <c r="II164" t="inlineStr">
        <is>
          <t>CHN</t>
        </is>
      </c>
      <c r="IJ164" t="inlineStr">
        <is>
          <t>CHN</t>
        </is>
      </c>
      <c r="IK164" t="inlineStr">
        <is>
          <t>CHN</t>
        </is>
      </c>
      <c r="IL164" t="inlineStr">
        <is>
          <t>CHN</t>
        </is>
      </c>
      <c r="IM164" t="inlineStr">
        <is>
          <t>CHN</t>
        </is>
      </c>
      <c r="IN164" t="inlineStr">
        <is>
          <t>CHN</t>
        </is>
      </c>
      <c r="IO164" t="inlineStr">
        <is>
          <t>CHN</t>
        </is>
      </c>
      <c r="IP164" t="inlineStr">
        <is>
          <t>CHN</t>
        </is>
      </c>
      <c r="IQ164" t="inlineStr">
        <is>
          <t>CHN</t>
        </is>
      </c>
      <c r="IR164" t="inlineStr">
        <is>
          <t>CHN</t>
        </is>
      </c>
      <c r="IS164" t="inlineStr">
        <is>
          <t>CHN</t>
        </is>
      </c>
      <c r="IT164" t="inlineStr">
        <is>
          <t>CHN</t>
        </is>
      </c>
      <c r="IU164" t="inlineStr">
        <is>
          <t>CHN</t>
        </is>
      </c>
      <c r="IV164" t="inlineStr">
        <is>
          <t>CHN</t>
        </is>
      </c>
      <c r="IW164" t="inlineStr">
        <is>
          <t>CHN</t>
        </is>
      </c>
      <c r="IX164" t="inlineStr">
        <is>
          <t>CHN</t>
        </is>
      </c>
      <c r="IY164" t="inlineStr">
        <is>
          <t>CHN</t>
        </is>
      </c>
      <c r="IZ164" t="inlineStr">
        <is>
          <t>CHN</t>
        </is>
      </c>
      <c r="JA164" t="inlineStr">
        <is>
          <t>CHN</t>
        </is>
      </c>
      <c r="JB164" t="inlineStr">
        <is>
          <t>CHN</t>
        </is>
      </c>
      <c r="JC164" t="inlineStr">
        <is>
          <t>CHN</t>
        </is>
      </c>
      <c r="JD164" t="inlineStr">
        <is>
          <t>CHN</t>
        </is>
      </c>
      <c r="JE164" t="inlineStr">
        <is>
          <t>CHN</t>
        </is>
      </c>
      <c r="JF164" t="inlineStr">
        <is>
          <t>CHN</t>
        </is>
      </c>
      <c r="JG164" t="inlineStr">
        <is>
          <t>CHN</t>
        </is>
      </c>
      <c r="JH164" t="inlineStr">
        <is>
          <t>CHN</t>
        </is>
      </c>
      <c r="JI164" t="inlineStr">
        <is>
          <t>CHN</t>
        </is>
      </c>
      <c r="JJ164" t="inlineStr">
        <is>
          <t>CHN</t>
        </is>
      </c>
      <c r="JK164" t="inlineStr">
        <is>
          <t>CHN</t>
        </is>
      </c>
      <c r="JL164" t="inlineStr">
        <is>
          <t>CHN</t>
        </is>
      </c>
      <c r="JM164" t="inlineStr">
        <is>
          <t>CHN</t>
        </is>
      </c>
      <c r="JN164" t="inlineStr">
        <is>
          <t>CHN</t>
        </is>
      </c>
      <c r="JO164" t="inlineStr">
        <is>
          <t>CHN</t>
        </is>
      </c>
      <c r="JP164" t="inlineStr">
        <is>
          <t>CHN</t>
        </is>
      </c>
      <c r="JQ164" t="inlineStr">
        <is>
          <t>CHN</t>
        </is>
      </c>
      <c r="JR164" t="inlineStr">
        <is>
          <t>CHN</t>
        </is>
      </c>
      <c r="JS164" t="inlineStr">
        <is>
          <t>CHN</t>
        </is>
      </c>
      <c r="JT164" t="inlineStr">
        <is>
          <t>CHN</t>
        </is>
      </c>
      <c r="JU164" t="inlineStr">
        <is>
          <t>CHN</t>
        </is>
      </c>
    </row>
    <row r="165">
      <c r="AR165" t="inlineStr">
        <is>
          <t>PRT</t>
        </is>
      </c>
      <c r="AS165" t="inlineStr">
        <is>
          <t>PRT</t>
        </is>
      </c>
      <c r="AT165" t="inlineStr">
        <is>
          <t>PRT</t>
        </is>
      </c>
      <c r="AU165" t="inlineStr">
        <is>
          <t>PRT</t>
        </is>
      </c>
      <c r="AV165" t="inlineStr">
        <is>
          <t>PRT</t>
        </is>
      </c>
      <c r="AW165" t="inlineStr">
        <is>
          <t>ESP</t>
        </is>
      </c>
      <c r="AX165" t="inlineStr">
        <is>
          <t>ESP</t>
        </is>
      </c>
      <c r="AY165" t="inlineStr">
        <is>
          <t>ESP</t>
        </is>
      </c>
      <c r="AZ165" t="inlineStr">
        <is>
          <t>ESP</t>
        </is>
      </c>
      <c r="BA165" t="inlineStr">
        <is>
          <t>ESP</t>
        </is>
      </c>
      <c r="BB165" t="inlineStr">
        <is>
          <t>ESP</t>
        </is>
      </c>
      <c r="BC165" t="inlineStr">
        <is>
          <t>ESP</t>
        </is>
      </c>
      <c r="BD165" t="inlineStr">
        <is>
          <t>ESP</t>
        </is>
      </c>
      <c r="BE165" t="inlineStr">
        <is>
          <t>ESP</t>
        </is>
      </c>
      <c r="BF165" t="inlineStr">
        <is>
          <t>ESP</t>
        </is>
      </c>
      <c r="BG165" t="inlineStr">
        <is>
          <t>ESP</t>
        </is>
      </c>
      <c r="BH165" t="inlineStr">
        <is>
          <t>ESP</t>
        </is>
      </c>
      <c r="BI165" t="inlineStr">
        <is>
          <t>ESP</t>
        </is>
      </c>
      <c r="BJ165" t="inlineStr">
        <is>
          <t>ESP</t>
        </is>
      </c>
      <c r="BK165" t="inlineStr">
        <is>
          <t>ESP</t>
        </is>
      </c>
      <c r="BL165" t="inlineStr">
        <is>
          <t>ESP</t>
        </is>
      </c>
      <c r="BM165" t="inlineStr">
        <is>
          <t>ESP</t>
        </is>
      </c>
      <c r="BN165" t="inlineStr">
        <is>
          <t>ESP</t>
        </is>
      </c>
      <c r="BO165" t="inlineStr">
        <is>
          <t>ESP</t>
        </is>
      </c>
      <c r="CA165" t="inlineStr">
        <is>
          <t>FRA</t>
        </is>
      </c>
      <c r="CB165" t="inlineStr">
        <is>
          <t>FRA</t>
        </is>
      </c>
      <c r="CH165" t="inlineStr">
        <is>
          <t>ITA</t>
        </is>
      </c>
      <c r="CI165" t="inlineStr">
        <is>
          <t>ITA</t>
        </is>
      </c>
      <c r="CJ165" t="inlineStr">
        <is>
          <t>ITA</t>
        </is>
      </c>
      <c r="CK165" t="inlineStr">
        <is>
          <t>ITA</t>
        </is>
      </c>
      <c r="CL165" t="inlineStr">
        <is>
          <t>ITA</t>
        </is>
      </c>
      <c r="CM165" t="inlineStr">
        <is>
          <t>ITA</t>
        </is>
      </c>
      <c r="CN165" t="inlineStr">
        <is>
          <t>ITA</t>
        </is>
      </c>
      <c r="CO165" t="inlineStr">
        <is>
          <t>ITA</t>
        </is>
      </c>
      <c r="CW165" t="inlineStr">
        <is>
          <t>ALB</t>
        </is>
      </c>
      <c r="CX165" t="inlineStr">
        <is>
          <t>ALB</t>
        </is>
      </c>
      <c r="CY165" t="inlineStr">
        <is>
          <t>MKD</t>
        </is>
      </c>
      <c r="CZ165" t="inlineStr">
        <is>
          <t>MKD</t>
        </is>
      </c>
      <c r="DA165" t="inlineStr">
        <is>
          <t>MKD</t>
        </is>
      </c>
      <c r="DB165" t="inlineStr">
        <is>
          <t>MKD</t>
        </is>
      </c>
      <c r="DC165" t="inlineStr">
        <is>
          <t>MKD</t>
        </is>
      </c>
      <c r="DD165" t="inlineStr">
        <is>
          <t>BGR</t>
        </is>
      </c>
      <c r="DE165" t="inlineStr">
        <is>
          <t>BGR</t>
        </is>
      </c>
      <c r="DF165" t="inlineStr">
        <is>
          <t>BGR</t>
        </is>
      </c>
      <c r="DG165" t="inlineStr">
        <is>
          <t>BGR</t>
        </is>
      </c>
      <c r="DH165" t="inlineStr">
        <is>
          <t>BGR</t>
        </is>
      </c>
      <c r="DI165" t="inlineStr">
        <is>
          <t>BGR</t>
        </is>
      </c>
      <c r="DJ165" t="inlineStr">
        <is>
          <t>GRC</t>
        </is>
      </c>
      <c r="DK165" t="inlineStr">
        <is>
          <t>TUR</t>
        </is>
      </c>
      <c r="DL165" t="inlineStr">
        <is>
          <t>TUR</t>
        </is>
      </c>
      <c r="DM165" t="inlineStr">
        <is>
          <t>TUR</t>
        </is>
      </c>
      <c r="DW165" t="inlineStr">
        <is>
          <t>TUR</t>
        </is>
      </c>
      <c r="DX165" t="inlineStr">
        <is>
          <t>TUR</t>
        </is>
      </c>
      <c r="DY165" t="inlineStr">
        <is>
          <t>TUR</t>
        </is>
      </c>
      <c r="DZ165" t="inlineStr">
        <is>
          <t>TUR</t>
        </is>
      </c>
      <c r="EA165" t="inlineStr">
        <is>
          <t>TUR</t>
        </is>
      </c>
      <c r="EB165" t="inlineStr">
        <is>
          <t>TUR</t>
        </is>
      </c>
      <c r="EC165" t="inlineStr">
        <is>
          <t>TUR</t>
        </is>
      </c>
      <c r="EO165" t="inlineStr">
        <is>
          <t>GEO</t>
        </is>
      </c>
      <c r="EP165" t="inlineStr">
        <is>
          <t>GEO</t>
        </is>
      </c>
      <c r="EQ165" t="inlineStr">
        <is>
          <t>GEO</t>
        </is>
      </c>
      <c r="ER165" t="inlineStr">
        <is>
          <t>GEO</t>
        </is>
      </c>
      <c r="ES165" t="inlineStr">
        <is>
          <t>GEO</t>
        </is>
      </c>
      <c r="ET165" t="inlineStr">
        <is>
          <t>GEO</t>
        </is>
      </c>
      <c r="EU165" t="inlineStr">
        <is>
          <t>GEO</t>
        </is>
      </c>
      <c r="EV165" t="inlineStr">
        <is>
          <t>GEO</t>
        </is>
      </c>
      <c r="EW165" t="inlineStr">
        <is>
          <t>GEO</t>
        </is>
      </c>
      <c r="EX165" t="inlineStr">
        <is>
          <t>AZE</t>
        </is>
      </c>
      <c r="EY165" t="inlineStr">
        <is>
          <t>AZE</t>
        </is>
      </c>
      <c r="EZ165" t="inlineStr">
        <is>
          <t>RUS</t>
        </is>
      </c>
      <c r="FA165" t="inlineStr">
        <is>
          <t>RUS</t>
        </is>
      </c>
      <c r="FB165" t="inlineStr">
        <is>
          <t>RUS</t>
        </is>
      </c>
      <c r="FK165" t="inlineStr">
        <is>
          <t>TKM</t>
        </is>
      </c>
      <c r="FN165" t="inlineStr">
        <is>
          <t>TKM</t>
        </is>
      </c>
      <c r="FO165" t="inlineStr">
        <is>
          <t>TKM</t>
        </is>
      </c>
      <c r="FP165" t="inlineStr">
        <is>
          <t>KAZ</t>
        </is>
      </c>
      <c r="FQ165" t="inlineStr">
        <is>
          <t>KAZ</t>
        </is>
      </c>
      <c r="FR165" t="inlineStr">
        <is>
          <t>UZB</t>
        </is>
      </c>
      <c r="FS165" t="inlineStr">
        <is>
          <t>UZB</t>
        </is>
      </c>
      <c r="FT165" t="inlineStr">
        <is>
          <t>TKM</t>
        </is>
      </c>
      <c r="FU165" t="inlineStr">
        <is>
          <t>TKM</t>
        </is>
      </c>
      <c r="FV165" t="inlineStr">
        <is>
          <t>TKM</t>
        </is>
      </c>
      <c r="FW165" t="inlineStr">
        <is>
          <t>TKM</t>
        </is>
      </c>
      <c r="FX165" t="inlineStr">
        <is>
          <t>TKM</t>
        </is>
      </c>
      <c r="FY165" t="inlineStr">
        <is>
          <t>TKM</t>
        </is>
      </c>
      <c r="FZ165" t="inlineStr">
        <is>
          <t>UZB</t>
        </is>
      </c>
      <c r="GA165" t="inlineStr">
        <is>
          <t>UZB</t>
        </is>
      </c>
      <c r="GB165" t="inlineStr">
        <is>
          <t>UZB</t>
        </is>
      </c>
      <c r="GC165" t="inlineStr">
        <is>
          <t>UZB</t>
        </is>
      </c>
      <c r="GD165" t="inlineStr">
        <is>
          <t>UZB</t>
        </is>
      </c>
      <c r="GE165" t="inlineStr">
        <is>
          <t>UZB</t>
        </is>
      </c>
      <c r="GF165" t="inlineStr">
        <is>
          <t>UZB</t>
        </is>
      </c>
      <c r="GG165" t="inlineStr">
        <is>
          <t>UZB</t>
        </is>
      </c>
      <c r="GH165" t="inlineStr">
        <is>
          <t>UZB</t>
        </is>
      </c>
      <c r="GI165" t="inlineStr">
        <is>
          <t>UZB</t>
        </is>
      </c>
      <c r="GJ165" t="inlineStr">
        <is>
          <t>UZB</t>
        </is>
      </c>
      <c r="GK165" t="inlineStr">
        <is>
          <t>UZB</t>
        </is>
      </c>
      <c r="GL165" t="inlineStr">
        <is>
          <t>UZB</t>
        </is>
      </c>
      <c r="GM165" t="inlineStr">
        <is>
          <t>KAZ</t>
        </is>
      </c>
      <c r="GN165" t="inlineStr">
        <is>
          <t>KAZ</t>
        </is>
      </c>
      <c r="GO165" t="inlineStr">
        <is>
          <t>KAZ</t>
        </is>
      </c>
      <c r="GP165" t="inlineStr">
        <is>
          <t>KAZ</t>
        </is>
      </c>
      <c r="GQ165" t="inlineStr">
        <is>
          <t>KAZ</t>
        </is>
      </c>
      <c r="GR165" t="inlineStr">
        <is>
          <t>KAZ</t>
        </is>
      </c>
      <c r="GS165" t="inlineStr">
        <is>
          <t>KAZ</t>
        </is>
      </c>
      <c r="GT165" t="inlineStr">
        <is>
          <t>UZB</t>
        </is>
      </c>
      <c r="GU165" t="inlineStr">
        <is>
          <t>KGZ</t>
        </is>
      </c>
      <c r="GV165" t="inlineStr">
        <is>
          <t>KGZ</t>
        </is>
      </c>
      <c r="GW165" t="inlineStr">
        <is>
          <t>KGZ</t>
        </is>
      </c>
      <c r="GX165" t="inlineStr">
        <is>
          <t>KGZ</t>
        </is>
      </c>
      <c r="GY165" t="inlineStr">
        <is>
          <t>KGZ</t>
        </is>
      </c>
      <c r="GZ165" t="inlineStr">
        <is>
          <t>KGZ</t>
        </is>
      </c>
      <c r="HA165" t="inlineStr">
        <is>
          <t>KGZ</t>
        </is>
      </c>
      <c r="HB165" t="inlineStr">
        <is>
          <t>KGZ</t>
        </is>
      </c>
      <c r="HC165" t="inlineStr">
        <is>
          <t>KGZ</t>
        </is>
      </c>
      <c r="HD165" t="inlineStr">
        <is>
          <t>KGZ</t>
        </is>
      </c>
      <c r="HE165" t="inlineStr">
        <is>
          <t>KGZ</t>
        </is>
      </c>
      <c r="HF165" t="inlineStr">
        <is>
          <t>KGZ</t>
        </is>
      </c>
      <c r="HG165" t="inlineStr">
        <is>
          <t>KGZ</t>
        </is>
      </c>
      <c r="HH165" t="inlineStr">
        <is>
          <t>KGZ</t>
        </is>
      </c>
      <c r="HI165" t="inlineStr">
        <is>
          <t>KGZ</t>
        </is>
      </c>
      <c r="HJ165" t="inlineStr">
        <is>
          <t>KGZ</t>
        </is>
      </c>
      <c r="HK165" t="inlineStr">
        <is>
          <t>KGZ</t>
        </is>
      </c>
      <c r="HL165" t="inlineStr">
        <is>
          <t>CHN</t>
        </is>
      </c>
      <c r="HM165" t="inlineStr">
        <is>
          <t>CHN</t>
        </is>
      </c>
      <c r="HN165" t="inlineStr">
        <is>
          <t>CHN</t>
        </is>
      </c>
      <c r="HO165" t="inlineStr">
        <is>
          <t>CHN</t>
        </is>
      </c>
      <c r="HP165" t="inlineStr">
        <is>
          <t>CHN</t>
        </is>
      </c>
      <c r="HQ165" t="inlineStr">
        <is>
          <t>CHN</t>
        </is>
      </c>
      <c r="HR165" t="inlineStr">
        <is>
          <t>CHN</t>
        </is>
      </c>
      <c r="HS165" t="inlineStr">
        <is>
          <t>CHN</t>
        </is>
      </c>
      <c r="HT165" t="inlineStr">
        <is>
          <t>CHN</t>
        </is>
      </c>
      <c r="HU165" t="inlineStr">
        <is>
          <t>CHN</t>
        </is>
      </c>
      <c r="HV165" t="inlineStr">
        <is>
          <t>CHN</t>
        </is>
      </c>
      <c r="HW165" t="inlineStr">
        <is>
          <t>CHN</t>
        </is>
      </c>
      <c r="HX165" t="inlineStr">
        <is>
          <t>CHN</t>
        </is>
      </c>
      <c r="HY165" t="inlineStr">
        <is>
          <t>CHN</t>
        </is>
      </c>
      <c r="HZ165" t="inlineStr">
        <is>
          <t>CHN</t>
        </is>
      </c>
      <c r="IA165" t="inlineStr">
        <is>
          <t>CHN</t>
        </is>
      </c>
      <c r="IB165" t="inlineStr">
        <is>
          <t>CHN</t>
        </is>
      </c>
      <c r="IC165" t="inlineStr">
        <is>
          <t>CHN</t>
        </is>
      </c>
      <c r="ID165" t="inlineStr">
        <is>
          <t>CHN</t>
        </is>
      </c>
      <c r="IE165" t="inlineStr">
        <is>
          <t>CHN</t>
        </is>
      </c>
      <c r="IF165" t="inlineStr">
        <is>
          <t>CHN</t>
        </is>
      </c>
      <c r="IG165" t="inlineStr">
        <is>
          <t>CHN</t>
        </is>
      </c>
      <c r="IH165" t="inlineStr">
        <is>
          <t>CHN</t>
        </is>
      </c>
      <c r="II165" t="inlineStr">
        <is>
          <t>CHN</t>
        </is>
      </c>
      <c r="IJ165" t="inlineStr">
        <is>
          <t>CHN</t>
        </is>
      </c>
      <c r="IK165" t="inlineStr">
        <is>
          <t>CHN</t>
        </is>
      </c>
      <c r="IL165" t="inlineStr">
        <is>
          <t>CHN</t>
        </is>
      </c>
      <c r="IM165" t="inlineStr">
        <is>
          <t>CHN</t>
        </is>
      </c>
      <c r="IN165" t="inlineStr">
        <is>
          <t>CHN</t>
        </is>
      </c>
      <c r="IO165" t="inlineStr">
        <is>
          <t>CHN</t>
        </is>
      </c>
      <c r="IP165" t="inlineStr">
        <is>
          <t>CHN</t>
        </is>
      </c>
      <c r="IQ165" t="inlineStr">
        <is>
          <t>CHN</t>
        </is>
      </c>
      <c r="IR165" t="inlineStr">
        <is>
          <t>CHN</t>
        </is>
      </c>
      <c r="IS165" t="inlineStr">
        <is>
          <t>CHN</t>
        </is>
      </c>
      <c r="IT165" t="inlineStr">
        <is>
          <t>CHN</t>
        </is>
      </c>
      <c r="IU165" t="inlineStr">
        <is>
          <t>CHN</t>
        </is>
      </c>
      <c r="IV165" t="inlineStr">
        <is>
          <t>CHN</t>
        </is>
      </c>
      <c r="IW165" t="inlineStr">
        <is>
          <t>CHN</t>
        </is>
      </c>
      <c r="IX165" t="inlineStr">
        <is>
          <t>CHN</t>
        </is>
      </c>
      <c r="IY165" t="inlineStr">
        <is>
          <t>CHN</t>
        </is>
      </c>
      <c r="IZ165" t="inlineStr">
        <is>
          <t>CHN</t>
        </is>
      </c>
      <c r="JA165" t="inlineStr">
        <is>
          <t>CHN</t>
        </is>
      </c>
      <c r="JB165" t="inlineStr">
        <is>
          <t>CHN</t>
        </is>
      </c>
      <c r="JC165" t="inlineStr">
        <is>
          <t>CHN</t>
        </is>
      </c>
      <c r="JD165" t="inlineStr">
        <is>
          <t>CHN</t>
        </is>
      </c>
      <c r="JE165" t="inlineStr">
        <is>
          <t>CHN</t>
        </is>
      </c>
      <c r="JF165" t="inlineStr">
        <is>
          <t>CHN</t>
        </is>
      </c>
      <c r="JG165" t="inlineStr">
        <is>
          <t>CHN</t>
        </is>
      </c>
      <c r="JH165" t="inlineStr">
        <is>
          <t>CHN</t>
        </is>
      </c>
      <c r="JI165" t="inlineStr">
        <is>
          <t>CHN</t>
        </is>
      </c>
      <c r="JJ165" t="inlineStr">
        <is>
          <t>CHN</t>
        </is>
      </c>
      <c r="JK165" t="inlineStr">
        <is>
          <t>MNG</t>
        </is>
      </c>
      <c r="JL165" t="inlineStr">
        <is>
          <t>MNG</t>
        </is>
      </c>
      <c r="JM165" t="inlineStr">
        <is>
          <t>CHN</t>
        </is>
      </c>
      <c r="JN165" t="inlineStr">
        <is>
          <t>CHN</t>
        </is>
      </c>
      <c r="JO165" t="inlineStr">
        <is>
          <t>CHN</t>
        </is>
      </c>
      <c r="JP165" t="inlineStr">
        <is>
          <t>CHN</t>
        </is>
      </c>
      <c r="JQ165" t="inlineStr">
        <is>
          <t>CHN</t>
        </is>
      </c>
      <c r="JR165" t="inlineStr">
        <is>
          <t>CHN</t>
        </is>
      </c>
      <c r="JS165" t="inlineStr">
        <is>
          <t>CHN</t>
        </is>
      </c>
      <c r="JT165" t="inlineStr">
        <is>
          <t>CHN</t>
        </is>
      </c>
      <c r="JU165" t="inlineStr">
        <is>
          <t>CHN</t>
        </is>
      </c>
    </row>
    <row r="166">
      <c r="AR166" t="inlineStr">
        <is>
          <t>ESP</t>
        </is>
      </c>
      <c r="AS166" t="inlineStr">
        <is>
          <t>PRT</t>
        </is>
      </c>
      <c r="AT166" t="inlineStr">
        <is>
          <t>ESP</t>
        </is>
      </c>
      <c r="AU166" t="inlineStr">
        <is>
          <t>ESP</t>
        </is>
      </c>
      <c r="AV166" t="inlineStr">
        <is>
          <t>ESP</t>
        </is>
      </c>
      <c r="AW166" t="inlineStr">
        <is>
          <t>ESP</t>
        </is>
      </c>
      <c r="AX166" t="inlineStr">
        <is>
          <t>ESP</t>
        </is>
      </c>
      <c r="AY166" t="inlineStr">
        <is>
          <t>ESP</t>
        </is>
      </c>
      <c r="AZ166" t="inlineStr">
        <is>
          <t>ESP</t>
        </is>
      </c>
      <c r="BA166" t="inlineStr">
        <is>
          <t>ESP</t>
        </is>
      </c>
      <c r="BB166" t="inlineStr">
        <is>
          <t>ESP</t>
        </is>
      </c>
      <c r="BC166" t="inlineStr">
        <is>
          <t>ESP</t>
        </is>
      </c>
      <c r="BD166" t="inlineStr">
        <is>
          <t>ESP</t>
        </is>
      </c>
      <c r="BE166" t="inlineStr">
        <is>
          <t>ESP</t>
        </is>
      </c>
      <c r="BF166" t="inlineStr">
        <is>
          <t>ESP</t>
        </is>
      </c>
      <c r="BG166" t="inlineStr">
        <is>
          <t>ESP</t>
        </is>
      </c>
      <c r="BH166" t="inlineStr">
        <is>
          <t>ESP</t>
        </is>
      </c>
      <c r="BI166" t="inlineStr">
        <is>
          <t>ESP</t>
        </is>
      </c>
      <c r="BJ166" t="inlineStr">
        <is>
          <t>ESP</t>
        </is>
      </c>
      <c r="BK166" t="inlineStr">
        <is>
          <t>ESP</t>
        </is>
      </c>
      <c r="BL166" t="inlineStr">
        <is>
          <t>ESP</t>
        </is>
      </c>
      <c r="BM166" t="inlineStr">
        <is>
          <t>ESP</t>
        </is>
      </c>
      <c r="BN166" t="inlineStr">
        <is>
          <t>ESP</t>
        </is>
      </c>
      <c r="BO166" t="inlineStr">
        <is>
          <t>ESP</t>
        </is>
      </c>
      <c r="CA166" t="inlineStr">
        <is>
          <t>FRA</t>
        </is>
      </c>
      <c r="CB166" t="inlineStr">
        <is>
          <t>FRA</t>
        </is>
      </c>
      <c r="CG166" t="inlineStr">
        <is>
          <t>ITA</t>
        </is>
      </c>
      <c r="CH166" t="inlineStr">
        <is>
          <t>ITA</t>
        </is>
      </c>
      <c r="CI166" t="inlineStr">
        <is>
          <t>ITA</t>
        </is>
      </c>
      <c r="CJ166" t="inlineStr">
        <is>
          <t>ITA</t>
        </is>
      </c>
      <c r="CK166" t="inlineStr">
        <is>
          <t>ITA</t>
        </is>
      </c>
      <c r="CL166" t="inlineStr">
        <is>
          <t>ITA</t>
        </is>
      </c>
      <c r="CV166" t="inlineStr">
        <is>
          <t>MNE</t>
        </is>
      </c>
      <c r="CW166" t="inlineStr">
        <is>
          <t>ALB</t>
        </is>
      </c>
      <c r="CX166" t="inlineStr">
        <is>
          <t>ALB</t>
        </is>
      </c>
      <c r="CY166" t="inlineStr">
        <is>
          <t>XKX</t>
        </is>
      </c>
      <c r="CZ166" t="inlineStr">
        <is>
          <t>XKX</t>
        </is>
      </c>
      <c r="DA166" t="inlineStr">
        <is>
          <t>MKD</t>
        </is>
      </c>
      <c r="DB166" t="inlineStr">
        <is>
          <t>MKD</t>
        </is>
      </c>
      <c r="DC166" t="inlineStr">
        <is>
          <t>BGR</t>
        </is>
      </c>
      <c r="DD166" t="inlineStr">
        <is>
          <t>BGR</t>
        </is>
      </c>
      <c r="DE166" t="inlineStr">
        <is>
          <t>BGR</t>
        </is>
      </c>
      <c r="DF166" t="inlineStr">
        <is>
          <t>BGR</t>
        </is>
      </c>
      <c r="DG166" t="inlineStr">
        <is>
          <t>BGR</t>
        </is>
      </c>
      <c r="DH166" t="inlineStr">
        <is>
          <t>BGR</t>
        </is>
      </c>
      <c r="DI166" t="inlineStr">
        <is>
          <t>BGR</t>
        </is>
      </c>
      <c r="DJ166" t="inlineStr">
        <is>
          <t>BGR</t>
        </is>
      </c>
      <c r="DK166" t="inlineStr">
        <is>
          <t>BGR</t>
        </is>
      </c>
      <c r="DL166" t="inlineStr">
        <is>
          <t>BGR</t>
        </is>
      </c>
      <c r="DM166" t="inlineStr">
        <is>
          <t>BGR</t>
        </is>
      </c>
      <c r="EO166" t="inlineStr">
        <is>
          <t>GEO</t>
        </is>
      </c>
      <c r="EP166" t="inlineStr">
        <is>
          <t>GEO</t>
        </is>
      </c>
      <c r="EQ166" t="inlineStr">
        <is>
          <t>GEO</t>
        </is>
      </c>
      <c r="ER166" t="inlineStr">
        <is>
          <t>GEO</t>
        </is>
      </c>
      <c r="ES166" t="inlineStr">
        <is>
          <t>GEO</t>
        </is>
      </c>
      <c r="ET166" t="inlineStr">
        <is>
          <t>GEO</t>
        </is>
      </c>
      <c r="EU166" t="inlineStr">
        <is>
          <t>GEO</t>
        </is>
      </c>
      <c r="EV166" t="inlineStr">
        <is>
          <t>GEO</t>
        </is>
      </c>
      <c r="EW166" t="inlineStr">
        <is>
          <t>RUS</t>
        </is>
      </c>
      <c r="EX166" t="inlineStr">
        <is>
          <t>RUS</t>
        </is>
      </c>
      <c r="EY166" t="inlineStr">
        <is>
          <t>RUS</t>
        </is>
      </c>
      <c r="EZ166" t="inlineStr">
        <is>
          <t>RUS</t>
        </is>
      </c>
      <c r="FA166" t="inlineStr">
        <is>
          <t>RUS</t>
        </is>
      </c>
      <c r="FK166" t="inlineStr">
        <is>
          <t>KAZ</t>
        </is>
      </c>
      <c r="FL166" t="inlineStr">
        <is>
          <t>KAZ</t>
        </is>
      </c>
      <c r="FM166" t="inlineStr">
        <is>
          <t>TKM</t>
        </is>
      </c>
      <c r="FN166" t="inlineStr">
        <is>
          <t>TKM</t>
        </is>
      </c>
      <c r="FO166" t="inlineStr">
        <is>
          <t>KAZ</t>
        </is>
      </c>
      <c r="FP166" t="inlineStr">
        <is>
          <t>KAZ</t>
        </is>
      </c>
      <c r="FQ166" t="inlineStr">
        <is>
          <t>KAZ</t>
        </is>
      </c>
      <c r="FR166" t="inlineStr">
        <is>
          <t>UZB</t>
        </is>
      </c>
      <c r="FS166" t="inlineStr">
        <is>
          <t>UZB</t>
        </is>
      </c>
      <c r="FT166" t="inlineStr">
        <is>
          <t>UZB</t>
        </is>
      </c>
      <c r="FU166" t="inlineStr">
        <is>
          <t>UZB</t>
        </is>
      </c>
      <c r="FV166" t="inlineStr">
        <is>
          <t>TKM</t>
        </is>
      </c>
      <c r="FW166" t="inlineStr">
        <is>
          <t>TKM</t>
        </is>
      </c>
      <c r="FX166" t="inlineStr">
        <is>
          <t>TKM</t>
        </is>
      </c>
      <c r="FY166" t="inlineStr">
        <is>
          <t>TKM</t>
        </is>
      </c>
      <c r="FZ166" t="inlineStr">
        <is>
          <t>UZB</t>
        </is>
      </c>
      <c r="GA166" t="inlineStr">
        <is>
          <t>UZB</t>
        </is>
      </c>
      <c r="GB166" t="inlineStr">
        <is>
          <t>UZB</t>
        </is>
      </c>
      <c r="GC166" t="inlineStr">
        <is>
          <t>UZB</t>
        </is>
      </c>
      <c r="GD166" t="inlineStr">
        <is>
          <t>UZB</t>
        </is>
      </c>
      <c r="GE166" t="inlineStr">
        <is>
          <t>UZB</t>
        </is>
      </c>
      <c r="GF166" t="inlineStr">
        <is>
          <t>UZB</t>
        </is>
      </c>
      <c r="GG166" t="inlineStr">
        <is>
          <t>UZB</t>
        </is>
      </c>
      <c r="GH166" t="inlineStr">
        <is>
          <t>UZB</t>
        </is>
      </c>
      <c r="GI166" t="inlineStr">
        <is>
          <t>UZB</t>
        </is>
      </c>
      <c r="GJ166" t="inlineStr">
        <is>
          <t>UZB</t>
        </is>
      </c>
      <c r="GK166" t="inlineStr">
        <is>
          <t>UZB</t>
        </is>
      </c>
      <c r="GL166" t="inlineStr">
        <is>
          <t>KAZ</t>
        </is>
      </c>
      <c r="GM166" t="inlineStr">
        <is>
          <t>KAZ</t>
        </is>
      </c>
      <c r="GN166" t="inlineStr">
        <is>
          <t>KAZ</t>
        </is>
      </c>
      <c r="GO166" t="inlineStr">
        <is>
          <t>KAZ</t>
        </is>
      </c>
      <c r="GP166" t="inlineStr">
        <is>
          <t>KAZ</t>
        </is>
      </c>
      <c r="GQ166" t="inlineStr">
        <is>
          <t>KAZ</t>
        </is>
      </c>
      <c r="GR166" t="inlineStr">
        <is>
          <t>KAZ</t>
        </is>
      </c>
      <c r="GS166" t="inlineStr">
        <is>
          <t>KAZ</t>
        </is>
      </c>
      <c r="GT166" t="inlineStr">
        <is>
          <t>KAZ</t>
        </is>
      </c>
      <c r="GU166" t="inlineStr">
        <is>
          <t>KAZ</t>
        </is>
      </c>
      <c r="GV166" t="inlineStr">
        <is>
          <t>KGZ</t>
        </is>
      </c>
      <c r="GW166" t="inlineStr">
        <is>
          <t>KGZ</t>
        </is>
      </c>
      <c r="GX166" t="inlineStr">
        <is>
          <t>KGZ</t>
        </is>
      </c>
      <c r="GY166" t="inlineStr">
        <is>
          <t>KGZ</t>
        </is>
      </c>
      <c r="GZ166" t="inlineStr">
        <is>
          <t>KGZ</t>
        </is>
      </c>
      <c r="HA166" t="inlineStr">
        <is>
          <t>KGZ</t>
        </is>
      </c>
      <c r="HB166" t="inlineStr">
        <is>
          <t>KGZ</t>
        </is>
      </c>
      <c r="HC166" t="inlineStr">
        <is>
          <t>KGZ</t>
        </is>
      </c>
      <c r="HD166" t="inlineStr">
        <is>
          <t>KGZ</t>
        </is>
      </c>
      <c r="HE166" t="inlineStr">
        <is>
          <t>KGZ</t>
        </is>
      </c>
      <c r="HF166" t="inlineStr">
        <is>
          <t>KGZ</t>
        </is>
      </c>
      <c r="HG166" t="inlineStr">
        <is>
          <t>KGZ</t>
        </is>
      </c>
      <c r="HH166" t="inlineStr">
        <is>
          <t>KGZ</t>
        </is>
      </c>
      <c r="HI166" t="inlineStr">
        <is>
          <t>KGZ</t>
        </is>
      </c>
      <c r="HJ166" t="inlineStr">
        <is>
          <t>KGZ</t>
        </is>
      </c>
      <c r="HK166" t="inlineStr">
        <is>
          <t>KGZ</t>
        </is>
      </c>
      <c r="HL166" t="inlineStr">
        <is>
          <t>KGZ</t>
        </is>
      </c>
      <c r="HM166" t="inlineStr">
        <is>
          <t>KGZ</t>
        </is>
      </c>
      <c r="HN166" t="inlineStr">
        <is>
          <t>CHN</t>
        </is>
      </c>
      <c r="HO166" t="inlineStr">
        <is>
          <t>CHN</t>
        </is>
      </c>
      <c r="HP166" t="inlineStr">
        <is>
          <t>CHN</t>
        </is>
      </c>
      <c r="HQ166" t="inlineStr">
        <is>
          <t>CHN</t>
        </is>
      </c>
      <c r="HR166" t="inlineStr">
        <is>
          <t>CHN</t>
        </is>
      </c>
      <c r="HS166" t="inlineStr">
        <is>
          <t>CHN</t>
        </is>
      </c>
      <c r="HT166" t="inlineStr">
        <is>
          <t>CHN</t>
        </is>
      </c>
      <c r="HU166" t="inlineStr">
        <is>
          <t>CHN</t>
        </is>
      </c>
      <c r="HV166" t="inlineStr">
        <is>
          <t>CHN</t>
        </is>
      </c>
      <c r="HW166" t="inlineStr">
        <is>
          <t>CHN</t>
        </is>
      </c>
      <c r="HX166" t="inlineStr">
        <is>
          <t>CHN</t>
        </is>
      </c>
      <c r="HY166" t="inlineStr">
        <is>
          <t>CHN</t>
        </is>
      </c>
      <c r="HZ166" t="inlineStr">
        <is>
          <t>CHN</t>
        </is>
      </c>
      <c r="IA166" t="inlineStr">
        <is>
          <t>CHN</t>
        </is>
      </c>
      <c r="IB166" t="inlineStr">
        <is>
          <t>CHN</t>
        </is>
      </c>
      <c r="IC166" t="inlineStr">
        <is>
          <t>CHN</t>
        </is>
      </c>
      <c r="ID166" t="inlineStr">
        <is>
          <t>CHN</t>
        </is>
      </c>
      <c r="IE166" t="inlineStr">
        <is>
          <t>CHN</t>
        </is>
      </c>
      <c r="IF166" t="inlineStr">
        <is>
          <t>CHN</t>
        </is>
      </c>
      <c r="IG166" t="inlineStr">
        <is>
          <t>CHN</t>
        </is>
      </c>
      <c r="IH166" t="inlineStr">
        <is>
          <t>CHN</t>
        </is>
      </c>
      <c r="II166" t="inlineStr">
        <is>
          <t>CHN</t>
        </is>
      </c>
      <c r="IJ166" t="inlineStr">
        <is>
          <t>CHN</t>
        </is>
      </c>
      <c r="IK166" t="inlineStr">
        <is>
          <t>CHN</t>
        </is>
      </c>
      <c r="IL166" t="inlineStr">
        <is>
          <t>CHN</t>
        </is>
      </c>
      <c r="IM166" t="inlineStr">
        <is>
          <t>CHN</t>
        </is>
      </c>
      <c r="IN166" t="inlineStr">
        <is>
          <t>CHN</t>
        </is>
      </c>
      <c r="IO166" t="inlineStr">
        <is>
          <t>CHN</t>
        </is>
      </c>
      <c r="IP166" t="inlineStr">
        <is>
          <t>CHN</t>
        </is>
      </c>
      <c r="IQ166" t="inlineStr">
        <is>
          <t>CHN</t>
        </is>
      </c>
      <c r="IR166" t="inlineStr">
        <is>
          <t>CHN</t>
        </is>
      </c>
      <c r="IS166" t="inlineStr">
        <is>
          <t>CHN</t>
        </is>
      </c>
      <c r="IT166" t="inlineStr">
        <is>
          <t>CHN</t>
        </is>
      </c>
      <c r="IU166" t="inlineStr">
        <is>
          <t>CHN</t>
        </is>
      </c>
      <c r="IV166" t="inlineStr">
        <is>
          <t>CHN</t>
        </is>
      </c>
      <c r="IW166" t="inlineStr">
        <is>
          <t>CHN</t>
        </is>
      </c>
      <c r="IX166" t="inlineStr">
        <is>
          <t>CHN</t>
        </is>
      </c>
      <c r="IY166" t="inlineStr">
        <is>
          <t>CHN</t>
        </is>
      </c>
      <c r="IZ166" t="inlineStr">
        <is>
          <t>CHN</t>
        </is>
      </c>
      <c r="JA166" t="inlineStr">
        <is>
          <t>CHN</t>
        </is>
      </c>
      <c r="JB166" t="inlineStr">
        <is>
          <t>CHN</t>
        </is>
      </c>
      <c r="JC166" t="inlineStr">
        <is>
          <t>CHN</t>
        </is>
      </c>
      <c r="JD166" t="inlineStr">
        <is>
          <t>CHN</t>
        </is>
      </c>
      <c r="JE166" t="inlineStr">
        <is>
          <t>CHN</t>
        </is>
      </c>
      <c r="JF166" t="inlineStr">
        <is>
          <t>CHN</t>
        </is>
      </c>
      <c r="JG166" t="inlineStr">
        <is>
          <t>MNG</t>
        </is>
      </c>
      <c r="JH166" t="inlineStr">
        <is>
          <t>MNG</t>
        </is>
      </c>
      <c r="JI166" t="inlineStr">
        <is>
          <t>MNG</t>
        </is>
      </c>
      <c r="JJ166" t="inlineStr">
        <is>
          <t>MNG</t>
        </is>
      </c>
      <c r="JK166" t="inlineStr">
        <is>
          <t>MNG</t>
        </is>
      </c>
      <c r="JL166" t="inlineStr">
        <is>
          <t>MNG</t>
        </is>
      </c>
      <c r="JM166" t="inlineStr">
        <is>
          <t>MNG</t>
        </is>
      </c>
      <c r="JN166" t="inlineStr">
        <is>
          <t>MNG</t>
        </is>
      </c>
      <c r="JO166" t="inlineStr">
        <is>
          <t>CHN</t>
        </is>
      </c>
      <c r="JP166" t="inlineStr">
        <is>
          <t>CHN</t>
        </is>
      </c>
      <c r="JQ166" t="inlineStr">
        <is>
          <t>CHN</t>
        </is>
      </c>
      <c r="JR166" t="inlineStr">
        <is>
          <t>CHN</t>
        </is>
      </c>
      <c r="JS166" t="inlineStr">
        <is>
          <t>CHN</t>
        </is>
      </c>
      <c r="JT166" t="inlineStr">
        <is>
          <t>CHN</t>
        </is>
      </c>
      <c r="JU166" t="inlineStr">
        <is>
          <t>CHN</t>
        </is>
      </c>
    </row>
    <row r="167">
      <c r="AR167" t="inlineStr">
        <is>
          <t>ESP</t>
        </is>
      </c>
      <c r="AS167" t="inlineStr">
        <is>
          <t>ESP</t>
        </is>
      </c>
      <c r="AT167" t="inlineStr">
        <is>
          <t>ESP</t>
        </is>
      </c>
      <c r="AU167" t="inlineStr">
        <is>
          <t>ESP</t>
        </is>
      </c>
      <c r="AV167" t="inlineStr">
        <is>
          <t>ESP</t>
        </is>
      </c>
      <c r="AW167" t="inlineStr">
        <is>
          <t>ESP</t>
        </is>
      </c>
      <c r="AX167" t="inlineStr">
        <is>
          <t>ESP</t>
        </is>
      </c>
      <c r="AY167" t="inlineStr">
        <is>
          <t>ESP</t>
        </is>
      </c>
      <c r="AZ167" t="inlineStr">
        <is>
          <t>ESP</t>
        </is>
      </c>
      <c r="BA167" t="inlineStr">
        <is>
          <t>ESP</t>
        </is>
      </c>
      <c r="BB167" t="inlineStr">
        <is>
          <t>ESP</t>
        </is>
      </c>
      <c r="BC167" t="inlineStr">
        <is>
          <t>ESP</t>
        </is>
      </c>
      <c r="BD167" t="inlineStr">
        <is>
          <t>ESP</t>
        </is>
      </c>
      <c r="BE167" t="inlineStr">
        <is>
          <t>ESP</t>
        </is>
      </c>
      <c r="BF167" t="inlineStr">
        <is>
          <t>ESP</t>
        </is>
      </c>
      <c r="BG167" t="inlineStr">
        <is>
          <t>ESP</t>
        </is>
      </c>
      <c r="BH167" t="inlineStr">
        <is>
          <t>ESP</t>
        </is>
      </c>
      <c r="BI167" t="inlineStr">
        <is>
          <t>FRA</t>
        </is>
      </c>
      <c r="BJ167" t="inlineStr">
        <is>
          <t>FRA</t>
        </is>
      </c>
      <c r="BK167" t="inlineStr">
        <is>
          <t>ESP</t>
        </is>
      </c>
      <c r="BL167" t="inlineStr">
        <is>
          <t>FRA</t>
        </is>
      </c>
      <c r="BM167" t="inlineStr">
        <is>
          <t>FRA</t>
        </is>
      </c>
      <c r="BN167" t="inlineStr">
        <is>
          <t>FRA</t>
        </is>
      </c>
      <c r="BO167" t="inlineStr">
        <is>
          <t>FRA</t>
        </is>
      </c>
      <c r="CB167" t="inlineStr">
        <is>
          <t>FRA</t>
        </is>
      </c>
      <c r="CE167" t="inlineStr">
        <is>
          <t>ITA</t>
        </is>
      </c>
      <c r="CF167" t="inlineStr">
        <is>
          <t>ITA</t>
        </is>
      </c>
      <c r="CG167" t="inlineStr">
        <is>
          <t>ITA</t>
        </is>
      </c>
      <c r="CH167" t="inlineStr">
        <is>
          <t>ITA</t>
        </is>
      </c>
      <c r="CI167" t="inlineStr">
        <is>
          <t>ITA</t>
        </is>
      </c>
      <c r="CJ167" t="inlineStr">
        <is>
          <t>ITA</t>
        </is>
      </c>
      <c r="CK167" t="inlineStr">
        <is>
          <t>ITA</t>
        </is>
      </c>
      <c r="CT167" t="inlineStr">
        <is>
          <t>HRV</t>
        </is>
      </c>
      <c r="CU167" t="inlineStr">
        <is>
          <t>MNE</t>
        </is>
      </c>
      <c r="CV167" t="inlineStr">
        <is>
          <t>MNE</t>
        </is>
      </c>
      <c r="CW167" t="inlineStr">
        <is>
          <t>MNE</t>
        </is>
      </c>
      <c r="CX167" t="inlineStr">
        <is>
          <t>XKX</t>
        </is>
      </c>
      <c r="CY167" t="inlineStr">
        <is>
          <t>XKX</t>
        </is>
      </c>
      <c r="CZ167" t="inlineStr">
        <is>
          <t>XKX</t>
        </is>
      </c>
      <c r="DA167" t="inlineStr">
        <is>
          <t>SRB</t>
        </is>
      </c>
      <c r="DB167" t="inlineStr">
        <is>
          <t>SRB</t>
        </is>
      </c>
      <c r="DC167" t="inlineStr">
        <is>
          <t>BGR</t>
        </is>
      </c>
      <c r="DD167" t="inlineStr">
        <is>
          <t>BGR</t>
        </is>
      </c>
      <c r="DE167" t="inlineStr">
        <is>
          <t>BGR</t>
        </is>
      </c>
      <c r="DF167" t="inlineStr">
        <is>
          <t>BGR</t>
        </is>
      </c>
      <c r="DG167" t="inlineStr">
        <is>
          <t>BGR</t>
        </is>
      </c>
      <c r="DH167" t="inlineStr">
        <is>
          <t>BGR</t>
        </is>
      </c>
      <c r="DI167" t="inlineStr">
        <is>
          <t>BGR</t>
        </is>
      </c>
      <c r="DJ167" t="inlineStr">
        <is>
          <t>BGR</t>
        </is>
      </c>
      <c r="DK167" t="inlineStr">
        <is>
          <t>BGR</t>
        </is>
      </c>
      <c r="DL167" t="inlineStr">
        <is>
          <t>BGR</t>
        </is>
      </c>
      <c r="DM167" t="inlineStr">
        <is>
          <t>BGR</t>
        </is>
      </c>
      <c r="EO167" t="inlineStr">
        <is>
          <t>GEO</t>
        </is>
      </c>
      <c r="EP167" t="inlineStr">
        <is>
          <t>GEO</t>
        </is>
      </c>
      <c r="EQ167" t="inlineStr">
        <is>
          <t>GEO</t>
        </is>
      </c>
      <c r="ER167" t="inlineStr">
        <is>
          <t>GEO</t>
        </is>
      </c>
      <c r="ES167" t="inlineStr">
        <is>
          <t>RUS</t>
        </is>
      </c>
      <c r="ET167" t="inlineStr">
        <is>
          <t>RUS</t>
        </is>
      </c>
      <c r="EU167" t="inlineStr">
        <is>
          <t>RUS</t>
        </is>
      </c>
      <c r="EV167" t="inlineStr">
        <is>
          <t>RUS</t>
        </is>
      </c>
      <c r="EW167" t="inlineStr">
        <is>
          <t>RUS</t>
        </is>
      </c>
      <c r="EX167" t="inlineStr">
        <is>
          <t>RUS</t>
        </is>
      </c>
      <c r="EY167" t="inlineStr">
        <is>
          <t>RUS</t>
        </is>
      </c>
      <c r="EZ167" t="inlineStr">
        <is>
          <t>RUS</t>
        </is>
      </c>
      <c r="FK167" t="inlineStr">
        <is>
          <t>KAZ</t>
        </is>
      </c>
      <c r="FL167" t="inlineStr">
        <is>
          <t>KAZ</t>
        </is>
      </c>
      <c r="FM167" t="inlineStr">
        <is>
          <t>KAZ</t>
        </is>
      </c>
      <c r="FN167" t="inlineStr">
        <is>
          <t>KAZ</t>
        </is>
      </c>
      <c r="FO167" t="inlineStr">
        <is>
          <t>KAZ</t>
        </is>
      </c>
      <c r="FP167" t="inlineStr">
        <is>
          <t>KAZ</t>
        </is>
      </c>
      <c r="FQ167" t="inlineStr">
        <is>
          <t>KAZ</t>
        </is>
      </c>
      <c r="FR167" t="inlineStr">
        <is>
          <t>UZB</t>
        </is>
      </c>
      <c r="FS167" t="inlineStr">
        <is>
          <t>UZB</t>
        </is>
      </c>
      <c r="FT167" t="inlineStr">
        <is>
          <t>UZB</t>
        </is>
      </c>
      <c r="FU167" t="inlineStr">
        <is>
          <t>UZB</t>
        </is>
      </c>
      <c r="FV167" t="inlineStr">
        <is>
          <t>UZB</t>
        </is>
      </c>
      <c r="FW167" t="inlineStr">
        <is>
          <t>UZB</t>
        </is>
      </c>
      <c r="FX167" t="inlineStr">
        <is>
          <t>UZB</t>
        </is>
      </c>
      <c r="FY167" t="inlineStr">
        <is>
          <t>UZB</t>
        </is>
      </c>
      <c r="FZ167" t="inlineStr">
        <is>
          <t>UZB</t>
        </is>
      </c>
      <c r="GA167" t="inlineStr">
        <is>
          <t>UZB</t>
        </is>
      </c>
      <c r="GB167" t="inlineStr">
        <is>
          <t>UZB</t>
        </is>
      </c>
      <c r="GC167" t="inlineStr">
        <is>
          <t>UZB</t>
        </is>
      </c>
      <c r="GD167" t="inlineStr">
        <is>
          <t>UZB</t>
        </is>
      </c>
      <c r="GE167" t="inlineStr">
        <is>
          <t>UZB</t>
        </is>
      </c>
      <c r="GF167" t="inlineStr">
        <is>
          <t>UZB</t>
        </is>
      </c>
      <c r="GG167" t="inlineStr">
        <is>
          <t>UZB</t>
        </is>
      </c>
      <c r="GH167" t="inlineStr">
        <is>
          <t>UZB</t>
        </is>
      </c>
      <c r="GI167" t="inlineStr">
        <is>
          <t>UZB</t>
        </is>
      </c>
      <c r="GJ167" t="inlineStr">
        <is>
          <t>UZB</t>
        </is>
      </c>
      <c r="GK167" t="inlineStr">
        <is>
          <t>UZB</t>
        </is>
      </c>
      <c r="GL167" t="inlineStr">
        <is>
          <t>KAZ</t>
        </is>
      </c>
      <c r="GM167" t="inlineStr">
        <is>
          <t>KAZ</t>
        </is>
      </c>
      <c r="GN167" t="inlineStr">
        <is>
          <t>KAZ</t>
        </is>
      </c>
      <c r="GO167" t="inlineStr">
        <is>
          <t>KAZ</t>
        </is>
      </c>
      <c r="GP167" t="inlineStr">
        <is>
          <t>KAZ</t>
        </is>
      </c>
      <c r="GQ167" t="inlineStr">
        <is>
          <t>KAZ</t>
        </is>
      </c>
      <c r="GR167" t="inlineStr">
        <is>
          <t>KAZ</t>
        </is>
      </c>
      <c r="GS167" t="inlineStr">
        <is>
          <t>KAZ</t>
        </is>
      </c>
      <c r="GT167" t="inlineStr">
        <is>
          <t>KAZ</t>
        </is>
      </c>
      <c r="GU167" t="inlineStr">
        <is>
          <t>KAZ</t>
        </is>
      </c>
      <c r="GV167" t="inlineStr">
        <is>
          <t>KAZ</t>
        </is>
      </c>
      <c r="GW167" t="inlineStr">
        <is>
          <t>KGZ</t>
        </is>
      </c>
      <c r="GX167" t="inlineStr">
        <is>
          <t>KGZ</t>
        </is>
      </c>
      <c r="GY167" t="inlineStr">
        <is>
          <t>KAZ</t>
        </is>
      </c>
      <c r="GZ167" t="inlineStr">
        <is>
          <t>KAZ</t>
        </is>
      </c>
      <c r="HA167" t="inlineStr">
        <is>
          <t>KGZ</t>
        </is>
      </c>
      <c r="HB167" t="inlineStr">
        <is>
          <t>KGZ</t>
        </is>
      </c>
      <c r="HC167" t="inlineStr">
        <is>
          <t>KGZ</t>
        </is>
      </c>
      <c r="HD167" t="inlineStr">
        <is>
          <t>KGZ</t>
        </is>
      </c>
      <c r="HE167" t="inlineStr">
        <is>
          <t>KGZ</t>
        </is>
      </c>
      <c r="HF167" t="inlineStr">
        <is>
          <t>KGZ</t>
        </is>
      </c>
      <c r="HG167" t="inlineStr">
        <is>
          <t>KGZ</t>
        </is>
      </c>
      <c r="HH167" t="inlineStr">
        <is>
          <t>KGZ</t>
        </is>
      </c>
      <c r="HI167" t="inlineStr">
        <is>
          <t>KGZ</t>
        </is>
      </c>
      <c r="HJ167" t="inlineStr">
        <is>
          <t>KGZ</t>
        </is>
      </c>
      <c r="HK167" t="inlineStr">
        <is>
          <t>KGZ</t>
        </is>
      </c>
      <c r="HL167" t="inlineStr">
        <is>
          <t>KGZ</t>
        </is>
      </c>
      <c r="HM167" t="inlineStr">
        <is>
          <t>KAZ</t>
        </is>
      </c>
      <c r="HN167" t="inlineStr">
        <is>
          <t>CHN</t>
        </is>
      </c>
      <c r="HO167" t="inlineStr">
        <is>
          <t>CHN</t>
        </is>
      </c>
      <c r="HP167" t="inlineStr">
        <is>
          <t>CHN</t>
        </is>
      </c>
      <c r="HQ167" t="inlineStr">
        <is>
          <t>CHN</t>
        </is>
      </c>
      <c r="HR167" t="inlineStr">
        <is>
          <t>CHN</t>
        </is>
      </c>
      <c r="HS167" t="inlineStr">
        <is>
          <t>CHN</t>
        </is>
      </c>
      <c r="HT167" t="inlineStr">
        <is>
          <t>CHN</t>
        </is>
      </c>
      <c r="HU167" t="inlineStr">
        <is>
          <t>CHN</t>
        </is>
      </c>
      <c r="HV167" t="inlineStr">
        <is>
          <t>CHN</t>
        </is>
      </c>
      <c r="HW167" t="inlineStr">
        <is>
          <t>CHN</t>
        </is>
      </c>
      <c r="HX167" t="inlineStr">
        <is>
          <t>CHN</t>
        </is>
      </c>
      <c r="HY167" t="inlineStr">
        <is>
          <t>CHN</t>
        </is>
      </c>
      <c r="HZ167" t="inlineStr">
        <is>
          <t>CHN</t>
        </is>
      </c>
      <c r="IA167" t="inlineStr">
        <is>
          <t>CHN</t>
        </is>
      </c>
      <c r="IB167" t="inlineStr">
        <is>
          <t>CHN</t>
        </is>
      </c>
      <c r="IC167" t="inlineStr">
        <is>
          <t>CHN</t>
        </is>
      </c>
      <c r="ID167" t="inlineStr">
        <is>
          <t>CHN</t>
        </is>
      </c>
      <c r="IE167" t="inlineStr">
        <is>
          <t>CHN</t>
        </is>
      </c>
      <c r="IF167" t="inlineStr">
        <is>
          <t>CHN</t>
        </is>
      </c>
      <c r="IG167" t="inlineStr">
        <is>
          <t>CHN</t>
        </is>
      </c>
      <c r="IH167" t="inlineStr">
        <is>
          <t>CHN</t>
        </is>
      </c>
      <c r="II167" t="inlineStr">
        <is>
          <t>CHN</t>
        </is>
      </c>
      <c r="IJ167" t="inlineStr">
        <is>
          <t>CHN</t>
        </is>
      </c>
      <c r="IK167" t="inlineStr">
        <is>
          <t>CHN</t>
        </is>
      </c>
      <c r="IL167" t="inlineStr">
        <is>
          <t>CHN</t>
        </is>
      </c>
      <c r="IM167" t="inlineStr">
        <is>
          <t>CHN</t>
        </is>
      </c>
      <c r="IN167" t="inlineStr">
        <is>
          <t>CHN</t>
        </is>
      </c>
      <c r="IO167" t="inlineStr">
        <is>
          <t>CHN</t>
        </is>
      </c>
      <c r="IP167" t="inlineStr">
        <is>
          <t>CHN</t>
        </is>
      </c>
      <c r="IQ167" t="inlineStr">
        <is>
          <t>CHN</t>
        </is>
      </c>
      <c r="IR167" t="inlineStr">
        <is>
          <t>CHN</t>
        </is>
      </c>
      <c r="IS167" t="inlineStr">
        <is>
          <t>CHN</t>
        </is>
      </c>
      <c r="IT167" t="inlineStr">
        <is>
          <t>CHN</t>
        </is>
      </c>
      <c r="IU167" t="inlineStr">
        <is>
          <t>MNG</t>
        </is>
      </c>
      <c r="IV167" t="inlineStr">
        <is>
          <t>MNG</t>
        </is>
      </c>
      <c r="IW167" t="inlineStr">
        <is>
          <t>MNG</t>
        </is>
      </c>
      <c r="IX167" t="inlineStr">
        <is>
          <t>MNG</t>
        </is>
      </c>
      <c r="IY167" t="inlineStr">
        <is>
          <t>MNG</t>
        </is>
      </c>
      <c r="IZ167" t="inlineStr">
        <is>
          <t>MNG</t>
        </is>
      </c>
      <c r="JA167" t="inlineStr">
        <is>
          <t>MNG</t>
        </is>
      </c>
      <c r="JB167" t="inlineStr">
        <is>
          <t>MNG</t>
        </is>
      </c>
      <c r="JC167" t="inlineStr">
        <is>
          <t>MNG</t>
        </is>
      </c>
      <c r="JD167" t="inlineStr">
        <is>
          <t>MNG</t>
        </is>
      </c>
      <c r="JE167" t="inlineStr">
        <is>
          <t>MNG</t>
        </is>
      </c>
      <c r="JF167" t="inlineStr">
        <is>
          <t>MNG</t>
        </is>
      </c>
      <c r="JG167" t="inlineStr">
        <is>
          <t>MNG</t>
        </is>
      </c>
      <c r="JH167" t="inlineStr">
        <is>
          <t>MNG</t>
        </is>
      </c>
      <c r="JI167" t="inlineStr">
        <is>
          <t>MNG</t>
        </is>
      </c>
      <c r="JJ167" t="inlineStr">
        <is>
          <t>MNG</t>
        </is>
      </c>
      <c r="JK167" t="inlineStr">
        <is>
          <t>MNG</t>
        </is>
      </c>
      <c r="JL167" t="inlineStr">
        <is>
          <t>MNG</t>
        </is>
      </c>
      <c r="JM167" t="inlineStr">
        <is>
          <t>MNG</t>
        </is>
      </c>
      <c r="JN167" t="inlineStr">
        <is>
          <t>MNG</t>
        </is>
      </c>
      <c r="JO167" t="inlineStr">
        <is>
          <t>MNG</t>
        </is>
      </c>
      <c r="JP167" t="inlineStr">
        <is>
          <t>MNG</t>
        </is>
      </c>
      <c r="JQ167" t="inlineStr">
        <is>
          <t>MNG</t>
        </is>
      </c>
      <c r="JR167" t="inlineStr">
        <is>
          <t>MNG</t>
        </is>
      </c>
      <c r="JS167" t="inlineStr">
        <is>
          <t>MNG</t>
        </is>
      </c>
      <c r="JT167" t="inlineStr">
        <is>
          <t>MNG</t>
        </is>
      </c>
      <c r="JU167" t="inlineStr">
        <is>
          <t>MNG</t>
        </is>
      </c>
    </row>
    <row r="168">
      <c r="AR168" t="inlineStr">
        <is>
          <t>ESP</t>
        </is>
      </c>
      <c r="AS168" t="inlineStr">
        <is>
          <t>ESP</t>
        </is>
      </c>
      <c r="AT168" t="inlineStr">
        <is>
          <t>ESP</t>
        </is>
      </c>
      <c r="AU168" t="inlineStr">
        <is>
          <t>ESP</t>
        </is>
      </c>
      <c r="AV168" t="inlineStr">
        <is>
          <t>ESP</t>
        </is>
      </c>
      <c r="AW168" t="inlineStr">
        <is>
          <t>ESP</t>
        </is>
      </c>
      <c r="AX168" t="inlineStr">
        <is>
          <t>ESP</t>
        </is>
      </c>
      <c r="AY168" t="inlineStr">
        <is>
          <t>ESP</t>
        </is>
      </c>
      <c r="AZ168" t="inlineStr">
        <is>
          <t>ESP</t>
        </is>
      </c>
      <c r="BA168" t="inlineStr">
        <is>
          <t>ESP</t>
        </is>
      </c>
      <c r="BB168" t="inlineStr">
        <is>
          <t>ESP</t>
        </is>
      </c>
      <c r="BC168" t="inlineStr">
        <is>
          <t>ESP</t>
        </is>
      </c>
      <c r="BD168" t="inlineStr">
        <is>
          <t>ESP</t>
        </is>
      </c>
      <c r="BE168" t="inlineStr">
        <is>
          <t>ESP</t>
        </is>
      </c>
      <c r="BF168" t="inlineStr">
        <is>
          <t>ESP</t>
        </is>
      </c>
      <c r="BG168" t="inlineStr">
        <is>
          <t>FRA</t>
        </is>
      </c>
      <c r="BH168" t="inlineStr">
        <is>
          <t>FRA</t>
        </is>
      </c>
      <c r="BI168" t="inlineStr">
        <is>
          <t>FRA</t>
        </is>
      </c>
      <c r="BJ168" t="inlineStr">
        <is>
          <t>FRA</t>
        </is>
      </c>
      <c r="BK168" t="inlineStr">
        <is>
          <t>FRA</t>
        </is>
      </c>
      <c r="BL168" t="inlineStr">
        <is>
          <t>FRA</t>
        </is>
      </c>
      <c r="BM168" t="inlineStr">
        <is>
          <t>FRA</t>
        </is>
      </c>
      <c r="BN168" t="inlineStr">
        <is>
          <t>FRA</t>
        </is>
      </c>
      <c r="BO168" t="inlineStr">
        <is>
          <t>FRA</t>
        </is>
      </c>
      <c r="BP168" t="inlineStr">
        <is>
          <t>FRA</t>
        </is>
      </c>
      <c r="BQ168" t="inlineStr">
        <is>
          <t>FRA</t>
        </is>
      </c>
      <c r="BU168" t="inlineStr">
        <is>
          <t>FRA</t>
        </is>
      </c>
      <c r="BV168" t="inlineStr">
        <is>
          <t>FRA</t>
        </is>
      </c>
      <c r="CE168" t="inlineStr">
        <is>
          <t>ITA</t>
        </is>
      </c>
      <c r="CF168" t="inlineStr">
        <is>
          <t>ITA</t>
        </is>
      </c>
      <c r="CG168" t="inlineStr">
        <is>
          <t>ITA</t>
        </is>
      </c>
      <c r="CH168" t="inlineStr">
        <is>
          <t>ITA</t>
        </is>
      </c>
      <c r="CI168" t="inlineStr">
        <is>
          <t>ITA</t>
        </is>
      </c>
      <c r="CJ168" t="inlineStr">
        <is>
          <t>ITA</t>
        </is>
      </c>
      <c r="CR168" t="inlineStr">
        <is>
          <t>HRV</t>
        </is>
      </c>
      <c r="CS168" t="inlineStr">
        <is>
          <t>BIH</t>
        </is>
      </c>
      <c r="CT168" t="inlineStr">
        <is>
          <t>BIH</t>
        </is>
      </c>
      <c r="CU168" t="inlineStr">
        <is>
          <t>BIH</t>
        </is>
      </c>
      <c r="CV168" t="inlineStr">
        <is>
          <t>MNE</t>
        </is>
      </c>
      <c r="CW168" t="inlineStr">
        <is>
          <t>SRB</t>
        </is>
      </c>
      <c r="CX168" t="inlineStr">
        <is>
          <t>SRB</t>
        </is>
      </c>
      <c r="CY168" t="inlineStr">
        <is>
          <t>XKX</t>
        </is>
      </c>
      <c r="CZ168" t="inlineStr">
        <is>
          <t>SRB</t>
        </is>
      </c>
      <c r="DA168" t="inlineStr">
        <is>
          <t>SRB</t>
        </is>
      </c>
      <c r="DB168" t="inlineStr">
        <is>
          <t>SRB</t>
        </is>
      </c>
      <c r="DC168" t="inlineStr">
        <is>
          <t>SRB</t>
        </is>
      </c>
      <c r="DD168" t="inlineStr">
        <is>
          <t>BGR</t>
        </is>
      </c>
      <c r="DE168" t="inlineStr">
        <is>
          <t>BGR</t>
        </is>
      </c>
      <c r="DF168" t="inlineStr">
        <is>
          <t>BGR</t>
        </is>
      </c>
      <c r="DG168" t="inlineStr">
        <is>
          <t>BGR</t>
        </is>
      </c>
      <c r="DH168" t="inlineStr">
        <is>
          <t>BGR</t>
        </is>
      </c>
      <c r="DI168" t="inlineStr">
        <is>
          <t>BGR</t>
        </is>
      </c>
      <c r="DJ168" t="inlineStr">
        <is>
          <t>BGR</t>
        </is>
      </c>
      <c r="DK168" t="inlineStr">
        <is>
          <t>BGR</t>
        </is>
      </c>
      <c r="DL168" t="inlineStr">
        <is>
          <t>BGR</t>
        </is>
      </c>
      <c r="DM168" t="inlineStr">
        <is>
          <t>BGR</t>
        </is>
      </c>
      <c r="EL168" t="inlineStr">
        <is>
          <t>GEO</t>
        </is>
      </c>
      <c r="EM168" t="inlineStr">
        <is>
          <t>GEO</t>
        </is>
      </c>
      <c r="EN168" t="inlineStr">
        <is>
          <t>GEO</t>
        </is>
      </c>
      <c r="EO168" t="inlineStr">
        <is>
          <t>GEO</t>
        </is>
      </c>
      <c r="EP168" t="inlineStr">
        <is>
          <t>RUS</t>
        </is>
      </c>
      <c r="EQ168" t="inlineStr">
        <is>
          <t>RUS</t>
        </is>
      </c>
      <c r="ER168" t="inlineStr">
        <is>
          <t>RUS</t>
        </is>
      </c>
      <c r="ES168" t="inlineStr">
        <is>
          <t>RUS</t>
        </is>
      </c>
      <c r="ET168" t="inlineStr">
        <is>
          <t>RUS</t>
        </is>
      </c>
      <c r="EU168" t="inlineStr">
        <is>
          <t>RUS</t>
        </is>
      </c>
      <c r="EV168" t="inlineStr">
        <is>
          <t>RUS</t>
        </is>
      </c>
      <c r="EW168" t="inlineStr">
        <is>
          <t>RUS</t>
        </is>
      </c>
      <c r="EX168" t="inlineStr">
        <is>
          <t>RUS</t>
        </is>
      </c>
      <c r="EY168" t="inlineStr">
        <is>
          <t>RUS</t>
        </is>
      </c>
      <c r="EZ168" t="inlineStr">
        <is>
          <t>RUS</t>
        </is>
      </c>
      <c r="FI168" t="inlineStr">
        <is>
          <t>KAZ</t>
        </is>
      </c>
      <c r="FJ168" t="inlineStr">
        <is>
          <t>KAZ</t>
        </is>
      </c>
      <c r="FK168" t="inlineStr">
        <is>
          <t>KAZ</t>
        </is>
      </c>
      <c r="FL168" t="inlineStr">
        <is>
          <t>KAZ</t>
        </is>
      </c>
      <c r="FM168" t="inlineStr">
        <is>
          <t>KAZ</t>
        </is>
      </c>
      <c r="FN168" t="inlineStr">
        <is>
          <t>KAZ</t>
        </is>
      </c>
      <c r="FO168" t="inlineStr">
        <is>
          <t>KAZ</t>
        </is>
      </c>
      <c r="FP168" t="inlineStr">
        <is>
          <t>KAZ</t>
        </is>
      </c>
      <c r="FQ168" t="inlineStr">
        <is>
          <t>KAZ</t>
        </is>
      </c>
      <c r="FR168" t="inlineStr">
        <is>
          <t>UZB</t>
        </is>
      </c>
      <c r="FS168" t="inlineStr">
        <is>
          <t>UZB</t>
        </is>
      </c>
      <c r="FT168" t="inlineStr">
        <is>
          <t>UZB</t>
        </is>
      </c>
      <c r="FU168" t="inlineStr">
        <is>
          <t>UZB</t>
        </is>
      </c>
      <c r="FV168" t="inlineStr">
        <is>
          <t>UZB</t>
        </is>
      </c>
      <c r="FW168" t="inlineStr">
        <is>
          <t>UZB</t>
        </is>
      </c>
      <c r="FX168" t="inlineStr">
        <is>
          <t>UZB</t>
        </is>
      </c>
      <c r="FY168" t="inlineStr">
        <is>
          <t>UZB</t>
        </is>
      </c>
      <c r="FZ168" t="inlineStr">
        <is>
          <t>UZB</t>
        </is>
      </c>
      <c r="GA168" t="inlineStr">
        <is>
          <t>UZB</t>
        </is>
      </c>
      <c r="GB168" t="inlineStr">
        <is>
          <t>UZB</t>
        </is>
      </c>
      <c r="GC168" t="inlineStr">
        <is>
          <t>UZB</t>
        </is>
      </c>
      <c r="GD168" t="inlineStr">
        <is>
          <t>UZB</t>
        </is>
      </c>
      <c r="GE168" t="inlineStr">
        <is>
          <t>UZB</t>
        </is>
      </c>
      <c r="GF168" t="inlineStr">
        <is>
          <t>UZB</t>
        </is>
      </c>
      <c r="GG168" t="inlineStr">
        <is>
          <t>UZB</t>
        </is>
      </c>
      <c r="GH168" t="inlineStr">
        <is>
          <t>UZB</t>
        </is>
      </c>
      <c r="GI168" t="inlineStr">
        <is>
          <t>UZB</t>
        </is>
      </c>
      <c r="GJ168" t="inlineStr">
        <is>
          <t>UZB</t>
        </is>
      </c>
      <c r="GK168" t="inlineStr">
        <is>
          <t>KAZ</t>
        </is>
      </c>
      <c r="GL168" t="inlineStr">
        <is>
          <t>KAZ</t>
        </is>
      </c>
      <c r="GM168" t="inlineStr">
        <is>
          <t>KAZ</t>
        </is>
      </c>
      <c r="GN168" t="inlineStr">
        <is>
          <t>KAZ</t>
        </is>
      </c>
      <c r="GO168" t="inlineStr">
        <is>
          <t>KAZ</t>
        </is>
      </c>
      <c r="GP168" t="inlineStr">
        <is>
          <t>KAZ</t>
        </is>
      </c>
      <c r="GQ168" t="inlineStr">
        <is>
          <t>KAZ</t>
        </is>
      </c>
      <c r="GR168" t="inlineStr">
        <is>
          <t>KAZ</t>
        </is>
      </c>
      <c r="GS168" t="inlineStr">
        <is>
          <t>KAZ</t>
        </is>
      </c>
      <c r="GT168" t="inlineStr">
        <is>
          <t>KAZ</t>
        </is>
      </c>
      <c r="GU168" t="inlineStr">
        <is>
          <t>KAZ</t>
        </is>
      </c>
      <c r="GV168" t="inlineStr">
        <is>
          <t>KAZ</t>
        </is>
      </c>
      <c r="GW168" t="inlineStr">
        <is>
          <t>KAZ</t>
        </is>
      </c>
      <c r="GX168" t="inlineStr">
        <is>
          <t>KAZ</t>
        </is>
      </c>
      <c r="GY168" t="inlineStr">
        <is>
          <t>KAZ</t>
        </is>
      </c>
      <c r="GZ168" t="inlineStr">
        <is>
          <t>KAZ</t>
        </is>
      </c>
      <c r="HA168" t="inlineStr">
        <is>
          <t>KAZ</t>
        </is>
      </c>
      <c r="HB168" t="inlineStr">
        <is>
          <t>KGZ</t>
        </is>
      </c>
      <c r="HC168" t="inlineStr">
        <is>
          <t>KAZ</t>
        </is>
      </c>
      <c r="HD168" t="inlineStr">
        <is>
          <t>KAZ</t>
        </is>
      </c>
      <c r="HE168" t="inlineStr">
        <is>
          <t>KAZ</t>
        </is>
      </c>
      <c r="HF168" t="inlineStr">
        <is>
          <t>KAZ</t>
        </is>
      </c>
      <c r="HG168" t="inlineStr">
        <is>
          <t>KAZ</t>
        </is>
      </c>
      <c r="HH168" t="inlineStr">
        <is>
          <t>KAZ</t>
        </is>
      </c>
      <c r="HI168" t="inlineStr">
        <is>
          <t>KAZ</t>
        </is>
      </c>
      <c r="HJ168" t="inlineStr">
        <is>
          <t>KAZ</t>
        </is>
      </c>
      <c r="HK168" t="inlineStr">
        <is>
          <t>KAZ</t>
        </is>
      </c>
      <c r="HL168" t="inlineStr">
        <is>
          <t>KAZ</t>
        </is>
      </c>
      <c r="HM168" t="inlineStr">
        <is>
          <t>KAZ</t>
        </is>
      </c>
      <c r="HN168" t="inlineStr">
        <is>
          <t>KAZ</t>
        </is>
      </c>
      <c r="HO168" t="inlineStr">
        <is>
          <t>KAZ</t>
        </is>
      </c>
      <c r="HP168" t="inlineStr">
        <is>
          <t>CHN</t>
        </is>
      </c>
      <c r="HQ168" t="inlineStr">
        <is>
          <t>CHN</t>
        </is>
      </c>
      <c r="HR168" t="inlineStr">
        <is>
          <t>CHN</t>
        </is>
      </c>
      <c r="HS168" t="inlineStr">
        <is>
          <t>CHN</t>
        </is>
      </c>
      <c r="HT168" t="inlineStr">
        <is>
          <t>CHN</t>
        </is>
      </c>
      <c r="HU168" t="inlineStr">
        <is>
          <t>CHN</t>
        </is>
      </c>
      <c r="HV168" t="inlineStr">
        <is>
          <t>CHN</t>
        </is>
      </c>
      <c r="HW168" t="inlineStr">
        <is>
          <t>CHN</t>
        </is>
      </c>
      <c r="HX168" t="inlineStr">
        <is>
          <t>CHN</t>
        </is>
      </c>
      <c r="HY168" t="inlineStr">
        <is>
          <t>CHN</t>
        </is>
      </c>
      <c r="HZ168" t="inlineStr">
        <is>
          <t>CHN</t>
        </is>
      </c>
      <c r="IA168" t="inlineStr">
        <is>
          <t>CHN</t>
        </is>
      </c>
      <c r="IB168" t="inlineStr">
        <is>
          <t>CHN</t>
        </is>
      </c>
      <c r="IC168" t="inlineStr">
        <is>
          <t>CHN</t>
        </is>
      </c>
      <c r="ID168" t="inlineStr">
        <is>
          <t>CHN</t>
        </is>
      </c>
      <c r="IE168" t="inlineStr">
        <is>
          <t>CHN</t>
        </is>
      </c>
      <c r="IF168" t="inlineStr">
        <is>
          <t>CHN</t>
        </is>
      </c>
      <c r="IG168" t="inlineStr">
        <is>
          <t>CHN</t>
        </is>
      </c>
      <c r="IH168" t="inlineStr">
        <is>
          <t>CHN</t>
        </is>
      </c>
      <c r="II168" t="inlineStr">
        <is>
          <t>CHN</t>
        </is>
      </c>
      <c r="IJ168" t="inlineStr">
        <is>
          <t>CHN</t>
        </is>
      </c>
      <c r="IK168" t="inlineStr">
        <is>
          <t>CHN</t>
        </is>
      </c>
      <c r="IL168" t="inlineStr">
        <is>
          <t>CHN</t>
        </is>
      </c>
      <c r="IM168" t="inlineStr">
        <is>
          <t>CHN</t>
        </is>
      </c>
      <c r="IN168" t="inlineStr">
        <is>
          <t>CHN</t>
        </is>
      </c>
      <c r="IO168" t="inlineStr">
        <is>
          <t>CHN</t>
        </is>
      </c>
      <c r="IP168" t="inlineStr">
        <is>
          <t>CHN</t>
        </is>
      </c>
      <c r="IQ168" t="inlineStr">
        <is>
          <t>CHN</t>
        </is>
      </c>
      <c r="IR168" t="inlineStr">
        <is>
          <t>CHN</t>
        </is>
      </c>
      <c r="IS168" t="inlineStr">
        <is>
          <t>CHN</t>
        </is>
      </c>
      <c r="IT168" t="inlineStr">
        <is>
          <t>MNG</t>
        </is>
      </c>
      <c r="IU168" t="inlineStr">
        <is>
          <t>MNG</t>
        </is>
      </c>
      <c r="IV168" t="inlineStr">
        <is>
          <t>MNG</t>
        </is>
      </c>
      <c r="IW168" t="inlineStr">
        <is>
          <t>MNG</t>
        </is>
      </c>
      <c r="IX168" t="inlineStr">
        <is>
          <t>MNG</t>
        </is>
      </c>
      <c r="IY168" t="inlineStr">
        <is>
          <t>MNG</t>
        </is>
      </c>
      <c r="IZ168" t="inlineStr">
        <is>
          <t>MNG</t>
        </is>
      </c>
      <c r="JA168" t="inlineStr">
        <is>
          <t>MNG</t>
        </is>
      </c>
      <c r="JB168" t="inlineStr">
        <is>
          <t>MNG</t>
        </is>
      </c>
      <c r="JC168" t="inlineStr">
        <is>
          <t>MNG</t>
        </is>
      </c>
      <c r="JD168" t="inlineStr">
        <is>
          <t>MNG</t>
        </is>
      </c>
      <c r="JE168" t="inlineStr">
        <is>
          <t>MNG</t>
        </is>
      </c>
      <c r="JF168" t="inlineStr">
        <is>
          <t>MNG</t>
        </is>
      </c>
      <c r="JG168" t="inlineStr">
        <is>
          <t>MNG</t>
        </is>
      </c>
      <c r="JH168" t="inlineStr">
        <is>
          <t>MNG</t>
        </is>
      </c>
      <c r="JI168" t="inlineStr">
        <is>
          <t>MNG</t>
        </is>
      </c>
      <c r="JJ168" t="inlineStr">
        <is>
          <t>MNG</t>
        </is>
      </c>
      <c r="JK168" t="inlineStr">
        <is>
          <t>MNG</t>
        </is>
      </c>
      <c r="JL168" t="inlineStr">
        <is>
          <t>MNG</t>
        </is>
      </c>
      <c r="JM168" t="inlineStr">
        <is>
          <t>MNG</t>
        </is>
      </c>
      <c r="JN168" t="inlineStr">
        <is>
          <t>MNG</t>
        </is>
      </c>
      <c r="JO168" t="inlineStr">
        <is>
          <t>MNG</t>
        </is>
      </c>
      <c r="JP168" t="inlineStr">
        <is>
          <t>MNG</t>
        </is>
      </c>
      <c r="JQ168" t="inlineStr">
        <is>
          <t>MNG</t>
        </is>
      </c>
      <c r="JR168" t="inlineStr">
        <is>
          <t>MNG</t>
        </is>
      </c>
      <c r="JS168" t="inlineStr">
        <is>
          <t>MNG</t>
        </is>
      </c>
      <c r="JT168" t="inlineStr">
        <is>
          <t>MNG</t>
        </is>
      </c>
      <c r="JU168" t="inlineStr">
        <is>
          <t>MNG</t>
        </is>
      </c>
    </row>
    <row r="169">
      <c r="BG169" t="inlineStr">
        <is>
          <t>FRA</t>
        </is>
      </c>
      <c r="BH169" t="inlineStr">
        <is>
          <t>FRA</t>
        </is>
      </c>
      <c r="BI169" t="inlineStr">
        <is>
          <t>FRA</t>
        </is>
      </c>
      <c r="BJ169" t="inlineStr">
        <is>
          <t>FRA</t>
        </is>
      </c>
      <c r="BK169" t="inlineStr">
        <is>
          <t>FRA</t>
        </is>
      </c>
      <c r="BL169" t="inlineStr">
        <is>
          <t>FRA</t>
        </is>
      </c>
      <c r="BM169" t="inlineStr">
        <is>
          <t>FRA</t>
        </is>
      </c>
      <c r="BN169" t="inlineStr">
        <is>
          <t>FRA</t>
        </is>
      </c>
      <c r="BO169" t="inlineStr">
        <is>
          <t>FRA</t>
        </is>
      </c>
      <c r="BP169" t="inlineStr">
        <is>
          <t>FRA</t>
        </is>
      </c>
      <c r="BQ169" t="inlineStr">
        <is>
          <t>FRA</t>
        </is>
      </c>
      <c r="BR169" t="inlineStr">
        <is>
          <t>FRA</t>
        </is>
      </c>
      <c r="BS169" t="inlineStr">
        <is>
          <t>FRA</t>
        </is>
      </c>
      <c r="BT169" t="inlineStr">
        <is>
          <t>FRA</t>
        </is>
      </c>
      <c r="BU169" t="inlineStr">
        <is>
          <t>FRA</t>
        </is>
      </c>
      <c r="BV169" t="inlineStr">
        <is>
          <t>FRA</t>
        </is>
      </c>
      <c r="BW169" t="inlineStr">
        <is>
          <t>FRA</t>
        </is>
      </c>
      <c r="BX169" t="inlineStr">
        <is>
          <t>FRA</t>
        </is>
      </c>
      <c r="BY169" t="inlineStr">
        <is>
          <t>ITA</t>
        </is>
      </c>
      <c r="CE169" t="inlineStr">
        <is>
          <t>ITA</t>
        </is>
      </c>
      <c r="CF169" t="inlineStr">
        <is>
          <t>ITA</t>
        </is>
      </c>
      <c r="CG169" t="inlineStr">
        <is>
          <t>ITA</t>
        </is>
      </c>
      <c r="CH169" t="inlineStr">
        <is>
          <t>ITA</t>
        </is>
      </c>
      <c r="CI169" t="inlineStr">
        <is>
          <t>ITA</t>
        </is>
      </c>
      <c r="CO169" t="inlineStr">
        <is>
          <t>HRV</t>
        </is>
      </c>
      <c r="CP169" t="inlineStr">
        <is>
          <t>HRV</t>
        </is>
      </c>
      <c r="CQ169" t="inlineStr">
        <is>
          <t>HRV</t>
        </is>
      </c>
      <c r="CR169" t="inlineStr">
        <is>
          <t>BIH</t>
        </is>
      </c>
      <c r="CS169" t="inlineStr">
        <is>
          <t>BIH</t>
        </is>
      </c>
      <c r="CT169" t="inlineStr">
        <is>
          <t>BIH</t>
        </is>
      </c>
      <c r="CU169" t="inlineStr">
        <is>
          <t>BIH</t>
        </is>
      </c>
      <c r="CV169" t="inlineStr">
        <is>
          <t>BIH</t>
        </is>
      </c>
      <c r="CW169" t="inlineStr">
        <is>
          <t>SRB</t>
        </is>
      </c>
      <c r="CX169" t="inlineStr">
        <is>
          <t>SRB</t>
        </is>
      </c>
      <c r="CY169" t="inlineStr">
        <is>
          <t>SRB</t>
        </is>
      </c>
      <c r="CZ169" t="inlineStr">
        <is>
          <t>SRB</t>
        </is>
      </c>
      <c r="DA169" t="inlineStr">
        <is>
          <t>SRB</t>
        </is>
      </c>
      <c r="DB169" t="inlineStr">
        <is>
          <t>SRB</t>
        </is>
      </c>
      <c r="DC169" t="inlineStr">
        <is>
          <t>BGR</t>
        </is>
      </c>
      <c r="DD169" t="inlineStr">
        <is>
          <t>BGR</t>
        </is>
      </c>
      <c r="DE169" t="inlineStr">
        <is>
          <t>BGR</t>
        </is>
      </c>
      <c r="DF169" t="inlineStr">
        <is>
          <t>ROU</t>
        </is>
      </c>
      <c r="DG169" t="inlineStr">
        <is>
          <t>ROU</t>
        </is>
      </c>
      <c r="DH169" t="inlineStr">
        <is>
          <t>ROU</t>
        </is>
      </c>
      <c r="DI169" t="inlineStr">
        <is>
          <t>BGR</t>
        </is>
      </c>
      <c r="DJ169" t="inlineStr">
        <is>
          <t>BGR</t>
        </is>
      </c>
      <c r="DK169" t="inlineStr">
        <is>
          <t>BGR</t>
        </is>
      </c>
      <c r="DL169" t="inlineStr">
        <is>
          <t>BGR</t>
        </is>
      </c>
      <c r="DM169" t="inlineStr">
        <is>
          <t>BGR</t>
        </is>
      </c>
      <c r="DN169" t="inlineStr">
        <is>
          <t>BGR</t>
        </is>
      </c>
      <c r="EK169" t="inlineStr">
        <is>
          <t>RUS</t>
        </is>
      </c>
      <c r="EL169" t="inlineStr">
        <is>
          <t>RUS</t>
        </is>
      </c>
      <c r="EM169" t="inlineStr">
        <is>
          <t>RUS</t>
        </is>
      </c>
      <c r="EN169" t="inlineStr">
        <is>
          <t>RUS</t>
        </is>
      </c>
      <c r="EO169" t="inlineStr">
        <is>
          <t>RUS</t>
        </is>
      </c>
      <c r="EP169" t="inlineStr">
        <is>
          <t>RUS</t>
        </is>
      </c>
      <c r="EQ169" t="inlineStr">
        <is>
          <t>RUS</t>
        </is>
      </c>
      <c r="ER169" t="inlineStr">
        <is>
          <t>RUS</t>
        </is>
      </c>
      <c r="ES169" t="inlineStr">
        <is>
          <t>RUS</t>
        </is>
      </c>
      <c r="ET169" t="inlineStr">
        <is>
          <t>RUS</t>
        </is>
      </c>
      <c r="EU169" t="inlineStr">
        <is>
          <t>RUS</t>
        </is>
      </c>
      <c r="EV169" t="inlineStr">
        <is>
          <t>RUS</t>
        </is>
      </c>
      <c r="EW169" t="inlineStr">
        <is>
          <t>RUS</t>
        </is>
      </c>
      <c r="EX169" t="inlineStr">
        <is>
          <t>RUS</t>
        </is>
      </c>
      <c r="EY169" t="inlineStr">
        <is>
          <t>RUS</t>
        </is>
      </c>
      <c r="EZ169" t="inlineStr">
        <is>
          <t>RUS</t>
        </is>
      </c>
      <c r="FH169" t="inlineStr">
        <is>
          <t>KAZ</t>
        </is>
      </c>
      <c r="FI169" t="inlineStr">
        <is>
          <t>KAZ</t>
        </is>
      </c>
      <c r="FJ169" t="inlineStr">
        <is>
          <t>KAZ</t>
        </is>
      </c>
      <c r="FK169" t="inlineStr">
        <is>
          <t>KAZ</t>
        </is>
      </c>
      <c r="FL169" t="inlineStr">
        <is>
          <t>KAZ</t>
        </is>
      </c>
      <c r="FM169" t="inlineStr">
        <is>
          <t>KAZ</t>
        </is>
      </c>
      <c r="FN169" t="inlineStr">
        <is>
          <t>KAZ</t>
        </is>
      </c>
      <c r="FO169" t="inlineStr">
        <is>
          <t>KAZ</t>
        </is>
      </c>
      <c r="FP169" t="inlineStr">
        <is>
          <t>KAZ</t>
        </is>
      </c>
      <c r="FQ169" t="inlineStr">
        <is>
          <t>KAZ</t>
        </is>
      </c>
      <c r="FR169" t="inlineStr">
        <is>
          <t>UZB</t>
        </is>
      </c>
      <c r="FS169" t="inlineStr">
        <is>
          <t>UZB</t>
        </is>
      </c>
      <c r="FT169" t="inlineStr">
        <is>
          <t>UZB</t>
        </is>
      </c>
      <c r="FU169" t="inlineStr">
        <is>
          <t>UZB</t>
        </is>
      </c>
      <c r="FV169" t="inlineStr">
        <is>
          <t>UZB</t>
        </is>
      </c>
      <c r="FW169" t="inlineStr">
        <is>
          <t>UZB</t>
        </is>
      </c>
      <c r="FX169" t="inlineStr">
        <is>
          <t>UZB</t>
        </is>
      </c>
      <c r="FY169" t="inlineStr">
        <is>
          <t>UZB</t>
        </is>
      </c>
      <c r="FZ169" t="inlineStr">
        <is>
          <t>UZB</t>
        </is>
      </c>
      <c r="GA169" t="inlineStr">
        <is>
          <t>UZB</t>
        </is>
      </c>
      <c r="GB169" t="inlineStr">
        <is>
          <t>UZB</t>
        </is>
      </c>
      <c r="GC169" t="inlineStr">
        <is>
          <t>UZB</t>
        </is>
      </c>
      <c r="GD169" t="inlineStr">
        <is>
          <t>KAZ</t>
        </is>
      </c>
      <c r="GE169" t="inlineStr">
        <is>
          <t>KAZ</t>
        </is>
      </c>
      <c r="GF169" t="inlineStr">
        <is>
          <t>KAZ</t>
        </is>
      </c>
      <c r="GG169" t="inlineStr">
        <is>
          <t>KAZ</t>
        </is>
      </c>
      <c r="GH169" t="inlineStr">
        <is>
          <t>KAZ</t>
        </is>
      </c>
      <c r="GI169" t="inlineStr">
        <is>
          <t>KAZ</t>
        </is>
      </c>
      <c r="GJ169" t="inlineStr">
        <is>
          <t>KAZ</t>
        </is>
      </c>
      <c r="GK169" t="inlineStr">
        <is>
          <t>KAZ</t>
        </is>
      </c>
      <c r="GL169" t="inlineStr">
        <is>
          <t>KAZ</t>
        </is>
      </c>
      <c r="GM169" t="inlineStr">
        <is>
          <t>KAZ</t>
        </is>
      </c>
      <c r="GN169" t="inlineStr">
        <is>
          <t>KAZ</t>
        </is>
      </c>
      <c r="GO169" t="inlineStr">
        <is>
          <t>KAZ</t>
        </is>
      </c>
      <c r="GP169" t="inlineStr">
        <is>
          <t>KAZ</t>
        </is>
      </c>
      <c r="GQ169" t="inlineStr">
        <is>
          <t>KAZ</t>
        </is>
      </c>
      <c r="GR169" t="inlineStr">
        <is>
          <t>KAZ</t>
        </is>
      </c>
      <c r="GS169" t="inlineStr">
        <is>
          <t>KAZ</t>
        </is>
      </c>
      <c r="GT169" t="inlineStr">
        <is>
          <t>KAZ</t>
        </is>
      </c>
      <c r="GU169" t="inlineStr">
        <is>
          <t>KAZ</t>
        </is>
      </c>
      <c r="GV169" t="inlineStr">
        <is>
          <t>KAZ</t>
        </is>
      </c>
      <c r="GW169" t="inlineStr">
        <is>
          <t>KAZ</t>
        </is>
      </c>
      <c r="GX169" t="inlineStr">
        <is>
          <t>KAZ</t>
        </is>
      </c>
      <c r="GY169" t="inlineStr">
        <is>
          <t>KAZ</t>
        </is>
      </c>
      <c r="GZ169" t="inlineStr">
        <is>
          <t>KAZ</t>
        </is>
      </c>
      <c r="HA169" t="inlineStr">
        <is>
          <t>KAZ</t>
        </is>
      </c>
      <c r="HB169" t="inlineStr">
        <is>
          <t>KAZ</t>
        </is>
      </c>
      <c r="HC169" t="inlineStr">
        <is>
          <t>KAZ</t>
        </is>
      </c>
      <c r="HD169" t="inlineStr">
        <is>
          <t>KAZ</t>
        </is>
      </c>
      <c r="HE169" t="inlineStr">
        <is>
          <t>KAZ</t>
        </is>
      </c>
      <c r="HF169" t="inlineStr">
        <is>
          <t>KAZ</t>
        </is>
      </c>
      <c r="HG169" t="inlineStr">
        <is>
          <t>KAZ</t>
        </is>
      </c>
      <c r="HH169" t="inlineStr">
        <is>
          <t>KAZ</t>
        </is>
      </c>
      <c r="HI169" t="inlineStr">
        <is>
          <t>KAZ</t>
        </is>
      </c>
      <c r="HJ169" t="inlineStr">
        <is>
          <t>KAZ</t>
        </is>
      </c>
      <c r="HK169" t="inlineStr">
        <is>
          <t>KAZ</t>
        </is>
      </c>
      <c r="HL169" t="inlineStr">
        <is>
          <t>KAZ</t>
        </is>
      </c>
      <c r="HM169" t="inlineStr">
        <is>
          <t>KAZ</t>
        </is>
      </c>
      <c r="HN169" t="inlineStr">
        <is>
          <t>KAZ</t>
        </is>
      </c>
      <c r="HO169" t="inlineStr">
        <is>
          <t>CHN</t>
        </is>
      </c>
      <c r="HP169" t="inlineStr">
        <is>
          <t>CHN</t>
        </is>
      </c>
      <c r="HQ169" t="inlineStr">
        <is>
          <t>CHN</t>
        </is>
      </c>
      <c r="HR169" t="inlineStr">
        <is>
          <t>CHN</t>
        </is>
      </c>
      <c r="HS169" t="inlineStr">
        <is>
          <t>CHN</t>
        </is>
      </c>
      <c r="HT169" t="inlineStr">
        <is>
          <t>CHN</t>
        </is>
      </c>
      <c r="HU169" t="inlineStr">
        <is>
          <t>CHN</t>
        </is>
      </c>
      <c r="HV169" t="inlineStr">
        <is>
          <t>CHN</t>
        </is>
      </c>
      <c r="HW169" t="inlineStr">
        <is>
          <t>CHN</t>
        </is>
      </c>
      <c r="HX169" t="inlineStr">
        <is>
          <t>CHN</t>
        </is>
      </c>
      <c r="HY169" t="inlineStr">
        <is>
          <t>CHN</t>
        </is>
      </c>
      <c r="HZ169" t="inlineStr">
        <is>
          <t>CHN</t>
        </is>
      </c>
      <c r="IA169" t="inlineStr">
        <is>
          <t>CHN</t>
        </is>
      </c>
      <c r="IB169" t="inlineStr">
        <is>
          <t>CHN</t>
        </is>
      </c>
      <c r="IC169" t="inlineStr">
        <is>
          <t>CHN</t>
        </is>
      </c>
      <c r="ID169" t="inlineStr">
        <is>
          <t>CHN</t>
        </is>
      </c>
      <c r="IE169" t="inlineStr">
        <is>
          <t>CHN</t>
        </is>
      </c>
      <c r="IF169" t="inlineStr">
        <is>
          <t>CHN</t>
        </is>
      </c>
      <c r="IG169" t="inlineStr">
        <is>
          <t>CHN</t>
        </is>
      </c>
      <c r="IH169" t="inlineStr">
        <is>
          <t>CHN</t>
        </is>
      </c>
      <c r="II169" t="inlineStr">
        <is>
          <t>CHN</t>
        </is>
      </c>
      <c r="IJ169" t="inlineStr">
        <is>
          <t>CHN</t>
        </is>
      </c>
      <c r="IK169" t="inlineStr">
        <is>
          <t>CHN</t>
        </is>
      </c>
      <c r="IL169" t="inlineStr">
        <is>
          <t>CHN</t>
        </is>
      </c>
      <c r="IM169" t="inlineStr">
        <is>
          <t>CHN</t>
        </is>
      </c>
      <c r="IN169" t="inlineStr">
        <is>
          <t>CHN</t>
        </is>
      </c>
      <c r="IO169" t="inlineStr">
        <is>
          <t>CHN</t>
        </is>
      </c>
      <c r="IP169" t="inlineStr">
        <is>
          <t>CHN</t>
        </is>
      </c>
      <c r="IQ169" t="inlineStr">
        <is>
          <t>CHN</t>
        </is>
      </c>
      <c r="IR169" t="inlineStr">
        <is>
          <t>CHN</t>
        </is>
      </c>
      <c r="IS169" t="inlineStr">
        <is>
          <t>MNG</t>
        </is>
      </c>
      <c r="IT169" t="inlineStr">
        <is>
          <t>MNG</t>
        </is>
      </c>
      <c r="IU169" t="inlineStr">
        <is>
          <t>MNG</t>
        </is>
      </c>
      <c r="IV169" t="inlineStr">
        <is>
          <t>MNG</t>
        </is>
      </c>
      <c r="IW169" t="inlineStr">
        <is>
          <t>MNG</t>
        </is>
      </c>
      <c r="IX169" t="inlineStr">
        <is>
          <t>MNG</t>
        </is>
      </c>
      <c r="IY169" t="inlineStr">
        <is>
          <t>MNG</t>
        </is>
      </c>
      <c r="IZ169" t="inlineStr">
        <is>
          <t>MNG</t>
        </is>
      </c>
      <c r="JA169" t="inlineStr">
        <is>
          <t>MNG</t>
        </is>
      </c>
      <c r="JB169" t="inlineStr">
        <is>
          <t>MNG</t>
        </is>
      </c>
      <c r="JC169" t="inlineStr">
        <is>
          <t>MNG</t>
        </is>
      </c>
      <c r="JD169" t="inlineStr">
        <is>
          <t>MNG</t>
        </is>
      </c>
      <c r="JE169" t="inlineStr">
        <is>
          <t>MNG</t>
        </is>
      </c>
      <c r="JF169" t="inlineStr">
        <is>
          <t>MNG</t>
        </is>
      </c>
      <c r="JG169" t="inlineStr">
        <is>
          <t>MNG</t>
        </is>
      </c>
      <c r="JH169" t="inlineStr">
        <is>
          <t>MNG</t>
        </is>
      </c>
      <c r="JI169" t="inlineStr">
        <is>
          <t>MNG</t>
        </is>
      </c>
      <c r="JJ169" t="inlineStr">
        <is>
          <t>MNG</t>
        </is>
      </c>
      <c r="JK169" t="inlineStr">
        <is>
          <t>MNG</t>
        </is>
      </c>
      <c r="JL169" t="inlineStr">
        <is>
          <t>MNG</t>
        </is>
      </c>
      <c r="JM169" t="inlineStr">
        <is>
          <t>MNG</t>
        </is>
      </c>
      <c r="JN169" t="inlineStr">
        <is>
          <t>MNG</t>
        </is>
      </c>
      <c r="JO169" t="inlineStr">
        <is>
          <t>MNG</t>
        </is>
      </c>
      <c r="JP169" t="inlineStr">
        <is>
          <t>MNG</t>
        </is>
      </c>
      <c r="JQ169" t="inlineStr">
        <is>
          <t>MNG</t>
        </is>
      </c>
      <c r="JR169" t="inlineStr">
        <is>
          <t>MNG</t>
        </is>
      </c>
      <c r="JS169" t="inlineStr">
        <is>
          <t>MNG</t>
        </is>
      </c>
      <c r="JT169" t="inlineStr">
        <is>
          <t>MNG</t>
        </is>
      </c>
      <c r="JU169" t="inlineStr">
        <is>
          <t>MNG</t>
        </is>
      </c>
    </row>
    <row r="170">
      <c r="BG170" t="inlineStr">
        <is>
          <t>FRA</t>
        </is>
      </c>
      <c r="BH170" t="inlineStr">
        <is>
          <t>FRA</t>
        </is>
      </c>
      <c r="BI170" t="inlineStr">
        <is>
          <t>FRA</t>
        </is>
      </c>
      <c r="BJ170" t="inlineStr">
        <is>
          <t>FRA</t>
        </is>
      </c>
      <c r="BK170" t="inlineStr">
        <is>
          <t>FRA</t>
        </is>
      </c>
      <c r="BL170" t="inlineStr">
        <is>
          <t>FRA</t>
        </is>
      </c>
      <c r="BM170" t="inlineStr">
        <is>
          <t>FRA</t>
        </is>
      </c>
      <c r="BN170" t="inlineStr">
        <is>
          <t>FRA</t>
        </is>
      </c>
      <c r="BO170" t="inlineStr">
        <is>
          <t>FRA</t>
        </is>
      </c>
      <c r="BP170" t="inlineStr">
        <is>
          <t>FRA</t>
        </is>
      </c>
      <c r="BQ170" t="inlineStr">
        <is>
          <t>FRA</t>
        </is>
      </c>
      <c r="BR170" t="inlineStr">
        <is>
          <t>FRA</t>
        </is>
      </c>
      <c r="BS170" t="inlineStr">
        <is>
          <t>FRA</t>
        </is>
      </c>
      <c r="BT170" t="inlineStr">
        <is>
          <t>FRA</t>
        </is>
      </c>
      <c r="BU170" t="inlineStr">
        <is>
          <t>FRA</t>
        </is>
      </c>
      <c r="BV170" t="inlineStr">
        <is>
          <t>FRA</t>
        </is>
      </c>
      <c r="BW170" t="inlineStr">
        <is>
          <t>FRA</t>
        </is>
      </c>
      <c r="BX170" t="inlineStr">
        <is>
          <t>ITA</t>
        </is>
      </c>
      <c r="BY170" t="inlineStr">
        <is>
          <t>ITA</t>
        </is>
      </c>
      <c r="BZ170" t="inlineStr">
        <is>
          <t>ITA</t>
        </is>
      </c>
      <c r="CB170" t="inlineStr">
        <is>
          <t>ITA</t>
        </is>
      </c>
      <c r="CC170" t="inlineStr">
        <is>
          <t>ITA</t>
        </is>
      </c>
      <c r="CD170" t="inlineStr">
        <is>
          <t>ITA</t>
        </is>
      </c>
      <c r="CE170" t="inlineStr">
        <is>
          <t>ITA</t>
        </is>
      </c>
      <c r="CF170" t="inlineStr">
        <is>
          <t>ITA</t>
        </is>
      </c>
      <c r="CG170" t="inlineStr">
        <is>
          <t>ITA</t>
        </is>
      </c>
      <c r="CH170" t="inlineStr">
        <is>
          <t>ITA</t>
        </is>
      </c>
      <c r="CN170" t="inlineStr">
        <is>
          <t>HRV</t>
        </is>
      </c>
      <c r="CO170" t="inlineStr">
        <is>
          <t>HRV</t>
        </is>
      </c>
      <c r="CP170" t="inlineStr">
        <is>
          <t>HRV</t>
        </is>
      </c>
      <c r="CQ170" t="inlineStr">
        <is>
          <t>BIH</t>
        </is>
      </c>
      <c r="CR170" t="inlineStr">
        <is>
          <t>BIH</t>
        </is>
      </c>
      <c r="CS170" t="inlineStr">
        <is>
          <t>BIH</t>
        </is>
      </c>
      <c r="CT170" t="inlineStr">
        <is>
          <t>BIH</t>
        </is>
      </c>
      <c r="CU170" t="inlineStr">
        <is>
          <t>BIH</t>
        </is>
      </c>
      <c r="CV170" t="inlineStr">
        <is>
          <t>BIH</t>
        </is>
      </c>
      <c r="CW170" t="inlineStr">
        <is>
          <t>SRB</t>
        </is>
      </c>
      <c r="CX170" t="inlineStr">
        <is>
          <t>SRB</t>
        </is>
      </c>
      <c r="CY170" t="inlineStr">
        <is>
          <t>SRB</t>
        </is>
      </c>
      <c r="CZ170" t="inlineStr">
        <is>
          <t>SRB</t>
        </is>
      </c>
      <c r="DA170" t="inlineStr">
        <is>
          <t>SRB</t>
        </is>
      </c>
      <c r="DB170" t="inlineStr">
        <is>
          <t>SRB</t>
        </is>
      </c>
      <c r="DC170" t="inlineStr">
        <is>
          <t>ROU</t>
        </is>
      </c>
      <c r="DD170" t="inlineStr">
        <is>
          <t>ROU</t>
        </is>
      </c>
      <c r="DE170" t="inlineStr">
        <is>
          <t>ROU</t>
        </is>
      </c>
      <c r="DF170" t="inlineStr">
        <is>
          <t>ROU</t>
        </is>
      </c>
      <c r="DG170" t="inlineStr">
        <is>
          <t>ROU</t>
        </is>
      </c>
      <c r="DH170" t="inlineStr">
        <is>
          <t>ROU</t>
        </is>
      </c>
      <c r="DI170" t="inlineStr">
        <is>
          <t>ROU</t>
        </is>
      </c>
      <c r="DJ170" t="inlineStr">
        <is>
          <t>ROU</t>
        </is>
      </c>
      <c r="DK170" t="inlineStr">
        <is>
          <t>ROU</t>
        </is>
      </c>
      <c r="DL170" t="inlineStr">
        <is>
          <t>ROU</t>
        </is>
      </c>
      <c r="DM170" t="inlineStr">
        <is>
          <t>ROU</t>
        </is>
      </c>
      <c r="DN170" t="inlineStr">
        <is>
          <t>ROU</t>
        </is>
      </c>
      <c r="EI170" t="inlineStr">
        <is>
          <t>RUS</t>
        </is>
      </c>
      <c r="EJ170" t="inlineStr">
        <is>
          <t>RUS</t>
        </is>
      </c>
      <c r="EK170" t="inlineStr">
        <is>
          <t>RUS</t>
        </is>
      </c>
      <c r="EL170" t="inlineStr">
        <is>
          <t>RUS</t>
        </is>
      </c>
      <c r="EM170" t="inlineStr">
        <is>
          <t>RUS</t>
        </is>
      </c>
      <c r="EN170" t="inlineStr">
        <is>
          <t>RUS</t>
        </is>
      </c>
      <c r="EO170" t="inlineStr">
        <is>
          <t>RUS</t>
        </is>
      </c>
      <c r="EP170" t="inlineStr">
        <is>
          <t>RUS</t>
        </is>
      </c>
      <c r="EQ170" t="inlineStr">
        <is>
          <t>RUS</t>
        </is>
      </c>
      <c r="ER170" t="inlineStr">
        <is>
          <t>RUS</t>
        </is>
      </c>
      <c r="ES170" t="inlineStr">
        <is>
          <t>RUS</t>
        </is>
      </c>
      <c r="ET170" t="inlineStr">
        <is>
          <t>RUS</t>
        </is>
      </c>
      <c r="EU170" t="inlineStr">
        <is>
          <t>RUS</t>
        </is>
      </c>
      <c r="EV170" t="inlineStr">
        <is>
          <t>RUS</t>
        </is>
      </c>
      <c r="EW170" t="inlineStr">
        <is>
          <t>RUS</t>
        </is>
      </c>
      <c r="EX170" t="inlineStr">
        <is>
          <t>RUS</t>
        </is>
      </c>
      <c r="EY170" t="inlineStr">
        <is>
          <t>RUS</t>
        </is>
      </c>
      <c r="FG170" t="inlineStr">
        <is>
          <t>KAZ</t>
        </is>
      </c>
      <c r="FH170" t="inlineStr">
        <is>
          <t>KAZ</t>
        </is>
      </c>
      <c r="FI170" t="inlineStr">
        <is>
          <t>KAZ</t>
        </is>
      </c>
      <c r="FJ170" t="inlineStr">
        <is>
          <t>KAZ</t>
        </is>
      </c>
      <c r="FK170" t="inlineStr">
        <is>
          <t>KAZ</t>
        </is>
      </c>
      <c r="FL170" t="inlineStr">
        <is>
          <t>KAZ</t>
        </is>
      </c>
      <c r="FM170" t="inlineStr">
        <is>
          <t>KAZ</t>
        </is>
      </c>
      <c r="FN170" t="inlineStr">
        <is>
          <t>KAZ</t>
        </is>
      </c>
      <c r="FO170" t="inlineStr">
        <is>
          <t>KAZ</t>
        </is>
      </c>
      <c r="FP170" t="inlineStr">
        <is>
          <t>KAZ</t>
        </is>
      </c>
      <c r="FQ170" t="inlineStr">
        <is>
          <t>KAZ</t>
        </is>
      </c>
      <c r="FR170" t="inlineStr">
        <is>
          <t>UZB</t>
        </is>
      </c>
      <c r="FS170" t="inlineStr">
        <is>
          <t>UZB</t>
        </is>
      </c>
      <c r="FT170" t="inlineStr">
        <is>
          <t>UZB</t>
        </is>
      </c>
      <c r="FU170" t="inlineStr">
        <is>
          <t>UZB</t>
        </is>
      </c>
      <c r="FV170" t="inlineStr">
        <is>
          <t>UZB</t>
        </is>
      </c>
      <c r="FW170" t="inlineStr">
        <is>
          <t>UZB</t>
        </is>
      </c>
      <c r="FX170" t="inlineStr">
        <is>
          <t>UZB</t>
        </is>
      </c>
      <c r="FY170" t="inlineStr">
        <is>
          <t>UZB</t>
        </is>
      </c>
      <c r="FZ170" t="inlineStr">
        <is>
          <t>UZB</t>
        </is>
      </c>
      <c r="GA170" t="inlineStr">
        <is>
          <t>UZB</t>
        </is>
      </c>
      <c r="GB170" t="inlineStr">
        <is>
          <t>KAZ</t>
        </is>
      </c>
      <c r="GC170" t="inlineStr">
        <is>
          <t>KAZ</t>
        </is>
      </c>
      <c r="GD170" t="inlineStr">
        <is>
          <t>KAZ</t>
        </is>
      </c>
      <c r="GE170" t="inlineStr">
        <is>
          <t>KAZ</t>
        </is>
      </c>
      <c r="GF170" t="inlineStr">
        <is>
          <t>KAZ</t>
        </is>
      </c>
      <c r="GG170" t="inlineStr">
        <is>
          <t>KAZ</t>
        </is>
      </c>
      <c r="GH170" t="inlineStr">
        <is>
          <t>KAZ</t>
        </is>
      </c>
      <c r="GI170" t="inlineStr">
        <is>
          <t>KAZ</t>
        </is>
      </c>
      <c r="GJ170" t="inlineStr">
        <is>
          <t>KAZ</t>
        </is>
      </c>
      <c r="GK170" t="inlineStr">
        <is>
          <t>KAZ</t>
        </is>
      </c>
      <c r="GL170" t="inlineStr">
        <is>
          <t>KAZ</t>
        </is>
      </c>
      <c r="GM170" t="inlineStr">
        <is>
          <t>KAZ</t>
        </is>
      </c>
      <c r="GN170" t="inlineStr">
        <is>
          <t>KAZ</t>
        </is>
      </c>
      <c r="GO170" t="inlineStr">
        <is>
          <t>KAZ</t>
        </is>
      </c>
      <c r="GP170" t="inlineStr">
        <is>
          <t>KAZ</t>
        </is>
      </c>
      <c r="GQ170" t="inlineStr">
        <is>
          <t>KAZ</t>
        </is>
      </c>
      <c r="GR170" t="inlineStr">
        <is>
          <t>KAZ</t>
        </is>
      </c>
      <c r="GS170" t="inlineStr">
        <is>
          <t>KAZ</t>
        </is>
      </c>
      <c r="GT170" t="inlineStr">
        <is>
          <t>KAZ</t>
        </is>
      </c>
      <c r="GU170" t="inlineStr">
        <is>
          <t>KAZ</t>
        </is>
      </c>
      <c r="GV170" t="inlineStr">
        <is>
          <t>KAZ</t>
        </is>
      </c>
      <c r="GW170" t="inlineStr">
        <is>
          <t>KAZ</t>
        </is>
      </c>
      <c r="GX170" t="inlineStr">
        <is>
          <t>KAZ</t>
        </is>
      </c>
      <c r="GY170" t="inlineStr">
        <is>
          <t>KAZ</t>
        </is>
      </c>
      <c r="GZ170" t="inlineStr">
        <is>
          <t>KAZ</t>
        </is>
      </c>
      <c r="HA170" t="inlineStr">
        <is>
          <t>KAZ</t>
        </is>
      </c>
      <c r="HB170" t="inlineStr">
        <is>
          <t>KAZ</t>
        </is>
      </c>
      <c r="HC170" t="inlineStr">
        <is>
          <t>KAZ</t>
        </is>
      </c>
      <c r="HD170" t="inlineStr">
        <is>
          <t>KAZ</t>
        </is>
      </c>
      <c r="HE170" t="inlineStr">
        <is>
          <t>KAZ</t>
        </is>
      </c>
      <c r="HF170" t="inlineStr">
        <is>
          <t>KAZ</t>
        </is>
      </c>
      <c r="HG170" t="inlineStr">
        <is>
          <t>KAZ</t>
        </is>
      </c>
      <c r="HH170" t="inlineStr">
        <is>
          <t>KAZ</t>
        </is>
      </c>
      <c r="HI170" t="inlineStr">
        <is>
          <t>KAZ</t>
        </is>
      </c>
      <c r="HJ170" t="inlineStr">
        <is>
          <t>KAZ</t>
        </is>
      </c>
      <c r="HK170" t="inlineStr">
        <is>
          <t>KAZ</t>
        </is>
      </c>
      <c r="HL170" t="inlineStr">
        <is>
          <t>KAZ</t>
        </is>
      </c>
      <c r="HM170" t="inlineStr">
        <is>
          <t>KAZ</t>
        </is>
      </c>
      <c r="HN170" t="inlineStr">
        <is>
          <t>KAZ</t>
        </is>
      </c>
      <c r="HO170" t="inlineStr">
        <is>
          <t>CHN</t>
        </is>
      </c>
      <c r="HP170" t="inlineStr">
        <is>
          <t>CHN</t>
        </is>
      </c>
      <c r="HQ170" t="inlineStr">
        <is>
          <t>CHN</t>
        </is>
      </c>
      <c r="HR170" t="inlineStr">
        <is>
          <t>CHN</t>
        </is>
      </c>
      <c r="HS170" t="inlineStr">
        <is>
          <t>CHN</t>
        </is>
      </c>
      <c r="HT170" t="inlineStr">
        <is>
          <t>CHN</t>
        </is>
      </c>
      <c r="HU170" t="inlineStr">
        <is>
          <t>CHN</t>
        </is>
      </c>
      <c r="HV170" t="inlineStr">
        <is>
          <t>CHN</t>
        </is>
      </c>
      <c r="HW170" t="inlineStr">
        <is>
          <t>CHN</t>
        </is>
      </c>
      <c r="HX170" t="inlineStr">
        <is>
          <t>CHN</t>
        </is>
      </c>
      <c r="HY170" t="inlineStr">
        <is>
          <t>CHN</t>
        </is>
      </c>
      <c r="HZ170" t="inlineStr">
        <is>
          <t>CHN</t>
        </is>
      </c>
      <c r="IA170" t="inlineStr">
        <is>
          <t>CHN</t>
        </is>
      </c>
      <c r="IB170" t="inlineStr">
        <is>
          <t>CHN</t>
        </is>
      </c>
      <c r="IC170" t="inlineStr">
        <is>
          <t>CHN</t>
        </is>
      </c>
      <c r="ID170" t="inlineStr">
        <is>
          <t>CHN</t>
        </is>
      </c>
      <c r="IE170" t="inlineStr">
        <is>
          <t>CHN</t>
        </is>
      </c>
      <c r="IF170" t="inlineStr">
        <is>
          <t>CHN</t>
        </is>
      </c>
      <c r="IG170" t="inlineStr">
        <is>
          <t>CHN</t>
        </is>
      </c>
      <c r="IH170" t="inlineStr">
        <is>
          <t>CHN</t>
        </is>
      </c>
      <c r="II170" t="inlineStr">
        <is>
          <t>CHN</t>
        </is>
      </c>
      <c r="IJ170" t="inlineStr">
        <is>
          <t>CHN</t>
        </is>
      </c>
      <c r="IK170" t="inlineStr">
        <is>
          <t>CHN</t>
        </is>
      </c>
      <c r="IL170" t="inlineStr">
        <is>
          <t>CHN</t>
        </is>
      </c>
      <c r="IM170" t="inlineStr">
        <is>
          <t>CHN</t>
        </is>
      </c>
      <c r="IN170" t="inlineStr">
        <is>
          <t>CHN</t>
        </is>
      </c>
      <c r="IO170" t="inlineStr">
        <is>
          <t>CHN</t>
        </is>
      </c>
      <c r="IP170" t="inlineStr">
        <is>
          <t>CHN</t>
        </is>
      </c>
      <c r="IQ170" t="inlineStr">
        <is>
          <t>CHN</t>
        </is>
      </c>
      <c r="IR170" t="inlineStr">
        <is>
          <t>CHN</t>
        </is>
      </c>
      <c r="IS170" t="inlineStr">
        <is>
          <t>MNG</t>
        </is>
      </c>
      <c r="IT170" t="inlineStr">
        <is>
          <t>MNG</t>
        </is>
      </c>
      <c r="IU170" t="inlineStr">
        <is>
          <t>MNG</t>
        </is>
      </c>
      <c r="IV170" t="inlineStr">
        <is>
          <t>MNG</t>
        </is>
      </c>
      <c r="IW170" t="inlineStr">
        <is>
          <t>MNG</t>
        </is>
      </c>
      <c r="IX170" t="inlineStr">
        <is>
          <t>MNG</t>
        </is>
      </c>
      <c r="IY170" t="inlineStr">
        <is>
          <t>MNG</t>
        </is>
      </c>
      <c r="IZ170" t="inlineStr">
        <is>
          <t>MNG</t>
        </is>
      </c>
      <c r="JA170" t="inlineStr">
        <is>
          <t>MNG</t>
        </is>
      </c>
      <c r="JB170" t="inlineStr">
        <is>
          <t>MNG</t>
        </is>
      </c>
      <c r="JC170" t="inlineStr">
        <is>
          <t>MNG</t>
        </is>
      </c>
      <c r="JD170" t="inlineStr">
        <is>
          <t>MNG</t>
        </is>
      </c>
      <c r="JE170" t="inlineStr">
        <is>
          <t>MNG</t>
        </is>
      </c>
      <c r="JF170" t="inlineStr">
        <is>
          <t>MNG</t>
        </is>
      </c>
      <c r="JG170" t="inlineStr">
        <is>
          <t>MNG</t>
        </is>
      </c>
      <c r="JH170" t="inlineStr">
        <is>
          <t>MNG</t>
        </is>
      </c>
      <c r="JI170" t="inlineStr">
        <is>
          <t>MNG</t>
        </is>
      </c>
      <c r="JJ170" t="inlineStr">
        <is>
          <t>MNG</t>
        </is>
      </c>
      <c r="JK170" t="inlineStr">
        <is>
          <t>MNG</t>
        </is>
      </c>
      <c r="JL170" t="inlineStr">
        <is>
          <t>MNG</t>
        </is>
      </c>
      <c r="JM170" t="inlineStr">
        <is>
          <t>MNG</t>
        </is>
      </c>
      <c r="JN170" t="inlineStr">
        <is>
          <t>MNG</t>
        </is>
      </c>
      <c r="JO170" t="inlineStr">
        <is>
          <t>MNG</t>
        </is>
      </c>
      <c r="JP170" t="inlineStr">
        <is>
          <t>MNG</t>
        </is>
      </c>
      <c r="JQ170" t="inlineStr">
        <is>
          <t>MNG</t>
        </is>
      </c>
      <c r="JR170" t="inlineStr">
        <is>
          <t>MNG</t>
        </is>
      </c>
      <c r="JS170" t="inlineStr">
        <is>
          <t>MNG</t>
        </is>
      </c>
      <c r="JT170" t="inlineStr">
        <is>
          <t>MNG</t>
        </is>
      </c>
      <c r="JU170" t="inlineStr">
        <is>
          <t>MNG</t>
        </is>
      </c>
    </row>
    <row r="171">
      <c r="BG171" t="inlineStr">
        <is>
          <t>FRA</t>
        </is>
      </c>
      <c r="BH171" t="inlineStr">
        <is>
          <t>FRA</t>
        </is>
      </c>
      <c r="BI171" t="inlineStr">
        <is>
          <t>FRA</t>
        </is>
      </c>
      <c r="BJ171" t="inlineStr">
        <is>
          <t>FRA</t>
        </is>
      </c>
      <c r="BK171" t="inlineStr">
        <is>
          <t>FRA</t>
        </is>
      </c>
      <c r="BL171" t="inlineStr">
        <is>
          <t>FRA</t>
        </is>
      </c>
      <c r="BM171" t="inlineStr">
        <is>
          <t>FRA</t>
        </is>
      </c>
      <c r="BN171" t="inlineStr">
        <is>
          <t>FRA</t>
        </is>
      </c>
      <c r="BO171" t="inlineStr">
        <is>
          <t>FRA</t>
        </is>
      </c>
      <c r="BP171" t="inlineStr">
        <is>
          <t>FRA</t>
        </is>
      </c>
      <c r="BQ171" t="inlineStr">
        <is>
          <t>FRA</t>
        </is>
      </c>
      <c r="BR171" t="inlineStr">
        <is>
          <t>FRA</t>
        </is>
      </c>
      <c r="BS171" t="inlineStr">
        <is>
          <t>FRA</t>
        </is>
      </c>
      <c r="BT171" t="inlineStr">
        <is>
          <t>FRA</t>
        </is>
      </c>
      <c r="BU171" t="inlineStr">
        <is>
          <t>FRA</t>
        </is>
      </c>
      <c r="BV171" t="inlineStr">
        <is>
          <t>FRA</t>
        </is>
      </c>
      <c r="BW171" t="inlineStr">
        <is>
          <t>FRA</t>
        </is>
      </c>
      <c r="BX171" t="inlineStr">
        <is>
          <t>ITA</t>
        </is>
      </c>
      <c r="BY171" t="inlineStr">
        <is>
          <t>ITA</t>
        </is>
      </c>
      <c r="BZ171" t="inlineStr">
        <is>
          <t>ITA</t>
        </is>
      </c>
      <c r="CA171" t="inlineStr">
        <is>
          <t>ITA</t>
        </is>
      </c>
      <c r="CB171" t="inlineStr">
        <is>
          <t>ITA</t>
        </is>
      </c>
      <c r="CC171" t="inlineStr">
        <is>
          <t>ITA</t>
        </is>
      </c>
      <c r="CD171" t="inlineStr">
        <is>
          <t>ITA</t>
        </is>
      </c>
      <c r="CE171" t="inlineStr">
        <is>
          <t>ITA</t>
        </is>
      </c>
      <c r="CF171" t="inlineStr">
        <is>
          <t>ITA</t>
        </is>
      </c>
      <c r="CG171" t="inlineStr">
        <is>
          <t>ITA</t>
        </is>
      </c>
      <c r="CH171" t="inlineStr">
        <is>
          <t>ITA</t>
        </is>
      </c>
      <c r="CN171" t="inlineStr">
        <is>
          <t>HRV</t>
        </is>
      </c>
      <c r="CO171" t="inlineStr">
        <is>
          <t>HRV</t>
        </is>
      </c>
      <c r="CP171" t="inlineStr">
        <is>
          <t>BIH</t>
        </is>
      </c>
      <c r="CQ171" t="inlineStr">
        <is>
          <t>BIH</t>
        </is>
      </c>
      <c r="CR171" t="inlineStr">
        <is>
          <t>BIH</t>
        </is>
      </c>
      <c r="CS171" t="inlineStr">
        <is>
          <t>BIH</t>
        </is>
      </c>
      <c r="CT171" t="inlineStr">
        <is>
          <t>BIH</t>
        </is>
      </c>
      <c r="CU171" t="inlineStr">
        <is>
          <t>BIH</t>
        </is>
      </c>
      <c r="CV171" t="inlineStr">
        <is>
          <t>BIH</t>
        </is>
      </c>
      <c r="CW171" t="inlineStr">
        <is>
          <t>SRB</t>
        </is>
      </c>
      <c r="CX171" t="inlineStr">
        <is>
          <t>SRB</t>
        </is>
      </c>
      <c r="CY171" t="inlineStr">
        <is>
          <t>SRB</t>
        </is>
      </c>
      <c r="CZ171" t="inlineStr">
        <is>
          <t>SRB</t>
        </is>
      </c>
      <c r="DA171" t="inlineStr">
        <is>
          <t>ROU</t>
        </is>
      </c>
      <c r="DB171" t="inlineStr">
        <is>
          <t>ROU</t>
        </is>
      </c>
      <c r="DC171" t="inlineStr">
        <is>
          <t>ROU</t>
        </is>
      </c>
      <c r="DD171" t="inlineStr">
        <is>
          <t>ROU</t>
        </is>
      </c>
      <c r="DE171" t="inlineStr">
        <is>
          <t>ROU</t>
        </is>
      </c>
      <c r="DF171" t="inlineStr">
        <is>
          <t>ROU</t>
        </is>
      </c>
      <c r="DG171" t="inlineStr">
        <is>
          <t>ROU</t>
        </is>
      </c>
      <c r="DH171" t="inlineStr">
        <is>
          <t>ROU</t>
        </is>
      </c>
      <c r="DI171" t="inlineStr">
        <is>
          <t>ROU</t>
        </is>
      </c>
      <c r="DJ171" t="inlineStr">
        <is>
          <t>ROU</t>
        </is>
      </c>
      <c r="DK171" t="inlineStr">
        <is>
          <t>ROU</t>
        </is>
      </c>
      <c r="DL171" t="inlineStr">
        <is>
          <t>ROU</t>
        </is>
      </c>
      <c r="DM171" t="inlineStr">
        <is>
          <t>ROU</t>
        </is>
      </c>
      <c r="DN171" t="inlineStr">
        <is>
          <t>ROU</t>
        </is>
      </c>
      <c r="DO171" t="inlineStr">
        <is>
          <t>ROU</t>
        </is>
      </c>
      <c r="DY171" t="inlineStr">
        <is>
          <t>UKR</t>
        </is>
      </c>
      <c r="DZ171" t="inlineStr">
        <is>
          <t>UKR</t>
        </is>
      </c>
      <c r="EA171" t="inlineStr">
        <is>
          <t>UKR</t>
        </is>
      </c>
      <c r="EG171" t="inlineStr">
        <is>
          <t>RUS</t>
        </is>
      </c>
      <c r="EH171" t="inlineStr">
        <is>
          <t>RUS</t>
        </is>
      </c>
      <c r="EI171" t="inlineStr">
        <is>
          <t>RUS</t>
        </is>
      </c>
      <c r="EJ171" t="inlineStr">
        <is>
          <t>RUS</t>
        </is>
      </c>
      <c r="EK171" t="inlineStr">
        <is>
          <t>RUS</t>
        </is>
      </c>
      <c r="EL171" t="inlineStr">
        <is>
          <t>RUS</t>
        </is>
      </c>
      <c r="EM171" t="inlineStr">
        <is>
          <t>RUS</t>
        </is>
      </c>
      <c r="EN171" t="inlineStr">
        <is>
          <t>RUS</t>
        </is>
      </c>
      <c r="EO171" t="inlineStr">
        <is>
          <t>RUS</t>
        </is>
      </c>
      <c r="EP171" t="inlineStr">
        <is>
          <t>RUS</t>
        </is>
      </c>
      <c r="EQ171" t="inlineStr">
        <is>
          <t>RUS</t>
        </is>
      </c>
      <c r="ER171" t="inlineStr">
        <is>
          <t>RUS</t>
        </is>
      </c>
      <c r="ES171" t="inlineStr">
        <is>
          <t>RUS</t>
        </is>
      </c>
      <c r="ET171" t="inlineStr">
        <is>
          <t>RUS</t>
        </is>
      </c>
      <c r="EU171" t="inlineStr">
        <is>
          <t>RUS</t>
        </is>
      </c>
      <c r="EV171" t="inlineStr">
        <is>
          <t>RUS</t>
        </is>
      </c>
      <c r="EW171" t="inlineStr">
        <is>
          <t>RUS</t>
        </is>
      </c>
      <c r="EX171" t="inlineStr">
        <is>
          <t>RUS</t>
        </is>
      </c>
      <c r="EY171" t="inlineStr">
        <is>
          <t>RUS</t>
        </is>
      </c>
      <c r="FI171" t="inlineStr">
        <is>
          <t>KAZ</t>
        </is>
      </c>
      <c r="FJ171" t="inlineStr">
        <is>
          <t>KAZ</t>
        </is>
      </c>
      <c r="FK171" t="inlineStr">
        <is>
          <t>KAZ</t>
        </is>
      </c>
      <c r="FL171" t="inlineStr">
        <is>
          <t>KAZ</t>
        </is>
      </c>
      <c r="FM171" t="inlineStr">
        <is>
          <t>KAZ</t>
        </is>
      </c>
      <c r="FN171" t="inlineStr">
        <is>
          <t>KAZ</t>
        </is>
      </c>
      <c r="FO171" t="inlineStr">
        <is>
          <t>KAZ</t>
        </is>
      </c>
      <c r="FP171" t="inlineStr">
        <is>
          <t>KAZ</t>
        </is>
      </c>
      <c r="FQ171" t="inlineStr">
        <is>
          <t>KAZ</t>
        </is>
      </c>
      <c r="FR171" t="inlineStr">
        <is>
          <t>UZB</t>
        </is>
      </c>
      <c r="FS171" t="inlineStr">
        <is>
          <t>UZB</t>
        </is>
      </c>
      <c r="FT171" t="inlineStr">
        <is>
          <t>UZB</t>
        </is>
      </c>
      <c r="FU171" t="inlineStr">
        <is>
          <t>UZB</t>
        </is>
      </c>
      <c r="FV171" t="inlineStr">
        <is>
          <t>UZB</t>
        </is>
      </c>
      <c r="FW171" t="inlineStr">
        <is>
          <t>UZB</t>
        </is>
      </c>
      <c r="FX171" t="inlineStr">
        <is>
          <t>UZB</t>
        </is>
      </c>
      <c r="FY171" t="inlineStr">
        <is>
          <t>UZB</t>
        </is>
      </c>
      <c r="FZ171" t="inlineStr">
        <is>
          <t>UZB</t>
        </is>
      </c>
      <c r="GA171" t="inlineStr">
        <is>
          <t>KAZ</t>
        </is>
      </c>
      <c r="GB171" t="inlineStr">
        <is>
          <t>KAZ</t>
        </is>
      </c>
      <c r="GC171" t="inlineStr">
        <is>
          <t>KAZ</t>
        </is>
      </c>
      <c r="GD171" t="inlineStr">
        <is>
          <t>KAZ</t>
        </is>
      </c>
      <c r="GE171" t="inlineStr">
        <is>
          <t>KAZ</t>
        </is>
      </c>
      <c r="GF171" t="inlineStr">
        <is>
          <t>KAZ</t>
        </is>
      </c>
      <c r="GG171" t="inlineStr">
        <is>
          <t>KAZ</t>
        </is>
      </c>
      <c r="GH171" t="inlineStr">
        <is>
          <t>KAZ</t>
        </is>
      </c>
      <c r="GI171" t="inlineStr">
        <is>
          <t>KAZ</t>
        </is>
      </c>
      <c r="GJ171" t="inlineStr">
        <is>
          <t>KAZ</t>
        </is>
      </c>
      <c r="GK171" t="inlineStr">
        <is>
          <t>KAZ</t>
        </is>
      </c>
      <c r="GL171" t="inlineStr">
        <is>
          <t>KAZ</t>
        </is>
      </c>
      <c r="GM171" t="inlineStr">
        <is>
          <t>KAZ</t>
        </is>
      </c>
      <c r="GN171" t="inlineStr">
        <is>
          <t>KAZ</t>
        </is>
      </c>
      <c r="GO171" t="inlineStr">
        <is>
          <t>KAZ</t>
        </is>
      </c>
      <c r="GP171" t="inlineStr">
        <is>
          <t>KAZ</t>
        </is>
      </c>
      <c r="GQ171" t="inlineStr">
        <is>
          <t>KAZ</t>
        </is>
      </c>
      <c r="GR171" t="inlineStr">
        <is>
          <t>KAZ</t>
        </is>
      </c>
      <c r="GS171" t="inlineStr">
        <is>
          <t>KAZ</t>
        </is>
      </c>
      <c r="GT171" t="inlineStr">
        <is>
          <t>KAZ</t>
        </is>
      </c>
      <c r="GU171" t="inlineStr">
        <is>
          <t>KAZ</t>
        </is>
      </c>
      <c r="GV171" t="inlineStr">
        <is>
          <t>KAZ</t>
        </is>
      </c>
      <c r="GW171" t="inlineStr">
        <is>
          <t>KAZ</t>
        </is>
      </c>
      <c r="GX171" t="inlineStr">
        <is>
          <t>KAZ</t>
        </is>
      </c>
      <c r="GY171" t="inlineStr">
        <is>
          <t>KAZ</t>
        </is>
      </c>
      <c r="GZ171" t="inlineStr">
        <is>
          <t>KAZ</t>
        </is>
      </c>
      <c r="HA171" t="inlineStr">
        <is>
          <t>KAZ</t>
        </is>
      </c>
      <c r="HB171" t="inlineStr">
        <is>
          <t>KAZ</t>
        </is>
      </c>
      <c r="HC171" t="inlineStr">
        <is>
          <t>KAZ</t>
        </is>
      </c>
      <c r="HD171" t="inlineStr">
        <is>
          <t>KAZ</t>
        </is>
      </c>
      <c r="HE171" t="inlineStr">
        <is>
          <t>KAZ</t>
        </is>
      </c>
      <c r="HF171" t="inlineStr">
        <is>
          <t>KAZ</t>
        </is>
      </c>
      <c r="HG171" t="inlineStr">
        <is>
          <t>KAZ</t>
        </is>
      </c>
      <c r="HH171" t="inlineStr">
        <is>
          <t>KAZ</t>
        </is>
      </c>
      <c r="HI171" t="inlineStr">
        <is>
          <t>KAZ</t>
        </is>
      </c>
      <c r="HJ171" t="inlineStr">
        <is>
          <t>KAZ</t>
        </is>
      </c>
      <c r="HK171" t="inlineStr">
        <is>
          <t>KAZ</t>
        </is>
      </c>
      <c r="HL171" t="inlineStr">
        <is>
          <t>KAZ</t>
        </is>
      </c>
      <c r="HM171" t="inlineStr">
        <is>
          <t>KAZ</t>
        </is>
      </c>
      <c r="HN171" t="inlineStr">
        <is>
          <t>CHN</t>
        </is>
      </c>
      <c r="HO171" t="inlineStr">
        <is>
          <t>CHN</t>
        </is>
      </c>
      <c r="HP171" t="inlineStr">
        <is>
          <t>CHN</t>
        </is>
      </c>
      <c r="HQ171" t="inlineStr">
        <is>
          <t>CHN</t>
        </is>
      </c>
      <c r="HR171" t="inlineStr">
        <is>
          <t>CHN</t>
        </is>
      </c>
      <c r="HS171" t="inlineStr">
        <is>
          <t>CHN</t>
        </is>
      </c>
      <c r="HT171" t="inlineStr">
        <is>
          <t>CHN</t>
        </is>
      </c>
      <c r="HU171" t="inlineStr">
        <is>
          <t>CHN</t>
        </is>
      </c>
      <c r="HV171" t="inlineStr">
        <is>
          <t>CHN</t>
        </is>
      </c>
      <c r="HW171" t="inlineStr">
        <is>
          <t>CHN</t>
        </is>
      </c>
      <c r="HX171" t="inlineStr">
        <is>
          <t>CHN</t>
        </is>
      </c>
      <c r="HY171" t="inlineStr">
        <is>
          <t>CHN</t>
        </is>
      </c>
      <c r="HZ171" t="inlineStr">
        <is>
          <t>CHN</t>
        </is>
      </c>
      <c r="IA171" t="inlineStr">
        <is>
          <t>CHN</t>
        </is>
      </c>
      <c r="IB171" t="inlineStr">
        <is>
          <t>CHN</t>
        </is>
      </c>
      <c r="IC171" t="inlineStr">
        <is>
          <t>CHN</t>
        </is>
      </c>
      <c r="ID171" t="inlineStr">
        <is>
          <t>CHN</t>
        </is>
      </c>
      <c r="IE171" t="inlineStr">
        <is>
          <t>CHN</t>
        </is>
      </c>
      <c r="IF171" t="inlineStr">
        <is>
          <t>CHN</t>
        </is>
      </c>
      <c r="IG171" t="inlineStr">
        <is>
          <t>CHN</t>
        </is>
      </c>
      <c r="IH171" t="inlineStr">
        <is>
          <t>CHN</t>
        </is>
      </c>
      <c r="II171" t="inlineStr">
        <is>
          <t>CHN</t>
        </is>
      </c>
      <c r="IJ171" t="inlineStr">
        <is>
          <t>CHN</t>
        </is>
      </c>
      <c r="IK171" t="inlineStr">
        <is>
          <t>CHN</t>
        </is>
      </c>
      <c r="IL171" t="inlineStr">
        <is>
          <t>CHN</t>
        </is>
      </c>
      <c r="IM171" t="inlineStr">
        <is>
          <t>CHN</t>
        </is>
      </c>
      <c r="IN171" t="inlineStr">
        <is>
          <t>CHN</t>
        </is>
      </c>
      <c r="IO171" t="inlineStr">
        <is>
          <t>CHN</t>
        </is>
      </c>
      <c r="IP171" t="inlineStr">
        <is>
          <t>MNG</t>
        </is>
      </c>
      <c r="IQ171" t="inlineStr">
        <is>
          <t>MNG</t>
        </is>
      </c>
      <c r="IR171" t="inlineStr">
        <is>
          <t>MNG</t>
        </is>
      </c>
      <c r="IS171" t="inlineStr">
        <is>
          <t>MNG</t>
        </is>
      </c>
      <c r="IT171" t="inlineStr">
        <is>
          <t>MNG</t>
        </is>
      </c>
      <c r="IU171" t="inlineStr">
        <is>
          <t>MNG</t>
        </is>
      </c>
      <c r="IV171" t="inlineStr">
        <is>
          <t>MNG</t>
        </is>
      </c>
      <c r="IW171" t="inlineStr">
        <is>
          <t>MNG</t>
        </is>
      </c>
      <c r="IX171" t="inlineStr">
        <is>
          <t>MNG</t>
        </is>
      </c>
      <c r="IY171" t="inlineStr">
        <is>
          <t>MNG</t>
        </is>
      </c>
      <c r="IZ171" t="inlineStr">
        <is>
          <t>MNG</t>
        </is>
      </c>
      <c r="JA171" t="inlineStr">
        <is>
          <t>MNG</t>
        </is>
      </c>
      <c r="JB171" t="inlineStr">
        <is>
          <t>MNG</t>
        </is>
      </c>
      <c r="JC171" t="inlineStr">
        <is>
          <t>MNG</t>
        </is>
      </c>
      <c r="JD171" t="inlineStr">
        <is>
          <t>MNG</t>
        </is>
      </c>
      <c r="JE171" t="inlineStr">
        <is>
          <t>MNG</t>
        </is>
      </c>
      <c r="JF171" t="inlineStr">
        <is>
          <t>MNG</t>
        </is>
      </c>
      <c r="JG171" t="inlineStr">
        <is>
          <t>MNG</t>
        </is>
      </c>
      <c r="JH171" t="inlineStr">
        <is>
          <t>MNG</t>
        </is>
      </c>
      <c r="JI171" t="inlineStr">
        <is>
          <t>MNG</t>
        </is>
      </c>
      <c r="JJ171" t="inlineStr">
        <is>
          <t>MNG</t>
        </is>
      </c>
      <c r="JK171" t="inlineStr">
        <is>
          <t>MNG</t>
        </is>
      </c>
      <c r="JL171" t="inlineStr">
        <is>
          <t>MNG</t>
        </is>
      </c>
      <c r="JM171" t="inlineStr">
        <is>
          <t>MNG</t>
        </is>
      </c>
      <c r="JN171" t="inlineStr">
        <is>
          <t>MNG</t>
        </is>
      </c>
      <c r="JO171" t="inlineStr">
        <is>
          <t>MNG</t>
        </is>
      </c>
      <c r="JP171" t="inlineStr">
        <is>
          <t>MNG</t>
        </is>
      </c>
      <c r="JQ171" t="inlineStr">
        <is>
          <t>MNG</t>
        </is>
      </c>
      <c r="JR171" t="inlineStr">
        <is>
          <t>MNG</t>
        </is>
      </c>
      <c r="JS171" t="inlineStr">
        <is>
          <t>MNG</t>
        </is>
      </c>
      <c r="JT171" t="inlineStr">
        <is>
          <t>MNG</t>
        </is>
      </c>
      <c r="JU171" t="inlineStr">
        <is>
          <t>MNG</t>
        </is>
      </c>
    </row>
    <row r="172">
      <c r="BG172" t="inlineStr">
        <is>
          <t>FRA</t>
        </is>
      </c>
      <c r="BH172" t="inlineStr">
        <is>
          <t>FRA</t>
        </is>
      </c>
      <c r="BI172" t="inlineStr">
        <is>
          <t>FRA</t>
        </is>
      </c>
      <c r="BJ172" t="inlineStr">
        <is>
          <t>FRA</t>
        </is>
      </c>
      <c r="BK172" t="inlineStr">
        <is>
          <t>FRA</t>
        </is>
      </c>
      <c r="BL172" t="inlineStr">
        <is>
          <t>FRA</t>
        </is>
      </c>
      <c r="BM172" t="inlineStr">
        <is>
          <t>FRA</t>
        </is>
      </c>
      <c r="BN172" t="inlineStr">
        <is>
          <t>FRA</t>
        </is>
      </c>
      <c r="BO172" t="inlineStr">
        <is>
          <t>FRA</t>
        </is>
      </c>
      <c r="BP172" t="inlineStr">
        <is>
          <t>FRA</t>
        </is>
      </c>
      <c r="BQ172" t="inlineStr">
        <is>
          <t>FRA</t>
        </is>
      </c>
      <c r="BR172" t="inlineStr">
        <is>
          <t>FRA</t>
        </is>
      </c>
      <c r="BS172" t="inlineStr">
        <is>
          <t>FRA</t>
        </is>
      </c>
      <c r="BT172" t="inlineStr">
        <is>
          <t>FRA</t>
        </is>
      </c>
      <c r="BU172" t="inlineStr">
        <is>
          <t>FRA</t>
        </is>
      </c>
      <c r="BV172" t="inlineStr">
        <is>
          <t>FRA</t>
        </is>
      </c>
      <c r="BW172" t="inlineStr">
        <is>
          <t>FRA</t>
        </is>
      </c>
      <c r="BX172" t="inlineStr">
        <is>
          <t>ITA</t>
        </is>
      </c>
      <c r="BY172" t="inlineStr">
        <is>
          <t>ITA</t>
        </is>
      </c>
      <c r="BZ172" t="inlineStr">
        <is>
          <t>ITA</t>
        </is>
      </c>
      <c r="CA172" t="inlineStr">
        <is>
          <t>ITA</t>
        </is>
      </c>
      <c r="CB172" t="inlineStr">
        <is>
          <t>ITA</t>
        </is>
      </c>
      <c r="CC172" t="inlineStr">
        <is>
          <t>ITA</t>
        </is>
      </c>
      <c r="CD172" t="inlineStr">
        <is>
          <t>ITA</t>
        </is>
      </c>
      <c r="CE172" t="inlineStr">
        <is>
          <t>ITA</t>
        </is>
      </c>
      <c r="CF172" t="inlineStr">
        <is>
          <t>ITA</t>
        </is>
      </c>
      <c r="CG172" t="inlineStr">
        <is>
          <t>ITA</t>
        </is>
      </c>
      <c r="CH172" t="inlineStr">
        <is>
          <t>ITA</t>
        </is>
      </c>
      <c r="CK172" t="inlineStr">
        <is>
          <t>HRV</t>
        </is>
      </c>
      <c r="CL172" t="inlineStr">
        <is>
          <t>HRV</t>
        </is>
      </c>
      <c r="CM172" t="inlineStr">
        <is>
          <t>HRV</t>
        </is>
      </c>
      <c r="CN172" t="inlineStr">
        <is>
          <t>HRV</t>
        </is>
      </c>
      <c r="CO172" t="inlineStr">
        <is>
          <t>HRV</t>
        </is>
      </c>
      <c r="CP172" t="inlineStr">
        <is>
          <t>HRV</t>
        </is>
      </c>
      <c r="CQ172" t="inlineStr">
        <is>
          <t>HRV</t>
        </is>
      </c>
      <c r="CR172" t="inlineStr">
        <is>
          <t>HRV</t>
        </is>
      </c>
      <c r="CS172" t="inlineStr">
        <is>
          <t>HRV</t>
        </is>
      </c>
      <c r="CT172" t="inlineStr">
        <is>
          <t>HRV</t>
        </is>
      </c>
      <c r="CU172" t="inlineStr">
        <is>
          <t>HRV</t>
        </is>
      </c>
      <c r="CV172" t="inlineStr">
        <is>
          <t>HRV</t>
        </is>
      </c>
      <c r="CW172" t="inlineStr">
        <is>
          <t>SRB</t>
        </is>
      </c>
      <c r="CX172" t="inlineStr">
        <is>
          <t>SRB</t>
        </is>
      </c>
      <c r="CY172" t="inlineStr">
        <is>
          <t>SRB</t>
        </is>
      </c>
      <c r="CZ172" t="inlineStr">
        <is>
          <t>SRB</t>
        </is>
      </c>
      <c r="DA172" t="inlineStr">
        <is>
          <t>ROU</t>
        </is>
      </c>
      <c r="DB172" t="inlineStr">
        <is>
          <t>ROU</t>
        </is>
      </c>
      <c r="DC172" t="inlineStr">
        <is>
          <t>ROU</t>
        </is>
      </c>
      <c r="DD172" t="inlineStr">
        <is>
          <t>ROU</t>
        </is>
      </c>
      <c r="DE172" t="inlineStr">
        <is>
          <t>ROU</t>
        </is>
      </c>
      <c r="DF172" t="inlineStr">
        <is>
          <t>ROU</t>
        </is>
      </c>
      <c r="DG172" t="inlineStr">
        <is>
          <t>ROU</t>
        </is>
      </c>
      <c r="DH172" t="inlineStr">
        <is>
          <t>ROU</t>
        </is>
      </c>
      <c r="DI172" t="inlineStr">
        <is>
          <t>ROU</t>
        </is>
      </c>
      <c r="DJ172" t="inlineStr">
        <is>
          <t>ROU</t>
        </is>
      </c>
      <c r="DK172" t="inlineStr">
        <is>
          <t>ROU</t>
        </is>
      </c>
      <c r="DL172" t="inlineStr">
        <is>
          <t>ROU</t>
        </is>
      </c>
      <c r="DM172" t="inlineStr">
        <is>
          <t>ROU</t>
        </is>
      </c>
      <c r="DN172" t="inlineStr">
        <is>
          <t>ROU</t>
        </is>
      </c>
      <c r="DO172" t="inlineStr">
        <is>
          <t>ROU</t>
        </is>
      </c>
      <c r="DP172" t="inlineStr">
        <is>
          <t>ROU</t>
        </is>
      </c>
      <c r="DW172" t="inlineStr">
        <is>
          <t>UKR</t>
        </is>
      </c>
      <c r="DX172" t="inlineStr">
        <is>
          <t>UKR</t>
        </is>
      </c>
      <c r="DY172" t="inlineStr">
        <is>
          <t>UKR</t>
        </is>
      </c>
      <c r="DZ172" t="inlineStr">
        <is>
          <t>UKR</t>
        </is>
      </c>
      <c r="EA172" t="inlineStr">
        <is>
          <t>UKR</t>
        </is>
      </c>
      <c r="EB172" t="inlineStr">
        <is>
          <t>UKR</t>
        </is>
      </c>
      <c r="EC172" t="inlineStr">
        <is>
          <t>UKR</t>
        </is>
      </c>
      <c r="ED172" t="inlineStr">
        <is>
          <t>UKR</t>
        </is>
      </c>
      <c r="EE172" t="inlineStr">
        <is>
          <t>RUS</t>
        </is>
      </c>
      <c r="EF172" t="inlineStr">
        <is>
          <t>RUS</t>
        </is>
      </c>
      <c r="EG172" t="inlineStr">
        <is>
          <t>RUS</t>
        </is>
      </c>
      <c r="EH172" t="inlineStr">
        <is>
          <t>RUS</t>
        </is>
      </c>
      <c r="EI172" t="inlineStr">
        <is>
          <t>RUS</t>
        </is>
      </c>
      <c r="EJ172" t="inlineStr">
        <is>
          <t>RUS</t>
        </is>
      </c>
      <c r="EK172" t="inlineStr">
        <is>
          <t>RUS</t>
        </is>
      </c>
      <c r="EL172" t="inlineStr">
        <is>
          <t>RUS</t>
        </is>
      </c>
      <c r="EM172" t="inlineStr">
        <is>
          <t>RUS</t>
        </is>
      </c>
      <c r="EN172" t="inlineStr">
        <is>
          <t>RUS</t>
        </is>
      </c>
      <c r="EO172" t="inlineStr">
        <is>
          <t>RUS</t>
        </is>
      </c>
      <c r="EP172" t="inlineStr">
        <is>
          <t>RUS</t>
        </is>
      </c>
      <c r="EQ172" t="inlineStr">
        <is>
          <t>RUS</t>
        </is>
      </c>
      <c r="ER172" t="inlineStr">
        <is>
          <t>RUS</t>
        </is>
      </c>
      <c r="ES172" t="inlineStr">
        <is>
          <t>RUS</t>
        </is>
      </c>
      <c r="ET172" t="inlineStr">
        <is>
          <t>RUS</t>
        </is>
      </c>
      <c r="EU172" t="inlineStr">
        <is>
          <t>RUS</t>
        </is>
      </c>
      <c r="EV172" t="inlineStr">
        <is>
          <t>RUS</t>
        </is>
      </c>
      <c r="EW172" t="inlineStr">
        <is>
          <t>RUS</t>
        </is>
      </c>
      <c r="EX172" t="inlineStr">
        <is>
          <t>RUS</t>
        </is>
      </c>
      <c r="EY172" t="inlineStr">
        <is>
          <t>RUS</t>
        </is>
      </c>
      <c r="EZ172" t="inlineStr">
        <is>
          <t>RUS</t>
        </is>
      </c>
      <c r="FI172" t="inlineStr">
        <is>
          <t>KAZ</t>
        </is>
      </c>
      <c r="FJ172" t="inlineStr">
        <is>
          <t>KAZ</t>
        </is>
      </c>
      <c r="FK172" t="inlineStr">
        <is>
          <t>KAZ</t>
        </is>
      </c>
      <c r="FL172" t="inlineStr">
        <is>
          <t>KAZ</t>
        </is>
      </c>
      <c r="FM172" t="inlineStr">
        <is>
          <t>KAZ</t>
        </is>
      </c>
      <c r="FN172" t="inlineStr">
        <is>
          <t>KAZ</t>
        </is>
      </c>
      <c r="FO172" t="inlineStr">
        <is>
          <t>KAZ</t>
        </is>
      </c>
      <c r="FP172" t="inlineStr">
        <is>
          <t>KAZ</t>
        </is>
      </c>
      <c r="FQ172" t="inlineStr">
        <is>
          <t>KAZ</t>
        </is>
      </c>
      <c r="FR172" t="inlineStr">
        <is>
          <t>KAZ</t>
        </is>
      </c>
      <c r="FS172" t="inlineStr">
        <is>
          <t>KAZ</t>
        </is>
      </c>
      <c r="FT172" t="inlineStr">
        <is>
          <t>UZB</t>
        </is>
      </c>
      <c r="FU172" t="inlineStr">
        <is>
          <t>UZB</t>
        </is>
      </c>
      <c r="FV172" t="inlineStr">
        <is>
          <t>UZB</t>
        </is>
      </c>
      <c r="FW172" t="inlineStr">
        <is>
          <t>UZB</t>
        </is>
      </c>
      <c r="FX172" t="inlineStr">
        <is>
          <t>KAZ</t>
        </is>
      </c>
      <c r="FY172" t="inlineStr">
        <is>
          <t>KAZ</t>
        </is>
      </c>
      <c r="FZ172" t="inlineStr">
        <is>
          <t>KAZ</t>
        </is>
      </c>
      <c r="GA172" t="inlineStr">
        <is>
          <t>KAZ</t>
        </is>
      </c>
      <c r="GB172" t="inlineStr">
        <is>
          <t>KAZ</t>
        </is>
      </c>
      <c r="GC172" t="inlineStr">
        <is>
          <t>KAZ</t>
        </is>
      </c>
      <c r="GD172" t="inlineStr">
        <is>
          <t>KAZ</t>
        </is>
      </c>
      <c r="GE172" t="inlineStr">
        <is>
          <t>KAZ</t>
        </is>
      </c>
      <c r="GF172" t="inlineStr">
        <is>
          <t>KAZ</t>
        </is>
      </c>
      <c r="GG172" t="inlineStr">
        <is>
          <t>KAZ</t>
        </is>
      </c>
      <c r="GH172" t="inlineStr">
        <is>
          <t>KAZ</t>
        </is>
      </c>
      <c r="GI172" t="inlineStr">
        <is>
          <t>KAZ</t>
        </is>
      </c>
      <c r="GJ172" t="inlineStr">
        <is>
          <t>KAZ</t>
        </is>
      </c>
      <c r="GK172" t="inlineStr">
        <is>
          <t>KAZ</t>
        </is>
      </c>
      <c r="GL172" t="inlineStr">
        <is>
          <t>KAZ</t>
        </is>
      </c>
      <c r="GM172" t="inlineStr">
        <is>
          <t>KAZ</t>
        </is>
      </c>
      <c r="GN172" t="inlineStr">
        <is>
          <t>KAZ</t>
        </is>
      </c>
      <c r="GO172" t="inlineStr">
        <is>
          <t>KAZ</t>
        </is>
      </c>
      <c r="GP172" t="inlineStr">
        <is>
          <t>KAZ</t>
        </is>
      </c>
      <c r="GQ172" t="inlineStr">
        <is>
          <t>KAZ</t>
        </is>
      </c>
      <c r="GR172" t="inlineStr">
        <is>
          <t>KAZ</t>
        </is>
      </c>
      <c r="GS172" t="inlineStr">
        <is>
          <t>KAZ</t>
        </is>
      </c>
      <c r="GT172" t="inlineStr">
        <is>
          <t>KAZ</t>
        </is>
      </c>
      <c r="GU172" t="inlineStr">
        <is>
          <t>KAZ</t>
        </is>
      </c>
      <c r="GV172" t="inlineStr">
        <is>
          <t>KAZ</t>
        </is>
      </c>
      <c r="GW172" t="inlineStr">
        <is>
          <t>KAZ</t>
        </is>
      </c>
      <c r="GX172" t="inlineStr">
        <is>
          <t>KAZ</t>
        </is>
      </c>
      <c r="GY172" t="inlineStr">
        <is>
          <t>KAZ</t>
        </is>
      </c>
      <c r="GZ172" t="inlineStr">
        <is>
          <t>KAZ</t>
        </is>
      </c>
      <c r="HA172" t="inlineStr">
        <is>
          <t>KAZ</t>
        </is>
      </c>
      <c r="HB172" t="inlineStr">
        <is>
          <t>KAZ</t>
        </is>
      </c>
      <c r="HC172" t="inlineStr">
        <is>
          <t>KAZ</t>
        </is>
      </c>
      <c r="HD172" t="inlineStr">
        <is>
          <t>KAZ</t>
        </is>
      </c>
      <c r="HE172" t="inlineStr">
        <is>
          <t>KAZ</t>
        </is>
      </c>
      <c r="HF172" t="inlineStr">
        <is>
          <t>KAZ</t>
        </is>
      </c>
      <c r="HG172" t="inlineStr">
        <is>
          <t>KAZ</t>
        </is>
      </c>
      <c r="HH172" t="inlineStr">
        <is>
          <t>KAZ</t>
        </is>
      </c>
      <c r="HI172" t="inlineStr">
        <is>
          <t>KAZ</t>
        </is>
      </c>
      <c r="HJ172" t="inlineStr">
        <is>
          <t>KAZ</t>
        </is>
      </c>
      <c r="HK172" t="inlineStr">
        <is>
          <t>KAZ</t>
        </is>
      </c>
      <c r="HL172" t="inlineStr">
        <is>
          <t>KAZ</t>
        </is>
      </c>
      <c r="HM172" t="inlineStr">
        <is>
          <t>KAZ</t>
        </is>
      </c>
      <c r="HN172" t="inlineStr">
        <is>
          <t>KAZ</t>
        </is>
      </c>
      <c r="HO172" t="inlineStr">
        <is>
          <t>KAZ</t>
        </is>
      </c>
      <c r="HP172" t="inlineStr">
        <is>
          <t>KAZ</t>
        </is>
      </c>
      <c r="HQ172" t="inlineStr">
        <is>
          <t>CHN</t>
        </is>
      </c>
      <c r="HR172" t="inlineStr">
        <is>
          <t>CHN</t>
        </is>
      </c>
      <c r="HS172" t="inlineStr">
        <is>
          <t>CHN</t>
        </is>
      </c>
      <c r="HT172" t="inlineStr">
        <is>
          <t>CHN</t>
        </is>
      </c>
      <c r="HU172" t="inlineStr">
        <is>
          <t>CHN</t>
        </is>
      </c>
      <c r="HV172" t="inlineStr">
        <is>
          <t>CHN</t>
        </is>
      </c>
      <c r="HW172" t="inlineStr">
        <is>
          <t>CHN</t>
        </is>
      </c>
      <c r="HX172" t="inlineStr">
        <is>
          <t>CHN</t>
        </is>
      </c>
      <c r="HY172" t="inlineStr">
        <is>
          <t>CHN</t>
        </is>
      </c>
      <c r="HZ172" t="inlineStr">
        <is>
          <t>CHN</t>
        </is>
      </c>
      <c r="IA172" t="inlineStr">
        <is>
          <t>CHN</t>
        </is>
      </c>
      <c r="IB172" t="inlineStr">
        <is>
          <t>CHN</t>
        </is>
      </c>
      <c r="IC172" t="inlineStr">
        <is>
          <t>CHN</t>
        </is>
      </c>
      <c r="ID172" t="inlineStr">
        <is>
          <t>CHN</t>
        </is>
      </c>
      <c r="IE172" t="inlineStr">
        <is>
          <t>CHN</t>
        </is>
      </c>
      <c r="IF172" t="inlineStr">
        <is>
          <t>CHN</t>
        </is>
      </c>
      <c r="IG172" t="inlineStr">
        <is>
          <t>CHN</t>
        </is>
      </c>
      <c r="IH172" t="inlineStr">
        <is>
          <t>CHN</t>
        </is>
      </c>
      <c r="II172" t="inlineStr">
        <is>
          <t>CHN</t>
        </is>
      </c>
      <c r="IJ172" t="inlineStr">
        <is>
          <t>MNG</t>
        </is>
      </c>
      <c r="IK172" t="inlineStr">
        <is>
          <t>MNG</t>
        </is>
      </c>
      <c r="IL172" t="inlineStr">
        <is>
          <t>MNG</t>
        </is>
      </c>
      <c r="IM172" t="inlineStr">
        <is>
          <t>MNG</t>
        </is>
      </c>
      <c r="IN172" t="inlineStr">
        <is>
          <t>MNG</t>
        </is>
      </c>
      <c r="IO172" t="inlineStr">
        <is>
          <t>MNG</t>
        </is>
      </c>
      <c r="IP172" t="inlineStr">
        <is>
          <t>MNG</t>
        </is>
      </c>
      <c r="IQ172" t="inlineStr">
        <is>
          <t>MNG</t>
        </is>
      </c>
      <c r="IR172" t="inlineStr">
        <is>
          <t>MNG</t>
        </is>
      </c>
      <c r="IS172" t="inlineStr">
        <is>
          <t>MNG</t>
        </is>
      </c>
      <c r="IT172" t="inlineStr">
        <is>
          <t>MNG</t>
        </is>
      </c>
      <c r="IU172" t="inlineStr">
        <is>
          <t>MNG</t>
        </is>
      </c>
      <c r="IV172" t="inlineStr">
        <is>
          <t>MNG</t>
        </is>
      </c>
      <c r="IW172" t="inlineStr">
        <is>
          <t>MNG</t>
        </is>
      </c>
      <c r="IX172" t="inlineStr">
        <is>
          <t>MNG</t>
        </is>
      </c>
      <c r="IY172" t="inlineStr">
        <is>
          <t>MNG</t>
        </is>
      </c>
      <c r="IZ172" t="inlineStr">
        <is>
          <t>MNG</t>
        </is>
      </c>
      <c r="JA172" t="inlineStr">
        <is>
          <t>MNG</t>
        </is>
      </c>
      <c r="JB172" t="inlineStr">
        <is>
          <t>MNG</t>
        </is>
      </c>
      <c r="JC172" t="inlineStr">
        <is>
          <t>MNG</t>
        </is>
      </c>
      <c r="JD172" t="inlineStr">
        <is>
          <t>MNG</t>
        </is>
      </c>
      <c r="JE172" t="inlineStr">
        <is>
          <t>MNG</t>
        </is>
      </c>
      <c r="JF172" t="inlineStr">
        <is>
          <t>MNG</t>
        </is>
      </c>
      <c r="JG172" t="inlineStr">
        <is>
          <t>MNG</t>
        </is>
      </c>
      <c r="JH172" t="inlineStr">
        <is>
          <t>MNG</t>
        </is>
      </c>
      <c r="JI172" t="inlineStr">
        <is>
          <t>MNG</t>
        </is>
      </c>
      <c r="JJ172" t="inlineStr">
        <is>
          <t>MNG</t>
        </is>
      </c>
      <c r="JK172" t="inlineStr">
        <is>
          <t>MNG</t>
        </is>
      </c>
      <c r="JL172" t="inlineStr">
        <is>
          <t>MNG</t>
        </is>
      </c>
      <c r="JM172" t="inlineStr">
        <is>
          <t>MNG</t>
        </is>
      </c>
      <c r="JN172" t="inlineStr">
        <is>
          <t>MNG</t>
        </is>
      </c>
      <c r="JO172" t="inlineStr">
        <is>
          <t>MNG</t>
        </is>
      </c>
      <c r="JP172" t="inlineStr">
        <is>
          <t>MNG</t>
        </is>
      </c>
      <c r="JQ172" t="inlineStr">
        <is>
          <t>MNG</t>
        </is>
      </c>
      <c r="JR172" t="inlineStr">
        <is>
          <t>MNG</t>
        </is>
      </c>
      <c r="JS172" t="inlineStr">
        <is>
          <t>MNG</t>
        </is>
      </c>
      <c r="JT172" t="inlineStr">
        <is>
          <t>MNG</t>
        </is>
      </c>
      <c r="JU172" t="inlineStr">
        <is>
          <t>MNG</t>
        </is>
      </c>
    </row>
    <row r="173">
      <c r="BH173" t="inlineStr">
        <is>
          <t>FRA</t>
        </is>
      </c>
      <c r="BI173" t="inlineStr">
        <is>
          <t>FRA</t>
        </is>
      </c>
      <c r="BJ173" t="inlineStr">
        <is>
          <t>FRA</t>
        </is>
      </c>
      <c r="BK173" t="inlineStr">
        <is>
          <t>FRA</t>
        </is>
      </c>
      <c r="BL173" t="inlineStr">
        <is>
          <t>FRA</t>
        </is>
      </c>
      <c r="BM173" t="inlineStr">
        <is>
          <t>FRA</t>
        </is>
      </c>
      <c r="BN173" t="inlineStr">
        <is>
          <t>FRA</t>
        </is>
      </c>
      <c r="BO173" t="inlineStr">
        <is>
          <t>FRA</t>
        </is>
      </c>
      <c r="BP173" t="inlineStr">
        <is>
          <t>FRA</t>
        </is>
      </c>
      <c r="BQ173" t="inlineStr">
        <is>
          <t>FRA</t>
        </is>
      </c>
      <c r="BR173" t="inlineStr">
        <is>
          <t>FRA</t>
        </is>
      </c>
      <c r="BS173" t="inlineStr">
        <is>
          <t>FRA</t>
        </is>
      </c>
      <c r="BT173" t="inlineStr">
        <is>
          <t>FRA</t>
        </is>
      </c>
      <c r="BU173" t="inlineStr">
        <is>
          <t>FRA</t>
        </is>
      </c>
      <c r="BV173" t="inlineStr">
        <is>
          <t>FRA</t>
        </is>
      </c>
      <c r="BW173" t="inlineStr">
        <is>
          <t>FRA</t>
        </is>
      </c>
      <c r="BX173" t="inlineStr">
        <is>
          <t>ITA</t>
        </is>
      </c>
      <c r="BY173" t="inlineStr">
        <is>
          <t>ITA</t>
        </is>
      </c>
      <c r="BZ173" t="inlineStr">
        <is>
          <t>ITA</t>
        </is>
      </c>
      <c r="CA173" t="inlineStr">
        <is>
          <t>ITA</t>
        </is>
      </c>
      <c r="CB173" t="inlineStr">
        <is>
          <t>ITA</t>
        </is>
      </c>
      <c r="CC173" t="inlineStr">
        <is>
          <t>ITA</t>
        </is>
      </c>
      <c r="CD173" t="inlineStr">
        <is>
          <t>ITA</t>
        </is>
      </c>
      <c r="CE173" t="inlineStr">
        <is>
          <t>ITA</t>
        </is>
      </c>
      <c r="CF173" t="inlineStr">
        <is>
          <t>ITA</t>
        </is>
      </c>
      <c r="CG173" t="inlineStr">
        <is>
          <t>ITA</t>
        </is>
      </c>
      <c r="CH173" t="inlineStr">
        <is>
          <t>ITA</t>
        </is>
      </c>
      <c r="CI173" t="inlineStr">
        <is>
          <t>ITA</t>
        </is>
      </c>
      <c r="CJ173" t="inlineStr">
        <is>
          <t>ITA</t>
        </is>
      </c>
      <c r="CK173" t="inlineStr">
        <is>
          <t>ITA</t>
        </is>
      </c>
      <c r="CL173" t="inlineStr">
        <is>
          <t>SVN</t>
        </is>
      </c>
      <c r="CM173" t="inlineStr">
        <is>
          <t>SVN</t>
        </is>
      </c>
      <c r="CN173" t="inlineStr">
        <is>
          <t>SVN</t>
        </is>
      </c>
      <c r="CO173" t="inlineStr">
        <is>
          <t>HRV</t>
        </is>
      </c>
      <c r="CP173" t="inlineStr">
        <is>
          <t>HRV</t>
        </is>
      </c>
      <c r="CQ173" t="inlineStr">
        <is>
          <t>HRV</t>
        </is>
      </c>
      <c r="CR173" t="inlineStr">
        <is>
          <t>HRV</t>
        </is>
      </c>
      <c r="CS173" t="inlineStr">
        <is>
          <t>HRV</t>
        </is>
      </c>
      <c r="CT173" t="inlineStr">
        <is>
          <t>HRV</t>
        </is>
      </c>
      <c r="CU173" t="inlineStr">
        <is>
          <t>HRV</t>
        </is>
      </c>
      <c r="CV173" t="inlineStr">
        <is>
          <t>SRB</t>
        </is>
      </c>
      <c r="CW173" t="inlineStr">
        <is>
          <t>SRB</t>
        </is>
      </c>
      <c r="CX173" t="inlineStr">
        <is>
          <t>SRB</t>
        </is>
      </c>
      <c r="CY173" t="inlineStr">
        <is>
          <t>ROU</t>
        </is>
      </c>
      <c r="CZ173" t="inlineStr">
        <is>
          <t>ROU</t>
        </is>
      </c>
      <c r="DA173" t="inlineStr">
        <is>
          <t>ROU</t>
        </is>
      </c>
      <c r="DB173" t="inlineStr">
        <is>
          <t>ROU</t>
        </is>
      </c>
      <c r="DC173" t="inlineStr">
        <is>
          <t>ROU</t>
        </is>
      </c>
      <c r="DD173" t="inlineStr">
        <is>
          <t>ROU</t>
        </is>
      </c>
      <c r="DE173" t="inlineStr">
        <is>
          <t>ROU</t>
        </is>
      </c>
      <c r="DF173" t="inlineStr">
        <is>
          <t>ROU</t>
        </is>
      </c>
      <c r="DG173" t="inlineStr">
        <is>
          <t>ROU</t>
        </is>
      </c>
      <c r="DH173" t="inlineStr">
        <is>
          <t>ROU</t>
        </is>
      </c>
      <c r="DI173" t="inlineStr">
        <is>
          <t>ROU</t>
        </is>
      </c>
      <c r="DJ173" t="inlineStr">
        <is>
          <t>ROU</t>
        </is>
      </c>
      <c r="DK173" t="inlineStr">
        <is>
          <t>ROU</t>
        </is>
      </c>
      <c r="DL173" t="inlineStr">
        <is>
          <t>ROU</t>
        </is>
      </c>
      <c r="DM173" t="inlineStr">
        <is>
          <t>ROU</t>
        </is>
      </c>
      <c r="DN173" t="inlineStr">
        <is>
          <t>MDA</t>
        </is>
      </c>
      <c r="DO173" t="inlineStr">
        <is>
          <t>UKR</t>
        </is>
      </c>
      <c r="DP173" t="inlineStr">
        <is>
          <t>UKR</t>
        </is>
      </c>
      <c r="DQ173" t="inlineStr">
        <is>
          <t>UKR</t>
        </is>
      </c>
      <c r="DY173" t="inlineStr">
        <is>
          <t>UKR</t>
        </is>
      </c>
      <c r="DZ173" t="inlineStr">
        <is>
          <t>UKR</t>
        </is>
      </c>
      <c r="EA173" t="inlineStr">
        <is>
          <t>UKR</t>
        </is>
      </c>
      <c r="EG173" t="inlineStr">
        <is>
          <t>RUS</t>
        </is>
      </c>
      <c r="EH173" t="inlineStr">
        <is>
          <t>RUS</t>
        </is>
      </c>
      <c r="EI173" t="inlineStr">
        <is>
          <t>RUS</t>
        </is>
      </c>
      <c r="EJ173" t="inlineStr">
        <is>
          <t>RUS</t>
        </is>
      </c>
      <c r="EK173" t="inlineStr">
        <is>
          <t>RUS</t>
        </is>
      </c>
      <c r="EL173" t="inlineStr">
        <is>
          <t>RUS</t>
        </is>
      </c>
      <c r="EM173" t="inlineStr">
        <is>
          <t>RUS</t>
        </is>
      </c>
      <c r="EN173" t="inlineStr">
        <is>
          <t>RUS</t>
        </is>
      </c>
      <c r="EO173" t="inlineStr">
        <is>
          <t>RUS</t>
        </is>
      </c>
      <c r="EP173" t="inlineStr">
        <is>
          <t>RUS</t>
        </is>
      </c>
      <c r="EQ173" t="inlineStr">
        <is>
          <t>RUS</t>
        </is>
      </c>
      <c r="ER173" t="inlineStr">
        <is>
          <t>RUS</t>
        </is>
      </c>
      <c r="ES173" t="inlineStr">
        <is>
          <t>RUS</t>
        </is>
      </c>
      <c r="ET173" t="inlineStr">
        <is>
          <t>RUS</t>
        </is>
      </c>
      <c r="EU173" t="inlineStr">
        <is>
          <t>RUS</t>
        </is>
      </c>
      <c r="EV173" t="inlineStr">
        <is>
          <t>RUS</t>
        </is>
      </c>
      <c r="EW173" t="inlineStr">
        <is>
          <t>RUS</t>
        </is>
      </c>
      <c r="EX173" t="inlineStr">
        <is>
          <t>RUS</t>
        </is>
      </c>
      <c r="EY173" t="inlineStr">
        <is>
          <t>RUS</t>
        </is>
      </c>
      <c r="EZ173" t="inlineStr">
        <is>
          <t>RUS</t>
        </is>
      </c>
      <c r="FA173" t="inlineStr">
        <is>
          <t>RUS</t>
        </is>
      </c>
      <c r="FB173" t="inlineStr">
        <is>
          <t>RUS</t>
        </is>
      </c>
      <c r="FL173" t="inlineStr">
        <is>
          <t>KAZ</t>
        </is>
      </c>
      <c r="FM173" t="inlineStr">
        <is>
          <t>KAZ</t>
        </is>
      </c>
      <c r="FN173" t="inlineStr">
        <is>
          <t>KAZ</t>
        </is>
      </c>
      <c r="FO173" t="inlineStr">
        <is>
          <t>KAZ</t>
        </is>
      </c>
      <c r="FP173" t="inlineStr">
        <is>
          <t>KAZ</t>
        </is>
      </c>
      <c r="FQ173" t="inlineStr">
        <is>
          <t>KAZ</t>
        </is>
      </c>
      <c r="FR173" t="inlineStr">
        <is>
          <t>KAZ</t>
        </is>
      </c>
      <c r="FS173" t="inlineStr">
        <is>
          <t>KAZ</t>
        </is>
      </c>
      <c r="FT173" t="inlineStr">
        <is>
          <t>KAZ</t>
        </is>
      </c>
      <c r="FU173" t="inlineStr">
        <is>
          <t>KAZ</t>
        </is>
      </c>
      <c r="FV173" t="inlineStr">
        <is>
          <t>KAZ</t>
        </is>
      </c>
      <c r="FW173" t="inlineStr">
        <is>
          <t>KAZ</t>
        </is>
      </c>
      <c r="FX173" t="inlineStr">
        <is>
          <t>KAZ</t>
        </is>
      </c>
      <c r="FY173" t="inlineStr">
        <is>
          <t>KAZ</t>
        </is>
      </c>
      <c r="FZ173" t="inlineStr">
        <is>
          <t>KAZ</t>
        </is>
      </c>
      <c r="GA173" t="inlineStr">
        <is>
          <t>KAZ</t>
        </is>
      </c>
      <c r="GB173" t="inlineStr">
        <is>
          <t>KAZ</t>
        </is>
      </c>
      <c r="GC173" t="inlineStr">
        <is>
          <t>KAZ</t>
        </is>
      </c>
      <c r="GD173" t="inlineStr">
        <is>
          <t>KAZ</t>
        </is>
      </c>
      <c r="GE173" t="inlineStr">
        <is>
          <t>KAZ</t>
        </is>
      </c>
      <c r="GF173" t="inlineStr">
        <is>
          <t>KAZ</t>
        </is>
      </c>
      <c r="GG173" t="inlineStr">
        <is>
          <t>KAZ</t>
        </is>
      </c>
      <c r="GH173" t="inlineStr">
        <is>
          <t>KAZ</t>
        </is>
      </c>
      <c r="GI173" t="inlineStr">
        <is>
          <t>KAZ</t>
        </is>
      </c>
      <c r="GJ173" t="inlineStr">
        <is>
          <t>KAZ</t>
        </is>
      </c>
      <c r="GK173" t="inlineStr">
        <is>
          <t>KAZ</t>
        </is>
      </c>
      <c r="GL173" t="inlineStr">
        <is>
          <t>KAZ</t>
        </is>
      </c>
      <c r="GM173" t="inlineStr">
        <is>
          <t>KAZ</t>
        </is>
      </c>
      <c r="GN173" t="inlineStr">
        <is>
          <t>KAZ</t>
        </is>
      </c>
      <c r="GO173" t="inlineStr">
        <is>
          <t>KAZ</t>
        </is>
      </c>
      <c r="GP173" t="inlineStr">
        <is>
          <t>KAZ</t>
        </is>
      </c>
      <c r="GQ173" t="inlineStr">
        <is>
          <t>KAZ</t>
        </is>
      </c>
      <c r="GR173" t="inlineStr">
        <is>
          <t>KAZ</t>
        </is>
      </c>
      <c r="GS173" t="inlineStr">
        <is>
          <t>KAZ</t>
        </is>
      </c>
      <c r="GT173" t="inlineStr">
        <is>
          <t>KAZ</t>
        </is>
      </c>
      <c r="GU173" t="inlineStr">
        <is>
          <t>KAZ</t>
        </is>
      </c>
      <c r="GV173" t="inlineStr">
        <is>
          <t>KAZ</t>
        </is>
      </c>
      <c r="GW173" t="inlineStr">
        <is>
          <t>KAZ</t>
        </is>
      </c>
      <c r="GX173" t="inlineStr">
        <is>
          <t>KAZ</t>
        </is>
      </c>
      <c r="GY173" t="inlineStr">
        <is>
          <t>KAZ</t>
        </is>
      </c>
      <c r="GZ173" t="inlineStr">
        <is>
          <t>KAZ</t>
        </is>
      </c>
      <c r="HA173" t="inlineStr">
        <is>
          <t>KAZ</t>
        </is>
      </c>
      <c r="HB173" t="inlineStr">
        <is>
          <t>KAZ</t>
        </is>
      </c>
      <c r="HC173" t="inlineStr">
        <is>
          <t>KAZ</t>
        </is>
      </c>
      <c r="HD173" t="inlineStr">
        <is>
          <t>KAZ</t>
        </is>
      </c>
      <c r="HE173" t="inlineStr">
        <is>
          <t>KAZ</t>
        </is>
      </c>
      <c r="HF173" t="inlineStr">
        <is>
          <t>KAZ</t>
        </is>
      </c>
      <c r="HG173" t="inlineStr">
        <is>
          <t>KAZ</t>
        </is>
      </c>
      <c r="HH173" t="inlineStr">
        <is>
          <t>KAZ</t>
        </is>
      </c>
      <c r="HI173" t="inlineStr">
        <is>
          <t>KAZ</t>
        </is>
      </c>
      <c r="HJ173" t="inlineStr">
        <is>
          <t>KAZ</t>
        </is>
      </c>
      <c r="HK173" t="inlineStr">
        <is>
          <t>KAZ</t>
        </is>
      </c>
      <c r="HL173" t="inlineStr">
        <is>
          <t>KAZ</t>
        </is>
      </c>
      <c r="HM173" t="inlineStr">
        <is>
          <t>KAZ</t>
        </is>
      </c>
      <c r="HN173" t="inlineStr">
        <is>
          <t>KAZ</t>
        </is>
      </c>
      <c r="HO173" t="inlineStr">
        <is>
          <t>KAZ</t>
        </is>
      </c>
      <c r="HP173" t="inlineStr">
        <is>
          <t>KAZ</t>
        </is>
      </c>
      <c r="HQ173" t="inlineStr">
        <is>
          <t>KAZ</t>
        </is>
      </c>
      <c r="HR173" t="inlineStr">
        <is>
          <t>KAZ</t>
        </is>
      </c>
      <c r="HS173" t="inlineStr">
        <is>
          <t>CHN</t>
        </is>
      </c>
      <c r="HT173" t="inlineStr">
        <is>
          <t>CHN</t>
        </is>
      </c>
      <c r="HU173" t="inlineStr">
        <is>
          <t>CHN</t>
        </is>
      </c>
      <c r="HV173" t="inlineStr">
        <is>
          <t>CHN</t>
        </is>
      </c>
      <c r="HW173" t="inlineStr">
        <is>
          <t>CHN</t>
        </is>
      </c>
      <c r="HX173" t="inlineStr">
        <is>
          <t>CHN</t>
        </is>
      </c>
      <c r="HY173" t="inlineStr">
        <is>
          <t>CHN</t>
        </is>
      </c>
      <c r="HZ173" t="inlineStr">
        <is>
          <t>CHN</t>
        </is>
      </c>
      <c r="IA173" t="inlineStr">
        <is>
          <t>CHN</t>
        </is>
      </c>
      <c r="IB173" t="inlineStr">
        <is>
          <t>CHN</t>
        </is>
      </c>
      <c r="IC173" t="inlineStr">
        <is>
          <t>CHN</t>
        </is>
      </c>
      <c r="ID173" t="inlineStr">
        <is>
          <t>CHN</t>
        </is>
      </c>
      <c r="IE173" t="inlineStr">
        <is>
          <t>CHN</t>
        </is>
      </c>
      <c r="IF173" t="inlineStr">
        <is>
          <t>CHN</t>
        </is>
      </c>
      <c r="IG173" t="inlineStr">
        <is>
          <t>CHN</t>
        </is>
      </c>
      <c r="IH173" t="inlineStr">
        <is>
          <t>CHN</t>
        </is>
      </c>
      <c r="II173" t="inlineStr">
        <is>
          <t>MNG</t>
        </is>
      </c>
      <c r="IJ173" t="inlineStr">
        <is>
          <t>MNG</t>
        </is>
      </c>
      <c r="IK173" t="inlineStr">
        <is>
          <t>MNG</t>
        </is>
      </c>
      <c r="IL173" t="inlineStr">
        <is>
          <t>MNG</t>
        </is>
      </c>
      <c r="IM173" t="inlineStr">
        <is>
          <t>MNG</t>
        </is>
      </c>
      <c r="IN173" t="inlineStr">
        <is>
          <t>MNG</t>
        </is>
      </c>
      <c r="IO173" t="inlineStr">
        <is>
          <t>MNG</t>
        </is>
      </c>
      <c r="IP173" t="inlineStr">
        <is>
          <t>MNG</t>
        </is>
      </c>
      <c r="IQ173" t="inlineStr">
        <is>
          <t>MNG</t>
        </is>
      </c>
      <c r="IR173" t="inlineStr">
        <is>
          <t>MNG</t>
        </is>
      </c>
      <c r="IS173" t="inlineStr">
        <is>
          <t>MNG</t>
        </is>
      </c>
      <c r="IT173" t="inlineStr">
        <is>
          <t>MNG</t>
        </is>
      </c>
      <c r="IU173" t="inlineStr">
        <is>
          <t>MNG</t>
        </is>
      </c>
      <c r="IV173" t="inlineStr">
        <is>
          <t>MNG</t>
        </is>
      </c>
      <c r="IW173" t="inlineStr">
        <is>
          <t>MNG</t>
        </is>
      </c>
      <c r="IX173" t="inlineStr">
        <is>
          <t>MNG</t>
        </is>
      </c>
      <c r="IY173" t="inlineStr">
        <is>
          <t>MNG</t>
        </is>
      </c>
      <c r="IZ173" t="inlineStr">
        <is>
          <t>MNG</t>
        </is>
      </c>
      <c r="JA173" t="inlineStr">
        <is>
          <t>MNG</t>
        </is>
      </c>
      <c r="JB173" t="inlineStr">
        <is>
          <t>MNG</t>
        </is>
      </c>
      <c r="JC173" t="inlineStr">
        <is>
          <t>MNG</t>
        </is>
      </c>
      <c r="JD173" t="inlineStr">
        <is>
          <t>MNG</t>
        </is>
      </c>
      <c r="JE173" t="inlineStr">
        <is>
          <t>MNG</t>
        </is>
      </c>
      <c r="JF173" t="inlineStr">
        <is>
          <t>MNG</t>
        </is>
      </c>
      <c r="JG173" t="inlineStr">
        <is>
          <t>MNG</t>
        </is>
      </c>
      <c r="JH173" t="inlineStr">
        <is>
          <t>MNG</t>
        </is>
      </c>
      <c r="JI173" t="inlineStr">
        <is>
          <t>MNG</t>
        </is>
      </c>
      <c r="JJ173" t="inlineStr">
        <is>
          <t>MNG</t>
        </is>
      </c>
      <c r="JK173" t="inlineStr">
        <is>
          <t>MNG</t>
        </is>
      </c>
      <c r="JL173" t="inlineStr">
        <is>
          <t>MNG</t>
        </is>
      </c>
      <c r="JM173" t="inlineStr">
        <is>
          <t>MNG</t>
        </is>
      </c>
      <c r="JN173" t="inlineStr">
        <is>
          <t>MNG</t>
        </is>
      </c>
      <c r="JO173" t="inlineStr">
        <is>
          <t>MNG</t>
        </is>
      </c>
      <c r="JP173" t="inlineStr">
        <is>
          <t>MNG</t>
        </is>
      </c>
      <c r="JQ173" t="inlineStr">
        <is>
          <t>MNG</t>
        </is>
      </c>
      <c r="JR173" t="inlineStr">
        <is>
          <t>MNG</t>
        </is>
      </c>
      <c r="JS173" t="inlineStr">
        <is>
          <t>MNG</t>
        </is>
      </c>
      <c r="JT173" t="inlineStr">
        <is>
          <t>MNG</t>
        </is>
      </c>
      <c r="JU173" t="inlineStr">
        <is>
          <t>MNG</t>
        </is>
      </c>
    </row>
    <row r="174">
      <c r="BG174" t="inlineStr">
        <is>
          <t>FRA</t>
        </is>
      </c>
      <c r="BH174" t="inlineStr">
        <is>
          <t>FRA</t>
        </is>
      </c>
      <c r="BI174" t="inlineStr">
        <is>
          <t>FRA</t>
        </is>
      </c>
      <c r="BJ174" t="inlineStr">
        <is>
          <t>FRA</t>
        </is>
      </c>
      <c r="BK174" t="inlineStr">
        <is>
          <t>FRA</t>
        </is>
      </c>
      <c r="BL174" t="inlineStr">
        <is>
          <t>FRA</t>
        </is>
      </c>
      <c r="BM174" t="inlineStr">
        <is>
          <t>FRA</t>
        </is>
      </c>
      <c r="BN174" t="inlineStr">
        <is>
          <t>FRA</t>
        </is>
      </c>
      <c r="BO174" t="inlineStr">
        <is>
          <t>FRA</t>
        </is>
      </c>
      <c r="BP174" t="inlineStr">
        <is>
          <t>FRA</t>
        </is>
      </c>
      <c r="BQ174" t="inlineStr">
        <is>
          <t>FRA</t>
        </is>
      </c>
      <c r="BR174" t="inlineStr">
        <is>
          <t>FRA</t>
        </is>
      </c>
      <c r="BS174" t="inlineStr">
        <is>
          <t>FRA</t>
        </is>
      </c>
      <c r="BT174" t="inlineStr">
        <is>
          <t>FRA</t>
        </is>
      </c>
      <c r="BU174" t="inlineStr">
        <is>
          <t>FRA</t>
        </is>
      </c>
      <c r="BV174" t="inlineStr">
        <is>
          <t>FRA</t>
        </is>
      </c>
      <c r="BW174" t="inlineStr">
        <is>
          <t>CHE</t>
        </is>
      </c>
      <c r="BX174" t="inlineStr">
        <is>
          <t>CHE</t>
        </is>
      </c>
      <c r="BY174" t="inlineStr">
        <is>
          <t>CHE</t>
        </is>
      </c>
      <c r="BZ174" t="inlineStr">
        <is>
          <t>CHE</t>
        </is>
      </c>
      <c r="CA174" t="inlineStr">
        <is>
          <t>CHE</t>
        </is>
      </c>
      <c r="CB174" t="inlineStr">
        <is>
          <t>ITA</t>
        </is>
      </c>
      <c r="CC174" t="inlineStr">
        <is>
          <t>ITA</t>
        </is>
      </c>
      <c r="CD174" t="inlineStr">
        <is>
          <t>ITA</t>
        </is>
      </c>
      <c r="CE174" t="inlineStr">
        <is>
          <t>ITA</t>
        </is>
      </c>
      <c r="CF174" t="inlineStr">
        <is>
          <t>ITA</t>
        </is>
      </c>
      <c r="CG174" t="inlineStr">
        <is>
          <t>ITA</t>
        </is>
      </c>
      <c r="CH174" t="inlineStr">
        <is>
          <t>ITA</t>
        </is>
      </c>
      <c r="CI174" t="inlineStr">
        <is>
          <t>ITA</t>
        </is>
      </c>
      <c r="CJ174" t="inlineStr">
        <is>
          <t>ITA</t>
        </is>
      </c>
      <c r="CK174" t="inlineStr">
        <is>
          <t>SVN</t>
        </is>
      </c>
      <c r="CL174" t="inlineStr">
        <is>
          <t>SVN</t>
        </is>
      </c>
      <c r="CM174" t="inlineStr">
        <is>
          <t>SVN</t>
        </is>
      </c>
      <c r="CN174" t="inlineStr">
        <is>
          <t>SVN</t>
        </is>
      </c>
      <c r="CO174" t="inlineStr">
        <is>
          <t>SVN</t>
        </is>
      </c>
      <c r="CP174" t="inlineStr">
        <is>
          <t>HRV</t>
        </is>
      </c>
      <c r="CQ174" t="inlineStr">
        <is>
          <t>HRV</t>
        </is>
      </c>
      <c r="CR174" t="inlineStr">
        <is>
          <t>HUN</t>
        </is>
      </c>
      <c r="CS174" t="inlineStr">
        <is>
          <t>HUN</t>
        </is>
      </c>
      <c r="CT174" t="inlineStr">
        <is>
          <t>HUN</t>
        </is>
      </c>
      <c r="CU174" t="inlineStr">
        <is>
          <t>HUN</t>
        </is>
      </c>
      <c r="CV174" t="inlineStr">
        <is>
          <t>HUN</t>
        </is>
      </c>
      <c r="CW174" t="inlineStr">
        <is>
          <t>HUN</t>
        </is>
      </c>
      <c r="CX174" t="inlineStr">
        <is>
          <t>HUN</t>
        </is>
      </c>
      <c r="CY174" t="inlineStr">
        <is>
          <t>ROU</t>
        </is>
      </c>
      <c r="CZ174" t="inlineStr">
        <is>
          <t>ROU</t>
        </is>
      </c>
      <c r="DA174" t="inlineStr">
        <is>
          <t>ROU</t>
        </is>
      </c>
      <c r="DB174" t="inlineStr">
        <is>
          <t>ROU</t>
        </is>
      </c>
      <c r="DC174" t="inlineStr">
        <is>
          <t>ROU</t>
        </is>
      </c>
      <c r="DD174" t="inlineStr">
        <is>
          <t>ROU</t>
        </is>
      </c>
      <c r="DE174" t="inlineStr">
        <is>
          <t>ROU</t>
        </is>
      </c>
      <c r="DF174" t="inlineStr">
        <is>
          <t>ROU</t>
        </is>
      </c>
      <c r="DG174" t="inlineStr">
        <is>
          <t>ROU</t>
        </is>
      </c>
      <c r="DH174" t="inlineStr">
        <is>
          <t>ROU</t>
        </is>
      </c>
      <c r="DI174" t="inlineStr">
        <is>
          <t>ROU</t>
        </is>
      </c>
      <c r="DJ174" t="inlineStr">
        <is>
          <t>ROU</t>
        </is>
      </c>
      <c r="DK174" t="inlineStr">
        <is>
          <t>ROU</t>
        </is>
      </c>
      <c r="DL174" t="inlineStr">
        <is>
          <t>ROU</t>
        </is>
      </c>
      <c r="DM174" t="inlineStr">
        <is>
          <t>ROU</t>
        </is>
      </c>
      <c r="DN174" t="inlineStr">
        <is>
          <t>MDA</t>
        </is>
      </c>
      <c r="DO174" t="inlineStr">
        <is>
          <t>MDA</t>
        </is>
      </c>
      <c r="DP174" t="inlineStr">
        <is>
          <t>UKR</t>
        </is>
      </c>
      <c r="DQ174" t="inlineStr">
        <is>
          <t>UKR</t>
        </is>
      </c>
      <c r="DR174" t="inlineStr">
        <is>
          <t>UKR</t>
        </is>
      </c>
      <c r="DW174" t="inlineStr">
        <is>
          <t>UKR</t>
        </is>
      </c>
      <c r="DX174" t="inlineStr">
        <is>
          <t>UKR</t>
        </is>
      </c>
      <c r="DY174" t="inlineStr">
        <is>
          <t>UKR</t>
        </is>
      </c>
      <c r="DZ174" t="inlineStr">
        <is>
          <t>UKR</t>
        </is>
      </c>
      <c r="EA174" t="inlineStr">
        <is>
          <t>UKR</t>
        </is>
      </c>
      <c r="EH174" t="inlineStr">
        <is>
          <t>RUS</t>
        </is>
      </c>
      <c r="EI174" t="inlineStr">
        <is>
          <t>RUS</t>
        </is>
      </c>
      <c r="EJ174" t="inlineStr">
        <is>
          <t>RUS</t>
        </is>
      </c>
      <c r="EK174" t="inlineStr">
        <is>
          <t>RUS</t>
        </is>
      </c>
      <c r="EL174" t="inlineStr">
        <is>
          <t>RUS</t>
        </is>
      </c>
      <c r="EM174" t="inlineStr">
        <is>
          <t>RUS</t>
        </is>
      </c>
      <c r="EN174" t="inlineStr">
        <is>
          <t>RUS</t>
        </is>
      </c>
      <c r="EO174" t="inlineStr">
        <is>
          <t>RUS</t>
        </is>
      </c>
      <c r="EP174" t="inlineStr">
        <is>
          <t>RUS</t>
        </is>
      </c>
      <c r="EQ174" t="inlineStr">
        <is>
          <t>RUS</t>
        </is>
      </c>
      <c r="ER174" t="inlineStr">
        <is>
          <t>RUS</t>
        </is>
      </c>
      <c r="ES174" t="inlineStr">
        <is>
          <t>RUS</t>
        </is>
      </c>
      <c r="ET174" t="inlineStr">
        <is>
          <t>RUS</t>
        </is>
      </c>
      <c r="EU174" t="inlineStr">
        <is>
          <t>RUS</t>
        </is>
      </c>
      <c r="EV174" t="inlineStr">
        <is>
          <t>RUS</t>
        </is>
      </c>
      <c r="EW174" t="inlineStr">
        <is>
          <t>RUS</t>
        </is>
      </c>
      <c r="EX174" t="inlineStr">
        <is>
          <t>RUS</t>
        </is>
      </c>
      <c r="EY174" t="inlineStr">
        <is>
          <t>RUS</t>
        </is>
      </c>
      <c r="EZ174" t="inlineStr">
        <is>
          <t>RUS</t>
        </is>
      </c>
      <c r="FA174" t="inlineStr">
        <is>
          <t>RUS</t>
        </is>
      </c>
      <c r="FB174" t="inlineStr">
        <is>
          <t>RUS</t>
        </is>
      </c>
      <c r="FC174" t="inlineStr">
        <is>
          <t>RUS</t>
        </is>
      </c>
      <c r="FL174" t="inlineStr">
        <is>
          <t>KAZ</t>
        </is>
      </c>
      <c r="FM174" t="inlineStr">
        <is>
          <t>KAZ</t>
        </is>
      </c>
      <c r="FN174" t="inlineStr">
        <is>
          <t>KAZ</t>
        </is>
      </c>
      <c r="FO174" t="inlineStr">
        <is>
          <t>KAZ</t>
        </is>
      </c>
      <c r="FP174" t="inlineStr">
        <is>
          <t>KAZ</t>
        </is>
      </c>
      <c r="FQ174" t="inlineStr">
        <is>
          <t>KAZ</t>
        </is>
      </c>
      <c r="FR174" t="inlineStr">
        <is>
          <t>KAZ</t>
        </is>
      </c>
      <c r="FS174" t="inlineStr">
        <is>
          <t>KAZ</t>
        </is>
      </c>
      <c r="FT174" t="inlineStr">
        <is>
          <t>KAZ</t>
        </is>
      </c>
      <c r="FU174" t="inlineStr">
        <is>
          <t>KAZ</t>
        </is>
      </c>
      <c r="FV174" t="inlineStr">
        <is>
          <t>KAZ</t>
        </is>
      </c>
      <c r="FW174" t="inlineStr">
        <is>
          <t>KAZ</t>
        </is>
      </c>
      <c r="FX174" t="inlineStr">
        <is>
          <t>KAZ</t>
        </is>
      </c>
      <c r="FY174" t="inlineStr">
        <is>
          <t>KAZ</t>
        </is>
      </c>
      <c r="FZ174" t="inlineStr">
        <is>
          <t>KAZ</t>
        </is>
      </c>
      <c r="GA174" t="inlineStr">
        <is>
          <t>KAZ</t>
        </is>
      </c>
      <c r="GB174" t="inlineStr">
        <is>
          <t>KAZ</t>
        </is>
      </c>
      <c r="GC174" t="inlineStr">
        <is>
          <t>KAZ</t>
        </is>
      </c>
      <c r="GD174" t="inlineStr">
        <is>
          <t>KAZ</t>
        </is>
      </c>
      <c r="GE174" t="inlineStr">
        <is>
          <t>KAZ</t>
        </is>
      </c>
      <c r="GF174" t="inlineStr">
        <is>
          <t>KAZ</t>
        </is>
      </c>
      <c r="GG174" t="inlineStr">
        <is>
          <t>KAZ</t>
        </is>
      </c>
      <c r="GH174" t="inlineStr">
        <is>
          <t>KAZ</t>
        </is>
      </c>
      <c r="GI174" t="inlineStr">
        <is>
          <t>KAZ</t>
        </is>
      </c>
      <c r="GJ174" t="inlineStr">
        <is>
          <t>KAZ</t>
        </is>
      </c>
      <c r="GK174" t="inlineStr">
        <is>
          <t>KAZ</t>
        </is>
      </c>
      <c r="GL174" t="inlineStr">
        <is>
          <t>KAZ</t>
        </is>
      </c>
      <c r="GM174" t="inlineStr">
        <is>
          <t>KAZ</t>
        </is>
      </c>
      <c r="GN174" t="inlineStr">
        <is>
          <t>KAZ</t>
        </is>
      </c>
      <c r="GO174" t="inlineStr">
        <is>
          <t>KAZ</t>
        </is>
      </c>
      <c r="GP174" t="inlineStr">
        <is>
          <t>KAZ</t>
        </is>
      </c>
      <c r="GQ174" t="inlineStr">
        <is>
          <t>KAZ</t>
        </is>
      </c>
      <c r="GR174" t="inlineStr">
        <is>
          <t>KAZ</t>
        </is>
      </c>
      <c r="GS174" t="inlineStr">
        <is>
          <t>KAZ</t>
        </is>
      </c>
      <c r="GT174" t="inlineStr">
        <is>
          <t>KAZ</t>
        </is>
      </c>
      <c r="GU174" t="inlineStr">
        <is>
          <t>KAZ</t>
        </is>
      </c>
      <c r="GV174" t="inlineStr">
        <is>
          <t>KAZ</t>
        </is>
      </c>
      <c r="GW174" t="inlineStr">
        <is>
          <t>KAZ</t>
        </is>
      </c>
      <c r="GX174" t="inlineStr">
        <is>
          <t>KAZ</t>
        </is>
      </c>
      <c r="GY174" t="inlineStr">
        <is>
          <t>KAZ</t>
        </is>
      </c>
      <c r="GZ174" t="inlineStr">
        <is>
          <t>KAZ</t>
        </is>
      </c>
      <c r="HA174" t="inlineStr">
        <is>
          <t>KAZ</t>
        </is>
      </c>
      <c r="HB174" t="inlineStr">
        <is>
          <t>KAZ</t>
        </is>
      </c>
      <c r="HC174" t="inlineStr">
        <is>
          <t>KAZ</t>
        </is>
      </c>
      <c r="HD174" t="inlineStr">
        <is>
          <t>KAZ</t>
        </is>
      </c>
      <c r="HE174" t="inlineStr">
        <is>
          <t>KAZ</t>
        </is>
      </c>
      <c r="HF174" t="inlineStr">
        <is>
          <t>KAZ</t>
        </is>
      </c>
      <c r="HG174" t="inlineStr">
        <is>
          <t>KAZ</t>
        </is>
      </c>
      <c r="HH174" t="inlineStr">
        <is>
          <t>KAZ</t>
        </is>
      </c>
      <c r="HI174" t="inlineStr">
        <is>
          <t>KAZ</t>
        </is>
      </c>
      <c r="HJ174" t="inlineStr">
        <is>
          <t>KAZ</t>
        </is>
      </c>
      <c r="HK174" t="inlineStr">
        <is>
          <t>KAZ</t>
        </is>
      </c>
      <c r="HL174" t="inlineStr">
        <is>
          <t>KAZ</t>
        </is>
      </c>
      <c r="HM174" t="inlineStr">
        <is>
          <t>KAZ</t>
        </is>
      </c>
      <c r="HN174" t="inlineStr">
        <is>
          <t>KAZ</t>
        </is>
      </c>
      <c r="HO174" t="inlineStr">
        <is>
          <t>KAZ</t>
        </is>
      </c>
      <c r="HP174" t="inlineStr">
        <is>
          <t>KAZ</t>
        </is>
      </c>
      <c r="HQ174" t="inlineStr">
        <is>
          <t>KAZ</t>
        </is>
      </c>
      <c r="HR174" t="inlineStr">
        <is>
          <t>KAZ</t>
        </is>
      </c>
      <c r="HS174" t="inlineStr">
        <is>
          <t>CHN</t>
        </is>
      </c>
      <c r="HT174" t="inlineStr">
        <is>
          <t>CHN</t>
        </is>
      </c>
      <c r="HU174" t="inlineStr">
        <is>
          <t>CHN</t>
        </is>
      </c>
      <c r="HV174" t="inlineStr">
        <is>
          <t>CHN</t>
        </is>
      </c>
      <c r="HW174" t="inlineStr">
        <is>
          <t>CHN</t>
        </is>
      </c>
      <c r="HX174" t="inlineStr">
        <is>
          <t>CHN</t>
        </is>
      </c>
      <c r="HY174" t="inlineStr">
        <is>
          <t>CHN</t>
        </is>
      </c>
      <c r="HZ174" t="inlineStr">
        <is>
          <t>CHN</t>
        </is>
      </c>
      <c r="IA174" t="inlineStr">
        <is>
          <t>CHN</t>
        </is>
      </c>
      <c r="IB174" t="inlineStr">
        <is>
          <t>CHN</t>
        </is>
      </c>
      <c r="IC174" t="inlineStr">
        <is>
          <t>CHN</t>
        </is>
      </c>
      <c r="ID174" t="inlineStr">
        <is>
          <t>CHN</t>
        </is>
      </c>
      <c r="IE174" t="inlineStr">
        <is>
          <t>CHN</t>
        </is>
      </c>
      <c r="IF174" t="inlineStr">
        <is>
          <t>CHN</t>
        </is>
      </c>
      <c r="IG174" t="inlineStr">
        <is>
          <t>CHN</t>
        </is>
      </c>
      <c r="IH174" t="inlineStr">
        <is>
          <t>CHN</t>
        </is>
      </c>
      <c r="II174" t="inlineStr">
        <is>
          <t>CHN</t>
        </is>
      </c>
      <c r="IJ174" t="inlineStr">
        <is>
          <t>MNG</t>
        </is>
      </c>
      <c r="IK174" t="inlineStr">
        <is>
          <t>MNG</t>
        </is>
      </c>
      <c r="IL174" t="inlineStr">
        <is>
          <t>MNG</t>
        </is>
      </c>
      <c r="IM174" t="inlineStr">
        <is>
          <t>MNG</t>
        </is>
      </c>
      <c r="IN174" t="inlineStr">
        <is>
          <t>MNG</t>
        </is>
      </c>
      <c r="IO174" t="inlineStr">
        <is>
          <t>MNG</t>
        </is>
      </c>
      <c r="IP174" t="inlineStr">
        <is>
          <t>MNG</t>
        </is>
      </c>
      <c r="IQ174" t="inlineStr">
        <is>
          <t>MNG</t>
        </is>
      </c>
      <c r="IR174" t="inlineStr">
        <is>
          <t>MNG</t>
        </is>
      </c>
      <c r="IS174" t="inlineStr">
        <is>
          <t>MNG</t>
        </is>
      </c>
      <c r="IT174" t="inlineStr">
        <is>
          <t>MNG</t>
        </is>
      </c>
      <c r="IU174" t="inlineStr">
        <is>
          <t>MNG</t>
        </is>
      </c>
      <c r="IV174" t="inlineStr">
        <is>
          <t>MNG</t>
        </is>
      </c>
      <c r="IW174" t="inlineStr">
        <is>
          <t>MNG</t>
        </is>
      </c>
      <c r="IX174" t="inlineStr">
        <is>
          <t>MNG</t>
        </is>
      </c>
      <c r="IY174" t="inlineStr">
        <is>
          <t>MNG</t>
        </is>
      </c>
      <c r="IZ174" t="inlineStr">
        <is>
          <t>MNG</t>
        </is>
      </c>
      <c r="JA174" t="inlineStr">
        <is>
          <t>MNG</t>
        </is>
      </c>
      <c r="JB174" t="inlineStr">
        <is>
          <t>MNG</t>
        </is>
      </c>
      <c r="JC174" t="inlineStr">
        <is>
          <t>MNG</t>
        </is>
      </c>
      <c r="JD174" t="inlineStr">
        <is>
          <t>MNG</t>
        </is>
      </c>
      <c r="JE174" t="inlineStr">
        <is>
          <t>MNG</t>
        </is>
      </c>
      <c r="JF174" t="inlineStr">
        <is>
          <t>MNG</t>
        </is>
      </c>
      <c r="JG174" t="inlineStr">
        <is>
          <t>MNG</t>
        </is>
      </c>
      <c r="JH174" t="inlineStr">
        <is>
          <t>MNG</t>
        </is>
      </c>
      <c r="JI174" t="inlineStr">
        <is>
          <t>MNG</t>
        </is>
      </c>
      <c r="JJ174" t="inlineStr">
        <is>
          <t>MNG</t>
        </is>
      </c>
      <c r="JK174" t="inlineStr">
        <is>
          <t>MNG</t>
        </is>
      </c>
      <c r="JL174" t="inlineStr">
        <is>
          <t>MNG</t>
        </is>
      </c>
      <c r="JM174" t="inlineStr">
        <is>
          <t>MNG</t>
        </is>
      </c>
      <c r="JN174" t="inlineStr">
        <is>
          <t>MNG</t>
        </is>
      </c>
      <c r="JO174" t="inlineStr">
        <is>
          <t>MNG</t>
        </is>
      </c>
      <c r="JP174" t="inlineStr">
        <is>
          <t>MNG</t>
        </is>
      </c>
      <c r="JQ174" t="inlineStr">
        <is>
          <t>MNG</t>
        </is>
      </c>
      <c r="JR174" t="inlineStr">
        <is>
          <t>MNG</t>
        </is>
      </c>
      <c r="JS174" t="inlineStr">
        <is>
          <t>MNG</t>
        </is>
      </c>
      <c r="JT174" t="inlineStr">
        <is>
          <t>MNG</t>
        </is>
      </c>
      <c r="JU174" t="inlineStr">
        <is>
          <t>MNG</t>
        </is>
      </c>
    </row>
    <row r="175">
      <c r="BF175" t="inlineStr">
        <is>
          <t>FRA</t>
        </is>
      </c>
      <c r="BG175" t="inlineStr">
        <is>
          <t>FRA</t>
        </is>
      </c>
      <c r="BH175" t="inlineStr">
        <is>
          <t>FRA</t>
        </is>
      </c>
      <c r="BI175" t="inlineStr">
        <is>
          <t>FRA</t>
        </is>
      </c>
      <c r="BJ175" t="inlineStr">
        <is>
          <t>FRA</t>
        </is>
      </c>
      <c r="BK175" t="inlineStr">
        <is>
          <t>FRA</t>
        </is>
      </c>
      <c r="BL175" t="inlineStr">
        <is>
          <t>FRA</t>
        </is>
      </c>
      <c r="BM175" t="inlineStr">
        <is>
          <t>FRA</t>
        </is>
      </c>
      <c r="BN175" t="inlineStr">
        <is>
          <t>FRA</t>
        </is>
      </c>
      <c r="BO175" t="inlineStr">
        <is>
          <t>FRA</t>
        </is>
      </c>
      <c r="BP175" t="inlineStr">
        <is>
          <t>FRA</t>
        </is>
      </c>
      <c r="BQ175" t="inlineStr">
        <is>
          <t>FRA</t>
        </is>
      </c>
      <c r="BR175" t="inlineStr">
        <is>
          <t>FRA</t>
        </is>
      </c>
      <c r="BS175" t="inlineStr">
        <is>
          <t>FRA</t>
        </is>
      </c>
      <c r="BT175" t="inlineStr">
        <is>
          <t>FRA</t>
        </is>
      </c>
      <c r="BU175" t="inlineStr">
        <is>
          <t>FRA</t>
        </is>
      </c>
      <c r="BV175" t="inlineStr">
        <is>
          <t>CHE</t>
        </is>
      </c>
      <c r="BW175" t="inlineStr">
        <is>
          <t>CHE</t>
        </is>
      </c>
      <c r="BX175" t="inlineStr">
        <is>
          <t>CHE</t>
        </is>
      </c>
      <c r="BY175" t="inlineStr">
        <is>
          <t>CHE</t>
        </is>
      </c>
      <c r="BZ175" t="inlineStr">
        <is>
          <t>CHE</t>
        </is>
      </c>
      <c r="CA175" t="inlineStr">
        <is>
          <t>CHE</t>
        </is>
      </c>
      <c r="CB175" t="inlineStr">
        <is>
          <t>CHE</t>
        </is>
      </c>
      <c r="CC175" t="inlineStr">
        <is>
          <t>CHE</t>
        </is>
      </c>
      <c r="CD175" t="inlineStr">
        <is>
          <t>CHE</t>
        </is>
      </c>
      <c r="CE175" t="inlineStr">
        <is>
          <t>ITA</t>
        </is>
      </c>
      <c r="CF175" t="inlineStr">
        <is>
          <t>ITA</t>
        </is>
      </c>
      <c r="CG175" t="inlineStr">
        <is>
          <t>ITA</t>
        </is>
      </c>
      <c r="CH175" t="inlineStr">
        <is>
          <t>ITA</t>
        </is>
      </c>
      <c r="CI175" t="inlineStr">
        <is>
          <t>AUT</t>
        </is>
      </c>
      <c r="CJ175" t="inlineStr">
        <is>
          <t>AUT</t>
        </is>
      </c>
      <c r="CK175" t="inlineStr">
        <is>
          <t>AUT</t>
        </is>
      </c>
      <c r="CL175" t="inlineStr">
        <is>
          <t>AUT</t>
        </is>
      </c>
      <c r="CM175" t="inlineStr">
        <is>
          <t>AUT</t>
        </is>
      </c>
      <c r="CN175" t="inlineStr">
        <is>
          <t>AUT</t>
        </is>
      </c>
      <c r="CO175" t="inlineStr">
        <is>
          <t>AUT</t>
        </is>
      </c>
      <c r="CP175" t="inlineStr">
        <is>
          <t>SVN</t>
        </is>
      </c>
      <c r="CQ175" t="inlineStr">
        <is>
          <t>HUN</t>
        </is>
      </c>
      <c r="CR175" t="inlineStr">
        <is>
          <t>HUN</t>
        </is>
      </c>
      <c r="CS175" t="inlineStr">
        <is>
          <t>HUN</t>
        </is>
      </c>
      <c r="CT175" t="inlineStr">
        <is>
          <t>HUN</t>
        </is>
      </c>
      <c r="CU175" t="inlineStr">
        <is>
          <t>HUN</t>
        </is>
      </c>
      <c r="CV175" t="inlineStr">
        <is>
          <t>HUN</t>
        </is>
      </c>
      <c r="CW175" t="inlineStr">
        <is>
          <t>HUN</t>
        </is>
      </c>
      <c r="CX175" t="inlineStr">
        <is>
          <t>HUN</t>
        </is>
      </c>
      <c r="CY175" t="inlineStr">
        <is>
          <t>HUN</t>
        </is>
      </c>
      <c r="CZ175" t="inlineStr">
        <is>
          <t>HUN</t>
        </is>
      </c>
      <c r="DA175" t="inlineStr">
        <is>
          <t>ROU</t>
        </is>
      </c>
      <c r="DB175" t="inlineStr">
        <is>
          <t>ROU</t>
        </is>
      </c>
      <c r="DC175" t="inlineStr">
        <is>
          <t>ROU</t>
        </is>
      </c>
      <c r="DD175" t="inlineStr">
        <is>
          <t>ROU</t>
        </is>
      </c>
      <c r="DE175" t="inlineStr">
        <is>
          <t>ROU</t>
        </is>
      </c>
      <c r="DF175" t="inlineStr">
        <is>
          <t>ROU</t>
        </is>
      </c>
      <c r="DG175" t="inlineStr">
        <is>
          <t>ROU</t>
        </is>
      </c>
      <c r="DH175" t="inlineStr">
        <is>
          <t>ROU</t>
        </is>
      </c>
      <c r="DI175" t="inlineStr">
        <is>
          <t>ROU</t>
        </is>
      </c>
      <c r="DJ175" t="inlineStr">
        <is>
          <t>ROU</t>
        </is>
      </c>
      <c r="DK175" t="inlineStr">
        <is>
          <t>ROU</t>
        </is>
      </c>
      <c r="DL175" t="inlineStr">
        <is>
          <t>ROU</t>
        </is>
      </c>
      <c r="DM175" t="inlineStr">
        <is>
          <t>ROU</t>
        </is>
      </c>
      <c r="DN175" t="inlineStr">
        <is>
          <t>MDA</t>
        </is>
      </c>
      <c r="DO175" t="inlineStr">
        <is>
          <t>MDA</t>
        </is>
      </c>
      <c r="DP175" t="inlineStr">
        <is>
          <t>MDA</t>
        </is>
      </c>
      <c r="DQ175" t="inlineStr">
        <is>
          <t>MDA</t>
        </is>
      </c>
      <c r="DR175" t="inlineStr">
        <is>
          <t>UKR</t>
        </is>
      </c>
      <c r="DS175" t="inlineStr">
        <is>
          <t>UKR</t>
        </is>
      </c>
      <c r="DT175" t="inlineStr">
        <is>
          <t>UKR</t>
        </is>
      </c>
      <c r="DU175" t="inlineStr">
        <is>
          <t>UKR</t>
        </is>
      </c>
      <c r="DV175" t="inlineStr">
        <is>
          <t>UKR</t>
        </is>
      </c>
      <c r="DW175" t="inlineStr">
        <is>
          <t>UKR</t>
        </is>
      </c>
      <c r="DX175" t="inlineStr">
        <is>
          <t>UKR</t>
        </is>
      </c>
      <c r="DY175" t="inlineStr">
        <is>
          <t>UKR</t>
        </is>
      </c>
      <c r="DZ175" t="inlineStr">
        <is>
          <t>UKR</t>
        </is>
      </c>
      <c r="EA175" t="inlineStr">
        <is>
          <t>UKR</t>
        </is>
      </c>
      <c r="EB175" t="inlineStr">
        <is>
          <t>UKR</t>
        </is>
      </c>
      <c r="EC175" t="inlineStr">
        <is>
          <t>UKR</t>
        </is>
      </c>
      <c r="ED175" t="inlineStr">
        <is>
          <t>UKR</t>
        </is>
      </c>
      <c r="EE175" t="inlineStr">
        <is>
          <t>UKR</t>
        </is>
      </c>
      <c r="EH175" t="inlineStr">
        <is>
          <t>RUS</t>
        </is>
      </c>
      <c r="EI175" t="inlineStr">
        <is>
          <t>RUS</t>
        </is>
      </c>
      <c r="EJ175" t="inlineStr">
        <is>
          <t>RUS</t>
        </is>
      </c>
      <c r="EK175" t="inlineStr">
        <is>
          <t>RUS</t>
        </is>
      </c>
      <c r="EL175" t="inlineStr">
        <is>
          <t>RUS</t>
        </is>
      </c>
      <c r="EM175" t="inlineStr">
        <is>
          <t>RUS</t>
        </is>
      </c>
      <c r="EN175" t="inlineStr">
        <is>
          <t>RUS</t>
        </is>
      </c>
      <c r="EO175" t="inlineStr">
        <is>
          <t>RUS</t>
        </is>
      </c>
      <c r="EP175" t="inlineStr">
        <is>
          <t>RUS</t>
        </is>
      </c>
      <c r="EQ175" t="inlineStr">
        <is>
          <t>RUS</t>
        </is>
      </c>
      <c r="ER175" t="inlineStr">
        <is>
          <t>RUS</t>
        </is>
      </c>
      <c r="ES175" t="inlineStr">
        <is>
          <t>RUS</t>
        </is>
      </c>
      <c r="ET175" t="inlineStr">
        <is>
          <t>RUS</t>
        </is>
      </c>
      <c r="EU175" t="inlineStr">
        <is>
          <t>RUS</t>
        </is>
      </c>
      <c r="EV175" t="inlineStr">
        <is>
          <t>RUS</t>
        </is>
      </c>
      <c r="EW175" t="inlineStr">
        <is>
          <t>RUS</t>
        </is>
      </c>
      <c r="EX175" t="inlineStr">
        <is>
          <t>RUS</t>
        </is>
      </c>
      <c r="EY175" t="inlineStr">
        <is>
          <t>RUS</t>
        </is>
      </c>
      <c r="EZ175" t="inlineStr">
        <is>
          <t>RUS</t>
        </is>
      </c>
      <c r="FA175" t="inlineStr">
        <is>
          <t>RUS</t>
        </is>
      </c>
      <c r="FB175" t="inlineStr">
        <is>
          <t>RUS</t>
        </is>
      </c>
      <c r="FC175" t="inlineStr">
        <is>
          <t>KAZ</t>
        </is>
      </c>
      <c r="FD175" t="inlineStr">
        <is>
          <t>KAZ</t>
        </is>
      </c>
      <c r="FE175" t="inlineStr">
        <is>
          <t>KAZ</t>
        </is>
      </c>
      <c r="FF175" t="inlineStr">
        <is>
          <t>KAZ</t>
        </is>
      </c>
      <c r="FL175" t="inlineStr">
        <is>
          <t>KAZ</t>
        </is>
      </c>
      <c r="FM175" t="inlineStr">
        <is>
          <t>KAZ</t>
        </is>
      </c>
      <c r="FN175" t="inlineStr">
        <is>
          <t>KAZ</t>
        </is>
      </c>
      <c r="FO175" t="inlineStr">
        <is>
          <t>KAZ</t>
        </is>
      </c>
      <c r="FP175" t="inlineStr">
        <is>
          <t>KAZ</t>
        </is>
      </c>
      <c r="FQ175" t="inlineStr">
        <is>
          <t>KAZ</t>
        </is>
      </c>
      <c r="FR175" t="inlineStr">
        <is>
          <t>KAZ</t>
        </is>
      </c>
      <c r="FS175" t="inlineStr">
        <is>
          <t>KAZ</t>
        </is>
      </c>
      <c r="FT175" t="inlineStr">
        <is>
          <t>KAZ</t>
        </is>
      </c>
      <c r="FU175" t="inlineStr">
        <is>
          <t>KAZ</t>
        </is>
      </c>
      <c r="FV175" t="inlineStr">
        <is>
          <t>KAZ</t>
        </is>
      </c>
      <c r="FW175" t="inlineStr">
        <is>
          <t>KAZ</t>
        </is>
      </c>
      <c r="FX175" t="inlineStr">
        <is>
          <t>KAZ</t>
        </is>
      </c>
      <c r="FY175" t="inlineStr">
        <is>
          <t>KAZ</t>
        </is>
      </c>
      <c r="FZ175" t="inlineStr">
        <is>
          <t>KAZ</t>
        </is>
      </c>
      <c r="GA175" t="inlineStr">
        <is>
          <t>KAZ</t>
        </is>
      </c>
      <c r="GB175" t="inlineStr">
        <is>
          <t>KAZ</t>
        </is>
      </c>
      <c r="GC175" t="inlineStr">
        <is>
          <t>KAZ</t>
        </is>
      </c>
      <c r="GD175" t="inlineStr">
        <is>
          <t>KAZ</t>
        </is>
      </c>
      <c r="GE175" t="inlineStr">
        <is>
          <t>KAZ</t>
        </is>
      </c>
      <c r="GF175" t="inlineStr">
        <is>
          <t>KAZ</t>
        </is>
      </c>
      <c r="GG175" t="inlineStr">
        <is>
          <t>KAZ</t>
        </is>
      </c>
      <c r="GH175" t="inlineStr">
        <is>
          <t>KAZ</t>
        </is>
      </c>
      <c r="GI175" t="inlineStr">
        <is>
          <t>KAZ</t>
        </is>
      </c>
      <c r="GJ175" t="inlineStr">
        <is>
          <t>KAZ</t>
        </is>
      </c>
      <c r="GK175" t="inlineStr">
        <is>
          <t>KAZ</t>
        </is>
      </c>
      <c r="GL175" t="inlineStr">
        <is>
          <t>KAZ</t>
        </is>
      </c>
      <c r="GM175" t="inlineStr">
        <is>
          <t>KAZ</t>
        </is>
      </c>
      <c r="GN175" t="inlineStr">
        <is>
          <t>KAZ</t>
        </is>
      </c>
      <c r="GO175" t="inlineStr">
        <is>
          <t>KAZ</t>
        </is>
      </c>
      <c r="GP175" t="inlineStr">
        <is>
          <t>KAZ</t>
        </is>
      </c>
      <c r="GQ175" t="inlineStr">
        <is>
          <t>KAZ</t>
        </is>
      </c>
      <c r="GR175" t="inlineStr">
        <is>
          <t>KAZ</t>
        </is>
      </c>
      <c r="GS175" t="inlineStr">
        <is>
          <t>KAZ</t>
        </is>
      </c>
      <c r="GT175" t="inlineStr">
        <is>
          <t>KAZ</t>
        </is>
      </c>
      <c r="GU175" t="inlineStr">
        <is>
          <t>KAZ</t>
        </is>
      </c>
      <c r="GV175" t="inlineStr">
        <is>
          <t>KAZ</t>
        </is>
      </c>
      <c r="GW175" t="inlineStr">
        <is>
          <t>KAZ</t>
        </is>
      </c>
      <c r="GX175" t="inlineStr">
        <is>
          <t>KAZ</t>
        </is>
      </c>
      <c r="GY175" t="inlineStr">
        <is>
          <t>KAZ</t>
        </is>
      </c>
      <c r="GZ175" t="inlineStr">
        <is>
          <t>KAZ</t>
        </is>
      </c>
      <c r="HA175" t="inlineStr">
        <is>
          <t>KAZ</t>
        </is>
      </c>
      <c r="HB175" t="inlineStr">
        <is>
          <t>KAZ</t>
        </is>
      </c>
      <c r="HC175" t="inlineStr">
        <is>
          <t>KAZ</t>
        </is>
      </c>
      <c r="HD175" t="inlineStr">
        <is>
          <t>KAZ</t>
        </is>
      </c>
      <c r="HE175" t="inlineStr">
        <is>
          <t>KAZ</t>
        </is>
      </c>
      <c r="HF175" t="inlineStr">
        <is>
          <t>KAZ</t>
        </is>
      </c>
      <c r="HG175" t="inlineStr">
        <is>
          <t>KAZ</t>
        </is>
      </c>
      <c r="HH175" t="inlineStr">
        <is>
          <t>KAZ</t>
        </is>
      </c>
      <c r="HI175" t="inlineStr">
        <is>
          <t>KAZ</t>
        </is>
      </c>
      <c r="HJ175" t="inlineStr">
        <is>
          <t>KAZ</t>
        </is>
      </c>
      <c r="HK175" t="inlineStr">
        <is>
          <t>KAZ</t>
        </is>
      </c>
      <c r="HL175" t="inlineStr">
        <is>
          <t>KAZ</t>
        </is>
      </c>
      <c r="HM175" t="inlineStr">
        <is>
          <t>KAZ</t>
        </is>
      </c>
      <c r="HN175" t="inlineStr">
        <is>
          <t>KAZ</t>
        </is>
      </c>
      <c r="HO175" t="inlineStr">
        <is>
          <t>KAZ</t>
        </is>
      </c>
      <c r="HP175" t="inlineStr">
        <is>
          <t>KAZ</t>
        </is>
      </c>
      <c r="HQ175" t="inlineStr">
        <is>
          <t>KAZ</t>
        </is>
      </c>
      <c r="HR175" t="inlineStr">
        <is>
          <t>KAZ</t>
        </is>
      </c>
      <c r="HS175" t="inlineStr">
        <is>
          <t>KAZ</t>
        </is>
      </c>
      <c r="HT175" t="inlineStr">
        <is>
          <t>CHN</t>
        </is>
      </c>
      <c r="HU175" t="inlineStr">
        <is>
          <t>CHN</t>
        </is>
      </c>
      <c r="HV175" t="inlineStr">
        <is>
          <t>CHN</t>
        </is>
      </c>
      <c r="HW175" t="inlineStr">
        <is>
          <t>CHN</t>
        </is>
      </c>
      <c r="HX175" t="inlineStr">
        <is>
          <t>CHN</t>
        </is>
      </c>
      <c r="HY175" t="inlineStr">
        <is>
          <t>CHN</t>
        </is>
      </c>
      <c r="HZ175" t="inlineStr">
        <is>
          <t>CHN</t>
        </is>
      </c>
      <c r="IA175" t="inlineStr">
        <is>
          <t>CHN</t>
        </is>
      </c>
      <c r="IB175" t="inlineStr">
        <is>
          <t>CHN</t>
        </is>
      </c>
      <c r="IC175" t="inlineStr">
        <is>
          <t>CHN</t>
        </is>
      </c>
      <c r="ID175" t="inlineStr">
        <is>
          <t>CHN</t>
        </is>
      </c>
      <c r="IE175" t="inlineStr">
        <is>
          <t>CHN</t>
        </is>
      </c>
      <c r="IF175" t="inlineStr">
        <is>
          <t>CHN</t>
        </is>
      </c>
      <c r="IG175" t="inlineStr">
        <is>
          <t>CHN</t>
        </is>
      </c>
      <c r="IH175" t="inlineStr">
        <is>
          <t>CHN</t>
        </is>
      </c>
      <c r="II175" t="inlineStr">
        <is>
          <t>CHN</t>
        </is>
      </c>
      <c r="IJ175" t="inlineStr">
        <is>
          <t>MNG</t>
        </is>
      </c>
      <c r="IK175" t="inlineStr">
        <is>
          <t>MNG</t>
        </is>
      </c>
      <c r="IL175" t="inlineStr">
        <is>
          <t>MNG</t>
        </is>
      </c>
      <c r="IM175" t="inlineStr">
        <is>
          <t>MNG</t>
        </is>
      </c>
      <c r="IN175" t="inlineStr">
        <is>
          <t>MNG</t>
        </is>
      </c>
      <c r="IO175" t="inlineStr">
        <is>
          <t>MNG</t>
        </is>
      </c>
      <c r="IP175" t="inlineStr">
        <is>
          <t>MNG</t>
        </is>
      </c>
      <c r="IQ175" t="inlineStr">
        <is>
          <t>MNG</t>
        </is>
      </c>
      <c r="IR175" t="inlineStr">
        <is>
          <t>MNG</t>
        </is>
      </c>
      <c r="IS175" t="inlineStr">
        <is>
          <t>MNG</t>
        </is>
      </c>
      <c r="IT175" t="inlineStr">
        <is>
          <t>MNG</t>
        </is>
      </c>
      <c r="IU175" t="inlineStr">
        <is>
          <t>MNG</t>
        </is>
      </c>
      <c r="IV175" t="inlineStr">
        <is>
          <t>MNG</t>
        </is>
      </c>
      <c r="IW175" t="inlineStr">
        <is>
          <t>MNG</t>
        </is>
      </c>
      <c r="IX175" t="inlineStr">
        <is>
          <t>MNG</t>
        </is>
      </c>
      <c r="IY175" t="inlineStr">
        <is>
          <t>MNG</t>
        </is>
      </c>
      <c r="IZ175" t="inlineStr">
        <is>
          <t>MNG</t>
        </is>
      </c>
      <c r="JA175" t="inlineStr">
        <is>
          <t>MNG</t>
        </is>
      </c>
      <c r="JB175" t="inlineStr">
        <is>
          <t>MNG</t>
        </is>
      </c>
      <c r="JC175" t="inlineStr">
        <is>
          <t>MNG</t>
        </is>
      </c>
      <c r="JD175" t="inlineStr">
        <is>
          <t>MNG</t>
        </is>
      </c>
      <c r="JE175" t="inlineStr">
        <is>
          <t>MNG</t>
        </is>
      </c>
      <c r="JF175" t="inlineStr">
        <is>
          <t>MNG</t>
        </is>
      </c>
      <c r="JG175" t="inlineStr">
        <is>
          <t>MNG</t>
        </is>
      </c>
      <c r="JH175" t="inlineStr">
        <is>
          <t>MNG</t>
        </is>
      </c>
      <c r="JI175" t="inlineStr">
        <is>
          <t>MNG</t>
        </is>
      </c>
      <c r="JJ175" t="inlineStr">
        <is>
          <t>MNG</t>
        </is>
      </c>
      <c r="JK175" t="inlineStr">
        <is>
          <t>MNG</t>
        </is>
      </c>
      <c r="JL175" t="inlineStr">
        <is>
          <t>MNG</t>
        </is>
      </c>
      <c r="JM175" t="inlineStr">
        <is>
          <t>MNG</t>
        </is>
      </c>
      <c r="JN175" t="inlineStr">
        <is>
          <t>MNG</t>
        </is>
      </c>
      <c r="JO175" t="inlineStr">
        <is>
          <t>MNG</t>
        </is>
      </c>
      <c r="JP175" t="inlineStr">
        <is>
          <t>MNG</t>
        </is>
      </c>
      <c r="JQ175" t="inlineStr">
        <is>
          <t>MNG</t>
        </is>
      </c>
      <c r="JR175" t="inlineStr">
        <is>
          <t>MNG</t>
        </is>
      </c>
      <c r="JS175" t="inlineStr">
        <is>
          <t>MNG</t>
        </is>
      </c>
      <c r="JT175" t="inlineStr">
        <is>
          <t>MNG</t>
        </is>
      </c>
      <c r="JU175" t="inlineStr">
        <is>
          <t>MNG</t>
        </is>
      </c>
    </row>
    <row r="176">
      <c r="BE176" t="inlineStr">
        <is>
          <t>FRA</t>
        </is>
      </c>
      <c r="BF176" t="inlineStr">
        <is>
          <t>FRA</t>
        </is>
      </c>
      <c r="BG176" t="inlineStr">
        <is>
          <t>FRA</t>
        </is>
      </c>
      <c r="BH176" t="inlineStr">
        <is>
          <t>FRA</t>
        </is>
      </c>
      <c r="BI176" t="inlineStr">
        <is>
          <t>FRA</t>
        </is>
      </c>
      <c r="BJ176" t="inlineStr">
        <is>
          <t>FRA</t>
        </is>
      </c>
      <c r="BK176" t="inlineStr">
        <is>
          <t>FRA</t>
        </is>
      </c>
      <c r="BL176" t="inlineStr">
        <is>
          <t>FRA</t>
        </is>
      </c>
      <c r="BM176" t="inlineStr">
        <is>
          <t>FRA</t>
        </is>
      </c>
      <c r="BN176" t="inlineStr">
        <is>
          <t>FRA</t>
        </is>
      </c>
      <c r="BO176" t="inlineStr">
        <is>
          <t>FRA</t>
        </is>
      </c>
      <c r="BP176" t="inlineStr">
        <is>
          <t>FRA</t>
        </is>
      </c>
      <c r="BQ176" t="inlineStr">
        <is>
          <t>FRA</t>
        </is>
      </c>
      <c r="BR176" t="inlineStr">
        <is>
          <t>FRA</t>
        </is>
      </c>
      <c r="BS176" t="inlineStr">
        <is>
          <t>FRA</t>
        </is>
      </c>
      <c r="BT176" t="inlineStr">
        <is>
          <t>FRA</t>
        </is>
      </c>
      <c r="BU176" t="inlineStr">
        <is>
          <t>FRA</t>
        </is>
      </c>
      <c r="BV176" t="inlineStr">
        <is>
          <t>FRA</t>
        </is>
      </c>
      <c r="BW176" t="inlineStr">
        <is>
          <t>CHE</t>
        </is>
      </c>
      <c r="BX176" t="inlineStr">
        <is>
          <t>CHE</t>
        </is>
      </c>
      <c r="BY176" t="inlineStr">
        <is>
          <t>CHE</t>
        </is>
      </c>
      <c r="BZ176" t="inlineStr">
        <is>
          <t>CHE</t>
        </is>
      </c>
      <c r="CA176" t="inlineStr">
        <is>
          <t>CHE</t>
        </is>
      </c>
      <c r="CB176" t="inlineStr">
        <is>
          <t>CHE</t>
        </is>
      </c>
      <c r="CC176" t="inlineStr">
        <is>
          <t>AUT</t>
        </is>
      </c>
      <c r="CD176" t="inlineStr">
        <is>
          <t>AUT</t>
        </is>
      </c>
      <c r="CE176" t="inlineStr">
        <is>
          <t>AUT</t>
        </is>
      </c>
      <c r="CF176" t="inlineStr">
        <is>
          <t>AUT</t>
        </is>
      </c>
      <c r="CG176" t="inlineStr">
        <is>
          <t>AUT</t>
        </is>
      </c>
      <c r="CH176" t="inlineStr">
        <is>
          <t>AUT</t>
        </is>
      </c>
      <c r="CI176" t="inlineStr">
        <is>
          <t>AUT</t>
        </is>
      </c>
      <c r="CJ176" t="inlineStr">
        <is>
          <t>AUT</t>
        </is>
      </c>
      <c r="CK176" t="inlineStr">
        <is>
          <t>AUT</t>
        </is>
      </c>
      <c r="CL176" t="inlineStr">
        <is>
          <t>AUT</t>
        </is>
      </c>
      <c r="CM176" t="inlineStr">
        <is>
          <t>AUT</t>
        </is>
      </c>
      <c r="CN176" t="inlineStr">
        <is>
          <t>AUT</t>
        </is>
      </c>
      <c r="CO176" t="inlineStr">
        <is>
          <t>AUT</t>
        </is>
      </c>
      <c r="CP176" t="inlineStr">
        <is>
          <t>AUT</t>
        </is>
      </c>
      <c r="CQ176" t="inlineStr">
        <is>
          <t>HUN</t>
        </is>
      </c>
      <c r="CR176" t="inlineStr">
        <is>
          <t>HUN</t>
        </is>
      </c>
      <c r="CS176" t="inlineStr">
        <is>
          <t>HUN</t>
        </is>
      </c>
      <c r="CT176" t="inlineStr">
        <is>
          <t>HUN</t>
        </is>
      </c>
      <c r="CU176" t="inlineStr">
        <is>
          <t>HUN</t>
        </is>
      </c>
      <c r="CV176" t="inlineStr">
        <is>
          <t>HUN</t>
        </is>
      </c>
      <c r="CW176" t="inlineStr">
        <is>
          <t>HUN</t>
        </is>
      </c>
      <c r="CX176" t="inlineStr">
        <is>
          <t>HUN</t>
        </is>
      </c>
      <c r="CY176" t="inlineStr">
        <is>
          <t>HUN</t>
        </is>
      </c>
      <c r="CZ176" t="inlineStr">
        <is>
          <t>HUN</t>
        </is>
      </c>
      <c r="DA176" t="inlineStr">
        <is>
          <t>HUN</t>
        </is>
      </c>
      <c r="DB176" t="inlineStr">
        <is>
          <t>ROU</t>
        </is>
      </c>
      <c r="DC176" t="inlineStr">
        <is>
          <t>ROU</t>
        </is>
      </c>
      <c r="DD176" t="inlineStr">
        <is>
          <t>ROU</t>
        </is>
      </c>
      <c r="DE176" t="inlineStr">
        <is>
          <t>ROU</t>
        </is>
      </c>
      <c r="DF176" t="inlineStr">
        <is>
          <t>ROU</t>
        </is>
      </c>
      <c r="DG176" t="inlineStr">
        <is>
          <t>ROU</t>
        </is>
      </c>
      <c r="DH176" t="inlineStr">
        <is>
          <t>ROU</t>
        </is>
      </c>
      <c r="DI176" t="inlineStr">
        <is>
          <t>ROU</t>
        </is>
      </c>
      <c r="DJ176" t="inlineStr">
        <is>
          <t>ROU</t>
        </is>
      </c>
      <c r="DK176" t="inlineStr">
        <is>
          <t>ROU</t>
        </is>
      </c>
      <c r="DL176" t="inlineStr">
        <is>
          <t>ROU</t>
        </is>
      </c>
      <c r="DM176" t="inlineStr">
        <is>
          <t>MDA</t>
        </is>
      </c>
      <c r="DN176" t="inlineStr">
        <is>
          <t>MDA</t>
        </is>
      </c>
      <c r="DO176" t="inlineStr">
        <is>
          <t>MDA</t>
        </is>
      </c>
      <c r="DP176" t="inlineStr">
        <is>
          <t>MDA</t>
        </is>
      </c>
      <c r="DQ176" t="inlineStr">
        <is>
          <t>UKR</t>
        </is>
      </c>
      <c r="DR176" t="inlineStr">
        <is>
          <t>UKR</t>
        </is>
      </c>
      <c r="DS176" t="inlineStr">
        <is>
          <t>UKR</t>
        </is>
      </c>
      <c r="DT176" t="inlineStr">
        <is>
          <t>UKR</t>
        </is>
      </c>
      <c r="DU176" t="inlineStr">
        <is>
          <t>UKR</t>
        </is>
      </c>
      <c r="DV176" t="inlineStr">
        <is>
          <t>UKR</t>
        </is>
      </c>
      <c r="DW176" t="inlineStr">
        <is>
          <t>UKR</t>
        </is>
      </c>
      <c r="DX176" t="inlineStr">
        <is>
          <t>UKR</t>
        </is>
      </c>
      <c r="DY176" t="inlineStr">
        <is>
          <t>UKR</t>
        </is>
      </c>
      <c r="DZ176" t="inlineStr">
        <is>
          <t>UKR</t>
        </is>
      </c>
      <c r="EA176" t="inlineStr">
        <is>
          <t>UKR</t>
        </is>
      </c>
      <c r="EB176" t="inlineStr">
        <is>
          <t>UKR</t>
        </is>
      </c>
      <c r="EC176" t="inlineStr">
        <is>
          <t>UKR</t>
        </is>
      </c>
      <c r="ED176" t="inlineStr">
        <is>
          <t>UKR</t>
        </is>
      </c>
      <c r="EE176" t="inlineStr">
        <is>
          <t>UKR</t>
        </is>
      </c>
      <c r="EF176" t="inlineStr">
        <is>
          <t>UKR</t>
        </is>
      </c>
      <c r="EG176" t="inlineStr">
        <is>
          <t>UKR</t>
        </is>
      </c>
      <c r="EH176" t="inlineStr">
        <is>
          <t>RUS</t>
        </is>
      </c>
      <c r="EI176" t="inlineStr">
        <is>
          <t>RUS</t>
        </is>
      </c>
      <c r="EJ176" t="inlineStr">
        <is>
          <t>RUS</t>
        </is>
      </c>
      <c r="EK176" t="inlineStr">
        <is>
          <t>RUS</t>
        </is>
      </c>
      <c r="EL176" t="inlineStr">
        <is>
          <t>RUS</t>
        </is>
      </c>
      <c r="EM176" t="inlineStr">
        <is>
          <t>RUS</t>
        </is>
      </c>
      <c r="EN176" t="inlineStr">
        <is>
          <t>RUS</t>
        </is>
      </c>
      <c r="EO176" t="inlineStr">
        <is>
          <t>RUS</t>
        </is>
      </c>
      <c r="EP176" t="inlineStr">
        <is>
          <t>RUS</t>
        </is>
      </c>
      <c r="EQ176" t="inlineStr">
        <is>
          <t>RUS</t>
        </is>
      </c>
      <c r="ER176" t="inlineStr">
        <is>
          <t>RUS</t>
        </is>
      </c>
      <c r="ES176" t="inlineStr">
        <is>
          <t>RUS</t>
        </is>
      </c>
      <c r="ET176" t="inlineStr">
        <is>
          <t>RUS</t>
        </is>
      </c>
      <c r="EU176" t="inlineStr">
        <is>
          <t>RUS</t>
        </is>
      </c>
      <c r="EV176" t="inlineStr">
        <is>
          <t>RUS</t>
        </is>
      </c>
      <c r="EW176" t="inlineStr">
        <is>
          <t>RUS</t>
        </is>
      </c>
      <c r="EX176" t="inlineStr">
        <is>
          <t>RUS</t>
        </is>
      </c>
      <c r="EY176" t="inlineStr">
        <is>
          <t>RUS</t>
        </is>
      </c>
      <c r="EZ176" t="inlineStr">
        <is>
          <t>RUS</t>
        </is>
      </c>
      <c r="FA176" t="inlineStr">
        <is>
          <t>RUS</t>
        </is>
      </c>
      <c r="FB176" t="inlineStr">
        <is>
          <t>RUS</t>
        </is>
      </c>
      <c r="FC176" t="inlineStr">
        <is>
          <t>KAZ</t>
        </is>
      </c>
      <c r="FD176" t="inlineStr">
        <is>
          <t>KAZ</t>
        </is>
      </c>
      <c r="FE176" t="inlineStr">
        <is>
          <t>KAZ</t>
        </is>
      </c>
      <c r="FF176" t="inlineStr">
        <is>
          <t>KAZ</t>
        </is>
      </c>
      <c r="FG176" t="inlineStr">
        <is>
          <t>KAZ</t>
        </is>
      </c>
      <c r="FH176" t="inlineStr">
        <is>
          <t>KAZ</t>
        </is>
      </c>
      <c r="FI176" t="inlineStr">
        <is>
          <t>KAZ</t>
        </is>
      </c>
      <c r="FJ176" t="inlineStr">
        <is>
          <t>KAZ</t>
        </is>
      </c>
      <c r="FK176" t="inlineStr">
        <is>
          <t>KAZ</t>
        </is>
      </c>
      <c r="FL176" t="inlineStr">
        <is>
          <t>KAZ</t>
        </is>
      </c>
      <c r="FM176" t="inlineStr">
        <is>
          <t>KAZ</t>
        </is>
      </c>
      <c r="FN176" t="inlineStr">
        <is>
          <t>KAZ</t>
        </is>
      </c>
      <c r="FO176" t="inlineStr">
        <is>
          <t>KAZ</t>
        </is>
      </c>
      <c r="FP176" t="inlineStr">
        <is>
          <t>KAZ</t>
        </is>
      </c>
      <c r="FQ176" t="inlineStr">
        <is>
          <t>KAZ</t>
        </is>
      </c>
      <c r="FR176" t="inlineStr">
        <is>
          <t>KAZ</t>
        </is>
      </c>
      <c r="FS176" t="inlineStr">
        <is>
          <t>KAZ</t>
        </is>
      </c>
      <c r="FT176" t="inlineStr">
        <is>
          <t>KAZ</t>
        </is>
      </c>
      <c r="FU176" t="inlineStr">
        <is>
          <t>KAZ</t>
        </is>
      </c>
      <c r="FV176" t="inlineStr">
        <is>
          <t>KAZ</t>
        </is>
      </c>
      <c r="FW176" t="inlineStr">
        <is>
          <t>KAZ</t>
        </is>
      </c>
      <c r="FX176" t="inlineStr">
        <is>
          <t>KAZ</t>
        </is>
      </c>
      <c r="FY176" t="inlineStr">
        <is>
          <t>KAZ</t>
        </is>
      </c>
      <c r="FZ176" t="inlineStr">
        <is>
          <t>KAZ</t>
        </is>
      </c>
      <c r="GA176" t="inlineStr">
        <is>
          <t>KAZ</t>
        </is>
      </c>
      <c r="GB176" t="inlineStr">
        <is>
          <t>KAZ</t>
        </is>
      </c>
      <c r="GC176" t="inlineStr">
        <is>
          <t>KAZ</t>
        </is>
      </c>
      <c r="GD176" t="inlineStr">
        <is>
          <t>KAZ</t>
        </is>
      </c>
      <c r="GE176" t="inlineStr">
        <is>
          <t>KAZ</t>
        </is>
      </c>
      <c r="GF176" t="inlineStr">
        <is>
          <t>KAZ</t>
        </is>
      </c>
      <c r="GG176" t="inlineStr">
        <is>
          <t>KAZ</t>
        </is>
      </c>
      <c r="GH176" t="inlineStr">
        <is>
          <t>KAZ</t>
        </is>
      </c>
      <c r="GI176" t="inlineStr">
        <is>
          <t>KAZ</t>
        </is>
      </c>
      <c r="GJ176" t="inlineStr">
        <is>
          <t>KAZ</t>
        </is>
      </c>
      <c r="GK176" t="inlineStr">
        <is>
          <t>KAZ</t>
        </is>
      </c>
      <c r="GL176" t="inlineStr">
        <is>
          <t>KAZ</t>
        </is>
      </c>
      <c r="GM176" t="inlineStr">
        <is>
          <t>KAZ</t>
        </is>
      </c>
      <c r="GN176" t="inlineStr">
        <is>
          <t>KAZ</t>
        </is>
      </c>
      <c r="GO176" t="inlineStr">
        <is>
          <t>KAZ</t>
        </is>
      </c>
      <c r="GP176" t="inlineStr">
        <is>
          <t>KAZ</t>
        </is>
      </c>
      <c r="GQ176" t="inlineStr">
        <is>
          <t>KAZ</t>
        </is>
      </c>
      <c r="GR176" t="inlineStr">
        <is>
          <t>KAZ</t>
        </is>
      </c>
      <c r="GS176" t="inlineStr">
        <is>
          <t>KAZ</t>
        </is>
      </c>
      <c r="GT176" t="inlineStr">
        <is>
          <t>KAZ</t>
        </is>
      </c>
      <c r="GU176" t="inlineStr">
        <is>
          <t>KAZ</t>
        </is>
      </c>
      <c r="GV176" t="inlineStr">
        <is>
          <t>KAZ</t>
        </is>
      </c>
      <c r="GW176" t="inlineStr">
        <is>
          <t>KAZ</t>
        </is>
      </c>
      <c r="GX176" t="inlineStr">
        <is>
          <t>KAZ</t>
        </is>
      </c>
      <c r="GY176" t="inlineStr">
        <is>
          <t>KAZ</t>
        </is>
      </c>
      <c r="GZ176" t="inlineStr">
        <is>
          <t>KAZ</t>
        </is>
      </c>
      <c r="HA176" t="inlineStr">
        <is>
          <t>KAZ</t>
        </is>
      </c>
      <c r="HB176" t="inlineStr">
        <is>
          <t>KAZ</t>
        </is>
      </c>
      <c r="HC176" t="inlineStr">
        <is>
          <t>KAZ</t>
        </is>
      </c>
      <c r="HD176" t="inlineStr">
        <is>
          <t>KAZ</t>
        </is>
      </c>
      <c r="HE176" t="inlineStr">
        <is>
          <t>KAZ</t>
        </is>
      </c>
      <c r="HF176" t="inlineStr">
        <is>
          <t>KAZ</t>
        </is>
      </c>
      <c r="HG176" t="inlineStr">
        <is>
          <t>KAZ</t>
        </is>
      </c>
      <c r="HH176" t="inlineStr">
        <is>
          <t>KAZ</t>
        </is>
      </c>
      <c r="HI176" t="inlineStr">
        <is>
          <t>KAZ</t>
        </is>
      </c>
      <c r="HJ176" t="inlineStr">
        <is>
          <t>KAZ</t>
        </is>
      </c>
      <c r="HK176" t="inlineStr">
        <is>
          <t>KAZ</t>
        </is>
      </c>
      <c r="HL176" t="inlineStr">
        <is>
          <t>KAZ</t>
        </is>
      </c>
      <c r="HM176" t="inlineStr">
        <is>
          <t>KAZ</t>
        </is>
      </c>
      <c r="HN176" t="inlineStr">
        <is>
          <t>KAZ</t>
        </is>
      </c>
      <c r="HO176" t="inlineStr">
        <is>
          <t>KAZ</t>
        </is>
      </c>
      <c r="HP176" t="inlineStr">
        <is>
          <t>KAZ</t>
        </is>
      </c>
      <c r="HQ176" t="inlineStr">
        <is>
          <t>KAZ</t>
        </is>
      </c>
      <c r="HR176" t="inlineStr">
        <is>
          <t>KAZ</t>
        </is>
      </c>
      <c r="HS176" t="inlineStr">
        <is>
          <t>KAZ</t>
        </is>
      </c>
      <c r="HT176" t="inlineStr">
        <is>
          <t>CHN</t>
        </is>
      </c>
      <c r="HU176" t="inlineStr">
        <is>
          <t>KAZ</t>
        </is>
      </c>
      <c r="HV176" t="inlineStr">
        <is>
          <t>KAZ</t>
        </is>
      </c>
      <c r="HW176" t="inlineStr">
        <is>
          <t>KAZ</t>
        </is>
      </c>
      <c r="HX176" t="inlineStr">
        <is>
          <t>KAZ</t>
        </is>
      </c>
      <c r="HY176" t="inlineStr">
        <is>
          <t>CHN</t>
        </is>
      </c>
      <c r="HZ176" t="inlineStr">
        <is>
          <t>CHN</t>
        </is>
      </c>
      <c r="IA176" t="inlineStr">
        <is>
          <t>CHN</t>
        </is>
      </c>
      <c r="IB176" t="inlineStr">
        <is>
          <t>CHN</t>
        </is>
      </c>
      <c r="IC176" t="inlineStr">
        <is>
          <t>CHN</t>
        </is>
      </c>
      <c r="ID176" t="inlineStr">
        <is>
          <t>CHN</t>
        </is>
      </c>
      <c r="IE176" t="inlineStr">
        <is>
          <t>CHN</t>
        </is>
      </c>
      <c r="IF176" t="inlineStr">
        <is>
          <t>CHN</t>
        </is>
      </c>
      <c r="IG176" t="inlineStr">
        <is>
          <t>CHN</t>
        </is>
      </c>
      <c r="IH176" t="inlineStr">
        <is>
          <t>CHN</t>
        </is>
      </c>
      <c r="II176" t="inlineStr">
        <is>
          <t>MNG</t>
        </is>
      </c>
      <c r="IJ176" t="inlineStr">
        <is>
          <t>MNG</t>
        </is>
      </c>
      <c r="IK176" t="inlineStr">
        <is>
          <t>MNG</t>
        </is>
      </c>
      <c r="IL176" t="inlineStr">
        <is>
          <t>MNG</t>
        </is>
      </c>
      <c r="IM176" t="inlineStr">
        <is>
          <t>MNG</t>
        </is>
      </c>
      <c r="IN176" t="inlineStr">
        <is>
          <t>MNG</t>
        </is>
      </c>
      <c r="IO176" t="inlineStr">
        <is>
          <t>MNG</t>
        </is>
      </c>
      <c r="IP176" t="inlineStr">
        <is>
          <t>MNG</t>
        </is>
      </c>
      <c r="IQ176" t="inlineStr">
        <is>
          <t>MNG</t>
        </is>
      </c>
      <c r="IR176" t="inlineStr">
        <is>
          <t>MNG</t>
        </is>
      </c>
      <c r="IS176" t="inlineStr">
        <is>
          <t>MNG</t>
        </is>
      </c>
      <c r="IT176" t="inlineStr">
        <is>
          <t>MNG</t>
        </is>
      </c>
      <c r="IU176" t="inlineStr">
        <is>
          <t>MNG</t>
        </is>
      </c>
      <c r="IV176" t="inlineStr">
        <is>
          <t>MNG</t>
        </is>
      </c>
      <c r="IW176" t="inlineStr">
        <is>
          <t>MNG</t>
        </is>
      </c>
      <c r="IX176" t="inlineStr">
        <is>
          <t>MNG</t>
        </is>
      </c>
      <c r="IY176" t="inlineStr">
        <is>
          <t>MNG</t>
        </is>
      </c>
      <c r="IZ176" t="inlineStr">
        <is>
          <t>MNG</t>
        </is>
      </c>
      <c r="JA176" t="inlineStr">
        <is>
          <t>MNG</t>
        </is>
      </c>
      <c r="JB176" t="inlineStr">
        <is>
          <t>MNG</t>
        </is>
      </c>
      <c r="JC176" t="inlineStr">
        <is>
          <t>MNG</t>
        </is>
      </c>
      <c r="JD176" t="inlineStr">
        <is>
          <t>MNG</t>
        </is>
      </c>
      <c r="JE176" t="inlineStr">
        <is>
          <t>MNG</t>
        </is>
      </c>
      <c r="JF176" t="inlineStr">
        <is>
          <t>MNG</t>
        </is>
      </c>
      <c r="JG176" t="inlineStr">
        <is>
          <t>MNG</t>
        </is>
      </c>
      <c r="JH176" t="inlineStr">
        <is>
          <t>MNG</t>
        </is>
      </c>
      <c r="JI176" t="inlineStr">
        <is>
          <t>MNG</t>
        </is>
      </c>
      <c r="JJ176" t="inlineStr">
        <is>
          <t>MNG</t>
        </is>
      </c>
      <c r="JK176" t="inlineStr">
        <is>
          <t>MNG</t>
        </is>
      </c>
      <c r="JL176" t="inlineStr">
        <is>
          <t>MNG</t>
        </is>
      </c>
      <c r="JM176" t="inlineStr">
        <is>
          <t>MNG</t>
        </is>
      </c>
      <c r="JN176" t="inlineStr">
        <is>
          <t>MNG</t>
        </is>
      </c>
      <c r="JO176" t="inlineStr">
        <is>
          <t>MNG</t>
        </is>
      </c>
      <c r="JP176" t="inlineStr">
        <is>
          <t>MNG</t>
        </is>
      </c>
      <c r="JQ176" t="inlineStr">
        <is>
          <t>MNG</t>
        </is>
      </c>
      <c r="JR176" t="inlineStr">
        <is>
          <t>MNG</t>
        </is>
      </c>
      <c r="JS176" t="inlineStr">
        <is>
          <t>MNG</t>
        </is>
      </c>
      <c r="JT176" t="inlineStr">
        <is>
          <t>MNG</t>
        </is>
      </c>
      <c r="JU176" t="inlineStr">
        <is>
          <t>MNG</t>
        </is>
      </c>
    </row>
    <row r="177">
      <c r="BC177" t="inlineStr">
        <is>
          <t>FRA</t>
        </is>
      </c>
      <c r="BD177" t="inlineStr">
        <is>
          <t>FRA</t>
        </is>
      </c>
      <c r="BE177" t="inlineStr">
        <is>
          <t>FRA</t>
        </is>
      </c>
      <c r="BF177" t="inlineStr">
        <is>
          <t>FRA</t>
        </is>
      </c>
      <c r="BG177" t="inlineStr">
        <is>
          <t>FRA</t>
        </is>
      </c>
      <c r="BH177" t="inlineStr">
        <is>
          <t>FRA</t>
        </is>
      </c>
      <c r="BI177" t="inlineStr">
        <is>
          <t>FRA</t>
        </is>
      </c>
      <c r="BJ177" t="inlineStr">
        <is>
          <t>FRA</t>
        </is>
      </c>
      <c r="BK177" t="inlineStr">
        <is>
          <t>FRA</t>
        </is>
      </c>
      <c r="BL177" t="inlineStr">
        <is>
          <t>FRA</t>
        </is>
      </c>
      <c r="BM177" t="inlineStr">
        <is>
          <t>FRA</t>
        </is>
      </c>
      <c r="BN177" t="inlineStr">
        <is>
          <t>FRA</t>
        </is>
      </c>
      <c r="BO177" t="inlineStr">
        <is>
          <t>FRA</t>
        </is>
      </c>
      <c r="BP177" t="inlineStr">
        <is>
          <t>FRA</t>
        </is>
      </c>
      <c r="BQ177" t="inlineStr">
        <is>
          <t>FRA</t>
        </is>
      </c>
      <c r="BR177" t="inlineStr">
        <is>
          <t>FRA</t>
        </is>
      </c>
      <c r="BS177" t="inlineStr">
        <is>
          <t>FRA</t>
        </is>
      </c>
      <c r="BT177" t="inlineStr">
        <is>
          <t>FRA</t>
        </is>
      </c>
      <c r="BU177" t="inlineStr">
        <is>
          <t>FRA</t>
        </is>
      </c>
      <c r="BV177" t="inlineStr">
        <is>
          <t>FRA</t>
        </is>
      </c>
      <c r="BW177" t="inlineStr">
        <is>
          <t>FRA</t>
        </is>
      </c>
      <c r="BX177" t="inlineStr">
        <is>
          <t>FRA</t>
        </is>
      </c>
      <c r="BY177" t="inlineStr">
        <is>
          <t>DEU</t>
        </is>
      </c>
      <c r="BZ177" t="inlineStr">
        <is>
          <t>DEU</t>
        </is>
      </c>
      <c r="CA177" t="inlineStr">
        <is>
          <t>CHE</t>
        </is>
      </c>
      <c r="CB177" t="inlineStr">
        <is>
          <t>DEU</t>
        </is>
      </c>
      <c r="CC177" t="inlineStr">
        <is>
          <t>DEU</t>
        </is>
      </c>
      <c r="CD177" t="inlineStr">
        <is>
          <t>DEU</t>
        </is>
      </c>
      <c r="CE177" t="inlineStr">
        <is>
          <t>DEU</t>
        </is>
      </c>
      <c r="CF177" t="inlineStr">
        <is>
          <t>DEU</t>
        </is>
      </c>
      <c r="CG177" t="inlineStr">
        <is>
          <t>DEU</t>
        </is>
      </c>
      <c r="CH177" t="inlineStr">
        <is>
          <t>DEU</t>
        </is>
      </c>
      <c r="CI177" t="inlineStr">
        <is>
          <t>DEU</t>
        </is>
      </c>
      <c r="CJ177" t="inlineStr">
        <is>
          <t>AUT</t>
        </is>
      </c>
      <c r="CK177" t="inlineStr">
        <is>
          <t>AUT</t>
        </is>
      </c>
      <c r="CL177" t="inlineStr">
        <is>
          <t>AUT</t>
        </is>
      </c>
      <c r="CM177" t="inlineStr">
        <is>
          <t>AUT</t>
        </is>
      </c>
      <c r="CN177" t="inlineStr">
        <is>
          <t>AUT</t>
        </is>
      </c>
      <c r="CO177" t="inlineStr">
        <is>
          <t>AUT</t>
        </is>
      </c>
      <c r="CP177" t="inlineStr">
        <is>
          <t>AUT</t>
        </is>
      </c>
      <c r="CQ177" t="inlineStr">
        <is>
          <t>AUT</t>
        </is>
      </c>
      <c r="CR177" t="inlineStr">
        <is>
          <t>HUN</t>
        </is>
      </c>
      <c r="CS177" t="inlineStr">
        <is>
          <t>HUN</t>
        </is>
      </c>
      <c r="CT177" t="inlineStr">
        <is>
          <t>HUN</t>
        </is>
      </c>
      <c r="CU177" t="inlineStr">
        <is>
          <t>HUN</t>
        </is>
      </c>
      <c r="CV177" t="inlineStr">
        <is>
          <t>HUN</t>
        </is>
      </c>
      <c r="CW177" t="inlineStr">
        <is>
          <t>HUN</t>
        </is>
      </c>
      <c r="CX177" t="inlineStr">
        <is>
          <t>HUN</t>
        </is>
      </c>
      <c r="CY177" t="inlineStr">
        <is>
          <t>HUN</t>
        </is>
      </c>
      <c r="CZ177" t="inlineStr">
        <is>
          <t>HUN</t>
        </is>
      </c>
      <c r="DA177" t="inlineStr">
        <is>
          <t>HUN</t>
        </is>
      </c>
      <c r="DB177" t="inlineStr">
        <is>
          <t>HUN</t>
        </is>
      </c>
      <c r="DC177" t="inlineStr">
        <is>
          <t>ROU</t>
        </is>
      </c>
      <c r="DD177" t="inlineStr">
        <is>
          <t>ROU</t>
        </is>
      </c>
      <c r="DE177" t="inlineStr">
        <is>
          <t>ROU</t>
        </is>
      </c>
      <c r="DF177" t="inlineStr">
        <is>
          <t>ROU</t>
        </is>
      </c>
      <c r="DG177" t="inlineStr">
        <is>
          <t>ROU</t>
        </is>
      </c>
      <c r="DH177" t="inlineStr">
        <is>
          <t>ROU</t>
        </is>
      </c>
      <c r="DI177" t="inlineStr">
        <is>
          <t>ROU</t>
        </is>
      </c>
      <c r="DJ177" t="inlineStr">
        <is>
          <t>ROU</t>
        </is>
      </c>
      <c r="DK177" t="inlineStr">
        <is>
          <t>ROU</t>
        </is>
      </c>
      <c r="DL177" t="inlineStr">
        <is>
          <t>ROU</t>
        </is>
      </c>
      <c r="DM177" t="inlineStr">
        <is>
          <t>MDA</t>
        </is>
      </c>
      <c r="DN177" t="inlineStr">
        <is>
          <t>MDA</t>
        </is>
      </c>
      <c r="DO177" t="inlineStr">
        <is>
          <t>MDA</t>
        </is>
      </c>
      <c r="DP177" t="inlineStr">
        <is>
          <t>UKR</t>
        </is>
      </c>
      <c r="DQ177" t="inlineStr">
        <is>
          <t>UKR</t>
        </is>
      </c>
      <c r="DR177" t="inlineStr">
        <is>
          <t>UKR</t>
        </is>
      </c>
      <c r="DS177" t="inlineStr">
        <is>
          <t>UKR</t>
        </is>
      </c>
      <c r="DT177" t="inlineStr">
        <is>
          <t>UKR</t>
        </is>
      </c>
      <c r="DU177" t="inlineStr">
        <is>
          <t>UKR</t>
        </is>
      </c>
      <c r="DV177" t="inlineStr">
        <is>
          <t>UKR</t>
        </is>
      </c>
      <c r="DW177" t="inlineStr">
        <is>
          <t>UKR</t>
        </is>
      </c>
      <c r="DX177" t="inlineStr">
        <is>
          <t>UKR</t>
        </is>
      </c>
      <c r="DY177" t="inlineStr">
        <is>
          <t>UKR</t>
        </is>
      </c>
      <c r="DZ177" t="inlineStr">
        <is>
          <t>UKR</t>
        </is>
      </c>
      <c r="EA177" t="inlineStr">
        <is>
          <t>UKR</t>
        </is>
      </c>
      <c r="EB177" t="inlineStr">
        <is>
          <t>UKR</t>
        </is>
      </c>
      <c r="EC177" t="inlineStr">
        <is>
          <t>UKR</t>
        </is>
      </c>
      <c r="ED177" t="inlineStr">
        <is>
          <t>UKR</t>
        </is>
      </c>
      <c r="EE177" t="inlineStr">
        <is>
          <t>UKR</t>
        </is>
      </c>
      <c r="EF177" t="inlineStr">
        <is>
          <t>UKR</t>
        </is>
      </c>
      <c r="EG177" t="inlineStr">
        <is>
          <t>UKR</t>
        </is>
      </c>
      <c r="EH177" t="inlineStr">
        <is>
          <t>UKR</t>
        </is>
      </c>
      <c r="EI177" t="inlineStr">
        <is>
          <t>RUS</t>
        </is>
      </c>
      <c r="EJ177" t="inlineStr">
        <is>
          <t>RUS</t>
        </is>
      </c>
      <c r="EK177" t="inlineStr">
        <is>
          <t>RUS</t>
        </is>
      </c>
      <c r="EL177" t="inlineStr">
        <is>
          <t>RUS</t>
        </is>
      </c>
      <c r="EM177" t="inlineStr">
        <is>
          <t>RUS</t>
        </is>
      </c>
      <c r="EN177" t="inlineStr">
        <is>
          <t>RUS</t>
        </is>
      </c>
      <c r="EO177" t="inlineStr">
        <is>
          <t>RUS</t>
        </is>
      </c>
      <c r="EP177" t="inlineStr">
        <is>
          <t>RUS</t>
        </is>
      </c>
      <c r="EQ177" t="inlineStr">
        <is>
          <t>RUS</t>
        </is>
      </c>
      <c r="ER177" t="inlineStr">
        <is>
          <t>RUS</t>
        </is>
      </c>
      <c r="ES177" t="inlineStr">
        <is>
          <t>RUS</t>
        </is>
      </c>
      <c r="ET177" t="inlineStr">
        <is>
          <t>RUS</t>
        </is>
      </c>
      <c r="EU177" t="inlineStr">
        <is>
          <t>RUS</t>
        </is>
      </c>
      <c r="EV177" t="inlineStr">
        <is>
          <t>RUS</t>
        </is>
      </c>
      <c r="EW177" t="inlineStr">
        <is>
          <t>RUS</t>
        </is>
      </c>
      <c r="EX177" t="inlineStr">
        <is>
          <t>RUS</t>
        </is>
      </c>
      <c r="EY177" t="inlineStr">
        <is>
          <t>RUS</t>
        </is>
      </c>
      <c r="EZ177" t="inlineStr">
        <is>
          <t>RUS</t>
        </is>
      </c>
      <c r="FA177" t="inlineStr">
        <is>
          <t>KAZ</t>
        </is>
      </c>
      <c r="FB177" t="inlineStr">
        <is>
          <t>KAZ</t>
        </is>
      </c>
      <c r="FC177" t="inlineStr">
        <is>
          <t>KAZ</t>
        </is>
      </c>
      <c r="FD177" t="inlineStr">
        <is>
          <t>KAZ</t>
        </is>
      </c>
      <c r="FE177" t="inlineStr">
        <is>
          <t>KAZ</t>
        </is>
      </c>
      <c r="FF177" t="inlineStr">
        <is>
          <t>KAZ</t>
        </is>
      </c>
      <c r="FG177" t="inlineStr">
        <is>
          <t>KAZ</t>
        </is>
      </c>
      <c r="FH177" t="inlineStr">
        <is>
          <t>KAZ</t>
        </is>
      </c>
      <c r="FI177" t="inlineStr">
        <is>
          <t>KAZ</t>
        </is>
      </c>
      <c r="FJ177" t="inlineStr">
        <is>
          <t>KAZ</t>
        </is>
      </c>
      <c r="FK177" t="inlineStr">
        <is>
          <t>KAZ</t>
        </is>
      </c>
      <c r="FL177" t="inlineStr">
        <is>
          <t>KAZ</t>
        </is>
      </c>
      <c r="FM177" t="inlineStr">
        <is>
          <t>KAZ</t>
        </is>
      </c>
      <c r="FN177" t="inlineStr">
        <is>
          <t>KAZ</t>
        </is>
      </c>
      <c r="FO177" t="inlineStr">
        <is>
          <t>KAZ</t>
        </is>
      </c>
      <c r="FP177" t="inlineStr">
        <is>
          <t>KAZ</t>
        </is>
      </c>
      <c r="FQ177" t="inlineStr">
        <is>
          <t>KAZ</t>
        </is>
      </c>
      <c r="FR177" t="inlineStr">
        <is>
          <t>KAZ</t>
        </is>
      </c>
      <c r="FS177" t="inlineStr">
        <is>
          <t>KAZ</t>
        </is>
      </c>
      <c r="FT177" t="inlineStr">
        <is>
          <t>KAZ</t>
        </is>
      </c>
      <c r="FU177" t="inlineStr">
        <is>
          <t>KAZ</t>
        </is>
      </c>
      <c r="FV177" t="inlineStr">
        <is>
          <t>KAZ</t>
        </is>
      </c>
      <c r="FW177" t="inlineStr">
        <is>
          <t>KAZ</t>
        </is>
      </c>
      <c r="FX177" t="inlineStr">
        <is>
          <t>KAZ</t>
        </is>
      </c>
      <c r="FY177" t="inlineStr">
        <is>
          <t>KAZ</t>
        </is>
      </c>
      <c r="FZ177" t="inlineStr">
        <is>
          <t>KAZ</t>
        </is>
      </c>
      <c r="GA177" t="inlineStr">
        <is>
          <t>KAZ</t>
        </is>
      </c>
      <c r="GB177" t="inlineStr">
        <is>
          <t>KAZ</t>
        </is>
      </c>
      <c r="GC177" t="inlineStr">
        <is>
          <t>KAZ</t>
        </is>
      </c>
      <c r="GD177" t="inlineStr">
        <is>
          <t>KAZ</t>
        </is>
      </c>
      <c r="GE177" t="inlineStr">
        <is>
          <t>KAZ</t>
        </is>
      </c>
      <c r="GF177" t="inlineStr">
        <is>
          <t>KAZ</t>
        </is>
      </c>
      <c r="GG177" t="inlineStr">
        <is>
          <t>KAZ</t>
        </is>
      </c>
      <c r="GH177" t="inlineStr">
        <is>
          <t>KAZ</t>
        </is>
      </c>
      <c r="GI177" t="inlineStr">
        <is>
          <t>KAZ</t>
        </is>
      </c>
      <c r="GJ177" t="inlineStr">
        <is>
          <t>KAZ</t>
        </is>
      </c>
      <c r="GK177" t="inlineStr">
        <is>
          <t>KAZ</t>
        </is>
      </c>
      <c r="GL177" t="inlineStr">
        <is>
          <t>KAZ</t>
        </is>
      </c>
      <c r="GM177" t="inlineStr">
        <is>
          <t>KAZ</t>
        </is>
      </c>
      <c r="GN177" t="inlineStr">
        <is>
          <t>KAZ</t>
        </is>
      </c>
      <c r="GO177" t="inlineStr">
        <is>
          <t>KAZ</t>
        </is>
      </c>
      <c r="GP177" t="inlineStr">
        <is>
          <t>KAZ</t>
        </is>
      </c>
      <c r="GQ177" t="inlineStr">
        <is>
          <t>KAZ</t>
        </is>
      </c>
      <c r="GR177" t="inlineStr">
        <is>
          <t>KAZ</t>
        </is>
      </c>
      <c r="GS177" t="inlineStr">
        <is>
          <t>KAZ</t>
        </is>
      </c>
      <c r="GT177" t="inlineStr">
        <is>
          <t>KAZ</t>
        </is>
      </c>
      <c r="GU177" t="inlineStr">
        <is>
          <t>KAZ</t>
        </is>
      </c>
      <c r="GV177" t="inlineStr">
        <is>
          <t>KAZ</t>
        </is>
      </c>
      <c r="GW177" t="inlineStr">
        <is>
          <t>KAZ</t>
        </is>
      </c>
      <c r="GX177" t="inlineStr">
        <is>
          <t>KAZ</t>
        </is>
      </c>
      <c r="GY177" t="inlineStr">
        <is>
          <t>KAZ</t>
        </is>
      </c>
      <c r="GZ177" t="inlineStr">
        <is>
          <t>KAZ</t>
        </is>
      </c>
      <c r="HA177" t="inlineStr">
        <is>
          <t>KAZ</t>
        </is>
      </c>
      <c r="HB177" t="inlineStr">
        <is>
          <t>KAZ</t>
        </is>
      </c>
      <c r="HC177" t="inlineStr">
        <is>
          <t>KAZ</t>
        </is>
      </c>
      <c r="HD177" t="inlineStr">
        <is>
          <t>KAZ</t>
        </is>
      </c>
      <c r="HE177" t="inlineStr">
        <is>
          <t>KAZ</t>
        </is>
      </c>
      <c r="HF177" t="inlineStr">
        <is>
          <t>KAZ</t>
        </is>
      </c>
      <c r="HG177" t="inlineStr">
        <is>
          <t>KAZ</t>
        </is>
      </c>
      <c r="HH177" t="inlineStr">
        <is>
          <t>KAZ</t>
        </is>
      </c>
      <c r="HI177" t="inlineStr">
        <is>
          <t>KAZ</t>
        </is>
      </c>
      <c r="HJ177" t="inlineStr">
        <is>
          <t>KAZ</t>
        </is>
      </c>
      <c r="HK177" t="inlineStr">
        <is>
          <t>KAZ</t>
        </is>
      </c>
      <c r="HL177" t="inlineStr">
        <is>
          <t>KAZ</t>
        </is>
      </c>
      <c r="HM177" t="inlineStr">
        <is>
          <t>KAZ</t>
        </is>
      </c>
      <c r="HN177" t="inlineStr">
        <is>
          <t>KAZ</t>
        </is>
      </c>
      <c r="HO177" t="inlineStr">
        <is>
          <t>KAZ</t>
        </is>
      </c>
      <c r="HP177" t="inlineStr">
        <is>
          <t>KAZ</t>
        </is>
      </c>
      <c r="HQ177" t="inlineStr">
        <is>
          <t>KAZ</t>
        </is>
      </c>
      <c r="HR177" t="inlineStr">
        <is>
          <t>KAZ</t>
        </is>
      </c>
      <c r="HS177" t="inlineStr">
        <is>
          <t>KAZ</t>
        </is>
      </c>
      <c r="HT177" t="inlineStr">
        <is>
          <t>KAZ</t>
        </is>
      </c>
      <c r="HU177" t="inlineStr">
        <is>
          <t>KAZ</t>
        </is>
      </c>
      <c r="HV177" t="inlineStr">
        <is>
          <t>KAZ</t>
        </is>
      </c>
      <c r="HW177" t="inlineStr">
        <is>
          <t>KAZ</t>
        </is>
      </c>
      <c r="HX177" t="inlineStr">
        <is>
          <t>KAZ</t>
        </is>
      </c>
      <c r="HY177" t="inlineStr">
        <is>
          <t>CHN</t>
        </is>
      </c>
      <c r="HZ177" t="inlineStr">
        <is>
          <t>CHN</t>
        </is>
      </c>
      <c r="IA177" t="inlineStr">
        <is>
          <t>CHN</t>
        </is>
      </c>
      <c r="IB177" t="inlineStr">
        <is>
          <t>CHN</t>
        </is>
      </c>
      <c r="IC177" t="inlineStr">
        <is>
          <t>CHN</t>
        </is>
      </c>
      <c r="ID177" t="inlineStr">
        <is>
          <t>CHN</t>
        </is>
      </c>
      <c r="IE177" t="inlineStr">
        <is>
          <t>CHN</t>
        </is>
      </c>
      <c r="IF177" t="inlineStr">
        <is>
          <t>CHN</t>
        </is>
      </c>
      <c r="IG177" t="inlineStr">
        <is>
          <t>CHN</t>
        </is>
      </c>
      <c r="IH177" t="inlineStr">
        <is>
          <t>MNG</t>
        </is>
      </c>
      <c r="II177" t="inlineStr">
        <is>
          <t>MNG</t>
        </is>
      </c>
      <c r="IJ177" t="inlineStr">
        <is>
          <t>MNG</t>
        </is>
      </c>
      <c r="IK177" t="inlineStr">
        <is>
          <t>MNG</t>
        </is>
      </c>
      <c r="IL177" t="inlineStr">
        <is>
          <t>MNG</t>
        </is>
      </c>
      <c r="IM177" t="inlineStr">
        <is>
          <t>MNG</t>
        </is>
      </c>
      <c r="IN177" t="inlineStr">
        <is>
          <t>MNG</t>
        </is>
      </c>
      <c r="IO177" t="inlineStr">
        <is>
          <t>MNG</t>
        </is>
      </c>
      <c r="IP177" t="inlineStr">
        <is>
          <t>MNG</t>
        </is>
      </c>
      <c r="IQ177" t="inlineStr">
        <is>
          <t>MNG</t>
        </is>
      </c>
      <c r="IR177" t="inlineStr">
        <is>
          <t>MNG</t>
        </is>
      </c>
      <c r="IS177" t="inlineStr">
        <is>
          <t>MNG</t>
        </is>
      </c>
      <c r="IT177" t="inlineStr">
        <is>
          <t>MNG</t>
        </is>
      </c>
      <c r="IU177" t="inlineStr">
        <is>
          <t>MNG</t>
        </is>
      </c>
      <c r="IV177" t="inlineStr">
        <is>
          <t>MNG</t>
        </is>
      </c>
      <c r="IW177" t="inlineStr">
        <is>
          <t>MNG</t>
        </is>
      </c>
      <c r="IX177" t="inlineStr">
        <is>
          <t>MNG</t>
        </is>
      </c>
      <c r="IY177" t="inlineStr">
        <is>
          <t>MNG</t>
        </is>
      </c>
      <c r="IZ177" t="inlineStr">
        <is>
          <t>MNG</t>
        </is>
      </c>
      <c r="JA177" t="inlineStr">
        <is>
          <t>MNG</t>
        </is>
      </c>
      <c r="JB177" t="inlineStr">
        <is>
          <t>MNG</t>
        </is>
      </c>
      <c r="JC177" t="inlineStr">
        <is>
          <t>MNG</t>
        </is>
      </c>
      <c r="JD177" t="inlineStr">
        <is>
          <t>MNG</t>
        </is>
      </c>
      <c r="JE177" t="inlineStr">
        <is>
          <t>MNG</t>
        </is>
      </c>
      <c r="JF177" t="inlineStr">
        <is>
          <t>MNG</t>
        </is>
      </c>
      <c r="JG177" t="inlineStr">
        <is>
          <t>MNG</t>
        </is>
      </c>
      <c r="JH177" t="inlineStr">
        <is>
          <t>MNG</t>
        </is>
      </c>
      <c r="JI177" t="inlineStr">
        <is>
          <t>MNG</t>
        </is>
      </c>
      <c r="JJ177" t="inlineStr">
        <is>
          <t>MNG</t>
        </is>
      </c>
      <c r="JK177" t="inlineStr">
        <is>
          <t>MNG</t>
        </is>
      </c>
      <c r="JL177" t="inlineStr">
        <is>
          <t>MNG</t>
        </is>
      </c>
      <c r="JM177" t="inlineStr">
        <is>
          <t>MNG</t>
        </is>
      </c>
      <c r="JN177" t="inlineStr">
        <is>
          <t>MNG</t>
        </is>
      </c>
      <c r="JO177" t="inlineStr">
        <is>
          <t>MNG</t>
        </is>
      </c>
      <c r="JP177" t="inlineStr">
        <is>
          <t>MNG</t>
        </is>
      </c>
      <c r="JQ177" t="inlineStr">
        <is>
          <t>MNG</t>
        </is>
      </c>
      <c r="JR177" t="inlineStr">
        <is>
          <t>MNG</t>
        </is>
      </c>
      <c r="JS177" t="inlineStr">
        <is>
          <t>MNG</t>
        </is>
      </c>
      <c r="JT177" t="inlineStr">
        <is>
          <t>MNG</t>
        </is>
      </c>
      <c r="JU177" t="inlineStr">
        <is>
          <t>MNG</t>
        </is>
      </c>
    </row>
    <row r="178">
      <c r="BA178" t="inlineStr">
        <is>
          <t>FRA</t>
        </is>
      </c>
      <c r="BB178" t="inlineStr">
        <is>
          <t>FRA</t>
        </is>
      </c>
      <c r="BC178" t="inlineStr">
        <is>
          <t>FRA</t>
        </is>
      </c>
      <c r="BD178" t="inlineStr">
        <is>
          <t>FRA</t>
        </is>
      </c>
      <c r="BE178" t="inlineStr">
        <is>
          <t>FRA</t>
        </is>
      </c>
      <c r="BF178" t="inlineStr">
        <is>
          <t>FRA</t>
        </is>
      </c>
      <c r="BG178" t="inlineStr">
        <is>
          <t>FRA</t>
        </is>
      </c>
      <c r="BH178" t="inlineStr">
        <is>
          <t>FRA</t>
        </is>
      </c>
      <c r="BI178" t="inlineStr">
        <is>
          <t>FRA</t>
        </is>
      </c>
      <c r="BJ178" t="inlineStr">
        <is>
          <t>FRA</t>
        </is>
      </c>
      <c r="BK178" t="inlineStr">
        <is>
          <t>FRA</t>
        </is>
      </c>
      <c r="BL178" t="inlineStr">
        <is>
          <t>FRA</t>
        </is>
      </c>
      <c r="BM178" t="inlineStr">
        <is>
          <t>FRA</t>
        </is>
      </c>
      <c r="BN178" t="inlineStr">
        <is>
          <t>FRA</t>
        </is>
      </c>
      <c r="BO178" t="inlineStr">
        <is>
          <t>FRA</t>
        </is>
      </c>
      <c r="BP178" t="inlineStr">
        <is>
          <t>FRA</t>
        </is>
      </c>
      <c r="BQ178" t="inlineStr">
        <is>
          <t>FRA</t>
        </is>
      </c>
      <c r="BR178" t="inlineStr">
        <is>
          <t>FRA</t>
        </is>
      </c>
      <c r="BS178" t="inlineStr">
        <is>
          <t>FRA</t>
        </is>
      </c>
      <c r="BT178" t="inlineStr">
        <is>
          <t>FRA</t>
        </is>
      </c>
      <c r="BU178" t="inlineStr">
        <is>
          <t>FRA</t>
        </is>
      </c>
      <c r="BV178" t="inlineStr">
        <is>
          <t>FRA</t>
        </is>
      </c>
      <c r="BW178" t="inlineStr">
        <is>
          <t>FRA</t>
        </is>
      </c>
      <c r="BX178" t="inlineStr">
        <is>
          <t>FRA</t>
        </is>
      </c>
      <c r="BY178" t="inlineStr">
        <is>
          <t>DEU</t>
        </is>
      </c>
      <c r="BZ178" t="inlineStr">
        <is>
          <t>DEU</t>
        </is>
      </c>
      <c r="CA178" t="inlineStr">
        <is>
          <t>DEU</t>
        </is>
      </c>
      <c r="CB178" t="inlineStr">
        <is>
          <t>DEU</t>
        </is>
      </c>
      <c r="CC178" t="inlineStr">
        <is>
          <t>DEU</t>
        </is>
      </c>
      <c r="CD178" t="inlineStr">
        <is>
          <t>DEU</t>
        </is>
      </c>
      <c r="CE178" t="inlineStr">
        <is>
          <t>DEU</t>
        </is>
      </c>
      <c r="CF178" t="inlineStr">
        <is>
          <t>DEU</t>
        </is>
      </c>
      <c r="CG178" t="inlineStr">
        <is>
          <t>DEU</t>
        </is>
      </c>
      <c r="CH178" t="inlineStr">
        <is>
          <t>DEU</t>
        </is>
      </c>
      <c r="CI178" t="inlineStr">
        <is>
          <t>DEU</t>
        </is>
      </c>
      <c r="CJ178" t="inlineStr">
        <is>
          <t>AUT</t>
        </is>
      </c>
      <c r="CK178" t="inlineStr">
        <is>
          <t>AUT</t>
        </is>
      </c>
      <c r="CL178" t="inlineStr">
        <is>
          <t>AUT</t>
        </is>
      </c>
      <c r="CM178" t="inlineStr">
        <is>
          <t>AUT</t>
        </is>
      </c>
      <c r="CN178" t="inlineStr">
        <is>
          <t>AUT</t>
        </is>
      </c>
      <c r="CO178" t="inlineStr">
        <is>
          <t>AUT</t>
        </is>
      </c>
      <c r="CP178" t="inlineStr">
        <is>
          <t>AUT</t>
        </is>
      </c>
      <c r="CQ178" t="inlineStr">
        <is>
          <t>AUT</t>
        </is>
      </c>
      <c r="CR178" t="inlineStr">
        <is>
          <t>SVK</t>
        </is>
      </c>
      <c r="CS178" t="inlineStr">
        <is>
          <t>SVK</t>
        </is>
      </c>
      <c r="CT178" t="inlineStr">
        <is>
          <t>SVK</t>
        </is>
      </c>
      <c r="CU178" t="inlineStr">
        <is>
          <t>SVK</t>
        </is>
      </c>
      <c r="CV178" t="inlineStr">
        <is>
          <t>SVK</t>
        </is>
      </c>
      <c r="CW178" t="inlineStr">
        <is>
          <t>SVK</t>
        </is>
      </c>
      <c r="CX178" t="inlineStr">
        <is>
          <t>HUN</t>
        </is>
      </c>
      <c r="CY178" t="inlineStr">
        <is>
          <t>HUN</t>
        </is>
      </c>
      <c r="CZ178" t="inlineStr">
        <is>
          <t>HUN</t>
        </is>
      </c>
      <c r="DA178" t="inlineStr">
        <is>
          <t>HUN</t>
        </is>
      </c>
      <c r="DB178" t="inlineStr">
        <is>
          <t>HUN</t>
        </is>
      </c>
      <c r="DC178" t="inlineStr">
        <is>
          <t>UKR</t>
        </is>
      </c>
      <c r="DD178" t="inlineStr">
        <is>
          <t>UKR</t>
        </is>
      </c>
      <c r="DE178" t="inlineStr">
        <is>
          <t>UKR</t>
        </is>
      </c>
      <c r="DF178" t="inlineStr">
        <is>
          <t>UKR</t>
        </is>
      </c>
      <c r="DG178" t="inlineStr">
        <is>
          <t>UKR</t>
        </is>
      </c>
      <c r="DH178" t="inlineStr">
        <is>
          <t>UKR</t>
        </is>
      </c>
      <c r="DI178" t="inlineStr">
        <is>
          <t>UKR</t>
        </is>
      </c>
      <c r="DJ178" t="inlineStr">
        <is>
          <t>UKR</t>
        </is>
      </c>
      <c r="DK178" t="inlineStr">
        <is>
          <t>MDA</t>
        </is>
      </c>
      <c r="DL178" t="inlineStr">
        <is>
          <t>MDA</t>
        </is>
      </c>
      <c r="DM178" t="inlineStr">
        <is>
          <t>MDA</t>
        </is>
      </c>
      <c r="DN178" t="inlineStr">
        <is>
          <t>UKR</t>
        </is>
      </c>
      <c r="DO178" t="inlineStr">
        <is>
          <t>UKR</t>
        </is>
      </c>
      <c r="DP178" t="inlineStr">
        <is>
          <t>UKR</t>
        </is>
      </c>
      <c r="DQ178" t="inlineStr">
        <is>
          <t>UKR</t>
        </is>
      </c>
      <c r="DR178" t="inlineStr">
        <is>
          <t>UKR</t>
        </is>
      </c>
      <c r="DS178" t="inlineStr">
        <is>
          <t>UKR</t>
        </is>
      </c>
      <c r="DT178" t="inlineStr">
        <is>
          <t>UKR</t>
        </is>
      </c>
      <c r="DU178" t="inlineStr">
        <is>
          <t>UKR</t>
        </is>
      </c>
      <c r="DV178" t="inlineStr">
        <is>
          <t>UKR</t>
        </is>
      </c>
      <c r="DW178" t="inlineStr">
        <is>
          <t>UKR</t>
        </is>
      </c>
      <c r="DX178" t="inlineStr">
        <is>
          <t>UKR</t>
        </is>
      </c>
      <c r="DY178" t="inlineStr">
        <is>
          <t>UKR</t>
        </is>
      </c>
      <c r="DZ178" t="inlineStr">
        <is>
          <t>UKR</t>
        </is>
      </c>
      <c r="EA178" t="inlineStr">
        <is>
          <t>UKR</t>
        </is>
      </c>
      <c r="EB178" t="inlineStr">
        <is>
          <t>UKR</t>
        </is>
      </c>
      <c r="EC178" t="inlineStr">
        <is>
          <t>UKR</t>
        </is>
      </c>
      <c r="ED178" t="inlineStr">
        <is>
          <t>UKR</t>
        </is>
      </c>
      <c r="EE178" t="inlineStr">
        <is>
          <t>UKR</t>
        </is>
      </c>
      <c r="EF178" t="inlineStr">
        <is>
          <t>UKR</t>
        </is>
      </c>
      <c r="EG178" t="inlineStr">
        <is>
          <t>UKR</t>
        </is>
      </c>
      <c r="EH178" t="inlineStr">
        <is>
          <t>UKR</t>
        </is>
      </c>
      <c r="EI178" t="inlineStr">
        <is>
          <t>UKR</t>
        </is>
      </c>
      <c r="EJ178" t="inlineStr">
        <is>
          <t>UKR</t>
        </is>
      </c>
      <c r="EK178" t="inlineStr">
        <is>
          <t>UKR</t>
        </is>
      </c>
      <c r="EL178" t="inlineStr">
        <is>
          <t>RUS</t>
        </is>
      </c>
      <c r="EM178" t="inlineStr">
        <is>
          <t>RUS</t>
        </is>
      </c>
      <c r="EN178" t="inlineStr">
        <is>
          <t>RUS</t>
        </is>
      </c>
      <c r="EO178" t="inlineStr">
        <is>
          <t>RUS</t>
        </is>
      </c>
      <c r="EP178" t="inlineStr">
        <is>
          <t>RUS</t>
        </is>
      </c>
      <c r="EQ178" t="inlineStr">
        <is>
          <t>RUS</t>
        </is>
      </c>
      <c r="ER178" t="inlineStr">
        <is>
          <t>RUS</t>
        </is>
      </c>
      <c r="ES178" t="inlineStr">
        <is>
          <t>RUS</t>
        </is>
      </c>
      <c r="ET178" t="inlineStr">
        <is>
          <t>RUS</t>
        </is>
      </c>
      <c r="EU178" t="inlineStr">
        <is>
          <t>RUS</t>
        </is>
      </c>
      <c r="EV178" t="inlineStr">
        <is>
          <t>RUS</t>
        </is>
      </c>
      <c r="EW178" t="inlineStr">
        <is>
          <t>RUS</t>
        </is>
      </c>
      <c r="EX178" t="inlineStr">
        <is>
          <t>RUS</t>
        </is>
      </c>
      <c r="EY178" t="inlineStr">
        <is>
          <t>KAZ</t>
        </is>
      </c>
      <c r="EZ178" t="inlineStr">
        <is>
          <t>KAZ</t>
        </is>
      </c>
      <c r="FA178" t="inlineStr">
        <is>
          <t>KAZ</t>
        </is>
      </c>
      <c r="FB178" t="inlineStr">
        <is>
          <t>KAZ</t>
        </is>
      </c>
      <c r="FC178" t="inlineStr">
        <is>
          <t>KAZ</t>
        </is>
      </c>
      <c r="FD178" t="inlineStr">
        <is>
          <t>KAZ</t>
        </is>
      </c>
      <c r="FE178" t="inlineStr">
        <is>
          <t>KAZ</t>
        </is>
      </c>
      <c r="FF178" t="inlineStr">
        <is>
          <t>KAZ</t>
        </is>
      </c>
      <c r="FG178" t="inlineStr">
        <is>
          <t>KAZ</t>
        </is>
      </c>
      <c r="FH178" t="inlineStr">
        <is>
          <t>KAZ</t>
        </is>
      </c>
      <c r="FI178" t="inlineStr">
        <is>
          <t>KAZ</t>
        </is>
      </c>
      <c r="FJ178" t="inlineStr">
        <is>
          <t>KAZ</t>
        </is>
      </c>
      <c r="FK178" t="inlineStr">
        <is>
          <t>KAZ</t>
        </is>
      </c>
      <c r="FL178" t="inlineStr">
        <is>
          <t>KAZ</t>
        </is>
      </c>
      <c r="FM178" t="inlineStr">
        <is>
          <t>KAZ</t>
        </is>
      </c>
      <c r="FN178" t="inlineStr">
        <is>
          <t>KAZ</t>
        </is>
      </c>
      <c r="FO178" t="inlineStr">
        <is>
          <t>KAZ</t>
        </is>
      </c>
      <c r="FP178" t="inlineStr">
        <is>
          <t>KAZ</t>
        </is>
      </c>
      <c r="FQ178" t="inlineStr">
        <is>
          <t>KAZ</t>
        </is>
      </c>
      <c r="FR178" t="inlineStr">
        <is>
          <t>KAZ</t>
        </is>
      </c>
      <c r="FS178" t="inlineStr">
        <is>
          <t>KAZ</t>
        </is>
      </c>
      <c r="FT178" t="inlineStr">
        <is>
          <t>KAZ</t>
        </is>
      </c>
      <c r="FU178" t="inlineStr">
        <is>
          <t>KAZ</t>
        </is>
      </c>
      <c r="FV178" t="inlineStr">
        <is>
          <t>KAZ</t>
        </is>
      </c>
      <c r="FW178" t="inlineStr">
        <is>
          <t>KAZ</t>
        </is>
      </c>
      <c r="FX178" t="inlineStr">
        <is>
          <t>KAZ</t>
        </is>
      </c>
      <c r="FY178" t="inlineStr">
        <is>
          <t>KAZ</t>
        </is>
      </c>
      <c r="FZ178" t="inlineStr">
        <is>
          <t>KAZ</t>
        </is>
      </c>
      <c r="GA178" t="inlineStr">
        <is>
          <t>KAZ</t>
        </is>
      </c>
      <c r="GB178" t="inlineStr">
        <is>
          <t>KAZ</t>
        </is>
      </c>
      <c r="GC178" t="inlineStr">
        <is>
          <t>KAZ</t>
        </is>
      </c>
      <c r="GD178" t="inlineStr">
        <is>
          <t>KAZ</t>
        </is>
      </c>
      <c r="GE178" t="inlineStr">
        <is>
          <t>KAZ</t>
        </is>
      </c>
      <c r="GF178" t="inlineStr">
        <is>
          <t>KAZ</t>
        </is>
      </c>
      <c r="GG178" t="inlineStr">
        <is>
          <t>KAZ</t>
        </is>
      </c>
      <c r="GH178" t="inlineStr">
        <is>
          <t>KAZ</t>
        </is>
      </c>
      <c r="GI178" t="inlineStr">
        <is>
          <t>KAZ</t>
        </is>
      </c>
      <c r="GJ178" t="inlineStr">
        <is>
          <t>KAZ</t>
        </is>
      </c>
      <c r="GK178" t="inlineStr">
        <is>
          <t>KAZ</t>
        </is>
      </c>
      <c r="GL178" t="inlineStr">
        <is>
          <t>KAZ</t>
        </is>
      </c>
      <c r="GM178" t="inlineStr">
        <is>
          <t>KAZ</t>
        </is>
      </c>
      <c r="GN178" t="inlineStr">
        <is>
          <t>KAZ</t>
        </is>
      </c>
      <c r="GO178" t="inlineStr">
        <is>
          <t>KAZ</t>
        </is>
      </c>
      <c r="GP178" t="inlineStr">
        <is>
          <t>KAZ</t>
        </is>
      </c>
      <c r="GQ178" t="inlineStr">
        <is>
          <t>KAZ</t>
        </is>
      </c>
      <c r="GR178" t="inlineStr">
        <is>
          <t>KAZ</t>
        </is>
      </c>
      <c r="GS178" t="inlineStr">
        <is>
          <t>KAZ</t>
        </is>
      </c>
      <c r="GT178" t="inlineStr">
        <is>
          <t>KAZ</t>
        </is>
      </c>
      <c r="GU178" t="inlineStr">
        <is>
          <t>KAZ</t>
        </is>
      </c>
      <c r="GV178" t="inlineStr">
        <is>
          <t>KAZ</t>
        </is>
      </c>
      <c r="GW178" t="inlineStr">
        <is>
          <t>KAZ</t>
        </is>
      </c>
      <c r="GX178" t="inlineStr">
        <is>
          <t>KAZ</t>
        </is>
      </c>
      <c r="GY178" t="inlineStr">
        <is>
          <t>KAZ</t>
        </is>
      </c>
      <c r="GZ178" t="inlineStr">
        <is>
          <t>KAZ</t>
        </is>
      </c>
      <c r="HA178" t="inlineStr">
        <is>
          <t>KAZ</t>
        </is>
      </c>
      <c r="HB178" t="inlineStr">
        <is>
          <t>KAZ</t>
        </is>
      </c>
      <c r="HC178" t="inlineStr">
        <is>
          <t>KAZ</t>
        </is>
      </c>
      <c r="HD178" t="inlineStr">
        <is>
          <t>KAZ</t>
        </is>
      </c>
      <c r="HE178" t="inlineStr">
        <is>
          <t>KAZ</t>
        </is>
      </c>
      <c r="HF178" t="inlineStr">
        <is>
          <t>KAZ</t>
        </is>
      </c>
      <c r="HG178" t="inlineStr">
        <is>
          <t>KAZ</t>
        </is>
      </c>
      <c r="HH178" t="inlineStr">
        <is>
          <t>KAZ</t>
        </is>
      </c>
      <c r="HI178" t="inlineStr">
        <is>
          <t>KAZ</t>
        </is>
      </c>
      <c r="HJ178" t="inlineStr">
        <is>
          <t>KAZ</t>
        </is>
      </c>
      <c r="HK178" t="inlineStr">
        <is>
          <t>KAZ</t>
        </is>
      </c>
      <c r="HL178" t="inlineStr">
        <is>
          <t>KAZ</t>
        </is>
      </c>
      <c r="HM178" t="inlineStr">
        <is>
          <t>KAZ</t>
        </is>
      </c>
      <c r="HN178" t="inlineStr">
        <is>
          <t>KAZ</t>
        </is>
      </c>
      <c r="HO178" t="inlineStr">
        <is>
          <t>KAZ</t>
        </is>
      </c>
      <c r="HP178" t="inlineStr">
        <is>
          <t>KAZ</t>
        </is>
      </c>
      <c r="HQ178" t="inlineStr">
        <is>
          <t>KAZ</t>
        </is>
      </c>
      <c r="HR178" t="inlineStr">
        <is>
          <t>KAZ</t>
        </is>
      </c>
      <c r="HS178" t="inlineStr">
        <is>
          <t>KAZ</t>
        </is>
      </c>
      <c r="HT178" t="inlineStr">
        <is>
          <t>KAZ</t>
        </is>
      </c>
      <c r="HU178" t="inlineStr">
        <is>
          <t>KAZ</t>
        </is>
      </c>
      <c r="HV178" t="inlineStr">
        <is>
          <t>KAZ</t>
        </is>
      </c>
      <c r="HW178" t="inlineStr">
        <is>
          <t>KAZ</t>
        </is>
      </c>
      <c r="HX178" t="inlineStr">
        <is>
          <t>KAZ</t>
        </is>
      </c>
      <c r="HY178" t="inlineStr">
        <is>
          <t>KAZ</t>
        </is>
      </c>
      <c r="HZ178" t="inlineStr">
        <is>
          <t>CHN</t>
        </is>
      </c>
      <c r="IA178" t="inlineStr">
        <is>
          <t>CHN</t>
        </is>
      </c>
      <c r="IB178" t="inlineStr">
        <is>
          <t>CHN</t>
        </is>
      </c>
      <c r="IC178" t="inlineStr">
        <is>
          <t>CHN</t>
        </is>
      </c>
      <c r="ID178" t="inlineStr">
        <is>
          <t>CHN</t>
        </is>
      </c>
      <c r="IE178" t="inlineStr">
        <is>
          <t>MNG</t>
        </is>
      </c>
      <c r="IF178" t="inlineStr">
        <is>
          <t>MNG</t>
        </is>
      </c>
      <c r="IG178" t="inlineStr">
        <is>
          <t>MNG</t>
        </is>
      </c>
      <c r="IH178" t="inlineStr">
        <is>
          <t>MNG</t>
        </is>
      </c>
      <c r="II178" t="inlineStr">
        <is>
          <t>MNG</t>
        </is>
      </c>
      <c r="IJ178" t="inlineStr">
        <is>
          <t>MNG</t>
        </is>
      </c>
      <c r="IK178" t="inlineStr">
        <is>
          <t>MNG</t>
        </is>
      </c>
      <c r="IL178" t="inlineStr">
        <is>
          <t>MNG</t>
        </is>
      </c>
      <c r="IM178" t="inlineStr">
        <is>
          <t>MNG</t>
        </is>
      </c>
      <c r="IN178" t="inlineStr">
        <is>
          <t>MNG</t>
        </is>
      </c>
      <c r="IO178" t="inlineStr">
        <is>
          <t>MNG</t>
        </is>
      </c>
      <c r="IP178" t="inlineStr">
        <is>
          <t>MNG</t>
        </is>
      </c>
      <c r="IQ178" t="inlineStr">
        <is>
          <t>MNG</t>
        </is>
      </c>
      <c r="IR178" t="inlineStr">
        <is>
          <t>MNG</t>
        </is>
      </c>
      <c r="IS178" t="inlineStr">
        <is>
          <t>MNG</t>
        </is>
      </c>
      <c r="IT178" t="inlineStr">
        <is>
          <t>MNG</t>
        </is>
      </c>
      <c r="IU178" t="inlineStr">
        <is>
          <t>MNG</t>
        </is>
      </c>
      <c r="IV178" t="inlineStr">
        <is>
          <t>MNG</t>
        </is>
      </c>
      <c r="IW178" t="inlineStr">
        <is>
          <t>MNG</t>
        </is>
      </c>
      <c r="IX178" t="inlineStr">
        <is>
          <t>MNG</t>
        </is>
      </c>
      <c r="IY178" t="inlineStr">
        <is>
          <t>MNG</t>
        </is>
      </c>
      <c r="IZ178" t="inlineStr">
        <is>
          <t>MNG</t>
        </is>
      </c>
      <c r="JA178" t="inlineStr">
        <is>
          <t>MNG</t>
        </is>
      </c>
      <c r="JB178" t="inlineStr">
        <is>
          <t>MNG</t>
        </is>
      </c>
      <c r="JC178" t="inlineStr">
        <is>
          <t>MNG</t>
        </is>
      </c>
      <c r="JD178" t="inlineStr">
        <is>
          <t>MNG</t>
        </is>
      </c>
      <c r="JE178" t="inlineStr">
        <is>
          <t>MNG</t>
        </is>
      </c>
      <c r="JF178" t="inlineStr">
        <is>
          <t>MNG</t>
        </is>
      </c>
      <c r="JG178" t="inlineStr">
        <is>
          <t>MNG</t>
        </is>
      </c>
      <c r="JH178" t="inlineStr">
        <is>
          <t>MNG</t>
        </is>
      </c>
      <c r="JI178" t="inlineStr">
        <is>
          <t>MNG</t>
        </is>
      </c>
      <c r="JJ178" t="inlineStr">
        <is>
          <t>MNG</t>
        </is>
      </c>
      <c r="JK178" t="inlineStr">
        <is>
          <t>MNG</t>
        </is>
      </c>
      <c r="JL178" t="inlineStr">
        <is>
          <t>MNG</t>
        </is>
      </c>
      <c r="JM178" t="inlineStr">
        <is>
          <t>MNG</t>
        </is>
      </c>
      <c r="JN178" t="inlineStr">
        <is>
          <t>MNG</t>
        </is>
      </c>
      <c r="JO178" t="inlineStr">
        <is>
          <t>MNG</t>
        </is>
      </c>
      <c r="JP178" t="inlineStr">
        <is>
          <t>MNG</t>
        </is>
      </c>
      <c r="JQ178" t="inlineStr">
        <is>
          <t>MNG</t>
        </is>
      </c>
      <c r="JR178" t="inlineStr">
        <is>
          <t>MNG</t>
        </is>
      </c>
      <c r="JS178" t="inlineStr">
        <is>
          <t>MNG</t>
        </is>
      </c>
      <c r="JT178" t="inlineStr">
        <is>
          <t>MNG</t>
        </is>
      </c>
      <c r="JU178" t="inlineStr">
        <is>
          <t>MNG</t>
        </is>
      </c>
    </row>
    <row r="179">
      <c r="BB179" t="inlineStr">
        <is>
          <t>FRA</t>
        </is>
      </c>
      <c r="BC179" t="inlineStr">
        <is>
          <t>FRA</t>
        </is>
      </c>
      <c r="BD179" t="inlineStr">
        <is>
          <t>FRA</t>
        </is>
      </c>
      <c r="BG179" t="inlineStr">
        <is>
          <t>FRA</t>
        </is>
      </c>
      <c r="BH179" t="inlineStr">
        <is>
          <t>FRA</t>
        </is>
      </c>
      <c r="BI179" t="inlineStr">
        <is>
          <t>FRA</t>
        </is>
      </c>
      <c r="BJ179" t="inlineStr">
        <is>
          <t>FRA</t>
        </is>
      </c>
      <c r="BK179" t="inlineStr">
        <is>
          <t>FRA</t>
        </is>
      </c>
      <c r="BL179" t="inlineStr">
        <is>
          <t>FRA</t>
        </is>
      </c>
      <c r="BM179" t="inlineStr">
        <is>
          <t>FRA</t>
        </is>
      </c>
      <c r="BN179" t="inlineStr">
        <is>
          <t>FRA</t>
        </is>
      </c>
      <c r="BO179" t="inlineStr">
        <is>
          <t>FRA</t>
        </is>
      </c>
      <c r="BP179" t="inlineStr">
        <is>
          <t>FRA</t>
        </is>
      </c>
      <c r="BQ179" t="inlineStr">
        <is>
          <t>FRA</t>
        </is>
      </c>
      <c r="BR179" t="inlineStr">
        <is>
          <t>FRA</t>
        </is>
      </c>
      <c r="BS179" t="inlineStr">
        <is>
          <t>FRA</t>
        </is>
      </c>
      <c r="BT179" t="inlineStr">
        <is>
          <t>FRA</t>
        </is>
      </c>
      <c r="BU179" t="inlineStr">
        <is>
          <t>FRA</t>
        </is>
      </c>
      <c r="BV179" t="inlineStr">
        <is>
          <t>FRA</t>
        </is>
      </c>
      <c r="BW179" t="inlineStr">
        <is>
          <t>FRA</t>
        </is>
      </c>
      <c r="BX179" t="inlineStr">
        <is>
          <t>FRA</t>
        </is>
      </c>
      <c r="BY179" t="inlineStr">
        <is>
          <t>FRA</t>
        </is>
      </c>
      <c r="BZ179" t="inlineStr">
        <is>
          <t>DEU</t>
        </is>
      </c>
      <c r="CA179" t="inlineStr">
        <is>
          <t>DEU</t>
        </is>
      </c>
      <c r="CB179" t="inlineStr">
        <is>
          <t>DEU</t>
        </is>
      </c>
      <c r="CC179" t="inlineStr">
        <is>
          <t>DEU</t>
        </is>
      </c>
      <c r="CD179" t="inlineStr">
        <is>
          <t>DEU</t>
        </is>
      </c>
      <c r="CE179" t="inlineStr">
        <is>
          <t>DEU</t>
        </is>
      </c>
      <c r="CF179" t="inlineStr">
        <is>
          <t>DEU</t>
        </is>
      </c>
      <c r="CG179" t="inlineStr">
        <is>
          <t>DEU</t>
        </is>
      </c>
      <c r="CH179" t="inlineStr">
        <is>
          <t>DEU</t>
        </is>
      </c>
      <c r="CI179" t="inlineStr">
        <is>
          <t>DEU</t>
        </is>
      </c>
      <c r="CJ179" t="inlineStr">
        <is>
          <t>DEU</t>
        </is>
      </c>
      <c r="CK179" t="inlineStr">
        <is>
          <t>AUT</t>
        </is>
      </c>
      <c r="CL179" t="inlineStr">
        <is>
          <t>CZE</t>
        </is>
      </c>
      <c r="CM179" t="inlineStr">
        <is>
          <t>AUT</t>
        </is>
      </c>
      <c r="CN179" t="inlineStr">
        <is>
          <t>AUT</t>
        </is>
      </c>
      <c r="CO179" t="inlineStr">
        <is>
          <t>AUT</t>
        </is>
      </c>
      <c r="CP179" t="inlineStr">
        <is>
          <t>AUT</t>
        </is>
      </c>
      <c r="CQ179" t="inlineStr">
        <is>
          <t>CZE</t>
        </is>
      </c>
      <c r="CR179" t="inlineStr">
        <is>
          <t>SVK</t>
        </is>
      </c>
      <c r="CS179" t="inlineStr">
        <is>
          <t>SVK</t>
        </is>
      </c>
      <c r="CT179" t="inlineStr">
        <is>
          <t>SVK</t>
        </is>
      </c>
      <c r="CU179" t="inlineStr">
        <is>
          <t>SVK</t>
        </is>
      </c>
      <c r="CV179" t="inlineStr">
        <is>
          <t>SVK</t>
        </is>
      </c>
      <c r="CW179" t="inlineStr">
        <is>
          <t>SVK</t>
        </is>
      </c>
      <c r="CX179" t="inlineStr">
        <is>
          <t>SVK</t>
        </is>
      </c>
      <c r="CY179" t="inlineStr">
        <is>
          <t>SVK</t>
        </is>
      </c>
      <c r="CZ179" t="inlineStr">
        <is>
          <t>SVK</t>
        </is>
      </c>
      <c r="DA179" t="inlineStr">
        <is>
          <t>SVK</t>
        </is>
      </c>
      <c r="DB179" t="inlineStr">
        <is>
          <t>UKR</t>
        </is>
      </c>
      <c r="DC179" t="inlineStr">
        <is>
          <t>UKR</t>
        </is>
      </c>
      <c r="DD179" t="inlineStr">
        <is>
          <t>UKR</t>
        </is>
      </c>
      <c r="DE179" t="inlineStr">
        <is>
          <t>UKR</t>
        </is>
      </c>
      <c r="DF179" t="inlineStr">
        <is>
          <t>UKR</t>
        </is>
      </c>
      <c r="DG179" t="inlineStr">
        <is>
          <t>UKR</t>
        </is>
      </c>
      <c r="DH179" t="inlineStr">
        <is>
          <t>UKR</t>
        </is>
      </c>
      <c r="DI179" t="inlineStr">
        <is>
          <t>UKR</t>
        </is>
      </c>
      <c r="DJ179" t="inlineStr">
        <is>
          <t>UKR</t>
        </is>
      </c>
      <c r="DK179" t="inlineStr">
        <is>
          <t>UKR</t>
        </is>
      </c>
      <c r="DL179" t="inlineStr">
        <is>
          <t>UKR</t>
        </is>
      </c>
      <c r="DM179" t="inlineStr">
        <is>
          <t>UKR</t>
        </is>
      </c>
      <c r="DN179" t="inlineStr">
        <is>
          <t>UKR</t>
        </is>
      </c>
      <c r="DO179" t="inlineStr">
        <is>
          <t>UKR</t>
        </is>
      </c>
      <c r="DP179" t="inlineStr">
        <is>
          <t>UKR</t>
        </is>
      </c>
      <c r="DQ179" t="inlineStr">
        <is>
          <t>UKR</t>
        </is>
      </c>
      <c r="DR179" t="inlineStr">
        <is>
          <t>UKR</t>
        </is>
      </c>
      <c r="DS179" t="inlineStr">
        <is>
          <t>UKR</t>
        </is>
      </c>
      <c r="DT179" t="inlineStr">
        <is>
          <t>UKR</t>
        </is>
      </c>
      <c r="DU179" t="inlineStr">
        <is>
          <t>UKR</t>
        </is>
      </c>
      <c r="DV179" t="inlineStr">
        <is>
          <t>UKR</t>
        </is>
      </c>
      <c r="DW179" t="inlineStr">
        <is>
          <t>UKR</t>
        </is>
      </c>
      <c r="DX179" t="inlineStr">
        <is>
          <t>UKR</t>
        </is>
      </c>
      <c r="DY179" t="inlineStr">
        <is>
          <t>UKR</t>
        </is>
      </c>
      <c r="DZ179" t="inlineStr">
        <is>
          <t>UKR</t>
        </is>
      </c>
      <c r="EA179" t="inlineStr">
        <is>
          <t>UKR</t>
        </is>
      </c>
      <c r="EB179" t="inlineStr">
        <is>
          <t>UKR</t>
        </is>
      </c>
      <c r="EC179" t="inlineStr">
        <is>
          <t>UKR</t>
        </is>
      </c>
      <c r="ED179" t="inlineStr">
        <is>
          <t>UKR</t>
        </is>
      </c>
      <c r="EE179" t="inlineStr">
        <is>
          <t>UKR</t>
        </is>
      </c>
      <c r="EF179" t="inlineStr">
        <is>
          <t>UKR</t>
        </is>
      </c>
      <c r="EG179" t="inlineStr">
        <is>
          <t>UKR</t>
        </is>
      </c>
      <c r="EH179" t="inlineStr">
        <is>
          <t>UKR</t>
        </is>
      </c>
      <c r="EI179" t="inlineStr">
        <is>
          <t>UKR</t>
        </is>
      </c>
      <c r="EJ179" t="inlineStr">
        <is>
          <t>UKR</t>
        </is>
      </c>
      <c r="EK179" t="inlineStr">
        <is>
          <t>RUS</t>
        </is>
      </c>
      <c r="EL179" t="inlineStr">
        <is>
          <t>RUS</t>
        </is>
      </c>
      <c r="EM179" t="inlineStr">
        <is>
          <t>RUS</t>
        </is>
      </c>
      <c r="EN179" t="inlineStr">
        <is>
          <t>RUS</t>
        </is>
      </c>
      <c r="EO179" t="inlineStr">
        <is>
          <t>RUS</t>
        </is>
      </c>
      <c r="EP179" t="inlineStr">
        <is>
          <t>RUS</t>
        </is>
      </c>
      <c r="EQ179" t="inlineStr">
        <is>
          <t>RUS</t>
        </is>
      </c>
      <c r="ER179" t="inlineStr">
        <is>
          <t>RUS</t>
        </is>
      </c>
      <c r="ES179" t="inlineStr">
        <is>
          <t>RUS</t>
        </is>
      </c>
      <c r="ET179" t="inlineStr">
        <is>
          <t>RUS</t>
        </is>
      </c>
      <c r="EU179" t="inlineStr">
        <is>
          <t>RUS</t>
        </is>
      </c>
      <c r="EV179" t="inlineStr">
        <is>
          <t>RUS</t>
        </is>
      </c>
      <c r="EW179" t="inlineStr">
        <is>
          <t>RUS</t>
        </is>
      </c>
      <c r="EX179" t="inlineStr">
        <is>
          <t>RUS</t>
        </is>
      </c>
      <c r="EY179" t="inlineStr">
        <is>
          <t>KAZ</t>
        </is>
      </c>
      <c r="EZ179" t="inlineStr">
        <is>
          <t>KAZ</t>
        </is>
      </c>
      <c r="FA179" t="inlineStr">
        <is>
          <t>KAZ</t>
        </is>
      </c>
      <c r="FB179" t="inlineStr">
        <is>
          <t>KAZ</t>
        </is>
      </c>
      <c r="FC179" t="inlineStr">
        <is>
          <t>KAZ</t>
        </is>
      </c>
      <c r="FD179" t="inlineStr">
        <is>
          <t>KAZ</t>
        </is>
      </c>
      <c r="FE179" t="inlineStr">
        <is>
          <t>KAZ</t>
        </is>
      </c>
      <c r="FF179" t="inlineStr">
        <is>
          <t>KAZ</t>
        </is>
      </c>
      <c r="FG179" t="inlineStr">
        <is>
          <t>KAZ</t>
        </is>
      </c>
      <c r="FH179" t="inlineStr">
        <is>
          <t>KAZ</t>
        </is>
      </c>
      <c r="FI179" t="inlineStr">
        <is>
          <t>KAZ</t>
        </is>
      </c>
      <c r="FJ179" t="inlineStr">
        <is>
          <t>KAZ</t>
        </is>
      </c>
      <c r="FK179" t="inlineStr">
        <is>
          <t>KAZ</t>
        </is>
      </c>
      <c r="FL179" t="inlineStr">
        <is>
          <t>KAZ</t>
        </is>
      </c>
      <c r="FM179" t="inlineStr">
        <is>
          <t>KAZ</t>
        </is>
      </c>
      <c r="FN179" t="inlineStr">
        <is>
          <t>KAZ</t>
        </is>
      </c>
      <c r="FO179" t="inlineStr">
        <is>
          <t>KAZ</t>
        </is>
      </c>
      <c r="FP179" t="inlineStr">
        <is>
          <t>KAZ</t>
        </is>
      </c>
      <c r="FQ179" t="inlineStr">
        <is>
          <t>KAZ</t>
        </is>
      </c>
      <c r="FR179" t="inlineStr">
        <is>
          <t>KAZ</t>
        </is>
      </c>
      <c r="FS179" t="inlineStr">
        <is>
          <t>KAZ</t>
        </is>
      </c>
      <c r="FT179" t="inlineStr">
        <is>
          <t>KAZ</t>
        </is>
      </c>
      <c r="FU179" t="inlineStr">
        <is>
          <t>KAZ</t>
        </is>
      </c>
      <c r="FV179" t="inlineStr">
        <is>
          <t>KAZ</t>
        </is>
      </c>
      <c r="FW179" t="inlineStr">
        <is>
          <t>KAZ</t>
        </is>
      </c>
      <c r="FX179" t="inlineStr">
        <is>
          <t>KAZ</t>
        </is>
      </c>
      <c r="FY179" t="inlineStr">
        <is>
          <t>KAZ</t>
        </is>
      </c>
      <c r="FZ179" t="inlineStr">
        <is>
          <t>KAZ</t>
        </is>
      </c>
      <c r="GA179" t="inlineStr">
        <is>
          <t>KAZ</t>
        </is>
      </c>
      <c r="GB179" t="inlineStr">
        <is>
          <t>KAZ</t>
        </is>
      </c>
      <c r="GC179" t="inlineStr">
        <is>
          <t>KAZ</t>
        </is>
      </c>
      <c r="GD179" t="inlineStr">
        <is>
          <t>KAZ</t>
        </is>
      </c>
      <c r="GE179" t="inlineStr">
        <is>
          <t>KAZ</t>
        </is>
      </c>
      <c r="GF179" t="inlineStr">
        <is>
          <t>KAZ</t>
        </is>
      </c>
      <c r="GG179" t="inlineStr">
        <is>
          <t>KAZ</t>
        </is>
      </c>
      <c r="GH179" t="inlineStr">
        <is>
          <t>KAZ</t>
        </is>
      </c>
      <c r="GI179" t="inlineStr">
        <is>
          <t>KAZ</t>
        </is>
      </c>
      <c r="GJ179" t="inlineStr">
        <is>
          <t>KAZ</t>
        </is>
      </c>
      <c r="GK179" t="inlineStr">
        <is>
          <t>KAZ</t>
        </is>
      </c>
      <c r="GL179" t="inlineStr">
        <is>
          <t>KAZ</t>
        </is>
      </c>
      <c r="GM179" t="inlineStr">
        <is>
          <t>KAZ</t>
        </is>
      </c>
      <c r="GN179" t="inlineStr">
        <is>
          <t>KAZ</t>
        </is>
      </c>
      <c r="GO179" t="inlineStr">
        <is>
          <t>KAZ</t>
        </is>
      </c>
      <c r="GP179" t="inlineStr">
        <is>
          <t>KAZ</t>
        </is>
      </c>
      <c r="GQ179" t="inlineStr">
        <is>
          <t>KAZ</t>
        </is>
      </c>
      <c r="GR179" t="inlineStr">
        <is>
          <t>KAZ</t>
        </is>
      </c>
      <c r="GS179" t="inlineStr">
        <is>
          <t>KAZ</t>
        </is>
      </c>
      <c r="GT179" t="inlineStr">
        <is>
          <t>KAZ</t>
        </is>
      </c>
      <c r="GU179" t="inlineStr">
        <is>
          <t>KAZ</t>
        </is>
      </c>
      <c r="GV179" t="inlineStr">
        <is>
          <t>KAZ</t>
        </is>
      </c>
      <c r="GW179" t="inlineStr">
        <is>
          <t>KAZ</t>
        </is>
      </c>
      <c r="GX179" t="inlineStr">
        <is>
          <t>KAZ</t>
        </is>
      </c>
      <c r="GY179" t="inlineStr">
        <is>
          <t>KAZ</t>
        </is>
      </c>
      <c r="GZ179" t="inlineStr">
        <is>
          <t>KAZ</t>
        </is>
      </c>
      <c r="HA179" t="inlineStr">
        <is>
          <t>KAZ</t>
        </is>
      </c>
      <c r="HB179" t="inlineStr">
        <is>
          <t>KAZ</t>
        </is>
      </c>
      <c r="HC179" t="inlineStr">
        <is>
          <t>KAZ</t>
        </is>
      </c>
      <c r="HD179" t="inlineStr">
        <is>
          <t>KAZ</t>
        </is>
      </c>
      <c r="HE179" t="inlineStr">
        <is>
          <t>KAZ</t>
        </is>
      </c>
      <c r="HF179" t="inlineStr">
        <is>
          <t>KAZ</t>
        </is>
      </c>
      <c r="HG179" t="inlineStr">
        <is>
          <t>KAZ</t>
        </is>
      </c>
      <c r="HH179" t="inlineStr">
        <is>
          <t>KAZ</t>
        </is>
      </c>
      <c r="HI179" t="inlineStr">
        <is>
          <t>KAZ</t>
        </is>
      </c>
      <c r="HJ179" t="inlineStr">
        <is>
          <t>KAZ</t>
        </is>
      </c>
      <c r="HK179" t="inlineStr">
        <is>
          <t>KAZ</t>
        </is>
      </c>
      <c r="HL179" t="inlineStr">
        <is>
          <t>KAZ</t>
        </is>
      </c>
      <c r="HM179" t="inlineStr">
        <is>
          <t>KAZ</t>
        </is>
      </c>
      <c r="HN179" t="inlineStr">
        <is>
          <t>KAZ</t>
        </is>
      </c>
      <c r="HO179" t="inlineStr">
        <is>
          <t>KAZ</t>
        </is>
      </c>
      <c r="HP179" t="inlineStr">
        <is>
          <t>KAZ</t>
        </is>
      </c>
      <c r="HQ179" t="inlineStr">
        <is>
          <t>KAZ</t>
        </is>
      </c>
      <c r="HR179" t="inlineStr">
        <is>
          <t>KAZ</t>
        </is>
      </c>
      <c r="HS179" t="inlineStr">
        <is>
          <t>KAZ</t>
        </is>
      </c>
      <c r="HT179" t="inlineStr">
        <is>
          <t>KAZ</t>
        </is>
      </c>
      <c r="HU179" t="inlineStr">
        <is>
          <t>KAZ</t>
        </is>
      </c>
      <c r="HV179" t="inlineStr">
        <is>
          <t>KAZ</t>
        </is>
      </c>
      <c r="HW179" t="inlineStr">
        <is>
          <t>KAZ</t>
        </is>
      </c>
      <c r="HX179" t="inlineStr">
        <is>
          <t>KAZ</t>
        </is>
      </c>
      <c r="HY179" t="inlineStr">
        <is>
          <t>KAZ</t>
        </is>
      </c>
      <c r="HZ179" t="inlineStr">
        <is>
          <t>KAZ</t>
        </is>
      </c>
      <c r="IA179" t="inlineStr">
        <is>
          <t>KAZ</t>
        </is>
      </c>
      <c r="IB179" t="inlineStr">
        <is>
          <t>CHN</t>
        </is>
      </c>
      <c r="IC179" t="inlineStr">
        <is>
          <t>CHN</t>
        </is>
      </c>
      <c r="ID179" t="inlineStr">
        <is>
          <t>MNG</t>
        </is>
      </c>
      <c r="IE179" t="inlineStr">
        <is>
          <t>MNG</t>
        </is>
      </c>
      <c r="IF179" t="inlineStr">
        <is>
          <t>MNG</t>
        </is>
      </c>
      <c r="IG179" t="inlineStr">
        <is>
          <t>MNG</t>
        </is>
      </c>
      <c r="IH179" t="inlineStr">
        <is>
          <t>MNG</t>
        </is>
      </c>
      <c r="II179" t="inlineStr">
        <is>
          <t>MNG</t>
        </is>
      </c>
      <c r="IJ179" t="inlineStr">
        <is>
          <t>MNG</t>
        </is>
      </c>
      <c r="IK179" t="inlineStr">
        <is>
          <t>MNG</t>
        </is>
      </c>
      <c r="IL179" t="inlineStr">
        <is>
          <t>MNG</t>
        </is>
      </c>
      <c r="IM179" t="inlineStr">
        <is>
          <t>MNG</t>
        </is>
      </c>
      <c r="IN179" t="inlineStr">
        <is>
          <t>MNG</t>
        </is>
      </c>
      <c r="IO179" t="inlineStr">
        <is>
          <t>MNG</t>
        </is>
      </c>
      <c r="IP179" t="inlineStr">
        <is>
          <t>MNG</t>
        </is>
      </c>
      <c r="IQ179" t="inlineStr">
        <is>
          <t>MNG</t>
        </is>
      </c>
      <c r="IR179" t="inlineStr">
        <is>
          <t>MNG</t>
        </is>
      </c>
      <c r="IS179" t="inlineStr">
        <is>
          <t>MNG</t>
        </is>
      </c>
      <c r="IT179" t="inlineStr">
        <is>
          <t>MNG</t>
        </is>
      </c>
      <c r="IU179" t="inlineStr">
        <is>
          <t>MNG</t>
        </is>
      </c>
      <c r="IV179" t="inlineStr">
        <is>
          <t>MNG</t>
        </is>
      </c>
      <c r="IW179" t="inlineStr">
        <is>
          <t>MNG</t>
        </is>
      </c>
      <c r="IX179" t="inlineStr">
        <is>
          <t>MNG</t>
        </is>
      </c>
      <c r="IY179" t="inlineStr">
        <is>
          <t>MNG</t>
        </is>
      </c>
      <c r="IZ179" t="inlineStr">
        <is>
          <t>MNG</t>
        </is>
      </c>
      <c r="JA179" t="inlineStr">
        <is>
          <t>MNG</t>
        </is>
      </c>
      <c r="JB179" t="inlineStr">
        <is>
          <t>MNG</t>
        </is>
      </c>
      <c r="JC179" t="inlineStr">
        <is>
          <t>MNG</t>
        </is>
      </c>
      <c r="JD179" t="inlineStr">
        <is>
          <t>MNG</t>
        </is>
      </c>
      <c r="JE179" t="inlineStr">
        <is>
          <t>MNG</t>
        </is>
      </c>
      <c r="JF179" t="inlineStr">
        <is>
          <t>MNG</t>
        </is>
      </c>
      <c r="JG179" t="inlineStr">
        <is>
          <t>MNG</t>
        </is>
      </c>
      <c r="JH179" t="inlineStr">
        <is>
          <t>MNG</t>
        </is>
      </c>
      <c r="JI179" t="inlineStr">
        <is>
          <t>MNG</t>
        </is>
      </c>
      <c r="JJ179" t="inlineStr">
        <is>
          <t>MNG</t>
        </is>
      </c>
      <c r="JK179" t="inlineStr">
        <is>
          <t>MNG</t>
        </is>
      </c>
      <c r="JL179" t="inlineStr">
        <is>
          <t>MNG</t>
        </is>
      </c>
      <c r="JM179" t="inlineStr">
        <is>
          <t>MNG</t>
        </is>
      </c>
      <c r="JN179" t="inlineStr">
        <is>
          <t>MNG</t>
        </is>
      </c>
      <c r="JO179" t="inlineStr">
        <is>
          <t>MNG</t>
        </is>
      </c>
      <c r="JP179" t="inlineStr">
        <is>
          <t>MNG</t>
        </is>
      </c>
      <c r="JQ179" t="inlineStr">
        <is>
          <t>MNG</t>
        </is>
      </c>
      <c r="JR179" t="inlineStr">
        <is>
          <t>MNG</t>
        </is>
      </c>
      <c r="JS179" t="inlineStr">
        <is>
          <t>MNG</t>
        </is>
      </c>
      <c r="JT179" t="inlineStr">
        <is>
          <t>MNG</t>
        </is>
      </c>
      <c r="JU179" t="inlineStr">
        <is>
          <t>MNG</t>
        </is>
      </c>
    </row>
    <row r="180">
      <c r="BF180" t="inlineStr">
        <is>
          <t>FRA</t>
        </is>
      </c>
      <c r="BG180" t="inlineStr">
        <is>
          <t>FRA</t>
        </is>
      </c>
      <c r="BH180" t="inlineStr">
        <is>
          <t>FRA</t>
        </is>
      </c>
      <c r="BI180" t="inlineStr">
        <is>
          <t>FRA</t>
        </is>
      </c>
      <c r="BJ180" t="inlineStr">
        <is>
          <t>FRA</t>
        </is>
      </c>
      <c r="BK180" t="inlineStr">
        <is>
          <t>FRA</t>
        </is>
      </c>
      <c r="BL180" t="inlineStr">
        <is>
          <t>FRA</t>
        </is>
      </c>
      <c r="BM180" t="inlineStr">
        <is>
          <t>FRA</t>
        </is>
      </c>
      <c r="BN180" t="inlineStr">
        <is>
          <t>FRA</t>
        </is>
      </c>
      <c r="BO180" t="inlineStr">
        <is>
          <t>FRA</t>
        </is>
      </c>
      <c r="BP180" t="inlineStr">
        <is>
          <t>FRA</t>
        </is>
      </c>
      <c r="BQ180" t="inlineStr">
        <is>
          <t>FRA</t>
        </is>
      </c>
      <c r="BR180" t="inlineStr">
        <is>
          <t>FRA</t>
        </is>
      </c>
      <c r="BS180" t="inlineStr">
        <is>
          <t>FRA</t>
        </is>
      </c>
      <c r="BT180" t="inlineStr">
        <is>
          <t>FRA</t>
        </is>
      </c>
      <c r="BU180" t="inlineStr">
        <is>
          <t>FRA</t>
        </is>
      </c>
      <c r="BV180" t="inlineStr">
        <is>
          <t>FRA</t>
        </is>
      </c>
      <c r="BW180" t="inlineStr">
        <is>
          <t>DEU</t>
        </is>
      </c>
      <c r="BX180" t="inlineStr">
        <is>
          <t>DEU</t>
        </is>
      </c>
      <c r="BY180" t="inlineStr">
        <is>
          <t>DEU</t>
        </is>
      </c>
      <c r="BZ180" t="inlineStr">
        <is>
          <t>DEU</t>
        </is>
      </c>
      <c r="CA180" t="inlineStr">
        <is>
          <t>DEU</t>
        </is>
      </c>
      <c r="CB180" t="inlineStr">
        <is>
          <t>DEU</t>
        </is>
      </c>
      <c r="CC180" t="inlineStr">
        <is>
          <t>DEU</t>
        </is>
      </c>
      <c r="CD180" t="inlineStr">
        <is>
          <t>DEU</t>
        </is>
      </c>
      <c r="CE180" t="inlineStr">
        <is>
          <t>DEU</t>
        </is>
      </c>
      <c r="CF180" t="inlineStr">
        <is>
          <t>DEU</t>
        </is>
      </c>
      <c r="CG180" t="inlineStr">
        <is>
          <t>DEU</t>
        </is>
      </c>
      <c r="CH180" t="inlineStr">
        <is>
          <t>DEU</t>
        </is>
      </c>
      <c r="CI180" t="inlineStr">
        <is>
          <t>DEU</t>
        </is>
      </c>
      <c r="CJ180" t="inlineStr">
        <is>
          <t>CZE</t>
        </is>
      </c>
      <c r="CK180" t="inlineStr">
        <is>
          <t>CZE</t>
        </is>
      </c>
      <c r="CL180" t="inlineStr">
        <is>
          <t>CZE</t>
        </is>
      </c>
      <c r="CM180" t="inlineStr">
        <is>
          <t>CZE</t>
        </is>
      </c>
      <c r="CN180" t="inlineStr">
        <is>
          <t>CZE</t>
        </is>
      </c>
      <c r="CO180" t="inlineStr">
        <is>
          <t>CZE</t>
        </is>
      </c>
      <c r="CP180" t="inlineStr">
        <is>
          <t>CZE</t>
        </is>
      </c>
      <c r="CQ180" t="inlineStr">
        <is>
          <t>CZE</t>
        </is>
      </c>
      <c r="CR180" t="inlineStr">
        <is>
          <t>CZE</t>
        </is>
      </c>
      <c r="CS180" t="inlineStr">
        <is>
          <t>CZE</t>
        </is>
      </c>
      <c r="CT180" t="inlineStr">
        <is>
          <t>SVK</t>
        </is>
      </c>
      <c r="CU180" t="inlineStr">
        <is>
          <t>SVK</t>
        </is>
      </c>
      <c r="CV180" t="inlineStr">
        <is>
          <t>SVK</t>
        </is>
      </c>
      <c r="CW180" t="inlineStr">
        <is>
          <t>SVK</t>
        </is>
      </c>
      <c r="CX180" t="inlineStr">
        <is>
          <t>SVK</t>
        </is>
      </c>
      <c r="CY180" t="inlineStr">
        <is>
          <t>SVK</t>
        </is>
      </c>
      <c r="CZ180" t="inlineStr">
        <is>
          <t>SVK</t>
        </is>
      </c>
      <c r="DA180" t="inlineStr">
        <is>
          <t>SVK</t>
        </is>
      </c>
      <c r="DB180" t="inlineStr">
        <is>
          <t>POL</t>
        </is>
      </c>
      <c r="DC180" t="inlineStr">
        <is>
          <t>UKR</t>
        </is>
      </c>
      <c r="DD180" t="inlineStr">
        <is>
          <t>UKR</t>
        </is>
      </c>
      <c r="DE180" t="inlineStr">
        <is>
          <t>UKR</t>
        </is>
      </c>
      <c r="DF180" t="inlineStr">
        <is>
          <t>UKR</t>
        </is>
      </c>
      <c r="DG180" t="inlineStr">
        <is>
          <t>UKR</t>
        </is>
      </c>
      <c r="DH180" t="inlineStr">
        <is>
          <t>UKR</t>
        </is>
      </c>
      <c r="DI180" t="inlineStr">
        <is>
          <t>UKR</t>
        </is>
      </c>
      <c r="DJ180" t="inlineStr">
        <is>
          <t>UKR</t>
        </is>
      </c>
      <c r="DK180" t="inlineStr">
        <is>
          <t>UKR</t>
        </is>
      </c>
      <c r="DL180" t="inlineStr">
        <is>
          <t>UKR</t>
        </is>
      </c>
      <c r="DM180" t="inlineStr">
        <is>
          <t>UKR</t>
        </is>
      </c>
      <c r="DN180" t="inlineStr">
        <is>
          <t>UKR</t>
        </is>
      </c>
      <c r="DO180" t="inlineStr">
        <is>
          <t>UKR</t>
        </is>
      </c>
      <c r="DP180" t="inlineStr">
        <is>
          <t>UKR</t>
        </is>
      </c>
      <c r="DQ180" t="inlineStr">
        <is>
          <t>UKR</t>
        </is>
      </c>
      <c r="DR180" t="inlineStr">
        <is>
          <t>UKR</t>
        </is>
      </c>
      <c r="DS180" t="inlineStr">
        <is>
          <t>UKR</t>
        </is>
      </c>
      <c r="DT180" t="inlineStr">
        <is>
          <t>UKR</t>
        </is>
      </c>
      <c r="DU180" t="inlineStr">
        <is>
          <t>UKR</t>
        </is>
      </c>
      <c r="DV180" t="inlineStr">
        <is>
          <t>UKR</t>
        </is>
      </c>
      <c r="DW180" t="inlineStr">
        <is>
          <t>UKR</t>
        </is>
      </c>
      <c r="DX180" t="inlineStr">
        <is>
          <t>UKR</t>
        </is>
      </c>
      <c r="DY180" t="inlineStr">
        <is>
          <t>UKR</t>
        </is>
      </c>
      <c r="DZ180" t="inlineStr">
        <is>
          <t>UKR</t>
        </is>
      </c>
      <c r="EA180" t="inlineStr">
        <is>
          <t>UKR</t>
        </is>
      </c>
      <c r="EB180" t="inlineStr">
        <is>
          <t>UKR</t>
        </is>
      </c>
      <c r="EC180" t="inlineStr">
        <is>
          <t>UKR</t>
        </is>
      </c>
      <c r="ED180" t="inlineStr">
        <is>
          <t>UKR</t>
        </is>
      </c>
      <c r="EE180" t="inlineStr">
        <is>
          <t>UKR</t>
        </is>
      </c>
      <c r="EF180" t="inlineStr">
        <is>
          <t>UKR</t>
        </is>
      </c>
      <c r="EG180" t="inlineStr">
        <is>
          <t>UKR</t>
        </is>
      </c>
      <c r="EH180" t="inlineStr">
        <is>
          <t>UKR</t>
        </is>
      </c>
      <c r="EI180" t="inlineStr">
        <is>
          <t>UKR</t>
        </is>
      </c>
      <c r="EJ180" t="inlineStr">
        <is>
          <t>UKR</t>
        </is>
      </c>
      <c r="EK180" t="inlineStr">
        <is>
          <t>UKR</t>
        </is>
      </c>
      <c r="EL180" t="inlineStr">
        <is>
          <t>RUS</t>
        </is>
      </c>
      <c r="EM180" t="inlineStr">
        <is>
          <t>RUS</t>
        </is>
      </c>
      <c r="EN180" t="inlineStr">
        <is>
          <t>RUS</t>
        </is>
      </c>
      <c r="EO180" t="inlineStr">
        <is>
          <t>RUS</t>
        </is>
      </c>
      <c r="EP180" t="inlineStr">
        <is>
          <t>RUS</t>
        </is>
      </c>
      <c r="EQ180" t="inlineStr">
        <is>
          <t>RUS</t>
        </is>
      </c>
      <c r="ER180" t="inlineStr">
        <is>
          <t>RUS</t>
        </is>
      </c>
      <c r="ES180" t="inlineStr">
        <is>
          <t>RUS</t>
        </is>
      </c>
      <c r="ET180" t="inlineStr">
        <is>
          <t>RUS</t>
        </is>
      </c>
      <c r="EU180" t="inlineStr">
        <is>
          <t>RUS</t>
        </is>
      </c>
      <c r="EV180" t="inlineStr">
        <is>
          <t>RUS</t>
        </is>
      </c>
      <c r="EW180" t="inlineStr">
        <is>
          <t>RUS</t>
        </is>
      </c>
      <c r="EX180" t="inlineStr">
        <is>
          <t>RUS</t>
        </is>
      </c>
      <c r="EY180" t="inlineStr">
        <is>
          <t>RUS</t>
        </is>
      </c>
      <c r="EZ180" t="inlineStr">
        <is>
          <t>KAZ</t>
        </is>
      </c>
      <c r="FA180" t="inlineStr">
        <is>
          <t>KAZ</t>
        </is>
      </c>
      <c r="FB180" t="inlineStr">
        <is>
          <t>KAZ</t>
        </is>
      </c>
      <c r="FC180" t="inlineStr">
        <is>
          <t>KAZ</t>
        </is>
      </c>
      <c r="FD180" t="inlineStr">
        <is>
          <t>KAZ</t>
        </is>
      </c>
      <c r="FE180" t="inlineStr">
        <is>
          <t>KAZ</t>
        </is>
      </c>
      <c r="FF180" t="inlineStr">
        <is>
          <t>KAZ</t>
        </is>
      </c>
      <c r="FG180" t="inlineStr">
        <is>
          <t>KAZ</t>
        </is>
      </c>
      <c r="FH180" t="inlineStr">
        <is>
          <t>KAZ</t>
        </is>
      </c>
      <c r="FI180" t="inlineStr">
        <is>
          <t>KAZ</t>
        </is>
      </c>
      <c r="FJ180" t="inlineStr">
        <is>
          <t>KAZ</t>
        </is>
      </c>
      <c r="FK180" t="inlineStr">
        <is>
          <t>KAZ</t>
        </is>
      </c>
      <c r="FL180" t="inlineStr">
        <is>
          <t>KAZ</t>
        </is>
      </c>
      <c r="FM180" t="inlineStr">
        <is>
          <t>KAZ</t>
        </is>
      </c>
      <c r="FN180" t="inlineStr">
        <is>
          <t>KAZ</t>
        </is>
      </c>
      <c r="FO180" t="inlineStr">
        <is>
          <t>KAZ</t>
        </is>
      </c>
      <c r="FP180" t="inlineStr">
        <is>
          <t>KAZ</t>
        </is>
      </c>
      <c r="FQ180" t="inlineStr">
        <is>
          <t>KAZ</t>
        </is>
      </c>
      <c r="FR180" t="inlineStr">
        <is>
          <t>KAZ</t>
        </is>
      </c>
      <c r="FS180" t="inlineStr">
        <is>
          <t>KAZ</t>
        </is>
      </c>
      <c r="FT180" t="inlineStr">
        <is>
          <t>KAZ</t>
        </is>
      </c>
      <c r="FU180" t="inlineStr">
        <is>
          <t>KAZ</t>
        </is>
      </c>
      <c r="FV180" t="inlineStr">
        <is>
          <t>KAZ</t>
        </is>
      </c>
      <c r="FW180" t="inlineStr">
        <is>
          <t>KAZ</t>
        </is>
      </c>
      <c r="FX180" t="inlineStr">
        <is>
          <t>KAZ</t>
        </is>
      </c>
      <c r="FY180" t="inlineStr">
        <is>
          <t>KAZ</t>
        </is>
      </c>
      <c r="FZ180" t="inlineStr">
        <is>
          <t>KAZ</t>
        </is>
      </c>
      <c r="GA180" t="inlineStr">
        <is>
          <t>KAZ</t>
        </is>
      </c>
      <c r="GB180" t="inlineStr">
        <is>
          <t>KAZ</t>
        </is>
      </c>
      <c r="GC180" t="inlineStr">
        <is>
          <t>KAZ</t>
        </is>
      </c>
      <c r="GD180" t="inlineStr">
        <is>
          <t>KAZ</t>
        </is>
      </c>
      <c r="GE180" t="inlineStr">
        <is>
          <t>KAZ</t>
        </is>
      </c>
      <c r="GF180" t="inlineStr">
        <is>
          <t>KAZ</t>
        </is>
      </c>
      <c r="GG180" t="inlineStr">
        <is>
          <t>KAZ</t>
        </is>
      </c>
      <c r="GH180" t="inlineStr">
        <is>
          <t>KAZ</t>
        </is>
      </c>
      <c r="GI180" t="inlineStr">
        <is>
          <t>KAZ</t>
        </is>
      </c>
      <c r="GJ180" t="inlineStr">
        <is>
          <t>KAZ</t>
        </is>
      </c>
      <c r="GK180" t="inlineStr">
        <is>
          <t>KAZ</t>
        </is>
      </c>
      <c r="GL180" t="inlineStr">
        <is>
          <t>KAZ</t>
        </is>
      </c>
      <c r="GM180" t="inlineStr">
        <is>
          <t>KAZ</t>
        </is>
      </c>
      <c r="GN180" t="inlineStr">
        <is>
          <t>KAZ</t>
        </is>
      </c>
      <c r="GO180" t="inlineStr">
        <is>
          <t>KAZ</t>
        </is>
      </c>
      <c r="GP180" t="inlineStr">
        <is>
          <t>KAZ</t>
        </is>
      </c>
      <c r="GQ180" t="inlineStr">
        <is>
          <t>KAZ</t>
        </is>
      </c>
      <c r="GR180" t="inlineStr">
        <is>
          <t>KAZ</t>
        </is>
      </c>
      <c r="GS180" t="inlineStr">
        <is>
          <t>KAZ</t>
        </is>
      </c>
      <c r="GT180" t="inlineStr">
        <is>
          <t>KAZ</t>
        </is>
      </c>
      <c r="GU180" t="inlineStr">
        <is>
          <t>KAZ</t>
        </is>
      </c>
      <c r="GV180" t="inlineStr">
        <is>
          <t>KAZ</t>
        </is>
      </c>
      <c r="GW180" t="inlineStr">
        <is>
          <t>KAZ</t>
        </is>
      </c>
      <c r="GX180" t="inlineStr">
        <is>
          <t>KAZ</t>
        </is>
      </c>
      <c r="GY180" t="inlineStr">
        <is>
          <t>KAZ</t>
        </is>
      </c>
      <c r="GZ180" t="inlineStr">
        <is>
          <t>KAZ</t>
        </is>
      </c>
      <c r="HA180" t="inlineStr">
        <is>
          <t>KAZ</t>
        </is>
      </c>
      <c r="HB180" t="inlineStr">
        <is>
          <t>KAZ</t>
        </is>
      </c>
      <c r="HC180" t="inlineStr">
        <is>
          <t>KAZ</t>
        </is>
      </c>
      <c r="HD180" t="inlineStr">
        <is>
          <t>KAZ</t>
        </is>
      </c>
      <c r="HE180" t="inlineStr">
        <is>
          <t>KAZ</t>
        </is>
      </c>
      <c r="HF180" t="inlineStr">
        <is>
          <t>KAZ</t>
        </is>
      </c>
      <c r="HG180" t="inlineStr">
        <is>
          <t>KAZ</t>
        </is>
      </c>
      <c r="HH180" t="inlineStr">
        <is>
          <t>KAZ</t>
        </is>
      </c>
      <c r="HI180" t="inlineStr">
        <is>
          <t>KAZ</t>
        </is>
      </c>
      <c r="HJ180" t="inlineStr">
        <is>
          <t>KAZ</t>
        </is>
      </c>
      <c r="HK180" t="inlineStr">
        <is>
          <t>KAZ</t>
        </is>
      </c>
      <c r="HL180" t="inlineStr">
        <is>
          <t>KAZ</t>
        </is>
      </c>
      <c r="HM180" t="inlineStr">
        <is>
          <t>KAZ</t>
        </is>
      </c>
      <c r="HN180" t="inlineStr">
        <is>
          <t>KAZ</t>
        </is>
      </c>
      <c r="HO180" t="inlineStr">
        <is>
          <t>KAZ</t>
        </is>
      </c>
      <c r="HP180" t="inlineStr">
        <is>
          <t>KAZ</t>
        </is>
      </c>
      <c r="HQ180" t="inlineStr">
        <is>
          <t>KAZ</t>
        </is>
      </c>
      <c r="HR180" t="inlineStr">
        <is>
          <t>KAZ</t>
        </is>
      </c>
      <c r="HS180" t="inlineStr">
        <is>
          <t>KAZ</t>
        </is>
      </c>
      <c r="HT180" t="inlineStr">
        <is>
          <t>KAZ</t>
        </is>
      </c>
      <c r="HU180" t="inlineStr">
        <is>
          <t>KAZ</t>
        </is>
      </c>
      <c r="HV180" t="inlineStr">
        <is>
          <t>KAZ</t>
        </is>
      </c>
      <c r="HW180" t="inlineStr">
        <is>
          <t>KAZ</t>
        </is>
      </c>
      <c r="HX180" t="inlineStr">
        <is>
          <t>KAZ</t>
        </is>
      </c>
      <c r="HY180" t="inlineStr">
        <is>
          <t>KAZ</t>
        </is>
      </c>
      <c r="HZ180" t="inlineStr">
        <is>
          <t>KAZ</t>
        </is>
      </c>
      <c r="IA180" t="inlineStr">
        <is>
          <t>KAZ</t>
        </is>
      </c>
      <c r="IB180" t="inlineStr">
        <is>
          <t>KAZ</t>
        </is>
      </c>
      <c r="IC180" t="inlineStr">
        <is>
          <t>CHN</t>
        </is>
      </c>
      <c r="ID180" t="inlineStr">
        <is>
          <t>MNG</t>
        </is>
      </c>
      <c r="IE180" t="inlineStr">
        <is>
          <t>MNG</t>
        </is>
      </c>
      <c r="IF180" t="inlineStr">
        <is>
          <t>MNG</t>
        </is>
      </c>
      <c r="IG180" t="inlineStr">
        <is>
          <t>MNG</t>
        </is>
      </c>
      <c r="IH180" t="inlineStr">
        <is>
          <t>MNG</t>
        </is>
      </c>
      <c r="II180" t="inlineStr">
        <is>
          <t>MNG</t>
        </is>
      </c>
      <c r="IJ180" t="inlineStr">
        <is>
          <t>MNG</t>
        </is>
      </c>
      <c r="IK180" t="inlineStr">
        <is>
          <t>MNG</t>
        </is>
      </c>
      <c r="IL180" t="inlineStr">
        <is>
          <t>MNG</t>
        </is>
      </c>
      <c r="IM180" t="inlineStr">
        <is>
          <t>MNG</t>
        </is>
      </c>
      <c r="IN180" t="inlineStr">
        <is>
          <t>MNG</t>
        </is>
      </c>
      <c r="IO180" t="inlineStr">
        <is>
          <t>MNG</t>
        </is>
      </c>
      <c r="IP180" t="inlineStr">
        <is>
          <t>MNG</t>
        </is>
      </c>
      <c r="IQ180" t="inlineStr">
        <is>
          <t>MNG</t>
        </is>
      </c>
      <c r="IR180" t="inlineStr">
        <is>
          <t>MNG</t>
        </is>
      </c>
      <c r="IS180" t="inlineStr">
        <is>
          <t>MNG</t>
        </is>
      </c>
      <c r="IT180" t="inlineStr">
        <is>
          <t>MNG</t>
        </is>
      </c>
      <c r="IU180" t="inlineStr">
        <is>
          <t>MNG</t>
        </is>
      </c>
      <c r="IV180" t="inlineStr">
        <is>
          <t>MNG</t>
        </is>
      </c>
      <c r="IW180" t="inlineStr">
        <is>
          <t>MNG</t>
        </is>
      </c>
      <c r="IX180" t="inlineStr">
        <is>
          <t>MNG</t>
        </is>
      </c>
      <c r="IY180" t="inlineStr">
        <is>
          <t>MNG</t>
        </is>
      </c>
      <c r="IZ180" t="inlineStr">
        <is>
          <t>MNG</t>
        </is>
      </c>
      <c r="JA180" t="inlineStr">
        <is>
          <t>MNG</t>
        </is>
      </c>
      <c r="JB180" t="inlineStr">
        <is>
          <t>MNG</t>
        </is>
      </c>
      <c r="JC180" t="inlineStr">
        <is>
          <t>MNG</t>
        </is>
      </c>
      <c r="JD180" t="inlineStr">
        <is>
          <t>MNG</t>
        </is>
      </c>
      <c r="JE180" t="inlineStr">
        <is>
          <t>MNG</t>
        </is>
      </c>
      <c r="JF180" t="inlineStr">
        <is>
          <t>MNG</t>
        </is>
      </c>
      <c r="JG180" t="inlineStr">
        <is>
          <t>MNG</t>
        </is>
      </c>
      <c r="JH180" t="inlineStr">
        <is>
          <t>MNG</t>
        </is>
      </c>
      <c r="JI180" t="inlineStr">
        <is>
          <t>MNG</t>
        </is>
      </c>
      <c r="JJ180" t="inlineStr">
        <is>
          <t>MNG</t>
        </is>
      </c>
      <c r="JK180" t="inlineStr">
        <is>
          <t>MNG</t>
        </is>
      </c>
      <c r="JL180" t="inlineStr">
        <is>
          <t>MNG</t>
        </is>
      </c>
      <c r="JM180" t="inlineStr">
        <is>
          <t>MNG</t>
        </is>
      </c>
      <c r="JN180" t="inlineStr">
        <is>
          <t>MNG</t>
        </is>
      </c>
      <c r="JO180" t="inlineStr">
        <is>
          <t>MNG</t>
        </is>
      </c>
      <c r="JP180" t="inlineStr">
        <is>
          <t>MNG</t>
        </is>
      </c>
      <c r="JQ180" t="inlineStr">
        <is>
          <t>MNG</t>
        </is>
      </c>
      <c r="JR180" t="inlineStr">
        <is>
          <t>MNG</t>
        </is>
      </c>
      <c r="JS180" t="inlineStr">
        <is>
          <t>MNG</t>
        </is>
      </c>
      <c r="JT180" t="inlineStr">
        <is>
          <t>MNG</t>
        </is>
      </c>
      <c r="JU180" t="inlineStr">
        <is>
          <t>RUS</t>
        </is>
      </c>
    </row>
    <row r="181">
      <c r="BJ181" t="inlineStr">
        <is>
          <t>FRA</t>
        </is>
      </c>
      <c r="BK181" t="inlineStr">
        <is>
          <t>FRA</t>
        </is>
      </c>
      <c r="BL181" t="inlineStr">
        <is>
          <t>FRA</t>
        </is>
      </c>
      <c r="BM181" t="inlineStr">
        <is>
          <t>FRA</t>
        </is>
      </c>
      <c r="BN181" t="inlineStr">
        <is>
          <t>FRA</t>
        </is>
      </c>
      <c r="BO181" t="inlineStr">
        <is>
          <t>FRA</t>
        </is>
      </c>
      <c r="BP181" t="inlineStr">
        <is>
          <t>FRA</t>
        </is>
      </c>
      <c r="BQ181" t="inlineStr">
        <is>
          <t>FRA</t>
        </is>
      </c>
      <c r="BR181" t="inlineStr">
        <is>
          <t>FRA</t>
        </is>
      </c>
      <c r="BS181" t="inlineStr">
        <is>
          <t>FRA</t>
        </is>
      </c>
      <c r="BT181" t="inlineStr">
        <is>
          <t>FRA</t>
        </is>
      </c>
      <c r="BU181" t="inlineStr">
        <is>
          <t>LUX</t>
        </is>
      </c>
      <c r="BV181" t="inlineStr">
        <is>
          <t>DEU</t>
        </is>
      </c>
      <c r="BW181" t="inlineStr">
        <is>
          <t>DEU</t>
        </is>
      </c>
      <c r="BX181" t="inlineStr">
        <is>
          <t>DEU</t>
        </is>
      </c>
      <c r="BY181" t="inlineStr">
        <is>
          <t>DEU</t>
        </is>
      </c>
      <c r="BZ181" t="inlineStr">
        <is>
          <t>DEU</t>
        </is>
      </c>
      <c r="CA181" t="inlineStr">
        <is>
          <t>DEU</t>
        </is>
      </c>
      <c r="CB181" t="inlineStr">
        <is>
          <t>DEU</t>
        </is>
      </c>
      <c r="CC181" t="inlineStr">
        <is>
          <t>DEU</t>
        </is>
      </c>
      <c r="CD181" t="inlineStr">
        <is>
          <t>DEU</t>
        </is>
      </c>
      <c r="CE181" t="inlineStr">
        <is>
          <t>DEU</t>
        </is>
      </c>
      <c r="CF181" t="inlineStr">
        <is>
          <t>DEU</t>
        </is>
      </c>
      <c r="CG181" t="inlineStr">
        <is>
          <t>DEU</t>
        </is>
      </c>
      <c r="CH181" t="inlineStr">
        <is>
          <t>DEU</t>
        </is>
      </c>
      <c r="CI181" t="inlineStr">
        <is>
          <t>CZE</t>
        </is>
      </c>
      <c r="CJ181" t="inlineStr">
        <is>
          <t>CZE</t>
        </is>
      </c>
      <c r="CK181" t="inlineStr">
        <is>
          <t>CZE</t>
        </is>
      </c>
      <c r="CL181" t="inlineStr">
        <is>
          <t>CZE</t>
        </is>
      </c>
      <c r="CM181" t="inlineStr">
        <is>
          <t>CZE</t>
        </is>
      </c>
      <c r="CN181" t="inlineStr">
        <is>
          <t>CZE</t>
        </is>
      </c>
      <c r="CO181" t="inlineStr">
        <is>
          <t>CZE</t>
        </is>
      </c>
      <c r="CP181" t="inlineStr">
        <is>
          <t>CZE</t>
        </is>
      </c>
      <c r="CQ181" t="inlineStr">
        <is>
          <t>CZE</t>
        </is>
      </c>
      <c r="CR181" t="inlineStr">
        <is>
          <t>CZE</t>
        </is>
      </c>
      <c r="CS181" t="inlineStr">
        <is>
          <t>CZE</t>
        </is>
      </c>
      <c r="CT181" t="inlineStr">
        <is>
          <t>CZE</t>
        </is>
      </c>
      <c r="CU181" t="inlineStr">
        <is>
          <t>POL</t>
        </is>
      </c>
      <c r="CV181" t="inlineStr">
        <is>
          <t>POL</t>
        </is>
      </c>
      <c r="CW181" t="inlineStr">
        <is>
          <t>POL</t>
        </is>
      </c>
      <c r="CX181" t="inlineStr">
        <is>
          <t>POL</t>
        </is>
      </c>
      <c r="CY181" t="inlineStr">
        <is>
          <t>POL</t>
        </is>
      </c>
      <c r="CZ181" t="inlineStr">
        <is>
          <t>POL</t>
        </is>
      </c>
      <c r="DA181" t="inlineStr">
        <is>
          <t>POL</t>
        </is>
      </c>
      <c r="DB181" t="inlineStr">
        <is>
          <t>POL</t>
        </is>
      </c>
      <c r="DC181" t="inlineStr">
        <is>
          <t>POL</t>
        </is>
      </c>
      <c r="DD181" t="inlineStr">
        <is>
          <t>UKR</t>
        </is>
      </c>
      <c r="DE181" t="inlineStr">
        <is>
          <t>UKR</t>
        </is>
      </c>
      <c r="DF181" t="inlineStr">
        <is>
          <t>UKR</t>
        </is>
      </c>
      <c r="DG181" t="inlineStr">
        <is>
          <t>UKR</t>
        </is>
      </c>
      <c r="DH181" t="inlineStr">
        <is>
          <t>UKR</t>
        </is>
      </c>
      <c r="DI181" t="inlineStr">
        <is>
          <t>UKR</t>
        </is>
      </c>
      <c r="DJ181" t="inlineStr">
        <is>
          <t>UKR</t>
        </is>
      </c>
      <c r="DK181" t="inlineStr">
        <is>
          <t>UKR</t>
        </is>
      </c>
      <c r="DL181" t="inlineStr">
        <is>
          <t>UKR</t>
        </is>
      </c>
      <c r="DM181" t="inlineStr">
        <is>
          <t>UKR</t>
        </is>
      </c>
      <c r="DN181" t="inlineStr">
        <is>
          <t>UKR</t>
        </is>
      </c>
      <c r="DO181" t="inlineStr">
        <is>
          <t>UKR</t>
        </is>
      </c>
      <c r="DP181" t="inlineStr">
        <is>
          <t>UKR</t>
        </is>
      </c>
      <c r="DQ181" t="inlineStr">
        <is>
          <t>UKR</t>
        </is>
      </c>
      <c r="DR181" t="inlineStr">
        <is>
          <t>UKR</t>
        </is>
      </c>
      <c r="DS181" t="inlineStr">
        <is>
          <t>UKR</t>
        </is>
      </c>
      <c r="DT181" t="inlineStr">
        <is>
          <t>UKR</t>
        </is>
      </c>
      <c r="DU181" t="inlineStr">
        <is>
          <t>UKR</t>
        </is>
      </c>
      <c r="DV181" t="inlineStr">
        <is>
          <t>UKR</t>
        </is>
      </c>
      <c r="DW181" t="inlineStr">
        <is>
          <t>UKR</t>
        </is>
      </c>
      <c r="DX181" t="inlineStr">
        <is>
          <t>UKR</t>
        </is>
      </c>
      <c r="DY181" t="inlineStr">
        <is>
          <t>UKR</t>
        </is>
      </c>
      <c r="DZ181" t="inlineStr">
        <is>
          <t>UKR</t>
        </is>
      </c>
      <c r="EA181" t="inlineStr">
        <is>
          <t>UKR</t>
        </is>
      </c>
      <c r="EB181" t="inlineStr">
        <is>
          <t>UKR</t>
        </is>
      </c>
      <c r="EC181" t="inlineStr">
        <is>
          <t>UKR</t>
        </is>
      </c>
      <c r="ED181" t="inlineStr">
        <is>
          <t>UKR</t>
        </is>
      </c>
      <c r="EE181" t="inlineStr">
        <is>
          <t>UKR</t>
        </is>
      </c>
      <c r="EF181" t="inlineStr">
        <is>
          <t>UKR</t>
        </is>
      </c>
      <c r="EG181" t="inlineStr">
        <is>
          <t>UKR</t>
        </is>
      </c>
      <c r="EH181" t="inlineStr">
        <is>
          <t>UKR</t>
        </is>
      </c>
      <c r="EI181" t="inlineStr">
        <is>
          <t>UKR</t>
        </is>
      </c>
      <c r="EJ181" t="inlineStr">
        <is>
          <t>UKR</t>
        </is>
      </c>
      <c r="EK181" t="inlineStr">
        <is>
          <t>RUS</t>
        </is>
      </c>
      <c r="EL181" t="inlineStr">
        <is>
          <t>RUS</t>
        </is>
      </c>
      <c r="EM181" t="inlineStr">
        <is>
          <t>RUS</t>
        </is>
      </c>
      <c r="EN181" t="inlineStr">
        <is>
          <t>RUS</t>
        </is>
      </c>
      <c r="EO181" t="inlineStr">
        <is>
          <t>RUS</t>
        </is>
      </c>
      <c r="EP181" t="inlineStr">
        <is>
          <t>RUS</t>
        </is>
      </c>
      <c r="EQ181" t="inlineStr">
        <is>
          <t>RUS</t>
        </is>
      </c>
      <c r="ER181" t="inlineStr">
        <is>
          <t>RUS</t>
        </is>
      </c>
      <c r="ES181" t="inlineStr">
        <is>
          <t>RUS</t>
        </is>
      </c>
      <c r="ET181" t="inlineStr">
        <is>
          <t>RUS</t>
        </is>
      </c>
      <c r="EU181" t="inlineStr">
        <is>
          <t>RUS</t>
        </is>
      </c>
      <c r="EV181" t="inlineStr">
        <is>
          <t>RUS</t>
        </is>
      </c>
      <c r="EW181" t="inlineStr">
        <is>
          <t>RUS</t>
        </is>
      </c>
      <c r="EX181" t="inlineStr">
        <is>
          <t>RUS</t>
        </is>
      </c>
      <c r="EY181" t="inlineStr">
        <is>
          <t>RUS</t>
        </is>
      </c>
      <c r="EZ181" t="inlineStr">
        <is>
          <t>KAZ</t>
        </is>
      </c>
      <c r="FA181" t="inlineStr">
        <is>
          <t>KAZ</t>
        </is>
      </c>
      <c r="FB181" t="inlineStr">
        <is>
          <t>KAZ</t>
        </is>
      </c>
      <c r="FC181" t="inlineStr">
        <is>
          <t>KAZ</t>
        </is>
      </c>
      <c r="FD181" t="inlineStr">
        <is>
          <t>KAZ</t>
        </is>
      </c>
      <c r="FE181" t="inlineStr">
        <is>
          <t>KAZ</t>
        </is>
      </c>
      <c r="FF181" t="inlineStr">
        <is>
          <t>KAZ</t>
        </is>
      </c>
      <c r="FG181" t="inlineStr">
        <is>
          <t>KAZ</t>
        </is>
      </c>
      <c r="FH181" t="inlineStr">
        <is>
          <t>KAZ</t>
        </is>
      </c>
      <c r="FI181" t="inlineStr">
        <is>
          <t>KAZ</t>
        </is>
      </c>
      <c r="FJ181" t="inlineStr">
        <is>
          <t>KAZ</t>
        </is>
      </c>
      <c r="FK181" t="inlineStr">
        <is>
          <t>KAZ</t>
        </is>
      </c>
      <c r="FL181" t="inlineStr">
        <is>
          <t>KAZ</t>
        </is>
      </c>
      <c r="FM181" t="inlineStr">
        <is>
          <t>KAZ</t>
        </is>
      </c>
      <c r="FN181" t="inlineStr">
        <is>
          <t>KAZ</t>
        </is>
      </c>
      <c r="FO181" t="inlineStr">
        <is>
          <t>KAZ</t>
        </is>
      </c>
      <c r="FP181" t="inlineStr">
        <is>
          <t>KAZ</t>
        </is>
      </c>
      <c r="FQ181" t="inlineStr">
        <is>
          <t>KAZ</t>
        </is>
      </c>
      <c r="FR181" t="inlineStr">
        <is>
          <t>KAZ</t>
        </is>
      </c>
      <c r="FS181" t="inlineStr">
        <is>
          <t>KAZ</t>
        </is>
      </c>
      <c r="FT181" t="inlineStr">
        <is>
          <t>KAZ</t>
        </is>
      </c>
      <c r="FU181" t="inlineStr">
        <is>
          <t>KAZ</t>
        </is>
      </c>
      <c r="FV181" t="inlineStr">
        <is>
          <t>KAZ</t>
        </is>
      </c>
      <c r="FW181" t="inlineStr">
        <is>
          <t>KAZ</t>
        </is>
      </c>
      <c r="FX181" t="inlineStr">
        <is>
          <t>KAZ</t>
        </is>
      </c>
      <c r="FY181" t="inlineStr">
        <is>
          <t>KAZ</t>
        </is>
      </c>
      <c r="FZ181" t="inlineStr">
        <is>
          <t>KAZ</t>
        </is>
      </c>
      <c r="GA181" t="inlineStr">
        <is>
          <t>KAZ</t>
        </is>
      </c>
      <c r="GB181" t="inlineStr">
        <is>
          <t>KAZ</t>
        </is>
      </c>
      <c r="GC181" t="inlineStr">
        <is>
          <t>KAZ</t>
        </is>
      </c>
      <c r="GD181" t="inlineStr">
        <is>
          <t>KAZ</t>
        </is>
      </c>
      <c r="GE181" t="inlineStr">
        <is>
          <t>KAZ</t>
        </is>
      </c>
      <c r="GF181" t="inlineStr">
        <is>
          <t>KAZ</t>
        </is>
      </c>
      <c r="GG181" t="inlineStr">
        <is>
          <t>KAZ</t>
        </is>
      </c>
      <c r="GH181" t="inlineStr">
        <is>
          <t>KAZ</t>
        </is>
      </c>
      <c r="GI181" t="inlineStr">
        <is>
          <t>KAZ</t>
        </is>
      </c>
      <c r="GJ181" t="inlineStr">
        <is>
          <t>KAZ</t>
        </is>
      </c>
      <c r="GK181" t="inlineStr">
        <is>
          <t>KAZ</t>
        </is>
      </c>
      <c r="GL181" t="inlineStr">
        <is>
          <t>KAZ</t>
        </is>
      </c>
      <c r="GM181" t="inlineStr">
        <is>
          <t>KAZ</t>
        </is>
      </c>
      <c r="GN181" t="inlineStr">
        <is>
          <t>KAZ</t>
        </is>
      </c>
      <c r="GO181" t="inlineStr">
        <is>
          <t>KAZ</t>
        </is>
      </c>
      <c r="GP181" t="inlineStr">
        <is>
          <t>KAZ</t>
        </is>
      </c>
      <c r="GQ181" t="inlineStr">
        <is>
          <t>KAZ</t>
        </is>
      </c>
      <c r="GR181" t="inlineStr">
        <is>
          <t>KAZ</t>
        </is>
      </c>
      <c r="GS181" t="inlineStr">
        <is>
          <t>KAZ</t>
        </is>
      </c>
      <c r="GT181" t="inlineStr">
        <is>
          <t>KAZ</t>
        </is>
      </c>
      <c r="GU181" t="inlineStr">
        <is>
          <t>KAZ</t>
        </is>
      </c>
      <c r="GV181" t="inlineStr">
        <is>
          <t>KAZ</t>
        </is>
      </c>
      <c r="GW181" t="inlineStr">
        <is>
          <t>KAZ</t>
        </is>
      </c>
      <c r="GX181" t="inlineStr">
        <is>
          <t>KAZ</t>
        </is>
      </c>
      <c r="GY181" t="inlineStr">
        <is>
          <t>KAZ</t>
        </is>
      </c>
      <c r="GZ181" t="inlineStr">
        <is>
          <t>KAZ</t>
        </is>
      </c>
      <c r="HA181" t="inlineStr">
        <is>
          <t>KAZ</t>
        </is>
      </c>
      <c r="HB181" t="inlineStr">
        <is>
          <t>KAZ</t>
        </is>
      </c>
      <c r="HC181" t="inlineStr">
        <is>
          <t>KAZ</t>
        </is>
      </c>
      <c r="HD181" t="inlineStr">
        <is>
          <t>KAZ</t>
        </is>
      </c>
      <c r="HE181" t="inlineStr">
        <is>
          <t>KAZ</t>
        </is>
      </c>
      <c r="HF181" t="inlineStr">
        <is>
          <t>KAZ</t>
        </is>
      </c>
      <c r="HG181" t="inlineStr">
        <is>
          <t>KAZ</t>
        </is>
      </c>
      <c r="HH181" t="inlineStr">
        <is>
          <t>KAZ</t>
        </is>
      </c>
      <c r="HI181" t="inlineStr">
        <is>
          <t>KAZ</t>
        </is>
      </c>
      <c r="HJ181" t="inlineStr">
        <is>
          <t>KAZ</t>
        </is>
      </c>
      <c r="HK181" t="inlineStr">
        <is>
          <t>KAZ</t>
        </is>
      </c>
      <c r="HL181" t="inlineStr">
        <is>
          <t>KAZ</t>
        </is>
      </c>
      <c r="HM181" t="inlineStr">
        <is>
          <t>KAZ</t>
        </is>
      </c>
      <c r="HN181" t="inlineStr">
        <is>
          <t>KAZ</t>
        </is>
      </c>
      <c r="HO181" t="inlineStr">
        <is>
          <t>KAZ</t>
        </is>
      </c>
      <c r="HP181" t="inlineStr">
        <is>
          <t>KAZ</t>
        </is>
      </c>
      <c r="HQ181" t="inlineStr">
        <is>
          <t>KAZ</t>
        </is>
      </c>
      <c r="HR181" t="inlineStr">
        <is>
          <t>KAZ</t>
        </is>
      </c>
      <c r="HS181" t="inlineStr">
        <is>
          <t>KAZ</t>
        </is>
      </c>
      <c r="HT181" t="inlineStr">
        <is>
          <t>KAZ</t>
        </is>
      </c>
      <c r="HU181" t="inlineStr">
        <is>
          <t>KAZ</t>
        </is>
      </c>
      <c r="HV181" t="inlineStr">
        <is>
          <t>KAZ</t>
        </is>
      </c>
      <c r="HW181" t="inlineStr">
        <is>
          <t>KAZ</t>
        </is>
      </c>
      <c r="HX181" t="inlineStr">
        <is>
          <t>KAZ</t>
        </is>
      </c>
      <c r="HY181" t="inlineStr">
        <is>
          <t>RUS</t>
        </is>
      </c>
      <c r="HZ181" t="inlineStr">
        <is>
          <t>KAZ</t>
        </is>
      </c>
      <c r="IA181" t="inlineStr">
        <is>
          <t>KAZ</t>
        </is>
      </c>
      <c r="IB181" t="inlineStr">
        <is>
          <t>RUS</t>
        </is>
      </c>
      <c r="IC181" t="inlineStr">
        <is>
          <t>RUS</t>
        </is>
      </c>
      <c r="ID181" t="inlineStr">
        <is>
          <t>RUS</t>
        </is>
      </c>
      <c r="IE181" t="inlineStr">
        <is>
          <t>RUS</t>
        </is>
      </c>
      <c r="IF181" t="inlineStr">
        <is>
          <t>RUS</t>
        </is>
      </c>
      <c r="IG181" t="inlineStr">
        <is>
          <t>MNG</t>
        </is>
      </c>
      <c r="IH181" t="inlineStr">
        <is>
          <t>MNG</t>
        </is>
      </c>
      <c r="II181" t="inlineStr">
        <is>
          <t>MNG</t>
        </is>
      </c>
      <c r="IJ181" t="inlineStr">
        <is>
          <t>MNG</t>
        </is>
      </c>
      <c r="IK181" t="inlineStr">
        <is>
          <t>MNG</t>
        </is>
      </c>
      <c r="IL181" t="inlineStr">
        <is>
          <t>MNG</t>
        </is>
      </c>
      <c r="IM181" t="inlineStr">
        <is>
          <t>MNG</t>
        </is>
      </c>
      <c r="IN181" t="inlineStr">
        <is>
          <t>MNG</t>
        </is>
      </c>
      <c r="IO181" t="inlineStr">
        <is>
          <t>MNG</t>
        </is>
      </c>
      <c r="IP181" t="inlineStr">
        <is>
          <t>MNG</t>
        </is>
      </c>
      <c r="IQ181" t="inlineStr">
        <is>
          <t>MNG</t>
        </is>
      </c>
      <c r="IR181" t="inlineStr">
        <is>
          <t>MNG</t>
        </is>
      </c>
      <c r="IS181" t="inlineStr">
        <is>
          <t>MNG</t>
        </is>
      </c>
      <c r="IT181" t="inlineStr">
        <is>
          <t>MNG</t>
        </is>
      </c>
      <c r="IU181" t="inlineStr">
        <is>
          <t>MNG</t>
        </is>
      </c>
      <c r="IV181" t="inlineStr">
        <is>
          <t>RUS</t>
        </is>
      </c>
      <c r="IW181" t="inlineStr">
        <is>
          <t>MNG</t>
        </is>
      </c>
      <c r="IX181" t="inlineStr">
        <is>
          <t>MNG</t>
        </is>
      </c>
      <c r="IY181" t="inlineStr">
        <is>
          <t>MNG</t>
        </is>
      </c>
      <c r="IZ181" t="inlineStr">
        <is>
          <t>MNG</t>
        </is>
      </c>
      <c r="JA181" t="inlineStr">
        <is>
          <t>MNG</t>
        </is>
      </c>
      <c r="JB181" t="inlineStr">
        <is>
          <t>MNG</t>
        </is>
      </c>
      <c r="JC181" t="inlineStr">
        <is>
          <t>MNG</t>
        </is>
      </c>
      <c r="JD181" t="inlineStr">
        <is>
          <t>MNG</t>
        </is>
      </c>
      <c r="JE181" t="inlineStr">
        <is>
          <t>MNG</t>
        </is>
      </c>
      <c r="JF181" t="inlineStr">
        <is>
          <t>MNG</t>
        </is>
      </c>
      <c r="JG181" t="inlineStr">
        <is>
          <t>MNG</t>
        </is>
      </c>
      <c r="JH181" t="inlineStr">
        <is>
          <t>MNG</t>
        </is>
      </c>
      <c r="JI181" t="inlineStr">
        <is>
          <t>MNG</t>
        </is>
      </c>
      <c r="JJ181" t="inlineStr">
        <is>
          <t>MNG</t>
        </is>
      </c>
      <c r="JK181" t="inlineStr">
        <is>
          <t>MNG</t>
        </is>
      </c>
      <c r="JL181" t="inlineStr">
        <is>
          <t>MNG</t>
        </is>
      </c>
      <c r="JM181" t="inlineStr">
        <is>
          <t>MNG</t>
        </is>
      </c>
      <c r="JN181" t="inlineStr">
        <is>
          <t>MNG</t>
        </is>
      </c>
      <c r="JO181" t="inlineStr">
        <is>
          <t>MNG</t>
        </is>
      </c>
      <c r="JP181" t="inlineStr">
        <is>
          <t>MNG</t>
        </is>
      </c>
      <c r="JQ181" t="inlineStr">
        <is>
          <t>MNG</t>
        </is>
      </c>
      <c r="JR181" t="inlineStr">
        <is>
          <t>RUS</t>
        </is>
      </c>
      <c r="JS181" t="inlineStr">
        <is>
          <t>RUS</t>
        </is>
      </c>
      <c r="JT181" t="inlineStr">
        <is>
          <t>RUS</t>
        </is>
      </c>
      <c r="JU181" t="inlineStr">
        <is>
          <t>RUS</t>
        </is>
      </c>
    </row>
    <row r="182">
      <c r="AY182" t="inlineStr">
        <is>
          <t>GBR</t>
        </is>
      </c>
      <c r="AZ182" t="inlineStr">
        <is>
          <t>GBR</t>
        </is>
      </c>
      <c r="BB182" t="inlineStr">
        <is>
          <t>GBR</t>
        </is>
      </c>
      <c r="BM182" t="inlineStr">
        <is>
          <t>FRA</t>
        </is>
      </c>
      <c r="BN182" t="inlineStr">
        <is>
          <t>FRA</t>
        </is>
      </c>
      <c r="BO182" t="inlineStr">
        <is>
          <t>FRA</t>
        </is>
      </c>
      <c r="BP182" t="inlineStr">
        <is>
          <t>FRA</t>
        </is>
      </c>
      <c r="BQ182" t="inlineStr">
        <is>
          <t>FRA</t>
        </is>
      </c>
      <c r="BR182" t="inlineStr">
        <is>
          <t>BEL</t>
        </is>
      </c>
      <c r="BS182" t="inlineStr">
        <is>
          <t>BEL</t>
        </is>
      </c>
      <c r="BT182" t="inlineStr">
        <is>
          <t>BEL</t>
        </is>
      </c>
      <c r="BU182" t="inlineStr">
        <is>
          <t>BEL</t>
        </is>
      </c>
      <c r="BV182" t="inlineStr">
        <is>
          <t>DEU</t>
        </is>
      </c>
      <c r="BW182" t="inlineStr">
        <is>
          <t>DEU</t>
        </is>
      </c>
      <c r="BX182" t="inlineStr">
        <is>
          <t>DEU</t>
        </is>
      </c>
      <c r="BY182" t="inlineStr">
        <is>
          <t>DEU</t>
        </is>
      </c>
      <c r="BZ182" t="inlineStr">
        <is>
          <t>DEU</t>
        </is>
      </c>
      <c r="CA182" t="inlineStr">
        <is>
          <t>DEU</t>
        </is>
      </c>
      <c r="CB182" t="inlineStr">
        <is>
          <t>DEU</t>
        </is>
      </c>
      <c r="CC182" t="inlineStr">
        <is>
          <t>DEU</t>
        </is>
      </c>
      <c r="CD182" t="inlineStr">
        <is>
          <t>DEU</t>
        </is>
      </c>
      <c r="CE182" t="inlineStr">
        <is>
          <t>DEU</t>
        </is>
      </c>
      <c r="CF182" t="inlineStr">
        <is>
          <t>DEU</t>
        </is>
      </c>
      <c r="CG182" t="inlineStr">
        <is>
          <t>DEU</t>
        </is>
      </c>
      <c r="CH182" t="inlineStr">
        <is>
          <t>CZE</t>
        </is>
      </c>
      <c r="CI182" t="inlineStr">
        <is>
          <t>CZE</t>
        </is>
      </c>
      <c r="CJ182" t="inlineStr">
        <is>
          <t>CZE</t>
        </is>
      </c>
      <c r="CK182" t="inlineStr">
        <is>
          <t>CZE</t>
        </is>
      </c>
      <c r="CL182" t="inlineStr">
        <is>
          <t>CZE</t>
        </is>
      </c>
      <c r="CM182" t="inlineStr">
        <is>
          <t>CZE</t>
        </is>
      </c>
      <c r="CN182" t="inlineStr">
        <is>
          <t>CZE</t>
        </is>
      </c>
      <c r="CO182" t="inlineStr">
        <is>
          <t>CZE</t>
        </is>
      </c>
      <c r="CP182" t="inlineStr">
        <is>
          <t>CZE</t>
        </is>
      </c>
      <c r="CQ182" t="inlineStr">
        <is>
          <t>CZE</t>
        </is>
      </c>
      <c r="CR182" t="inlineStr">
        <is>
          <t>CZE</t>
        </is>
      </c>
      <c r="CS182" t="inlineStr">
        <is>
          <t>POL</t>
        </is>
      </c>
      <c r="CT182" t="inlineStr">
        <is>
          <t>POL</t>
        </is>
      </c>
      <c r="CU182" t="inlineStr">
        <is>
          <t>POL</t>
        </is>
      </c>
      <c r="CV182" t="inlineStr">
        <is>
          <t>POL</t>
        </is>
      </c>
      <c r="CW182" t="inlineStr">
        <is>
          <t>POL</t>
        </is>
      </c>
      <c r="CX182" t="inlineStr">
        <is>
          <t>POL</t>
        </is>
      </c>
      <c r="CY182" t="inlineStr">
        <is>
          <t>POL</t>
        </is>
      </c>
      <c r="CZ182" t="inlineStr">
        <is>
          <t>POL</t>
        </is>
      </c>
      <c r="DA182" t="inlineStr">
        <is>
          <t>POL</t>
        </is>
      </c>
      <c r="DB182" t="inlineStr">
        <is>
          <t>POL</t>
        </is>
      </c>
      <c r="DC182" t="inlineStr">
        <is>
          <t>POL</t>
        </is>
      </c>
      <c r="DD182" t="inlineStr">
        <is>
          <t>POL</t>
        </is>
      </c>
      <c r="DE182" t="inlineStr">
        <is>
          <t>UKR</t>
        </is>
      </c>
      <c r="DF182" t="inlineStr">
        <is>
          <t>UKR</t>
        </is>
      </c>
      <c r="DG182" t="inlineStr">
        <is>
          <t>UKR</t>
        </is>
      </c>
      <c r="DH182" t="inlineStr">
        <is>
          <t>UKR</t>
        </is>
      </c>
      <c r="DI182" t="inlineStr">
        <is>
          <t>UKR</t>
        </is>
      </c>
      <c r="DJ182" t="inlineStr">
        <is>
          <t>UKR</t>
        </is>
      </c>
      <c r="DK182" t="inlineStr">
        <is>
          <t>UKR</t>
        </is>
      </c>
      <c r="DL182" t="inlineStr">
        <is>
          <t>UKR</t>
        </is>
      </c>
      <c r="DM182" t="inlineStr">
        <is>
          <t>UKR</t>
        </is>
      </c>
      <c r="DN182" t="inlineStr">
        <is>
          <t>UKR</t>
        </is>
      </c>
      <c r="DO182" t="inlineStr">
        <is>
          <t>UKR</t>
        </is>
      </c>
      <c r="DP182" t="inlineStr">
        <is>
          <t>UKR</t>
        </is>
      </c>
      <c r="DQ182" t="inlineStr">
        <is>
          <t>UKR</t>
        </is>
      </c>
      <c r="DR182" t="inlineStr">
        <is>
          <t>UKR</t>
        </is>
      </c>
      <c r="DS182" t="inlineStr">
        <is>
          <t>UKR</t>
        </is>
      </c>
      <c r="DT182" t="inlineStr">
        <is>
          <t>UKR</t>
        </is>
      </c>
      <c r="DU182" t="inlineStr">
        <is>
          <t>UKR</t>
        </is>
      </c>
      <c r="DV182" t="inlineStr">
        <is>
          <t>UKR</t>
        </is>
      </c>
      <c r="DW182" t="inlineStr">
        <is>
          <t>UKR</t>
        </is>
      </c>
      <c r="DX182" t="inlineStr">
        <is>
          <t>UKR</t>
        </is>
      </c>
      <c r="DY182" t="inlineStr">
        <is>
          <t>UKR</t>
        </is>
      </c>
      <c r="DZ182" t="inlineStr">
        <is>
          <t>UKR</t>
        </is>
      </c>
      <c r="EA182" t="inlineStr">
        <is>
          <t>UKR</t>
        </is>
      </c>
      <c r="EB182" t="inlineStr">
        <is>
          <t>UKR</t>
        </is>
      </c>
      <c r="EC182" t="inlineStr">
        <is>
          <t>UKR</t>
        </is>
      </c>
      <c r="ED182" t="inlineStr">
        <is>
          <t>UKR</t>
        </is>
      </c>
      <c r="EE182" t="inlineStr">
        <is>
          <t>UKR</t>
        </is>
      </c>
      <c r="EF182" t="inlineStr">
        <is>
          <t>UKR</t>
        </is>
      </c>
      <c r="EG182" t="inlineStr">
        <is>
          <t>RUS</t>
        </is>
      </c>
      <c r="EH182" t="inlineStr">
        <is>
          <t>RUS</t>
        </is>
      </c>
      <c r="EI182" t="inlineStr">
        <is>
          <t>RUS</t>
        </is>
      </c>
      <c r="EJ182" t="inlineStr">
        <is>
          <t>RUS</t>
        </is>
      </c>
      <c r="EK182" t="inlineStr">
        <is>
          <t>RUS</t>
        </is>
      </c>
      <c r="EL182" t="inlineStr">
        <is>
          <t>RUS</t>
        </is>
      </c>
      <c r="EM182" t="inlineStr">
        <is>
          <t>RUS</t>
        </is>
      </c>
      <c r="EN182" t="inlineStr">
        <is>
          <t>RUS</t>
        </is>
      </c>
      <c r="EO182" t="inlineStr">
        <is>
          <t>RUS</t>
        </is>
      </c>
      <c r="EP182" t="inlineStr">
        <is>
          <t>RUS</t>
        </is>
      </c>
      <c r="EQ182" t="inlineStr">
        <is>
          <t>RUS</t>
        </is>
      </c>
      <c r="ER182" t="inlineStr">
        <is>
          <t>RUS</t>
        </is>
      </c>
      <c r="ES182" t="inlineStr">
        <is>
          <t>RUS</t>
        </is>
      </c>
      <c r="ET182" t="inlineStr">
        <is>
          <t>RUS</t>
        </is>
      </c>
      <c r="EU182" t="inlineStr">
        <is>
          <t>RUS</t>
        </is>
      </c>
      <c r="EV182" t="inlineStr">
        <is>
          <t>RUS</t>
        </is>
      </c>
      <c r="EW182" t="inlineStr">
        <is>
          <t>RUS</t>
        </is>
      </c>
      <c r="EX182" t="inlineStr">
        <is>
          <t>RUS</t>
        </is>
      </c>
      <c r="EY182" t="inlineStr">
        <is>
          <t>RUS</t>
        </is>
      </c>
      <c r="EZ182" t="inlineStr">
        <is>
          <t>RUS</t>
        </is>
      </c>
      <c r="FA182" t="inlineStr">
        <is>
          <t>KAZ</t>
        </is>
      </c>
      <c r="FB182" t="inlineStr">
        <is>
          <t>RUS</t>
        </is>
      </c>
      <c r="FC182" t="inlineStr">
        <is>
          <t>KAZ</t>
        </is>
      </c>
      <c r="FD182" t="inlineStr">
        <is>
          <t>KAZ</t>
        </is>
      </c>
      <c r="FE182" t="inlineStr">
        <is>
          <t>KAZ</t>
        </is>
      </c>
      <c r="FF182" t="inlineStr">
        <is>
          <t>KAZ</t>
        </is>
      </c>
      <c r="FG182" t="inlineStr">
        <is>
          <t>KAZ</t>
        </is>
      </c>
      <c r="FH182" t="inlineStr">
        <is>
          <t>KAZ</t>
        </is>
      </c>
      <c r="FI182" t="inlineStr">
        <is>
          <t>KAZ</t>
        </is>
      </c>
      <c r="FJ182" t="inlineStr">
        <is>
          <t>KAZ</t>
        </is>
      </c>
      <c r="FK182" t="inlineStr">
        <is>
          <t>KAZ</t>
        </is>
      </c>
      <c r="FL182" t="inlineStr">
        <is>
          <t>KAZ</t>
        </is>
      </c>
      <c r="FM182" t="inlineStr">
        <is>
          <t>KAZ</t>
        </is>
      </c>
      <c r="FN182" t="inlineStr">
        <is>
          <t>KAZ</t>
        </is>
      </c>
      <c r="FO182" t="inlineStr">
        <is>
          <t>KAZ</t>
        </is>
      </c>
      <c r="FP182" t="inlineStr">
        <is>
          <t>KAZ</t>
        </is>
      </c>
      <c r="FQ182" t="inlineStr">
        <is>
          <t>KAZ</t>
        </is>
      </c>
      <c r="FR182" t="inlineStr">
        <is>
          <t>KAZ</t>
        </is>
      </c>
      <c r="FS182" t="inlineStr">
        <is>
          <t>KAZ</t>
        </is>
      </c>
      <c r="FT182" t="inlineStr">
        <is>
          <t>KAZ</t>
        </is>
      </c>
      <c r="FU182" t="inlineStr">
        <is>
          <t>KAZ</t>
        </is>
      </c>
      <c r="FV182" t="inlineStr">
        <is>
          <t>KAZ</t>
        </is>
      </c>
      <c r="FW182" t="inlineStr">
        <is>
          <t>KAZ</t>
        </is>
      </c>
      <c r="FX182" t="inlineStr">
        <is>
          <t>KAZ</t>
        </is>
      </c>
      <c r="FY182" t="inlineStr">
        <is>
          <t>KAZ</t>
        </is>
      </c>
      <c r="FZ182" t="inlineStr">
        <is>
          <t>KAZ</t>
        </is>
      </c>
      <c r="GA182" t="inlineStr">
        <is>
          <t>KAZ</t>
        </is>
      </c>
      <c r="GB182" t="inlineStr">
        <is>
          <t>KAZ</t>
        </is>
      </c>
      <c r="GC182" t="inlineStr">
        <is>
          <t>KAZ</t>
        </is>
      </c>
      <c r="GD182" t="inlineStr">
        <is>
          <t>KAZ</t>
        </is>
      </c>
      <c r="GE182" t="inlineStr">
        <is>
          <t>KAZ</t>
        </is>
      </c>
      <c r="GF182" t="inlineStr">
        <is>
          <t>KAZ</t>
        </is>
      </c>
      <c r="GG182" t="inlineStr">
        <is>
          <t>KAZ</t>
        </is>
      </c>
      <c r="GH182" t="inlineStr">
        <is>
          <t>KAZ</t>
        </is>
      </c>
      <c r="GI182" t="inlineStr">
        <is>
          <t>KAZ</t>
        </is>
      </c>
      <c r="GJ182" t="inlineStr">
        <is>
          <t>KAZ</t>
        </is>
      </c>
      <c r="GK182" t="inlineStr">
        <is>
          <t>KAZ</t>
        </is>
      </c>
      <c r="GL182" t="inlineStr">
        <is>
          <t>KAZ</t>
        </is>
      </c>
      <c r="GM182" t="inlineStr">
        <is>
          <t>KAZ</t>
        </is>
      </c>
      <c r="GN182" t="inlineStr">
        <is>
          <t>KAZ</t>
        </is>
      </c>
      <c r="GO182" t="inlineStr">
        <is>
          <t>KAZ</t>
        </is>
      </c>
      <c r="GP182" t="inlineStr">
        <is>
          <t>KAZ</t>
        </is>
      </c>
      <c r="GQ182" t="inlineStr">
        <is>
          <t>KAZ</t>
        </is>
      </c>
      <c r="GR182" t="inlineStr">
        <is>
          <t>KAZ</t>
        </is>
      </c>
      <c r="GS182" t="inlineStr">
        <is>
          <t>KAZ</t>
        </is>
      </c>
      <c r="GT182" t="inlineStr">
        <is>
          <t>KAZ</t>
        </is>
      </c>
      <c r="GU182" t="inlineStr">
        <is>
          <t>KAZ</t>
        </is>
      </c>
      <c r="GV182" t="inlineStr">
        <is>
          <t>KAZ</t>
        </is>
      </c>
      <c r="GW182" t="inlineStr">
        <is>
          <t>KAZ</t>
        </is>
      </c>
      <c r="GX182" t="inlineStr">
        <is>
          <t>KAZ</t>
        </is>
      </c>
      <c r="GY182" t="inlineStr">
        <is>
          <t>KAZ</t>
        </is>
      </c>
      <c r="GZ182" t="inlineStr">
        <is>
          <t>KAZ</t>
        </is>
      </c>
      <c r="HA182" t="inlineStr">
        <is>
          <t>KAZ</t>
        </is>
      </c>
      <c r="HB182" t="inlineStr">
        <is>
          <t>KAZ</t>
        </is>
      </c>
      <c r="HC182" t="inlineStr">
        <is>
          <t>KAZ</t>
        </is>
      </c>
      <c r="HD182" t="inlineStr">
        <is>
          <t>KAZ</t>
        </is>
      </c>
      <c r="HE182" t="inlineStr">
        <is>
          <t>KAZ</t>
        </is>
      </c>
      <c r="HF182" t="inlineStr">
        <is>
          <t>KAZ</t>
        </is>
      </c>
      <c r="HG182" t="inlineStr">
        <is>
          <t>KAZ</t>
        </is>
      </c>
      <c r="HH182" t="inlineStr">
        <is>
          <t>KAZ</t>
        </is>
      </c>
      <c r="HI182" t="inlineStr">
        <is>
          <t>KAZ</t>
        </is>
      </c>
      <c r="HJ182" t="inlineStr">
        <is>
          <t>KAZ</t>
        </is>
      </c>
      <c r="HK182" t="inlineStr">
        <is>
          <t>KAZ</t>
        </is>
      </c>
      <c r="HL182" t="inlineStr">
        <is>
          <t>KAZ</t>
        </is>
      </c>
      <c r="HM182" t="inlineStr">
        <is>
          <t>KAZ</t>
        </is>
      </c>
      <c r="HN182" t="inlineStr">
        <is>
          <t>KAZ</t>
        </is>
      </c>
      <c r="HO182" t="inlineStr">
        <is>
          <t>KAZ</t>
        </is>
      </c>
      <c r="HP182" t="inlineStr">
        <is>
          <t>KAZ</t>
        </is>
      </c>
      <c r="HQ182" t="inlineStr">
        <is>
          <t>KAZ</t>
        </is>
      </c>
      <c r="HR182" t="inlineStr">
        <is>
          <t>KAZ</t>
        </is>
      </c>
      <c r="HS182" t="inlineStr">
        <is>
          <t>KAZ</t>
        </is>
      </c>
      <c r="HT182" t="inlineStr">
        <is>
          <t>KAZ</t>
        </is>
      </c>
      <c r="HU182" t="inlineStr">
        <is>
          <t>KAZ</t>
        </is>
      </c>
      <c r="HV182" t="inlineStr">
        <is>
          <t>KAZ</t>
        </is>
      </c>
      <c r="HW182" t="inlineStr">
        <is>
          <t>RUS</t>
        </is>
      </c>
      <c r="HX182" t="inlineStr">
        <is>
          <t>RUS</t>
        </is>
      </c>
      <c r="HY182" t="inlineStr">
        <is>
          <t>RUS</t>
        </is>
      </c>
      <c r="HZ182" t="inlineStr">
        <is>
          <t>RUS</t>
        </is>
      </c>
      <c r="IA182" t="inlineStr">
        <is>
          <t>RUS</t>
        </is>
      </c>
      <c r="IB182" t="inlineStr">
        <is>
          <t>RUS</t>
        </is>
      </c>
      <c r="IC182" t="inlineStr">
        <is>
          <t>RUS</t>
        </is>
      </c>
      <c r="ID182" t="inlineStr">
        <is>
          <t>RUS</t>
        </is>
      </c>
      <c r="IE182" t="inlineStr">
        <is>
          <t>RUS</t>
        </is>
      </c>
      <c r="IF182" t="inlineStr">
        <is>
          <t>RUS</t>
        </is>
      </c>
      <c r="IG182" t="inlineStr">
        <is>
          <t>RUS</t>
        </is>
      </c>
      <c r="IH182" t="inlineStr">
        <is>
          <t>RUS</t>
        </is>
      </c>
      <c r="II182" t="inlineStr">
        <is>
          <t>MNG</t>
        </is>
      </c>
      <c r="IJ182" t="inlineStr">
        <is>
          <t>MNG</t>
        </is>
      </c>
      <c r="IK182" t="inlineStr">
        <is>
          <t>MNG</t>
        </is>
      </c>
      <c r="IL182" t="inlineStr">
        <is>
          <t>MNG</t>
        </is>
      </c>
      <c r="IM182" t="inlineStr">
        <is>
          <t>MNG</t>
        </is>
      </c>
      <c r="IN182" t="inlineStr">
        <is>
          <t>MNG</t>
        </is>
      </c>
      <c r="IO182" t="inlineStr">
        <is>
          <t>MNG</t>
        </is>
      </c>
      <c r="IP182" t="inlineStr">
        <is>
          <t>MNG</t>
        </is>
      </c>
      <c r="IQ182" t="inlineStr">
        <is>
          <t>RUS</t>
        </is>
      </c>
      <c r="IR182" t="inlineStr">
        <is>
          <t>RUS</t>
        </is>
      </c>
      <c r="IS182" t="inlineStr">
        <is>
          <t>RUS</t>
        </is>
      </c>
      <c r="IT182" t="inlineStr">
        <is>
          <t>RUS</t>
        </is>
      </c>
      <c r="IU182" t="inlineStr">
        <is>
          <t>RUS</t>
        </is>
      </c>
      <c r="IV182" t="inlineStr">
        <is>
          <t>RUS</t>
        </is>
      </c>
      <c r="IW182" t="inlineStr">
        <is>
          <t>RUS</t>
        </is>
      </c>
      <c r="IX182" t="inlineStr">
        <is>
          <t>MNG</t>
        </is>
      </c>
      <c r="IY182" t="inlineStr">
        <is>
          <t>MNG</t>
        </is>
      </c>
      <c r="IZ182" t="inlineStr">
        <is>
          <t>MNG</t>
        </is>
      </c>
      <c r="JA182" t="inlineStr">
        <is>
          <t>MNG</t>
        </is>
      </c>
      <c r="JB182" t="inlineStr">
        <is>
          <t>MNG</t>
        </is>
      </c>
      <c r="JC182" t="inlineStr">
        <is>
          <t>MNG</t>
        </is>
      </c>
      <c r="JD182" t="inlineStr">
        <is>
          <t>MNG</t>
        </is>
      </c>
      <c r="JE182" t="inlineStr">
        <is>
          <t>MNG</t>
        </is>
      </c>
      <c r="JF182" t="inlineStr">
        <is>
          <t>MNG</t>
        </is>
      </c>
      <c r="JG182" t="inlineStr">
        <is>
          <t>MNG</t>
        </is>
      </c>
      <c r="JH182" t="inlineStr">
        <is>
          <t>RUS</t>
        </is>
      </c>
      <c r="JI182" t="inlineStr">
        <is>
          <t>RUS</t>
        </is>
      </c>
      <c r="JJ182" t="inlineStr">
        <is>
          <t>RUS</t>
        </is>
      </c>
      <c r="JK182" t="inlineStr">
        <is>
          <t>MNG</t>
        </is>
      </c>
      <c r="JL182" t="inlineStr">
        <is>
          <t>MNG</t>
        </is>
      </c>
      <c r="JM182" t="inlineStr">
        <is>
          <t>MNG</t>
        </is>
      </c>
      <c r="JN182" t="inlineStr">
        <is>
          <t>MNG</t>
        </is>
      </c>
      <c r="JO182" t="inlineStr">
        <is>
          <t>MNG</t>
        </is>
      </c>
      <c r="JP182" t="inlineStr">
        <is>
          <t>RUS</t>
        </is>
      </c>
      <c r="JQ182" t="inlineStr">
        <is>
          <t>RUS</t>
        </is>
      </c>
      <c r="JR182" t="inlineStr">
        <is>
          <t>RUS</t>
        </is>
      </c>
      <c r="JS182" t="inlineStr">
        <is>
          <t>RUS</t>
        </is>
      </c>
      <c r="JT182" t="inlineStr">
        <is>
          <t>RUS</t>
        </is>
      </c>
      <c r="JU182" t="inlineStr">
        <is>
          <t>RUS</t>
        </is>
      </c>
    </row>
    <row r="183">
      <c r="AZ183" t="inlineStr">
        <is>
          <t>GBR</t>
        </is>
      </c>
      <c r="BA183" t="inlineStr">
        <is>
          <t>GBR</t>
        </is>
      </c>
      <c r="BB183" t="inlineStr">
        <is>
          <t>GBR</t>
        </is>
      </c>
      <c r="BC183" t="inlineStr">
        <is>
          <t>GBR</t>
        </is>
      </c>
      <c r="BD183" t="inlineStr">
        <is>
          <t>GBR</t>
        </is>
      </c>
      <c r="BE183" t="inlineStr">
        <is>
          <t>GBR</t>
        </is>
      </c>
      <c r="BF183" t="inlineStr">
        <is>
          <t>GBR</t>
        </is>
      </c>
      <c r="BG183" t="inlineStr">
        <is>
          <t>GBR</t>
        </is>
      </c>
      <c r="BM183" t="inlineStr">
        <is>
          <t>FRA</t>
        </is>
      </c>
      <c r="BN183" t="inlineStr">
        <is>
          <t>FRA</t>
        </is>
      </c>
      <c r="BO183" t="inlineStr">
        <is>
          <t>FRA</t>
        </is>
      </c>
      <c r="BP183" t="inlineStr">
        <is>
          <t>BEL</t>
        </is>
      </c>
      <c r="BQ183" t="inlineStr">
        <is>
          <t>BEL</t>
        </is>
      </c>
      <c r="BR183" t="inlineStr">
        <is>
          <t>BEL</t>
        </is>
      </c>
      <c r="BS183" t="inlineStr">
        <is>
          <t>BEL</t>
        </is>
      </c>
      <c r="BT183" t="inlineStr">
        <is>
          <t>BEL</t>
        </is>
      </c>
      <c r="BU183" t="inlineStr">
        <is>
          <t>BEL</t>
        </is>
      </c>
      <c r="BV183" t="inlineStr">
        <is>
          <t>DEU</t>
        </is>
      </c>
      <c r="BW183" t="inlineStr">
        <is>
          <t>DEU</t>
        </is>
      </c>
      <c r="BX183" t="inlineStr">
        <is>
          <t>DEU</t>
        </is>
      </c>
      <c r="BY183" t="inlineStr">
        <is>
          <t>DEU</t>
        </is>
      </c>
      <c r="BZ183" t="inlineStr">
        <is>
          <t>DEU</t>
        </is>
      </c>
      <c r="CA183" t="inlineStr">
        <is>
          <t>DEU</t>
        </is>
      </c>
      <c r="CB183" t="inlineStr">
        <is>
          <t>DEU</t>
        </is>
      </c>
      <c r="CC183" t="inlineStr">
        <is>
          <t>DEU</t>
        </is>
      </c>
      <c r="CD183" t="inlineStr">
        <is>
          <t>DEU</t>
        </is>
      </c>
      <c r="CE183" t="inlineStr">
        <is>
          <t>DEU</t>
        </is>
      </c>
      <c r="CF183" t="inlineStr">
        <is>
          <t>DEU</t>
        </is>
      </c>
      <c r="CG183" t="inlineStr">
        <is>
          <t>DEU</t>
        </is>
      </c>
      <c r="CH183" t="inlineStr">
        <is>
          <t>DEU</t>
        </is>
      </c>
      <c r="CI183" t="inlineStr">
        <is>
          <t>DEU</t>
        </is>
      </c>
      <c r="CJ183" t="inlineStr">
        <is>
          <t>DEU</t>
        </is>
      </c>
      <c r="CK183" t="inlineStr">
        <is>
          <t>CZE</t>
        </is>
      </c>
      <c r="CL183" t="inlineStr">
        <is>
          <t>CZE</t>
        </is>
      </c>
      <c r="CM183" t="inlineStr">
        <is>
          <t>CZE</t>
        </is>
      </c>
      <c r="CN183" t="inlineStr">
        <is>
          <t>CZE</t>
        </is>
      </c>
      <c r="CO183" t="inlineStr">
        <is>
          <t>CZE</t>
        </is>
      </c>
      <c r="CP183" t="inlineStr">
        <is>
          <t>POL</t>
        </is>
      </c>
      <c r="CQ183" t="inlineStr">
        <is>
          <t>POL</t>
        </is>
      </c>
      <c r="CR183" t="inlineStr">
        <is>
          <t>POL</t>
        </is>
      </c>
      <c r="CS183" t="inlineStr">
        <is>
          <t>POL</t>
        </is>
      </c>
      <c r="CT183" t="inlineStr">
        <is>
          <t>POL</t>
        </is>
      </c>
      <c r="CU183" t="inlineStr">
        <is>
          <t>POL</t>
        </is>
      </c>
      <c r="CV183" t="inlineStr">
        <is>
          <t>POL</t>
        </is>
      </c>
      <c r="CW183" t="inlineStr">
        <is>
          <t>POL</t>
        </is>
      </c>
      <c r="CX183" t="inlineStr">
        <is>
          <t>POL</t>
        </is>
      </c>
      <c r="CY183" t="inlineStr">
        <is>
          <t>POL</t>
        </is>
      </c>
      <c r="CZ183" t="inlineStr">
        <is>
          <t>POL</t>
        </is>
      </c>
      <c r="DA183" t="inlineStr">
        <is>
          <t>POL</t>
        </is>
      </c>
      <c r="DB183" t="inlineStr">
        <is>
          <t>POL</t>
        </is>
      </c>
      <c r="DC183" t="inlineStr">
        <is>
          <t>POL</t>
        </is>
      </c>
      <c r="DD183" t="inlineStr">
        <is>
          <t>POL</t>
        </is>
      </c>
      <c r="DE183" t="inlineStr">
        <is>
          <t>POL</t>
        </is>
      </c>
      <c r="DF183" t="inlineStr">
        <is>
          <t>UKR</t>
        </is>
      </c>
      <c r="DG183" t="inlineStr">
        <is>
          <t>UKR</t>
        </is>
      </c>
      <c r="DH183" t="inlineStr">
        <is>
          <t>UKR</t>
        </is>
      </c>
      <c r="DI183" t="inlineStr">
        <is>
          <t>UKR</t>
        </is>
      </c>
      <c r="DJ183" t="inlineStr">
        <is>
          <t>UKR</t>
        </is>
      </c>
      <c r="DK183" t="inlineStr">
        <is>
          <t>UKR</t>
        </is>
      </c>
      <c r="DL183" t="inlineStr">
        <is>
          <t>UKR</t>
        </is>
      </c>
      <c r="DM183" t="inlineStr">
        <is>
          <t>UKR</t>
        </is>
      </c>
      <c r="DN183" t="inlineStr">
        <is>
          <t>UKR</t>
        </is>
      </c>
      <c r="DO183" t="inlineStr">
        <is>
          <t>UKR</t>
        </is>
      </c>
      <c r="DP183" t="inlineStr">
        <is>
          <t>UKR</t>
        </is>
      </c>
      <c r="DQ183" t="inlineStr">
        <is>
          <t>UKR</t>
        </is>
      </c>
      <c r="DR183" t="inlineStr">
        <is>
          <t>UKR</t>
        </is>
      </c>
      <c r="DS183" t="inlineStr">
        <is>
          <t>UKR</t>
        </is>
      </c>
      <c r="DT183" t="inlineStr">
        <is>
          <t>UKR</t>
        </is>
      </c>
      <c r="DU183" t="inlineStr">
        <is>
          <t>UKR</t>
        </is>
      </c>
      <c r="DV183" t="inlineStr">
        <is>
          <t>UKR</t>
        </is>
      </c>
      <c r="DW183" t="inlineStr">
        <is>
          <t>UKR</t>
        </is>
      </c>
      <c r="DX183" t="inlineStr">
        <is>
          <t>UKR</t>
        </is>
      </c>
      <c r="DY183" t="inlineStr">
        <is>
          <t>UKR</t>
        </is>
      </c>
      <c r="DZ183" t="inlineStr">
        <is>
          <t>UKR</t>
        </is>
      </c>
      <c r="EA183" t="inlineStr">
        <is>
          <t>UKR</t>
        </is>
      </c>
      <c r="EB183" t="inlineStr">
        <is>
          <t>UKR</t>
        </is>
      </c>
      <c r="EC183" t="inlineStr">
        <is>
          <t>RUS</t>
        </is>
      </c>
      <c r="ED183" t="inlineStr">
        <is>
          <t>RUS</t>
        </is>
      </c>
      <c r="EE183" t="inlineStr">
        <is>
          <t>RUS</t>
        </is>
      </c>
      <c r="EF183" t="inlineStr">
        <is>
          <t>RUS</t>
        </is>
      </c>
      <c r="EG183" t="inlineStr">
        <is>
          <t>RUS</t>
        </is>
      </c>
      <c r="EH183" t="inlineStr">
        <is>
          <t>RUS</t>
        </is>
      </c>
      <c r="EI183" t="inlineStr">
        <is>
          <t>RUS</t>
        </is>
      </c>
      <c r="EJ183" t="inlineStr">
        <is>
          <t>RUS</t>
        </is>
      </c>
      <c r="EK183" t="inlineStr">
        <is>
          <t>RUS</t>
        </is>
      </c>
      <c r="EL183" t="inlineStr">
        <is>
          <t>RUS</t>
        </is>
      </c>
      <c r="EM183" t="inlineStr">
        <is>
          <t>RUS</t>
        </is>
      </c>
      <c r="EN183" t="inlineStr">
        <is>
          <t>RUS</t>
        </is>
      </c>
      <c r="EO183" t="inlineStr">
        <is>
          <t>RUS</t>
        </is>
      </c>
      <c r="EP183" t="inlineStr">
        <is>
          <t>RUS</t>
        </is>
      </c>
      <c r="EQ183" t="inlineStr">
        <is>
          <t>RUS</t>
        </is>
      </c>
      <c r="ER183" t="inlineStr">
        <is>
          <t>RUS</t>
        </is>
      </c>
      <c r="ES183" t="inlineStr">
        <is>
          <t>RUS</t>
        </is>
      </c>
      <c r="ET183" t="inlineStr">
        <is>
          <t>RUS</t>
        </is>
      </c>
      <c r="EU183" t="inlineStr">
        <is>
          <t>RUS</t>
        </is>
      </c>
      <c r="EV183" t="inlineStr">
        <is>
          <t>RUS</t>
        </is>
      </c>
      <c r="EW183" t="inlineStr">
        <is>
          <t>RUS</t>
        </is>
      </c>
      <c r="EX183" t="inlineStr">
        <is>
          <t>RUS</t>
        </is>
      </c>
      <c r="EY183" t="inlineStr">
        <is>
          <t>RUS</t>
        </is>
      </c>
      <c r="EZ183" t="inlineStr">
        <is>
          <t>RUS</t>
        </is>
      </c>
      <c r="FA183" t="inlineStr">
        <is>
          <t>RUS</t>
        </is>
      </c>
      <c r="FB183" t="inlineStr">
        <is>
          <t>RUS</t>
        </is>
      </c>
      <c r="FC183" t="inlineStr">
        <is>
          <t>RUS</t>
        </is>
      </c>
      <c r="FD183" t="inlineStr">
        <is>
          <t>KAZ</t>
        </is>
      </c>
      <c r="FE183" t="inlineStr">
        <is>
          <t>KAZ</t>
        </is>
      </c>
      <c r="FF183" t="inlineStr">
        <is>
          <t>KAZ</t>
        </is>
      </c>
      <c r="FG183" t="inlineStr">
        <is>
          <t>KAZ</t>
        </is>
      </c>
      <c r="FH183" t="inlineStr">
        <is>
          <t>KAZ</t>
        </is>
      </c>
      <c r="FI183" t="inlineStr">
        <is>
          <t>KAZ</t>
        </is>
      </c>
      <c r="FJ183" t="inlineStr">
        <is>
          <t>KAZ</t>
        </is>
      </c>
      <c r="FK183" t="inlineStr">
        <is>
          <t>KAZ</t>
        </is>
      </c>
      <c r="FL183" t="inlineStr">
        <is>
          <t>KAZ</t>
        </is>
      </c>
      <c r="FM183" t="inlineStr">
        <is>
          <t>KAZ</t>
        </is>
      </c>
      <c r="FN183" t="inlineStr">
        <is>
          <t>KAZ</t>
        </is>
      </c>
      <c r="FO183" t="inlineStr">
        <is>
          <t>KAZ</t>
        </is>
      </c>
      <c r="FP183" t="inlineStr">
        <is>
          <t>KAZ</t>
        </is>
      </c>
      <c r="FQ183" t="inlineStr">
        <is>
          <t>RUS</t>
        </is>
      </c>
      <c r="FR183" t="inlineStr">
        <is>
          <t>KAZ</t>
        </is>
      </c>
      <c r="FS183" t="inlineStr">
        <is>
          <t>KAZ</t>
        </is>
      </c>
      <c r="FT183" t="inlineStr">
        <is>
          <t>KAZ</t>
        </is>
      </c>
      <c r="FU183" t="inlineStr">
        <is>
          <t>KAZ</t>
        </is>
      </c>
      <c r="FV183" t="inlineStr">
        <is>
          <t>KAZ</t>
        </is>
      </c>
      <c r="FW183" t="inlineStr">
        <is>
          <t>KAZ</t>
        </is>
      </c>
      <c r="FX183" t="inlineStr">
        <is>
          <t>RUS</t>
        </is>
      </c>
      <c r="FY183" t="inlineStr">
        <is>
          <t>RUS</t>
        </is>
      </c>
      <c r="FZ183" t="inlineStr">
        <is>
          <t>KAZ</t>
        </is>
      </c>
      <c r="GA183" t="inlineStr">
        <is>
          <t>KAZ</t>
        </is>
      </c>
      <c r="GB183" t="inlineStr">
        <is>
          <t>KAZ</t>
        </is>
      </c>
      <c r="GC183" t="inlineStr">
        <is>
          <t>KAZ</t>
        </is>
      </c>
      <c r="GD183" t="inlineStr">
        <is>
          <t>KAZ</t>
        </is>
      </c>
      <c r="GE183" t="inlineStr">
        <is>
          <t>KAZ</t>
        </is>
      </c>
      <c r="GF183" t="inlineStr">
        <is>
          <t>KAZ</t>
        </is>
      </c>
      <c r="GG183" t="inlineStr">
        <is>
          <t>KAZ</t>
        </is>
      </c>
      <c r="GH183" t="inlineStr">
        <is>
          <t>KAZ</t>
        </is>
      </c>
      <c r="GI183" t="inlineStr">
        <is>
          <t>KAZ</t>
        </is>
      </c>
      <c r="GJ183" t="inlineStr">
        <is>
          <t>KAZ</t>
        </is>
      </c>
      <c r="GK183" t="inlineStr">
        <is>
          <t>KAZ</t>
        </is>
      </c>
      <c r="GL183" t="inlineStr">
        <is>
          <t>KAZ</t>
        </is>
      </c>
      <c r="GM183" t="inlineStr">
        <is>
          <t>KAZ</t>
        </is>
      </c>
      <c r="GN183" t="inlineStr">
        <is>
          <t>KAZ</t>
        </is>
      </c>
      <c r="GO183" t="inlineStr">
        <is>
          <t>KAZ</t>
        </is>
      </c>
      <c r="GP183" t="inlineStr">
        <is>
          <t>KAZ</t>
        </is>
      </c>
      <c r="GQ183" t="inlineStr">
        <is>
          <t>KAZ</t>
        </is>
      </c>
      <c r="GR183" t="inlineStr">
        <is>
          <t>KAZ</t>
        </is>
      </c>
      <c r="GS183" t="inlineStr">
        <is>
          <t>KAZ</t>
        </is>
      </c>
      <c r="GT183" t="inlineStr">
        <is>
          <t>KAZ</t>
        </is>
      </c>
      <c r="GU183" t="inlineStr">
        <is>
          <t>KAZ</t>
        </is>
      </c>
      <c r="GV183" t="inlineStr">
        <is>
          <t>KAZ</t>
        </is>
      </c>
      <c r="GW183" t="inlineStr">
        <is>
          <t>KAZ</t>
        </is>
      </c>
      <c r="GX183" t="inlineStr">
        <is>
          <t>KAZ</t>
        </is>
      </c>
      <c r="GY183" t="inlineStr">
        <is>
          <t>KAZ</t>
        </is>
      </c>
      <c r="GZ183" t="inlineStr">
        <is>
          <t>KAZ</t>
        </is>
      </c>
      <c r="HA183" t="inlineStr">
        <is>
          <t>KAZ</t>
        </is>
      </c>
      <c r="HB183" t="inlineStr">
        <is>
          <t>KAZ</t>
        </is>
      </c>
      <c r="HC183" t="inlineStr">
        <is>
          <t>KAZ</t>
        </is>
      </c>
      <c r="HD183" t="inlineStr">
        <is>
          <t>KAZ</t>
        </is>
      </c>
      <c r="HE183" t="inlineStr">
        <is>
          <t>KAZ</t>
        </is>
      </c>
      <c r="HF183" t="inlineStr">
        <is>
          <t>KAZ</t>
        </is>
      </c>
      <c r="HG183" t="inlineStr">
        <is>
          <t>KAZ</t>
        </is>
      </c>
      <c r="HH183" t="inlineStr">
        <is>
          <t>KAZ</t>
        </is>
      </c>
      <c r="HI183" t="inlineStr">
        <is>
          <t>KAZ</t>
        </is>
      </c>
      <c r="HJ183" t="inlineStr">
        <is>
          <t>KAZ</t>
        </is>
      </c>
      <c r="HK183" t="inlineStr">
        <is>
          <t>KAZ</t>
        </is>
      </c>
      <c r="HL183" t="inlineStr">
        <is>
          <t>KAZ</t>
        </is>
      </c>
      <c r="HM183" t="inlineStr">
        <is>
          <t>KAZ</t>
        </is>
      </c>
      <c r="HN183" t="inlineStr">
        <is>
          <t>KAZ</t>
        </is>
      </c>
      <c r="HO183" t="inlineStr">
        <is>
          <t>KAZ</t>
        </is>
      </c>
      <c r="HP183" t="inlineStr">
        <is>
          <t>KAZ</t>
        </is>
      </c>
      <c r="HQ183" t="inlineStr">
        <is>
          <t>KAZ</t>
        </is>
      </c>
      <c r="HR183" t="inlineStr">
        <is>
          <t>KAZ</t>
        </is>
      </c>
      <c r="HS183" t="inlineStr">
        <is>
          <t>KAZ</t>
        </is>
      </c>
      <c r="HT183" t="inlineStr">
        <is>
          <t>KAZ</t>
        </is>
      </c>
      <c r="HU183" t="inlineStr">
        <is>
          <t>KAZ</t>
        </is>
      </c>
      <c r="HV183" t="inlineStr">
        <is>
          <t>RUS</t>
        </is>
      </c>
      <c r="HW183" t="inlineStr">
        <is>
          <t>RUS</t>
        </is>
      </c>
      <c r="HX183" t="inlineStr">
        <is>
          <t>RUS</t>
        </is>
      </c>
      <c r="HY183" t="inlineStr">
        <is>
          <t>RUS</t>
        </is>
      </c>
      <c r="HZ183" t="inlineStr">
        <is>
          <t>RUS</t>
        </is>
      </c>
      <c r="IA183" t="inlineStr">
        <is>
          <t>RUS</t>
        </is>
      </c>
      <c r="IB183" t="inlineStr">
        <is>
          <t>RUS</t>
        </is>
      </c>
      <c r="IC183" t="inlineStr">
        <is>
          <t>RUS</t>
        </is>
      </c>
      <c r="ID183" t="inlineStr">
        <is>
          <t>RUS</t>
        </is>
      </c>
      <c r="IE183" t="inlineStr">
        <is>
          <t>RUS</t>
        </is>
      </c>
      <c r="IF183" t="inlineStr">
        <is>
          <t>RUS</t>
        </is>
      </c>
      <c r="IG183" t="inlineStr">
        <is>
          <t>RUS</t>
        </is>
      </c>
      <c r="IH183" t="inlineStr">
        <is>
          <t>RUS</t>
        </is>
      </c>
      <c r="II183" t="inlineStr">
        <is>
          <t>RUS</t>
        </is>
      </c>
      <c r="IJ183" t="inlineStr">
        <is>
          <t>RUS</t>
        </is>
      </c>
      <c r="IK183" t="inlineStr">
        <is>
          <t>RUS</t>
        </is>
      </c>
      <c r="IL183" t="inlineStr">
        <is>
          <t>MNG</t>
        </is>
      </c>
      <c r="IM183" t="inlineStr">
        <is>
          <t>RUS</t>
        </is>
      </c>
      <c r="IN183" t="inlineStr">
        <is>
          <t>RUS</t>
        </is>
      </c>
      <c r="IO183" t="inlineStr">
        <is>
          <t>RUS</t>
        </is>
      </c>
      <c r="IP183" t="inlineStr">
        <is>
          <t>RUS</t>
        </is>
      </c>
      <c r="IQ183" t="inlineStr">
        <is>
          <t>RUS</t>
        </is>
      </c>
      <c r="IR183" t="inlineStr">
        <is>
          <t>RUS</t>
        </is>
      </c>
      <c r="IS183" t="inlineStr">
        <is>
          <t>RUS</t>
        </is>
      </c>
      <c r="IT183" t="inlineStr">
        <is>
          <t>RUS</t>
        </is>
      </c>
      <c r="IU183" t="inlineStr">
        <is>
          <t>RUS</t>
        </is>
      </c>
      <c r="IV183" t="inlineStr">
        <is>
          <t>RUS</t>
        </is>
      </c>
      <c r="IW183" t="inlineStr">
        <is>
          <t>RUS</t>
        </is>
      </c>
      <c r="IX183" t="inlineStr">
        <is>
          <t>MNG</t>
        </is>
      </c>
      <c r="IY183" t="inlineStr">
        <is>
          <t>MNG</t>
        </is>
      </c>
      <c r="IZ183" t="inlineStr">
        <is>
          <t>MNG</t>
        </is>
      </c>
      <c r="JA183" t="inlineStr">
        <is>
          <t>MNG</t>
        </is>
      </c>
      <c r="JB183" t="inlineStr">
        <is>
          <t>MNG</t>
        </is>
      </c>
      <c r="JC183" t="inlineStr">
        <is>
          <t>MNG</t>
        </is>
      </c>
      <c r="JD183" t="inlineStr">
        <is>
          <t>MNG</t>
        </is>
      </c>
      <c r="JE183" t="inlineStr">
        <is>
          <t>MNG</t>
        </is>
      </c>
      <c r="JF183" t="inlineStr">
        <is>
          <t>RUS</t>
        </is>
      </c>
      <c r="JG183" t="inlineStr">
        <is>
          <t>RUS</t>
        </is>
      </c>
      <c r="JH183" t="inlineStr">
        <is>
          <t>RUS</t>
        </is>
      </c>
      <c r="JI183" t="inlineStr">
        <is>
          <t>RUS</t>
        </is>
      </c>
      <c r="JJ183" t="inlineStr">
        <is>
          <t>RUS</t>
        </is>
      </c>
      <c r="JK183" t="inlineStr">
        <is>
          <t>RUS</t>
        </is>
      </c>
      <c r="JL183" t="inlineStr">
        <is>
          <t>RUS</t>
        </is>
      </c>
      <c r="JM183" t="inlineStr">
        <is>
          <t>RUS</t>
        </is>
      </c>
      <c r="JN183" t="inlineStr">
        <is>
          <t>RUS</t>
        </is>
      </c>
      <c r="JO183" t="inlineStr">
        <is>
          <t>RUS</t>
        </is>
      </c>
      <c r="JP183" t="inlineStr">
        <is>
          <t>RUS</t>
        </is>
      </c>
      <c r="JQ183" t="inlineStr">
        <is>
          <t>RUS</t>
        </is>
      </c>
      <c r="JR183" t="inlineStr">
        <is>
          <t>RUS</t>
        </is>
      </c>
      <c r="JS183" t="inlineStr">
        <is>
          <t>RUS</t>
        </is>
      </c>
      <c r="JT183" t="inlineStr">
        <is>
          <t>RUS</t>
        </is>
      </c>
      <c r="JU183" t="inlineStr">
        <is>
          <t>RUS</t>
        </is>
      </c>
    </row>
    <row r="184">
      <c r="BB184" t="inlineStr">
        <is>
          <t>GBR</t>
        </is>
      </c>
      <c r="BC184" t="inlineStr">
        <is>
          <t>GBR</t>
        </is>
      </c>
      <c r="BD184" t="inlineStr">
        <is>
          <t>GBR</t>
        </is>
      </c>
      <c r="BE184" t="inlineStr">
        <is>
          <t>GBR</t>
        </is>
      </c>
      <c r="BF184" t="inlineStr">
        <is>
          <t>GBR</t>
        </is>
      </c>
      <c r="BG184" t="inlineStr">
        <is>
          <t>GBR</t>
        </is>
      </c>
      <c r="BH184" t="inlineStr">
        <is>
          <t>GBR</t>
        </is>
      </c>
      <c r="BI184" t="inlineStr">
        <is>
          <t>GBR</t>
        </is>
      </c>
      <c r="BJ184" t="inlineStr">
        <is>
          <t>GBR</t>
        </is>
      </c>
      <c r="BK184" t="inlineStr">
        <is>
          <t>GBR</t>
        </is>
      </c>
      <c r="BL184" t="inlineStr">
        <is>
          <t>GBR</t>
        </is>
      </c>
      <c r="BP184" t="inlineStr">
        <is>
          <t>BEL</t>
        </is>
      </c>
      <c r="BQ184" t="inlineStr">
        <is>
          <t>BEL</t>
        </is>
      </c>
      <c r="BR184" t="inlineStr">
        <is>
          <t>BEL</t>
        </is>
      </c>
      <c r="BS184" t="inlineStr">
        <is>
          <t>BEL</t>
        </is>
      </c>
      <c r="BT184" t="inlineStr">
        <is>
          <t>BEL</t>
        </is>
      </c>
      <c r="BU184" t="inlineStr">
        <is>
          <t>NLD</t>
        </is>
      </c>
      <c r="BV184" t="inlineStr">
        <is>
          <t>DEU</t>
        </is>
      </c>
      <c r="BW184" t="inlineStr">
        <is>
          <t>DEU</t>
        </is>
      </c>
      <c r="BX184" t="inlineStr">
        <is>
          <t>DEU</t>
        </is>
      </c>
      <c r="BY184" t="inlineStr">
        <is>
          <t>DEU</t>
        </is>
      </c>
      <c r="BZ184" t="inlineStr">
        <is>
          <t>DEU</t>
        </is>
      </c>
      <c r="CA184" t="inlineStr">
        <is>
          <t>DEU</t>
        </is>
      </c>
      <c r="CB184" t="inlineStr">
        <is>
          <t>DEU</t>
        </is>
      </c>
      <c r="CC184" t="inlineStr">
        <is>
          <t>DEU</t>
        </is>
      </c>
      <c r="CD184" t="inlineStr">
        <is>
          <t>DEU</t>
        </is>
      </c>
      <c r="CE184" t="inlineStr">
        <is>
          <t>DEU</t>
        </is>
      </c>
      <c r="CF184" t="inlineStr">
        <is>
          <t>DEU</t>
        </is>
      </c>
      <c r="CG184" t="inlineStr">
        <is>
          <t>DEU</t>
        </is>
      </c>
      <c r="CH184" t="inlineStr">
        <is>
          <t>DEU</t>
        </is>
      </c>
      <c r="CI184" t="inlineStr">
        <is>
          <t>DEU</t>
        </is>
      </c>
      <c r="CJ184" t="inlineStr">
        <is>
          <t>DEU</t>
        </is>
      </c>
      <c r="CK184" t="inlineStr">
        <is>
          <t>DEU</t>
        </is>
      </c>
      <c r="CL184" t="inlineStr">
        <is>
          <t>DEU</t>
        </is>
      </c>
      <c r="CM184" t="inlineStr">
        <is>
          <t>DEU</t>
        </is>
      </c>
      <c r="CN184" t="inlineStr">
        <is>
          <t>POL</t>
        </is>
      </c>
      <c r="CO184" t="inlineStr">
        <is>
          <t>POL</t>
        </is>
      </c>
      <c r="CP184" t="inlineStr">
        <is>
          <t>POL</t>
        </is>
      </c>
      <c r="CQ184" t="inlineStr">
        <is>
          <t>POL</t>
        </is>
      </c>
      <c r="CR184" t="inlineStr">
        <is>
          <t>POL</t>
        </is>
      </c>
      <c r="CS184" t="inlineStr">
        <is>
          <t>POL</t>
        </is>
      </c>
      <c r="CT184" t="inlineStr">
        <is>
          <t>POL</t>
        </is>
      </c>
      <c r="CU184" t="inlineStr">
        <is>
          <t>POL</t>
        </is>
      </c>
      <c r="CV184" t="inlineStr">
        <is>
          <t>POL</t>
        </is>
      </c>
      <c r="CW184" t="inlineStr">
        <is>
          <t>POL</t>
        </is>
      </c>
      <c r="CX184" t="inlineStr">
        <is>
          <t>POL</t>
        </is>
      </c>
      <c r="CY184" t="inlineStr">
        <is>
          <t>POL</t>
        </is>
      </c>
      <c r="CZ184" t="inlineStr">
        <is>
          <t>POL</t>
        </is>
      </c>
      <c r="DA184" t="inlineStr">
        <is>
          <t>POL</t>
        </is>
      </c>
      <c r="DB184" t="inlineStr">
        <is>
          <t>POL</t>
        </is>
      </c>
      <c r="DC184" t="inlineStr">
        <is>
          <t>POL</t>
        </is>
      </c>
      <c r="DD184" t="inlineStr">
        <is>
          <t>POL</t>
        </is>
      </c>
      <c r="DE184" t="inlineStr">
        <is>
          <t>UKR</t>
        </is>
      </c>
      <c r="DF184" t="inlineStr">
        <is>
          <t>UKR</t>
        </is>
      </c>
      <c r="DG184" t="inlineStr">
        <is>
          <t>UKR</t>
        </is>
      </c>
      <c r="DH184" t="inlineStr">
        <is>
          <t>UKR</t>
        </is>
      </c>
      <c r="DI184" t="inlineStr">
        <is>
          <t>UKR</t>
        </is>
      </c>
      <c r="DJ184" t="inlineStr">
        <is>
          <t>UKR</t>
        </is>
      </c>
      <c r="DK184" t="inlineStr">
        <is>
          <t>UKR</t>
        </is>
      </c>
      <c r="DL184" t="inlineStr">
        <is>
          <t>UKR</t>
        </is>
      </c>
      <c r="DM184" t="inlineStr">
        <is>
          <t>UKR</t>
        </is>
      </c>
      <c r="DN184" t="inlineStr">
        <is>
          <t>UKR</t>
        </is>
      </c>
      <c r="DO184" t="inlineStr">
        <is>
          <t>UKR</t>
        </is>
      </c>
      <c r="DP184" t="inlineStr">
        <is>
          <t>UKR</t>
        </is>
      </c>
      <c r="DQ184" t="inlineStr">
        <is>
          <t>UKR</t>
        </is>
      </c>
      <c r="DR184" t="inlineStr">
        <is>
          <t>UKR</t>
        </is>
      </c>
      <c r="DS184" t="inlineStr">
        <is>
          <t>UKR</t>
        </is>
      </c>
      <c r="DT184" t="inlineStr">
        <is>
          <t>UKR</t>
        </is>
      </c>
      <c r="DU184" t="inlineStr">
        <is>
          <t>UKR</t>
        </is>
      </c>
      <c r="DV184" t="inlineStr">
        <is>
          <t>UKR</t>
        </is>
      </c>
      <c r="DW184" t="inlineStr">
        <is>
          <t>UKR</t>
        </is>
      </c>
      <c r="DX184" t="inlineStr">
        <is>
          <t>UKR</t>
        </is>
      </c>
      <c r="DY184" t="inlineStr">
        <is>
          <t>UKR</t>
        </is>
      </c>
      <c r="DZ184" t="inlineStr">
        <is>
          <t>UKR</t>
        </is>
      </c>
      <c r="EA184" t="inlineStr">
        <is>
          <t>RUS</t>
        </is>
      </c>
      <c r="EB184" t="inlineStr">
        <is>
          <t>RUS</t>
        </is>
      </c>
      <c r="EC184" t="inlineStr">
        <is>
          <t>RUS</t>
        </is>
      </c>
      <c r="ED184" t="inlineStr">
        <is>
          <t>RUS</t>
        </is>
      </c>
      <c r="EE184" t="inlineStr">
        <is>
          <t>RUS</t>
        </is>
      </c>
      <c r="EF184" t="inlineStr">
        <is>
          <t>RUS</t>
        </is>
      </c>
      <c r="EG184" t="inlineStr">
        <is>
          <t>RUS</t>
        </is>
      </c>
      <c r="EH184" t="inlineStr">
        <is>
          <t>RUS</t>
        </is>
      </c>
      <c r="EI184" t="inlineStr">
        <is>
          <t>RUS</t>
        </is>
      </c>
      <c r="EJ184" t="inlineStr">
        <is>
          <t>RUS</t>
        </is>
      </c>
      <c r="EK184" t="inlineStr">
        <is>
          <t>RUS</t>
        </is>
      </c>
      <c r="EL184" t="inlineStr">
        <is>
          <t>RUS</t>
        </is>
      </c>
      <c r="EM184" t="inlineStr">
        <is>
          <t>RUS</t>
        </is>
      </c>
      <c r="EN184" t="inlineStr">
        <is>
          <t>RUS</t>
        </is>
      </c>
      <c r="EO184" t="inlineStr">
        <is>
          <t>RUS</t>
        </is>
      </c>
      <c r="EP184" t="inlineStr">
        <is>
          <t>RUS</t>
        </is>
      </c>
      <c r="EQ184" t="inlineStr">
        <is>
          <t>RUS</t>
        </is>
      </c>
      <c r="ER184" t="inlineStr">
        <is>
          <t>RUS</t>
        </is>
      </c>
      <c r="ES184" t="inlineStr">
        <is>
          <t>RUS</t>
        </is>
      </c>
      <c r="ET184" t="inlineStr">
        <is>
          <t>RUS</t>
        </is>
      </c>
      <c r="EU184" t="inlineStr">
        <is>
          <t>RUS</t>
        </is>
      </c>
      <c r="EV184" t="inlineStr">
        <is>
          <t>RUS</t>
        </is>
      </c>
      <c r="EW184" t="inlineStr">
        <is>
          <t>RUS</t>
        </is>
      </c>
      <c r="EX184" t="inlineStr">
        <is>
          <t>RUS</t>
        </is>
      </c>
      <c r="EY184" t="inlineStr">
        <is>
          <t>RUS</t>
        </is>
      </c>
      <c r="EZ184" t="inlineStr">
        <is>
          <t>RUS</t>
        </is>
      </c>
      <c r="FA184" t="inlineStr">
        <is>
          <t>RUS</t>
        </is>
      </c>
      <c r="FB184" t="inlineStr">
        <is>
          <t>RUS</t>
        </is>
      </c>
      <c r="FC184" t="inlineStr">
        <is>
          <t>RUS</t>
        </is>
      </c>
      <c r="FD184" t="inlineStr">
        <is>
          <t>RUS</t>
        </is>
      </c>
      <c r="FE184" t="inlineStr">
        <is>
          <t>RUS</t>
        </is>
      </c>
      <c r="FF184" t="inlineStr">
        <is>
          <t>KAZ</t>
        </is>
      </c>
      <c r="FG184" t="inlineStr">
        <is>
          <t>KAZ</t>
        </is>
      </c>
      <c r="FH184" t="inlineStr">
        <is>
          <t>KAZ</t>
        </is>
      </c>
      <c r="FI184" t="inlineStr">
        <is>
          <t>KAZ</t>
        </is>
      </c>
      <c r="FJ184" t="inlineStr">
        <is>
          <t>KAZ</t>
        </is>
      </c>
      <c r="FK184" t="inlineStr">
        <is>
          <t>KAZ</t>
        </is>
      </c>
      <c r="FL184" t="inlineStr">
        <is>
          <t>KAZ</t>
        </is>
      </c>
      <c r="FM184" t="inlineStr">
        <is>
          <t>KAZ</t>
        </is>
      </c>
      <c r="FN184" t="inlineStr">
        <is>
          <t>RUS</t>
        </is>
      </c>
      <c r="FO184" t="inlineStr">
        <is>
          <t>RUS</t>
        </is>
      </c>
      <c r="FP184" t="inlineStr">
        <is>
          <t>RUS</t>
        </is>
      </c>
      <c r="FQ184" t="inlineStr">
        <is>
          <t>RUS</t>
        </is>
      </c>
      <c r="FR184" t="inlineStr">
        <is>
          <t>RUS</t>
        </is>
      </c>
      <c r="FS184" t="inlineStr">
        <is>
          <t>RUS</t>
        </is>
      </c>
      <c r="FT184" t="inlineStr">
        <is>
          <t>RUS</t>
        </is>
      </c>
      <c r="FU184" t="inlineStr">
        <is>
          <t>RUS</t>
        </is>
      </c>
      <c r="FV184" t="inlineStr">
        <is>
          <t>RUS</t>
        </is>
      </c>
      <c r="FW184" t="inlineStr">
        <is>
          <t>RUS</t>
        </is>
      </c>
      <c r="FX184" t="inlineStr">
        <is>
          <t>RUS</t>
        </is>
      </c>
      <c r="FY184" t="inlineStr">
        <is>
          <t>RUS</t>
        </is>
      </c>
      <c r="FZ184" t="inlineStr">
        <is>
          <t>RUS</t>
        </is>
      </c>
      <c r="GA184" t="inlineStr">
        <is>
          <t>RUS</t>
        </is>
      </c>
      <c r="GB184" t="inlineStr">
        <is>
          <t>RUS</t>
        </is>
      </c>
      <c r="GC184" t="inlineStr">
        <is>
          <t>KAZ</t>
        </is>
      </c>
      <c r="GD184" t="inlineStr">
        <is>
          <t>KAZ</t>
        </is>
      </c>
      <c r="GE184" t="inlineStr">
        <is>
          <t>KAZ</t>
        </is>
      </c>
      <c r="GF184" t="inlineStr">
        <is>
          <t>KAZ</t>
        </is>
      </c>
      <c r="GG184" t="inlineStr">
        <is>
          <t>KAZ</t>
        </is>
      </c>
      <c r="GH184" t="inlineStr">
        <is>
          <t>KAZ</t>
        </is>
      </c>
      <c r="GI184" t="inlineStr">
        <is>
          <t>KAZ</t>
        </is>
      </c>
      <c r="GJ184" t="inlineStr">
        <is>
          <t>KAZ</t>
        </is>
      </c>
      <c r="GK184" t="inlineStr">
        <is>
          <t>KAZ</t>
        </is>
      </c>
      <c r="GL184" t="inlineStr">
        <is>
          <t>KAZ</t>
        </is>
      </c>
      <c r="GM184" t="inlineStr">
        <is>
          <t>KAZ</t>
        </is>
      </c>
      <c r="GN184" t="inlineStr">
        <is>
          <t>KAZ</t>
        </is>
      </c>
      <c r="GO184" t="inlineStr">
        <is>
          <t>KAZ</t>
        </is>
      </c>
      <c r="GP184" t="inlineStr">
        <is>
          <t>KAZ</t>
        </is>
      </c>
      <c r="GQ184" t="inlineStr">
        <is>
          <t>KAZ</t>
        </is>
      </c>
      <c r="GR184" t="inlineStr">
        <is>
          <t>KAZ</t>
        </is>
      </c>
      <c r="GS184" t="inlineStr">
        <is>
          <t>KAZ</t>
        </is>
      </c>
      <c r="GT184" t="inlineStr">
        <is>
          <t>KAZ</t>
        </is>
      </c>
      <c r="GU184" t="inlineStr">
        <is>
          <t>KAZ</t>
        </is>
      </c>
      <c r="GV184" t="inlineStr">
        <is>
          <t>KAZ</t>
        </is>
      </c>
      <c r="GW184" t="inlineStr">
        <is>
          <t>KAZ</t>
        </is>
      </c>
      <c r="GX184" t="inlineStr">
        <is>
          <t>KAZ</t>
        </is>
      </c>
      <c r="GY184" t="inlineStr">
        <is>
          <t>KAZ</t>
        </is>
      </c>
      <c r="GZ184" t="inlineStr">
        <is>
          <t>KAZ</t>
        </is>
      </c>
      <c r="HA184" t="inlineStr">
        <is>
          <t>KAZ</t>
        </is>
      </c>
      <c r="HB184" t="inlineStr">
        <is>
          <t>KAZ</t>
        </is>
      </c>
      <c r="HC184" t="inlineStr">
        <is>
          <t>KAZ</t>
        </is>
      </c>
      <c r="HD184" t="inlineStr">
        <is>
          <t>KAZ</t>
        </is>
      </c>
      <c r="HE184" t="inlineStr">
        <is>
          <t>KAZ</t>
        </is>
      </c>
      <c r="HF184" t="inlineStr">
        <is>
          <t>KAZ</t>
        </is>
      </c>
      <c r="HG184" t="inlineStr">
        <is>
          <t>KAZ</t>
        </is>
      </c>
      <c r="HH184" t="inlineStr">
        <is>
          <t>KAZ</t>
        </is>
      </c>
      <c r="HI184" t="inlineStr">
        <is>
          <t>KAZ</t>
        </is>
      </c>
      <c r="HJ184" t="inlineStr">
        <is>
          <t>KAZ</t>
        </is>
      </c>
      <c r="HK184" t="inlineStr">
        <is>
          <t>KAZ</t>
        </is>
      </c>
      <c r="HL184" t="inlineStr">
        <is>
          <t>KAZ</t>
        </is>
      </c>
      <c r="HM184" t="inlineStr">
        <is>
          <t>RUS</t>
        </is>
      </c>
      <c r="HN184" t="inlineStr">
        <is>
          <t>RUS</t>
        </is>
      </c>
      <c r="HO184" t="inlineStr">
        <is>
          <t>KAZ</t>
        </is>
      </c>
      <c r="HP184" t="inlineStr">
        <is>
          <t>RUS</t>
        </is>
      </c>
      <c r="HQ184" t="inlineStr">
        <is>
          <t>RUS</t>
        </is>
      </c>
      <c r="HR184" t="inlineStr">
        <is>
          <t>RUS</t>
        </is>
      </c>
      <c r="HS184" t="inlineStr">
        <is>
          <t>RUS</t>
        </is>
      </c>
      <c r="HT184" t="inlineStr">
        <is>
          <t>RUS</t>
        </is>
      </c>
      <c r="HU184" t="inlineStr">
        <is>
          <t>RUS</t>
        </is>
      </c>
      <c r="HV184" t="inlineStr">
        <is>
          <t>RUS</t>
        </is>
      </c>
      <c r="HW184" t="inlineStr">
        <is>
          <t>RUS</t>
        </is>
      </c>
      <c r="HX184" t="inlineStr">
        <is>
          <t>RUS</t>
        </is>
      </c>
      <c r="HY184" t="inlineStr">
        <is>
          <t>RUS</t>
        </is>
      </c>
      <c r="HZ184" t="inlineStr">
        <is>
          <t>RUS</t>
        </is>
      </c>
      <c r="IA184" t="inlineStr">
        <is>
          <t>RUS</t>
        </is>
      </c>
      <c r="IB184" t="inlineStr">
        <is>
          <t>RUS</t>
        </is>
      </c>
      <c r="IC184" t="inlineStr">
        <is>
          <t>RUS</t>
        </is>
      </c>
      <c r="ID184" t="inlineStr">
        <is>
          <t>RUS</t>
        </is>
      </c>
      <c r="IE184" t="inlineStr">
        <is>
          <t>RUS</t>
        </is>
      </c>
      <c r="IF184" t="inlineStr">
        <is>
          <t>RUS</t>
        </is>
      </c>
      <c r="IG184" t="inlineStr">
        <is>
          <t>RUS</t>
        </is>
      </c>
      <c r="IH184" t="inlineStr">
        <is>
          <t>RUS</t>
        </is>
      </c>
      <c r="II184" t="inlineStr">
        <is>
          <t>RUS</t>
        </is>
      </c>
      <c r="IJ184" t="inlineStr">
        <is>
          <t>RUS</t>
        </is>
      </c>
      <c r="IK184" t="inlineStr">
        <is>
          <t>RUS</t>
        </is>
      </c>
      <c r="IL184" t="inlineStr">
        <is>
          <t>RUS</t>
        </is>
      </c>
      <c r="IM184" t="inlineStr">
        <is>
          <t>RUS</t>
        </is>
      </c>
      <c r="IN184" t="inlineStr">
        <is>
          <t>RUS</t>
        </is>
      </c>
      <c r="IO184" t="inlineStr">
        <is>
          <t>RUS</t>
        </is>
      </c>
      <c r="IP184" t="inlineStr">
        <is>
          <t>RUS</t>
        </is>
      </c>
      <c r="IQ184" t="inlineStr">
        <is>
          <t>RUS</t>
        </is>
      </c>
      <c r="IR184" t="inlineStr">
        <is>
          <t>RUS</t>
        </is>
      </c>
      <c r="IS184" t="inlineStr">
        <is>
          <t>RUS</t>
        </is>
      </c>
      <c r="IT184" t="inlineStr">
        <is>
          <t>RUS</t>
        </is>
      </c>
      <c r="IU184" t="inlineStr">
        <is>
          <t>RUS</t>
        </is>
      </c>
      <c r="IV184" t="inlineStr">
        <is>
          <t>RUS</t>
        </is>
      </c>
      <c r="IW184" t="inlineStr">
        <is>
          <t>RUS</t>
        </is>
      </c>
      <c r="IX184" t="inlineStr">
        <is>
          <t>MNG</t>
        </is>
      </c>
      <c r="IY184" t="inlineStr">
        <is>
          <t>MNG</t>
        </is>
      </c>
      <c r="IZ184" t="inlineStr">
        <is>
          <t>MNG</t>
        </is>
      </c>
      <c r="JA184" t="inlineStr">
        <is>
          <t>MNG</t>
        </is>
      </c>
      <c r="JB184" t="inlineStr">
        <is>
          <t>MNG</t>
        </is>
      </c>
      <c r="JC184" t="inlineStr">
        <is>
          <t>MNG</t>
        </is>
      </c>
      <c r="JD184" t="inlineStr">
        <is>
          <t>MNG</t>
        </is>
      </c>
      <c r="JE184" t="inlineStr">
        <is>
          <t>MNG</t>
        </is>
      </c>
      <c r="JF184" t="inlineStr">
        <is>
          <t>RUS</t>
        </is>
      </c>
      <c r="JG184" t="inlineStr">
        <is>
          <t>RUS</t>
        </is>
      </c>
      <c r="JH184" t="inlineStr">
        <is>
          <t>RUS</t>
        </is>
      </c>
      <c r="JI184" t="inlineStr">
        <is>
          <t>RUS</t>
        </is>
      </c>
      <c r="JJ184" t="inlineStr">
        <is>
          <t>RUS</t>
        </is>
      </c>
      <c r="JK184" t="inlineStr">
        <is>
          <t>RUS</t>
        </is>
      </c>
      <c r="JL184" t="inlineStr">
        <is>
          <t>RUS</t>
        </is>
      </c>
      <c r="JM184" t="inlineStr">
        <is>
          <t>RUS</t>
        </is>
      </c>
      <c r="JN184" t="inlineStr">
        <is>
          <t>RUS</t>
        </is>
      </c>
      <c r="JO184" t="inlineStr">
        <is>
          <t>RUS</t>
        </is>
      </c>
      <c r="JP184" t="inlineStr">
        <is>
          <t>RUS</t>
        </is>
      </c>
      <c r="JQ184" t="inlineStr">
        <is>
          <t>RUS</t>
        </is>
      </c>
      <c r="JR184" t="inlineStr">
        <is>
          <t>RUS</t>
        </is>
      </c>
      <c r="JS184" t="inlineStr">
        <is>
          <t>RUS</t>
        </is>
      </c>
      <c r="JT184" t="inlineStr">
        <is>
          <t>RUS</t>
        </is>
      </c>
      <c r="JU184" t="inlineStr">
        <is>
          <t>RUS</t>
        </is>
      </c>
    </row>
    <row r="185">
      <c r="AQ185" t="inlineStr">
        <is>
          <t>IRL</t>
        </is>
      </c>
      <c r="AR185" t="inlineStr">
        <is>
          <t>IRL</t>
        </is>
      </c>
      <c r="AZ185" t="inlineStr">
        <is>
          <t>GBR</t>
        </is>
      </c>
      <c r="BA185" t="inlineStr">
        <is>
          <t>GBR</t>
        </is>
      </c>
      <c r="BB185" t="inlineStr">
        <is>
          <t>GBR</t>
        </is>
      </c>
      <c r="BC185" t="inlineStr">
        <is>
          <t>GBR</t>
        </is>
      </c>
      <c r="BD185" t="inlineStr">
        <is>
          <t>GBR</t>
        </is>
      </c>
      <c r="BE185" t="inlineStr">
        <is>
          <t>GBR</t>
        </is>
      </c>
      <c r="BF185" t="inlineStr">
        <is>
          <t>GBR</t>
        </is>
      </c>
      <c r="BG185" t="inlineStr">
        <is>
          <t>GBR</t>
        </is>
      </c>
      <c r="BH185" t="inlineStr">
        <is>
          <t>GBR</t>
        </is>
      </c>
      <c r="BI185" t="inlineStr">
        <is>
          <t>GBR</t>
        </is>
      </c>
      <c r="BJ185" t="inlineStr">
        <is>
          <t>GBR</t>
        </is>
      </c>
      <c r="BK185" t="inlineStr">
        <is>
          <t>GBR</t>
        </is>
      </c>
      <c r="BR185" t="inlineStr">
        <is>
          <t>NLD</t>
        </is>
      </c>
      <c r="BS185" t="inlineStr">
        <is>
          <t>NLD</t>
        </is>
      </c>
      <c r="BT185" t="inlineStr">
        <is>
          <t>NLD</t>
        </is>
      </c>
      <c r="BU185" t="inlineStr">
        <is>
          <t>NLD</t>
        </is>
      </c>
      <c r="BV185" t="inlineStr">
        <is>
          <t>DEU</t>
        </is>
      </c>
      <c r="BW185" t="inlineStr">
        <is>
          <t>DEU</t>
        </is>
      </c>
      <c r="BX185" t="inlineStr">
        <is>
          <t>DEU</t>
        </is>
      </c>
      <c r="BY185" t="inlineStr">
        <is>
          <t>DEU</t>
        </is>
      </c>
      <c r="BZ185" t="inlineStr">
        <is>
          <t>DEU</t>
        </is>
      </c>
      <c r="CA185" t="inlineStr">
        <is>
          <t>DEU</t>
        </is>
      </c>
      <c r="CB185" t="inlineStr">
        <is>
          <t>DEU</t>
        </is>
      </c>
      <c r="CC185" t="inlineStr">
        <is>
          <t>DEU</t>
        </is>
      </c>
      <c r="CD185" t="inlineStr">
        <is>
          <t>DEU</t>
        </is>
      </c>
      <c r="CE185" t="inlineStr">
        <is>
          <t>DEU</t>
        </is>
      </c>
      <c r="CF185" t="inlineStr">
        <is>
          <t>DEU</t>
        </is>
      </c>
      <c r="CG185" t="inlineStr">
        <is>
          <t>DEU</t>
        </is>
      </c>
      <c r="CH185" t="inlineStr">
        <is>
          <t>DEU</t>
        </is>
      </c>
      <c r="CI185" t="inlineStr">
        <is>
          <t>DEU</t>
        </is>
      </c>
      <c r="CJ185" t="inlineStr">
        <is>
          <t>DEU</t>
        </is>
      </c>
      <c r="CK185" t="inlineStr">
        <is>
          <t>DEU</t>
        </is>
      </c>
      <c r="CL185" t="inlineStr">
        <is>
          <t>DEU</t>
        </is>
      </c>
      <c r="CM185" t="inlineStr">
        <is>
          <t>POL</t>
        </is>
      </c>
      <c r="CN185" t="inlineStr">
        <is>
          <t>POL</t>
        </is>
      </c>
      <c r="CO185" t="inlineStr">
        <is>
          <t>POL</t>
        </is>
      </c>
      <c r="CP185" t="inlineStr">
        <is>
          <t>POL</t>
        </is>
      </c>
      <c r="CQ185" t="inlineStr">
        <is>
          <t>POL</t>
        </is>
      </c>
      <c r="CR185" t="inlineStr">
        <is>
          <t>POL</t>
        </is>
      </c>
      <c r="CS185" t="inlineStr">
        <is>
          <t>POL</t>
        </is>
      </c>
      <c r="CT185" t="inlineStr">
        <is>
          <t>POL</t>
        </is>
      </c>
      <c r="CU185" t="inlineStr">
        <is>
          <t>POL</t>
        </is>
      </c>
      <c r="CV185" t="inlineStr">
        <is>
          <t>POL</t>
        </is>
      </c>
      <c r="CW185" t="inlineStr">
        <is>
          <t>POL</t>
        </is>
      </c>
      <c r="CX185" t="inlineStr">
        <is>
          <t>POL</t>
        </is>
      </c>
      <c r="CY185" t="inlineStr">
        <is>
          <t>POL</t>
        </is>
      </c>
      <c r="CZ185" t="inlineStr">
        <is>
          <t>POL</t>
        </is>
      </c>
      <c r="DA185" t="inlineStr">
        <is>
          <t>POL</t>
        </is>
      </c>
      <c r="DB185" t="inlineStr">
        <is>
          <t>POL</t>
        </is>
      </c>
      <c r="DC185" t="inlineStr">
        <is>
          <t>POL</t>
        </is>
      </c>
      <c r="DD185" t="inlineStr">
        <is>
          <t>POL</t>
        </is>
      </c>
      <c r="DE185" t="inlineStr">
        <is>
          <t>BLR</t>
        </is>
      </c>
      <c r="DF185" t="inlineStr">
        <is>
          <t>BLR</t>
        </is>
      </c>
      <c r="DG185" t="inlineStr">
        <is>
          <t>UKR</t>
        </is>
      </c>
      <c r="DH185" t="inlineStr">
        <is>
          <t>UKR</t>
        </is>
      </c>
      <c r="DI185" t="inlineStr">
        <is>
          <t>UKR</t>
        </is>
      </c>
      <c r="DJ185" t="inlineStr">
        <is>
          <t>UKR</t>
        </is>
      </c>
      <c r="DK185" t="inlineStr">
        <is>
          <t>BLR</t>
        </is>
      </c>
      <c r="DL185" t="inlineStr">
        <is>
          <t>BLR</t>
        </is>
      </c>
      <c r="DM185" t="inlineStr">
        <is>
          <t>BLR</t>
        </is>
      </c>
      <c r="DN185" t="inlineStr">
        <is>
          <t>BLR</t>
        </is>
      </c>
      <c r="DO185" t="inlineStr">
        <is>
          <t>BLR</t>
        </is>
      </c>
      <c r="DP185" t="inlineStr">
        <is>
          <t>BLR</t>
        </is>
      </c>
      <c r="DQ185" t="inlineStr">
        <is>
          <t>BLR</t>
        </is>
      </c>
      <c r="DR185" t="inlineStr">
        <is>
          <t>BLR</t>
        </is>
      </c>
      <c r="DS185" t="inlineStr">
        <is>
          <t>UKR</t>
        </is>
      </c>
      <c r="DT185" t="inlineStr">
        <is>
          <t>UKR</t>
        </is>
      </c>
      <c r="DU185" t="inlineStr">
        <is>
          <t>UKR</t>
        </is>
      </c>
      <c r="DV185" t="inlineStr">
        <is>
          <t>UKR</t>
        </is>
      </c>
      <c r="DW185" t="inlineStr">
        <is>
          <t>UKR</t>
        </is>
      </c>
      <c r="DX185" t="inlineStr">
        <is>
          <t>UKR</t>
        </is>
      </c>
      <c r="DY185" t="inlineStr">
        <is>
          <t>UKR</t>
        </is>
      </c>
      <c r="DZ185" t="inlineStr">
        <is>
          <t>UKR</t>
        </is>
      </c>
      <c r="EA185" t="inlineStr">
        <is>
          <t>RUS</t>
        </is>
      </c>
      <c r="EB185" t="inlineStr">
        <is>
          <t>RUS</t>
        </is>
      </c>
      <c r="EC185" t="inlineStr">
        <is>
          <t>RUS</t>
        </is>
      </c>
      <c r="ED185" t="inlineStr">
        <is>
          <t>RUS</t>
        </is>
      </c>
      <c r="EE185" t="inlineStr">
        <is>
          <t>RUS</t>
        </is>
      </c>
      <c r="EF185" t="inlineStr">
        <is>
          <t>RUS</t>
        </is>
      </c>
      <c r="EG185" t="inlineStr">
        <is>
          <t>RUS</t>
        </is>
      </c>
      <c r="EH185" t="inlineStr">
        <is>
          <t>RUS</t>
        </is>
      </c>
      <c r="EI185" t="inlineStr">
        <is>
          <t>RUS</t>
        </is>
      </c>
      <c r="EJ185" t="inlineStr">
        <is>
          <t>RUS</t>
        </is>
      </c>
      <c r="EK185" t="inlineStr">
        <is>
          <t>RUS</t>
        </is>
      </c>
      <c r="EL185" t="inlineStr">
        <is>
          <t>RUS</t>
        </is>
      </c>
      <c r="EM185" t="inlineStr">
        <is>
          <t>RUS</t>
        </is>
      </c>
      <c r="EN185" t="inlineStr">
        <is>
          <t>RUS</t>
        </is>
      </c>
      <c r="EO185" t="inlineStr">
        <is>
          <t>RUS</t>
        </is>
      </c>
      <c r="EP185" t="inlineStr">
        <is>
          <t>RUS</t>
        </is>
      </c>
      <c r="EQ185" t="inlineStr">
        <is>
          <t>RUS</t>
        </is>
      </c>
      <c r="ER185" t="inlineStr">
        <is>
          <t>RUS</t>
        </is>
      </c>
      <c r="ES185" t="inlineStr">
        <is>
          <t>RUS</t>
        </is>
      </c>
      <c r="ET185" t="inlineStr">
        <is>
          <t>RUS</t>
        </is>
      </c>
      <c r="EU185" t="inlineStr">
        <is>
          <t>RUS</t>
        </is>
      </c>
      <c r="EV185" t="inlineStr">
        <is>
          <t>RUS</t>
        </is>
      </c>
      <c r="EW185" t="inlineStr">
        <is>
          <t>RUS</t>
        </is>
      </c>
      <c r="EX185" t="inlineStr">
        <is>
          <t>RUS</t>
        </is>
      </c>
      <c r="EY185" t="inlineStr">
        <is>
          <t>RUS</t>
        </is>
      </c>
      <c r="EZ185" t="inlineStr">
        <is>
          <t>RUS</t>
        </is>
      </c>
      <c r="FA185" t="inlineStr">
        <is>
          <t>RUS</t>
        </is>
      </c>
      <c r="FB185" t="inlineStr">
        <is>
          <t>RUS</t>
        </is>
      </c>
      <c r="FC185" t="inlineStr">
        <is>
          <t>RUS</t>
        </is>
      </c>
      <c r="FD185" t="inlineStr">
        <is>
          <t>RUS</t>
        </is>
      </c>
      <c r="FE185" t="inlineStr">
        <is>
          <t>RUS</t>
        </is>
      </c>
      <c r="FF185" t="inlineStr">
        <is>
          <t>RUS</t>
        </is>
      </c>
      <c r="FG185" t="inlineStr">
        <is>
          <t>RUS</t>
        </is>
      </c>
      <c r="FH185" t="inlineStr">
        <is>
          <t>RUS</t>
        </is>
      </c>
      <c r="FI185" t="inlineStr">
        <is>
          <t>RUS</t>
        </is>
      </c>
      <c r="FJ185" t="inlineStr">
        <is>
          <t>RUS</t>
        </is>
      </c>
      <c r="FK185" t="inlineStr">
        <is>
          <t>RUS</t>
        </is>
      </c>
      <c r="FL185" t="inlineStr">
        <is>
          <t>RUS</t>
        </is>
      </c>
      <c r="FM185" t="inlineStr">
        <is>
          <t>RUS</t>
        </is>
      </c>
      <c r="FN185" t="inlineStr">
        <is>
          <t>RUS</t>
        </is>
      </c>
      <c r="FO185" t="inlineStr">
        <is>
          <t>RUS</t>
        </is>
      </c>
      <c r="FP185" t="inlineStr">
        <is>
          <t>RUS</t>
        </is>
      </c>
      <c r="FQ185" t="inlineStr">
        <is>
          <t>RUS</t>
        </is>
      </c>
      <c r="FR185" t="inlineStr">
        <is>
          <t>RUS</t>
        </is>
      </c>
      <c r="FS185" t="inlineStr">
        <is>
          <t>RUS</t>
        </is>
      </c>
      <c r="FT185" t="inlineStr">
        <is>
          <t>RUS</t>
        </is>
      </c>
      <c r="FU185" t="inlineStr">
        <is>
          <t>RUS</t>
        </is>
      </c>
      <c r="FV185" t="inlineStr">
        <is>
          <t>RUS</t>
        </is>
      </c>
      <c r="FW185" t="inlineStr">
        <is>
          <t>RUS</t>
        </is>
      </c>
      <c r="FX185" t="inlineStr">
        <is>
          <t>RUS</t>
        </is>
      </c>
      <c r="FY185" t="inlineStr">
        <is>
          <t>RUS</t>
        </is>
      </c>
      <c r="FZ185" t="inlineStr">
        <is>
          <t>RUS</t>
        </is>
      </c>
      <c r="GA185" t="inlineStr">
        <is>
          <t>KAZ</t>
        </is>
      </c>
      <c r="GB185" t="inlineStr">
        <is>
          <t>KAZ</t>
        </is>
      </c>
      <c r="GC185" t="inlineStr">
        <is>
          <t>KAZ</t>
        </is>
      </c>
      <c r="GD185" t="inlineStr">
        <is>
          <t>KAZ</t>
        </is>
      </c>
      <c r="GE185" t="inlineStr">
        <is>
          <t>KAZ</t>
        </is>
      </c>
      <c r="GF185" t="inlineStr">
        <is>
          <t>KAZ</t>
        </is>
      </c>
      <c r="GG185" t="inlineStr">
        <is>
          <t>KAZ</t>
        </is>
      </c>
      <c r="GH185" t="inlineStr">
        <is>
          <t>KAZ</t>
        </is>
      </c>
      <c r="GI185" t="inlineStr">
        <is>
          <t>KAZ</t>
        </is>
      </c>
      <c r="GJ185" t="inlineStr">
        <is>
          <t>KAZ</t>
        </is>
      </c>
      <c r="GK185" t="inlineStr">
        <is>
          <t>KAZ</t>
        </is>
      </c>
      <c r="GL185" t="inlineStr">
        <is>
          <t>KAZ</t>
        </is>
      </c>
      <c r="GM185" t="inlineStr">
        <is>
          <t>KAZ</t>
        </is>
      </c>
      <c r="GN185" t="inlineStr">
        <is>
          <t>KAZ</t>
        </is>
      </c>
      <c r="GO185" t="inlineStr">
        <is>
          <t>KAZ</t>
        </is>
      </c>
      <c r="GP185" t="inlineStr">
        <is>
          <t>KAZ</t>
        </is>
      </c>
      <c r="GQ185" t="inlineStr">
        <is>
          <t>KAZ</t>
        </is>
      </c>
      <c r="GR185" t="inlineStr">
        <is>
          <t>KAZ</t>
        </is>
      </c>
      <c r="GS185" t="inlineStr">
        <is>
          <t>KAZ</t>
        </is>
      </c>
      <c r="GT185" t="inlineStr">
        <is>
          <t>KAZ</t>
        </is>
      </c>
      <c r="GU185" t="inlineStr">
        <is>
          <t>KAZ</t>
        </is>
      </c>
      <c r="GV185" t="inlineStr">
        <is>
          <t>KAZ</t>
        </is>
      </c>
      <c r="GW185" t="inlineStr">
        <is>
          <t>KAZ</t>
        </is>
      </c>
      <c r="GX185" t="inlineStr">
        <is>
          <t>KAZ</t>
        </is>
      </c>
      <c r="GY185" t="inlineStr">
        <is>
          <t>KAZ</t>
        </is>
      </c>
      <c r="GZ185" t="inlineStr">
        <is>
          <t>KAZ</t>
        </is>
      </c>
      <c r="HA185" t="inlineStr">
        <is>
          <t>KAZ</t>
        </is>
      </c>
      <c r="HB185" t="inlineStr">
        <is>
          <t>KAZ</t>
        </is>
      </c>
      <c r="HC185" t="inlineStr">
        <is>
          <t>KAZ</t>
        </is>
      </c>
      <c r="HD185" t="inlineStr">
        <is>
          <t>KAZ</t>
        </is>
      </c>
      <c r="HE185" t="inlineStr">
        <is>
          <t>KAZ</t>
        </is>
      </c>
      <c r="HF185" t="inlineStr">
        <is>
          <t>KAZ</t>
        </is>
      </c>
      <c r="HG185" t="inlineStr">
        <is>
          <t>KAZ</t>
        </is>
      </c>
      <c r="HH185" t="inlineStr">
        <is>
          <t>KAZ</t>
        </is>
      </c>
      <c r="HI185" t="inlineStr">
        <is>
          <t>KAZ</t>
        </is>
      </c>
      <c r="HJ185" t="inlineStr">
        <is>
          <t>KAZ</t>
        </is>
      </c>
      <c r="HK185" t="inlineStr">
        <is>
          <t>KAZ</t>
        </is>
      </c>
      <c r="HL185" t="inlineStr">
        <is>
          <t>KAZ</t>
        </is>
      </c>
      <c r="HM185" t="inlineStr">
        <is>
          <t>RUS</t>
        </is>
      </c>
      <c r="HN185" t="inlineStr">
        <is>
          <t>RUS</t>
        </is>
      </c>
      <c r="HO185" t="inlineStr">
        <is>
          <t>RUS</t>
        </is>
      </c>
      <c r="HP185" t="inlineStr">
        <is>
          <t>RUS</t>
        </is>
      </c>
      <c r="HQ185" t="inlineStr">
        <is>
          <t>RUS</t>
        </is>
      </c>
      <c r="HR185" t="inlineStr">
        <is>
          <t>RUS</t>
        </is>
      </c>
      <c r="HS185" t="inlineStr">
        <is>
          <t>RUS</t>
        </is>
      </c>
      <c r="HT185" t="inlineStr">
        <is>
          <t>RUS</t>
        </is>
      </c>
      <c r="HU185" t="inlineStr">
        <is>
          <t>RUS</t>
        </is>
      </c>
      <c r="HV185" t="inlineStr">
        <is>
          <t>RUS</t>
        </is>
      </c>
      <c r="HW185" t="inlineStr">
        <is>
          <t>RUS</t>
        </is>
      </c>
      <c r="HX185" t="inlineStr">
        <is>
          <t>RUS</t>
        </is>
      </c>
      <c r="HY185" t="inlineStr">
        <is>
          <t>RUS</t>
        </is>
      </c>
      <c r="HZ185" t="inlineStr">
        <is>
          <t>RUS</t>
        </is>
      </c>
      <c r="IA185" t="inlineStr">
        <is>
          <t>RUS</t>
        </is>
      </c>
      <c r="IB185" t="inlineStr">
        <is>
          <t>RUS</t>
        </is>
      </c>
      <c r="IC185" t="inlineStr">
        <is>
          <t>RUS</t>
        </is>
      </c>
      <c r="ID185" t="inlineStr">
        <is>
          <t>RUS</t>
        </is>
      </c>
      <c r="IE185" t="inlineStr">
        <is>
          <t>RUS</t>
        </is>
      </c>
      <c r="IF185" t="inlineStr">
        <is>
          <t>RUS</t>
        </is>
      </c>
      <c r="IG185" t="inlineStr">
        <is>
          <t>RUS</t>
        </is>
      </c>
      <c r="IH185" t="inlineStr">
        <is>
          <t>RUS</t>
        </is>
      </c>
      <c r="II185" t="inlineStr">
        <is>
          <t>RUS</t>
        </is>
      </c>
      <c r="IJ185" t="inlineStr">
        <is>
          <t>RUS</t>
        </is>
      </c>
      <c r="IK185" t="inlineStr">
        <is>
          <t>RUS</t>
        </is>
      </c>
      <c r="IL185" t="inlineStr">
        <is>
          <t>RUS</t>
        </is>
      </c>
      <c r="IM185" t="inlineStr">
        <is>
          <t>RUS</t>
        </is>
      </c>
      <c r="IN185" t="inlineStr">
        <is>
          <t>RUS</t>
        </is>
      </c>
      <c r="IO185" t="inlineStr">
        <is>
          <t>RUS</t>
        </is>
      </c>
      <c r="IP185" t="inlineStr">
        <is>
          <t>RUS</t>
        </is>
      </c>
      <c r="IQ185" t="inlineStr">
        <is>
          <t>RUS</t>
        </is>
      </c>
      <c r="IR185" t="inlineStr">
        <is>
          <t>RUS</t>
        </is>
      </c>
      <c r="IS185" t="inlineStr">
        <is>
          <t>RUS</t>
        </is>
      </c>
      <c r="IT185" t="inlineStr">
        <is>
          <t>RUS</t>
        </is>
      </c>
      <c r="IU185" t="inlineStr">
        <is>
          <t>RUS</t>
        </is>
      </c>
      <c r="IV185" t="inlineStr">
        <is>
          <t>RUS</t>
        </is>
      </c>
      <c r="IW185" t="inlineStr">
        <is>
          <t>RUS</t>
        </is>
      </c>
      <c r="IX185" t="inlineStr">
        <is>
          <t>RUS</t>
        </is>
      </c>
      <c r="IY185" t="inlineStr">
        <is>
          <t>MNG</t>
        </is>
      </c>
      <c r="IZ185" t="inlineStr">
        <is>
          <t>MNG</t>
        </is>
      </c>
      <c r="JA185" t="inlineStr">
        <is>
          <t>RUS</t>
        </is>
      </c>
      <c r="JB185" t="inlineStr">
        <is>
          <t>RUS</t>
        </is>
      </c>
      <c r="JC185" t="inlineStr">
        <is>
          <t>RUS</t>
        </is>
      </c>
      <c r="JD185" t="inlineStr">
        <is>
          <t>RUS</t>
        </is>
      </c>
      <c r="JE185" t="inlineStr">
        <is>
          <t>RUS</t>
        </is>
      </c>
      <c r="JF185" t="inlineStr">
        <is>
          <t>RUS</t>
        </is>
      </c>
      <c r="JG185" t="inlineStr">
        <is>
          <t>RUS</t>
        </is>
      </c>
      <c r="JH185" t="inlineStr">
        <is>
          <t>RUS</t>
        </is>
      </c>
      <c r="JI185" t="inlineStr">
        <is>
          <t>RUS</t>
        </is>
      </c>
      <c r="JJ185" t="inlineStr">
        <is>
          <t>RUS</t>
        </is>
      </c>
      <c r="JK185" t="inlineStr">
        <is>
          <t>RUS</t>
        </is>
      </c>
      <c r="JL185" t="inlineStr">
        <is>
          <t>RUS</t>
        </is>
      </c>
      <c r="JM185" t="inlineStr">
        <is>
          <t>RUS</t>
        </is>
      </c>
      <c r="JN185" t="inlineStr">
        <is>
          <t>RUS</t>
        </is>
      </c>
      <c r="JO185" t="inlineStr">
        <is>
          <t>RUS</t>
        </is>
      </c>
      <c r="JP185" t="inlineStr">
        <is>
          <t>RUS</t>
        </is>
      </c>
      <c r="JQ185" t="inlineStr">
        <is>
          <t>RUS</t>
        </is>
      </c>
      <c r="JR185" t="inlineStr">
        <is>
          <t>RUS</t>
        </is>
      </c>
      <c r="JS185" t="inlineStr">
        <is>
          <t>RUS</t>
        </is>
      </c>
      <c r="JT185" t="inlineStr">
        <is>
          <t>RUS</t>
        </is>
      </c>
      <c r="JU185" t="inlineStr">
        <is>
          <t>RUS</t>
        </is>
      </c>
    </row>
    <row r="186">
      <c r="AQ186" t="inlineStr">
        <is>
          <t>IRL</t>
        </is>
      </c>
      <c r="AR186" t="inlineStr">
        <is>
          <t>IRL</t>
        </is>
      </c>
      <c r="AS186" t="inlineStr">
        <is>
          <t>IRL</t>
        </is>
      </c>
      <c r="AT186" t="inlineStr">
        <is>
          <t>IRL</t>
        </is>
      </c>
      <c r="AU186" t="inlineStr">
        <is>
          <t>IRL</t>
        </is>
      </c>
      <c r="BA186" t="inlineStr">
        <is>
          <t>GBR</t>
        </is>
      </c>
      <c r="BB186" t="inlineStr">
        <is>
          <t>GBR</t>
        </is>
      </c>
      <c r="BC186" t="inlineStr">
        <is>
          <t>GBR</t>
        </is>
      </c>
      <c r="BD186" t="inlineStr">
        <is>
          <t>GBR</t>
        </is>
      </c>
      <c r="BE186" t="inlineStr">
        <is>
          <t>GBR</t>
        </is>
      </c>
      <c r="BF186" t="inlineStr">
        <is>
          <t>GBR</t>
        </is>
      </c>
      <c r="BG186" t="inlineStr">
        <is>
          <t>GBR</t>
        </is>
      </c>
      <c r="BH186" t="inlineStr">
        <is>
          <t>GBR</t>
        </is>
      </c>
      <c r="BI186" t="inlineStr">
        <is>
          <t>GBR</t>
        </is>
      </c>
      <c r="BJ186" t="inlineStr">
        <is>
          <t>GBR</t>
        </is>
      </c>
      <c r="BK186" t="inlineStr">
        <is>
          <t>GBR</t>
        </is>
      </c>
      <c r="BL186" t="inlineStr">
        <is>
          <t>GBR</t>
        </is>
      </c>
      <c r="BR186" t="inlineStr">
        <is>
          <t>NLD</t>
        </is>
      </c>
      <c r="BS186" t="inlineStr">
        <is>
          <t>NLD</t>
        </is>
      </c>
      <c r="BT186" t="inlineStr">
        <is>
          <t>NLD</t>
        </is>
      </c>
      <c r="BU186" t="inlineStr">
        <is>
          <t>NLD</t>
        </is>
      </c>
      <c r="BV186" t="inlineStr">
        <is>
          <t>NLD</t>
        </is>
      </c>
      <c r="BW186" t="inlineStr">
        <is>
          <t>NLD</t>
        </is>
      </c>
      <c r="BX186" t="inlineStr">
        <is>
          <t>DEU</t>
        </is>
      </c>
      <c r="BY186" t="inlineStr">
        <is>
          <t>DEU</t>
        </is>
      </c>
      <c r="BZ186" t="inlineStr">
        <is>
          <t>DEU</t>
        </is>
      </c>
      <c r="CA186" t="inlineStr">
        <is>
          <t>DEU</t>
        </is>
      </c>
      <c r="CB186" t="inlineStr">
        <is>
          <t>DEU</t>
        </is>
      </c>
      <c r="CC186" t="inlineStr">
        <is>
          <t>DEU</t>
        </is>
      </c>
      <c r="CD186" t="inlineStr">
        <is>
          <t>DEU</t>
        </is>
      </c>
      <c r="CE186" t="inlineStr">
        <is>
          <t>DEU</t>
        </is>
      </c>
      <c r="CF186" t="inlineStr">
        <is>
          <t>DEU</t>
        </is>
      </c>
      <c r="CG186" t="inlineStr">
        <is>
          <t>DEU</t>
        </is>
      </c>
      <c r="CH186" t="inlineStr">
        <is>
          <t>DEU</t>
        </is>
      </c>
      <c r="CI186" t="inlineStr">
        <is>
          <t>DEU</t>
        </is>
      </c>
      <c r="CJ186" t="inlineStr">
        <is>
          <t>DEU</t>
        </is>
      </c>
      <c r="CK186" t="inlineStr">
        <is>
          <t>DEU</t>
        </is>
      </c>
      <c r="CL186" t="inlineStr">
        <is>
          <t>DEU</t>
        </is>
      </c>
      <c r="CM186" t="inlineStr">
        <is>
          <t>POL</t>
        </is>
      </c>
      <c r="CN186" t="inlineStr">
        <is>
          <t>POL</t>
        </is>
      </c>
      <c r="CO186" t="inlineStr">
        <is>
          <t>POL</t>
        </is>
      </c>
      <c r="CP186" t="inlineStr">
        <is>
          <t>POL</t>
        </is>
      </c>
      <c r="CQ186" t="inlineStr">
        <is>
          <t>POL</t>
        </is>
      </c>
      <c r="CR186" t="inlineStr">
        <is>
          <t>POL</t>
        </is>
      </c>
      <c r="CS186" t="inlineStr">
        <is>
          <t>POL</t>
        </is>
      </c>
      <c r="CT186" t="inlineStr">
        <is>
          <t>POL</t>
        </is>
      </c>
      <c r="CU186" t="inlineStr">
        <is>
          <t>POL</t>
        </is>
      </c>
      <c r="CV186" t="inlineStr">
        <is>
          <t>POL</t>
        </is>
      </c>
      <c r="CW186" t="inlineStr">
        <is>
          <t>POL</t>
        </is>
      </c>
      <c r="CX186" t="inlineStr">
        <is>
          <t>POL</t>
        </is>
      </c>
      <c r="CY186" t="inlineStr">
        <is>
          <t>POL</t>
        </is>
      </c>
      <c r="CZ186" t="inlineStr">
        <is>
          <t>POL</t>
        </is>
      </c>
      <c r="DA186" t="inlineStr">
        <is>
          <t>POL</t>
        </is>
      </c>
      <c r="DB186" t="inlineStr">
        <is>
          <t>POL</t>
        </is>
      </c>
      <c r="DC186" t="inlineStr">
        <is>
          <t>POL</t>
        </is>
      </c>
      <c r="DD186" t="inlineStr">
        <is>
          <t>POL</t>
        </is>
      </c>
      <c r="DE186" t="inlineStr">
        <is>
          <t>BLR</t>
        </is>
      </c>
      <c r="DF186" t="inlineStr">
        <is>
          <t>BLR</t>
        </is>
      </c>
      <c r="DG186" t="inlineStr">
        <is>
          <t>BLR</t>
        </is>
      </c>
      <c r="DH186" t="inlineStr">
        <is>
          <t>BLR</t>
        </is>
      </c>
      <c r="DI186" t="inlineStr">
        <is>
          <t>BLR</t>
        </is>
      </c>
      <c r="DJ186" t="inlineStr">
        <is>
          <t>BLR</t>
        </is>
      </c>
      <c r="DK186" t="inlineStr">
        <is>
          <t>BLR</t>
        </is>
      </c>
      <c r="DL186" t="inlineStr">
        <is>
          <t>BLR</t>
        </is>
      </c>
      <c r="DM186" t="inlineStr">
        <is>
          <t>BLR</t>
        </is>
      </c>
      <c r="DN186" t="inlineStr">
        <is>
          <t>BLR</t>
        </is>
      </c>
      <c r="DO186" t="inlineStr">
        <is>
          <t>BLR</t>
        </is>
      </c>
      <c r="DP186" t="inlineStr">
        <is>
          <t>BLR</t>
        </is>
      </c>
      <c r="DQ186" t="inlineStr">
        <is>
          <t>BLR</t>
        </is>
      </c>
      <c r="DR186" t="inlineStr">
        <is>
          <t>BLR</t>
        </is>
      </c>
      <c r="DS186" t="inlineStr">
        <is>
          <t>BLR</t>
        </is>
      </c>
      <c r="DT186" t="inlineStr">
        <is>
          <t>BLR</t>
        </is>
      </c>
      <c r="DU186" t="inlineStr">
        <is>
          <t>RUS</t>
        </is>
      </c>
      <c r="DV186" t="inlineStr">
        <is>
          <t>RUS</t>
        </is>
      </c>
      <c r="DW186" t="inlineStr">
        <is>
          <t>RUS</t>
        </is>
      </c>
      <c r="DX186" t="inlineStr">
        <is>
          <t>UKR</t>
        </is>
      </c>
      <c r="DY186" t="inlineStr">
        <is>
          <t>UKR</t>
        </is>
      </c>
      <c r="DZ186" t="inlineStr">
        <is>
          <t>RUS</t>
        </is>
      </c>
      <c r="EA186" t="inlineStr">
        <is>
          <t>RUS</t>
        </is>
      </c>
      <c r="EB186" t="inlineStr">
        <is>
          <t>RUS</t>
        </is>
      </c>
      <c r="EC186" t="inlineStr">
        <is>
          <t>RUS</t>
        </is>
      </c>
      <c r="ED186" t="inlineStr">
        <is>
          <t>RUS</t>
        </is>
      </c>
      <c r="EE186" t="inlineStr">
        <is>
          <t>RUS</t>
        </is>
      </c>
      <c r="EF186" t="inlineStr">
        <is>
          <t>RUS</t>
        </is>
      </c>
      <c r="EG186" t="inlineStr">
        <is>
          <t>RUS</t>
        </is>
      </c>
      <c r="EH186" t="inlineStr">
        <is>
          <t>RUS</t>
        </is>
      </c>
      <c r="EI186" t="inlineStr">
        <is>
          <t>RUS</t>
        </is>
      </c>
      <c r="EJ186" t="inlineStr">
        <is>
          <t>RUS</t>
        </is>
      </c>
      <c r="EK186" t="inlineStr">
        <is>
          <t>RUS</t>
        </is>
      </c>
      <c r="EL186" t="inlineStr">
        <is>
          <t>RUS</t>
        </is>
      </c>
      <c r="EM186" t="inlineStr">
        <is>
          <t>RUS</t>
        </is>
      </c>
      <c r="EN186" t="inlineStr">
        <is>
          <t>RUS</t>
        </is>
      </c>
      <c r="EO186" t="inlineStr">
        <is>
          <t>RUS</t>
        </is>
      </c>
      <c r="EP186" t="inlineStr">
        <is>
          <t>RUS</t>
        </is>
      </c>
      <c r="EQ186" t="inlineStr">
        <is>
          <t>RUS</t>
        </is>
      </c>
      <c r="ER186" t="inlineStr">
        <is>
          <t>RUS</t>
        </is>
      </c>
      <c r="ES186" t="inlineStr">
        <is>
          <t>RUS</t>
        </is>
      </c>
      <c r="ET186" t="inlineStr">
        <is>
          <t>RUS</t>
        </is>
      </c>
      <c r="EU186" t="inlineStr">
        <is>
          <t>RUS</t>
        </is>
      </c>
      <c r="EV186" t="inlineStr">
        <is>
          <t>RUS</t>
        </is>
      </c>
      <c r="EW186" t="inlineStr">
        <is>
          <t>RUS</t>
        </is>
      </c>
      <c r="EX186" t="inlineStr">
        <is>
          <t>RUS</t>
        </is>
      </c>
      <c r="EY186" t="inlineStr">
        <is>
          <t>RUS</t>
        </is>
      </c>
      <c r="EZ186" t="inlineStr">
        <is>
          <t>RUS</t>
        </is>
      </c>
      <c r="FA186" t="inlineStr">
        <is>
          <t>RUS</t>
        </is>
      </c>
      <c r="FB186" t="inlineStr">
        <is>
          <t>RUS</t>
        </is>
      </c>
      <c r="FC186" t="inlineStr">
        <is>
          <t>RUS</t>
        </is>
      </c>
      <c r="FD186" t="inlineStr">
        <is>
          <t>RUS</t>
        </is>
      </c>
      <c r="FE186" t="inlineStr">
        <is>
          <t>RUS</t>
        </is>
      </c>
      <c r="FF186" t="inlineStr">
        <is>
          <t>RUS</t>
        </is>
      </c>
      <c r="FG186" t="inlineStr">
        <is>
          <t>RUS</t>
        </is>
      </c>
      <c r="FH186" t="inlineStr">
        <is>
          <t>RUS</t>
        </is>
      </c>
      <c r="FI186" t="inlineStr">
        <is>
          <t>RUS</t>
        </is>
      </c>
      <c r="FJ186" t="inlineStr">
        <is>
          <t>RUS</t>
        </is>
      </c>
      <c r="FK186" t="inlineStr">
        <is>
          <t>RUS</t>
        </is>
      </c>
      <c r="FL186" t="inlineStr">
        <is>
          <t>RUS</t>
        </is>
      </c>
      <c r="FM186" t="inlineStr">
        <is>
          <t>RUS</t>
        </is>
      </c>
      <c r="FN186" t="inlineStr">
        <is>
          <t>RUS</t>
        </is>
      </c>
      <c r="FO186" t="inlineStr">
        <is>
          <t>RUS</t>
        </is>
      </c>
      <c r="FP186" t="inlineStr">
        <is>
          <t>RUS</t>
        </is>
      </c>
      <c r="FQ186" t="inlineStr">
        <is>
          <t>RUS</t>
        </is>
      </c>
      <c r="FR186" t="inlineStr">
        <is>
          <t>RUS</t>
        </is>
      </c>
      <c r="FS186" t="inlineStr">
        <is>
          <t>RUS</t>
        </is>
      </c>
      <c r="FT186" t="inlineStr">
        <is>
          <t>RUS</t>
        </is>
      </c>
      <c r="FU186" t="inlineStr">
        <is>
          <t>RUS</t>
        </is>
      </c>
      <c r="FV186" t="inlineStr">
        <is>
          <t>RUS</t>
        </is>
      </c>
      <c r="FW186" t="inlineStr">
        <is>
          <t>RUS</t>
        </is>
      </c>
      <c r="FX186" t="inlineStr">
        <is>
          <t>RUS</t>
        </is>
      </c>
      <c r="FY186" t="inlineStr">
        <is>
          <t>RUS</t>
        </is>
      </c>
      <c r="FZ186" t="inlineStr">
        <is>
          <t>RUS</t>
        </is>
      </c>
      <c r="GA186" t="inlineStr">
        <is>
          <t>KAZ</t>
        </is>
      </c>
      <c r="GB186" t="inlineStr">
        <is>
          <t>KAZ</t>
        </is>
      </c>
      <c r="GC186" t="inlineStr">
        <is>
          <t>KAZ</t>
        </is>
      </c>
      <c r="GD186" t="inlineStr">
        <is>
          <t>KAZ</t>
        </is>
      </c>
      <c r="GE186" t="inlineStr">
        <is>
          <t>KAZ</t>
        </is>
      </c>
      <c r="GF186" t="inlineStr">
        <is>
          <t>KAZ</t>
        </is>
      </c>
      <c r="GG186" t="inlineStr">
        <is>
          <t>KAZ</t>
        </is>
      </c>
      <c r="GH186" t="inlineStr">
        <is>
          <t>KAZ</t>
        </is>
      </c>
      <c r="GI186" t="inlineStr">
        <is>
          <t>KAZ</t>
        </is>
      </c>
      <c r="GJ186" t="inlineStr">
        <is>
          <t>KAZ</t>
        </is>
      </c>
      <c r="GK186" t="inlineStr">
        <is>
          <t>KAZ</t>
        </is>
      </c>
      <c r="GL186" t="inlineStr">
        <is>
          <t>KAZ</t>
        </is>
      </c>
      <c r="GM186" t="inlineStr">
        <is>
          <t>KAZ</t>
        </is>
      </c>
      <c r="GN186" t="inlineStr">
        <is>
          <t>KAZ</t>
        </is>
      </c>
      <c r="GO186" t="inlineStr">
        <is>
          <t>KAZ</t>
        </is>
      </c>
      <c r="GP186" t="inlineStr">
        <is>
          <t>KAZ</t>
        </is>
      </c>
      <c r="GQ186" t="inlineStr">
        <is>
          <t>KAZ</t>
        </is>
      </c>
      <c r="GR186" t="inlineStr">
        <is>
          <t>KAZ</t>
        </is>
      </c>
      <c r="GS186" t="inlineStr">
        <is>
          <t>KAZ</t>
        </is>
      </c>
      <c r="GT186" t="inlineStr">
        <is>
          <t>KAZ</t>
        </is>
      </c>
      <c r="GU186" t="inlineStr">
        <is>
          <t>KAZ</t>
        </is>
      </c>
      <c r="GV186" t="inlineStr">
        <is>
          <t>KAZ</t>
        </is>
      </c>
      <c r="GW186" t="inlineStr">
        <is>
          <t>KAZ</t>
        </is>
      </c>
      <c r="GX186" t="inlineStr">
        <is>
          <t>KAZ</t>
        </is>
      </c>
      <c r="GY186" t="inlineStr">
        <is>
          <t>KAZ</t>
        </is>
      </c>
      <c r="GZ186" t="inlineStr">
        <is>
          <t>KAZ</t>
        </is>
      </c>
      <c r="HA186" t="inlineStr">
        <is>
          <t>KAZ</t>
        </is>
      </c>
      <c r="HB186" t="inlineStr">
        <is>
          <t>KAZ</t>
        </is>
      </c>
      <c r="HC186" t="inlineStr">
        <is>
          <t>KAZ</t>
        </is>
      </c>
      <c r="HD186" t="inlineStr">
        <is>
          <t>KAZ</t>
        </is>
      </c>
      <c r="HE186" t="inlineStr">
        <is>
          <t>KAZ</t>
        </is>
      </c>
      <c r="HF186" t="inlineStr">
        <is>
          <t>KAZ</t>
        </is>
      </c>
      <c r="HG186" t="inlineStr">
        <is>
          <t>KAZ</t>
        </is>
      </c>
      <c r="HH186" t="inlineStr">
        <is>
          <t>KAZ</t>
        </is>
      </c>
      <c r="HI186" t="inlineStr">
        <is>
          <t>KAZ</t>
        </is>
      </c>
      <c r="HJ186" t="inlineStr">
        <is>
          <t>KAZ</t>
        </is>
      </c>
      <c r="HK186" t="inlineStr">
        <is>
          <t>KAZ</t>
        </is>
      </c>
      <c r="HL186" t="inlineStr">
        <is>
          <t>RUS</t>
        </is>
      </c>
      <c r="HM186" t="inlineStr">
        <is>
          <t>RUS</t>
        </is>
      </c>
      <c r="HN186" t="inlineStr">
        <is>
          <t>RUS</t>
        </is>
      </c>
      <c r="HO186" t="inlineStr">
        <is>
          <t>RUS</t>
        </is>
      </c>
      <c r="HP186" t="inlineStr">
        <is>
          <t>RUS</t>
        </is>
      </c>
      <c r="HQ186" t="inlineStr">
        <is>
          <t>RUS</t>
        </is>
      </c>
      <c r="HR186" t="inlineStr">
        <is>
          <t>RUS</t>
        </is>
      </c>
      <c r="HS186" t="inlineStr">
        <is>
          <t>RUS</t>
        </is>
      </c>
      <c r="HT186" t="inlineStr">
        <is>
          <t>RUS</t>
        </is>
      </c>
      <c r="HU186" t="inlineStr">
        <is>
          <t>RUS</t>
        </is>
      </c>
      <c r="HV186" t="inlineStr">
        <is>
          <t>RUS</t>
        </is>
      </c>
      <c r="HW186" t="inlineStr">
        <is>
          <t>RUS</t>
        </is>
      </c>
      <c r="HX186" t="inlineStr">
        <is>
          <t>RUS</t>
        </is>
      </c>
      <c r="HY186" t="inlineStr">
        <is>
          <t>RUS</t>
        </is>
      </c>
      <c r="HZ186" t="inlineStr">
        <is>
          <t>RUS</t>
        </is>
      </c>
      <c r="IA186" t="inlineStr">
        <is>
          <t>RUS</t>
        </is>
      </c>
      <c r="IB186" t="inlineStr">
        <is>
          <t>RUS</t>
        </is>
      </c>
      <c r="IC186" t="inlineStr">
        <is>
          <t>RUS</t>
        </is>
      </c>
      <c r="ID186" t="inlineStr">
        <is>
          <t>RUS</t>
        </is>
      </c>
      <c r="IE186" t="inlineStr">
        <is>
          <t>RUS</t>
        </is>
      </c>
      <c r="IF186" t="inlineStr">
        <is>
          <t>RUS</t>
        </is>
      </c>
      <c r="IG186" t="inlineStr">
        <is>
          <t>RUS</t>
        </is>
      </c>
      <c r="IH186" t="inlineStr">
        <is>
          <t>RUS</t>
        </is>
      </c>
      <c r="II186" t="inlineStr">
        <is>
          <t>RUS</t>
        </is>
      </c>
      <c r="IJ186" t="inlineStr">
        <is>
          <t>RUS</t>
        </is>
      </c>
      <c r="IK186" t="inlineStr">
        <is>
          <t>RUS</t>
        </is>
      </c>
      <c r="IL186" t="inlineStr">
        <is>
          <t>RUS</t>
        </is>
      </c>
      <c r="IM186" t="inlineStr">
        <is>
          <t>RUS</t>
        </is>
      </c>
      <c r="IN186" t="inlineStr">
        <is>
          <t>RUS</t>
        </is>
      </c>
      <c r="IO186" t="inlineStr">
        <is>
          <t>RUS</t>
        </is>
      </c>
      <c r="IP186" t="inlineStr">
        <is>
          <t>RUS</t>
        </is>
      </c>
      <c r="IQ186" t="inlineStr">
        <is>
          <t>RUS</t>
        </is>
      </c>
      <c r="IR186" t="inlineStr">
        <is>
          <t>RUS</t>
        </is>
      </c>
      <c r="IS186" t="inlineStr">
        <is>
          <t>RUS</t>
        </is>
      </c>
      <c r="IT186" t="inlineStr">
        <is>
          <t>RUS</t>
        </is>
      </c>
      <c r="IU186" t="inlineStr">
        <is>
          <t>RUS</t>
        </is>
      </c>
      <c r="IV186" t="inlineStr">
        <is>
          <t>RUS</t>
        </is>
      </c>
      <c r="IW186" t="inlineStr">
        <is>
          <t>RUS</t>
        </is>
      </c>
      <c r="IX186" t="inlineStr">
        <is>
          <t>RUS</t>
        </is>
      </c>
      <c r="IY186" t="inlineStr">
        <is>
          <t>RUS</t>
        </is>
      </c>
      <c r="IZ186" t="inlineStr">
        <is>
          <t>RUS</t>
        </is>
      </c>
      <c r="JA186" t="inlineStr">
        <is>
          <t>RUS</t>
        </is>
      </c>
      <c r="JB186" t="inlineStr">
        <is>
          <t>RUS</t>
        </is>
      </c>
      <c r="JC186" t="inlineStr">
        <is>
          <t>RUS</t>
        </is>
      </c>
      <c r="JD186" t="inlineStr">
        <is>
          <t>RUS</t>
        </is>
      </c>
      <c r="JE186" t="inlineStr">
        <is>
          <t>RUS</t>
        </is>
      </c>
      <c r="JF186" t="inlineStr">
        <is>
          <t>RUS</t>
        </is>
      </c>
      <c r="JG186" t="inlineStr">
        <is>
          <t>RUS</t>
        </is>
      </c>
      <c r="JH186" t="inlineStr">
        <is>
          <t>RUS</t>
        </is>
      </c>
      <c r="JI186" t="inlineStr">
        <is>
          <t>RUS</t>
        </is>
      </c>
      <c r="JJ186" t="inlineStr">
        <is>
          <t>RUS</t>
        </is>
      </c>
      <c r="JK186" t="inlineStr">
        <is>
          <t>RUS</t>
        </is>
      </c>
      <c r="JL186" t="inlineStr">
        <is>
          <t>RUS</t>
        </is>
      </c>
      <c r="JM186" t="inlineStr">
        <is>
          <t>RUS</t>
        </is>
      </c>
      <c r="JN186" t="inlineStr">
        <is>
          <t>RUS</t>
        </is>
      </c>
      <c r="JO186" t="inlineStr">
        <is>
          <t>RUS</t>
        </is>
      </c>
      <c r="JP186" t="inlineStr">
        <is>
          <t>RUS</t>
        </is>
      </c>
      <c r="JQ186" t="inlineStr">
        <is>
          <t>RUS</t>
        </is>
      </c>
      <c r="JR186" t="inlineStr">
        <is>
          <t>RUS</t>
        </is>
      </c>
      <c r="JS186" t="inlineStr">
        <is>
          <t>RUS</t>
        </is>
      </c>
      <c r="JT186" t="inlineStr">
        <is>
          <t>RUS</t>
        </is>
      </c>
      <c r="JU186" t="inlineStr">
        <is>
          <t>RUS</t>
        </is>
      </c>
    </row>
    <row r="187">
      <c r="AQ187" t="inlineStr">
        <is>
          <t>IRL</t>
        </is>
      </c>
      <c r="AR187" t="inlineStr">
        <is>
          <t>IRL</t>
        </is>
      </c>
      <c r="AS187" t="inlineStr">
        <is>
          <t>IRL</t>
        </is>
      </c>
      <c r="AT187" t="inlineStr">
        <is>
          <t>IRL</t>
        </is>
      </c>
      <c r="AU187" t="inlineStr">
        <is>
          <t>IRL</t>
        </is>
      </c>
      <c r="AV187" t="inlineStr">
        <is>
          <t>IRL</t>
        </is>
      </c>
      <c r="BA187" t="inlineStr">
        <is>
          <t>GBR</t>
        </is>
      </c>
      <c r="BB187" t="inlineStr">
        <is>
          <t>GBR</t>
        </is>
      </c>
      <c r="BC187" t="inlineStr">
        <is>
          <t>GBR</t>
        </is>
      </c>
      <c r="BD187" t="inlineStr">
        <is>
          <t>GBR</t>
        </is>
      </c>
      <c r="BE187" t="inlineStr">
        <is>
          <t>GBR</t>
        </is>
      </c>
      <c r="BF187" t="inlineStr">
        <is>
          <t>GBR</t>
        </is>
      </c>
      <c r="BG187" t="inlineStr">
        <is>
          <t>GBR</t>
        </is>
      </c>
      <c r="BH187" t="inlineStr">
        <is>
          <t>GBR</t>
        </is>
      </c>
      <c r="BI187" t="inlineStr">
        <is>
          <t>GBR</t>
        </is>
      </c>
      <c r="BJ187" t="inlineStr">
        <is>
          <t>GBR</t>
        </is>
      </c>
      <c r="BK187" t="inlineStr">
        <is>
          <t>GBR</t>
        </is>
      </c>
      <c r="BL187" t="inlineStr">
        <is>
          <t>GBR</t>
        </is>
      </c>
      <c r="BS187" t="inlineStr">
        <is>
          <t>NLD</t>
        </is>
      </c>
      <c r="BT187" t="inlineStr">
        <is>
          <t>NLD</t>
        </is>
      </c>
      <c r="BU187" t="inlineStr">
        <is>
          <t>NLD</t>
        </is>
      </c>
      <c r="BV187" t="inlineStr">
        <is>
          <t>NLD</t>
        </is>
      </c>
      <c r="BW187" t="inlineStr">
        <is>
          <t>NLD</t>
        </is>
      </c>
      <c r="BX187" t="inlineStr">
        <is>
          <t>DEU</t>
        </is>
      </c>
      <c r="BY187" t="inlineStr">
        <is>
          <t>DEU</t>
        </is>
      </c>
      <c r="BZ187" t="inlineStr">
        <is>
          <t>DEU</t>
        </is>
      </c>
      <c r="CA187" t="inlineStr">
        <is>
          <t>DEU</t>
        </is>
      </c>
      <c r="CB187" t="inlineStr">
        <is>
          <t>DEU</t>
        </is>
      </c>
      <c r="CC187" t="inlineStr">
        <is>
          <t>DEU</t>
        </is>
      </c>
      <c r="CD187" t="inlineStr">
        <is>
          <t>DEU</t>
        </is>
      </c>
      <c r="CE187" t="inlineStr">
        <is>
          <t>DEU</t>
        </is>
      </c>
      <c r="CF187" t="inlineStr">
        <is>
          <t>DEU</t>
        </is>
      </c>
      <c r="CG187" t="inlineStr">
        <is>
          <t>DEU</t>
        </is>
      </c>
      <c r="CH187" t="inlineStr">
        <is>
          <t>DEU</t>
        </is>
      </c>
      <c r="CI187" t="inlineStr">
        <is>
          <t>DEU</t>
        </is>
      </c>
      <c r="CJ187" t="inlineStr">
        <is>
          <t>DEU</t>
        </is>
      </c>
      <c r="CK187" t="inlineStr">
        <is>
          <t>DEU</t>
        </is>
      </c>
      <c r="CL187" t="inlineStr">
        <is>
          <t>DEU</t>
        </is>
      </c>
      <c r="CM187" t="inlineStr">
        <is>
          <t>POL</t>
        </is>
      </c>
      <c r="CN187" t="inlineStr">
        <is>
          <t>POL</t>
        </is>
      </c>
      <c r="CO187" t="inlineStr">
        <is>
          <t>POL</t>
        </is>
      </c>
      <c r="CP187" t="inlineStr">
        <is>
          <t>POL</t>
        </is>
      </c>
      <c r="CQ187" t="inlineStr">
        <is>
          <t>POL</t>
        </is>
      </c>
      <c r="CR187" t="inlineStr">
        <is>
          <t>POL</t>
        </is>
      </c>
      <c r="CS187" t="inlineStr">
        <is>
          <t>POL</t>
        </is>
      </c>
      <c r="CT187" t="inlineStr">
        <is>
          <t>POL</t>
        </is>
      </c>
      <c r="CU187" t="inlineStr">
        <is>
          <t>POL</t>
        </is>
      </c>
      <c r="CV187" t="inlineStr">
        <is>
          <t>POL</t>
        </is>
      </c>
      <c r="CW187" t="inlineStr">
        <is>
          <t>POL</t>
        </is>
      </c>
      <c r="CX187" t="inlineStr">
        <is>
          <t>POL</t>
        </is>
      </c>
      <c r="CY187" t="inlineStr">
        <is>
          <t>POL</t>
        </is>
      </c>
      <c r="CZ187" t="inlineStr">
        <is>
          <t>POL</t>
        </is>
      </c>
      <c r="DA187" t="inlineStr">
        <is>
          <t>POL</t>
        </is>
      </c>
      <c r="DB187" t="inlineStr">
        <is>
          <t>POL</t>
        </is>
      </c>
      <c r="DC187" t="inlineStr">
        <is>
          <t>POL</t>
        </is>
      </c>
      <c r="DD187" t="inlineStr">
        <is>
          <t>POL</t>
        </is>
      </c>
      <c r="DE187" t="inlineStr">
        <is>
          <t>POL</t>
        </is>
      </c>
      <c r="DF187" t="inlineStr">
        <is>
          <t>BLR</t>
        </is>
      </c>
      <c r="DG187" t="inlineStr">
        <is>
          <t>BLR</t>
        </is>
      </c>
      <c r="DH187" t="inlineStr">
        <is>
          <t>BLR</t>
        </is>
      </c>
      <c r="DI187" t="inlineStr">
        <is>
          <t>BLR</t>
        </is>
      </c>
      <c r="DJ187" t="inlineStr">
        <is>
          <t>BLR</t>
        </is>
      </c>
      <c r="DK187" t="inlineStr">
        <is>
          <t>BLR</t>
        </is>
      </c>
      <c r="DL187" t="inlineStr">
        <is>
          <t>BLR</t>
        </is>
      </c>
      <c r="DM187" t="inlineStr">
        <is>
          <t>BLR</t>
        </is>
      </c>
      <c r="DN187" t="inlineStr">
        <is>
          <t>BLR</t>
        </is>
      </c>
      <c r="DO187" t="inlineStr">
        <is>
          <t>BLR</t>
        </is>
      </c>
      <c r="DP187" t="inlineStr">
        <is>
          <t>BLR</t>
        </is>
      </c>
      <c r="DQ187" t="inlineStr">
        <is>
          <t>BLR</t>
        </is>
      </c>
      <c r="DR187" t="inlineStr">
        <is>
          <t>BLR</t>
        </is>
      </c>
      <c r="DS187" t="inlineStr">
        <is>
          <t>BLR</t>
        </is>
      </c>
      <c r="DT187" t="inlineStr">
        <is>
          <t>BLR</t>
        </is>
      </c>
      <c r="DU187" t="inlineStr">
        <is>
          <t>RUS</t>
        </is>
      </c>
      <c r="DV187" t="inlineStr">
        <is>
          <t>RUS</t>
        </is>
      </c>
      <c r="DW187" t="inlineStr">
        <is>
          <t>RUS</t>
        </is>
      </c>
      <c r="DX187" t="inlineStr">
        <is>
          <t>RUS</t>
        </is>
      </c>
      <c r="DY187" t="inlineStr">
        <is>
          <t>RUS</t>
        </is>
      </c>
      <c r="DZ187" t="inlineStr">
        <is>
          <t>RUS</t>
        </is>
      </c>
      <c r="EA187" t="inlineStr">
        <is>
          <t>RUS</t>
        </is>
      </c>
      <c r="EB187" t="inlineStr">
        <is>
          <t>RUS</t>
        </is>
      </c>
      <c r="EC187" t="inlineStr">
        <is>
          <t>RUS</t>
        </is>
      </c>
      <c r="ED187" t="inlineStr">
        <is>
          <t>RUS</t>
        </is>
      </c>
      <c r="EE187" t="inlineStr">
        <is>
          <t>RUS</t>
        </is>
      </c>
      <c r="EF187" t="inlineStr">
        <is>
          <t>RUS</t>
        </is>
      </c>
      <c r="EG187" t="inlineStr">
        <is>
          <t>RUS</t>
        </is>
      </c>
      <c r="EH187" t="inlineStr">
        <is>
          <t>RUS</t>
        </is>
      </c>
      <c r="EI187" t="inlineStr">
        <is>
          <t>RUS</t>
        </is>
      </c>
      <c r="EJ187" t="inlineStr">
        <is>
          <t>RUS</t>
        </is>
      </c>
      <c r="EK187" t="inlineStr">
        <is>
          <t>RUS</t>
        </is>
      </c>
      <c r="EL187" t="inlineStr">
        <is>
          <t>RUS</t>
        </is>
      </c>
      <c r="EM187" t="inlineStr">
        <is>
          <t>RUS</t>
        </is>
      </c>
      <c r="EN187" t="inlineStr">
        <is>
          <t>RUS</t>
        </is>
      </c>
      <c r="EO187" t="inlineStr">
        <is>
          <t>RUS</t>
        </is>
      </c>
      <c r="EP187" t="inlineStr">
        <is>
          <t>RUS</t>
        </is>
      </c>
      <c r="EQ187" t="inlineStr">
        <is>
          <t>RUS</t>
        </is>
      </c>
      <c r="ER187" t="inlineStr">
        <is>
          <t>RUS</t>
        </is>
      </c>
      <c r="ES187" t="inlineStr">
        <is>
          <t>RUS</t>
        </is>
      </c>
      <c r="ET187" t="inlineStr">
        <is>
          <t>RUS</t>
        </is>
      </c>
      <c r="EU187" t="inlineStr">
        <is>
          <t>RUS</t>
        </is>
      </c>
      <c r="EV187" t="inlineStr">
        <is>
          <t>RUS</t>
        </is>
      </c>
      <c r="EW187" t="inlineStr">
        <is>
          <t>RUS</t>
        </is>
      </c>
      <c r="EX187" t="inlineStr">
        <is>
          <t>RUS</t>
        </is>
      </c>
      <c r="EY187" t="inlineStr">
        <is>
          <t>RUS</t>
        </is>
      </c>
      <c r="EZ187" t="inlineStr">
        <is>
          <t>RUS</t>
        </is>
      </c>
      <c r="FA187" t="inlineStr">
        <is>
          <t>RUS</t>
        </is>
      </c>
      <c r="FB187" t="inlineStr">
        <is>
          <t>RUS</t>
        </is>
      </c>
      <c r="FC187" t="inlineStr">
        <is>
          <t>RUS</t>
        </is>
      </c>
      <c r="FD187" t="inlineStr">
        <is>
          <t>RUS</t>
        </is>
      </c>
      <c r="FE187" t="inlineStr">
        <is>
          <t>RUS</t>
        </is>
      </c>
      <c r="FF187" t="inlineStr">
        <is>
          <t>RUS</t>
        </is>
      </c>
      <c r="FG187" t="inlineStr">
        <is>
          <t>RUS</t>
        </is>
      </c>
      <c r="FH187" t="inlineStr">
        <is>
          <t>RUS</t>
        </is>
      </c>
      <c r="FI187" t="inlineStr">
        <is>
          <t>RUS</t>
        </is>
      </c>
      <c r="FJ187" t="inlineStr">
        <is>
          <t>RUS</t>
        </is>
      </c>
      <c r="FK187" t="inlineStr">
        <is>
          <t>RUS</t>
        </is>
      </c>
      <c r="FL187" t="inlineStr">
        <is>
          <t>RUS</t>
        </is>
      </c>
      <c r="FM187" t="inlineStr">
        <is>
          <t>RUS</t>
        </is>
      </c>
      <c r="FN187" t="inlineStr">
        <is>
          <t>RUS</t>
        </is>
      </c>
      <c r="FO187" t="inlineStr">
        <is>
          <t>RUS</t>
        </is>
      </c>
      <c r="FP187" t="inlineStr">
        <is>
          <t>RUS</t>
        </is>
      </c>
      <c r="FQ187" t="inlineStr">
        <is>
          <t>RUS</t>
        </is>
      </c>
      <c r="FR187" t="inlineStr">
        <is>
          <t>RUS</t>
        </is>
      </c>
      <c r="FS187" t="inlineStr">
        <is>
          <t>RUS</t>
        </is>
      </c>
      <c r="FT187" t="inlineStr">
        <is>
          <t>RUS</t>
        </is>
      </c>
      <c r="FU187" t="inlineStr">
        <is>
          <t>RUS</t>
        </is>
      </c>
      <c r="FV187" t="inlineStr">
        <is>
          <t>RUS</t>
        </is>
      </c>
      <c r="FW187" t="inlineStr">
        <is>
          <t>RUS</t>
        </is>
      </c>
      <c r="FX187" t="inlineStr">
        <is>
          <t>RUS</t>
        </is>
      </c>
      <c r="FY187" t="inlineStr">
        <is>
          <t>RUS</t>
        </is>
      </c>
      <c r="FZ187" t="inlineStr">
        <is>
          <t>RUS</t>
        </is>
      </c>
      <c r="GA187" t="inlineStr">
        <is>
          <t>RUS</t>
        </is>
      </c>
      <c r="GB187" t="inlineStr">
        <is>
          <t>KAZ</t>
        </is>
      </c>
      <c r="GC187" t="inlineStr">
        <is>
          <t>KAZ</t>
        </is>
      </c>
      <c r="GD187" t="inlineStr">
        <is>
          <t>KAZ</t>
        </is>
      </c>
      <c r="GE187" t="inlineStr">
        <is>
          <t>KAZ</t>
        </is>
      </c>
      <c r="GF187" t="inlineStr">
        <is>
          <t>KAZ</t>
        </is>
      </c>
      <c r="GG187" t="inlineStr">
        <is>
          <t>KAZ</t>
        </is>
      </c>
      <c r="GH187" t="inlineStr">
        <is>
          <t>KAZ</t>
        </is>
      </c>
      <c r="GI187" t="inlineStr">
        <is>
          <t>KAZ</t>
        </is>
      </c>
      <c r="GJ187" t="inlineStr">
        <is>
          <t>KAZ</t>
        </is>
      </c>
      <c r="GK187" t="inlineStr">
        <is>
          <t>KAZ</t>
        </is>
      </c>
      <c r="GL187" t="inlineStr">
        <is>
          <t>KAZ</t>
        </is>
      </c>
      <c r="GM187" t="inlineStr">
        <is>
          <t>KAZ</t>
        </is>
      </c>
      <c r="GN187" t="inlineStr">
        <is>
          <t>KAZ</t>
        </is>
      </c>
      <c r="GO187" t="inlineStr">
        <is>
          <t>KAZ</t>
        </is>
      </c>
      <c r="GP187" t="inlineStr">
        <is>
          <t>KAZ</t>
        </is>
      </c>
      <c r="GQ187" t="inlineStr">
        <is>
          <t>KAZ</t>
        </is>
      </c>
      <c r="GR187" t="inlineStr">
        <is>
          <t>KAZ</t>
        </is>
      </c>
      <c r="GS187" t="inlineStr">
        <is>
          <t>KAZ</t>
        </is>
      </c>
      <c r="GT187" t="inlineStr">
        <is>
          <t>KAZ</t>
        </is>
      </c>
      <c r="GU187" t="inlineStr">
        <is>
          <t>KAZ</t>
        </is>
      </c>
      <c r="GV187" t="inlineStr">
        <is>
          <t>KAZ</t>
        </is>
      </c>
      <c r="GW187" t="inlineStr">
        <is>
          <t>KAZ</t>
        </is>
      </c>
      <c r="GX187" t="inlineStr">
        <is>
          <t>KAZ</t>
        </is>
      </c>
      <c r="GY187" t="inlineStr">
        <is>
          <t>KAZ</t>
        </is>
      </c>
      <c r="GZ187" t="inlineStr">
        <is>
          <t>KAZ</t>
        </is>
      </c>
      <c r="HA187" t="inlineStr">
        <is>
          <t>KAZ</t>
        </is>
      </c>
      <c r="HB187" t="inlineStr">
        <is>
          <t>KAZ</t>
        </is>
      </c>
      <c r="HC187" t="inlineStr">
        <is>
          <t>KAZ</t>
        </is>
      </c>
      <c r="HD187" t="inlineStr">
        <is>
          <t>KAZ</t>
        </is>
      </c>
      <c r="HE187" t="inlineStr">
        <is>
          <t>KAZ</t>
        </is>
      </c>
      <c r="HF187" t="inlineStr">
        <is>
          <t>KAZ</t>
        </is>
      </c>
      <c r="HG187" t="inlineStr">
        <is>
          <t>KAZ</t>
        </is>
      </c>
      <c r="HH187" t="inlineStr">
        <is>
          <t>KAZ</t>
        </is>
      </c>
      <c r="HI187" t="inlineStr">
        <is>
          <t>KAZ</t>
        </is>
      </c>
      <c r="HJ187" t="inlineStr">
        <is>
          <t>KAZ</t>
        </is>
      </c>
      <c r="HK187" t="inlineStr">
        <is>
          <t>RUS</t>
        </is>
      </c>
      <c r="HL187" t="inlineStr">
        <is>
          <t>RUS</t>
        </is>
      </c>
      <c r="HM187" t="inlineStr">
        <is>
          <t>RUS</t>
        </is>
      </c>
      <c r="HN187" t="inlineStr">
        <is>
          <t>RUS</t>
        </is>
      </c>
      <c r="HO187" t="inlineStr">
        <is>
          <t>RUS</t>
        </is>
      </c>
      <c r="HP187" t="inlineStr">
        <is>
          <t>RUS</t>
        </is>
      </c>
      <c r="HQ187" t="inlineStr">
        <is>
          <t>RUS</t>
        </is>
      </c>
      <c r="HR187" t="inlineStr">
        <is>
          <t>RUS</t>
        </is>
      </c>
      <c r="HS187" t="inlineStr">
        <is>
          <t>RUS</t>
        </is>
      </c>
      <c r="HT187" t="inlineStr">
        <is>
          <t>RUS</t>
        </is>
      </c>
      <c r="HU187" t="inlineStr">
        <is>
          <t>RUS</t>
        </is>
      </c>
      <c r="HV187" t="inlineStr">
        <is>
          <t>RUS</t>
        </is>
      </c>
      <c r="HW187" t="inlineStr">
        <is>
          <t>RUS</t>
        </is>
      </c>
      <c r="HX187" t="inlineStr">
        <is>
          <t>RUS</t>
        </is>
      </c>
      <c r="HY187" t="inlineStr">
        <is>
          <t>RUS</t>
        </is>
      </c>
      <c r="HZ187" t="inlineStr">
        <is>
          <t>RUS</t>
        </is>
      </c>
      <c r="IA187" t="inlineStr">
        <is>
          <t>RUS</t>
        </is>
      </c>
      <c r="IB187" t="inlineStr">
        <is>
          <t>RUS</t>
        </is>
      </c>
      <c r="IC187" t="inlineStr">
        <is>
          <t>RUS</t>
        </is>
      </c>
      <c r="ID187" t="inlineStr">
        <is>
          <t>RUS</t>
        </is>
      </c>
      <c r="IE187" t="inlineStr">
        <is>
          <t>RUS</t>
        </is>
      </c>
      <c r="IF187" t="inlineStr">
        <is>
          <t>RUS</t>
        </is>
      </c>
      <c r="IG187" t="inlineStr">
        <is>
          <t>RUS</t>
        </is>
      </c>
      <c r="IH187" t="inlineStr">
        <is>
          <t>RUS</t>
        </is>
      </c>
      <c r="II187" t="inlineStr">
        <is>
          <t>RUS</t>
        </is>
      </c>
      <c r="IJ187" t="inlineStr">
        <is>
          <t>RUS</t>
        </is>
      </c>
      <c r="IK187" t="inlineStr">
        <is>
          <t>RUS</t>
        </is>
      </c>
      <c r="IL187" t="inlineStr">
        <is>
          <t>RUS</t>
        </is>
      </c>
      <c r="IM187" t="inlineStr">
        <is>
          <t>RUS</t>
        </is>
      </c>
      <c r="IN187" t="inlineStr">
        <is>
          <t>RUS</t>
        </is>
      </c>
      <c r="IO187" t="inlineStr">
        <is>
          <t>RUS</t>
        </is>
      </c>
      <c r="IP187" t="inlineStr">
        <is>
          <t>RUS</t>
        </is>
      </c>
      <c r="IQ187" t="inlineStr">
        <is>
          <t>RUS</t>
        </is>
      </c>
      <c r="IR187" t="inlineStr">
        <is>
          <t>RUS</t>
        </is>
      </c>
      <c r="IS187" t="inlineStr">
        <is>
          <t>RUS</t>
        </is>
      </c>
      <c r="IT187" t="inlineStr">
        <is>
          <t>RUS</t>
        </is>
      </c>
      <c r="IU187" t="inlineStr">
        <is>
          <t>RUS</t>
        </is>
      </c>
      <c r="IV187" t="inlineStr">
        <is>
          <t>RUS</t>
        </is>
      </c>
      <c r="IW187" t="inlineStr">
        <is>
          <t>RUS</t>
        </is>
      </c>
      <c r="IX187" t="inlineStr">
        <is>
          <t>RUS</t>
        </is>
      </c>
      <c r="IY187" t="inlineStr">
        <is>
          <t>RUS</t>
        </is>
      </c>
      <c r="IZ187" t="inlineStr">
        <is>
          <t>RUS</t>
        </is>
      </c>
      <c r="JA187" t="inlineStr">
        <is>
          <t>RUS</t>
        </is>
      </c>
      <c r="JB187" t="inlineStr">
        <is>
          <t>RUS</t>
        </is>
      </c>
      <c r="JC187" t="inlineStr">
        <is>
          <t>RUS</t>
        </is>
      </c>
      <c r="JD187" t="inlineStr">
        <is>
          <t>RUS</t>
        </is>
      </c>
      <c r="JE187" t="inlineStr">
        <is>
          <t>RUS</t>
        </is>
      </c>
      <c r="JF187" t="inlineStr">
        <is>
          <t>RUS</t>
        </is>
      </c>
      <c r="JG187" t="inlineStr">
        <is>
          <t>RUS</t>
        </is>
      </c>
      <c r="JH187" t="inlineStr">
        <is>
          <t>RUS</t>
        </is>
      </c>
      <c r="JI187" t="inlineStr">
        <is>
          <t>RUS</t>
        </is>
      </c>
      <c r="JJ187" t="inlineStr">
        <is>
          <t>RUS</t>
        </is>
      </c>
      <c r="JK187" t="inlineStr">
        <is>
          <t>RUS</t>
        </is>
      </c>
      <c r="JL187" t="inlineStr">
        <is>
          <t>RUS</t>
        </is>
      </c>
      <c r="JM187" t="inlineStr">
        <is>
          <t>RUS</t>
        </is>
      </c>
      <c r="JN187" t="inlineStr">
        <is>
          <t>RUS</t>
        </is>
      </c>
      <c r="JO187" t="inlineStr">
        <is>
          <t>RUS</t>
        </is>
      </c>
      <c r="JP187" t="inlineStr">
        <is>
          <t>RUS</t>
        </is>
      </c>
      <c r="JQ187" t="inlineStr">
        <is>
          <t>RUS</t>
        </is>
      </c>
      <c r="JR187" t="inlineStr">
        <is>
          <t>RUS</t>
        </is>
      </c>
      <c r="JS187" t="inlineStr">
        <is>
          <t>RUS</t>
        </is>
      </c>
      <c r="JT187" t="inlineStr">
        <is>
          <t>RUS</t>
        </is>
      </c>
      <c r="JU187" t="inlineStr">
        <is>
          <t>RUS</t>
        </is>
      </c>
    </row>
    <row r="188">
      <c r="AQ188" t="inlineStr">
        <is>
          <t>IRL</t>
        </is>
      </c>
      <c r="AR188" t="inlineStr">
        <is>
          <t>IRL</t>
        </is>
      </c>
      <c r="AS188" t="inlineStr">
        <is>
          <t>IRL</t>
        </is>
      </c>
      <c r="AT188" t="inlineStr">
        <is>
          <t>IRL</t>
        </is>
      </c>
      <c r="AU188" t="inlineStr">
        <is>
          <t>IRL</t>
        </is>
      </c>
      <c r="AV188" t="inlineStr">
        <is>
          <t>IRL</t>
        </is>
      </c>
      <c r="AW188" t="inlineStr">
        <is>
          <t>IRL</t>
        </is>
      </c>
      <c r="BA188" t="inlineStr">
        <is>
          <t>GBR</t>
        </is>
      </c>
      <c r="BB188" t="inlineStr">
        <is>
          <t>GBR</t>
        </is>
      </c>
      <c r="BC188" t="inlineStr">
        <is>
          <t>GBR</t>
        </is>
      </c>
      <c r="BD188" t="inlineStr">
        <is>
          <t>GBR</t>
        </is>
      </c>
      <c r="BE188" t="inlineStr">
        <is>
          <t>GBR</t>
        </is>
      </c>
      <c r="BF188" t="inlineStr">
        <is>
          <t>GBR</t>
        </is>
      </c>
      <c r="BG188" t="inlineStr">
        <is>
          <t>GBR</t>
        </is>
      </c>
      <c r="BH188" t="inlineStr">
        <is>
          <t>GBR</t>
        </is>
      </c>
      <c r="BI188" t="inlineStr">
        <is>
          <t>GBR</t>
        </is>
      </c>
      <c r="BT188" t="inlineStr">
        <is>
          <t>NLD</t>
        </is>
      </c>
      <c r="BU188" t="inlineStr">
        <is>
          <t>NLD</t>
        </is>
      </c>
      <c r="BV188" t="inlineStr">
        <is>
          <t>NLD</t>
        </is>
      </c>
      <c r="BW188" t="inlineStr">
        <is>
          <t>NLD</t>
        </is>
      </c>
      <c r="BX188" t="inlineStr">
        <is>
          <t>DEU</t>
        </is>
      </c>
      <c r="BY188" t="inlineStr">
        <is>
          <t>DEU</t>
        </is>
      </c>
      <c r="BZ188" t="inlineStr">
        <is>
          <t>DEU</t>
        </is>
      </c>
      <c r="CA188" t="inlineStr">
        <is>
          <t>DEU</t>
        </is>
      </c>
      <c r="CB188" t="inlineStr">
        <is>
          <t>DEU</t>
        </is>
      </c>
      <c r="CC188" t="inlineStr">
        <is>
          <t>DEU</t>
        </is>
      </c>
      <c r="CD188" t="inlineStr">
        <is>
          <t>DEU</t>
        </is>
      </c>
      <c r="CE188" t="inlineStr">
        <is>
          <t>DEU</t>
        </is>
      </c>
      <c r="CF188" t="inlineStr">
        <is>
          <t>DEU</t>
        </is>
      </c>
      <c r="CG188" t="inlineStr">
        <is>
          <t>DEU</t>
        </is>
      </c>
      <c r="CH188" t="inlineStr">
        <is>
          <t>DEU</t>
        </is>
      </c>
      <c r="CI188" t="inlineStr">
        <is>
          <t>DEU</t>
        </is>
      </c>
      <c r="CJ188" t="inlineStr">
        <is>
          <t>DEU</t>
        </is>
      </c>
      <c r="CK188" t="inlineStr">
        <is>
          <t>DEU</t>
        </is>
      </c>
      <c r="CL188" t="inlineStr">
        <is>
          <t>DEU</t>
        </is>
      </c>
      <c r="CM188" t="inlineStr">
        <is>
          <t>POL</t>
        </is>
      </c>
      <c r="CN188" t="inlineStr">
        <is>
          <t>POL</t>
        </is>
      </c>
      <c r="CO188" t="inlineStr">
        <is>
          <t>POL</t>
        </is>
      </c>
      <c r="CP188" t="inlineStr">
        <is>
          <t>POL</t>
        </is>
      </c>
      <c r="CQ188" t="inlineStr">
        <is>
          <t>POL</t>
        </is>
      </c>
      <c r="CR188" t="inlineStr">
        <is>
          <t>POL</t>
        </is>
      </c>
      <c r="CS188" t="inlineStr">
        <is>
          <t>POL</t>
        </is>
      </c>
      <c r="CT188" t="inlineStr">
        <is>
          <t>POL</t>
        </is>
      </c>
      <c r="CU188" t="inlineStr">
        <is>
          <t>POL</t>
        </is>
      </c>
      <c r="CV188" t="inlineStr">
        <is>
          <t>POL</t>
        </is>
      </c>
      <c r="CW188" t="inlineStr">
        <is>
          <t>POL</t>
        </is>
      </c>
      <c r="CX188" t="inlineStr">
        <is>
          <t>POL</t>
        </is>
      </c>
      <c r="CY188" t="inlineStr">
        <is>
          <t>POL</t>
        </is>
      </c>
      <c r="CZ188" t="inlineStr">
        <is>
          <t>POL</t>
        </is>
      </c>
      <c r="DA188" t="inlineStr">
        <is>
          <t>POL</t>
        </is>
      </c>
      <c r="DB188" t="inlineStr">
        <is>
          <t>POL</t>
        </is>
      </c>
      <c r="DC188" t="inlineStr">
        <is>
          <t>POL</t>
        </is>
      </c>
      <c r="DD188" t="inlineStr">
        <is>
          <t>POL</t>
        </is>
      </c>
      <c r="DE188" t="inlineStr">
        <is>
          <t>BLR</t>
        </is>
      </c>
      <c r="DF188" t="inlineStr">
        <is>
          <t>BLR</t>
        </is>
      </c>
      <c r="DG188" t="inlineStr">
        <is>
          <t>BLR</t>
        </is>
      </c>
      <c r="DH188" t="inlineStr">
        <is>
          <t>BLR</t>
        </is>
      </c>
      <c r="DI188" t="inlineStr">
        <is>
          <t>BLR</t>
        </is>
      </c>
      <c r="DJ188" t="inlineStr">
        <is>
          <t>BLR</t>
        </is>
      </c>
      <c r="DK188" t="inlineStr">
        <is>
          <t>BLR</t>
        </is>
      </c>
      <c r="DL188" t="inlineStr">
        <is>
          <t>BLR</t>
        </is>
      </c>
      <c r="DM188" t="inlineStr">
        <is>
          <t>BLR</t>
        </is>
      </c>
      <c r="DN188" t="inlineStr">
        <is>
          <t>BLR</t>
        </is>
      </c>
      <c r="DO188" t="inlineStr">
        <is>
          <t>BLR</t>
        </is>
      </c>
      <c r="DP188" t="inlineStr">
        <is>
          <t>BLR</t>
        </is>
      </c>
      <c r="DQ188" t="inlineStr">
        <is>
          <t>BLR</t>
        </is>
      </c>
      <c r="DR188" t="inlineStr">
        <is>
          <t>BLR</t>
        </is>
      </c>
      <c r="DS188" t="inlineStr">
        <is>
          <t>BLR</t>
        </is>
      </c>
      <c r="DT188" t="inlineStr">
        <is>
          <t>BLR</t>
        </is>
      </c>
      <c r="DU188" t="inlineStr">
        <is>
          <t>BLR</t>
        </is>
      </c>
      <c r="DV188" t="inlineStr">
        <is>
          <t>BLR</t>
        </is>
      </c>
      <c r="DW188" t="inlineStr">
        <is>
          <t>RUS</t>
        </is>
      </c>
      <c r="DX188" t="inlineStr">
        <is>
          <t>RUS</t>
        </is>
      </c>
      <c r="DY188" t="inlineStr">
        <is>
          <t>RUS</t>
        </is>
      </c>
      <c r="DZ188" t="inlineStr">
        <is>
          <t>RUS</t>
        </is>
      </c>
      <c r="EA188" t="inlineStr">
        <is>
          <t>RUS</t>
        </is>
      </c>
      <c r="EB188" t="inlineStr">
        <is>
          <t>RUS</t>
        </is>
      </c>
      <c r="EC188" t="inlineStr">
        <is>
          <t>RUS</t>
        </is>
      </c>
      <c r="ED188" t="inlineStr">
        <is>
          <t>RUS</t>
        </is>
      </c>
      <c r="EE188" t="inlineStr">
        <is>
          <t>RUS</t>
        </is>
      </c>
      <c r="EF188" t="inlineStr">
        <is>
          <t>RUS</t>
        </is>
      </c>
      <c r="EG188" t="inlineStr">
        <is>
          <t>RUS</t>
        </is>
      </c>
      <c r="EH188" t="inlineStr">
        <is>
          <t>RUS</t>
        </is>
      </c>
      <c r="EI188" t="inlineStr">
        <is>
          <t>RUS</t>
        </is>
      </c>
      <c r="EJ188" t="inlineStr">
        <is>
          <t>RUS</t>
        </is>
      </c>
      <c r="EK188" t="inlineStr">
        <is>
          <t>RUS</t>
        </is>
      </c>
      <c r="EL188" t="inlineStr">
        <is>
          <t>RUS</t>
        </is>
      </c>
      <c r="EM188" t="inlineStr">
        <is>
          <t>RUS</t>
        </is>
      </c>
      <c r="EN188" t="inlineStr">
        <is>
          <t>RUS</t>
        </is>
      </c>
      <c r="EO188" t="inlineStr">
        <is>
          <t>RUS</t>
        </is>
      </c>
      <c r="EP188" t="inlineStr">
        <is>
          <t>RUS</t>
        </is>
      </c>
      <c r="EQ188" t="inlineStr">
        <is>
          <t>RUS</t>
        </is>
      </c>
      <c r="ER188" t="inlineStr">
        <is>
          <t>RUS</t>
        </is>
      </c>
      <c r="ES188" t="inlineStr">
        <is>
          <t>RUS</t>
        </is>
      </c>
      <c r="ET188" t="inlineStr">
        <is>
          <t>RUS</t>
        </is>
      </c>
      <c r="EU188" t="inlineStr">
        <is>
          <t>RUS</t>
        </is>
      </c>
      <c r="EV188" t="inlineStr">
        <is>
          <t>RUS</t>
        </is>
      </c>
      <c r="EW188" t="inlineStr">
        <is>
          <t>RUS</t>
        </is>
      </c>
      <c r="EX188" t="inlineStr">
        <is>
          <t>RUS</t>
        </is>
      </c>
      <c r="EY188" t="inlineStr">
        <is>
          <t>RUS</t>
        </is>
      </c>
      <c r="EZ188" t="inlineStr">
        <is>
          <t>RUS</t>
        </is>
      </c>
      <c r="FA188" t="inlineStr">
        <is>
          <t>RUS</t>
        </is>
      </c>
      <c r="FB188" t="inlineStr">
        <is>
          <t>RUS</t>
        </is>
      </c>
      <c r="FC188" t="inlineStr">
        <is>
          <t>RUS</t>
        </is>
      </c>
      <c r="FD188" t="inlineStr">
        <is>
          <t>RUS</t>
        </is>
      </c>
      <c r="FE188" t="inlineStr">
        <is>
          <t>RUS</t>
        </is>
      </c>
      <c r="FF188" t="inlineStr">
        <is>
          <t>RUS</t>
        </is>
      </c>
      <c r="FG188" t="inlineStr">
        <is>
          <t>RUS</t>
        </is>
      </c>
      <c r="FH188" t="inlineStr">
        <is>
          <t>RUS</t>
        </is>
      </c>
      <c r="FI188" t="inlineStr">
        <is>
          <t>RUS</t>
        </is>
      </c>
      <c r="FJ188" t="inlineStr">
        <is>
          <t>RUS</t>
        </is>
      </c>
      <c r="FK188" t="inlineStr">
        <is>
          <t>RUS</t>
        </is>
      </c>
      <c r="FL188" t="inlineStr">
        <is>
          <t>RUS</t>
        </is>
      </c>
      <c r="FM188" t="inlineStr">
        <is>
          <t>RUS</t>
        </is>
      </c>
      <c r="FN188" t="inlineStr">
        <is>
          <t>RUS</t>
        </is>
      </c>
      <c r="FO188" t="inlineStr">
        <is>
          <t>RUS</t>
        </is>
      </c>
      <c r="FP188" t="inlineStr">
        <is>
          <t>RUS</t>
        </is>
      </c>
      <c r="FQ188" t="inlineStr">
        <is>
          <t>RUS</t>
        </is>
      </c>
      <c r="FR188" t="inlineStr">
        <is>
          <t>RUS</t>
        </is>
      </c>
      <c r="FS188" t="inlineStr">
        <is>
          <t>RUS</t>
        </is>
      </c>
      <c r="FT188" t="inlineStr">
        <is>
          <t>RUS</t>
        </is>
      </c>
      <c r="FU188" t="inlineStr">
        <is>
          <t>RUS</t>
        </is>
      </c>
      <c r="FV188" t="inlineStr">
        <is>
          <t>RUS</t>
        </is>
      </c>
      <c r="FW188" t="inlineStr">
        <is>
          <t>RUS</t>
        </is>
      </c>
      <c r="FX188" t="inlineStr">
        <is>
          <t>RUS</t>
        </is>
      </c>
      <c r="FY188" t="inlineStr">
        <is>
          <t>RUS</t>
        </is>
      </c>
      <c r="FZ188" t="inlineStr">
        <is>
          <t>RUS</t>
        </is>
      </c>
      <c r="GA188" t="inlineStr">
        <is>
          <t>RUS</t>
        </is>
      </c>
      <c r="GB188" t="inlineStr">
        <is>
          <t>RUS</t>
        </is>
      </c>
      <c r="GC188" t="inlineStr">
        <is>
          <t>KAZ</t>
        </is>
      </c>
      <c r="GD188" t="inlineStr">
        <is>
          <t>KAZ</t>
        </is>
      </c>
      <c r="GE188" t="inlineStr">
        <is>
          <t>KAZ</t>
        </is>
      </c>
      <c r="GF188" t="inlineStr">
        <is>
          <t>KAZ</t>
        </is>
      </c>
      <c r="GG188" t="inlineStr">
        <is>
          <t>KAZ</t>
        </is>
      </c>
      <c r="GH188" t="inlineStr">
        <is>
          <t>KAZ</t>
        </is>
      </c>
      <c r="GI188" t="inlineStr">
        <is>
          <t>KAZ</t>
        </is>
      </c>
      <c r="GJ188" t="inlineStr">
        <is>
          <t>KAZ</t>
        </is>
      </c>
      <c r="GK188" t="inlineStr">
        <is>
          <t>KAZ</t>
        </is>
      </c>
      <c r="GL188" t="inlineStr">
        <is>
          <t>KAZ</t>
        </is>
      </c>
      <c r="GM188" t="inlineStr">
        <is>
          <t>KAZ</t>
        </is>
      </c>
      <c r="GN188" t="inlineStr">
        <is>
          <t>KAZ</t>
        </is>
      </c>
      <c r="GO188" t="inlineStr">
        <is>
          <t>KAZ</t>
        </is>
      </c>
      <c r="GP188" t="inlineStr">
        <is>
          <t>KAZ</t>
        </is>
      </c>
      <c r="GQ188" t="inlineStr">
        <is>
          <t>KAZ</t>
        </is>
      </c>
      <c r="GR188" t="inlineStr">
        <is>
          <t>KAZ</t>
        </is>
      </c>
      <c r="GS188" t="inlineStr">
        <is>
          <t>KAZ</t>
        </is>
      </c>
      <c r="GT188" t="inlineStr">
        <is>
          <t>KAZ</t>
        </is>
      </c>
      <c r="GU188" t="inlineStr">
        <is>
          <t>KAZ</t>
        </is>
      </c>
      <c r="GV188" t="inlineStr">
        <is>
          <t>KAZ</t>
        </is>
      </c>
      <c r="GW188" t="inlineStr">
        <is>
          <t>KAZ</t>
        </is>
      </c>
      <c r="GX188" t="inlineStr">
        <is>
          <t>KAZ</t>
        </is>
      </c>
      <c r="GY188" t="inlineStr">
        <is>
          <t>KAZ</t>
        </is>
      </c>
      <c r="GZ188" t="inlineStr">
        <is>
          <t>KAZ</t>
        </is>
      </c>
      <c r="HA188" t="inlineStr">
        <is>
          <t>KAZ</t>
        </is>
      </c>
      <c r="HB188" t="inlineStr">
        <is>
          <t>KAZ</t>
        </is>
      </c>
      <c r="HC188" t="inlineStr">
        <is>
          <t>KAZ</t>
        </is>
      </c>
      <c r="HD188" t="inlineStr">
        <is>
          <t>KAZ</t>
        </is>
      </c>
      <c r="HE188" t="inlineStr">
        <is>
          <t>KAZ</t>
        </is>
      </c>
      <c r="HF188" t="inlineStr">
        <is>
          <t>KAZ</t>
        </is>
      </c>
      <c r="HG188" t="inlineStr">
        <is>
          <t>KAZ</t>
        </is>
      </c>
      <c r="HH188" t="inlineStr">
        <is>
          <t>KAZ</t>
        </is>
      </c>
      <c r="HI188" t="inlineStr">
        <is>
          <t>KAZ</t>
        </is>
      </c>
      <c r="HJ188" t="inlineStr">
        <is>
          <t>RUS</t>
        </is>
      </c>
      <c r="HK188" t="inlineStr">
        <is>
          <t>RUS</t>
        </is>
      </c>
      <c r="HL188" t="inlineStr">
        <is>
          <t>RUS</t>
        </is>
      </c>
      <c r="HM188" t="inlineStr">
        <is>
          <t>RUS</t>
        </is>
      </c>
      <c r="HN188" t="inlineStr">
        <is>
          <t>RUS</t>
        </is>
      </c>
      <c r="HO188" t="inlineStr">
        <is>
          <t>RUS</t>
        </is>
      </c>
      <c r="HP188" t="inlineStr">
        <is>
          <t>RUS</t>
        </is>
      </c>
      <c r="HQ188" t="inlineStr">
        <is>
          <t>RUS</t>
        </is>
      </c>
      <c r="HR188" t="inlineStr">
        <is>
          <t>RUS</t>
        </is>
      </c>
      <c r="HS188" t="inlineStr">
        <is>
          <t>RUS</t>
        </is>
      </c>
      <c r="HT188" t="inlineStr">
        <is>
          <t>RUS</t>
        </is>
      </c>
      <c r="HU188" t="inlineStr">
        <is>
          <t>RUS</t>
        </is>
      </c>
      <c r="HV188" t="inlineStr">
        <is>
          <t>RUS</t>
        </is>
      </c>
      <c r="HW188" t="inlineStr">
        <is>
          <t>RUS</t>
        </is>
      </c>
      <c r="HX188" t="inlineStr">
        <is>
          <t>RUS</t>
        </is>
      </c>
      <c r="HY188" t="inlineStr">
        <is>
          <t>RUS</t>
        </is>
      </c>
      <c r="HZ188" t="inlineStr">
        <is>
          <t>RUS</t>
        </is>
      </c>
      <c r="IA188" t="inlineStr">
        <is>
          <t>RUS</t>
        </is>
      </c>
      <c r="IB188" t="inlineStr">
        <is>
          <t>RUS</t>
        </is>
      </c>
      <c r="IC188" t="inlineStr">
        <is>
          <t>RUS</t>
        </is>
      </c>
      <c r="ID188" t="inlineStr">
        <is>
          <t>RUS</t>
        </is>
      </c>
      <c r="IE188" t="inlineStr">
        <is>
          <t>RUS</t>
        </is>
      </c>
      <c r="IF188" t="inlineStr">
        <is>
          <t>RUS</t>
        </is>
      </c>
      <c r="IG188" t="inlineStr">
        <is>
          <t>RUS</t>
        </is>
      </c>
      <c r="IH188" t="inlineStr">
        <is>
          <t>RUS</t>
        </is>
      </c>
      <c r="II188" t="inlineStr">
        <is>
          <t>RUS</t>
        </is>
      </c>
      <c r="IJ188" t="inlineStr">
        <is>
          <t>RUS</t>
        </is>
      </c>
      <c r="IK188" t="inlineStr">
        <is>
          <t>RUS</t>
        </is>
      </c>
      <c r="IL188" t="inlineStr">
        <is>
          <t>RUS</t>
        </is>
      </c>
      <c r="IM188" t="inlineStr">
        <is>
          <t>RUS</t>
        </is>
      </c>
      <c r="IN188" t="inlineStr">
        <is>
          <t>RUS</t>
        </is>
      </c>
      <c r="IO188" t="inlineStr">
        <is>
          <t>RUS</t>
        </is>
      </c>
      <c r="IP188" t="inlineStr">
        <is>
          <t>RUS</t>
        </is>
      </c>
      <c r="IQ188" t="inlineStr">
        <is>
          <t>RUS</t>
        </is>
      </c>
      <c r="IR188" t="inlineStr">
        <is>
          <t>RUS</t>
        </is>
      </c>
      <c r="IS188" t="inlineStr">
        <is>
          <t>RUS</t>
        </is>
      </c>
      <c r="IT188" t="inlineStr">
        <is>
          <t>RUS</t>
        </is>
      </c>
      <c r="IU188" t="inlineStr">
        <is>
          <t>RUS</t>
        </is>
      </c>
      <c r="IV188" t="inlineStr">
        <is>
          <t>RUS</t>
        </is>
      </c>
      <c r="IW188" t="inlineStr">
        <is>
          <t>RUS</t>
        </is>
      </c>
      <c r="IX188" t="inlineStr">
        <is>
          <t>RUS</t>
        </is>
      </c>
      <c r="IY188" t="inlineStr">
        <is>
          <t>RUS</t>
        </is>
      </c>
      <c r="IZ188" t="inlineStr">
        <is>
          <t>RUS</t>
        </is>
      </c>
      <c r="JA188" t="inlineStr">
        <is>
          <t>RUS</t>
        </is>
      </c>
      <c r="JB188" t="inlineStr">
        <is>
          <t>RUS</t>
        </is>
      </c>
      <c r="JC188" t="inlineStr">
        <is>
          <t>RUS</t>
        </is>
      </c>
      <c r="JD188" t="inlineStr">
        <is>
          <t>RUS</t>
        </is>
      </c>
      <c r="JE188" t="inlineStr">
        <is>
          <t>RUS</t>
        </is>
      </c>
      <c r="JF188" t="inlineStr">
        <is>
          <t>RUS</t>
        </is>
      </c>
      <c r="JG188" t="inlineStr">
        <is>
          <t>RUS</t>
        </is>
      </c>
      <c r="JH188" t="inlineStr">
        <is>
          <t>RUS</t>
        </is>
      </c>
      <c r="JI188" t="inlineStr">
        <is>
          <t>RUS</t>
        </is>
      </c>
      <c r="JJ188" t="inlineStr">
        <is>
          <t>RUS</t>
        </is>
      </c>
      <c r="JK188" t="inlineStr">
        <is>
          <t>RUS</t>
        </is>
      </c>
      <c r="JL188" t="inlineStr">
        <is>
          <t>RUS</t>
        </is>
      </c>
      <c r="JM188" t="inlineStr">
        <is>
          <t>RUS</t>
        </is>
      </c>
      <c r="JN188" t="inlineStr">
        <is>
          <t>RUS</t>
        </is>
      </c>
      <c r="JO188" t="inlineStr">
        <is>
          <t>RUS</t>
        </is>
      </c>
      <c r="JP188" t="inlineStr">
        <is>
          <t>RUS</t>
        </is>
      </c>
      <c r="JQ188" t="inlineStr">
        <is>
          <t>RUS</t>
        </is>
      </c>
      <c r="JR188" t="inlineStr">
        <is>
          <t>RUS</t>
        </is>
      </c>
      <c r="JS188" t="inlineStr">
        <is>
          <t>RUS</t>
        </is>
      </c>
      <c r="JT188" t="inlineStr">
        <is>
          <t>RUS</t>
        </is>
      </c>
      <c r="JU188" t="inlineStr">
        <is>
          <t>RUS</t>
        </is>
      </c>
    </row>
    <row r="189">
      <c r="AQ189" t="inlineStr">
        <is>
          <t>IRL</t>
        </is>
      </c>
      <c r="AR189" t="inlineStr">
        <is>
          <t>IRL</t>
        </is>
      </c>
      <c r="AS189" t="inlineStr">
        <is>
          <t>IRL</t>
        </is>
      </c>
      <c r="AT189" t="inlineStr">
        <is>
          <t>IRL</t>
        </is>
      </c>
      <c r="AU189" t="inlineStr">
        <is>
          <t>IRL</t>
        </is>
      </c>
      <c r="AV189" t="inlineStr">
        <is>
          <t>IRL</t>
        </is>
      </c>
      <c r="AW189" t="inlineStr">
        <is>
          <t>IRL</t>
        </is>
      </c>
      <c r="BD189" t="inlineStr">
        <is>
          <t>GBR</t>
        </is>
      </c>
      <c r="BE189" t="inlineStr">
        <is>
          <t>GBR</t>
        </is>
      </c>
      <c r="BF189" t="inlineStr">
        <is>
          <t>GBR</t>
        </is>
      </c>
      <c r="BG189" t="inlineStr">
        <is>
          <t>GBR</t>
        </is>
      </c>
      <c r="BH189" t="inlineStr">
        <is>
          <t>GBR</t>
        </is>
      </c>
      <c r="BI189" t="inlineStr">
        <is>
          <t>GBR</t>
        </is>
      </c>
      <c r="CA189" t="inlineStr">
        <is>
          <t>DEU</t>
        </is>
      </c>
      <c r="CB189" t="inlineStr">
        <is>
          <t>DEU</t>
        </is>
      </c>
      <c r="CC189" t="inlineStr">
        <is>
          <t>DEU</t>
        </is>
      </c>
      <c r="CD189" t="inlineStr">
        <is>
          <t>DEU</t>
        </is>
      </c>
      <c r="CE189" t="inlineStr">
        <is>
          <t>DEU</t>
        </is>
      </c>
      <c r="CF189" t="inlineStr">
        <is>
          <t>DEU</t>
        </is>
      </c>
      <c r="CG189" t="inlineStr">
        <is>
          <t>DEU</t>
        </is>
      </c>
      <c r="CH189" t="inlineStr">
        <is>
          <t>DEU</t>
        </is>
      </c>
      <c r="CI189" t="inlineStr">
        <is>
          <t>DEU</t>
        </is>
      </c>
      <c r="CJ189" t="inlineStr">
        <is>
          <t>DEU</t>
        </is>
      </c>
      <c r="CK189" t="inlineStr">
        <is>
          <t>DEU</t>
        </is>
      </c>
      <c r="CL189" t="inlineStr">
        <is>
          <t>POL</t>
        </is>
      </c>
      <c r="CM189" t="inlineStr">
        <is>
          <t>POL</t>
        </is>
      </c>
      <c r="CN189" t="inlineStr">
        <is>
          <t>POL</t>
        </is>
      </c>
      <c r="CO189" t="inlineStr">
        <is>
          <t>POL</t>
        </is>
      </c>
      <c r="CP189" t="inlineStr">
        <is>
          <t>POL</t>
        </is>
      </c>
      <c r="CQ189" t="inlineStr">
        <is>
          <t>POL</t>
        </is>
      </c>
      <c r="CR189" t="inlineStr">
        <is>
          <t>POL</t>
        </is>
      </c>
      <c r="CS189" t="inlineStr">
        <is>
          <t>POL</t>
        </is>
      </c>
      <c r="CT189" t="inlineStr">
        <is>
          <t>POL</t>
        </is>
      </c>
      <c r="CU189" t="inlineStr">
        <is>
          <t>POL</t>
        </is>
      </c>
      <c r="CV189" t="inlineStr">
        <is>
          <t>POL</t>
        </is>
      </c>
      <c r="CW189" t="inlineStr">
        <is>
          <t>POL</t>
        </is>
      </c>
      <c r="CX189" t="inlineStr">
        <is>
          <t>POL</t>
        </is>
      </c>
      <c r="CY189" t="inlineStr">
        <is>
          <t>POL</t>
        </is>
      </c>
      <c r="CZ189" t="inlineStr">
        <is>
          <t>POL</t>
        </is>
      </c>
      <c r="DA189" t="inlineStr">
        <is>
          <t>POL</t>
        </is>
      </c>
      <c r="DB189" t="inlineStr">
        <is>
          <t>POL</t>
        </is>
      </c>
      <c r="DC189" t="inlineStr">
        <is>
          <t>POL</t>
        </is>
      </c>
      <c r="DD189" t="inlineStr">
        <is>
          <t>POL</t>
        </is>
      </c>
      <c r="DE189" t="inlineStr">
        <is>
          <t>BLR</t>
        </is>
      </c>
      <c r="DF189" t="inlineStr">
        <is>
          <t>BLR</t>
        </is>
      </c>
      <c r="DG189" t="inlineStr">
        <is>
          <t>BLR</t>
        </is>
      </c>
      <c r="DH189" t="inlineStr">
        <is>
          <t>BLR</t>
        </is>
      </c>
      <c r="DI189" t="inlineStr">
        <is>
          <t>BLR</t>
        </is>
      </c>
      <c r="DJ189" t="inlineStr">
        <is>
          <t>BLR</t>
        </is>
      </c>
      <c r="DK189" t="inlineStr">
        <is>
          <t>BLR</t>
        </is>
      </c>
      <c r="DL189" t="inlineStr">
        <is>
          <t>BLR</t>
        </is>
      </c>
      <c r="DM189" t="inlineStr">
        <is>
          <t>BLR</t>
        </is>
      </c>
      <c r="DN189" t="inlineStr">
        <is>
          <t>BLR</t>
        </is>
      </c>
      <c r="DO189" t="inlineStr">
        <is>
          <t>BLR</t>
        </is>
      </c>
      <c r="DP189" t="inlineStr">
        <is>
          <t>BLR</t>
        </is>
      </c>
      <c r="DQ189" t="inlineStr">
        <is>
          <t>BLR</t>
        </is>
      </c>
      <c r="DR189" t="inlineStr">
        <is>
          <t>BLR</t>
        </is>
      </c>
      <c r="DS189" t="inlineStr">
        <is>
          <t>BLR</t>
        </is>
      </c>
      <c r="DT189" t="inlineStr">
        <is>
          <t>BLR</t>
        </is>
      </c>
      <c r="DU189" t="inlineStr">
        <is>
          <t>BLR</t>
        </is>
      </c>
      <c r="DV189" t="inlineStr">
        <is>
          <t>RUS</t>
        </is>
      </c>
      <c r="DW189" t="inlineStr">
        <is>
          <t>RUS</t>
        </is>
      </c>
      <c r="DX189" t="inlineStr">
        <is>
          <t>RUS</t>
        </is>
      </c>
      <c r="DY189" t="inlineStr">
        <is>
          <t>RUS</t>
        </is>
      </c>
      <c r="DZ189" t="inlineStr">
        <is>
          <t>RUS</t>
        </is>
      </c>
      <c r="EA189" t="inlineStr">
        <is>
          <t>RUS</t>
        </is>
      </c>
      <c r="EB189" t="inlineStr">
        <is>
          <t>RUS</t>
        </is>
      </c>
      <c r="EC189" t="inlineStr">
        <is>
          <t>RUS</t>
        </is>
      </c>
      <c r="ED189" t="inlineStr">
        <is>
          <t>RUS</t>
        </is>
      </c>
      <c r="EE189" t="inlineStr">
        <is>
          <t>RUS</t>
        </is>
      </c>
      <c r="EF189" t="inlineStr">
        <is>
          <t>RUS</t>
        </is>
      </c>
      <c r="EG189" t="inlineStr">
        <is>
          <t>RUS</t>
        </is>
      </c>
      <c r="EH189" t="inlineStr">
        <is>
          <t>RUS</t>
        </is>
      </c>
      <c r="EI189" t="inlineStr">
        <is>
          <t>RUS</t>
        </is>
      </c>
      <c r="EJ189" t="inlineStr">
        <is>
          <t>RUS</t>
        </is>
      </c>
      <c r="EK189" t="inlineStr">
        <is>
          <t>RUS</t>
        </is>
      </c>
      <c r="EL189" t="inlineStr">
        <is>
          <t>RUS</t>
        </is>
      </c>
      <c r="EM189" t="inlineStr">
        <is>
          <t>RUS</t>
        </is>
      </c>
      <c r="EN189" t="inlineStr">
        <is>
          <t>RUS</t>
        </is>
      </c>
      <c r="EO189" t="inlineStr">
        <is>
          <t>RUS</t>
        </is>
      </c>
      <c r="EP189" t="inlineStr">
        <is>
          <t>RUS</t>
        </is>
      </c>
      <c r="EQ189" t="inlineStr">
        <is>
          <t>RUS</t>
        </is>
      </c>
      <c r="ER189" t="inlineStr">
        <is>
          <t>RUS</t>
        </is>
      </c>
      <c r="ES189" t="inlineStr">
        <is>
          <t>RUS</t>
        </is>
      </c>
      <c r="ET189" t="inlineStr">
        <is>
          <t>RUS</t>
        </is>
      </c>
      <c r="EU189" t="inlineStr">
        <is>
          <t>RUS</t>
        </is>
      </c>
      <c r="EV189" t="inlineStr">
        <is>
          <t>RUS</t>
        </is>
      </c>
      <c r="EW189" t="inlineStr">
        <is>
          <t>RUS</t>
        </is>
      </c>
      <c r="EX189" t="inlineStr">
        <is>
          <t>RUS</t>
        </is>
      </c>
      <c r="EY189" t="inlineStr">
        <is>
          <t>RUS</t>
        </is>
      </c>
      <c r="EZ189" t="inlineStr">
        <is>
          <t>RUS</t>
        </is>
      </c>
      <c r="FA189" t="inlineStr">
        <is>
          <t>RUS</t>
        </is>
      </c>
      <c r="FB189" t="inlineStr">
        <is>
          <t>RUS</t>
        </is>
      </c>
      <c r="FC189" t="inlineStr">
        <is>
          <t>RUS</t>
        </is>
      </c>
      <c r="FD189" t="inlineStr">
        <is>
          <t>RUS</t>
        </is>
      </c>
      <c r="FE189" t="inlineStr">
        <is>
          <t>RUS</t>
        </is>
      </c>
      <c r="FF189" t="inlineStr">
        <is>
          <t>RUS</t>
        </is>
      </c>
      <c r="FG189" t="inlineStr">
        <is>
          <t>RUS</t>
        </is>
      </c>
      <c r="FH189" t="inlineStr">
        <is>
          <t>RUS</t>
        </is>
      </c>
      <c r="FI189" t="inlineStr">
        <is>
          <t>RUS</t>
        </is>
      </c>
      <c r="FJ189" t="inlineStr">
        <is>
          <t>RUS</t>
        </is>
      </c>
      <c r="FK189" t="inlineStr">
        <is>
          <t>RUS</t>
        </is>
      </c>
      <c r="FL189" t="inlineStr">
        <is>
          <t>RUS</t>
        </is>
      </c>
      <c r="FM189" t="inlineStr">
        <is>
          <t>RUS</t>
        </is>
      </c>
      <c r="FN189" t="inlineStr">
        <is>
          <t>RUS</t>
        </is>
      </c>
      <c r="FO189" t="inlineStr">
        <is>
          <t>RUS</t>
        </is>
      </c>
      <c r="FP189" t="inlineStr">
        <is>
          <t>RUS</t>
        </is>
      </c>
      <c r="FQ189" t="inlineStr">
        <is>
          <t>RUS</t>
        </is>
      </c>
      <c r="FR189" t="inlineStr">
        <is>
          <t>RUS</t>
        </is>
      </c>
      <c r="FS189" t="inlineStr">
        <is>
          <t>RUS</t>
        </is>
      </c>
      <c r="FT189" t="inlineStr">
        <is>
          <t>RUS</t>
        </is>
      </c>
      <c r="FU189" t="inlineStr">
        <is>
          <t>RUS</t>
        </is>
      </c>
      <c r="FV189" t="inlineStr">
        <is>
          <t>RUS</t>
        </is>
      </c>
      <c r="FW189" t="inlineStr">
        <is>
          <t>RUS</t>
        </is>
      </c>
      <c r="FX189" t="inlineStr">
        <is>
          <t>RUS</t>
        </is>
      </c>
      <c r="FY189" t="inlineStr">
        <is>
          <t>RUS</t>
        </is>
      </c>
      <c r="FZ189" t="inlineStr">
        <is>
          <t>RUS</t>
        </is>
      </c>
      <c r="GA189" t="inlineStr">
        <is>
          <t>RUS</t>
        </is>
      </c>
      <c r="GB189" t="inlineStr">
        <is>
          <t>KAZ</t>
        </is>
      </c>
      <c r="GC189" t="inlineStr">
        <is>
          <t>KAZ</t>
        </is>
      </c>
      <c r="GD189" t="inlineStr">
        <is>
          <t>KAZ</t>
        </is>
      </c>
      <c r="GE189" t="inlineStr">
        <is>
          <t>KAZ</t>
        </is>
      </c>
      <c r="GF189" t="inlineStr">
        <is>
          <t>KAZ</t>
        </is>
      </c>
      <c r="GG189" t="inlineStr">
        <is>
          <t>KAZ</t>
        </is>
      </c>
      <c r="GH189" t="inlineStr">
        <is>
          <t>KAZ</t>
        </is>
      </c>
      <c r="GI189" t="inlineStr">
        <is>
          <t>KAZ</t>
        </is>
      </c>
      <c r="GJ189" t="inlineStr">
        <is>
          <t>KAZ</t>
        </is>
      </c>
      <c r="GK189" t="inlineStr">
        <is>
          <t>KAZ</t>
        </is>
      </c>
      <c r="GL189" t="inlineStr">
        <is>
          <t>KAZ</t>
        </is>
      </c>
      <c r="GM189" t="inlineStr">
        <is>
          <t>KAZ</t>
        </is>
      </c>
      <c r="GN189" t="inlineStr">
        <is>
          <t>KAZ</t>
        </is>
      </c>
      <c r="GO189" t="inlineStr">
        <is>
          <t>KAZ</t>
        </is>
      </c>
      <c r="GP189" t="inlineStr">
        <is>
          <t>KAZ</t>
        </is>
      </c>
      <c r="GQ189" t="inlineStr">
        <is>
          <t>KAZ</t>
        </is>
      </c>
      <c r="GR189" t="inlineStr">
        <is>
          <t>KAZ</t>
        </is>
      </c>
      <c r="GS189" t="inlineStr">
        <is>
          <t>KAZ</t>
        </is>
      </c>
      <c r="GT189" t="inlineStr">
        <is>
          <t>KAZ</t>
        </is>
      </c>
      <c r="GU189" t="inlineStr">
        <is>
          <t>KAZ</t>
        </is>
      </c>
      <c r="GV189" t="inlineStr">
        <is>
          <t>KAZ</t>
        </is>
      </c>
      <c r="GW189" t="inlineStr">
        <is>
          <t>KAZ</t>
        </is>
      </c>
      <c r="GX189" t="inlineStr">
        <is>
          <t>KAZ</t>
        </is>
      </c>
      <c r="GY189" t="inlineStr">
        <is>
          <t>KAZ</t>
        </is>
      </c>
      <c r="GZ189" t="inlineStr">
        <is>
          <t>KAZ</t>
        </is>
      </c>
      <c r="HA189" t="inlineStr">
        <is>
          <t>RUS</t>
        </is>
      </c>
      <c r="HB189" t="inlineStr">
        <is>
          <t>RUS</t>
        </is>
      </c>
      <c r="HC189" t="inlineStr">
        <is>
          <t>RUS</t>
        </is>
      </c>
      <c r="HD189" t="inlineStr">
        <is>
          <t>KAZ</t>
        </is>
      </c>
      <c r="HE189" t="inlineStr">
        <is>
          <t>KAZ</t>
        </is>
      </c>
      <c r="HF189" t="inlineStr">
        <is>
          <t>KAZ</t>
        </is>
      </c>
      <c r="HG189" t="inlineStr">
        <is>
          <t>KAZ</t>
        </is>
      </c>
      <c r="HH189" t="inlineStr">
        <is>
          <t>RUS</t>
        </is>
      </c>
      <c r="HI189" t="inlineStr">
        <is>
          <t>RUS</t>
        </is>
      </c>
      <c r="HJ189" t="inlineStr">
        <is>
          <t>RUS</t>
        </is>
      </c>
      <c r="HK189" t="inlineStr">
        <is>
          <t>RUS</t>
        </is>
      </c>
      <c r="HL189" t="inlineStr">
        <is>
          <t>RUS</t>
        </is>
      </c>
      <c r="HM189" t="inlineStr">
        <is>
          <t>RUS</t>
        </is>
      </c>
      <c r="HN189" t="inlineStr">
        <is>
          <t>RUS</t>
        </is>
      </c>
      <c r="HO189" t="inlineStr">
        <is>
          <t>RUS</t>
        </is>
      </c>
      <c r="HP189" t="inlineStr">
        <is>
          <t>RUS</t>
        </is>
      </c>
      <c r="HQ189" t="inlineStr">
        <is>
          <t>RUS</t>
        </is>
      </c>
      <c r="HR189" t="inlineStr">
        <is>
          <t>RUS</t>
        </is>
      </c>
      <c r="HS189" t="inlineStr">
        <is>
          <t>RUS</t>
        </is>
      </c>
      <c r="HT189" t="inlineStr">
        <is>
          <t>RUS</t>
        </is>
      </c>
      <c r="HU189" t="inlineStr">
        <is>
          <t>RUS</t>
        </is>
      </c>
      <c r="HV189" t="inlineStr">
        <is>
          <t>RUS</t>
        </is>
      </c>
      <c r="HW189" t="inlineStr">
        <is>
          <t>RUS</t>
        </is>
      </c>
      <c r="HX189" t="inlineStr">
        <is>
          <t>RUS</t>
        </is>
      </c>
      <c r="HY189" t="inlineStr">
        <is>
          <t>RUS</t>
        </is>
      </c>
      <c r="HZ189" t="inlineStr">
        <is>
          <t>RUS</t>
        </is>
      </c>
      <c r="IA189" t="inlineStr">
        <is>
          <t>RUS</t>
        </is>
      </c>
      <c r="IB189" t="inlineStr">
        <is>
          <t>RUS</t>
        </is>
      </c>
      <c r="IC189" t="inlineStr">
        <is>
          <t>RUS</t>
        </is>
      </c>
      <c r="ID189" t="inlineStr">
        <is>
          <t>RUS</t>
        </is>
      </c>
      <c r="IE189" t="inlineStr">
        <is>
          <t>RUS</t>
        </is>
      </c>
      <c r="IF189" t="inlineStr">
        <is>
          <t>RUS</t>
        </is>
      </c>
      <c r="IG189" t="inlineStr">
        <is>
          <t>RUS</t>
        </is>
      </c>
      <c r="IH189" t="inlineStr">
        <is>
          <t>RUS</t>
        </is>
      </c>
      <c r="II189" t="inlineStr">
        <is>
          <t>RUS</t>
        </is>
      </c>
      <c r="IJ189" t="inlineStr">
        <is>
          <t>RUS</t>
        </is>
      </c>
      <c r="IK189" t="inlineStr">
        <is>
          <t>RUS</t>
        </is>
      </c>
      <c r="IL189" t="inlineStr">
        <is>
          <t>RUS</t>
        </is>
      </c>
      <c r="IM189" t="inlineStr">
        <is>
          <t>RUS</t>
        </is>
      </c>
      <c r="IN189" t="inlineStr">
        <is>
          <t>RUS</t>
        </is>
      </c>
      <c r="IO189" t="inlineStr">
        <is>
          <t>RUS</t>
        </is>
      </c>
      <c r="IP189" t="inlineStr">
        <is>
          <t>RUS</t>
        </is>
      </c>
      <c r="IQ189" t="inlineStr">
        <is>
          <t>RUS</t>
        </is>
      </c>
      <c r="IR189" t="inlineStr">
        <is>
          <t>RUS</t>
        </is>
      </c>
      <c r="IS189" t="inlineStr">
        <is>
          <t>RUS</t>
        </is>
      </c>
      <c r="IT189" t="inlineStr">
        <is>
          <t>RUS</t>
        </is>
      </c>
      <c r="IU189" t="inlineStr">
        <is>
          <t>RUS</t>
        </is>
      </c>
      <c r="IV189" t="inlineStr">
        <is>
          <t>RUS</t>
        </is>
      </c>
      <c r="IW189" t="inlineStr">
        <is>
          <t>RUS</t>
        </is>
      </c>
      <c r="IX189" t="inlineStr">
        <is>
          <t>RUS</t>
        </is>
      </c>
      <c r="IY189" t="inlineStr">
        <is>
          <t>RUS</t>
        </is>
      </c>
      <c r="IZ189" t="inlineStr">
        <is>
          <t>RUS</t>
        </is>
      </c>
      <c r="JA189" t="inlineStr">
        <is>
          <t>RUS</t>
        </is>
      </c>
      <c r="JB189" t="inlineStr">
        <is>
          <t>RUS</t>
        </is>
      </c>
      <c r="JC189" t="inlineStr">
        <is>
          <t>RUS</t>
        </is>
      </c>
      <c r="JD189" t="inlineStr">
        <is>
          <t>RUS</t>
        </is>
      </c>
      <c r="JE189" t="inlineStr">
        <is>
          <t>RUS</t>
        </is>
      </c>
      <c r="JF189" t="inlineStr">
        <is>
          <t>RUS</t>
        </is>
      </c>
      <c r="JG189" t="inlineStr">
        <is>
          <t>RUS</t>
        </is>
      </c>
      <c r="JH189" t="inlineStr">
        <is>
          <t>RUS</t>
        </is>
      </c>
      <c r="JI189" t="inlineStr">
        <is>
          <t>RUS</t>
        </is>
      </c>
      <c r="JJ189" t="inlineStr">
        <is>
          <t>RUS</t>
        </is>
      </c>
      <c r="JK189" t="inlineStr">
        <is>
          <t>RUS</t>
        </is>
      </c>
      <c r="JL189" t="inlineStr">
        <is>
          <t>RUS</t>
        </is>
      </c>
      <c r="JM189" t="inlineStr">
        <is>
          <t>RUS</t>
        </is>
      </c>
      <c r="JN189" t="inlineStr">
        <is>
          <t>RUS</t>
        </is>
      </c>
      <c r="JO189" t="inlineStr">
        <is>
          <t>RUS</t>
        </is>
      </c>
      <c r="JP189" t="inlineStr">
        <is>
          <t>RUS</t>
        </is>
      </c>
      <c r="JQ189" t="inlineStr">
        <is>
          <t>RUS</t>
        </is>
      </c>
      <c r="JR189" t="inlineStr">
        <is>
          <t>RUS</t>
        </is>
      </c>
      <c r="JS189" t="inlineStr">
        <is>
          <t>RUS</t>
        </is>
      </c>
      <c r="JT189" t="inlineStr">
        <is>
          <t>RUS</t>
        </is>
      </c>
      <c r="JU189" t="inlineStr">
        <is>
          <t>RUS</t>
        </is>
      </c>
    </row>
    <row r="190">
      <c r="AR190" t="inlineStr">
        <is>
          <t>IRL</t>
        </is>
      </c>
      <c r="AS190" t="inlineStr">
        <is>
          <t>IRL</t>
        </is>
      </c>
      <c r="AT190" t="inlineStr">
        <is>
          <t>IRL</t>
        </is>
      </c>
      <c r="AU190" t="inlineStr">
        <is>
          <t>GBR</t>
        </is>
      </c>
      <c r="AV190" t="inlineStr">
        <is>
          <t>GBR</t>
        </is>
      </c>
      <c r="AW190" t="inlineStr">
        <is>
          <t>GBR</t>
        </is>
      </c>
      <c r="BD190" t="inlineStr">
        <is>
          <t>GBR</t>
        </is>
      </c>
      <c r="BE190" t="inlineStr">
        <is>
          <t>GBR</t>
        </is>
      </c>
      <c r="BF190" t="inlineStr">
        <is>
          <t>GBR</t>
        </is>
      </c>
      <c r="BG190" t="inlineStr">
        <is>
          <t>GBR</t>
        </is>
      </c>
      <c r="BH190" t="inlineStr">
        <is>
          <t>GBR</t>
        </is>
      </c>
      <c r="CA190" t="inlineStr">
        <is>
          <t>DEU</t>
        </is>
      </c>
      <c r="CB190" t="inlineStr">
        <is>
          <t>DEU</t>
        </is>
      </c>
      <c r="CC190" t="inlineStr">
        <is>
          <t>DEU</t>
        </is>
      </c>
      <c r="CD190" t="inlineStr">
        <is>
          <t>DEU</t>
        </is>
      </c>
      <c r="CE190" t="inlineStr">
        <is>
          <t>DEU</t>
        </is>
      </c>
      <c r="CH190" t="inlineStr">
        <is>
          <t>DEU</t>
        </is>
      </c>
      <c r="CI190" t="inlineStr">
        <is>
          <t>DEU</t>
        </is>
      </c>
      <c r="CO190" t="inlineStr">
        <is>
          <t>POL</t>
        </is>
      </c>
      <c r="CP190" t="inlineStr">
        <is>
          <t>POL</t>
        </is>
      </c>
      <c r="CQ190" t="inlineStr">
        <is>
          <t>POL</t>
        </is>
      </c>
      <c r="CR190" t="inlineStr">
        <is>
          <t>POL</t>
        </is>
      </c>
      <c r="CS190" t="inlineStr">
        <is>
          <t>POL</t>
        </is>
      </c>
      <c r="CT190" t="inlineStr">
        <is>
          <t>POL</t>
        </is>
      </c>
      <c r="CU190" t="inlineStr">
        <is>
          <t>POL</t>
        </is>
      </c>
      <c r="CV190" t="inlineStr">
        <is>
          <t>POL</t>
        </is>
      </c>
      <c r="CW190" t="inlineStr">
        <is>
          <t>POL</t>
        </is>
      </c>
      <c r="CX190" t="inlineStr">
        <is>
          <t>POL</t>
        </is>
      </c>
      <c r="CY190" t="inlineStr">
        <is>
          <t>POL</t>
        </is>
      </c>
      <c r="CZ190" t="inlineStr">
        <is>
          <t>POL</t>
        </is>
      </c>
      <c r="DA190" t="inlineStr">
        <is>
          <t>POL</t>
        </is>
      </c>
      <c r="DB190" t="inlineStr">
        <is>
          <t>POL</t>
        </is>
      </c>
      <c r="DC190" t="inlineStr">
        <is>
          <t>POL</t>
        </is>
      </c>
      <c r="DD190" t="inlineStr">
        <is>
          <t>LTU</t>
        </is>
      </c>
      <c r="DE190" t="inlineStr">
        <is>
          <t>LTU</t>
        </is>
      </c>
      <c r="DF190" t="inlineStr">
        <is>
          <t>LTU</t>
        </is>
      </c>
      <c r="DG190" t="inlineStr">
        <is>
          <t>LTU</t>
        </is>
      </c>
      <c r="DH190" t="inlineStr">
        <is>
          <t>LTU</t>
        </is>
      </c>
      <c r="DI190" t="inlineStr">
        <is>
          <t>BLR</t>
        </is>
      </c>
      <c r="DJ190" t="inlineStr">
        <is>
          <t>BLR</t>
        </is>
      </c>
      <c r="DK190" t="inlineStr">
        <is>
          <t>BLR</t>
        </is>
      </c>
      <c r="DL190" t="inlineStr">
        <is>
          <t>BLR</t>
        </is>
      </c>
      <c r="DM190" t="inlineStr">
        <is>
          <t>BLR</t>
        </is>
      </c>
      <c r="DN190" t="inlineStr">
        <is>
          <t>BLR</t>
        </is>
      </c>
      <c r="DO190" t="inlineStr">
        <is>
          <t>BLR</t>
        </is>
      </c>
      <c r="DP190" t="inlineStr">
        <is>
          <t>BLR</t>
        </is>
      </c>
      <c r="DQ190" t="inlineStr">
        <is>
          <t>BLR</t>
        </is>
      </c>
      <c r="DR190" t="inlineStr">
        <is>
          <t>BLR</t>
        </is>
      </c>
      <c r="DS190" t="inlineStr">
        <is>
          <t>BLR</t>
        </is>
      </c>
      <c r="DT190" t="inlineStr">
        <is>
          <t>BLR</t>
        </is>
      </c>
      <c r="DU190" t="inlineStr">
        <is>
          <t>RUS</t>
        </is>
      </c>
      <c r="DV190" t="inlineStr">
        <is>
          <t>RUS</t>
        </is>
      </c>
      <c r="DW190" t="inlineStr">
        <is>
          <t>RUS</t>
        </is>
      </c>
      <c r="DX190" t="inlineStr">
        <is>
          <t>RUS</t>
        </is>
      </c>
      <c r="DY190" t="inlineStr">
        <is>
          <t>RUS</t>
        </is>
      </c>
      <c r="DZ190" t="inlineStr">
        <is>
          <t>RUS</t>
        </is>
      </c>
      <c r="EA190" t="inlineStr">
        <is>
          <t>RUS</t>
        </is>
      </c>
      <c r="EB190" t="inlineStr">
        <is>
          <t>RUS</t>
        </is>
      </c>
      <c r="EC190" t="inlineStr">
        <is>
          <t>RUS</t>
        </is>
      </c>
      <c r="ED190" t="inlineStr">
        <is>
          <t>RUS</t>
        </is>
      </c>
      <c r="EE190" t="inlineStr">
        <is>
          <t>RUS</t>
        </is>
      </c>
      <c r="EF190" t="inlineStr">
        <is>
          <t>RUS</t>
        </is>
      </c>
      <c r="EG190" t="inlineStr">
        <is>
          <t>RUS</t>
        </is>
      </c>
      <c r="EH190" t="inlineStr">
        <is>
          <t>RUS</t>
        </is>
      </c>
      <c r="EI190" t="inlineStr">
        <is>
          <t>RUS</t>
        </is>
      </c>
      <c r="EJ190" t="inlineStr">
        <is>
          <t>RUS</t>
        </is>
      </c>
      <c r="EK190" t="inlineStr">
        <is>
          <t>RUS</t>
        </is>
      </c>
      <c r="EL190" t="inlineStr">
        <is>
          <t>RUS</t>
        </is>
      </c>
      <c r="EM190" t="inlineStr">
        <is>
          <t>RUS</t>
        </is>
      </c>
      <c r="EN190" t="inlineStr">
        <is>
          <t>RUS</t>
        </is>
      </c>
      <c r="EO190" t="inlineStr">
        <is>
          <t>RUS</t>
        </is>
      </c>
      <c r="EP190" t="inlineStr">
        <is>
          <t>RUS</t>
        </is>
      </c>
      <c r="EQ190" t="inlineStr">
        <is>
          <t>RUS</t>
        </is>
      </c>
      <c r="ER190" t="inlineStr">
        <is>
          <t>RUS</t>
        </is>
      </c>
      <c r="ES190" t="inlineStr">
        <is>
          <t>RUS</t>
        </is>
      </c>
      <c r="ET190" t="inlineStr">
        <is>
          <t>RUS</t>
        </is>
      </c>
      <c r="EU190" t="inlineStr">
        <is>
          <t>RUS</t>
        </is>
      </c>
      <c r="EV190" t="inlineStr">
        <is>
          <t>RUS</t>
        </is>
      </c>
      <c r="EW190" t="inlineStr">
        <is>
          <t>RUS</t>
        </is>
      </c>
      <c r="EX190" t="inlineStr">
        <is>
          <t>RUS</t>
        </is>
      </c>
      <c r="EY190" t="inlineStr">
        <is>
          <t>RUS</t>
        </is>
      </c>
      <c r="EZ190" t="inlineStr">
        <is>
          <t>RUS</t>
        </is>
      </c>
      <c r="FA190" t="inlineStr">
        <is>
          <t>RUS</t>
        </is>
      </c>
      <c r="FB190" t="inlineStr">
        <is>
          <t>RUS</t>
        </is>
      </c>
      <c r="FC190" t="inlineStr">
        <is>
          <t>RUS</t>
        </is>
      </c>
      <c r="FD190" t="inlineStr">
        <is>
          <t>RUS</t>
        </is>
      </c>
      <c r="FE190" t="inlineStr">
        <is>
          <t>RUS</t>
        </is>
      </c>
      <c r="FF190" t="inlineStr">
        <is>
          <t>RUS</t>
        </is>
      </c>
      <c r="FG190" t="inlineStr">
        <is>
          <t>RUS</t>
        </is>
      </c>
      <c r="FH190" t="inlineStr">
        <is>
          <t>RUS</t>
        </is>
      </c>
      <c r="FI190" t="inlineStr">
        <is>
          <t>RUS</t>
        </is>
      </c>
      <c r="FJ190" t="inlineStr">
        <is>
          <t>RUS</t>
        </is>
      </c>
      <c r="FK190" t="inlineStr">
        <is>
          <t>RUS</t>
        </is>
      </c>
      <c r="FL190" t="inlineStr">
        <is>
          <t>RUS</t>
        </is>
      </c>
      <c r="FM190" t="inlineStr">
        <is>
          <t>RUS</t>
        </is>
      </c>
      <c r="FN190" t="inlineStr">
        <is>
          <t>RUS</t>
        </is>
      </c>
      <c r="FO190" t="inlineStr">
        <is>
          <t>RUS</t>
        </is>
      </c>
      <c r="FP190" t="inlineStr">
        <is>
          <t>RUS</t>
        </is>
      </c>
      <c r="FQ190" t="inlineStr">
        <is>
          <t>RUS</t>
        </is>
      </c>
      <c r="FR190" t="inlineStr">
        <is>
          <t>RUS</t>
        </is>
      </c>
      <c r="FS190" t="inlineStr">
        <is>
          <t>RUS</t>
        </is>
      </c>
      <c r="FT190" t="inlineStr">
        <is>
          <t>RUS</t>
        </is>
      </c>
      <c r="FU190" t="inlineStr">
        <is>
          <t>RUS</t>
        </is>
      </c>
      <c r="FV190" t="inlineStr">
        <is>
          <t>RUS</t>
        </is>
      </c>
      <c r="FW190" t="inlineStr">
        <is>
          <t>RUS</t>
        </is>
      </c>
      <c r="FX190" t="inlineStr">
        <is>
          <t>RUS</t>
        </is>
      </c>
      <c r="FY190" t="inlineStr">
        <is>
          <t>RUS</t>
        </is>
      </c>
      <c r="FZ190" t="inlineStr">
        <is>
          <t>RUS</t>
        </is>
      </c>
      <c r="GA190" t="inlineStr">
        <is>
          <t>RUS</t>
        </is>
      </c>
      <c r="GB190" t="inlineStr">
        <is>
          <t>RUS</t>
        </is>
      </c>
      <c r="GC190" t="inlineStr">
        <is>
          <t>RUS</t>
        </is>
      </c>
      <c r="GD190" t="inlineStr">
        <is>
          <t>RUS</t>
        </is>
      </c>
      <c r="GE190" t="inlineStr">
        <is>
          <t>RUS</t>
        </is>
      </c>
      <c r="GF190" t="inlineStr">
        <is>
          <t>RUS</t>
        </is>
      </c>
      <c r="GG190" t="inlineStr">
        <is>
          <t>RUS</t>
        </is>
      </c>
      <c r="GH190" t="inlineStr">
        <is>
          <t>KAZ</t>
        </is>
      </c>
      <c r="GI190" t="inlineStr">
        <is>
          <t>KAZ</t>
        </is>
      </c>
      <c r="GJ190" t="inlineStr">
        <is>
          <t>KAZ</t>
        </is>
      </c>
      <c r="GK190" t="inlineStr">
        <is>
          <t>KAZ</t>
        </is>
      </c>
      <c r="GL190" t="inlineStr">
        <is>
          <t>KAZ</t>
        </is>
      </c>
      <c r="GM190" t="inlineStr">
        <is>
          <t>KAZ</t>
        </is>
      </c>
      <c r="GN190" t="inlineStr">
        <is>
          <t>KAZ</t>
        </is>
      </c>
      <c r="GO190" t="inlineStr">
        <is>
          <t>KAZ</t>
        </is>
      </c>
      <c r="GP190" t="inlineStr">
        <is>
          <t>KAZ</t>
        </is>
      </c>
      <c r="GQ190" t="inlineStr">
        <is>
          <t>KAZ</t>
        </is>
      </c>
      <c r="GR190" t="inlineStr">
        <is>
          <t>KAZ</t>
        </is>
      </c>
      <c r="GS190" t="inlineStr">
        <is>
          <t>KAZ</t>
        </is>
      </c>
      <c r="GT190" t="inlineStr">
        <is>
          <t>KAZ</t>
        </is>
      </c>
      <c r="GU190" t="inlineStr">
        <is>
          <t>KAZ</t>
        </is>
      </c>
      <c r="GV190" t="inlineStr">
        <is>
          <t>RUS</t>
        </is>
      </c>
      <c r="GW190" t="inlineStr">
        <is>
          <t>KAZ</t>
        </is>
      </c>
      <c r="GX190" t="inlineStr">
        <is>
          <t>KAZ</t>
        </is>
      </c>
      <c r="GY190" t="inlineStr">
        <is>
          <t>RUS</t>
        </is>
      </c>
      <c r="GZ190" t="inlineStr">
        <is>
          <t>RUS</t>
        </is>
      </c>
      <c r="HA190" t="inlineStr">
        <is>
          <t>RUS</t>
        </is>
      </c>
      <c r="HB190" t="inlineStr">
        <is>
          <t>RUS</t>
        </is>
      </c>
      <c r="HC190" t="inlineStr">
        <is>
          <t>RUS</t>
        </is>
      </c>
      <c r="HD190" t="inlineStr">
        <is>
          <t>RUS</t>
        </is>
      </c>
      <c r="HE190" t="inlineStr">
        <is>
          <t>RUS</t>
        </is>
      </c>
      <c r="HF190" t="inlineStr">
        <is>
          <t>RUS</t>
        </is>
      </c>
      <c r="HG190" t="inlineStr">
        <is>
          <t>RUS</t>
        </is>
      </c>
      <c r="HH190" t="inlineStr">
        <is>
          <t>RUS</t>
        </is>
      </c>
      <c r="HI190" t="inlineStr">
        <is>
          <t>RUS</t>
        </is>
      </c>
      <c r="HJ190" t="inlineStr">
        <is>
          <t>RUS</t>
        </is>
      </c>
      <c r="HK190" t="inlineStr">
        <is>
          <t>RUS</t>
        </is>
      </c>
      <c r="HL190" t="inlineStr">
        <is>
          <t>RUS</t>
        </is>
      </c>
      <c r="HM190" t="inlineStr">
        <is>
          <t>RUS</t>
        </is>
      </c>
      <c r="HN190" t="inlineStr">
        <is>
          <t>RUS</t>
        </is>
      </c>
      <c r="HO190" t="inlineStr">
        <is>
          <t>RUS</t>
        </is>
      </c>
      <c r="HP190" t="inlineStr">
        <is>
          <t>RUS</t>
        </is>
      </c>
      <c r="HQ190" t="inlineStr">
        <is>
          <t>RUS</t>
        </is>
      </c>
      <c r="HR190" t="inlineStr">
        <is>
          <t>RUS</t>
        </is>
      </c>
      <c r="HS190" t="inlineStr">
        <is>
          <t>RUS</t>
        </is>
      </c>
      <c r="HT190" t="inlineStr">
        <is>
          <t>RUS</t>
        </is>
      </c>
      <c r="HU190" t="inlineStr">
        <is>
          <t>RUS</t>
        </is>
      </c>
      <c r="HV190" t="inlineStr">
        <is>
          <t>RUS</t>
        </is>
      </c>
      <c r="HW190" t="inlineStr">
        <is>
          <t>RUS</t>
        </is>
      </c>
      <c r="HX190" t="inlineStr">
        <is>
          <t>RUS</t>
        </is>
      </c>
      <c r="HY190" t="inlineStr">
        <is>
          <t>RUS</t>
        </is>
      </c>
      <c r="HZ190" t="inlineStr">
        <is>
          <t>RUS</t>
        </is>
      </c>
      <c r="IA190" t="inlineStr">
        <is>
          <t>RUS</t>
        </is>
      </c>
      <c r="IB190" t="inlineStr">
        <is>
          <t>RUS</t>
        </is>
      </c>
      <c r="IC190" t="inlineStr">
        <is>
          <t>RUS</t>
        </is>
      </c>
      <c r="ID190" t="inlineStr">
        <is>
          <t>RUS</t>
        </is>
      </c>
      <c r="IE190" t="inlineStr">
        <is>
          <t>RUS</t>
        </is>
      </c>
      <c r="IF190" t="inlineStr">
        <is>
          <t>RUS</t>
        </is>
      </c>
      <c r="IG190" t="inlineStr">
        <is>
          <t>RUS</t>
        </is>
      </c>
      <c r="IH190" t="inlineStr">
        <is>
          <t>RUS</t>
        </is>
      </c>
      <c r="II190" t="inlineStr">
        <is>
          <t>RUS</t>
        </is>
      </c>
      <c r="IJ190" t="inlineStr">
        <is>
          <t>RUS</t>
        </is>
      </c>
      <c r="IK190" t="inlineStr">
        <is>
          <t>RUS</t>
        </is>
      </c>
      <c r="IL190" t="inlineStr">
        <is>
          <t>RUS</t>
        </is>
      </c>
      <c r="IM190" t="inlineStr">
        <is>
          <t>RUS</t>
        </is>
      </c>
      <c r="IN190" t="inlineStr">
        <is>
          <t>RUS</t>
        </is>
      </c>
      <c r="IO190" t="inlineStr">
        <is>
          <t>RUS</t>
        </is>
      </c>
      <c r="IP190" t="inlineStr">
        <is>
          <t>RUS</t>
        </is>
      </c>
      <c r="IQ190" t="inlineStr">
        <is>
          <t>RUS</t>
        </is>
      </c>
      <c r="IR190" t="inlineStr">
        <is>
          <t>RUS</t>
        </is>
      </c>
      <c r="IS190" t="inlineStr">
        <is>
          <t>RUS</t>
        </is>
      </c>
      <c r="IT190" t="inlineStr">
        <is>
          <t>RUS</t>
        </is>
      </c>
      <c r="IU190" t="inlineStr">
        <is>
          <t>RUS</t>
        </is>
      </c>
      <c r="IV190" t="inlineStr">
        <is>
          <t>RUS</t>
        </is>
      </c>
      <c r="IW190" t="inlineStr">
        <is>
          <t>RUS</t>
        </is>
      </c>
      <c r="IX190" t="inlineStr">
        <is>
          <t>RUS</t>
        </is>
      </c>
      <c r="IY190" t="inlineStr">
        <is>
          <t>RUS</t>
        </is>
      </c>
      <c r="IZ190" t="inlineStr">
        <is>
          <t>RUS</t>
        </is>
      </c>
      <c r="JA190" t="inlineStr">
        <is>
          <t>RUS</t>
        </is>
      </c>
      <c r="JB190" t="inlineStr">
        <is>
          <t>RUS</t>
        </is>
      </c>
      <c r="JC190" t="inlineStr">
        <is>
          <t>RUS</t>
        </is>
      </c>
      <c r="JD190" t="inlineStr">
        <is>
          <t>RUS</t>
        </is>
      </c>
      <c r="JE190" t="inlineStr">
        <is>
          <t>RUS</t>
        </is>
      </c>
      <c r="JF190" t="inlineStr">
        <is>
          <t>RUS</t>
        </is>
      </c>
      <c r="JG190" t="inlineStr">
        <is>
          <t>RUS</t>
        </is>
      </c>
      <c r="JH190" t="inlineStr">
        <is>
          <t>RUS</t>
        </is>
      </c>
      <c r="JI190" t="inlineStr">
        <is>
          <t>RUS</t>
        </is>
      </c>
      <c r="JJ190" t="inlineStr">
        <is>
          <t>RUS</t>
        </is>
      </c>
      <c r="JK190" t="inlineStr">
        <is>
          <t>RUS</t>
        </is>
      </c>
      <c r="JL190" t="inlineStr">
        <is>
          <t>RUS</t>
        </is>
      </c>
      <c r="JM190" t="inlineStr">
        <is>
          <t>RUS</t>
        </is>
      </c>
      <c r="JN190" t="inlineStr">
        <is>
          <t>RUS</t>
        </is>
      </c>
      <c r="JO190" t="inlineStr">
        <is>
          <t>RUS</t>
        </is>
      </c>
      <c r="JP190" t="inlineStr">
        <is>
          <t>RUS</t>
        </is>
      </c>
      <c r="JQ190" t="inlineStr">
        <is>
          <t>RUS</t>
        </is>
      </c>
      <c r="JR190" t="inlineStr">
        <is>
          <t>RUS</t>
        </is>
      </c>
      <c r="JS190" t="inlineStr">
        <is>
          <t>RUS</t>
        </is>
      </c>
      <c r="JT190" t="inlineStr">
        <is>
          <t>RUS</t>
        </is>
      </c>
      <c r="JU190" t="inlineStr">
        <is>
          <t>RUS</t>
        </is>
      </c>
    </row>
    <row r="191">
      <c r="AT191" t="inlineStr">
        <is>
          <t>IRL</t>
        </is>
      </c>
      <c r="AU191" t="inlineStr">
        <is>
          <t>GBR</t>
        </is>
      </c>
      <c r="AV191" t="inlineStr">
        <is>
          <t>GBR</t>
        </is>
      </c>
      <c r="AW191" t="inlineStr">
        <is>
          <t>GBR</t>
        </is>
      </c>
      <c r="BA191" t="inlineStr">
        <is>
          <t>GBR</t>
        </is>
      </c>
      <c r="BB191" t="inlineStr">
        <is>
          <t>GBR</t>
        </is>
      </c>
      <c r="BC191" t="inlineStr">
        <is>
          <t>GBR</t>
        </is>
      </c>
      <c r="BD191" t="inlineStr">
        <is>
          <t>GBR</t>
        </is>
      </c>
      <c r="BE191" t="inlineStr">
        <is>
          <t>GBR</t>
        </is>
      </c>
      <c r="BF191" t="inlineStr">
        <is>
          <t>GBR</t>
        </is>
      </c>
      <c r="BG191" t="inlineStr">
        <is>
          <t>GBR</t>
        </is>
      </c>
      <c r="CA191" t="inlineStr">
        <is>
          <t>DEU</t>
        </is>
      </c>
      <c r="CB191" t="inlineStr">
        <is>
          <t>DEU</t>
        </is>
      </c>
      <c r="CC191" t="inlineStr">
        <is>
          <t>DEU</t>
        </is>
      </c>
      <c r="CR191" t="inlineStr">
        <is>
          <t>POL</t>
        </is>
      </c>
      <c r="CS191" t="inlineStr">
        <is>
          <t>POL</t>
        </is>
      </c>
      <c r="CX191" t="inlineStr">
        <is>
          <t>RUS</t>
        </is>
      </c>
      <c r="CY191" t="inlineStr">
        <is>
          <t>RUS</t>
        </is>
      </c>
      <c r="CZ191" t="inlineStr">
        <is>
          <t>RUS</t>
        </is>
      </c>
      <c r="DA191" t="inlineStr">
        <is>
          <t>RUS</t>
        </is>
      </c>
      <c r="DB191" t="inlineStr">
        <is>
          <t>RUS</t>
        </is>
      </c>
      <c r="DC191" t="inlineStr">
        <is>
          <t>LTU</t>
        </is>
      </c>
      <c r="DD191" t="inlineStr">
        <is>
          <t>LTU</t>
        </is>
      </c>
      <c r="DE191" t="inlineStr">
        <is>
          <t>LTU</t>
        </is>
      </c>
      <c r="DF191" t="inlineStr">
        <is>
          <t>LTU</t>
        </is>
      </c>
      <c r="DG191" t="inlineStr">
        <is>
          <t>LTU</t>
        </is>
      </c>
      <c r="DH191" t="inlineStr">
        <is>
          <t>LTU</t>
        </is>
      </c>
      <c r="DI191" t="inlineStr">
        <is>
          <t>BLR</t>
        </is>
      </c>
      <c r="DJ191" t="inlineStr">
        <is>
          <t>BLR</t>
        </is>
      </c>
      <c r="DK191" t="inlineStr">
        <is>
          <t>BLR</t>
        </is>
      </c>
      <c r="DL191" t="inlineStr">
        <is>
          <t>BLR</t>
        </is>
      </c>
      <c r="DM191" t="inlineStr">
        <is>
          <t>BLR</t>
        </is>
      </c>
      <c r="DN191" t="inlineStr">
        <is>
          <t>BLR</t>
        </is>
      </c>
      <c r="DO191" t="inlineStr">
        <is>
          <t>BLR</t>
        </is>
      </c>
      <c r="DP191" t="inlineStr">
        <is>
          <t>BLR</t>
        </is>
      </c>
      <c r="DQ191" t="inlineStr">
        <is>
          <t>BLR</t>
        </is>
      </c>
      <c r="DR191" t="inlineStr">
        <is>
          <t>BLR</t>
        </is>
      </c>
      <c r="DS191" t="inlineStr">
        <is>
          <t>BLR</t>
        </is>
      </c>
      <c r="DT191" t="inlineStr">
        <is>
          <t>RUS</t>
        </is>
      </c>
      <c r="DU191" t="inlineStr">
        <is>
          <t>RUS</t>
        </is>
      </c>
      <c r="DV191" t="inlineStr">
        <is>
          <t>RUS</t>
        </is>
      </c>
      <c r="DW191" t="inlineStr">
        <is>
          <t>RUS</t>
        </is>
      </c>
      <c r="DX191" t="inlineStr">
        <is>
          <t>RUS</t>
        </is>
      </c>
      <c r="DY191" t="inlineStr">
        <is>
          <t>RUS</t>
        </is>
      </c>
      <c r="DZ191" t="inlineStr">
        <is>
          <t>RUS</t>
        </is>
      </c>
      <c r="EA191" t="inlineStr">
        <is>
          <t>RUS</t>
        </is>
      </c>
      <c r="EB191" t="inlineStr">
        <is>
          <t>RUS</t>
        </is>
      </c>
      <c r="EC191" t="inlineStr">
        <is>
          <t>RUS</t>
        </is>
      </c>
      <c r="ED191" t="inlineStr">
        <is>
          <t>RUS</t>
        </is>
      </c>
      <c r="EE191" t="inlineStr">
        <is>
          <t>RUS</t>
        </is>
      </c>
      <c r="EF191" t="inlineStr">
        <is>
          <t>RUS</t>
        </is>
      </c>
      <c r="EG191" t="inlineStr">
        <is>
          <t>RUS</t>
        </is>
      </c>
      <c r="EH191" t="inlineStr">
        <is>
          <t>RUS</t>
        </is>
      </c>
      <c r="EI191" t="inlineStr">
        <is>
          <t>RUS</t>
        </is>
      </c>
      <c r="EJ191" t="inlineStr">
        <is>
          <t>RUS</t>
        </is>
      </c>
      <c r="EK191" t="inlineStr">
        <is>
          <t>RUS</t>
        </is>
      </c>
      <c r="EL191" t="inlineStr">
        <is>
          <t>RUS</t>
        </is>
      </c>
      <c r="EM191" t="inlineStr">
        <is>
          <t>RUS</t>
        </is>
      </c>
      <c r="EN191" t="inlineStr">
        <is>
          <t>RUS</t>
        </is>
      </c>
      <c r="EO191" t="inlineStr">
        <is>
          <t>RUS</t>
        </is>
      </c>
      <c r="EP191" t="inlineStr">
        <is>
          <t>RUS</t>
        </is>
      </c>
      <c r="EQ191" t="inlineStr">
        <is>
          <t>RUS</t>
        </is>
      </c>
      <c r="ER191" t="inlineStr">
        <is>
          <t>RUS</t>
        </is>
      </c>
      <c r="ES191" t="inlineStr">
        <is>
          <t>RUS</t>
        </is>
      </c>
      <c r="ET191" t="inlineStr">
        <is>
          <t>RUS</t>
        </is>
      </c>
      <c r="EU191" t="inlineStr">
        <is>
          <t>RUS</t>
        </is>
      </c>
      <c r="EV191" t="inlineStr">
        <is>
          <t>RUS</t>
        </is>
      </c>
      <c r="EW191" t="inlineStr">
        <is>
          <t>RUS</t>
        </is>
      </c>
      <c r="EX191" t="inlineStr">
        <is>
          <t>RUS</t>
        </is>
      </c>
      <c r="EY191" t="inlineStr">
        <is>
          <t>RUS</t>
        </is>
      </c>
      <c r="EZ191" t="inlineStr">
        <is>
          <t>RUS</t>
        </is>
      </c>
      <c r="FA191" t="inlineStr">
        <is>
          <t>RUS</t>
        </is>
      </c>
      <c r="FB191" t="inlineStr">
        <is>
          <t>RUS</t>
        </is>
      </c>
      <c r="FC191" t="inlineStr">
        <is>
          <t>RUS</t>
        </is>
      </c>
      <c r="FD191" t="inlineStr">
        <is>
          <t>RUS</t>
        </is>
      </c>
      <c r="FE191" t="inlineStr">
        <is>
          <t>RUS</t>
        </is>
      </c>
      <c r="FF191" t="inlineStr">
        <is>
          <t>RUS</t>
        </is>
      </c>
      <c r="FG191" t="inlineStr">
        <is>
          <t>RUS</t>
        </is>
      </c>
      <c r="FH191" t="inlineStr">
        <is>
          <t>RUS</t>
        </is>
      </c>
      <c r="FI191" t="inlineStr">
        <is>
          <t>RUS</t>
        </is>
      </c>
      <c r="FJ191" t="inlineStr">
        <is>
          <t>RUS</t>
        </is>
      </c>
      <c r="FK191" t="inlineStr">
        <is>
          <t>RUS</t>
        </is>
      </c>
      <c r="FL191" t="inlineStr">
        <is>
          <t>RUS</t>
        </is>
      </c>
      <c r="FM191" t="inlineStr">
        <is>
          <t>RUS</t>
        </is>
      </c>
      <c r="FN191" t="inlineStr">
        <is>
          <t>RUS</t>
        </is>
      </c>
      <c r="FO191" t="inlineStr">
        <is>
          <t>RUS</t>
        </is>
      </c>
      <c r="FP191" t="inlineStr">
        <is>
          <t>RUS</t>
        </is>
      </c>
      <c r="FQ191" t="inlineStr">
        <is>
          <t>RUS</t>
        </is>
      </c>
      <c r="FR191" t="inlineStr">
        <is>
          <t>RUS</t>
        </is>
      </c>
      <c r="FS191" t="inlineStr">
        <is>
          <t>RUS</t>
        </is>
      </c>
      <c r="FT191" t="inlineStr">
        <is>
          <t>RUS</t>
        </is>
      </c>
      <c r="FU191" t="inlineStr">
        <is>
          <t>RUS</t>
        </is>
      </c>
      <c r="FV191" t="inlineStr">
        <is>
          <t>RUS</t>
        </is>
      </c>
      <c r="FW191" t="inlineStr">
        <is>
          <t>RUS</t>
        </is>
      </c>
      <c r="FX191" t="inlineStr">
        <is>
          <t>RUS</t>
        </is>
      </c>
      <c r="FY191" t="inlineStr">
        <is>
          <t>RUS</t>
        </is>
      </c>
      <c r="FZ191" t="inlineStr">
        <is>
          <t>RUS</t>
        </is>
      </c>
      <c r="GA191" t="inlineStr">
        <is>
          <t>RUS</t>
        </is>
      </c>
      <c r="GB191" t="inlineStr">
        <is>
          <t>RUS</t>
        </is>
      </c>
      <c r="GC191" t="inlineStr">
        <is>
          <t>RUS</t>
        </is>
      </c>
      <c r="GD191" t="inlineStr">
        <is>
          <t>RUS</t>
        </is>
      </c>
      <c r="GE191" t="inlineStr">
        <is>
          <t>RUS</t>
        </is>
      </c>
      <c r="GF191" t="inlineStr">
        <is>
          <t>RUS</t>
        </is>
      </c>
      <c r="GG191" t="inlineStr">
        <is>
          <t>RUS</t>
        </is>
      </c>
      <c r="GH191" t="inlineStr">
        <is>
          <t>RUS</t>
        </is>
      </c>
      <c r="GI191" t="inlineStr">
        <is>
          <t>RUS</t>
        </is>
      </c>
      <c r="GJ191" t="inlineStr">
        <is>
          <t>RUS</t>
        </is>
      </c>
      <c r="GK191" t="inlineStr">
        <is>
          <t>RUS</t>
        </is>
      </c>
      <c r="GL191" t="inlineStr">
        <is>
          <t>RUS</t>
        </is>
      </c>
      <c r="GM191" t="inlineStr">
        <is>
          <t>KAZ</t>
        </is>
      </c>
      <c r="GN191" t="inlineStr">
        <is>
          <t>KAZ</t>
        </is>
      </c>
      <c r="GO191" t="inlineStr">
        <is>
          <t>KAZ</t>
        </is>
      </c>
      <c r="GP191" t="inlineStr">
        <is>
          <t>KAZ</t>
        </is>
      </c>
      <c r="GQ191" t="inlineStr">
        <is>
          <t>KAZ</t>
        </is>
      </c>
      <c r="GR191" t="inlineStr">
        <is>
          <t>KAZ</t>
        </is>
      </c>
      <c r="GS191" t="inlineStr">
        <is>
          <t>KAZ</t>
        </is>
      </c>
      <c r="GT191" t="inlineStr">
        <is>
          <t>KAZ</t>
        </is>
      </c>
      <c r="GU191" t="inlineStr">
        <is>
          <t>KAZ</t>
        </is>
      </c>
      <c r="GV191" t="inlineStr">
        <is>
          <t>RUS</t>
        </is>
      </c>
      <c r="GW191" t="inlineStr">
        <is>
          <t>RUS</t>
        </is>
      </c>
      <c r="GX191" t="inlineStr">
        <is>
          <t>RUS</t>
        </is>
      </c>
      <c r="GY191" t="inlineStr">
        <is>
          <t>RUS</t>
        </is>
      </c>
      <c r="GZ191" t="inlineStr">
        <is>
          <t>RUS</t>
        </is>
      </c>
      <c r="HA191" t="inlineStr">
        <is>
          <t>RUS</t>
        </is>
      </c>
      <c r="HB191" t="inlineStr">
        <is>
          <t>RUS</t>
        </is>
      </c>
      <c r="HC191" t="inlineStr">
        <is>
          <t>RUS</t>
        </is>
      </c>
      <c r="HD191" t="inlineStr">
        <is>
          <t>RUS</t>
        </is>
      </c>
      <c r="HE191" t="inlineStr">
        <is>
          <t>RUS</t>
        </is>
      </c>
      <c r="HF191" t="inlineStr">
        <is>
          <t>RUS</t>
        </is>
      </c>
      <c r="HG191" t="inlineStr">
        <is>
          <t>RUS</t>
        </is>
      </c>
      <c r="HH191" t="inlineStr">
        <is>
          <t>RUS</t>
        </is>
      </c>
      <c r="HI191" t="inlineStr">
        <is>
          <t>RUS</t>
        </is>
      </c>
      <c r="HJ191" t="inlineStr">
        <is>
          <t>RUS</t>
        </is>
      </c>
      <c r="HK191" t="inlineStr">
        <is>
          <t>RUS</t>
        </is>
      </c>
      <c r="HL191" t="inlineStr">
        <is>
          <t>RUS</t>
        </is>
      </c>
      <c r="HM191" t="inlineStr">
        <is>
          <t>RUS</t>
        </is>
      </c>
      <c r="HN191" t="inlineStr">
        <is>
          <t>RUS</t>
        </is>
      </c>
      <c r="HO191" t="inlineStr">
        <is>
          <t>RUS</t>
        </is>
      </c>
      <c r="HP191" t="inlineStr">
        <is>
          <t>RUS</t>
        </is>
      </c>
      <c r="HQ191" t="inlineStr">
        <is>
          <t>RUS</t>
        </is>
      </c>
      <c r="HR191" t="inlineStr">
        <is>
          <t>RUS</t>
        </is>
      </c>
      <c r="HS191" t="inlineStr">
        <is>
          <t>RUS</t>
        </is>
      </c>
      <c r="HT191" t="inlineStr">
        <is>
          <t>RUS</t>
        </is>
      </c>
      <c r="HU191" t="inlineStr">
        <is>
          <t>RUS</t>
        </is>
      </c>
      <c r="HV191" t="inlineStr">
        <is>
          <t>RUS</t>
        </is>
      </c>
      <c r="HW191" t="inlineStr">
        <is>
          <t>RUS</t>
        </is>
      </c>
      <c r="HX191" t="inlineStr">
        <is>
          <t>RUS</t>
        </is>
      </c>
      <c r="HY191" t="inlineStr">
        <is>
          <t>RUS</t>
        </is>
      </c>
      <c r="HZ191" t="inlineStr">
        <is>
          <t>RUS</t>
        </is>
      </c>
      <c r="IA191" t="inlineStr">
        <is>
          <t>RUS</t>
        </is>
      </c>
      <c r="IB191" t="inlineStr">
        <is>
          <t>RUS</t>
        </is>
      </c>
      <c r="IC191" t="inlineStr">
        <is>
          <t>RUS</t>
        </is>
      </c>
      <c r="ID191" t="inlineStr">
        <is>
          <t>RUS</t>
        </is>
      </c>
      <c r="IE191" t="inlineStr">
        <is>
          <t>RUS</t>
        </is>
      </c>
      <c r="IF191" t="inlineStr">
        <is>
          <t>RUS</t>
        </is>
      </c>
      <c r="IG191" t="inlineStr">
        <is>
          <t>RUS</t>
        </is>
      </c>
      <c r="IH191" t="inlineStr">
        <is>
          <t>RUS</t>
        </is>
      </c>
      <c r="II191" t="inlineStr">
        <is>
          <t>RUS</t>
        </is>
      </c>
      <c r="IJ191" t="inlineStr">
        <is>
          <t>RUS</t>
        </is>
      </c>
      <c r="IK191" t="inlineStr">
        <is>
          <t>RUS</t>
        </is>
      </c>
      <c r="IL191" t="inlineStr">
        <is>
          <t>RUS</t>
        </is>
      </c>
      <c r="IM191" t="inlineStr">
        <is>
          <t>RUS</t>
        </is>
      </c>
      <c r="IN191" t="inlineStr">
        <is>
          <t>RUS</t>
        </is>
      </c>
      <c r="IO191" t="inlineStr">
        <is>
          <t>RUS</t>
        </is>
      </c>
      <c r="IP191" t="inlineStr">
        <is>
          <t>RUS</t>
        </is>
      </c>
      <c r="IQ191" t="inlineStr">
        <is>
          <t>RUS</t>
        </is>
      </c>
      <c r="IR191" t="inlineStr">
        <is>
          <t>RUS</t>
        </is>
      </c>
      <c r="IS191" t="inlineStr">
        <is>
          <t>RUS</t>
        </is>
      </c>
      <c r="IT191" t="inlineStr">
        <is>
          <t>RUS</t>
        </is>
      </c>
      <c r="IU191" t="inlineStr">
        <is>
          <t>RUS</t>
        </is>
      </c>
      <c r="IV191" t="inlineStr">
        <is>
          <t>RUS</t>
        </is>
      </c>
      <c r="IW191" t="inlineStr">
        <is>
          <t>RUS</t>
        </is>
      </c>
      <c r="IX191" t="inlineStr">
        <is>
          <t>RUS</t>
        </is>
      </c>
      <c r="IY191" t="inlineStr">
        <is>
          <t>RUS</t>
        </is>
      </c>
      <c r="IZ191" t="inlineStr">
        <is>
          <t>RUS</t>
        </is>
      </c>
      <c r="JA191" t="inlineStr">
        <is>
          <t>RUS</t>
        </is>
      </c>
      <c r="JB191" t="inlineStr">
        <is>
          <t>RUS</t>
        </is>
      </c>
      <c r="JC191" t="inlineStr">
        <is>
          <t>RUS</t>
        </is>
      </c>
      <c r="JD191" t="inlineStr">
        <is>
          <t>RUS</t>
        </is>
      </c>
      <c r="JE191" t="inlineStr">
        <is>
          <t>RUS</t>
        </is>
      </c>
      <c r="JF191" t="inlineStr">
        <is>
          <t>RUS</t>
        </is>
      </c>
      <c r="JG191" t="inlineStr">
        <is>
          <t>RUS</t>
        </is>
      </c>
      <c r="JH191" t="inlineStr">
        <is>
          <t>RUS</t>
        </is>
      </c>
      <c r="JI191" t="inlineStr">
        <is>
          <t>RUS</t>
        </is>
      </c>
      <c r="JJ191" t="inlineStr">
        <is>
          <t>RUS</t>
        </is>
      </c>
      <c r="JK191" t="inlineStr">
        <is>
          <t>RUS</t>
        </is>
      </c>
      <c r="JL191" t="inlineStr">
        <is>
          <t>RUS</t>
        </is>
      </c>
      <c r="JM191" t="inlineStr">
        <is>
          <t>RUS</t>
        </is>
      </c>
      <c r="JN191" t="inlineStr">
        <is>
          <t>RUS</t>
        </is>
      </c>
      <c r="JO191" t="inlineStr">
        <is>
          <t>RUS</t>
        </is>
      </c>
      <c r="JP191" t="inlineStr">
        <is>
          <t>RUS</t>
        </is>
      </c>
      <c r="JQ191" t="inlineStr">
        <is>
          <t>RUS</t>
        </is>
      </c>
      <c r="JR191" t="inlineStr">
        <is>
          <t>RUS</t>
        </is>
      </c>
      <c r="JS191" t="inlineStr">
        <is>
          <t>RUS</t>
        </is>
      </c>
      <c r="JT191" t="inlineStr">
        <is>
          <t>RUS</t>
        </is>
      </c>
      <c r="JU191" t="inlineStr">
        <is>
          <t>RUS</t>
        </is>
      </c>
    </row>
    <row r="192">
      <c r="AZ192" t="inlineStr">
        <is>
          <t>GBR</t>
        </is>
      </c>
      <c r="BA192" t="inlineStr">
        <is>
          <t>GBR</t>
        </is>
      </c>
      <c r="BB192" t="inlineStr">
        <is>
          <t>GBR</t>
        </is>
      </c>
      <c r="BC192" t="inlineStr">
        <is>
          <t>GBR</t>
        </is>
      </c>
      <c r="BD192" t="inlineStr">
        <is>
          <t>GBR</t>
        </is>
      </c>
      <c r="BE192" t="inlineStr">
        <is>
          <t>GBR</t>
        </is>
      </c>
      <c r="BF192" t="inlineStr">
        <is>
          <t>GBR</t>
        </is>
      </c>
      <c r="CA192" t="inlineStr">
        <is>
          <t>DNK</t>
        </is>
      </c>
      <c r="CB192" t="inlineStr">
        <is>
          <t>DNK</t>
        </is>
      </c>
      <c r="CC192" t="inlineStr">
        <is>
          <t>DNK</t>
        </is>
      </c>
      <c r="CG192" t="inlineStr">
        <is>
          <t>DNK</t>
        </is>
      </c>
      <c r="CH192" t="inlineStr">
        <is>
          <t>DNK</t>
        </is>
      </c>
      <c r="DA192" t="inlineStr">
        <is>
          <t>LTU</t>
        </is>
      </c>
      <c r="DB192" t="inlineStr">
        <is>
          <t>LTU</t>
        </is>
      </c>
      <c r="DC192" t="inlineStr">
        <is>
          <t>LTU</t>
        </is>
      </c>
      <c r="DD192" t="inlineStr">
        <is>
          <t>LTU</t>
        </is>
      </c>
      <c r="DE192" t="inlineStr">
        <is>
          <t>LTU</t>
        </is>
      </c>
      <c r="DF192" t="inlineStr">
        <is>
          <t>LTU</t>
        </is>
      </c>
      <c r="DG192" t="inlineStr">
        <is>
          <t>LTU</t>
        </is>
      </c>
      <c r="DH192" t="inlineStr">
        <is>
          <t>LTU</t>
        </is>
      </c>
      <c r="DI192" t="inlineStr">
        <is>
          <t>LTU</t>
        </is>
      </c>
      <c r="DJ192" t="inlineStr">
        <is>
          <t>LTU</t>
        </is>
      </c>
      <c r="DK192" t="inlineStr">
        <is>
          <t>BLR</t>
        </is>
      </c>
      <c r="DL192" t="inlineStr">
        <is>
          <t>BLR</t>
        </is>
      </c>
      <c r="DM192" t="inlineStr">
        <is>
          <t>BLR</t>
        </is>
      </c>
      <c r="DN192" t="inlineStr">
        <is>
          <t>BLR</t>
        </is>
      </c>
      <c r="DO192" t="inlineStr">
        <is>
          <t>BLR</t>
        </is>
      </c>
      <c r="DP192" t="inlineStr">
        <is>
          <t>BLR</t>
        </is>
      </c>
      <c r="DQ192" t="inlineStr">
        <is>
          <t>BLR</t>
        </is>
      </c>
      <c r="DR192" t="inlineStr">
        <is>
          <t>BLR</t>
        </is>
      </c>
      <c r="DS192" t="inlineStr">
        <is>
          <t>BLR</t>
        </is>
      </c>
      <c r="DT192" t="inlineStr">
        <is>
          <t>RUS</t>
        </is>
      </c>
      <c r="DU192" t="inlineStr">
        <is>
          <t>RUS</t>
        </is>
      </c>
      <c r="DV192" t="inlineStr">
        <is>
          <t>RUS</t>
        </is>
      </c>
      <c r="DW192" t="inlineStr">
        <is>
          <t>RUS</t>
        </is>
      </c>
      <c r="DX192" t="inlineStr">
        <is>
          <t>RUS</t>
        </is>
      </c>
      <c r="DY192" t="inlineStr">
        <is>
          <t>RUS</t>
        </is>
      </c>
      <c r="DZ192" t="inlineStr">
        <is>
          <t>RUS</t>
        </is>
      </c>
      <c r="EA192" t="inlineStr">
        <is>
          <t>RUS</t>
        </is>
      </c>
      <c r="EB192" t="inlineStr">
        <is>
          <t>RUS</t>
        </is>
      </c>
      <c r="EC192" t="inlineStr">
        <is>
          <t>RUS</t>
        </is>
      </c>
      <c r="ED192" t="inlineStr">
        <is>
          <t>RUS</t>
        </is>
      </c>
      <c r="EE192" t="inlineStr">
        <is>
          <t>RUS</t>
        </is>
      </c>
      <c r="EF192" t="inlineStr">
        <is>
          <t>RUS</t>
        </is>
      </c>
      <c r="EG192" t="inlineStr">
        <is>
          <t>RUS</t>
        </is>
      </c>
      <c r="EH192" t="inlineStr">
        <is>
          <t>RUS</t>
        </is>
      </c>
      <c r="EI192" t="inlineStr">
        <is>
          <t>RUS</t>
        </is>
      </c>
      <c r="EJ192" t="inlineStr">
        <is>
          <t>RUS</t>
        </is>
      </c>
      <c r="EK192" t="inlineStr">
        <is>
          <t>RUS</t>
        </is>
      </c>
      <c r="EL192" t="inlineStr">
        <is>
          <t>RUS</t>
        </is>
      </c>
      <c r="EM192" t="inlineStr">
        <is>
          <t>RUS</t>
        </is>
      </c>
      <c r="EN192" t="inlineStr">
        <is>
          <t>RUS</t>
        </is>
      </c>
      <c r="EO192" t="inlineStr">
        <is>
          <t>RUS</t>
        </is>
      </c>
      <c r="EP192" t="inlineStr">
        <is>
          <t>RUS</t>
        </is>
      </c>
      <c r="EQ192" t="inlineStr">
        <is>
          <t>RUS</t>
        </is>
      </c>
      <c r="ER192" t="inlineStr">
        <is>
          <t>RUS</t>
        </is>
      </c>
      <c r="ES192" t="inlineStr">
        <is>
          <t>RUS</t>
        </is>
      </c>
      <c r="ET192" t="inlineStr">
        <is>
          <t>RUS</t>
        </is>
      </c>
      <c r="EU192" t="inlineStr">
        <is>
          <t>RUS</t>
        </is>
      </c>
      <c r="EV192" t="inlineStr">
        <is>
          <t>RUS</t>
        </is>
      </c>
      <c r="EW192" t="inlineStr">
        <is>
          <t>RUS</t>
        </is>
      </c>
      <c r="EX192" t="inlineStr">
        <is>
          <t>RUS</t>
        </is>
      </c>
      <c r="EY192" t="inlineStr">
        <is>
          <t>RUS</t>
        </is>
      </c>
      <c r="EZ192" t="inlineStr">
        <is>
          <t>RUS</t>
        </is>
      </c>
      <c r="FA192" t="inlineStr">
        <is>
          <t>RUS</t>
        </is>
      </c>
      <c r="FB192" t="inlineStr">
        <is>
          <t>RUS</t>
        </is>
      </c>
      <c r="FC192" t="inlineStr">
        <is>
          <t>RUS</t>
        </is>
      </c>
      <c r="FD192" t="inlineStr">
        <is>
          <t>RUS</t>
        </is>
      </c>
      <c r="FE192" t="inlineStr">
        <is>
          <t>RUS</t>
        </is>
      </c>
      <c r="FF192" t="inlineStr">
        <is>
          <t>RUS</t>
        </is>
      </c>
      <c r="FG192" t="inlineStr">
        <is>
          <t>RUS</t>
        </is>
      </c>
      <c r="FH192" t="inlineStr">
        <is>
          <t>RUS</t>
        </is>
      </c>
      <c r="FI192" t="inlineStr">
        <is>
          <t>RUS</t>
        </is>
      </c>
      <c r="FJ192" t="inlineStr">
        <is>
          <t>RUS</t>
        </is>
      </c>
      <c r="FK192" t="inlineStr">
        <is>
          <t>RUS</t>
        </is>
      </c>
      <c r="FL192" t="inlineStr">
        <is>
          <t>RUS</t>
        </is>
      </c>
      <c r="FM192" t="inlineStr">
        <is>
          <t>RUS</t>
        </is>
      </c>
      <c r="FN192" t="inlineStr">
        <is>
          <t>RUS</t>
        </is>
      </c>
      <c r="FO192" t="inlineStr">
        <is>
          <t>RUS</t>
        </is>
      </c>
      <c r="FP192" t="inlineStr">
        <is>
          <t>RUS</t>
        </is>
      </c>
      <c r="FQ192" t="inlineStr">
        <is>
          <t>RUS</t>
        </is>
      </c>
      <c r="FR192" t="inlineStr">
        <is>
          <t>RUS</t>
        </is>
      </c>
      <c r="FS192" t="inlineStr">
        <is>
          <t>RUS</t>
        </is>
      </c>
      <c r="FT192" t="inlineStr">
        <is>
          <t>RUS</t>
        </is>
      </c>
      <c r="FU192" t="inlineStr">
        <is>
          <t>RUS</t>
        </is>
      </c>
      <c r="FV192" t="inlineStr">
        <is>
          <t>RUS</t>
        </is>
      </c>
      <c r="FW192" t="inlineStr">
        <is>
          <t>RUS</t>
        </is>
      </c>
      <c r="FX192" t="inlineStr">
        <is>
          <t>RUS</t>
        </is>
      </c>
      <c r="FY192" t="inlineStr">
        <is>
          <t>RUS</t>
        </is>
      </c>
      <c r="FZ192" t="inlineStr">
        <is>
          <t>RUS</t>
        </is>
      </c>
      <c r="GA192" t="inlineStr">
        <is>
          <t>RUS</t>
        </is>
      </c>
      <c r="GB192" t="inlineStr">
        <is>
          <t>RUS</t>
        </is>
      </c>
      <c r="GC192" t="inlineStr">
        <is>
          <t>RUS</t>
        </is>
      </c>
      <c r="GD192" t="inlineStr">
        <is>
          <t>RUS</t>
        </is>
      </c>
      <c r="GE192" t="inlineStr">
        <is>
          <t>RUS</t>
        </is>
      </c>
      <c r="GF192" t="inlineStr">
        <is>
          <t>RUS</t>
        </is>
      </c>
      <c r="GG192" t="inlineStr">
        <is>
          <t>RUS</t>
        </is>
      </c>
      <c r="GH192" t="inlineStr">
        <is>
          <t>RUS</t>
        </is>
      </c>
      <c r="GI192" t="inlineStr">
        <is>
          <t>RUS</t>
        </is>
      </c>
      <c r="GJ192" t="inlineStr">
        <is>
          <t>RUS</t>
        </is>
      </c>
      <c r="GK192" t="inlineStr">
        <is>
          <t>RUS</t>
        </is>
      </c>
      <c r="GL192" t="inlineStr">
        <is>
          <t>RUS</t>
        </is>
      </c>
      <c r="GM192" t="inlineStr">
        <is>
          <t>RUS</t>
        </is>
      </c>
      <c r="GN192" t="inlineStr">
        <is>
          <t>RUS</t>
        </is>
      </c>
      <c r="GO192" t="inlineStr">
        <is>
          <t>RUS</t>
        </is>
      </c>
      <c r="GP192" t="inlineStr">
        <is>
          <t>RUS</t>
        </is>
      </c>
      <c r="GQ192" t="inlineStr">
        <is>
          <t>RUS</t>
        </is>
      </c>
      <c r="GR192" t="inlineStr">
        <is>
          <t>KAZ</t>
        </is>
      </c>
      <c r="GS192" t="inlineStr">
        <is>
          <t>KAZ</t>
        </is>
      </c>
      <c r="GT192" t="inlineStr">
        <is>
          <t>RUS</t>
        </is>
      </c>
      <c r="GU192" t="inlineStr">
        <is>
          <t>RUS</t>
        </is>
      </c>
      <c r="GV192" t="inlineStr">
        <is>
          <t>RUS</t>
        </is>
      </c>
      <c r="GW192" t="inlineStr">
        <is>
          <t>RUS</t>
        </is>
      </c>
      <c r="GX192" t="inlineStr">
        <is>
          <t>RUS</t>
        </is>
      </c>
      <c r="GY192" t="inlineStr">
        <is>
          <t>RUS</t>
        </is>
      </c>
      <c r="GZ192" t="inlineStr">
        <is>
          <t>RUS</t>
        </is>
      </c>
      <c r="HA192" t="inlineStr">
        <is>
          <t>RUS</t>
        </is>
      </c>
      <c r="HB192" t="inlineStr">
        <is>
          <t>RUS</t>
        </is>
      </c>
      <c r="HC192" t="inlineStr">
        <is>
          <t>RUS</t>
        </is>
      </c>
      <c r="HD192" t="inlineStr">
        <is>
          <t>RUS</t>
        </is>
      </c>
      <c r="HE192" t="inlineStr">
        <is>
          <t>RUS</t>
        </is>
      </c>
      <c r="HF192" t="inlineStr">
        <is>
          <t>RUS</t>
        </is>
      </c>
      <c r="HG192" t="inlineStr">
        <is>
          <t>RUS</t>
        </is>
      </c>
      <c r="HH192" t="inlineStr">
        <is>
          <t>RUS</t>
        </is>
      </c>
      <c r="HI192" t="inlineStr">
        <is>
          <t>RUS</t>
        </is>
      </c>
      <c r="HJ192" t="inlineStr">
        <is>
          <t>RUS</t>
        </is>
      </c>
      <c r="HK192" t="inlineStr">
        <is>
          <t>RUS</t>
        </is>
      </c>
      <c r="HL192" t="inlineStr">
        <is>
          <t>RUS</t>
        </is>
      </c>
      <c r="HM192" t="inlineStr">
        <is>
          <t>RUS</t>
        </is>
      </c>
      <c r="HN192" t="inlineStr">
        <is>
          <t>RUS</t>
        </is>
      </c>
      <c r="HO192" t="inlineStr">
        <is>
          <t>RUS</t>
        </is>
      </c>
      <c r="HP192" t="inlineStr">
        <is>
          <t>RUS</t>
        </is>
      </c>
      <c r="HQ192" t="inlineStr">
        <is>
          <t>RUS</t>
        </is>
      </c>
      <c r="HR192" t="inlineStr">
        <is>
          <t>RUS</t>
        </is>
      </c>
      <c r="HS192" t="inlineStr">
        <is>
          <t>RUS</t>
        </is>
      </c>
      <c r="HT192" t="inlineStr">
        <is>
          <t>RUS</t>
        </is>
      </c>
      <c r="HU192" t="inlineStr">
        <is>
          <t>RUS</t>
        </is>
      </c>
      <c r="HV192" t="inlineStr">
        <is>
          <t>RUS</t>
        </is>
      </c>
      <c r="HW192" t="inlineStr">
        <is>
          <t>RUS</t>
        </is>
      </c>
      <c r="HX192" t="inlineStr">
        <is>
          <t>RUS</t>
        </is>
      </c>
      <c r="HY192" t="inlineStr">
        <is>
          <t>RUS</t>
        </is>
      </c>
      <c r="HZ192" t="inlineStr">
        <is>
          <t>RUS</t>
        </is>
      </c>
      <c r="IA192" t="inlineStr">
        <is>
          <t>RUS</t>
        </is>
      </c>
      <c r="IB192" t="inlineStr">
        <is>
          <t>RUS</t>
        </is>
      </c>
      <c r="IC192" t="inlineStr">
        <is>
          <t>RUS</t>
        </is>
      </c>
      <c r="ID192" t="inlineStr">
        <is>
          <t>RUS</t>
        </is>
      </c>
      <c r="IE192" t="inlineStr">
        <is>
          <t>RUS</t>
        </is>
      </c>
      <c r="IF192" t="inlineStr">
        <is>
          <t>RUS</t>
        </is>
      </c>
      <c r="IG192" t="inlineStr">
        <is>
          <t>RUS</t>
        </is>
      </c>
      <c r="IH192" t="inlineStr">
        <is>
          <t>RUS</t>
        </is>
      </c>
      <c r="II192" t="inlineStr">
        <is>
          <t>RUS</t>
        </is>
      </c>
      <c r="IJ192" t="inlineStr">
        <is>
          <t>RUS</t>
        </is>
      </c>
      <c r="IK192" t="inlineStr">
        <is>
          <t>RUS</t>
        </is>
      </c>
      <c r="IL192" t="inlineStr">
        <is>
          <t>RUS</t>
        </is>
      </c>
      <c r="IM192" t="inlineStr">
        <is>
          <t>RUS</t>
        </is>
      </c>
      <c r="IN192" t="inlineStr">
        <is>
          <t>RUS</t>
        </is>
      </c>
      <c r="IO192" t="inlineStr">
        <is>
          <t>RUS</t>
        </is>
      </c>
      <c r="IP192" t="inlineStr">
        <is>
          <t>RUS</t>
        </is>
      </c>
      <c r="IQ192" t="inlineStr">
        <is>
          <t>RUS</t>
        </is>
      </c>
      <c r="IR192" t="inlineStr">
        <is>
          <t>RUS</t>
        </is>
      </c>
      <c r="IS192" t="inlineStr">
        <is>
          <t>RUS</t>
        </is>
      </c>
      <c r="IT192" t="inlineStr">
        <is>
          <t>RUS</t>
        </is>
      </c>
      <c r="IU192" t="inlineStr">
        <is>
          <t>RUS</t>
        </is>
      </c>
      <c r="IV192" t="inlineStr">
        <is>
          <t>RUS</t>
        </is>
      </c>
      <c r="IW192" t="inlineStr">
        <is>
          <t>RUS</t>
        </is>
      </c>
      <c r="IX192" t="inlineStr">
        <is>
          <t>RUS</t>
        </is>
      </c>
      <c r="IY192" t="inlineStr">
        <is>
          <t>RUS</t>
        </is>
      </c>
      <c r="IZ192" t="inlineStr">
        <is>
          <t>RUS</t>
        </is>
      </c>
      <c r="JA192" t="inlineStr">
        <is>
          <t>RUS</t>
        </is>
      </c>
      <c r="JB192" t="inlineStr">
        <is>
          <t>RUS</t>
        </is>
      </c>
      <c r="JC192" t="inlineStr">
        <is>
          <t>RUS</t>
        </is>
      </c>
      <c r="JD192" t="inlineStr">
        <is>
          <t>RUS</t>
        </is>
      </c>
      <c r="JE192" t="inlineStr">
        <is>
          <t>RUS</t>
        </is>
      </c>
      <c r="JF192" t="inlineStr">
        <is>
          <t>RUS</t>
        </is>
      </c>
      <c r="JG192" t="inlineStr">
        <is>
          <t>RUS</t>
        </is>
      </c>
      <c r="JH192" t="inlineStr">
        <is>
          <t>RUS</t>
        </is>
      </c>
      <c r="JI192" t="inlineStr">
        <is>
          <t>RUS</t>
        </is>
      </c>
      <c r="JJ192" t="inlineStr">
        <is>
          <t>RUS</t>
        </is>
      </c>
      <c r="JK192" t="inlineStr">
        <is>
          <t>RUS</t>
        </is>
      </c>
      <c r="JL192" t="inlineStr">
        <is>
          <t>RUS</t>
        </is>
      </c>
      <c r="JM192" t="inlineStr">
        <is>
          <t>RUS</t>
        </is>
      </c>
      <c r="JN192" t="inlineStr">
        <is>
          <t>RUS</t>
        </is>
      </c>
      <c r="JO192" t="inlineStr">
        <is>
          <t>RUS</t>
        </is>
      </c>
      <c r="JP192" t="inlineStr">
        <is>
          <t>RUS</t>
        </is>
      </c>
      <c r="JQ192" t="inlineStr">
        <is>
          <t>RUS</t>
        </is>
      </c>
      <c r="JR192" t="inlineStr">
        <is>
          <t>RUS</t>
        </is>
      </c>
      <c r="JS192" t="inlineStr">
        <is>
          <t>RUS</t>
        </is>
      </c>
      <c r="JT192" t="inlineStr">
        <is>
          <t>RUS</t>
        </is>
      </c>
      <c r="JU192" t="inlineStr">
        <is>
          <t>RUS</t>
        </is>
      </c>
    </row>
    <row r="193">
      <c r="AY193" t="inlineStr">
        <is>
          <t>GBR</t>
        </is>
      </c>
      <c r="AZ193" t="inlineStr">
        <is>
          <t>GBR</t>
        </is>
      </c>
      <c r="BA193" t="inlineStr">
        <is>
          <t>GBR</t>
        </is>
      </c>
      <c r="BB193" t="inlineStr">
        <is>
          <t>GBR</t>
        </is>
      </c>
      <c r="BC193" t="inlineStr">
        <is>
          <t>GBR</t>
        </is>
      </c>
      <c r="BD193" t="inlineStr">
        <is>
          <t>GBR</t>
        </is>
      </c>
      <c r="BE193" t="inlineStr">
        <is>
          <t>GBR</t>
        </is>
      </c>
      <c r="BZ193" t="inlineStr">
        <is>
          <t>DNK</t>
        </is>
      </c>
      <c r="CA193" t="inlineStr">
        <is>
          <t>DNK</t>
        </is>
      </c>
      <c r="CB193" t="inlineStr">
        <is>
          <t>DNK</t>
        </is>
      </c>
      <c r="CC193" t="inlineStr">
        <is>
          <t>DNK</t>
        </is>
      </c>
      <c r="CF193" t="inlineStr">
        <is>
          <t>DNK</t>
        </is>
      </c>
      <c r="CG193" t="inlineStr">
        <is>
          <t>DNK</t>
        </is>
      </c>
      <c r="CH193" t="inlineStr">
        <is>
          <t>DNK</t>
        </is>
      </c>
      <c r="CJ193" t="inlineStr">
        <is>
          <t>SWE</t>
        </is>
      </c>
      <c r="CK193" t="inlineStr">
        <is>
          <t>SWE</t>
        </is>
      </c>
      <c r="CL193" t="inlineStr">
        <is>
          <t>SWE</t>
        </is>
      </c>
      <c r="CZ193" t="inlineStr">
        <is>
          <t>LTU</t>
        </is>
      </c>
      <c r="DA193" t="inlineStr">
        <is>
          <t>LTU</t>
        </is>
      </c>
      <c r="DB193" t="inlineStr">
        <is>
          <t>LTU</t>
        </is>
      </c>
      <c r="DC193" t="inlineStr">
        <is>
          <t>LTU</t>
        </is>
      </c>
      <c r="DD193" t="inlineStr">
        <is>
          <t>LTU</t>
        </is>
      </c>
      <c r="DE193" t="inlineStr">
        <is>
          <t>LTU</t>
        </is>
      </c>
      <c r="DF193" t="inlineStr">
        <is>
          <t>LTU</t>
        </is>
      </c>
      <c r="DG193" t="inlineStr">
        <is>
          <t>LTU</t>
        </is>
      </c>
      <c r="DH193" t="inlineStr">
        <is>
          <t>LTU</t>
        </is>
      </c>
      <c r="DI193" t="inlineStr">
        <is>
          <t>LTU</t>
        </is>
      </c>
      <c r="DJ193" t="inlineStr">
        <is>
          <t>LVA</t>
        </is>
      </c>
      <c r="DK193" t="inlineStr">
        <is>
          <t>LVA</t>
        </is>
      </c>
      <c r="DL193" t="inlineStr">
        <is>
          <t>BLR</t>
        </is>
      </c>
      <c r="DM193" t="inlineStr">
        <is>
          <t>BLR</t>
        </is>
      </c>
      <c r="DN193" t="inlineStr">
        <is>
          <t>BLR</t>
        </is>
      </c>
      <c r="DO193" t="inlineStr">
        <is>
          <t>BLR</t>
        </is>
      </c>
      <c r="DP193" t="inlineStr">
        <is>
          <t>BLR</t>
        </is>
      </c>
      <c r="DQ193" t="inlineStr">
        <is>
          <t>BLR</t>
        </is>
      </c>
      <c r="DR193" t="inlineStr">
        <is>
          <t>RUS</t>
        </is>
      </c>
      <c r="DS193" t="inlineStr">
        <is>
          <t>RUS</t>
        </is>
      </c>
      <c r="DT193" t="inlineStr">
        <is>
          <t>RUS</t>
        </is>
      </c>
      <c r="DU193" t="inlineStr">
        <is>
          <t>RUS</t>
        </is>
      </c>
      <c r="DV193" t="inlineStr">
        <is>
          <t>RUS</t>
        </is>
      </c>
      <c r="DW193" t="inlineStr">
        <is>
          <t>RUS</t>
        </is>
      </c>
      <c r="DX193" t="inlineStr">
        <is>
          <t>RUS</t>
        </is>
      </c>
      <c r="DY193" t="inlineStr">
        <is>
          <t>RUS</t>
        </is>
      </c>
      <c r="DZ193" t="inlineStr">
        <is>
          <t>RUS</t>
        </is>
      </c>
      <c r="EA193" t="inlineStr">
        <is>
          <t>RUS</t>
        </is>
      </c>
      <c r="EB193" t="inlineStr">
        <is>
          <t>RUS</t>
        </is>
      </c>
      <c r="EC193" t="inlineStr">
        <is>
          <t>RUS</t>
        </is>
      </c>
      <c r="ED193" t="inlineStr">
        <is>
          <t>RUS</t>
        </is>
      </c>
      <c r="EE193" t="inlineStr">
        <is>
          <t>RUS</t>
        </is>
      </c>
      <c r="EF193" t="inlineStr">
        <is>
          <t>RUS</t>
        </is>
      </c>
      <c r="EG193" t="inlineStr">
        <is>
          <t>RUS</t>
        </is>
      </c>
      <c r="EH193" t="inlineStr">
        <is>
          <t>RUS</t>
        </is>
      </c>
      <c r="EI193" t="inlineStr">
        <is>
          <t>RUS</t>
        </is>
      </c>
      <c r="EJ193" t="inlineStr">
        <is>
          <t>RUS</t>
        </is>
      </c>
      <c r="EK193" t="inlineStr">
        <is>
          <t>RUS</t>
        </is>
      </c>
      <c r="EL193" t="inlineStr">
        <is>
          <t>RUS</t>
        </is>
      </c>
      <c r="EM193" t="inlineStr">
        <is>
          <t>RUS</t>
        </is>
      </c>
      <c r="EN193" t="inlineStr">
        <is>
          <t>RUS</t>
        </is>
      </c>
      <c r="EO193" t="inlineStr">
        <is>
          <t>RUS</t>
        </is>
      </c>
      <c r="EP193" t="inlineStr">
        <is>
          <t>RUS</t>
        </is>
      </c>
      <c r="EQ193" t="inlineStr">
        <is>
          <t>RUS</t>
        </is>
      </c>
      <c r="ER193" t="inlineStr">
        <is>
          <t>RUS</t>
        </is>
      </c>
      <c r="ES193" t="inlineStr">
        <is>
          <t>RUS</t>
        </is>
      </c>
      <c r="ET193" t="inlineStr">
        <is>
          <t>RUS</t>
        </is>
      </c>
      <c r="EU193" t="inlineStr">
        <is>
          <t>RUS</t>
        </is>
      </c>
      <c r="EV193" t="inlineStr">
        <is>
          <t>RUS</t>
        </is>
      </c>
      <c r="EW193" t="inlineStr">
        <is>
          <t>RUS</t>
        </is>
      </c>
      <c r="EX193" t="inlineStr">
        <is>
          <t>RUS</t>
        </is>
      </c>
      <c r="EY193" t="inlineStr">
        <is>
          <t>RUS</t>
        </is>
      </c>
      <c r="EZ193" t="inlineStr">
        <is>
          <t>RUS</t>
        </is>
      </c>
      <c r="FA193" t="inlineStr">
        <is>
          <t>RUS</t>
        </is>
      </c>
      <c r="FB193" t="inlineStr">
        <is>
          <t>RUS</t>
        </is>
      </c>
      <c r="FC193" t="inlineStr">
        <is>
          <t>RUS</t>
        </is>
      </c>
      <c r="FD193" t="inlineStr">
        <is>
          <t>RUS</t>
        </is>
      </c>
      <c r="FE193" t="inlineStr">
        <is>
          <t>RUS</t>
        </is>
      </c>
      <c r="FF193" t="inlineStr">
        <is>
          <t>RUS</t>
        </is>
      </c>
      <c r="FG193" t="inlineStr">
        <is>
          <t>RUS</t>
        </is>
      </c>
      <c r="FH193" t="inlineStr">
        <is>
          <t>RUS</t>
        </is>
      </c>
      <c r="FI193" t="inlineStr">
        <is>
          <t>RUS</t>
        </is>
      </c>
      <c r="FJ193" t="inlineStr">
        <is>
          <t>RUS</t>
        </is>
      </c>
      <c r="FK193" t="inlineStr">
        <is>
          <t>RUS</t>
        </is>
      </c>
      <c r="FL193" t="inlineStr">
        <is>
          <t>RUS</t>
        </is>
      </c>
      <c r="FM193" t="inlineStr">
        <is>
          <t>RUS</t>
        </is>
      </c>
      <c r="FN193" t="inlineStr">
        <is>
          <t>RUS</t>
        </is>
      </c>
      <c r="FO193" t="inlineStr">
        <is>
          <t>RUS</t>
        </is>
      </c>
      <c r="FP193" t="inlineStr">
        <is>
          <t>RUS</t>
        </is>
      </c>
      <c r="FQ193" t="inlineStr">
        <is>
          <t>RUS</t>
        </is>
      </c>
      <c r="FR193" t="inlineStr">
        <is>
          <t>RUS</t>
        </is>
      </c>
      <c r="FS193" t="inlineStr">
        <is>
          <t>RUS</t>
        </is>
      </c>
      <c r="FT193" t="inlineStr">
        <is>
          <t>RUS</t>
        </is>
      </c>
      <c r="FU193" t="inlineStr">
        <is>
          <t>RUS</t>
        </is>
      </c>
      <c r="FV193" t="inlineStr">
        <is>
          <t>RUS</t>
        </is>
      </c>
      <c r="FW193" t="inlineStr">
        <is>
          <t>RUS</t>
        </is>
      </c>
      <c r="FX193" t="inlineStr">
        <is>
          <t>RUS</t>
        </is>
      </c>
      <c r="FY193" t="inlineStr">
        <is>
          <t>RUS</t>
        </is>
      </c>
      <c r="FZ193" t="inlineStr">
        <is>
          <t>RUS</t>
        </is>
      </c>
      <c r="GA193" t="inlineStr">
        <is>
          <t>RUS</t>
        </is>
      </c>
      <c r="GB193" t="inlineStr">
        <is>
          <t>RUS</t>
        </is>
      </c>
      <c r="GC193" t="inlineStr">
        <is>
          <t>RUS</t>
        </is>
      </c>
      <c r="GD193" t="inlineStr">
        <is>
          <t>RUS</t>
        </is>
      </c>
      <c r="GE193" t="inlineStr">
        <is>
          <t>RUS</t>
        </is>
      </c>
      <c r="GF193" t="inlineStr">
        <is>
          <t>RUS</t>
        </is>
      </c>
      <c r="GG193" t="inlineStr">
        <is>
          <t>RUS</t>
        </is>
      </c>
      <c r="GH193" t="inlineStr">
        <is>
          <t>RUS</t>
        </is>
      </c>
      <c r="GI193" t="inlineStr">
        <is>
          <t>RUS</t>
        </is>
      </c>
      <c r="GJ193" t="inlineStr">
        <is>
          <t>RUS</t>
        </is>
      </c>
      <c r="GK193" t="inlineStr">
        <is>
          <t>RUS</t>
        </is>
      </c>
      <c r="GL193" t="inlineStr">
        <is>
          <t>RUS</t>
        </is>
      </c>
      <c r="GM193" t="inlineStr">
        <is>
          <t>RUS</t>
        </is>
      </c>
      <c r="GN193" t="inlineStr">
        <is>
          <t>RUS</t>
        </is>
      </c>
      <c r="GO193" t="inlineStr">
        <is>
          <t>RUS</t>
        </is>
      </c>
      <c r="GP193" t="inlineStr">
        <is>
          <t>RUS</t>
        </is>
      </c>
      <c r="GQ193" t="inlineStr">
        <is>
          <t>RUS</t>
        </is>
      </c>
      <c r="GR193" t="inlineStr">
        <is>
          <t>RUS</t>
        </is>
      </c>
      <c r="GS193" t="inlineStr">
        <is>
          <t>RUS</t>
        </is>
      </c>
      <c r="GT193" t="inlineStr">
        <is>
          <t>RUS</t>
        </is>
      </c>
      <c r="GU193" t="inlineStr">
        <is>
          <t>RUS</t>
        </is>
      </c>
      <c r="GV193" t="inlineStr">
        <is>
          <t>RUS</t>
        </is>
      </c>
      <c r="GW193" t="inlineStr">
        <is>
          <t>RUS</t>
        </is>
      </c>
      <c r="GX193" t="inlineStr">
        <is>
          <t>RUS</t>
        </is>
      </c>
      <c r="GY193" t="inlineStr">
        <is>
          <t>RUS</t>
        </is>
      </c>
      <c r="GZ193" t="inlineStr">
        <is>
          <t>RUS</t>
        </is>
      </c>
      <c r="HA193" t="inlineStr">
        <is>
          <t>RUS</t>
        </is>
      </c>
      <c r="HB193" t="inlineStr">
        <is>
          <t>RUS</t>
        </is>
      </c>
      <c r="HC193" t="inlineStr">
        <is>
          <t>RUS</t>
        </is>
      </c>
      <c r="HD193" t="inlineStr">
        <is>
          <t>RUS</t>
        </is>
      </c>
      <c r="HE193" t="inlineStr">
        <is>
          <t>RUS</t>
        </is>
      </c>
      <c r="HF193" t="inlineStr">
        <is>
          <t>RUS</t>
        </is>
      </c>
      <c r="HG193" t="inlineStr">
        <is>
          <t>RUS</t>
        </is>
      </c>
      <c r="HH193" t="inlineStr">
        <is>
          <t>RUS</t>
        </is>
      </c>
      <c r="HI193" t="inlineStr">
        <is>
          <t>RUS</t>
        </is>
      </c>
      <c r="HJ193" t="inlineStr">
        <is>
          <t>RUS</t>
        </is>
      </c>
      <c r="HK193" t="inlineStr">
        <is>
          <t>RUS</t>
        </is>
      </c>
      <c r="HL193" t="inlineStr">
        <is>
          <t>RUS</t>
        </is>
      </c>
      <c r="HM193" t="inlineStr">
        <is>
          <t>RUS</t>
        </is>
      </c>
      <c r="HN193" t="inlineStr">
        <is>
          <t>RUS</t>
        </is>
      </c>
      <c r="HO193" t="inlineStr">
        <is>
          <t>RUS</t>
        </is>
      </c>
      <c r="HP193" t="inlineStr">
        <is>
          <t>RUS</t>
        </is>
      </c>
      <c r="HQ193" t="inlineStr">
        <is>
          <t>RUS</t>
        </is>
      </c>
      <c r="HR193" t="inlineStr">
        <is>
          <t>RUS</t>
        </is>
      </c>
      <c r="HS193" t="inlineStr">
        <is>
          <t>RUS</t>
        </is>
      </c>
      <c r="HT193" t="inlineStr">
        <is>
          <t>RUS</t>
        </is>
      </c>
      <c r="HU193" t="inlineStr">
        <is>
          <t>RUS</t>
        </is>
      </c>
      <c r="HV193" t="inlineStr">
        <is>
          <t>RUS</t>
        </is>
      </c>
      <c r="HW193" t="inlineStr">
        <is>
          <t>RUS</t>
        </is>
      </c>
      <c r="HX193" t="inlineStr">
        <is>
          <t>RUS</t>
        </is>
      </c>
      <c r="HY193" t="inlineStr">
        <is>
          <t>RUS</t>
        </is>
      </c>
      <c r="HZ193" t="inlineStr">
        <is>
          <t>RUS</t>
        </is>
      </c>
      <c r="IA193" t="inlineStr">
        <is>
          <t>RUS</t>
        </is>
      </c>
      <c r="IB193" t="inlineStr">
        <is>
          <t>RUS</t>
        </is>
      </c>
      <c r="IC193" t="inlineStr">
        <is>
          <t>RUS</t>
        </is>
      </c>
      <c r="ID193" t="inlineStr">
        <is>
          <t>RUS</t>
        </is>
      </c>
      <c r="IE193" t="inlineStr">
        <is>
          <t>RUS</t>
        </is>
      </c>
      <c r="IF193" t="inlineStr">
        <is>
          <t>RUS</t>
        </is>
      </c>
      <c r="IG193" t="inlineStr">
        <is>
          <t>RUS</t>
        </is>
      </c>
      <c r="IH193" t="inlineStr">
        <is>
          <t>RUS</t>
        </is>
      </c>
      <c r="II193" t="inlineStr">
        <is>
          <t>RUS</t>
        </is>
      </c>
      <c r="IJ193" t="inlineStr">
        <is>
          <t>RUS</t>
        </is>
      </c>
      <c r="IK193" t="inlineStr">
        <is>
          <t>RUS</t>
        </is>
      </c>
      <c r="IL193" t="inlineStr">
        <is>
          <t>RUS</t>
        </is>
      </c>
      <c r="IM193" t="inlineStr">
        <is>
          <t>RUS</t>
        </is>
      </c>
      <c r="IN193" t="inlineStr">
        <is>
          <t>RUS</t>
        </is>
      </c>
      <c r="IO193" t="inlineStr">
        <is>
          <t>RUS</t>
        </is>
      </c>
      <c r="IP193" t="inlineStr">
        <is>
          <t>RUS</t>
        </is>
      </c>
      <c r="IQ193" t="inlineStr">
        <is>
          <t>RUS</t>
        </is>
      </c>
      <c r="IR193" t="inlineStr">
        <is>
          <t>RUS</t>
        </is>
      </c>
      <c r="IS193" t="inlineStr">
        <is>
          <t>RUS</t>
        </is>
      </c>
      <c r="IT193" t="inlineStr">
        <is>
          <t>RUS</t>
        </is>
      </c>
      <c r="IU193" t="inlineStr">
        <is>
          <t>RUS</t>
        </is>
      </c>
      <c r="IV193" t="inlineStr">
        <is>
          <t>RUS</t>
        </is>
      </c>
      <c r="IW193" t="inlineStr">
        <is>
          <t>RUS</t>
        </is>
      </c>
      <c r="IX193" t="inlineStr">
        <is>
          <t>RUS</t>
        </is>
      </c>
      <c r="IY193" t="inlineStr">
        <is>
          <t>RUS</t>
        </is>
      </c>
      <c r="IZ193" t="inlineStr">
        <is>
          <t>RUS</t>
        </is>
      </c>
      <c r="JA193" t="inlineStr">
        <is>
          <t>RUS</t>
        </is>
      </c>
      <c r="JB193" t="inlineStr">
        <is>
          <t>RUS</t>
        </is>
      </c>
      <c r="JC193" t="inlineStr">
        <is>
          <t>RUS</t>
        </is>
      </c>
      <c r="JD193" t="inlineStr">
        <is>
          <t>RUS</t>
        </is>
      </c>
      <c r="JE193" t="inlineStr">
        <is>
          <t>RUS</t>
        </is>
      </c>
      <c r="JF193" t="inlineStr">
        <is>
          <t>RUS</t>
        </is>
      </c>
      <c r="JG193" t="inlineStr">
        <is>
          <t>RUS</t>
        </is>
      </c>
      <c r="JH193" t="inlineStr">
        <is>
          <t>RUS</t>
        </is>
      </c>
      <c r="JI193" t="inlineStr">
        <is>
          <t>RUS</t>
        </is>
      </c>
      <c r="JJ193" t="inlineStr">
        <is>
          <t>RUS</t>
        </is>
      </c>
      <c r="JK193" t="inlineStr">
        <is>
          <t>RUS</t>
        </is>
      </c>
      <c r="JL193" t="inlineStr">
        <is>
          <t>RUS</t>
        </is>
      </c>
      <c r="JM193" t="inlineStr">
        <is>
          <t>RUS</t>
        </is>
      </c>
      <c r="JN193" t="inlineStr">
        <is>
          <t>RUS</t>
        </is>
      </c>
      <c r="JO193" t="inlineStr">
        <is>
          <t>RUS</t>
        </is>
      </c>
      <c r="JP193" t="inlineStr">
        <is>
          <t>RUS</t>
        </is>
      </c>
      <c r="JQ193" t="inlineStr">
        <is>
          <t>RUS</t>
        </is>
      </c>
      <c r="JR193" t="inlineStr">
        <is>
          <t>RUS</t>
        </is>
      </c>
      <c r="JS193" t="inlineStr">
        <is>
          <t>RUS</t>
        </is>
      </c>
      <c r="JT193" t="inlineStr">
        <is>
          <t>RUS</t>
        </is>
      </c>
      <c r="JU193" t="inlineStr">
        <is>
          <t>RUS</t>
        </is>
      </c>
    </row>
    <row r="194">
      <c r="AY194" t="inlineStr">
        <is>
          <t>GBR</t>
        </is>
      </c>
      <c r="AZ194" t="inlineStr">
        <is>
          <t>GBR</t>
        </is>
      </c>
      <c r="BA194" t="inlineStr">
        <is>
          <t>GBR</t>
        </is>
      </c>
      <c r="BB194" t="inlineStr">
        <is>
          <t>GBR</t>
        </is>
      </c>
      <c r="BC194" t="inlineStr">
        <is>
          <t>GBR</t>
        </is>
      </c>
      <c r="BZ194" t="inlineStr">
        <is>
          <t>DNK</t>
        </is>
      </c>
      <c r="CA194" t="inlineStr">
        <is>
          <t>DNK</t>
        </is>
      </c>
      <c r="CB194" t="inlineStr">
        <is>
          <t>DNK</t>
        </is>
      </c>
      <c r="CC194" t="inlineStr">
        <is>
          <t>DNK</t>
        </is>
      </c>
      <c r="CD194" t="inlineStr">
        <is>
          <t>DNK</t>
        </is>
      </c>
      <c r="CE194" t="inlineStr">
        <is>
          <t>DNK</t>
        </is>
      </c>
      <c r="CI194" t="inlineStr">
        <is>
          <t>SWE</t>
        </is>
      </c>
      <c r="CJ194" t="inlineStr">
        <is>
          <t>SWE</t>
        </is>
      </c>
      <c r="CK194" t="inlineStr">
        <is>
          <t>SWE</t>
        </is>
      </c>
      <c r="CL194" t="inlineStr">
        <is>
          <t>SWE</t>
        </is>
      </c>
      <c r="CM194" t="inlineStr">
        <is>
          <t>SWE</t>
        </is>
      </c>
      <c r="CN194" t="inlineStr">
        <is>
          <t>SWE</t>
        </is>
      </c>
      <c r="CO194" t="inlineStr">
        <is>
          <t>SWE</t>
        </is>
      </c>
      <c r="CZ194" t="inlineStr">
        <is>
          <t>LVA</t>
        </is>
      </c>
      <c r="DA194" t="inlineStr">
        <is>
          <t>LVA</t>
        </is>
      </c>
      <c r="DB194" t="inlineStr">
        <is>
          <t>LTU</t>
        </is>
      </c>
      <c r="DC194" t="inlineStr">
        <is>
          <t>LTU</t>
        </is>
      </c>
      <c r="DD194" t="inlineStr">
        <is>
          <t>LTU</t>
        </is>
      </c>
      <c r="DE194" t="inlineStr">
        <is>
          <t>LTU</t>
        </is>
      </c>
      <c r="DF194" t="inlineStr">
        <is>
          <t>LTU</t>
        </is>
      </c>
      <c r="DG194" t="inlineStr">
        <is>
          <t>LTU</t>
        </is>
      </c>
      <c r="DH194" t="inlineStr">
        <is>
          <t>LVA</t>
        </is>
      </c>
      <c r="DI194" t="inlineStr">
        <is>
          <t>LVA</t>
        </is>
      </c>
      <c r="DJ194" t="inlineStr">
        <is>
          <t>LVA</t>
        </is>
      </c>
      <c r="DK194" t="inlineStr">
        <is>
          <t>LVA</t>
        </is>
      </c>
      <c r="DL194" t="inlineStr">
        <is>
          <t>LVA</t>
        </is>
      </c>
      <c r="DM194" t="inlineStr">
        <is>
          <t>LVA</t>
        </is>
      </c>
      <c r="DN194" t="inlineStr">
        <is>
          <t>RUS</t>
        </is>
      </c>
      <c r="DO194" t="inlineStr">
        <is>
          <t>RUS</t>
        </is>
      </c>
      <c r="DP194" t="inlineStr">
        <is>
          <t>RUS</t>
        </is>
      </c>
      <c r="DQ194" t="inlineStr">
        <is>
          <t>RUS</t>
        </is>
      </c>
      <c r="DR194" t="inlineStr">
        <is>
          <t>RUS</t>
        </is>
      </c>
      <c r="DS194" t="inlineStr">
        <is>
          <t>RUS</t>
        </is>
      </c>
      <c r="DT194" t="inlineStr">
        <is>
          <t>RUS</t>
        </is>
      </c>
      <c r="DU194" t="inlineStr">
        <is>
          <t>RUS</t>
        </is>
      </c>
      <c r="DV194" t="inlineStr">
        <is>
          <t>RUS</t>
        </is>
      </c>
      <c r="DW194" t="inlineStr">
        <is>
          <t>RUS</t>
        </is>
      </c>
      <c r="DX194" t="inlineStr">
        <is>
          <t>RUS</t>
        </is>
      </c>
      <c r="DY194" t="inlineStr">
        <is>
          <t>RUS</t>
        </is>
      </c>
      <c r="DZ194" t="inlineStr">
        <is>
          <t>RUS</t>
        </is>
      </c>
      <c r="EA194" t="inlineStr">
        <is>
          <t>RUS</t>
        </is>
      </c>
      <c r="EB194" t="inlineStr">
        <is>
          <t>RUS</t>
        </is>
      </c>
      <c r="EC194" t="inlineStr">
        <is>
          <t>RUS</t>
        </is>
      </c>
      <c r="ED194" t="inlineStr">
        <is>
          <t>RUS</t>
        </is>
      </c>
      <c r="EE194" t="inlineStr">
        <is>
          <t>RUS</t>
        </is>
      </c>
      <c r="EF194" t="inlineStr">
        <is>
          <t>RUS</t>
        </is>
      </c>
      <c r="EG194" t="inlineStr">
        <is>
          <t>RUS</t>
        </is>
      </c>
      <c r="EH194" t="inlineStr">
        <is>
          <t>RUS</t>
        </is>
      </c>
      <c r="EI194" t="inlineStr">
        <is>
          <t>RUS</t>
        </is>
      </c>
      <c r="EJ194" t="inlineStr">
        <is>
          <t>RUS</t>
        </is>
      </c>
      <c r="EK194" t="inlineStr">
        <is>
          <t>RUS</t>
        </is>
      </c>
      <c r="EL194" t="inlineStr">
        <is>
          <t>RUS</t>
        </is>
      </c>
      <c r="EM194" t="inlineStr">
        <is>
          <t>RUS</t>
        </is>
      </c>
      <c r="EN194" t="inlineStr">
        <is>
          <t>RUS</t>
        </is>
      </c>
      <c r="EO194" t="inlineStr">
        <is>
          <t>RUS</t>
        </is>
      </c>
      <c r="EP194" t="inlineStr">
        <is>
          <t>RUS</t>
        </is>
      </c>
      <c r="EQ194" t="inlineStr">
        <is>
          <t>RUS</t>
        </is>
      </c>
      <c r="ER194" t="inlineStr">
        <is>
          <t>RUS</t>
        </is>
      </c>
      <c r="ES194" t="inlineStr">
        <is>
          <t>RUS</t>
        </is>
      </c>
      <c r="ET194" t="inlineStr">
        <is>
          <t>RUS</t>
        </is>
      </c>
      <c r="EU194" t="inlineStr">
        <is>
          <t>RUS</t>
        </is>
      </c>
      <c r="EV194" t="inlineStr">
        <is>
          <t>RUS</t>
        </is>
      </c>
      <c r="EW194" t="inlineStr">
        <is>
          <t>RUS</t>
        </is>
      </c>
      <c r="EX194" t="inlineStr">
        <is>
          <t>RUS</t>
        </is>
      </c>
      <c r="EY194" t="inlineStr">
        <is>
          <t>RUS</t>
        </is>
      </c>
      <c r="EZ194" t="inlineStr">
        <is>
          <t>RUS</t>
        </is>
      </c>
      <c r="FA194" t="inlineStr">
        <is>
          <t>RUS</t>
        </is>
      </c>
      <c r="FB194" t="inlineStr">
        <is>
          <t>RUS</t>
        </is>
      </c>
      <c r="FC194" t="inlineStr">
        <is>
          <t>RUS</t>
        </is>
      </c>
      <c r="FD194" t="inlineStr">
        <is>
          <t>RUS</t>
        </is>
      </c>
      <c r="FE194" t="inlineStr">
        <is>
          <t>RUS</t>
        </is>
      </c>
      <c r="FF194" t="inlineStr">
        <is>
          <t>RUS</t>
        </is>
      </c>
      <c r="FG194" t="inlineStr">
        <is>
          <t>RUS</t>
        </is>
      </c>
      <c r="FH194" t="inlineStr">
        <is>
          <t>RUS</t>
        </is>
      </c>
      <c r="FI194" t="inlineStr">
        <is>
          <t>RUS</t>
        </is>
      </c>
      <c r="FJ194" t="inlineStr">
        <is>
          <t>RUS</t>
        </is>
      </c>
      <c r="FK194" t="inlineStr">
        <is>
          <t>RUS</t>
        </is>
      </c>
      <c r="FL194" t="inlineStr">
        <is>
          <t>RUS</t>
        </is>
      </c>
      <c r="FM194" t="inlineStr">
        <is>
          <t>RUS</t>
        </is>
      </c>
      <c r="FN194" t="inlineStr">
        <is>
          <t>RUS</t>
        </is>
      </c>
      <c r="FO194" t="inlineStr">
        <is>
          <t>RUS</t>
        </is>
      </c>
      <c r="FP194" t="inlineStr">
        <is>
          <t>RUS</t>
        </is>
      </c>
      <c r="FQ194" t="inlineStr">
        <is>
          <t>RUS</t>
        </is>
      </c>
      <c r="FR194" t="inlineStr">
        <is>
          <t>RUS</t>
        </is>
      </c>
      <c r="FS194" t="inlineStr">
        <is>
          <t>RUS</t>
        </is>
      </c>
      <c r="FT194" t="inlineStr">
        <is>
          <t>RUS</t>
        </is>
      </c>
      <c r="FU194" t="inlineStr">
        <is>
          <t>RUS</t>
        </is>
      </c>
      <c r="FV194" t="inlineStr">
        <is>
          <t>RUS</t>
        </is>
      </c>
      <c r="FW194" t="inlineStr">
        <is>
          <t>RUS</t>
        </is>
      </c>
      <c r="FX194" t="inlineStr">
        <is>
          <t>RUS</t>
        </is>
      </c>
      <c r="FY194" t="inlineStr">
        <is>
          <t>RUS</t>
        </is>
      </c>
      <c r="FZ194" t="inlineStr">
        <is>
          <t>RUS</t>
        </is>
      </c>
      <c r="GA194" t="inlineStr">
        <is>
          <t>RUS</t>
        </is>
      </c>
      <c r="GB194" t="inlineStr">
        <is>
          <t>RUS</t>
        </is>
      </c>
      <c r="GC194" t="inlineStr">
        <is>
          <t>RUS</t>
        </is>
      </c>
      <c r="GD194" t="inlineStr">
        <is>
          <t>RUS</t>
        </is>
      </c>
      <c r="GE194" t="inlineStr">
        <is>
          <t>RUS</t>
        </is>
      </c>
      <c r="GF194" t="inlineStr">
        <is>
          <t>RUS</t>
        </is>
      </c>
      <c r="GG194" t="inlineStr">
        <is>
          <t>RUS</t>
        </is>
      </c>
      <c r="GH194" t="inlineStr">
        <is>
          <t>RUS</t>
        </is>
      </c>
      <c r="GI194" t="inlineStr">
        <is>
          <t>RUS</t>
        </is>
      </c>
      <c r="GJ194" t="inlineStr">
        <is>
          <t>RUS</t>
        </is>
      </c>
      <c r="GK194" t="inlineStr">
        <is>
          <t>RUS</t>
        </is>
      </c>
      <c r="GL194" t="inlineStr">
        <is>
          <t>RUS</t>
        </is>
      </c>
      <c r="GM194" t="inlineStr">
        <is>
          <t>RUS</t>
        </is>
      </c>
      <c r="GN194" t="inlineStr">
        <is>
          <t>RUS</t>
        </is>
      </c>
      <c r="GO194" t="inlineStr">
        <is>
          <t>RUS</t>
        </is>
      </c>
      <c r="GP194" t="inlineStr">
        <is>
          <t>RUS</t>
        </is>
      </c>
      <c r="GQ194" t="inlineStr">
        <is>
          <t>RUS</t>
        </is>
      </c>
      <c r="GR194" t="inlineStr">
        <is>
          <t>RUS</t>
        </is>
      </c>
      <c r="GS194" t="inlineStr">
        <is>
          <t>RUS</t>
        </is>
      </c>
      <c r="GT194" t="inlineStr">
        <is>
          <t>RUS</t>
        </is>
      </c>
      <c r="GU194" t="inlineStr">
        <is>
          <t>RUS</t>
        </is>
      </c>
      <c r="GV194" t="inlineStr">
        <is>
          <t>RUS</t>
        </is>
      </c>
      <c r="GW194" t="inlineStr">
        <is>
          <t>RUS</t>
        </is>
      </c>
      <c r="GX194" t="inlineStr">
        <is>
          <t>RUS</t>
        </is>
      </c>
      <c r="GY194" t="inlineStr">
        <is>
          <t>RUS</t>
        </is>
      </c>
      <c r="GZ194" t="inlineStr">
        <is>
          <t>RUS</t>
        </is>
      </c>
      <c r="HA194" t="inlineStr">
        <is>
          <t>RUS</t>
        </is>
      </c>
      <c r="HB194" t="inlineStr">
        <is>
          <t>RUS</t>
        </is>
      </c>
      <c r="HC194" t="inlineStr">
        <is>
          <t>RUS</t>
        </is>
      </c>
      <c r="HD194" t="inlineStr">
        <is>
          <t>RUS</t>
        </is>
      </c>
      <c r="HE194" t="inlineStr">
        <is>
          <t>RUS</t>
        </is>
      </c>
      <c r="HF194" t="inlineStr">
        <is>
          <t>RUS</t>
        </is>
      </c>
      <c r="HG194" t="inlineStr">
        <is>
          <t>RUS</t>
        </is>
      </c>
      <c r="HH194" t="inlineStr">
        <is>
          <t>RUS</t>
        </is>
      </c>
      <c r="HI194" t="inlineStr">
        <is>
          <t>RUS</t>
        </is>
      </c>
      <c r="HJ194" t="inlineStr">
        <is>
          <t>RUS</t>
        </is>
      </c>
      <c r="HK194" t="inlineStr">
        <is>
          <t>RUS</t>
        </is>
      </c>
      <c r="HL194" t="inlineStr">
        <is>
          <t>RUS</t>
        </is>
      </c>
      <c r="HM194" t="inlineStr">
        <is>
          <t>RUS</t>
        </is>
      </c>
      <c r="HN194" t="inlineStr">
        <is>
          <t>RUS</t>
        </is>
      </c>
      <c r="HO194" t="inlineStr">
        <is>
          <t>RUS</t>
        </is>
      </c>
      <c r="HP194" t="inlineStr">
        <is>
          <t>RUS</t>
        </is>
      </c>
      <c r="HQ194" t="inlineStr">
        <is>
          <t>RUS</t>
        </is>
      </c>
      <c r="HR194" t="inlineStr">
        <is>
          <t>RUS</t>
        </is>
      </c>
      <c r="HS194" t="inlineStr">
        <is>
          <t>RUS</t>
        </is>
      </c>
      <c r="HT194" t="inlineStr">
        <is>
          <t>RUS</t>
        </is>
      </c>
      <c r="HU194" t="inlineStr">
        <is>
          <t>RUS</t>
        </is>
      </c>
      <c r="HV194" t="inlineStr">
        <is>
          <t>RUS</t>
        </is>
      </c>
      <c r="HW194" t="inlineStr">
        <is>
          <t>RUS</t>
        </is>
      </c>
      <c r="HX194" t="inlineStr">
        <is>
          <t>RUS</t>
        </is>
      </c>
      <c r="HY194" t="inlineStr">
        <is>
          <t>RUS</t>
        </is>
      </c>
      <c r="HZ194" t="inlineStr">
        <is>
          <t>RUS</t>
        </is>
      </c>
      <c r="IA194" t="inlineStr">
        <is>
          <t>RUS</t>
        </is>
      </c>
      <c r="IB194" t="inlineStr">
        <is>
          <t>RUS</t>
        </is>
      </c>
      <c r="IC194" t="inlineStr">
        <is>
          <t>RUS</t>
        </is>
      </c>
      <c r="ID194" t="inlineStr">
        <is>
          <t>RUS</t>
        </is>
      </c>
      <c r="IE194" t="inlineStr">
        <is>
          <t>RUS</t>
        </is>
      </c>
      <c r="IF194" t="inlineStr">
        <is>
          <t>RUS</t>
        </is>
      </c>
      <c r="IG194" t="inlineStr">
        <is>
          <t>RUS</t>
        </is>
      </c>
      <c r="IH194" t="inlineStr">
        <is>
          <t>RUS</t>
        </is>
      </c>
      <c r="II194" t="inlineStr">
        <is>
          <t>RUS</t>
        </is>
      </c>
      <c r="IJ194" t="inlineStr">
        <is>
          <t>RUS</t>
        </is>
      </c>
      <c r="IK194" t="inlineStr">
        <is>
          <t>RUS</t>
        </is>
      </c>
      <c r="IL194" t="inlineStr">
        <is>
          <t>RUS</t>
        </is>
      </c>
      <c r="IM194" t="inlineStr">
        <is>
          <t>RUS</t>
        </is>
      </c>
      <c r="IN194" t="inlineStr">
        <is>
          <t>RUS</t>
        </is>
      </c>
      <c r="IO194" t="inlineStr">
        <is>
          <t>RUS</t>
        </is>
      </c>
      <c r="IP194" t="inlineStr">
        <is>
          <t>RUS</t>
        </is>
      </c>
      <c r="IQ194" t="inlineStr">
        <is>
          <t>RUS</t>
        </is>
      </c>
      <c r="IR194" t="inlineStr">
        <is>
          <t>RUS</t>
        </is>
      </c>
      <c r="IS194" t="inlineStr">
        <is>
          <t>RUS</t>
        </is>
      </c>
      <c r="IT194" t="inlineStr">
        <is>
          <t>RUS</t>
        </is>
      </c>
      <c r="IU194" t="inlineStr">
        <is>
          <t>RUS</t>
        </is>
      </c>
      <c r="IV194" t="inlineStr">
        <is>
          <t>RUS</t>
        </is>
      </c>
      <c r="IW194" t="inlineStr">
        <is>
          <t>RUS</t>
        </is>
      </c>
      <c r="IX194" t="inlineStr">
        <is>
          <t>RUS</t>
        </is>
      </c>
      <c r="IY194" t="inlineStr">
        <is>
          <t>RUS</t>
        </is>
      </c>
      <c r="IZ194" t="inlineStr">
        <is>
          <t>RUS</t>
        </is>
      </c>
      <c r="JA194" t="inlineStr">
        <is>
          <t>RUS</t>
        </is>
      </c>
      <c r="JB194" t="inlineStr">
        <is>
          <t>RUS</t>
        </is>
      </c>
      <c r="JC194" t="inlineStr">
        <is>
          <t>RUS</t>
        </is>
      </c>
      <c r="JD194" t="inlineStr">
        <is>
          <t>RUS</t>
        </is>
      </c>
      <c r="JE194" t="inlineStr">
        <is>
          <t>RUS</t>
        </is>
      </c>
      <c r="JF194" t="inlineStr">
        <is>
          <t>RUS</t>
        </is>
      </c>
      <c r="JG194" t="inlineStr">
        <is>
          <t>RUS</t>
        </is>
      </c>
      <c r="JH194" t="inlineStr">
        <is>
          <t>RUS</t>
        </is>
      </c>
      <c r="JI194" t="inlineStr">
        <is>
          <t>RUS</t>
        </is>
      </c>
      <c r="JJ194" t="inlineStr">
        <is>
          <t>RUS</t>
        </is>
      </c>
      <c r="JK194" t="inlineStr">
        <is>
          <t>RUS</t>
        </is>
      </c>
      <c r="JL194" t="inlineStr">
        <is>
          <t>RUS</t>
        </is>
      </c>
      <c r="JM194" t="inlineStr">
        <is>
          <t>RUS</t>
        </is>
      </c>
      <c r="JN194" t="inlineStr">
        <is>
          <t>RUS</t>
        </is>
      </c>
      <c r="JO194" t="inlineStr">
        <is>
          <t>RUS</t>
        </is>
      </c>
      <c r="JP194" t="inlineStr">
        <is>
          <t>RUS</t>
        </is>
      </c>
      <c r="JQ194" t="inlineStr">
        <is>
          <t>RUS</t>
        </is>
      </c>
      <c r="JR194" t="inlineStr">
        <is>
          <t>RUS</t>
        </is>
      </c>
      <c r="JS194" t="inlineStr">
        <is>
          <t>RUS</t>
        </is>
      </c>
      <c r="JT194" t="inlineStr">
        <is>
          <t>RUS</t>
        </is>
      </c>
      <c r="JU194" t="inlineStr">
        <is>
          <t>RUS</t>
        </is>
      </c>
    </row>
    <row r="195">
      <c r="AX195" t="inlineStr">
        <is>
          <t>GBR</t>
        </is>
      </c>
      <c r="AY195" t="inlineStr">
        <is>
          <t>GBR</t>
        </is>
      </c>
      <c r="AZ195" t="inlineStr">
        <is>
          <t>GBR</t>
        </is>
      </c>
      <c r="BA195" t="inlineStr">
        <is>
          <t>GBR</t>
        </is>
      </c>
      <c r="BB195" t="inlineStr">
        <is>
          <t>GBR</t>
        </is>
      </c>
      <c r="BC195" t="inlineStr">
        <is>
          <t>GBR</t>
        </is>
      </c>
      <c r="BD195" t="inlineStr">
        <is>
          <t>GBR</t>
        </is>
      </c>
      <c r="BZ195" t="inlineStr">
        <is>
          <t>DNK</t>
        </is>
      </c>
      <c r="CA195" t="inlineStr">
        <is>
          <t>DNK</t>
        </is>
      </c>
      <c r="CB195" t="inlineStr">
        <is>
          <t>DNK</t>
        </is>
      </c>
      <c r="CC195" t="inlineStr">
        <is>
          <t>DNK</t>
        </is>
      </c>
      <c r="CD195" t="inlineStr">
        <is>
          <t>DNK</t>
        </is>
      </c>
      <c r="CI195" t="inlineStr">
        <is>
          <t>SWE</t>
        </is>
      </c>
      <c r="CJ195" t="inlineStr">
        <is>
          <t>SWE</t>
        </is>
      </c>
      <c r="CK195" t="inlineStr">
        <is>
          <t>SWE</t>
        </is>
      </c>
      <c r="CL195" t="inlineStr">
        <is>
          <t>SWE</t>
        </is>
      </c>
      <c r="CM195" t="inlineStr">
        <is>
          <t>SWE</t>
        </is>
      </c>
      <c r="CN195" t="inlineStr">
        <is>
          <t>SWE</t>
        </is>
      </c>
      <c r="CO195" t="inlineStr">
        <is>
          <t>SWE</t>
        </is>
      </c>
      <c r="CP195" t="inlineStr">
        <is>
          <t>SWE</t>
        </is>
      </c>
      <c r="CZ195" t="inlineStr">
        <is>
          <t>LVA</t>
        </is>
      </c>
      <c r="DA195" t="inlineStr">
        <is>
          <t>LVA</t>
        </is>
      </c>
      <c r="DB195" t="inlineStr">
        <is>
          <t>LVA</t>
        </is>
      </c>
      <c r="DC195" t="inlineStr">
        <is>
          <t>LVA</t>
        </is>
      </c>
      <c r="DD195" t="inlineStr">
        <is>
          <t>LVA</t>
        </is>
      </c>
      <c r="DE195" t="inlineStr">
        <is>
          <t>LVA</t>
        </is>
      </c>
      <c r="DF195" t="inlineStr">
        <is>
          <t>LVA</t>
        </is>
      </c>
      <c r="DG195" t="inlineStr">
        <is>
          <t>LVA</t>
        </is>
      </c>
      <c r="DH195" t="inlineStr">
        <is>
          <t>LVA</t>
        </is>
      </c>
      <c r="DI195" t="inlineStr">
        <is>
          <t>LVA</t>
        </is>
      </c>
      <c r="DJ195" t="inlineStr">
        <is>
          <t>LVA</t>
        </is>
      </c>
      <c r="DK195" t="inlineStr">
        <is>
          <t>LVA</t>
        </is>
      </c>
      <c r="DL195" t="inlineStr">
        <is>
          <t>LVA</t>
        </is>
      </c>
      <c r="DM195" t="inlineStr">
        <is>
          <t>LVA</t>
        </is>
      </c>
      <c r="DN195" t="inlineStr">
        <is>
          <t>RUS</t>
        </is>
      </c>
      <c r="DO195" t="inlineStr">
        <is>
          <t>RUS</t>
        </is>
      </c>
      <c r="DP195" t="inlineStr">
        <is>
          <t>RUS</t>
        </is>
      </c>
      <c r="DQ195" t="inlineStr">
        <is>
          <t>RUS</t>
        </is>
      </c>
      <c r="DR195" t="inlineStr">
        <is>
          <t>RUS</t>
        </is>
      </c>
      <c r="DS195" t="inlineStr">
        <is>
          <t>RUS</t>
        </is>
      </c>
      <c r="DT195" t="inlineStr">
        <is>
          <t>RUS</t>
        </is>
      </c>
      <c r="DU195" t="inlineStr">
        <is>
          <t>RUS</t>
        </is>
      </c>
      <c r="DV195" t="inlineStr">
        <is>
          <t>RUS</t>
        </is>
      </c>
      <c r="DW195" t="inlineStr">
        <is>
          <t>RUS</t>
        </is>
      </c>
      <c r="DX195" t="inlineStr">
        <is>
          <t>RUS</t>
        </is>
      </c>
      <c r="DY195" t="inlineStr">
        <is>
          <t>RUS</t>
        </is>
      </c>
      <c r="DZ195" t="inlineStr">
        <is>
          <t>RUS</t>
        </is>
      </c>
      <c r="EA195" t="inlineStr">
        <is>
          <t>RUS</t>
        </is>
      </c>
      <c r="EB195" t="inlineStr">
        <is>
          <t>RUS</t>
        </is>
      </c>
      <c r="EC195" t="inlineStr">
        <is>
          <t>RUS</t>
        </is>
      </c>
      <c r="ED195" t="inlineStr">
        <is>
          <t>RUS</t>
        </is>
      </c>
      <c r="EE195" t="inlineStr">
        <is>
          <t>RUS</t>
        </is>
      </c>
      <c r="EF195" t="inlineStr">
        <is>
          <t>RUS</t>
        </is>
      </c>
      <c r="EG195" t="inlineStr">
        <is>
          <t>RUS</t>
        </is>
      </c>
      <c r="EH195" t="inlineStr">
        <is>
          <t>RUS</t>
        </is>
      </c>
      <c r="EI195" t="inlineStr">
        <is>
          <t>RUS</t>
        </is>
      </c>
      <c r="EJ195" t="inlineStr">
        <is>
          <t>RUS</t>
        </is>
      </c>
      <c r="EK195" t="inlineStr">
        <is>
          <t>RUS</t>
        </is>
      </c>
      <c r="EL195" t="inlineStr">
        <is>
          <t>RUS</t>
        </is>
      </c>
      <c r="EM195" t="inlineStr">
        <is>
          <t>RUS</t>
        </is>
      </c>
      <c r="EN195" t="inlineStr">
        <is>
          <t>RUS</t>
        </is>
      </c>
      <c r="EO195" t="inlineStr">
        <is>
          <t>RUS</t>
        </is>
      </c>
      <c r="EP195" t="inlineStr">
        <is>
          <t>RUS</t>
        </is>
      </c>
      <c r="EQ195" t="inlineStr">
        <is>
          <t>RUS</t>
        </is>
      </c>
      <c r="ER195" t="inlineStr">
        <is>
          <t>RUS</t>
        </is>
      </c>
      <c r="ES195" t="inlineStr">
        <is>
          <t>RUS</t>
        </is>
      </c>
      <c r="ET195" t="inlineStr">
        <is>
          <t>RUS</t>
        </is>
      </c>
      <c r="EU195" t="inlineStr">
        <is>
          <t>RUS</t>
        </is>
      </c>
      <c r="EV195" t="inlineStr">
        <is>
          <t>RUS</t>
        </is>
      </c>
      <c r="EW195" t="inlineStr">
        <is>
          <t>RUS</t>
        </is>
      </c>
      <c r="EX195" t="inlineStr">
        <is>
          <t>RUS</t>
        </is>
      </c>
      <c r="EY195" t="inlineStr">
        <is>
          <t>RUS</t>
        </is>
      </c>
      <c r="EZ195" t="inlineStr">
        <is>
          <t>RUS</t>
        </is>
      </c>
      <c r="FA195" t="inlineStr">
        <is>
          <t>RUS</t>
        </is>
      </c>
      <c r="FB195" t="inlineStr">
        <is>
          <t>RUS</t>
        </is>
      </c>
      <c r="FC195" t="inlineStr">
        <is>
          <t>RUS</t>
        </is>
      </c>
      <c r="FD195" t="inlineStr">
        <is>
          <t>RUS</t>
        </is>
      </c>
      <c r="FE195" t="inlineStr">
        <is>
          <t>RUS</t>
        </is>
      </c>
      <c r="FF195" t="inlineStr">
        <is>
          <t>RUS</t>
        </is>
      </c>
      <c r="FG195" t="inlineStr">
        <is>
          <t>RUS</t>
        </is>
      </c>
      <c r="FH195" t="inlineStr">
        <is>
          <t>RUS</t>
        </is>
      </c>
      <c r="FI195" t="inlineStr">
        <is>
          <t>RUS</t>
        </is>
      </c>
      <c r="FJ195" t="inlineStr">
        <is>
          <t>RUS</t>
        </is>
      </c>
      <c r="FK195" t="inlineStr">
        <is>
          <t>RUS</t>
        </is>
      </c>
      <c r="FL195" t="inlineStr">
        <is>
          <t>RUS</t>
        </is>
      </c>
      <c r="FM195" t="inlineStr">
        <is>
          <t>RUS</t>
        </is>
      </c>
      <c r="FN195" t="inlineStr">
        <is>
          <t>RUS</t>
        </is>
      </c>
      <c r="FO195" t="inlineStr">
        <is>
          <t>RUS</t>
        </is>
      </c>
      <c r="FP195" t="inlineStr">
        <is>
          <t>RUS</t>
        </is>
      </c>
      <c r="FQ195" t="inlineStr">
        <is>
          <t>RUS</t>
        </is>
      </c>
      <c r="FR195" t="inlineStr">
        <is>
          <t>RUS</t>
        </is>
      </c>
      <c r="FS195" t="inlineStr">
        <is>
          <t>RUS</t>
        </is>
      </c>
      <c r="FT195" t="inlineStr">
        <is>
          <t>RUS</t>
        </is>
      </c>
      <c r="FU195" t="inlineStr">
        <is>
          <t>RUS</t>
        </is>
      </c>
      <c r="FV195" t="inlineStr">
        <is>
          <t>RUS</t>
        </is>
      </c>
      <c r="FW195" t="inlineStr">
        <is>
          <t>RUS</t>
        </is>
      </c>
      <c r="FX195" t="inlineStr">
        <is>
          <t>RUS</t>
        </is>
      </c>
      <c r="FY195" t="inlineStr">
        <is>
          <t>RUS</t>
        </is>
      </c>
      <c r="FZ195" t="inlineStr">
        <is>
          <t>RUS</t>
        </is>
      </c>
      <c r="GA195" t="inlineStr">
        <is>
          <t>RUS</t>
        </is>
      </c>
      <c r="GB195" t="inlineStr">
        <is>
          <t>RUS</t>
        </is>
      </c>
      <c r="GC195" t="inlineStr">
        <is>
          <t>RUS</t>
        </is>
      </c>
      <c r="GD195" t="inlineStr">
        <is>
          <t>RUS</t>
        </is>
      </c>
      <c r="GE195" t="inlineStr">
        <is>
          <t>RUS</t>
        </is>
      </c>
      <c r="GF195" t="inlineStr">
        <is>
          <t>RUS</t>
        </is>
      </c>
      <c r="GG195" t="inlineStr">
        <is>
          <t>RUS</t>
        </is>
      </c>
      <c r="GH195" t="inlineStr">
        <is>
          <t>RUS</t>
        </is>
      </c>
      <c r="GI195" t="inlineStr">
        <is>
          <t>RUS</t>
        </is>
      </c>
      <c r="GJ195" t="inlineStr">
        <is>
          <t>RUS</t>
        </is>
      </c>
      <c r="GK195" t="inlineStr">
        <is>
          <t>RUS</t>
        </is>
      </c>
      <c r="GL195" t="inlineStr">
        <is>
          <t>RUS</t>
        </is>
      </c>
      <c r="GM195" t="inlineStr">
        <is>
          <t>RUS</t>
        </is>
      </c>
      <c r="GN195" t="inlineStr">
        <is>
          <t>RUS</t>
        </is>
      </c>
      <c r="GO195" t="inlineStr">
        <is>
          <t>RUS</t>
        </is>
      </c>
      <c r="GP195" t="inlineStr">
        <is>
          <t>RUS</t>
        </is>
      </c>
      <c r="GQ195" t="inlineStr">
        <is>
          <t>RUS</t>
        </is>
      </c>
      <c r="GR195" t="inlineStr">
        <is>
          <t>RUS</t>
        </is>
      </c>
      <c r="GS195" t="inlineStr">
        <is>
          <t>RUS</t>
        </is>
      </c>
      <c r="GT195" t="inlineStr">
        <is>
          <t>RUS</t>
        </is>
      </c>
      <c r="GU195" t="inlineStr">
        <is>
          <t>RUS</t>
        </is>
      </c>
      <c r="GV195" t="inlineStr">
        <is>
          <t>RUS</t>
        </is>
      </c>
      <c r="GW195" t="inlineStr">
        <is>
          <t>RUS</t>
        </is>
      </c>
      <c r="GX195" t="inlineStr">
        <is>
          <t>RUS</t>
        </is>
      </c>
      <c r="GY195" t="inlineStr">
        <is>
          <t>RUS</t>
        </is>
      </c>
      <c r="GZ195" t="inlineStr">
        <is>
          <t>RUS</t>
        </is>
      </c>
      <c r="HA195" t="inlineStr">
        <is>
          <t>RUS</t>
        </is>
      </c>
      <c r="HB195" t="inlineStr">
        <is>
          <t>RUS</t>
        </is>
      </c>
      <c r="HC195" t="inlineStr">
        <is>
          <t>RUS</t>
        </is>
      </c>
      <c r="HD195" t="inlineStr">
        <is>
          <t>RUS</t>
        </is>
      </c>
      <c r="HE195" t="inlineStr">
        <is>
          <t>RUS</t>
        </is>
      </c>
      <c r="HF195" t="inlineStr">
        <is>
          <t>RUS</t>
        </is>
      </c>
      <c r="HG195" t="inlineStr">
        <is>
          <t>RUS</t>
        </is>
      </c>
      <c r="HH195" t="inlineStr">
        <is>
          <t>RUS</t>
        </is>
      </c>
      <c r="HI195" t="inlineStr">
        <is>
          <t>RUS</t>
        </is>
      </c>
      <c r="HJ195" t="inlineStr">
        <is>
          <t>RUS</t>
        </is>
      </c>
      <c r="HK195" t="inlineStr">
        <is>
          <t>RUS</t>
        </is>
      </c>
      <c r="HL195" t="inlineStr">
        <is>
          <t>RUS</t>
        </is>
      </c>
      <c r="HM195" t="inlineStr">
        <is>
          <t>RUS</t>
        </is>
      </c>
      <c r="HN195" t="inlineStr">
        <is>
          <t>RUS</t>
        </is>
      </c>
      <c r="HO195" t="inlineStr">
        <is>
          <t>RUS</t>
        </is>
      </c>
      <c r="HP195" t="inlineStr">
        <is>
          <t>RUS</t>
        </is>
      </c>
      <c r="HQ195" t="inlineStr">
        <is>
          <t>RUS</t>
        </is>
      </c>
      <c r="HR195" t="inlineStr">
        <is>
          <t>RUS</t>
        </is>
      </c>
      <c r="HS195" t="inlineStr">
        <is>
          <t>RUS</t>
        </is>
      </c>
      <c r="HT195" t="inlineStr">
        <is>
          <t>RUS</t>
        </is>
      </c>
      <c r="HU195" t="inlineStr">
        <is>
          <t>RUS</t>
        </is>
      </c>
      <c r="HV195" t="inlineStr">
        <is>
          <t>RUS</t>
        </is>
      </c>
      <c r="HW195" t="inlineStr">
        <is>
          <t>RUS</t>
        </is>
      </c>
      <c r="HX195" t="inlineStr">
        <is>
          <t>RUS</t>
        </is>
      </c>
      <c r="HY195" t="inlineStr">
        <is>
          <t>RUS</t>
        </is>
      </c>
      <c r="HZ195" t="inlineStr">
        <is>
          <t>RUS</t>
        </is>
      </c>
      <c r="IA195" t="inlineStr">
        <is>
          <t>RUS</t>
        </is>
      </c>
      <c r="IB195" t="inlineStr">
        <is>
          <t>RUS</t>
        </is>
      </c>
      <c r="IC195" t="inlineStr">
        <is>
          <t>RUS</t>
        </is>
      </c>
      <c r="ID195" t="inlineStr">
        <is>
          <t>RUS</t>
        </is>
      </c>
      <c r="IE195" t="inlineStr">
        <is>
          <t>RUS</t>
        </is>
      </c>
      <c r="IF195" t="inlineStr">
        <is>
          <t>RUS</t>
        </is>
      </c>
      <c r="IG195" t="inlineStr">
        <is>
          <t>RUS</t>
        </is>
      </c>
      <c r="IH195" t="inlineStr">
        <is>
          <t>RUS</t>
        </is>
      </c>
      <c r="II195" t="inlineStr">
        <is>
          <t>RUS</t>
        </is>
      </c>
      <c r="IJ195" t="inlineStr">
        <is>
          <t>RUS</t>
        </is>
      </c>
      <c r="IK195" t="inlineStr">
        <is>
          <t>RUS</t>
        </is>
      </c>
      <c r="IL195" t="inlineStr">
        <is>
          <t>RUS</t>
        </is>
      </c>
      <c r="IM195" t="inlineStr">
        <is>
          <t>RUS</t>
        </is>
      </c>
      <c r="IN195" t="inlineStr">
        <is>
          <t>RUS</t>
        </is>
      </c>
      <c r="IO195" t="inlineStr">
        <is>
          <t>RUS</t>
        </is>
      </c>
      <c r="IP195" t="inlineStr">
        <is>
          <t>RUS</t>
        </is>
      </c>
      <c r="IQ195" t="inlineStr">
        <is>
          <t>RUS</t>
        </is>
      </c>
      <c r="IR195" t="inlineStr">
        <is>
          <t>RUS</t>
        </is>
      </c>
      <c r="IS195" t="inlineStr">
        <is>
          <t>RUS</t>
        </is>
      </c>
      <c r="IT195" t="inlineStr">
        <is>
          <t>RUS</t>
        </is>
      </c>
      <c r="IU195" t="inlineStr">
        <is>
          <t>RUS</t>
        </is>
      </c>
      <c r="IV195" t="inlineStr">
        <is>
          <t>RUS</t>
        </is>
      </c>
      <c r="IW195" t="inlineStr">
        <is>
          <t>RUS</t>
        </is>
      </c>
      <c r="IX195" t="inlineStr">
        <is>
          <t>RUS</t>
        </is>
      </c>
      <c r="IY195" t="inlineStr">
        <is>
          <t>RUS</t>
        </is>
      </c>
      <c r="IZ195" t="inlineStr">
        <is>
          <t>RUS</t>
        </is>
      </c>
      <c r="JA195" t="inlineStr">
        <is>
          <t>RUS</t>
        </is>
      </c>
      <c r="JB195" t="inlineStr">
        <is>
          <t>RUS</t>
        </is>
      </c>
      <c r="JC195" t="inlineStr">
        <is>
          <t>RUS</t>
        </is>
      </c>
      <c r="JD195" t="inlineStr">
        <is>
          <t>RUS</t>
        </is>
      </c>
      <c r="JE195" t="inlineStr">
        <is>
          <t>RUS</t>
        </is>
      </c>
      <c r="JF195" t="inlineStr">
        <is>
          <t>RUS</t>
        </is>
      </c>
      <c r="JG195" t="inlineStr">
        <is>
          <t>RUS</t>
        </is>
      </c>
      <c r="JH195" t="inlineStr">
        <is>
          <t>RUS</t>
        </is>
      </c>
      <c r="JI195" t="inlineStr">
        <is>
          <t>RUS</t>
        </is>
      </c>
      <c r="JJ195" t="inlineStr">
        <is>
          <t>RUS</t>
        </is>
      </c>
      <c r="JK195" t="inlineStr">
        <is>
          <t>RUS</t>
        </is>
      </c>
      <c r="JL195" t="inlineStr">
        <is>
          <t>RUS</t>
        </is>
      </c>
      <c r="JM195" t="inlineStr">
        <is>
          <t>RUS</t>
        </is>
      </c>
      <c r="JN195" t="inlineStr">
        <is>
          <t>RUS</t>
        </is>
      </c>
      <c r="JO195" t="inlineStr">
        <is>
          <t>RUS</t>
        </is>
      </c>
      <c r="JP195" t="inlineStr">
        <is>
          <t>RUS</t>
        </is>
      </c>
      <c r="JQ195" t="inlineStr">
        <is>
          <t>RUS</t>
        </is>
      </c>
      <c r="JR195" t="inlineStr">
        <is>
          <t>RUS</t>
        </is>
      </c>
      <c r="JS195" t="inlineStr">
        <is>
          <t>RUS</t>
        </is>
      </c>
      <c r="JT195" t="inlineStr">
        <is>
          <t>RUS</t>
        </is>
      </c>
      <c r="JU195" t="inlineStr">
        <is>
          <t>RUS</t>
        </is>
      </c>
    </row>
    <row r="196">
      <c r="AX196" t="inlineStr">
        <is>
          <t>GBR</t>
        </is>
      </c>
      <c r="AY196" t="inlineStr">
        <is>
          <t>GBR</t>
        </is>
      </c>
      <c r="AZ196" t="inlineStr">
        <is>
          <t>GBR</t>
        </is>
      </c>
      <c r="BA196" t="inlineStr">
        <is>
          <t>GBR</t>
        </is>
      </c>
      <c r="BB196" t="inlineStr">
        <is>
          <t>GBR</t>
        </is>
      </c>
      <c r="BC196" t="inlineStr">
        <is>
          <t>GBR</t>
        </is>
      </c>
      <c r="BD196" t="inlineStr">
        <is>
          <t>GBR</t>
        </is>
      </c>
      <c r="BE196" t="inlineStr">
        <is>
          <t>GBR</t>
        </is>
      </c>
      <c r="CC196" t="inlineStr">
        <is>
          <t>DNK</t>
        </is>
      </c>
      <c r="CD196" t="inlineStr">
        <is>
          <t>DNK</t>
        </is>
      </c>
      <c r="CH196" t="inlineStr">
        <is>
          <t>SWE</t>
        </is>
      </c>
      <c r="CI196" t="inlineStr">
        <is>
          <t>SWE</t>
        </is>
      </c>
      <c r="CJ196" t="inlineStr">
        <is>
          <t>SWE</t>
        </is>
      </c>
      <c r="CK196" t="inlineStr">
        <is>
          <t>SWE</t>
        </is>
      </c>
      <c r="CL196" t="inlineStr">
        <is>
          <t>SWE</t>
        </is>
      </c>
      <c r="CM196" t="inlineStr">
        <is>
          <t>SWE</t>
        </is>
      </c>
      <c r="CN196" t="inlineStr">
        <is>
          <t>SWE</t>
        </is>
      </c>
      <c r="CO196" t="inlineStr">
        <is>
          <t>SWE</t>
        </is>
      </c>
      <c r="CP196" t="inlineStr">
        <is>
          <t>SWE</t>
        </is>
      </c>
      <c r="DA196" t="inlineStr">
        <is>
          <t>LVA</t>
        </is>
      </c>
      <c r="DB196" t="inlineStr">
        <is>
          <t>LVA</t>
        </is>
      </c>
      <c r="DC196" t="inlineStr">
        <is>
          <t>LVA</t>
        </is>
      </c>
      <c r="DF196" t="inlineStr">
        <is>
          <t>LVA</t>
        </is>
      </c>
      <c r="DG196" t="inlineStr">
        <is>
          <t>LVA</t>
        </is>
      </c>
      <c r="DH196" t="inlineStr">
        <is>
          <t>LVA</t>
        </is>
      </c>
      <c r="DI196" t="inlineStr">
        <is>
          <t>LVA</t>
        </is>
      </c>
      <c r="DJ196" t="inlineStr">
        <is>
          <t>LVA</t>
        </is>
      </c>
      <c r="DK196" t="inlineStr">
        <is>
          <t>LVA</t>
        </is>
      </c>
      <c r="DL196" t="inlineStr">
        <is>
          <t>LVA</t>
        </is>
      </c>
      <c r="DM196" t="inlineStr">
        <is>
          <t>LVA</t>
        </is>
      </c>
      <c r="DN196" t="inlineStr">
        <is>
          <t>RUS</t>
        </is>
      </c>
      <c r="DO196" t="inlineStr">
        <is>
          <t>RUS</t>
        </is>
      </c>
      <c r="DP196" t="inlineStr">
        <is>
          <t>RUS</t>
        </is>
      </c>
      <c r="DQ196" t="inlineStr">
        <is>
          <t>RUS</t>
        </is>
      </c>
      <c r="DR196" t="inlineStr">
        <is>
          <t>RUS</t>
        </is>
      </c>
      <c r="DS196" t="inlineStr">
        <is>
          <t>RUS</t>
        </is>
      </c>
      <c r="DT196" t="inlineStr">
        <is>
          <t>RUS</t>
        </is>
      </c>
      <c r="DU196" t="inlineStr">
        <is>
          <t>RUS</t>
        </is>
      </c>
      <c r="DV196" t="inlineStr">
        <is>
          <t>RUS</t>
        </is>
      </c>
      <c r="DW196" t="inlineStr">
        <is>
          <t>RUS</t>
        </is>
      </c>
      <c r="DX196" t="inlineStr">
        <is>
          <t>RUS</t>
        </is>
      </c>
      <c r="DY196" t="inlineStr">
        <is>
          <t>RUS</t>
        </is>
      </c>
      <c r="DZ196" t="inlineStr">
        <is>
          <t>RUS</t>
        </is>
      </c>
      <c r="EA196" t="inlineStr">
        <is>
          <t>RUS</t>
        </is>
      </c>
      <c r="EB196" t="inlineStr">
        <is>
          <t>RUS</t>
        </is>
      </c>
      <c r="EC196" t="inlineStr">
        <is>
          <t>RUS</t>
        </is>
      </c>
      <c r="ED196" t="inlineStr">
        <is>
          <t>RUS</t>
        </is>
      </c>
      <c r="EE196" t="inlineStr">
        <is>
          <t>RUS</t>
        </is>
      </c>
      <c r="EF196" t="inlineStr">
        <is>
          <t>RUS</t>
        </is>
      </c>
      <c r="EG196" t="inlineStr">
        <is>
          <t>RUS</t>
        </is>
      </c>
      <c r="EH196" t="inlineStr">
        <is>
          <t>RUS</t>
        </is>
      </c>
      <c r="EI196" t="inlineStr">
        <is>
          <t>RUS</t>
        </is>
      </c>
      <c r="EJ196" t="inlineStr">
        <is>
          <t>RUS</t>
        </is>
      </c>
      <c r="EK196" t="inlineStr">
        <is>
          <t>RUS</t>
        </is>
      </c>
      <c r="EL196" t="inlineStr">
        <is>
          <t>RUS</t>
        </is>
      </c>
      <c r="EM196" t="inlineStr">
        <is>
          <t>RUS</t>
        </is>
      </c>
      <c r="EN196" t="inlineStr">
        <is>
          <t>RUS</t>
        </is>
      </c>
      <c r="EO196" t="inlineStr">
        <is>
          <t>RUS</t>
        </is>
      </c>
      <c r="EP196" t="inlineStr">
        <is>
          <t>RUS</t>
        </is>
      </c>
      <c r="EQ196" t="inlineStr">
        <is>
          <t>RUS</t>
        </is>
      </c>
      <c r="ER196" t="inlineStr">
        <is>
          <t>RUS</t>
        </is>
      </c>
      <c r="ES196" t="inlineStr">
        <is>
          <t>RUS</t>
        </is>
      </c>
      <c r="ET196" t="inlineStr">
        <is>
          <t>RUS</t>
        </is>
      </c>
      <c r="EU196" t="inlineStr">
        <is>
          <t>RUS</t>
        </is>
      </c>
      <c r="EV196" t="inlineStr">
        <is>
          <t>RUS</t>
        </is>
      </c>
      <c r="EW196" t="inlineStr">
        <is>
          <t>RUS</t>
        </is>
      </c>
      <c r="EX196" t="inlineStr">
        <is>
          <t>RUS</t>
        </is>
      </c>
      <c r="EY196" t="inlineStr">
        <is>
          <t>RUS</t>
        </is>
      </c>
      <c r="EZ196" t="inlineStr">
        <is>
          <t>RUS</t>
        </is>
      </c>
      <c r="FA196" t="inlineStr">
        <is>
          <t>RUS</t>
        </is>
      </c>
      <c r="FB196" t="inlineStr">
        <is>
          <t>RUS</t>
        </is>
      </c>
      <c r="FC196" t="inlineStr">
        <is>
          <t>RUS</t>
        </is>
      </c>
      <c r="FD196" t="inlineStr">
        <is>
          <t>RUS</t>
        </is>
      </c>
      <c r="FE196" t="inlineStr">
        <is>
          <t>RUS</t>
        </is>
      </c>
      <c r="FF196" t="inlineStr">
        <is>
          <t>RUS</t>
        </is>
      </c>
      <c r="FG196" t="inlineStr">
        <is>
          <t>RUS</t>
        </is>
      </c>
      <c r="FH196" t="inlineStr">
        <is>
          <t>RUS</t>
        </is>
      </c>
      <c r="FI196" t="inlineStr">
        <is>
          <t>RUS</t>
        </is>
      </c>
      <c r="FJ196" t="inlineStr">
        <is>
          <t>RUS</t>
        </is>
      </c>
      <c r="FK196" t="inlineStr">
        <is>
          <t>RUS</t>
        </is>
      </c>
      <c r="FL196" t="inlineStr">
        <is>
          <t>RUS</t>
        </is>
      </c>
      <c r="FM196" t="inlineStr">
        <is>
          <t>RUS</t>
        </is>
      </c>
      <c r="FN196" t="inlineStr">
        <is>
          <t>RUS</t>
        </is>
      </c>
      <c r="FO196" t="inlineStr">
        <is>
          <t>RUS</t>
        </is>
      </c>
      <c r="FP196" t="inlineStr">
        <is>
          <t>RUS</t>
        </is>
      </c>
      <c r="FQ196" t="inlineStr">
        <is>
          <t>RUS</t>
        </is>
      </c>
      <c r="FR196" t="inlineStr">
        <is>
          <t>RUS</t>
        </is>
      </c>
      <c r="FS196" t="inlineStr">
        <is>
          <t>RUS</t>
        </is>
      </c>
      <c r="FT196" t="inlineStr">
        <is>
          <t>RUS</t>
        </is>
      </c>
      <c r="FU196" t="inlineStr">
        <is>
          <t>RUS</t>
        </is>
      </c>
      <c r="FV196" t="inlineStr">
        <is>
          <t>RUS</t>
        </is>
      </c>
      <c r="FW196" t="inlineStr">
        <is>
          <t>RUS</t>
        </is>
      </c>
      <c r="FX196" t="inlineStr">
        <is>
          <t>RUS</t>
        </is>
      </c>
      <c r="FY196" t="inlineStr">
        <is>
          <t>RUS</t>
        </is>
      </c>
      <c r="FZ196" t="inlineStr">
        <is>
          <t>RUS</t>
        </is>
      </c>
      <c r="GA196" t="inlineStr">
        <is>
          <t>RUS</t>
        </is>
      </c>
      <c r="GB196" t="inlineStr">
        <is>
          <t>RUS</t>
        </is>
      </c>
      <c r="GC196" t="inlineStr">
        <is>
          <t>RUS</t>
        </is>
      </c>
      <c r="GD196" t="inlineStr">
        <is>
          <t>RUS</t>
        </is>
      </c>
      <c r="GE196" t="inlineStr">
        <is>
          <t>RUS</t>
        </is>
      </c>
      <c r="GF196" t="inlineStr">
        <is>
          <t>RUS</t>
        </is>
      </c>
      <c r="GG196" t="inlineStr">
        <is>
          <t>RUS</t>
        </is>
      </c>
      <c r="GH196" t="inlineStr">
        <is>
          <t>RUS</t>
        </is>
      </c>
      <c r="GI196" t="inlineStr">
        <is>
          <t>RUS</t>
        </is>
      </c>
      <c r="GJ196" t="inlineStr">
        <is>
          <t>RUS</t>
        </is>
      </c>
      <c r="GK196" t="inlineStr">
        <is>
          <t>RUS</t>
        </is>
      </c>
      <c r="GL196" t="inlineStr">
        <is>
          <t>RUS</t>
        </is>
      </c>
      <c r="GM196" t="inlineStr">
        <is>
          <t>RUS</t>
        </is>
      </c>
      <c r="GN196" t="inlineStr">
        <is>
          <t>RUS</t>
        </is>
      </c>
      <c r="GO196" t="inlineStr">
        <is>
          <t>RUS</t>
        </is>
      </c>
      <c r="GP196" t="inlineStr">
        <is>
          <t>RUS</t>
        </is>
      </c>
      <c r="GQ196" t="inlineStr">
        <is>
          <t>RUS</t>
        </is>
      </c>
      <c r="GR196" t="inlineStr">
        <is>
          <t>RUS</t>
        </is>
      </c>
      <c r="GS196" t="inlineStr">
        <is>
          <t>RUS</t>
        </is>
      </c>
      <c r="GT196" t="inlineStr">
        <is>
          <t>RUS</t>
        </is>
      </c>
      <c r="GU196" t="inlineStr">
        <is>
          <t>RUS</t>
        </is>
      </c>
      <c r="GV196" t="inlineStr">
        <is>
          <t>RUS</t>
        </is>
      </c>
      <c r="GW196" t="inlineStr">
        <is>
          <t>RUS</t>
        </is>
      </c>
      <c r="GX196" t="inlineStr">
        <is>
          <t>RUS</t>
        </is>
      </c>
      <c r="GY196" t="inlineStr">
        <is>
          <t>RUS</t>
        </is>
      </c>
      <c r="GZ196" t="inlineStr">
        <is>
          <t>RUS</t>
        </is>
      </c>
      <c r="HA196" t="inlineStr">
        <is>
          <t>RUS</t>
        </is>
      </c>
      <c r="HB196" t="inlineStr">
        <is>
          <t>RUS</t>
        </is>
      </c>
      <c r="HC196" t="inlineStr">
        <is>
          <t>RUS</t>
        </is>
      </c>
      <c r="HD196" t="inlineStr">
        <is>
          <t>RUS</t>
        </is>
      </c>
      <c r="HE196" t="inlineStr">
        <is>
          <t>RUS</t>
        </is>
      </c>
      <c r="HF196" t="inlineStr">
        <is>
          <t>RUS</t>
        </is>
      </c>
      <c r="HG196" t="inlineStr">
        <is>
          <t>RUS</t>
        </is>
      </c>
      <c r="HH196" t="inlineStr">
        <is>
          <t>RUS</t>
        </is>
      </c>
      <c r="HI196" t="inlineStr">
        <is>
          <t>RUS</t>
        </is>
      </c>
      <c r="HJ196" t="inlineStr">
        <is>
          <t>RUS</t>
        </is>
      </c>
      <c r="HK196" t="inlineStr">
        <is>
          <t>RUS</t>
        </is>
      </c>
      <c r="HL196" t="inlineStr">
        <is>
          <t>RUS</t>
        </is>
      </c>
      <c r="HM196" t="inlineStr">
        <is>
          <t>RUS</t>
        </is>
      </c>
      <c r="HN196" t="inlineStr">
        <is>
          <t>RUS</t>
        </is>
      </c>
      <c r="HO196" t="inlineStr">
        <is>
          <t>RUS</t>
        </is>
      </c>
      <c r="HP196" t="inlineStr">
        <is>
          <t>RUS</t>
        </is>
      </c>
      <c r="HQ196" t="inlineStr">
        <is>
          <t>RUS</t>
        </is>
      </c>
      <c r="HR196" t="inlineStr">
        <is>
          <t>RUS</t>
        </is>
      </c>
      <c r="HS196" t="inlineStr">
        <is>
          <t>RUS</t>
        </is>
      </c>
      <c r="HT196" t="inlineStr">
        <is>
          <t>RUS</t>
        </is>
      </c>
      <c r="HU196" t="inlineStr">
        <is>
          <t>RUS</t>
        </is>
      </c>
      <c r="HV196" t="inlineStr">
        <is>
          <t>RUS</t>
        </is>
      </c>
      <c r="HW196" t="inlineStr">
        <is>
          <t>RUS</t>
        </is>
      </c>
      <c r="HX196" t="inlineStr">
        <is>
          <t>RUS</t>
        </is>
      </c>
      <c r="HY196" t="inlineStr">
        <is>
          <t>RUS</t>
        </is>
      </c>
      <c r="HZ196" t="inlineStr">
        <is>
          <t>RUS</t>
        </is>
      </c>
      <c r="IA196" t="inlineStr">
        <is>
          <t>RUS</t>
        </is>
      </c>
      <c r="IB196" t="inlineStr">
        <is>
          <t>RUS</t>
        </is>
      </c>
      <c r="IC196" t="inlineStr">
        <is>
          <t>RUS</t>
        </is>
      </c>
      <c r="ID196" t="inlineStr">
        <is>
          <t>RUS</t>
        </is>
      </c>
      <c r="IE196" t="inlineStr">
        <is>
          <t>RUS</t>
        </is>
      </c>
      <c r="IF196" t="inlineStr">
        <is>
          <t>RUS</t>
        </is>
      </c>
      <c r="IG196" t="inlineStr">
        <is>
          <t>RUS</t>
        </is>
      </c>
      <c r="IH196" t="inlineStr">
        <is>
          <t>RUS</t>
        </is>
      </c>
      <c r="II196" t="inlineStr">
        <is>
          <t>RUS</t>
        </is>
      </c>
      <c r="IJ196" t="inlineStr">
        <is>
          <t>RUS</t>
        </is>
      </c>
      <c r="IK196" t="inlineStr">
        <is>
          <t>RUS</t>
        </is>
      </c>
      <c r="IL196" t="inlineStr">
        <is>
          <t>RUS</t>
        </is>
      </c>
      <c r="IM196" t="inlineStr">
        <is>
          <t>RUS</t>
        </is>
      </c>
      <c r="IN196" t="inlineStr">
        <is>
          <t>RUS</t>
        </is>
      </c>
      <c r="IO196" t="inlineStr">
        <is>
          <t>RUS</t>
        </is>
      </c>
      <c r="IP196" t="inlineStr">
        <is>
          <t>RUS</t>
        </is>
      </c>
      <c r="IQ196" t="inlineStr">
        <is>
          <t>RUS</t>
        </is>
      </c>
      <c r="IR196" t="inlineStr">
        <is>
          <t>RUS</t>
        </is>
      </c>
      <c r="IS196" t="inlineStr">
        <is>
          <t>RUS</t>
        </is>
      </c>
      <c r="IT196" t="inlineStr">
        <is>
          <t>RUS</t>
        </is>
      </c>
      <c r="IU196" t="inlineStr">
        <is>
          <t>RUS</t>
        </is>
      </c>
      <c r="IV196" t="inlineStr">
        <is>
          <t>RUS</t>
        </is>
      </c>
      <c r="IW196" t="inlineStr">
        <is>
          <t>RUS</t>
        </is>
      </c>
      <c r="IX196" t="inlineStr">
        <is>
          <t>RUS</t>
        </is>
      </c>
      <c r="IY196" t="inlineStr">
        <is>
          <t>RUS</t>
        </is>
      </c>
      <c r="IZ196" t="inlineStr">
        <is>
          <t>RUS</t>
        </is>
      </c>
      <c r="JA196" t="inlineStr">
        <is>
          <t>RUS</t>
        </is>
      </c>
      <c r="JB196" t="inlineStr">
        <is>
          <t>RUS</t>
        </is>
      </c>
      <c r="JC196" t="inlineStr">
        <is>
          <t>RUS</t>
        </is>
      </c>
      <c r="JD196" t="inlineStr">
        <is>
          <t>RUS</t>
        </is>
      </c>
      <c r="JE196" t="inlineStr">
        <is>
          <t>RUS</t>
        </is>
      </c>
      <c r="JF196" t="inlineStr">
        <is>
          <t>RUS</t>
        </is>
      </c>
      <c r="JG196" t="inlineStr">
        <is>
          <t>RUS</t>
        </is>
      </c>
      <c r="JH196" t="inlineStr">
        <is>
          <t>RUS</t>
        </is>
      </c>
      <c r="JI196" t="inlineStr">
        <is>
          <t>RUS</t>
        </is>
      </c>
      <c r="JJ196" t="inlineStr">
        <is>
          <t>RUS</t>
        </is>
      </c>
      <c r="JK196" t="inlineStr">
        <is>
          <t>RUS</t>
        </is>
      </c>
      <c r="JL196" t="inlineStr">
        <is>
          <t>RUS</t>
        </is>
      </c>
      <c r="JM196" t="inlineStr">
        <is>
          <t>RUS</t>
        </is>
      </c>
      <c r="JN196" t="inlineStr">
        <is>
          <t>RUS</t>
        </is>
      </c>
      <c r="JO196" t="inlineStr">
        <is>
          <t>RUS</t>
        </is>
      </c>
      <c r="JP196" t="inlineStr">
        <is>
          <t>RUS</t>
        </is>
      </c>
      <c r="JQ196" t="inlineStr">
        <is>
          <t>RUS</t>
        </is>
      </c>
      <c r="JR196" t="inlineStr">
        <is>
          <t>RUS</t>
        </is>
      </c>
      <c r="JS196" t="inlineStr">
        <is>
          <t>RUS</t>
        </is>
      </c>
      <c r="JT196" t="inlineStr">
        <is>
          <t>RUS</t>
        </is>
      </c>
      <c r="JU196" t="inlineStr">
        <is>
          <t>RUS</t>
        </is>
      </c>
    </row>
    <row r="197">
      <c r="AX197" t="inlineStr">
        <is>
          <t>GBR</t>
        </is>
      </c>
      <c r="AY197" t="inlineStr">
        <is>
          <t>GBR</t>
        </is>
      </c>
      <c r="AZ197" t="inlineStr">
        <is>
          <t>GBR</t>
        </is>
      </c>
      <c r="BA197" t="inlineStr">
        <is>
          <t>GBR</t>
        </is>
      </c>
      <c r="CG197" t="inlineStr">
        <is>
          <t>SWE</t>
        </is>
      </c>
      <c r="CH197" t="inlineStr">
        <is>
          <t>SWE</t>
        </is>
      </c>
      <c r="CI197" t="inlineStr">
        <is>
          <t>SWE</t>
        </is>
      </c>
      <c r="CJ197" t="inlineStr">
        <is>
          <t>SWE</t>
        </is>
      </c>
      <c r="CK197" t="inlineStr">
        <is>
          <t>SWE</t>
        </is>
      </c>
      <c r="CL197" t="inlineStr">
        <is>
          <t>SWE</t>
        </is>
      </c>
      <c r="CM197" t="inlineStr">
        <is>
          <t>SWE</t>
        </is>
      </c>
      <c r="CN197" t="inlineStr">
        <is>
          <t>SWE</t>
        </is>
      </c>
      <c r="CO197" t="inlineStr">
        <is>
          <t>SWE</t>
        </is>
      </c>
      <c r="CP197" t="inlineStr">
        <is>
          <t>SWE</t>
        </is>
      </c>
      <c r="DG197" t="inlineStr">
        <is>
          <t>LVA</t>
        </is>
      </c>
      <c r="DH197" t="inlineStr">
        <is>
          <t>LVA</t>
        </is>
      </c>
      <c r="DI197" t="inlineStr">
        <is>
          <t>LVA</t>
        </is>
      </c>
      <c r="DJ197" t="inlineStr">
        <is>
          <t>EST</t>
        </is>
      </c>
      <c r="DK197" t="inlineStr">
        <is>
          <t>EST</t>
        </is>
      </c>
      <c r="DL197" t="inlineStr">
        <is>
          <t>EST</t>
        </is>
      </c>
      <c r="DM197" t="inlineStr">
        <is>
          <t>RUS</t>
        </is>
      </c>
      <c r="DN197" t="inlineStr">
        <is>
          <t>RUS</t>
        </is>
      </c>
      <c r="DO197" t="inlineStr">
        <is>
          <t>RUS</t>
        </is>
      </c>
      <c r="DP197" t="inlineStr">
        <is>
          <t>RUS</t>
        </is>
      </c>
      <c r="DQ197" t="inlineStr">
        <is>
          <t>RUS</t>
        </is>
      </c>
      <c r="DR197" t="inlineStr">
        <is>
          <t>RUS</t>
        </is>
      </c>
      <c r="DS197" t="inlineStr">
        <is>
          <t>RUS</t>
        </is>
      </c>
      <c r="DT197" t="inlineStr">
        <is>
          <t>RUS</t>
        </is>
      </c>
      <c r="DU197" t="inlineStr">
        <is>
          <t>RUS</t>
        </is>
      </c>
      <c r="DV197" t="inlineStr">
        <is>
          <t>RUS</t>
        </is>
      </c>
      <c r="DW197" t="inlineStr">
        <is>
          <t>RUS</t>
        </is>
      </c>
      <c r="DX197" t="inlineStr">
        <is>
          <t>RUS</t>
        </is>
      </c>
      <c r="DY197" t="inlineStr">
        <is>
          <t>RUS</t>
        </is>
      </c>
      <c r="DZ197" t="inlineStr">
        <is>
          <t>RUS</t>
        </is>
      </c>
      <c r="EA197" t="inlineStr">
        <is>
          <t>RUS</t>
        </is>
      </c>
      <c r="EB197" t="inlineStr">
        <is>
          <t>RUS</t>
        </is>
      </c>
      <c r="EC197" t="inlineStr">
        <is>
          <t>RUS</t>
        </is>
      </c>
      <c r="ED197" t="inlineStr">
        <is>
          <t>RUS</t>
        </is>
      </c>
      <c r="EE197" t="inlineStr">
        <is>
          <t>RUS</t>
        </is>
      </c>
      <c r="EF197" t="inlineStr">
        <is>
          <t>RUS</t>
        </is>
      </c>
      <c r="EG197" t="inlineStr">
        <is>
          <t>RUS</t>
        </is>
      </c>
      <c r="EH197" t="inlineStr">
        <is>
          <t>RUS</t>
        </is>
      </c>
      <c r="EI197" t="inlineStr">
        <is>
          <t>RUS</t>
        </is>
      </c>
      <c r="EJ197" t="inlineStr">
        <is>
          <t>RUS</t>
        </is>
      </c>
      <c r="EK197" t="inlineStr">
        <is>
          <t>RUS</t>
        </is>
      </c>
      <c r="EL197" t="inlineStr">
        <is>
          <t>RUS</t>
        </is>
      </c>
      <c r="EM197" t="inlineStr">
        <is>
          <t>RUS</t>
        </is>
      </c>
      <c r="EN197" t="inlineStr">
        <is>
          <t>RUS</t>
        </is>
      </c>
      <c r="EO197" t="inlineStr">
        <is>
          <t>RUS</t>
        </is>
      </c>
      <c r="EP197" t="inlineStr">
        <is>
          <t>RUS</t>
        </is>
      </c>
      <c r="EQ197" t="inlineStr">
        <is>
          <t>RUS</t>
        </is>
      </c>
      <c r="ER197" t="inlineStr">
        <is>
          <t>RUS</t>
        </is>
      </c>
      <c r="ES197" t="inlineStr">
        <is>
          <t>RUS</t>
        </is>
      </c>
      <c r="ET197" t="inlineStr">
        <is>
          <t>RUS</t>
        </is>
      </c>
      <c r="EU197" t="inlineStr">
        <is>
          <t>RUS</t>
        </is>
      </c>
      <c r="EV197" t="inlineStr">
        <is>
          <t>RUS</t>
        </is>
      </c>
      <c r="EW197" t="inlineStr">
        <is>
          <t>RUS</t>
        </is>
      </c>
      <c r="EX197" t="inlineStr">
        <is>
          <t>RUS</t>
        </is>
      </c>
      <c r="EY197" t="inlineStr">
        <is>
          <t>RUS</t>
        </is>
      </c>
      <c r="EZ197" t="inlineStr">
        <is>
          <t>RUS</t>
        </is>
      </c>
      <c r="FA197" t="inlineStr">
        <is>
          <t>RUS</t>
        </is>
      </c>
      <c r="FB197" t="inlineStr">
        <is>
          <t>RUS</t>
        </is>
      </c>
      <c r="FC197" t="inlineStr">
        <is>
          <t>RUS</t>
        </is>
      </c>
      <c r="FD197" t="inlineStr">
        <is>
          <t>RUS</t>
        </is>
      </c>
      <c r="FE197" t="inlineStr">
        <is>
          <t>RUS</t>
        </is>
      </c>
      <c r="FF197" t="inlineStr">
        <is>
          <t>RUS</t>
        </is>
      </c>
      <c r="FG197" t="inlineStr">
        <is>
          <t>RUS</t>
        </is>
      </c>
      <c r="FH197" t="inlineStr">
        <is>
          <t>RUS</t>
        </is>
      </c>
      <c r="FI197" t="inlineStr">
        <is>
          <t>RUS</t>
        </is>
      </c>
      <c r="FJ197" t="inlineStr">
        <is>
          <t>RUS</t>
        </is>
      </c>
      <c r="FK197" t="inlineStr">
        <is>
          <t>RUS</t>
        </is>
      </c>
      <c r="FL197" t="inlineStr">
        <is>
          <t>RUS</t>
        </is>
      </c>
      <c r="FM197" t="inlineStr">
        <is>
          <t>RUS</t>
        </is>
      </c>
      <c r="FN197" t="inlineStr">
        <is>
          <t>RUS</t>
        </is>
      </c>
      <c r="FO197" t="inlineStr">
        <is>
          <t>RUS</t>
        </is>
      </c>
      <c r="FP197" t="inlineStr">
        <is>
          <t>RUS</t>
        </is>
      </c>
      <c r="FQ197" t="inlineStr">
        <is>
          <t>RUS</t>
        </is>
      </c>
      <c r="FR197" t="inlineStr">
        <is>
          <t>RUS</t>
        </is>
      </c>
      <c r="FS197" t="inlineStr">
        <is>
          <t>RUS</t>
        </is>
      </c>
      <c r="FT197" t="inlineStr">
        <is>
          <t>RUS</t>
        </is>
      </c>
      <c r="FU197" t="inlineStr">
        <is>
          <t>RUS</t>
        </is>
      </c>
      <c r="FV197" t="inlineStr">
        <is>
          <t>RUS</t>
        </is>
      </c>
      <c r="FW197" t="inlineStr">
        <is>
          <t>RUS</t>
        </is>
      </c>
      <c r="FX197" t="inlineStr">
        <is>
          <t>RUS</t>
        </is>
      </c>
      <c r="FY197" t="inlineStr">
        <is>
          <t>RUS</t>
        </is>
      </c>
      <c r="FZ197" t="inlineStr">
        <is>
          <t>RUS</t>
        </is>
      </c>
      <c r="GA197" t="inlineStr">
        <is>
          <t>RUS</t>
        </is>
      </c>
      <c r="GB197" t="inlineStr">
        <is>
          <t>RUS</t>
        </is>
      </c>
      <c r="GC197" t="inlineStr">
        <is>
          <t>RUS</t>
        </is>
      </c>
      <c r="GD197" t="inlineStr">
        <is>
          <t>RUS</t>
        </is>
      </c>
      <c r="GE197" t="inlineStr">
        <is>
          <t>RUS</t>
        </is>
      </c>
      <c r="GF197" t="inlineStr">
        <is>
          <t>RUS</t>
        </is>
      </c>
      <c r="GG197" t="inlineStr">
        <is>
          <t>RUS</t>
        </is>
      </c>
      <c r="GH197" t="inlineStr">
        <is>
          <t>RUS</t>
        </is>
      </c>
      <c r="GI197" t="inlineStr">
        <is>
          <t>RUS</t>
        </is>
      </c>
      <c r="GJ197" t="inlineStr">
        <is>
          <t>RUS</t>
        </is>
      </c>
      <c r="GK197" t="inlineStr">
        <is>
          <t>RUS</t>
        </is>
      </c>
      <c r="GL197" t="inlineStr">
        <is>
          <t>RUS</t>
        </is>
      </c>
      <c r="GM197" t="inlineStr">
        <is>
          <t>RUS</t>
        </is>
      </c>
      <c r="GN197" t="inlineStr">
        <is>
          <t>RUS</t>
        </is>
      </c>
      <c r="GO197" t="inlineStr">
        <is>
          <t>RUS</t>
        </is>
      </c>
      <c r="GP197" t="inlineStr">
        <is>
          <t>RUS</t>
        </is>
      </c>
      <c r="GQ197" t="inlineStr">
        <is>
          <t>RUS</t>
        </is>
      </c>
      <c r="GR197" t="inlineStr">
        <is>
          <t>RUS</t>
        </is>
      </c>
      <c r="GS197" t="inlineStr">
        <is>
          <t>RUS</t>
        </is>
      </c>
      <c r="GT197" t="inlineStr">
        <is>
          <t>RUS</t>
        </is>
      </c>
      <c r="GU197" t="inlineStr">
        <is>
          <t>RUS</t>
        </is>
      </c>
      <c r="GV197" t="inlineStr">
        <is>
          <t>RUS</t>
        </is>
      </c>
      <c r="GW197" t="inlineStr">
        <is>
          <t>RUS</t>
        </is>
      </c>
      <c r="GX197" t="inlineStr">
        <is>
          <t>RUS</t>
        </is>
      </c>
      <c r="GY197" t="inlineStr">
        <is>
          <t>RUS</t>
        </is>
      </c>
      <c r="GZ197" t="inlineStr">
        <is>
          <t>RUS</t>
        </is>
      </c>
      <c r="HA197" t="inlineStr">
        <is>
          <t>RUS</t>
        </is>
      </c>
      <c r="HB197" t="inlineStr">
        <is>
          <t>RUS</t>
        </is>
      </c>
      <c r="HC197" t="inlineStr">
        <is>
          <t>RUS</t>
        </is>
      </c>
      <c r="HD197" t="inlineStr">
        <is>
          <t>RUS</t>
        </is>
      </c>
      <c r="HE197" t="inlineStr">
        <is>
          <t>RUS</t>
        </is>
      </c>
      <c r="HF197" t="inlineStr">
        <is>
          <t>RUS</t>
        </is>
      </c>
      <c r="HG197" t="inlineStr">
        <is>
          <t>RUS</t>
        </is>
      </c>
      <c r="HH197" t="inlineStr">
        <is>
          <t>RUS</t>
        </is>
      </c>
      <c r="HI197" t="inlineStr">
        <is>
          <t>RUS</t>
        </is>
      </c>
      <c r="HJ197" t="inlineStr">
        <is>
          <t>RUS</t>
        </is>
      </c>
      <c r="HK197" t="inlineStr">
        <is>
          <t>RUS</t>
        </is>
      </c>
      <c r="HL197" t="inlineStr">
        <is>
          <t>RUS</t>
        </is>
      </c>
      <c r="HM197" t="inlineStr">
        <is>
          <t>RUS</t>
        </is>
      </c>
      <c r="HN197" t="inlineStr">
        <is>
          <t>RUS</t>
        </is>
      </c>
      <c r="HO197" t="inlineStr">
        <is>
          <t>RUS</t>
        </is>
      </c>
      <c r="HP197" t="inlineStr">
        <is>
          <t>RUS</t>
        </is>
      </c>
      <c r="HQ197" t="inlineStr">
        <is>
          <t>RUS</t>
        </is>
      </c>
      <c r="HR197" t="inlineStr">
        <is>
          <t>RUS</t>
        </is>
      </c>
      <c r="HS197" t="inlineStr">
        <is>
          <t>RUS</t>
        </is>
      </c>
      <c r="HT197" t="inlineStr">
        <is>
          <t>RUS</t>
        </is>
      </c>
      <c r="HU197" t="inlineStr">
        <is>
          <t>RUS</t>
        </is>
      </c>
      <c r="HV197" t="inlineStr">
        <is>
          <t>RUS</t>
        </is>
      </c>
      <c r="HW197" t="inlineStr">
        <is>
          <t>RUS</t>
        </is>
      </c>
      <c r="HX197" t="inlineStr">
        <is>
          <t>RUS</t>
        </is>
      </c>
      <c r="HY197" t="inlineStr">
        <is>
          <t>RUS</t>
        </is>
      </c>
      <c r="HZ197" t="inlineStr">
        <is>
          <t>RUS</t>
        </is>
      </c>
      <c r="IA197" t="inlineStr">
        <is>
          <t>RUS</t>
        </is>
      </c>
      <c r="IB197" t="inlineStr">
        <is>
          <t>RUS</t>
        </is>
      </c>
      <c r="IC197" t="inlineStr">
        <is>
          <t>RUS</t>
        </is>
      </c>
      <c r="ID197" t="inlineStr">
        <is>
          <t>RUS</t>
        </is>
      </c>
      <c r="IE197" t="inlineStr">
        <is>
          <t>RUS</t>
        </is>
      </c>
      <c r="IF197" t="inlineStr">
        <is>
          <t>RUS</t>
        </is>
      </c>
      <c r="IG197" t="inlineStr">
        <is>
          <t>RUS</t>
        </is>
      </c>
      <c r="IH197" t="inlineStr">
        <is>
          <t>RUS</t>
        </is>
      </c>
      <c r="II197" t="inlineStr">
        <is>
          <t>RUS</t>
        </is>
      </c>
      <c r="IJ197" t="inlineStr">
        <is>
          <t>RUS</t>
        </is>
      </c>
      <c r="IK197" t="inlineStr">
        <is>
          <t>RUS</t>
        </is>
      </c>
      <c r="IL197" t="inlineStr">
        <is>
          <t>RUS</t>
        </is>
      </c>
      <c r="IM197" t="inlineStr">
        <is>
          <t>RUS</t>
        </is>
      </c>
      <c r="IN197" t="inlineStr">
        <is>
          <t>RUS</t>
        </is>
      </c>
      <c r="IO197" t="inlineStr">
        <is>
          <t>RUS</t>
        </is>
      </c>
      <c r="IP197" t="inlineStr">
        <is>
          <t>RUS</t>
        </is>
      </c>
      <c r="IQ197" t="inlineStr">
        <is>
          <t>RUS</t>
        </is>
      </c>
      <c r="IR197" t="inlineStr">
        <is>
          <t>RUS</t>
        </is>
      </c>
      <c r="IS197" t="inlineStr">
        <is>
          <t>RUS</t>
        </is>
      </c>
      <c r="IT197" t="inlineStr">
        <is>
          <t>RUS</t>
        </is>
      </c>
      <c r="IU197" t="inlineStr">
        <is>
          <t>RUS</t>
        </is>
      </c>
      <c r="IV197" t="inlineStr">
        <is>
          <t>RUS</t>
        </is>
      </c>
      <c r="IW197" t="inlineStr">
        <is>
          <t>RUS</t>
        </is>
      </c>
      <c r="IX197" t="inlineStr">
        <is>
          <t>RUS</t>
        </is>
      </c>
      <c r="IY197" t="inlineStr">
        <is>
          <t>RUS</t>
        </is>
      </c>
      <c r="IZ197" t="inlineStr">
        <is>
          <t>RUS</t>
        </is>
      </c>
      <c r="JA197" t="inlineStr">
        <is>
          <t>RUS</t>
        </is>
      </c>
      <c r="JB197" t="inlineStr">
        <is>
          <t>RUS</t>
        </is>
      </c>
      <c r="JC197" t="inlineStr">
        <is>
          <t>RUS</t>
        </is>
      </c>
      <c r="JD197" t="inlineStr">
        <is>
          <t>RUS</t>
        </is>
      </c>
      <c r="JE197" t="inlineStr">
        <is>
          <t>RUS</t>
        </is>
      </c>
      <c r="JF197" t="inlineStr">
        <is>
          <t>RUS</t>
        </is>
      </c>
      <c r="JG197" t="inlineStr">
        <is>
          <t>RUS</t>
        </is>
      </c>
      <c r="JH197" t="inlineStr">
        <is>
          <t>RUS</t>
        </is>
      </c>
      <c r="JI197" t="inlineStr">
        <is>
          <t>RUS</t>
        </is>
      </c>
      <c r="JJ197" t="inlineStr">
        <is>
          <t>RUS</t>
        </is>
      </c>
      <c r="JK197" t="inlineStr">
        <is>
          <t>RUS</t>
        </is>
      </c>
      <c r="JL197" t="inlineStr">
        <is>
          <t>RUS</t>
        </is>
      </c>
      <c r="JM197" t="inlineStr">
        <is>
          <t>RUS</t>
        </is>
      </c>
      <c r="JN197" t="inlineStr">
        <is>
          <t>RUS</t>
        </is>
      </c>
      <c r="JO197" t="inlineStr">
        <is>
          <t>RUS</t>
        </is>
      </c>
      <c r="JP197" t="inlineStr">
        <is>
          <t>RUS</t>
        </is>
      </c>
      <c r="JQ197" t="inlineStr">
        <is>
          <t>RUS</t>
        </is>
      </c>
      <c r="JR197" t="inlineStr">
        <is>
          <t>RUS</t>
        </is>
      </c>
      <c r="JS197" t="inlineStr">
        <is>
          <t>RUS</t>
        </is>
      </c>
      <c r="JT197" t="inlineStr">
        <is>
          <t>RUS</t>
        </is>
      </c>
      <c r="JU197" t="inlineStr">
        <is>
          <t>RUS</t>
        </is>
      </c>
    </row>
    <row r="198">
      <c r="AY198" t="inlineStr">
        <is>
          <t>GBR</t>
        </is>
      </c>
      <c r="AZ198" t="inlineStr">
        <is>
          <t>GBR</t>
        </is>
      </c>
      <c r="BA198" t="inlineStr">
        <is>
          <t>GBR</t>
        </is>
      </c>
      <c r="BB198" t="inlineStr">
        <is>
          <t>GBR</t>
        </is>
      </c>
      <c r="BW198" t="inlineStr">
        <is>
          <t>NOR</t>
        </is>
      </c>
      <c r="BX198" t="inlineStr">
        <is>
          <t>NOR</t>
        </is>
      </c>
      <c r="BY198" t="inlineStr">
        <is>
          <t>NOR</t>
        </is>
      </c>
      <c r="CG198" t="inlineStr">
        <is>
          <t>SWE</t>
        </is>
      </c>
      <c r="CH198" t="inlineStr">
        <is>
          <t>SWE</t>
        </is>
      </c>
      <c r="CI198" t="inlineStr">
        <is>
          <t>SWE</t>
        </is>
      </c>
      <c r="CJ198" t="inlineStr">
        <is>
          <t>SWE</t>
        </is>
      </c>
      <c r="CK198" t="inlineStr">
        <is>
          <t>SWE</t>
        </is>
      </c>
      <c r="CL198" t="inlineStr">
        <is>
          <t>SWE</t>
        </is>
      </c>
      <c r="CM198" t="inlineStr">
        <is>
          <t>SWE</t>
        </is>
      </c>
      <c r="CN198" t="inlineStr">
        <is>
          <t>SWE</t>
        </is>
      </c>
      <c r="CO198" t="inlineStr">
        <is>
          <t>SWE</t>
        </is>
      </c>
      <c r="CP198" t="inlineStr">
        <is>
          <t>SWE</t>
        </is>
      </c>
      <c r="DG198" t="inlineStr">
        <is>
          <t>EST</t>
        </is>
      </c>
      <c r="DH198" t="inlineStr">
        <is>
          <t>EST</t>
        </is>
      </c>
      <c r="DI198" t="inlineStr">
        <is>
          <t>EST</t>
        </is>
      </c>
      <c r="DJ198" t="inlineStr">
        <is>
          <t>EST</t>
        </is>
      </c>
      <c r="DK198" t="inlineStr">
        <is>
          <t>EST</t>
        </is>
      </c>
      <c r="DL198" t="inlineStr">
        <is>
          <t>EST</t>
        </is>
      </c>
      <c r="DM198" t="inlineStr">
        <is>
          <t>RUS</t>
        </is>
      </c>
      <c r="DN198" t="inlineStr">
        <is>
          <t>RUS</t>
        </is>
      </c>
      <c r="DO198" t="inlineStr">
        <is>
          <t>RUS</t>
        </is>
      </c>
      <c r="DP198" t="inlineStr">
        <is>
          <t>RUS</t>
        </is>
      </c>
      <c r="DQ198" t="inlineStr">
        <is>
          <t>RUS</t>
        </is>
      </c>
      <c r="DR198" t="inlineStr">
        <is>
          <t>RUS</t>
        </is>
      </c>
      <c r="DS198" t="inlineStr">
        <is>
          <t>RUS</t>
        </is>
      </c>
      <c r="DT198" t="inlineStr">
        <is>
          <t>RUS</t>
        </is>
      </c>
      <c r="DU198" t="inlineStr">
        <is>
          <t>RUS</t>
        </is>
      </c>
      <c r="DV198" t="inlineStr">
        <is>
          <t>RUS</t>
        </is>
      </c>
      <c r="DW198" t="inlineStr">
        <is>
          <t>RUS</t>
        </is>
      </c>
      <c r="DX198" t="inlineStr">
        <is>
          <t>RUS</t>
        </is>
      </c>
      <c r="DY198" t="inlineStr">
        <is>
          <t>RUS</t>
        </is>
      </c>
      <c r="DZ198" t="inlineStr">
        <is>
          <t>RUS</t>
        </is>
      </c>
      <c r="EA198" t="inlineStr">
        <is>
          <t>RUS</t>
        </is>
      </c>
      <c r="EB198" t="inlineStr">
        <is>
          <t>RUS</t>
        </is>
      </c>
      <c r="EC198" t="inlineStr">
        <is>
          <t>RUS</t>
        </is>
      </c>
      <c r="ED198" t="inlineStr">
        <is>
          <t>RUS</t>
        </is>
      </c>
      <c r="EE198" t="inlineStr">
        <is>
          <t>RUS</t>
        </is>
      </c>
      <c r="EF198" t="inlineStr">
        <is>
          <t>RUS</t>
        </is>
      </c>
      <c r="EG198" t="inlineStr">
        <is>
          <t>RUS</t>
        </is>
      </c>
      <c r="EH198" t="inlineStr">
        <is>
          <t>RUS</t>
        </is>
      </c>
      <c r="EI198" t="inlineStr">
        <is>
          <t>RUS</t>
        </is>
      </c>
      <c r="EJ198" t="inlineStr">
        <is>
          <t>RUS</t>
        </is>
      </c>
      <c r="EK198" t="inlineStr">
        <is>
          <t>RUS</t>
        </is>
      </c>
      <c r="EL198" t="inlineStr">
        <is>
          <t>RUS</t>
        </is>
      </c>
      <c r="EM198" t="inlineStr">
        <is>
          <t>RUS</t>
        </is>
      </c>
      <c r="EN198" t="inlineStr">
        <is>
          <t>RUS</t>
        </is>
      </c>
      <c r="EO198" t="inlineStr">
        <is>
          <t>RUS</t>
        </is>
      </c>
      <c r="EP198" t="inlineStr">
        <is>
          <t>RUS</t>
        </is>
      </c>
      <c r="EQ198" t="inlineStr">
        <is>
          <t>RUS</t>
        </is>
      </c>
      <c r="ER198" t="inlineStr">
        <is>
          <t>RUS</t>
        </is>
      </c>
      <c r="ES198" t="inlineStr">
        <is>
          <t>RUS</t>
        </is>
      </c>
      <c r="ET198" t="inlineStr">
        <is>
          <t>RUS</t>
        </is>
      </c>
      <c r="EU198" t="inlineStr">
        <is>
          <t>RUS</t>
        </is>
      </c>
      <c r="EV198" t="inlineStr">
        <is>
          <t>RUS</t>
        </is>
      </c>
      <c r="EW198" t="inlineStr">
        <is>
          <t>RUS</t>
        </is>
      </c>
      <c r="EX198" t="inlineStr">
        <is>
          <t>RUS</t>
        </is>
      </c>
      <c r="EY198" t="inlineStr">
        <is>
          <t>RUS</t>
        </is>
      </c>
      <c r="EZ198" t="inlineStr">
        <is>
          <t>RUS</t>
        </is>
      </c>
      <c r="FA198" t="inlineStr">
        <is>
          <t>RUS</t>
        </is>
      </c>
      <c r="FB198" t="inlineStr">
        <is>
          <t>RUS</t>
        </is>
      </c>
      <c r="FC198" t="inlineStr">
        <is>
          <t>RUS</t>
        </is>
      </c>
      <c r="FD198" t="inlineStr">
        <is>
          <t>RUS</t>
        </is>
      </c>
      <c r="FE198" t="inlineStr">
        <is>
          <t>RUS</t>
        </is>
      </c>
      <c r="FF198" t="inlineStr">
        <is>
          <t>RUS</t>
        </is>
      </c>
      <c r="FG198" t="inlineStr">
        <is>
          <t>RUS</t>
        </is>
      </c>
      <c r="FH198" t="inlineStr">
        <is>
          <t>RUS</t>
        </is>
      </c>
      <c r="FI198" t="inlineStr">
        <is>
          <t>RUS</t>
        </is>
      </c>
      <c r="FJ198" t="inlineStr">
        <is>
          <t>RUS</t>
        </is>
      </c>
      <c r="FK198" t="inlineStr">
        <is>
          <t>RUS</t>
        </is>
      </c>
      <c r="FL198" t="inlineStr">
        <is>
          <t>RUS</t>
        </is>
      </c>
      <c r="FM198" t="inlineStr">
        <is>
          <t>RUS</t>
        </is>
      </c>
      <c r="FN198" t="inlineStr">
        <is>
          <t>RUS</t>
        </is>
      </c>
      <c r="FO198" t="inlineStr">
        <is>
          <t>RUS</t>
        </is>
      </c>
      <c r="FP198" t="inlineStr">
        <is>
          <t>RUS</t>
        </is>
      </c>
      <c r="FQ198" t="inlineStr">
        <is>
          <t>RUS</t>
        </is>
      </c>
      <c r="FR198" t="inlineStr">
        <is>
          <t>RUS</t>
        </is>
      </c>
      <c r="FS198" t="inlineStr">
        <is>
          <t>RUS</t>
        </is>
      </c>
      <c r="FT198" t="inlineStr">
        <is>
          <t>RUS</t>
        </is>
      </c>
      <c r="FU198" t="inlineStr">
        <is>
          <t>RUS</t>
        </is>
      </c>
      <c r="FV198" t="inlineStr">
        <is>
          <t>RUS</t>
        </is>
      </c>
      <c r="FW198" t="inlineStr">
        <is>
          <t>RUS</t>
        </is>
      </c>
      <c r="FX198" t="inlineStr">
        <is>
          <t>RUS</t>
        </is>
      </c>
      <c r="FY198" t="inlineStr">
        <is>
          <t>RUS</t>
        </is>
      </c>
      <c r="FZ198" t="inlineStr">
        <is>
          <t>RUS</t>
        </is>
      </c>
      <c r="GA198" t="inlineStr">
        <is>
          <t>RUS</t>
        </is>
      </c>
      <c r="GB198" t="inlineStr">
        <is>
          <t>RUS</t>
        </is>
      </c>
      <c r="GC198" t="inlineStr">
        <is>
          <t>RUS</t>
        </is>
      </c>
      <c r="GD198" t="inlineStr">
        <is>
          <t>RUS</t>
        </is>
      </c>
      <c r="GE198" t="inlineStr">
        <is>
          <t>RUS</t>
        </is>
      </c>
      <c r="GF198" t="inlineStr">
        <is>
          <t>RUS</t>
        </is>
      </c>
      <c r="GG198" t="inlineStr">
        <is>
          <t>RUS</t>
        </is>
      </c>
      <c r="GH198" t="inlineStr">
        <is>
          <t>RUS</t>
        </is>
      </c>
      <c r="GI198" t="inlineStr">
        <is>
          <t>RUS</t>
        </is>
      </c>
      <c r="GJ198" t="inlineStr">
        <is>
          <t>RUS</t>
        </is>
      </c>
      <c r="GK198" t="inlineStr">
        <is>
          <t>RUS</t>
        </is>
      </c>
      <c r="GL198" t="inlineStr">
        <is>
          <t>RUS</t>
        </is>
      </c>
      <c r="GM198" t="inlineStr">
        <is>
          <t>RUS</t>
        </is>
      </c>
      <c r="GN198" t="inlineStr">
        <is>
          <t>RUS</t>
        </is>
      </c>
      <c r="GO198" t="inlineStr">
        <is>
          <t>RUS</t>
        </is>
      </c>
      <c r="GP198" t="inlineStr">
        <is>
          <t>RUS</t>
        </is>
      </c>
      <c r="GQ198" t="inlineStr">
        <is>
          <t>RUS</t>
        </is>
      </c>
      <c r="GR198" t="inlineStr">
        <is>
          <t>RUS</t>
        </is>
      </c>
      <c r="GS198" t="inlineStr">
        <is>
          <t>RUS</t>
        </is>
      </c>
      <c r="GT198" t="inlineStr">
        <is>
          <t>RUS</t>
        </is>
      </c>
      <c r="GU198" t="inlineStr">
        <is>
          <t>RUS</t>
        </is>
      </c>
      <c r="GV198" t="inlineStr">
        <is>
          <t>RUS</t>
        </is>
      </c>
      <c r="GW198" t="inlineStr">
        <is>
          <t>RUS</t>
        </is>
      </c>
      <c r="GX198" t="inlineStr">
        <is>
          <t>RUS</t>
        </is>
      </c>
      <c r="GY198" t="inlineStr">
        <is>
          <t>RUS</t>
        </is>
      </c>
      <c r="GZ198" t="inlineStr">
        <is>
          <t>RUS</t>
        </is>
      </c>
      <c r="HA198" t="inlineStr">
        <is>
          <t>RUS</t>
        </is>
      </c>
      <c r="HB198" t="inlineStr">
        <is>
          <t>RUS</t>
        </is>
      </c>
      <c r="HC198" t="inlineStr">
        <is>
          <t>RUS</t>
        </is>
      </c>
      <c r="HD198" t="inlineStr">
        <is>
          <t>RUS</t>
        </is>
      </c>
      <c r="HE198" t="inlineStr">
        <is>
          <t>RUS</t>
        </is>
      </c>
      <c r="HF198" t="inlineStr">
        <is>
          <t>RUS</t>
        </is>
      </c>
      <c r="HG198" t="inlineStr">
        <is>
          <t>RUS</t>
        </is>
      </c>
      <c r="HH198" t="inlineStr">
        <is>
          <t>RUS</t>
        </is>
      </c>
      <c r="HI198" t="inlineStr">
        <is>
          <t>RUS</t>
        </is>
      </c>
      <c r="HJ198" t="inlineStr">
        <is>
          <t>RUS</t>
        </is>
      </c>
      <c r="HK198" t="inlineStr">
        <is>
          <t>RUS</t>
        </is>
      </c>
      <c r="HL198" t="inlineStr">
        <is>
          <t>RUS</t>
        </is>
      </c>
      <c r="HM198" t="inlineStr">
        <is>
          <t>RUS</t>
        </is>
      </c>
      <c r="HN198" t="inlineStr">
        <is>
          <t>RUS</t>
        </is>
      </c>
      <c r="HO198" t="inlineStr">
        <is>
          <t>RUS</t>
        </is>
      </c>
      <c r="HP198" t="inlineStr">
        <is>
          <t>RUS</t>
        </is>
      </c>
      <c r="HQ198" t="inlineStr">
        <is>
          <t>RUS</t>
        </is>
      </c>
      <c r="HR198" t="inlineStr">
        <is>
          <t>RUS</t>
        </is>
      </c>
      <c r="HS198" t="inlineStr">
        <is>
          <t>RUS</t>
        </is>
      </c>
      <c r="HT198" t="inlineStr">
        <is>
          <t>RUS</t>
        </is>
      </c>
      <c r="HU198" t="inlineStr">
        <is>
          <t>RUS</t>
        </is>
      </c>
      <c r="HV198" t="inlineStr">
        <is>
          <t>RUS</t>
        </is>
      </c>
      <c r="HW198" t="inlineStr">
        <is>
          <t>RUS</t>
        </is>
      </c>
      <c r="HX198" t="inlineStr">
        <is>
          <t>RUS</t>
        </is>
      </c>
      <c r="HY198" t="inlineStr">
        <is>
          <t>RUS</t>
        </is>
      </c>
      <c r="HZ198" t="inlineStr">
        <is>
          <t>RUS</t>
        </is>
      </c>
      <c r="IA198" t="inlineStr">
        <is>
          <t>RUS</t>
        </is>
      </c>
      <c r="IB198" t="inlineStr">
        <is>
          <t>RUS</t>
        </is>
      </c>
      <c r="IC198" t="inlineStr">
        <is>
          <t>RUS</t>
        </is>
      </c>
      <c r="ID198" t="inlineStr">
        <is>
          <t>RUS</t>
        </is>
      </c>
      <c r="IE198" t="inlineStr">
        <is>
          <t>RUS</t>
        </is>
      </c>
      <c r="IF198" t="inlineStr">
        <is>
          <t>RUS</t>
        </is>
      </c>
      <c r="IG198" t="inlineStr">
        <is>
          <t>RUS</t>
        </is>
      </c>
      <c r="IH198" t="inlineStr">
        <is>
          <t>RUS</t>
        </is>
      </c>
      <c r="II198" t="inlineStr">
        <is>
          <t>RUS</t>
        </is>
      </c>
      <c r="IJ198" t="inlineStr">
        <is>
          <t>RUS</t>
        </is>
      </c>
      <c r="IK198" t="inlineStr">
        <is>
          <t>RUS</t>
        </is>
      </c>
      <c r="IL198" t="inlineStr">
        <is>
          <t>RUS</t>
        </is>
      </c>
      <c r="IM198" t="inlineStr">
        <is>
          <t>RUS</t>
        </is>
      </c>
      <c r="IN198" t="inlineStr">
        <is>
          <t>RUS</t>
        </is>
      </c>
      <c r="IO198" t="inlineStr">
        <is>
          <t>RUS</t>
        </is>
      </c>
      <c r="IP198" t="inlineStr">
        <is>
          <t>RUS</t>
        </is>
      </c>
      <c r="IQ198" t="inlineStr">
        <is>
          <t>RUS</t>
        </is>
      </c>
      <c r="IR198" t="inlineStr">
        <is>
          <t>RUS</t>
        </is>
      </c>
      <c r="IS198" t="inlineStr">
        <is>
          <t>RUS</t>
        </is>
      </c>
      <c r="IT198" t="inlineStr">
        <is>
          <t>RUS</t>
        </is>
      </c>
      <c r="IU198" t="inlineStr">
        <is>
          <t>RUS</t>
        </is>
      </c>
      <c r="IV198" t="inlineStr">
        <is>
          <t>RUS</t>
        </is>
      </c>
      <c r="IW198" t="inlineStr">
        <is>
          <t>RUS</t>
        </is>
      </c>
      <c r="IX198" t="inlineStr">
        <is>
          <t>RUS</t>
        </is>
      </c>
      <c r="IY198" t="inlineStr">
        <is>
          <t>RUS</t>
        </is>
      </c>
      <c r="IZ198" t="inlineStr">
        <is>
          <t>RUS</t>
        </is>
      </c>
      <c r="JA198" t="inlineStr">
        <is>
          <t>RUS</t>
        </is>
      </c>
      <c r="JB198" t="inlineStr">
        <is>
          <t>RUS</t>
        </is>
      </c>
      <c r="JC198" t="inlineStr">
        <is>
          <t>RUS</t>
        </is>
      </c>
      <c r="JD198" t="inlineStr">
        <is>
          <t>RUS</t>
        </is>
      </c>
      <c r="JE198" t="inlineStr">
        <is>
          <t>RUS</t>
        </is>
      </c>
      <c r="JF198" t="inlineStr">
        <is>
          <t>RUS</t>
        </is>
      </c>
      <c r="JG198" t="inlineStr">
        <is>
          <t>RUS</t>
        </is>
      </c>
      <c r="JH198" t="inlineStr">
        <is>
          <t>RUS</t>
        </is>
      </c>
      <c r="JI198" t="inlineStr">
        <is>
          <t>RUS</t>
        </is>
      </c>
      <c r="JJ198" t="inlineStr">
        <is>
          <t>RUS</t>
        </is>
      </c>
      <c r="JK198" t="inlineStr">
        <is>
          <t>RUS</t>
        </is>
      </c>
      <c r="JL198" t="inlineStr">
        <is>
          <t>RUS</t>
        </is>
      </c>
      <c r="JM198" t="inlineStr">
        <is>
          <t>RUS</t>
        </is>
      </c>
      <c r="JN198" t="inlineStr">
        <is>
          <t>RUS</t>
        </is>
      </c>
      <c r="JO198" t="inlineStr">
        <is>
          <t>RUS</t>
        </is>
      </c>
      <c r="JP198" t="inlineStr">
        <is>
          <t>RUS</t>
        </is>
      </c>
      <c r="JQ198" t="inlineStr">
        <is>
          <t>RUS</t>
        </is>
      </c>
      <c r="JR198" t="inlineStr">
        <is>
          <t>RUS</t>
        </is>
      </c>
      <c r="JS198" t="inlineStr">
        <is>
          <t>RUS</t>
        </is>
      </c>
      <c r="JT198" t="inlineStr">
        <is>
          <t>RUS</t>
        </is>
      </c>
      <c r="JU198" t="inlineStr">
        <is>
          <t>RUS</t>
        </is>
      </c>
    </row>
    <row r="199">
      <c r="BU199" t="inlineStr">
        <is>
          <t>NOR</t>
        </is>
      </c>
      <c r="BV199" t="inlineStr">
        <is>
          <t>NOR</t>
        </is>
      </c>
      <c r="BW199" t="inlineStr">
        <is>
          <t>NOR</t>
        </is>
      </c>
      <c r="BX199" t="inlineStr">
        <is>
          <t>NOR</t>
        </is>
      </c>
      <c r="BY199" t="inlineStr">
        <is>
          <t>NOR</t>
        </is>
      </c>
      <c r="BZ199" t="inlineStr">
        <is>
          <t>NOR</t>
        </is>
      </c>
      <c r="CA199" t="inlineStr">
        <is>
          <t>NOR</t>
        </is>
      </c>
      <c r="CF199" t="inlineStr">
        <is>
          <t>SWE</t>
        </is>
      </c>
      <c r="CG199" t="inlineStr">
        <is>
          <t>SWE</t>
        </is>
      </c>
      <c r="CH199" t="inlineStr">
        <is>
          <t>SWE</t>
        </is>
      </c>
      <c r="CI199" t="inlineStr">
        <is>
          <t>SWE</t>
        </is>
      </c>
      <c r="CJ199" t="inlineStr">
        <is>
          <t>SWE</t>
        </is>
      </c>
      <c r="CK199" t="inlineStr">
        <is>
          <t>SWE</t>
        </is>
      </c>
      <c r="CL199" t="inlineStr">
        <is>
          <t>SWE</t>
        </is>
      </c>
      <c r="CM199" t="inlineStr">
        <is>
          <t>SWE</t>
        </is>
      </c>
      <c r="CN199" t="inlineStr">
        <is>
          <t>SWE</t>
        </is>
      </c>
      <c r="CO199" t="inlineStr">
        <is>
          <t>SWE</t>
        </is>
      </c>
      <c r="CP199" t="inlineStr">
        <is>
          <t>SWE</t>
        </is>
      </c>
      <c r="CQ199" t="inlineStr">
        <is>
          <t>SWE</t>
        </is>
      </c>
      <c r="DE199" t="inlineStr">
        <is>
          <t>EST</t>
        </is>
      </c>
      <c r="DF199" t="inlineStr">
        <is>
          <t>EST</t>
        </is>
      </c>
      <c r="DG199" t="inlineStr">
        <is>
          <t>EST</t>
        </is>
      </c>
      <c r="DH199" t="inlineStr">
        <is>
          <t>EST</t>
        </is>
      </c>
      <c r="DI199" t="inlineStr">
        <is>
          <t>EST</t>
        </is>
      </c>
      <c r="DJ199" t="inlineStr">
        <is>
          <t>EST</t>
        </is>
      </c>
      <c r="DK199" t="inlineStr">
        <is>
          <t>EST</t>
        </is>
      </c>
      <c r="DL199" t="inlineStr">
        <is>
          <t>EST</t>
        </is>
      </c>
      <c r="DM199" t="inlineStr">
        <is>
          <t>RUS</t>
        </is>
      </c>
      <c r="DN199" t="inlineStr">
        <is>
          <t>RUS</t>
        </is>
      </c>
      <c r="DO199" t="inlineStr">
        <is>
          <t>RUS</t>
        </is>
      </c>
      <c r="DP199" t="inlineStr">
        <is>
          <t>RUS</t>
        </is>
      </c>
      <c r="DQ199" t="inlineStr">
        <is>
          <t>RUS</t>
        </is>
      </c>
      <c r="DR199" t="inlineStr">
        <is>
          <t>RUS</t>
        </is>
      </c>
      <c r="DS199" t="inlineStr">
        <is>
          <t>RUS</t>
        </is>
      </c>
      <c r="DT199" t="inlineStr">
        <is>
          <t>RUS</t>
        </is>
      </c>
      <c r="DU199" t="inlineStr">
        <is>
          <t>RUS</t>
        </is>
      </c>
      <c r="DV199" t="inlineStr">
        <is>
          <t>RUS</t>
        </is>
      </c>
      <c r="DW199" t="inlineStr">
        <is>
          <t>RUS</t>
        </is>
      </c>
      <c r="DX199" t="inlineStr">
        <is>
          <t>RUS</t>
        </is>
      </c>
      <c r="DY199" t="inlineStr">
        <is>
          <t>RUS</t>
        </is>
      </c>
      <c r="DZ199" t="inlineStr">
        <is>
          <t>RUS</t>
        </is>
      </c>
      <c r="EA199" t="inlineStr">
        <is>
          <t>RUS</t>
        </is>
      </c>
      <c r="EB199" t="inlineStr">
        <is>
          <t>RUS</t>
        </is>
      </c>
      <c r="EC199" t="inlineStr">
        <is>
          <t>RUS</t>
        </is>
      </c>
      <c r="ED199" t="inlineStr">
        <is>
          <t>RUS</t>
        </is>
      </c>
      <c r="EE199" t="inlineStr">
        <is>
          <t>RUS</t>
        </is>
      </c>
      <c r="EF199" t="inlineStr">
        <is>
          <t>RUS</t>
        </is>
      </c>
      <c r="EG199" t="inlineStr">
        <is>
          <t>RUS</t>
        </is>
      </c>
      <c r="EH199" t="inlineStr">
        <is>
          <t>RUS</t>
        </is>
      </c>
      <c r="EI199" t="inlineStr">
        <is>
          <t>RUS</t>
        </is>
      </c>
      <c r="EJ199" t="inlineStr">
        <is>
          <t>RUS</t>
        </is>
      </c>
      <c r="EK199" t="inlineStr">
        <is>
          <t>RUS</t>
        </is>
      </c>
      <c r="EL199" t="inlineStr">
        <is>
          <t>RUS</t>
        </is>
      </c>
      <c r="EM199" t="inlineStr">
        <is>
          <t>RUS</t>
        </is>
      </c>
      <c r="EN199" t="inlineStr">
        <is>
          <t>RUS</t>
        </is>
      </c>
      <c r="EO199" t="inlineStr">
        <is>
          <t>RUS</t>
        </is>
      </c>
      <c r="EP199" t="inlineStr">
        <is>
          <t>RUS</t>
        </is>
      </c>
      <c r="EQ199" t="inlineStr">
        <is>
          <t>RUS</t>
        </is>
      </c>
      <c r="ER199" t="inlineStr">
        <is>
          <t>RUS</t>
        </is>
      </c>
      <c r="ES199" t="inlineStr">
        <is>
          <t>RUS</t>
        </is>
      </c>
      <c r="ET199" t="inlineStr">
        <is>
          <t>RUS</t>
        </is>
      </c>
      <c r="EU199" t="inlineStr">
        <is>
          <t>RUS</t>
        </is>
      </c>
      <c r="EV199" t="inlineStr">
        <is>
          <t>RUS</t>
        </is>
      </c>
      <c r="EW199" t="inlineStr">
        <is>
          <t>RUS</t>
        </is>
      </c>
      <c r="EX199" t="inlineStr">
        <is>
          <t>RUS</t>
        </is>
      </c>
      <c r="EY199" t="inlineStr">
        <is>
          <t>RUS</t>
        </is>
      </c>
      <c r="EZ199" t="inlineStr">
        <is>
          <t>RUS</t>
        </is>
      </c>
      <c r="FA199" t="inlineStr">
        <is>
          <t>RUS</t>
        </is>
      </c>
      <c r="FB199" t="inlineStr">
        <is>
          <t>RUS</t>
        </is>
      </c>
      <c r="FC199" t="inlineStr">
        <is>
          <t>RUS</t>
        </is>
      </c>
      <c r="FD199" t="inlineStr">
        <is>
          <t>RUS</t>
        </is>
      </c>
      <c r="FE199" t="inlineStr">
        <is>
          <t>RUS</t>
        </is>
      </c>
      <c r="FF199" t="inlineStr">
        <is>
          <t>RUS</t>
        </is>
      </c>
      <c r="FG199" t="inlineStr">
        <is>
          <t>RUS</t>
        </is>
      </c>
      <c r="FH199" t="inlineStr">
        <is>
          <t>RUS</t>
        </is>
      </c>
      <c r="FI199" t="inlineStr">
        <is>
          <t>RUS</t>
        </is>
      </c>
      <c r="FJ199" t="inlineStr">
        <is>
          <t>RUS</t>
        </is>
      </c>
      <c r="FK199" t="inlineStr">
        <is>
          <t>RUS</t>
        </is>
      </c>
      <c r="FL199" t="inlineStr">
        <is>
          <t>RUS</t>
        </is>
      </c>
      <c r="FM199" t="inlineStr">
        <is>
          <t>RUS</t>
        </is>
      </c>
      <c r="FN199" t="inlineStr">
        <is>
          <t>RUS</t>
        </is>
      </c>
      <c r="FO199" t="inlineStr">
        <is>
          <t>RUS</t>
        </is>
      </c>
      <c r="FP199" t="inlineStr">
        <is>
          <t>RUS</t>
        </is>
      </c>
      <c r="FQ199" t="inlineStr">
        <is>
          <t>RUS</t>
        </is>
      </c>
      <c r="FR199" t="inlineStr">
        <is>
          <t>RUS</t>
        </is>
      </c>
      <c r="FS199" t="inlineStr">
        <is>
          <t>RUS</t>
        </is>
      </c>
      <c r="FT199" t="inlineStr">
        <is>
          <t>RUS</t>
        </is>
      </c>
      <c r="FU199" t="inlineStr">
        <is>
          <t>RUS</t>
        </is>
      </c>
      <c r="FV199" t="inlineStr">
        <is>
          <t>RUS</t>
        </is>
      </c>
      <c r="FW199" t="inlineStr">
        <is>
          <t>RUS</t>
        </is>
      </c>
      <c r="FX199" t="inlineStr">
        <is>
          <t>RUS</t>
        </is>
      </c>
      <c r="FY199" t="inlineStr">
        <is>
          <t>RUS</t>
        </is>
      </c>
      <c r="FZ199" t="inlineStr">
        <is>
          <t>RUS</t>
        </is>
      </c>
      <c r="GA199" t="inlineStr">
        <is>
          <t>RUS</t>
        </is>
      </c>
      <c r="GB199" t="inlineStr">
        <is>
          <t>RUS</t>
        </is>
      </c>
      <c r="GC199" t="inlineStr">
        <is>
          <t>RUS</t>
        </is>
      </c>
      <c r="GD199" t="inlineStr">
        <is>
          <t>RUS</t>
        </is>
      </c>
      <c r="GE199" t="inlineStr">
        <is>
          <t>RUS</t>
        </is>
      </c>
      <c r="GF199" t="inlineStr">
        <is>
          <t>RUS</t>
        </is>
      </c>
      <c r="GG199" t="inlineStr">
        <is>
          <t>RUS</t>
        </is>
      </c>
      <c r="GH199" t="inlineStr">
        <is>
          <t>RUS</t>
        </is>
      </c>
      <c r="GI199" t="inlineStr">
        <is>
          <t>RUS</t>
        </is>
      </c>
      <c r="GJ199" t="inlineStr">
        <is>
          <t>RUS</t>
        </is>
      </c>
      <c r="GK199" t="inlineStr">
        <is>
          <t>RUS</t>
        </is>
      </c>
      <c r="GL199" t="inlineStr">
        <is>
          <t>RUS</t>
        </is>
      </c>
      <c r="GM199" t="inlineStr">
        <is>
          <t>RUS</t>
        </is>
      </c>
      <c r="GN199" t="inlineStr">
        <is>
          <t>RUS</t>
        </is>
      </c>
      <c r="GO199" t="inlineStr">
        <is>
          <t>RUS</t>
        </is>
      </c>
      <c r="GP199" t="inlineStr">
        <is>
          <t>RUS</t>
        </is>
      </c>
      <c r="GQ199" t="inlineStr">
        <is>
          <t>RUS</t>
        </is>
      </c>
      <c r="GR199" t="inlineStr">
        <is>
          <t>RUS</t>
        </is>
      </c>
      <c r="GS199" t="inlineStr">
        <is>
          <t>RUS</t>
        </is>
      </c>
      <c r="GT199" t="inlineStr">
        <is>
          <t>RUS</t>
        </is>
      </c>
      <c r="GU199" t="inlineStr">
        <is>
          <t>RUS</t>
        </is>
      </c>
      <c r="GV199" t="inlineStr">
        <is>
          <t>RUS</t>
        </is>
      </c>
      <c r="GW199" t="inlineStr">
        <is>
          <t>RUS</t>
        </is>
      </c>
      <c r="GX199" t="inlineStr">
        <is>
          <t>RUS</t>
        </is>
      </c>
      <c r="GY199" t="inlineStr">
        <is>
          <t>RUS</t>
        </is>
      </c>
      <c r="GZ199" t="inlineStr">
        <is>
          <t>RUS</t>
        </is>
      </c>
      <c r="HA199" t="inlineStr">
        <is>
          <t>RUS</t>
        </is>
      </c>
      <c r="HB199" t="inlineStr">
        <is>
          <t>RUS</t>
        </is>
      </c>
      <c r="HC199" t="inlineStr">
        <is>
          <t>RUS</t>
        </is>
      </c>
      <c r="HD199" t="inlineStr">
        <is>
          <t>RUS</t>
        </is>
      </c>
      <c r="HE199" t="inlineStr">
        <is>
          <t>RUS</t>
        </is>
      </c>
      <c r="HF199" t="inlineStr">
        <is>
          <t>RUS</t>
        </is>
      </c>
      <c r="HG199" t="inlineStr">
        <is>
          <t>RUS</t>
        </is>
      </c>
      <c r="HH199" t="inlineStr">
        <is>
          <t>RUS</t>
        </is>
      </c>
      <c r="HI199" t="inlineStr">
        <is>
          <t>RUS</t>
        </is>
      </c>
      <c r="HJ199" t="inlineStr">
        <is>
          <t>RUS</t>
        </is>
      </c>
      <c r="HK199" t="inlineStr">
        <is>
          <t>RUS</t>
        </is>
      </c>
      <c r="HL199" t="inlineStr">
        <is>
          <t>RUS</t>
        </is>
      </c>
      <c r="HM199" t="inlineStr">
        <is>
          <t>RUS</t>
        </is>
      </c>
      <c r="HN199" t="inlineStr">
        <is>
          <t>RUS</t>
        </is>
      </c>
      <c r="HO199" t="inlineStr">
        <is>
          <t>RUS</t>
        </is>
      </c>
      <c r="HP199" t="inlineStr">
        <is>
          <t>RUS</t>
        </is>
      </c>
      <c r="HQ199" t="inlineStr">
        <is>
          <t>RUS</t>
        </is>
      </c>
      <c r="HR199" t="inlineStr">
        <is>
          <t>RUS</t>
        </is>
      </c>
      <c r="HS199" t="inlineStr">
        <is>
          <t>RUS</t>
        </is>
      </c>
      <c r="HT199" t="inlineStr">
        <is>
          <t>RUS</t>
        </is>
      </c>
      <c r="HU199" t="inlineStr">
        <is>
          <t>RUS</t>
        </is>
      </c>
      <c r="HV199" t="inlineStr">
        <is>
          <t>RUS</t>
        </is>
      </c>
      <c r="HW199" t="inlineStr">
        <is>
          <t>RUS</t>
        </is>
      </c>
      <c r="HX199" t="inlineStr">
        <is>
          <t>RUS</t>
        </is>
      </c>
      <c r="HY199" t="inlineStr">
        <is>
          <t>RUS</t>
        </is>
      </c>
      <c r="HZ199" t="inlineStr">
        <is>
          <t>RUS</t>
        </is>
      </c>
      <c r="IA199" t="inlineStr">
        <is>
          <t>RUS</t>
        </is>
      </c>
      <c r="IB199" t="inlineStr">
        <is>
          <t>RUS</t>
        </is>
      </c>
      <c r="IC199" t="inlineStr">
        <is>
          <t>RUS</t>
        </is>
      </c>
      <c r="ID199" t="inlineStr">
        <is>
          <t>RUS</t>
        </is>
      </c>
      <c r="IE199" t="inlineStr">
        <is>
          <t>RUS</t>
        </is>
      </c>
      <c r="IF199" t="inlineStr">
        <is>
          <t>RUS</t>
        </is>
      </c>
      <c r="IG199" t="inlineStr">
        <is>
          <t>RUS</t>
        </is>
      </c>
      <c r="IH199" t="inlineStr">
        <is>
          <t>RUS</t>
        </is>
      </c>
      <c r="II199" t="inlineStr">
        <is>
          <t>RUS</t>
        </is>
      </c>
      <c r="IJ199" t="inlineStr">
        <is>
          <t>RUS</t>
        </is>
      </c>
      <c r="IK199" t="inlineStr">
        <is>
          <t>RUS</t>
        </is>
      </c>
      <c r="IL199" t="inlineStr">
        <is>
          <t>RUS</t>
        </is>
      </c>
      <c r="IM199" t="inlineStr">
        <is>
          <t>RUS</t>
        </is>
      </c>
      <c r="IN199" t="inlineStr">
        <is>
          <t>RUS</t>
        </is>
      </c>
      <c r="IO199" t="inlineStr">
        <is>
          <t>RUS</t>
        </is>
      </c>
      <c r="IP199" t="inlineStr">
        <is>
          <t>RUS</t>
        </is>
      </c>
      <c r="IQ199" t="inlineStr">
        <is>
          <t>RUS</t>
        </is>
      </c>
      <c r="IR199" t="inlineStr">
        <is>
          <t>RUS</t>
        </is>
      </c>
      <c r="IS199" t="inlineStr">
        <is>
          <t>RUS</t>
        </is>
      </c>
      <c r="IT199" t="inlineStr">
        <is>
          <t>RUS</t>
        </is>
      </c>
      <c r="IU199" t="inlineStr">
        <is>
          <t>RUS</t>
        </is>
      </c>
      <c r="IV199" t="inlineStr">
        <is>
          <t>RUS</t>
        </is>
      </c>
      <c r="IW199" t="inlineStr">
        <is>
          <t>RUS</t>
        </is>
      </c>
      <c r="IX199" t="inlineStr">
        <is>
          <t>RUS</t>
        </is>
      </c>
      <c r="IY199" t="inlineStr">
        <is>
          <t>RUS</t>
        </is>
      </c>
      <c r="IZ199" t="inlineStr">
        <is>
          <t>RUS</t>
        </is>
      </c>
      <c r="JA199" t="inlineStr">
        <is>
          <t>RUS</t>
        </is>
      </c>
      <c r="JB199" t="inlineStr">
        <is>
          <t>RUS</t>
        </is>
      </c>
      <c r="JC199" t="inlineStr">
        <is>
          <t>RUS</t>
        </is>
      </c>
      <c r="JD199" t="inlineStr">
        <is>
          <t>RUS</t>
        </is>
      </c>
      <c r="JE199" t="inlineStr">
        <is>
          <t>RUS</t>
        </is>
      </c>
      <c r="JF199" t="inlineStr">
        <is>
          <t>RUS</t>
        </is>
      </c>
      <c r="JG199" t="inlineStr">
        <is>
          <t>RUS</t>
        </is>
      </c>
      <c r="JH199" t="inlineStr">
        <is>
          <t>RUS</t>
        </is>
      </c>
      <c r="JI199" t="inlineStr">
        <is>
          <t>RUS</t>
        </is>
      </c>
      <c r="JJ199" t="inlineStr">
        <is>
          <t>RUS</t>
        </is>
      </c>
      <c r="JK199" t="inlineStr">
        <is>
          <t>RUS</t>
        </is>
      </c>
      <c r="JL199" t="inlineStr">
        <is>
          <t>RUS</t>
        </is>
      </c>
      <c r="JM199" t="inlineStr">
        <is>
          <t>RUS</t>
        </is>
      </c>
      <c r="JN199" t="inlineStr">
        <is>
          <t>RUS</t>
        </is>
      </c>
      <c r="JO199" t="inlineStr">
        <is>
          <t>RUS</t>
        </is>
      </c>
      <c r="JP199" t="inlineStr">
        <is>
          <t>RUS</t>
        </is>
      </c>
      <c r="JQ199" t="inlineStr">
        <is>
          <t>RUS</t>
        </is>
      </c>
      <c r="JR199" t="inlineStr">
        <is>
          <t>RUS</t>
        </is>
      </c>
      <c r="JS199" t="inlineStr">
        <is>
          <t>RUS</t>
        </is>
      </c>
      <c r="JT199" t="inlineStr">
        <is>
          <t>RUS</t>
        </is>
      </c>
      <c r="JU199" t="inlineStr">
        <is>
          <t>RUS</t>
        </is>
      </c>
    </row>
    <row r="200">
      <c r="BU200" t="inlineStr">
        <is>
          <t>NOR</t>
        </is>
      </c>
      <c r="BV200" t="inlineStr">
        <is>
          <t>NOR</t>
        </is>
      </c>
      <c r="BW200" t="inlineStr">
        <is>
          <t>NOR</t>
        </is>
      </c>
      <c r="BX200" t="inlineStr">
        <is>
          <t>NOR</t>
        </is>
      </c>
      <c r="BY200" t="inlineStr">
        <is>
          <t>NOR</t>
        </is>
      </c>
      <c r="BZ200" t="inlineStr">
        <is>
          <t>NOR</t>
        </is>
      </c>
      <c r="CA200" t="inlineStr">
        <is>
          <t>NOR</t>
        </is>
      </c>
      <c r="CB200" t="inlineStr">
        <is>
          <t>NOR</t>
        </is>
      </c>
      <c r="CC200" t="inlineStr">
        <is>
          <t>NOR</t>
        </is>
      </c>
      <c r="CE200" t="inlineStr">
        <is>
          <t>NOR</t>
        </is>
      </c>
      <c r="CF200" t="inlineStr">
        <is>
          <t>NOR</t>
        </is>
      </c>
      <c r="CG200" t="inlineStr">
        <is>
          <t>SWE</t>
        </is>
      </c>
      <c r="CH200" t="inlineStr">
        <is>
          <t>SWE</t>
        </is>
      </c>
      <c r="CI200" t="inlineStr">
        <is>
          <t>SWE</t>
        </is>
      </c>
      <c r="CJ200" t="inlineStr">
        <is>
          <t>SWE</t>
        </is>
      </c>
      <c r="CK200" t="inlineStr">
        <is>
          <t>SWE</t>
        </is>
      </c>
      <c r="CL200" t="inlineStr">
        <is>
          <t>SWE</t>
        </is>
      </c>
      <c r="CM200" t="inlineStr">
        <is>
          <t>SWE</t>
        </is>
      </c>
      <c r="CN200" t="inlineStr">
        <is>
          <t>SWE</t>
        </is>
      </c>
      <c r="CO200" t="inlineStr">
        <is>
          <t>SWE</t>
        </is>
      </c>
      <c r="CP200" t="inlineStr">
        <is>
          <t>SWE</t>
        </is>
      </c>
      <c r="CQ200" t="inlineStr">
        <is>
          <t>SWE</t>
        </is>
      </c>
      <c r="CR200" t="inlineStr">
        <is>
          <t>SWE</t>
        </is>
      </c>
      <c r="CS200" t="inlineStr">
        <is>
          <t>SWE</t>
        </is>
      </c>
      <c r="DE200" t="inlineStr">
        <is>
          <t>EST</t>
        </is>
      </c>
      <c r="DF200" t="inlineStr">
        <is>
          <t>EST</t>
        </is>
      </c>
      <c r="DG200" t="inlineStr">
        <is>
          <t>EST</t>
        </is>
      </c>
      <c r="DH200" t="inlineStr">
        <is>
          <t>EST</t>
        </is>
      </c>
      <c r="DI200" t="inlineStr">
        <is>
          <t>EST</t>
        </is>
      </c>
      <c r="DJ200" t="inlineStr">
        <is>
          <t>EST</t>
        </is>
      </c>
      <c r="DK200" t="inlineStr">
        <is>
          <t>EST</t>
        </is>
      </c>
      <c r="DL200" t="inlineStr">
        <is>
          <t>EST</t>
        </is>
      </c>
      <c r="DM200" t="inlineStr">
        <is>
          <t>EST</t>
        </is>
      </c>
      <c r="DN200" t="inlineStr">
        <is>
          <t>RUS</t>
        </is>
      </c>
      <c r="DO200" t="inlineStr">
        <is>
          <t>RUS</t>
        </is>
      </c>
      <c r="DP200" t="inlineStr">
        <is>
          <t>RUS</t>
        </is>
      </c>
      <c r="DQ200" t="inlineStr">
        <is>
          <t>RUS</t>
        </is>
      </c>
      <c r="DR200" t="inlineStr">
        <is>
          <t>RUS</t>
        </is>
      </c>
      <c r="DS200" t="inlineStr">
        <is>
          <t>RUS</t>
        </is>
      </c>
      <c r="DT200" t="inlineStr">
        <is>
          <t>RUS</t>
        </is>
      </c>
      <c r="DU200" t="inlineStr">
        <is>
          <t>RUS</t>
        </is>
      </c>
      <c r="DV200" t="inlineStr">
        <is>
          <t>RUS</t>
        </is>
      </c>
      <c r="DW200" t="inlineStr">
        <is>
          <t>RUS</t>
        </is>
      </c>
      <c r="DX200" t="inlineStr">
        <is>
          <t>RUS</t>
        </is>
      </c>
      <c r="DY200" t="inlineStr">
        <is>
          <t>RUS</t>
        </is>
      </c>
      <c r="DZ200" t="inlineStr">
        <is>
          <t>RUS</t>
        </is>
      </c>
      <c r="EA200" t="inlineStr">
        <is>
          <t>RUS</t>
        </is>
      </c>
      <c r="EB200" t="inlineStr">
        <is>
          <t>RUS</t>
        </is>
      </c>
      <c r="EC200" t="inlineStr">
        <is>
          <t>RUS</t>
        </is>
      </c>
      <c r="ED200" t="inlineStr">
        <is>
          <t>RUS</t>
        </is>
      </c>
      <c r="EE200" t="inlineStr">
        <is>
          <t>RUS</t>
        </is>
      </c>
      <c r="EF200" t="inlineStr">
        <is>
          <t>RUS</t>
        </is>
      </c>
      <c r="EG200" t="inlineStr">
        <is>
          <t>RUS</t>
        </is>
      </c>
      <c r="EH200" t="inlineStr">
        <is>
          <t>RUS</t>
        </is>
      </c>
      <c r="EI200" t="inlineStr">
        <is>
          <t>RUS</t>
        </is>
      </c>
      <c r="EJ200" t="inlineStr">
        <is>
          <t>RUS</t>
        </is>
      </c>
      <c r="EK200" t="inlineStr">
        <is>
          <t>RUS</t>
        </is>
      </c>
      <c r="EL200" t="inlineStr">
        <is>
          <t>RUS</t>
        </is>
      </c>
      <c r="EM200" t="inlineStr">
        <is>
          <t>RUS</t>
        </is>
      </c>
      <c r="EN200" t="inlineStr">
        <is>
          <t>RUS</t>
        </is>
      </c>
      <c r="EO200" t="inlineStr">
        <is>
          <t>RUS</t>
        </is>
      </c>
      <c r="EP200" t="inlineStr">
        <is>
          <t>RUS</t>
        </is>
      </c>
      <c r="EQ200" t="inlineStr">
        <is>
          <t>RUS</t>
        </is>
      </c>
      <c r="ER200" t="inlineStr">
        <is>
          <t>RUS</t>
        </is>
      </c>
      <c r="ES200" t="inlineStr">
        <is>
          <t>RUS</t>
        </is>
      </c>
      <c r="ET200" t="inlineStr">
        <is>
          <t>RUS</t>
        </is>
      </c>
      <c r="EU200" t="inlineStr">
        <is>
          <t>RUS</t>
        </is>
      </c>
      <c r="EV200" t="inlineStr">
        <is>
          <t>RUS</t>
        </is>
      </c>
      <c r="EW200" t="inlineStr">
        <is>
          <t>RUS</t>
        </is>
      </c>
      <c r="EX200" t="inlineStr">
        <is>
          <t>RUS</t>
        </is>
      </c>
      <c r="EY200" t="inlineStr">
        <is>
          <t>RUS</t>
        </is>
      </c>
      <c r="EZ200" t="inlineStr">
        <is>
          <t>RUS</t>
        </is>
      </c>
      <c r="FA200" t="inlineStr">
        <is>
          <t>RUS</t>
        </is>
      </c>
      <c r="FB200" t="inlineStr">
        <is>
          <t>RUS</t>
        </is>
      </c>
      <c r="FC200" t="inlineStr">
        <is>
          <t>RUS</t>
        </is>
      </c>
      <c r="FD200" t="inlineStr">
        <is>
          <t>RUS</t>
        </is>
      </c>
      <c r="FE200" t="inlineStr">
        <is>
          <t>RUS</t>
        </is>
      </c>
      <c r="FF200" t="inlineStr">
        <is>
          <t>RUS</t>
        </is>
      </c>
      <c r="FG200" t="inlineStr">
        <is>
          <t>RUS</t>
        </is>
      </c>
      <c r="FH200" t="inlineStr">
        <is>
          <t>RUS</t>
        </is>
      </c>
      <c r="FI200" t="inlineStr">
        <is>
          <t>RUS</t>
        </is>
      </c>
      <c r="FJ200" t="inlineStr">
        <is>
          <t>RUS</t>
        </is>
      </c>
      <c r="FK200" t="inlineStr">
        <is>
          <t>RUS</t>
        </is>
      </c>
      <c r="FL200" t="inlineStr">
        <is>
          <t>RUS</t>
        </is>
      </c>
      <c r="FM200" t="inlineStr">
        <is>
          <t>RUS</t>
        </is>
      </c>
      <c r="FN200" t="inlineStr">
        <is>
          <t>RUS</t>
        </is>
      </c>
      <c r="FO200" t="inlineStr">
        <is>
          <t>RUS</t>
        </is>
      </c>
      <c r="FP200" t="inlineStr">
        <is>
          <t>RUS</t>
        </is>
      </c>
      <c r="FQ200" t="inlineStr">
        <is>
          <t>RUS</t>
        </is>
      </c>
      <c r="FR200" t="inlineStr">
        <is>
          <t>RUS</t>
        </is>
      </c>
      <c r="FS200" t="inlineStr">
        <is>
          <t>RUS</t>
        </is>
      </c>
      <c r="FT200" t="inlineStr">
        <is>
          <t>RUS</t>
        </is>
      </c>
      <c r="FU200" t="inlineStr">
        <is>
          <t>RUS</t>
        </is>
      </c>
      <c r="FV200" t="inlineStr">
        <is>
          <t>RUS</t>
        </is>
      </c>
      <c r="FW200" t="inlineStr">
        <is>
          <t>RUS</t>
        </is>
      </c>
      <c r="FX200" t="inlineStr">
        <is>
          <t>RUS</t>
        </is>
      </c>
      <c r="FY200" t="inlineStr">
        <is>
          <t>RUS</t>
        </is>
      </c>
      <c r="FZ200" t="inlineStr">
        <is>
          <t>RUS</t>
        </is>
      </c>
      <c r="GA200" t="inlineStr">
        <is>
          <t>RUS</t>
        </is>
      </c>
      <c r="GB200" t="inlineStr">
        <is>
          <t>RUS</t>
        </is>
      </c>
      <c r="GC200" t="inlineStr">
        <is>
          <t>RUS</t>
        </is>
      </c>
      <c r="GD200" t="inlineStr">
        <is>
          <t>RUS</t>
        </is>
      </c>
      <c r="GE200" t="inlineStr">
        <is>
          <t>RUS</t>
        </is>
      </c>
      <c r="GF200" t="inlineStr">
        <is>
          <t>RUS</t>
        </is>
      </c>
      <c r="GG200" t="inlineStr">
        <is>
          <t>RUS</t>
        </is>
      </c>
      <c r="GH200" t="inlineStr">
        <is>
          <t>RUS</t>
        </is>
      </c>
      <c r="GI200" t="inlineStr">
        <is>
          <t>RUS</t>
        </is>
      </c>
      <c r="GJ200" t="inlineStr">
        <is>
          <t>RUS</t>
        </is>
      </c>
      <c r="GK200" t="inlineStr">
        <is>
          <t>RUS</t>
        </is>
      </c>
      <c r="GL200" t="inlineStr">
        <is>
          <t>RUS</t>
        </is>
      </c>
      <c r="GM200" t="inlineStr">
        <is>
          <t>RUS</t>
        </is>
      </c>
      <c r="GN200" t="inlineStr">
        <is>
          <t>RUS</t>
        </is>
      </c>
      <c r="GO200" t="inlineStr">
        <is>
          <t>RUS</t>
        </is>
      </c>
      <c r="GP200" t="inlineStr">
        <is>
          <t>RUS</t>
        </is>
      </c>
      <c r="GQ200" t="inlineStr">
        <is>
          <t>RUS</t>
        </is>
      </c>
      <c r="GR200" t="inlineStr">
        <is>
          <t>RUS</t>
        </is>
      </c>
      <c r="GS200" t="inlineStr">
        <is>
          <t>RUS</t>
        </is>
      </c>
      <c r="GT200" t="inlineStr">
        <is>
          <t>RUS</t>
        </is>
      </c>
      <c r="GU200" t="inlineStr">
        <is>
          <t>RUS</t>
        </is>
      </c>
      <c r="GV200" t="inlineStr">
        <is>
          <t>RUS</t>
        </is>
      </c>
      <c r="GW200" t="inlineStr">
        <is>
          <t>RUS</t>
        </is>
      </c>
      <c r="GX200" t="inlineStr">
        <is>
          <t>RUS</t>
        </is>
      </c>
      <c r="GY200" t="inlineStr">
        <is>
          <t>RUS</t>
        </is>
      </c>
      <c r="GZ200" t="inlineStr">
        <is>
          <t>RUS</t>
        </is>
      </c>
      <c r="HA200" t="inlineStr">
        <is>
          <t>RUS</t>
        </is>
      </c>
      <c r="HB200" t="inlineStr">
        <is>
          <t>RUS</t>
        </is>
      </c>
      <c r="HC200" t="inlineStr">
        <is>
          <t>RUS</t>
        </is>
      </c>
      <c r="HD200" t="inlineStr">
        <is>
          <t>RUS</t>
        </is>
      </c>
      <c r="HE200" t="inlineStr">
        <is>
          <t>RUS</t>
        </is>
      </c>
      <c r="HF200" t="inlineStr">
        <is>
          <t>RUS</t>
        </is>
      </c>
      <c r="HG200" t="inlineStr">
        <is>
          <t>RUS</t>
        </is>
      </c>
      <c r="HH200" t="inlineStr">
        <is>
          <t>RUS</t>
        </is>
      </c>
      <c r="HI200" t="inlineStr">
        <is>
          <t>RUS</t>
        </is>
      </c>
      <c r="HJ200" t="inlineStr">
        <is>
          <t>RUS</t>
        </is>
      </c>
      <c r="HK200" t="inlineStr">
        <is>
          <t>RUS</t>
        </is>
      </c>
      <c r="HL200" t="inlineStr">
        <is>
          <t>RUS</t>
        </is>
      </c>
      <c r="HM200" t="inlineStr">
        <is>
          <t>RUS</t>
        </is>
      </c>
      <c r="HN200" t="inlineStr">
        <is>
          <t>RUS</t>
        </is>
      </c>
      <c r="HO200" t="inlineStr">
        <is>
          <t>RUS</t>
        </is>
      </c>
      <c r="HP200" t="inlineStr">
        <is>
          <t>RUS</t>
        </is>
      </c>
      <c r="HQ200" t="inlineStr">
        <is>
          <t>RUS</t>
        </is>
      </c>
      <c r="HR200" t="inlineStr">
        <is>
          <t>RUS</t>
        </is>
      </c>
      <c r="HS200" t="inlineStr">
        <is>
          <t>RUS</t>
        </is>
      </c>
      <c r="HT200" t="inlineStr">
        <is>
          <t>RUS</t>
        </is>
      </c>
      <c r="HU200" t="inlineStr">
        <is>
          <t>RUS</t>
        </is>
      </c>
      <c r="HV200" t="inlineStr">
        <is>
          <t>RUS</t>
        </is>
      </c>
      <c r="HW200" t="inlineStr">
        <is>
          <t>RUS</t>
        </is>
      </c>
      <c r="HX200" t="inlineStr">
        <is>
          <t>RUS</t>
        </is>
      </c>
      <c r="HY200" t="inlineStr">
        <is>
          <t>RUS</t>
        </is>
      </c>
      <c r="HZ200" t="inlineStr">
        <is>
          <t>RUS</t>
        </is>
      </c>
      <c r="IA200" t="inlineStr">
        <is>
          <t>RUS</t>
        </is>
      </c>
      <c r="IB200" t="inlineStr">
        <is>
          <t>RUS</t>
        </is>
      </c>
      <c r="IC200" t="inlineStr">
        <is>
          <t>RUS</t>
        </is>
      </c>
      <c r="ID200" t="inlineStr">
        <is>
          <t>RUS</t>
        </is>
      </c>
      <c r="IE200" t="inlineStr">
        <is>
          <t>RUS</t>
        </is>
      </c>
      <c r="IF200" t="inlineStr">
        <is>
          <t>RUS</t>
        </is>
      </c>
      <c r="IG200" t="inlineStr">
        <is>
          <t>RUS</t>
        </is>
      </c>
      <c r="IH200" t="inlineStr">
        <is>
          <t>RUS</t>
        </is>
      </c>
      <c r="II200" t="inlineStr">
        <is>
          <t>RUS</t>
        </is>
      </c>
      <c r="IJ200" t="inlineStr">
        <is>
          <t>RUS</t>
        </is>
      </c>
      <c r="IK200" t="inlineStr">
        <is>
          <t>RUS</t>
        </is>
      </c>
      <c r="IL200" t="inlineStr">
        <is>
          <t>RUS</t>
        </is>
      </c>
      <c r="IM200" t="inlineStr">
        <is>
          <t>RUS</t>
        </is>
      </c>
      <c r="IN200" t="inlineStr">
        <is>
          <t>RUS</t>
        </is>
      </c>
      <c r="IO200" t="inlineStr">
        <is>
          <t>RUS</t>
        </is>
      </c>
      <c r="IP200" t="inlineStr">
        <is>
          <t>RUS</t>
        </is>
      </c>
      <c r="IQ200" t="inlineStr">
        <is>
          <t>RUS</t>
        </is>
      </c>
      <c r="IR200" t="inlineStr">
        <is>
          <t>RUS</t>
        </is>
      </c>
      <c r="IS200" t="inlineStr">
        <is>
          <t>RUS</t>
        </is>
      </c>
      <c r="IT200" t="inlineStr">
        <is>
          <t>RUS</t>
        </is>
      </c>
      <c r="IU200" t="inlineStr">
        <is>
          <t>RUS</t>
        </is>
      </c>
      <c r="IV200" t="inlineStr">
        <is>
          <t>RUS</t>
        </is>
      </c>
      <c r="IW200" t="inlineStr">
        <is>
          <t>RUS</t>
        </is>
      </c>
      <c r="IX200" t="inlineStr">
        <is>
          <t>RUS</t>
        </is>
      </c>
      <c r="IY200" t="inlineStr">
        <is>
          <t>RUS</t>
        </is>
      </c>
      <c r="IZ200" t="inlineStr">
        <is>
          <t>RUS</t>
        </is>
      </c>
      <c r="JA200" t="inlineStr">
        <is>
          <t>RUS</t>
        </is>
      </c>
      <c r="JB200" t="inlineStr">
        <is>
          <t>RUS</t>
        </is>
      </c>
      <c r="JC200" t="inlineStr">
        <is>
          <t>RUS</t>
        </is>
      </c>
      <c r="JD200" t="inlineStr">
        <is>
          <t>RUS</t>
        </is>
      </c>
      <c r="JE200" t="inlineStr">
        <is>
          <t>RUS</t>
        </is>
      </c>
      <c r="JF200" t="inlineStr">
        <is>
          <t>RUS</t>
        </is>
      </c>
      <c r="JG200" t="inlineStr">
        <is>
          <t>RUS</t>
        </is>
      </c>
      <c r="JH200" t="inlineStr">
        <is>
          <t>RUS</t>
        </is>
      </c>
      <c r="JI200" t="inlineStr">
        <is>
          <t>RUS</t>
        </is>
      </c>
      <c r="JJ200" t="inlineStr">
        <is>
          <t>RUS</t>
        </is>
      </c>
      <c r="JK200" t="inlineStr">
        <is>
          <t>RUS</t>
        </is>
      </c>
      <c r="JL200" t="inlineStr">
        <is>
          <t>RUS</t>
        </is>
      </c>
      <c r="JM200" t="inlineStr">
        <is>
          <t>RUS</t>
        </is>
      </c>
      <c r="JN200" t="inlineStr">
        <is>
          <t>RUS</t>
        </is>
      </c>
      <c r="JO200" t="inlineStr">
        <is>
          <t>RUS</t>
        </is>
      </c>
      <c r="JP200" t="inlineStr">
        <is>
          <t>RUS</t>
        </is>
      </c>
      <c r="JQ200" t="inlineStr">
        <is>
          <t>RUS</t>
        </is>
      </c>
      <c r="JR200" t="inlineStr">
        <is>
          <t>RUS</t>
        </is>
      </c>
      <c r="JS200" t="inlineStr">
        <is>
          <t>RUS</t>
        </is>
      </c>
      <c r="JT200" t="inlineStr">
        <is>
          <t>RUS</t>
        </is>
      </c>
      <c r="JU200" t="inlineStr">
        <is>
          <t>RUS</t>
        </is>
      </c>
    </row>
    <row r="201">
      <c r="BU201" t="inlineStr">
        <is>
          <t>NOR</t>
        </is>
      </c>
      <c r="BV201" t="inlineStr">
        <is>
          <t>NOR</t>
        </is>
      </c>
      <c r="BW201" t="inlineStr">
        <is>
          <t>NOR</t>
        </is>
      </c>
      <c r="BX201" t="inlineStr">
        <is>
          <t>NOR</t>
        </is>
      </c>
      <c r="BY201" t="inlineStr">
        <is>
          <t>NOR</t>
        </is>
      </c>
      <c r="BZ201" t="inlineStr">
        <is>
          <t>NOR</t>
        </is>
      </c>
      <c r="CA201" t="inlineStr">
        <is>
          <t>NOR</t>
        </is>
      </c>
      <c r="CB201" t="inlineStr">
        <is>
          <t>NOR</t>
        </is>
      </c>
      <c r="CC201" t="inlineStr">
        <is>
          <t>NOR</t>
        </is>
      </c>
      <c r="CD201" t="inlineStr">
        <is>
          <t>NOR</t>
        </is>
      </c>
      <c r="CE201" t="inlineStr">
        <is>
          <t>NOR</t>
        </is>
      </c>
      <c r="CF201" t="inlineStr">
        <is>
          <t>NOR</t>
        </is>
      </c>
      <c r="CG201" t="inlineStr">
        <is>
          <t>NOR</t>
        </is>
      </c>
      <c r="CH201" t="inlineStr">
        <is>
          <t>SWE</t>
        </is>
      </c>
      <c r="CI201" t="inlineStr">
        <is>
          <t>SWE</t>
        </is>
      </c>
      <c r="CJ201" t="inlineStr">
        <is>
          <t>SWE</t>
        </is>
      </c>
      <c r="CK201" t="inlineStr">
        <is>
          <t>SWE</t>
        </is>
      </c>
      <c r="CL201" t="inlineStr">
        <is>
          <t>SWE</t>
        </is>
      </c>
      <c r="CM201" t="inlineStr">
        <is>
          <t>SWE</t>
        </is>
      </c>
      <c r="CN201" t="inlineStr">
        <is>
          <t>SWE</t>
        </is>
      </c>
      <c r="CO201" t="inlineStr">
        <is>
          <t>SWE</t>
        </is>
      </c>
      <c r="CP201" t="inlineStr">
        <is>
          <t>SWE</t>
        </is>
      </c>
      <c r="CQ201" t="inlineStr">
        <is>
          <t>SWE</t>
        </is>
      </c>
      <c r="CR201" t="inlineStr">
        <is>
          <t>SWE</t>
        </is>
      </c>
      <c r="CS201" t="inlineStr">
        <is>
          <t>SWE</t>
        </is>
      </c>
      <c r="CT201" t="inlineStr">
        <is>
          <t>SWE</t>
        </is>
      </c>
      <c r="DO201" t="inlineStr">
        <is>
          <t>RUS</t>
        </is>
      </c>
      <c r="DP201" t="inlineStr">
        <is>
          <t>RUS</t>
        </is>
      </c>
      <c r="DQ201" t="inlineStr">
        <is>
          <t>RUS</t>
        </is>
      </c>
      <c r="DR201" t="inlineStr">
        <is>
          <t>RUS</t>
        </is>
      </c>
      <c r="DS201" t="inlineStr">
        <is>
          <t>RUS</t>
        </is>
      </c>
      <c r="DT201" t="inlineStr">
        <is>
          <t>RUS</t>
        </is>
      </c>
      <c r="DU201" t="inlineStr">
        <is>
          <t>RUS</t>
        </is>
      </c>
      <c r="DV201" t="inlineStr">
        <is>
          <t>RUS</t>
        </is>
      </c>
      <c r="DW201" t="inlineStr">
        <is>
          <t>RUS</t>
        </is>
      </c>
      <c r="DX201" t="inlineStr">
        <is>
          <t>RUS</t>
        </is>
      </c>
      <c r="DY201" t="inlineStr">
        <is>
          <t>RUS</t>
        </is>
      </c>
      <c r="DZ201" t="inlineStr">
        <is>
          <t>RUS</t>
        </is>
      </c>
      <c r="EA201" t="inlineStr">
        <is>
          <t>RUS</t>
        </is>
      </c>
      <c r="EB201" t="inlineStr">
        <is>
          <t>RUS</t>
        </is>
      </c>
      <c r="EC201" t="inlineStr">
        <is>
          <t>RUS</t>
        </is>
      </c>
      <c r="ED201" t="inlineStr">
        <is>
          <t>RUS</t>
        </is>
      </c>
      <c r="EE201" t="inlineStr">
        <is>
          <t>RUS</t>
        </is>
      </c>
      <c r="EF201" t="inlineStr">
        <is>
          <t>RUS</t>
        </is>
      </c>
      <c r="EG201" t="inlineStr">
        <is>
          <t>RUS</t>
        </is>
      </c>
      <c r="EH201" t="inlineStr">
        <is>
          <t>RUS</t>
        </is>
      </c>
      <c r="EI201" t="inlineStr">
        <is>
          <t>RUS</t>
        </is>
      </c>
      <c r="EJ201" t="inlineStr">
        <is>
          <t>RUS</t>
        </is>
      </c>
      <c r="EK201" t="inlineStr">
        <is>
          <t>RUS</t>
        </is>
      </c>
      <c r="EL201" t="inlineStr">
        <is>
          <t>RUS</t>
        </is>
      </c>
      <c r="EM201" t="inlineStr">
        <is>
          <t>RUS</t>
        </is>
      </c>
      <c r="EN201" t="inlineStr">
        <is>
          <t>RUS</t>
        </is>
      </c>
      <c r="EO201" t="inlineStr">
        <is>
          <t>RUS</t>
        </is>
      </c>
      <c r="EP201" t="inlineStr">
        <is>
          <t>RUS</t>
        </is>
      </c>
      <c r="EQ201" t="inlineStr">
        <is>
          <t>RUS</t>
        </is>
      </c>
      <c r="ER201" t="inlineStr">
        <is>
          <t>RUS</t>
        </is>
      </c>
      <c r="ES201" t="inlineStr">
        <is>
          <t>RUS</t>
        </is>
      </c>
      <c r="ET201" t="inlineStr">
        <is>
          <t>RUS</t>
        </is>
      </c>
      <c r="EU201" t="inlineStr">
        <is>
          <t>RUS</t>
        </is>
      </c>
      <c r="EV201" t="inlineStr">
        <is>
          <t>RUS</t>
        </is>
      </c>
      <c r="EW201" t="inlineStr">
        <is>
          <t>RUS</t>
        </is>
      </c>
      <c r="EX201" t="inlineStr">
        <is>
          <t>RUS</t>
        </is>
      </c>
      <c r="EY201" t="inlineStr">
        <is>
          <t>RUS</t>
        </is>
      </c>
      <c r="EZ201" t="inlineStr">
        <is>
          <t>RUS</t>
        </is>
      </c>
      <c r="FA201" t="inlineStr">
        <is>
          <t>RUS</t>
        </is>
      </c>
      <c r="FB201" t="inlineStr">
        <is>
          <t>RUS</t>
        </is>
      </c>
      <c r="FC201" t="inlineStr">
        <is>
          <t>RUS</t>
        </is>
      </c>
      <c r="FD201" t="inlineStr">
        <is>
          <t>RUS</t>
        </is>
      </c>
      <c r="FE201" t="inlineStr">
        <is>
          <t>RUS</t>
        </is>
      </c>
      <c r="FF201" t="inlineStr">
        <is>
          <t>RUS</t>
        </is>
      </c>
      <c r="FG201" t="inlineStr">
        <is>
          <t>RUS</t>
        </is>
      </c>
      <c r="FH201" t="inlineStr">
        <is>
          <t>RUS</t>
        </is>
      </c>
      <c r="FI201" t="inlineStr">
        <is>
          <t>RUS</t>
        </is>
      </c>
      <c r="FJ201" t="inlineStr">
        <is>
          <t>RUS</t>
        </is>
      </c>
      <c r="FK201" t="inlineStr">
        <is>
          <t>RUS</t>
        </is>
      </c>
      <c r="FL201" t="inlineStr">
        <is>
          <t>RUS</t>
        </is>
      </c>
      <c r="FM201" t="inlineStr">
        <is>
          <t>RUS</t>
        </is>
      </c>
      <c r="FN201" t="inlineStr">
        <is>
          <t>RUS</t>
        </is>
      </c>
      <c r="FO201" t="inlineStr">
        <is>
          <t>RUS</t>
        </is>
      </c>
      <c r="FP201" t="inlineStr">
        <is>
          <t>RUS</t>
        </is>
      </c>
      <c r="FQ201" t="inlineStr">
        <is>
          <t>RUS</t>
        </is>
      </c>
      <c r="FR201" t="inlineStr">
        <is>
          <t>RUS</t>
        </is>
      </c>
      <c r="FS201" t="inlineStr">
        <is>
          <t>RUS</t>
        </is>
      </c>
      <c r="FT201" t="inlineStr">
        <is>
          <t>RUS</t>
        </is>
      </c>
      <c r="FU201" t="inlineStr">
        <is>
          <t>RUS</t>
        </is>
      </c>
      <c r="FV201" t="inlineStr">
        <is>
          <t>RUS</t>
        </is>
      </c>
      <c r="FW201" t="inlineStr">
        <is>
          <t>RUS</t>
        </is>
      </c>
      <c r="FX201" t="inlineStr">
        <is>
          <t>RUS</t>
        </is>
      </c>
      <c r="FY201" t="inlineStr">
        <is>
          <t>RUS</t>
        </is>
      </c>
      <c r="FZ201" t="inlineStr">
        <is>
          <t>RUS</t>
        </is>
      </c>
      <c r="GA201" t="inlineStr">
        <is>
          <t>RUS</t>
        </is>
      </c>
      <c r="GB201" t="inlineStr">
        <is>
          <t>RUS</t>
        </is>
      </c>
      <c r="GC201" t="inlineStr">
        <is>
          <t>RUS</t>
        </is>
      </c>
      <c r="GD201" t="inlineStr">
        <is>
          <t>RUS</t>
        </is>
      </c>
      <c r="GE201" t="inlineStr">
        <is>
          <t>RUS</t>
        </is>
      </c>
      <c r="GF201" t="inlineStr">
        <is>
          <t>RUS</t>
        </is>
      </c>
      <c r="GG201" t="inlineStr">
        <is>
          <t>RUS</t>
        </is>
      </c>
      <c r="GH201" t="inlineStr">
        <is>
          <t>RUS</t>
        </is>
      </c>
      <c r="GI201" t="inlineStr">
        <is>
          <t>RUS</t>
        </is>
      </c>
      <c r="GJ201" t="inlineStr">
        <is>
          <t>RUS</t>
        </is>
      </c>
      <c r="GK201" t="inlineStr">
        <is>
          <t>RUS</t>
        </is>
      </c>
      <c r="GL201" t="inlineStr">
        <is>
          <t>RUS</t>
        </is>
      </c>
      <c r="GM201" t="inlineStr">
        <is>
          <t>RUS</t>
        </is>
      </c>
      <c r="GN201" t="inlineStr">
        <is>
          <t>RUS</t>
        </is>
      </c>
      <c r="GO201" t="inlineStr">
        <is>
          <t>RUS</t>
        </is>
      </c>
      <c r="GP201" t="inlineStr">
        <is>
          <t>RUS</t>
        </is>
      </c>
      <c r="GQ201" t="inlineStr">
        <is>
          <t>RUS</t>
        </is>
      </c>
      <c r="GR201" t="inlineStr">
        <is>
          <t>RUS</t>
        </is>
      </c>
      <c r="GS201" t="inlineStr">
        <is>
          <t>RUS</t>
        </is>
      </c>
      <c r="GT201" t="inlineStr">
        <is>
          <t>RUS</t>
        </is>
      </c>
      <c r="GU201" t="inlineStr">
        <is>
          <t>RUS</t>
        </is>
      </c>
      <c r="GV201" t="inlineStr">
        <is>
          <t>RUS</t>
        </is>
      </c>
      <c r="GW201" t="inlineStr">
        <is>
          <t>RUS</t>
        </is>
      </c>
      <c r="GX201" t="inlineStr">
        <is>
          <t>RUS</t>
        </is>
      </c>
      <c r="GY201" t="inlineStr">
        <is>
          <t>RUS</t>
        </is>
      </c>
      <c r="GZ201" t="inlineStr">
        <is>
          <t>RUS</t>
        </is>
      </c>
      <c r="HA201" t="inlineStr">
        <is>
          <t>RUS</t>
        </is>
      </c>
      <c r="HB201" t="inlineStr">
        <is>
          <t>RUS</t>
        </is>
      </c>
      <c r="HC201" t="inlineStr">
        <is>
          <t>RUS</t>
        </is>
      </c>
      <c r="HD201" t="inlineStr">
        <is>
          <t>RUS</t>
        </is>
      </c>
      <c r="HE201" t="inlineStr">
        <is>
          <t>RUS</t>
        </is>
      </c>
      <c r="HF201" t="inlineStr">
        <is>
          <t>RUS</t>
        </is>
      </c>
      <c r="HG201" t="inlineStr">
        <is>
          <t>RUS</t>
        </is>
      </c>
      <c r="HH201" t="inlineStr">
        <is>
          <t>RUS</t>
        </is>
      </c>
      <c r="HI201" t="inlineStr">
        <is>
          <t>RUS</t>
        </is>
      </c>
      <c r="HJ201" t="inlineStr">
        <is>
          <t>RUS</t>
        </is>
      </c>
      <c r="HK201" t="inlineStr">
        <is>
          <t>RUS</t>
        </is>
      </c>
      <c r="HL201" t="inlineStr">
        <is>
          <t>RUS</t>
        </is>
      </c>
      <c r="HM201" t="inlineStr">
        <is>
          <t>RUS</t>
        </is>
      </c>
      <c r="HN201" t="inlineStr">
        <is>
          <t>RUS</t>
        </is>
      </c>
      <c r="HO201" t="inlineStr">
        <is>
          <t>RUS</t>
        </is>
      </c>
      <c r="HP201" t="inlineStr">
        <is>
          <t>RUS</t>
        </is>
      </c>
      <c r="HQ201" t="inlineStr">
        <is>
          <t>RUS</t>
        </is>
      </c>
      <c r="HR201" t="inlineStr">
        <is>
          <t>RUS</t>
        </is>
      </c>
      <c r="HS201" t="inlineStr">
        <is>
          <t>RUS</t>
        </is>
      </c>
      <c r="HT201" t="inlineStr">
        <is>
          <t>RUS</t>
        </is>
      </c>
      <c r="HU201" t="inlineStr">
        <is>
          <t>RUS</t>
        </is>
      </c>
      <c r="HV201" t="inlineStr">
        <is>
          <t>RUS</t>
        </is>
      </c>
      <c r="HW201" t="inlineStr">
        <is>
          <t>RUS</t>
        </is>
      </c>
      <c r="HX201" t="inlineStr">
        <is>
          <t>RUS</t>
        </is>
      </c>
      <c r="HY201" t="inlineStr">
        <is>
          <t>RUS</t>
        </is>
      </c>
      <c r="HZ201" t="inlineStr">
        <is>
          <t>RUS</t>
        </is>
      </c>
      <c r="IA201" t="inlineStr">
        <is>
          <t>RUS</t>
        </is>
      </c>
      <c r="IB201" t="inlineStr">
        <is>
          <t>RUS</t>
        </is>
      </c>
      <c r="IC201" t="inlineStr">
        <is>
          <t>RUS</t>
        </is>
      </c>
      <c r="ID201" t="inlineStr">
        <is>
          <t>RUS</t>
        </is>
      </c>
      <c r="IE201" t="inlineStr">
        <is>
          <t>RUS</t>
        </is>
      </c>
      <c r="IF201" t="inlineStr">
        <is>
          <t>RUS</t>
        </is>
      </c>
      <c r="IG201" t="inlineStr">
        <is>
          <t>RUS</t>
        </is>
      </c>
      <c r="IH201" t="inlineStr">
        <is>
          <t>RUS</t>
        </is>
      </c>
      <c r="II201" t="inlineStr">
        <is>
          <t>RUS</t>
        </is>
      </c>
      <c r="IJ201" t="inlineStr">
        <is>
          <t>RUS</t>
        </is>
      </c>
      <c r="IK201" t="inlineStr">
        <is>
          <t>RUS</t>
        </is>
      </c>
      <c r="IL201" t="inlineStr">
        <is>
          <t>RUS</t>
        </is>
      </c>
      <c r="IM201" t="inlineStr">
        <is>
          <t>RUS</t>
        </is>
      </c>
      <c r="IN201" t="inlineStr">
        <is>
          <t>RUS</t>
        </is>
      </c>
      <c r="IO201" t="inlineStr">
        <is>
          <t>RUS</t>
        </is>
      </c>
      <c r="IP201" t="inlineStr">
        <is>
          <t>RUS</t>
        </is>
      </c>
      <c r="IQ201" t="inlineStr">
        <is>
          <t>RUS</t>
        </is>
      </c>
      <c r="IR201" t="inlineStr">
        <is>
          <t>RUS</t>
        </is>
      </c>
      <c r="IS201" t="inlineStr">
        <is>
          <t>RUS</t>
        </is>
      </c>
      <c r="IT201" t="inlineStr">
        <is>
          <t>RUS</t>
        </is>
      </c>
      <c r="IU201" t="inlineStr">
        <is>
          <t>RUS</t>
        </is>
      </c>
      <c r="IV201" t="inlineStr">
        <is>
          <t>RUS</t>
        </is>
      </c>
      <c r="IW201" t="inlineStr">
        <is>
          <t>RUS</t>
        </is>
      </c>
      <c r="IX201" t="inlineStr">
        <is>
          <t>RUS</t>
        </is>
      </c>
      <c r="IY201" t="inlineStr">
        <is>
          <t>RUS</t>
        </is>
      </c>
      <c r="IZ201" t="inlineStr">
        <is>
          <t>RUS</t>
        </is>
      </c>
      <c r="JA201" t="inlineStr">
        <is>
          <t>RUS</t>
        </is>
      </c>
      <c r="JB201" t="inlineStr">
        <is>
          <t>RUS</t>
        </is>
      </c>
      <c r="JC201" t="inlineStr">
        <is>
          <t>RUS</t>
        </is>
      </c>
      <c r="JD201" t="inlineStr">
        <is>
          <t>RUS</t>
        </is>
      </c>
      <c r="JE201" t="inlineStr">
        <is>
          <t>RUS</t>
        </is>
      </c>
      <c r="JF201" t="inlineStr">
        <is>
          <t>RUS</t>
        </is>
      </c>
      <c r="JG201" t="inlineStr">
        <is>
          <t>RUS</t>
        </is>
      </c>
      <c r="JH201" t="inlineStr">
        <is>
          <t>RUS</t>
        </is>
      </c>
      <c r="JI201" t="inlineStr">
        <is>
          <t>RUS</t>
        </is>
      </c>
      <c r="JJ201" t="inlineStr">
        <is>
          <t>RUS</t>
        </is>
      </c>
      <c r="JK201" t="inlineStr">
        <is>
          <t>RUS</t>
        </is>
      </c>
      <c r="JL201" t="inlineStr">
        <is>
          <t>RUS</t>
        </is>
      </c>
      <c r="JM201" t="inlineStr">
        <is>
          <t>RUS</t>
        </is>
      </c>
      <c r="JN201" t="inlineStr">
        <is>
          <t>RUS</t>
        </is>
      </c>
      <c r="JO201" t="inlineStr">
        <is>
          <t>RUS</t>
        </is>
      </c>
      <c r="JP201" t="inlineStr">
        <is>
          <t>RUS</t>
        </is>
      </c>
      <c r="JQ201" t="inlineStr">
        <is>
          <t>RUS</t>
        </is>
      </c>
      <c r="JR201" t="inlineStr">
        <is>
          <t>RUS</t>
        </is>
      </c>
      <c r="JS201" t="inlineStr">
        <is>
          <t>RUS</t>
        </is>
      </c>
      <c r="JT201" t="inlineStr">
        <is>
          <t>RUS</t>
        </is>
      </c>
      <c r="JU201" t="inlineStr">
        <is>
          <t>RUS</t>
        </is>
      </c>
    </row>
    <row r="202">
      <c r="BT202" t="inlineStr">
        <is>
          <t>NOR</t>
        </is>
      </c>
      <c r="BU202" t="inlineStr">
        <is>
          <t>NOR</t>
        </is>
      </c>
      <c r="BV202" t="inlineStr">
        <is>
          <t>NOR</t>
        </is>
      </c>
      <c r="BW202" t="inlineStr">
        <is>
          <t>NOR</t>
        </is>
      </c>
      <c r="BX202" t="inlineStr">
        <is>
          <t>NOR</t>
        </is>
      </c>
      <c r="BY202" t="inlineStr">
        <is>
          <t>NOR</t>
        </is>
      </c>
      <c r="BZ202" t="inlineStr">
        <is>
          <t>NOR</t>
        </is>
      </c>
      <c r="CA202" t="inlineStr">
        <is>
          <t>NOR</t>
        </is>
      </c>
      <c r="CB202" t="inlineStr">
        <is>
          <t>NOR</t>
        </is>
      </c>
      <c r="CC202" t="inlineStr">
        <is>
          <t>NOR</t>
        </is>
      </c>
      <c r="CD202" t="inlineStr">
        <is>
          <t>NOR</t>
        </is>
      </c>
      <c r="CE202" t="inlineStr">
        <is>
          <t>NOR</t>
        </is>
      </c>
      <c r="CF202" t="inlineStr">
        <is>
          <t>NOR</t>
        </is>
      </c>
      <c r="CG202" t="inlineStr">
        <is>
          <t>NOR</t>
        </is>
      </c>
      <c r="CH202" t="inlineStr">
        <is>
          <t>NOR</t>
        </is>
      </c>
      <c r="CI202" t="inlineStr">
        <is>
          <t>SWE</t>
        </is>
      </c>
      <c r="CJ202" t="inlineStr">
        <is>
          <t>SWE</t>
        </is>
      </c>
      <c r="CK202" t="inlineStr">
        <is>
          <t>SWE</t>
        </is>
      </c>
      <c r="CL202" t="inlineStr">
        <is>
          <t>SWE</t>
        </is>
      </c>
      <c r="CM202" t="inlineStr">
        <is>
          <t>SWE</t>
        </is>
      </c>
      <c r="CN202" t="inlineStr">
        <is>
          <t>SWE</t>
        </is>
      </c>
      <c r="CO202" t="inlineStr">
        <is>
          <t>SWE</t>
        </is>
      </c>
      <c r="CP202" t="inlineStr">
        <is>
          <t>SWE</t>
        </is>
      </c>
      <c r="CQ202" t="inlineStr">
        <is>
          <t>SWE</t>
        </is>
      </c>
      <c r="CR202" t="inlineStr">
        <is>
          <t>SWE</t>
        </is>
      </c>
      <c r="CS202" t="inlineStr">
        <is>
          <t>SWE</t>
        </is>
      </c>
      <c r="CT202" t="inlineStr">
        <is>
          <t>SWE</t>
        </is>
      </c>
      <c r="DC202" t="inlineStr">
        <is>
          <t>FIN</t>
        </is>
      </c>
      <c r="DD202" t="inlineStr">
        <is>
          <t>FIN</t>
        </is>
      </c>
      <c r="DE202" t="inlineStr">
        <is>
          <t>FIN</t>
        </is>
      </c>
      <c r="DF202" t="inlineStr">
        <is>
          <t>FIN</t>
        </is>
      </c>
      <c r="DG202" t="inlineStr">
        <is>
          <t>FIN</t>
        </is>
      </c>
      <c r="DH202" t="inlineStr">
        <is>
          <t>FIN</t>
        </is>
      </c>
      <c r="DO202" t="inlineStr">
        <is>
          <t>RUS</t>
        </is>
      </c>
      <c r="DP202" t="inlineStr">
        <is>
          <t>RUS</t>
        </is>
      </c>
      <c r="DQ202" t="inlineStr">
        <is>
          <t>RUS</t>
        </is>
      </c>
      <c r="DR202" t="inlineStr">
        <is>
          <t>RUS</t>
        </is>
      </c>
      <c r="DS202" t="inlineStr">
        <is>
          <t>RUS</t>
        </is>
      </c>
      <c r="DT202" t="inlineStr">
        <is>
          <t>RUS</t>
        </is>
      </c>
      <c r="DU202" t="inlineStr">
        <is>
          <t>RUS</t>
        </is>
      </c>
      <c r="DV202" t="inlineStr">
        <is>
          <t>RUS</t>
        </is>
      </c>
      <c r="DW202" t="inlineStr">
        <is>
          <t>RUS</t>
        </is>
      </c>
      <c r="DX202" t="inlineStr">
        <is>
          <t>RUS</t>
        </is>
      </c>
      <c r="DY202" t="inlineStr">
        <is>
          <t>RUS</t>
        </is>
      </c>
      <c r="DZ202" t="inlineStr">
        <is>
          <t>RUS</t>
        </is>
      </c>
      <c r="EA202" t="inlineStr">
        <is>
          <t>RUS</t>
        </is>
      </c>
      <c r="EB202" t="inlineStr">
        <is>
          <t>RUS</t>
        </is>
      </c>
      <c r="EC202" t="inlineStr">
        <is>
          <t>RUS</t>
        </is>
      </c>
      <c r="ED202" t="inlineStr">
        <is>
          <t>RUS</t>
        </is>
      </c>
      <c r="EE202" t="inlineStr">
        <is>
          <t>RUS</t>
        </is>
      </c>
      <c r="EF202" t="inlineStr">
        <is>
          <t>RUS</t>
        </is>
      </c>
      <c r="EG202" t="inlineStr">
        <is>
          <t>RUS</t>
        </is>
      </c>
      <c r="EH202" t="inlineStr">
        <is>
          <t>RUS</t>
        </is>
      </c>
      <c r="EI202" t="inlineStr">
        <is>
          <t>RUS</t>
        </is>
      </c>
      <c r="EJ202" t="inlineStr">
        <is>
          <t>RUS</t>
        </is>
      </c>
      <c r="EK202" t="inlineStr">
        <is>
          <t>RUS</t>
        </is>
      </c>
      <c r="EL202" t="inlineStr">
        <is>
          <t>RUS</t>
        </is>
      </c>
      <c r="EM202" t="inlineStr">
        <is>
          <t>RUS</t>
        </is>
      </c>
      <c r="EN202" t="inlineStr">
        <is>
          <t>RUS</t>
        </is>
      </c>
      <c r="EO202" t="inlineStr">
        <is>
          <t>RUS</t>
        </is>
      </c>
      <c r="EP202" t="inlineStr">
        <is>
          <t>RUS</t>
        </is>
      </c>
      <c r="EQ202" t="inlineStr">
        <is>
          <t>RUS</t>
        </is>
      </c>
      <c r="ER202" t="inlineStr">
        <is>
          <t>RUS</t>
        </is>
      </c>
      <c r="ES202" t="inlineStr">
        <is>
          <t>RUS</t>
        </is>
      </c>
      <c r="ET202" t="inlineStr">
        <is>
          <t>RUS</t>
        </is>
      </c>
      <c r="EU202" t="inlineStr">
        <is>
          <t>RUS</t>
        </is>
      </c>
      <c r="EV202" t="inlineStr">
        <is>
          <t>RUS</t>
        </is>
      </c>
      <c r="EW202" t="inlineStr">
        <is>
          <t>RUS</t>
        </is>
      </c>
      <c r="EX202" t="inlineStr">
        <is>
          <t>RUS</t>
        </is>
      </c>
      <c r="EY202" t="inlineStr">
        <is>
          <t>RUS</t>
        </is>
      </c>
      <c r="EZ202" t="inlineStr">
        <is>
          <t>RUS</t>
        </is>
      </c>
      <c r="FA202" t="inlineStr">
        <is>
          <t>RUS</t>
        </is>
      </c>
      <c r="FB202" t="inlineStr">
        <is>
          <t>RUS</t>
        </is>
      </c>
      <c r="FC202" t="inlineStr">
        <is>
          <t>RUS</t>
        </is>
      </c>
      <c r="FD202" t="inlineStr">
        <is>
          <t>RUS</t>
        </is>
      </c>
      <c r="FE202" t="inlineStr">
        <is>
          <t>RUS</t>
        </is>
      </c>
      <c r="FF202" t="inlineStr">
        <is>
          <t>RUS</t>
        </is>
      </c>
      <c r="FG202" t="inlineStr">
        <is>
          <t>RUS</t>
        </is>
      </c>
      <c r="FH202" t="inlineStr">
        <is>
          <t>RUS</t>
        </is>
      </c>
      <c r="FI202" t="inlineStr">
        <is>
          <t>RUS</t>
        </is>
      </c>
      <c r="FJ202" t="inlineStr">
        <is>
          <t>RUS</t>
        </is>
      </c>
      <c r="FK202" t="inlineStr">
        <is>
          <t>RUS</t>
        </is>
      </c>
      <c r="FL202" t="inlineStr">
        <is>
          <t>RUS</t>
        </is>
      </c>
      <c r="FM202" t="inlineStr">
        <is>
          <t>RUS</t>
        </is>
      </c>
      <c r="FN202" t="inlineStr">
        <is>
          <t>RUS</t>
        </is>
      </c>
      <c r="FO202" t="inlineStr">
        <is>
          <t>RUS</t>
        </is>
      </c>
      <c r="FP202" t="inlineStr">
        <is>
          <t>RUS</t>
        </is>
      </c>
      <c r="FQ202" t="inlineStr">
        <is>
          <t>RUS</t>
        </is>
      </c>
      <c r="FR202" t="inlineStr">
        <is>
          <t>RUS</t>
        </is>
      </c>
      <c r="FS202" t="inlineStr">
        <is>
          <t>RUS</t>
        </is>
      </c>
      <c r="FT202" t="inlineStr">
        <is>
          <t>RUS</t>
        </is>
      </c>
      <c r="FU202" t="inlineStr">
        <is>
          <t>RUS</t>
        </is>
      </c>
      <c r="FV202" t="inlineStr">
        <is>
          <t>RUS</t>
        </is>
      </c>
      <c r="FW202" t="inlineStr">
        <is>
          <t>RUS</t>
        </is>
      </c>
      <c r="FX202" t="inlineStr">
        <is>
          <t>RUS</t>
        </is>
      </c>
      <c r="FY202" t="inlineStr">
        <is>
          <t>RUS</t>
        </is>
      </c>
      <c r="FZ202" t="inlineStr">
        <is>
          <t>RUS</t>
        </is>
      </c>
      <c r="GA202" t="inlineStr">
        <is>
          <t>RUS</t>
        </is>
      </c>
      <c r="GB202" t="inlineStr">
        <is>
          <t>RUS</t>
        </is>
      </c>
      <c r="GC202" t="inlineStr">
        <is>
          <t>RUS</t>
        </is>
      </c>
      <c r="GD202" t="inlineStr">
        <is>
          <t>RUS</t>
        </is>
      </c>
      <c r="GE202" t="inlineStr">
        <is>
          <t>RUS</t>
        </is>
      </c>
      <c r="GF202" t="inlineStr">
        <is>
          <t>RUS</t>
        </is>
      </c>
      <c r="GG202" t="inlineStr">
        <is>
          <t>RUS</t>
        </is>
      </c>
      <c r="GH202" t="inlineStr">
        <is>
          <t>RUS</t>
        </is>
      </c>
      <c r="GI202" t="inlineStr">
        <is>
          <t>RUS</t>
        </is>
      </c>
      <c r="GJ202" t="inlineStr">
        <is>
          <t>RUS</t>
        </is>
      </c>
      <c r="GK202" t="inlineStr">
        <is>
          <t>RUS</t>
        </is>
      </c>
      <c r="GL202" t="inlineStr">
        <is>
          <t>RUS</t>
        </is>
      </c>
      <c r="GM202" t="inlineStr">
        <is>
          <t>RUS</t>
        </is>
      </c>
      <c r="GN202" t="inlineStr">
        <is>
          <t>RUS</t>
        </is>
      </c>
      <c r="GO202" t="inlineStr">
        <is>
          <t>RUS</t>
        </is>
      </c>
      <c r="GP202" t="inlineStr">
        <is>
          <t>RUS</t>
        </is>
      </c>
      <c r="GQ202" t="inlineStr">
        <is>
          <t>RUS</t>
        </is>
      </c>
      <c r="GR202" t="inlineStr">
        <is>
          <t>RUS</t>
        </is>
      </c>
      <c r="GS202" t="inlineStr">
        <is>
          <t>RUS</t>
        </is>
      </c>
      <c r="GT202" t="inlineStr">
        <is>
          <t>RUS</t>
        </is>
      </c>
      <c r="GU202" t="inlineStr">
        <is>
          <t>RUS</t>
        </is>
      </c>
      <c r="GV202" t="inlineStr">
        <is>
          <t>RUS</t>
        </is>
      </c>
      <c r="GW202" t="inlineStr">
        <is>
          <t>RUS</t>
        </is>
      </c>
      <c r="GX202" t="inlineStr">
        <is>
          <t>RUS</t>
        </is>
      </c>
      <c r="GY202" t="inlineStr">
        <is>
          <t>RUS</t>
        </is>
      </c>
      <c r="GZ202" t="inlineStr">
        <is>
          <t>RUS</t>
        </is>
      </c>
      <c r="HA202" t="inlineStr">
        <is>
          <t>RUS</t>
        </is>
      </c>
      <c r="HB202" t="inlineStr">
        <is>
          <t>RUS</t>
        </is>
      </c>
      <c r="HC202" t="inlineStr">
        <is>
          <t>RUS</t>
        </is>
      </c>
      <c r="HD202" t="inlineStr">
        <is>
          <t>RUS</t>
        </is>
      </c>
      <c r="HE202" t="inlineStr">
        <is>
          <t>RUS</t>
        </is>
      </c>
      <c r="HF202" t="inlineStr">
        <is>
          <t>RUS</t>
        </is>
      </c>
      <c r="HG202" t="inlineStr">
        <is>
          <t>RUS</t>
        </is>
      </c>
      <c r="HH202" t="inlineStr">
        <is>
          <t>RUS</t>
        </is>
      </c>
      <c r="HI202" t="inlineStr">
        <is>
          <t>RUS</t>
        </is>
      </c>
      <c r="HJ202" t="inlineStr">
        <is>
          <t>RUS</t>
        </is>
      </c>
      <c r="HK202" t="inlineStr">
        <is>
          <t>RUS</t>
        </is>
      </c>
      <c r="HL202" t="inlineStr">
        <is>
          <t>RUS</t>
        </is>
      </c>
      <c r="HM202" t="inlineStr">
        <is>
          <t>RUS</t>
        </is>
      </c>
      <c r="HN202" t="inlineStr">
        <is>
          <t>RUS</t>
        </is>
      </c>
      <c r="HO202" t="inlineStr">
        <is>
          <t>RUS</t>
        </is>
      </c>
      <c r="HP202" t="inlineStr">
        <is>
          <t>RUS</t>
        </is>
      </c>
      <c r="HQ202" t="inlineStr">
        <is>
          <t>RUS</t>
        </is>
      </c>
      <c r="HR202" t="inlineStr">
        <is>
          <t>RUS</t>
        </is>
      </c>
      <c r="HS202" t="inlineStr">
        <is>
          <t>RUS</t>
        </is>
      </c>
      <c r="HT202" t="inlineStr">
        <is>
          <t>RUS</t>
        </is>
      </c>
      <c r="HU202" t="inlineStr">
        <is>
          <t>RUS</t>
        </is>
      </c>
      <c r="HV202" t="inlineStr">
        <is>
          <t>RUS</t>
        </is>
      </c>
      <c r="HW202" t="inlineStr">
        <is>
          <t>RUS</t>
        </is>
      </c>
      <c r="HX202" t="inlineStr">
        <is>
          <t>RUS</t>
        </is>
      </c>
      <c r="HY202" t="inlineStr">
        <is>
          <t>RUS</t>
        </is>
      </c>
      <c r="HZ202" t="inlineStr">
        <is>
          <t>RUS</t>
        </is>
      </c>
      <c r="IA202" t="inlineStr">
        <is>
          <t>RUS</t>
        </is>
      </c>
      <c r="IB202" t="inlineStr">
        <is>
          <t>RUS</t>
        </is>
      </c>
      <c r="IC202" t="inlineStr">
        <is>
          <t>RUS</t>
        </is>
      </c>
      <c r="ID202" t="inlineStr">
        <is>
          <t>RUS</t>
        </is>
      </c>
      <c r="IE202" t="inlineStr">
        <is>
          <t>RUS</t>
        </is>
      </c>
      <c r="IF202" t="inlineStr">
        <is>
          <t>RUS</t>
        </is>
      </c>
      <c r="IG202" t="inlineStr">
        <is>
          <t>RUS</t>
        </is>
      </c>
      <c r="IH202" t="inlineStr">
        <is>
          <t>RUS</t>
        </is>
      </c>
      <c r="II202" t="inlineStr">
        <is>
          <t>RUS</t>
        </is>
      </c>
      <c r="IJ202" t="inlineStr">
        <is>
          <t>RUS</t>
        </is>
      </c>
      <c r="IK202" t="inlineStr">
        <is>
          <t>RUS</t>
        </is>
      </c>
      <c r="IL202" t="inlineStr">
        <is>
          <t>RUS</t>
        </is>
      </c>
      <c r="IM202" t="inlineStr">
        <is>
          <t>RUS</t>
        </is>
      </c>
      <c r="IN202" t="inlineStr">
        <is>
          <t>RUS</t>
        </is>
      </c>
      <c r="IO202" t="inlineStr">
        <is>
          <t>RUS</t>
        </is>
      </c>
      <c r="IP202" t="inlineStr">
        <is>
          <t>RUS</t>
        </is>
      </c>
      <c r="IQ202" t="inlineStr">
        <is>
          <t>RUS</t>
        </is>
      </c>
      <c r="IR202" t="inlineStr">
        <is>
          <t>RUS</t>
        </is>
      </c>
      <c r="IS202" t="inlineStr">
        <is>
          <t>RUS</t>
        </is>
      </c>
      <c r="IT202" t="inlineStr">
        <is>
          <t>RUS</t>
        </is>
      </c>
      <c r="IU202" t="inlineStr">
        <is>
          <t>RUS</t>
        </is>
      </c>
      <c r="IV202" t="inlineStr">
        <is>
          <t>RUS</t>
        </is>
      </c>
      <c r="IW202" t="inlineStr">
        <is>
          <t>RUS</t>
        </is>
      </c>
      <c r="IX202" t="inlineStr">
        <is>
          <t>RUS</t>
        </is>
      </c>
      <c r="IY202" t="inlineStr">
        <is>
          <t>RUS</t>
        </is>
      </c>
      <c r="IZ202" t="inlineStr">
        <is>
          <t>RUS</t>
        </is>
      </c>
      <c r="JA202" t="inlineStr">
        <is>
          <t>RUS</t>
        </is>
      </c>
      <c r="JB202" t="inlineStr">
        <is>
          <t>RUS</t>
        </is>
      </c>
      <c r="JC202" t="inlineStr">
        <is>
          <t>RUS</t>
        </is>
      </c>
      <c r="JD202" t="inlineStr">
        <is>
          <t>RUS</t>
        </is>
      </c>
      <c r="JE202" t="inlineStr">
        <is>
          <t>RUS</t>
        </is>
      </c>
      <c r="JF202" t="inlineStr">
        <is>
          <t>RUS</t>
        </is>
      </c>
      <c r="JG202" t="inlineStr">
        <is>
          <t>RUS</t>
        </is>
      </c>
      <c r="JH202" t="inlineStr">
        <is>
          <t>RUS</t>
        </is>
      </c>
      <c r="JI202" t="inlineStr">
        <is>
          <t>RUS</t>
        </is>
      </c>
      <c r="JJ202" t="inlineStr">
        <is>
          <t>RUS</t>
        </is>
      </c>
      <c r="JK202" t="inlineStr">
        <is>
          <t>RUS</t>
        </is>
      </c>
      <c r="JL202" t="inlineStr">
        <is>
          <t>RUS</t>
        </is>
      </c>
      <c r="JM202" t="inlineStr">
        <is>
          <t>RUS</t>
        </is>
      </c>
      <c r="JN202" t="inlineStr">
        <is>
          <t>RUS</t>
        </is>
      </c>
      <c r="JO202" t="inlineStr">
        <is>
          <t>RUS</t>
        </is>
      </c>
      <c r="JP202" t="inlineStr">
        <is>
          <t>RUS</t>
        </is>
      </c>
      <c r="JQ202" t="inlineStr">
        <is>
          <t>RUS</t>
        </is>
      </c>
      <c r="JR202" t="inlineStr">
        <is>
          <t>RUS</t>
        </is>
      </c>
      <c r="JS202" t="inlineStr">
        <is>
          <t>RUS</t>
        </is>
      </c>
      <c r="JT202" t="inlineStr">
        <is>
          <t>RUS</t>
        </is>
      </c>
      <c r="JU202" t="inlineStr">
        <is>
          <t>RUS</t>
        </is>
      </c>
    </row>
    <row r="203">
      <c r="BT203" t="inlineStr">
        <is>
          <t>NOR</t>
        </is>
      </c>
      <c r="BU203" t="inlineStr">
        <is>
          <t>NOR</t>
        </is>
      </c>
      <c r="BV203" t="inlineStr">
        <is>
          <t>NOR</t>
        </is>
      </c>
      <c r="BW203" t="inlineStr">
        <is>
          <t>NOR</t>
        </is>
      </c>
      <c r="BX203" t="inlineStr">
        <is>
          <t>NOR</t>
        </is>
      </c>
      <c r="BY203" t="inlineStr">
        <is>
          <t>NOR</t>
        </is>
      </c>
      <c r="BZ203" t="inlineStr">
        <is>
          <t>NOR</t>
        </is>
      </c>
      <c r="CA203" t="inlineStr">
        <is>
          <t>NOR</t>
        </is>
      </c>
      <c r="CB203" t="inlineStr">
        <is>
          <t>NOR</t>
        </is>
      </c>
      <c r="CC203" t="inlineStr">
        <is>
          <t>NOR</t>
        </is>
      </c>
      <c r="CD203" t="inlineStr">
        <is>
          <t>NOR</t>
        </is>
      </c>
      <c r="CE203" t="inlineStr">
        <is>
          <t>NOR</t>
        </is>
      </c>
      <c r="CF203" t="inlineStr">
        <is>
          <t>NOR</t>
        </is>
      </c>
      <c r="CG203" t="inlineStr">
        <is>
          <t>NOR</t>
        </is>
      </c>
      <c r="CH203" t="inlineStr">
        <is>
          <t>NOR</t>
        </is>
      </c>
      <c r="CI203" t="inlineStr">
        <is>
          <t>SWE</t>
        </is>
      </c>
      <c r="CJ203" t="inlineStr">
        <is>
          <t>SWE</t>
        </is>
      </c>
      <c r="CK203" t="inlineStr">
        <is>
          <t>SWE</t>
        </is>
      </c>
      <c r="CL203" t="inlineStr">
        <is>
          <t>SWE</t>
        </is>
      </c>
      <c r="CM203" t="inlineStr">
        <is>
          <t>SWE</t>
        </is>
      </c>
      <c r="CN203" t="inlineStr">
        <is>
          <t>SWE</t>
        </is>
      </c>
      <c r="CO203" t="inlineStr">
        <is>
          <t>SWE</t>
        </is>
      </c>
      <c r="CP203" t="inlineStr">
        <is>
          <t>SWE</t>
        </is>
      </c>
      <c r="CQ203" t="inlineStr">
        <is>
          <t>SWE</t>
        </is>
      </c>
      <c r="CR203" t="inlineStr">
        <is>
          <t>SWE</t>
        </is>
      </c>
      <c r="DA203" t="inlineStr">
        <is>
          <t>FIN</t>
        </is>
      </c>
      <c r="DB203" t="inlineStr">
        <is>
          <t>FIN</t>
        </is>
      </c>
      <c r="DC203" t="inlineStr">
        <is>
          <t>FIN</t>
        </is>
      </c>
      <c r="DD203" t="inlineStr">
        <is>
          <t>FIN</t>
        </is>
      </c>
      <c r="DE203" t="inlineStr">
        <is>
          <t>FIN</t>
        </is>
      </c>
      <c r="DF203" t="inlineStr">
        <is>
          <t>FIN</t>
        </is>
      </c>
      <c r="DG203" t="inlineStr">
        <is>
          <t>FIN</t>
        </is>
      </c>
      <c r="DH203" t="inlineStr">
        <is>
          <t>FIN</t>
        </is>
      </c>
      <c r="DI203" t="inlineStr">
        <is>
          <t>FIN</t>
        </is>
      </c>
      <c r="DJ203" t="inlineStr">
        <is>
          <t>FIN</t>
        </is>
      </c>
      <c r="DK203" t="inlineStr">
        <is>
          <t>FIN</t>
        </is>
      </c>
      <c r="DL203" t="inlineStr">
        <is>
          <t>FIN</t>
        </is>
      </c>
      <c r="DM203" t="inlineStr">
        <is>
          <t>FIN</t>
        </is>
      </c>
      <c r="DN203" t="inlineStr">
        <is>
          <t>FIN</t>
        </is>
      </c>
      <c r="DO203" t="inlineStr">
        <is>
          <t>RUS</t>
        </is>
      </c>
      <c r="DP203" t="inlineStr">
        <is>
          <t>RUS</t>
        </is>
      </c>
      <c r="DQ203" t="inlineStr">
        <is>
          <t>RUS</t>
        </is>
      </c>
      <c r="DR203" t="inlineStr">
        <is>
          <t>RUS</t>
        </is>
      </c>
      <c r="DS203" t="inlineStr">
        <is>
          <t>RUS</t>
        </is>
      </c>
      <c r="DT203" t="inlineStr">
        <is>
          <t>RUS</t>
        </is>
      </c>
      <c r="DU203" t="inlineStr">
        <is>
          <t>RUS</t>
        </is>
      </c>
      <c r="DV203" t="inlineStr">
        <is>
          <t>RUS</t>
        </is>
      </c>
      <c r="DW203" t="inlineStr">
        <is>
          <t>RUS</t>
        </is>
      </c>
      <c r="DX203" t="inlineStr">
        <is>
          <t>RUS</t>
        </is>
      </c>
      <c r="DY203" t="inlineStr">
        <is>
          <t>RUS</t>
        </is>
      </c>
      <c r="DZ203" t="inlineStr">
        <is>
          <t>RUS</t>
        </is>
      </c>
      <c r="EA203" t="inlineStr">
        <is>
          <t>RUS</t>
        </is>
      </c>
      <c r="EB203" t="inlineStr">
        <is>
          <t>RUS</t>
        </is>
      </c>
      <c r="EC203" t="inlineStr">
        <is>
          <t>RUS</t>
        </is>
      </c>
      <c r="ED203" t="inlineStr">
        <is>
          <t>RUS</t>
        </is>
      </c>
      <c r="EE203" t="inlineStr">
        <is>
          <t>RUS</t>
        </is>
      </c>
      <c r="EF203" t="inlineStr">
        <is>
          <t>RUS</t>
        </is>
      </c>
      <c r="EG203" t="inlineStr">
        <is>
          <t>RUS</t>
        </is>
      </c>
      <c r="EH203" t="inlineStr">
        <is>
          <t>RUS</t>
        </is>
      </c>
      <c r="EI203" t="inlineStr">
        <is>
          <t>RUS</t>
        </is>
      </c>
      <c r="EJ203" t="inlineStr">
        <is>
          <t>RUS</t>
        </is>
      </c>
      <c r="EK203" t="inlineStr">
        <is>
          <t>RUS</t>
        </is>
      </c>
      <c r="EL203" t="inlineStr">
        <is>
          <t>RUS</t>
        </is>
      </c>
      <c r="EM203" t="inlineStr">
        <is>
          <t>RUS</t>
        </is>
      </c>
      <c r="EN203" t="inlineStr">
        <is>
          <t>RUS</t>
        </is>
      </c>
      <c r="EO203" t="inlineStr">
        <is>
          <t>RUS</t>
        </is>
      </c>
      <c r="EP203" t="inlineStr">
        <is>
          <t>RUS</t>
        </is>
      </c>
      <c r="EQ203" t="inlineStr">
        <is>
          <t>RUS</t>
        </is>
      </c>
      <c r="ER203" t="inlineStr">
        <is>
          <t>RUS</t>
        </is>
      </c>
      <c r="ES203" t="inlineStr">
        <is>
          <t>RUS</t>
        </is>
      </c>
      <c r="ET203" t="inlineStr">
        <is>
          <t>RUS</t>
        </is>
      </c>
      <c r="EU203" t="inlineStr">
        <is>
          <t>RUS</t>
        </is>
      </c>
      <c r="EV203" t="inlineStr">
        <is>
          <t>RUS</t>
        </is>
      </c>
      <c r="EW203" t="inlineStr">
        <is>
          <t>RUS</t>
        </is>
      </c>
      <c r="EX203" t="inlineStr">
        <is>
          <t>RUS</t>
        </is>
      </c>
      <c r="EY203" t="inlineStr">
        <is>
          <t>RUS</t>
        </is>
      </c>
      <c r="EZ203" t="inlineStr">
        <is>
          <t>RUS</t>
        </is>
      </c>
      <c r="FA203" t="inlineStr">
        <is>
          <t>RUS</t>
        </is>
      </c>
      <c r="FB203" t="inlineStr">
        <is>
          <t>RUS</t>
        </is>
      </c>
      <c r="FC203" t="inlineStr">
        <is>
          <t>RUS</t>
        </is>
      </c>
      <c r="FD203" t="inlineStr">
        <is>
          <t>RUS</t>
        </is>
      </c>
      <c r="FE203" t="inlineStr">
        <is>
          <t>RUS</t>
        </is>
      </c>
      <c r="FF203" t="inlineStr">
        <is>
          <t>RUS</t>
        </is>
      </c>
      <c r="FG203" t="inlineStr">
        <is>
          <t>RUS</t>
        </is>
      </c>
      <c r="FH203" t="inlineStr">
        <is>
          <t>RUS</t>
        </is>
      </c>
      <c r="FI203" t="inlineStr">
        <is>
          <t>RUS</t>
        </is>
      </c>
      <c r="FJ203" t="inlineStr">
        <is>
          <t>RUS</t>
        </is>
      </c>
      <c r="FK203" t="inlineStr">
        <is>
          <t>RUS</t>
        </is>
      </c>
      <c r="FL203" t="inlineStr">
        <is>
          <t>RUS</t>
        </is>
      </c>
      <c r="FM203" t="inlineStr">
        <is>
          <t>RUS</t>
        </is>
      </c>
      <c r="FN203" t="inlineStr">
        <is>
          <t>RUS</t>
        </is>
      </c>
      <c r="FO203" t="inlineStr">
        <is>
          <t>RUS</t>
        </is>
      </c>
      <c r="FP203" t="inlineStr">
        <is>
          <t>RUS</t>
        </is>
      </c>
      <c r="FQ203" t="inlineStr">
        <is>
          <t>RUS</t>
        </is>
      </c>
      <c r="FR203" t="inlineStr">
        <is>
          <t>RUS</t>
        </is>
      </c>
      <c r="FS203" t="inlineStr">
        <is>
          <t>RUS</t>
        </is>
      </c>
      <c r="FT203" t="inlineStr">
        <is>
          <t>RUS</t>
        </is>
      </c>
      <c r="FU203" t="inlineStr">
        <is>
          <t>RUS</t>
        </is>
      </c>
      <c r="FV203" t="inlineStr">
        <is>
          <t>RUS</t>
        </is>
      </c>
      <c r="FW203" t="inlineStr">
        <is>
          <t>RUS</t>
        </is>
      </c>
      <c r="FX203" t="inlineStr">
        <is>
          <t>RUS</t>
        </is>
      </c>
      <c r="FY203" t="inlineStr">
        <is>
          <t>RUS</t>
        </is>
      </c>
      <c r="FZ203" t="inlineStr">
        <is>
          <t>RUS</t>
        </is>
      </c>
      <c r="GA203" t="inlineStr">
        <is>
          <t>RUS</t>
        </is>
      </c>
      <c r="GB203" t="inlineStr">
        <is>
          <t>RUS</t>
        </is>
      </c>
      <c r="GC203" t="inlineStr">
        <is>
          <t>RUS</t>
        </is>
      </c>
      <c r="GD203" t="inlineStr">
        <is>
          <t>RUS</t>
        </is>
      </c>
      <c r="GE203" t="inlineStr">
        <is>
          <t>RUS</t>
        </is>
      </c>
      <c r="GF203" t="inlineStr">
        <is>
          <t>RUS</t>
        </is>
      </c>
      <c r="GG203" t="inlineStr">
        <is>
          <t>RUS</t>
        </is>
      </c>
      <c r="GH203" t="inlineStr">
        <is>
          <t>RUS</t>
        </is>
      </c>
      <c r="GI203" t="inlineStr">
        <is>
          <t>RUS</t>
        </is>
      </c>
      <c r="GJ203" t="inlineStr">
        <is>
          <t>RUS</t>
        </is>
      </c>
      <c r="GK203" t="inlineStr">
        <is>
          <t>RUS</t>
        </is>
      </c>
      <c r="GL203" t="inlineStr">
        <is>
          <t>RUS</t>
        </is>
      </c>
      <c r="GM203" t="inlineStr">
        <is>
          <t>RUS</t>
        </is>
      </c>
      <c r="GN203" t="inlineStr">
        <is>
          <t>RUS</t>
        </is>
      </c>
      <c r="GO203" t="inlineStr">
        <is>
          <t>RUS</t>
        </is>
      </c>
      <c r="GP203" t="inlineStr">
        <is>
          <t>RUS</t>
        </is>
      </c>
      <c r="GQ203" t="inlineStr">
        <is>
          <t>RUS</t>
        </is>
      </c>
      <c r="GR203" t="inlineStr">
        <is>
          <t>RUS</t>
        </is>
      </c>
      <c r="GS203" t="inlineStr">
        <is>
          <t>RUS</t>
        </is>
      </c>
      <c r="GT203" t="inlineStr">
        <is>
          <t>RUS</t>
        </is>
      </c>
      <c r="GU203" t="inlineStr">
        <is>
          <t>RUS</t>
        </is>
      </c>
      <c r="GV203" t="inlineStr">
        <is>
          <t>RUS</t>
        </is>
      </c>
      <c r="GW203" t="inlineStr">
        <is>
          <t>RUS</t>
        </is>
      </c>
      <c r="GX203" t="inlineStr">
        <is>
          <t>RUS</t>
        </is>
      </c>
      <c r="GY203" t="inlineStr">
        <is>
          <t>RUS</t>
        </is>
      </c>
      <c r="GZ203" t="inlineStr">
        <is>
          <t>RUS</t>
        </is>
      </c>
      <c r="HA203" t="inlineStr">
        <is>
          <t>RUS</t>
        </is>
      </c>
      <c r="HB203" t="inlineStr">
        <is>
          <t>RUS</t>
        </is>
      </c>
      <c r="HC203" t="inlineStr">
        <is>
          <t>RUS</t>
        </is>
      </c>
      <c r="HD203" t="inlineStr">
        <is>
          <t>RUS</t>
        </is>
      </c>
      <c r="HE203" t="inlineStr">
        <is>
          <t>RUS</t>
        </is>
      </c>
      <c r="HF203" t="inlineStr">
        <is>
          <t>RUS</t>
        </is>
      </c>
      <c r="HG203" t="inlineStr">
        <is>
          <t>RUS</t>
        </is>
      </c>
      <c r="HH203" t="inlineStr">
        <is>
          <t>RUS</t>
        </is>
      </c>
      <c r="HI203" t="inlineStr">
        <is>
          <t>RUS</t>
        </is>
      </c>
      <c r="HJ203" t="inlineStr">
        <is>
          <t>RUS</t>
        </is>
      </c>
      <c r="HK203" t="inlineStr">
        <is>
          <t>RUS</t>
        </is>
      </c>
      <c r="HL203" t="inlineStr">
        <is>
          <t>RUS</t>
        </is>
      </c>
      <c r="HM203" t="inlineStr">
        <is>
          <t>RUS</t>
        </is>
      </c>
      <c r="HN203" t="inlineStr">
        <is>
          <t>RUS</t>
        </is>
      </c>
      <c r="HO203" t="inlineStr">
        <is>
          <t>RUS</t>
        </is>
      </c>
      <c r="HP203" t="inlineStr">
        <is>
          <t>RUS</t>
        </is>
      </c>
      <c r="HQ203" t="inlineStr">
        <is>
          <t>RUS</t>
        </is>
      </c>
      <c r="HR203" t="inlineStr">
        <is>
          <t>RUS</t>
        </is>
      </c>
      <c r="HS203" t="inlineStr">
        <is>
          <t>RUS</t>
        </is>
      </c>
      <c r="HT203" t="inlineStr">
        <is>
          <t>RUS</t>
        </is>
      </c>
      <c r="HU203" t="inlineStr">
        <is>
          <t>RUS</t>
        </is>
      </c>
      <c r="HV203" t="inlineStr">
        <is>
          <t>RUS</t>
        </is>
      </c>
      <c r="HW203" t="inlineStr">
        <is>
          <t>RUS</t>
        </is>
      </c>
      <c r="HX203" t="inlineStr">
        <is>
          <t>RUS</t>
        </is>
      </c>
      <c r="HY203" t="inlineStr">
        <is>
          <t>RUS</t>
        </is>
      </c>
      <c r="HZ203" t="inlineStr">
        <is>
          <t>RUS</t>
        </is>
      </c>
      <c r="IA203" t="inlineStr">
        <is>
          <t>RUS</t>
        </is>
      </c>
      <c r="IB203" t="inlineStr">
        <is>
          <t>RUS</t>
        </is>
      </c>
      <c r="IC203" t="inlineStr">
        <is>
          <t>RUS</t>
        </is>
      </c>
      <c r="ID203" t="inlineStr">
        <is>
          <t>RUS</t>
        </is>
      </c>
      <c r="IE203" t="inlineStr">
        <is>
          <t>RUS</t>
        </is>
      </c>
      <c r="IF203" t="inlineStr">
        <is>
          <t>RUS</t>
        </is>
      </c>
      <c r="IG203" t="inlineStr">
        <is>
          <t>RUS</t>
        </is>
      </c>
      <c r="IH203" t="inlineStr">
        <is>
          <t>RUS</t>
        </is>
      </c>
      <c r="II203" t="inlineStr">
        <is>
          <t>RUS</t>
        </is>
      </c>
      <c r="IJ203" t="inlineStr">
        <is>
          <t>RUS</t>
        </is>
      </c>
      <c r="IK203" t="inlineStr">
        <is>
          <t>RUS</t>
        </is>
      </c>
      <c r="IL203" t="inlineStr">
        <is>
          <t>RUS</t>
        </is>
      </c>
      <c r="IM203" t="inlineStr">
        <is>
          <t>RUS</t>
        </is>
      </c>
      <c r="IN203" t="inlineStr">
        <is>
          <t>RUS</t>
        </is>
      </c>
      <c r="IO203" t="inlineStr">
        <is>
          <t>RUS</t>
        </is>
      </c>
      <c r="IP203" t="inlineStr">
        <is>
          <t>RUS</t>
        </is>
      </c>
      <c r="IQ203" t="inlineStr">
        <is>
          <t>RUS</t>
        </is>
      </c>
      <c r="IR203" t="inlineStr">
        <is>
          <t>RUS</t>
        </is>
      </c>
      <c r="IS203" t="inlineStr">
        <is>
          <t>RUS</t>
        </is>
      </c>
      <c r="IT203" t="inlineStr">
        <is>
          <t>RUS</t>
        </is>
      </c>
      <c r="IU203" t="inlineStr">
        <is>
          <t>RUS</t>
        </is>
      </c>
      <c r="IV203" t="inlineStr">
        <is>
          <t>RUS</t>
        </is>
      </c>
      <c r="IW203" t="inlineStr">
        <is>
          <t>RUS</t>
        </is>
      </c>
      <c r="IX203" t="inlineStr">
        <is>
          <t>RUS</t>
        </is>
      </c>
      <c r="IY203" t="inlineStr">
        <is>
          <t>RUS</t>
        </is>
      </c>
      <c r="IZ203" t="inlineStr">
        <is>
          <t>RUS</t>
        </is>
      </c>
      <c r="JA203" t="inlineStr">
        <is>
          <t>RUS</t>
        </is>
      </c>
      <c r="JB203" t="inlineStr">
        <is>
          <t>RUS</t>
        </is>
      </c>
      <c r="JC203" t="inlineStr">
        <is>
          <t>RUS</t>
        </is>
      </c>
      <c r="JD203" t="inlineStr">
        <is>
          <t>RUS</t>
        </is>
      </c>
      <c r="JE203" t="inlineStr">
        <is>
          <t>RUS</t>
        </is>
      </c>
      <c r="JF203" t="inlineStr">
        <is>
          <t>RUS</t>
        </is>
      </c>
      <c r="JG203" t="inlineStr">
        <is>
          <t>RUS</t>
        </is>
      </c>
      <c r="JH203" t="inlineStr">
        <is>
          <t>RUS</t>
        </is>
      </c>
      <c r="JI203" t="inlineStr">
        <is>
          <t>RUS</t>
        </is>
      </c>
      <c r="JJ203" t="inlineStr">
        <is>
          <t>RUS</t>
        </is>
      </c>
      <c r="JK203" t="inlineStr">
        <is>
          <t>RUS</t>
        </is>
      </c>
      <c r="JL203" t="inlineStr">
        <is>
          <t>RUS</t>
        </is>
      </c>
      <c r="JM203" t="inlineStr">
        <is>
          <t>RUS</t>
        </is>
      </c>
      <c r="JN203" t="inlineStr">
        <is>
          <t>RUS</t>
        </is>
      </c>
      <c r="JO203" t="inlineStr">
        <is>
          <t>RUS</t>
        </is>
      </c>
      <c r="JP203" t="inlineStr">
        <is>
          <t>RUS</t>
        </is>
      </c>
      <c r="JQ203" t="inlineStr">
        <is>
          <t>RUS</t>
        </is>
      </c>
      <c r="JR203" t="inlineStr">
        <is>
          <t>RUS</t>
        </is>
      </c>
      <c r="JS203" t="inlineStr">
        <is>
          <t>RUS</t>
        </is>
      </c>
      <c r="JT203" t="inlineStr">
        <is>
          <t>RUS</t>
        </is>
      </c>
      <c r="JU203" t="inlineStr">
        <is>
          <t>RUS</t>
        </is>
      </c>
    </row>
    <row r="204">
      <c r="BT204" t="inlineStr">
        <is>
          <t>NOR</t>
        </is>
      </c>
      <c r="BU204" t="inlineStr">
        <is>
          <t>NOR</t>
        </is>
      </c>
      <c r="BV204" t="inlineStr">
        <is>
          <t>NOR</t>
        </is>
      </c>
      <c r="BW204" t="inlineStr">
        <is>
          <t>NOR</t>
        </is>
      </c>
      <c r="BX204" t="inlineStr">
        <is>
          <t>NOR</t>
        </is>
      </c>
      <c r="BY204" t="inlineStr">
        <is>
          <t>NOR</t>
        </is>
      </c>
      <c r="BZ204" t="inlineStr">
        <is>
          <t>NOR</t>
        </is>
      </c>
      <c r="CA204" t="inlineStr">
        <is>
          <t>NOR</t>
        </is>
      </c>
      <c r="CB204" t="inlineStr">
        <is>
          <t>NOR</t>
        </is>
      </c>
      <c r="CC204" t="inlineStr">
        <is>
          <t>NOR</t>
        </is>
      </c>
      <c r="CD204" t="inlineStr">
        <is>
          <t>NOR</t>
        </is>
      </c>
      <c r="CE204" t="inlineStr">
        <is>
          <t>NOR</t>
        </is>
      </c>
      <c r="CF204" t="inlineStr">
        <is>
          <t>NOR</t>
        </is>
      </c>
      <c r="CG204" t="inlineStr">
        <is>
          <t>NOR</t>
        </is>
      </c>
      <c r="CH204" t="inlineStr">
        <is>
          <t>NOR</t>
        </is>
      </c>
      <c r="CI204" t="inlineStr">
        <is>
          <t>SWE</t>
        </is>
      </c>
      <c r="CJ204" t="inlineStr">
        <is>
          <t>SWE</t>
        </is>
      </c>
      <c r="CK204" t="inlineStr">
        <is>
          <t>SWE</t>
        </is>
      </c>
      <c r="CL204" t="inlineStr">
        <is>
          <t>SWE</t>
        </is>
      </c>
      <c r="CM204" t="inlineStr">
        <is>
          <t>SWE</t>
        </is>
      </c>
      <c r="CN204" t="inlineStr">
        <is>
          <t>SWE</t>
        </is>
      </c>
      <c r="CO204" t="inlineStr">
        <is>
          <t>SWE</t>
        </is>
      </c>
      <c r="CP204" t="inlineStr">
        <is>
          <t>SWE</t>
        </is>
      </c>
      <c r="CQ204" t="inlineStr">
        <is>
          <t>SWE</t>
        </is>
      </c>
      <c r="DA204" t="inlineStr">
        <is>
          <t>FIN</t>
        </is>
      </c>
      <c r="DB204" t="inlineStr">
        <is>
          <t>FIN</t>
        </is>
      </c>
      <c r="DC204" t="inlineStr">
        <is>
          <t>FIN</t>
        </is>
      </c>
      <c r="DD204" t="inlineStr">
        <is>
          <t>FIN</t>
        </is>
      </c>
      <c r="DE204" t="inlineStr">
        <is>
          <t>FIN</t>
        </is>
      </c>
      <c r="DF204" t="inlineStr">
        <is>
          <t>FIN</t>
        </is>
      </c>
      <c r="DG204" t="inlineStr">
        <is>
          <t>FIN</t>
        </is>
      </c>
      <c r="DH204" t="inlineStr">
        <is>
          <t>FIN</t>
        </is>
      </c>
      <c r="DI204" t="inlineStr">
        <is>
          <t>FIN</t>
        </is>
      </c>
      <c r="DJ204" t="inlineStr">
        <is>
          <t>FIN</t>
        </is>
      </c>
      <c r="DK204" t="inlineStr">
        <is>
          <t>FIN</t>
        </is>
      </c>
      <c r="DL204" t="inlineStr">
        <is>
          <t>FIN</t>
        </is>
      </c>
      <c r="DM204" t="inlineStr">
        <is>
          <t>FIN</t>
        </is>
      </c>
      <c r="DN204" t="inlineStr">
        <is>
          <t>FIN</t>
        </is>
      </c>
      <c r="DO204" t="inlineStr">
        <is>
          <t>FIN</t>
        </is>
      </c>
      <c r="DP204" t="inlineStr">
        <is>
          <t>FIN</t>
        </is>
      </c>
      <c r="DQ204" t="inlineStr">
        <is>
          <t>RUS</t>
        </is>
      </c>
      <c r="DR204" t="inlineStr">
        <is>
          <t>RUS</t>
        </is>
      </c>
      <c r="DS204" t="inlineStr">
        <is>
          <t>RUS</t>
        </is>
      </c>
      <c r="DT204" t="inlineStr">
        <is>
          <t>RUS</t>
        </is>
      </c>
      <c r="DU204" t="inlineStr">
        <is>
          <t>RUS</t>
        </is>
      </c>
      <c r="DV204" t="inlineStr">
        <is>
          <t>RUS</t>
        </is>
      </c>
      <c r="DW204" t="inlineStr">
        <is>
          <t>RUS</t>
        </is>
      </c>
      <c r="DX204" t="inlineStr">
        <is>
          <t>RUS</t>
        </is>
      </c>
      <c r="DY204" t="inlineStr">
        <is>
          <t>RUS</t>
        </is>
      </c>
      <c r="DZ204" t="inlineStr">
        <is>
          <t>RUS</t>
        </is>
      </c>
      <c r="EA204" t="inlineStr">
        <is>
          <t>RUS</t>
        </is>
      </c>
      <c r="EB204" t="inlineStr">
        <is>
          <t>RUS</t>
        </is>
      </c>
      <c r="EC204" t="inlineStr">
        <is>
          <t>RUS</t>
        </is>
      </c>
      <c r="ED204" t="inlineStr">
        <is>
          <t>RUS</t>
        </is>
      </c>
      <c r="EE204" t="inlineStr">
        <is>
          <t>RUS</t>
        </is>
      </c>
      <c r="EF204" t="inlineStr">
        <is>
          <t>RUS</t>
        </is>
      </c>
      <c r="EG204" t="inlineStr">
        <is>
          <t>RUS</t>
        </is>
      </c>
      <c r="EH204" t="inlineStr">
        <is>
          <t>RUS</t>
        </is>
      </c>
      <c r="EI204" t="inlineStr">
        <is>
          <t>RUS</t>
        </is>
      </c>
      <c r="EJ204" t="inlineStr">
        <is>
          <t>RUS</t>
        </is>
      </c>
      <c r="EK204" t="inlineStr">
        <is>
          <t>RUS</t>
        </is>
      </c>
      <c r="EL204" t="inlineStr">
        <is>
          <t>RUS</t>
        </is>
      </c>
      <c r="EM204" t="inlineStr">
        <is>
          <t>RUS</t>
        </is>
      </c>
      <c r="EN204" t="inlineStr">
        <is>
          <t>RUS</t>
        </is>
      </c>
      <c r="EO204" t="inlineStr">
        <is>
          <t>RUS</t>
        </is>
      </c>
      <c r="EP204" t="inlineStr">
        <is>
          <t>RUS</t>
        </is>
      </c>
      <c r="EQ204" t="inlineStr">
        <is>
          <t>RUS</t>
        </is>
      </c>
      <c r="ER204" t="inlineStr">
        <is>
          <t>RUS</t>
        </is>
      </c>
      <c r="ES204" t="inlineStr">
        <is>
          <t>RUS</t>
        </is>
      </c>
      <c r="ET204" t="inlineStr">
        <is>
          <t>RUS</t>
        </is>
      </c>
      <c r="EU204" t="inlineStr">
        <is>
          <t>RUS</t>
        </is>
      </c>
      <c r="EV204" t="inlineStr">
        <is>
          <t>RUS</t>
        </is>
      </c>
      <c r="EW204" t="inlineStr">
        <is>
          <t>RUS</t>
        </is>
      </c>
      <c r="EX204" t="inlineStr">
        <is>
          <t>RUS</t>
        </is>
      </c>
      <c r="EY204" t="inlineStr">
        <is>
          <t>RUS</t>
        </is>
      </c>
      <c r="EZ204" t="inlineStr">
        <is>
          <t>RUS</t>
        </is>
      </c>
      <c r="FA204" t="inlineStr">
        <is>
          <t>RUS</t>
        </is>
      </c>
      <c r="FB204" t="inlineStr">
        <is>
          <t>RUS</t>
        </is>
      </c>
      <c r="FC204" t="inlineStr">
        <is>
          <t>RUS</t>
        </is>
      </c>
      <c r="FD204" t="inlineStr">
        <is>
          <t>RUS</t>
        </is>
      </c>
      <c r="FE204" t="inlineStr">
        <is>
          <t>RUS</t>
        </is>
      </c>
      <c r="FF204" t="inlineStr">
        <is>
          <t>RUS</t>
        </is>
      </c>
      <c r="FG204" t="inlineStr">
        <is>
          <t>RUS</t>
        </is>
      </c>
      <c r="FH204" t="inlineStr">
        <is>
          <t>RUS</t>
        </is>
      </c>
      <c r="FI204" t="inlineStr">
        <is>
          <t>RUS</t>
        </is>
      </c>
      <c r="FJ204" t="inlineStr">
        <is>
          <t>RUS</t>
        </is>
      </c>
      <c r="FK204" t="inlineStr">
        <is>
          <t>RUS</t>
        </is>
      </c>
      <c r="FL204" t="inlineStr">
        <is>
          <t>RUS</t>
        </is>
      </c>
      <c r="FM204" t="inlineStr">
        <is>
          <t>RUS</t>
        </is>
      </c>
      <c r="FN204" t="inlineStr">
        <is>
          <t>RUS</t>
        </is>
      </c>
      <c r="FO204" t="inlineStr">
        <is>
          <t>RUS</t>
        </is>
      </c>
      <c r="FP204" t="inlineStr">
        <is>
          <t>RUS</t>
        </is>
      </c>
      <c r="FQ204" t="inlineStr">
        <is>
          <t>RUS</t>
        </is>
      </c>
      <c r="FR204" t="inlineStr">
        <is>
          <t>RUS</t>
        </is>
      </c>
      <c r="FS204" t="inlineStr">
        <is>
          <t>RUS</t>
        </is>
      </c>
      <c r="FT204" t="inlineStr">
        <is>
          <t>RUS</t>
        </is>
      </c>
      <c r="FU204" t="inlineStr">
        <is>
          <t>RUS</t>
        </is>
      </c>
      <c r="FV204" t="inlineStr">
        <is>
          <t>RUS</t>
        </is>
      </c>
      <c r="FW204" t="inlineStr">
        <is>
          <t>RUS</t>
        </is>
      </c>
      <c r="FX204" t="inlineStr">
        <is>
          <t>RUS</t>
        </is>
      </c>
      <c r="FY204" t="inlineStr">
        <is>
          <t>RUS</t>
        </is>
      </c>
      <c r="FZ204" t="inlineStr">
        <is>
          <t>RUS</t>
        </is>
      </c>
      <c r="GA204" t="inlineStr">
        <is>
          <t>RUS</t>
        </is>
      </c>
      <c r="GB204" t="inlineStr">
        <is>
          <t>RUS</t>
        </is>
      </c>
      <c r="GC204" t="inlineStr">
        <is>
          <t>RUS</t>
        </is>
      </c>
      <c r="GD204" t="inlineStr">
        <is>
          <t>RUS</t>
        </is>
      </c>
      <c r="GE204" t="inlineStr">
        <is>
          <t>RUS</t>
        </is>
      </c>
      <c r="GF204" t="inlineStr">
        <is>
          <t>RUS</t>
        </is>
      </c>
      <c r="GG204" t="inlineStr">
        <is>
          <t>RUS</t>
        </is>
      </c>
      <c r="GH204" t="inlineStr">
        <is>
          <t>RUS</t>
        </is>
      </c>
      <c r="GI204" t="inlineStr">
        <is>
          <t>RUS</t>
        </is>
      </c>
      <c r="GJ204" t="inlineStr">
        <is>
          <t>RUS</t>
        </is>
      </c>
      <c r="GK204" t="inlineStr">
        <is>
          <t>RUS</t>
        </is>
      </c>
      <c r="GL204" t="inlineStr">
        <is>
          <t>RUS</t>
        </is>
      </c>
      <c r="GM204" t="inlineStr">
        <is>
          <t>RUS</t>
        </is>
      </c>
      <c r="GN204" t="inlineStr">
        <is>
          <t>RUS</t>
        </is>
      </c>
      <c r="GO204" t="inlineStr">
        <is>
          <t>RUS</t>
        </is>
      </c>
      <c r="GP204" t="inlineStr">
        <is>
          <t>RUS</t>
        </is>
      </c>
      <c r="GQ204" t="inlineStr">
        <is>
          <t>RUS</t>
        </is>
      </c>
      <c r="GR204" t="inlineStr">
        <is>
          <t>RUS</t>
        </is>
      </c>
      <c r="GS204" t="inlineStr">
        <is>
          <t>RUS</t>
        </is>
      </c>
      <c r="GT204" t="inlineStr">
        <is>
          <t>RUS</t>
        </is>
      </c>
      <c r="GU204" t="inlineStr">
        <is>
          <t>RUS</t>
        </is>
      </c>
      <c r="GV204" t="inlineStr">
        <is>
          <t>RUS</t>
        </is>
      </c>
      <c r="GW204" t="inlineStr">
        <is>
          <t>RUS</t>
        </is>
      </c>
      <c r="GX204" t="inlineStr">
        <is>
          <t>RUS</t>
        </is>
      </c>
      <c r="GY204" t="inlineStr">
        <is>
          <t>RUS</t>
        </is>
      </c>
      <c r="GZ204" t="inlineStr">
        <is>
          <t>RUS</t>
        </is>
      </c>
      <c r="HA204" t="inlineStr">
        <is>
          <t>RUS</t>
        </is>
      </c>
      <c r="HB204" t="inlineStr">
        <is>
          <t>RUS</t>
        </is>
      </c>
      <c r="HC204" t="inlineStr">
        <is>
          <t>RUS</t>
        </is>
      </c>
      <c r="HD204" t="inlineStr">
        <is>
          <t>RUS</t>
        </is>
      </c>
      <c r="HE204" t="inlineStr">
        <is>
          <t>RUS</t>
        </is>
      </c>
      <c r="HF204" t="inlineStr">
        <is>
          <t>RUS</t>
        </is>
      </c>
      <c r="HG204" t="inlineStr">
        <is>
          <t>RUS</t>
        </is>
      </c>
      <c r="HH204" t="inlineStr">
        <is>
          <t>RUS</t>
        </is>
      </c>
      <c r="HI204" t="inlineStr">
        <is>
          <t>RUS</t>
        </is>
      </c>
      <c r="HJ204" t="inlineStr">
        <is>
          <t>RUS</t>
        </is>
      </c>
      <c r="HK204" t="inlineStr">
        <is>
          <t>RUS</t>
        </is>
      </c>
      <c r="HL204" t="inlineStr">
        <is>
          <t>RUS</t>
        </is>
      </c>
      <c r="HM204" t="inlineStr">
        <is>
          <t>RUS</t>
        </is>
      </c>
      <c r="HN204" t="inlineStr">
        <is>
          <t>RUS</t>
        </is>
      </c>
      <c r="HO204" t="inlineStr">
        <is>
          <t>RUS</t>
        </is>
      </c>
      <c r="HP204" t="inlineStr">
        <is>
          <t>RUS</t>
        </is>
      </c>
      <c r="HQ204" t="inlineStr">
        <is>
          <t>RUS</t>
        </is>
      </c>
      <c r="HR204" t="inlineStr">
        <is>
          <t>RUS</t>
        </is>
      </c>
      <c r="HS204" t="inlineStr">
        <is>
          <t>RUS</t>
        </is>
      </c>
      <c r="HT204" t="inlineStr">
        <is>
          <t>RUS</t>
        </is>
      </c>
      <c r="HU204" t="inlineStr">
        <is>
          <t>RUS</t>
        </is>
      </c>
      <c r="HV204" t="inlineStr">
        <is>
          <t>RUS</t>
        </is>
      </c>
      <c r="HW204" t="inlineStr">
        <is>
          <t>RUS</t>
        </is>
      </c>
      <c r="HX204" t="inlineStr">
        <is>
          <t>RUS</t>
        </is>
      </c>
      <c r="HY204" t="inlineStr">
        <is>
          <t>RUS</t>
        </is>
      </c>
      <c r="HZ204" t="inlineStr">
        <is>
          <t>RUS</t>
        </is>
      </c>
      <c r="IA204" t="inlineStr">
        <is>
          <t>RUS</t>
        </is>
      </c>
      <c r="IB204" t="inlineStr">
        <is>
          <t>RUS</t>
        </is>
      </c>
      <c r="IC204" t="inlineStr">
        <is>
          <t>RUS</t>
        </is>
      </c>
      <c r="ID204" t="inlineStr">
        <is>
          <t>RUS</t>
        </is>
      </c>
      <c r="IE204" t="inlineStr">
        <is>
          <t>RUS</t>
        </is>
      </c>
      <c r="IF204" t="inlineStr">
        <is>
          <t>RUS</t>
        </is>
      </c>
      <c r="IG204" t="inlineStr">
        <is>
          <t>RUS</t>
        </is>
      </c>
      <c r="IH204" t="inlineStr">
        <is>
          <t>RUS</t>
        </is>
      </c>
      <c r="II204" t="inlineStr">
        <is>
          <t>RUS</t>
        </is>
      </c>
      <c r="IJ204" t="inlineStr">
        <is>
          <t>RUS</t>
        </is>
      </c>
      <c r="IK204" t="inlineStr">
        <is>
          <t>RUS</t>
        </is>
      </c>
      <c r="IL204" t="inlineStr">
        <is>
          <t>RUS</t>
        </is>
      </c>
      <c r="IM204" t="inlineStr">
        <is>
          <t>RUS</t>
        </is>
      </c>
      <c r="IN204" t="inlineStr">
        <is>
          <t>RUS</t>
        </is>
      </c>
      <c r="IO204" t="inlineStr">
        <is>
          <t>RUS</t>
        </is>
      </c>
      <c r="IP204" t="inlineStr">
        <is>
          <t>RUS</t>
        </is>
      </c>
      <c r="IQ204" t="inlineStr">
        <is>
          <t>RUS</t>
        </is>
      </c>
      <c r="IR204" t="inlineStr">
        <is>
          <t>RUS</t>
        </is>
      </c>
      <c r="IS204" t="inlineStr">
        <is>
          <t>RUS</t>
        </is>
      </c>
      <c r="IT204" t="inlineStr">
        <is>
          <t>RUS</t>
        </is>
      </c>
      <c r="IU204" t="inlineStr">
        <is>
          <t>RUS</t>
        </is>
      </c>
      <c r="IV204" t="inlineStr">
        <is>
          <t>RUS</t>
        </is>
      </c>
      <c r="IW204" t="inlineStr">
        <is>
          <t>RUS</t>
        </is>
      </c>
      <c r="IX204" t="inlineStr">
        <is>
          <t>RUS</t>
        </is>
      </c>
      <c r="IY204" t="inlineStr">
        <is>
          <t>RUS</t>
        </is>
      </c>
      <c r="IZ204" t="inlineStr">
        <is>
          <t>RUS</t>
        </is>
      </c>
      <c r="JA204" t="inlineStr">
        <is>
          <t>RUS</t>
        </is>
      </c>
      <c r="JB204" t="inlineStr">
        <is>
          <t>RUS</t>
        </is>
      </c>
      <c r="JC204" t="inlineStr">
        <is>
          <t>RUS</t>
        </is>
      </c>
      <c r="JD204" t="inlineStr">
        <is>
          <t>RUS</t>
        </is>
      </c>
      <c r="JE204" t="inlineStr">
        <is>
          <t>RUS</t>
        </is>
      </c>
      <c r="JF204" t="inlineStr">
        <is>
          <t>RUS</t>
        </is>
      </c>
      <c r="JG204" t="inlineStr">
        <is>
          <t>RUS</t>
        </is>
      </c>
      <c r="JH204" t="inlineStr">
        <is>
          <t>RUS</t>
        </is>
      </c>
      <c r="JI204" t="inlineStr">
        <is>
          <t>RUS</t>
        </is>
      </c>
      <c r="JJ204" t="inlineStr">
        <is>
          <t>RUS</t>
        </is>
      </c>
      <c r="JK204" t="inlineStr">
        <is>
          <t>RUS</t>
        </is>
      </c>
      <c r="JL204" t="inlineStr">
        <is>
          <t>RUS</t>
        </is>
      </c>
      <c r="JM204" t="inlineStr">
        <is>
          <t>RUS</t>
        </is>
      </c>
      <c r="JN204" t="inlineStr">
        <is>
          <t>RUS</t>
        </is>
      </c>
      <c r="JO204" t="inlineStr">
        <is>
          <t>RUS</t>
        </is>
      </c>
      <c r="JP204" t="inlineStr">
        <is>
          <t>RUS</t>
        </is>
      </c>
      <c r="JQ204" t="inlineStr">
        <is>
          <t>RUS</t>
        </is>
      </c>
      <c r="JR204" t="inlineStr">
        <is>
          <t>RUS</t>
        </is>
      </c>
      <c r="JS204" t="inlineStr">
        <is>
          <t>RUS</t>
        </is>
      </c>
      <c r="JT204" t="inlineStr">
        <is>
          <t>RUS</t>
        </is>
      </c>
      <c r="JU204" t="inlineStr">
        <is>
          <t>RUS</t>
        </is>
      </c>
    </row>
    <row r="205">
      <c r="BT205" t="inlineStr">
        <is>
          <t>NOR</t>
        </is>
      </c>
      <c r="BU205" t="inlineStr">
        <is>
          <t>NOR</t>
        </is>
      </c>
      <c r="BV205" t="inlineStr">
        <is>
          <t>NOR</t>
        </is>
      </c>
      <c r="BW205" t="inlineStr">
        <is>
          <t>NOR</t>
        </is>
      </c>
      <c r="BX205" t="inlineStr">
        <is>
          <t>NOR</t>
        </is>
      </c>
      <c r="BY205" t="inlineStr">
        <is>
          <t>NOR</t>
        </is>
      </c>
      <c r="BZ205" t="inlineStr">
        <is>
          <t>NOR</t>
        </is>
      </c>
      <c r="CA205" t="inlineStr">
        <is>
          <t>NOR</t>
        </is>
      </c>
      <c r="CB205" t="inlineStr">
        <is>
          <t>NOR</t>
        </is>
      </c>
      <c r="CC205" t="inlineStr">
        <is>
          <t>NOR</t>
        </is>
      </c>
      <c r="CD205" t="inlineStr">
        <is>
          <t>NOR</t>
        </is>
      </c>
      <c r="CE205" t="inlineStr">
        <is>
          <t>NOR</t>
        </is>
      </c>
      <c r="CF205" t="inlineStr">
        <is>
          <t>NOR</t>
        </is>
      </c>
      <c r="CG205" t="inlineStr">
        <is>
          <t>NOR</t>
        </is>
      </c>
      <c r="CH205" t="inlineStr">
        <is>
          <t>SWE</t>
        </is>
      </c>
      <c r="CI205" t="inlineStr">
        <is>
          <t>SWE</t>
        </is>
      </c>
      <c r="CJ205" t="inlineStr">
        <is>
          <t>SWE</t>
        </is>
      </c>
      <c r="CK205" t="inlineStr">
        <is>
          <t>SWE</t>
        </is>
      </c>
      <c r="CL205" t="inlineStr">
        <is>
          <t>SWE</t>
        </is>
      </c>
      <c r="CM205" t="inlineStr">
        <is>
          <t>SWE</t>
        </is>
      </c>
      <c r="CN205" t="inlineStr">
        <is>
          <t>SWE</t>
        </is>
      </c>
      <c r="CO205" t="inlineStr">
        <is>
          <t>SWE</t>
        </is>
      </c>
      <c r="CP205" t="inlineStr">
        <is>
          <t>SWE</t>
        </is>
      </c>
      <c r="CQ205" t="inlineStr">
        <is>
          <t>SWE</t>
        </is>
      </c>
      <c r="CR205" t="inlineStr">
        <is>
          <t>SWE</t>
        </is>
      </c>
      <c r="DA205" t="inlineStr">
        <is>
          <t>FIN</t>
        </is>
      </c>
      <c r="DB205" t="inlineStr">
        <is>
          <t>FIN</t>
        </is>
      </c>
      <c r="DC205" t="inlineStr">
        <is>
          <t>FIN</t>
        </is>
      </c>
      <c r="DD205" t="inlineStr">
        <is>
          <t>FIN</t>
        </is>
      </c>
      <c r="DE205" t="inlineStr">
        <is>
          <t>FIN</t>
        </is>
      </c>
      <c r="DF205" t="inlineStr">
        <is>
          <t>FIN</t>
        </is>
      </c>
      <c r="DG205" t="inlineStr">
        <is>
          <t>FIN</t>
        </is>
      </c>
      <c r="DH205" t="inlineStr">
        <is>
          <t>FIN</t>
        </is>
      </c>
      <c r="DI205" t="inlineStr">
        <is>
          <t>FIN</t>
        </is>
      </c>
      <c r="DJ205" t="inlineStr">
        <is>
          <t>FIN</t>
        </is>
      </c>
      <c r="DK205" t="inlineStr">
        <is>
          <t>FIN</t>
        </is>
      </c>
      <c r="DL205" t="inlineStr">
        <is>
          <t>FIN</t>
        </is>
      </c>
      <c r="DM205" t="inlineStr">
        <is>
          <t>FIN</t>
        </is>
      </c>
      <c r="DN205" t="inlineStr">
        <is>
          <t>FIN</t>
        </is>
      </c>
      <c r="DO205" t="inlineStr">
        <is>
          <t>FIN</t>
        </is>
      </c>
      <c r="DP205" t="inlineStr">
        <is>
          <t>FIN</t>
        </is>
      </c>
      <c r="DQ205" t="inlineStr">
        <is>
          <t>FIN</t>
        </is>
      </c>
      <c r="DR205" t="inlineStr">
        <is>
          <t>RUS</t>
        </is>
      </c>
      <c r="DS205" t="inlineStr">
        <is>
          <t>RUS</t>
        </is>
      </c>
      <c r="DT205" t="inlineStr">
        <is>
          <t>RUS</t>
        </is>
      </c>
      <c r="DU205" t="inlineStr">
        <is>
          <t>RUS</t>
        </is>
      </c>
      <c r="DV205" t="inlineStr">
        <is>
          <t>RUS</t>
        </is>
      </c>
      <c r="DW205" t="inlineStr">
        <is>
          <t>RUS</t>
        </is>
      </c>
      <c r="DX205" t="inlineStr">
        <is>
          <t>RUS</t>
        </is>
      </c>
      <c r="DY205" t="inlineStr">
        <is>
          <t>RUS</t>
        </is>
      </c>
      <c r="DZ205" t="inlineStr">
        <is>
          <t>RUS</t>
        </is>
      </c>
      <c r="EA205" t="inlineStr">
        <is>
          <t>RUS</t>
        </is>
      </c>
      <c r="EB205" t="inlineStr">
        <is>
          <t>RUS</t>
        </is>
      </c>
      <c r="EC205" t="inlineStr">
        <is>
          <t>RUS</t>
        </is>
      </c>
      <c r="ED205" t="inlineStr">
        <is>
          <t>RUS</t>
        </is>
      </c>
      <c r="EE205" t="inlineStr">
        <is>
          <t>RUS</t>
        </is>
      </c>
      <c r="EF205" t="inlineStr">
        <is>
          <t>RUS</t>
        </is>
      </c>
      <c r="EG205" t="inlineStr">
        <is>
          <t>RUS</t>
        </is>
      </c>
      <c r="EH205" t="inlineStr">
        <is>
          <t>RUS</t>
        </is>
      </c>
      <c r="EI205" t="inlineStr">
        <is>
          <t>RUS</t>
        </is>
      </c>
      <c r="EJ205" t="inlineStr">
        <is>
          <t>RUS</t>
        </is>
      </c>
      <c r="EK205" t="inlineStr">
        <is>
          <t>RUS</t>
        </is>
      </c>
      <c r="EL205" t="inlineStr">
        <is>
          <t>RUS</t>
        </is>
      </c>
      <c r="EM205" t="inlineStr">
        <is>
          <t>RUS</t>
        </is>
      </c>
      <c r="EN205" t="inlineStr">
        <is>
          <t>RUS</t>
        </is>
      </c>
      <c r="EO205" t="inlineStr">
        <is>
          <t>RUS</t>
        </is>
      </c>
      <c r="EP205" t="inlineStr">
        <is>
          <t>RUS</t>
        </is>
      </c>
      <c r="EQ205" t="inlineStr">
        <is>
          <t>RUS</t>
        </is>
      </c>
      <c r="ER205" t="inlineStr">
        <is>
          <t>RUS</t>
        </is>
      </c>
      <c r="ES205" t="inlineStr">
        <is>
          <t>RUS</t>
        </is>
      </c>
      <c r="ET205" t="inlineStr">
        <is>
          <t>RUS</t>
        </is>
      </c>
      <c r="EU205" t="inlineStr">
        <is>
          <t>RUS</t>
        </is>
      </c>
      <c r="EV205" t="inlineStr">
        <is>
          <t>RUS</t>
        </is>
      </c>
      <c r="EW205" t="inlineStr">
        <is>
          <t>RUS</t>
        </is>
      </c>
      <c r="EX205" t="inlineStr">
        <is>
          <t>RUS</t>
        </is>
      </c>
      <c r="EY205" t="inlineStr">
        <is>
          <t>RUS</t>
        </is>
      </c>
      <c r="EZ205" t="inlineStr">
        <is>
          <t>RUS</t>
        </is>
      </c>
      <c r="FA205" t="inlineStr">
        <is>
          <t>RUS</t>
        </is>
      </c>
      <c r="FB205" t="inlineStr">
        <is>
          <t>RUS</t>
        </is>
      </c>
      <c r="FC205" t="inlineStr">
        <is>
          <t>RUS</t>
        </is>
      </c>
      <c r="FD205" t="inlineStr">
        <is>
          <t>RUS</t>
        </is>
      </c>
      <c r="FE205" t="inlineStr">
        <is>
          <t>RUS</t>
        </is>
      </c>
      <c r="FF205" t="inlineStr">
        <is>
          <t>RUS</t>
        </is>
      </c>
      <c r="FG205" t="inlineStr">
        <is>
          <t>RUS</t>
        </is>
      </c>
      <c r="FH205" t="inlineStr">
        <is>
          <t>RUS</t>
        </is>
      </c>
      <c r="FI205" t="inlineStr">
        <is>
          <t>RUS</t>
        </is>
      </c>
      <c r="FJ205" t="inlineStr">
        <is>
          <t>RUS</t>
        </is>
      </c>
      <c r="FK205" t="inlineStr">
        <is>
          <t>RUS</t>
        </is>
      </c>
      <c r="FL205" t="inlineStr">
        <is>
          <t>RUS</t>
        </is>
      </c>
      <c r="FM205" t="inlineStr">
        <is>
          <t>RUS</t>
        </is>
      </c>
      <c r="FN205" t="inlineStr">
        <is>
          <t>RUS</t>
        </is>
      </c>
      <c r="FO205" t="inlineStr">
        <is>
          <t>RUS</t>
        </is>
      </c>
      <c r="FP205" t="inlineStr">
        <is>
          <t>RUS</t>
        </is>
      </c>
      <c r="FQ205" t="inlineStr">
        <is>
          <t>RUS</t>
        </is>
      </c>
      <c r="FR205" t="inlineStr">
        <is>
          <t>RUS</t>
        </is>
      </c>
      <c r="FS205" t="inlineStr">
        <is>
          <t>RUS</t>
        </is>
      </c>
      <c r="FT205" t="inlineStr">
        <is>
          <t>RUS</t>
        </is>
      </c>
      <c r="FU205" t="inlineStr">
        <is>
          <t>RUS</t>
        </is>
      </c>
      <c r="FV205" t="inlineStr">
        <is>
          <t>RUS</t>
        </is>
      </c>
      <c r="FW205" t="inlineStr">
        <is>
          <t>RUS</t>
        </is>
      </c>
      <c r="FX205" t="inlineStr">
        <is>
          <t>RUS</t>
        </is>
      </c>
      <c r="FY205" t="inlineStr">
        <is>
          <t>RUS</t>
        </is>
      </c>
      <c r="FZ205" t="inlineStr">
        <is>
          <t>RUS</t>
        </is>
      </c>
      <c r="GA205" t="inlineStr">
        <is>
          <t>RUS</t>
        </is>
      </c>
      <c r="GB205" t="inlineStr">
        <is>
          <t>RUS</t>
        </is>
      </c>
      <c r="GC205" t="inlineStr">
        <is>
          <t>RUS</t>
        </is>
      </c>
      <c r="GD205" t="inlineStr">
        <is>
          <t>RUS</t>
        </is>
      </c>
      <c r="GE205" t="inlineStr">
        <is>
          <t>RUS</t>
        </is>
      </c>
      <c r="GF205" t="inlineStr">
        <is>
          <t>RUS</t>
        </is>
      </c>
      <c r="GG205" t="inlineStr">
        <is>
          <t>RUS</t>
        </is>
      </c>
      <c r="GH205" t="inlineStr">
        <is>
          <t>RUS</t>
        </is>
      </c>
      <c r="GI205" t="inlineStr">
        <is>
          <t>RUS</t>
        </is>
      </c>
      <c r="GJ205" t="inlineStr">
        <is>
          <t>RUS</t>
        </is>
      </c>
      <c r="GK205" t="inlineStr">
        <is>
          <t>RUS</t>
        </is>
      </c>
      <c r="GL205" t="inlineStr">
        <is>
          <t>RUS</t>
        </is>
      </c>
      <c r="GM205" t="inlineStr">
        <is>
          <t>RUS</t>
        </is>
      </c>
      <c r="GN205" t="inlineStr">
        <is>
          <t>RUS</t>
        </is>
      </c>
      <c r="GO205" t="inlineStr">
        <is>
          <t>RUS</t>
        </is>
      </c>
      <c r="GP205" t="inlineStr">
        <is>
          <t>RUS</t>
        </is>
      </c>
      <c r="GQ205" t="inlineStr">
        <is>
          <t>RUS</t>
        </is>
      </c>
      <c r="GR205" t="inlineStr">
        <is>
          <t>RUS</t>
        </is>
      </c>
      <c r="GS205" t="inlineStr">
        <is>
          <t>RUS</t>
        </is>
      </c>
      <c r="GT205" t="inlineStr">
        <is>
          <t>RUS</t>
        </is>
      </c>
      <c r="GU205" t="inlineStr">
        <is>
          <t>RUS</t>
        </is>
      </c>
      <c r="GV205" t="inlineStr">
        <is>
          <t>RUS</t>
        </is>
      </c>
      <c r="GW205" t="inlineStr">
        <is>
          <t>RUS</t>
        </is>
      </c>
      <c r="GX205" t="inlineStr">
        <is>
          <t>RUS</t>
        </is>
      </c>
      <c r="GY205" t="inlineStr">
        <is>
          <t>RUS</t>
        </is>
      </c>
      <c r="GZ205" t="inlineStr">
        <is>
          <t>RUS</t>
        </is>
      </c>
      <c r="HA205" t="inlineStr">
        <is>
          <t>RUS</t>
        </is>
      </c>
      <c r="HB205" t="inlineStr">
        <is>
          <t>RUS</t>
        </is>
      </c>
      <c r="HC205" t="inlineStr">
        <is>
          <t>RUS</t>
        </is>
      </c>
      <c r="HD205" t="inlineStr">
        <is>
          <t>RUS</t>
        </is>
      </c>
      <c r="HE205" t="inlineStr">
        <is>
          <t>RUS</t>
        </is>
      </c>
      <c r="HF205" t="inlineStr">
        <is>
          <t>RUS</t>
        </is>
      </c>
      <c r="HG205" t="inlineStr">
        <is>
          <t>RUS</t>
        </is>
      </c>
      <c r="HH205" t="inlineStr">
        <is>
          <t>RUS</t>
        </is>
      </c>
      <c r="HI205" t="inlineStr">
        <is>
          <t>RUS</t>
        </is>
      </c>
      <c r="HJ205" t="inlineStr">
        <is>
          <t>RUS</t>
        </is>
      </c>
      <c r="HK205" t="inlineStr">
        <is>
          <t>RUS</t>
        </is>
      </c>
      <c r="HL205" t="inlineStr">
        <is>
          <t>RUS</t>
        </is>
      </c>
      <c r="HM205" t="inlineStr">
        <is>
          <t>RUS</t>
        </is>
      </c>
      <c r="HN205" t="inlineStr">
        <is>
          <t>RUS</t>
        </is>
      </c>
      <c r="HO205" t="inlineStr">
        <is>
          <t>RUS</t>
        </is>
      </c>
      <c r="HP205" t="inlineStr">
        <is>
          <t>RUS</t>
        </is>
      </c>
      <c r="HQ205" t="inlineStr">
        <is>
          <t>RUS</t>
        </is>
      </c>
      <c r="HR205" t="inlineStr">
        <is>
          <t>RUS</t>
        </is>
      </c>
      <c r="HS205" t="inlineStr">
        <is>
          <t>RUS</t>
        </is>
      </c>
      <c r="HT205" t="inlineStr">
        <is>
          <t>RUS</t>
        </is>
      </c>
      <c r="HU205" t="inlineStr">
        <is>
          <t>RUS</t>
        </is>
      </c>
      <c r="HV205" t="inlineStr">
        <is>
          <t>RUS</t>
        </is>
      </c>
      <c r="HW205" t="inlineStr">
        <is>
          <t>RUS</t>
        </is>
      </c>
      <c r="HX205" t="inlineStr">
        <is>
          <t>RUS</t>
        </is>
      </c>
      <c r="HY205" t="inlineStr">
        <is>
          <t>RUS</t>
        </is>
      </c>
      <c r="HZ205" t="inlineStr">
        <is>
          <t>RUS</t>
        </is>
      </c>
      <c r="IA205" t="inlineStr">
        <is>
          <t>RUS</t>
        </is>
      </c>
      <c r="IB205" t="inlineStr">
        <is>
          <t>RUS</t>
        </is>
      </c>
      <c r="IC205" t="inlineStr">
        <is>
          <t>RUS</t>
        </is>
      </c>
      <c r="ID205" t="inlineStr">
        <is>
          <t>RUS</t>
        </is>
      </c>
      <c r="IE205" t="inlineStr">
        <is>
          <t>RUS</t>
        </is>
      </c>
      <c r="IF205" t="inlineStr">
        <is>
          <t>RUS</t>
        </is>
      </c>
      <c r="IG205" t="inlineStr">
        <is>
          <t>RUS</t>
        </is>
      </c>
      <c r="IH205" t="inlineStr">
        <is>
          <t>RUS</t>
        </is>
      </c>
      <c r="II205" t="inlineStr">
        <is>
          <t>RUS</t>
        </is>
      </c>
      <c r="IJ205" t="inlineStr">
        <is>
          <t>RUS</t>
        </is>
      </c>
      <c r="IK205" t="inlineStr">
        <is>
          <t>RUS</t>
        </is>
      </c>
      <c r="IL205" t="inlineStr">
        <is>
          <t>RUS</t>
        </is>
      </c>
      <c r="IM205" t="inlineStr">
        <is>
          <t>RUS</t>
        </is>
      </c>
      <c r="IN205" t="inlineStr">
        <is>
          <t>RUS</t>
        </is>
      </c>
      <c r="IO205" t="inlineStr">
        <is>
          <t>RUS</t>
        </is>
      </c>
      <c r="IP205" t="inlineStr">
        <is>
          <t>RUS</t>
        </is>
      </c>
      <c r="IQ205" t="inlineStr">
        <is>
          <t>RUS</t>
        </is>
      </c>
      <c r="IR205" t="inlineStr">
        <is>
          <t>RUS</t>
        </is>
      </c>
      <c r="IS205" t="inlineStr">
        <is>
          <t>RUS</t>
        </is>
      </c>
      <c r="IT205" t="inlineStr">
        <is>
          <t>RUS</t>
        </is>
      </c>
      <c r="IU205" t="inlineStr">
        <is>
          <t>RUS</t>
        </is>
      </c>
      <c r="IV205" t="inlineStr">
        <is>
          <t>RUS</t>
        </is>
      </c>
      <c r="IW205" t="inlineStr">
        <is>
          <t>RUS</t>
        </is>
      </c>
      <c r="IX205" t="inlineStr">
        <is>
          <t>RUS</t>
        </is>
      </c>
      <c r="IY205" t="inlineStr">
        <is>
          <t>RUS</t>
        </is>
      </c>
      <c r="IZ205" t="inlineStr">
        <is>
          <t>RUS</t>
        </is>
      </c>
      <c r="JA205" t="inlineStr">
        <is>
          <t>RUS</t>
        </is>
      </c>
      <c r="JB205" t="inlineStr">
        <is>
          <t>RUS</t>
        </is>
      </c>
      <c r="JC205" t="inlineStr">
        <is>
          <t>RUS</t>
        </is>
      </c>
      <c r="JD205" t="inlineStr">
        <is>
          <t>RUS</t>
        </is>
      </c>
      <c r="JE205" t="inlineStr">
        <is>
          <t>RUS</t>
        </is>
      </c>
      <c r="JF205" t="inlineStr">
        <is>
          <t>RUS</t>
        </is>
      </c>
      <c r="JG205" t="inlineStr">
        <is>
          <t>RUS</t>
        </is>
      </c>
      <c r="JH205" t="inlineStr">
        <is>
          <t>RUS</t>
        </is>
      </c>
      <c r="JI205" t="inlineStr">
        <is>
          <t>RUS</t>
        </is>
      </c>
      <c r="JJ205" t="inlineStr">
        <is>
          <t>RUS</t>
        </is>
      </c>
      <c r="JK205" t="inlineStr">
        <is>
          <t>RUS</t>
        </is>
      </c>
      <c r="JL205" t="inlineStr">
        <is>
          <t>RUS</t>
        </is>
      </c>
      <c r="JM205" t="inlineStr">
        <is>
          <t>RUS</t>
        </is>
      </c>
      <c r="JN205" t="inlineStr">
        <is>
          <t>RUS</t>
        </is>
      </c>
      <c r="JO205" t="inlineStr">
        <is>
          <t>RUS</t>
        </is>
      </c>
      <c r="JP205" t="inlineStr">
        <is>
          <t>RUS</t>
        </is>
      </c>
      <c r="JQ205" t="inlineStr">
        <is>
          <t>RUS</t>
        </is>
      </c>
      <c r="JR205" t="inlineStr">
        <is>
          <t>RUS</t>
        </is>
      </c>
      <c r="JS205" t="inlineStr">
        <is>
          <t>RUS</t>
        </is>
      </c>
      <c r="JT205" t="inlineStr">
        <is>
          <t>RUS</t>
        </is>
      </c>
      <c r="JU205" t="inlineStr">
        <is>
          <t>RUS</t>
        </is>
      </c>
    </row>
    <row r="206">
      <c r="BU206" t="inlineStr">
        <is>
          <t>NOR</t>
        </is>
      </c>
      <c r="BV206" t="inlineStr">
        <is>
          <t>NOR</t>
        </is>
      </c>
      <c r="BW206" t="inlineStr">
        <is>
          <t>NOR</t>
        </is>
      </c>
      <c r="BX206" t="inlineStr">
        <is>
          <t>NOR</t>
        </is>
      </c>
      <c r="BY206" t="inlineStr">
        <is>
          <t>NOR</t>
        </is>
      </c>
      <c r="BZ206" t="inlineStr">
        <is>
          <t>NOR</t>
        </is>
      </c>
      <c r="CA206" t="inlineStr">
        <is>
          <t>NOR</t>
        </is>
      </c>
      <c r="CB206" t="inlineStr">
        <is>
          <t>NOR</t>
        </is>
      </c>
      <c r="CC206" t="inlineStr">
        <is>
          <t>NOR</t>
        </is>
      </c>
      <c r="CD206" t="inlineStr">
        <is>
          <t>NOR</t>
        </is>
      </c>
      <c r="CE206" t="inlineStr">
        <is>
          <t>NOR</t>
        </is>
      </c>
      <c r="CF206" t="inlineStr">
        <is>
          <t>NOR</t>
        </is>
      </c>
      <c r="CG206" t="inlineStr">
        <is>
          <t>NOR</t>
        </is>
      </c>
      <c r="CH206" t="inlineStr">
        <is>
          <t>SWE</t>
        </is>
      </c>
      <c r="CI206" t="inlineStr">
        <is>
          <t>SWE</t>
        </is>
      </c>
      <c r="CJ206" t="inlineStr">
        <is>
          <t>SWE</t>
        </is>
      </c>
      <c r="CK206" t="inlineStr">
        <is>
          <t>SWE</t>
        </is>
      </c>
      <c r="CL206" t="inlineStr">
        <is>
          <t>SWE</t>
        </is>
      </c>
      <c r="CM206" t="inlineStr">
        <is>
          <t>SWE</t>
        </is>
      </c>
      <c r="CN206" t="inlineStr">
        <is>
          <t>SWE</t>
        </is>
      </c>
      <c r="CO206" t="inlineStr">
        <is>
          <t>SWE</t>
        </is>
      </c>
      <c r="CP206" t="inlineStr">
        <is>
          <t>SWE</t>
        </is>
      </c>
      <c r="CQ206" t="inlineStr">
        <is>
          <t>SWE</t>
        </is>
      </c>
      <c r="CR206" t="inlineStr">
        <is>
          <t>SWE</t>
        </is>
      </c>
      <c r="DA206" t="inlineStr">
        <is>
          <t>FIN</t>
        </is>
      </c>
      <c r="DB206" t="inlineStr">
        <is>
          <t>FIN</t>
        </is>
      </c>
      <c r="DC206" t="inlineStr">
        <is>
          <t>FIN</t>
        </is>
      </c>
      <c r="DD206" t="inlineStr">
        <is>
          <t>FIN</t>
        </is>
      </c>
      <c r="DE206" t="inlineStr">
        <is>
          <t>FIN</t>
        </is>
      </c>
      <c r="DF206" t="inlineStr">
        <is>
          <t>FIN</t>
        </is>
      </c>
      <c r="DG206" t="inlineStr">
        <is>
          <t>FIN</t>
        </is>
      </c>
      <c r="DH206" t="inlineStr">
        <is>
          <t>FIN</t>
        </is>
      </c>
      <c r="DI206" t="inlineStr">
        <is>
          <t>FIN</t>
        </is>
      </c>
      <c r="DJ206" t="inlineStr">
        <is>
          <t>FIN</t>
        </is>
      </c>
      <c r="DK206" t="inlineStr">
        <is>
          <t>FIN</t>
        </is>
      </c>
      <c r="DL206" t="inlineStr">
        <is>
          <t>FIN</t>
        </is>
      </c>
      <c r="DM206" t="inlineStr">
        <is>
          <t>FIN</t>
        </is>
      </c>
      <c r="DN206" t="inlineStr">
        <is>
          <t>FIN</t>
        </is>
      </c>
      <c r="DO206" t="inlineStr">
        <is>
          <t>FIN</t>
        </is>
      </c>
      <c r="DP206" t="inlineStr">
        <is>
          <t>FIN</t>
        </is>
      </c>
      <c r="DQ206" t="inlineStr">
        <is>
          <t>FIN</t>
        </is>
      </c>
      <c r="DR206" t="inlineStr">
        <is>
          <t>FIN</t>
        </is>
      </c>
      <c r="DS206" t="inlineStr">
        <is>
          <t>FIN</t>
        </is>
      </c>
      <c r="DT206" t="inlineStr">
        <is>
          <t>RUS</t>
        </is>
      </c>
      <c r="DU206" t="inlineStr">
        <is>
          <t>RUS</t>
        </is>
      </c>
      <c r="DV206" t="inlineStr">
        <is>
          <t>RUS</t>
        </is>
      </c>
      <c r="DW206" t="inlineStr">
        <is>
          <t>RUS</t>
        </is>
      </c>
      <c r="DX206" t="inlineStr">
        <is>
          <t>RUS</t>
        </is>
      </c>
      <c r="DY206" t="inlineStr">
        <is>
          <t>RUS</t>
        </is>
      </c>
      <c r="DZ206" t="inlineStr">
        <is>
          <t>RUS</t>
        </is>
      </c>
      <c r="EA206" t="inlineStr">
        <is>
          <t>RUS</t>
        </is>
      </c>
      <c r="EB206" t="inlineStr">
        <is>
          <t>RUS</t>
        </is>
      </c>
      <c r="EC206" t="inlineStr">
        <is>
          <t>RUS</t>
        </is>
      </c>
      <c r="ED206" t="inlineStr">
        <is>
          <t>RUS</t>
        </is>
      </c>
      <c r="EE206" t="inlineStr">
        <is>
          <t>RUS</t>
        </is>
      </c>
      <c r="EF206" t="inlineStr">
        <is>
          <t>RUS</t>
        </is>
      </c>
      <c r="EG206" t="inlineStr">
        <is>
          <t>RUS</t>
        </is>
      </c>
      <c r="EH206" t="inlineStr">
        <is>
          <t>RUS</t>
        </is>
      </c>
      <c r="EI206" t="inlineStr">
        <is>
          <t>RUS</t>
        </is>
      </c>
      <c r="EJ206" t="inlineStr">
        <is>
          <t>RUS</t>
        </is>
      </c>
      <c r="EK206" t="inlineStr">
        <is>
          <t>RUS</t>
        </is>
      </c>
      <c r="EL206" t="inlineStr">
        <is>
          <t>RUS</t>
        </is>
      </c>
      <c r="EM206" t="inlineStr">
        <is>
          <t>RUS</t>
        </is>
      </c>
      <c r="EN206" t="inlineStr">
        <is>
          <t>RUS</t>
        </is>
      </c>
      <c r="EO206" t="inlineStr">
        <is>
          <t>RUS</t>
        </is>
      </c>
      <c r="EP206" t="inlineStr">
        <is>
          <t>RUS</t>
        </is>
      </c>
      <c r="EQ206" t="inlineStr">
        <is>
          <t>RUS</t>
        </is>
      </c>
      <c r="ER206" t="inlineStr">
        <is>
          <t>RUS</t>
        </is>
      </c>
      <c r="ES206" t="inlineStr">
        <is>
          <t>RUS</t>
        </is>
      </c>
      <c r="ET206" t="inlineStr">
        <is>
          <t>RUS</t>
        </is>
      </c>
      <c r="EU206" t="inlineStr">
        <is>
          <t>RUS</t>
        </is>
      </c>
      <c r="EV206" t="inlineStr">
        <is>
          <t>RUS</t>
        </is>
      </c>
      <c r="EW206" t="inlineStr">
        <is>
          <t>RUS</t>
        </is>
      </c>
      <c r="EX206" t="inlineStr">
        <is>
          <t>RUS</t>
        </is>
      </c>
      <c r="EY206" t="inlineStr">
        <is>
          <t>RUS</t>
        </is>
      </c>
      <c r="EZ206" t="inlineStr">
        <is>
          <t>RUS</t>
        </is>
      </c>
      <c r="FA206" t="inlineStr">
        <is>
          <t>RUS</t>
        </is>
      </c>
      <c r="FB206" t="inlineStr">
        <is>
          <t>RUS</t>
        </is>
      </c>
      <c r="FC206" t="inlineStr">
        <is>
          <t>RUS</t>
        </is>
      </c>
      <c r="FD206" t="inlineStr">
        <is>
          <t>RUS</t>
        </is>
      </c>
      <c r="FE206" t="inlineStr">
        <is>
          <t>RUS</t>
        </is>
      </c>
      <c r="FF206" t="inlineStr">
        <is>
          <t>RUS</t>
        </is>
      </c>
      <c r="FG206" t="inlineStr">
        <is>
          <t>RUS</t>
        </is>
      </c>
      <c r="FH206" t="inlineStr">
        <is>
          <t>RUS</t>
        </is>
      </c>
      <c r="FI206" t="inlineStr">
        <is>
          <t>RUS</t>
        </is>
      </c>
      <c r="FJ206" t="inlineStr">
        <is>
          <t>RUS</t>
        </is>
      </c>
      <c r="FK206" t="inlineStr">
        <is>
          <t>RUS</t>
        </is>
      </c>
      <c r="FL206" t="inlineStr">
        <is>
          <t>RUS</t>
        </is>
      </c>
      <c r="FM206" t="inlineStr">
        <is>
          <t>RUS</t>
        </is>
      </c>
      <c r="FN206" t="inlineStr">
        <is>
          <t>RUS</t>
        </is>
      </c>
      <c r="FO206" t="inlineStr">
        <is>
          <t>RUS</t>
        </is>
      </c>
      <c r="FP206" t="inlineStr">
        <is>
          <t>RUS</t>
        </is>
      </c>
      <c r="FQ206" t="inlineStr">
        <is>
          <t>RUS</t>
        </is>
      </c>
      <c r="FR206" t="inlineStr">
        <is>
          <t>RUS</t>
        </is>
      </c>
      <c r="FS206" t="inlineStr">
        <is>
          <t>RUS</t>
        </is>
      </c>
      <c r="FT206" t="inlineStr">
        <is>
          <t>RUS</t>
        </is>
      </c>
      <c r="FU206" t="inlineStr">
        <is>
          <t>RUS</t>
        </is>
      </c>
      <c r="FV206" t="inlineStr">
        <is>
          <t>RUS</t>
        </is>
      </c>
      <c r="FW206" t="inlineStr">
        <is>
          <t>RUS</t>
        </is>
      </c>
      <c r="FX206" t="inlineStr">
        <is>
          <t>RUS</t>
        </is>
      </c>
      <c r="FY206" t="inlineStr">
        <is>
          <t>RUS</t>
        </is>
      </c>
      <c r="FZ206" t="inlineStr">
        <is>
          <t>RUS</t>
        </is>
      </c>
      <c r="GA206" t="inlineStr">
        <is>
          <t>RUS</t>
        </is>
      </c>
      <c r="GB206" t="inlineStr">
        <is>
          <t>RUS</t>
        </is>
      </c>
      <c r="GC206" t="inlineStr">
        <is>
          <t>RUS</t>
        </is>
      </c>
      <c r="GD206" t="inlineStr">
        <is>
          <t>RUS</t>
        </is>
      </c>
      <c r="GE206" t="inlineStr">
        <is>
          <t>RUS</t>
        </is>
      </c>
      <c r="GF206" t="inlineStr">
        <is>
          <t>RUS</t>
        </is>
      </c>
      <c r="GG206" t="inlineStr">
        <is>
          <t>RUS</t>
        </is>
      </c>
      <c r="GH206" t="inlineStr">
        <is>
          <t>RUS</t>
        </is>
      </c>
      <c r="GI206" t="inlineStr">
        <is>
          <t>RUS</t>
        </is>
      </c>
      <c r="GJ206" t="inlineStr">
        <is>
          <t>RUS</t>
        </is>
      </c>
      <c r="GK206" t="inlineStr">
        <is>
          <t>RUS</t>
        </is>
      </c>
      <c r="GL206" t="inlineStr">
        <is>
          <t>RUS</t>
        </is>
      </c>
      <c r="GM206" t="inlineStr">
        <is>
          <t>RUS</t>
        </is>
      </c>
      <c r="GN206" t="inlineStr">
        <is>
          <t>RUS</t>
        </is>
      </c>
      <c r="GO206" t="inlineStr">
        <is>
          <t>RUS</t>
        </is>
      </c>
      <c r="GP206" t="inlineStr">
        <is>
          <t>RUS</t>
        </is>
      </c>
      <c r="GQ206" t="inlineStr">
        <is>
          <t>RUS</t>
        </is>
      </c>
      <c r="GR206" t="inlineStr">
        <is>
          <t>RUS</t>
        </is>
      </c>
      <c r="GS206" t="inlineStr">
        <is>
          <t>RUS</t>
        </is>
      </c>
      <c r="GT206" t="inlineStr">
        <is>
          <t>RUS</t>
        </is>
      </c>
      <c r="GU206" t="inlineStr">
        <is>
          <t>RUS</t>
        </is>
      </c>
      <c r="GV206" t="inlineStr">
        <is>
          <t>RUS</t>
        </is>
      </c>
      <c r="GW206" t="inlineStr">
        <is>
          <t>RUS</t>
        </is>
      </c>
      <c r="GX206" t="inlineStr">
        <is>
          <t>RUS</t>
        </is>
      </c>
      <c r="GY206" t="inlineStr">
        <is>
          <t>RUS</t>
        </is>
      </c>
      <c r="GZ206" t="inlineStr">
        <is>
          <t>RUS</t>
        </is>
      </c>
      <c r="HA206" t="inlineStr">
        <is>
          <t>RUS</t>
        </is>
      </c>
      <c r="HB206" t="inlineStr">
        <is>
          <t>RUS</t>
        </is>
      </c>
      <c r="HC206" t="inlineStr">
        <is>
          <t>RUS</t>
        </is>
      </c>
      <c r="HD206" t="inlineStr">
        <is>
          <t>RUS</t>
        </is>
      </c>
      <c r="HE206" t="inlineStr">
        <is>
          <t>RUS</t>
        </is>
      </c>
      <c r="HF206" t="inlineStr">
        <is>
          <t>RUS</t>
        </is>
      </c>
      <c r="HG206" t="inlineStr">
        <is>
          <t>RUS</t>
        </is>
      </c>
      <c r="HH206" t="inlineStr">
        <is>
          <t>RUS</t>
        </is>
      </c>
      <c r="HI206" t="inlineStr">
        <is>
          <t>RUS</t>
        </is>
      </c>
      <c r="HJ206" t="inlineStr">
        <is>
          <t>RUS</t>
        </is>
      </c>
      <c r="HK206" t="inlineStr">
        <is>
          <t>RUS</t>
        </is>
      </c>
      <c r="HL206" t="inlineStr">
        <is>
          <t>RUS</t>
        </is>
      </c>
      <c r="HM206" t="inlineStr">
        <is>
          <t>RUS</t>
        </is>
      </c>
      <c r="HN206" t="inlineStr">
        <is>
          <t>RUS</t>
        </is>
      </c>
      <c r="HO206" t="inlineStr">
        <is>
          <t>RUS</t>
        </is>
      </c>
      <c r="HP206" t="inlineStr">
        <is>
          <t>RUS</t>
        </is>
      </c>
      <c r="HQ206" t="inlineStr">
        <is>
          <t>RUS</t>
        </is>
      </c>
      <c r="HR206" t="inlineStr">
        <is>
          <t>RUS</t>
        </is>
      </c>
      <c r="HS206" t="inlineStr">
        <is>
          <t>RUS</t>
        </is>
      </c>
      <c r="HT206" t="inlineStr">
        <is>
          <t>RUS</t>
        </is>
      </c>
      <c r="HU206" t="inlineStr">
        <is>
          <t>RUS</t>
        </is>
      </c>
      <c r="HV206" t="inlineStr">
        <is>
          <t>RUS</t>
        </is>
      </c>
      <c r="HW206" t="inlineStr">
        <is>
          <t>RUS</t>
        </is>
      </c>
      <c r="HX206" t="inlineStr">
        <is>
          <t>RUS</t>
        </is>
      </c>
      <c r="HY206" t="inlineStr">
        <is>
          <t>RUS</t>
        </is>
      </c>
      <c r="HZ206" t="inlineStr">
        <is>
          <t>RUS</t>
        </is>
      </c>
      <c r="IA206" t="inlineStr">
        <is>
          <t>RUS</t>
        </is>
      </c>
      <c r="IB206" t="inlineStr">
        <is>
          <t>RUS</t>
        </is>
      </c>
      <c r="IC206" t="inlineStr">
        <is>
          <t>RUS</t>
        </is>
      </c>
      <c r="ID206" t="inlineStr">
        <is>
          <t>RUS</t>
        </is>
      </c>
      <c r="IE206" t="inlineStr">
        <is>
          <t>RUS</t>
        </is>
      </c>
      <c r="IF206" t="inlineStr">
        <is>
          <t>RUS</t>
        </is>
      </c>
      <c r="IG206" t="inlineStr">
        <is>
          <t>RUS</t>
        </is>
      </c>
      <c r="IH206" t="inlineStr">
        <is>
          <t>RUS</t>
        </is>
      </c>
      <c r="II206" t="inlineStr">
        <is>
          <t>RUS</t>
        </is>
      </c>
      <c r="IJ206" t="inlineStr">
        <is>
          <t>RUS</t>
        </is>
      </c>
      <c r="IK206" t="inlineStr">
        <is>
          <t>RUS</t>
        </is>
      </c>
      <c r="IL206" t="inlineStr">
        <is>
          <t>RUS</t>
        </is>
      </c>
      <c r="IM206" t="inlineStr">
        <is>
          <t>RUS</t>
        </is>
      </c>
      <c r="IN206" t="inlineStr">
        <is>
          <t>RUS</t>
        </is>
      </c>
      <c r="IO206" t="inlineStr">
        <is>
          <t>RUS</t>
        </is>
      </c>
      <c r="IP206" t="inlineStr">
        <is>
          <t>RUS</t>
        </is>
      </c>
      <c r="IQ206" t="inlineStr">
        <is>
          <t>RUS</t>
        </is>
      </c>
      <c r="IR206" t="inlineStr">
        <is>
          <t>RUS</t>
        </is>
      </c>
      <c r="IS206" t="inlineStr">
        <is>
          <t>RUS</t>
        </is>
      </c>
      <c r="IT206" t="inlineStr">
        <is>
          <t>RUS</t>
        </is>
      </c>
      <c r="IU206" t="inlineStr">
        <is>
          <t>RUS</t>
        </is>
      </c>
      <c r="IV206" t="inlineStr">
        <is>
          <t>RUS</t>
        </is>
      </c>
      <c r="IW206" t="inlineStr">
        <is>
          <t>RUS</t>
        </is>
      </c>
      <c r="IX206" t="inlineStr">
        <is>
          <t>RUS</t>
        </is>
      </c>
      <c r="IY206" t="inlineStr">
        <is>
          <t>RUS</t>
        </is>
      </c>
      <c r="IZ206" t="inlineStr">
        <is>
          <t>RUS</t>
        </is>
      </c>
      <c r="JA206" t="inlineStr">
        <is>
          <t>RUS</t>
        </is>
      </c>
      <c r="JB206" t="inlineStr">
        <is>
          <t>RUS</t>
        </is>
      </c>
      <c r="JC206" t="inlineStr">
        <is>
          <t>RUS</t>
        </is>
      </c>
      <c r="JD206" t="inlineStr">
        <is>
          <t>RUS</t>
        </is>
      </c>
      <c r="JE206" t="inlineStr">
        <is>
          <t>RUS</t>
        </is>
      </c>
      <c r="JF206" t="inlineStr">
        <is>
          <t>RUS</t>
        </is>
      </c>
      <c r="JG206" t="inlineStr">
        <is>
          <t>RUS</t>
        </is>
      </c>
      <c r="JH206" t="inlineStr">
        <is>
          <t>RUS</t>
        </is>
      </c>
      <c r="JI206" t="inlineStr">
        <is>
          <t>RUS</t>
        </is>
      </c>
      <c r="JJ206" t="inlineStr">
        <is>
          <t>RUS</t>
        </is>
      </c>
      <c r="JK206" t="inlineStr">
        <is>
          <t>RUS</t>
        </is>
      </c>
      <c r="JL206" t="inlineStr">
        <is>
          <t>RUS</t>
        </is>
      </c>
      <c r="JM206" t="inlineStr">
        <is>
          <t>RUS</t>
        </is>
      </c>
      <c r="JN206" t="inlineStr">
        <is>
          <t>RUS</t>
        </is>
      </c>
      <c r="JO206" t="inlineStr">
        <is>
          <t>RUS</t>
        </is>
      </c>
      <c r="JP206" t="inlineStr">
        <is>
          <t>RUS</t>
        </is>
      </c>
      <c r="JQ206" t="inlineStr">
        <is>
          <t>RUS</t>
        </is>
      </c>
      <c r="JR206" t="inlineStr">
        <is>
          <t>RUS</t>
        </is>
      </c>
      <c r="JS206" t="inlineStr">
        <is>
          <t>RUS</t>
        </is>
      </c>
      <c r="JT206" t="inlineStr">
        <is>
          <t>RUS</t>
        </is>
      </c>
      <c r="JU206" t="inlineStr">
        <is>
          <t>RUS</t>
        </is>
      </c>
    </row>
    <row r="207">
      <c r="BW207" t="inlineStr">
        <is>
          <t>NOR</t>
        </is>
      </c>
      <c r="BX207" t="inlineStr">
        <is>
          <t>NOR</t>
        </is>
      </c>
      <c r="BY207" t="inlineStr">
        <is>
          <t>NOR</t>
        </is>
      </c>
      <c r="BZ207" t="inlineStr">
        <is>
          <t>NOR</t>
        </is>
      </c>
      <c r="CA207" t="inlineStr">
        <is>
          <t>NOR</t>
        </is>
      </c>
      <c r="CB207" t="inlineStr">
        <is>
          <t>NOR</t>
        </is>
      </c>
      <c r="CC207" t="inlineStr">
        <is>
          <t>NOR</t>
        </is>
      </c>
      <c r="CD207" t="inlineStr">
        <is>
          <t>NOR</t>
        </is>
      </c>
      <c r="CE207" t="inlineStr">
        <is>
          <t>NOR</t>
        </is>
      </c>
      <c r="CF207" t="inlineStr">
        <is>
          <t>NOR</t>
        </is>
      </c>
      <c r="CG207" t="inlineStr">
        <is>
          <t>NOR</t>
        </is>
      </c>
      <c r="CH207" t="inlineStr">
        <is>
          <t>SWE</t>
        </is>
      </c>
      <c r="CI207" t="inlineStr">
        <is>
          <t>SWE</t>
        </is>
      </c>
      <c r="CJ207" t="inlineStr">
        <is>
          <t>SWE</t>
        </is>
      </c>
      <c r="CK207" t="inlineStr">
        <is>
          <t>SWE</t>
        </is>
      </c>
      <c r="CL207" t="inlineStr">
        <is>
          <t>SWE</t>
        </is>
      </c>
      <c r="CM207" t="inlineStr">
        <is>
          <t>SWE</t>
        </is>
      </c>
      <c r="CN207" t="inlineStr">
        <is>
          <t>SWE</t>
        </is>
      </c>
      <c r="CO207" t="inlineStr">
        <is>
          <t>SWE</t>
        </is>
      </c>
      <c r="CP207" t="inlineStr">
        <is>
          <t>SWE</t>
        </is>
      </c>
      <c r="CQ207" t="inlineStr">
        <is>
          <t>SWE</t>
        </is>
      </c>
      <c r="CR207" t="inlineStr">
        <is>
          <t>SWE</t>
        </is>
      </c>
      <c r="CS207" t="inlineStr">
        <is>
          <t>SWE</t>
        </is>
      </c>
      <c r="CZ207" t="inlineStr">
        <is>
          <t>FIN</t>
        </is>
      </c>
      <c r="DA207" t="inlineStr">
        <is>
          <t>FIN</t>
        </is>
      </c>
      <c r="DB207" t="inlineStr">
        <is>
          <t>FIN</t>
        </is>
      </c>
      <c r="DC207" t="inlineStr">
        <is>
          <t>FIN</t>
        </is>
      </c>
      <c r="DD207" t="inlineStr">
        <is>
          <t>FIN</t>
        </is>
      </c>
      <c r="DE207" t="inlineStr">
        <is>
          <t>FIN</t>
        </is>
      </c>
      <c r="DF207" t="inlineStr">
        <is>
          <t>FIN</t>
        </is>
      </c>
      <c r="DG207" t="inlineStr">
        <is>
          <t>FIN</t>
        </is>
      </c>
      <c r="DH207" t="inlineStr">
        <is>
          <t>FIN</t>
        </is>
      </c>
      <c r="DI207" t="inlineStr">
        <is>
          <t>FIN</t>
        </is>
      </c>
      <c r="DJ207" t="inlineStr">
        <is>
          <t>FIN</t>
        </is>
      </c>
      <c r="DK207" t="inlineStr">
        <is>
          <t>FIN</t>
        </is>
      </c>
      <c r="DL207" t="inlineStr">
        <is>
          <t>FIN</t>
        </is>
      </c>
      <c r="DM207" t="inlineStr">
        <is>
          <t>FIN</t>
        </is>
      </c>
      <c r="DN207" t="inlineStr">
        <is>
          <t>FIN</t>
        </is>
      </c>
      <c r="DO207" t="inlineStr">
        <is>
          <t>FIN</t>
        </is>
      </c>
      <c r="DP207" t="inlineStr">
        <is>
          <t>FIN</t>
        </is>
      </c>
      <c r="DQ207" t="inlineStr">
        <is>
          <t>FIN</t>
        </is>
      </c>
      <c r="DR207" t="inlineStr">
        <is>
          <t>FIN</t>
        </is>
      </c>
      <c r="DS207" t="inlineStr">
        <is>
          <t>FIN</t>
        </is>
      </c>
      <c r="DT207" t="inlineStr">
        <is>
          <t>FIN</t>
        </is>
      </c>
      <c r="DU207" t="inlineStr">
        <is>
          <t>RUS</t>
        </is>
      </c>
      <c r="DV207" t="inlineStr">
        <is>
          <t>RUS</t>
        </is>
      </c>
      <c r="DW207" t="inlineStr">
        <is>
          <t>RUS</t>
        </is>
      </c>
      <c r="DX207" t="inlineStr">
        <is>
          <t>RUS</t>
        </is>
      </c>
      <c r="DY207" t="inlineStr">
        <is>
          <t>RUS</t>
        </is>
      </c>
      <c r="DZ207" t="inlineStr">
        <is>
          <t>RUS</t>
        </is>
      </c>
      <c r="EA207" t="inlineStr">
        <is>
          <t>RUS</t>
        </is>
      </c>
      <c r="EB207" t="inlineStr">
        <is>
          <t>RUS</t>
        </is>
      </c>
      <c r="EC207" t="inlineStr">
        <is>
          <t>RUS</t>
        </is>
      </c>
      <c r="ED207" t="inlineStr">
        <is>
          <t>RUS</t>
        </is>
      </c>
      <c r="EE207" t="inlineStr">
        <is>
          <t>RUS</t>
        </is>
      </c>
      <c r="EF207" t="inlineStr">
        <is>
          <t>RUS</t>
        </is>
      </c>
      <c r="EG207" t="inlineStr">
        <is>
          <t>RUS</t>
        </is>
      </c>
      <c r="EH207" t="inlineStr">
        <is>
          <t>RUS</t>
        </is>
      </c>
      <c r="EI207" t="inlineStr">
        <is>
          <t>RUS</t>
        </is>
      </c>
      <c r="EJ207" t="inlineStr">
        <is>
          <t>RUS</t>
        </is>
      </c>
      <c r="EK207" t="inlineStr">
        <is>
          <t>RUS</t>
        </is>
      </c>
      <c r="EL207" t="inlineStr">
        <is>
          <t>RUS</t>
        </is>
      </c>
      <c r="EM207" t="inlineStr">
        <is>
          <t>RUS</t>
        </is>
      </c>
      <c r="EN207" t="inlineStr">
        <is>
          <t>RUS</t>
        </is>
      </c>
      <c r="EO207" t="inlineStr">
        <is>
          <t>RUS</t>
        </is>
      </c>
      <c r="EP207" t="inlineStr">
        <is>
          <t>RUS</t>
        </is>
      </c>
      <c r="EQ207" t="inlineStr">
        <is>
          <t>RUS</t>
        </is>
      </c>
      <c r="ER207" t="inlineStr">
        <is>
          <t>RUS</t>
        </is>
      </c>
      <c r="ES207" t="inlineStr">
        <is>
          <t>RUS</t>
        </is>
      </c>
      <c r="ET207" t="inlineStr">
        <is>
          <t>RUS</t>
        </is>
      </c>
      <c r="EU207" t="inlineStr">
        <is>
          <t>RUS</t>
        </is>
      </c>
      <c r="EV207" t="inlineStr">
        <is>
          <t>RUS</t>
        </is>
      </c>
      <c r="EW207" t="inlineStr">
        <is>
          <t>RUS</t>
        </is>
      </c>
      <c r="EX207" t="inlineStr">
        <is>
          <t>RUS</t>
        </is>
      </c>
      <c r="EY207" t="inlineStr">
        <is>
          <t>RUS</t>
        </is>
      </c>
      <c r="EZ207" t="inlineStr">
        <is>
          <t>RUS</t>
        </is>
      </c>
      <c r="FA207" t="inlineStr">
        <is>
          <t>RUS</t>
        </is>
      </c>
      <c r="FB207" t="inlineStr">
        <is>
          <t>RUS</t>
        </is>
      </c>
      <c r="FC207" t="inlineStr">
        <is>
          <t>RUS</t>
        </is>
      </c>
      <c r="FD207" t="inlineStr">
        <is>
          <t>RUS</t>
        </is>
      </c>
      <c r="FE207" t="inlineStr">
        <is>
          <t>RUS</t>
        </is>
      </c>
      <c r="FF207" t="inlineStr">
        <is>
          <t>RUS</t>
        </is>
      </c>
      <c r="FG207" t="inlineStr">
        <is>
          <t>RUS</t>
        </is>
      </c>
      <c r="FH207" t="inlineStr">
        <is>
          <t>RUS</t>
        </is>
      </c>
      <c r="FI207" t="inlineStr">
        <is>
          <t>RUS</t>
        </is>
      </c>
      <c r="FJ207" t="inlineStr">
        <is>
          <t>RUS</t>
        </is>
      </c>
      <c r="FK207" t="inlineStr">
        <is>
          <t>RUS</t>
        </is>
      </c>
      <c r="FL207" t="inlineStr">
        <is>
          <t>RUS</t>
        </is>
      </c>
      <c r="FM207" t="inlineStr">
        <is>
          <t>RUS</t>
        </is>
      </c>
      <c r="FN207" t="inlineStr">
        <is>
          <t>RUS</t>
        </is>
      </c>
      <c r="FO207" t="inlineStr">
        <is>
          <t>RUS</t>
        </is>
      </c>
      <c r="FP207" t="inlineStr">
        <is>
          <t>RUS</t>
        </is>
      </c>
      <c r="FQ207" t="inlineStr">
        <is>
          <t>RUS</t>
        </is>
      </c>
      <c r="FR207" t="inlineStr">
        <is>
          <t>RUS</t>
        </is>
      </c>
      <c r="FS207" t="inlineStr">
        <is>
          <t>RUS</t>
        </is>
      </c>
      <c r="FT207" t="inlineStr">
        <is>
          <t>RUS</t>
        </is>
      </c>
      <c r="FU207" t="inlineStr">
        <is>
          <t>RUS</t>
        </is>
      </c>
      <c r="FV207" t="inlineStr">
        <is>
          <t>RUS</t>
        </is>
      </c>
      <c r="FW207" t="inlineStr">
        <is>
          <t>RUS</t>
        </is>
      </c>
      <c r="FX207" t="inlineStr">
        <is>
          <t>RUS</t>
        </is>
      </c>
      <c r="FY207" t="inlineStr">
        <is>
          <t>RUS</t>
        </is>
      </c>
      <c r="FZ207" t="inlineStr">
        <is>
          <t>RUS</t>
        </is>
      </c>
      <c r="GA207" t="inlineStr">
        <is>
          <t>RUS</t>
        </is>
      </c>
      <c r="GB207" t="inlineStr">
        <is>
          <t>RUS</t>
        </is>
      </c>
      <c r="GC207" t="inlineStr">
        <is>
          <t>RUS</t>
        </is>
      </c>
      <c r="GD207" t="inlineStr">
        <is>
          <t>RUS</t>
        </is>
      </c>
      <c r="GE207" t="inlineStr">
        <is>
          <t>RUS</t>
        </is>
      </c>
      <c r="GF207" t="inlineStr">
        <is>
          <t>RUS</t>
        </is>
      </c>
      <c r="GG207" t="inlineStr">
        <is>
          <t>RUS</t>
        </is>
      </c>
      <c r="GH207" t="inlineStr">
        <is>
          <t>RUS</t>
        </is>
      </c>
      <c r="GI207" t="inlineStr">
        <is>
          <t>RUS</t>
        </is>
      </c>
      <c r="GJ207" t="inlineStr">
        <is>
          <t>RUS</t>
        </is>
      </c>
      <c r="GK207" t="inlineStr">
        <is>
          <t>RUS</t>
        </is>
      </c>
      <c r="GL207" t="inlineStr">
        <is>
          <t>RUS</t>
        </is>
      </c>
      <c r="GM207" t="inlineStr">
        <is>
          <t>RUS</t>
        </is>
      </c>
      <c r="GN207" t="inlineStr">
        <is>
          <t>RUS</t>
        </is>
      </c>
      <c r="GO207" t="inlineStr">
        <is>
          <t>RUS</t>
        </is>
      </c>
      <c r="GP207" t="inlineStr">
        <is>
          <t>RUS</t>
        </is>
      </c>
      <c r="GQ207" t="inlineStr">
        <is>
          <t>RUS</t>
        </is>
      </c>
      <c r="GR207" t="inlineStr">
        <is>
          <t>RUS</t>
        </is>
      </c>
      <c r="GS207" t="inlineStr">
        <is>
          <t>RUS</t>
        </is>
      </c>
      <c r="GT207" t="inlineStr">
        <is>
          <t>RUS</t>
        </is>
      </c>
      <c r="GU207" t="inlineStr">
        <is>
          <t>RUS</t>
        </is>
      </c>
      <c r="GV207" t="inlineStr">
        <is>
          <t>RUS</t>
        </is>
      </c>
      <c r="GW207" t="inlineStr">
        <is>
          <t>RUS</t>
        </is>
      </c>
      <c r="GX207" t="inlineStr">
        <is>
          <t>RUS</t>
        </is>
      </c>
      <c r="GY207" t="inlineStr">
        <is>
          <t>RUS</t>
        </is>
      </c>
      <c r="GZ207" t="inlineStr">
        <is>
          <t>RUS</t>
        </is>
      </c>
      <c r="HA207" t="inlineStr">
        <is>
          <t>RUS</t>
        </is>
      </c>
      <c r="HB207" t="inlineStr">
        <is>
          <t>RUS</t>
        </is>
      </c>
      <c r="HC207" t="inlineStr">
        <is>
          <t>RUS</t>
        </is>
      </c>
      <c r="HD207" t="inlineStr">
        <is>
          <t>RUS</t>
        </is>
      </c>
      <c r="HE207" t="inlineStr">
        <is>
          <t>RUS</t>
        </is>
      </c>
      <c r="HF207" t="inlineStr">
        <is>
          <t>RUS</t>
        </is>
      </c>
      <c r="HG207" t="inlineStr">
        <is>
          <t>RUS</t>
        </is>
      </c>
      <c r="HH207" t="inlineStr">
        <is>
          <t>RUS</t>
        </is>
      </c>
      <c r="HI207" t="inlineStr">
        <is>
          <t>RUS</t>
        </is>
      </c>
      <c r="HJ207" t="inlineStr">
        <is>
          <t>RUS</t>
        </is>
      </c>
      <c r="HK207" t="inlineStr">
        <is>
          <t>RUS</t>
        </is>
      </c>
      <c r="HL207" t="inlineStr">
        <is>
          <t>RUS</t>
        </is>
      </c>
      <c r="HM207" t="inlineStr">
        <is>
          <t>RUS</t>
        </is>
      </c>
      <c r="HN207" t="inlineStr">
        <is>
          <t>RUS</t>
        </is>
      </c>
      <c r="HO207" t="inlineStr">
        <is>
          <t>RUS</t>
        </is>
      </c>
      <c r="HP207" t="inlineStr">
        <is>
          <t>RUS</t>
        </is>
      </c>
      <c r="HQ207" t="inlineStr">
        <is>
          <t>RUS</t>
        </is>
      </c>
      <c r="HR207" t="inlineStr">
        <is>
          <t>RUS</t>
        </is>
      </c>
      <c r="HS207" t="inlineStr">
        <is>
          <t>RUS</t>
        </is>
      </c>
      <c r="HT207" t="inlineStr">
        <is>
          <t>RUS</t>
        </is>
      </c>
      <c r="HU207" t="inlineStr">
        <is>
          <t>RUS</t>
        </is>
      </c>
      <c r="HV207" t="inlineStr">
        <is>
          <t>RUS</t>
        </is>
      </c>
      <c r="HW207" t="inlineStr">
        <is>
          <t>RUS</t>
        </is>
      </c>
      <c r="HX207" t="inlineStr">
        <is>
          <t>RUS</t>
        </is>
      </c>
      <c r="HY207" t="inlineStr">
        <is>
          <t>RUS</t>
        </is>
      </c>
      <c r="HZ207" t="inlineStr">
        <is>
          <t>RUS</t>
        </is>
      </c>
      <c r="IA207" t="inlineStr">
        <is>
          <t>RUS</t>
        </is>
      </c>
      <c r="IB207" t="inlineStr">
        <is>
          <t>RUS</t>
        </is>
      </c>
      <c r="IC207" t="inlineStr">
        <is>
          <t>RUS</t>
        </is>
      </c>
      <c r="ID207" t="inlineStr">
        <is>
          <t>RUS</t>
        </is>
      </c>
      <c r="IE207" t="inlineStr">
        <is>
          <t>RUS</t>
        </is>
      </c>
      <c r="IF207" t="inlineStr">
        <is>
          <t>RUS</t>
        </is>
      </c>
      <c r="IG207" t="inlineStr">
        <is>
          <t>RUS</t>
        </is>
      </c>
      <c r="IH207" t="inlineStr">
        <is>
          <t>RUS</t>
        </is>
      </c>
      <c r="II207" t="inlineStr">
        <is>
          <t>RUS</t>
        </is>
      </c>
      <c r="IJ207" t="inlineStr">
        <is>
          <t>RUS</t>
        </is>
      </c>
      <c r="IK207" t="inlineStr">
        <is>
          <t>RUS</t>
        </is>
      </c>
      <c r="IL207" t="inlineStr">
        <is>
          <t>RUS</t>
        </is>
      </c>
      <c r="IM207" t="inlineStr">
        <is>
          <t>RUS</t>
        </is>
      </c>
      <c r="IN207" t="inlineStr">
        <is>
          <t>RUS</t>
        </is>
      </c>
      <c r="IO207" t="inlineStr">
        <is>
          <t>RUS</t>
        </is>
      </c>
      <c r="IP207" t="inlineStr">
        <is>
          <t>RUS</t>
        </is>
      </c>
      <c r="IQ207" t="inlineStr">
        <is>
          <t>RUS</t>
        </is>
      </c>
      <c r="IR207" t="inlineStr">
        <is>
          <t>RUS</t>
        </is>
      </c>
      <c r="IS207" t="inlineStr">
        <is>
          <t>RUS</t>
        </is>
      </c>
      <c r="IT207" t="inlineStr">
        <is>
          <t>RUS</t>
        </is>
      </c>
      <c r="IU207" t="inlineStr">
        <is>
          <t>RUS</t>
        </is>
      </c>
      <c r="IV207" t="inlineStr">
        <is>
          <t>RUS</t>
        </is>
      </c>
      <c r="IW207" t="inlineStr">
        <is>
          <t>RUS</t>
        </is>
      </c>
      <c r="IX207" t="inlineStr">
        <is>
          <t>RUS</t>
        </is>
      </c>
      <c r="IY207" t="inlineStr">
        <is>
          <t>RUS</t>
        </is>
      </c>
      <c r="IZ207" t="inlineStr">
        <is>
          <t>RUS</t>
        </is>
      </c>
      <c r="JA207" t="inlineStr">
        <is>
          <t>RUS</t>
        </is>
      </c>
      <c r="JB207" t="inlineStr">
        <is>
          <t>RUS</t>
        </is>
      </c>
      <c r="JC207" t="inlineStr">
        <is>
          <t>RUS</t>
        </is>
      </c>
      <c r="JD207" t="inlineStr">
        <is>
          <t>RUS</t>
        </is>
      </c>
      <c r="JE207" t="inlineStr">
        <is>
          <t>RUS</t>
        </is>
      </c>
      <c r="JF207" t="inlineStr">
        <is>
          <t>RUS</t>
        </is>
      </c>
      <c r="JG207" t="inlineStr">
        <is>
          <t>RUS</t>
        </is>
      </c>
      <c r="JH207" t="inlineStr">
        <is>
          <t>RUS</t>
        </is>
      </c>
      <c r="JI207" t="inlineStr">
        <is>
          <t>RUS</t>
        </is>
      </c>
      <c r="JJ207" t="inlineStr">
        <is>
          <t>RUS</t>
        </is>
      </c>
      <c r="JK207" t="inlineStr">
        <is>
          <t>RUS</t>
        </is>
      </c>
      <c r="JL207" t="inlineStr">
        <is>
          <t>RUS</t>
        </is>
      </c>
      <c r="JM207" t="inlineStr">
        <is>
          <t>RUS</t>
        </is>
      </c>
      <c r="JN207" t="inlineStr">
        <is>
          <t>RUS</t>
        </is>
      </c>
      <c r="JO207" t="inlineStr">
        <is>
          <t>RUS</t>
        </is>
      </c>
      <c r="JP207" t="inlineStr">
        <is>
          <t>RUS</t>
        </is>
      </c>
      <c r="JQ207" t="inlineStr">
        <is>
          <t>RUS</t>
        </is>
      </c>
      <c r="JR207" t="inlineStr">
        <is>
          <t>RUS</t>
        </is>
      </c>
      <c r="JS207" t="inlineStr">
        <is>
          <t>RUS</t>
        </is>
      </c>
      <c r="JT207" t="inlineStr">
        <is>
          <t>RUS</t>
        </is>
      </c>
      <c r="JU207" t="inlineStr">
        <is>
          <t>RUS</t>
        </is>
      </c>
    </row>
    <row r="208">
      <c r="BZ208" t="inlineStr">
        <is>
          <t>NOR</t>
        </is>
      </c>
      <c r="CA208" t="inlineStr">
        <is>
          <t>NOR</t>
        </is>
      </c>
      <c r="CB208" t="inlineStr">
        <is>
          <t>NOR</t>
        </is>
      </c>
      <c r="CC208" t="inlineStr">
        <is>
          <t>NOR</t>
        </is>
      </c>
      <c r="CD208" t="inlineStr">
        <is>
          <t>NOR</t>
        </is>
      </c>
      <c r="CE208" t="inlineStr">
        <is>
          <t>NOR</t>
        </is>
      </c>
      <c r="CF208" t="inlineStr">
        <is>
          <t>NOR</t>
        </is>
      </c>
      <c r="CG208" t="inlineStr">
        <is>
          <t>NOR</t>
        </is>
      </c>
      <c r="CH208" t="inlineStr">
        <is>
          <t>SWE</t>
        </is>
      </c>
      <c r="CI208" t="inlineStr">
        <is>
          <t>SWE</t>
        </is>
      </c>
      <c r="CJ208" t="inlineStr">
        <is>
          <t>SWE</t>
        </is>
      </c>
      <c r="CK208" t="inlineStr">
        <is>
          <t>SWE</t>
        </is>
      </c>
      <c r="CL208" t="inlineStr">
        <is>
          <t>SWE</t>
        </is>
      </c>
      <c r="CM208" t="inlineStr">
        <is>
          <t>SWE</t>
        </is>
      </c>
      <c r="CN208" t="inlineStr">
        <is>
          <t>SWE</t>
        </is>
      </c>
      <c r="CO208" t="inlineStr">
        <is>
          <t>SWE</t>
        </is>
      </c>
      <c r="CP208" t="inlineStr">
        <is>
          <t>SWE</t>
        </is>
      </c>
      <c r="CQ208" t="inlineStr">
        <is>
          <t>SWE</t>
        </is>
      </c>
      <c r="CR208" t="inlineStr">
        <is>
          <t>SWE</t>
        </is>
      </c>
      <c r="CS208" t="inlineStr">
        <is>
          <t>SWE</t>
        </is>
      </c>
      <c r="CT208" t="inlineStr">
        <is>
          <t>SWE</t>
        </is>
      </c>
      <c r="CU208" t="inlineStr">
        <is>
          <t>SWE</t>
        </is>
      </c>
      <c r="DA208" t="inlineStr">
        <is>
          <t>FIN</t>
        </is>
      </c>
      <c r="DB208" t="inlineStr">
        <is>
          <t>FIN</t>
        </is>
      </c>
      <c r="DC208" t="inlineStr">
        <is>
          <t>FIN</t>
        </is>
      </c>
      <c r="DD208" t="inlineStr">
        <is>
          <t>FIN</t>
        </is>
      </c>
      <c r="DE208" t="inlineStr">
        <is>
          <t>FIN</t>
        </is>
      </c>
      <c r="DF208" t="inlineStr">
        <is>
          <t>FIN</t>
        </is>
      </c>
      <c r="DG208" t="inlineStr">
        <is>
          <t>FIN</t>
        </is>
      </c>
      <c r="DH208" t="inlineStr">
        <is>
          <t>FIN</t>
        </is>
      </c>
      <c r="DI208" t="inlineStr">
        <is>
          <t>FIN</t>
        </is>
      </c>
      <c r="DJ208" t="inlineStr">
        <is>
          <t>FIN</t>
        </is>
      </c>
      <c r="DK208" t="inlineStr">
        <is>
          <t>FIN</t>
        </is>
      </c>
      <c r="DL208" t="inlineStr">
        <is>
          <t>FIN</t>
        </is>
      </c>
      <c r="DM208" t="inlineStr">
        <is>
          <t>FIN</t>
        </is>
      </c>
      <c r="DN208" t="inlineStr">
        <is>
          <t>FIN</t>
        </is>
      </c>
      <c r="DO208" t="inlineStr">
        <is>
          <t>FIN</t>
        </is>
      </c>
      <c r="DP208" t="inlineStr">
        <is>
          <t>FIN</t>
        </is>
      </c>
      <c r="DQ208" t="inlineStr">
        <is>
          <t>FIN</t>
        </is>
      </c>
      <c r="DR208" t="inlineStr">
        <is>
          <t>FIN</t>
        </is>
      </c>
      <c r="DS208" t="inlineStr">
        <is>
          <t>RUS</t>
        </is>
      </c>
      <c r="DT208" t="inlineStr">
        <is>
          <t>RUS</t>
        </is>
      </c>
      <c r="DU208" t="inlineStr">
        <is>
          <t>RUS</t>
        </is>
      </c>
      <c r="DV208" t="inlineStr">
        <is>
          <t>RUS</t>
        </is>
      </c>
      <c r="DW208" t="inlineStr">
        <is>
          <t>RUS</t>
        </is>
      </c>
      <c r="DX208" t="inlineStr">
        <is>
          <t>RUS</t>
        </is>
      </c>
      <c r="DY208" t="inlineStr">
        <is>
          <t>RUS</t>
        </is>
      </c>
      <c r="DZ208" t="inlineStr">
        <is>
          <t>RUS</t>
        </is>
      </c>
      <c r="EA208" t="inlineStr">
        <is>
          <t>RUS</t>
        </is>
      </c>
      <c r="EB208" t="inlineStr">
        <is>
          <t>RUS</t>
        </is>
      </c>
      <c r="EC208" t="inlineStr">
        <is>
          <t>RUS</t>
        </is>
      </c>
      <c r="ED208" t="inlineStr">
        <is>
          <t>RUS</t>
        </is>
      </c>
      <c r="EE208" t="inlineStr">
        <is>
          <t>RUS</t>
        </is>
      </c>
      <c r="EF208" t="inlineStr">
        <is>
          <t>RUS</t>
        </is>
      </c>
      <c r="EG208" t="inlineStr">
        <is>
          <t>RUS</t>
        </is>
      </c>
      <c r="EH208" t="inlineStr">
        <is>
          <t>RUS</t>
        </is>
      </c>
      <c r="EI208" t="inlineStr">
        <is>
          <t>RUS</t>
        </is>
      </c>
      <c r="EJ208" t="inlineStr">
        <is>
          <t>RUS</t>
        </is>
      </c>
      <c r="EK208" t="inlineStr">
        <is>
          <t>RUS</t>
        </is>
      </c>
      <c r="EL208" t="inlineStr">
        <is>
          <t>RUS</t>
        </is>
      </c>
      <c r="EM208" t="inlineStr">
        <is>
          <t>RUS</t>
        </is>
      </c>
      <c r="EN208" t="inlineStr">
        <is>
          <t>RUS</t>
        </is>
      </c>
      <c r="EO208" t="inlineStr">
        <is>
          <t>RUS</t>
        </is>
      </c>
      <c r="EP208" t="inlineStr">
        <is>
          <t>RUS</t>
        </is>
      </c>
      <c r="EQ208" t="inlineStr">
        <is>
          <t>RUS</t>
        </is>
      </c>
      <c r="ER208" t="inlineStr">
        <is>
          <t>RUS</t>
        </is>
      </c>
      <c r="ES208" t="inlineStr">
        <is>
          <t>RUS</t>
        </is>
      </c>
      <c r="ET208" t="inlineStr">
        <is>
          <t>RUS</t>
        </is>
      </c>
      <c r="EU208" t="inlineStr">
        <is>
          <t>RUS</t>
        </is>
      </c>
      <c r="EV208" t="inlineStr">
        <is>
          <t>RUS</t>
        </is>
      </c>
      <c r="EW208" t="inlineStr">
        <is>
          <t>RUS</t>
        </is>
      </c>
      <c r="EX208" t="inlineStr">
        <is>
          <t>RUS</t>
        </is>
      </c>
      <c r="EY208" t="inlineStr">
        <is>
          <t>RUS</t>
        </is>
      </c>
      <c r="EZ208" t="inlineStr">
        <is>
          <t>RUS</t>
        </is>
      </c>
      <c r="FA208" t="inlineStr">
        <is>
          <t>RUS</t>
        </is>
      </c>
      <c r="FB208" t="inlineStr">
        <is>
          <t>RUS</t>
        </is>
      </c>
      <c r="FC208" t="inlineStr">
        <is>
          <t>RUS</t>
        </is>
      </c>
      <c r="FD208" t="inlineStr">
        <is>
          <t>RUS</t>
        </is>
      </c>
      <c r="FE208" t="inlineStr">
        <is>
          <t>RUS</t>
        </is>
      </c>
      <c r="FF208" t="inlineStr">
        <is>
          <t>RUS</t>
        </is>
      </c>
      <c r="FG208" t="inlineStr">
        <is>
          <t>RUS</t>
        </is>
      </c>
      <c r="FH208" t="inlineStr">
        <is>
          <t>RUS</t>
        </is>
      </c>
      <c r="FI208" t="inlineStr">
        <is>
          <t>RUS</t>
        </is>
      </c>
      <c r="FJ208" t="inlineStr">
        <is>
          <t>RUS</t>
        </is>
      </c>
      <c r="FK208" t="inlineStr">
        <is>
          <t>RUS</t>
        </is>
      </c>
      <c r="FL208" t="inlineStr">
        <is>
          <t>RUS</t>
        </is>
      </c>
      <c r="FM208" t="inlineStr">
        <is>
          <t>RUS</t>
        </is>
      </c>
      <c r="FN208" t="inlineStr">
        <is>
          <t>RUS</t>
        </is>
      </c>
      <c r="FO208" t="inlineStr">
        <is>
          <t>RUS</t>
        </is>
      </c>
      <c r="FP208" t="inlineStr">
        <is>
          <t>RUS</t>
        </is>
      </c>
      <c r="FQ208" t="inlineStr">
        <is>
          <t>RUS</t>
        </is>
      </c>
      <c r="FR208" t="inlineStr">
        <is>
          <t>RUS</t>
        </is>
      </c>
      <c r="FS208" t="inlineStr">
        <is>
          <t>RUS</t>
        </is>
      </c>
      <c r="FT208" t="inlineStr">
        <is>
          <t>RUS</t>
        </is>
      </c>
      <c r="FU208" t="inlineStr">
        <is>
          <t>RUS</t>
        </is>
      </c>
      <c r="FV208" t="inlineStr">
        <is>
          <t>RUS</t>
        </is>
      </c>
      <c r="FW208" t="inlineStr">
        <is>
          <t>RUS</t>
        </is>
      </c>
      <c r="FX208" t="inlineStr">
        <is>
          <t>RUS</t>
        </is>
      </c>
      <c r="FY208" t="inlineStr">
        <is>
          <t>RUS</t>
        </is>
      </c>
      <c r="FZ208" t="inlineStr">
        <is>
          <t>RUS</t>
        </is>
      </c>
      <c r="GA208" t="inlineStr">
        <is>
          <t>RUS</t>
        </is>
      </c>
      <c r="GB208" t="inlineStr">
        <is>
          <t>RUS</t>
        </is>
      </c>
      <c r="GC208" t="inlineStr">
        <is>
          <t>RUS</t>
        </is>
      </c>
      <c r="GD208" t="inlineStr">
        <is>
          <t>RUS</t>
        </is>
      </c>
      <c r="GE208" t="inlineStr">
        <is>
          <t>RUS</t>
        </is>
      </c>
      <c r="GF208" t="inlineStr">
        <is>
          <t>RUS</t>
        </is>
      </c>
      <c r="GG208" t="inlineStr">
        <is>
          <t>RUS</t>
        </is>
      </c>
      <c r="GH208" t="inlineStr">
        <is>
          <t>RUS</t>
        </is>
      </c>
      <c r="GI208" t="inlineStr">
        <is>
          <t>RUS</t>
        </is>
      </c>
      <c r="GJ208" t="inlineStr">
        <is>
          <t>RUS</t>
        </is>
      </c>
      <c r="GK208" t="inlineStr">
        <is>
          <t>RUS</t>
        </is>
      </c>
      <c r="GL208" t="inlineStr">
        <is>
          <t>RUS</t>
        </is>
      </c>
      <c r="GM208" t="inlineStr">
        <is>
          <t>RUS</t>
        </is>
      </c>
      <c r="GN208" t="inlineStr">
        <is>
          <t>RUS</t>
        </is>
      </c>
      <c r="GO208" t="inlineStr">
        <is>
          <t>RUS</t>
        </is>
      </c>
      <c r="GP208" t="inlineStr">
        <is>
          <t>RUS</t>
        </is>
      </c>
      <c r="GQ208" t="inlineStr">
        <is>
          <t>RUS</t>
        </is>
      </c>
      <c r="GR208" t="inlineStr">
        <is>
          <t>RUS</t>
        </is>
      </c>
      <c r="GS208" t="inlineStr">
        <is>
          <t>RUS</t>
        </is>
      </c>
      <c r="GT208" t="inlineStr">
        <is>
          <t>RUS</t>
        </is>
      </c>
      <c r="GU208" t="inlineStr">
        <is>
          <t>RUS</t>
        </is>
      </c>
      <c r="GV208" t="inlineStr">
        <is>
          <t>RUS</t>
        </is>
      </c>
      <c r="GW208" t="inlineStr">
        <is>
          <t>RUS</t>
        </is>
      </c>
      <c r="GX208" t="inlineStr">
        <is>
          <t>RUS</t>
        </is>
      </c>
      <c r="GY208" t="inlineStr">
        <is>
          <t>RUS</t>
        </is>
      </c>
      <c r="GZ208" t="inlineStr">
        <is>
          <t>RUS</t>
        </is>
      </c>
      <c r="HA208" t="inlineStr">
        <is>
          <t>RUS</t>
        </is>
      </c>
      <c r="HB208" t="inlineStr">
        <is>
          <t>RUS</t>
        </is>
      </c>
      <c r="HC208" t="inlineStr">
        <is>
          <t>RUS</t>
        </is>
      </c>
      <c r="HD208" t="inlineStr">
        <is>
          <t>RUS</t>
        </is>
      </c>
      <c r="HE208" t="inlineStr">
        <is>
          <t>RUS</t>
        </is>
      </c>
      <c r="HF208" t="inlineStr">
        <is>
          <t>RUS</t>
        </is>
      </c>
      <c r="HG208" t="inlineStr">
        <is>
          <t>RUS</t>
        </is>
      </c>
      <c r="HH208" t="inlineStr">
        <is>
          <t>RUS</t>
        </is>
      </c>
      <c r="HI208" t="inlineStr">
        <is>
          <t>RUS</t>
        </is>
      </c>
      <c r="HJ208" t="inlineStr">
        <is>
          <t>RUS</t>
        </is>
      </c>
      <c r="HK208" t="inlineStr">
        <is>
          <t>RUS</t>
        </is>
      </c>
      <c r="HL208" t="inlineStr">
        <is>
          <t>RUS</t>
        </is>
      </c>
      <c r="HM208" t="inlineStr">
        <is>
          <t>RUS</t>
        </is>
      </c>
      <c r="HN208" t="inlineStr">
        <is>
          <t>RUS</t>
        </is>
      </c>
      <c r="HO208" t="inlineStr">
        <is>
          <t>RUS</t>
        </is>
      </c>
      <c r="HP208" t="inlineStr">
        <is>
          <t>RUS</t>
        </is>
      </c>
      <c r="HQ208" t="inlineStr">
        <is>
          <t>RUS</t>
        </is>
      </c>
      <c r="HR208" t="inlineStr">
        <is>
          <t>RUS</t>
        </is>
      </c>
      <c r="HS208" t="inlineStr">
        <is>
          <t>RUS</t>
        </is>
      </c>
      <c r="HT208" t="inlineStr">
        <is>
          <t>RUS</t>
        </is>
      </c>
      <c r="HU208" t="inlineStr">
        <is>
          <t>RUS</t>
        </is>
      </c>
      <c r="HV208" t="inlineStr">
        <is>
          <t>RUS</t>
        </is>
      </c>
      <c r="HW208" t="inlineStr">
        <is>
          <t>RUS</t>
        </is>
      </c>
      <c r="HX208" t="inlineStr">
        <is>
          <t>RUS</t>
        </is>
      </c>
      <c r="HY208" t="inlineStr">
        <is>
          <t>RUS</t>
        </is>
      </c>
      <c r="HZ208" t="inlineStr">
        <is>
          <t>RUS</t>
        </is>
      </c>
      <c r="IA208" t="inlineStr">
        <is>
          <t>RUS</t>
        </is>
      </c>
      <c r="IB208" t="inlineStr">
        <is>
          <t>RUS</t>
        </is>
      </c>
      <c r="IC208" t="inlineStr">
        <is>
          <t>RUS</t>
        </is>
      </c>
      <c r="ID208" t="inlineStr">
        <is>
          <t>RUS</t>
        </is>
      </c>
      <c r="IE208" t="inlineStr">
        <is>
          <t>RUS</t>
        </is>
      </c>
      <c r="IF208" t="inlineStr">
        <is>
          <t>RUS</t>
        </is>
      </c>
      <c r="IG208" t="inlineStr">
        <is>
          <t>RUS</t>
        </is>
      </c>
      <c r="IH208" t="inlineStr">
        <is>
          <t>RUS</t>
        </is>
      </c>
      <c r="II208" t="inlineStr">
        <is>
          <t>RUS</t>
        </is>
      </c>
      <c r="IJ208" t="inlineStr">
        <is>
          <t>RUS</t>
        </is>
      </c>
      <c r="IK208" t="inlineStr">
        <is>
          <t>RUS</t>
        </is>
      </c>
      <c r="IL208" t="inlineStr">
        <is>
          <t>RUS</t>
        </is>
      </c>
      <c r="IM208" t="inlineStr">
        <is>
          <t>RUS</t>
        </is>
      </c>
      <c r="IN208" t="inlineStr">
        <is>
          <t>RUS</t>
        </is>
      </c>
      <c r="IO208" t="inlineStr">
        <is>
          <t>RUS</t>
        </is>
      </c>
      <c r="IP208" t="inlineStr">
        <is>
          <t>RUS</t>
        </is>
      </c>
      <c r="IQ208" t="inlineStr">
        <is>
          <t>RUS</t>
        </is>
      </c>
      <c r="IR208" t="inlineStr">
        <is>
          <t>RUS</t>
        </is>
      </c>
      <c r="IS208" t="inlineStr">
        <is>
          <t>RUS</t>
        </is>
      </c>
      <c r="IT208" t="inlineStr">
        <is>
          <t>RUS</t>
        </is>
      </c>
      <c r="IU208" t="inlineStr">
        <is>
          <t>RUS</t>
        </is>
      </c>
      <c r="IV208" t="inlineStr">
        <is>
          <t>RUS</t>
        </is>
      </c>
      <c r="IW208" t="inlineStr">
        <is>
          <t>RUS</t>
        </is>
      </c>
      <c r="IX208" t="inlineStr">
        <is>
          <t>RUS</t>
        </is>
      </c>
      <c r="IY208" t="inlineStr">
        <is>
          <t>RUS</t>
        </is>
      </c>
      <c r="IZ208" t="inlineStr">
        <is>
          <t>RUS</t>
        </is>
      </c>
      <c r="JA208" t="inlineStr">
        <is>
          <t>RUS</t>
        </is>
      </c>
      <c r="JB208" t="inlineStr">
        <is>
          <t>RUS</t>
        </is>
      </c>
      <c r="JC208" t="inlineStr">
        <is>
          <t>RUS</t>
        </is>
      </c>
      <c r="JD208" t="inlineStr">
        <is>
          <t>RUS</t>
        </is>
      </c>
      <c r="JE208" t="inlineStr">
        <is>
          <t>RUS</t>
        </is>
      </c>
      <c r="JF208" t="inlineStr">
        <is>
          <t>RUS</t>
        </is>
      </c>
      <c r="JG208" t="inlineStr">
        <is>
          <t>RUS</t>
        </is>
      </c>
      <c r="JH208" t="inlineStr">
        <is>
          <t>RUS</t>
        </is>
      </c>
      <c r="JI208" t="inlineStr">
        <is>
          <t>RUS</t>
        </is>
      </c>
      <c r="JJ208" t="inlineStr">
        <is>
          <t>RUS</t>
        </is>
      </c>
      <c r="JK208" t="inlineStr">
        <is>
          <t>RUS</t>
        </is>
      </c>
      <c r="JL208" t="inlineStr">
        <is>
          <t>RUS</t>
        </is>
      </c>
      <c r="JM208" t="inlineStr">
        <is>
          <t>RUS</t>
        </is>
      </c>
      <c r="JN208" t="inlineStr">
        <is>
          <t>RUS</t>
        </is>
      </c>
      <c r="JO208" t="inlineStr">
        <is>
          <t>RUS</t>
        </is>
      </c>
      <c r="JP208" t="inlineStr">
        <is>
          <t>RUS</t>
        </is>
      </c>
      <c r="JQ208" t="inlineStr">
        <is>
          <t>RUS</t>
        </is>
      </c>
      <c r="JR208" t="inlineStr">
        <is>
          <t>RUS</t>
        </is>
      </c>
      <c r="JS208" t="inlineStr">
        <is>
          <t>RUS</t>
        </is>
      </c>
      <c r="JT208" t="inlineStr">
        <is>
          <t>RUS</t>
        </is>
      </c>
      <c r="JU208" t="inlineStr">
        <is>
          <t>RUS</t>
        </is>
      </c>
    </row>
    <row r="209">
      <c r="T209" t="inlineStr">
        <is>
          <t>ISL</t>
        </is>
      </c>
      <c r="U209" t="inlineStr">
        <is>
          <t>ISL</t>
        </is>
      </c>
      <c r="V209" t="inlineStr">
        <is>
          <t>ISL</t>
        </is>
      </c>
      <c r="W209" t="inlineStr">
        <is>
          <t>ISL</t>
        </is>
      </c>
      <c r="X209" t="inlineStr">
        <is>
          <t>ISL</t>
        </is>
      </c>
      <c r="Y209" t="inlineStr">
        <is>
          <t>ISL</t>
        </is>
      </c>
      <c r="Z209" t="inlineStr">
        <is>
          <t>ISL</t>
        </is>
      </c>
      <c r="CB209" t="inlineStr">
        <is>
          <t>NOR</t>
        </is>
      </c>
      <c r="CC209" t="inlineStr">
        <is>
          <t>NOR</t>
        </is>
      </c>
      <c r="CD209" t="inlineStr">
        <is>
          <t>NOR</t>
        </is>
      </c>
      <c r="CE209" t="inlineStr">
        <is>
          <t>NOR</t>
        </is>
      </c>
      <c r="CF209" t="inlineStr">
        <is>
          <t>NOR</t>
        </is>
      </c>
      <c r="CG209" t="inlineStr">
        <is>
          <t>NOR</t>
        </is>
      </c>
      <c r="CH209" t="inlineStr">
        <is>
          <t>NOR</t>
        </is>
      </c>
      <c r="CI209" t="inlineStr">
        <is>
          <t>SWE</t>
        </is>
      </c>
      <c r="CJ209" t="inlineStr">
        <is>
          <t>SWE</t>
        </is>
      </c>
      <c r="CK209" t="inlineStr">
        <is>
          <t>SWE</t>
        </is>
      </c>
      <c r="CL209" t="inlineStr">
        <is>
          <t>SWE</t>
        </is>
      </c>
      <c r="CM209" t="inlineStr">
        <is>
          <t>SWE</t>
        </is>
      </c>
      <c r="CN209" t="inlineStr">
        <is>
          <t>SWE</t>
        </is>
      </c>
      <c r="CO209" t="inlineStr">
        <is>
          <t>SWE</t>
        </is>
      </c>
      <c r="CP209" t="inlineStr">
        <is>
          <t>SWE</t>
        </is>
      </c>
      <c r="CQ209" t="inlineStr">
        <is>
          <t>SWE</t>
        </is>
      </c>
      <c r="CR209" t="inlineStr">
        <is>
          <t>SWE</t>
        </is>
      </c>
      <c r="CS209" t="inlineStr">
        <is>
          <t>SWE</t>
        </is>
      </c>
      <c r="CT209" t="inlineStr">
        <is>
          <t>SWE</t>
        </is>
      </c>
      <c r="CU209" t="inlineStr">
        <is>
          <t>SWE</t>
        </is>
      </c>
      <c r="CV209" t="inlineStr">
        <is>
          <t>SWE</t>
        </is>
      </c>
      <c r="CW209" t="inlineStr">
        <is>
          <t>SWE</t>
        </is>
      </c>
      <c r="DC209" t="inlineStr">
        <is>
          <t>FIN</t>
        </is>
      </c>
      <c r="DD209" t="inlineStr">
        <is>
          <t>FIN</t>
        </is>
      </c>
      <c r="DE209" t="inlineStr">
        <is>
          <t>FIN</t>
        </is>
      </c>
      <c r="DF209" t="inlineStr">
        <is>
          <t>FIN</t>
        </is>
      </c>
      <c r="DG209" t="inlineStr">
        <is>
          <t>FIN</t>
        </is>
      </c>
      <c r="DH209" t="inlineStr">
        <is>
          <t>FIN</t>
        </is>
      </c>
      <c r="DI209" t="inlineStr">
        <is>
          <t>FIN</t>
        </is>
      </c>
      <c r="DJ209" t="inlineStr">
        <is>
          <t>FIN</t>
        </is>
      </c>
      <c r="DK209" t="inlineStr">
        <is>
          <t>FIN</t>
        </is>
      </c>
      <c r="DL209" t="inlineStr">
        <is>
          <t>FIN</t>
        </is>
      </c>
      <c r="DM209" t="inlineStr">
        <is>
          <t>FIN</t>
        </is>
      </c>
      <c r="DN209" t="inlineStr">
        <is>
          <t>FIN</t>
        </is>
      </c>
      <c r="DO209" t="inlineStr">
        <is>
          <t>FIN</t>
        </is>
      </c>
      <c r="DP209" t="inlineStr">
        <is>
          <t>FIN</t>
        </is>
      </c>
      <c r="DQ209" t="inlineStr">
        <is>
          <t>FIN</t>
        </is>
      </c>
      <c r="DR209" t="inlineStr">
        <is>
          <t>RUS</t>
        </is>
      </c>
      <c r="DS209" t="inlineStr">
        <is>
          <t>RUS</t>
        </is>
      </c>
      <c r="DT209" t="inlineStr">
        <is>
          <t>RUS</t>
        </is>
      </c>
      <c r="DU209" t="inlineStr">
        <is>
          <t>RUS</t>
        </is>
      </c>
      <c r="DV209" t="inlineStr">
        <is>
          <t>RUS</t>
        </is>
      </c>
      <c r="DW209" t="inlineStr">
        <is>
          <t>RUS</t>
        </is>
      </c>
      <c r="DX209" t="inlineStr">
        <is>
          <t>RUS</t>
        </is>
      </c>
      <c r="DY209" t="inlineStr">
        <is>
          <t>RUS</t>
        </is>
      </c>
      <c r="DZ209" t="inlineStr">
        <is>
          <t>RUS</t>
        </is>
      </c>
      <c r="EA209" t="inlineStr">
        <is>
          <t>RUS</t>
        </is>
      </c>
      <c r="EB209" t="inlineStr">
        <is>
          <t>RUS</t>
        </is>
      </c>
      <c r="EC209" t="inlineStr">
        <is>
          <t>RUS</t>
        </is>
      </c>
      <c r="ED209" t="inlineStr">
        <is>
          <t>RUS</t>
        </is>
      </c>
      <c r="EE209" t="inlineStr">
        <is>
          <t>RUS</t>
        </is>
      </c>
      <c r="EF209" t="inlineStr">
        <is>
          <t>RUS</t>
        </is>
      </c>
      <c r="EG209" t="inlineStr">
        <is>
          <t>RUS</t>
        </is>
      </c>
      <c r="EH209" t="inlineStr">
        <is>
          <t>RUS</t>
        </is>
      </c>
      <c r="EI209" t="inlineStr">
        <is>
          <t>RUS</t>
        </is>
      </c>
      <c r="EJ209" t="inlineStr">
        <is>
          <t>RUS</t>
        </is>
      </c>
      <c r="EK209" t="inlineStr">
        <is>
          <t>RUS</t>
        </is>
      </c>
      <c r="EL209" t="inlineStr">
        <is>
          <t>RUS</t>
        </is>
      </c>
      <c r="EM209" t="inlineStr">
        <is>
          <t>RUS</t>
        </is>
      </c>
      <c r="EN209" t="inlineStr">
        <is>
          <t>RUS</t>
        </is>
      </c>
      <c r="EO209" t="inlineStr">
        <is>
          <t>RUS</t>
        </is>
      </c>
      <c r="EP209" t="inlineStr">
        <is>
          <t>RUS</t>
        </is>
      </c>
      <c r="EQ209" t="inlineStr">
        <is>
          <t>RUS</t>
        </is>
      </c>
      <c r="ER209" t="inlineStr">
        <is>
          <t>RUS</t>
        </is>
      </c>
      <c r="ES209" t="inlineStr">
        <is>
          <t>RUS</t>
        </is>
      </c>
      <c r="ET209" t="inlineStr">
        <is>
          <t>RUS</t>
        </is>
      </c>
      <c r="EU209" t="inlineStr">
        <is>
          <t>RUS</t>
        </is>
      </c>
      <c r="EV209" t="inlineStr">
        <is>
          <t>RUS</t>
        </is>
      </c>
      <c r="EW209" t="inlineStr">
        <is>
          <t>RUS</t>
        </is>
      </c>
      <c r="EX209" t="inlineStr">
        <is>
          <t>RUS</t>
        </is>
      </c>
      <c r="EY209" t="inlineStr">
        <is>
          <t>RUS</t>
        </is>
      </c>
      <c r="EZ209" t="inlineStr">
        <is>
          <t>RUS</t>
        </is>
      </c>
      <c r="FA209" t="inlineStr">
        <is>
          <t>RUS</t>
        </is>
      </c>
      <c r="FB209" t="inlineStr">
        <is>
          <t>RUS</t>
        </is>
      </c>
      <c r="FC209" t="inlineStr">
        <is>
          <t>RUS</t>
        </is>
      </c>
      <c r="FD209" t="inlineStr">
        <is>
          <t>RUS</t>
        </is>
      </c>
      <c r="FE209" t="inlineStr">
        <is>
          <t>RUS</t>
        </is>
      </c>
      <c r="FF209" t="inlineStr">
        <is>
          <t>RUS</t>
        </is>
      </c>
      <c r="FG209" t="inlineStr">
        <is>
          <t>RUS</t>
        </is>
      </c>
      <c r="FH209" t="inlineStr">
        <is>
          <t>RUS</t>
        </is>
      </c>
      <c r="FI209" t="inlineStr">
        <is>
          <t>RUS</t>
        </is>
      </c>
      <c r="FJ209" t="inlineStr">
        <is>
          <t>RUS</t>
        </is>
      </c>
      <c r="FK209" t="inlineStr">
        <is>
          <t>RUS</t>
        </is>
      </c>
      <c r="FL209" t="inlineStr">
        <is>
          <t>RUS</t>
        </is>
      </c>
      <c r="FM209" t="inlineStr">
        <is>
          <t>RUS</t>
        </is>
      </c>
      <c r="FN209" t="inlineStr">
        <is>
          <t>RUS</t>
        </is>
      </c>
      <c r="FO209" t="inlineStr">
        <is>
          <t>RUS</t>
        </is>
      </c>
      <c r="FP209" t="inlineStr">
        <is>
          <t>RUS</t>
        </is>
      </c>
      <c r="FQ209" t="inlineStr">
        <is>
          <t>RUS</t>
        </is>
      </c>
      <c r="FR209" t="inlineStr">
        <is>
          <t>RUS</t>
        </is>
      </c>
      <c r="FS209" t="inlineStr">
        <is>
          <t>RUS</t>
        </is>
      </c>
      <c r="FT209" t="inlineStr">
        <is>
          <t>RUS</t>
        </is>
      </c>
      <c r="FU209" t="inlineStr">
        <is>
          <t>RUS</t>
        </is>
      </c>
      <c r="FV209" t="inlineStr">
        <is>
          <t>RUS</t>
        </is>
      </c>
      <c r="FW209" t="inlineStr">
        <is>
          <t>RUS</t>
        </is>
      </c>
      <c r="FX209" t="inlineStr">
        <is>
          <t>RUS</t>
        </is>
      </c>
      <c r="FY209" t="inlineStr">
        <is>
          <t>RUS</t>
        </is>
      </c>
      <c r="FZ209" t="inlineStr">
        <is>
          <t>RUS</t>
        </is>
      </c>
      <c r="GA209" t="inlineStr">
        <is>
          <t>RUS</t>
        </is>
      </c>
      <c r="GB209" t="inlineStr">
        <is>
          <t>RUS</t>
        </is>
      </c>
      <c r="GC209" t="inlineStr">
        <is>
          <t>RUS</t>
        </is>
      </c>
      <c r="GD209" t="inlineStr">
        <is>
          <t>RUS</t>
        </is>
      </c>
      <c r="GE209" t="inlineStr">
        <is>
          <t>RUS</t>
        </is>
      </c>
      <c r="GF209" t="inlineStr">
        <is>
          <t>RUS</t>
        </is>
      </c>
      <c r="GG209" t="inlineStr">
        <is>
          <t>RUS</t>
        </is>
      </c>
      <c r="GH209" t="inlineStr">
        <is>
          <t>RUS</t>
        </is>
      </c>
      <c r="GI209" t="inlineStr">
        <is>
          <t>RUS</t>
        </is>
      </c>
      <c r="GJ209" t="inlineStr">
        <is>
          <t>RUS</t>
        </is>
      </c>
      <c r="GK209" t="inlineStr">
        <is>
          <t>RUS</t>
        </is>
      </c>
      <c r="GL209" t="inlineStr">
        <is>
          <t>RUS</t>
        </is>
      </c>
      <c r="GM209" t="inlineStr">
        <is>
          <t>RUS</t>
        </is>
      </c>
      <c r="GN209" t="inlineStr">
        <is>
          <t>RUS</t>
        </is>
      </c>
      <c r="GO209" t="inlineStr">
        <is>
          <t>RUS</t>
        </is>
      </c>
      <c r="GP209" t="inlineStr">
        <is>
          <t>RUS</t>
        </is>
      </c>
      <c r="GQ209" t="inlineStr">
        <is>
          <t>RUS</t>
        </is>
      </c>
      <c r="GR209" t="inlineStr">
        <is>
          <t>RUS</t>
        </is>
      </c>
      <c r="GS209" t="inlineStr">
        <is>
          <t>RUS</t>
        </is>
      </c>
      <c r="GT209" t="inlineStr">
        <is>
          <t>RUS</t>
        </is>
      </c>
      <c r="GU209" t="inlineStr">
        <is>
          <t>RUS</t>
        </is>
      </c>
      <c r="GV209" t="inlineStr">
        <is>
          <t>RUS</t>
        </is>
      </c>
      <c r="GW209" t="inlineStr">
        <is>
          <t>RUS</t>
        </is>
      </c>
      <c r="GX209" t="inlineStr">
        <is>
          <t>RUS</t>
        </is>
      </c>
      <c r="GY209" t="inlineStr">
        <is>
          <t>RUS</t>
        </is>
      </c>
      <c r="GZ209" t="inlineStr">
        <is>
          <t>RUS</t>
        </is>
      </c>
      <c r="HA209" t="inlineStr">
        <is>
          <t>RUS</t>
        </is>
      </c>
      <c r="HB209" t="inlineStr">
        <is>
          <t>RUS</t>
        </is>
      </c>
      <c r="HC209" t="inlineStr">
        <is>
          <t>RUS</t>
        </is>
      </c>
      <c r="HD209" t="inlineStr">
        <is>
          <t>RUS</t>
        </is>
      </c>
      <c r="HE209" t="inlineStr">
        <is>
          <t>RUS</t>
        </is>
      </c>
      <c r="HF209" t="inlineStr">
        <is>
          <t>RUS</t>
        </is>
      </c>
      <c r="HG209" t="inlineStr">
        <is>
          <t>RUS</t>
        </is>
      </c>
      <c r="HH209" t="inlineStr">
        <is>
          <t>RUS</t>
        </is>
      </c>
      <c r="HI209" t="inlineStr">
        <is>
          <t>RUS</t>
        </is>
      </c>
      <c r="HJ209" t="inlineStr">
        <is>
          <t>RUS</t>
        </is>
      </c>
      <c r="HK209" t="inlineStr">
        <is>
          <t>RUS</t>
        </is>
      </c>
      <c r="HL209" t="inlineStr">
        <is>
          <t>RUS</t>
        </is>
      </c>
      <c r="HM209" t="inlineStr">
        <is>
          <t>RUS</t>
        </is>
      </c>
      <c r="HN209" t="inlineStr">
        <is>
          <t>RUS</t>
        </is>
      </c>
      <c r="HO209" t="inlineStr">
        <is>
          <t>RUS</t>
        </is>
      </c>
      <c r="HP209" t="inlineStr">
        <is>
          <t>RUS</t>
        </is>
      </c>
      <c r="HQ209" t="inlineStr">
        <is>
          <t>RUS</t>
        </is>
      </c>
      <c r="HR209" t="inlineStr">
        <is>
          <t>RUS</t>
        </is>
      </c>
      <c r="HS209" t="inlineStr">
        <is>
          <t>RUS</t>
        </is>
      </c>
      <c r="HT209" t="inlineStr">
        <is>
          <t>RUS</t>
        </is>
      </c>
      <c r="HU209" t="inlineStr">
        <is>
          <t>RUS</t>
        </is>
      </c>
      <c r="HV209" t="inlineStr">
        <is>
          <t>RUS</t>
        </is>
      </c>
      <c r="HW209" t="inlineStr">
        <is>
          <t>RUS</t>
        </is>
      </c>
      <c r="HX209" t="inlineStr">
        <is>
          <t>RUS</t>
        </is>
      </c>
      <c r="HY209" t="inlineStr">
        <is>
          <t>RUS</t>
        </is>
      </c>
      <c r="HZ209" t="inlineStr">
        <is>
          <t>RUS</t>
        </is>
      </c>
      <c r="IA209" t="inlineStr">
        <is>
          <t>RUS</t>
        </is>
      </c>
      <c r="IB209" t="inlineStr">
        <is>
          <t>RUS</t>
        </is>
      </c>
      <c r="IC209" t="inlineStr">
        <is>
          <t>RUS</t>
        </is>
      </c>
      <c r="ID209" t="inlineStr">
        <is>
          <t>RUS</t>
        </is>
      </c>
      <c r="IE209" t="inlineStr">
        <is>
          <t>RUS</t>
        </is>
      </c>
      <c r="IF209" t="inlineStr">
        <is>
          <t>RUS</t>
        </is>
      </c>
      <c r="IG209" t="inlineStr">
        <is>
          <t>RUS</t>
        </is>
      </c>
      <c r="IH209" t="inlineStr">
        <is>
          <t>RUS</t>
        </is>
      </c>
      <c r="II209" t="inlineStr">
        <is>
          <t>RUS</t>
        </is>
      </c>
      <c r="IJ209" t="inlineStr">
        <is>
          <t>RUS</t>
        </is>
      </c>
      <c r="IK209" t="inlineStr">
        <is>
          <t>RUS</t>
        </is>
      </c>
      <c r="IL209" t="inlineStr">
        <is>
          <t>RUS</t>
        </is>
      </c>
      <c r="IM209" t="inlineStr">
        <is>
          <t>RUS</t>
        </is>
      </c>
      <c r="IN209" t="inlineStr">
        <is>
          <t>RUS</t>
        </is>
      </c>
      <c r="IO209" t="inlineStr">
        <is>
          <t>RUS</t>
        </is>
      </c>
      <c r="IP209" t="inlineStr">
        <is>
          <t>RUS</t>
        </is>
      </c>
      <c r="IQ209" t="inlineStr">
        <is>
          <t>RUS</t>
        </is>
      </c>
      <c r="IR209" t="inlineStr">
        <is>
          <t>RUS</t>
        </is>
      </c>
      <c r="IS209" t="inlineStr">
        <is>
          <t>RUS</t>
        </is>
      </c>
      <c r="IT209" t="inlineStr">
        <is>
          <t>RUS</t>
        </is>
      </c>
      <c r="IU209" t="inlineStr">
        <is>
          <t>RUS</t>
        </is>
      </c>
      <c r="IV209" t="inlineStr">
        <is>
          <t>RUS</t>
        </is>
      </c>
      <c r="IW209" t="inlineStr">
        <is>
          <t>RUS</t>
        </is>
      </c>
      <c r="IX209" t="inlineStr">
        <is>
          <t>RUS</t>
        </is>
      </c>
      <c r="IY209" t="inlineStr">
        <is>
          <t>RUS</t>
        </is>
      </c>
      <c r="IZ209" t="inlineStr">
        <is>
          <t>RUS</t>
        </is>
      </c>
      <c r="JA209" t="inlineStr">
        <is>
          <t>RUS</t>
        </is>
      </c>
      <c r="JB209" t="inlineStr">
        <is>
          <t>RUS</t>
        </is>
      </c>
      <c r="JC209" t="inlineStr">
        <is>
          <t>RUS</t>
        </is>
      </c>
      <c r="JD209" t="inlineStr">
        <is>
          <t>RUS</t>
        </is>
      </c>
      <c r="JE209" t="inlineStr">
        <is>
          <t>RUS</t>
        </is>
      </c>
      <c r="JF209" t="inlineStr">
        <is>
          <t>RUS</t>
        </is>
      </c>
      <c r="JG209" t="inlineStr">
        <is>
          <t>RUS</t>
        </is>
      </c>
      <c r="JH209" t="inlineStr">
        <is>
          <t>RUS</t>
        </is>
      </c>
      <c r="JI209" t="inlineStr">
        <is>
          <t>RUS</t>
        </is>
      </c>
      <c r="JJ209" t="inlineStr">
        <is>
          <t>RUS</t>
        </is>
      </c>
      <c r="JK209" t="inlineStr">
        <is>
          <t>RUS</t>
        </is>
      </c>
      <c r="JL209" t="inlineStr">
        <is>
          <t>RUS</t>
        </is>
      </c>
      <c r="JM209" t="inlineStr">
        <is>
          <t>RUS</t>
        </is>
      </c>
      <c r="JN209" t="inlineStr">
        <is>
          <t>RUS</t>
        </is>
      </c>
      <c r="JO209" t="inlineStr">
        <is>
          <t>RUS</t>
        </is>
      </c>
      <c r="JP209" t="inlineStr">
        <is>
          <t>RUS</t>
        </is>
      </c>
      <c r="JQ209" t="inlineStr">
        <is>
          <t>RUS</t>
        </is>
      </c>
      <c r="JR209" t="inlineStr">
        <is>
          <t>RUS</t>
        </is>
      </c>
      <c r="JS209" t="inlineStr">
        <is>
          <t>RUS</t>
        </is>
      </c>
      <c r="JT209" t="inlineStr">
        <is>
          <t>RUS</t>
        </is>
      </c>
      <c r="JU209" t="inlineStr">
        <is>
          <t>RUS</t>
        </is>
      </c>
    </row>
    <row r="210">
      <c r="R210" t="inlineStr">
        <is>
          <t>ISL</t>
        </is>
      </c>
      <c r="S210" t="inlineStr">
        <is>
          <t>ISL</t>
        </is>
      </c>
      <c r="T210" t="inlineStr">
        <is>
          <t>ISL</t>
        </is>
      </c>
      <c r="U210" t="inlineStr">
        <is>
          <t>ISL</t>
        </is>
      </c>
      <c r="V210" t="inlineStr">
        <is>
          <t>ISL</t>
        </is>
      </c>
      <c r="W210" t="inlineStr">
        <is>
          <t>ISL</t>
        </is>
      </c>
      <c r="X210" t="inlineStr">
        <is>
          <t>ISL</t>
        </is>
      </c>
      <c r="Y210" t="inlineStr">
        <is>
          <t>ISL</t>
        </is>
      </c>
      <c r="Z210" t="inlineStr">
        <is>
          <t>ISL</t>
        </is>
      </c>
      <c r="AA210" t="inlineStr">
        <is>
          <t>ISL</t>
        </is>
      </c>
      <c r="AB210" t="inlineStr">
        <is>
          <t>ISL</t>
        </is>
      </c>
      <c r="AC210" t="inlineStr">
        <is>
          <t>ISL</t>
        </is>
      </c>
      <c r="AD210" t="inlineStr">
        <is>
          <t>ISL</t>
        </is>
      </c>
      <c r="CD210" t="inlineStr">
        <is>
          <t>NOR</t>
        </is>
      </c>
      <c r="CE210" t="inlineStr">
        <is>
          <t>NOR</t>
        </is>
      </c>
      <c r="CF210" t="inlineStr">
        <is>
          <t>NOR</t>
        </is>
      </c>
      <c r="CG210" t="inlineStr">
        <is>
          <t>NOR</t>
        </is>
      </c>
      <c r="CH210" t="inlineStr">
        <is>
          <t>NOR</t>
        </is>
      </c>
      <c r="CI210" t="inlineStr">
        <is>
          <t>NOR</t>
        </is>
      </c>
      <c r="CJ210" t="inlineStr">
        <is>
          <t>NOR</t>
        </is>
      </c>
      <c r="CK210" t="inlineStr">
        <is>
          <t>SWE</t>
        </is>
      </c>
      <c r="CL210" t="inlineStr">
        <is>
          <t>SWE</t>
        </is>
      </c>
      <c r="CM210" t="inlineStr">
        <is>
          <t>SWE</t>
        </is>
      </c>
      <c r="CN210" t="inlineStr">
        <is>
          <t>SWE</t>
        </is>
      </c>
      <c r="CO210" t="inlineStr">
        <is>
          <t>SWE</t>
        </is>
      </c>
      <c r="CP210" t="inlineStr">
        <is>
          <t>SWE</t>
        </is>
      </c>
      <c r="CQ210" t="inlineStr">
        <is>
          <t>SWE</t>
        </is>
      </c>
      <c r="CR210" t="inlineStr">
        <is>
          <t>SWE</t>
        </is>
      </c>
      <c r="CS210" t="inlineStr">
        <is>
          <t>SWE</t>
        </is>
      </c>
      <c r="CT210" t="inlineStr">
        <is>
          <t>SWE</t>
        </is>
      </c>
      <c r="CU210" t="inlineStr">
        <is>
          <t>SWE</t>
        </is>
      </c>
      <c r="CV210" t="inlineStr">
        <is>
          <t>SWE</t>
        </is>
      </c>
      <c r="CW210" t="inlineStr">
        <is>
          <t>SWE</t>
        </is>
      </c>
      <c r="CX210" t="inlineStr">
        <is>
          <t>SWE</t>
        </is>
      </c>
      <c r="CY210" t="inlineStr">
        <is>
          <t>SWE</t>
        </is>
      </c>
      <c r="DE210" t="inlineStr">
        <is>
          <t>FIN</t>
        </is>
      </c>
      <c r="DF210" t="inlineStr">
        <is>
          <t>FIN</t>
        </is>
      </c>
      <c r="DG210" t="inlineStr">
        <is>
          <t>FIN</t>
        </is>
      </c>
      <c r="DH210" t="inlineStr">
        <is>
          <t>FIN</t>
        </is>
      </c>
      <c r="DI210" t="inlineStr">
        <is>
          <t>FIN</t>
        </is>
      </c>
      <c r="DJ210" t="inlineStr">
        <is>
          <t>FIN</t>
        </is>
      </c>
      <c r="DK210" t="inlineStr">
        <is>
          <t>FIN</t>
        </is>
      </c>
      <c r="DL210" t="inlineStr">
        <is>
          <t>FIN</t>
        </is>
      </c>
      <c r="DM210" t="inlineStr">
        <is>
          <t>FIN</t>
        </is>
      </c>
      <c r="DN210" t="inlineStr">
        <is>
          <t>FIN</t>
        </is>
      </c>
      <c r="DO210" t="inlineStr">
        <is>
          <t>FIN</t>
        </is>
      </c>
      <c r="DP210" t="inlineStr">
        <is>
          <t>FIN</t>
        </is>
      </c>
      <c r="DQ210" t="inlineStr">
        <is>
          <t>FIN</t>
        </is>
      </c>
      <c r="DR210" t="inlineStr">
        <is>
          <t>FIN</t>
        </is>
      </c>
      <c r="DS210" t="inlineStr">
        <is>
          <t>RUS</t>
        </is>
      </c>
      <c r="DT210" t="inlineStr">
        <is>
          <t>RUS</t>
        </is>
      </c>
      <c r="DU210" t="inlineStr">
        <is>
          <t>RUS</t>
        </is>
      </c>
      <c r="DV210" t="inlineStr">
        <is>
          <t>RUS</t>
        </is>
      </c>
      <c r="DW210" t="inlineStr">
        <is>
          <t>RUS</t>
        </is>
      </c>
      <c r="DX210" t="inlineStr">
        <is>
          <t>RUS</t>
        </is>
      </c>
      <c r="DY210" t="inlineStr">
        <is>
          <t>RUS</t>
        </is>
      </c>
      <c r="DZ210" t="inlineStr">
        <is>
          <t>RUS</t>
        </is>
      </c>
      <c r="EA210" t="inlineStr">
        <is>
          <t>RUS</t>
        </is>
      </c>
      <c r="EB210" t="inlineStr">
        <is>
          <t>RUS</t>
        </is>
      </c>
      <c r="EF210" t="inlineStr">
        <is>
          <t>RUS</t>
        </is>
      </c>
      <c r="EG210" t="inlineStr">
        <is>
          <t>RUS</t>
        </is>
      </c>
      <c r="EH210" t="inlineStr">
        <is>
          <t>RUS</t>
        </is>
      </c>
      <c r="EI210" t="inlineStr">
        <is>
          <t>RUS</t>
        </is>
      </c>
      <c r="EJ210" t="inlineStr">
        <is>
          <t>RUS</t>
        </is>
      </c>
      <c r="EK210" t="inlineStr">
        <is>
          <t>RUS</t>
        </is>
      </c>
      <c r="EL210" t="inlineStr">
        <is>
          <t>RUS</t>
        </is>
      </c>
      <c r="EM210" t="inlineStr">
        <is>
          <t>RUS</t>
        </is>
      </c>
      <c r="EN210" t="inlineStr">
        <is>
          <t>RUS</t>
        </is>
      </c>
      <c r="EO210" t="inlineStr">
        <is>
          <t>RUS</t>
        </is>
      </c>
      <c r="EP210" t="inlineStr">
        <is>
          <t>RUS</t>
        </is>
      </c>
      <c r="EQ210" t="inlineStr">
        <is>
          <t>RUS</t>
        </is>
      </c>
      <c r="ER210" t="inlineStr">
        <is>
          <t>RUS</t>
        </is>
      </c>
      <c r="ES210" t="inlineStr">
        <is>
          <t>RUS</t>
        </is>
      </c>
      <c r="ET210" t="inlineStr">
        <is>
          <t>RUS</t>
        </is>
      </c>
      <c r="EU210" t="inlineStr">
        <is>
          <t>RUS</t>
        </is>
      </c>
      <c r="EV210" t="inlineStr">
        <is>
          <t>RUS</t>
        </is>
      </c>
      <c r="EW210" t="inlineStr">
        <is>
          <t>RUS</t>
        </is>
      </c>
      <c r="EX210" t="inlineStr">
        <is>
          <t>RUS</t>
        </is>
      </c>
      <c r="EY210" t="inlineStr">
        <is>
          <t>RUS</t>
        </is>
      </c>
      <c r="EZ210" t="inlineStr">
        <is>
          <t>RUS</t>
        </is>
      </c>
      <c r="FA210" t="inlineStr">
        <is>
          <t>RUS</t>
        </is>
      </c>
      <c r="FB210" t="inlineStr">
        <is>
          <t>RUS</t>
        </is>
      </c>
      <c r="FC210" t="inlineStr">
        <is>
          <t>RUS</t>
        </is>
      </c>
      <c r="FD210" t="inlineStr">
        <is>
          <t>RUS</t>
        </is>
      </c>
      <c r="FE210" t="inlineStr">
        <is>
          <t>RUS</t>
        </is>
      </c>
      <c r="FF210" t="inlineStr">
        <is>
          <t>RUS</t>
        </is>
      </c>
      <c r="FG210" t="inlineStr">
        <is>
          <t>RUS</t>
        </is>
      </c>
      <c r="FH210" t="inlineStr">
        <is>
          <t>RUS</t>
        </is>
      </c>
      <c r="FI210" t="inlineStr">
        <is>
          <t>RUS</t>
        </is>
      </c>
      <c r="FJ210" t="inlineStr">
        <is>
          <t>RUS</t>
        </is>
      </c>
      <c r="FK210" t="inlineStr">
        <is>
          <t>RUS</t>
        </is>
      </c>
      <c r="FL210" t="inlineStr">
        <is>
          <t>RUS</t>
        </is>
      </c>
      <c r="FM210" t="inlineStr">
        <is>
          <t>RUS</t>
        </is>
      </c>
      <c r="FN210" t="inlineStr">
        <is>
          <t>RUS</t>
        </is>
      </c>
      <c r="FO210" t="inlineStr">
        <is>
          <t>RUS</t>
        </is>
      </c>
      <c r="FP210" t="inlineStr">
        <is>
          <t>RUS</t>
        </is>
      </c>
      <c r="FQ210" t="inlineStr">
        <is>
          <t>RUS</t>
        </is>
      </c>
      <c r="FR210" t="inlineStr">
        <is>
          <t>RUS</t>
        </is>
      </c>
      <c r="FS210" t="inlineStr">
        <is>
          <t>RUS</t>
        </is>
      </c>
      <c r="FT210" t="inlineStr">
        <is>
          <t>RUS</t>
        </is>
      </c>
      <c r="FU210" t="inlineStr">
        <is>
          <t>RUS</t>
        </is>
      </c>
      <c r="FV210" t="inlineStr">
        <is>
          <t>RUS</t>
        </is>
      </c>
      <c r="FW210" t="inlineStr">
        <is>
          <t>RUS</t>
        </is>
      </c>
      <c r="FX210" t="inlineStr">
        <is>
          <t>RUS</t>
        </is>
      </c>
      <c r="FY210" t="inlineStr">
        <is>
          <t>RUS</t>
        </is>
      </c>
      <c r="FZ210" t="inlineStr">
        <is>
          <t>RUS</t>
        </is>
      </c>
      <c r="GA210" t="inlineStr">
        <is>
          <t>RUS</t>
        </is>
      </c>
      <c r="GB210" t="inlineStr">
        <is>
          <t>RUS</t>
        </is>
      </c>
      <c r="GC210" t="inlineStr">
        <is>
          <t>RUS</t>
        </is>
      </c>
      <c r="GD210" t="inlineStr">
        <is>
          <t>RUS</t>
        </is>
      </c>
      <c r="GE210" t="inlineStr">
        <is>
          <t>RUS</t>
        </is>
      </c>
      <c r="GF210" t="inlineStr">
        <is>
          <t>RUS</t>
        </is>
      </c>
      <c r="GG210" t="inlineStr">
        <is>
          <t>RUS</t>
        </is>
      </c>
      <c r="GH210" t="inlineStr">
        <is>
          <t>RUS</t>
        </is>
      </c>
      <c r="GI210" t="inlineStr">
        <is>
          <t>RUS</t>
        </is>
      </c>
      <c r="GJ210" t="inlineStr">
        <is>
          <t>RUS</t>
        </is>
      </c>
      <c r="GK210" t="inlineStr">
        <is>
          <t>RUS</t>
        </is>
      </c>
      <c r="GL210" t="inlineStr">
        <is>
          <t>RUS</t>
        </is>
      </c>
      <c r="GM210" t="inlineStr">
        <is>
          <t>RUS</t>
        </is>
      </c>
      <c r="GN210" t="inlineStr">
        <is>
          <t>RUS</t>
        </is>
      </c>
      <c r="GO210" t="inlineStr">
        <is>
          <t>RUS</t>
        </is>
      </c>
      <c r="GP210" t="inlineStr">
        <is>
          <t>RUS</t>
        </is>
      </c>
      <c r="GQ210" t="inlineStr">
        <is>
          <t>RUS</t>
        </is>
      </c>
      <c r="GR210" t="inlineStr">
        <is>
          <t>RUS</t>
        </is>
      </c>
      <c r="GS210" t="inlineStr">
        <is>
          <t>RUS</t>
        </is>
      </c>
      <c r="GT210" t="inlineStr">
        <is>
          <t>RUS</t>
        </is>
      </c>
      <c r="GU210" t="inlineStr">
        <is>
          <t>RUS</t>
        </is>
      </c>
      <c r="GV210" t="inlineStr">
        <is>
          <t>RUS</t>
        </is>
      </c>
      <c r="GW210" t="inlineStr">
        <is>
          <t>RUS</t>
        </is>
      </c>
      <c r="GX210" t="inlineStr">
        <is>
          <t>RUS</t>
        </is>
      </c>
      <c r="GY210" t="inlineStr">
        <is>
          <t>RUS</t>
        </is>
      </c>
      <c r="GZ210" t="inlineStr">
        <is>
          <t>RUS</t>
        </is>
      </c>
      <c r="HA210" t="inlineStr">
        <is>
          <t>RUS</t>
        </is>
      </c>
      <c r="HB210" t="inlineStr">
        <is>
          <t>RUS</t>
        </is>
      </c>
      <c r="HC210" t="inlineStr">
        <is>
          <t>RUS</t>
        </is>
      </c>
      <c r="HD210" t="inlineStr">
        <is>
          <t>RUS</t>
        </is>
      </c>
      <c r="HE210" t="inlineStr">
        <is>
          <t>RUS</t>
        </is>
      </c>
      <c r="HF210" t="inlineStr">
        <is>
          <t>RUS</t>
        </is>
      </c>
      <c r="HG210" t="inlineStr">
        <is>
          <t>RUS</t>
        </is>
      </c>
      <c r="HH210" t="inlineStr">
        <is>
          <t>RUS</t>
        </is>
      </c>
      <c r="HI210" t="inlineStr">
        <is>
          <t>RUS</t>
        </is>
      </c>
      <c r="HJ210" t="inlineStr">
        <is>
          <t>RUS</t>
        </is>
      </c>
      <c r="HK210" t="inlineStr">
        <is>
          <t>RUS</t>
        </is>
      </c>
      <c r="HL210" t="inlineStr">
        <is>
          <t>RUS</t>
        </is>
      </c>
      <c r="HM210" t="inlineStr">
        <is>
          <t>RUS</t>
        </is>
      </c>
      <c r="HN210" t="inlineStr">
        <is>
          <t>RUS</t>
        </is>
      </c>
      <c r="HO210" t="inlineStr">
        <is>
          <t>RUS</t>
        </is>
      </c>
      <c r="HP210" t="inlineStr">
        <is>
          <t>RUS</t>
        </is>
      </c>
      <c r="HQ210" t="inlineStr">
        <is>
          <t>RUS</t>
        </is>
      </c>
      <c r="HR210" t="inlineStr">
        <is>
          <t>RUS</t>
        </is>
      </c>
      <c r="HS210" t="inlineStr">
        <is>
          <t>RUS</t>
        </is>
      </c>
      <c r="HT210" t="inlineStr">
        <is>
          <t>RUS</t>
        </is>
      </c>
      <c r="HU210" t="inlineStr">
        <is>
          <t>RUS</t>
        </is>
      </c>
      <c r="HV210" t="inlineStr">
        <is>
          <t>RUS</t>
        </is>
      </c>
      <c r="HW210" t="inlineStr">
        <is>
          <t>RUS</t>
        </is>
      </c>
      <c r="HX210" t="inlineStr">
        <is>
          <t>RUS</t>
        </is>
      </c>
      <c r="HY210" t="inlineStr">
        <is>
          <t>RUS</t>
        </is>
      </c>
      <c r="HZ210" t="inlineStr">
        <is>
          <t>RUS</t>
        </is>
      </c>
      <c r="IA210" t="inlineStr">
        <is>
          <t>RUS</t>
        </is>
      </c>
      <c r="IB210" t="inlineStr">
        <is>
          <t>RUS</t>
        </is>
      </c>
      <c r="IC210" t="inlineStr">
        <is>
          <t>RUS</t>
        </is>
      </c>
      <c r="ID210" t="inlineStr">
        <is>
          <t>RUS</t>
        </is>
      </c>
      <c r="IE210" t="inlineStr">
        <is>
          <t>RUS</t>
        </is>
      </c>
      <c r="IF210" t="inlineStr">
        <is>
          <t>RUS</t>
        </is>
      </c>
      <c r="IG210" t="inlineStr">
        <is>
          <t>RUS</t>
        </is>
      </c>
      <c r="IH210" t="inlineStr">
        <is>
          <t>RUS</t>
        </is>
      </c>
      <c r="II210" t="inlineStr">
        <is>
          <t>RUS</t>
        </is>
      </c>
      <c r="IJ210" t="inlineStr">
        <is>
          <t>RUS</t>
        </is>
      </c>
      <c r="IK210" t="inlineStr">
        <is>
          <t>RUS</t>
        </is>
      </c>
      <c r="IL210" t="inlineStr">
        <is>
          <t>RUS</t>
        </is>
      </c>
      <c r="IM210" t="inlineStr">
        <is>
          <t>RUS</t>
        </is>
      </c>
      <c r="IN210" t="inlineStr">
        <is>
          <t>RUS</t>
        </is>
      </c>
      <c r="IO210" t="inlineStr">
        <is>
          <t>RUS</t>
        </is>
      </c>
      <c r="IP210" t="inlineStr">
        <is>
          <t>RUS</t>
        </is>
      </c>
      <c r="IQ210" t="inlineStr">
        <is>
          <t>RUS</t>
        </is>
      </c>
      <c r="IR210" t="inlineStr">
        <is>
          <t>RUS</t>
        </is>
      </c>
      <c r="IS210" t="inlineStr">
        <is>
          <t>RUS</t>
        </is>
      </c>
      <c r="IT210" t="inlineStr">
        <is>
          <t>RUS</t>
        </is>
      </c>
      <c r="IU210" t="inlineStr">
        <is>
          <t>RUS</t>
        </is>
      </c>
      <c r="IV210" t="inlineStr">
        <is>
          <t>RUS</t>
        </is>
      </c>
      <c r="IW210" t="inlineStr">
        <is>
          <t>RUS</t>
        </is>
      </c>
      <c r="IX210" t="inlineStr">
        <is>
          <t>RUS</t>
        </is>
      </c>
      <c r="IY210" t="inlineStr">
        <is>
          <t>RUS</t>
        </is>
      </c>
      <c r="IZ210" t="inlineStr">
        <is>
          <t>RUS</t>
        </is>
      </c>
      <c r="JA210" t="inlineStr">
        <is>
          <t>RUS</t>
        </is>
      </c>
      <c r="JB210" t="inlineStr">
        <is>
          <t>RUS</t>
        </is>
      </c>
      <c r="JC210" t="inlineStr">
        <is>
          <t>RUS</t>
        </is>
      </c>
      <c r="JD210" t="inlineStr">
        <is>
          <t>RUS</t>
        </is>
      </c>
      <c r="JE210" t="inlineStr">
        <is>
          <t>RUS</t>
        </is>
      </c>
      <c r="JF210" t="inlineStr">
        <is>
          <t>RUS</t>
        </is>
      </c>
      <c r="JG210" t="inlineStr">
        <is>
          <t>RUS</t>
        </is>
      </c>
      <c r="JH210" t="inlineStr">
        <is>
          <t>RUS</t>
        </is>
      </c>
      <c r="JI210" t="inlineStr">
        <is>
          <t>RUS</t>
        </is>
      </c>
      <c r="JJ210" t="inlineStr">
        <is>
          <t>RUS</t>
        </is>
      </c>
      <c r="JK210" t="inlineStr">
        <is>
          <t>RUS</t>
        </is>
      </c>
      <c r="JL210" t="inlineStr">
        <is>
          <t>RUS</t>
        </is>
      </c>
      <c r="JM210" t="inlineStr">
        <is>
          <t>RUS</t>
        </is>
      </c>
      <c r="JN210" t="inlineStr">
        <is>
          <t>RUS</t>
        </is>
      </c>
      <c r="JO210" t="inlineStr">
        <is>
          <t>RUS</t>
        </is>
      </c>
      <c r="JP210" t="inlineStr">
        <is>
          <t>RUS</t>
        </is>
      </c>
      <c r="JQ210" t="inlineStr">
        <is>
          <t>RUS</t>
        </is>
      </c>
      <c r="JR210" t="inlineStr">
        <is>
          <t>RUS</t>
        </is>
      </c>
      <c r="JS210" t="inlineStr">
        <is>
          <t>RUS</t>
        </is>
      </c>
      <c r="JT210" t="inlineStr">
        <is>
          <t>RUS</t>
        </is>
      </c>
      <c r="JU210" t="inlineStr">
        <is>
          <t>RUS</t>
        </is>
      </c>
    </row>
    <row r="211">
      <c r="O211" t="inlineStr">
        <is>
          <t>ISL</t>
        </is>
      </c>
      <c r="P211" t="inlineStr">
        <is>
          <t>ISL</t>
        </is>
      </c>
      <c r="Q211" t="inlineStr">
        <is>
          <t>ISL</t>
        </is>
      </c>
      <c r="R211" t="inlineStr">
        <is>
          <t>ISL</t>
        </is>
      </c>
      <c r="S211" t="inlineStr">
        <is>
          <t>ISL</t>
        </is>
      </c>
      <c r="T211" t="inlineStr">
        <is>
          <t>ISL</t>
        </is>
      </c>
      <c r="U211" t="inlineStr">
        <is>
          <t>ISL</t>
        </is>
      </c>
      <c r="V211" t="inlineStr">
        <is>
          <t>ISL</t>
        </is>
      </c>
      <c r="W211" t="inlineStr">
        <is>
          <t>ISL</t>
        </is>
      </c>
      <c r="X211" t="inlineStr">
        <is>
          <t>ISL</t>
        </is>
      </c>
      <c r="Y211" t="inlineStr">
        <is>
          <t>ISL</t>
        </is>
      </c>
      <c r="Z211" t="inlineStr">
        <is>
          <t>ISL</t>
        </is>
      </c>
      <c r="AA211" t="inlineStr">
        <is>
          <t>ISL</t>
        </is>
      </c>
      <c r="AB211" t="inlineStr">
        <is>
          <t>ISL</t>
        </is>
      </c>
      <c r="AC211" t="inlineStr">
        <is>
          <t>ISL</t>
        </is>
      </c>
      <c r="AD211" t="inlineStr">
        <is>
          <t>ISL</t>
        </is>
      </c>
      <c r="AE211" t="inlineStr">
        <is>
          <t>ISL</t>
        </is>
      </c>
      <c r="AF211" t="inlineStr">
        <is>
          <t>ISL</t>
        </is>
      </c>
      <c r="CF211" t="inlineStr">
        <is>
          <t>NOR</t>
        </is>
      </c>
      <c r="CG211" t="inlineStr">
        <is>
          <t>NOR</t>
        </is>
      </c>
      <c r="CH211" t="inlineStr">
        <is>
          <t>NOR</t>
        </is>
      </c>
      <c r="CI211" t="inlineStr">
        <is>
          <t>NOR</t>
        </is>
      </c>
      <c r="CJ211" t="inlineStr">
        <is>
          <t>NOR</t>
        </is>
      </c>
      <c r="CK211" t="inlineStr">
        <is>
          <t>SWE</t>
        </is>
      </c>
      <c r="CL211" t="inlineStr">
        <is>
          <t>SWE</t>
        </is>
      </c>
      <c r="CM211" t="inlineStr">
        <is>
          <t>SWE</t>
        </is>
      </c>
      <c r="CN211" t="inlineStr">
        <is>
          <t>SWE</t>
        </is>
      </c>
      <c r="CO211" t="inlineStr">
        <is>
          <t>SWE</t>
        </is>
      </c>
      <c r="CP211" t="inlineStr">
        <is>
          <t>SWE</t>
        </is>
      </c>
      <c r="CQ211" t="inlineStr">
        <is>
          <t>SWE</t>
        </is>
      </c>
      <c r="CR211" t="inlineStr">
        <is>
          <t>SWE</t>
        </is>
      </c>
      <c r="CS211" t="inlineStr">
        <is>
          <t>SWE</t>
        </is>
      </c>
      <c r="CT211" t="inlineStr">
        <is>
          <t>SWE</t>
        </is>
      </c>
      <c r="CU211" t="inlineStr">
        <is>
          <t>SWE</t>
        </is>
      </c>
      <c r="CV211" t="inlineStr">
        <is>
          <t>SWE</t>
        </is>
      </c>
      <c r="CW211" t="inlineStr">
        <is>
          <t>SWE</t>
        </is>
      </c>
      <c r="CX211" t="inlineStr">
        <is>
          <t>SWE</t>
        </is>
      </c>
      <c r="CY211" t="inlineStr">
        <is>
          <t>SWE</t>
        </is>
      </c>
      <c r="CZ211" t="inlineStr">
        <is>
          <t>SWE</t>
        </is>
      </c>
      <c r="DG211" t="inlineStr">
        <is>
          <t>FIN</t>
        </is>
      </c>
      <c r="DH211" t="inlineStr">
        <is>
          <t>FIN</t>
        </is>
      </c>
      <c r="DI211" t="inlineStr">
        <is>
          <t>FIN</t>
        </is>
      </c>
      <c r="DJ211" t="inlineStr">
        <is>
          <t>FIN</t>
        </is>
      </c>
      <c r="DK211" t="inlineStr">
        <is>
          <t>FIN</t>
        </is>
      </c>
      <c r="DL211" t="inlineStr">
        <is>
          <t>FIN</t>
        </is>
      </c>
      <c r="DM211" t="inlineStr">
        <is>
          <t>FIN</t>
        </is>
      </c>
      <c r="DN211" t="inlineStr">
        <is>
          <t>FIN</t>
        </is>
      </c>
      <c r="DO211" t="inlineStr">
        <is>
          <t>FIN</t>
        </is>
      </c>
      <c r="DP211" t="inlineStr">
        <is>
          <t>FIN</t>
        </is>
      </c>
      <c r="DQ211" t="inlineStr">
        <is>
          <t>FIN</t>
        </is>
      </c>
      <c r="DR211" t="inlineStr">
        <is>
          <t>RUS</t>
        </is>
      </c>
      <c r="DS211" t="inlineStr">
        <is>
          <t>RUS</t>
        </is>
      </c>
      <c r="DT211" t="inlineStr">
        <is>
          <t>RUS</t>
        </is>
      </c>
      <c r="DU211" t="inlineStr">
        <is>
          <t>RUS</t>
        </is>
      </c>
      <c r="DV211" t="inlineStr">
        <is>
          <t>RUS</t>
        </is>
      </c>
      <c r="DW211" t="inlineStr">
        <is>
          <t>RUS</t>
        </is>
      </c>
      <c r="DX211" t="inlineStr">
        <is>
          <t>RUS</t>
        </is>
      </c>
      <c r="DY211" t="inlineStr">
        <is>
          <t>RUS</t>
        </is>
      </c>
      <c r="DZ211" t="inlineStr">
        <is>
          <t>RUS</t>
        </is>
      </c>
      <c r="EA211" t="inlineStr">
        <is>
          <t>RUS</t>
        </is>
      </c>
      <c r="EE211" t="inlineStr">
        <is>
          <t>RUS</t>
        </is>
      </c>
      <c r="EF211" t="inlineStr">
        <is>
          <t>RUS</t>
        </is>
      </c>
      <c r="EG211" t="inlineStr">
        <is>
          <t>RUS</t>
        </is>
      </c>
      <c r="EH211" t="inlineStr">
        <is>
          <t>RUS</t>
        </is>
      </c>
      <c r="EM211" t="inlineStr">
        <is>
          <t>RUS</t>
        </is>
      </c>
      <c r="EN211" t="inlineStr">
        <is>
          <t>RUS</t>
        </is>
      </c>
      <c r="EO211" t="inlineStr">
        <is>
          <t>RUS</t>
        </is>
      </c>
      <c r="EP211" t="inlineStr">
        <is>
          <t>RUS</t>
        </is>
      </c>
      <c r="EQ211" t="inlineStr">
        <is>
          <t>RUS</t>
        </is>
      </c>
      <c r="ER211" t="inlineStr">
        <is>
          <t>RUS</t>
        </is>
      </c>
      <c r="ES211" t="inlineStr">
        <is>
          <t>RUS</t>
        </is>
      </c>
      <c r="ET211" t="inlineStr">
        <is>
          <t>RUS</t>
        </is>
      </c>
      <c r="EU211" t="inlineStr">
        <is>
          <t>RUS</t>
        </is>
      </c>
      <c r="EV211" t="inlineStr">
        <is>
          <t>RUS</t>
        </is>
      </c>
      <c r="EW211" t="inlineStr">
        <is>
          <t>RUS</t>
        </is>
      </c>
      <c r="EX211" t="inlineStr">
        <is>
          <t>RUS</t>
        </is>
      </c>
      <c r="EY211" t="inlineStr">
        <is>
          <t>RUS</t>
        </is>
      </c>
      <c r="EZ211" t="inlineStr">
        <is>
          <t>RUS</t>
        </is>
      </c>
      <c r="FA211" t="inlineStr">
        <is>
          <t>RUS</t>
        </is>
      </c>
      <c r="FB211" t="inlineStr">
        <is>
          <t>RUS</t>
        </is>
      </c>
      <c r="FC211" t="inlineStr">
        <is>
          <t>RUS</t>
        </is>
      </c>
      <c r="FD211" t="inlineStr">
        <is>
          <t>RUS</t>
        </is>
      </c>
      <c r="FE211" t="inlineStr">
        <is>
          <t>RUS</t>
        </is>
      </c>
      <c r="FF211" t="inlineStr">
        <is>
          <t>RUS</t>
        </is>
      </c>
      <c r="FG211" t="inlineStr">
        <is>
          <t>RUS</t>
        </is>
      </c>
      <c r="FH211" t="inlineStr">
        <is>
          <t>RUS</t>
        </is>
      </c>
      <c r="FI211" t="inlineStr">
        <is>
          <t>RUS</t>
        </is>
      </c>
      <c r="FJ211" t="inlineStr">
        <is>
          <t>RUS</t>
        </is>
      </c>
      <c r="FK211" t="inlineStr">
        <is>
          <t>RUS</t>
        </is>
      </c>
      <c r="FL211" t="inlineStr">
        <is>
          <t>RUS</t>
        </is>
      </c>
      <c r="FM211" t="inlineStr">
        <is>
          <t>RUS</t>
        </is>
      </c>
      <c r="FN211" t="inlineStr">
        <is>
          <t>RUS</t>
        </is>
      </c>
      <c r="FO211" t="inlineStr">
        <is>
          <t>RUS</t>
        </is>
      </c>
      <c r="FP211" t="inlineStr">
        <is>
          <t>RUS</t>
        </is>
      </c>
      <c r="FQ211" t="inlineStr">
        <is>
          <t>RUS</t>
        </is>
      </c>
      <c r="FR211" t="inlineStr">
        <is>
          <t>RUS</t>
        </is>
      </c>
      <c r="FS211" t="inlineStr">
        <is>
          <t>RUS</t>
        </is>
      </c>
      <c r="FT211" t="inlineStr">
        <is>
          <t>RUS</t>
        </is>
      </c>
      <c r="FU211" t="inlineStr">
        <is>
          <t>RUS</t>
        </is>
      </c>
      <c r="FV211" t="inlineStr">
        <is>
          <t>RUS</t>
        </is>
      </c>
      <c r="FW211" t="inlineStr">
        <is>
          <t>RUS</t>
        </is>
      </c>
      <c r="FX211" t="inlineStr">
        <is>
          <t>RUS</t>
        </is>
      </c>
      <c r="FY211" t="inlineStr">
        <is>
          <t>RUS</t>
        </is>
      </c>
      <c r="FZ211" t="inlineStr">
        <is>
          <t>RUS</t>
        </is>
      </c>
      <c r="GA211" t="inlineStr">
        <is>
          <t>RUS</t>
        </is>
      </c>
      <c r="GB211" t="inlineStr">
        <is>
          <t>RUS</t>
        </is>
      </c>
      <c r="GC211" t="inlineStr">
        <is>
          <t>RUS</t>
        </is>
      </c>
      <c r="GD211" t="inlineStr">
        <is>
          <t>RUS</t>
        </is>
      </c>
      <c r="GE211" t="inlineStr">
        <is>
          <t>RUS</t>
        </is>
      </c>
      <c r="GF211" t="inlineStr">
        <is>
          <t>RUS</t>
        </is>
      </c>
      <c r="GG211" t="inlineStr">
        <is>
          <t>RUS</t>
        </is>
      </c>
      <c r="GH211" t="inlineStr">
        <is>
          <t>RUS</t>
        </is>
      </c>
      <c r="GI211" t="inlineStr">
        <is>
          <t>RUS</t>
        </is>
      </c>
      <c r="GJ211" t="inlineStr">
        <is>
          <t>RUS</t>
        </is>
      </c>
      <c r="GK211" t="inlineStr">
        <is>
          <t>RUS</t>
        </is>
      </c>
      <c r="GL211" t="inlineStr">
        <is>
          <t>RUS</t>
        </is>
      </c>
      <c r="GM211" t="inlineStr">
        <is>
          <t>RUS</t>
        </is>
      </c>
      <c r="GN211" t="inlineStr">
        <is>
          <t>RUS</t>
        </is>
      </c>
      <c r="GO211" t="inlineStr">
        <is>
          <t>RUS</t>
        </is>
      </c>
      <c r="GP211" t="inlineStr">
        <is>
          <t>RUS</t>
        </is>
      </c>
      <c r="GQ211" t="inlineStr">
        <is>
          <t>RUS</t>
        </is>
      </c>
      <c r="GR211" t="inlineStr">
        <is>
          <t>RUS</t>
        </is>
      </c>
      <c r="GS211" t="inlineStr">
        <is>
          <t>RUS</t>
        </is>
      </c>
      <c r="GT211" t="inlineStr">
        <is>
          <t>RUS</t>
        </is>
      </c>
      <c r="GU211" t="inlineStr">
        <is>
          <t>RUS</t>
        </is>
      </c>
      <c r="GV211" t="inlineStr">
        <is>
          <t>RUS</t>
        </is>
      </c>
      <c r="GW211" t="inlineStr">
        <is>
          <t>RUS</t>
        </is>
      </c>
      <c r="GX211" t="inlineStr">
        <is>
          <t>RUS</t>
        </is>
      </c>
      <c r="GY211" t="inlineStr">
        <is>
          <t>RUS</t>
        </is>
      </c>
      <c r="GZ211" t="inlineStr">
        <is>
          <t>RUS</t>
        </is>
      </c>
      <c r="HA211" t="inlineStr">
        <is>
          <t>RUS</t>
        </is>
      </c>
      <c r="HB211" t="inlineStr">
        <is>
          <t>RUS</t>
        </is>
      </c>
      <c r="HC211" t="inlineStr">
        <is>
          <t>RUS</t>
        </is>
      </c>
      <c r="HD211" t="inlineStr">
        <is>
          <t>RUS</t>
        </is>
      </c>
      <c r="HE211" t="inlineStr">
        <is>
          <t>RUS</t>
        </is>
      </c>
      <c r="HF211" t="inlineStr">
        <is>
          <t>RUS</t>
        </is>
      </c>
      <c r="HG211" t="inlineStr">
        <is>
          <t>RUS</t>
        </is>
      </c>
      <c r="HH211" t="inlineStr">
        <is>
          <t>RUS</t>
        </is>
      </c>
      <c r="HI211" t="inlineStr">
        <is>
          <t>RUS</t>
        </is>
      </c>
      <c r="HJ211" t="inlineStr">
        <is>
          <t>RUS</t>
        </is>
      </c>
      <c r="HK211" t="inlineStr">
        <is>
          <t>RUS</t>
        </is>
      </c>
      <c r="HL211" t="inlineStr">
        <is>
          <t>RUS</t>
        </is>
      </c>
      <c r="HM211" t="inlineStr">
        <is>
          <t>RUS</t>
        </is>
      </c>
      <c r="HN211" t="inlineStr">
        <is>
          <t>RUS</t>
        </is>
      </c>
      <c r="HO211" t="inlineStr">
        <is>
          <t>RUS</t>
        </is>
      </c>
      <c r="HP211" t="inlineStr">
        <is>
          <t>RUS</t>
        </is>
      </c>
      <c r="HQ211" t="inlineStr">
        <is>
          <t>RUS</t>
        </is>
      </c>
      <c r="HR211" t="inlineStr">
        <is>
          <t>RUS</t>
        </is>
      </c>
      <c r="HS211" t="inlineStr">
        <is>
          <t>RUS</t>
        </is>
      </c>
      <c r="HT211" t="inlineStr">
        <is>
          <t>RUS</t>
        </is>
      </c>
      <c r="HU211" t="inlineStr">
        <is>
          <t>RUS</t>
        </is>
      </c>
      <c r="HV211" t="inlineStr">
        <is>
          <t>RUS</t>
        </is>
      </c>
      <c r="HW211" t="inlineStr">
        <is>
          <t>RUS</t>
        </is>
      </c>
      <c r="HX211" t="inlineStr">
        <is>
          <t>RUS</t>
        </is>
      </c>
      <c r="HY211" t="inlineStr">
        <is>
          <t>RUS</t>
        </is>
      </c>
      <c r="HZ211" t="inlineStr">
        <is>
          <t>RUS</t>
        </is>
      </c>
      <c r="IA211" t="inlineStr">
        <is>
          <t>RUS</t>
        </is>
      </c>
      <c r="IB211" t="inlineStr">
        <is>
          <t>RUS</t>
        </is>
      </c>
      <c r="IC211" t="inlineStr">
        <is>
          <t>RUS</t>
        </is>
      </c>
      <c r="ID211" t="inlineStr">
        <is>
          <t>RUS</t>
        </is>
      </c>
      <c r="IE211" t="inlineStr">
        <is>
          <t>RUS</t>
        </is>
      </c>
      <c r="IF211" t="inlineStr">
        <is>
          <t>RUS</t>
        </is>
      </c>
      <c r="IG211" t="inlineStr">
        <is>
          <t>RUS</t>
        </is>
      </c>
      <c r="IH211" t="inlineStr">
        <is>
          <t>RUS</t>
        </is>
      </c>
      <c r="II211" t="inlineStr">
        <is>
          <t>RUS</t>
        </is>
      </c>
      <c r="IJ211" t="inlineStr">
        <is>
          <t>RUS</t>
        </is>
      </c>
      <c r="IK211" t="inlineStr">
        <is>
          <t>RUS</t>
        </is>
      </c>
      <c r="IL211" t="inlineStr">
        <is>
          <t>RUS</t>
        </is>
      </c>
      <c r="IM211" t="inlineStr">
        <is>
          <t>RUS</t>
        </is>
      </c>
      <c r="IN211" t="inlineStr">
        <is>
          <t>RUS</t>
        </is>
      </c>
      <c r="IO211" t="inlineStr">
        <is>
          <t>RUS</t>
        </is>
      </c>
      <c r="IP211" t="inlineStr">
        <is>
          <t>RUS</t>
        </is>
      </c>
      <c r="IQ211" t="inlineStr">
        <is>
          <t>RUS</t>
        </is>
      </c>
      <c r="IR211" t="inlineStr">
        <is>
          <t>RUS</t>
        </is>
      </c>
      <c r="IS211" t="inlineStr">
        <is>
          <t>RUS</t>
        </is>
      </c>
      <c r="IT211" t="inlineStr">
        <is>
          <t>RUS</t>
        </is>
      </c>
      <c r="IU211" t="inlineStr">
        <is>
          <t>RUS</t>
        </is>
      </c>
      <c r="IV211" t="inlineStr">
        <is>
          <t>RUS</t>
        </is>
      </c>
      <c r="IW211" t="inlineStr">
        <is>
          <t>RUS</t>
        </is>
      </c>
      <c r="IX211" t="inlineStr">
        <is>
          <t>RUS</t>
        </is>
      </c>
      <c r="IY211" t="inlineStr">
        <is>
          <t>RUS</t>
        </is>
      </c>
      <c r="IZ211" t="inlineStr">
        <is>
          <t>RUS</t>
        </is>
      </c>
      <c r="JA211" t="inlineStr">
        <is>
          <t>RUS</t>
        </is>
      </c>
      <c r="JB211" t="inlineStr">
        <is>
          <t>RUS</t>
        </is>
      </c>
      <c r="JC211" t="inlineStr">
        <is>
          <t>RUS</t>
        </is>
      </c>
      <c r="JD211" t="inlineStr">
        <is>
          <t>RUS</t>
        </is>
      </c>
      <c r="JE211" t="inlineStr">
        <is>
          <t>RUS</t>
        </is>
      </c>
      <c r="JF211" t="inlineStr">
        <is>
          <t>RUS</t>
        </is>
      </c>
      <c r="JG211" t="inlineStr">
        <is>
          <t>RUS</t>
        </is>
      </c>
      <c r="JH211" t="inlineStr">
        <is>
          <t>RUS</t>
        </is>
      </c>
      <c r="JI211" t="inlineStr">
        <is>
          <t>RUS</t>
        </is>
      </c>
      <c r="JJ211" t="inlineStr">
        <is>
          <t>RUS</t>
        </is>
      </c>
      <c r="JK211" t="inlineStr">
        <is>
          <t>RUS</t>
        </is>
      </c>
      <c r="JL211" t="inlineStr">
        <is>
          <t>RUS</t>
        </is>
      </c>
      <c r="JM211" t="inlineStr">
        <is>
          <t>RUS</t>
        </is>
      </c>
      <c r="JN211" t="inlineStr">
        <is>
          <t>RUS</t>
        </is>
      </c>
      <c r="JO211" t="inlineStr">
        <is>
          <t>RUS</t>
        </is>
      </c>
      <c r="JP211" t="inlineStr">
        <is>
          <t>RUS</t>
        </is>
      </c>
      <c r="JQ211" t="inlineStr">
        <is>
          <t>RUS</t>
        </is>
      </c>
      <c r="JR211" t="inlineStr">
        <is>
          <t>RUS</t>
        </is>
      </c>
      <c r="JS211" t="inlineStr">
        <is>
          <t>RUS</t>
        </is>
      </c>
      <c r="JT211" t="inlineStr">
        <is>
          <t>RUS</t>
        </is>
      </c>
      <c r="JU211" t="inlineStr">
        <is>
          <t>RUS</t>
        </is>
      </c>
    </row>
    <row r="212">
      <c r="R212" t="inlineStr">
        <is>
          <t>ISL</t>
        </is>
      </c>
      <c r="S212" t="inlineStr">
        <is>
          <t>ISL</t>
        </is>
      </c>
      <c r="T212" t="inlineStr">
        <is>
          <t>ISL</t>
        </is>
      </c>
      <c r="U212" t="inlineStr">
        <is>
          <t>ISL</t>
        </is>
      </c>
      <c r="V212" t="inlineStr">
        <is>
          <t>ISL</t>
        </is>
      </c>
      <c r="W212" t="inlineStr">
        <is>
          <t>ISL</t>
        </is>
      </c>
      <c r="X212" t="inlineStr">
        <is>
          <t>ISL</t>
        </is>
      </c>
      <c r="Y212" t="inlineStr">
        <is>
          <t>ISL</t>
        </is>
      </c>
      <c r="Z212" t="inlineStr">
        <is>
          <t>ISL</t>
        </is>
      </c>
      <c r="AA212" t="inlineStr">
        <is>
          <t>ISL</t>
        </is>
      </c>
      <c r="AB212" t="inlineStr">
        <is>
          <t>ISL</t>
        </is>
      </c>
      <c r="AC212" t="inlineStr">
        <is>
          <t>ISL</t>
        </is>
      </c>
      <c r="AD212" t="inlineStr">
        <is>
          <t>ISL</t>
        </is>
      </c>
      <c r="AE212" t="inlineStr">
        <is>
          <t>ISL</t>
        </is>
      </c>
      <c r="AF212" t="inlineStr">
        <is>
          <t>ISL</t>
        </is>
      </c>
      <c r="AG212" t="inlineStr">
        <is>
          <t>ISL</t>
        </is>
      </c>
      <c r="CG212" t="inlineStr">
        <is>
          <t>NOR</t>
        </is>
      </c>
      <c r="CH212" t="inlineStr">
        <is>
          <t>NOR</t>
        </is>
      </c>
      <c r="CI212" t="inlineStr">
        <is>
          <t>NOR</t>
        </is>
      </c>
      <c r="CJ212" t="inlineStr">
        <is>
          <t>NOR</t>
        </is>
      </c>
      <c r="CK212" t="inlineStr">
        <is>
          <t>NOR</t>
        </is>
      </c>
      <c r="CL212" t="inlineStr">
        <is>
          <t>SWE</t>
        </is>
      </c>
      <c r="CM212" t="inlineStr">
        <is>
          <t>SWE</t>
        </is>
      </c>
      <c r="CN212" t="inlineStr">
        <is>
          <t>SWE</t>
        </is>
      </c>
      <c r="CO212" t="inlineStr">
        <is>
          <t>SWE</t>
        </is>
      </c>
      <c r="CP212" t="inlineStr">
        <is>
          <t>SWE</t>
        </is>
      </c>
      <c r="CQ212" t="inlineStr">
        <is>
          <t>SWE</t>
        </is>
      </c>
      <c r="CR212" t="inlineStr">
        <is>
          <t>SWE</t>
        </is>
      </c>
      <c r="CS212" t="inlineStr">
        <is>
          <t>SWE</t>
        </is>
      </c>
      <c r="CT212" t="inlineStr">
        <is>
          <t>SWE</t>
        </is>
      </c>
      <c r="CU212" t="inlineStr">
        <is>
          <t>SWE</t>
        </is>
      </c>
      <c r="CV212" t="inlineStr">
        <is>
          <t>SWE</t>
        </is>
      </c>
      <c r="CW212" t="inlineStr">
        <is>
          <t>SWE</t>
        </is>
      </c>
      <c r="CX212" t="inlineStr">
        <is>
          <t>SWE</t>
        </is>
      </c>
      <c r="CY212" t="inlineStr">
        <is>
          <t>SWE</t>
        </is>
      </c>
      <c r="CZ212" t="inlineStr">
        <is>
          <t>SWE</t>
        </is>
      </c>
      <c r="DI212" t="inlineStr">
        <is>
          <t>FIN</t>
        </is>
      </c>
      <c r="DJ212" t="inlineStr">
        <is>
          <t>FIN</t>
        </is>
      </c>
      <c r="DK212" t="inlineStr">
        <is>
          <t>FIN</t>
        </is>
      </c>
      <c r="DL212" t="inlineStr">
        <is>
          <t>FIN</t>
        </is>
      </c>
      <c r="DM212" t="inlineStr">
        <is>
          <t>FIN</t>
        </is>
      </c>
      <c r="DN212" t="inlineStr">
        <is>
          <t>FIN</t>
        </is>
      </c>
      <c r="DO212" t="inlineStr">
        <is>
          <t>FIN</t>
        </is>
      </c>
      <c r="DP212" t="inlineStr">
        <is>
          <t>FIN</t>
        </is>
      </c>
      <c r="DQ212" t="inlineStr">
        <is>
          <t>FIN</t>
        </is>
      </c>
      <c r="DR212" t="inlineStr">
        <is>
          <t>RUS</t>
        </is>
      </c>
      <c r="DS212" t="inlineStr">
        <is>
          <t>RUS</t>
        </is>
      </c>
      <c r="DT212" t="inlineStr">
        <is>
          <t>RUS</t>
        </is>
      </c>
      <c r="DU212" t="inlineStr">
        <is>
          <t>RUS</t>
        </is>
      </c>
      <c r="DV212" t="inlineStr">
        <is>
          <t>RUS</t>
        </is>
      </c>
      <c r="DW212" t="inlineStr">
        <is>
          <t>RUS</t>
        </is>
      </c>
      <c r="DX212" t="inlineStr">
        <is>
          <t>RUS</t>
        </is>
      </c>
      <c r="DY212" t="inlineStr">
        <is>
          <t>RUS</t>
        </is>
      </c>
      <c r="DZ212" t="inlineStr">
        <is>
          <t>RUS</t>
        </is>
      </c>
      <c r="EA212" t="inlineStr">
        <is>
          <t>RUS</t>
        </is>
      </c>
      <c r="EL212" t="inlineStr">
        <is>
          <t>RUS</t>
        </is>
      </c>
      <c r="EM212" t="inlineStr">
        <is>
          <t>RUS</t>
        </is>
      </c>
      <c r="EN212" t="inlineStr">
        <is>
          <t>RUS</t>
        </is>
      </c>
      <c r="EO212" t="inlineStr">
        <is>
          <t>RUS</t>
        </is>
      </c>
      <c r="EP212" t="inlineStr">
        <is>
          <t>RUS</t>
        </is>
      </c>
      <c r="EQ212" t="inlineStr">
        <is>
          <t>RUS</t>
        </is>
      </c>
      <c r="ER212" t="inlineStr">
        <is>
          <t>RUS</t>
        </is>
      </c>
      <c r="ES212" t="inlineStr">
        <is>
          <t>RUS</t>
        </is>
      </c>
      <c r="ET212" t="inlineStr">
        <is>
          <t>RUS</t>
        </is>
      </c>
      <c r="EU212" t="inlineStr">
        <is>
          <t>RUS</t>
        </is>
      </c>
      <c r="EV212" t="inlineStr">
        <is>
          <t>RUS</t>
        </is>
      </c>
      <c r="EW212" t="inlineStr">
        <is>
          <t>RUS</t>
        </is>
      </c>
      <c r="EX212" t="inlineStr">
        <is>
          <t>RUS</t>
        </is>
      </c>
      <c r="EY212" t="inlineStr">
        <is>
          <t>RUS</t>
        </is>
      </c>
      <c r="EZ212" t="inlineStr">
        <is>
          <t>RUS</t>
        </is>
      </c>
      <c r="FA212" t="inlineStr">
        <is>
          <t>RUS</t>
        </is>
      </c>
      <c r="FB212" t="inlineStr">
        <is>
          <t>RUS</t>
        </is>
      </c>
      <c r="FC212" t="inlineStr">
        <is>
          <t>RUS</t>
        </is>
      </c>
      <c r="FD212" t="inlineStr">
        <is>
          <t>RUS</t>
        </is>
      </c>
      <c r="FE212" t="inlineStr">
        <is>
          <t>RUS</t>
        </is>
      </c>
      <c r="FF212" t="inlineStr">
        <is>
          <t>RUS</t>
        </is>
      </c>
      <c r="FG212" t="inlineStr">
        <is>
          <t>RUS</t>
        </is>
      </c>
      <c r="FH212" t="inlineStr">
        <is>
          <t>RUS</t>
        </is>
      </c>
      <c r="FI212" t="inlineStr">
        <is>
          <t>RUS</t>
        </is>
      </c>
      <c r="FJ212" t="inlineStr">
        <is>
          <t>RUS</t>
        </is>
      </c>
      <c r="FK212" t="inlineStr">
        <is>
          <t>RUS</t>
        </is>
      </c>
      <c r="FL212" t="inlineStr">
        <is>
          <t>RUS</t>
        </is>
      </c>
      <c r="FM212" t="inlineStr">
        <is>
          <t>RUS</t>
        </is>
      </c>
      <c r="FN212" t="inlineStr">
        <is>
          <t>RUS</t>
        </is>
      </c>
      <c r="FO212" t="inlineStr">
        <is>
          <t>RUS</t>
        </is>
      </c>
      <c r="FP212" t="inlineStr">
        <is>
          <t>RUS</t>
        </is>
      </c>
      <c r="FQ212" t="inlineStr">
        <is>
          <t>RUS</t>
        </is>
      </c>
      <c r="FR212" t="inlineStr">
        <is>
          <t>RUS</t>
        </is>
      </c>
      <c r="FS212" t="inlineStr">
        <is>
          <t>RUS</t>
        </is>
      </c>
      <c r="FT212" t="inlineStr">
        <is>
          <t>RUS</t>
        </is>
      </c>
      <c r="FU212" t="inlineStr">
        <is>
          <t>RUS</t>
        </is>
      </c>
      <c r="FV212" t="inlineStr">
        <is>
          <t>RUS</t>
        </is>
      </c>
      <c r="FW212" t="inlineStr">
        <is>
          <t>RUS</t>
        </is>
      </c>
      <c r="FX212" t="inlineStr">
        <is>
          <t>RUS</t>
        </is>
      </c>
      <c r="FY212" t="inlineStr">
        <is>
          <t>RUS</t>
        </is>
      </c>
      <c r="FZ212" t="inlineStr">
        <is>
          <t>RUS</t>
        </is>
      </c>
      <c r="GA212" t="inlineStr">
        <is>
          <t>RUS</t>
        </is>
      </c>
      <c r="GB212" t="inlineStr">
        <is>
          <t>RUS</t>
        </is>
      </c>
      <c r="GC212" t="inlineStr">
        <is>
          <t>RUS</t>
        </is>
      </c>
      <c r="GD212" t="inlineStr">
        <is>
          <t>RUS</t>
        </is>
      </c>
      <c r="GE212" t="inlineStr">
        <is>
          <t>RUS</t>
        </is>
      </c>
      <c r="GF212" t="inlineStr">
        <is>
          <t>RUS</t>
        </is>
      </c>
      <c r="GG212" t="inlineStr">
        <is>
          <t>RUS</t>
        </is>
      </c>
      <c r="GH212" t="inlineStr">
        <is>
          <t>RUS</t>
        </is>
      </c>
      <c r="GI212" t="inlineStr">
        <is>
          <t>RUS</t>
        </is>
      </c>
      <c r="GJ212" t="inlineStr">
        <is>
          <t>RUS</t>
        </is>
      </c>
      <c r="GK212" t="inlineStr">
        <is>
          <t>RUS</t>
        </is>
      </c>
      <c r="GL212" t="inlineStr">
        <is>
          <t>RUS</t>
        </is>
      </c>
      <c r="GM212" t="inlineStr">
        <is>
          <t>RUS</t>
        </is>
      </c>
      <c r="GN212" t="inlineStr">
        <is>
          <t>RUS</t>
        </is>
      </c>
      <c r="GO212" t="inlineStr">
        <is>
          <t>RUS</t>
        </is>
      </c>
      <c r="GP212" t="inlineStr">
        <is>
          <t>RUS</t>
        </is>
      </c>
      <c r="GQ212" t="inlineStr">
        <is>
          <t>RUS</t>
        </is>
      </c>
      <c r="GR212" t="inlineStr">
        <is>
          <t>RUS</t>
        </is>
      </c>
      <c r="GS212" t="inlineStr">
        <is>
          <t>RUS</t>
        </is>
      </c>
      <c r="GT212" t="inlineStr">
        <is>
          <t>RUS</t>
        </is>
      </c>
      <c r="GU212" t="inlineStr">
        <is>
          <t>RUS</t>
        </is>
      </c>
      <c r="GV212" t="inlineStr">
        <is>
          <t>RUS</t>
        </is>
      </c>
      <c r="GW212" t="inlineStr">
        <is>
          <t>RUS</t>
        </is>
      </c>
      <c r="GX212" t="inlineStr">
        <is>
          <t>RUS</t>
        </is>
      </c>
      <c r="GY212" t="inlineStr">
        <is>
          <t>RUS</t>
        </is>
      </c>
      <c r="GZ212" t="inlineStr">
        <is>
          <t>RUS</t>
        </is>
      </c>
      <c r="HA212" t="inlineStr">
        <is>
          <t>RUS</t>
        </is>
      </c>
      <c r="HB212" t="inlineStr">
        <is>
          <t>RUS</t>
        </is>
      </c>
      <c r="HC212" t="inlineStr">
        <is>
          <t>RUS</t>
        </is>
      </c>
      <c r="HD212" t="inlineStr">
        <is>
          <t>RUS</t>
        </is>
      </c>
      <c r="HE212" t="inlineStr">
        <is>
          <t>RUS</t>
        </is>
      </c>
      <c r="HF212" t="inlineStr">
        <is>
          <t>RUS</t>
        </is>
      </c>
      <c r="HG212" t="inlineStr">
        <is>
          <t>RUS</t>
        </is>
      </c>
      <c r="HH212" t="inlineStr">
        <is>
          <t>RUS</t>
        </is>
      </c>
      <c r="HI212" t="inlineStr">
        <is>
          <t>RUS</t>
        </is>
      </c>
      <c r="HJ212" t="inlineStr">
        <is>
          <t>RUS</t>
        </is>
      </c>
      <c r="HK212" t="inlineStr">
        <is>
          <t>RUS</t>
        </is>
      </c>
      <c r="HL212" t="inlineStr">
        <is>
          <t>RUS</t>
        </is>
      </c>
      <c r="HM212" t="inlineStr">
        <is>
          <t>RUS</t>
        </is>
      </c>
      <c r="HN212" t="inlineStr">
        <is>
          <t>RUS</t>
        </is>
      </c>
      <c r="HO212" t="inlineStr">
        <is>
          <t>RUS</t>
        </is>
      </c>
      <c r="HP212" t="inlineStr">
        <is>
          <t>RUS</t>
        </is>
      </c>
      <c r="HQ212" t="inlineStr">
        <is>
          <t>RUS</t>
        </is>
      </c>
      <c r="HR212" t="inlineStr">
        <is>
          <t>RUS</t>
        </is>
      </c>
      <c r="HS212" t="inlineStr">
        <is>
          <t>RUS</t>
        </is>
      </c>
      <c r="HT212" t="inlineStr">
        <is>
          <t>RUS</t>
        </is>
      </c>
      <c r="HU212" t="inlineStr">
        <is>
          <t>RUS</t>
        </is>
      </c>
      <c r="HV212" t="inlineStr">
        <is>
          <t>RUS</t>
        </is>
      </c>
      <c r="HW212" t="inlineStr">
        <is>
          <t>RUS</t>
        </is>
      </c>
      <c r="HX212" t="inlineStr">
        <is>
          <t>RUS</t>
        </is>
      </c>
      <c r="HY212" t="inlineStr">
        <is>
          <t>RUS</t>
        </is>
      </c>
      <c r="HZ212" t="inlineStr">
        <is>
          <t>RUS</t>
        </is>
      </c>
      <c r="IA212" t="inlineStr">
        <is>
          <t>RUS</t>
        </is>
      </c>
      <c r="IB212" t="inlineStr">
        <is>
          <t>RUS</t>
        </is>
      </c>
      <c r="IC212" t="inlineStr">
        <is>
          <t>RUS</t>
        </is>
      </c>
      <c r="ID212" t="inlineStr">
        <is>
          <t>RUS</t>
        </is>
      </c>
      <c r="IE212" t="inlineStr">
        <is>
          <t>RUS</t>
        </is>
      </c>
      <c r="IF212" t="inlineStr">
        <is>
          <t>RUS</t>
        </is>
      </c>
      <c r="IG212" t="inlineStr">
        <is>
          <t>RUS</t>
        </is>
      </c>
      <c r="IH212" t="inlineStr">
        <is>
          <t>RUS</t>
        </is>
      </c>
      <c r="II212" t="inlineStr">
        <is>
          <t>RUS</t>
        </is>
      </c>
      <c r="IJ212" t="inlineStr">
        <is>
          <t>RUS</t>
        </is>
      </c>
      <c r="IK212" t="inlineStr">
        <is>
          <t>RUS</t>
        </is>
      </c>
      <c r="IL212" t="inlineStr">
        <is>
          <t>RUS</t>
        </is>
      </c>
      <c r="IM212" t="inlineStr">
        <is>
          <t>RUS</t>
        </is>
      </c>
      <c r="IN212" t="inlineStr">
        <is>
          <t>RUS</t>
        </is>
      </c>
      <c r="IO212" t="inlineStr">
        <is>
          <t>RUS</t>
        </is>
      </c>
      <c r="IP212" t="inlineStr">
        <is>
          <t>RUS</t>
        </is>
      </c>
      <c r="IQ212" t="inlineStr">
        <is>
          <t>RUS</t>
        </is>
      </c>
      <c r="IR212" t="inlineStr">
        <is>
          <t>RUS</t>
        </is>
      </c>
      <c r="IS212" t="inlineStr">
        <is>
          <t>RUS</t>
        </is>
      </c>
      <c r="IT212" t="inlineStr">
        <is>
          <t>RUS</t>
        </is>
      </c>
      <c r="IU212" t="inlineStr">
        <is>
          <t>RUS</t>
        </is>
      </c>
      <c r="IV212" t="inlineStr">
        <is>
          <t>RUS</t>
        </is>
      </c>
      <c r="IW212" t="inlineStr">
        <is>
          <t>RUS</t>
        </is>
      </c>
      <c r="IX212" t="inlineStr">
        <is>
          <t>RUS</t>
        </is>
      </c>
      <c r="IY212" t="inlineStr">
        <is>
          <t>RUS</t>
        </is>
      </c>
      <c r="IZ212" t="inlineStr">
        <is>
          <t>RUS</t>
        </is>
      </c>
      <c r="JA212" t="inlineStr">
        <is>
          <t>RUS</t>
        </is>
      </c>
      <c r="JB212" t="inlineStr">
        <is>
          <t>RUS</t>
        </is>
      </c>
      <c r="JC212" t="inlineStr">
        <is>
          <t>RUS</t>
        </is>
      </c>
      <c r="JD212" t="inlineStr">
        <is>
          <t>RUS</t>
        </is>
      </c>
      <c r="JE212" t="inlineStr">
        <is>
          <t>RUS</t>
        </is>
      </c>
      <c r="JF212" t="inlineStr">
        <is>
          <t>RUS</t>
        </is>
      </c>
      <c r="JG212" t="inlineStr">
        <is>
          <t>RUS</t>
        </is>
      </c>
      <c r="JH212" t="inlineStr">
        <is>
          <t>RUS</t>
        </is>
      </c>
      <c r="JI212" t="inlineStr">
        <is>
          <t>RUS</t>
        </is>
      </c>
      <c r="JJ212" t="inlineStr">
        <is>
          <t>RUS</t>
        </is>
      </c>
      <c r="JK212" t="inlineStr">
        <is>
          <t>RUS</t>
        </is>
      </c>
      <c r="JL212" t="inlineStr">
        <is>
          <t>RUS</t>
        </is>
      </c>
      <c r="JM212" t="inlineStr">
        <is>
          <t>RUS</t>
        </is>
      </c>
      <c r="JN212" t="inlineStr">
        <is>
          <t>RUS</t>
        </is>
      </c>
      <c r="JO212" t="inlineStr">
        <is>
          <t>RUS</t>
        </is>
      </c>
      <c r="JP212" t="inlineStr">
        <is>
          <t>RUS</t>
        </is>
      </c>
      <c r="JQ212" t="inlineStr">
        <is>
          <t>RUS</t>
        </is>
      </c>
      <c r="JR212" t="inlineStr">
        <is>
          <t>RUS</t>
        </is>
      </c>
      <c r="JS212" t="inlineStr">
        <is>
          <t>RUS</t>
        </is>
      </c>
      <c r="JT212" t="inlineStr">
        <is>
          <t>RUS</t>
        </is>
      </c>
      <c r="JU212" t="inlineStr">
        <is>
          <t>RUS</t>
        </is>
      </c>
    </row>
    <row r="213">
      <c r="N213" t="inlineStr">
        <is>
          <t>ISL</t>
        </is>
      </c>
      <c r="O213" t="inlineStr">
        <is>
          <t>ISL</t>
        </is>
      </c>
      <c r="P213" t="inlineStr">
        <is>
          <t>ISL</t>
        </is>
      </c>
      <c r="Q213" t="inlineStr">
        <is>
          <t>ISL</t>
        </is>
      </c>
      <c r="R213" t="inlineStr">
        <is>
          <t>ISL</t>
        </is>
      </c>
      <c r="S213" t="inlineStr">
        <is>
          <t>ISL</t>
        </is>
      </c>
      <c r="T213" t="inlineStr">
        <is>
          <t>ISL</t>
        </is>
      </c>
      <c r="U213" t="inlineStr">
        <is>
          <t>ISL</t>
        </is>
      </c>
      <c r="V213" t="inlineStr">
        <is>
          <t>ISL</t>
        </is>
      </c>
      <c r="W213" t="inlineStr">
        <is>
          <t>ISL</t>
        </is>
      </c>
      <c r="X213" t="inlineStr">
        <is>
          <t>ISL</t>
        </is>
      </c>
      <c r="Y213" t="inlineStr">
        <is>
          <t>ISL</t>
        </is>
      </c>
      <c r="Z213" t="inlineStr">
        <is>
          <t>ISL</t>
        </is>
      </c>
      <c r="AA213" t="inlineStr">
        <is>
          <t>ISL</t>
        </is>
      </c>
      <c r="AB213" t="inlineStr">
        <is>
          <t>ISL</t>
        </is>
      </c>
      <c r="AC213" t="inlineStr">
        <is>
          <t>ISL</t>
        </is>
      </c>
      <c r="AD213" t="inlineStr">
        <is>
          <t>ISL</t>
        </is>
      </c>
      <c r="AE213" t="inlineStr">
        <is>
          <t>ISL</t>
        </is>
      </c>
      <c r="AF213" t="inlineStr">
        <is>
          <t>ISL</t>
        </is>
      </c>
      <c r="CH213" t="inlineStr">
        <is>
          <t>NOR</t>
        </is>
      </c>
      <c r="CI213" t="inlineStr">
        <is>
          <t>NOR</t>
        </is>
      </c>
      <c r="CJ213" t="inlineStr">
        <is>
          <t>NOR</t>
        </is>
      </c>
      <c r="CK213" t="inlineStr">
        <is>
          <t>NOR</t>
        </is>
      </c>
      <c r="CL213" t="inlineStr">
        <is>
          <t>NOR</t>
        </is>
      </c>
      <c r="CM213" t="inlineStr">
        <is>
          <t>SWE</t>
        </is>
      </c>
      <c r="CN213" t="inlineStr">
        <is>
          <t>SWE</t>
        </is>
      </c>
      <c r="CO213" t="inlineStr">
        <is>
          <t>SWE</t>
        </is>
      </c>
      <c r="CP213" t="inlineStr">
        <is>
          <t>SWE</t>
        </is>
      </c>
      <c r="CQ213" t="inlineStr">
        <is>
          <t>SWE</t>
        </is>
      </c>
      <c r="CR213" t="inlineStr">
        <is>
          <t>SWE</t>
        </is>
      </c>
      <c r="CS213" t="inlineStr">
        <is>
          <t>SWE</t>
        </is>
      </c>
      <c r="CT213" t="inlineStr">
        <is>
          <t>SWE</t>
        </is>
      </c>
      <c r="CU213" t="inlineStr">
        <is>
          <t>SWE</t>
        </is>
      </c>
      <c r="CV213" t="inlineStr">
        <is>
          <t>SWE</t>
        </is>
      </c>
      <c r="CW213" t="inlineStr">
        <is>
          <t>SWE</t>
        </is>
      </c>
      <c r="CX213" t="inlineStr">
        <is>
          <t>SWE</t>
        </is>
      </c>
      <c r="CY213" t="inlineStr">
        <is>
          <t>SWE</t>
        </is>
      </c>
      <c r="CZ213" t="inlineStr">
        <is>
          <t>SWE</t>
        </is>
      </c>
      <c r="DA213" t="inlineStr">
        <is>
          <t>SWE</t>
        </is>
      </c>
      <c r="DB213" t="inlineStr">
        <is>
          <t>SWE</t>
        </is>
      </c>
      <c r="DG213" t="inlineStr">
        <is>
          <t>FIN</t>
        </is>
      </c>
      <c r="DH213" t="inlineStr">
        <is>
          <t>FIN</t>
        </is>
      </c>
      <c r="DI213" t="inlineStr">
        <is>
          <t>FIN</t>
        </is>
      </c>
      <c r="DJ213" t="inlineStr">
        <is>
          <t>FIN</t>
        </is>
      </c>
      <c r="DK213" t="inlineStr">
        <is>
          <t>FIN</t>
        </is>
      </c>
      <c r="DL213" t="inlineStr">
        <is>
          <t>FIN</t>
        </is>
      </c>
      <c r="DM213" t="inlineStr">
        <is>
          <t>FIN</t>
        </is>
      </c>
      <c r="DN213" t="inlineStr">
        <is>
          <t>FIN</t>
        </is>
      </c>
      <c r="DO213" t="inlineStr">
        <is>
          <t>FIN</t>
        </is>
      </c>
      <c r="DP213" t="inlineStr">
        <is>
          <t>FIN</t>
        </is>
      </c>
      <c r="DQ213" t="inlineStr">
        <is>
          <t>FIN</t>
        </is>
      </c>
      <c r="DR213" t="inlineStr">
        <is>
          <t>RUS</t>
        </is>
      </c>
      <c r="DS213" t="inlineStr">
        <is>
          <t>RUS</t>
        </is>
      </c>
      <c r="DT213" t="inlineStr">
        <is>
          <t>RUS</t>
        </is>
      </c>
      <c r="DU213" t="inlineStr">
        <is>
          <t>RUS</t>
        </is>
      </c>
      <c r="DV213" t="inlineStr">
        <is>
          <t>RUS</t>
        </is>
      </c>
      <c r="DW213" t="inlineStr">
        <is>
          <t>RUS</t>
        </is>
      </c>
      <c r="DX213" t="inlineStr">
        <is>
          <t>RUS</t>
        </is>
      </c>
      <c r="DY213" t="inlineStr">
        <is>
          <t>RUS</t>
        </is>
      </c>
      <c r="DZ213" t="inlineStr">
        <is>
          <t>RUS</t>
        </is>
      </c>
      <c r="EA213" t="inlineStr">
        <is>
          <t>RUS</t>
        </is>
      </c>
      <c r="EM213" t="inlineStr">
        <is>
          <t>RUS</t>
        </is>
      </c>
      <c r="EN213" t="inlineStr">
        <is>
          <t>RUS</t>
        </is>
      </c>
      <c r="EO213" t="inlineStr">
        <is>
          <t>RUS</t>
        </is>
      </c>
      <c r="EP213" t="inlineStr">
        <is>
          <t>RUS</t>
        </is>
      </c>
      <c r="EQ213" t="inlineStr">
        <is>
          <t>RUS</t>
        </is>
      </c>
      <c r="ER213" t="inlineStr">
        <is>
          <t>RUS</t>
        </is>
      </c>
      <c r="ES213" t="inlineStr">
        <is>
          <t>RUS</t>
        </is>
      </c>
      <c r="ET213" t="inlineStr">
        <is>
          <t>RUS</t>
        </is>
      </c>
      <c r="EU213" t="inlineStr">
        <is>
          <t>RUS</t>
        </is>
      </c>
      <c r="EV213" t="inlineStr">
        <is>
          <t>RUS</t>
        </is>
      </c>
      <c r="EW213" t="inlineStr">
        <is>
          <t>RUS</t>
        </is>
      </c>
      <c r="EX213" t="inlineStr">
        <is>
          <t>RUS</t>
        </is>
      </c>
      <c r="EY213" t="inlineStr">
        <is>
          <t>RUS</t>
        </is>
      </c>
      <c r="EZ213" t="inlineStr">
        <is>
          <t>RUS</t>
        </is>
      </c>
      <c r="FA213" t="inlineStr">
        <is>
          <t>RUS</t>
        </is>
      </c>
      <c r="FB213" t="inlineStr">
        <is>
          <t>RUS</t>
        </is>
      </c>
      <c r="FC213" t="inlineStr">
        <is>
          <t>RUS</t>
        </is>
      </c>
      <c r="FD213" t="inlineStr">
        <is>
          <t>RUS</t>
        </is>
      </c>
      <c r="FE213" t="inlineStr">
        <is>
          <t>RUS</t>
        </is>
      </c>
      <c r="FF213" t="inlineStr">
        <is>
          <t>RUS</t>
        </is>
      </c>
      <c r="FG213" t="inlineStr">
        <is>
          <t>RUS</t>
        </is>
      </c>
      <c r="FH213" t="inlineStr">
        <is>
          <t>RUS</t>
        </is>
      </c>
      <c r="FI213" t="inlineStr">
        <is>
          <t>RUS</t>
        </is>
      </c>
      <c r="FJ213" t="inlineStr">
        <is>
          <t>RUS</t>
        </is>
      </c>
      <c r="FK213" t="inlineStr">
        <is>
          <t>RUS</t>
        </is>
      </c>
      <c r="FL213" t="inlineStr">
        <is>
          <t>RUS</t>
        </is>
      </c>
      <c r="FM213" t="inlineStr">
        <is>
          <t>RUS</t>
        </is>
      </c>
      <c r="FN213" t="inlineStr">
        <is>
          <t>RUS</t>
        </is>
      </c>
      <c r="FO213" t="inlineStr">
        <is>
          <t>RUS</t>
        </is>
      </c>
      <c r="FP213" t="inlineStr">
        <is>
          <t>RUS</t>
        </is>
      </c>
      <c r="FQ213" t="inlineStr">
        <is>
          <t>RUS</t>
        </is>
      </c>
      <c r="FR213" t="inlineStr">
        <is>
          <t>RUS</t>
        </is>
      </c>
      <c r="FS213" t="inlineStr">
        <is>
          <t>RUS</t>
        </is>
      </c>
      <c r="FT213" t="inlineStr">
        <is>
          <t>RUS</t>
        </is>
      </c>
      <c r="FU213" t="inlineStr">
        <is>
          <t>RUS</t>
        </is>
      </c>
      <c r="FV213" t="inlineStr">
        <is>
          <t>RUS</t>
        </is>
      </c>
      <c r="FW213" t="inlineStr">
        <is>
          <t>RUS</t>
        </is>
      </c>
      <c r="FX213" t="inlineStr">
        <is>
          <t>RUS</t>
        </is>
      </c>
      <c r="FY213" t="inlineStr">
        <is>
          <t>RUS</t>
        </is>
      </c>
      <c r="FZ213" t="inlineStr">
        <is>
          <t>RUS</t>
        </is>
      </c>
      <c r="GA213" t="inlineStr">
        <is>
          <t>RUS</t>
        </is>
      </c>
      <c r="GB213" t="inlineStr">
        <is>
          <t>RUS</t>
        </is>
      </c>
      <c r="GC213" t="inlineStr">
        <is>
          <t>RUS</t>
        </is>
      </c>
      <c r="GD213" t="inlineStr">
        <is>
          <t>RUS</t>
        </is>
      </c>
      <c r="GE213" t="inlineStr">
        <is>
          <t>RUS</t>
        </is>
      </c>
      <c r="GF213" t="inlineStr">
        <is>
          <t>RUS</t>
        </is>
      </c>
      <c r="GG213" t="inlineStr">
        <is>
          <t>RUS</t>
        </is>
      </c>
      <c r="GH213" t="inlineStr">
        <is>
          <t>RUS</t>
        </is>
      </c>
      <c r="GI213" t="inlineStr">
        <is>
          <t>RUS</t>
        </is>
      </c>
      <c r="GJ213" t="inlineStr">
        <is>
          <t>RUS</t>
        </is>
      </c>
      <c r="GK213" t="inlineStr">
        <is>
          <t>RUS</t>
        </is>
      </c>
      <c r="GL213" t="inlineStr">
        <is>
          <t>RUS</t>
        </is>
      </c>
      <c r="GM213" t="inlineStr">
        <is>
          <t>RUS</t>
        </is>
      </c>
      <c r="GN213" t="inlineStr">
        <is>
          <t>RUS</t>
        </is>
      </c>
      <c r="GO213" t="inlineStr">
        <is>
          <t>RUS</t>
        </is>
      </c>
      <c r="GP213" t="inlineStr">
        <is>
          <t>RUS</t>
        </is>
      </c>
      <c r="GQ213" t="inlineStr">
        <is>
          <t>RUS</t>
        </is>
      </c>
      <c r="GR213" t="inlineStr">
        <is>
          <t>RUS</t>
        </is>
      </c>
      <c r="GS213" t="inlineStr">
        <is>
          <t>RUS</t>
        </is>
      </c>
      <c r="GT213" t="inlineStr">
        <is>
          <t>RUS</t>
        </is>
      </c>
      <c r="GU213" t="inlineStr">
        <is>
          <t>RUS</t>
        </is>
      </c>
      <c r="GV213" t="inlineStr">
        <is>
          <t>RUS</t>
        </is>
      </c>
      <c r="GW213" t="inlineStr">
        <is>
          <t>RUS</t>
        </is>
      </c>
      <c r="GX213" t="inlineStr">
        <is>
          <t>RUS</t>
        </is>
      </c>
      <c r="GY213" t="inlineStr">
        <is>
          <t>RUS</t>
        </is>
      </c>
      <c r="GZ213" t="inlineStr">
        <is>
          <t>RUS</t>
        </is>
      </c>
      <c r="HA213" t="inlineStr">
        <is>
          <t>RUS</t>
        </is>
      </c>
      <c r="HB213" t="inlineStr">
        <is>
          <t>RUS</t>
        </is>
      </c>
      <c r="HC213" t="inlineStr">
        <is>
          <t>RUS</t>
        </is>
      </c>
      <c r="HD213" t="inlineStr">
        <is>
          <t>RUS</t>
        </is>
      </c>
      <c r="HE213" t="inlineStr">
        <is>
          <t>RUS</t>
        </is>
      </c>
      <c r="HF213" t="inlineStr">
        <is>
          <t>RUS</t>
        </is>
      </c>
      <c r="HG213" t="inlineStr">
        <is>
          <t>RUS</t>
        </is>
      </c>
      <c r="HH213" t="inlineStr">
        <is>
          <t>RUS</t>
        </is>
      </c>
      <c r="HI213" t="inlineStr">
        <is>
          <t>RUS</t>
        </is>
      </c>
      <c r="HJ213" t="inlineStr">
        <is>
          <t>RUS</t>
        </is>
      </c>
      <c r="HK213" t="inlineStr">
        <is>
          <t>RUS</t>
        </is>
      </c>
      <c r="HL213" t="inlineStr">
        <is>
          <t>RUS</t>
        </is>
      </c>
      <c r="HM213" t="inlineStr">
        <is>
          <t>RUS</t>
        </is>
      </c>
      <c r="HN213" t="inlineStr">
        <is>
          <t>RUS</t>
        </is>
      </c>
      <c r="HO213" t="inlineStr">
        <is>
          <t>RUS</t>
        </is>
      </c>
      <c r="HP213" t="inlineStr">
        <is>
          <t>RUS</t>
        </is>
      </c>
      <c r="HQ213" t="inlineStr">
        <is>
          <t>RUS</t>
        </is>
      </c>
      <c r="HR213" t="inlineStr">
        <is>
          <t>RUS</t>
        </is>
      </c>
      <c r="HS213" t="inlineStr">
        <is>
          <t>RUS</t>
        </is>
      </c>
      <c r="HT213" t="inlineStr">
        <is>
          <t>RUS</t>
        </is>
      </c>
      <c r="HU213" t="inlineStr">
        <is>
          <t>RUS</t>
        </is>
      </c>
      <c r="HV213" t="inlineStr">
        <is>
          <t>RUS</t>
        </is>
      </c>
      <c r="HW213" t="inlineStr">
        <is>
          <t>RUS</t>
        </is>
      </c>
      <c r="HX213" t="inlineStr">
        <is>
          <t>RUS</t>
        </is>
      </c>
      <c r="HY213" t="inlineStr">
        <is>
          <t>RUS</t>
        </is>
      </c>
      <c r="HZ213" t="inlineStr">
        <is>
          <t>RUS</t>
        </is>
      </c>
      <c r="IA213" t="inlineStr">
        <is>
          <t>RUS</t>
        </is>
      </c>
      <c r="IB213" t="inlineStr">
        <is>
          <t>RUS</t>
        </is>
      </c>
      <c r="IC213" t="inlineStr">
        <is>
          <t>RUS</t>
        </is>
      </c>
      <c r="ID213" t="inlineStr">
        <is>
          <t>RUS</t>
        </is>
      </c>
      <c r="IE213" t="inlineStr">
        <is>
          <t>RUS</t>
        </is>
      </c>
      <c r="IF213" t="inlineStr">
        <is>
          <t>RUS</t>
        </is>
      </c>
      <c r="IG213" t="inlineStr">
        <is>
          <t>RUS</t>
        </is>
      </c>
      <c r="IH213" t="inlineStr">
        <is>
          <t>RUS</t>
        </is>
      </c>
      <c r="II213" t="inlineStr">
        <is>
          <t>RUS</t>
        </is>
      </c>
      <c r="IJ213" t="inlineStr">
        <is>
          <t>RUS</t>
        </is>
      </c>
      <c r="IK213" t="inlineStr">
        <is>
          <t>RUS</t>
        </is>
      </c>
      <c r="IL213" t="inlineStr">
        <is>
          <t>RUS</t>
        </is>
      </c>
      <c r="IM213" t="inlineStr">
        <is>
          <t>RUS</t>
        </is>
      </c>
      <c r="IN213" t="inlineStr">
        <is>
          <t>RUS</t>
        </is>
      </c>
      <c r="IO213" t="inlineStr">
        <is>
          <t>RUS</t>
        </is>
      </c>
      <c r="IP213" t="inlineStr">
        <is>
          <t>RUS</t>
        </is>
      </c>
      <c r="IQ213" t="inlineStr">
        <is>
          <t>RUS</t>
        </is>
      </c>
      <c r="IR213" t="inlineStr">
        <is>
          <t>RUS</t>
        </is>
      </c>
      <c r="IS213" t="inlineStr">
        <is>
          <t>RUS</t>
        </is>
      </c>
      <c r="IT213" t="inlineStr">
        <is>
          <t>RUS</t>
        </is>
      </c>
      <c r="IU213" t="inlineStr">
        <is>
          <t>RUS</t>
        </is>
      </c>
      <c r="IV213" t="inlineStr">
        <is>
          <t>RUS</t>
        </is>
      </c>
      <c r="IW213" t="inlineStr">
        <is>
          <t>RUS</t>
        </is>
      </c>
      <c r="IX213" t="inlineStr">
        <is>
          <t>RUS</t>
        </is>
      </c>
      <c r="IY213" t="inlineStr">
        <is>
          <t>RUS</t>
        </is>
      </c>
      <c r="IZ213" t="inlineStr">
        <is>
          <t>RUS</t>
        </is>
      </c>
      <c r="JA213" t="inlineStr">
        <is>
          <t>RUS</t>
        </is>
      </c>
      <c r="JB213" t="inlineStr">
        <is>
          <t>RUS</t>
        </is>
      </c>
      <c r="JC213" t="inlineStr">
        <is>
          <t>RUS</t>
        </is>
      </c>
      <c r="JD213" t="inlineStr">
        <is>
          <t>RUS</t>
        </is>
      </c>
      <c r="JE213" t="inlineStr">
        <is>
          <t>RUS</t>
        </is>
      </c>
      <c r="JF213" t="inlineStr">
        <is>
          <t>RUS</t>
        </is>
      </c>
      <c r="JG213" t="inlineStr">
        <is>
          <t>RUS</t>
        </is>
      </c>
      <c r="JH213" t="inlineStr">
        <is>
          <t>RUS</t>
        </is>
      </c>
      <c r="JI213" t="inlineStr">
        <is>
          <t>RUS</t>
        </is>
      </c>
      <c r="JJ213" t="inlineStr">
        <is>
          <t>RUS</t>
        </is>
      </c>
      <c r="JK213" t="inlineStr">
        <is>
          <t>RUS</t>
        </is>
      </c>
      <c r="JL213" t="inlineStr">
        <is>
          <t>RUS</t>
        </is>
      </c>
      <c r="JM213" t="inlineStr">
        <is>
          <t>RUS</t>
        </is>
      </c>
      <c r="JN213" t="inlineStr">
        <is>
          <t>RUS</t>
        </is>
      </c>
      <c r="JO213" t="inlineStr">
        <is>
          <t>RUS</t>
        </is>
      </c>
      <c r="JP213" t="inlineStr">
        <is>
          <t>RUS</t>
        </is>
      </c>
      <c r="JQ213" t="inlineStr">
        <is>
          <t>RUS</t>
        </is>
      </c>
      <c r="JR213" t="inlineStr">
        <is>
          <t>RUS</t>
        </is>
      </c>
      <c r="JS213" t="inlineStr">
        <is>
          <t>RUS</t>
        </is>
      </c>
      <c r="JT213" t="inlineStr">
        <is>
          <t>RUS</t>
        </is>
      </c>
      <c r="JU213" t="inlineStr">
        <is>
          <t>RUS</t>
        </is>
      </c>
    </row>
    <row r="214">
      <c r="O214" t="inlineStr">
        <is>
          <t>ISL</t>
        </is>
      </c>
      <c r="P214" t="inlineStr">
        <is>
          <t>ISL</t>
        </is>
      </c>
      <c r="Q214" t="inlineStr">
        <is>
          <t>ISL</t>
        </is>
      </c>
      <c r="AB214" t="inlineStr">
        <is>
          <t>ISL</t>
        </is>
      </c>
      <c r="AC214" t="inlineStr">
        <is>
          <t>ISL</t>
        </is>
      </c>
      <c r="AD214" t="inlineStr">
        <is>
          <t>ISL</t>
        </is>
      </c>
      <c r="AE214" t="inlineStr">
        <is>
          <t>ISL</t>
        </is>
      </c>
      <c r="AF214" t="inlineStr">
        <is>
          <t>ISL</t>
        </is>
      </c>
      <c r="CJ214" t="inlineStr">
        <is>
          <t>NOR</t>
        </is>
      </c>
      <c r="CK214" t="inlineStr">
        <is>
          <t>NOR</t>
        </is>
      </c>
      <c r="CL214" t="inlineStr">
        <is>
          <t>NOR</t>
        </is>
      </c>
      <c r="CM214" t="inlineStr">
        <is>
          <t>NOR</t>
        </is>
      </c>
      <c r="CN214" t="inlineStr">
        <is>
          <t>SWE</t>
        </is>
      </c>
      <c r="CO214" t="inlineStr">
        <is>
          <t>SWE</t>
        </is>
      </c>
      <c r="CP214" t="inlineStr">
        <is>
          <t>SWE</t>
        </is>
      </c>
      <c r="CQ214" t="inlineStr">
        <is>
          <t>SWE</t>
        </is>
      </c>
      <c r="CR214" t="inlineStr">
        <is>
          <t>SWE</t>
        </is>
      </c>
      <c r="CS214" t="inlineStr">
        <is>
          <t>SWE</t>
        </is>
      </c>
      <c r="CT214" t="inlineStr">
        <is>
          <t>SWE</t>
        </is>
      </c>
      <c r="CU214" t="inlineStr">
        <is>
          <t>SWE</t>
        </is>
      </c>
      <c r="CV214" t="inlineStr">
        <is>
          <t>SWE</t>
        </is>
      </c>
      <c r="CW214" t="inlineStr">
        <is>
          <t>SWE</t>
        </is>
      </c>
      <c r="CX214" t="inlineStr">
        <is>
          <t>SWE</t>
        </is>
      </c>
      <c r="CY214" t="inlineStr">
        <is>
          <t>SWE</t>
        </is>
      </c>
      <c r="CZ214" t="inlineStr">
        <is>
          <t>SWE</t>
        </is>
      </c>
      <c r="DA214" t="inlineStr">
        <is>
          <t>SWE</t>
        </is>
      </c>
      <c r="DB214" t="inlineStr">
        <is>
          <t>SWE</t>
        </is>
      </c>
      <c r="DC214" t="inlineStr">
        <is>
          <t>SWE</t>
        </is>
      </c>
      <c r="DD214" t="inlineStr">
        <is>
          <t>SWE</t>
        </is>
      </c>
      <c r="DE214" t="inlineStr">
        <is>
          <t>FIN</t>
        </is>
      </c>
      <c r="DF214" t="inlineStr">
        <is>
          <t>FIN</t>
        </is>
      </c>
      <c r="DG214" t="inlineStr">
        <is>
          <t>FIN</t>
        </is>
      </c>
      <c r="DH214" t="inlineStr">
        <is>
          <t>FIN</t>
        </is>
      </c>
      <c r="DI214" t="inlineStr">
        <is>
          <t>FIN</t>
        </is>
      </c>
      <c r="DJ214" t="inlineStr">
        <is>
          <t>FIN</t>
        </is>
      </c>
      <c r="DK214" t="inlineStr">
        <is>
          <t>FIN</t>
        </is>
      </c>
      <c r="DL214" t="inlineStr">
        <is>
          <t>FIN</t>
        </is>
      </c>
      <c r="DM214" t="inlineStr">
        <is>
          <t>FIN</t>
        </is>
      </c>
      <c r="DN214" t="inlineStr">
        <is>
          <t>FIN</t>
        </is>
      </c>
      <c r="DO214" t="inlineStr">
        <is>
          <t>FIN</t>
        </is>
      </c>
      <c r="DP214" t="inlineStr">
        <is>
          <t>FIN</t>
        </is>
      </c>
      <c r="DQ214" t="inlineStr">
        <is>
          <t>FIN</t>
        </is>
      </c>
      <c r="DR214" t="inlineStr">
        <is>
          <t>RUS</t>
        </is>
      </c>
      <c r="DS214" t="inlineStr">
        <is>
          <t>RUS</t>
        </is>
      </c>
      <c r="DT214" t="inlineStr">
        <is>
          <t>RUS</t>
        </is>
      </c>
      <c r="DU214" t="inlineStr">
        <is>
          <t>RUS</t>
        </is>
      </c>
      <c r="DV214" t="inlineStr">
        <is>
          <t>RUS</t>
        </is>
      </c>
      <c r="DW214" t="inlineStr">
        <is>
          <t>RUS</t>
        </is>
      </c>
      <c r="DX214" t="inlineStr">
        <is>
          <t>RUS</t>
        </is>
      </c>
      <c r="DY214" t="inlineStr">
        <is>
          <t>RUS</t>
        </is>
      </c>
      <c r="EF214" t="inlineStr">
        <is>
          <t>RUS</t>
        </is>
      </c>
      <c r="EG214" t="inlineStr">
        <is>
          <t>RUS</t>
        </is>
      </c>
      <c r="EH214" t="inlineStr">
        <is>
          <t>RUS</t>
        </is>
      </c>
      <c r="EI214" t="inlineStr">
        <is>
          <t>RUS</t>
        </is>
      </c>
      <c r="EJ214" t="inlineStr">
        <is>
          <t>RUS</t>
        </is>
      </c>
      <c r="EK214" t="inlineStr">
        <is>
          <t>RUS</t>
        </is>
      </c>
      <c r="EO214" t="inlineStr">
        <is>
          <t>RUS</t>
        </is>
      </c>
      <c r="EP214" t="inlineStr">
        <is>
          <t>RUS</t>
        </is>
      </c>
      <c r="EQ214" t="inlineStr">
        <is>
          <t>RUS</t>
        </is>
      </c>
      <c r="ER214" t="inlineStr">
        <is>
          <t>RUS</t>
        </is>
      </c>
      <c r="ET214" t="inlineStr">
        <is>
          <t>RUS</t>
        </is>
      </c>
      <c r="EU214" t="inlineStr">
        <is>
          <t>RUS</t>
        </is>
      </c>
      <c r="EV214" t="inlineStr">
        <is>
          <t>RUS</t>
        </is>
      </c>
      <c r="EW214" t="inlineStr">
        <is>
          <t>RUS</t>
        </is>
      </c>
      <c r="EX214" t="inlineStr">
        <is>
          <t>RUS</t>
        </is>
      </c>
      <c r="EY214" t="inlineStr">
        <is>
          <t>RUS</t>
        </is>
      </c>
      <c r="EZ214" t="inlineStr">
        <is>
          <t>RUS</t>
        </is>
      </c>
      <c r="FA214" t="inlineStr">
        <is>
          <t>RUS</t>
        </is>
      </c>
      <c r="FB214" t="inlineStr">
        <is>
          <t>RUS</t>
        </is>
      </c>
      <c r="FC214" t="inlineStr">
        <is>
          <t>RUS</t>
        </is>
      </c>
      <c r="FD214" t="inlineStr">
        <is>
          <t>RUS</t>
        </is>
      </c>
      <c r="FE214" t="inlineStr">
        <is>
          <t>RUS</t>
        </is>
      </c>
      <c r="FF214" t="inlineStr">
        <is>
          <t>RUS</t>
        </is>
      </c>
      <c r="FG214" t="inlineStr">
        <is>
          <t>RUS</t>
        </is>
      </c>
      <c r="FH214" t="inlineStr">
        <is>
          <t>RUS</t>
        </is>
      </c>
      <c r="FI214" t="inlineStr">
        <is>
          <t>RUS</t>
        </is>
      </c>
      <c r="FJ214" t="inlineStr">
        <is>
          <t>RUS</t>
        </is>
      </c>
      <c r="FK214" t="inlineStr">
        <is>
          <t>RUS</t>
        </is>
      </c>
      <c r="FL214" t="inlineStr">
        <is>
          <t>RUS</t>
        </is>
      </c>
      <c r="FM214" t="inlineStr">
        <is>
          <t>RUS</t>
        </is>
      </c>
      <c r="FN214" t="inlineStr">
        <is>
          <t>RUS</t>
        </is>
      </c>
      <c r="FO214" t="inlineStr">
        <is>
          <t>RUS</t>
        </is>
      </c>
      <c r="FP214" t="inlineStr">
        <is>
          <t>RUS</t>
        </is>
      </c>
      <c r="FQ214" t="inlineStr">
        <is>
          <t>RUS</t>
        </is>
      </c>
      <c r="FR214" t="inlineStr">
        <is>
          <t>RUS</t>
        </is>
      </c>
      <c r="FS214" t="inlineStr">
        <is>
          <t>RUS</t>
        </is>
      </c>
      <c r="FT214" t="inlineStr">
        <is>
          <t>RUS</t>
        </is>
      </c>
      <c r="FU214" t="inlineStr">
        <is>
          <t>RUS</t>
        </is>
      </c>
      <c r="FV214" t="inlineStr">
        <is>
          <t>RUS</t>
        </is>
      </c>
      <c r="FW214" t="inlineStr">
        <is>
          <t>RUS</t>
        </is>
      </c>
      <c r="FX214" t="inlineStr">
        <is>
          <t>RUS</t>
        </is>
      </c>
      <c r="FY214" t="inlineStr">
        <is>
          <t>RUS</t>
        </is>
      </c>
      <c r="FZ214" t="inlineStr">
        <is>
          <t>RUS</t>
        </is>
      </c>
      <c r="GA214" t="inlineStr">
        <is>
          <t>RUS</t>
        </is>
      </c>
      <c r="GB214" t="inlineStr">
        <is>
          <t>RUS</t>
        </is>
      </c>
      <c r="GC214" t="inlineStr">
        <is>
          <t>RUS</t>
        </is>
      </c>
      <c r="GD214" t="inlineStr">
        <is>
          <t>RUS</t>
        </is>
      </c>
      <c r="GE214" t="inlineStr">
        <is>
          <t>RUS</t>
        </is>
      </c>
      <c r="GF214" t="inlineStr">
        <is>
          <t>RUS</t>
        </is>
      </c>
      <c r="GG214" t="inlineStr">
        <is>
          <t>RUS</t>
        </is>
      </c>
      <c r="GH214" t="inlineStr">
        <is>
          <t>RUS</t>
        </is>
      </c>
      <c r="GI214" t="inlineStr">
        <is>
          <t>RUS</t>
        </is>
      </c>
      <c r="GJ214" t="inlineStr">
        <is>
          <t>RUS</t>
        </is>
      </c>
      <c r="GK214" t="inlineStr">
        <is>
          <t>RUS</t>
        </is>
      </c>
      <c r="GL214" t="inlineStr">
        <is>
          <t>RUS</t>
        </is>
      </c>
      <c r="GM214" t="inlineStr">
        <is>
          <t>RUS</t>
        </is>
      </c>
      <c r="GN214" t="inlineStr">
        <is>
          <t>RUS</t>
        </is>
      </c>
      <c r="GO214" t="inlineStr">
        <is>
          <t>RUS</t>
        </is>
      </c>
      <c r="GP214" t="inlineStr">
        <is>
          <t>RUS</t>
        </is>
      </c>
      <c r="GQ214" t="inlineStr">
        <is>
          <t>RUS</t>
        </is>
      </c>
      <c r="GR214" t="inlineStr">
        <is>
          <t>RUS</t>
        </is>
      </c>
      <c r="GS214" t="inlineStr">
        <is>
          <t>RUS</t>
        </is>
      </c>
      <c r="GT214" t="inlineStr">
        <is>
          <t>RUS</t>
        </is>
      </c>
      <c r="GU214" t="inlineStr">
        <is>
          <t>RUS</t>
        </is>
      </c>
      <c r="GV214" t="inlineStr">
        <is>
          <t>RUS</t>
        </is>
      </c>
      <c r="GW214" t="inlineStr">
        <is>
          <t>RUS</t>
        </is>
      </c>
      <c r="GY214" t="inlineStr">
        <is>
          <t>RUS</t>
        </is>
      </c>
      <c r="GZ214" t="inlineStr">
        <is>
          <t>RUS</t>
        </is>
      </c>
      <c r="HA214" t="inlineStr">
        <is>
          <t>RUS</t>
        </is>
      </c>
      <c r="HB214" t="inlineStr">
        <is>
          <t>RUS</t>
        </is>
      </c>
      <c r="HC214" t="inlineStr">
        <is>
          <t>RUS</t>
        </is>
      </c>
      <c r="HD214" t="inlineStr">
        <is>
          <t>RUS</t>
        </is>
      </c>
      <c r="HE214" t="inlineStr">
        <is>
          <t>RUS</t>
        </is>
      </c>
      <c r="HF214" t="inlineStr">
        <is>
          <t>RUS</t>
        </is>
      </c>
      <c r="HG214" t="inlineStr">
        <is>
          <t>RUS</t>
        </is>
      </c>
      <c r="HH214" t="inlineStr">
        <is>
          <t>RUS</t>
        </is>
      </c>
      <c r="HI214" t="inlineStr">
        <is>
          <t>RUS</t>
        </is>
      </c>
      <c r="HJ214" t="inlineStr">
        <is>
          <t>RUS</t>
        </is>
      </c>
      <c r="HK214" t="inlineStr">
        <is>
          <t>RUS</t>
        </is>
      </c>
      <c r="HL214" t="inlineStr">
        <is>
          <t>RUS</t>
        </is>
      </c>
      <c r="HM214" t="inlineStr">
        <is>
          <t>RUS</t>
        </is>
      </c>
      <c r="HN214" t="inlineStr">
        <is>
          <t>RUS</t>
        </is>
      </c>
      <c r="HO214" t="inlineStr">
        <is>
          <t>RUS</t>
        </is>
      </c>
      <c r="HP214" t="inlineStr">
        <is>
          <t>RUS</t>
        </is>
      </c>
      <c r="HQ214" t="inlineStr">
        <is>
          <t>RUS</t>
        </is>
      </c>
      <c r="HR214" t="inlineStr">
        <is>
          <t>RUS</t>
        </is>
      </c>
      <c r="HS214" t="inlineStr">
        <is>
          <t>RUS</t>
        </is>
      </c>
      <c r="HT214" t="inlineStr">
        <is>
          <t>RUS</t>
        </is>
      </c>
      <c r="HU214" t="inlineStr">
        <is>
          <t>RUS</t>
        </is>
      </c>
      <c r="HV214" t="inlineStr">
        <is>
          <t>RUS</t>
        </is>
      </c>
      <c r="HW214" t="inlineStr">
        <is>
          <t>RUS</t>
        </is>
      </c>
      <c r="HX214" t="inlineStr">
        <is>
          <t>RUS</t>
        </is>
      </c>
      <c r="HY214" t="inlineStr">
        <is>
          <t>RUS</t>
        </is>
      </c>
      <c r="HZ214" t="inlineStr">
        <is>
          <t>RUS</t>
        </is>
      </c>
      <c r="IA214" t="inlineStr">
        <is>
          <t>RUS</t>
        </is>
      </c>
      <c r="IB214" t="inlineStr">
        <is>
          <t>RUS</t>
        </is>
      </c>
      <c r="IC214" t="inlineStr">
        <is>
          <t>RUS</t>
        </is>
      </c>
      <c r="ID214" t="inlineStr">
        <is>
          <t>RUS</t>
        </is>
      </c>
      <c r="IE214" t="inlineStr">
        <is>
          <t>RUS</t>
        </is>
      </c>
      <c r="IF214" t="inlineStr">
        <is>
          <t>RUS</t>
        </is>
      </c>
      <c r="IG214" t="inlineStr">
        <is>
          <t>RUS</t>
        </is>
      </c>
      <c r="IH214" t="inlineStr">
        <is>
          <t>RUS</t>
        </is>
      </c>
      <c r="II214" t="inlineStr">
        <is>
          <t>RUS</t>
        </is>
      </c>
      <c r="IJ214" t="inlineStr">
        <is>
          <t>RUS</t>
        </is>
      </c>
      <c r="IK214" t="inlineStr">
        <is>
          <t>RUS</t>
        </is>
      </c>
      <c r="IL214" t="inlineStr">
        <is>
          <t>RUS</t>
        </is>
      </c>
      <c r="IM214" t="inlineStr">
        <is>
          <t>RUS</t>
        </is>
      </c>
      <c r="IN214" t="inlineStr">
        <is>
          <t>RUS</t>
        </is>
      </c>
      <c r="IO214" t="inlineStr">
        <is>
          <t>RUS</t>
        </is>
      </c>
      <c r="IP214" t="inlineStr">
        <is>
          <t>RUS</t>
        </is>
      </c>
      <c r="IQ214" t="inlineStr">
        <is>
          <t>RUS</t>
        </is>
      </c>
      <c r="IR214" t="inlineStr">
        <is>
          <t>RUS</t>
        </is>
      </c>
      <c r="IS214" t="inlineStr">
        <is>
          <t>RUS</t>
        </is>
      </c>
      <c r="IT214" t="inlineStr">
        <is>
          <t>RUS</t>
        </is>
      </c>
      <c r="IU214" t="inlineStr">
        <is>
          <t>RUS</t>
        </is>
      </c>
      <c r="IV214" t="inlineStr">
        <is>
          <t>RUS</t>
        </is>
      </c>
      <c r="IW214" t="inlineStr">
        <is>
          <t>RUS</t>
        </is>
      </c>
      <c r="IX214" t="inlineStr">
        <is>
          <t>RUS</t>
        </is>
      </c>
      <c r="IY214" t="inlineStr">
        <is>
          <t>RUS</t>
        </is>
      </c>
      <c r="IZ214" t="inlineStr">
        <is>
          <t>RUS</t>
        </is>
      </c>
      <c r="JA214" t="inlineStr">
        <is>
          <t>RUS</t>
        </is>
      </c>
      <c r="JB214" t="inlineStr">
        <is>
          <t>RUS</t>
        </is>
      </c>
      <c r="JC214" t="inlineStr">
        <is>
          <t>RUS</t>
        </is>
      </c>
      <c r="JD214" t="inlineStr">
        <is>
          <t>RUS</t>
        </is>
      </c>
      <c r="JE214" t="inlineStr">
        <is>
          <t>RUS</t>
        </is>
      </c>
      <c r="JF214" t="inlineStr">
        <is>
          <t>RUS</t>
        </is>
      </c>
      <c r="JG214" t="inlineStr">
        <is>
          <t>RUS</t>
        </is>
      </c>
      <c r="JH214" t="inlineStr">
        <is>
          <t>RUS</t>
        </is>
      </c>
      <c r="JI214" t="inlineStr">
        <is>
          <t>RUS</t>
        </is>
      </c>
      <c r="JJ214" t="inlineStr">
        <is>
          <t>RUS</t>
        </is>
      </c>
      <c r="JK214" t="inlineStr">
        <is>
          <t>RUS</t>
        </is>
      </c>
      <c r="JL214" t="inlineStr">
        <is>
          <t>RUS</t>
        </is>
      </c>
      <c r="JM214" t="inlineStr">
        <is>
          <t>RUS</t>
        </is>
      </c>
      <c r="JN214" t="inlineStr">
        <is>
          <t>RUS</t>
        </is>
      </c>
      <c r="JO214" t="inlineStr">
        <is>
          <t>RUS</t>
        </is>
      </c>
      <c r="JP214" t="inlineStr">
        <is>
          <t>RUS</t>
        </is>
      </c>
      <c r="JQ214" t="inlineStr">
        <is>
          <t>RUS</t>
        </is>
      </c>
      <c r="JR214" t="inlineStr">
        <is>
          <t>RUS</t>
        </is>
      </c>
      <c r="JS214" t="inlineStr">
        <is>
          <t>RUS</t>
        </is>
      </c>
      <c r="JT214" t="inlineStr">
        <is>
          <t>RUS</t>
        </is>
      </c>
      <c r="JU214" t="inlineStr">
        <is>
          <t>RUS</t>
        </is>
      </c>
    </row>
    <row r="215">
      <c r="CK215" t="inlineStr">
        <is>
          <t>NOR</t>
        </is>
      </c>
      <c r="CL215" t="inlineStr">
        <is>
          <t>NOR</t>
        </is>
      </c>
      <c r="CM215" t="inlineStr">
        <is>
          <t>NOR</t>
        </is>
      </c>
      <c r="CN215" t="inlineStr">
        <is>
          <t>NOR</t>
        </is>
      </c>
      <c r="CO215" t="inlineStr">
        <is>
          <t>SWE</t>
        </is>
      </c>
      <c r="CP215" t="inlineStr">
        <is>
          <t>SWE</t>
        </is>
      </c>
      <c r="CQ215" t="inlineStr">
        <is>
          <t>SWE</t>
        </is>
      </c>
      <c r="CR215" t="inlineStr">
        <is>
          <t>SWE</t>
        </is>
      </c>
      <c r="CS215" t="inlineStr">
        <is>
          <t>SWE</t>
        </is>
      </c>
      <c r="CT215" t="inlineStr">
        <is>
          <t>SWE</t>
        </is>
      </c>
      <c r="CU215" t="inlineStr">
        <is>
          <t>SWE</t>
        </is>
      </c>
      <c r="CV215" t="inlineStr">
        <is>
          <t>SWE</t>
        </is>
      </c>
      <c r="CW215" t="inlineStr">
        <is>
          <t>SWE</t>
        </is>
      </c>
      <c r="CX215" t="inlineStr">
        <is>
          <t>SWE</t>
        </is>
      </c>
      <c r="CY215" t="inlineStr">
        <is>
          <t>SWE</t>
        </is>
      </c>
      <c r="CZ215" t="inlineStr">
        <is>
          <t>SWE</t>
        </is>
      </c>
      <c r="DA215" t="inlineStr">
        <is>
          <t>SWE</t>
        </is>
      </c>
      <c r="DB215" t="inlineStr">
        <is>
          <t>SWE</t>
        </is>
      </c>
      <c r="DC215" t="inlineStr">
        <is>
          <t>SWE</t>
        </is>
      </c>
      <c r="DD215" t="inlineStr">
        <is>
          <t>SWE</t>
        </is>
      </c>
      <c r="DE215" t="inlineStr">
        <is>
          <t>FIN</t>
        </is>
      </c>
      <c r="DF215" t="inlineStr">
        <is>
          <t>FIN</t>
        </is>
      </c>
      <c r="DG215" t="inlineStr">
        <is>
          <t>FIN</t>
        </is>
      </c>
      <c r="DH215" t="inlineStr">
        <is>
          <t>FIN</t>
        </is>
      </c>
      <c r="DI215" t="inlineStr">
        <is>
          <t>FIN</t>
        </is>
      </c>
      <c r="DJ215" t="inlineStr">
        <is>
          <t>FIN</t>
        </is>
      </c>
      <c r="DK215" t="inlineStr">
        <is>
          <t>FIN</t>
        </is>
      </c>
      <c r="DL215" t="inlineStr">
        <is>
          <t>FIN</t>
        </is>
      </c>
      <c r="DM215" t="inlineStr">
        <is>
          <t>FIN</t>
        </is>
      </c>
      <c r="DN215" t="inlineStr">
        <is>
          <t>FIN</t>
        </is>
      </c>
      <c r="DO215" t="inlineStr">
        <is>
          <t>FIN</t>
        </is>
      </c>
      <c r="DP215" t="inlineStr">
        <is>
          <t>FIN</t>
        </is>
      </c>
      <c r="DQ215" t="inlineStr">
        <is>
          <t>RUS</t>
        </is>
      </c>
      <c r="DR215" t="inlineStr">
        <is>
          <t>RUS</t>
        </is>
      </c>
      <c r="DS215" t="inlineStr">
        <is>
          <t>RUS</t>
        </is>
      </c>
      <c r="DT215" t="inlineStr">
        <is>
          <t>RUS</t>
        </is>
      </c>
      <c r="DU215" t="inlineStr">
        <is>
          <t>RUS</t>
        </is>
      </c>
      <c r="DV215" t="inlineStr">
        <is>
          <t>RUS</t>
        </is>
      </c>
      <c r="DW215" t="inlineStr">
        <is>
          <t>RUS</t>
        </is>
      </c>
      <c r="DX215" t="inlineStr">
        <is>
          <t>RUS</t>
        </is>
      </c>
      <c r="DY215" t="inlineStr">
        <is>
          <t>RUS</t>
        </is>
      </c>
      <c r="DZ215" t="inlineStr">
        <is>
          <t>RUS</t>
        </is>
      </c>
      <c r="EA215" t="inlineStr">
        <is>
          <t>RUS</t>
        </is>
      </c>
      <c r="EB215" t="inlineStr">
        <is>
          <t>RUS</t>
        </is>
      </c>
      <c r="EC215" t="inlineStr">
        <is>
          <t>RUS</t>
        </is>
      </c>
      <c r="ED215" t="inlineStr">
        <is>
          <t>RUS</t>
        </is>
      </c>
      <c r="EE215" t="inlineStr">
        <is>
          <t>RUS</t>
        </is>
      </c>
      <c r="EF215" t="inlineStr">
        <is>
          <t>RUS</t>
        </is>
      </c>
      <c r="EG215" t="inlineStr">
        <is>
          <t>RUS</t>
        </is>
      </c>
      <c r="EH215" t="inlineStr">
        <is>
          <t>RUS</t>
        </is>
      </c>
      <c r="EI215" t="inlineStr">
        <is>
          <t>RUS</t>
        </is>
      </c>
      <c r="EJ215" t="inlineStr">
        <is>
          <t>RUS</t>
        </is>
      </c>
      <c r="EK215" t="inlineStr">
        <is>
          <t>RUS</t>
        </is>
      </c>
      <c r="EL215" t="inlineStr">
        <is>
          <t>RUS</t>
        </is>
      </c>
      <c r="EM215" t="inlineStr">
        <is>
          <t>RUS</t>
        </is>
      </c>
      <c r="EU215" t="inlineStr">
        <is>
          <t>RUS</t>
        </is>
      </c>
      <c r="EV215" t="inlineStr">
        <is>
          <t>RUS</t>
        </is>
      </c>
      <c r="EW215" t="inlineStr">
        <is>
          <t>RUS</t>
        </is>
      </c>
      <c r="EZ215" t="inlineStr">
        <is>
          <t>RUS</t>
        </is>
      </c>
      <c r="FA215" t="inlineStr">
        <is>
          <t>RUS</t>
        </is>
      </c>
      <c r="FB215" t="inlineStr">
        <is>
          <t>RUS</t>
        </is>
      </c>
      <c r="FC215" t="inlineStr">
        <is>
          <t>RUS</t>
        </is>
      </c>
      <c r="FD215" t="inlineStr">
        <is>
          <t>RUS</t>
        </is>
      </c>
      <c r="FE215" t="inlineStr">
        <is>
          <t>RUS</t>
        </is>
      </c>
      <c r="FF215" t="inlineStr">
        <is>
          <t>RUS</t>
        </is>
      </c>
      <c r="FG215" t="inlineStr">
        <is>
          <t>RUS</t>
        </is>
      </c>
      <c r="FH215" t="inlineStr">
        <is>
          <t>RUS</t>
        </is>
      </c>
      <c r="FI215" t="inlineStr">
        <is>
          <t>RUS</t>
        </is>
      </c>
      <c r="FJ215" t="inlineStr">
        <is>
          <t>RUS</t>
        </is>
      </c>
      <c r="FK215" t="inlineStr">
        <is>
          <t>RUS</t>
        </is>
      </c>
      <c r="FL215" t="inlineStr">
        <is>
          <t>RUS</t>
        </is>
      </c>
      <c r="FM215" t="inlineStr">
        <is>
          <t>RUS</t>
        </is>
      </c>
      <c r="FN215" t="inlineStr">
        <is>
          <t>RUS</t>
        </is>
      </c>
      <c r="FO215" t="inlineStr">
        <is>
          <t>RUS</t>
        </is>
      </c>
      <c r="FP215" t="inlineStr">
        <is>
          <t>RUS</t>
        </is>
      </c>
      <c r="FQ215" t="inlineStr">
        <is>
          <t>RUS</t>
        </is>
      </c>
      <c r="FR215" t="inlineStr">
        <is>
          <t>RUS</t>
        </is>
      </c>
      <c r="FS215" t="inlineStr">
        <is>
          <t>RUS</t>
        </is>
      </c>
      <c r="FT215" t="inlineStr">
        <is>
          <t>RUS</t>
        </is>
      </c>
      <c r="FU215" t="inlineStr">
        <is>
          <t>RUS</t>
        </is>
      </c>
      <c r="FV215" t="inlineStr">
        <is>
          <t>RUS</t>
        </is>
      </c>
      <c r="FW215" t="inlineStr">
        <is>
          <t>RUS</t>
        </is>
      </c>
      <c r="FX215" t="inlineStr">
        <is>
          <t>RUS</t>
        </is>
      </c>
      <c r="FY215" t="inlineStr">
        <is>
          <t>RUS</t>
        </is>
      </c>
      <c r="FZ215" t="inlineStr">
        <is>
          <t>RUS</t>
        </is>
      </c>
      <c r="GA215" t="inlineStr">
        <is>
          <t>RUS</t>
        </is>
      </c>
      <c r="GB215" t="inlineStr">
        <is>
          <t>RUS</t>
        </is>
      </c>
      <c r="GC215" t="inlineStr">
        <is>
          <t>RUS</t>
        </is>
      </c>
      <c r="GD215" t="inlineStr">
        <is>
          <t>RUS</t>
        </is>
      </c>
      <c r="GE215" t="inlineStr">
        <is>
          <t>RUS</t>
        </is>
      </c>
      <c r="GF215" t="inlineStr">
        <is>
          <t>RUS</t>
        </is>
      </c>
      <c r="GG215" t="inlineStr">
        <is>
          <t>RUS</t>
        </is>
      </c>
      <c r="GH215" t="inlineStr">
        <is>
          <t>RUS</t>
        </is>
      </c>
      <c r="GI215" t="inlineStr">
        <is>
          <t>RUS</t>
        </is>
      </c>
      <c r="GJ215" t="inlineStr">
        <is>
          <t>RUS</t>
        </is>
      </c>
      <c r="GK215" t="inlineStr">
        <is>
          <t>RUS</t>
        </is>
      </c>
      <c r="GL215" t="inlineStr">
        <is>
          <t>RUS</t>
        </is>
      </c>
      <c r="GM215" t="inlineStr">
        <is>
          <t>RUS</t>
        </is>
      </c>
      <c r="GN215" t="inlineStr">
        <is>
          <t>RUS</t>
        </is>
      </c>
      <c r="GO215" t="inlineStr">
        <is>
          <t>RUS</t>
        </is>
      </c>
      <c r="GP215" t="inlineStr">
        <is>
          <t>RUS</t>
        </is>
      </c>
      <c r="GQ215" t="inlineStr">
        <is>
          <t>RUS</t>
        </is>
      </c>
      <c r="GR215" t="inlineStr">
        <is>
          <t>RUS</t>
        </is>
      </c>
      <c r="GS215" t="inlineStr">
        <is>
          <t>RUS</t>
        </is>
      </c>
      <c r="GT215" t="inlineStr">
        <is>
          <t>RUS</t>
        </is>
      </c>
      <c r="GU215" t="inlineStr">
        <is>
          <t>RUS</t>
        </is>
      </c>
      <c r="GV215" t="inlineStr">
        <is>
          <t>RUS</t>
        </is>
      </c>
      <c r="GW215" t="inlineStr">
        <is>
          <t>RUS</t>
        </is>
      </c>
      <c r="HB215" t="inlineStr">
        <is>
          <t>RUS</t>
        </is>
      </c>
      <c r="HC215" t="inlineStr">
        <is>
          <t>RUS</t>
        </is>
      </c>
      <c r="HD215" t="inlineStr">
        <is>
          <t>RUS</t>
        </is>
      </c>
      <c r="HE215" t="inlineStr">
        <is>
          <t>RUS</t>
        </is>
      </c>
      <c r="HF215" t="inlineStr">
        <is>
          <t>RUS</t>
        </is>
      </c>
      <c r="HG215" t="inlineStr">
        <is>
          <t>RUS</t>
        </is>
      </c>
      <c r="HH215" t="inlineStr">
        <is>
          <t>RUS</t>
        </is>
      </c>
      <c r="HI215" t="inlineStr">
        <is>
          <t>RUS</t>
        </is>
      </c>
      <c r="HJ215" t="inlineStr">
        <is>
          <t>RUS</t>
        </is>
      </c>
      <c r="HK215" t="inlineStr">
        <is>
          <t>RUS</t>
        </is>
      </c>
      <c r="HL215" t="inlineStr">
        <is>
          <t>RUS</t>
        </is>
      </c>
      <c r="HM215" t="inlineStr">
        <is>
          <t>RUS</t>
        </is>
      </c>
      <c r="HN215" t="inlineStr">
        <is>
          <t>RUS</t>
        </is>
      </c>
      <c r="HO215" t="inlineStr">
        <is>
          <t>RUS</t>
        </is>
      </c>
      <c r="HP215" t="inlineStr">
        <is>
          <t>RUS</t>
        </is>
      </c>
      <c r="HQ215" t="inlineStr">
        <is>
          <t>RUS</t>
        </is>
      </c>
      <c r="HR215" t="inlineStr">
        <is>
          <t>RUS</t>
        </is>
      </c>
      <c r="HS215" t="inlineStr">
        <is>
          <t>RUS</t>
        </is>
      </c>
      <c r="HT215" t="inlineStr">
        <is>
          <t>RUS</t>
        </is>
      </c>
      <c r="HU215" t="inlineStr">
        <is>
          <t>RUS</t>
        </is>
      </c>
      <c r="HV215" t="inlineStr">
        <is>
          <t>RUS</t>
        </is>
      </c>
      <c r="HW215" t="inlineStr">
        <is>
          <t>RUS</t>
        </is>
      </c>
      <c r="HX215" t="inlineStr">
        <is>
          <t>RUS</t>
        </is>
      </c>
      <c r="HY215" t="inlineStr">
        <is>
          <t>RUS</t>
        </is>
      </c>
      <c r="HZ215" t="inlineStr">
        <is>
          <t>RUS</t>
        </is>
      </c>
      <c r="IA215" t="inlineStr">
        <is>
          <t>RUS</t>
        </is>
      </c>
      <c r="IB215" t="inlineStr">
        <is>
          <t>RUS</t>
        </is>
      </c>
      <c r="IC215" t="inlineStr">
        <is>
          <t>RUS</t>
        </is>
      </c>
      <c r="ID215" t="inlineStr">
        <is>
          <t>RUS</t>
        </is>
      </c>
      <c r="IE215" t="inlineStr">
        <is>
          <t>RUS</t>
        </is>
      </c>
      <c r="IF215" t="inlineStr">
        <is>
          <t>RUS</t>
        </is>
      </c>
      <c r="IG215" t="inlineStr">
        <is>
          <t>RUS</t>
        </is>
      </c>
      <c r="IH215" t="inlineStr">
        <is>
          <t>RUS</t>
        </is>
      </c>
      <c r="II215" t="inlineStr">
        <is>
          <t>RUS</t>
        </is>
      </c>
      <c r="IJ215" t="inlineStr">
        <is>
          <t>RUS</t>
        </is>
      </c>
      <c r="IK215" t="inlineStr">
        <is>
          <t>RUS</t>
        </is>
      </c>
      <c r="IL215" t="inlineStr">
        <is>
          <t>RUS</t>
        </is>
      </c>
      <c r="IM215" t="inlineStr">
        <is>
          <t>RUS</t>
        </is>
      </c>
      <c r="IN215" t="inlineStr">
        <is>
          <t>RUS</t>
        </is>
      </c>
      <c r="IO215" t="inlineStr">
        <is>
          <t>RUS</t>
        </is>
      </c>
      <c r="IP215" t="inlineStr">
        <is>
          <t>RUS</t>
        </is>
      </c>
      <c r="IQ215" t="inlineStr">
        <is>
          <t>RUS</t>
        </is>
      </c>
      <c r="IR215" t="inlineStr">
        <is>
          <t>RUS</t>
        </is>
      </c>
      <c r="IS215" t="inlineStr">
        <is>
          <t>RUS</t>
        </is>
      </c>
      <c r="IT215" t="inlineStr">
        <is>
          <t>RUS</t>
        </is>
      </c>
      <c r="IU215" t="inlineStr">
        <is>
          <t>RUS</t>
        </is>
      </c>
      <c r="IV215" t="inlineStr">
        <is>
          <t>RUS</t>
        </is>
      </c>
      <c r="IW215" t="inlineStr">
        <is>
          <t>RUS</t>
        </is>
      </c>
      <c r="IX215" t="inlineStr">
        <is>
          <t>RUS</t>
        </is>
      </c>
      <c r="IY215" t="inlineStr">
        <is>
          <t>RUS</t>
        </is>
      </c>
      <c r="IZ215" t="inlineStr">
        <is>
          <t>RUS</t>
        </is>
      </c>
      <c r="JA215" t="inlineStr">
        <is>
          <t>RUS</t>
        </is>
      </c>
      <c r="JB215" t="inlineStr">
        <is>
          <t>RUS</t>
        </is>
      </c>
      <c r="JC215" t="inlineStr">
        <is>
          <t>RUS</t>
        </is>
      </c>
      <c r="JD215" t="inlineStr">
        <is>
          <t>RUS</t>
        </is>
      </c>
      <c r="JE215" t="inlineStr">
        <is>
          <t>RUS</t>
        </is>
      </c>
      <c r="JF215" t="inlineStr">
        <is>
          <t>RUS</t>
        </is>
      </c>
      <c r="JG215" t="inlineStr">
        <is>
          <t>RUS</t>
        </is>
      </c>
      <c r="JH215" t="inlineStr">
        <is>
          <t>RUS</t>
        </is>
      </c>
      <c r="JI215" t="inlineStr">
        <is>
          <t>RUS</t>
        </is>
      </c>
      <c r="JJ215" t="inlineStr">
        <is>
          <t>RUS</t>
        </is>
      </c>
      <c r="JK215" t="inlineStr">
        <is>
          <t>RUS</t>
        </is>
      </c>
      <c r="JL215" t="inlineStr">
        <is>
          <t>RUS</t>
        </is>
      </c>
      <c r="JM215" t="inlineStr">
        <is>
          <t>RUS</t>
        </is>
      </c>
      <c r="JN215" t="inlineStr">
        <is>
          <t>RUS</t>
        </is>
      </c>
      <c r="JO215" t="inlineStr">
        <is>
          <t>RUS</t>
        </is>
      </c>
      <c r="JP215" t="inlineStr">
        <is>
          <t>RUS</t>
        </is>
      </c>
      <c r="JQ215" t="inlineStr">
        <is>
          <t>RUS</t>
        </is>
      </c>
      <c r="JR215" t="inlineStr">
        <is>
          <t>RUS</t>
        </is>
      </c>
      <c r="JS215" t="inlineStr">
        <is>
          <t>RUS</t>
        </is>
      </c>
      <c r="JT215" t="inlineStr">
        <is>
          <t>RUS</t>
        </is>
      </c>
      <c r="JU215" t="inlineStr">
        <is>
          <t>RUS</t>
        </is>
      </c>
    </row>
    <row r="216">
      <c r="CL216" t="inlineStr">
        <is>
          <t>NOR</t>
        </is>
      </c>
      <c r="CM216" t="inlineStr">
        <is>
          <t>NOR</t>
        </is>
      </c>
      <c r="CN216" t="inlineStr">
        <is>
          <t>NOR</t>
        </is>
      </c>
      <c r="CO216" t="inlineStr">
        <is>
          <t>NOR</t>
        </is>
      </c>
      <c r="CP216" t="inlineStr">
        <is>
          <t>SWE</t>
        </is>
      </c>
      <c r="CQ216" t="inlineStr">
        <is>
          <t>SWE</t>
        </is>
      </c>
      <c r="CR216" t="inlineStr">
        <is>
          <t>SWE</t>
        </is>
      </c>
      <c r="CS216" t="inlineStr">
        <is>
          <t>SWE</t>
        </is>
      </c>
      <c r="CT216" t="inlineStr">
        <is>
          <t>SWE</t>
        </is>
      </c>
      <c r="CU216" t="inlineStr">
        <is>
          <t>SWE</t>
        </is>
      </c>
      <c r="CV216" t="inlineStr">
        <is>
          <t>SWE</t>
        </is>
      </c>
      <c r="CW216" t="inlineStr">
        <is>
          <t>SWE</t>
        </is>
      </c>
      <c r="CX216" t="inlineStr">
        <is>
          <t>SWE</t>
        </is>
      </c>
      <c r="CY216" t="inlineStr">
        <is>
          <t>SWE</t>
        </is>
      </c>
      <c r="CZ216" t="inlineStr">
        <is>
          <t>SWE</t>
        </is>
      </c>
      <c r="DA216" t="inlineStr">
        <is>
          <t>SWE</t>
        </is>
      </c>
      <c r="DB216" t="inlineStr">
        <is>
          <t>SWE</t>
        </is>
      </c>
      <c r="DC216" t="inlineStr">
        <is>
          <t>SWE</t>
        </is>
      </c>
      <c r="DD216" t="inlineStr">
        <is>
          <t>SWE</t>
        </is>
      </c>
      <c r="DE216" t="inlineStr">
        <is>
          <t>FIN</t>
        </is>
      </c>
      <c r="DF216" t="inlineStr">
        <is>
          <t>FIN</t>
        </is>
      </c>
      <c r="DG216" t="inlineStr">
        <is>
          <t>FIN</t>
        </is>
      </c>
      <c r="DH216" t="inlineStr">
        <is>
          <t>FIN</t>
        </is>
      </c>
      <c r="DI216" t="inlineStr">
        <is>
          <t>FIN</t>
        </is>
      </c>
      <c r="DJ216" t="inlineStr">
        <is>
          <t>FIN</t>
        </is>
      </c>
      <c r="DK216" t="inlineStr">
        <is>
          <t>FIN</t>
        </is>
      </c>
      <c r="DL216" t="inlineStr">
        <is>
          <t>FIN</t>
        </is>
      </c>
      <c r="DM216" t="inlineStr">
        <is>
          <t>FIN</t>
        </is>
      </c>
      <c r="DN216" t="inlineStr">
        <is>
          <t>FIN</t>
        </is>
      </c>
      <c r="DO216" t="inlineStr">
        <is>
          <t>FIN</t>
        </is>
      </c>
      <c r="DP216" t="inlineStr">
        <is>
          <t>FIN</t>
        </is>
      </c>
      <c r="DQ216" t="inlineStr">
        <is>
          <t>RUS</t>
        </is>
      </c>
      <c r="DR216" t="inlineStr">
        <is>
          <t>RUS</t>
        </is>
      </c>
      <c r="DS216" t="inlineStr">
        <is>
          <t>RUS</t>
        </is>
      </c>
      <c r="DT216" t="inlineStr">
        <is>
          <t>RUS</t>
        </is>
      </c>
      <c r="DU216" t="inlineStr">
        <is>
          <t>RUS</t>
        </is>
      </c>
      <c r="DV216" t="inlineStr">
        <is>
          <t>RUS</t>
        </is>
      </c>
      <c r="DW216" t="inlineStr">
        <is>
          <t>RUS</t>
        </is>
      </c>
      <c r="DX216" t="inlineStr">
        <is>
          <t>RUS</t>
        </is>
      </c>
      <c r="DY216" t="inlineStr">
        <is>
          <t>RUS</t>
        </is>
      </c>
      <c r="DZ216" t="inlineStr">
        <is>
          <t>RUS</t>
        </is>
      </c>
      <c r="EA216" t="inlineStr">
        <is>
          <t>RUS</t>
        </is>
      </c>
      <c r="EB216" t="inlineStr">
        <is>
          <t>RUS</t>
        </is>
      </c>
      <c r="EC216" t="inlineStr">
        <is>
          <t>RUS</t>
        </is>
      </c>
      <c r="ED216" t="inlineStr">
        <is>
          <t>RUS</t>
        </is>
      </c>
      <c r="EE216" t="inlineStr">
        <is>
          <t>RUS</t>
        </is>
      </c>
      <c r="EF216" t="inlineStr">
        <is>
          <t>RUS</t>
        </is>
      </c>
      <c r="EG216" t="inlineStr">
        <is>
          <t>RUS</t>
        </is>
      </c>
      <c r="EH216" t="inlineStr">
        <is>
          <t>RUS</t>
        </is>
      </c>
      <c r="EI216" t="inlineStr">
        <is>
          <t>RUS</t>
        </is>
      </c>
      <c r="EJ216" t="inlineStr">
        <is>
          <t>RUS</t>
        </is>
      </c>
      <c r="EK216" t="inlineStr">
        <is>
          <t>RUS</t>
        </is>
      </c>
      <c r="EL216" t="inlineStr">
        <is>
          <t>RUS</t>
        </is>
      </c>
      <c r="EM216" t="inlineStr">
        <is>
          <t>RUS</t>
        </is>
      </c>
      <c r="ET216" t="inlineStr">
        <is>
          <t>RUS</t>
        </is>
      </c>
      <c r="EU216" t="inlineStr">
        <is>
          <t>RUS</t>
        </is>
      </c>
      <c r="EV216" t="inlineStr">
        <is>
          <t>RUS</t>
        </is>
      </c>
      <c r="FB216" t="inlineStr">
        <is>
          <t>RUS</t>
        </is>
      </c>
      <c r="FC216" t="inlineStr">
        <is>
          <t>RUS</t>
        </is>
      </c>
      <c r="FD216" t="inlineStr">
        <is>
          <t>RUS</t>
        </is>
      </c>
      <c r="FE216" t="inlineStr">
        <is>
          <t>RUS</t>
        </is>
      </c>
      <c r="FF216" t="inlineStr">
        <is>
          <t>RUS</t>
        </is>
      </c>
      <c r="FG216" t="inlineStr">
        <is>
          <t>RUS</t>
        </is>
      </c>
      <c r="FH216" t="inlineStr">
        <is>
          <t>RUS</t>
        </is>
      </c>
      <c r="FI216" t="inlineStr">
        <is>
          <t>RUS</t>
        </is>
      </c>
      <c r="FJ216" t="inlineStr">
        <is>
          <t>RUS</t>
        </is>
      </c>
      <c r="FK216" t="inlineStr">
        <is>
          <t>RUS</t>
        </is>
      </c>
      <c r="FL216" t="inlineStr">
        <is>
          <t>RUS</t>
        </is>
      </c>
      <c r="FM216" t="inlineStr">
        <is>
          <t>RUS</t>
        </is>
      </c>
      <c r="FN216" t="inlineStr">
        <is>
          <t>RUS</t>
        </is>
      </c>
      <c r="FO216" t="inlineStr">
        <is>
          <t>RUS</t>
        </is>
      </c>
      <c r="FP216" t="inlineStr">
        <is>
          <t>RUS</t>
        </is>
      </c>
      <c r="FQ216" t="inlineStr">
        <is>
          <t>RUS</t>
        </is>
      </c>
      <c r="FR216" t="inlineStr">
        <is>
          <t>RUS</t>
        </is>
      </c>
      <c r="FS216" t="inlineStr">
        <is>
          <t>RUS</t>
        </is>
      </c>
      <c r="FT216" t="inlineStr">
        <is>
          <t>RUS</t>
        </is>
      </c>
      <c r="FU216" t="inlineStr">
        <is>
          <t>RUS</t>
        </is>
      </c>
      <c r="FV216" t="inlineStr">
        <is>
          <t>RUS</t>
        </is>
      </c>
      <c r="FW216" t="inlineStr">
        <is>
          <t>RUS</t>
        </is>
      </c>
      <c r="FX216" t="inlineStr">
        <is>
          <t>RUS</t>
        </is>
      </c>
      <c r="FY216" t="inlineStr">
        <is>
          <t>RUS</t>
        </is>
      </c>
      <c r="FZ216" t="inlineStr">
        <is>
          <t>RUS</t>
        </is>
      </c>
      <c r="GA216" t="inlineStr">
        <is>
          <t>RUS</t>
        </is>
      </c>
      <c r="GB216" t="inlineStr">
        <is>
          <t>RUS</t>
        </is>
      </c>
      <c r="GC216" t="inlineStr">
        <is>
          <t>RUS</t>
        </is>
      </c>
      <c r="GD216" t="inlineStr">
        <is>
          <t>RUS</t>
        </is>
      </c>
      <c r="GE216" t="inlineStr">
        <is>
          <t>RUS</t>
        </is>
      </c>
      <c r="GF216" t="inlineStr">
        <is>
          <t>RUS</t>
        </is>
      </c>
      <c r="GG216" t="inlineStr">
        <is>
          <t>RUS</t>
        </is>
      </c>
      <c r="GH216" t="inlineStr">
        <is>
          <t>RUS</t>
        </is>
      </c>
      <c r="GI216" t="inlineStr">
        <is>
          <t>RUS</t>
        </is>
      </c>
      <c r="GJ216" t="inlineStr">
        <is>
          <t>RUS</t>
        </is>
      </c>
      <c r="GK216" t="inlineStr">
        <is>
          <t>RUS</t>
        </is>
      </c>
      <c r="GL216" t="inlineStr">
        <is>
          <t>RUS</t>
        </is>
      </c>
      <c r="GM216" t="inlineStr">
        <is>
          <t>RUS</t>
        </is>
      </c>
      <c r="GN216" t="inlineStr">
        <is>
          <t>RUS</t>
        </is>
      </c>
      <c r="GO216" t="inlineStr">
        <is>
          <t>RUS</t>
        </is>
      </c>
      <c r="GP216" t="inlineStr">
        <is>
          <t>RUS</t>
        </is>
      </c>
      <c r="GQ216" t="inlineStr">
        <is>
          <t>RUS</t>
        </is>
      </c>
      <c r="GR216" t="inlineStr">
        <is>
          <t>RUS</t>
        </is>
      </c>
      <c r="GS216" t="inlineStr">
        <is>
          <t>RUS</t>
        </is>
      </c>
      <c r="GT216" t="inlineStr">
        <is>
          <t>RUS</t>
        </is>
      </c>
      <c r="GU216" t="inlineStr">
        <is>
          <t>RUS</t>
        </is>
      </c>
      <c r="GV216" t="inlineStr">
        <is>
          <t>RUS</t>
        </is>
      </c>
      <c r="GW216" t="inlineStr">
        <is>
          <t>RUS</t>
        </is>
      </c>
      <c r="GX216" t="inlineStr">
        <is>
          <t>RUS</t>
        </is>
      </c>
      <c r="HB216" t="inlineStr">
        <is>
          <t>RUS</t>
        </is>
      </c>
      <c r="HC216" t="inlineStr">
        <is>
          <t>RUS</t>
        </is>
      </c>
      <c r="HD216" t="inlineStr">
        <is>
          <t>RUS</t>
        </is>
      </c>
      <c r="HE216" t="inlineStr">
        <is>
          <t>RUS</t>
        </is>
      </c>
      <c r="HF216" t="inlineStr">
        <is>
          <t>RUS</t>
        </is>
      </c>
      <c r="HG216" t="inlineStr">
        <is>
          <t>RUS</t>
        </is>
      </c>
      <c r="HH216" t="inlineStr">
        <is>
          <t>RUS</t>
        </is>
      </c>
      <c r="HI216" t="inlineStr">
        <is>
          <t>RUS</t>
        </is>
      </c>
      <c r="HJ216" t="inlineStr">
        <is>
          <t>RUS</t>
        </is>
      </c>
      <c r="HK216" t="inlineStr">
        <is>
          <t>RUS</t>
        </is>
      </c>
      <c r="HL216" t="inlineStr">
        <is>
          <t>RUS</t>
        </is>
      </c>
      <c r="HM216" t="inlineStr">
        <is>
          <t>RUS</t>
        </is>
      </c>
      <c r="HN216" t="inlineStr">
        <is>
          <t>RUS</t>
        </is>
      </c>
      <c r="HO216" t="inlineStr">
        <is>
          <t>RUS</t>
        </is>
      </c>
      <c r="HP216" t="inlineStr">
        <is>
          <t>RUS</t>
        </is>
      </c>
      <c r="HQ216" t="inlineStr">
        <is>
          <t>RUS</t>
        </is>
      </c>
      <c r="HR216" t="inlineStr">
        <is>
          <t>RUS</t>
        </is>
      </c>
      <c r="HS216" t="inlineStr">
        <is>
          <t>RUS</t>
        </is>
      </c>
      <c r="HT216" t="inlineStr">
        <is>
          <t>RUS</t>
        </is>
      </c>
      <c r="HU216" t="inlineStr">
        <is>
          <t>RUS</t>
        </is>
      </c>
      <c r="HV216" t="inlineStr">
        <is>
          <t>RUS</t>
        </is>
      </c>
      <c r="HW216" t="inlineStr">
        <is>
          <t>RUS</t>
        </is>
      </c>
      <c r="HX216" t="inlineStr">
        <is>
          <t>RUS</t>
        </is>
      </c>
      <c r="HY216" t="inlineStr">
        <is>
          <t>RUS</t>
        </is>
      </c>
      <c r="HZ216" t="inlineStr">
        <is>
          <t>RUS</t>
        </is>
      </c>
      <c r="IA216" t="inlineStr">
        <is>
          <t>RUS</t>
        </is>
      </c>
      <c r="IB216" t="inlineStr">
        <is>
          <t>RUS</t>
        </is>
      </c>
      <c r="IC216" t="inlineStr">
        <is>
          <t>RUS</t>
        </is>
      </c>
      <c r="ID216" t="inlineStr">
        <is>
          <t>RUS</t>
        </is>
      </c>
      <c r="IE216" t="inlineStr">
        <is>
          <t>RUS</t>
        </is>
      </c>
      <c r="IF216" t="inlineStr">
        <is>
          <t>RUS</t>
        </is>
      </c>
      <c r="IG216" t="inlineStr">
        <is>
          <t>RUS</t>
        </is>
      </c>
      <c r="IH216" t="inlineStr">
        <is>
          <t>RUS</t>
        </is>
      </c>
      <c r="II216" t="inlineStr">
        <is>
          <t>RUS</t>
        </is>
      </c>
      <c r="IJ216" t="inlineStr">
        <is>
          <t>RUS</t>
        </is>
      </c>
      <c r="IK216" t="inlineStr">
        <is>
          <t>RUS</t>
        </is>
      </c>
      <c r="IL216" t="inlineStr">
        <is>
          <t>RUS</t>
        </is>
      </c>
      <c r="IM216" t="inlineStr">
        <is>
          <t>RUS</t>
        </is>
      </c>
      <c r="IN216" t="inlineStr">
        <is>
          <t>RUS</t>
        </is>
      </c>
      <c r="IO216" t="inlineStr">
        <is>
          <t>RUS</t>
        </is>
      </c>
      <c r="IP216" t="inlineStr">
        <is>
          <t>RUS</t>
        </is>
      </c>
      <c r="IQ216" t="inlineStr">
        <is>
          <t>RUS</t>
        </is>
      </c>
      <c r="IR216" t="inlineStr">
        <is>
          <t>RUS</t>
        </is>
      </c>
      <c r="IS216" t="inlineStr">
        <is>
          <t>RUS</t>
        </is>
      </c>
      <c r="IT216" t="inlineStr">
        <is>
          <t>RUS</t>
        </is>
      </c>
      <c r="IU216" t="inlineStr">
        <is>
          <t>RUS</t>
        </is>
      </c>
      <c r="IV216" t="inlineStr">
        <is>
          <t>RUS</t>
        </is>
      </c>
      <c r="IW216" t="inlineStr">
        <is>
          <t>RUS</t>
        </is>
      </c>
      <c r="IX216" t="inlineStr">
        <is>
          <t>RUS</t>
        </is>
      </c>
      <c r="IY216" t="inlineStr">
        <is>
          <t>RUS</t>
        </is>
      </c>
      <c r="IZ216" t="inlineStr">
        <is>
          <t>RUS</t>
        </is>
      </c>
      <c r="JA216" t="inlineStr">
        <is>
          <t>RUS</t>
        </is>
      </c>
      <c r="JB216" t="inlineStr">
        <is>
          <t>RUS</t>
        </is>
      </c>
      <c r="JC216" t="inlineStr">
        <is>
          <t>RUS</t>
        </is>
      </c>
      <c r="JD216" t="inlineStr">
        <is>
          <t>RUS</t>
        </is>
      </c>
      <c r="JE216" t="inlineStr">
        <is>
          <t>RUS</t>
        </is>
      </c>
      <c r="JF216" t="inlineStr">
        <is>
          <t>RUS</t>
        </is>
      </c>
      <c r="JG216" t="inlineStr">
        <is>
          <t>RUS</t>
        </is>
      </c>
      <c r="JH216" t="inlineStr">
        <is>
          <t>RUS</t>
        </is>
      </c>
      <c r="JI216" t="inlineStr">
        <is>
          <t>RUS</t>
        </is>
      </c>
      <c r="JJ216" t="inlineStr">
        <is>
          <t>RUS</t>
        </is>
      </c>
      <c r="JK216" t="inlineStr">
        <is>
          <t>RUS</t>
        </is>
      </c>
      <c r="JL216" t="inlineStr">
        <is>
          <t>RUS</t>
        </is>
      </c>
      <c r="JM216" t="inlineStr">
        <is>
          <t>RUS</t>
        </is>
      </c>
      <c r="JN216" t="inlineStr">
        <is>
          <t>RUS</t>
        </is>
      </c>
      <c r="JO216" t="inlineStr">
        <is>
          <t>RUS</t>
        </is>
      </c>
      <c r="JP216" t="inlineStr">
        <is>
          <t>RUS</t>
        </is>
      </c>
      <c r="JQ216" t="inlineStr">
        <is>
          <t>RUS</t>
        </is>
      </c>
      <c r="JR216" t="inlineStr">
        <is>
          <t>RUS</t>
        </is>
      </c>
      <c r="JS216" t="inlineStr">
        <is>
          <t>RUS</t>
        </is>
      </c>
      <c r="JT216" t="inlineStr">
        <is>
          <t>RUS</t>
        </is>
      </c>
      <c r="JU216" t="inlineStr">
        <is>
          <t>RUS</t>
        </is>
      </c>
    </row>
    <row r="217">
      <c r="CM217" t="inlineStr">
        <is>
          <t>NOR</t>
        </is>
      </c>
      <c r="CN217" t="inlineStr">
        <is>
          <t>NOR</t>
        </is>
      </c>
      <c r="CO217" t="inlineStr">
        <is>
          <t>NOR</t>
        </is>
      </c>
      <c r="CP217" t="inlineStr">
        <is>
          <t>NOR</t>
        </is>
      </c>
      <c r="CQ217" t="inlineStr">
        <is>
          <t>SWE</t>
        </is>
      </c>
      <c r="CR217" t="inlineStr">
        <is>
          <t>SWE</t>
        </is>
      </c>
      <c r="CS217" t="inlineStr">
        <is>
          <t>SWE</t>
        </is>
      </c>
      <c r="CT217" t="inlineStr">
        <is>
          <t>SWE</t>
        </is>
      </c>
      <c r="CU217" t="inlineStr">
        <is>
          <t>SWE</t>
        </is>
      </c>
      <c r="CV217" t="inlineStr">
        <is>
          <t>SWE</t>
        </is>
      </c>
      <c r="CW217" t="inlineStr">
        <is>
          <t>SWE</t>
        </is>
      </c>
      <c r="CX217" t="inlineStr">
        <is>
          <t>SWE</t>
        </is>
      </c>
      <c r="CY217" t="inlineStr">
        <is>
          <t>SWE</t>
        </is>
      </c>
      <c r="CZ217" t="inlineStr">
        <is>
          <t>SWE</t>
        </is>
      </c>
      <c r="DA217" t="inlineStr">
        <is>
          <t>SWE</t>
        </is>
      </c>
      <c r="DB217" t="inlineStr">
        <is>
          <t>SWE</t>
        </is>
      </c>
      <c r="DC217" t="inlineStr">
        <is>
          <t>SWE</t>
        </is>
      </c>
      <c r="DD217" t="inlineStr">
        <is>
          <t>SWE</t>
        </is>
      </c>
      <c r="DE217" t="inlineStr">
        <is>
          <t>FIN</t>
        </is>
      </c>
      <c r="DF217" t="inlineStr">
        <is>
          <t>FIN</t>
        </is>
      </c>
      <c r="DG217" t="inlineStr">
        <is>
          <t>FIN</t>
        </is>
      </c>
      <c r="DH217" t="inlineStr">
        <is>
          <t>FIN</t>
        </is>
      </c>
      <c r="DI217" t="inlineStr">
        <is>
          <t>FIN</t>
        </is>
      </c>
      <c r="DJ217" t="inlineStr">
        <is>
          <t>FIN</t>
        </is>
      </c>
      <c r="DK217" t="inlineStr">
        <is>
          <t>FIN</t>
        </is>
      </c>
      <c r="DL217" t="inlineStr">
        <is>
          <t>FIN</t>
        </is>
      </c>
      <c r="DM217" t="inlineStr">
        <is>
          <t>FIN</t>
        </is>
      </c>
      <c r="DN217" t="inlineStr">
        <is>
          <t>FIN</t>
        </is>
      </c>
      <c r="DO217" t="inlineStr">
        <is>
          <t>FIN</t>
        </is>
      </c>
      <c r="DP217" t="inlineStr">
        <is>
          <t>FIN</t>
        </is>
      </c>
      <c r="DQ217" t="inlineStr">
        <is>
          <t>FIN</t>
        </is>
      </c>
      <c r="DR217" t="inlineStr">
        <is>
          <t>RUS</t>
        </is>
      </c>
      <c r="DS217" t="inlineStr">
        <is>
          <t>RUS</t>
        </is>
      </c>
      <c r="DT217" t="inlineStr">
        <is>
          <t>RUS</t>
        </is>
      </c>
      <c r="DU217" t="inlineStr">
        <is>
          <t>RUS</t>
        </is>
      </c>
      <c r="DV217" t="inlineStr">
        <is>
          <t>RUS</t>
        </is>
      </c>
      <c r="DW217" t="inlineStr">
        <is>
          <t>RUS</t>
        </is>
      </c>
      <c r="DX217" t="inlineStr">
        <is>
          <t>RUS</t>
        </is>
      </c>
      <c r="DY217" t="inlineStr">
        <is>
          <t>RUS</t>
        </is>
      </c>
      <c r="DZ217" t="inlineStr">
        <is>
          <t>RUS</t>
        </is>
      </c>
      <c r="EA217" t="inlineStr">
        <is>
          <t>RUS</t>
        </is>
      </c>
      <c r="EB217" t="inlineStr">
        <is>
          <t>RUS</t>
        </is>
      </c>
      <c r="EC217" t="inlineStr">
        <is>
          <t>RUS</t>
        </is>
      </c>
      <c r="ED217" t="inlineStr">
        <is>
          <t>RUS</t>
        </is>
      </c>
      <c r="EE217" t="inlineStr">
        <is>
          <t>RUS</t>
        </is>
      </c>
      <c r="EF217" t="inlineStr">
        <is>
          <t>RUS</t>
        </is>
      </c>
      <c r="EG217" t="inlineStr">
        <is>
          <t>RUS</t>
        </is>
      </c>
      <c r="EH217" t="inlineStr">
        <is>
          <t>RUS</t>
        </is>
      </c>
      <c r="EI217" t="inlineStr">
        <is>
          <t>RUS</t>
        </is>
      </c>
      <c r="EJ217" t="inlineStr">
        <is>
          <t>RUS</t>
        </is>
      </c>
      <c r="EK217" t="inlineStr">
        <is>
          <t>RUS</t>
        </is>
      </c>
      <c r="EL217" t="inlineStr">
        <is>
          <t>RUS</t>
        </is>
      </c>
      <c r="ET217" t="inlineStr">
        <is>
          <t>RUS</t>
        </is>
      </c>
      <c r="EU217" t="inlineStr">
        <is>
          <t>RUS</t>
        </is>
      </c>
      <c r="EV217" t="inlineStr">
        <is>
          <t>RUS</t>
        </is>
      </c>
      <c r="EW217" t="inlineStr">
        <is>
          <t>RUS</t>
        </is>
      </c>
      <c r="EX217" t="inlineStr">
        <is>
          <t>RUS</t>
        </is>
      </c>
      <c r="EY217" t="inlineStr">
        <is>
          <t>RUS</t>
        </is>
      </c>
      <c r="FD217" t="inlineStr">
        <is>
          <t>RUS</t>
        </is>
      </c>
      <c r="FE217" t="inlineStr">
        <is>
          <t>RUS</t>
        </is>
      </c>
      <c r="FF217" t="inlineStr">
        <is>
          <t>RUS</t>
        </is>
      </c>
      <c r="FG217" t="inlineStr">
        <is>
          <t>RUS</t>
        </is>
      </c>
      <c r="FH217" t="inlineStr">
        <is>
          <t>RUS</t>
        </is>
      </c>
      <c r="FI217" t="inlineStr">
        <is>
          <t>RUS</t>
        </is>
      </c>
      <c r="FJ217" t="inlineStr">
        <is>
          <t>RUS</t>
        </is>
      </c>
      <c r="FK217" t="inlineStr">
        <is>
          <t>RUS</t>
        </is>
      </c>
      <c r="FL217" t="inlineStr">
        <is>
          <t>RUS</t>
        </is>
      </c>
      <c r="FM217" t="inlineStr">
        <is>
          <t>RUS</t>
        </is>
      </c>
      <c r="FN217" t="inlineStr">
        <is>
          <t>RUS</t>
        </is>
      </c>
      <c r="FO217" t="inlineStr">
        <is>
          <t>RUS</t>
        </is>
      </c>
      <c r="FP217" t="inlineStr">
        <is>
          <t>RUS</t>
        </is>
      </c>
      <c r="FQ217" t="inlineStr">
        <is>
          <t>RUS</t>
        </is>
      </c>
      <c r="FR217" t="inlineStr">
        <is>
          <t>RUS</t>
        </is>
      </c>
      <c r="FS217" t="inlineStr">
        <is>
          <t>RUS</t>
        </is>
      </c>
      <c r="FT217" t="inlineStr">
        <is>
          <t>RUS</t>
        </is>
      </c>
      <c r="FU217" t="inlineStr">
        <is>
          <t>RUS</t>
        </is>
      </c>
      <c r="FV217" t="inlineStr">
        <is>
          <t>RUS</t>
        </is>
      </c>
      <c r="FW217" t="inlineStr">
        <is>
          <t>RUS</t>
        </is>
      </c>
      <c r="FX217" t="inlineStr">
        <is>
          <t>RUS</t>
        </is>
      </c>
      <c r="FY217" t="inlineStr">
        <is>
          <t>RUS</t>
        </is>
      </c>
      <c r="FZ217" t="inlineStr">
        <is>
          <t>RUS</t>
        </is>
      </c>
      <c r="GA217" t="inlineStr">
        <is>
          <t>RUS</t>
        </is>
      </c>
      <c r="GB217" t="inlineStr">
        <is>
          <t>RUS</t>
        </is>
      </c>
      <c r="GC217" t="inlineStr">
        <is>
          <t>RUS</t>
        </is>
      </c>
      <c r="GD217" t="inlineStr">
        <is>
          <t>RUS</t>
        </is>
      </c>
      <c r="GE217" t="inlineStr">
        <is>
          <t>RUS</t>
        </is>
      </c>
      <c r="GF217" t="inlineStr">
        <is>
          <t>RUS</t>
        </is>
      </c>
      <c r="GG217" t="inlineStr">
        <is>
          <t>RUS</t>
        </is>
      </c>
      <c r="GH217" t="inlineStr">
        <is>
          <t>RUS</t>
        </is>
      </c>
      <c r="GI217" t="inlineStr">
        <is>
          <t>RUS</t>
        </is>
      </c>
      <c r="GJ217" t="inlineStr">
        <is>
          <t>RUS</t>
        </is>
      </c>
      <c r="GK217" t="inlineStr">
        <is>
          <t>RUS</t>
        </is>
      </c>
      <c r="GL217" t="inlineStr">
        <is>
          <t>RUS</t>
        </is>
      </c>
      <c r="GM217" t="inlineStr">
        <is>
          <t>RUS</t>
        </is>
      </c>
      <c r="GN217" t="inlineStr">
        <is>
          <t>RUS</t>
        </is>
      </c>
      <c r="GO217" t="inlineStr">
        <is>
          <t>RUS</t>
        </is>
      </c>
      <c r="GP217" t="inlineStr">
        <is>
          <t>RUS</t>
        </is>
      </c>
      <c r="GQ217" t="inlineStr">
        <is>
          <t>RUS</t>
        </is>
      </c>
      <c r="GR217" t="inlineStr">
        <is>
          <t>RUS</t>
        </is>
      </c>
      <c r="GS217" t="inlineStr">
        <is>
          <t>RUS</t>
        </is>
      </c>
      <c r="GT217" t="inlineStr">
        <is>
          <t>RUS</t>
        </is>
      </c>
      <c r="GU217" t="inlineStr">
        <is>
          <t>RUS</t>
        </is>
      </c>
      <c r="GV217" t="inlineStr">
        <is>
          <t>RUS</t>
        </is>
      </c>
      <c r="GW217" t="inlineStr">
        <is>
          <t>RUS</t>
        </is>
      </c>
      <c r="GX217" t="inlineStr">
        <is>
          <t>RUS</t>
        </is>
      </c>
      <c r="GY217" t="inlineStr">
        <is>
          <t>RUS</t>
        </is>
      </c>
      <c r="HD217" t="inlineStr">
        <is>
          <t>RUS</t>
        </is>
      </c>
      <c r="HE217" t="inlineStr">
        <is>
          <t>RUS</t>
        </is>
      </c>
      <c r="HF217" t="inlineStr">
        <is>
          <t>RUS</t>
        </is>
      </c>
      <c r="HG217" t="inlineStr">
        <is>
          <t>RUS</t>
        </is>
      </c>
      <c r="HH217" t="inlineStr">
        <is>
          <t>RUS</t>
        </is>
      </c>
      <c r="HI217" t="inlineStr">
        <is>
          <t>RUS</t>
        </is>
      </c>
      <c r="HJ217" t="inlineStr">
        <is>
          <t>RUS</t>
        </is>
      </c>
      <c r="HK217" t="inlineStr">
        <is>
          <t>RUS</t>
        </is>
      </c>
      <c r="HL217" t="inlineStr">
        <is>
          <t>RUS</t>
        </is>
      </c>
      <c r="HM217" t="inlineStr">
        <is>
          <t>RUS</t>
        </is>
      </c>
      <c r="HN217" t="inlineStr">
        <is>
          <t>RUS</t>
        </is>
      </c>
      <c r="HO217" t="inlineStr">
        <is>
          <t>RUS</t>
        </is>
      </c>
      <c r="HP217" t="inlineStr">
        <is>
          <t>RUS</t>
        </is>
      </c>
      <c r="HQ217" t="inlineStr">
        <is>
          <t>RUS</t>
        </is>
      </c>
      <c r="HR217" t="inlineStr">
        <is>
          <t>RUS</t>
        </is>
      </c>
      <c r="HS217" t="inlineStr">
        <is>
          <t>RUS</t>
        </is>
      </c>
      <c r="HT217" t="inlineStr">
        <is>
          <t>RUS</t>
        </is>
      </c>
      <c r="HU217" t="inlineStr">
        <is>
          <t>RUS</t>
        </is>
      </c>
      <c r="HV217" t="inlineStr">
        <is>
          <t>RUS</t>
        </is>
      </c>
      <c r="HW217" t="inlineStr">
        <is>
          <t>RUS</t>
        </is>
      </c>
      <c r="HX217" t="inlineStr">
        <is>
          <t>RUS</t>
        </is>
      </c>
      <c r="HY217" t="inlineStr">
        <is>
          <t>RUS</t>
        </is>
      </c>
      <c r="HZ217" t="inlineStr">
        <is>
          <t>RUS</t>
        </is>
      </c>
      <c r="IA217" t="inlineStr">
        <is>
          <t>RUS</t>
        </is>
      </c>
      <c r="IB217" t="inlineStr">
        <is>
          <t>RUS</t>
        </is>
      </c>
      <c r="IC217" t="inlineStr">
        <is>
          <t>RUS</t>
        </is>
      </c>
      <c r="ID217" t="inlineStr">
        <is>
          <t>RUS</t>
        </is>
      </c>
      <c r="IE217" t="inlineStr">
        <is>
          <t>RUS</t>
        </is>
      </c>
      <c r="IF217" t="inlineStr">
        <is>
          <t>RUS</t>
        </is>
      </c>
      <c r="IG217" t="inlineStr">
        <is>
          <t>RUS</t>
        </is>
      </c>
      <c r="IH217" t="inlineStr">
        <is>
          <t>RUS</t>
        </is>
      </c>
      <c r="II217" t="inlineStr">
        <is>
          <t>RUS</t>
        </is>
      </c>
      <c r="IJ217" t="inlineStr">
        <is>
          <t>RUS</t>
        </is>
      </c>
      <c r="IK217" t="inlineStr">
        <is>
          <t>RUS</t>
        </is>
      </c>
      <c r="IL217" t="inlineStr">
        <is>
          <t>RUS</t>
        </is>
      </c>
      <c r="IM217" t="inlineStr">
        <is>
          <t>RUS</t>
        </is>
      </c>
      <c r="IN217" t="inlineStr">
        <is>
          <t>RUS</t>
        </is>
      </c>
      <c r="IO217" t="inlineStr">
        <is>
          <t>RUS</t>
        </is>
      </c>
      <c r="IP217" t="inlineStr">
        <is>
          <t>RUS</t>
        </is>
      </c>
      <c r="IQ217" t="inlineStr">
        <is>
          <t>RUS</t>
        </is>
      </c>
      <c r="IR217" t="inlineStr">
        <is>
          <t>RUS</t>
        </is>
      </c>
      <c r="IS217" t="inlineStr">
        <is>
          <t>RUS</t>
        </is>
      </c>
      <c r="IT217" t="inlineStr">
        <is>
          <t>RUS</t>
        </is>
      </c>
      <c r="IU217" t="inlineStr">
        <is>
          <t>RUS</t>
        </is>
      </c>
      <c r="IV217" t="inlineStr">
        <is>
          <t>RUS</t>
        </is>
      </c>
      <c r="IW217" t="inlineStr">
        <is>
          <t>RUS</t>
        </is>
      </c>
      <c r="IX217" t="inlineStr">
        <is>
          <t>RUS</t>
        </is>
      </c>
      <c r="IY217" t="inlineStr">
        <is>
          <t>RUS</t>
        </is>
      </c>
      <c r="IZ217" t="inlineStr">
        <is>
          <t>RUS</t>
        </is>
      </c>
      <c r="JA217" t="inlineStr">
        <is>
          <t>RUS</t>
        </is>
      </c>
      <c r="JB217" t="inlineStr">
        <is>
          <t>RUS</t>
        </is>
      </c>
      <c r="JC217" t="inlineStr">
        <is>
          <t>RUS</t>
        </is>
      </c>
      <c r="JD217" t="inlineStr">
        <is>
          <t>RUS</t>
        </is>
      </c>
      <c r="JE217" t="inlineStr">
        <is>
          <t>RUS</t>
        </is>
      </c>
      <c r="JF217" t="inlineStr">
        <is>
          <t>RUS</t>
        </is>
      </c>
      <c r="JG217" t="inlineStr">
        <is>
          <t>RUS</t>
        </is>
      </c>
      <c r="JH217" t="inlineStr">
        <is>
          <t>RUS</t>
        </is>
      </c>
      <c r="JI217" t="inlineStr">
        <is>
          <t>RUS</t>
        </is>
      </c>
      <c r="JJ217" t="inlineStr">
        <is>
          <t>RUS</t>
        </is>
      </c>
      <c r="JK217" t="inlineStr">
        <is>
          <t>RUS</t>
        </is>
      </c>
      <c r="JL217" t="inlineStr">
        <is>
          <t>RUS</t>
        </is>
      </c>
      <c r="JM217" t="inlineStr">
        <is>
          <t>RUS</t>
        </is>
      </c>
      <c r="JN217" t="inlineStr">
        <is>
          <t>RUS</t>
        </is>
      </c>
      <c r="JO217" t="inlineStr">
        <is>
          <t>RUS</t>
        </is>
      </c>
      <c r="JP217" t="inlineStr">
        <is>
          <t>RUS</t>
        </is>
      </c>
      <c r="JQ217" t="inlineStr">
        <is>
          <t>RUS</t>
        </is>
      </c>
      <c r="JR217" t="inlineStr">
        <is>
          <t>RUS</t>
        </is>
      </c>
      <c r="JS217" t="inlineStr">
        <is>
          <t>RUS</t>
        </is>
      </c>
      <c r="JT217" t="inlineStr">
        <is>
          <t>RUS</t>
        </is>
      </c>
      <c r="JU217" t="inlineStr">
        <is>
          <t>RUS</t>
        </is>
      </c>
    </row>
    <row r="218">
      <c r="B218" t="inlineStr">
        <is>
          <t>GRL</t>
        </is>
      </c>
      <c r="CO218" t="inlineStr">
        <is>
          <t>NOR</t>
        </is>
      </c>
      <c r="CP218" t="inlineStr">
        <is>
          <t>NOR</t>
        </is>
      </c>
      <c r="CQ218" t="inlineStr">
        <is>
          <t>NOR</t>
        </is>
      </c>
      <c r="CR218" t="inlineStr">
        <is>
          <t>NOR</t>
        </is>
      </c>
      <c r="CS218" t="inlineStr">
        <is>
          <t>NOR</t>
        </is>
      </c>
      <c r="CT218" t="inlineStr">
        <is>
          <t>SWE</t>
        </is>
      </c>
      <c r="CU218" t="inlineStr">
        <is>
          <t>SWE</t>
        </is>
      </c>
      <c r="CV218" t="inlineStr">
        <is>
          <t>SWE</t>
        </is>
      </c>
      <c r="CW218" t="inlineStr">
        <is>
          <t>SWE</t>
        </is>
      </c>
      <c r="CX218" t="inlineStr">
        <is>
          <t>SWE</t>
        </is>
      </c>
      <c r="CY218" t="inlineStr">
        <is>
          <t>SWE</t>
        </is>
      </c>
      <c r="CZ218" t="inlineStr">
        <is>
          <t>SWE</t>
        </is>
      </c>
      <c r="DA218" t="inlineStr">
        <is>
          <t>SWE</t>
        </is>
      </c>
      <c r="DB218" t="inlineStr">
        <is>
          <t>SWE</t>
        </is>
      </c>
      <c r="DC218" t="inlineStr">
        <is>
          <t>SWE</t>
        </is>
      </c>
      <c r="DD218" t="inlineStr">
        <is>
          <t>FIN</t>
        </is>
      </c>
      <c r="DE218" t="inlineStr">
        <is>
          <t>FIN</t>
        </is>
      </c>
      <c r="DF218" t="inlineStr">
        <is>
          <t>FIN</t>
        </is>
      </c>
      <c r="DG218" t="inlineStr">
        <is>
          <t>FIN</t>
        </is>
      </c>
      <c r="DH218" t="inlineStr">
        <is>
          <t>FIN</t>
        </is>
      </c>
      <c r="DI218" t="inlineStr">
        <is>
          <t>FIN</t>
        </is>
      </c>
      <c r="DJ218" t="inlineStr">
        <is>
          <t>FIN</t>
        </is>
      </c>
      <c r="DK218" t="inlineStr">
        <is>
          <t>FIN</t>
        </is>
      </c>
      <c r="DL218" t="inlineStr">
        <is>
          <t>FIN</t>
        </is>
      </c>
      <c r="DM218" t="inlineStr">
        <is>
          <t>FIN</t>
        </is>
      </c>
      <c r="DN218" t="inlineStr">
        <is>
          <t>FIN</t>
        </is>
      </c>
      <c r="DO218" t="inlineStr">
        <is>
          <t>RUS</t>
        </is>
      </c>
      <c r="DP218" t="inlineStr">
        <is>
          <t>RUS</t>
        </is>
      </c>
      <c r="DQ218" t="inlineStr">
        <is>
          <t>RUS</t>
        </is>
      </c>
      <c r="DR218" t="inlineStr">
        <is>
          <t>RUS</t>
        </is>
      </c>
      <c r="DS218" t="inlineStr">
        <is>
          <t>RUS</t>
        </is>
      </c>
      <c r="DT218" t="inlineStr">
        <is>
          <t>RUS</t>
        </is>
      </c>
      <c r="DU218" t="inlineStr">
        <is>
          <t>RUS</t>
        </is>
      </c>
      <c r="DV218" t="inlineStr">
        <is>
          <t>RUS</t>
        </is>
      </c>
      <c r="DW218" t="inlineStr">
        <is>
          <t>RUS</t>
        </is>
      </c>
      <c r="DX218" t="inlineStr">
        <is>
          <t>RUS</t>
        </is>
      </c>
      <c r="DY218" t="inlineStr">
        <is>
          <t>RUS</t>
        </is>
      </c>
      <c r="DZ218" t="inlineStr">
        <is>
          <t>RUS</t>
        </is>
      </c>
      <c r="EA218" t="inlineStr">
        <is>
          <t>RUS</t>
        </is>
      </c>
      <c r="EB218" t="inlineStr">
        <is>
          <t>RUS</t>
        </is>
      </c>
      <c r="EC218" t="inlineStr">
        <is>
          <t>RUS</t>
        </is>
      </c>
      <c r="ED218" t="inlineStr">
        <is>
          <t>RUS</t>
        </is>
      </c>
      <c r="EE218" t="inlineStr">
        <is>
          <t>RUS</t>
        </is>
      </c>
      <c r="EF218" t="inlineStr">
        <is>
          <t>RUS</t>
        </is>
      </c>
      <c r="EG218" t="inlineStr">
        <is>
          <t>RUS</t>
        </is>
      </c>
      <c r="EH218" t="inlineStr">
        <is>
          <t>RUS</t>
        </is>
      </c>
      <c r="EI218" t="inlineStr">
        <is>
          <t>RUS</t>
        </is>
      </c>
      <c r="ET218" t="inlineStr">
        <is>
          <t>RUS</t>
        </is>
      </c>
      <c r="EU218" t="inlineStr">
        <is>
          <t>RUS</t>
        </is>
      </c>
      <c r="EV218" t="inlineStr">
        <is>
          <t>RUS</t>
        </is>
      </c>
      <c r="EW218" t="inlineStr">
        <is>
          <t>RUS</t>
        </is>
      </c>
      <c r="EX218" t="inlineStr">
        <is>
          <t>RUS</t>
        </is>
      </c>
      <c r="FH218" t="inlineStr">
        <is>
          <t>RUS</t>
        </is>
      </c>
      <c r="FI218" t="inlineStr">
        <is>
          <t>RUS</t>
        </is>
      </c>
      <c r="FJ218" t="inlineStr">
        <is>
          <t>RUS</t>
        </is>
      </c>
      <c r="FK218" t="inlineStr">
        <is>
          <t>RUS</t>
        </is>
      </c>
      <c r="FL218" t="inlineStr">
        <is>
          <t>RUS</t>
        </is>
      </c>
      <c r="FP218" t="inlineStr">
        <is>
          <t>RUS</t>
        </is>
      </c>
      <c r="FQ218" t="inlineStr">
        <is>
          <t>RUS</t>
        </is>
      </c>
      <c r="FR218" t="inlineStr">
        <is>
          <t>RUS</t>
        </is>
      </c>
      <c r="FS218" t="inlineStr">
        <is>
          <t>RUS</t>
        </is>
      </c>
      <c r="FT218" t="inlineStr">
        <is>
          <t>RUS</t>
        </is>
      </c>
      <c r="FU218" t="inlineStr">
        <is>
          <t>RUS</t>
        </is>
      </c>
      <c r="FV218" t="inlineStr">
        <is>
          <t>RUS</t>
        </is>
      </c>
      <c r="FW218" t="inlineStr">
        <is>
          <t>RUS</t>
        </is>
      </c>
      <c r="FX218" t="inlineStr">
        <is>
          <t>RUS</t>
        </is>
      </c>
      <c r="FY218" t="inlineStr">
        <is>
          <t>RUS</t>
        </is>
      </c>
      <c r="FZ218" t="inlineStr">
        <is>
          <t>RUS</t>
        </is>
      </c>
      <c r="GA218" t="inlineStr">
        <is>
          <t>RUS</t>
        </is>
      </c>
      <c r="GB218" t="inlineStr">
        <is>
          <t>RUS</t>
        </is>
      </c>
      <c r="GC218" t="inlineStr">
        <is>
          <t>RUS</t>
        </is>
      </c>
      <c r="GD218" t="inlineStr">
        <is>
          <t>RUS</t>
        </is>
      </c>
      <c r="GE218" t="inlineStr">
        <is>
          <t>RUS</t>
        </is>
      </c>
      <c r="GF218" t="inlineStr">
        <is>
          <t>RUS</t>
        </is>
      </c>
      <c r="GG218" t="inlineStr">
        <is>
          <t>RUS</t>
        </is>
      </c>
      <c r="GH218" t="inlineStr">
        <is>
          <t>RUS</t>
        </is>
      </c>
      <c r="GI218" t="inlineStr">
        <is>
          <t>RUS</t>
        </is>
      </c>
      <c r="GJ218" t="inlineStr">
        <is>
          <t>RUS</t>
        </is>
      </c>
      <c r="GK218" t="inlineStr">
        <is>
          <t>RUS</t>
        </is>
      </c>
      <c r="GL218" t="inlineStr">
        <is>
          <t>RUS</t>
        </is>
      </c>
      <c r="GM218" t="inlineStr">
        <is>
          <t>RUS</t>
        </is>
      </c>
      <c r="GN218" t="inlineStr">
        <is>
          <t>RUS</t>
        </is>
      </c>
      <c r="GO218" t="inlineStr">
        <is>
          <t>RUS</t>
        </is>
      </c>
      <c r="GQ218" t="inlineStr">
        <is>
          <t>RUS</t>
        </is>
      </c>
      <c r="GR218" t="inlineStr">
        <is>
          <t>RUS</t>
        </is>
      </c>
      <c r="GS218" t="inlineStr">
        <is>
          <t>RUS</t>
        </is>
      </c>
      <c r="GT218" t="inlineStr">
        <is>
          <t>RUS</t>
        </is>
      </c>
      <c r="GU218" t="inlineStr">
        <is>
          <t>RUS</t>
        </is>
      </c>
      <c r="GV218" t="inlineStr">
        <is>
          <t>RUS</t>
        </is>
      </c>
      <c r="GW218" t="inlineStr">
        <is>
          <t>RUS</t>
        </is>
      </c>
      <c r="GX218" t="inlineStr">
        <is>
          <t>RUS</t>
        </is>
      </c>
      <c r="GY218" t="inlineStr">
        <is>
          <t>RUS</t>
        </is>
      </c>
      <c r="GZ218" t="inlineStr">
        <is>
          <t>RUS</t>
        </is>
      </c>
      <c r="HC218" t="inlineStr">
        <is>
          <t>RUS</t>
        </is>
      </c>
      <c r="HD218" t="inlineStr">
        <is>
          <t>RUS</t>
        </is>
      </c>
      <c r="HE218" t="inlineStr">
        <is>
          <t>RUS</t>
        </is>
      </c>
      <c r="HF218" t="inlineStr">
        <is>
          <t>RUS</t>
        </is>
      </c>
      <c r="HG218" t="inlineStr">
        <is>
          <t>RUS</t>
        </is>
      </c>
      <c r="HH218" t="inlineStr">
        <is>
          <t>RUS</t>
        </is>
      </c>
      <c r="HI218" t="inlineStr">
        <is>
          <t>RUS</t>
        </is>
      </c>
      <c r="HJ218" t="inlineStr">
        <is>
          <t>RUS</t>
        </is>
      </c>
      <c r="HK218" t="inlineStr">
        <is>
          <t>RUS</t>
        </is>
      </c>
      <c r="HL218" t="inlineStr">
        <is>
          <t>RUS</t>
        </is>
      </c>
      <c r="HM218" t="inlineStr">
        <is>
          <t>RUS</t>
        </is>
      </c>
      <c r="HN218" t="inlineStr">
        <is>
          <t>RUS</t>
        </is>
      </c>
      <c r="HO218" t="inlineStr">
        <is>
          <t>RUS</t>
        </is>
      </c>
      <c r="HP218" t="inlineStr">
        <is>
          <t>RUS</t>
        </is>
      </c>
      <c r="HQ218" t="inlineStr">
        <is>
          <t>RUS</t>
        </is>
      </c>
      <c r="HR218" t="inlineStr">
        <is>
          <t>RUS</t>
        </is>
      </c>
      <c r="HS218" t="inlineStr">
        <is>
          <t>RUS</t>
        </is>
      </c>
      <c r="HT218" t="inlineStr">
        <is>
          <t>RUS</t>
        </is>
      </c>
      <c r="HU218" t="inlineStr">
        <is>
          <t>RUS</t>
        </is>
      </c>
      <c r="HV218" t="inlineStr">
        <is>
          <t>RUS</t>
        </is>
      </c>
      <c r="HW218" t="inlineStr">
        <is>
          <t>RUS</t>
        </is>
      </c>
      <c r="HX218" t="inlineStr">
        <is>
          <t>RUS</t>
        </is>
      </c>
      <c r="HY218" t="inlineStr">
        <is>
          <t>RUS</t>
        </is>
      </c>
      <c r="HZ218" t="inlineStr">
        <is>
          <t>RUS</t>
        </is>
      </c>
      <c r="IA218" t="inlineStr">
        <is>
          <t>RUS</t>
        </is>
      </c>
      <c r="IB218" t="inlineStr">
        <is>
          <t>RUS</t>
        </is>
      </c>
      <c r="IC218" t="inlineStr">
        <is>
          <t>RUS</t>
        </is>
      </c>
      <c r="ID218" t="inlineStr">
        <is>
          <t>RUS</t>
        </is>
      </c>
      <c r="IE218" t="inlineStr">
        <is>
          <t>RUS</t>
        </is>
      </c>
      <c r="IF218" t="inlineStr">
        <is>
          <t>RUS</t>
        </is>
      </c>
      <c r="IG218" t="inlineStr">
        <is>
          <t>RUS</t>
        </is>
      </c>
      <c r="IH218" t="inlineStr">
        <is>
          <t>RUS</t>
        </is>
      </c>
      <c r="II218" t="inlineStr">
        <is>
          <t>RUS</t>
        </is>
      </c>
      <c r="IJ218" t="inlineStr">
        <is>
          <t>RUS</t>
        </is>
      </c>
      <c r="IK218" t="inlineStr">
        <is>
          <t>RUS</t>
        </is>
      </c>
      <c r="IL218" t="inlineStr">
        <is>
          <t>RUS</t>
        </is>
      </c>
      <c r="IM218" t="inlineStr">
        <is>
          <t>RUS</t>
        </is>
      </c>
      <c r="IN218" t="inlineStr">
        <is>
          <t>RUS</t>
        </is>
      </c>
      <c r="IO218" t="inlineStr">
        <is>
          <t>RUS</t>
        </is>
      </c>
      <c r="IP218" t="inlineStr">
        <is>
          <t>RUS</t>
        </is>
      </c>
      <c r="IQ218" t="inlineStr">
        <is>
          <t>RUS</t>
        </is>
      </c>
      <c r="IR218" t="inlineStr">
        <is>
          <t>RUS</t>
        </is>
      </c>
      <c r="IS218" t="inlineStr">
        <is>
          <t>RUS</t>
        </is>
      </c>
      <c r="IT218" t="inlineStr">
        <is>
          <t>RUS</t>
        </is>
      </c>
      <c r="IU218" t="inlineStr">
        <is>
          <t>RUS</t>
        </is>
      </c>
      <c r="IV218" t="inlineStr">
        <is>
          <t>RUS</t>
        </is>
      </c>
      <c r="IW218" t="inlineStr">
        <is>
          <t>RUS</t>
        </is>
      </c>
      <c r="IX218" t="inlineStr">
        <is>
          <t>RUS</t>
        </is>
      </c>
      <c r="IY218" t="inlineStr">
        <is>
          <t>RUS</t>
        </is>
      </c>
      <c r="IZ218" t="inlineStr">
        <is>
          <t>RUS</t>
        </is>
      </c>
      <c r="JA218" t="inlineStr">
        <is>
          <t>RUS</t>
        </is>
      </c>
      <c r="JB218" t="inlineStr">
        <is>
          <t>RUS</t>
        </is>
      </c>
      <c r="JC218" t="inlineStr">
        <is>
          <t>RUS</t>
        </is>
      </c>
      <c r="JD218" t="inlineStr">
        <is>
          <t>RUS</t>
        </is>
      </c>
      <c r="JE218" t="inlineStr">
        <is>
          <t>RUS</t>
        </is>
      </c>
      <c r="JF218" t="inlineStr">
        <is>
          <t>RUS</t>
        </is>
      </c>
      <c r="JG218" t="inlineStr">
        <is>
          <t>RUS</t>
        </is>
      </c>
      <c r="JH218" t="inlineStr">
        <is>
          <t>RUS</t>
        </is>
      </c>
      <c r="JI218" t="inlineStr">
        <is>
          <t>RUS</t>
        </is>
      </c>
      <c r="JJ218" t="inlineStr">
        <is>
          <t>RUS</t>
        </is>
      </c>
      <c r="JK218" t="inlineStr">
        <is>
          <t>RUS</t>
        </is>
      </c>
      <c r="JL218" t="inlineStr">
        <is>
          <t>RUS</t>
        </is>
      </c>
      <c r="JM218" t="inlineStr">
        <is>
          <t>RUS</t>
        </is>
      </c>
      <c r="JN218" t="inlineStr">
        <is>
          <t>RUS</t>
        </is>
      </c>
      <c r="JO218" t="inlineStr">
        <is>
          <t>RUS</t>
        </is>
      </c>
      <c r="JP218" t="inlineStr">
        <is>
          <t>RUS</t>
        </is>
      </c>
      <c r="JQ218" t="inlineStr">
        <is>
          <t>RUS</t>
        </is>
      </c>
      <c r="JR218" t="inlineStr">
        <is>
          <t>RUS</t>
        </is>
      </c>
      <c r="JS218" t="inlineStr">
        <is>
          <t>RUS</t>
        </is>
      </c>
      <c r="JT218" t="inlineStr">
        <is>
          <t>RUS</t>
        </is>
      </c>
      <c r="JU218" t="inlineStr">
        <is>
          <t>RUS</t>
        </is>
      </c>
    </row>
    <row r="219">
      <c r="B219" t="inlineStr">
        <is>
          <t>GRL</t>
        </is>
      </c>
      <c r="C219" t="inlineStr">
        <is>
          <t>GRL</t>
        </is>
      </c>
      <c r="D219" t="inlineStr">
        <is>
          <t>GRL</t>
        </is>
      </c>
      <c r="E219" t="inlineStr">
        <is>
          <t>GRL</t>
        </is>
      </c>
      <c r="F219" t="inlineStr">
        <is>
          <t>GRL</t>
        </is>
      </c>
      <c r="G219" t="inlineStr">
        <is>
          <t>GRL</t>
        </is>
      </c>
      <c r="CR219" t="inlineStr">
        <is>
          <t>NOR</t>
        </is>
      </c>
      <c r="CS219" t="inlineStr">
        <is>
          <t>NOR</t>
        </is>
      </c>
      <c r="CT219" t="inlineStr">
        <is>
          <t>NOR</t>
        </is>
      </c>
      <c r="CU219" t="inlineStr">
        <is>
          <t>NOR</t>
        </is>
      </c>
      <c r="CV219" t="inlineStr">
        <is>
          <t>NOR</t>
        </is>
      </c>
      <c r="CW219" t="inlineStr">
        <is>
          <t>NOR</t>
        </is>
      </c>
      <c r="CX219" t="inlineStr">
        <is>
          <t>SWE</t>
        </is>
      </c>
      <c r="CY219" t="inlineStr">
        <is>
          <t>SWE</t>
        </is>
      </c>
      <c r="CZ219" t="inlineStr">
        <is>
          <t>SWE</t>
        </is>
      </c>
      <c r="DA219" t="inlineStr">
        <is>
          <t>FIN</t>
        </is>
      </c>
      <c r="DB219" t="inlineStr">
        <is>
          <t>FIN</t>
        </is>
      </c>
      <c r="DC219" t="inlineStr">
        <is>
          <t>FIN</t>
        </is>
      </c>
      <c r="DD219" t="inlineStr">
        <is>
          <t>FIN</t>
        </is>
      </c>
      <c r="DE219" t="inlineStr">
        <is>
          <t>FIN</t>
        </is>
      </c>
      <c r="DF219" t="inlineStr">
        <is>
          <t>FIN</t>
        </is>
      </c>
      <c r="DG219" t="inlineStr">
        <is>
          <t>NOR</t>
        </is>
      </c>
      <c r="DH219" t="inlineStr">
        <is>
          <t>FIN</t>
        </is>
      </c>
      <c r="DI219" t="inlineStr">
        <is>
          <t>FIN</t>
        </is>
      </c>
      <c r="DJ219" t="inlineStr">
        <is>
          <t>FIN</t>
        </is>
      </c>
      <c r="DK219" t="inlineStr">
        <is>
          <t>FIN</t>
        </is>
      </c>
      <c r="DL219" t="inlineStr">
        <is>
          <t>FIN</t>
        </is>
      </c>
      <c r="DM219" t="inlineStr">
        <is>
          <t>FIN</t>
        </is>
      </c>
      <c r="DN219" t="inlineStr">
        <is>
          <t>FIN</t>
        </is>
      </c>
      <c r="DO219" t="inlineStr">
        <is>
          <t>RUS</t>
        </is>
      </c>
      <c r="DP219" t="inlineStr">
        <is>
          <t>RUS</t>
        </is>
      </c>
      <c r="DQ219" t="inlineStr">
        <is>
          <t>RUS</t>
        </is>
      </c>
      <c r="DR219" t="inlineStr">
        <is>
          <t>RUS</t>
        </is>
      </c>
      <c r="DS219" t="inlineStr">
        <is>
          <t>RUS</t>
        </is>
      </c>
      <c r="DT219" t="inlineStr">
        <is>
          <t>RUS</t>
        </is>
      </c>
      <c r="DU219" t="inlineStr">
        <is>
          <t>RUS</t>
        </is>
      </c>
      <c r="DV219" t="inlineStr">
        <is>
          <t>RUS</t>
        </is>
      </c>
      <c r="DW219" t="inlineStr">
        <is>
          <t>RUS</t>
        </is>
      </c>
      <c r="DX219" t="inlineStr">
        <is>
          <t>RUS</t>
        </is>
      </c>
      <c r="DY219" t="inlineStr">
        <is>
          <t>RUS</t>
        </is>
      </c>
      <c r="DZ219" t="inlineStr">
        <is>
          <t>RUS</t>
        </is>
      </c>
      <c r="EA219" t="inlineStr">
        <is>
          <t>RUS</t>
        </is>
      </c>
      <c r="EB219" t="inlineStr">
        <is>
          <t>RUS</t>
        </is>
      </c>
      <c r="EC219" t="inlineStr">
        <is>
          <t>RUS</t>
        </is>
      </c>
      <c r="ED219" t="inlineStr">
        <is>
          <t>RUS</t>
        </is>
      </c>
      <c r="EE219" t="inlineStr">
        <is>
          <t>RUS</t>
        </is>
      </c>
      <c r="EF219" t="inlineStr">
        <is>
          <t>RUS</t>
        </is>
      </c>
      <c r="FM219" t="inlineStr">
        <is>
          <t>RUS</t>
        </is>
      </c>
      <c r="FN219" t="inlineStr">
        <is>
          <t>RUS</t>
        </is>
      </c>
      <c r="FW219" t="inlineStr">
        <is>
          <t>RUS</t>
        </is>
      </c>
      <c r="GB219" t="inlineStr">
        <is>
          <t>RUS</t>
        </is>
      </c>
      <c r="GC219" t="inlineStr">
        <is>
          <t>RUS</t>
        </is>
      </c>
      <c r="GD219" t="inlineStr">
        <is>
          <t>RUS</t>
        </is>
      </c>
      <c r="GE219" t="inlineStr">
        <is>
          <t>RUS</t>
        </is>
      </c>
      <c r="GF219" t="inlineStr">
        <is>
          <t>RUS</t>
        </is>
      </c>
      <c r="GG219" t="inlineStr">
        <is>
          <t>RUS</t>
        </is>
      </c>
      <c r="GH219" t="inlineStr">
        <is>
          <t>RUS</t>
        </is>
      </c>
      <c r="GI219" t="inlineStr">
        <is>
          <t>RUS</t>
        </is>
      </c>
      <c r="GJ219" t="inlineStr">
        <is>
          <t>RUS</t>
        </is>
      </c>
      <c r="GK219" t="inlineStr">
        <is>
          <t>RUS</t>
        </is>
      </c>
      <c r="GL219" t="inlineStr">
        <is>
          <t>RUS</t>
        </is>
      </c>
      <c r="GR219" t="inlineStr">
        <is>
          <t>RUS</t>
        </is>
      </c>
      <c r="GS219" t="inlineStr">
        <is>
          <t>RUS</t>
        </is>
      </c>
      <c r="GT219" t="inlineStr">
        <is>
          <t>RUS</t>
        </is>
      </c>
      <c r="GU219" t="inlineStr">
        <is>
          <t>RUS</t>
        </is>
      </c>
      <c r="GV219" t="inlineStr">
        <is>
          <t>RUS</t>
        </is>
      </c>
      <c r="GW219" t="inlineStr">
        <is>
          <t>RUS</t>
        </is>
      </c>
      <c r="GX219" t="inlineStr">
        <is>
          <t>RUS</t>
        </is>
      </c>
      <c r="GY219" t="inlineStr">
        <is>
          <t>RUS</t>
        </is>
      </c>
      <c r="HD219" t="inlineStr">
        <is>
          <t>RUS</t>
        </is>
      </c>
      <c r="HE219" t="inlineStr">
        <is>
          <t>RUS</t>
        </is>
      </c>
      <c r="HF219" t="inlineStr">
        <is>
          <t>RUS</t>
        </is>
      </c>
      <c r="HG219" t="inlineStr">
        <is>
          <t>RUS</t>
        </is>
      </c>
      <c r="HH219" t="inlineStr">
        <is>
          <t>RUS</t>
        </is>
      </c>
      <c r="HI219" t="inlineStr">
        <is>
          <t>RUS</t>
        </is>
      </c>
      <c r="HJ219" t="inlineStr">
        <is>
          <t>RUS</t>
        </is>
      </c>
      <c r="HK219" t="inlineStr">
        <is>
          <t>RUS</t>
        </is>
      </c>
      <c r="HL219" t="inlineStr">
        <is>
          <t>RUS</t>
        </is>
      </c>
      <c r="HM219" t="inlineStr">
        <is>
          <t>RUS</t>
        </is>
      </c>
      <c r="HN219" t="inlineStr">
        <is>
          <t>RUS</t>
        </is>
      </c>
      <c r="HO219" t="inlineStr">
        <is>
          <t>RUS</t>
        </is>
      </c>
      <c r="HP219" t="inlineStr">
        <is>
          <t>RUS</t>
        </is>
      </c>
      <c r="HQ219" t="inlineStr">
        <is>
          <t>RUS</t>
        </is>
      </c>
      <c r="HR219" t="inlineStr">
        <is>
          <t>RUS</t>
        </is>
      </c>
      <c r="HS219" t="inlineStr">
        <is>
          <t>RUS</t>
        </is>
      </c>
      <c r="HT219" t="inlineStr">
        <is>
          <t>RUS</t>
        </is>
      </c>
      <c r="HU219" t="inlineStr">
        <is>
          <t>RUS</t>
        </is>
      </c>
      <c r="HV219" t="inlineStr">
        <is>
          <t>RUS</t>
        </is>
      </c>
      <c r="HW219" t="inlineStr">
        <is>
          <t>RUS</t>
        </is>
      </c>
      <c r="HX219" t="inlineStr">
        <is>
          <t>RUS</t>
        </is>
      </c>
      <c r="HY219" t="inlineStr">
        <is>
          <t>RUS</t>
        </is>
      </c>
      <c r="HZ219" t="inlineStr">
        <is>
          <t>RUS</t>
        </is>
      </c>
      <c r="IA219" t="inlineStr">
        <is>
          <t>RUS</t>
        </is>
      </c>
      <c r="IB219" t="inlineStr">
        <is>
          <t>RUS</t>
        </is>
      </c>
      <c r="IC219" t="inlineStr">
        <is>
          <t>RUS</t>
        </is>
      </c>
      <c r="ID219" t="inlineStr">
        <is>
          <t>RUS</t>
        </is>
      </c>
      <c r="IE219" t="inlineStr">
        <is>
          <t>RUS</t>
        </is>
      </c>
      <c r="IF219" t="inlineStr">
        <is>
          <t>RUS</t>
        </is>
      </c>
      <c r="IG219" t="inlineStr">
        <is>
          <t>RUS</t>
        </is>
      </c>
      <c r="IH219" t="inlineStr">
        <is>
          <t>RUS</t>
        </is>
      </c>
      <c r="II219" t="inlineStr">
        <is>
          <t>RUS</t>
        </is>
      </c>
      <c r="IJ219" t="inlineStr">
        <is>
          <t>RUS</t>
        </is>
      </c>
      <c r="IK219" t="inlineStr">
        <is>
          <t>RUS</t>
        </is>
      </c>
      <c r="IL219" t="inlineStr">
        <is>
          <t>RUS</t>
        </is>
      </c>
      <c r="IM219" t="inlineStr">
        <is>
          <t>RUS</t>
        </is>
      </c>
      <c r="IN219" t="inlineStr">
        <is>
          <t>RUS</t>
        </is>
      </c>
      <c r="IO219" t="inlineStr">
        <is>
          <t>RUS</t>
        </is>
      </c>
      <c r="IP219" t="inlineStr">
        <is>
          <t>RUS</t>
        </is>
      </c>
      <c r="IQ219" t="inlineStr">
        <is>
          <t>RUS</t>
        </is>
      </c>
      <c r="IR219" t="inlineStr">
        <is>
          <t>RUS</t>
        </is>
      </c>
      <c r="IS219" t="inlineStr">
        <is>
          <t>RUS</t>
        </is>
      </c>
      <c r="IT219" t="inlineStr">
        <is>
          <t>RUS</t>
        </is>
      </c>
      <c r="IU219" t="inlineStr">
        <is>
          <t>RUS</t>
        </is>
      </c>
      <c r="IV219" t="inlineStr">
        <is>
          <t>RUS</t>
        </is>
      </c>
      <c r="IW219" t="inlineStr">
        <is>
          <t>RUS</t>
        </is>
      </c>
      <c r="IX219" t="inlineStr">
        <is>
          <t>RUS</t>
        </is>
      </c>
      <c r="IY219" t="inlineStr">
        <is>
          <t>RUS</t>
        </is>
      </c>
      <c r="IZ219" t="inlineStr">
        <is>
          <t>RUS</t>
        </is>
      </c>
      <c r="JA219" t="inlineStr">
        <is>
          <t>RUS</t>
        </is>
      </c>
      <c r="JB219" t="inlineStr">
        <is>
          <t>RUS</t>
        </is>
      </c>
      <c r="JC219" t="inlineStr">
        <is>
          <t>RUS</t>
        </is>
      </c>
      <c r="JD219" t="inlineStr">
        <is>
          <t>RUS</t>
        </is>
      </c>
      <c r="JE219" t="inlineStr">
        <is>
          <t>RUS</t>
        </is>
      </c>
      <c r="JF219" t="inlineStr">
        <is>
          <t>RUS</t>
        </is>
      </c>
      <c r="JG219" t="inlineStr">
        <is>
          <t>RUS</t>
        </is>
      </c>
      <c r="JH219" t="inlineStr">
        <is>
          <t>RUS</t>
        </is>
      </c>
      <c r="JI219" t="inlineStr">
        <is>
          <t>RUS</t>
        </is>
      </c>
      <c r="JJ219" t="inlineStr">
        <is>
          <t>RUS</t>
        </is>
      </c>
      <c r="JK219" t="inlineStr">
        <is>
          <t>RUS</t>
        </is>
      </c>
      <c r="JL219" t="inlineStr">
        <is>
          <t>RUS</t>
        </is>
      </c>
      <c r="JM219" t="inlineStr">
        <is>
          <t>RUS</t>
        </is>
      </c>
      <c r="JN219" t="inlineStr">
        <is>
          <t>RUS</t>
        </is>
      </c>
      <c r="JO219" t="inlineStr">
        <is>
          <t>RUS</t>
        </is>
      </c>
      <c r="JP219" t="inlineStr">
        <is>
          <t>RUS</t>
        </is>
      </c>
      <c r="JQ219" t="inlineStr">
        <is>
          <t>RUS</t>
        </is>
      </c>
      <c r="JR219" t="inlineStr">
        <is>
          <t>RUS</t>
        </is>
      </c>
      <c r="JS219" t="inlineStr">
        <is>
          <t>RUS</t>
        </is>
      </c>
      <c r="JT219" t="inlineStr">
        <is>
          <t>RUS</t>
        </is>
      </c>
      <c r="JU219" t="inlineStr">
        <is>
          <t>RUS</t>
        </is>
      </c>
    </row>
    <row r="220">
      <c r="B220" t="inlineStr">
        <is>
          <t>GRL</t>
        </is>
      </c>
      <c r="C220" t="inlineStr">
        <is>
          <t>GRL</t>
        </is>
      </c>
      <c r="D220" t="inlineStr">
        <is>
          <t>GRL</t>
        </is>
      </c>
      <c r="E220" t="inlineStr">
        <is>
          <t>GRL</t>
        </is>
      </c>
      <c r="F220" t="inlineStr">
        <is>
          <t>GRL</t>
        </is>
      </c>
      <c r="G220" t="inlineStr">
        <is>
          <t>GRL</t>
        </is>
      </c>
      <c r="H220" t="inlineStr">
        <is>
          <t>GRL</t>
        </is>
      </c>
      <c r="I220" t="inlineStr">
        <is>
          <t>GRL</t>
        </is>
      </c>
      <c r="J220" t="inlineStr">
        <is>
          <t>GRL</t>
        </is>
      </c>
      <c r="K220" t="inlineStr">
        <is>
          <t>GRL</t>
        </is>
      </c>
      <c r="CT220" t="inlineStr">
        <is>
          <t>NOR</t>
        </is>
      </c>
      <c r="CU220" t="inlineStr">
        <is>
          <t>NOR</t>
        </is>
      </c>
      <c r="CV220" t="inlineStr">
        <is>
          <t>NOR</t>
        </is>
      </c>
      <c r="CW220" t="inlineStr">
        <is>
          <t>NOR</t>
        </is>
      </c>
      <c r="CX220" t="inlineStr">
        <is>
          <t>NOR</t>
        </is>
      </c>
      <c r="CY220" t="inlineStr">
        <is>
          <t>NOR</t>
        </is>
      </c>
      <c r="CZ220" t="inlineStr">
        <is>
          <t>FIN</t>
        </is>
      </c>
      <c r="DA220" t="inlineStr">
        <is>
          <t>NOR</t>
        </is>
      </c>
      <c r="DB220" t="inlineStr">
        <is>
          <t>NOR</t>
        </is>
      </c>
      <c r="DC220" t="inlineStr">
        <is>
          <t>NOR</t>
        </is>
      </c>
      <c r="DD220" t="inlineStr">
        <is>
          <t>NOR</t>
        </is>
      </c>
      <c r="DE220" t="inlineStr">
        <is>
          <t>NOR</t>
        </is>
      </c>
      <c r="DF220" t="inlineStr">
        <is>
          <t>NOR</t>
        </is>
      </c>
      <c r="DG220" t="inlineStr">
        <is>
          <t>NOR</t>
        </is>
      </c>
      <c r="DH220" t="inlineStr">
        <is>
          <t>NOR</t>
        </is>
      </c>
      <c r="DI220" t="inlineStr">
        <is>
          <t>NOR</t>
        </is>
      </c>
      <c r="DJ220" t="inlineStr">
        <is>
          <t>FIN</t>
        </is>
      </c>
      <c r="DK220" t="inlineStr">
        <is>
          <t>FIN</t>
        </is>
      </c>
      <c r="DL220" t="inlineStr">
        <is>
          <t>FIN</t>
        </is>
      </c>
      <c r="DM220" t="inlineStr">
        <is>
          <t>FIN</t>
        </is>
      </c>
      <c r="DN220" t="inlineStr">
        <is>
          <t>FIN</t>
        </is>
      </c>
      <c r="DO220" t="inlineStr">
        <is>
          <t>NOR</t>
        </is>
      </c>
      <c r="DP220" t="inlineStr">
        <is>
          <t>NOR</t>
        </is>
      </c>
      <c r="DQ220" t="inlineStr">
        <is>
          <t>NOR</t>
        </is>
      </c>
      <c r="DR220" t="inlineStr">
        <is>
          <t>RUS</t>
        </is>
      </c>
      <c r="DS220" t="inlineStr">
        <is>
          <t>RUS</t>
        </is>
      </c>
      <c r="DT220" t="inlineStr">
        <is>
          <t>RUS</t>
        </is>
      </c>
      <c r="DU220" t="inlineStr">
        <is>
          <t>RUS</t>
        </is>
      </c>
      <c r="DV220" t="inlineStr">
        <is>
          <t>RUS</t>
        </is>
      </c>
      <c r="DW220" t="inlineStr">
        <is>
          <t>RUS</t>
        </is>
      </c>
      <c r="DX220" t="inlineStr">
        <is>
          <t>RUS</t>
        </is>
      </c>
      <c r="DY220" t="inlineStr">
        <is>
          <t>RUS</t>
        </is>
      </c>
      <c r="DZ220" t="inlineStr">
        <is>
          <t>RUS</t>
        </is>
      </c>
      <c r="GA220" t="inlineStr">
        <is>
          <t>RUS</t>
        </is>
      </c>
      <c r="GB220" t="inlineStr">
        <is>
          <t>RUS</t>
        </is>
      </c>
      <c r="GC220" t="inlineStr">
        <is>
          <t>RUS</t>
        </is>
      </c>
      <c r="GD220" t="inlineStr">
        <is>
          <t>RUS</t>
        </is>
      </c>
      <c r="GE220" t="inlineStr">
        <is>
          <t>RUS</t>
        </is>
      </c>
      <c r="GF220" t="inlineStr">
        <is>
          <t>RUS</t>
        </is>
      </c>
      <c r="GG220" t="inlineStr">
        <is>
          <t>RUS</t>
        </is>
      </c>
      <c r="GH220" t="inlineStr">
        <is>
          <t>RUS</t>
        </is>
      </c>
      <c r="GI220" t="inlineStr">
        <is>
          <t>RUS</t>
        </is>
      </c>
      <c r="GP220" t="inlineStr">
        <is>
          <t>RUS</t>
        </is>
      </c>
      <c r="GQ220" t="inlineStr">
        <is>
          <t>RUS</t>
        </is>
      </c>
      <c r="GR220" t="inlineStr">
        <is>
          <t>RUS</t>
        </is>
      </c>
      <c r="GS220" t="inlineStr">
        <is>
          <t>RUS</t>
        </is>
      </c>
      <c r="GT220" t="inlineStr">
        <is>
          <t>RUS</t>
        </is>
      </c>
      <c r="GU220" t="inlineStr">
        <is>
          <t>RUS</t>
        </is>
      </c>
      <c r="GV220" t="inlineStr">
        <is>
          <t>RUS</t>
        </is>
      </c>
      <c r="GW220" t="inlineStr">
        <is>
          <t>RUS</t>
        </is>
      </c>
      <c r="GX220" t="inlineStr">
        <is>
          <t>RUS</t>
        </is>
      </c>
      <c r="HB220" t="inlineStr">
        <is>
          <t>RUS</t>
        </is>
      </c>
      <c r="HC220" t="inlineStr">
        <is>
          <t>RUS</t>
        </is>
      </c>
      <c r="HD220" t="inlineStr">
        <is>
          <t>RUS</t>
        </is>
      </c>
      <c r="HE220" t="inlineStr">
        <is>
          <t>RUS</t>
        </is>
      </c>
      <c r="HF220" t="inlineStr">
        <is>
          <t>RUS</t>
        </is>
      </c>
      <c r="HG220" t="inlineStr">
        <is>
          <t>RUS</t>
        </is>
      </c>
      <c r="HH220" t="inlineStr">
        <is>
          <t>RUS</t>
        </is>
      </c>
      <c r="HI220" t="inlineStr">
        <is>
          <t>RUS</t>
        </is>
      </c>
      <c r="HJ220" t="inlineStr">
        <is>
          <t>RUS</t>
        </is>
      </c>
      <c r="HK220" t="inlineStr">
        <is>
          <t>RUS</t>
        </is>
      </c>
      <c r="HL220" t="inlineStr">
        <is>
          <t>RUS</t>
        </is>
      </c>
      <c r="HM220" t="inlineStr">
        <is>
          <t>RUS</t>
        </is>
      </c>
      <c r="HN220" t="inlineStr">
        <is>
          <t>RUS</t>
        </is>
      </c>
      <c r="HO220" t="inlineStr">
        <is>
          <t>RUS</t>
        </is>
      </c>
      <c r="HP220" t="inlineStr">
        <is>
          <t>RUS</t>
        </is>
      </c>
      <c r="HQ220" t="inlineStr">
        <is>
          <t>RUS</t>
        </is>
      </c>
      <c r="HR220" t="inlineStr">
        <is>
          <t>RUS</t>
        </is>
      </c>
      <c r="HS220" t="inlineStr">
        <is>
          <t>RUS</t>
        </is>
      </c>
      <c r="HT220" t="inlineStr">
        <is>
          <t>RUS</t>
        </is>
      </c>
      <c r="HU220" t="inlineStr">
        <is>
          <t>RUS</t>
        </is>
      </c>
      <c r="HV220" t="inlineStr">
        <is>
          <t>RUS</t>
        </is>
      </c>
      <c r="HW220" t="inlineStr">
        <is>
          <t>RUS</t>
        </is>
      </c>
      <c r="HX220" t="inlineStr">
        <is>
          <t>RUS</t>
        </is>
      </c>
      <c r="HY220" t="inlineStr">
        <is>
          <t>RUS</t>
        </is>
      </c>
      <c r="HZ220" t="inlineStr">
        <is>
          <t>RUS</t>
        </is>
      </c>
      <c r="IA220" t="inlineStr">
        <is>
          <t>RUS</t>
        </is>
      </c>
      <c r="IB220" t="inlineStr">
        <is>
          <t>RUS</t>
        </is>
      </c>
      <c r="IC220" t="inlineStr">
        <is>
          <t>RUS</t>
        </is>
      </c>
      <c r="ID220" t="inlineStr">
        <is>
          <t>RUS</t>
        </is>
      </c>
      <c r="IE220" t="inlineStr">
        <is>
          <t>RUS</t>
        </is>
      </c>
      <c r="IF220" t="inlineStr">
        <is>
          <t>RUS</t>
        </is>
      </c>
      <c r="IG220" t="inlineStr">
        <is>
          <t>RUS</t>
        </is>
      </c>
      <c r="IH220" t="inlineStr">
        <is>
          <t>RUS</t>
        </is>
      </c>
      <c r="II220" t="inlineStr">
        <is>
          <t>RUS</t>
        </is>
      </c>
      <c r="IJ220" t="inlineStr">
        <is>
          <t>RUS</t>
        </is>
      </c>
      <c r="IK220" t="inlineStr">
        <is>
          <t>RUS</t>
        </is>
      </c>
      <c r="IL220" t="inlineStr">
        <is>
          <t>RUS</t>
        </is>
      </c>
      <c r="IM220" t="inlineStr">
        <is>
          <t>RUS</t>
        </is>
      </c>
      <c r="IN220" t="inlineStr">
        <is>
          <t>RUS</t>
        </is>
      </c>
      <c r="IO220" t="inlineStr">
        <is>
          <t>RUS</t>
        </is>
      </c>
      <c r="IP220" t="inlineStr">
        <is>
          <t>RUS</t>
        </is>
      </c>
      <c r="IQ220" t="inlineStr">
        <is>
          <t>RUS</t>
        </is>
      </c>
      <c r="IR220" t="inlineStr">
        <is>
          <t>RUS</t>
        </is>
      </c>
      <c r="IS220" t="inlineStr">
        <is>
          <t>RUS</t>
        </is>
      </c>
      <c r="IT220" t="inlineStr">
        <is>
          <t>RUS</t>
        </is>
      </c>
      <c r="IU220" t="inlineStr">
        <is>
          <t>RUS</t>
        </is>
      </c>
      <c r="IV220" t="inlineStr">
        <is>
          <t>RUS</t>
        </is>
      </c>
      <c r="IW220" t="inlineStr">
        <is>
          <t>RUS</t>
        </is>
      </c>
      <c r="IX220" t="inlineStr">
        <is>
          <t>RUS</t>
        </is>
      </c>
      <c r="IY220" t="inlineStr">
        <is>
          <t>RUS</t>
        </is>
      </c>
      <c r="IZ220" t="inlineStr">
        <is>
          <t>RUS</t>
        </is>
      </c>
      <c r="JA220" t="inlineStr">
        <is>
          <t>RUS</t>
        </is>
      </c>
      <c r="JB220" t="inlineStr">
        <is>
          <t>RUS</t>
        </is>
      </c>
      <c r="JC220" t="inlineStr">
        <is>
          <t>RUS</t>
        </is>
      </c>
      <c r="JD220" t="inlineStr">
        <is>
          <t>RUS</t>
        </is>
      </c>
      <c r="JE220" t="inlineStr">
        <is>
          <t>RUS</t>
        </is>
      </c>
      <c r="JF220" t="inlineStr">
        <is>
          <t>RUS</t>
        </is>
      </c>
      <c r="JG220" t="inlineStr">
        <is>
          <t>RUS</t>
        </is>
      </c>
      <c r="JH220" t="inlineStr">
        <is>
          <t>RUS</t>
        </is>
      </c>
      <c r="JI220" t="inlineStr">
        <is>
          <t>RUS</t>
        </is>
      </c>
      <c r="JJ220" t="inlineStr">
        <is>
          <t>RUS</t>
        </is>
      </c>
      <c r="JK220" t="inlineStr">
        <is>
          <t>RUS</t>
        </is>
      </c>
      <c r="JL220" t="inlineStr">
        <is>
          <t>RUS</t>
        </is>
      </c>
      <c r="JM220" t="inlineStr">
        <is>
          <t>RUS</t>
        </is>
      </c>
      <c r="JN220" t="inlineStr">
        <is>
          <t>RUS</t>
        </is>
      </c>
      <c r="JO220" t="inlineStr">
        <is>
          <t>RUS</t>
        </is>
      </c>
      <c r="JP220" t="inlineStr">
        <is>
          <t>RUS</t>
        </is>
      </c>
      <c r="JQ220" t="inlineStr">
        <is>
          <t>RUS</t>
        </is>
      </c>
      <c r="JR220" t="inlineStr">
        <is>
          <t>RUS</t>
        </is>
      </c>
      <c r="JS220" t="inlineStr">
        <is>
          <t>RUS</t>
        </is>
      </c>
      <c r="JT220" t="inlineStr">
        <is>
          <t>RUS</t>
        </is>
      </c>
      <c r="JU220" t="inlineStr">
        <is>
          <t>RUS</t>
        </is>
      </c>
    </row>
    <row r="221">
      <c r="B221" t="inlineStr">
        <is>
          <t>GRL</t>
        </is>
      </c>
      <c r="C221" t="inlineStr">
        <is>
          <t>GRL</t>
        </is>
      </c>
      <c r="D221" t="inlineStr">
        <is>
          <t>GRL</t>
        </is>
      </c>
      <c r="E221" t="inlineStr">
        <is>
          <t>GRL</t>
        </is>
      </c>
      <c r="F221" t="inlineStr">
        <is>
          <t>GRL</t>
        </is>
      </c>
      <c r="G221" t="inlineStr">
        <is>
          <t>GRL</t>
        </is>
      </c>
      <c r="H221" t="inlineStr">
        <is>
          <t>GRL</t>
        </is>
      </c>
      <c r="I221" t="inlineStr">
        <is>
          <t>GRL</t>
        </is>
      </c>
      <c r="J221" t="inlineStr">
        <is>
          <t>GRL</t>
        </is>
      </c>
      <c r="K221" t="inlineStr">
        <is>
          <t>GRL</t>
        </is>
      </c>
      <c r="L221" t="inlineStr">
        <is>
          <t>GRL</t>
        </is>
      </c>
      <c r="M221" t="inlineStr">
        <is>
          <t>GRL</t>
        </is>
      </c>
      <c r="N221" t="inlineStr">
        <is>
          <t>GRL</t>
        </is>
      </c>
      <c r="CV221" t="inlineStr">
        <is>
          <t>NOR</t>
        </is>
      </c>
      <c r="CW221" t="inlineStr">
        <is>
          <t>NOR</t>
        </is>
      </c>
      <c r="CX221" t="inlineStr">
        <is>
          <t>NOR</t>
        </is>
      </c>
      <c r="CY221" t="inlineStr">
        <is>
          <t>NOR</t>
        </is>
      </c>
      <c r="CZ221" t="inlineStr">
        <is>
          <t>NOR</t>
        </is>
      </c>
      <c r="DA221" t="inlineStr">
        <is>
          <t>NOR</t>
        </is>
      </c>
      <c r="DB221" t="inlineStr">
        <is>
          <t>NOR</t>
        </is>
      </c>
      <c r="DC221" t="inlineStr">
        <is>
          <t>NOR</t>
        </is>
      </c>
      <c r="DD221" t="inlineStr">
        <is>
          <t>NOR</t>
        </is>
      </c>
      <c r="DE221" t="inlineStr">
        <is>
          <t>NOR</t>
        </is>
      </c>
      <c r="DF221" t="inlineStr">
        <is>
          <t>NOR</t>
        </is>
      </c>
      <c r="DG221" t="inlineStr">
        <is>
          <t>NOR</t>
        </is>
      </c>
      <c r="DH221" t="inlineStr">
        <is>
          <t>NOR</t>
        </is>
      </c>
      <c r="DI221" t="inlineStr">
        <is>
          <t>NOR</t>
        </is>
      </c>
      <c r="DJ221" t="inlineStr">
        <is>
          <t>FIN</t>
        </is>
      </c>
      <c r="DK221" t="inlineStr">
        <is>
          <t>FIN</t>
        </is>
      </c>
      <c r="DL221" t="inlineStr">
        <is>
          <t>FIN</t>
        </is>
      </c>
      <c r="DM221" t="inlineStr">
        <is>
          <t>FIN</t>
        </is>
      </c>
      <c r="DN221" t="inlineStr">
        <is>
          <t>FIN</t>
        </is>
      </c>
      <c r="DO221" t="inlineStr">
        <is>
          <t>FIN</t>
        </is>
      </c>
      <c r="DP221" t="inlineStr">
        <is>
          <t>NOR</t>
        </is>
      </c>
      <c r="DQ221" t="inlineStr">
        <is>
          <t>NOR</t>
        </is>
      </c>
      <c r="DR221" t="inlineStr">
        <is>
          <t>NOR</t>
        </is>
      </c>
      <c r="DS221" t="inlineStr">
        <is>
          <t>NOR</t>
        </is>
      </c>
      <c r="DU221" t="inlineStr">
        <is>
          <t>RUS</t>
        </is>
      </c>
      <c r="DV221" t="inlineStr">
        <is>
          <t>RUS</t>
        </is>
      </c>
      <c r="GA221" t="inlineStr">
        <is>
          <t>RUS</t>
        </is>
      </c>
      <c r="GB221" t="inlineStr">
        <is>
          <t>RUS</t>
        </is>
      </c>
      <c r="GN221" t="inlineStr">
        <is>
          <t>RUS</t>
        </is>
      </c>
      <c r="GO221" t="inlineStr">
        <is>
          <t>RUS</t>
        </is>
      </c>
      <c r="GP221" t="inlineStr">
        <is>
          <t>RUS</t>
        </is>
      </c>
      <c r="GQ221" t="inlineStr">
        <is>
          <t>RUS</t>
        </is>
      </c>
      <c r="GR221" t="inlineStr">
        <is>
          <t>RUS</t>
        </is>
      </c>
      <c r="GS221" t="inlineStr">
        <is>
          <t>RUS</t>
        </is>
      </c>
      <c r="GT221" t="inlineStr">
        <is>
          <t>RUS</t>
        </is>
      </c>
      <c r="GU221" t="inlineStr">
        <is>
          <t>RUS</t>
        </is>
      </c>
      <c r="GV221" t="inlineStr">
        <is>
          <t>RUS</t>
        </is>
      </c>
      <c r="GW221" t="inlineStr">
        <is>
          <t>RUS</t>
        </is>
      </c>
      <c r="GX221" t="inlineStr">
        <is>
          <t>RUS</t>
        </is>
      </c>
      <c r="HA221" t="inlineStr">
        <is>
          <t>RUS</t>
        </is>
      </c>
      <c r="HB221" t="inlineStr">
        <is>
          <t>RUS</t>
        </is>
      </c>
      <c r="HC221" t="inlineStr">
        <is>
          <t>RUS</t>
        </is>
      </c>
      <c r="HD221" t="inlineStr">
        <is>
          <t>RUS</t>
        </is>
      </c>
      <c r="HE221" t="inlineStr">
        <is>
          <t>RUS</t>
        </is>
      </c>
      <c r="HF221" t="inlineStr">
        <is>
          <t>RUS</t>
        </is>
      </c>
      <c r="HG221" t="inlineStr">
        <is>
          <t>RUS</t>
        </is>
      </c>
      <c r="HH221" t="inlineStr">
        <is>
          <t>RUS</t>
        </is>
      </c>
      <c r="HI221" t="inlineStr">
        <is>
          <t>RUS</t>
        </is>
      </c>
      <c r="HJ221" t="inlineStr">
        <is>
          <t>RUS</t>
        </is>
      </c>
      <c r="HK221" t="inlineStr">
        <is>
          <t>RUS</t>
        </is>
      </c>
      <c r="HL221" t="inlineStr">
        <is>
          <t>RUS</t>
        </is>
      </c>
      <c r="HM221" t="inlineStr">
        <is>
          <t>RUS</t>
        </is>
      </c>
      <c r="HN221" t="inlineStr">
        <is>
          <t>RUS</t>
        </is>
      </c>
      <c r="HO221" t="inlineStr">
        <is>
          <t>RUS</t>
        </is>
      </c>
      <c r="HP221" t="inlineStr">
        <is>
          <t>RUS</t>
        </is>
      </c>
      <c r="HQ221" t="inlineStr">
        <is>
          <t>RUS</t>
        </is>
      </c>
      <c r="HR221" t="inlineStr">
        <is>
          <t>RUS</t>
        </is>
      </c>
      <c r="HS221" t="inlineStr">
        <is>
          <t>RUS</t>
        </is>
      </c>
      <c r="HT221" t="inlineStr">
        <is>
          <t>RUS</t>
        </is>
      </c>
      <c r="HU221" t="inlineStr">
        <is>
          <t>RUS</t>
        </is>
      </c>
      <c r="HV221" t="inlineStr">
        <is>
          <t>RUS</t>
        </is>
      </c>
      <c r="HW221" t="inlineStr">
        <is>
          <t>RUS</t>
        </is>
      </c>
      <c r="HX221" t="inlineStr">
        <is>
          <t>RUS</t>
        </is>
      </c>
      <c r="HY221" t="inlineStr">
        <is>
          <t>RUS</t>
        </is>
      </c>
      <c r="HZ221" t="inlineStr">
        <is>
          <t>RUS</t>
        </is>
      </c>
      <c r="IA221" t="inlineStr">
        <is>
          <t>RUS</t>
        </is>
      </c>
      <c r="IB221" t="inlineStr">
        <is>
          <t>RUS</t>
        </is>
      </c>
      <c r="IC221" t="inlineStr">
        <is>
          <t>RUS</t>
        </is>
      </c>
      <c r="ID221" t="inlineStr">
        <is>
          <t>RUS</t>
        </is>
      </c>
      <c r="IE221" t="inlineStr">
        <is>
          <t>RUS</t>
        </is>
      </c>
      <c r="IF221" t="inlineStr">
        <is>
          <t>RUS</t>
        </is>
      </c>
      <c r="IG221" t="inlineStr">
        <is>
          <t>RUS</t>
        </is>
      </c>
      <c r="IH221" t="inlineStr">
        <is>
          <t>RUS</t>
        </is>
      </c>
      <c r="II221" t="inlineStr">
        <is>
          <t>RUS</t>
        </is>
      </c>
      <c r="IJ221" t="inlineStr">
        <is>
          <t>RUS</t>
        </is>
      </c>
      <c r="IK221" t="inlineStr">
        <is>
          <t>RUS</t>
        </is>
      </c>
      <c r="IL221" t="inlineStr">
        <is>
          <t>RUS</t>
        </is>
      </c>
      <c r="IM221" t="inlineStr">
        <is>
          <t>RUS</t>
        </is>
      </c>
      <c r="IN221" t="inlineStr">
        <is>
          <t>RUS</t>
        </is>
      </c>
      <c r="IO221" t="inlineStr">
        <is>
          <t>RUS</t>
        </is>
      </c>
      <c r="IP221" t="inlineStr">
        <is>
          <t>RUS</t>
        </is>
      </c>
      <c r="IQ221" t="inlineStr">
        <is>
          <t>RUS</t>
        </is>
      </c>
      <c r="IR221" t="inlineStr">
        <is>
          <t>RUS</t>
        </is>
      </c>
      <c r="IS221" t="inlineStr">
        <is>
          <t>RUS</t>
        </is>
      </c>
      <c r="IT221" t="inlineStr">
        <is>
          <t>RUS</t>
        </is>
      </c>
      <c r="IU221" t="inlineStr">
        <is>
          <t>RUS</t>
        </is>
      </c>
      <c r="IV221" t="inlineStr">
        <is>
          <t>RUS</t>
        </is>
      </c>
      <c r="IW221" t="inlineStr">
        <is>
          <t>RUS</t>
        </is>
      </c>
      <c r="IX221" t="inlineStr">
        <is>
          <t>RUS</t>
        </is>
      </c>
      <c r="IY221" t="inlineStr">
        <is>
          <t>RUS</t>
        </is>
      </c>
      <c r="IZ221" t="inlineStr">
        <is>
          <t>RUS</t>
        </is>
      </c>
      <c r="JA221" t="inlineStr">
        <is>
          <t>RUS</t>
        </is>
      </c>
      <c r="JB221" t="inlineStr">
        <is>
          <t>RUS</t>
        </is>
      </c>
      <c r="JC221" t="inlineStr">
        <is>
          <t>RUS</t>
        </is>
      </c>
      <c r="JD221" t="inlineStr">
        <is>
          <t>RUS</t>
        </is>
      </c>
      <c r="JE221" t="inlineStr">
        <is>
          <t>RUS</t>
        </is>
      </c>
      <c r="JF221" t="inlineStr">
        <is>
          <t>RUS</t>
        </is>
      </c>
      <c r="JG221" t="inlineStr">
        <is>
          <t>RUS</t>
        </is>
      </c>
      <c r="JH221" t="inlineStr">
        <is>
          <t>RUS</t>
        </is>
      </c>
      <c r="JI221" t="inlineStr">
        <is>
          <t>RUS</t>
        </is>
      </c>
      <c r="JJ221" t="inlineStr">
        <is>
          <t>RUS</t>
        </is>
      </c>
      <c r="JK221" t="inlineStr">
        <is>
          <t>RUS</t>
        </is>
      </c>
      <c r="JL221" t="inlineStr">
        <is>
          <t>RUS</t>
        </is>
      </c>
      <c r="JM221" t="inlineStr">
        <is>
          <t>RUS</t>
        </is>
      </c>
      <c r="JN221" t="inlineStr">
        <is>
          <t>RUS</t>
        </is>
      </c>
      <c r="JO221" t="inlineStr">
        <is>
          <t>RUS</t>
        </is>
      </c>
      <c r="JP221" t="inlineStr">
        <is>
          <t>RUS</t>
        </is>
      </c>
      <c r="JQ221" t="inlineStr">
        <is>
          <t>RUS</t>
        </is>
      </c>
      <c r="JR221" t="inlineStr">
        <is>
          <t>RUS</t>
        </is>
      </c>
      <c r="JS221" t="inlineStr">
        <is>
          <t>RUS</t>
        </is>
      </c>
      <c r="JT221" t="inlineStr">
        <is>
          <t>RUS</t>
        </is>
      </c>
      <c r="JU221" t="inlineStr">
        <is>
          <t>RUS</t>
        </is>
      </c>
    </row>
    <row r="222">
      <c r="B222" t="inlineStr">
        <is>
          <t>GRL</t>
        </is>
      </c>
      <c r="C222" t="inlineStr">
        <is>
          <t>GRL</t>
        </is>
      </c>
      <c r="D222" t="inlineStr">
        <is>
          <t>GRL</t>
        </is>
      </c>
      <c r="E222" t="inlineStr">
        <is>
          <t>GRL</t>
        </is>
      </c>
      <c r="F222" t="inlineStr">
        <is>
          <t>GRL</t>
        </is>
      </c>
      <c r="G222" t="inlineStr">
        <is>
          <t>GRL</t>
        </is>
      </c>
      <c r="H222" t="inlineStr">
        <is>
          <t>GRL</t>
        </is>
      </c>
      <c r="DD222" t="inlineStr">
        <is>
          <t>NOR</t>
        </is>
      </c>
      <c r="DE222" t="inlineStr">
        <is>
          <t>NOR</t>
        </is>
      </c>
      <c r="DF222" t="inlineStr">
        <is>
          <t>NOR</t>
        </is>
      </c>
      <c r="DG222" t="inlineStr">
        <is>
          <t>NOR</t>
        </is>
      </c>
      <c r="DH222" t="inlineStr">
        <is>
          <t>NOR</t>
        </is>
      </c>
      <c r="DI222" t="inlineStr">
        <is>
          <t>NOR</t>
        </is>
      </c>
      <c r="DJ222" t="inlineStr">
        <is>
          <t>NOR</t>
        </is>
      </c>
      <c r="DK222" t="inlineStr">
        <is>
          <t>NOR</t>
        </is>
      </c>
      <c r="DL222" t="inlineStr">
        <is>
          <t>NOR</t>
        </is>
      </c>
      <c r="DM222" t="inlineStr">
        <is>
          <t>NOR</t>
        </is>
      </c>
      <c r="DN222" t="inlineStr">
        <is>
          <t>NOR</t>
        </is>
      </c>
      <c r="DO222" t="inlineStr">
        <is>
          <t>NOR</t>
        </is>
      </c>
      <c r="DP222" t="inlineStr">
        <is>
          <t>NOR</t>
        </is>
      </c>
      <c r="DQ222" t="inlineStr">
        <is>
          <t>NOR</t>
        </is>
      </c>
      <c r="DR222" t="inlineStr">
        <is>
          <t>NOR</t>
        </is>
      </c>
      <c r="GN222" t="inlineStr">
        <is>
          <t>RUS</t>
        </is>
      </c>
      <c r="GO222" t="inlineStr">
        <is>
          <t>RUS</t>
        </is>
      </c>
      <c r="GP222" t="inlineStr">
        <is>
          <t>RUS</t>
        </is>
      </c>
      <c r="GQ222" t="inlineStr">
        <is>
          <t>RUS</t>
        </is>
      </c>
      <c r="GR222" t="inlineStr">
        <is>
          <t>RUS</t>
        </is>
      </c>
      <c r="GS222" t="inlineStr">
        <is>
          <t>RUS</t>
        </is>
      </c>
      <c r="GT222" t="inlineStr">
        <is>
          <t>RUS</t>
        </is>
      </c>
      <c r="GU222" t="inlineStr">
        <is>
          <t>RUS</t>
        </is>
      </c>
      <c r="GV222" t="inlineStr">
        <is>
          <t>RUS</t>
        </is>
      </c>
      <c r="GW222" t="inlineStr">
        <is>
          <t>RUS</t>
        </is>
      </c>
      <c r="GX222" t="inlineStr">
        <is>
          <t>RUS</t>
        </is>
      </c>
      <c r="GY222" t="inlineStr">
        <is>
          <t>RUS</t>
        </is>
      </c>
      <c r="HB222" t="inlineStr">
        <is>
          <t>RUS</t>
        </is>
      </c>
      <c r="HC222" t="inlineStr">
        <is>
          <t>RUS</t>
        </is>
      </c>
      <c r="HD222" t="inlineStr">
        <is>
          <t>RUS</t>
        </is>
      </c>
      <c r="HE222" t="inlineStr">
        <is>
          <t>RUS</t>
        </is>
      </c>
      <c r="HF222" t="inlineStr">
        <is>
          <t>RUS</t>
        </is>
      </c>
      <c r="HG222" t="inlineStr">
        <is>
          <t>RUS</t>
        </is>
      </c>
      <c r="HH222" t="inlineStr">
        <is>
          <t>RUS</t>
        </is>
      </c>
      <c r="HI222" t="inlineStr">
        <is>
          <t>RUS</t>
        </is>
      </c>
      <c r="HJ222" t="inlineStr">
        <is>
          <t>RUS</t>
        </is>
      </c>
      <c r="HK222" t="inlineStr">
        <is>
          <t>RUS</t>
        </is>
      </c>
      <c r="HL222" t="inlineStr">
        <is>
          <t>RUS</t>
        </is>
      </c>
      <c r="HM222" t="inlineStr">
        <is>
          <t>RUS</t>
        </is>
      </c>
      <c r="HN222" t="inlineStr">
        <is>
          <t>RUS</t>
        </is>
      </c>
      <c r="HO222" t="inlineStr">
        <is>
          <t>RUS</t>
        </is>
      </c>
      <c r="HP222" t="inlineStr">
        <is>
          <t>RUS</t>
        </is>
      </c>
      <c r="HQ222" t="inlineStr">
        <is>
          <t>RUS</t>
        </is>
      </c>
      <c r="HR222" t="inlineStr">
        <is>
          <t>RUS</t>
        </is>
      </c>
      <c r="HS222" t="inlineStr">
        <is>
          <t>RUS</t>
        </is>
      </c>
      <c r="HT222" t="inlineStr">
        <is>
          <t>RUS</t>
        </is>
      </c>
      <c r="HU222" t="inlineStr">
        <is>
          <t>RUS</t>
        </is>
      </c>
      <c r="HV222" t="inlineStr">
        <is>
          <t>RUS</t>
        </is>
      </c>
      <c r="HW222" t="inlineStr">
        <is>
          <t>RUS</t>
        </is>
      </c>
      <c r="HX222" t="inlineStr">
        <is>
          <t>RUS</t>
        </is>
      </c>
      <c r="HY222" t="inlineStr">
        <is>
          <t>RUS</t>
        </is>
      </c>
      <c r="HZ222" t="inlineStr">
        <is>
          <t>RUS</t>
        </is>
      </c>
      <c r="IA222" t="inlineStr">
        <is>
          <t>RUS</t>
        </is>
      </c>
      <c r="IB222" t="inlineStr">
        <is>
          <t>RUS</t>
        </is>
      </c>
      <c r="IC222" t="inlineStr">
        <is>
          <t>RUS</t>
        </is>
      </c>
      <c r="ID222" t="inlineStr">
        <is>
          <t>RUS</t>
        </is>
      </c>
      <c r="IE222" t="inlineStr">
        <is>
          <t>RUS</t>
        </is>
      </c>
      <c r="IF222" t="inlineStr">
        <is>
          <t>RUS</t>
        </is>
      </c>
      <c r="IG222" t="inlineStr">
        <is>
          <t>RUS</t>
        </is>
      </c>
      <c r="IH222" t="inlineStr">
        <is>
          <t>RUS</t>
        </is>
      </c>
      <c r="II222" t="inlineStr">
        <is>
          <t>RUS</t>
        </is>
      </c>
      <c r="IJ222" t="inlineStr">
        <is>
          <t>RUS</t>
        </is>
      </c>
      <c r="IK222" t="inlineStr">
        <is>
          <t>RUS</t>
        </is>
      </c>
      <c r="IL222" t="inlineStr">
        <is>
          <t>RUS</t>
        </is>
      </c>
      <c r="IM222" t="inlineStr">
        <is>
          <t>RUS</t>
        </is>
      </c>
      <c r="IN222" t="inlineStr">
        <is>
          <t>RUS</t>
        </is>
      </c>
      <c r="IO222" t="inlineStr">
        <is>
          <t>RUS</t>
        </is>
      </c>
      <c r="IP222" t="inlineStr">
        <is>
          <t>RUS</t>
        </is>
      </c>
      <c r="IQ222" t="inlineStr">
        <is>
          <t>RUS</t>
        </is>
      </c>
      <c r="IR222" t="inlineStr">
        <is>
          <t>RUS</t>
        </is>
      </c>
      <c r="IS222" t="inlineStr">
        <is>
          <t>RUS</t>
        </is>
      </c>
      <c r="IT222" t="inlineStr">
        <is>
          <t>RUS</t>
        </is>
      </c>
      <c r="IU222" t="inlineStr">
        <is>
          <t>RUS</t>
        </is>
      </c>
      <c r="IV222" t="inlineStr">
        <is>
          <t>RUS</t>
        </is>
      </c>
      <c r="IW222" t="inlineStr">
        <is>
          <t>RUS</t>
        </is>
      </c>
      <c r="IX222" t="inlineStr">
        <is>
          <t>RUS</t>
        </is>
      </c>
      <c r="IY222" t="inlineStr">
        <is>
          <t>RUS</t>
        </is>
      </c>
      <c r="IZ222" t="inlineStr">
        <is>
          <t>RUS</t>
        </is>
      </c>
      <c r="JA222" t="inlineStr">
        <is>
          <t>RUS</t>
        </is>
      </c>
      <c r="JB222" t="inlineStr">
        <is>
          <t>RUS</t>
        </is>
      </c>
      <c r="JC222" t="inlineStr">
        <is>
          <t>RUS</t>
        </is>
      </c>
      <c r="JD222" t="inlineStr">
        <is>
          <t>RUS</t>
        </is>
      </c>
      <c r="JE222" t="inlineStr">
        <is>
          <t>RUS</t>
        </is>
      </c>
      <c r="JF222" t="inlineStr">
        <is>
          <t>RUS</t>
        </is>
      </c>
      <c r="JG222" t="inlineStr">
        <is>
          <t>RUS</t>
        </is>
      </c>
      <c r="JH222" t="inlineStr">
        <is>
          <t>RUS</t>
        </is>
      </c>
      <c r="JI222" t="inlineStr">
        <is>
          <t>RUS</t>
        </is>
      </c>
      <c r="JJ222" t="inlineStr">
        <is>
          <t>RUS</t>
        </is>
      </c>
      <c r="JK222" t="inlineStr">
        <is>
          <t>RUS</t>
        </is>
      </c>
      <c r="JL222" t="inlineStr">
        <is>
          <t>RUS</t>
        </is>
      </c>
      <c r="JM222" t="inlineStr">
        <is>
          <t>RUS</t>
        </is>
      </c>
      <c r="JN222" t="inlineStr">
        <is>
          <t>RUS</t>
        </is>
      </c>
      <c r="JO222" t="inlineStr">
        <is>
          <t>RUS</t>
        </is>
      </c>
      <c r="JP222" t="inlineStr">
        <is>
          <t>RUS</t>
        </is>
      </c>
      <c r="JQ222" t="inlineStr">
        <is>
          <t>RUS</t>
        </is>
      </c>
      <c r="JR222" t="inlineStr">
        <is>
          <t>RUS</t>
        </is>
      </c>
      <c r="JS222" t="inlineStr">
        <is>
          <t>RUS</t>
        </is>
      </c>
      <c r="JT222" t="inlineStr">
        <is>
          <t>RUS</t>
        </is>
      </c>
      <c r="JU222" t="inlineStr">
        <is>
          <t>RUS</t>
        </is>
      </c>
    </row>
    <row r="223">
      <c r="B223" t="inlineStr">
        <is>
          <t>GRL</t>
        </is>
      </c>
      <c r="C223" t="inlineStr">
        <is>
          <t>GRL</t>
        </is>
      </c>
      <c r="D223" t="inlineStr">
        <is>
          <t>GRL</t>
        </is>
      </c>
      <c r="E223" t="inlineStr">
        <is>
          <t>GRL</t>
        </is>
      </c>
      <c r="F223" t="inlineStr">
        <is>
          <t>GRL</t>
        </is>
      </c>
      <c r="G223" t="inlineStr">
        <is>
          <t>GRL</t>
        </is>
      </c>
      <c r="H223" t="inlineStr">
        <is>
          <t>GRL</t>
        </is>
      </c>
      <c r="I223" t="inlineStr">
        <is>
          <t>GRL</t>
        </is>
      </c>
      <c r="J223" t="inlineStr">
        <is>
          <t>GRL</t>
        </is>
      </c>
      <c r="K223" t="inlineStr">
        <is>
          <t>GRL</t>
        </is>
      </c>
      <c r="N223" t="inlineStr">
        <is>
          <t>GRL</t>
        </is>
      </c>
      <c r="O223" t="inlineStr">
        <is>
          <t>GRL</t>
        </is>
      </c>
      <c r="P223" t="inlineStr">
        <is>
          <t>GRL</t>
        </is>
      </c>
      <c r="Q223" t="inlineStr">
        <is>
          <t>GRL</t>
        </is>
      </c>
      <c r="DF223" t="inlineStr">
        <is>
          <t>NOR</t>
        </is>
      </c>
      <c r="DG223" t="inlineStr">
        <is>
          <t>NOR</t>
        </is>
      </c>
      <c r="DH223" t="inlineStr">
        <is>
          <t>NOR</t>
        </is>
      </c>
      <c r="DI223" t="inlineStr">
        <is>
          <t>NOR</t>
        </is>
      </c>
      <c r="DJ223" t="inlineStr">
        <is>
          <t>NOR</t>
        </is>
      </c>
      <c r="DK223" t="inlineStr">
        <is>
          <t>NOR</t>
        </is>
      </c>
      <c r="DL223" t="inlineStr">
        <is>
          <t>NOR</t>
        </is>
      </c>
      <c r="DM223" t="inlineStr">
        <is>
          <t>NOR</t>
        </is>
      </c>
      <c r="DN223" t="inlineStr">
        <is>
          <t>NOR</t>
        </is>
      </c>
      <c r="DO223" t="inlineStr">
        <is>
          <t>NOR</t>
        </is>
      </c>
      <c r="DP223" t="inlineStr">
        <is>
          <t>NOR</t>
        </is>
      </c>
      <c r="DQ223" t="inlineStr">
        <is>
          <t>NOR</t>
        </is>
      </c>
      <c r="FN223" t="inlineStr">
        <is>
          <t>RUS</t>
        </is>
      </c>
      <c r="FO223" t="inlineStr">
        <is>
          <t>RUS</t>
        </is>
      </c>
      <c r="FP223" t="inlineStr">
        <is>
          <t>RUS</t>
        </is>
      </c>
      <c r="FQ223" t="inlineStr">
        <is>
          <t>RUS</t>
        </is>
      </c>
      <c r="FR223" t="inlineStr">
        <is>
          <t>RUS</t>
        </is>
      </c>
      <c r="FS223" t="inlineStr">
        <is>
          <t>RUS</t>
        </is>
      </c>
      <c r="FT223" t="inlineStr">
        <is>
          <t>RUS</t>
        </is>
      </c>
      <c r="GM223" t="inlineStr">
        <is>
          <t>RUS</t>
        </is>
      </c>
      <c r="GN223" t="inlineStr">
        <is>
          <t>RUS</t>
        </is>
      </c>
      <c r="GO223" t="inlineStr">
        <is>
          <t>RUS</t>
        </is>
      </c>
      <c r="GP223" t="inlineStr">
        <is>
          <t>RUS</t>
        </is>
      </c>
      <c r="GQ223" t="inlineStr">
        <is>
          <t>RUS</t>
        </is>
      </c>
      <c r="GR223" t="inlineStr">
        <is>
          <t>RUS</t>
        </is>
      </c>
      <c r="GS223" t="inlineStr">
        <is>
          <t>RUS</t>
        </is>
      </c>
      <c r="GT223" t="inlineStr">
        <is>
          <t>RUS</t>
        </is>
      </c>
      <c r="GU223" t="inlineStr">
        <is>
          <t>RUS</t>
        </is>
      </c>
      <c r="GV223" t="inlineStr">
        <is>
          <t>RUS</t>
        </is>
      </c>
      <c r="GW223" t="inlineStr">
        <is>
          <t>RUS</t>
        </is>
      </c>
      <c r="GX223" t="inlineStr">
        <is>
          <t>RUS</t>
        </is>
      </c>
      <c r="HB223" t="inlineStr">
        <is>
          <t>RUS</t>
        </is>
      </c>
      <c r="HC223" t="inlineStr">
        <is>
          <t>RUS</t>
        </is>
      </c>
      <c r="HD223" t="inlineStr">
        <is>
          <t>RUS</t>
        </is>
      </c>
      <c r="HE223" t="inlineStr">
        <is>
          <t>RUS</t>
        </is>
      </c>
      <c r="HF223" t="inlineStr">
        <is>
          <t>RUS</t>
        </is>
      </c>
      <c r="HG223" t="inlineStr">
        <is>
          <t>RUS</t>
        </is>
      </c>
      <c r="HH223" t="inlineStr">
        <is>
          <t>RUS</t>
        </is>
      </c>
      <c r="HI223" t="inlineStr">
        <is>
          <t>RUS</t>
        </is>
      </c>
      <c r="HJ223" t="inlineStr">
        <is>
          <t>RUS</t>
        </is>
      </c>
      <c r="HK223" t="inlineStr">
        <is>
          <t>RUS</t>
        </is>
      </c>
      <c r="HL223" t="inlineStr">
        <is>
          <t>RUS</t>
        </is>
      </c>
      <c r="HM223" t="inlineStr">
        <is>
          <t>RUS</t>
        </is>
      </c>
      <c r="HN223" t="inlineStr">
        <is>
          <t>RUS</t>
        </is>
      </c>
      <c r="HO223" t="inlineStr">
        <is>
          <t>RUS</t>
        </is>
      </c>
      <c r="HP223" t="inlineStr">
        <is>
          <t>RUS</t>
        </is>
      </c>
      <c r="HQ223" t="inlineStr">
        <is>
          <t>RUS</t>
        </is>
      </c>
      <c r="HR223" t="inlineStr">
        <is>
          <t>RUS</t>
        </is>
      </c>
      <c r="HS223" t="inlineStr">
        <is>
          <t>RUS</t>
        </is>
      </c>
      <c r="HT223" t="inlineStr">
        <is>
          <t>RUS</t>
        </is>
      </c>
      <c r="HU223" t="inlineStr">
        <is>
          <t>RUS</t>
        </is>
      </c>
      <c r="HV223" t="inlineStr">
        <is>
          <t>RUS</t>
        </is>
      </c>
      <c r="HW223" t="inlineStr">
        <is>
          <t>RUS</t>
        </is>
      </c>
      <c r="HX223" t="inlineStr">
        <is>
          <t>RUS</t>
        </is>
      </c>
      <c r="HY223" t="inlineStr">
        <is>
          <t>RUS</t>
        </is>
      </c>
      <c r="HZ223" t="inlineStr">
        <is>
          <t>RUS</t>
        </is>
      </c>
      <c r="IA223" t="inlineStr">
        <is>
          <t>RUS</t>
        </is>
      </c>
      <c r="IB223" t="inlineStr">
        <is>
          <t>RUS</t>
        </is>
      </c>
      <c r="IC223" t="inlineStr">
        <is>
          <t>RUS</t>
        </is>
      </c>
      <c r="ID223" t="inlineStr">
        <is>
          <t>RUS</t>
        </is>
      </c>
      <c r="IE223" t="inlineStr">
        <is>
          <t>RUS</t>
        </is>
      </c>
      <c r="IF223" t="inlineStr">
        <is>
          <t>RUS</t>
        </is>
      </c>
      <c r="IG223" t="inlineStr">
        <is>
          <t>RUS</t>
        </is>
      </c>
      <c r="IH223" t="inlineStr">
        <is>
          <t>RUS</t>
        </is>
      </c>
      <c r="II223" t="inlineStr">
        <is>
          <t>RUS</t>
        </is>
      </c>
      <c r="IJ223" t="inlineStr">
        <is>
          <t>RUS</t>
        </is>
      </c>
      <c r="IK223" t="inlineStr">
        <is>
          <t>RUS</t>
        </is>
      </c>
      <c r="IL223" t="inlineStr">
        <is>
          <t>RUS</t>
        </is>
      </c>
      <c r="IM223" t="inlineStr">
        <is>
          <t>RUS</t>
        </is>
      </c>
      <c r="IN223" t="inlineStr">
        <is>
          <t>RUS</t>
        </is>
      </c>
      <c r="IO223" t="inlineStr">
        <is>
          <t>RUS</t>
        </is>
      </c>
      <c r="IP223" t="inlineStr">
        <is>
          <t>RUS</t>
        </is>
      </c>
      <c r="IQ223" t="inlineStr">
        <is>
          <t>RUS</t>
        </is>
      </c>
      <c r="IR223" t="inlineStr">
        <is>
          <t>RUS</t>
        </is>
      </c>
      <c r="IS223" t="inlineStr">
        <is>
          <t>RUS</t>
        </is>
      </c>
      <c r="IT223" t="inlineStr">
        <is>
          <t>RUS</t>
        </is>
      </c>
      <c r="IU223" t="inlineStr">
        <is>
          <t>RUS</t>
        </is>
      </c>
      <c r="IV223" t="inlineStr">
        <is>
          <t>RUS</t>
        </is>
      </c>
      <c r="IW223" t="inlineStr">
        <is>
          <t>RUS</t>
        </is>
      </c>
      <c r="IX223" t="inlineStr">
        <is>
          <t>RUS</t>
        </is>
      </c>
      <c r="IY223" t="inlineStr">
        <is>
          <t>RUS</t>
        </is>
      </c>
      <c r="IZ223" t="inlineStr">
        <is>
          <t>RUS</t>
        </is>
      </c>
      <c r="JA223" t="inlineStr">
        <is>
          <t>RUS</t>
        </is>
      </c>
      <c r="JB223" t="inlineStr">
        <is>
          <t>RUS</t>
        </is>
      </c>
      <c r="JC223" t="inlineStr">
        <is>
          <t>RUS</t>
        </is>
      </c>
      <c r="JD223" t="inlineStr">
        <is>
          <t>RUS</t>
        </is>
      </c>
      <c r="JE223" t="inlineStr">
        <is>
          <t>RUS</t>
        </is>
      </c>
      <c r="JF223" t="inlineStr">
        <is>
          <t>RUS</t>
        </is>
      </c>
      <c r="JG223" t="inlineStr">
        <is>
          <t>RUS</t>
        </is>
      </c>
      <c r="JH223" t="inlineStr">
        <is>
          <t>RUS</t>
        </is>
      </c>
      <c r="JI223" t="inlineStr">
        <is>
          <t>RUS</t>
        </is>
      </c>
      <c r="JJ223" t="inlineStr">
        <is>
          <t>RUS</t>
        </is>
      </c>
      <c r="JK223" t="inlineStr">
        <is>
          <t>RUS</t>
        </is>
      </c>
      <c r="JL223" t="inlineStr">
        <is>
          <t>RUS</t>
        </is>
      </c>
      <c r="JM223" t="inlineStr">
        <is>
          <t>RUS</t>
        </is>
      </c>
      <c r="JN223" t="inlineStr">
        <is>
          <t>RUS</t>
        </is>
      </c>
      <c r="JO223" t="inlineStr">
        <is>
          <t>RUS</t>
        </is>
      </c>
      <c r="JP223" t="inlineStr">
        <is>
          <t>RUS</t>
        </is>
      </c>
      <c r="JQ223" t="inlineStr">
        <is>
          <t>RUS</t>
        </is>
      </c>
      <c r="JR223" t="inlineStr">
        <is>
          <t>RUS</t>
        </is>
      </c>
      <c r="JS223" t="inlineStr">
        <is>
          <t>RUS</t>
        </is>
      </c>
      <c r="JT223" t="inlineStr">
        <is>
          <t>RUS</t>
        </is>
      </c>
      <c r="JU223" t="inlineStr">
        <is>
          <t>RUS</t>
        </is>
      </c>
    </row>
    <row r="224">
      <c r="B224" t="inlineStr">
        <is>
          <t>GRL</t>
        </is>
      </c>
      <c r="C224" t="inlineStr">
        <is>
          <t>GRL</t>
        </is>
      </c>
      <c r="D224" t="inlineStr">
        <is>
          <t>GRL</t>
        </is>
      </c>
      <c r="E224" t="inlineStr">
        <is>
          <t>GRL</t>
        </is>
      </c>
      <c r="F224" t="inlineStr">
        <is>
          <t>GRL</t>
        </is>
      </c>
      <c r="G224" t="inlineStr">
        <is>
          <t>GRL</t>
        </is>
      </c>
      <c r="H224" t="inlineStr">
        <is>
          <t>GRL</t>
        </is>
      </c>
      <c r="I224" t="inlineStr">
        <is>
          <t>GRL</t>
        </is>
      </c>
      <c r="J224" t="inlineStr">
        <is>
          <t>GRL</t>
        </is>
      </c>
      <c r="L224" t="inlineStr">
        <is>
          <t>GRL</t>
        </is>
      </c>
      <c r="M224" t="inlineStr">
        <is>
          <t>GRL</t>
        </is>
      </c>
      <c r="N224" t="inlineStr">
        <is>
          <t>GRL</t>
        </is>
      </c>
      <c r="O224" t="inlineStr">
        <is>
          <t>GRL</t>
        </is>
      </c>
      <c r="P224" t="inlineStr">
        <is>
          <t>GRL</t>
        </is>
      </c>
      <c r="Q224" t="inlineStr">
        <is>
          <t>GRL</t>
        </is>
      </c>
      <c r="FL224" t="inlineStr">
        <is>
          <t>RUS</t>
        </is>
      </c>
      <c r="FM224" t="inlineStr">
        <is>
          <t>RUS</t>
        </is>
      </c>
      <c r="FN224" t="inlineStr">
        <is>
          <t>RUS</t>
        </is>
      </c>
      <c r="FO224" t="inlineStr">
        <is>
          <t>RUS</t>
        </is>
      </c>
      <c r="FP224" t="inlineStr">
        <is>
          <t>RUS</t>
        </is>
      </c>
      <c r="FQ224" t="inlineStr">
        <is>
          <t>RUS</t>
        </is>
      </c>
      <c r="FR224" t="inlineStr">
        <is>
          <t>RUS</t>
        </is>
      </c>
      <c r="GN224" t="inlineStr">
        <is>
          <t>RUS</t>
        </is>
      </c>
      <c r="GO224" t="inlineStr">
        <is>
          <t>RUS</t>
        </is>
      </c>
      <c r="GP224" t="inlineStr">
        <is>
          <t>RUS</t>
        </is>
      </c>
      <c r="GQ224" t="inlineStr">
        <is>
          <t>RUS</t>
        </is>
      </c>
      <c r="GR224" t="inlineStr">
        <is>
          <t>RUS</t>
        </is>
      </c>
      <c r="GS224" t="inlineStr">
        <is>
          <t>RUS</t>
        </is>
      </c>
      <c r="GT224" t="inlineStr">
        <is>
          <t>RUS</t>
        </is>
      </c>
      <c r="GU224" t="inlineStr">
        <is>
          <t>RUS</t>
        </is>
      </c>
      <c r="GV224" t="inlineStr">
        <is>
          <t>RUS</t>
        </is>
      </c>
      <c r="GW224" t="inlineStr">
        <is>
          <t>RUS</t>
        </is>
      </c>
      <c r="HA224" t="inlineStr">
        <is>
          <t>RUS</t>
        </is>
      </c>
      <c r="HB224" t="inlineStr">
        <is>
          <t>RUS</t>
        </is>
      </c>
      <c r="HC224" t="inlineStr">
        <is>
          <t>RUS</t>
        </is>
      </c>
      <c r="HD224" t="inlineStr">
        <is>
          <t>RUS</t>
        </is>
      </c>
      <c r="HE224" t="inlineStr">
        <is>
          <t>RUS</t>
        </is>
      </c>
      <c r="HG224" t="inlineStr">
        <is>
          <t>RUS</t>
        </is>
      </c>
      <c r="HH224" t="inlineStr">
        <is>
          <t>RUS</t>
        </is>
      </c>
      <c r="HI224" t="inlineStr">
        <is>
          <t>RUS</t>
        </is>
      </c>
      <c r="HJ224" t="inlineStr">
        <is>
          <t>RUS</t>
        </is>
      </c>
      <c r="HK224" t="inlineStr">
        <is>
          <t>RUS</t>
        </is>
      </c>
      <c r="HL224" t="inlineStr">
        <is>
          <t>RUS</t>
        </is>
      </c>
      <c r="HM224" t="inlineStr">
        <is>
          <t>RUS</t>
        </is>
      </c>
      <c r="HN224" t="inlineStr">
        <is>
          <t>RUS</t>
        </is>
      </c>
      <c r="HO224" t="inlineStr">
        <is>
          <t>RUS</t>
        </is>
      </c>
      <c r="HP224" t="inlineStr">
        <is>
          <t>RUS</t>
        </is>
      </c>
      <c r="HQ224" t="inlineStr">
        <is>
          <t>RUS</t>
        </is>
      </c>
      <c r="HR224" t="inlineStr">
        <is>
          <t>RUS</t>
        </is>
      </c>
      <c r="HS224" t="inlineStr">
        <is>
          <t>RUS</t>
        </is>
      </c>
      <c r="HT224" t="inlineStr">
        <is>
          <t>RUS</t>
        </is>
      </c>
      <c r="HU224" t="inlineStr">
        <is>
          <t>RUS</t>
        </is>
      </c>
      <c r="HV224" t="inlineStr">
        <is>
          <t>RUS</t>
        </is>
      </c>
      <c r="HW224" t="inlineStr">
        <is>
          <t>RUS</t>
        </is>
      </c>
      <c r="HX224" t="inlineStr">
        <is>
          <t>RUS</t>
        </is>
      </c>
      <c r="HY224" t="inlineStr">
        <is>
          <t>RUS</t>
        </is>
      </c>
      <c r="HZ224" t="inlineStr">
        <is>
          <t>RUS</t>
        </is>
      </c>
      <c r="IA224" t="inlineStr">
        <is>
          <t>RUS</t>
        </is>
      </c>
      <c r="IB224" t="inlineStr">
        <is>
          <t>RUS</t>
        </is>
      </c>
      <c r="IC224" t="inlineStr">
        <is>
          <t>RUS</t>
        </is>
      </c>
      <c r="ID224" t="inlineStr">
        <is>
          <t>RUS</t>
        </is>
      </c>
      <c r="IE224" t="inlineStr">
        <is>
          <t>RUS</t>
        </is>
      </c>
      <c r="IF224" t="inlineStr">
        <is>
          <t>RUS</t>
        </is>
      </c>
      <c r="IG224" t="inlineStr">
        <is>
          <t>RUS</t>
        </is>
      </c>
      <c r="IH224" t="inlineStr">
        <is>
          <t>RUS</t>
        </is>
      </c>
      <c r="II224" t="inlineStr">
        <is>
          <t>RUS</t>
        </is>
      </c>
      <c r="IJ224" t="inlineStr">
        <is>
          <t>RUS</t>
        </is>
      </c>
      <c r="IK224" t="inlineStr">
        <is>
          <t>RUS</t>
        </is>
      </c>
      <c r="IL224" t="inlineStr">
        <is>
          <t>RUS</t>
        </is>
      </c>
      <c r="IM224" t="inlineStr">
        <is>
          <t>RUS</t>
        </is>
      </c>
      <c r="IN224" t="inlineStr">
        <is>
          <t>RUS</t>
        </is>
      </c>
      <c r="IO224" t="inlineStr">
        <is>
          <t>RUS</t>
        </is>
      </c>
      <c r="IP224" t="inlineStr">
        <is>
          <t>RUS</t>
        </is>
      </c>
      <c r="IQ224" t="inlineStr">
        <is>
          <t>RUS</t>
        </is>
      </c>
      <c r="IR224" t="inlineStr">
        <is>
          <t>RUS</t>
        </is>
      </c>
      <c r="IS224" t="inlineStr">
        <is>
          <t>RUS</t>
        </is>
      </c>
      <c r="IT224" t="inlineStr">
        <is>
          <t>RUS</t>
        </is>
      </c>
      <c r="IU224" t="inlineStr">
        <is>
          <t>RUS</t>
        </is>
      </c>
      <c r="IV224" t="inlineStr">
        <is>
          <t>RUS</t>
        </is>
      </c>
      <c r="IW224" t="inlineStr">
        <is>
          <t>RUS</t>
        </is>
      </c>
      <c r="IX224" t="inlineStr">
        <is>
          <t>RUS</t>
        </is>
      </c>
      <c r="IY224" t="inlineStr">
        <is>
          <t>RUS</t>
        </is>
      </c>
      <c r="IZ224" t="inlineStr">
        <is>
          <t>RUS</t>
        </is>
      </c>
      <c r="JA224" t="inlineStr">
        <is>
          <t>RUS</t>
        </is>
      </c>
      <c r="JB224" t="inlineStr">
        <is>
          <t>RUS</t>
        </is>
      </c>
      <c r="JC224" t="inlineStr">
        <is>
          <t>RUS</t>
        </is>
      </c>
      <c r="JD224" t="inlineStr">
        <is>
          <t>RUS</t>
        </is>
      </c>
      <c r="JE224" t="inlineStr">
        <is>
          <t>RUS</t>
        </is>
      </c>
      <c r="JF224" t="inlineStr">
        <is>
          <t>RUS</t>
        </is>
      </c>
      <c r="JG224" t="inlineStr">
        <is>
          <t>RUS</t>
        </is>
      </c>
      <c r="JH224" t="inlineStr">
        <is>
          <t>RUS</t>
        </is>
      </c>
      <c r="JI224" t="inlineStr">
        <is>
          <t>RUS</t>
        </is>
      </c>
      <c r="JJ224" t="inlineStr">
        <is>
          <t>RUS</t>
        </is>
      </c>
      <c r="JK224" t="inlineStr">
        <is>
          <t>RUS</t>
        </is>
      </c>
      <c r="JL224" t="inlineStr">
        <is>
          <t>RUS</t>
        </is>
      </c>
      <c r="JM224" t="inlineStr">
        <is>
          <t>RUS</t>
        </is>
      </c>
      <c r="JN224" t="inlineStr">
        <is>
          <t>RUS</t>
        </is>
      </c>
      <c r="JO224" t="inlineStr">
        <is>
          <t>RUS</t>
        </is>
      </c>
      <c r="JP224" t="inlineStr">
        <is>
          <t>RUS</t>
        </is>
      </c>
      <c r="JQ224" t="inlineStr">
        <is>
          <t>RUS</t>
        </is>
      </c>
      <c r="JR224" t="inlineStr">
        <is>
          <t>RUS</t>
        </is>
      </c>
      <c r="JS224" t="inlineStr">
        <is>
          <t>RUS</t>
        </is>
      </c>
      <c r="JT224" t="inlineStr">
        <is>
          <t>RUS</t>
        </is>
      </c>
      <c r="JU224" t="inlineStr">
        <is>
          <t>RUS</t>
        </is>
      </c>
    </row>
    <row r="225">
      <c r="B225" t="inlineStr">
        <is>
          <t>GRL</t>
        </is>
      </c>
      <c r="C225" t="inlineStr">
        <is>
          <t>GRL</t>
        </is>
      </c>
      <c r="D225" t="inlineStr">
        <is>
          <t>GRL</t>
        </is>
      </c>
      <c r="E225" t="inlineStr">
        <is>
          <t>GRL</t>
        </is>
      </c>
      <c r="F225" t="inlineStr">
        <is>
          <t>GRL</t>
        </is>
      </c>
      <c r="G225" t="inlineStr">
        <is>
          <t>GRL</t>
        </is>
      </c>
      <c r="H225" t="inlineStr">
        <is>
          <t>GRL</t>
        </is>
      </c>
      <c r="I225" t="inlineStr">
        <is>
          <t>GRL</t>
        </is>
      </c>
      <c r="J225" t="inlineStr">
        <is>
          <t>GRL</t>
        </is>
      </c>
      <c r="K225" t="inlineStr">
        <is>
          <t>GRL</t>
        </is>
      </c>
      <c r="L225" t="inlineStr">
        <is>
          <t>GRL</t>
        </is>
      </c>
      <c r="M225" t="inlineStr">
        <is>
          <t>GRL</t>
        </is>
      </c>
      <c r="N225" t="inlineStr">
        <is>
          <t>GRL</t>
        </is>
      </c>
      <c r="O225" t="inlineStr">
        <is>
          <t>GRL</t>
        </is>
      </c>
      <c r="P225" t="inlineStr">
        <is>
          <t>GRL</t>
        </is>
      </c>
      <c r="FI225" t="inlineStr">
        <is>
          <t>RUS</t>
        </is>
      </c>
      <c r="FJ225" t="inlineStr">
        <is>
          <t>RUS</t>
        </is>
      </c>
      <c r="FK225" t="inlineStr">
        <is>
          <t>RUS</t>
        </is>
      </c>
      <c r="FL225" t="inlineStr">
        <is>
          <t>RUS</t>
        </is>
      </c>
      <c r="FM225" t="inlineStr">
        <is>
          <t>RUS</t>
        </is>
      </c>
      <c r="FN225" t="inlineStr">
        <is>
          <t>RUS</t>
        </is>
      </c>
      <c r="FO225" t="inlineStr">
        <is>
          <t>RUS</t>
        </is>
      </c>
      <c r="FP225" t="inlineStr">
        <is>
          <t>RUS</t>
        </is>
      </c>
      <c r="GP225" t="inlineStr">
        <is>
          <t>RUS</t>
        </is>
      </c>
      <c r="GQ225" t="inlineStr">
        <is>
          <t>RUS</t>
        </is>
      </c>
      <c r="GR225" t="inlineStr">
        <is>
          <t>RUS</t>
        </is>
      </c>
      <c r="GS225" t="inlineStr">
        <is>
          <t>RUS</t>
        </is>
      </c>
      <c r="GT225" t="inlineStr">
        <is>
          <t>RUS</t>
        </is>
      </c>
      <c r="GU225" t="inlineStr">
        <is>
          <t>RUS</t>
        </is>
      </c>
      <c r="GV225" t="inlineStr">
        <is>
          <t>RUS</t>
        </is>
      </c>
      <c r="GW225" t="inlineStr">
        <is>
          <t>RUS</t>
        </is>
      </c>
      <c r="HB225" t="inlineStr">
        <is>
          <t>RUS</t>
        </is>
      </c>
      <c r="HC225" t="inlineStr">
        <is>
          <t>RUS</t>
        </is>
      </c>
      <c r="HD225" t="inlineStr">
        <is>
          <t>RUS</t>
        </is>
      </c>
      <c r="HF225" t="inlineStr">
        <is>
          <t>RUS</t>
        </is>
      </c>
      <c r="HG225" t="inlineStr">
        <is>
          <t>RUS</t>
        </is>
      </c>
      <c r="HH225" t="inlineStr">
        <is>
          <t>RUS</t>
        </is>
      </c>
      <c r="HI225" t="inlineStr">
        <is>
          <t>RUS</t>
        </is>
      </c>
      <c r="HJ225" t="inlineStr">
        <is>
          <t>RUS</t>
        </is>
      </c>
      <c r="HK225" t="inlineStr">
        <is>
          <t>RUS</t>
        </is>
      </c>
      <c r="HL225" t="inlineStr">
        <is>
          <t>RUS</t>
        </is>
      </c>
      <c r="HM225" t="inlineStr">
        <is>
          <t>RUS</t>
        </is>
      </c>
      <c r="HN225" t="inlineStr">
        <is>
          <t>RUS</t>
        </is>
      </c>
      <c r="HO225" t="inlineStr">
        <is>
          <t>RUS</t>
        </is>
      </c>
      <c r="HP225" t="inlineStr">
        <is>
          <t>RUS</t>
        </is>
      </c>
      <c r="HQ225" t="inlineStr">
        <is>
          <t>RUS</t>
        </is>
      </c>
      <c r="HR225" t="inlineStr">
        <is>
          <t>RUS</t>
        </is>
      </c>
      <c r="HS225" t="inlineStr">
        <is>
          <t>RUS</t>
        </is>
      </c>
      <c r="HT225" t="inlineStr">
        <is>
          <t>RUS</t>
        </is>
      </c>
      <c r="HU225" t="inlineStr">
        <is>
          <t>RUS</t>
        </is>
      </c>
      <c r="HV225" t="inlineStr">
        <is>
          <t>RUS</t>
        </is>
      </c>
      <c r="HW225" t="inlineStr">
        <is>
          <t>RUS</t>
        </is>
      </c>
      <c r="HX225" t="inlineStr">
        <is>
          <t>RUS</t>
        </is>
      </c>
      <c r="HY225" t="inlineStr">
        <is>
          <t>RUS</t>
        </is>
      </c>
      <c r="HZ225" t="inlineStr">
        <is>
          <t>RUS</t>
        </is>
      </c>
      <c r="IA225" t="inlineStr">
        <is>
          <t>RUS</t>
        </is>
      </c>
      <c r="IB225" t="inlineStr">
        <is>
          <t>RUS</t>
        </is>
      </c>
      <c r="IC225" t="inlineStr">
        <is>
          <t>RUS</t>
        </is>
      </c>
      <c r="ID225" t="inlineStr">
        <is>
          <t>RUS</t>
        </is>
      </c>
      <c r="IE225" t="inlineStr">
        <is>
          <t>RUS</t>
        </is>
      </c>
      <c r="IF225" t="inlineStr">
        <is>
          <t>RUS</t>
        </is>
      </c>
      <c r="IG225" t="inlineStr">
        <is>
          <t>RUS</t>
        </is>
      </c>
      <c r="IH225" t="inlineStr">
        <is>
          <t>RUS</t>
        </is>
      </c>
      <c r="II225" t="inlineStr">
        <is>
          <t>RUS</t>
        </is>
      </c>
      <c r="IJ225" t="inlineStr">
        <is>
          <t>RUS</t>
        </is>
      </c>
      <c r="IK225" t="inlineStr">
        <is>
          <t>RUS</t>
        </is>
      </c>
      <c r="IL225" t="inlineStr">
        <is>
          <t>RUS</t>
        </is>
      </c>
      <c r="IM225" t="inlineStr">
        <is>
          <t>RUS</t>
        </is>
      </c>
      <c r="IN225" t="inlineStr">
        <is>
          <t>RUS</t>
        </is>
      </c>
      <c r="IO225" t="inlineStr">
        <is>
          <t>RUS</t>
        </is>
      </c>
      <c r="IP225" t="inlineStr">
        <is>
          <t>RUS</t>
        </is>
      </c>
      <c r="IQ225" t="inlineStr">
        <is>
          <t>RUS</t>
        </is>
      </c>
      <c r="IR225" t="inlineStr">
        <is>
          <t>RUS</t>
        </is>
      </c>
      <c r="IS225" t="inlineStr">
        <is>
          <t>RUS</t>
        </is>
      </c>
      <c r="IT225" t="inlineStr">
        <is>
          <t>RUS</t>
        </is>
      </c>
      <c r="IU225" t="inlineStr">
        <is>
          <t>RUS</t>
        </is>
      </c>
      <c r="IV225" t="inlineStr">
        <is>
          <t>RUS</t>
        </is>
      </c>
      <c r="IW225" t="inlineStr">
        <is>
          <t>RUS</t>
        </is>
      </c>
      <c r="IX225" t="inlineStr">
        <is>
          <t>RUS</t>
        </is>
      </c>
      <c r="IY225" t="inlineStr">
        <is>
          <t>RUS</t>
        </is>
      </c>
      <c r="IZ225" t="inlineStr">
        <is>
          <t>RUS</t>
        </is>
      </c>
      <c r="JA225" t="inlineStr">
        <is>
          <t>RUS</t>
        </is>
      </c>
      <c r="JB225" t="inlineStr">
        <is>
          <t>RUS</t>
        </is>
      </c>
      <c r="JC225" t="inlineStr">
        <is>
          <t>RUS</t>
        </is>
      </c>
      <c r="JD225" t="inlineStr">
        <is>
          <t>RUS</t>
        </is>
      </c>
      <c r="JE225" t="inlineStr">
        <is>
          <t>RUS</t>
        </is>
      </c>
      <c r="JF225" t="inlineStr">
        <is>
          <t>RUS</t>
        </is>
      </c>
      <c r="JG225" t="inlineStr">
        <is>
          <t>RUS</t>
        </is>
      </c>
      <c r="JH225" t="inlineStr">
        <is>
          <t>RUS</t>
        </is>
      </c>
      <c r="JI225" t="inlineStr">
        <is>
          <t>RUS</t>
        </is>
      </c>
      <c r="JJ225" t="inlineStr">
        <is>
          <t>RUS</t>
        </is>
      </c>
      <c r="JK225" t="inlineStr">
        <is>
          <t>RUS</t>
        </is>
      </c>
      <c r="JL225" t="inlineStr">
        <is>
          <t>RUS</t>
        </is>
      </c>
      <c r="JM225" t="inlineStr">
        <is>
          <t>RUS</t>
        </is>
      </c>
      <c r="JN225" t="inlineStr">
        <is>
          <t>RUS</t>
        </is>
      </c>
      <c r="JO225" t="inlineStr">
        <is>
          <t>RUS</t>
        </is>
      </c>
      <c r="JP225" t="inlineStr">
        <is>
          <t>RUS</t>
        </is>
      </c>
      <c r="JQ225" t="inlineStr">
        <is>
          <t>RUS</t>
        </is>
      </c>
      <c r="JR225" t="inlineStr">
        <is>
          <t>RUS</t>
        </is>
      </c>
      <c r="JS225" t="inlineStr">
        <is>
          <t>RUS</t>
        </is>
      </c>
      <c r="JT225" t="inlineStr">
        <is>
          <t>RUS</t>
        </is>
      </c>
      <c r="JU225" t="inlineStr">
        <is>
          <t>RUS</t>
        </is>
      </c>
    </row>
    <row r="226">
      <c r="B226" t="inlineStr">
        <is>
          <t>GRL</t>
        </is>
      </c>
      <c r="C226" t="inlineStr">
        <is>
          <t>GRL</t>
        </is>
      </c>
      <c r="D226" t="inlineStr">
        <is>
          <t>GRL</t>
        </is>
      </c>
      <c r="E226" t="inlineStr">
        <is>
          <t>GRL</t>
        </is>
      </c>
      <c r="F226" t="inlineStr">
        <is>
          <t>GRL</t>
        </is>
      </c>
      <c r="G226" t="inlineStr">
        <is>
          <t>GRL</t>
        </is>
      </c>
      <c r="H226" t="inlineStr">
        <is>
          <t>GRL</t>
        </is>
      </c>
      <c r="I226" t="inlineStr">
        <is>
          <t>GRL</t>
        </is>
      </c>
      <c r="J226" t="inlineStr">
        <is>
          <t>GRL</t>
        </is>
      </c>
      <c r="K226" t="inlineStr">
        <is>
          <t>GRL</t>
        </is>
      </c>
      <c r="L226" t="inlineStr">
        <is>
          <t>GRL</t>
        </is>
      </c>
      <c r="FK226" t="inlineStr">
        <is>
          <t>RUS</t>
        </is>
      </c>
      <c r="FL226" t="inlineStr">
        <is>
          <t>RUS</t>
        </is>
      </c>
      <c r="FM226" t="inlineStr">
        <is>
          <t>RUS</t>
        </is>
      </c>
      <c r="FN226" t="inlineStr">
        <is>
          <t>RUS</t>
        </is>
      </c>
      <c r="FO226" t="inlineStr">
        <is>
          <t>RUS</t>
        </is>
      </c>
      <c r="FP226" t="inlineStr">
        <is>
          <t>RUS</t>
        </is>
      </c>
      <c r="GR226" t="inlineStr">
        <is>
          <t>RUS</t>
        </is>
      </c>
      <c r="GS226" t="inlineStr">
        <is>
          <t>RUS</t>
        </is>
      </c>
      <c r="GT226" t="inlineStr">
        <is>
          <t>RUS</t>
        </is>
      </c>
      <c r="GU226" t="inlineStr">
        <is>
          <t>RUS</t>
        </is>
      </c>
      <c r="GV226" t="inlineStr">
        <is>
          <t>RUS</t>
        </is>
      </c>
      <c r="GW226" t="inlineStr">
        <is>
          <t>RUS</t>
        </is>
      </c>
      <c r="GX226" t="inlineStr">
        <is>
          <t>RUS</t>
        </is>
      </c>
      <c r="GY226" t="inlineStr">
        <is>
          <t>RUS</t>
        </is>
      </c>
      <c r="HD226" t="inlineStr">
        <is>
          <t>RUS</t>
        </is>
      </c>
      <c r="HI226" t="inlineStr">
        <is>
          <t>RUS</t>
        </is>
      </c>
      <c r="HJ226" t="inlineStr">
        <is>
          <t>RUS</t>
        </is>
      </c>
      <c r="HK226" t="inlineStr">
        <is>
          <t>RUS</t>
        </is>
      </c>
      <c r="HL226" t="inlineStr">
        <is>
          <t>RUS</t>
        </is>
      </c>
      <c r="HM226" t="inlineStr">
        <is>
          <t>RUS</t>
        </is>
      </c>
      <c r="HP226" t="inlineStr">
        <is>
          <t>RUS</t>
        </is>
      </c>
      <c r="HQ226" t="inlineStr">
        <is>
          <t>RUS</t>
        </is>
      </c>
      <c r="HR226" t="inlineStr">
        <is>
          <t>RUS</t>
        </is>
      </c>
      <c r="HS226" t="inlineStr">
        <is>
          <t>RUS</t>
        </is>
      </c>
      <c r="HT226" t="inlineStr">
        <is>
          <t>RUS</t>
        </is>
      </c>
      <c r="HU226" t="inlineStr">
        <is>
          <t>RUS</t>
        </is>
      </c>
      <c r="HV226" t="inlineStr">
        <is>
          <t>RUS</t>
        </is>
      </c>
      <c r="HW226" t="inlineStr">
        <is>
          <t>RUS</t>
        </is>
      </c>
      <c r="HX226" t="inlineStr">
        <is>
          <t>RUS</t>
        </is>
      </c>
      <c r="HY226" t="inlineStr">
        <is>
          <t>RUS</t>
        </is>
      </c>
      <c r="HZ226" t="inlineStr">
        <is>
          <t>RUS</t>
        </is>
      </c>
      <c r="IA226" t="inlineStr">
        <is>
          <t>RUS</t>
        </is>
      </c>
      <c r="IB226" t="inlineStr">
        <is>
          <t>RUS</t>
        </is>
      </c>
      <c r="IC226" t="inlineStr">
        <is>
          <t>RUS</t>
        </is>
      </c>
      <c r="ID226" t="inlineStr">
        <is>
          <t>RUS</t>
        </is>
      </c>
      <c r="IE226" t="inlineStr">
        <is>
          <t>RUS</t>
        </is>
      </c>
      <c r="IF226" t="inlineStr">
        <is>
          <t>RUS</t>
        </is>
      </c>
      <c r="IG226" t="inlineStr">
        <is>
          <t>RUS</t>
        </is>
      </c>
      <c r="IH226" t="inlineStr">
        <is>
          <t>RUS</t>
        </is>
      </c>
      <c r="II226" t="inlineStr">
        <is>
          <t>RUS</t>
        </is>
      </c>
      <c r="IJ226" t="inlineStr">
        <is>
          <t>RUS</t>
        </is>
      </c>
      <c r="IK226" t="inlineStr">
        <is>
          <t>RUS</t>
        </is>
      </c>
      <c r="IL226" t="inlineStr">
        <is>
          <t>RUS</t>
        </is>
      </c>
      <c r="IM226" t="inlineStr">
        <is>
          <t>RUS</t>
        </is>
      </c>
      <c r="IN226" t="inlineStr">
        <is>
          <t>RUS</t>
        </is>
      </c>
      <c r="IO226" t="inlineStr">
        <is>
          <t>RUS</t>
        </is>
      </c>
      <c r="IP226" t="inlineStr">
        <is>
          <t>RUS</t>
        </is>
      </c>
      <c r="IQ226" t="inlineStr">
        <is>
          <t>RUS</t>
        </is>
      </c>
      <c r="IR226" t="inlineStr">
        <is>
          <t>RUS</t>
        </is>
      </c>
      <c r="IS226" t="inlineStr">
        <is>
          <t>RUS</t>
        </is>
      </c>
      <c r="IT226" t="inlineStr">
        <is>
          <t>RUS</t>
        </is>
      </c>
      <c r="IU226" t="inlineStr">
        <is>
          <t>RUS</t>
        </is>
      </c>
      <c r="IV226" t="inlineStr">
        <is>
          <t>RUS</t>
        </is>
      </c>
      <c r="IW226" t="inlineStr">
        <is>
          <t>RUS</t>
        </is>
      </c>
      <c r="IX226" t="inlineStr">
        <is>
          <t>RUS</t>
        </is>
      </c>
      <c r="IY226" t="inlineStr">
        <is>
          <t>RUS</t>
        </is>
      </c>
      <c r="IZ226" t="inlineStr">
        <is>
          <t>RUS</t>
        </is>
      </c>
      <c r="JA226" t="inlineStr">
        <is>
          <t>RUS</t>
        </is>
      </c>
      <c r="JB226" t="inlineStr">
        <is>
          <t>RUS</t>
        </is>
      </c>
      <c r="JC226" t="inlineStr">
        <is>
          <t>RUS</t>
        </is>
      </c>
      <c r="JD226" t="inlineStr">
        <is>
          <t>RUS</t>
        </is>
      </c>
      <c r="JE226" t="inlineStr">
        <is>
          <t>RUS</t>
        </is>
      </c>
      <c r="JF226" t="inlineStr">
        <is>
          <t>RUS</t>
        </is>
      </c>
      <c r="JG226" t="inlineStr">
        <is>
          <t>RUS</t>
        </is>
      </c>
      <c r="JH226" t="inlineStr">
        <is>
          <t>RUS</t>
        </is>
      </c>
      <c r="JI226" t="inlineStr">
        <is>
          <t>RUS</t>
        </is>
      </c>
      <c r="JJ226" t="inlineStr">
        <is>
          <t>RUS</t>
        </is>
      </c>
      <c r="JK226" t="inlineStr">
        <is>
          <t>RUS</t>
        </is>
      </c>
      <c r="JL226" t="inlineStr">
        <is>
          <t>RUS</t>
        </is>
      </c>
      <c r="JM226" t="inlineStr">
        <is>
          <t>RUS</t>
        </is>
      </c>
      <c r="JN226" t="inlineStr">
        <is>
          <t>RUS</t>
        </is>
      </c>
      <c r="JO226" t="inlineStr">
        <is>
          <t>RUS</t>
        </is>
      </c>
      <c r="JP226" t="inlineStr">
        <is>
          <t>RUS</t>
        </is>
      </c>
      <c r="JQ226" t="inlineStr">
        <is>
          <t>RUS</t>
        </is>
      </c>
      <c r="JR226" t="inlineStr">
        <is>
          <t>RUS</t>
        </is>
      </c>
      <c r="JS226" t="inlineStr">
        <is>
          <t>RUS</t>
        </is>
      </c>
      <c r="JT226" t="inlineStr">
        <is>
          <t>RUS</t>
        </is>
      </c>
      <c r="JU226" t="inlineStr">
        <is>
          <t>RUS</t>
        </is>
      </c>
    </row>
    <row r="227">
      <c r="B227" t="inlineStr">
        <is>
          <t>GRL</t>
        </is>
      </c>
      <c r="C227" t="inlineStr">
        <is>
          <t>GRL</t>
        </is>
      </c>
      <c r="D227" t="inlineStr">
        <is>
          <t>GRL</t>
        </is>
      </c>
      <c r="E227" t="inlineStr">
        <is>
          <t>GRL</t>
        </is>
      </c>
      <c r="F227" t="inlineStr">
        <is>
          <t>GRL</t>
        </is>
      </c>
      <c r="G227" t="inlineStr">
        <is>
          <t>GRL</t>
        </is>
      </c>
      <c r="H227" t="inlineStr">
        <is>
          <t>GRL</t>
        </is>
      </c>
      <c r="I227" t="inlineStr">
        <is>
          <t>GRL</t>
        </is>
      </c>
      <c r="J227" t="inlineStr">
        <is>
          <t>GRL</t>
        </is>
      </c>
      <c r="K227" t="inlineStr">
        <is>
          <t>GRL</t>
        </is>
      </c>
      <c r="L227" t="inlineStr">
        <is>
          <t>GRL</t>
        </is>
      </c>
      <c r="M227" t="inlineStr">
        <is>
          <t>GRL</t>
        </is>
      </c>
      <c r="N227" t="inlineStr">
        <is>
          <t>GRL</t>
        </is>
      </c>
      <c r="O227" t="inlineStr">
        <is>
          <t>GRL</t>
        </is>
      </c>
      <c r="P227" t="inlineStr">
        <is>
          <t>GRL</t>
        </is>
      </c>
      <c r="FK227" t="inlineStr">
        <is>
          <t>RUS</t>
        </is>
      </c>
      <c r="FL227" t="inlineStr">
        <is>
          <t>RUS</t>
        </is>
      </c>
      <c r="FM227" t="inlineStr">
        <is>
          <t>RUS</t>
        </is>
      </c>
      <c r="FN227" t="inlineStr">
        <is>
          <t>RUS</t>
        </is>
      </c>
      <c r="FO227" t="inlineStr">
        <is>
          <t>RUS</t>
        </is>
      </c>
      <c r="FP227" t="inlineStr">
        <is>
          <t>RUS</t>
        </is>
      </c>
      <c r="FQ227" t="inlineStr">
        <is>
          <t>RUS</t>
        </is>
      </c>
      <c r="GR227" t="inlineStr">
        <is>
          <t>RUS</t>
        </is>
      </c>
      <c r="GS227" t="inlineStr">
        <is>
          <t>RUS</t>
        </is>
      </c>
      <c r="GT227" t="inlineStr">
        <is>
          <t>RUS</t>
        </is>
      </c>
      <c r="GU227" t="inlineStr">
        <is>
          <t>RUS</t>
        </is>
      </c>
      <c r="GV227" t="inlineStr">
        <is>
          <t>RUS</t>
        </is>
      </c>
      <c r="GW227" t="inlineStr">
        <is>
          <t>RUS</t>
        </is>
      </c>
      <c r="GX227" t="inlineStr">
        <is>
          <t>RUS</t>
        </is>
      </c>
      <c r="HC227" t="inlineStr">
        <is>
          <t>RUS</t>
        </is>
      </c>
      <c r="HD227" t="inlineStr">
        <is>
          <t>RUS</t>
        </is>
      </c>
      <c r="HO227" t="inlineStr">
        <is>
          <t>RUS</t>
        </is>
      </c>
      <c r="HP227" t="inlineStr">
        <is>
          <t>RUS</t>
        </is>
      </c>
      <c r="HQ227" t="inlineStr">
        <is>
          <t>RUS</t>
        </is>
      </c>
      <c r="HR227" t="inlineStr">
        <is>
          <t>RUS</t>
        </is>
      </c>
      <c r="HS227" t="inlineStr">
        <is>
          <t>RUS</t>
        </is>
      </c>
      <c r="HT227" t="inlineStr">
        <is>
          <t>RUS</t>
        </is>
      </c>
      <c r="HU227" t="inlineStr">
        <is>
          <t>RUS</t>
        </is>
      </c>
      <c r="HV227" t="inlineStr">
        <is>
          <t>RUS</t>
        </is>
      </c>
      <c r="HW227" t="inlineStr">
        <is>
          <t>RUS</t>
        </is>
      </c>
      <c r="HX227" t="inlineStr">
        <is>
          <t>RUS</t>
        </is>
      </c>
      <c r="HY227" t="inlineStr">
        <is>
          <t>RUS</t>
        </is>
      </c>
      <c r="HZ227" t="inlineStr">
        <is>
          <t>RUS</t>
        </is>
      </c>
      <c r="IA227" t="inlineStr">
        <is>
          <t>RUS</t>
        </is>
      </c>
      <c r="IB227" t="inlineStr">
        <is>
          <t>RUS</t>
        </is>
      </c>
      <c r="IC227" t="inlineStr">
        <is>
          <t>RUS</t>
        </is>
      </c>
      <c r="ID227" t="inlineStr">
        <is>
          <t>RUS</t>
        </is>
      </c>
      <c r="IE227" t="inlineStr">
        <is>
          <t>RUS</t>
        </is>
      </c>
      <c r="IF227" t="inlineStr">
        <is>
          <t>RUS</t>
        </is>
      </c>
      <c r="IG227" t="inlineStr">
        <is>
          <t>RUS</t>
        </is>
      </c>
      <c r="IH227" t="inlineStr">
        <is>
          <t>RUS</t>
        </is>
      </c>
      <c r="II227" t="inlineStr">
        <is>
          <t>RUS</t>
        </is>
      </c>
      <c r="IJ227" t="inlineStr">
        <is>
          <t>RUS</t>
        </is>
      </c>
      <c r="IK227" t="inlineStr">
        <is>
          <t>RUS</t>
        </is>
      </c>
      <c r="IL227" t="inlineStr">
        <is>
          <t>RUS</t>
        </is>
      </c>
      <c r="IM227" t="inlineStr">
        <is>
          <t>RUS</t>
        </is>
      </c>
      <c r="IN227" t="inlineStr">
        <is>
          <t>RUS</t>
        </is>
      </c>
      <c r="IO227" t="inlineStr">
        <is>
          <t>RUS</t>
        </is>
      </c>
      <c r="IP227" t="inlineStr">
        <is>
          <t>RUS</t>
        </is>
      </c>
      <c r="IQ227" t="inlineStr">
        <is>
          <t>RUS</t>
        </is>
      </c>
      <c r="IR227" t="inlineStr">
        <is>
          <t>RUS</t>
        </is>
      </c>
      <c r="IS227" t="inlineStr">
        <is>
          <t>RUS</t>
        </is>
      </c>
      <c r="IT227" t="inlineStr">
        <is>
          <t>RUS</t>
        </is>
      </c>
      <c r="IU227" t="inlineStr">
        <is>
          <t>RUS</t>
        </is>
      </c>
      <c r="IV227" t="inlineStr">
        <is>
          <t>RUS</t>
        </is>
      </c>
      <c r="IW227" t="inlineStr">
        <is>
          <t>RUS</t>
        </is>
      </c>
      <c r="IX227" t="inlineStr">
        <is>
          <t>RUS</t>
        </is>
      </c>
      <c r="IY227" t="inlineStr">
        <is>
          <t>RUS</t>
        </is>
      </c>
      <c r="IZ227" t="inlineStr">
        <is>
          <t>RUS</t>
        </is>
      </c>
      <c r="JA227" t="inlineStr">
        <is>
          <t>RUS</t>
        </is>
      </c>
      <c r="JB227" t="inlineStr">
        <is>
          <t>RUS</t>
        </is>
      </c>
      <c r="JC227" t="inlineStr">
        <is>
          <t>RUS</t>
        </is>
      </c>
      <c r="JD227" t="inlineStr">
        <is>
          <t>RUS</t>
        </is>
      </c>
      <c r="JE227" t="inlineStr">
        <is>
          <t>RUS</t>
        </is>
      </c>
      <c r="JF227" t="inlineStr">
        <is>
          <t>RUS</t>
        </is>
      </c>
      <c r="JG227" t="inlineStr">
        <is>
          <t>RUS</t>
        </is>
      </c>
      <c r="JH227" t="inlineStr">
        <is>
          <t>RUS</t>
        </is>
      </c>
      <c r="JI227" t="inlineStr">
        <is>
          <t>RUS</t>
        </is>
      </c>
      <c r="JJ227" t="inlineStr">
        <is>
          <t>RUS</t>
        </is>
      </c>
      <c r="JK227" t="inlineStr">
        <is>
          <t>RUS</t>
        </is>
      </c>
      <c r="JL227" t="inlineStr">
        <is>
          <t>RUS</t>
        </is>
      </c>
      <c r="JM227" t="inlineStr">
        <is>
          <t>RUS</t>
        </is>
      </c>
      <c r="JN227" t="inlineStr">
        <is>
          <t>RUS</t>
        </is>
      </c>
      <c r="JO227" t="inlineStr">
        <is>
          <t>RUS</t>
        </is>
      </c>
      <c r="JP227" t="inlineStr">
        <is>
          <t>RUS</t>
        </is>
      </c>
      <c r="JQ227" t="inlineStr">
        <is>
          <t>RUS</t>
        </is>
      </c>
      <c r="JR227" t="inlineStr">
        <is>
          <t>RUS</t>
        </is>
      </c>
      <c r="JS227" t="inlineStr">
        <is>
          <t>RUS</t>
        </is>
      </c>
      <c r="JT227" t="inlineStr">
        <is>
          <t>RUS</t>
        </is>
      </c>
      <c r="JU227" t="inlineStr">
        <is>
          <t>RUS</t>
        </is>
      </c>
    </row>
    <row r="228">
      <c r="B228" t="inlineStr">
        <is>
          <t>GRL</t>
        </is>
      </c>
      <c r="C228" t="inlineStr">
        <is>
          <t>GRL</t>
        </is>
      </c>
      <c r="D228" t="inlineStr">
        <is>
          <t>GRL</t>
        </is>
      </c>
      <c r="E228" t="inlineStr">
        <is>
          <t>GRL</t>
        </is>
      </c>
      <c r="F228" t="inlineStr">
        <is>
          <t>GRL</t>
        </is>
      </c>
      <c r="G228" t="inlineStr">
        <is>
          <t>GRL</t>
        </is>
      </c>
      <c r="H228" t="inlineStr">
        <is>
          <t>GRL</t>
        </is>
      </c>
      <c r="I228" t="inlineStr">
        <is>
          <t>GRL</t>
        </is>
      </c>
      <c r="J228" t="inlineStr">
        <is>
          <t>GRL</t>
        </is>
      </c>
      <c r="K228" t="inlineStr">
        <is>
          <t>GRL</t>
        </is>
      </c>
      <c r="L228" t="inlineStr">
        <is>
          <t>GRL</t>
        </is>
      </c>
      <c r="M228" t="inlineStr">
        <is>
          <t>GRL</t>
        </is>
      </c>
      <c r="N228" t="inlineStr">
        <is>
          <t>GRL</t>
        </is>
      </c>
      <c r="FM228" t="inlineStr">
        <is>
          <t>RUS</t>
        </is>
      </c>
      <c r="FN228" t="inlineStr">
        <is>
          <t>RUS</t>
        </is>
      </c>
      <c r="FO228" t="inlineStr">
        <is>
          <t>RUS</t>
        </is>
      </c>
      <c r="FP228" t="inlineStr">
        <is>
          <t>RUS</t>
        </is>
      </c>
      <c r="FQ228" t="inlineStr">
        <is>
          <t>RUS</t>
        </is>
      </c>
      <c r="FR228" t="inlineStr">
        <is>
          <t>RUS</t>
        </is>
      </c>
      <c r="FS228" t="inlineStr">
        <is>
          <t>RUS</t>
        </is>
      </c>
      <c r="HO228" t="inlineStr">
        <is>
          <t>RUS</t>
        </is>
      </c>
      <c r="HP228" t="inlineStr">
        <is>
          <t>RUS</t>
        </is>
      </c>
      <c r="HQ228" t="inlineStr">
        <is>
          <t>RUS</t>
        </is>
      </c>
      <c r="HR228" t="inlineStr">
        <is>
          <t>RUS</t>
        </is>
      </c>
      <c r="HS228" t="inlineStr">
        <is>
          <t>RUS</t>
        </is>
      </c>
      <c r="HT228" t="inlineStr">
        <is>
          <t>RUS</t>
        </is>
      </c>
      <c r="HU228" t="inlineStr">
        <is>
          <t>RUS</t>
        </is>
      </c>
      <c r="HV228" t="inlineStr">
        <is>
          <t>RUS</t>
        </is>
      </c>
      <c r="HW228" t="inlineStr">
        <is>
          <t>RUS</t>
        </is>
      </c>
      <c r="HX228" t="inlineStr">
        <is>
          <t>RUS</t>
        </is>
      </c>
      <c r="HY228" t="inlineStr">
        <is>
          <t>RUS</t>
        </is>
      </c>
      <c r="HZ228" t="inlineStr">
        <is>
          <t>RUS</t>
        </is>
      </c>
      <c r="IA228" t="inlineStr">
        <is>
          <t>RUS</t>
        </is>
      </c>
      <c r="IB228" t="inlineStr">
        <is>
          <t>RUS</t>
        </is>
      </c>
      <c r="IC228" t="inlineStr">
        <is>
          <t>RUS</t>
        </is>
      </c>
      <c r="ID228" t="inlineStr">
        <is>
          <t>RUS</t>
        </is>
      </c>
      <c r="IE228" t="inlineStr">
        <is>
          <t>RUS</t>
        </is>
      </c>
      <c r="IF228" t="inlineStr">
        <is>
          <t>RUS</t>
        </is>
      </c>
      <c r="IG228" t="inlineStr">
        <is>
          <t>RUS</t>
        </is>
      </c>
      <c r="IH228" t="inlineStr">
        <is>
          <t>RUS</t>
        </is>
      </c>
      <c r="II228" t="inlineStr">
        <is>
          <t>RUS</t>
        </is>
      </c>
      <c r="IJ228" t="inlineStr">
        <is>
          <t>RUS</t>
        </is>
      </c>
      <c r="IK228" t="inlineStr">
        <is>
          <t>RUS</t>
        </is>
      </c>
      <c r="IL228" t="inlineStr">
        <is>
          <t>RUS</t>
        </is>
      </c>
      <c r="IM228" t="inlineStr">
        <is>
          <t>RUS</t>
        </is>
      </c>
      <c r="IN228" t="inlineStr">
        <is>
          <t>RUS</t>
        </is>
      </c>
      <c r="IO228" t="inlineStr">
        <is>
          <t>RUS</t>
        </is>
      </c>
      <c r="IP228" t="inlineStr">
        <is>
          <t>RUS</t>
        </is>
      </c>
      <c r="IQ228" t="inlineStr">
        <is>
          <t>RUS</t>
        </is>
      </c>
      <c r="IR228" t="inlineStr">
        <is>
          <t>RUS</t>
        </is>
      </c>
      <c r="IS228" t="inlineStr">
        <is>
          <t>RUS</t>
        </is>
      </c>
      <c r="IT228" t="inlineStr">
        <is>
          <t>RUS</t>
        </is>
      </c>
      <c r="IU228" t="inlineStr">
        <is>
          <t>RUS</t>
        </is>
      </c>
      <c r="IV228" t="inlineStr">
        <is>
          <t>RUS</t>
        </is>
      </c>
      <c r="IW228" t="inlineStr">
        <is>
          <t>RUS</t>
        </is>
      </c>
      <c r="IX228" t="inlineStr">
        <is>
          <t>RUS</t>
        </is>
      </c>
      <c r="IY228" t="inlineStr">
        <is>
          <t>RUS</t>
        </is>
      </c>
      <c r="IZ228" t="inlineStr">
        <is>
          <t>RUS</t>
        </is>
      </c>
      <c r="JA228" t="inlineStr">
        <is>
          <t>RUS</t>
        </is>
      </c>
      <c r="JB228" t="inlineStr">
        <is>
          <t>RUS</t>
        </is>
      </c>
      <c r="JC228" t="inlineStr">
        <is>
          <t>RUS</t>
        </is>
      </c>
      <c r="JD228" t="inlineStr">
        <is>
          <t>RUS</t>
        </is>
      </c>
      <c r="JE228" t="inlineStr">
        <is>
          <t>RUS</t>
        </is>
      </c>
      <c r="JF228" t="inlineStr">
        <is>
          <t>RUS</t>
        </is>
      </c>
      <c r="JG228" t="inlineStr">
        <is>
          <t>RUS</t>
        </is>
      </c>
      <c r="JH228" t="inlineStr">
        <is>
          <t>RUS</t>
        </is>
      </c>
      <c r="JI228" t="inlineStr">
        <is>
          <t>RUS</t>
        </is>
      </c>
      <c r="JJ228" t="inlineStr">
        <is>
          <t>RUS</t>
        </is>
      </c>
      <c r="JK228" t="inlineStr">
        <is>
          <t>RUS</t>
        </is>
      </c>
      <c r="JL228" t="inlineStr">
        <is>
          <t>RUS</t>
        </is>
      </c>
      <c r="JM228" t="inlineStr">
        <is>
          <t>RUS</t>
        </is>
      </c>
      <c r="JN228" t="inlineStr">
        <is>
          <t>RUS</t>
        </is>
      </c>
      <c r="JO228" t="inlineStr">
        <is>
          <t>RUS</t>
        </is>
      </c>
      <c r="JP228" t="inlineStr">
        <is>
          <t>RUS</t>
        </is>
      </c>
      <c r="JQ228" t="inlineStr">
        <is>
          <t>RUS</t>
        </is>
      </c>
      <c r="JR228" t="inlineStr">
        <is>
          <t>RUS</t>
        </is>
      </c>
      <c r="JS228" t="inlineStr">
        <is>
          <t>RUS</t>
        </is>
      </c>
      <c r="JT228" t="inlineStr">
        <is>
          <t>RUS</t>
        </is>
      </c>
      <c r="JU228" t="inlineStr">
        <is>
          <t>RUS</t>
        </is>
      </c>
    </row>
    <row r="229">
      <c r="B229" t="inlineStr">
        <is>
          <t>GRL</t>
        </is>
      </c>
      <c r="C229" t="inlineStr">
        <is>
          <t>GRL</t>
        </is>
      </c>
      <c r="D229" t="inlineStr">
        <is>
          <t>GRL</t>
        </is>
      </c>
      <c r="E229" t="inlineStr">
        <is>
          <t>GRL</t>
        </is>
      </c>
      <c r="F229" t="inlineStr">
        <is>
          <t>GRL</t>
        </is>
      </c>
      <c r="G229" t="inlineStr">
        <is>
          <t>GRL</t>
        </is>
      </c>
      <c r="H229" t="inlineStr">
        <is>
          <t>GRL</t>
        </is>
      </c>
      <c r="I229" t="inlineStr">
        <is>
          <t>GRL</t>
        </is>
      </c>
      <c r="J229" t="inlineStr">
        <is>
          <t>GRL</t>
        </is>
      </c>
      <c r="K229" t="inlineStr">
        <is>
          <t>GRL</t>
        </is>
      </c>
      <c r="L229" t="inlineStr">
        <is>
          <t>GRL</t>
        </is>
      </c>
      <c r="M229" t="inlineStr">
        <is>
          <t>GRL</t>
        </is>
      </c>
      <c r="N229" t="inlineStr">
        <is>
          <t>GRL</t>
        </is>
      </c>
      <c r="O229" t="inlineStr">
        <is>
          <t>GRL</t>
        </is>
      </c>
      <c r="P229" t="inlineStr">
        <is>
          <t>GRL</t>
        </is>
      </c>
      <c r="Q229" t="inlineStr">
        <is>
          <t>GRL</t>
        </is>
      </c>
      <c r="R229" t="inlineStr">
        <is>
          <t>GRL</t>
        </is>
      </c>
      <c r="S229" t="inlineStr">
        <is>
          <t>GRL</t>
        </is>
      </c>
      <c r="T229" t="inlineStr">
        <is>
          <t>GRL</t>
        </is>
      </c>
      <c r="FM229" t="inlineStr">
        <is>
          <t>RUS</t>
        </is>
      </c>
      <c r="FN229" t="inlineStr">
        <is>
          <t>RUS</t>
        </is>
      </c>
      <c r="FO229" t="inlineStr">
        <is>
          <t>RUS</t>
        </is>
      </c>
      <c r="FP229" t="inlineStr">
        <is>
          <t>RUS</t>
        </is>
      </c>
      <c r="FQ229" t="inlineStr">
        <is>
          <t>RUS</t>
        </is>
      </c>
      <c r="FR229" t="inlineStr">
        <is>
          <t>RUS</t>
        </is>
      </c>
      <c r="FS229" t="inlineStr">
        <is>
          <t>RUS</t>
        </is>
      </c>
      <c r="FT229" t="inlineStr">
        <is>
          <t>RUS</t>
        </is>
      </c>
      <c r="HQ229" t="inlineStr">
        <is>
          <t>RUS</t>
        </is>
      </c>
      <c r="HR229" t="inlineStr">
        <is>
          <t>RUS</t>
        </is>
      </c>
      <c r="HS229" t="inlineStr">
        <is>
          <t>RUS</t>
        </is>
      </c>
      <c r="HT229" t="inlineStr">
        <is>
          <t>RUS</t>
        </is>
      </c>
      <c r="HU229" t="inlineStr">
        <is>
          <t>RUS</t>
        </is>
      </c>
      <c r="HV229" t="inlineStr">
        <is>
          <t>RUS</t>
        </is>
      </c>
      <c r="HW229" t="inlineStr">
        <is>
          <t>RUS</t>
        </is>
      </c>
      <c r="HX229" t="inlineStr">
        <is>
          <t>RUS</t>
        </is>
      </c>
      <c r="HY229" t="inlineStr">
        <is>
          <t>RUS</t>
        </is>
      </c>
      <c r="HZ229" t="inlineStr">
        <is>
          <t>RUS</t>
        </is>
      </c>
      <c r="IA229" t="inlineStr">
        <is>
          <t>RUS</t>
        </is>
      </c>
      <c r="IB229" t="inlineStr">
        <is>
          <t>RUS</t>
        </is>
      </c>
      <c r="IC229" t="inlineStr">
        <is>
          <t>RUS</t>
        </is>
      </c>
      <c r="ID229" t="inlineStr">
        <is>
          <t>RUS</t>
        </is>
      </c>
      <c r="IE229" t="inlineStr">
        <is>
          <t>RUS</t>
        </is>
      </c>
      <c r="IF229" t="inlineStr">
        <is>
          <t>RUS</t>
        </is>
      </c>
      <c r="IG229" t="inlineStr">
        <is>
          <t>RUS</t>
        </is>
      </c>
      <c r="IH229" t="inlineStr">
        <is>
          <t>RUS</t>
        </is>
      </c>
      <c r="II229" t="inlineStr">
        <is>
          <t>RUS</t>
        </is>
      </c>
      <c r="IJ229" t="inlineStr">
        <is>
          <t>RUS</t>
        </is>
      </c>
      <c r="IK229" t="inlineStr">
        <is>
          <t>RUS</t>
        </is>
      </c>
      <c r="IL229" t="inlineStr">
        <is>
          <t>RUS</t>
        </is>
      </c>
      <c r="IM229" t="inlineStr">
        <is>
          <t>RUS</t>
        </is>
      </c>
      <c r="IN229" t="inlineStr">
        <is>
          <t>RUS</t>
        </is>
      </c>
      <c r="IO229" t="inlineStr">
        <is>
          <t>RUS</t>
        </is>
      </c>
      <c r="IP229" t="inlineStr">
        <is>
          <t>RUS</t>
        </is>
      </c>
      <c r="IQ229" t="inlineStr">
        <is>
          <t>RUS</t>
        </is>
      </c>
      <c r="IR229" t="inlineStr">
        <is>
          <t>RUS</t>
        </is>
      </c>
      <c r="IS229" t="inlineStr">
        <is>
          <t>RUS</t>
        </is>
      </c>
      <c r="IT229" t="inlineStr">
        <is>
          <t>RUS</t>
        </is>
      </c>
      <c r="IU229" t="inlineStr">
        <is>
          <t>RUS</t>
        </is>
      </c>
      <c r="IV229" t="inlineStr">
        <is>
          <t>RUS</t>
        </is>
      </c>
      <c r="IW229" t="inlineStr">
        <is>
          <t>RUS</t>
        </is>
      </c>
      <c r="IX229" t="inlineStr">
        <is>
          <t>RUS</t>
        </is>
      </c>
      <c r="IY229" t="inlineStr">
        <is>
          <t>RUS</t>
        </is>
      </c>
      <c r="IZ229" t="inlineStr">
        <is>
          <t>RUS</t>
        </is>
      </c>
      <c r="JA229" t="inlineStr">
        <is>
          <t>RUS</t>
        </is>
      </c>
      <c r="JB229" t="inlineStr">
        <is>
          <t>RUS</t>
        </is>
      </c>
      <c r="JC229" t="inlineStr">
        <is>
          <t>RUS</t>
        </is>
      </c>
      <c r="JD229" t="inlineStr">
        <is>
          <t>RUS</t>
        </is>
      </c>
      <c r="JE229" t="inlineStr">
        <is>
          <t>RUS</t>
        </is>
      </c>
      <c r="JF229" t="inlineStr">
        <is>
          <t>RUS</t>
        </is>
      </c>
      <c r="JG229" t="inlineStr">
        <is>
          <t>RUS</t>
        </is>
      </c>
      <c r="JH229" t="inlineStr">
        <is>
          <t>RUS</t>
        </is>
      </c>
      <c r="JI229" t="inlineStr">
        <is>
          <t>RUS</t>
        </is>
      </c>
      <c r="JJ229" t="inlineStr">
        <is>
          <t>RUS</t>
        </is>
      </c>
      <c r="JK229" t="inlineStr">
        <is>
          <t>RUS</t>
        </is>
      </c>
      <c r="JL229" t="inlineStr">
        <is>
          <t>RUS</t>
        </is>
      </c>
      <c r="JM229" t="inlineStr">
        <is>
          <t>RUS</t>
        </is>
      </c>
      <c r="JN229" t="inlineStr">
        <is>
          <t>RUS</t>
        </is>
      </c>
      <c r="JO229" t="inlineStr">
        <is>
          <t>RUS</t>
        </is>
      </c>
      <c r="JP229" t="inlineStr">
        <is>
          <t>RUS</t>
        </is>
      </c>
      <c r="JQ229" t="inlineStr">
        <is>
          <t>RUS</t>
        </is>
      </c>
      <c r="JR229" t="inlineStr">
        <is>
          <t>RUS</t>
        </is>
      </c>
      <c r="JS229" t="inlineStr">
        <is>
          <t>RUS</t>
        </is>
      </c>
      <c r="JT229" t="inlineStr">
        <is>
          <t>RUS</t>
        </is>
      </c>
      <c r="JU229" t="inlineStr">
        <is>
          <t>RUS</t>
        </is>
      </c>
    </row>
    <row r="230">
      <c r="B230" t="inlineStr">
        <is>
          <t>GRL</t>
        </is>
      </c>
      <c r="C230" t="inlineStr">
        <is>
          <t>GRL</t>
        </is>
      </c>
      <c r="D230" t="inlineStr">
        <is>
          <t>GRL</t>
        </is>
      </c>
      <c r="E230" t="inlineStr">
        <is>
          <t>GRL</t>
        </is>
      </c>
      <c r="F230" t="inlineStr">
        <is>
          <t>GRL</t>
        </is>
      </c>
      <c r="G230" t="inlineStr">
        <is>
          <t>GRL</t>
        </is>
      </c>
      <c r="H230" t="inlineStr">
        <is>
          <t>GRL</t>
        </is>
      </c>
      <c r="I230" t="inlineStr">
        <is>
          <t>GRL</t>
        </is>
      </c>
      <c r="J230" t="inlineStr">
        <is>
          <t>GRL</t>
        </is>
      </c>
      <c r="K230" t="inlineStr">
        <is>
          <t>GRL</t>
        </is>
      </c>
      <c r="L230" t="inlineStr">
        <is>
          <t>GRL</t>
        </is>
      </c>
      <c r="M230" t="inlineStr">
        <is>
          <t>GRL</t>
        </is>
      </c>
      <c r="N230" t="inlineStr">
        <is>
          <t>GRL</t>
        </is>
      </c>
      <c r="O230" t="inlineStr">
        <is>
          <t>GRL</t>
        </is>
      </c>
      <c r="P230" t="inlineStr">
        <is>
          <t>GRL</t>
        </is>
      </c>
      <c r="Q230" t="inlineStr">
        <is>
          <t>GRL</t>
        </is>
      </c>
      <c r="R230" t="inlineStr">
        <is>
          <t>GRL</t>
        </is>
      </c>
      <c r="S230" t="inlineStr">
        <is>
          <t>GRL</t>
        </is>
      </c>
      <c r="FP230" t="inlineStr">
        <is>
          <t>RUS</t>
        </is>
      </c>
      <c r="FQ230" t="inlineStr">
        <is>
          <t>RUS</t>
        </is>
      </c>
      <c r="FR230" t="inlineStr">
        <is>
          <t>RUS</t>
        </is>
      </c>
      <c r="FS230" t="inlineStr">
        <is>
          <t>RUS</t>
        </is>
      </c>
      <c r="FT230" t="inlineStr">
        <is>
          <t>RUS</t>
        </is>
      </c>
      <c r="FU230" t="inlineStr">
        <is>
          <t>RUS</t>
        </is>
      </c>
      <c r="FV230" t="inlineStr">
        <is>
          <t>RUS</t>
        </is>
      </c>
      <c r="IA230" t="inlineStr">
        <is>
          <t>RUS</t>
        </is>
      </c>
      <c r="IB230" t="inlineStr">
        <is>
          <t>RUS</t>
        </is>
      </c>
      <c r="IC230" t="inlineStr">
        <is>
          <t>RUS</t>
        </is>
      </c>
      <c r="ID230" t="inlineStr">
        <is>
          <t>RUS</t>
        </is>
      </c>
      <c r="IE230" t="inlineStr">
        <is>
          <t>RUS</t>
        </is>
      </c>
      <c r="IF230" t="inlineStr">
        <is>
          <t>RUS</t>
        </is>
      </c>
      <c r="IG230" t="inlineStr">
        <is>
          <t>RUS</t>
        </is>
      </c>
      <c r="IH230" t="inlineStr">
        <is>
          <t>RUS</t>
        </is>
      </c>
      <c r="II230" t="inlineStr">
        <is>
          <t>RUS</t>
        </is>
      </c>
      <c r="IJ230" t="inlineStr">
        <is>
          <t>RUS</t>
        </is>
      </c>
      <c r="IK230" t="inlineStr">
        <is>
          <t>RUS</t>
        </is>
      </c>
      <c r="IL230" t="inlineStr">
        <is>
          <t>RUS</t>
        </is>
      </c>
      <c r="IM230" t="inlineStr">
        <is>
          <t>RUS</t>
        </is>
      </c>
      <c r="IN230" t="inlineStr">
        <is>
          <t>RUS</t>
        </is>
      </c>
      <c r="IO230" t="inlineStr">
        <is>
          <t>RUS</t>
        </is>
      </c>
      <c r="IP230" t="inlineStr">
        <is>
          <t>RUS</t>
        </is>
      </c>
      <c r="IQ230" t="inlineStr">
        <is>
          <t>RUS</t>
        </is>
      </c>
      <c r="IR230" t="inlineStr">
        <is>
          <t>RUS</t>
        </is>
      </c>
      <c r="IS230" t="inlineStr">
        <is>
          <t>RUS</t>
        </is>
      </c>
      <c r="IT230" t="inlineStr">
        <is>
          <t>RUS</t>
        </is>
      </c>
      <c r="IU230" t="inlineStr">
        <is>
          <t>RUS</t>
        </is>
      </c>
      <c r="IV230" t="inlineStr">
        <is>
          <t>RUS</t>
        </is>
      </c>
      <c r="IW230" t="inlineStr">
        <is>
          <t>RUS</t>
        </is>
      </c>
      <c r="IX230" t="inlineStr">
        <is>
          <t>RUS</t>
        </is>
      </c>
      <c r="IY230" t="inlineStr">
        <is>
          <t>RUS</t>
        </is>
      </c>
      <c r="IZ230" t="inlineStr">
        <is>
          <t>RUS</t>
        </is>
      </c>
      <c r="JA230" t="inlineStr">
        <is>
          <t>RUS</t>
        </is>
      </c>
      <c r="JB230" t="inlineStr">
        <is>
          <t>RUS</t>
        </is>
      </c>
      <c r="JC230" t="inlineStr">
        <is>
          <t>RUS</t>
        </is>
      </c>
      <c r="JD230" t="inlineStr">
        <is>
          <t>RUS</t>
        </is>
      </c>
      <c r="JE230" t="inlineStr">
        <is>
          <t>RUS</t>
        </is>
      </c>
      <c r="JF230" t="inlineStr">
        <is>
          <t>RUS</t>
        </is>
      </c>
      <c r="JG230" t="inlineStr">
        <is>
          <t>RUS</t>
        </is>
      </c>
      <c r="JH230" t="inlineStr">
        <is>
          <t>RUS</t>
        </is>
      </c>
      <c r="JI230" t="inlineStr">
        <is>
          <t>RUS</t>
        </is>
      </c>
      <c r="JJ230" t="inlineStr">
        <is>
          <t>RUS</t>
        </is>
      </c>
      <c r="JK230" t="inlineStr">
        <is>
          <t>RUS</t>
        </is>
      </c>
      <c r="JL230" t="inlineStr">
        <is>
          <t>RUS</t>
        </is>
      </c>
      <c r="JM230" t="inlineStr">
        <is>
          <t>RUS</t>
        </is>
      </c>
      <c r="JN230" t="inlineStr">
        <is>
          <t>RUS</t>
        </is>
      </c>
      <c r="JO230" t="inlineStr">
        <is>
          <t>RUS</t>
        </is>
      </c>
      <c r="JP230" t="inlineStr">
        <is>
          <t>RUS</t>
        </is>
      </c>
      <c r="JQ230" t="inlineStr">
        <is>
          <t>RUS</t>
        </is>
      </c>
      <c r="JR230" t="inlineStr">
        <is>
          <t>RUS</t>
        </is>
      </c>
      <c r="JS230" t="inlineStr">
        <is>
          <t>RUS</t>
        </is>
      </c>
      <c r="JT230" t="inlineStr">
        <is>
          <t>RUS</t>
        </is>
      </c>
    </row>
    <row r="231">
      <c r="B231" t="inlineStr">
        <is>
          <t>GRL</t>
        </is>
      </c>
      <c r="C231" t="inlineStr">
        <is>
          <t>GRL</t>
        </is>
      </c>
      <c r="D231" t="inlineStr">
        <is>
          <t>GRL</t>
        </is>
      </c>
      <c r="E231" t="inlineStr">
        <is>
          <t>GRL</t>
        </is>
      </c>
      <c r="F231" t="inlineStr">
        <is>
          <t>GRL</t>
        </is>
      </c>
      <c r="G231" t="inlineStr">
        <is>
          <t>GRL</t>
        </is>
      </c>
      <c r="H231" t="inlineStr">
        <is>
          <t>GRL</t>
        </is>
      </c>
      <c r="I231" t="inlineStr">
        <is>
          <t>GRL</t>
        </is>
      </c>
      <c r="J231" t="inlineStr">
        <is>
          <t>GRL</t>
        </is>
      </c>
      <c r="K231" t="inlineStr">
        <is>
          <t>GRL</t>
        </is>
      </c>
      <c r="L231" t="inlineStr">
        <is>
          <t>GRL</t>
        </is>
      </c>
      <c r="M231" t="inlineStr">
        <is>
          <t>GRL</t>
        </is>
      </c>
      <c r="N231" t="inlineStr">
        <is>
          <t>GRL</t>
        </is>
      </c>
      <c r="O231" t="inlineStr">
        <is>
          <t>GRL</t>
        </is>
      </c>
      <c r="P231" t="inlineStr">
        <is>
          <t>GRL</t>
        </is>
      </c>
      <c r="Q231" t="inlineStr">
        <is>
          <t>GRL</t>
        </is>
      </c>
      <c r="R231" t="inlineStr">
        <is>
          <t>GRL</t>
        </is>
      </c>
      <c r="S231" t="inlineStr">
        <is>
          <t>GRL</t>
        </is>
      </c>
      <c r="T231" t="inlineStr">
        <is>
          <t>GRL</t>
        </is>
      </c>
      <c r="U231" t="inlineStr">
        <is>
          <t>GRL</t>
        </is>
      </c>
      <c r="FR231" t="inlineStr">
        <is>
          <t>RUS</t>
        </is>
      </c>
      <c r="FS231" t="inlineStr">
        <is>
          <t>RUS</t>
        </is>
      </c>
      <c r="FT231" t="inlineStr">
        <is>
          <t>RUS</t>
        </is>
      </c>
      <c r="FU231" t="inlineStr">
        <is>
          <t>RUS</t>
        </is>
      </c>
      <c r="FV231" t="inlineStr">
        <is>
          <t>RUS</t>
        </is>
      </c>
      <c r="FW231" t="inlineStr">
        <is>
          <t>RUS</t>
        </is>
      </c>
      <c r="FX231" t="inlineStr">
        <is>
          <t>RUS</t>
        </is>
      </c>
      <c r="FY231" t="inlineStr">
        <is>
          <t>RUS</t>
        </is>
      </c>
      <c r="IA231" t="inlineStr">
        <is>
          <t>RUS</t>
        </is>
      </c>
      <c r="IB231" t="inlineStr">
        <is>
          <t>RUS</t>
        </is>
      </c>
      <c r="IC231" t="inlineStr">
        <is>
          <t>RUS</t>
        </is>
      </c>
      <c r="ID231" t="inlineStr">
        <is>
          <t>RUS</t>
        </is>
      </c>
      <c r="IE231" t="inlineStr">
        <is>
          <t>RUS</t>
        </is>
      </c>
      <c r="IF231" t="inlineStr">
        <is>
          <t>RUS</t>
        </is>
      </c>
      <c r="IG231" t="inlineStr">
        <is>
          <t>RUS</t>
        </is>
      </c>
      <c r="IH231" t="inlineStr">
        <is>
          <t>RUS</t>
        </is>
      </c>
      <c r="II231" t="inlineStr">
        <is>
          <t>RUS</t>
        </is>
      </c>
      <c r="IJ231" t="inlineStr">
        <is>
          <t>RUS</t>
        </is>
      </c>
      <c r="IK231" t="inlineStr">
        <is>
          <t>RUS</t>
        </is>
      </c>
      <c r="IL231" t="inlineStr">
        <is>
          <t>RUS</t>
        </is>
      </c>
      <c r="IM231" t="inlineStr">
        <is>
          <t>RUS</t>
        </is>
      </c>
      <c r="IN231" t="inlineStr">
        <is>
          <t>RUS</t>
        </is>
      </c>
      <c r="IO231" t="inlineStr">
        <is>
          <t>RUS</t>
        </is>
      </c>
      <c r="IP231" t="inlineStr">
        <is>
          <t>RUS</t>
        </is>
      </c>
      <c r="IQ231" t="inlineStr">
        <is>
          <t>RUS</t>
        </is>
      </c>
      <c r="IR231" t="inlineStr">
        <is>
          <t>RUS</t>
        </is>
      </c>
      <c r="IS231" t="inlineStr">
        <is>
          <t>RUS</t>
        </is>
      </c>
      <c r="IT231" t="inlineStr">
        <is>
          <t>RUS</t>
        </is>
      </c>
      <c r="IU231" t="inlineStr">
        <is>
          <t>RUS</t>
        </is>
      </c>
      <c r="IV231" t="inlineStr">
        <is>
          <t>RUS</t>
        </is>
      </c>
      <c r="IW231" t="inlineStr">
        <is>
          <t>RUS</t>
        </is>
      </c>
      <c r="IX231" t="inlineStr">
        <is>
          <t>RUS</t>
        </is>
      </c>
      <c r="IY231" t="inlineStr">
        <is>
          <t>RUS</t>
        </is>
      </c>
      <c r="IZ231" t="inlineStr">
        <is>
          <t>RUS</t>
        </is>
      </c>
      <c r="JA231" t="inlineStr">
        <is>
          <t>RUS</t>
        </is>
      </c>
      <c r="JB231" t="inlineStr">
        <is>
          <t>RUS</t>
        </is>
      </c>
      <c r="JC231" t="inlineStr">
        <is>
          <t>RUS</t>
        </is>
      </c>
      <c r="JD231" t="inlineStr">
        <is>
          <t>RUS</t>
        </is>
      </c>
      <c r="JE231" t="inlineStr">
        <is>
          <t>RUS</t>
        </is>
      </c>
      <c r="JF231" t="inlineStr">
        <is>
          <t>RUS</t>
        </is>
      </c>
      <c r="JG231" t="inlineStr">
        <is>
          <t>RUS</t>
        </is>
      </c>
      <c r="JH231" t="inlineStr">
        <is>
          <t>RUS</t>
        </is>
      </c>
      <c r="JI231" t="inlineStr">
        <is>
          <t>RUS</t>
        </is>
      </c>
      <c r="JJ231" t="inlineStr">
        <is>
          <t>RUS</t>
        </is>
      </c>
      <c r="JK231" t="inlineStr">
        <is>
          <t>RUS</t>
        </is>
      </c>
      <c r="JL231" t="inlineStr">
        <is>
          <t>RUS</t>
        </is>
      </c>
      <c r="JM231" t="inlineStr">
        <is>
          <t>RUS</t>
        </is>
      </c>
      <c r="JN231" t="inlineStr">
        <is>
          <t>RUS</t>
        </is>
      </c>
      <c r="JO231" t="inlineStr">
        <is>
          <t>RUS</t>
        </is>
      </c>
      <c r="JP231" t="inlineStr">
        <is>
          <t>RUS</t>
        </is>
      </c>
      <c r="JQ231" t="inlineStr">
        <is>
          <t>RUS</t>
        </is>
      </c>
      <c r="JR231" t="inlineStr">
        <is>
          <t>RUS</t>
        </is>
      </c>
      <c r="JS231" t="inlineStr">
        <is>
          <t>RUS</t>
        </is>
      </c>
      <c r="JT231" t="inlineStr">
        <is>
          <t>RUS</t>
        </is>
      </c>
      <c r="JU231" t="inlineStr">
        <is>
          <t>RUS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S1209"/>
  <sheetViews>
    <sheetView workbookViewId="0">
      <selection activeCell="A1" sqref="A1"/>
    </sheetView>
  </sheetViews>
  <sheetFormatPr baseColWidth="8" defaultRowHeight="14.4"/>
  <sheetData>
    <row r="1">
      <c r="A1" s="33" t="inlineStr">
        <is>
          <t>LEG</t>
        </is>
      </c>
      <c r="B1" s="33" t="inlineStr">
        <is>
          <t>STEP</t>
        </is>
      </c>
      <c r="C1" s="33" t="inlineStr">
        <is>
          <t>DEP LAT</t>
        </is>
      </c>
      <c r="D1" s="33" t="inlineStr">
        <is>
          <t>DEP LON</t>
        </is>
      </c>
      <c r="E1" s="33" t="inlineStr">
        <is>
          <t>ARR LAT</t>
        </is>
      </c>
      <c r="F1" s="33" t="inlineStr">
        <is>
          <t>ARR LON</t>
        </is>
      </c>
      <c r="G1" s="33" t="inlineStr">
        <is>
          <t>GC ANGLE</t>
        </is>
      </c>
      <c r="H1" s="33" t="inlineStr">
        <is>
          <t>FRACTION</t>
        </is>
      </c>
      <c r="I1" s="33" t="inlineStr">
        <is>
          <t>COEF A</t>
        </is>
      </c>
      <c r="J1" s="33" t="inlineStr">
        <is>
          <t>COEF B</t>
        </is>
      </c>
      <c r="K1" s="33" t="inlineStr">
        <is>
          <t>X</t>
        </is>
      </c>
      <c r="L1" s="33" t="inlineStr">
        <is>
          <t>Y</t>
        </is>
      </c>
      <c r="M1" s="33" t="inlineStr">
        <is>
          <t>Z</t>
        </is>
      </c>
      <c r="N1" s="33" t="inlineStr">
        <is>
          <t>SAMPLE LAT</t>
        </is>
      </c>
      <c r="O1" s="33" t="inlineStr">
        <is>
          <t>SAMPLE LON</t>
        </is>
      </c>
      <c r="P1" s="33" t="inlineStr">
        <is>
          <t>ISO3</t>
        </is>
      </c>
      <c r="Q1" s="33" t="inlineStr">
        <is>
          <t>ORDER KEY</t>
        </is>
      </c>
      <c r="S1" s="33" t="inlineStr">
        <is>
          <t>Each leg is sampled at 151 equally spaced points along the great circle between its departure and arrival airport. ISO3 comes from geo_grid (0.5 deg raster). Spacing on a 3,400 NM leg is about 23 NM.</t>
        </is>
      </c>
    </row>
    <row r="2">
      <c r="A2">
        <f>INT((ROW()-2)/151)+1</f>
        <v/>
      </c>
      <c r="B2">
        <f>MOD(ROW()-2,151)</f>
        <v/>
      </c>
      <c r="C2">
        <f t="array" ref="C2">IFERROR(INDEX('TRIP MANAGER'!$O$18:$O$25,$A2),"")</f>
        <v/>
      </c>
      <c r="D2">
        <f t="array" ref="D2">IFERROR(INDEX('TRIP MANAGER'!$P$18:$P$25,$A2),"")</f>
        <v/>
      </c>
      <c r="E2">
        <f t="array" ref="E2">IFERROR(INDEX('TRIP MANAGER'!$Q$18:$Q$25,$A2),"")</f>
        <v/>
      </c>
      <c r="F2">
        <f t="array" ref="F2">IFERROR(INDEX('TRIP MANAGER'!$R$18:$R$25,$A2),"")</f>
        <v/>
      </c>
      <c r="G2">
        <f t="array" ref="G2">IFERROR(INDEX('TRIP MANAGER'!$S$18:$S$25,$A2),"")</f>
        <v/>
      </c>
      <c r="H2">
        <f>$B2/150</f>
        <v/>
      </c>
      <c r="I2">
        <f>IF(OR($G2="",$G2=0),"",SIN((1-$H2)*$G2)/SIN($G2))</f>
        <v/>
      </c>
      <c r="J2">
        <f>IF($I2="","",SIN($H2*$G2)/SIN($G2))</f>
        <v/>
      </c>
      <c r="K2">
        <f>IF($I2="","",$I2*COS(RADIANS($C2))*COS(RADIANS($D2))+$J2*COS(RADIANS($E2))*COS(RADIANS($F2)))</f>
        <v/>
      </c>
      <c r="L2">
        <f>IF($I2="","",$I2*COS(RADIANS($C2))*SIN(RADIANS($D2))+$J2*COS(RADIANS($E2))*SIN(RADIANS($F2)))</f>
        <v/>
      </c>
      <c r="M2">
        <f>IF($I2="","",$I2*SIN(RADIANS($C2))+$J2*SIN(RADIANS($E2)))</f>
        <v/>
      </c>
      <c r="N2">
        <f>IF($M2="","",DEGREES(ATAN2(SQRT($K2^2+$L2^2),$M2)))</f>
        <v/>
      </c>
      <c r="O2">
        <f>IF($M2="","",DEGREES(ATAN2($K2,$L2)))</f>
        <v/>
      </c>
      <c r="P2">
        <f t="array" ref="P2">IF($N2="","",IFERROR(IF(INDEX(geo_grid!$B$2:$JU$231,INT(($N2+40)/0.5)+1,INT(($O2+30)/0.5)+1)="","",INDEX(geo_grid!$B$2:$JU$231,INT(($N2+40)/0.5)+1,INT(($O2+30)/0.5)+1)),"OUTSIDE GRID"))</f>
        <v/>
      </c>
      <c r="Q2">
        <f>IF($P2="","",$A2*1000+$B2)</f>
        <v/>
      </c>
    </row>
    <row r="3">
      <c r="A3">
        <f>INT((ROW()-2)/151)+1</f>
        <v/>
      </c>
      <c r="B3">
        <f>MOD(ROW()-2,151)</f>
        <v/>
      </c>
      <c r="C3">
        <f t="array" ref="C3">IFERROR(INDEX('TRIP MANAGER'!$O$18:$O$25,$A3),"")</f>
        <v/>
      </c>
      <c r="D3">
        <f t="array" ref="D3">IFERROR(INDEX('TRIP MANAGER'!$P$18:$P$25,$A3),"")</f>
        <v/>
      </c>
      <c r="E3">
        <f t="array" ref="E3">IFERROR(INDEX('TRIP MANAGER'!$Q$18:$Q$25,$A3),"")</f>
        <v/>
      </c>
      <c r="F3">
        <f t="array" ref="F3">IFERROR(INDEX('TRIP MANAGER'!$R$18:$R$25,$A3),"")</f>
        <v/>
      </c>
      <c r="G3">
        <f t="array" ref="G3">IFERROR(INDEX('TRIP MANAGER'!$S$18:$S$25,$A3),"")</f>
        <v/>
      </c>
      <c r="H3">
        <f>$B3/150</f>
        <v/>
      </c>
      <c r="I3">
        <f>IF(OR($G3="",$G3=0),"",SIN((1-$H3)*$G3)/SIN($G3))</f>
        <v/>
      </c>
      <c r="J3">
        <f>IF($I3="","",SIN($H3*$G3)/SIN($G3))</f>
        <v/>
      </c>
      <c r="K3">
        <f>IF($I3="","",$I3*COS(RADIANS($C3))*COS(RADIANS($D3))+$J3*COS(RADIANS($E3))*COS(RADIANS($F3)))</f>
        <v/>
      </c>
      <c r="L3">
        <f>IF($I3="","",$I3*COS(RADIANS($C3))*SIN(RADIANS($D3))+$J3*COS(RADIANS($E3))*SIN(RADIANS($F3)))</f>
        <v/>
      </c>
      <c r="M3">
        <f>IF($I3="","",$I3*SIN(RADIANS($C3))+$J3*SIN(RADIANS($E3)))</f>
        <v/>
      </c>
      <c r="N3">
        <f>IF($M3="","",DEGREES(ATAN2(SQRT($K3^2+$L3^2),$M3)))</f>
        <v/>
      </c>
      <c r="O3">
        <f>IF($M3="","",DEGREES(ATAN2($K3,$L3)))</f>
        <v/>
      </c>
      <c r="P3">
        <f t="array" ref="P3">IF($N3="","",IFERROR(IF(INDEX(geo_grid!$B$2:$JU$231,INT(($N3+40)/0.5)+1,INT(($O3+30)/0.5)+1)="","",INDEX(geo_grid!$B$2:$JU$231,INT(($N3+40)/0.5)+1,INT(($O3+30)/0.5)+1)),"OUTSIDE GRID"))</f>
        <v/>
      </c>
      <c r="Q3">
        <f>IF($P3="","",$A3*1000+$B3)</f>
        <v/>
      </c>
    </row>
    <row r="4">
      <c r="A4">
        <f>INT((ROW()-2)/151)+1</f>
        <v/>
      </c>
      <c r="B4">
        <f>MOD(ROW()-2,151)</f>
        <v/>
      </c>
      <c r="C4">
        <f t="array" ref="C4">IFERROR(INDEX('TRIP MANAGER'!$O$18:$O$25,$A4),"")</f>
        <v/>
      </c>
      <c r="D4">
        <f t="array" ref="D4">IFERROR(INDEX('TRIP MANAGER'!$P$18:$P$25,$A4),"")</f>
        <v/>
      </c>
      <c r="E4">
        <f t="array" ref="E4">IFERROR(INDEX('TRIP MANAGER'!$Q$18:$Q$25,$A4),"")</f>
        <v/>
      </c>
      <c r="F4">
        <f t="array" ref="F4">IFERROR(INDEX('TRIP MANAGER'!$R$18:$R$25,$A4),"")</f>
        <v/>
      </c>
      <c r="G4">
        <f t="array" ref="G4">IFERROR(INDEX('TRIP MANAGER'!$S$18:$S$25,$A4),"")</f>
        <v/>
      </c>
      <c r="H4">
        <f>$B4/150</f>
        <v/>
      </c>
      <c r="I4">
        <f>IF(OR($G4="",$G4=0),"",SIN((1-$H4)*$G4)/SIN($G4))</f>
        <v/>
      </c>
      <c r="J4">
        <f>IF($I4="","",SIN($H4*$G4)/SIN($G4))</f>
        <v/>
      </c>
      <c r="K4">
        <f>IF($I4="","",$I4*COS(RADIANS($C4))*COS(RADIANS($D4))+$J4*COS(RADIANS($E4))*COS(RADIANS($F4)))</f>
        <v/>
      </c>
      <c r="L4">
        <f>IF($I4="","",$I4*COS(RADIANS($C4))*SIN(RADIANS($D4))+$J4*COS(RADIANS($E4))*SIN(RADIANS($F4)))</f>
        <v/>
      </c>
      <c r="M4">
        <f>IF($I4="","",$I4*SIN(RADIANS($C4))+$J4*SIN(RADIANS($E4)))</f>
        <v/>
      </c>
      <c r="N4">
        <f>IF($M4="","",DEGREES(ATAN2(SQRT($K4^2+$L4^2),$M4)))</f>
        <v/>
      </c>
      <c r="O4">
        <f>IF($M4="","",DEGREES(ATAN2($K4,$L4)))</f>
        <v/>
      </c>
      <c r="P4">
        <f t="array" ref="P4">IF($N4="","",IFERROR(IF(INDEX(geo_grid!$B$2:$JU$231,INT(($N4+40)/0.5)+1,INT(($O4+30)/0.5)+1)="","",INDEX(geo_grid!$B$2:$JU$231,INT(($N4+40)/0.5)+1,INT(($O4+30)/0.5)+1)),"OUTSIDE GRID"))</f>
        <v/>
      </c>
      <c r="Q4">
        <f>IF($P4="","",$A4*1000+$B4)</f>
        <v/>
      </c>
    </row>
    <row r="5">
      <c r="A5">
        <f>INT((ROW()-2)/151)+1</f>
        <v/>
      </c>
      <c r="B5">
        <f>MOD(ROW()-2,151)</f>
        <v/>
      </c>
      <c r="C5">
        <f t="array" ref="C5">IFERROR(INDEX('TRIP MANAGER'!$O$18:$O$25,$A5),"")</f>
        <v/>
      </c>
      <c r="D5">
        <f t="array" ref="D5">IFERROR(INDEX('TRIP MANAGER'!$P$18:$P$25,$A5),"")</f>
        <v/>
      </c>
      <c r="E5">
        <f t="array" ref="E5">IFERROR(INDEX('TRIP MANAGER'!$Q$18:$Q$25,$A5),"")</f>
        <v/>
      </c>
      <c r="F5">
        <f t="array" ref="F5">IFERROR(INDEX('TRIP MANAGER'!$R$18:$R$25,$A5),"")</f>
        <v/>
      </c>
      <c r="G5">
        <f t="array" ref="G5">IFERROR(INDEX('TRIP MANAGER'!$S$18:$S$25,$A5),"")</f>
        <v/>
      </c>
      <c r="H5">
        <f>$B5/150</f>
        <v/>
      </c>
      <c r="I5">
        <f>IF(OR($G5="",$G5=0),"",SIN((1-$H5)*$G5)/SIN($G5))</f>
        <v/>
      </c>
      <c r="J5">
        <f>IF($I5="","",SIN($H5*$G5)/SIN($G5))</f>
        <v/>
      </c>
      <c r="K5">
        <f>IF($I5="","",$I5*COS(RADIANS($C5))*COS(RADIANS($D5))+$J5*COS(RADIANS($E5))*COS(RADIANS($F5)))</f>
        <v/>
      </c>
      <c r="L5">
        <f>IF($I5="","",$I5*COS(RADIANS($C5))*SIN(RADIANS($D5))+$J5*COS(RADIANS($E5))*SIN(RADIANS($F5)))</f>
        <v/>
      </c>
      <c r="M5">
        <f>IF($I5="","",$I5*SIN(RADIANS($C5))+$J5*SIN(RADIANS($E5)))</f>
        <v/>
      </c>
      <c r="N5">
        <f>IF($M5="","",DEGREES(ATAN2(SQRT($K5^2+$L5^2),$M5)))</f>
        <v/>
      </c>
      <c r="O5">
        <f>IF($M5="","",DEGREES(ATAN2($K5,$L5)))</f>
        <v/>
      </c>
      <c r="P5">
        <f t="array" ref="P5">IF($N5="","",IFERROR(IF(INDEX(geo_grid!$B$2:$JU$231,INT(($N5+40)/0.5)+1,INT(($O5+30)/0.5)+1)="","",INDEX(geo_grid!$B$2:$JU$231,INT(($N5+40)/0.5)+1,INT(($O5+30)/0.5)+1)),"OUTSIDE GRID"))</f>
        <v/>
      </c>
      <c r="Q5">
        <f>IF($P5="","",$A5*1000+$B5)</f>
        <v/>
      </c>
    </row>
    <row r="6">
      <c r="A6">
        <f>INT((ROW()-2)/151)+1</f>
        <v/>
      </c>
      <c r="B6">
        <f>MOD(ROW()-2,151)</f>
        <v/>
      </c>
      <c r="C6">
        <f t="array" ref="C6">IFERROR(INDEX('TRIP MANAGER'!$O$18:$O$25,$A6),"")</f>
        <v/>
      </c>
      <c r="D6">
        <f t="array" ref="D6">IFERROR(INDEX('TRIP MANAGER'!$P$18:$P$25,$A6),"")</f>
        <v/>
      </c>
      <c r="E6">
        <f t="array" ref="E6">IFERROR(INDEX('TRIP MANAGER'!$Q$18:$Q$25,$A6),"")</f>
        <v/>
      </c>
      <c r="F6">
        <f t="array" ref="F6">IFERROR(INDEX('TRIP MANAGER'!$R$18:$R$25,$A6),"")</f>
        <v/>
      </c>
      <c r="G6">
        <f t="array" ref="G6">IFERROR(INDEX('TRIP MANAGER'!$S$18:$S$25,$A6),"")</f>
        <v/>
      </c>
      <c r="H6">
        <f>$B6/150</f>
        <v/>
      </c>
      <c r="I6">
        <f>IF(OR($G6="",$G6=0),"",SIN((1-$H6)*$G6)/SIN($G6))</f>
        <v/>
      </c>
      <c r="J6">
        <f>IF($I6="","",SIN($H6*$G6)/SIN($G6))</f>
        <v/>
      </c>
      <c r="K6">
        <f>IF($I6="","",$I6*COS(RADIANS($C6))*COS(RADIANS($D6))+$J6*COS(RADIANS($E6))*COS(RADIANS($F6)))</f>
        <v/>
      </c>
      <c r="L6">
        <f>IF($I6="","",$I6*COS(RADIANS($C6))*SIN(RADIANS($D6))+$J6*COS(RADIANS($E6))*SIN(RADIANS($F6)))</f>
        <v/>
      </c>
      <c r="M6">
        <f>IF($I6="","",$I6*SIN(RADIANS($C6))+$J6*SIN(RADIANS($E6)))</f>
        <v/>
      </c>
      <c r="N6">
        <f>IF($M6="","",DEGREES(ATAN2(SQRT($K6^2+$L6^2),$M6)))</f>
        <v/>
      </c>
      <c r="O6">
        <f>IF($M6="","",DEGREES(ATAN2($K6,$L6)))</f>
        <v/>
      </c>
      <c r="P6">
        <f t="array" ref="P6">IF($N6="","",IFERROR(IF(INDEX(geo_grid!$B$2:$JU$231,INT(($N6+40)/0.5)+1,INT(($O6+30)/0.5)+1)="","",INDEX(geo_grid!$B$2:$JU$231,INT(($N6+40)/0.5)+1,INT(($O6+30)/0.5)+1)),"OUTSIDE GRID"))</f>
        <v/>
      </c>
      <c r="Q6">
        <f>IF($P6="","",$A6*1000+$B6)</f>
        <v/>
      </c>
    </row>
    <row r="7">
      <c r="A7">
        <f>INT((ROW()-2)/151)+1</f>
        <v/>
      </c>
      <c r="B7">
        <f>MOD(ROW()-2,151)</f>
        <v/>
      </c>
      <c r="C7">
        <f t="array" ref="C7">IFERROR(INDEX('TRIP MANAGER'!$O$18:$O$25,$A7),"")</f>
        <v/>
      </c>
      <c r="D7">
        <f t="array" ref="D7">IFERROR(INDEX('TRIP MANAGER'!$P$18:$P$25,$A7),"")</f>
        <v/>
      </c>
      <c r="E7">
        <f t="array" ref="E7">IFERROR(INDEX('TRIP MANAGER'!$Q$18:$Q$25,$A7),"")</f>
        <v/>
      </c>
      <c r="F7">
        <f t="array" ref="F7">IFERROR(INDEX('TRIP MANAGER'!$R$18:$R$25,$A7),"")</f>
        <v/>
      </c>
      <c r="G7">
        <f t="array" ref="G7">IFERROR(INDEX('TRIP MANAGER'!$S$18:$S$25,$A7),"")</f>
        <v/>
      </c>
      <c r="H7">
        <f>$B7/150</f>
        <v/>
      </c>
      <c r="I7">
        <f>IF(OR($G7="",$G7=0),"",SIN((1-$H7)*$G7)/SIN($G7))</f>
        <v/>
      </c>
      <c r="J7">
        <f>IF($I7="","",SIN($H7*$G7)/SIN($G7))</f>
        <v/>
      </c>
      <c r="K7">
        <f>IF($I7="","",$I7*COS(RADIANS($C7))*COS(RADIANS($D7))+$J7*COS(RADIANS($E7))*COS(RADIANS($F7)))</f>
        <v/>
      </c>
      <c r="L7">
        <f>IF($I7="","",$I7*COS(RADIANS($C7))*SIN(RADIANS($D7))+$J7*COS(RADIANS($E7))*SIN(RADIANS($F7)))</f>
        <v/>
      </c>
      <c r="M7">
        <f>IF($I7="","",$I7*SIN(RADIANS($C7))+$J7*SIN(RADIANS($E7)))</f>
        <v/>
      </c>
      <c r="N7">
        <f>IF($M7="","",DEGREES(ATAN2(SQRT($K7^2+$L7^2),$M7)))</f>
        <v/>
      </c>
      <c r="O7">
        <f>IF($M7="","",DEGREES(ATAN2($K7,$L7)))</f>
        <v/>
      </c>
      <c r="P7">
        <f t="array" ref="P7">IF($N7="","",IFERROR(IF(INDEX(geo_grid!$B$2:$JU$231,INT(($N7+40)/0.5)+1,INT(($O7+30)/0.5)+1)="","",INDEX(geo_grid!$B$2:$JU$231,INT(($N7+40)/0.5)+1,INT(($O7+30)/0.5)+1)),"OUTSIDE GRID"))</f>
        <v/>
      </c>
      <c r="Q7">
        <f>IF($P7="","",$A7*1000+$B7)</f>
        <v/>
      </c>
    </row>
    <row r="8">
      <c r="A8">
        <f>INT((ROW()-2)/151)+1</f>
        <v/>
      </c>
      <c r="B8">
        <f>MOD(ROW()-2,151)</f>
        <v/>
      </c>
      <c r="C8">
        <f t="array" ref="C8">IFERROR(INDEX('TRIP MANAGER'!$O$18:$O$25,$A8),"")</f>
        <v/>
      </c>
      <c r="D8">
        <f t="array" ref="D8">IFERROR(INDEX('TRIP MANAGER'!$P$18:$P$25,$A8),"")</f>
        <v/>
      </c>
      <c r="E8">
        <f t="array" ref="E8">IFERROR(INDEX('TRIP MANAGER'!$Q$18:$Q$25,$A8),"")</f>
        <v/>
      </c>
      <c r="F8">
        <f t="array" ref="F8">IFERROR(INDEX('TRIP MANAGER'!$R$18:$R$25,$A8),"")</f>
        <v/>
      </c>
      <c r="G8">
        <f t="array" ref="G8">IFERROR(INDEX('TRIP MANAGER'!$S$18:$S$25,$A8),"")</f>
        <v/>
      </c>
      <c r="H8">
        <f>$B8/150</f>
        <v/>
      </c>
      <c r="I8">
        <f>IF(OR($G8="",$G8=0),"",SIN((1-$H8)*$G8)/SIN($G8))</f>
        <v/>
      </c>
      <c r="J8">
        <f>IF($I8="","",SIN($H8*$G8)/SIN($G8))</f>
        <v/>
      </c>
      <c r="K8">
        <f>IF($I8="","",$I8*COS(RADIANS($C8))*COS(RADIANS($D8))+$J8*COS(RADIANS($E8))*COS(RADIANS($F8)))</f>
        <v/>
      </c>
      <c r="L8">
        <f>IF($I8="","",$I8*COS(RADIANS($C8))*SIN(RADIANS($D8))+$J8*COS(RADIANS($E8))*SIN(RADIANS($F8)))</f>
        <v/>
      </c>
      <c r="M8">
        <f>IF($I8="","",$I8*SIN(RADIANS($C8))+$J8*SIN(RADIANS($E8)))</f>
        <v/>
      </c>
      <c r="N8">
        <f>IF($M8="","",DEGREES(ATAN2(SQRT($K8^2+$L8^2),$M8)))</f>
        <v/>
      </c>
      <c r="O8">
        <f>IF($M8="","",DEGREES(ATAN2($K8,$L8)))</f>
        <v/>
      </c>
      <c r="P8">
        <f t="array" ref="P8">IF($N8="","",IFERROR(IF(INDEX(geo_grid!$B$2:$JU$231,INT(($N8+40)/0.5)+1,INT(($O8+30)/0.5)+1)="","",INDEX(geo_grid!$B$2:$JU$231,INT(($N8+40)/0.5)+1,INT(($O8+30)/0.5)+1)),"OUTSIDE GRID"))</f>
        <v/>
      </c>
      <c r="Q8">
        <f>IF($P8="","",$A8*1000+$B8)</f>
        <v/>
      </c>
    </row>
    <row r="9">
      <c r="A9">
        <f>INT((ROW()-2)/151)+1</f>
        <v/>
      </c>
      <c r="B9">
        <f>MOD(ROW()-2,151)</f>
        <v/>
      </c>
      <c r="C9">
        <f t="array" ref="C9">IFERROR(INDEX('TRIP MANAGER'!$O$18:$O$25,$A9),"")</f>
        <v/>
      </c>
      <c r="D9">
        <f t="array" ref="D9">IFERROR(INDEX('TRIP MANAGER'!$P$18:$P$25,$A9),"")</f>
        <v/>
      </c>
      <c r="E9">
        <f t="array" ref="E9">IFERROR(INDEX('TRIP MANAGER'!$Q$18:$Q$25,$A9),"")</f>
        <v/>
      </c>
      <c r="F9">
        <f t="array" ref="F9">IFERROR(INDEX('TRIP MANAGER'!$R$18:$R$25,$A9),"")</f>
        <v/>
      </c>
      <c r="G9">
        <f t="array" ref="G9">IFERROR(INDEX('TRIP MANAGER'!$S$18:$S$25,$A9),"")</f>
        <v/>
      </c>
      <c r="H9">
        <f>$B9/150</f>
        <v/>
      </c>
      <c r="I9">
        <f>IF(OR($G9="",$G9=0),"",SIN((1-$H9)*$G9)/SIN($G9))</f>
        <v/>
      </c>
      <c r="J9">
        <f>IF($I9="","",SIN($H9*$G9)/SIN($G9))</f>
        <v/>
      </c>
      <c r="K9">
        <f>IF($I9="","",$I9*COS(RADIANS($C9))*COS(RADIANS($D9))+$J9*COS(RADIANS($E9))*COS(RADIANS($F9)))</f>
        <v/>
      </c>
      <c r="L9">
        <f>IF($I9="","",$I9*COS(RADIANS($C9))*SIN(RADIANS($D9))+$J9*COS(RADIANS($E9))*SIN(RADIANS($F9)))</f>
        <v/>
      </c>
      <c r="M9">
        <f>IF($I9="","",$I9*SIN(RADIANS($C9))+$J9*SIN(RADIANS($E9)))</f>
        <v/>
      </c>
      <c r="N9">
        <f>IF($M9="","",DEGREES(ATAN2(SQRT($K9^2+$L9^2),$M9)))</f>
        <v/>
      </c>
      <c r="O9">
        <f>IF($M9="","",DEGREES(ATAN2($K9,$L9)))</f>
        <v/>
      </c>
      <c r="P9">
        <f t="array" ref="P9">IF($N9="","",IFERROR(IF(INDEX(geo_grid!$B$2:$JU$231,INT(($N9+40)/0.5)+1,INT(($O9+30)/0.5)+1)="","",INDEX(geo_grid!$B$2:$JU$231,INT(($N9+40)/0.5)+1,INT(($O9+30)/0.5)+1)),"OUTSIDE GRID"))</f>
        <v/>
      </c>
      <c r="Q9">
        <f>IF($P9="","",$A9*1000+$B9)</f>
        <v/>
      </c>
    </row>
    <row r="10">
      <c r="A10">
        <f>INT((ROW()-2)/151)+1</f>
        <v/>
      </c>
      <c r="B10">
        <f>MOD(ROW()-2,151)</f>
        <v/>
      </c>
      <c r="C10">
        <f t="array" ref="C10">IFERROR(INDEX('TRIP MANAGER'!$O$18:$O$25,$A10),"")</f>
        <v/>
      </c>
      <c r="D10">
        <f t="array" ref="D10">IFERROR(INDEX('TRIP MANAGER'!$P$18:$P$25,$A10),"")</f>
        <v/>
      </c>
      <c r="E10">
        <f t="array" ref="E10">IFERROR(INDEX('TRIP MANAGER'!$Q$18:$Q$25,$A10),"")</f>
        <v/>
      </c>
      <c r="F10">
        <f t="array" ref="F10">IFERROR(INDEX('TRIP MANAGER'!$R$18:$R$25,$A10),"")</f>
        <v/>
      </c>
      <c r="G10">
        <f t="array" ref="G10">IFERROR(INDEX('TRIP MANAGER'!$S$18:$S$25,$A10),"")</f>
        <v/>
      </c>
      <c r="H10">
        <f>$B10/150</f>
        <v/>
      </c>
      <c r="I10">
        <f>IF(OR($G10="",$G10=0),"",SIN((1-$H10)*$G10)/SIN($G10))</f>
        <v/>
      </c>
      <c r="J10">
        <f>IF($I10="","",SIN($H10*$G10)/SIN($G10))</f>
        <v/>
      </c>
      <c r="K10">
        <f>IF($I10="","",$I10*COS(RADIANS($C10))*COS(RADIANS($D10))+$J10*COS(RADIANS($E10))*COS(RADIANS($F10)))</f>
        <v/>
      </c>
      <c r="L10">
        <f>IF($I10="","",$I10*COS(RADIANS($C10))*SIN(RADIANS($D10))+$J10*COS(RADIANS($E10))*SIN(RADIANS($F10)))</f>
        <v/>
      </c>
      <c r="M10">
        <f>IF($I10="","",$I10*SIN(RADIANS($C10))+$J10*SIN(RADIANS($E10)))</f>
        <v/>
      </c>
      <c r="N10">
        <f>IF($M10="","",DEGREES(ATAN2(SQRT($K10^2+$L10^2),$M10)))</f>
        <v/>
      </c>
      <c r="O10">
        <f>IF($M10="","",DEGREES(ATAN2($K10,$L10)))</f>
        <v/>
      </c>
      <c r="P10">
        <f t="array" ref="P10">IF($N10="","",IFERROR(IF(INDEX(geo_grid!$B$2:$JU$231,INT(($N10+40)/0.5)+1,INT(($O10+30)/0.5)+1)="","",INDEX(geo_grid!$B$2:$JU$231,INT(($N10+40)/0.5)+1,INT(($O10+30)/0.5)+1)),"OUTSIDE GRID"))</f>
        <v/>
      </c>
      <c r="Q10">
        <f>IF($P10="","",$A10*1000+$B10)</f>
        <v/>
      </c>
    </row>
    <row r="11">
      <c r="A11">
        <f>INT((ROW()-2)/151)+1</f>
        <v/>
      </c>
      <c r="B11">
        <f>MOD(ROW()-2,151)</f>
        <v/>
      </c>
      <c r="C11">
        <f t="array" ref="C11">IFERROR(INDEX('TRIP MANAGER'!$O$18:$O$25,$A11),"")</f>
        <v/>
      </c>
      <c r="D11">
        <f t="array" ref="D11">IFERROR(INDEX('TRIP MANAGER'!$P$18:$P$25,$A11),"")</f>
        <v/>
      </c>
      <c r="E11">
        <f t="array" ref="E11">IFERROR(INDEX('TRIP MANAGER'!$Q$18:$Q$25,$A11),"")</f>
        <v/>
      </c>
      <c r="F11">
        <f t="array" ref="F11">IFERROR(INDEX('TRIP MANAGER'!$R$18:$R$25,$A11),"")</f>
        <v/>
      </c>
      <c r="G11">
        <f t="array" ref="G11">IFERROR(INDEX('TRIP MANAGER'!$S$18:$S$25,$A11),"")</f>
        <v/>
      </c>
      <c r="H11">
        <f>$B11/150</f>
        <v/>
      </c>
      <c r="I11">
        <f>IF(OR($G11="",$G11=0),"",SIN((1-$H11)*$G11)/SIN($G11))</f>
        <v/>
      </c>
      <c r="J11">
        <f>IF($I11="","",SIN($H11*$G11)/SIN($G11))</f>
        <v/>
      </c>
      <c r="K11">
        <f>IF($I11="","",$I11*COS(RADIANS($C11))*COS(RADIANS($D11))+$J11*COS(RADIANS($E11))*COS(RADIANS($F11)))</f>
        <v/>
      </c>
      <c r="L11">
        <f>IF($I11="","",$I11*COS(RADIANS($C11))*SIN(RADIANS($D11))+$J11*COS(RADIANS($E11))*SIN(RADIANS($F11)))</f>
        <v/>
      </c>
      <c r="M11">
        <f>IF($I11="","",$I11*SIN(RADIANS($C11))+$J11*SIN(RADIANS($E11)))</f>
        <v/>
      </c>
      <c r="N11">
        <f>IF($M11="","",DEGREES(ATAN2(SQRT($K11^2+$L11^2),$M11)))</f>
        <v/>
      </c>
      <c r="O11">
        <f>IF($M11="","",DEGREES(ATAN2($K11,$L11)))</f>
        <v/>
      </c>
      <c r="P11">
        <f t="array" ref="P11">IF($N11="","",IFERROR(IF(INDEX(geo_grid!$B$2:$JU$231,INT(($N11+40)/0.5)+1,INT(($O11+30)/0.5)+1)="","",INDEX(geo_grid!$B$2:$JU$231,INT(($N11+40)/0.5)+1,INT(($O11+30)/0.5)+1)),"OUTSIDE GRID"))</f>
        <v/>
      </c>
      <c r="Q11">
        <f>IF($P11="","",$A11*1000+$B11)</f>
        <v/>
      </c>
    </row>
    <row r="12">
      <c r="A12">
        <f>INT((ROW()-2)/151)+1</f>
        <v/>
      </c>
      <c r="B12">
        <f>MOD(ROW()-2,151)</f>
        <v/>
      </c>
      <c r="C12">
        <f t="array" ref="C12">IFERROR(INDEX('TRIP MANAGER'!$O$18:$O$25,$A12),"")</f>
        <v/>
      </c>
      <c r="D12">
        <f t="array" ref="D12">IFERROR(INDEX('TRIP MANAGER'!$P$18:$P$25,$A12),"")</f>
        <v/>
      </c>
      <c r="E12">
        <f t="array" ref="E12">IFERROR(INDEX('TRIP MANAGER'!$Q$18:$Q$25,$A12),"")</f>
        <v/>
      </c>
      <c r="F12">
        <f t="array" ref="F12">IFERROR(INDEX('TRIP MANAGER'!$R$18:$R$25,$A12),"")</f>
        <v/>
      </c>
      <c r="G12">
        <f t="array" ref="G12">IFERROR(INDEX('TRIP MANAGER'!$S$18:$S$25,$A12),"")</f>
        <v/>
      </c>
      <c r="H12">
        <f>$B12/150</f>
        <v/>
      </c>
      <c r="I12">
        <f>IF(OR($G12="",$G12=0),"",SIN((1-$H12)*$G12)/SIN($G12))</f>
        <v/>
      </c>
      <c r="J12">
        <f>IF($I12="","",SIN($H12*$G12)/SIN($G12))</f>
        <v/>
      </c>
      <c r="K12">
        <f>IF($I12="","",$I12*COS(RADIANS($C12))*COS(RADIANS($D12))+$J12*COS(RADIANS($E12))*COS(RADIANS($F12)))</f>
        <v/>
      </c>
      <c r="L12">
        <f>IF($I12="","",$I12*COS(RADIANS($C12))*SIN(RADIANS($D12))+$J12*COS(RADIANS($E12))*SIN(RADIANS($F12)))</f>
        <v/>
      </c>
      <c r="M12">
        <f>IF($I12="","",$I12*SIN(RADIANS($C12))+$J12*SIN(RADIANS($E12)))</f>
        <v/>
      </c>
      <c r="N12">
        <f>IF($M12="","",DEGREES(ATAN2(SQRT($K12^2+$L12^2),$M12)))</f>
        <v/>
      </c>
      <c r="O12">
        <f>IF($M12="","",DEGREES(ATAN2($K12,$L12)))</f>
        <v/>
      </c>
      <c r="P12">
        <f t="array" ref="P12">IF($N12="","",IFERROR(IF(INDEX(geo_grid!$B$2:$JU$231,INT(($N12+40)/0.5)+1,INT(($O12+30)/0.5)+1)="","",INDEX(geo_grid!$B$2:$JU$231,INT(($N12+40)/0.5)+1,INT(($O12+30)/0.5)+1)),"OUTSIDE GRID"))</f>
        <v/>
      </c>
      <c r="Q12">
        <f>IF($P12="","",$A12*1000+$B12)</f>
        <v/>
      </c>
    </row>
    <row r="13">
      <c r="A13">
        <f>INT((ROW()-2)/151)+1</f>
        <v/>
      </c>
      <c r="B13">
        <f>MOD(ROW()-2,151)</f>
        <v/>
      </c>
      <c r="C13">
        <f t="array" ref="C13">IFERROR(INDEX('TRIP MANAGER'!$O$18:$O$25,$A13),"")</f>
        <v/>
      </c>
      <c r="D13">
        <f t="array" ref="D13">IFERROR(INDEX('TRIP MANAGER'!$P$18:$P$25,$A13),"")</f>
        <v/>
      </c>
      <c r="E13">
        <f t="array" ref="E13">IFERROR(INDEX('TRIP MANAGER'!$Q$18:$Q$25,$A13),"")</f>
        <v/>
      </c>
      <c r="F13">
        <f t="array" ref="F13">IFERROR(INDEX('TRIP MANAGER'!$R$18:$R$25,$A13),"")</f>
        <v/>
      </c>
      <c r="G13">
        <f t="array" ref="G13">IFERROR(INDEX('TRIP MANAGER'!$S$18:$S$25,$A13),"")</f>
        <v/>
      </c>
      <c r="H13">
        <f>$B13/150</f>
        <v/>
      </c>
      <c r="I13">
        <f>IF(OR($G13="",$G13=0),"",SIN((1-$H13)*$G13)/SIN($G13))</f>
        <v/>
      </c>
      <c r="J13">
        <f>IF($I13="","",SIN($H13*$G13)/SIN($G13))</f>
        <v/>
      </c>
      <c r="K13">
        <f>IF($I13="","",$I13*COS(RADIANS($C13))*COS(RADIANS($D13))+$J13*COS(RADIANS($E13))*COS(RADIANS($F13)))</f>
        <v/>
      </c>
      <c r="L13">
        <f>IF($I13="","",$I13*COS(RADIANS($C13))*SIN(RADIANS($D13))+$J13*COS(RADIANS($E13))*SIN(RADIANS($F13)))</f>
        <v/>
      </c>
      <c r="M13">
        <f>IF($I13="","",$I13*SIN(RADIANS($C13))+$J13*SIN(RADIANS($E13)))</f>
        <v/>
      </c>
      <c r="N13">
        <f>IF($M13="","",DEGREES(ATAN2(SQRT($K13^2+$L13^2),$M13)))</f>
        <v/>
      </c>
      <c r="O13">
        <f>IF($M13="","",DEGREES(ATAN2($K13,$L13)))</f>
        <v/>
      </c>
      <c r="P13">
        <f t="array" ref="P13">IF($N13="","",IFERROR(IF(INDEX(geo_grid!$B$2:$JU$231,INT(($N13+40)/0.5)+1,INT(($O13+30)/0.5)+1)="","",INDEX(geo_grid!$B$2:$JU$231,INT(($N13+40)/0.5)+1,INT(($O13+30)/0.5)+1)),"OUTSIDE GRID"))</f>
        <v/>
      </c>
      <c r="Q13">
        <f>IF($P13="","",$A13*1000+$B13)</f>
        <v/>
      </c>
    </row>
    <row r="14">
      <c r="A14">
        <f>INT((ROW()-2)/151)+1</f>
        <v/>
      </c>
      <c r="B14">
        <f>MOD(ROW()-2,151)</f>
        <v/>
      </c>
      <c r="C14">
        <f t="array" ref="C14">IFERROR(INDEX('TRIP MANAGER'!$O$18:$O$25,$A14),"")</f>
        <v/>
      </c>
      <c r="D14">
        <f t="array" ref="D14">IFERROR(INDEX('TRIP MANAGER'!$P$18:$P$25,$A14),"")</f>
        <v/>
      </c>
      <c r="E14">
        <f t="array" ref="E14">IFERROR(INDEX('TRIP MANAGER'!$Q$18:$Q$25,$A14),"")</f>
        <v/>
      </c>
      <c r="F14">
        <f t="array" ref="F14">IFERROR(INDEX('TRIP MANAGER'!$R$18:$R$25,$A14),"")</f>
        <v/>
      </c>
      <c r="G14">
        <f t="array" ref="G14">IFERROR(INDEX('TRIP MANAGER'!$S$18:$S$25,$A14),"")</f>
        <v/>
      </c>
      <c r="H14">
        <f>$B14/150</f>
        <v/>
      </c>
      <c r="I14">
        <f>IF(OR($G14="",$G14=0),"",SIN((1-$H14)*$G14)/SIN($G14))</f>
        <v/>
      </c>
      <c r="J14">
        <f>IF($I14="","",SIN($H14*$G14)/SIN($G14))</f>
        <v/>
      </c>
      <c r="K14">
        <f>IF($I14="","",$I14*COS(RADIANS($C14))*COS(RADIANS($D14))+$J14*COS(RADIANS($E14))*COS(RADIANS($F14)))</f>
        <v/>
      </c>
      <c r="L14">
        <f>IF($I14="","",$I14*COS(RADIANS($C14))*SIN(RADIANS($D14))+$J14*COS(RADIANS($E14))*SIN(RADIANS($F14)))</f>
        <v/>
      </c>
      <c r="M14">
        <f>IF($I14="","",$I14*SIN(RADIANS($C14))+$J14*SIN(RADIANS($E14)))</f>
        <v/>
      </c>
      <c r="N14">
        <f>IF($M14="","",DEGREES(ATAN2(SQRT($K14^2+$L14^2),$M14)))</f>
        <v/>
      </c>
      <c r="O14">
        <f>IF($M14="","",DEGREES(ATAN2($K14,$L14)))</f>
        <v/>
      </c>
      <c r="P14">
        <f t="array" ref="P14">IF($N14="","",IFERROR(IF(INDEX(geo_grid!$B$2:$JU$231,INT(($N14+40)/0.5)+1,INT(($O14+30)/0.5)+1)="","",INDEX(geo_grid!$B$2:$JU$231,INT(($N14+40)/0.5)+1,INT(($O14+30)/0.5)+1)),"OUTSIDE GRID"))</f>
        <v/>
      </c>
      <c r="Q14">
        <f>IF($P14="","",$A14*1000+$B14)</f>
        <v/>
      </c>
    </row>
    <row r="15">
      <c r="A15">
        <f>INT((ROW()-2)/151)+1</f>
        <v/>
      </c>
      <c r="B15">
        <f>MOD(ROW()-2,151)</f>
        <v/>
      </c>
      <c r="C15">
        <f t="array" ref="C15">IFERROR(INDEX('TRIP MANAGER'!$O$18:$O$25,$A15),"")</f>
        <v/>
      </c>
      <c r="D15">
        <f t="array" ref="D15">IFERROR(INDEX('TRIP MANAGER'!$P$18:$P$25,$A15),"")</f>
        <v/>
      </c>
      <c r="E15">
        <f t="array" ref="E15">IFERROR(INDEX('TRIP MANAGER'!$Q$18:$Q$25,$A15),"")</f>
        <v/>
      </c>
      <c r="F15">
        <f t="array" ref="F15">IFERROR(INDEX('TRIP MANAGER'!$R$18:$R$25,$A15),"")</f>
        <v/>
      </c>
      <c r="G15">
        <f t="array" ref="G15">IFERROR(INDEX('TRIP MANAGER'!$S$18:$S$25,$A15),"")</f>
        <v/>
      </c>
      <c r="H15">
        <f>$B15/150</f>
        <v/>
      </c>
      <c r="I15">
        <f>IF(OR($G15="",$G15=0),"",SIN((1-$H15)*$G15)/SIN($G15))</f>
        <v/>
      </c>
      <c r="J15">
        <f>IF($I15="","",SIN($H15*$G15)/SIN($G15))</f>
        <v/>
      </c>
      <c r="K15">
        <f>IF($I15="","",$I15*COS(RADIANS($C15))*COS(RADIANS($D15))+$J15*COS(RADIANS($E15))*COS(RADIANS($F15)))</f>
        <v/>
      </c>
      <c r="L15">
        <f>IF($I15="","",$I15*COS(RADIANS($C15))*SIN(RADIANS($D15))+$J15*COS(RADIANS($E15))*SIN(RADIANS($F15)))</f>
        <v/>
      </c>
      <c r="M15">
        <f>IF($I15="","",$I15*SIN(RADIANS($C15))+$J15*SIN(RADIANS($E15)))</f>
        <v/>
      </c>
      <c r="N15">
        <f>IF($M15="","",DEGREES(ATAN2(SQRT($K15^2+$L15^2),$M15)))</f>
        <v/>
      </c>
      <c r="O15">
        <f>IF($M15="","",DEGREES(ATAN2($K15,$L15)))</f>
        <v/>
      </c>
      <c r="P15">
        <f t="array" ref="P15">IF($N15="","",IFERROR(IF(INDEX(geo_grid!$B$2:$JU$231,INT(($N15+40)/0.5)+1,INT(($O15+30)/0.5)+1)="","",INDEX(geo_grid!$B$2:$JU$231,INT(($N15+40)/0.5)+1,INT(($O15+30)/0.5)+1)),"OUTSIDE GRID"))</f>
        <v/>
      </c>
      <c r="Q15">
        <f>IF($P15="","",$A15*1000+$B15)</f>
        <v/>
      </c>
    </row>
    <row r="16">
      <c r="A16">
        <f>INT((ROW()-2)/151)+1</f>
        <v/>
      </c>
      <c r="B16">
        <f>MOD(ROW()-2,151)</f>
        <v/>
      </c>
      <c r="C16">
        <f t="array" ref="C16">IFERROR(INDEX('TRIP MANAGER'!$O$18:$O$25,$A16),"")</f>
        <v/>
      </c>
      <c r="D16">
        <f t="array" ref="D16">IFERROR(INDEX('TRIP MANAGER'!$P$18:$P$25,$A16),"")</f>
        <v/>
      </c>
      <c r="E16">
        <f t="array" ref="E16">IFERROR(INDEX('TRIP MANAGER'!$Q$18:$Q$25,$A16),"")</f>
        <v/>
      </c>
      <c r="F16">
        <f t="array" ref="F16">IFERROR(INDEX('TRIP MANAGER'!$R$18:$R$25,$A16),"")</f>
        <v/>
      </c>
      <c r="G16">
        <f t="array" ref="G16">IFERROR(INDEX('TRIP MANAGER'!$S$18:$S$25,$A16),"")</f>
        <v/>
      </c>
      <c r="H16">
        <f>$B16/150</f>
        <v/>
      </c>
      <c r="I16">
        <f>IF(OR($G16="",$G16=0),"",SIN((1-$H16)*$G16)/SIN($G16))</f>
        <v/>
      </c>
      <c r="J16">
        <f>IF($I16="","",SIN($H16*$G16)/SIN($G16))</f>
        <v/>
      </c>
      <c r="K16">
        <f>IF($I16="","",$I16*COS(RADIANS($C16))*COS(RADIANS($D16))+$J16*COS(RADIANS($E16))*COS(RADIANS($F16)))</f>
        <v/>
      </c>
      <c r="L16">
        <f>IF($I16="","",$I16*COS(RADIANS($C16))*SIN(RADIANS($D16))+$J16*COS(RADIANS($E16))*SIN(RADIANS($F16)))</f>
        <v/>
      </c>
      <c r="M16">
        <f>IF($I16="","",$I16*SIN(RADIANS($C16))+$J16*SIN(RADIANS($E16)))</f>
        <v/>
      </c>
      <c r="N16">
        <f>IF($M16="","",DEGREES(ATAN2(SQRT($K16^2+$L16^2),$M16)))</f>
        <v/>
      </c>
      <c r="O16">
        <f>IF($M16="","",DEGREES(ATAN2($K16,$L16)))</f>
        <v/>
      </c>
      <c r="P16">
        <f t="array" ref="P16">IF($N16="","",IFERROR(IF(INDEX(geo_grid!$B$2:$JU$231,INT(($N16+40)/0.5)+1,INT(($O16+30)/0.5)+1)="","",INDEX(geo_grid!$B$2:$JU$231,INT(($N16+40)/0.5)+1,INT(($O16+30)/0.5)+1)),"OUTSIDE GRID"))</f>
        <v/>
      </c>
      <c r="Q16">
        <f>IF($P16="","",$A16*1000+$B16)</f>
        <v/>
      </c>
    </row>
    <row r="17">
      <c r="A17">
        <f>INT((ROW()-2)/151)+1</f>
        <v/>
      </c>
      <c r="B17">
        <f>MOD(ROW()-2,151)</f>
        <v/>
      </c>
      <c r="C17">
        <f t="array" ref="C17">IFERROR(INDEX('TRIP MANAGER'!$O$18:$O$25,$A17),"")</f>
        <v/>
      </c>
      <c r="D17">
        <f t="array" ref="D17">IFERROR(INDEX('TRIP MANAGER'!$P$18:$P$25,$A17),"")</f>
        <v/>
      </c>
      <c r="E17">
        <f t="array" ref="E17">IFERROR(INDEX('TRIP MANAGER'!$Q$18:$Q$25,$A17),"")</f>
        <v/>
      </c>
      <c r="F17">
        <f t="array" ref="F17">IFERROR(INDEX('TRIP MANAGER'!$R$18:$R$25,$A17),"")</f>
        <v/>
      </c>
      <c r="G17">
        <f t="array" ref="G17">IFERROR(INDEX('TRIP MANAGER'!$S$18:$S$25,$A17),"")</f>
        <v/>
      </c>
      <c r="H17">
        <f>$B17/150</f>
        <v/>
      </c>
      <c r="I17">
        <f>IF(OR($G17="",$G17=0),"",SIN((1-$H17)*$G17)/SIN($G17))</f>
        <v/>
      </c>
      <c r="J17">
        <f>IF($I17="","",SIN($H17*$G17)/SIN($G17))</f>
        <v/>
      </c>
      <c r="K17">
        <f>IF($I17="","",$I17*COS(RADIANS($C17))*COS(RADIANS($D17))+$J17*COS(RADIANS($E17))*COS(RADIANS($F17)))</f>
        <v/>
      </c>
      <c r="L17">
        <f>IF($I17="","",$I17*COS(RADIANS($C17))*SIN(RADIANS($D17))+$J17*COS(RADIANS($E17))*SIN(RADIANS($F17)))</f>
        <v/>
      </c>
      <c r="M17">
        <f>IF($I17="","",$I17*SIN(RADIANS($C17))+$J17*SIN(RADIANS($E17)))</f>
        <v/>
      </c>
      <c r="N17">
        <f>IF($M17="","",DEGREES(ATAN2(SQRT($K17^2+$L17^2),$M17)))</f>
        <v/>
      </c>
      <c r="O17">
        <f>IF($M17="","",DEGREES(ATAN2($K17,$L17)))</f>
        <v/>
      </c>
      <c r="P17">
        <f t="array" ref="P17">IF($N17="","",IFERROR(IF(INDEX(geo_grid!$B$2:$JU$231,INT(($N17+40)/0.5)+1,INT(($O17+30)/0.5)+1)="","",INDEX(geo_grid!$B$2:$JU$231,INT(($N17+40)/0.5)+1,INT(($O17+30)/0.5)+1)),"OUTSIDE GRID"))</f>
        <v/>
      </c>
      <c r="Q17">
        <f>IF($P17="","",$A17*1000+$B17)</f>
        <v/>
      </c>
    </row>
    <row r="18">
      <c r="A18">
        <f>INT((ROW()-2)/151)+1</f>
        <v/>
      </c>
      <c r="B18">
        <f>MOD(ROW()-2,151)</f>
        <v/>
      </c>
      <c r="C18">
        <f t="array" ref="C18">IFERROR(INDEX('TRIP MANAGER'!$O$18:$O$25,$A18),"")</f>
        <v/>
      </c>
      <c r="D18">
        <f t="array" ref="D18">IFERROR(INDEX('TRIP MANAGER'!$P$18:$P$25,$A18),"")</f>
        <v/>
      </c>
      <c r="E18">
        <f t="array" ref="E18">IFERROR(INDEX('TRIP MANAGER'!$Q$18:$Q$25,$A18),"")</f>
        <v/>
      </c>
      <c r="F18">
        <f t="array" ref="F18">IFERROR(INDEX('TRIP MANAGER'!$R$18:$R$25,$A18),"")</f>
        <v/>
      </c>
      <c r="G18">
        <f t="array" ref="G18">IFERROR(INDEX('TRIP MANAGER'!$S$18:$S$25,$A18),"")</f>
        <v/>
      </c>
      <c r="H18">
        <f>$B18/150</f>
        <v/>
      </c>
      <c r="I18">
        <f>IF(OR($G18="",$G18=0),"",SIN((1-$H18)*$G18)/SIN($G18))</f>
        <v/>
      </c>
      <c r="J18">
        <f>IF($I18="","",SIN($H18*$G18)/SIN($G18))</f>
        <v/>
      </c>
      <c r="K18">
        <f>IF($I18="","",$I18*COS(RADIANS($C18))*COS(RADIANS($D18))+$J18*COS(RADIANS($E18))*COS(RADIANS($F18)))</f>
        <v/>
      </c>
      <c r="L18">
        <f>IF($I18="","",$I18*COS(RADIANS($C18))*SIN(RADIANS($D18))+$J18*COS(RADIANS($E18))*SIN(RADIANS($F18)))</f>
        <v/>
      </c>
      <c r="M18">
        <f>IF($I18="","",$I18*SIN(RADIANS($C18))+$J18*SIN(RADIANS($E18)))</f>
        <v/>
      </c>
      <c r="N18">
        <f>IF($M18="","",DEGREES(ATAN2(SQRT($K18^2+$L18^2),$M18)))</f>
        <v/>
      </c>
      <c r="O18">
        <f>IF($M18="","",DEGREES(ATAN2($K18,$L18)))</f>
        <v/>
      </c>
      <c r="P18">
        <f t="array" ref="P18">IF($N18="","",IFERROR(IF(INDEX(geo_grid!$B$2:$JU$231,INT(($N18+40)/0.5)+1,INT(($O18+30)/0.5)+1)="","",INDEX(geo_grid!$B$2:$JU$231,INT(($N18+40)/0.5)+1,INT(($O18+30)/0.5)+1)),"OUTSIDE GRID"))</f>
        <v/>
      </c>
      <c r="Q18">
        <f>IF($P18="","",$A18*1000+$B18)</f>
        <v/>
      </c>
    </row>
    <row r="19">
      <c r="A19">
        <f>INT((ROW()-2)/151)+1</f>
        <v/>
      </c>
      <c r="B19">
        <f>MOD(ROW()-2,151)</f>
        <v/>
      </c>
      <c r="C19">
        <f t="array" ref="C19">IFERROR(INDEX('TRIP MANAGER'!$O$18:$O$25,$A19),"")</f>
        <v/>
      </c>
      <c r="D19">
        <f t="array" ref="D19">IFERROR(INDEX('TRIP MANAGER'!$P$18:$P$25,$A19),"")</f>
        <v/>
      </c>
      <c r="E19">
        <f t="array" ref="E19">IFERROR(INDEX('TRIP MANAGER'!$Q$18:$Q$25,$A19),"")</f>
        <v/>
      </c>
      <c r="F19">
        <f t="array" ref="F19">IFERROR(INDEX('TRIP MANAGER'!$R$18:$R$25,$A19),"")</f>
        <v/>
      </c>
      <c r="G19">
        <f t="array" ref="G19">IFERROR(INDEX('TRIP MANAGER'!$S$18:$S$25,$A19),"")</f>
        <v/>
      </c>
      <c r="H19">
        <f>$B19/150</f>
        <v/>
      </c>
      <c r="I19">
        <f>IF(OR($G19="",$G19=0),"",SIN((1-$H19)*$G19)/SIN($G19))</f>
        <v/>
      </c>
      <c r="J19">
        <f>IF($I19="","",SIN($H19*$G19)/SIN($G19))</f>
        <v/>
      </c>
      <c r="K19">
        <f>IF($I19="","",$I19*COS(RADIANS($C19))*COS(RADIANS($D19))+$J19*COS(RADIANS($E19))*COS(RADIANS($F19)))</f>
        <v/>
      </c>
      <c r="L19">
        <f>IF($I19="","",$I19*COS(RADIANS($C19))*SIN(RADIANS($D19))+$J19*COS(RADIANS($E19))*SIN(RADIANS($F19)))</f>
        <v/>
      </c>
      <c r="M19">
        <f>IF($I19="","",$I19*SIN(RADIANS($C19))+$J19*SIN(RADIANS($E19)))</f>
        <v/>
      </c>
      <c r="N19">
        <f>IF($M19="","",DEGREES(ATAN2(SQRT($K19^2+$L19^2),$M19)))</f>
        <v/>
      </c>
      <c r="O19">
        <f>IF($M19="","",DEGREES(ATAN2($K19,$L19)))</f>
        <v/>
      </c>
      <c r="P19">
        <f t="array" ref="P19">IF($N19="","",IFERROR(IF(INDEX(geo_grid!$B$2:$JU$231,INT(($N19+40)/0.5)+1,INT(($O19+30)/0.5)+1)="","",INDEX(geo_grid!$B$2:$JU$231,INT(($N19+40)/0.5)+1,INT(($O19+30)/0.5)+1)),"OUTSIDE GRID"))</f>
        <v/>
      </c>
      <c r="Q19">
        <f>IF($P19="","",$A19*1000+$B19)</f>
        <v/>
      </c>
    </row>
    <row r="20">
      <c r="A20">
        <f>INT((ROW()-2)/151)+1</f>
        <v/>
      </c>
      <c r="B20">
        <f>MOD(ROW()-2,151)</f>
        <v/>
      </c>
      <c r="C20">
        <f t="array" ref="C20">IFERROR(INDEX('TRIP MANAGER'!$O$18:$O$25,$A20),"")</f>
        <v/>
      </c>
      <c r="D20">
        <f t="array" ref="D20">IFERROR(INDEX('TRIP MANAGER'!$P$18:$P$25,$A20),"")</f>
        <v/>
      </c>
      <c r="E20">
        <f t="array" ref="E20">IFERROR(INDEX('TRIP MANAGER'!$Q$18:$Q$25,$A20),"")</f>
        <v/>
      </c>
      <c r="F20">
        <f t="array" ref="F20">IFERROR(INDEX('TRIP MANAGER'!$R$18:$R$25,$A20),"")</f>
        <v/>
      </c>
      <c r="G20">
        <f t="array" ref="G20">IFERROR(INDEX('TRIP MANAGER'!$S$18:$S$25,$A20),"")</f>
        <v/>
      </c>
      <c r="H20">
        <f>$B20/150</f>
        <v/>
      </c>
      <c r="I20">
        <f>IF(OR($G20="",$G20=0),"",SIN((1-$H20)*$G20)/SIN($G20))</f>
        <v/>
      </c>
      <c r="J20">
        <f>IF($I20="","",SIN($H20*$G20)/SIN($G20))</f>
        <v/>
      </c>
      <c r="K20">
        <f>IF($I20="","",$I20*COS(RADIANS($C20))*COS(RADIANS($D20))+$J20*COS(RADIANS($E20))*COS(RADIANS($F20)))</f>
        <v/>
      </c>
      <c r="L20">
        <f>IF($I20="","",$I20*COS(RADIANS($C20))*SIN(RADIANS($D20))+$J20*COS(RADIANS($E20))*SIN(RADIANS($F20)))</f>
        <v/>
      </c>
      <c r="M20">
        <f>IF($I20="","",$I20*SIN(RADIANS($C20))+$J20*SIN(RADIANS($E20)))</f>
        <v/>
      </c>
      <c r="N20">
        <f>IF($M20="","",DEGREES(ATAN2(SQRT($K20^2+$L20^2),$M20)))</f>
        <v/>
      </c>
      <c r="O20">
        <f>IF($M20="","",DEGREES(ATAN2($K20,$L20)))</f>
        <v/>
      </c>
      <c r="P20">
        <f t="array" ref="P20">IF($N20="","",IFERROR(IF(INDEX(geo_grid!$B$2:$JU$231,INT(($N20+40)/0.5)+1,INT(($O20+30)/0.5)+1)="","",INDEX(geo_grid!$B$2:$JU$231,INT(($N20+40)/0.5)+1,INT(($O20+30)/0.5)+1)),"OUTSIDE GRID"))</f>
        <v/>
      </c>
      <c r="Q20">
        <f>IF($P20="","",$A20*1000+$B20)</f>
        <v/>
      </c>
    </row>
    <row r="21">
      <c r="A21">
        <f>INT((ROW()-2)/151)+1</f>
        <v/>
      </c>
      <c r="B21">
        <f>MOD(ROW()-2,151)</f>
        <v/>
      </c>
      <c r="C21">
        <f t="array" ref="C21">IFERROR(INDEX('TRIP MANAGER'!$O$18:$O$25,$A21),"")</f>
        <v/>
      </c>
      <c r="D21">
        <f t="array" ref="D21">IFERROR(INDEX('TRIP MANAGER'!$P$18:$P$25,$A21),"")</f>
        <v/>
      </c>
      <c r="E21">
        <f t="array" ref="E21">IFERROR(INDEX('TRIP MANAGER'!$Q$18:$Q$25,$A21),"")</f>
        <v/>
      </c>
      <c r="F21">
        <f t="array" ref="F21">IFERROR(INDEX('TRIP MANAGER'!$R$18:$R$25,$A21),"")</f>
        <v/>
      </c>
      <c r="G21">
        <f t="array" ref="G21">IFERROR(INDEX('TRIP MANAGER'!$S$18:$S$25,$A21),"")</f>
        <v/>
      </c>
      <c r="H21">
        <f>$B21/150</f>
        <v/>
      </c>
      <c r="I21">
        <f>IF(OR($G21="",$G21=0),"",SIN((1-$H21)*$G21)/SIN($G21))</f>
        <v/>
      </c>
      <c r="J21">
        <f>IF($I21="","",SIN($H21*$G21)/SIN($G21))</f>
        <v/>
      </c>
      <c r="K21">
        <f>IF($I21="","",$I21*COS(RADIANS($C21))*COS(RADIANS($D21))+$J21*COS(RADIANS($E21))*COS(RADIANS($F21)))</f>
        <v/>
      </c>
      <c r="L21">
        <f>IF($I21="","",$I21*COS(RADIANS($C21))*SIN(RADIANS($D21))+$J21*COS(RADIANS($E21))*SIN(RADIANS($F21)))</f>
        <v/>
      </c>
      <c r="M21">
        <f>IF($I21="","",$I21*SIN(RADIANS($C21))+$J21*SIN(RADIANS($E21)))</f>
        <v/>
      </c>
      <c r="N21">
        <f>IF($M21="","",DEGREES(ATAN2(SQRT($K21^2+$L21^2),$M21)))</f>
        <v/>
      </c>
      <c r="O21">
        <f>IF($M21="","",DEGREES(ATAN2($K21,$L21)))</f>
        <v/>
      </c>
      <c r="P21">
        <f t="array" ref="P21">IF($N21="","",IFERROR(IF(INDEX(geo_grid!$B$2:$JU$231,INT(($N21+40)/0.5)+1,INT(($O21+30)/0.5)+1)="","",INDEX(geo_grid!$B$2:$JU$231,INT(($N21+40)/0.5)+1,INT(($O21+30)/0.5)+1)),"OUTSIDE GRID"))</f>
        <v/>
      </c>
      <c r="Q21">
        <f>IF($P21="","",$A21*1000+$B21)</f>
        <v/>
      </c>
    </row>
    <row r="22">
      <c r="A22">
        <f>INT((ROW()-2)/151)+1</f>
        <v/>
      </c>
      <c r="B22">
        <f>MOD(ROW()-2,151)</f>
        <v/>
      </c>
      <c r="C22">
        <f t="array" ref="C22">IFERROR(INDEX('TRIP MANAGER'!$O$18:$O$25,$A22),"")</f>
        <v/>
      </c>
      <c r="D22">
        <f t="array" ref="D22">IFERROR(INDEX('TRIP MANAGER'!$P$18:$P$25,$A22),"")</f>
        <v/>
      </c>
      <c r="E22">
        <f t="array" ref="E22">IFERROR(INDEX('TRIP MANAGER'!$Q$18:$Q$25,$A22),"")</f>
        <v/>
      </c>
      <c r="F22">
        <f t="array" ref="F22">IFERROR(INDEX('TRIP MANAGER'!$R$18:$R$25,$A22),"")</f>
        <v/>
      </c>
      <c r="G22">
        <f t="array" ref="G22">IFERROR(INDEX('TRIP MANAGER'!$S$18:$S$25,$A22),"")</f>
        <v/>
      </c>
      <c r="H22">
        <f>$B22/150</f>
        <v/>
      </c>
      <c r="I22">
        <f>IF(OR($G22="",$G22=0),"",SIN((1-$H22)*$G22)/SIN($G22))</f>
        <v/>
      </c>
      <c r="J22">
        <f>IF($I22="","",SIN($H22*$G22)/SIN($G22))</f>
        <v/>
      </c>
      <c r="K22">
        <f>IF($I22="","",$I22*COS(RADIANS($C22))*COS(RADIANS($D22))+$J22*COS(RADIANS($E22))*COS(RADIANS($F22)))</f>
        <v/>
      </c>
      <c r="L22">
        <f>IF($I22="","",$I22*COS(RADIANS($C22))*SIN(RADIANS($D22))+$J22*COS(RADIANS($E22))*SIN(RADIANS($F22)))</f>
        <v/>
      </c>
      <c r="M22">
        <f>IF($I22="","",$I22*SIN(RADIANS($C22))+$J22*SIN(RADIANS($E22)))</f>
        <v/>
      </c>
      <c r="N22">
        <f>IF($M22="","",DEGREES(ATAN2(SQRT($K22^2+$L22^2),$M22)))</f>
        <v/>
      </c>
      <c r="O22">
        <f>IF($M22="","",DEGREES(ATAN2($K22,$L22)))</f>
        <v/>
      </c>
      <c r="P22">
        <f t="array" ref="P22">IF($N22="","",IFERROR(IF(INDEX(geo_grid!$B$2:$JU$231,INT(($N22+40)/0.5)+1,INT(($O22+30)/0.5)+1)="","",INDEX(geo_grid!$B$2:$JU$231,INT(($N22+40)/0.5)+1,INT(($O22+30)/0.5)+1)),"OUTSIDE GRID"))</f>
        <v/>
      </c>
      <c r="Q22">
        <f>IF($P22="","",$A22*1000+$B22)</f>
        <v/>
      </c>
    </row>
    <row r="23">
      <c r="A23">
        <f>INT((ROW()-2)/151)+1</f>
        <v/>
      </c>
      <c r="B23">
        <f>MOD(ROW()-2,151)</f>
        <v/>
      </c>
      <c r="C23">
        <f t="array" ref="C23">IFERROR(INDEX('TRIP MANAGER'!$O$18:$O$25,$A23),"")</f>
        <v/>
      </c>
      <c r="D23">
        <f t="array" ref="D23">IFERROR(INDEX('TRIP MANAGER'!$P$18:$P$25,$A23),"")</f>
        <v/>
      </c>
      <c r="E23">
        <f t="array" ref="E23">IFERROR(INDEX('TRIP MANAGER'!$Q$18:$Q$25,$A23),"")</f>
        <v/>
      </c>
      <c r="F23">
        <f t="array" ref="F23">IFERROR(INDEX('TRIP MANAGER'!$R$18:$R$25,$A23),"")</f>
        <v/>
      </c>
      <c r="G23">
        <f t="array" ref="G23">IFERROR(INDEX('TRIP MANAGER'!$S$18:$S$25,$A23),"")</f>
        <v/>
      </c>
      <c r="H23">
        <f>$B23/150</f>
        <v/>
      </c>
      <c r="I23">
        <f>IF(OR($G23="",$G23=0),"",SIN((1-$H23)*$G23)/SIN($G23))</f>
        <v/>
      </c>
      <c r="J23">
        <f>IF($I23="","",SIN($H23*$G23)/SIN($G23))</f>
        <v/>
      </c>
      <c r="K23">
        <f>IF($I23="","",$I23*COS(RADIANS($C23))*COS(RADIANS($D23))+$J23*COS(RADIANS($E23))*COS(RADIANS($F23)))</f>
        <v/>
      </c>
      <c r="L23">
        <f>IF($I23="","",$I23*COS(RADIANS($C23))*SIN(RADIANS($D23))+$J23*COS(RADIANS($E23))*SIN(RADIANS($F23)))</f>
        <v/>
      </c>
      <c r="M23">
        <f>IF($I23="","",$I23*SIN(RADIANS($C23))+$J23*SIN(RADIANS($E23)))</f>
        <v/>
      </c>
      <c r="N23">
        <f>IF($M23="","",DEGREES(ATAN2(SQRT($K23^2+$L23^2),$M23)))</f>
        <v/>
      </c>
      <c r="O23">
        <f>IF($M23="","",DEGREES(ATAN2($K23,$L23)))</f>
        <v/>
      </c>
      <c r="P23">
        <f t="array" ref="P23">IF($N23="","",IFERROR(IF(INDEX(geo_grid!$B$2:$JU$231,INT(($N23+40)/0.5)+1,INT(($O23+30)/0.5)+1)="","",INDEX(geo_grid!$B$2:$JU$231,INT(($N23+40)/0.5)+1,INT(($O23+30)/0.5)+1)),"OUTSIDE GRID"))</f>
        <v/>
      </c>
      <c r="Q23">
        <f>IF($P23="","",$A23*1000+$B23)</f>
        <v/>
      </c>
    </row>
    <row r="24">
      <c r="A24">
        <f>INT((ROW()-2)/151)+1</f>
        <v/>
      </c>
      <c r="B24">
        <f>MOD(ROW()-2,151)</f>
        <v/>
      </c>
      <c r="C24">
        <f t="array" ref="C24">IFERROR(INDEX('TRIP MANAGER'!$O$18:$O$25,$A24),"")</f>
        <v/>
      </c>
      <c r="D24">
        <f t="array" ref="D24">IFERROR(INDEX('TRIP MANAGER'!$P$18:$P$25,$A24),"")</f>
        <v/>
      </c>
      <c r="E24">
        <f t="array" ref="E24">IFERROR(INDEX('TRIP MANAGER'!$Q$18:$Q$25,$A24),"")</f>
        <v/>
      </c>
      <c r="F24">
        <f t="array" ref="F24">IFERROR(INDEX('TRIP MANAGER'!$R$18:$R$25,$A24),"")</f>
        <v/>
      </c>
      <c r="G24">
        <f t="array" ref="G24">IFERROR(INDEX('TRIP MANAGER'!$S$18:$S$25,$A24),"")</f>
        <v/>
      </c>
      <c r="H24">
        <f>$B24/150</f>
        <v/>
      </c>
      <c r="I24">
        <f>IF(OR($G24="",$G24=0),"",SIN((1-$H24)*$G24)/SIN($G24))</f>
        <v/>
      </c>
      <c r="J24">
        <f>IF($I24="","",SIN($H24*$G24)/SIN($G24))</f>
        <v/>
      </c>
      <c r="K24">
        <f>IF($I24="","",$I24*COS(RADIANS($C24))*COS(RADIANS($D24))+$J24*COS(RADIANS($E24))*COS(RADIANS($F24)))</f>
        <v/>
      </c>
      <c r="L24">
        <f>IF($I24="","",$I24*COS(RADIANS($C24))*SIN(RADIANS($D24))+$J24*COS(RADIANS($E24))*SIN(RADIANS($F24)))</f>
        <v/>
      </c>
      <c r="M24">
        <f>IF($I24="","",$I24*SIN(RADIANS($C24))+$J24*SIN(RADIANS($E24)))</f>
        <v/>
      </c>
      <c r="N24">
        <f>IF($M24="","",DEGREES(ATAN2(SQRT($K24^2+$L24^2),$M24)))</f>
        <v/>
      </c>
      <c r="O24">
        <f>IF($M24="","",DEGREES(ATAN2($K24,$L24)))</f>
        <v/>
      </c>
      <c r="P24">
        <f t="array" ref="P24">IF($N24="","",IFERROR(IF(INDEX(geo_grid!$B$2:$JU$231,INT(($N24+40)/0.5)+1,INT(($O24+30)/0.5)+1)="","",INDEX(geo_grid!$B$2:$JU$231,INT(($N24+40)/0.5)+1,INT(($O24+30)/0.5)+1)),"OUTSIDE GRID"))</f>
        <v/>
      </c>
      <c r="Q24">
        <f>IF($P24="","",$A24*1000+$B24)</f>
        <v/>
      </c>
    </row>
    <row r="25">
      <c r="A25">
        <f>INT((ROW()-2)/151)+1</f>
        <v/>
      </c>
      <c r="B25">
        <f>MOD(ROW()-2,151)</f>
        <v/>
      </c>
      <c r="C25">
        <f t="array" ref="C25">IFERROR(INDEX('TRIP MANAGER'!$O$18:$O$25,$A25),"")</f>
        <v/>
      </c>
      <c r="D25">
        <f t="array" ref="D25">IFERROR(INDEX('TRIP MANAGER'!$P$18:$P$25,$A25),"")</f>
        <v/>
      </c>
      <c r="E25">
        <f t="array" ref="E25">IFERROR(INDEX('TRIP MANAGER'!$Q$18:$Q$25,$A25),"")</f>
        <v/>
      </c>
      <c r="F25">
        <f t="array" ref="F25">IFERROR(INDEX('TRIP MANAGER'!$R$18:$R$25,$A25),"")</f>
        <v/>
      </c>
      <c r="G25">
        <f t="array" ref="G25">IFERROR(INDEX('TRIP MANAGER'!$S$18:$S$25,$A25),"")</f>
        <v/>
      </c>
      <c r="H25">
        <f>$B25/150</f>
        <v/>
      </c>
      <c r="I25">
        <f>IF(OR($G25="",$G25=0),"",SIN((1-$H25)*$G25)/SIN($G25))</f>
        <v/>
      </c>
      <c r="J25">
        <f>IF($I25="","",SIN($H25*$G25)/SIN($G25))</f>
        <v/>
      </c>
      <c r="K25">
        <f>IF($I25="","",$I25*COS(RADIANS($C25))*COS(RADIANS($D25))+$J25*COS(RADIANS($E25))*COS(RADIANS($F25)))</f>
        <v/>
      </c>
      <c r="L25">
        <f>IF($I25="","",$I25*COS(RADIANS($C25))*SIN(RADIANS($D25))+$J25*COS(RADIANS($E25))*SIN(RADIANS($F25)))</f>
        <v/>
      </c>
      <c r="M25">
        <f>IF($I25="","",$I25*SIN(RADIANS($C25))+$J25*SIN(RADIANS($E25)))</f>
        <v/>
      </c>
      <c r="N25">
        <f>IF($M25="","",DEGREES(ATAN2(SQRT($K25^2+$L25^2),$M25)))</f>
        <v/>
      </c>
      <c r="O25">
        <f>IF($M25="","",DEGREES(ATAN2($K25,$L25)))</f>
        <v/>
      </c>
      <c r="P25">
        <f t="array" ref="P25">IF($N25="","",IFERROR(IF(INDEX(geo_grid!$B$2:$JU$231,INT(($N25+40)/0.5)+1,INT(($O25+30)/0.5)+1)="","",INDEX(geo_grid!$B$2:$JU$231,INT(($N25+40)/0.5)+1,INT(($O25+30)/0.5)+1)),"OUTSIDE GRID"))</f>
        <v/>
      </c>
      <c r="Q25">
        <f>IF($P25="","",$A25*1000+$B25)</f>
        <v/>
      </c>
    </row>
    <row r="26">
      <c r="A26">
        <f>INT((ROW()-2)/151)+1</f>
        <v/>
      </c>
      <c r="B26">
        <f>MOD(ROW()-2,151)</f>
        <v/>
      </c>
      <c r="C26">
        <f t="array" ref="C26">IFERROR(INDEX('TRIP MANAGER'!$O$18:$O$25,$A26),"")</f>
        <v/>
      </c>
      <c r="D26">
        <f t="array" ref="D26">IFERROR(INDEX('TRIP MANAGER'!$P$18:$P$25,$A26),"")</f>
        <v/>
      </c>
      <c r="E26">
        <f t="array" ref="E26">IFERROR(INDEX('TRIP MANAGER'!$Q$18:$Q$25,$A26),"")</f>
        <v/>
      </c>
      <c r="F26">
        <f t="array" ref="F26">IFERROR(INDEX('TRIP MANAGER'!$R$18:$R$25,$A26),"")</f>
        <v/>
      </c>
      <c r="G26">
        <f t="array" ref="G26">IFERROR(INDEX('TRIP MANAGER'!$S$18:$S$25,$A26),"")</f>
        <v/>
      </c>
      <c r="H26">
        <f>$B26/150</f>
        <v/>
      </c>
      <c r="I26">
        <f>IF(OR($G26="",$G26=0),"",SIN((1-$H26)*$G26)/SIN($G26))</f>
        <v/>
      </c>
      <c r="J26">
        <f>IF($I26="","",SIN($H26*$G26)/SIN($G26))</f>
        <v/>
      </c>
      <c r="K26">
        <f>IF($I26="","",$I26*COS(RADIANS($C26))*COS(RADIANS($D26))+$J26*COS(RADIANS($E26))*COS(RADIANS($F26)))</f>
        <v/>
      </c>
      <c r="L26">
        <f>IF($I26="","",$I26*COS(RADIANS($C26))*SIN(RADIANS($D26))+$J26*COS(RADIANS($E26))*SIN(RADIANS($F26)))</f>
        <v/>
      </c>
      <c r="M26">
        <f>IF($I26="","",$I26*SIN(RADIANS($C26))+$J26*SIN(RADIANS($E26)))</f>
        <v/>
      </c>
      <c r="N26">
        <f>IF($M26="","",DEGREES(ATAN2(SQRT($K26^2+$L26^2),$M26)))</f>
        <v/>
      </c>
      <c r="O26">
        <f>IF($M26="","",DEGREES(ATAN2($K26,$L26)))</f>
        <v/>
      </c>
      <c r="P26">
        <f t="array" ref="P26">IF($N26="","",IFERROR(IF(INDEX(geo_grid!$B$2:$JU$231,INT(($N26+40)/0.5)+1,INT(($O26+30)/0.5)+1)="","",INDEX(geo_grid!$B$2:$JU$231,INT(($N26+40)/0.5)+1,INT(($O26+30)/0.5)+1)),"OUTSIDE GRID"))</f>
        <v/>
      </c>
      <c r="Q26">
        <f>IF($P26="","",$A26*1000+$B26)</f>
        <v/>
      </c>
    </row>
    <row r="27">
      <c r="A27">
        <f>INT((ROW()-2)/151)+1</f>
        <v/>
      </c>
      <c r="B27">
        <f>MOD(ROW()-2,151)</f>
        <v/>
      </c>
      <c r="C27">
        <f t="array" ref="C27">IFERROR(INDEX('TRIP MANAGER'!$O$18:$O$25,$A27),"")</f>
        <v/>
      </c>
      <c r="D27">
        <f t="array" ref="D27">IFERROR(INDEX('TRIP MANAGER'!$P$18:$P$25,$A27),"")</f>
        <v/>
      </c>
      <c r="E27">
        <f t="array" ref="E27">IFERROR(INDEX('TRIP MANAGER'!$Q$18:$Q$25,$A27),"")</f>
        <v/>
      </c>
      <c r="F27">
        <f t="array" ref="F27">IFERROR(INDEX('TRIP MANAGER'!$R$18:$R$25,$A27),"")</f>
        <v/>
      </c>
      <c r="G27">
        <f t="array" ref="G27">IFERROR(INDEX('TRIP MANAGER'!$S$18:$S$25,$A27),"")</f>
        <v/>
      </c>
      <c r="H27">
        <f>$B27/150</f>
        <v/>
      </c>
      <c r="I27">
        <f>IF(OR($G27="",$G27=0),"",SIN((1-$H27)*$G27)/SIN($G27))</f>
        <v/>
      </c>
      <c r="J27">
        <f>IF($I27="","",SIN($H27*$G27)/SIN($G27))</f>
        <v/>
      </c>
      <c r="K27">
        <f>IF($I27="","",$I27*COS(RADIANS($C27))*COS(RADIANS($D27))+$J27*COS(RADIANS($E27))*COS(RADIANS($F27)))</f>
        <v/>
      </c>
      <c r="L27">
        <f>IF($I27="","",$I27*COS(RADIANS($C27))*SIN(RADIANS($D27))+$J27*COS(RADIANS($E27))*SIN(RADIANS($F27)))</f>
        <v/>
      </c>
      <c r="M27">
        <f>IF($I27="","",$I27*SIN(RADIANS($C27))+$J27*SIN(RADIANS($E27)))</f>
        <v/>
      </c>
      <c r="N27">
        <f>IF($M27="","",DEGREES(ATAN2(SQRT($K27^2+$L27^2),$M27)))</f>
        <v/>
      </c>
      <c r="O27">
        <f>IF($M27="","",DEGREES(ATAN2($K27,$L27)))</f>
        <v/>
      </c>
      <c r="P27">
        <f t="array" ref="P27">IF($N27="","",IFERROR(IF(INDEX(geo_grid!$B$2:$JU$231,INT(($N27+40)/0.5)+1,INT(($O27+30)/0.5)+1)="","",INDEX(geo_grid!$B$2:$JU$231,INT(($N27+40)/0.5)+1,INT(($O27+30)/0.5)+1)),"OUTSIDE GRID"))</f>
        <v/>
      </c>
      <c r="Q27">
        <f>IF($P27="","",$A27*1000+$B27)</f>
        <v/>
      </c>
    </row>
    <row r="28">
      <c r="A28">
        <f>INT((ROW()-2)/151)+1</f>
        <v/>
      </c>
      <c r="B28">
        <f>MOD(ROW()-2,151)</f>
        <v/>
      </c>
      <c r="C28">
        <f t="array" ref="C28">IFERROR(INDEX('TRIP MANAGER'!$O$18:$O$25,$A28),"")</f>
        <v/>
      </c>
      <c r="D28">
        <f t="array" ref="D28">IFERROR(INDEX('TRIP MANAGER'!$P$18:$P$25,$A28),"")</f>
        <v/>
      </c>
      <c r="E28">
        <f t="array" ref="E28">IFERROR(INDEX('TRIP MANAGER'!$Q$18:$Q$25,$A28),"")</f>
        <v/>
      </c>
      <c r="F28">
        <f t="array" ref="F28">IFERROR(INDEX('TRIP MANAGER'!$R$18:$R$25,$A28),"")</f>
        <v/>
      </c>
      <c r="G28">
        <f t="array" ref="G28">IFERROR(INDEX('TRIP MANAGER'!$S$18:$S$25,$A28),"")</f>
        <v/>
      </c>
      <c r="H28">
        <f>$B28/150</f>
        <v/>
      </c>
      <c r="I28">
        <f>IF(OR($G28="",$G28=0),"",SIN((1-$H28)*$G28)/SIN($G28))</f>
        <v/>
      </c>
      <c r="J28">
        <f>IF($I28="","",SIN($H28*$G28)/SIN($G28))</f>
        <v/>
      </c>
      <c r="K28">
        <f>IF($I28="","",$I28*COS(RADIANS($C28))*COS(RADIANS($D28))+$J28*COS(RADIANS($E28))*COS(RADIANS($F28)))</f>
        <v/>
      </c>
      <c r="L28">
        <f>IF($I28="","",$I28*COS(RADIANS($C28))*SIN(RADIANS($D28))+$J28*COS(RADIANS($E28))*SIN(RADIANS($F28)))</f>
        <v/>
      </c>
      <c r="M28">
        <f>IF($I28="","",$I28*SIN(RADIANS($C28))+$J28*SIN(RADIANS($E28)))</f>
        <v/>
      </c>
      <c r="N28">
        <f>IF($M28="","",DEGREES(ATAN2(SQRT($K28^2+$L28^2),$M28)))</f>
        <v/>
      </c>
      <c r="O28">
        <f>IF($M28="","",DEGREES(ATAN2($K28,$L28)))</f>
        <v/>
      </c>
      <c r="P28">
        <f t="array" ref="P28">IF($N28="","",IFERROR(IF(INDEX(geo_grid!$B$2:$JU$231,INT(($N28+40)/0.5)+1,INT(($O28+30)/0.5)+1)="","",INDEX(geo_grid!$B$2:$JU$231,INT(($N28+40)/0.5)+1,INT(($O28+30)/0.5)+1)),"OUTSIDE GRID"))</f>
        <v/>
      </c>
      <c r="Q28">
        <f>IF($P28="","",$A28*1000+$B28)</f>
        <v/>
      </c>
    </row>
    <row r="29">
      <c r="A29">
        <f>INT((ROW()-2)/151)+1</f>
        <v/>
      </c>
      <c r="B29">
        <f>MOD(ROW()-2,151)</f>
        <v/>
      </c>
      <c r="C29">
        <f t="array" ref="C29">IFERROR(INDEX('TRIP MANAGER'!$O$18:$O$25,$A29),"")</f>
        <v/>
      </c>
      <c r="D29">
        <f t="array" ref="D29">IFERROR(INDEX('TRIP MANAGER'!$P$18:$P$25,$A29),"")</f>
        <v/>
      </c>
      <c r="E29">
        <f t="array" ref="E29">IFERROR(INDEX('TRIP MANAGER'!$Q$18:$Q$25,$A29),"")</f>
        <v/>
      </c>
      <c r="F29">
        <f t="array" ref="F29">IFERROR(INDEX('TRIP MANAGER'!$R$18:$R$25,$A29),"")</f>
        <v/>
      </c>
      <c r="G29">
        <f t="array" ref="G29">IFERROR(INDEX('TRIP MANAGER'!$S$18:$S$25,$A29),"")</f>
        <v/>
      </c>
      <c r="H29">
        <f>$B29/150</f>
        <v/>
      </c>
      <c r="I29">
        <f>IF(OR($G29="",$G29=0),"",SIN((1-$H29)*$G29)/SIN($G29))</f>
        <v/>
      </c>
      <c r="J29">
        <f>IF($I29="","",SIN($H29*$G29)/SIN($G29))</f>
        <v/>
      </c>
      <c r="K29">
        <f>IF($I29="","",$I29*COS(RADIANS($C29))*COS(RADIANS($D29))+$J29*COS(RADIANS($E29))*COS(RADIANS($F29)))</f>
        <v/>
      </c>
      <c r="L29">
        <f>IF($I29="","",$I29*COS(RADIANS($C29))*SIN(RADIANS($D29))+$J29*COS(RADIANS($E29))*SIN(RADIANS($F29)))</f>
        <v/>
      </c>
      <c r="M29">
        <f>IF($I29="","",$I29*SIN(RADIANS($C29))+$J29*SIN(RADIANS($E29)))</f>
        <v/>
      </c>
      <c r="N29">
        <f>IF($M29="","",DEGREES(ATAN2(SQRT($K29^2+$L29^2),$M29)))</f>
        <v/>
      </c>
      <c r="O29">
        <f>IF($M29="","",DEGREES(ATAN2($K29,$L29)))</f>
        <v/>
      </c>
      <c r="P29">
        <f t="array" ref="P29">IF($N29="","",IFERROR(IF(INDEX(geo_grid!$B$2:$JU$231,INT(($N29+40)/0.5)+1,INT(($O29+30)/0.5)+1)="","",INDEX(geo_grid!$B$2:$JU$231,INT(($N29+40)/0.5)+1,INT(($O29+30)/0.5)+1)),"OUTSIDE GRID"))</f>
        <v/>
      </c>
      <c r="Q29">
        <f>IF($P29="","",$A29*1000+$B29)</f>
        <v/>
      </c>
    </row>
    <row r="30">
      <c r="A30">
        <f>INT((ROW()-2)/151)+1</f>
        <v/>
      </c>
      <c r="B30">
        <f>MOD(ROW()-2,151)</f>
        <v/>
      </c>
      <c r="C30">
        <f t="array" ref="C30">IFERROR(INDEX('TRIP MANAGER'!$O$18:$O$25,$A30),"")</f>
        <v/>
      </c>
      <c r="D30">
        <f t="array" ref="D30">IFERROR(INDEX('TRIP MANAGER'!$P$18:$P$25,$A30),"")</f>
        <v/>
      </c>
      <c r="E30">
        <f t="array" ref="E30">IFERROR(INDEX('TRIP MANAGER'!$Q$18:$Q$25,$A30),"")</f>
        <v/>
      </c>
      <c r="F30">
        <f t="array" ref="F30">IFERROR(INDEX('TRIP MANAGER'!$R$18:$R$25,$A30),"")</f>
        <v/>
      </c>
      <c r="G30">
        <f t="array" ref="G30">IFERROR(INDEX('TRIP MANAGER'!$S$18:$S$25,$A30),"")</f>
        <v/>
      </c>
      <c r="H30">
        <f>$B30/150</f>
        <v/>
      </c>
      <c r="I30">
        <f>IF(OR($G30="",$G30=0),"",SIN((1-$H30)*$G30)/SIN($G30))</f>
        <v/>
      </c>
      <c r="J30">
        <f>IF($I30="","",SIN($H30*$G30)/SIN($G30))</f>
        <v/>
      </c>
      <c r="K30">
        <f>IF($I30="","",$I30*COS(RADIANS($C30))*COS(RADIANS($D30))+$J30*COS(RADIANS($E30))*COS(RADIANS($F30)))</f>
        <v/>
      </c>
      <c r="L30">
        <f>IF($I30="","",$I30*COS(RADIANS($C30))*SIN(RADIANS($D30))+$J30*COS(RADIANS($E30))*SIN(RADIANS($F30)))</f>
        <v/>
      </c>
      <c r="M30">
        <f>IF($I30="","",$I30*SIN(RADIANS($C30))+$J30*SIN(RADIANS($E30)))</f>
        <v/>
      </c>
      <c r="N30">
        <f>IF($M30="","",DEGREES(ATAN2(SQRT($K30^2+$L30^2),$M30)))</f>
        <v/>
      </c>
      <c r="O30">
        <f>IF($M30="","",DEGREES(ATAN2($K30,$L30)))</f>
        <v/>
      </c>
      <c r="P30">
        <f t="array" ref="P30">IF($N30="","",IFERROR(IF(INDEX(geo_grid!$B$2:$JU$231,INT(($N30+40)/0.5)+1,INT(($O30+30)/0.5)+1)="","",INDEX(geo_grid!$B$2:$JU$231,INT(($N30+40)/0.5)+1,INT(($O30+30)/0.5)+1)),"OUTSIDE GRID"))</f>
        <v/>
      </c>
      <c r="Q30">
        <f>IF($P30="","",$A30*1000+$B30)</f>
        <v/>
      </c>
    </row>
    <row r="31">
      <c r="A31">
        <f>INT((ROW()-2)/151)+1</f>
        <v/>
      </c>
      <c r="B31">
        <f>MOD(ROW()-2,151)</f>
        <v/>
      </c>
      <c r="C31">
        <f t="array" ref="C31">IFERROR(INDEX('TRIP MANAGER'!$O$18:$O$25,$A31),"")</f>
        <v/>
      </c>
      <c r="D31">
        <f t="array" ref="D31">IFERROR(INDEX('TRIP MANAGER'!$P$18:$P$25,$A31),"")</f>
        <v/>
      </c>
      <c r="E31">
        <f t="array" ref="E31">IFERROR(INDEX('TRIP MANAGER'!$Q$18:$Q$25,$A31),"")</f>
        <v/>
      </c>
      <c r="F31">
        <f t="array" ref="F31">IFERROR(INDEX('TRIP MANAGER'!$R$18:$R$25,$A31),"")</f>
        <v/>
      </c>
      <c r="G31">
        <f t="array" ref="G31">IFERROR(INDEX('TRIP MANAGER'!$S$18:$S$25,$A31),"")</f>
        <v/>
      </c>
      <c r="H31">
        <f>$B31/150</f>
        <v/>
      </c>
      <c r="I31">
        <f>IF(OR($G31="",$G31=0),"",SIN((1-$H31)*$G31)/SIN($G31))</f>
        <v/>
      </c>
      <c r="J31">
        <f>IF($I31="","",SIN($H31*$G31)/SIN($G31))</f>
        <v/>
      </c>
      <c r="K31">
        <f>IF($I31="","",$I31*COS(RADIANS($C31))*COS(RADIANS($D31))+$J31*COS(RADIANS($E31))*COS(RADIANS($F31)))</f>
        <v/>
      </c>
      <c r="L31">
        <f>IF($I31="","",$I31*COS(RADIANS($C31))*SIN(RADIANS($D31))+$J31*COS(RADIANS($E31))*SIN(RADIANS($F31)))</f>
        <v/>
      </c>
      <c r="M31">
        <f>IF($I31="","",$I31*SIN(RADIANS($C31))+$J31*SIN(RADIANS($E31)))</f>
        <v/>
      </c>
      <c r="N31">
        <f>IF($M31="","",DEGREES(ATAN2(SQRT($K31^2+$L31^2),$M31)))</f>
        <v/>
      </c>
      <c r="O31">
        <f>IF($M31="","",DEGREES(ATAN2($K31,$L31)))</f>
        <v/>
      </c>
      <c r="P31">
        <f t="array" ref="P31">IF($N31="","",IFERROR(IF(INDEX(geo_grid!$B$2:$JU$231,INT(($N31+40)/0.5)+1,INT(($O31+30)/0.5)+1)="","",INDEX(geo_grid!$B$2:$JU$231,INT(($N31+40)/0.5)+1,INT(($O31+30)/0.5)+1)),"OUTSIDE GRID"))</f>
        <v/>
      </c>
      <c r="Q31">
        <f>IF($P31="","",$A31*1000+$B31)</f>
        <v/>
      </c>
    </row>
    <row r="32">
      <c r="A32">
        <f>INT((ROW()-2)/151)+1</f>
        <v/>
      </c>
      <c r="B32">
        <f>MOD(ROW()-2,151)</f>
        <v/>
      </c>
      <c r="C32">
        <f t="array" ref="C32">IFERROR(INDEX('TRIP MANAGER'!$O$18:$O$25,$A32),"")</f>
        <v/>
      </c>
      <c r="D32">
        <f t="array" ref="D32">IFERROR(INDEX('TRIP MANAGER'!$P$18:$P$25,$A32),"")</f>
        <v/>
      </c>
      <c r="E32">
        <f t="array" ref="E32">IFERROR(INDEX('TRIP MANAGER'!$Q$18:$Q$25,$A32),"")</f>
        <v/>
      </c>
      <c r="F32">
        <f t="array" ref="F32">IFERROR(INDEX('TRIP MANAGER'!$R$18:$R$25,$A32),"")</f>
        <v/>
      </c>
      <c r="G32">
        <f t="array" ref="G32">IFERROR(INDEX('TRIP MANAGER'!$S$18:$S$25,$A32),"")</f>
        <v/>
      </c>
      <c r="H32">
        <f>$B32/150</f>
        <v/>
      </c>
      <c r="I32">
        <f>IF(OR($G32="",$G32=0),"",SIN((1-$H32)*$G32)/SIN($G32))</f>
        <v/>
      </c>
      <c r="J32">
        <f>IF($I32="","",SIN($H32*$G32)/SIN($G32))</f>
        <v/>
      </c>
      <c r="K32">
        <f>IF($I32="","",$I32*COS(RADIANS($C32))*COS(RADIANS($D32))+$J32*COS(RADIANS($E32))*COS(RADIANS($F32)))</f>
        <v/>
      </c>
      <c r="L32">
        <f>IF($I32="","",$I32*COS(RADIANS($C32))*SIN(RADIANS($D32))+$J32*COS(RADIANS($E32))*SIN(RADIANS($F32)))</f>
        <v/>
      </c>
      <c r="M32">
        <f>IF($I32="","",$I32*SIN(RADIANS($C32))+$J32*SIN(RADIANS($E32)))</f>
        <v/>
      </c>
      <c r="N32">
        <f>IF($M32="","",DEGREES(ATAN2(SQRT($K32^2+$L32^2),$M32)))</f>
        <v/>
      </c>
      <c r="O32">
        <f>IF($M32="","",DEGREES(ATAN2($K32,$L32)))</f>
        <v/>
      </c>
      <c r="P32">
        <f t="array" ref="P32">IF($N32="","",IFERROR(IF(INDEX(geo_grid!$B$2:$JU$231,INT(($N32+40)/0.5)+1,INT(($O32+30)/0.5)+1)="","",INDEX(geo_grid!$B$2:$JU$231,INT(($N32+40)/0.5)+1,INT(($O32+30)/0.5)+1)),"OUTSIDE GRID"))</f>
        <v/>
      </c>
      <c r="Q32">
        <f>IF($P32="","",$A32*1000+$B32)</f>
        <v/>
      </c>
    </row>
    <row r="33">
      <c r="A33">
        <f>INT((ROW()-2)/151)+1</f>
        <v/>
      </c>
      <c r="B33">
        <f>MOD(ROW()-2,151)</f>
        <v/>
      </c>
      <c r="C33">
        <f t="array" ref="C33">IFERROR(INDEX('TRIP MANAGER'!$O$18:$O$25,$A33),"")</f>
        <v/>
      </c>
      <c r="D33">
        <f t="array" ref="D33">IFERROR(INDEX('TRIP MANAGER'!$P$18:$P$25,$A33),"")</f>
        <v/>
      </c>
      <c r="E33">
        <f t="array" ref="E33">IFERROR(INDEX('TRIP MANAGER'!$Q$18:$Q$25,$A33),"")</f>
        <v/>
      </c>
      <c r="F33">
        <f t="array" ref="F33">IFERROR(INDEX('TRIP MANAGER'!$R$18:$R$25,$A33),"")</f>
        <v/>
      </c>
      <c r="G33">
        <f t="array" ref="G33">IFERROR(INDEX('TRIP MANAGER'!$S$18:$S$25,$A33),"")</f>
        <v/>
      </c>
      <c r="H33">
        <f>$B33/150</f>
        <v/>
      </c>
      <c r="I33">
        <f>IF(OR($G33="",$G33=0),"",SIN((1-$H33)*$G33)/SIN($G33))</f>
        <v/>
      </c>
      <c r="J33">
        <f>IF($I33="","",SIN($H33*$G33)/SIN($G33))</f>
        <v/>
      </c>
      <c r="K33">
        <f>IF($I33="","",$I33*COS(RADIANS($C33))*COS(RADIANS($D33))+$J33*COS(RADIANS($E33))*COS(RADIANS($F33)))</f>
        <v/>
      </c>
      <c r="L33">
        <f>IF($I33="","",$I33*COS(RADIANS($C33))*SIN(RADIANS($D33))+$J33*COS(RADIANS($E33))*SIN(RADIANS($F33)))</f>
        <v/>
      </c>
      <c r="M33">
        <f>IF($I33="","",$I33*SIN(RADIANS($C33))+$J33*SIN(RADIANS($E33)))</f>
        <v/>
      </c>
      <c r="N33">
        <f>IF($M33="","",DEGREES(ATAN2(SQRT($K33^2+$L33^2),$M33)))</f>
        <v/>
      </c>
      <c r="O33">
        <f>IF($M33="","",DEGREES(ATAN2($K33,$L33)))</f>
        <v/>
      </c>
      <c r="P33">
        <f t="array" ref="P33">IF($N33="","",IFERROR(IF(INDEX(geo_grid!$B$2:$JU$231,INT(($N33+40)/0.5)+1,INT(($O33+30)/0.5)+1)="","",INDEX(geo_grid!$B$2:$JU$231,INT(($N33+40)/0.5)+1,INT(($O33+30)/0.5)+1)),"OUTSIDE GRID"))</f>
        <v/>
      </c>
      <c r="Q33">
        <f>IF($P33="","",$A33*1000+$B33)</f>
        <v/>
      </c>
    </row>
    <row r="34">
      <c r="A34">
        <f>INT((ROW()-2)/151)+1</f>
        <v/>
      </c>
      <c r="B34">
        <f>MOD(ROW()-2,151)</f>
        <v/>
      </c>
      <c r="C34">
        <f t="array" ref="C34">IFERROR(INDEX('TRIP MANAGER'!$O$18:$O$25,$A34),"")</f>
        <v/>
      </c>
      <c r="D34">
        <f t="array" ref="D34">IFERROR(INDEX('TRIP MANAGER'!$P$18:$P$25,$A34),"")</f>
        <v/>
      </c>
      <c r="E34">
        <f t="array" ref="E34">IFERROR(INDEX('TRIP MANAGER'!$Q$18:$Q$25,$A34),"")</f>
        <v/>
      </c>
      <c r="F34">
        <f t="array" ref="F34">IFERROR(INDEX('TRIP MANAGER'!$R$18:$R$25,$A34),"")</f>
        <v/>
      </c>
      <c r="G34">
        <f t="array" ref="G34">IFERROR(INDEX('TRIP MANAGER'!$S$18:$S$25,$A34),"")</f>
        <v/>
      </c>
      <c r="H34">
        <f>$B34/150</f>
        <v/>
      </c>
      <c r="I34">
        <f>IF(OR($G34="",$G34=0),"",SIN((1-$H34)*$G34)/SIN($G34))</f>
        <v/>
      </c>
      <c r="J34">
        <f>IF($I34="","",SIN($H34*$G34)/SIN($G34))</f>
        <v/>
      </c>
      <c r="K34">
        <f>IF($I34="","",$I34*COS(RADIANS($C34))*COS(RADIANS($D34))+$J34*COS(RADIANS($E34))*COS(RADIANS($F34)))</f>
        <v/>
      </c>
      <c r="L34">
        <f>IF($I34="","",$I34*COS(RADIANS($C34))*SIN(RADIANS($D34))+$J34*COS(RADIANS($E34))*SIN(RADIANS($F34)))</f>
        <v/>
      </c>
      <c r="M34">
        <f>IF($I34="","",$I34*SIN(RADIANS($C34))+$J34*SIN(RADIANS($E34)))</f>
        <v/>
      </c>
      <c r="N34">
        <f>IF($M34="","",DEGREES(ATAN2(SQRT($K34^2+$L34^2),$M34)))</f>
        <v/>
      </c>
      <c r="O34">
        <f>IF($M34="","",DEGREES(ATAN2($K34,$L34)))</f>
        <v/>
      </c>
      <c r="P34">
        <f t="array" ref="P34">IF($N34="","",IFERROR(IF(INDEX(geo_grid!$B$2:$JU$231,INT(($N34+40)/0.5)+1,INT(($O34+30)/0.5)+1)="","",INDEX(geo_grid!$B$2:$JU$231,INT(($N34+40)/0.5)+1,INT(($O34+30)/0.5)+1)),"OUTSIDE GRID"))</f>
        <v/>
      </c>
      <c r="Q34">
        <f>IF($P34="","",$A34*1000+$B34)</f>
        <v/>
      </c>
    </row>
    <row r="35">
      <c r="A35">
        <f>INT((ROW()-2)/151)+1</f>
        <v/>
      </c>
      <c r="B35">
        <f>MOD(ROW()-2,151)</f>
        <v/>
      </c>
      <c r="C35">
        <f t="array" ref="C35">IFERROR(INDEX('TRIP MANAGER'!$O$18:$O$25,$A35),"")</f>
        <v/>
      </c>
      <c r="D35">
        <f t="array" ref="D35">IFERROR(INDEX('TRIP MANAGER'!$P$18:$P$25,$A35),"")</f>
        <v/>
      </c>
      <c r="E35">
        <f t="array" ref="E35">IFERROR(INDEX('TRIP MANAGER'!$Q$18:$Q$25,$A35),"")</f>
        <v/>
      </c>
      <c r="F35">
        <f t="array" ref="F35">IFERROR(INDEX('TRIP MANAGER'!$R$18:$R$25,$A35),"")</f>
        <v/>
      </c>
      <c r="G35">
        <f t="array" ref="G35">IFERROR(INDEX('TRIP MANAGER'!$S$18:$S$25,$A35),"")</f>
        <v/>
      </c>
      <c r="H35">
        <f>$B35/150</f>
        <v/>
      </c>
      <c r="I35">
        <f>IF(OR($G35="",$G35=0),"",SIN((1-$H35)*$G35)/SIN($G35))</f>
        <v/>
      </c>
      <c r="J35">
        <f>IF($I35="","",SIN($H35*$G35)/SIN($G35))</f>
        <v/>
      </c>
      <c r="K35">
        <f>IF($I35="","",$I35*COS(RADIANS($C35))*COS(RADIANS($D35))+$J35*COS(RADIANS($E35))*COS(RADIANS($F35)))</f>
        <v/>
      </c>
      <c r="L35">
        <f>IF($I35="","",$I35*COS(RADIANS($C35))*SIN(RADIANS($D35))+$J35*COS(RADIANS($E35))*SIN(RADIANS($F35)))</f>
        <v/>
      </c>
      <c r="M35">
        <f>IF($I35="","",$I35*SIN(RADIANS($C35))+$J35*SIN(RADIANS($E35)))</f>
        <v/>
      </c>
      <c r="N35">
        <f>IF($M35="","",DEGREES(ATAN2(SQRT($K35^2+$L35^2),$M35)))</f>
        <v/>
      </c>
      <c r="O35">
        <f>IF($M35="","",DEGREES(ATAN2($K35,$L35)))</f>
        <v/>
      </c>
      <c r="P35">
        <f t="array" ref="P35">IF($N35="","",IFERROR(IF(INDEX(geo_grid!$B$2:$JU$231,INT(($N35+40)/0.5)+1,INT(($O35+30)/0.5)+1)="","",INDEX(geo_grid!$B$2:$JU$231,INT(($N35+40)/0.5)+1,INT(($O35+30)/0.5)+1)),"OUTSIDE GRID"))</f>
        <v/>
      </c>
      <c r="Q35">
        <f>IF($P35="","",$A35*1000+$B35)</f>
        <v/>
      </c>
    </row>
    <row r="36">
      <c r="A36">
        <f>INT((ROW()-2)/151)+1</f>
        <v/>
      </c>
      <c r="B36">
        <f>MOD(ROW()-2,151)</f>
        <v/>
      </c>
      <c r="C36">
        <f t="array" ref="C36">IFERROR(INDEX('TRIP MANAGER'!$O$18:$O$25,$A36),"")</f>
        <v/>
      </c>
      <c r="D36">
        <f t="array" ref="D36">IFERROR(INDEX('TRIP MANAGER'!$P$18:$P$25,$A36),"")</f>
        <v/>
      </c>
      <c r="E36">
        <f t="array" ref="E36">IFERROR(INDEX('TRIP MANAGER'!$Q$18:$Q$25,$A36),"")</f>
        <v/>
      </c>
      <c r="F36">
        <f t="array" ref="F36">IFERROR(INDEX('TRIP MANAGER'!$R$18:$R$25,$A36),"")</f>
        <v/>
      </c>
      <c r="G36">
        <f t="array" ref="G36">IFERROR(INDEX('TRIP MANAGER'!$S$18:$S$25,$A36),"")</f>
        <v/>
      </c>
      <c r="H36">
        <f>$B36/150</f>
        <v/>
      </c>
      <c r="I36">
        <f>IF(OR($G36="",$G36=0),"",SIN((1-$H36)*$G36)/SIN($G36))</f>
        <v/>
      </c>
      <c r="J36">
        <f>IF($I36="","",SIN($H36*$G36)/SIN($G36))</f>
        <v/>
      </c>
      <c r="K36">
        <f>IF($I36="","",$I36*COS(RADIANS($C36))*COS(RADIANS($D36))+$J36*COS(RADIANS($E36))*COS(RADIANS($F36)))</f>
        <v/>
      </c>
      <c r="L36">
        <f>IF($I36="","",$I36*COS(RADIANS($C36))*SIN(RADIANS($D36))+$J36*COS(RADIANS($E36))*SIN(RADIANS($F36)))</f>
        <v/>
      </c>
      <c r="M36">
        <f>IF($I36="","",$I36*SIN(RADIANS($C36))+$J36*SIN(RADIANS($E36)))</f>
        <v/>
      </c>
      <c r="N36">
        <f>IF($M36="","",DEGREES(ATAN2(SQRT($K36^2+$L36^2),$M36)))</f>
        <v/>
      </c>
      <c r="O36">
        <f>IF($M36="","",DEGREES(ATAN2($K36,$L36)))</f>
        <v/>
      </c>
      <c r="P36">
        <f t="array" ref="P36">IF($N36="","",IFERROR(IF(INDEX(geo_grid!$B$2:$JU$231,INT(($N36+40)/0.5)+1,INT(($O36+30)/0.5)+1)="","",INDEX(geo_grid!$B$2:$JU$231,INT(($N36+40)/0.5)+1,INT(($O36+30)/0.5)+1)),"OUTSIDE GRID"))</f>
        <v/>
      </c>
      <c r="Q36">
        <f>IF($P36="","",$A36*1000+$B36)</f>
        <v/>
      </c>
    </row>
    <row r="37">
      <c r="A37">
        <f>INT((ROW()-2)/151)+1</f>
        <v/>
      </c>
      <c r="B37">
        <f>MOD(ROW()-2,151)</f>
        <v/>
      </c>
      <c r="C37">
        <f t="array" ref="C37">IFERROR(INDEX('TRIP MANAGER'!$O$18:$O$25,$A37),"")</f>
        <v/>
      </c>
      <c r="D37">
        <f t="array" ref="D37">IFERROR(INDEX('TRIP MANAGER'!$P$18:$P$25,$A37),"")</f>
        <v/>
      </c>
      <c r="E37">
        <f t="array" ref="E37">IFERROR(INDEX('TRIP MANAGER'!$Q$18:$Q$25,$A37),"")</f>
        <v/>
      </c>
      <c r="F37">
        <f t="array" ref="F37">IFERROR(INDEX('TRIP MANAGER'!$R$18:$R$25,$A37),"")</f>
        <v/>
      </c>
      <c r="G37">
        <f t="array" ref="G37">IFERROR(INDEX('TRIP MANAGER'!$S$18:$S$25,$A37),"")</f>
        <v/>
      </c>
      <c r="H37">
        <f>$B37/150</f>
        <v/>
      </c>
      <c r="I37">
        <f>IF(OR($G37="",$G37=0),"",SIN((1-$H37)*$G37)/SIN($G37))</f>
        <v/>
      </c>
      <c r="J37">
        <f>IF($I37="","",SIN($H37*$G37)/SIN($G37))</f>
        <v/>
      </c>
      <c r="K37">
        <f>IF($I37="","",$I37*COS(RADIANS($C37))*COS(RADIANS($D37))+$J37*COS(RADIANS($E37))*COS(RADIANS($F37)))</f>
        <v/>
      </c>
      <c r="L37">
        <f>IF($I37="","",$I37*COS(RADIANS($C37))*SIN(RADIANS($D37))+$J37*COS(RADIANS($E37))*SIN(RADIANS($F37)))</f>
        <v/>
      </c>
      <c r="M37">
        <f>IF($I37="","",$I37*SIN(RADIANS($C37))+$J37*SIN(RADIANS($E37)))</f>
        <v/>
      </c>
      <c r="N37">
        <f>IF($M37="","",DEGREES(ATAN2(SQRT($K37^2+$L37^2),$M37)))</f>
        <v/>
      </c>
      <c r="O37">
        <f>IF($M37="","",DEGREES(ATAN2($K37,$L37)))</f>
        <v/>
      </c>
      <c r="P37">
        <f t="array" ref="P37">IF($N37="","",IFERROR(IF(INDEX(geo_grid!$B$2:$JU$231,INT(($N37+40)/0.5)+1,INT(($O37+30)/0.5)+1)="","",INDEX(geo_grid!$B$2:$JU$231,INT(($N37+40)/0.5)+1,INT(($O37+30)/0.5)+1)),"OUTSIDE GRID"))</f>
        <v/>
      </c>
      <c r="Q37">
        <f>IF($P37="","",$A37*1000+$B37)</f>
        <v/>
      </c>
    </row>
    <row r="38">
      <c r="A38">
        <f>INT((ROW()-2)/151)+1</f>
        <v/>
      </c>
      <c r="B38">
        <f>MOD(ROW()-2,151)</f>
        <v/>
      </c>
      <c r="C38">
        <f t="array" ref="C38">IFERROR(INDEX('TRIP MANAGER'!$O$18:$O$25,$A38),"")</f>
        <v/>
      </c>
      <c r="D38">
        <f t="array" ref="D38">IFERROR(INDEX('TRIP MANAGER'!$P$18:$P$25,$A38),"")</f>
        <v/>
      </c>
      <c r="E38">
        <f t="array" ref="E38">IFERROR(INDEX('TRIP MANAGER'!$Q$18:$Q$25,$A38),"")</f>
        <v/>
      </c>
      <c r="F38">
        <f t="array" ref="F38">IFERROR(INDEX('TRIP MANAGER'!$R$18:$R$25,$A38),"")</f>
        <v/>
      </c>
      <c r="G38">
        <f t="array" ref="G38">IFERROR(INDEX('TRIP MANAGER'!$S$18:$S$25,$A38),"")</f>
        <v/>
      </c>
      <c r="H38">
        <f>$B38/150</f>
        <v/>
      </c>
      <c r="I38">
        <f>IF(OR($G38="",$G38=0),"",SIN((1-$H38)*$G38)/SIN($G38))</f>
        <v/>
      </c>
      <c r="J38">
        <f>IF($I38="","",SIN($H38*$G38)/SIN($G38))</f>
        <v/>
      </c>
      <c r="K38">
        <f>IF($I38="","",$I38*COS(RADIANS($C38))*COS(RADIANS($D38))+$J38*COS(RADIANS($E38))*COS(RADIANS($F38)))</f>
        <v/>
      </c>
      <c r="L38">
        <f>IF($I38="","",$I38*COS(RADIANS($C38))*SIN(RADIANS($D38))+$J38*COS(RADIANS($E38))*SIN(RADIANS($F38)))</f>
        <v/>
      </c>
      <c r="M38">
        <f>IF($I38="","",$I38*SIN(RADIANS($C38))+$J38*SIN(RADIANS($E38)))</f>
        <v/>
      </c>
      <c r="N38">
        <f>IF($M38="","",DEGREES(ATAN2(SQRT($K38^2+$L38^2),$M38)))</f>
        <v/>
      </c>
      <c r="O38">
        <f>IF($M38="","",DEGREES(ATAN2($K38,$L38)))</f>
        <v/>
      </c>
      <c r="P38">
        <f t="array" ref="P38">IF($N38="","",IFERROR(IF(INDEX(geo_grid!$B$2:$JU$231,INT(($N38+40)/0.5)+1,INT(($O38+30)/0.5)+1)="","",INDEX(geo_grid!$B$2:$JU$231,INT(($N38+40)/0.5)+1,INT(($O38+30)/0.5)+1)),"OUTSIDE GRID"))</f>
        <v/>
      </c>
      <c r="Q38">
        <f>IF($P38="","",$A38*1000+$B38)</f>
        <v/>
      </c>
    </row>
    <row r="39">
      <c r="A39">
        <f>INT((ROW()-2)/151)+1</f>
        <v/>
      </c>
      <c r="B39">
        <f>MOD(ROW()-2,151)</f>
        <v/>
      </c>
      <c r="C39">
        <f t="array" ref="C39">IFERROR(INDEX('TRIP MANAGER'!$O$18:$O$25,$A39),"")</f>
        <v/>
      </c>
      <c r="D39">
        <f t="array" ref="D39">IFERROR(INDEX('TRIP MANAGER'!$P$18:$P$25,$A39),"")</f>
        <v/>
      </c>
      <c r="E39">
        <f t="array" ref="E39">IFERROR(INDEX('TRIP MANAGER'!$Q$18:$Q$25,$A39),"")</f>
        <v/>
      </c>
      <c r="F39">
        <f t="array" ref="F39">IFERROR(INDEX('TRIP MANAGER'!$R$18:$R$25,$A39),"")</f>
        <v/>
      </c>
      <c r="G39">
        <f t="array" ref="G39">IFERROR(INDEX('TRIP MANAGER'!$S$18:$S$25,$A39),"")</f>
        <v/>
      </c>
      <c r="H39">
        <f>$B39/150</f>
        <v/>
      </c>
      <c r="I39">
        <f>IF(OR($G39="",$G39=0),"",SIN((1-$H39)*$G39)/SIN($G39))</f>
        <v/>
      </c>
      <c r="J39">
        <f>IF($I39="","",SIN($H39*$G39)/SIN($G39))</f>
        <v/>
      </c>
      <c r="K39">
        <f>IF($I39="","",$I39*COS(RADIANS($C39))*COS(RADIANS($D39))+$J39*COS(RADIANS($E39))*COS(RADIANS($F39)))</f>
        <v/>
      </c>
      <c r="L39">
        <f>IF($I39="","",$I39*COS(RADIANS($C39))*SIN(RADIANS($D39))+$J39*COS(RADIANS($E39))*SIN(RADIANS($F39)))</f>
        <v/>
      </c>
      <c r="M39">
        <f>IF($I39="","",$I39*SIN(RADIANS($C39))+$J39*SIN(RADIANS($E39)))</f>
        <v/>
      </c>
      <c r="N39">
        <f>IF($M39="","",DEGREES(ATAN2(SQRT($K39^2+$L39^2),$M39)))</f>
        <v/>
      </c>
      <c r="O39">
        <f>IF($M39="","",DEGREES(ATAN2($K39,$L39)))</f>
        <v/>
      </c>
      <c r="P39">
        <f t="array" ref="P39">IF($N39="","",IFERROR(IF(INDEX(geo_grid!$B$2:$JU$231,INT(($N39+40)/0.5)+1,INT(($O39+30)/0.5)+1)="","",INDEX(geo_grid!$B$2:$JU$231,INT(($N39+40)/0.5)+1,INT(($O39+30)/0.5)+1)),"OUTSIDE GRID"))</f>
        <v/>
      </c>
      <c r="Q39">
        <f>IF($P39="","",$A39*1000+$B39)</f>
        <v/>
      </c>
    </row>
    <row r="40">
      <c r="A40">
        <f>INT((ROW()-2)/151)+1</f>
        <v/>
      </c>
      <c r="B40">
        <f>MOD(ROW()-2,151)</f>
        <v/>
      </c>
      <c r="C40">
        <f t="array" ref="C40">IFERROR(INDEX('TRIP MANAGER'!$O$18:$O$25,$A40),"")</f>
        <v/>
      </c>
      <c r="D40">
        <f t="array" ref="D40">IFERROR(INDEX('TRIP MANAGER'!$P$18:$P$25,$A40),"")</f>
        <v/>
      </c>
      <c r="E40">
        <f t="array" ref="E40">IFERROR(INDEX('TRIP MANAGER'!$Q$18:$Q$25,$A40),"")</f>
        <v/>
      </c>
      <c r="F40">
        <f t="array" ref="F40">IFERROR(INDEX('TRIP MANAGER'!$R$18:$R$25,$A40),"")</f>
        <v/>
      </c>
      <c r="G40">
        <f t="array" ref="G40">IFERROR(INDEX('TRIP MANAGER'!$S$18:$S$25,$A40),"")</f>
        <v/>
      </c>
      <c r="H40">
        <f>$B40/150</f>
        <v/>
      </c>
      <c r="I40">
        <f>IF(OR($G40="",$G40=0),"",SIN((1-$H40)*$G40)/SIN($G40))</f>
        <v/>
      </c>
      <c r="J40">
        <f>IF($I40="","",SIN($H40*$G40)/SIN($G40))</f>
        <v/>
      </c>
      <c r="K40">
        <f>IF($I40="","",$I40*COS(RADIANS($C40))*COS(RADIANS($D40))+$J40*COS(RADIANS($E40))*COS(RADIANS($F40)))</f>
        <v/>
      </c>
      <c r="L40">
        <f>IF($I40="","",$I40*COS(RADIANS($C40))*SIN(RADIANS($D40))+$J40*COS(RADIANS($E40))*SIN(RADIANS($F40)))</f>
        <v/>
      </c>
      <c r="M40">
        <f>IF($I40="","",$I40*SIN(RADIANS($C40))+$J40*SIN(RADIANS($E40)))</f>
        <v/>
      </c>
      <c r="N40">
        <f>IF($M40="","",DEGREES(ATAN2(SQRT($K40^2+$L40^2),$M40)))</f>
        <v/>
      </c>
      <c r="O40">
        <f>IF($M40="","",DEGREES(ATAN2($K40,$L40)))</f>
        <v/>
      </c>
      <c r="P40">
        <f t="array" ref="P40">IF($N40="","",IFERROR(IF(INDEX(geo_grid!$B$2:$JU$231,INT(($N40+40)/0.5)+1,INT(($O40+30)/0.5)+1)="","",INDEX(geo_grid!$B$2:$JU$231,INT(($N40+40)/0.5)+1,INT(($O40+30)/0.5)+1)),"OUTSIDE GRID"))</f>
        <v/>
      </c>
      <c r="Q40">
        <f>IF($P40="","",$A40*1000+$B40)</f>
        <v/>
      </c>
    </row>
    <row r="41">
      <c r="A41">
        <f>INT((ROW()-2)/151)+1</f>
        <v/>
      </c>
      <c r="B41">
        <f>MOD(ROW()-2,151)</f>
        <v/>
      </c>
      <c r="C41">
        <f t="array" ref="C41">IFERROR(INDEX('TRIP MANAGER'!$O$18:$O$25,$A41),"")</f>
        <v/>
      </c>
      <c r="D41">
        <f t="array" ref="D41">IFERROR(INDEX('TRIP MANAGER'!$P$18:$P$25,$A41),"")</f>
        <v/>
      </c>
      <c r="E41">
        <f t="array" ref="E41">IFERROR(INDEX('TRIP MANAGER'!$Q$18:$Q$25,$A41),"")</f>
        <v/>
      </c>
      <c r="F41">
        <f t="array" ref="F41">IFERROR(INDEX('TRIP MANAGER'!$R$18:$R$25,$A41),"")</f>
        <v/>
      </c>
      <c r="G41">
        <f t="array" ref="G41">IFERROR(INDEX('TRIP MANAGER'!$S$18:$S$25,$A41),"")</f>
        <v/>
      </c>
      <c r="H41">
        <f>$B41/150</f>
        <v/>
      </c>
      <c r="I41">
        <f>IF(OR($G41="",$G41=0),"",SIN((1-$H41)*$G41)/SIN($G41))</f>
        <v/>
      </c>
      <c r="J41">
        <f>IF($I41="","",SIN($H41*$G41)/SIN($G41))</f>
        <v/>
      </c>
      <c r="K41">
        <f>IF($I41="","",$I41*COS(RADIANS($C41))*COS(RADIANS($D41))+$J41*COS(RADIANS($E41))*COS(RADIANS($F41)))</f>
        <v/>
      </c>
      <c r="L41">
        <f>IF($I41="","",$I41*COS(RADIANS($C41))*SIN(RADIANS($D41))+$J41*COS(RADIANS($E41))*SIN(RADIANS($F41)))</f>
        <v/>
      </c>
      <c r="M41">
        <f>IF($I41="","",$I41*SIN(RADIANS($C41))+$J41*SIN(RADIANS($E41)))</f>
        <v/>
      </c>
      <c r="N41">
        <f>IF($M41="","",DEGREES(ATAN2(SQRT($K41^2+$L41^2),$M41)))</f>
        <v/>
      </c>
      <c r="O41">
        <f>IF($M41="","",DEGREES(ATAN2($K41,$L41)))</f>
        <v/>
      </c>
      <c r="P41">
        <f t="array" ref="P41">IF($N41="","",IFERROR(IF(INDEX(geo_grid!$B$2:$JU$231,INT(($N41+40)/0.5)+1,INT(($O41+30)/0.5)+1)="","",INDEX(geo_grid!$B$2:$JU$231,INT(($N41+40)/0.5)+1,INT(($O41+30)/0.5)+1)),"OUTSIDE GRID"))</f>
        <v/>
      </c>
      <c r="Q41">
        <f>IF($P41="","",$A41*1000+$B41)</f>
        <v/>
      </c>
    </row>
    <row r="42">
      <c r="A42">
        <f>INT((ROW()-2)/151)+1</f>
        <v/>
      </c>
      <c r="B42">
        <f>MOD(ROW()-2,151)</f>
        <v/>
      </c>
      <c r="C42">
        <f t="array" ref="C42">IFERROR(INDEX('TRIP MANAGER'!$O$18:$O$25,$A42),"")</f>
        <v/>
      </c>
      <c r="D42">
        <f t="array" ref="D42">IFERROR(INDEX('TRIP MANAGER'!$P$18:$P$25,$A42),"")</f>
        <v/>
      </c>
      <c r="E42">
        <f t="array" ref="E42">IFERROR(INDEX('TRIP MANAGER'!$Q$18:$Q$25,$A42),"")</f>
        <v/>
      </c>
      <c r="F42">
        <f t="array" ref="F42">IFERROR(INDEX('TRIP MANAGER'!$R$18:$R$25,$A42),"")</f>
        <v/>
      </c>
      <c r="G42">
        <f t="array" ref="G42">IFERROR(INDEX('TRIP MANAGER'!$S$18:$S$25,$A42),"")</f>
        <v/>
      </c>
      <c r="H42">
        <f>$B42/150</f>
        <v/>
      </c>
      <c r="I42">
        <f>IF(OR($G42="",$G42=0),"",SIN((1-$H42)*$G42)/SIN($G42))</f>
        <v/>
      </c>
      <c r="J42">
        <f>IF($I42="","",SIN($H42*$G42)/SIN($G42))</f>
        <v/>
      </c>
      <c r="K42">
        <f>IF($I42="","",$I42*COS(RADIANS($C42))*COS(RADIANS($D42))+$J42*COS(RADIANS($E42))*COS(RADIANS($F42)))</f>
        <v/>
      </c>
      <c r="L42">
        <f>IF($I42="","",$I42*COS(RADIANS($C42))*SIN(RADIANS($D42))+$J42*COS(RADIANS($E42))*SIN(RADIANS($F42)))</f>
        <v/>
      </c>
      <c r="M42">
        <f>IF($I42="","",$I42*SIN(RADIANS($C42))+$J42*SIN(RADIANS($E42)))</f>
        <v/>
      </c>
      <c r="N42">
        <f>IF($M42="","",DEGREES(ATAN2(SQRT($K42^2+$L42^2),$M42)))</f>
        <v/>
      </c>
      <c r="O42">
        <f>IF($M42="","",DEGREES(ATAN2($K42,$L42)))</f>
        <v/>
      </c>
      <c r="P42">
        <f t="array" ref="P42">IF($N42="","",IFERROR(IF(INDEX(geo_grid!$B$2:$JU$231,INT(($N42+40)/0.5)+1,INT(($O42+30)/0.5)+1)="","",INDEX(geo_grid!$B$2:$JU$231,INT(($N42+40)/0.5)+1,INT(($O42+30)/0.5)+1)),"OUTSIDE GRID"))</f>
        <v/>
      </c>
      <c r="Q42">
        <f>IF($P42="","",$A42*1000+$B42)</f>
        <v/>
      </c>
    </row>
    <row r="43">
      <c r="A43">
        <f>INT((ROW()-2)/151)+1</f>
        <v/>
      </c>
      <c r="B43">
        <f>MOD(ROW()-2,151)</f>
        <v/>
      </c>
      <c r="C43">
        <f t="array" ref="C43">IFERROR(INDEX('TRIP MANAGER'!$O$18:$O$25,$A43),"")</f>
        <v/>
      </c>
      <c r="D43">
        <f t="array" ref="D43">IFERROR(INDEX('TRIP MANAGER'!$P$18:$P$25,$A43),"")</f>
        <v/>
      </c>
      <c r="E43">
        <f t="array" ref="E43">IFERROR(INDEX('TRIP MANAGER'!$Q$18:$Q$25,$A43),"")</f>
        <v/>
      </c>
      <c r="F43">
        <f t="array" ref="F43">IFERROR(INDEX('TRIP MANAGER'!$R$18:$R$25,$A43),"")</f>
        <v/>
      </c>
      <c r="G43">
        <f t="array" ref="G43">IFERROR(INDEX('TRIP MANAGER'!$S$18:$S$25,$A43),"")</f>
        <v/>
      </c>
      <c r="H43">
        <f>$B43/150</f>
        <v/>
      </c>
      <c r="I43">
        <f>IF(OR($G43="",$G43=0),"",SIN((1-$H43)*$G43)/SIN($G43))</f>
        <v/>
      </c>
      <c r="J43">
        <f>IF($I43="","",SIN($H43*$G43)/SIN($G43))</f>
        <v/>
      </c>
      <c r="K43">
        <f>IF($I43="","",$I43*COS(RADIANS($C43))*COS(RADIANS($D43))+$J43*COS(RADIANS($E43))*COS(RADIANS($F43)))</f>
        <v/>
      </c>
      <c r="L43">
        <f>IF($I43="","",$I43*COS(RADIANS($C43))*SIN(RADIANS($D43))+$J43*COS(RADIANS($E43))*SIN(RADIANS($F43)))</f>
        <v/>
      </c>
      <c r="M43">
        <f>IF($I43="","",$I43*SIN(RADIANS($C43))+$J43*SIN(RADIANS($E43)))</f>
        <v/>
      </c>
      <c r="N43">
        <f>IF($M43="","",DEGREES(ATAN2(SQRT($K43^2+$L43^2),$M43)))</f>
        <v/>
      </c>
      <c r="O43">
        <f>IF($M43="","",DEGREES(ATAN2($K43,$L43)))</f>
        <v/>
      </c>
      <c r="P43">
        <f t="array" ref="P43">IF($N43="","",IFERROR(IF(INDEX(geo_grid!$B$2:$JU$231,INT(($N43+40)/0.5)+1,INT(($O43+30)/0.5)+1)="","",INDEX(geo_grid!$B$2:$JU$231,INT(($N43+40)/0.5)+1,INT(($O43+30)/0.5)+1)),"OUTSIDE GRID"))</f>
        <v/>
      </c>
      <c r="Q43">
        <f>IF($P43="","",$A43*1000+$B43)</f>
        <v/>
      </c>
    </row>
    <row r="44">
      <c r="A44">
        <f>INT((ROW()-2)/151)+1</f>
        <v/>
      </c>
      <c r="B44">
        <f>MOD(ROW()-2,151)</f>
        <v/>
      </c>
      <c r="C44">
        <f t="array" ref="C44">IFERROR(INDEX('TRIP MANAGER'!$O$18:$O$25,$A44),"")</f>
        <v/>
      </c>
      <c r="D44">
        <f t="array" ref="D44">IFERROR(INDEX('TRIP MANAGER'!$P$18:$P$25,$A44),"")</f>
        <v/>
      </c>
      <c r="E44">
        <f t="array" ref="E44">IFERROR(INDEX('TRIP MANAGER'!$Q$18:$Q$25,$A44),"")</f>
        <v/>
      </c>
      <c r="F44">
        <f t="array" ref="F44">IFERROR(INDEX('TRIP MANAGER'!$R$18:$R$25,$A44),"")</f>
        <v/>
      </c>
      <c r="G44">
        <f t="array" ref="G44">IFERROR(INDEX('TRIP MANAGER'!$S$18:$S$25,$A44),"")</f>
        <v/>
      </c>
      <c r="H44">
        <f>$B44/150</f>
        <v/>
      </c>
      <c r="I44">
        <f>IF(OR($G44="",$G44=0),"",SIN((1-$H44)*$G44)/SIN($G44))</f>
        <v/>
      </c>
      <c r="J44">
        <f>IF($I44="","",SIN($H44*$G44)/SIN($G44))</f>
        <v/>
      </c>
      <c r="K44">
        <f>IF($I44="","",$I44*COS(RADIANS($C44))*COS(RADIANS($D44))+$J44*COS(RADIANS($E44))*COS(RADIANS($F44)))</f>
        <v/>
      </c>
      <c r="L44">
        <f>IF($I44="","",$I44*COS(RADIANS($C44))*SIN(RADIANS($D44))+$J44*COS(RADIANS($E44))*SIN(RADIANS($F44)))</f>
        <v/>
      </c>
      <c r="M44">
        <f>IF($I44="","",$I44*SIN(RADIANS($C44))+$J44*SIN(RADIANS($E44)))</f>
        <v/>
      </c>
      <c r="N44">
        <f>IF($M44="","",DEGREES(ATAN2(SQRT($K44^2+$L44^2),$M44)))</f>
        <v/>
      </c>
      <c r="O44">
        <f>IF($M44="","",DEGREES(ATAN2($K44,$L44)))</f>
        <v/>
      </c>
      <c r="P44">
        <f t="array" ref="P44">IF($N44="","",IFERROR(IF(INDEX(geo_grid!$B$2:$JU$231,INT(($N44+40)/0.5)+1,INT(($O44+30)/0.5)+1)="","",INDEX(geo_grid!$B$2:$JU$231,INT(($N44+40)/0.5)+1,INT(($O44+30)/0.5)+1)),"OUTSIDE GRID"))</f>
        <v/>
      </c>
      <c r="Q44">
        <f>IF($P44="","",$A44*1000+$B44)</f>
        <v/>
      </c>
    </row>
    <row r="45">
      <c r="A45">
        <f>INT((ROW()-2)/151)+1</f>
        <v/>
      </c>
      <c r="B45">
        <f>MOD(ROW()-2,151)</f>
        <v/>
      </c>
      <c r="C45">
        <f t="array" ref="C45">IFERROR(INDEX('TRIP MANAGER'!$O$18:$O$25,$A45),"")</f>
        <v/>
      </c>
      <c r="D45">
        <f t="array" ref="D45">IFERROR(INDEX('TRIP MANAGER'!$P$18:$P$25,$A45),"")</f>
        <v/>
      </c>
      <c r="E45">
        <f t="array" ref="E45">IFERROR(INDEX('TRIP MANAGER'!$Q$18:$Q$25,$A45),"")</f>
        <v/>
      </c>
      <c r="F45">
        <f t="array" ref="F45">IFERROR(INDEX('TRIP MANAGER'!$R$18:$R$25,$A45),"")</f>
        <v/>
      </c>
      <c r="G45">
        <f t="array" ref="G45">IFERROR(INDEX('TRIP MANAGER'!$S$18:$S$25,$A45),"")</f>
        <v/>
      </c>
      <c r="H45">
        <f>$B45/150</f>
        <v/>
      </c>
      <c r="I45">
        <f>IF(OR($G45="",$G45=0),"",SIN((1-$H45)*$G45)/SIN($G45))</f>
        <v/>
      </c>
      <c r="J45">
        <f>IF($I45="","",SIN($H45*$G45)/SIN($G45))</f>
        <v/>
      </c>
      <c r="K45">
        <f>IF($I45="","",$I45*COS(RADIANS($C45))*COS(RADIANS($D45))+$J45*COS(RADIANS($E45))*COS(RADIANS($F45)))</f>
        <v/>
      </c>
      <c r="L45">
        <f>IF($I45="","",$I45*COS(RADIANS($C45))*SIN(RADIANS($D45))+$J45*COS(RADIANS($E45))*SIN(RADIANS($F45)))</f>
        <v/>
      </c>
      <c r="M45">
        <f>IF($I45="","",$I45*SIN(RADIANS($C45))+$J45*SIN(RADIANS($E45)))</f>
        <v/>
      </c>
      <c r="N45">
        <f>IF($M45="","",DEGREES(ATAN2(SQRT($K45^2+$L45^2),$M45)))</f>
        <v/>
      </c>
      <c r="O45">
        <f>IF($M45="","",DEGREES(ATAN2($K45,$L45)))</f>
        <v/>
      </c>
      <c r="P45">
        <f t="array" ref="P45">IF($N45="","",IFERROR(IF(INDEX(geo_grid!$B$2:$JU$231,INT(($N45+40)/0.5)+1,INT(($O45+30)/0.5)+1)="","",INDEX(geo_grid!$B$2:$JU$231,INT(($N45+40)/0.5)+1,INT(($O45+30)/0.5)+1)),"OUTSIDE GRID"))</f>
        <v/>
      </c>
      <c r="Q45">
        <f>IF($P45="","",$A45*1000+$B45)</f>
        <v/>
      </c>
    </row>
    <row r="46">
      <c r="A46">
        <f>INT((ROW()-2)/151)+1</f>
        <v/>
      </c>
      <c r="B46">
        <f>MOD(ROW()-2,151)</f>
        <v/>
      </c>
      <c r="C46">
        <f t="array" ref="C46">IFERROR(INDEX('TRIP MANAGER'!$O$18:$O$25,$A46),"")</f>
        <v/>
      </c>
      <c r="D46">
        <f t="array" ref="D46">IFERROR(INDEX('TRIP MANAGER'!$P$18:$P$25,$A46),"")</f>
        <v/>
      </c>
      <c r="E46">
        <f t="array" ref="E46">IFERROR(INDEX('TRIP MANAGER'!$Q$18:$Q$25,$A46),"")</f>
        <v/>
      </c>
      <c r="F46">
        <f t="array" ref="F46">IFERROR(INDEX('TRIP MANAGER'!$R$18:$R$25,$A46),"")</f>
        <v/>
      </c>
      <c r="G46">
        <f t="array" ref="G46">IFERROR(INDEX('TRIP MANAGER'!$S$18:$S$25,$A46),"")</f>
        <v/>
      </c>
      <c r="H46">
        <f>$B46/150</f>
        <v/>
      </c>
      <c r="I46">
        <f>IF(OR($G46="",$G46=0),"",SIN((1-$H46)*$G46)/SIN($G46))</f>
        <v/>
      </c>
      <c r="J46">
        <f>IF($I46="","",SIN($H46*$G46)/SIN($G46))</f>
        <v/>
      </c>
      <c r="K46">
        <f>IF($I46="","",$I46*COS(RADIANS($C46))*COS(RADIANS($D46))+$J46*COS(RADIANS($E46))*COS(RADIANS($F46)))</f>
        <v/>
      </c>
      <c r="L46">
        <f>IF($I46="","",$I46*COS(RADIANS($C46))*SIN(RADIANS($D46))+$J46*COS(RADIANS($E46))*SIN(RADIANS($F46)))</f>
        <v/>
      </c>
      <c r="M46">
        <f>IF($I46="","",$I46*SIN(RADIANS($C46))+$J46*SIN(RADIANS($E46)))</f>
        <v/>
      </c>
      <c r="N46">
        <f>IF($M46="","",DEGREES(ATAN2(SQRT($K46^2+$L46^2),$M46)))</f>
        <v/>
      </c>
      <c r="O46">
        <f>IF($M46="","",DEGREES(ATAN2($K46,$L46)))</f>
        <v/>
      </c>
      <c r="P46">
        <f t="array" ref="P46">IF($N46="","",IFERROR(IF(INDEX(geo_grid!$B$2:$JU$231,INT(($N46+40)/0.5)+1,INT(($O46+30)/0.5)+1)="","",INDEX(geo_grid!$B$2:$JU$231,INT(($N46+40)/0.5)+1,INT(($O46+30)/0.5)+1)),"OUTSIDE GRID"))</f>
        <v/>
      </c>
      <c r="Q46">
        <f>IF($P46="","",$A46*1000+$B46)</f>
        <v/>
      </c>
    </row>
    <row r="47">
      <c r="A47">
        <f>INT((ROW()-2)/151)+1</f>
        <v/>
      </c>
      <c r="B47">
        <f>MOD(ROW()-2,151)</f>
        <v/>
      </c>
      <c r="C47">
        <f t="array" ref="C47">IFERROR(INDEX('TRIP MANAGER'!$O$18:$O$25,$A47),"")</f>
        <v/>
      </c>
      <c r="D47">
        <f t="array" ref="D47">IFERROR(INDEX('TRIP MANAGER'!$P$18:$P$25,$A47),"")</f>
        <v/>
      </c>
      <c r="E47">
        <f t="array" ref="E47">IFERROR(INDEX('TRIP MANAGER'!$Q$18:$Q$25,$A47),"")</f>
        <v/>
      </c>
      <c r="F47">
        <f t="array" ref="F47">IFERROR(INDEX('TRIP MANAGER'!$R$18:$R$25,$A47),"")</f>
        <v/>
      </c>
      <c r="G47">
        <f t="array" ref="G47">IFERROR(INDEX('TRIP MANAGER'!$S$18:$S$25,$A47),"")</f>
        <v/>
      </c>
      <c r="H47">
        <f>$B47/150</f>
        <v/>
      </c>
      <c r="I47">
        <f>IF(OR($G47="",$G47=0),"",SIN((1-$H47)*$G47)/SIN($G47))</f>
        <v/>
      </c>
      <c r="J47">
        <f>IF($I47="","",SIN($H47*$G47)/SIN($G47))</f>
        <v/>
      </c>
      <c r="K47">
        <f>IF($I47="","",$I47*COS(RADIANS($C47))*COS(RADIANS($D47))+$J47*COS(RADIANS($E47))*COS(RADIANS($F47)))</f>
        <v/>
      </c>
      <c r="L47">
        <f>IF($I47="","",$I47*COS(RADIANS($C47))*SIN(RADIANS($D47))+$J47*COS(RADIANS($E47))*SIN(RADIANS($F47)))</f>
        <v/>
      </c>
      <c r="M47">
        <f>IF($I47="","",$I47*SIN(RADIANS($C47))+$J47*SIN(RADIANS($E47)))</f>
        <v/>
      </c>
      <c r="N47">
        <f>IF($M47="","",DEGREES(ATAN2(SQRT($K47^2+$L47^2),$M47)))</f>
        <v/>
      </c>
      <c r="O47">
        <f>IF($M47="","",DEGREES(ATAN2($K47,$L47)))</f>
        <v/>
      </c>
      <c r="P47">
        <f t="array" ref="P47">IF($N47="","",IFERROR(IF(INDEX(geo_grid!$B$2:$JU$231,INT(($N47+40)/0.5)+1,INT(($O47+30)/0.5)+1)="","",INDEX(geo_grid!$B$2:$JU$231,INT(($N47+40)/0.5)+1,INT(($O47+30)/0.5)+1)),"OUTSIDE GRID"))</f>
        <v/>
      </c>
      <c r="Q47">
        <f>IF($P47="","",$A47*1000+$B47)</f>
        <v/>
      </c>
    </row>
    <row r="48">
      <c r="A48">
        <f>INT((ROW()-2)/151)+1</f>
        <v/>
      </c>
      <c r="B48">
        <f>MOD(ROW()-2,151)</f>
        <v/>
      </c>
      <c r="C48">
        <f t="array" ref="C48">IFERROR(INDEX('TRIP MANAGER'!$O$18:$O$25,$A48),"")</f>
        <v/>
      </c>
      <c r="D48">
        <f t="array" ref="D48">IFERROR(INDEX('TRIP MANAGER'!$P$18:$P$25,$A48),"")</f>
        <v/>
      </c>
      <c r="E48">
        <f t="array" ref="E48">IFERROR(INDEX('TRIP MANAGER'!$Q$18:$Q$25,$A48),"")</f>
        <v/>
      </c>
      <c r="F48">
        <f t="array" ref="F48">IFERROR(INDEX('TRIP MANAGER'!$R$18:$R$25,$A48),"")</f>
        <v/>
      </c>
      <c r="G48">
        <f t="array" ref="G48">IFERROR(INDEX('TRIP MANAGER'!$S$18:$S$25,$A48),"")</f>
        <v/>
      </c>
      <c r="H48">
        <f>$B48/150</f>
        <v/>
      </c>
      <c r="I48">
        <f>IF(OR($G48="",$G48=0),"",SIN((1-$H48)*$G48)/SIN($G48))</f>
        <v/>
      </c>
      <c r="J48">
        <f>IF($I48="","",SIN($H48*$G48)/SIN($G48))</f>
        <v/>
      </c>
      <c r="K48">
        <f>IF($I48="","",$I48*COS(RADIANS($C48))*COS(RADIANS($D48))+$J48*COS(RADIANS($E48))*COS(RADIANS($F48)))</f>
        <v/>
      </c>
      <c r="L48">
        <f>IF($I48="","",$I48*COS(RADIANS($C48))*SIN(RADIANS($D48))+$J48*COS(RADIANS($E48))*SIN(RADIANS($F48)))</f>
        <v/>
      </c>
      <c r="M48">
        <f>IF($I48="","",$I48*SIN(RADIANS($C48))+$J48*SIN(RADIANS($E48)))</f>
        <v/>
      </c>
      <c r="N48">
        <f>IF($M48="","",DEGREES(ATAN2(SQRT($K48^2+$L48^2),$M48)))</f>
        <v/>
      </c>
      <c r="O48">
        <f>IF($M48="","",DEGREES(ATAN2($K48,$L48)))</f>
        <v/>
      </c>
      <c r="P48">
        <f t="array" ref="P48">IF($N48="","",IFERROR(IF(INDEX(geo_grid!$B$2:$JU$231,INT(($N48+40)/0.5)+1,INT(($O48+30)/0.5)+1)="","",INDEX(geo_grid!$B$2:$JU$231,INT(($N48+40)/0.5)+1,INT(($O48+30)/0.5)+1)),"OUTSIDE GRID"))</f>
        <v/>
      </c>
      <c r="Q48">
        <f>IF($P48="","",$A48*1000+$B48)</f>
        <v/>
      </c>
    </row>
    <row r="49">
      <c r="A49">
        <f>INT((ROW()-2)/151)+1</f>
        <v/>
      </c>
      <c r="B49">
        <f>MOD(ROW()-2,151)</f>
        <v/>
      </c>
      <c r="C49">
        <f t="array" ref="C49">IFERROR(INDEX('TRIP MANAGER'!$O$18:$O$25,$A49),"")</f>
        <v/>
      </c>
      <c r="D49">
        <f t="array" ref="D49">IFERROR(INDEX('TRIP MANAGER'!$P$18:$P$25,$A49),"")</f>
        <v/>
      </c>
      <c r="E49">
        <f t="array" ref="E49">IFERROR(INDEX('TRIP MANAGER'!$Q$18:$Q$25,$A49),"")</f>
        <v/>
      </c>
      <c r="F49">
        <f t="array" ref="F49">IFERROR(INDEX('TRIP MANAGER'!$R$18:$R$25,$A49),"")</f>
        <v/>
      </c>
      <c r="G49">
        <f t="array" ref="G49">IFERROR(INDEX('TRIP MANAGER'!$S$18:$S$25,$A49),"")</f>
        <v/>
      </c>
      <c r="H49">
        <f>$B49/150</f>
        <v/>
      </c>
      <c r="I49">
        <f>IF(OR($G49="",$G49=0),"",SIN((1-$H49)*$G49)/SIN($G49))</f>
        <v/>
      </c>
      <c r="J49">
        <f>IF($I49="","",SIN($H49*$G49)/SIN($G49))</f>
        <v/>
      </c>
      <c r="K49">
        <f>IF($I49="","",$I49*COS(RADIANS($C49))*COS(RADIANS($D49))+$J49*COS(RADIANS($E49))*COS(RADIANS($F49)))</f>
        <v/>
      </c>
      <c r="L49">
        <f>IF($I49="","",$I49*COS(RADIANS($C49))*SIN(RADIANS($D49))+$J49*COS(RADIANS($E49))*SIN(RADIANS($F49)))</f>
        <v/>
      </c>
      <c r="M49">
        <f>IF($I49="","",$I49*SIN(RADIANS($C49))+$J49*SIN(RADIANS($E49)))</f>
        <v/>
      </c>
      <c r="N49">
        <f>IF($M49="","",DEGREES(ATAN2(SQRT($K49^2+$L49^2),$M49)))</f>
        <v/>
      </c>
      <c r="O49">
        <f>IF($M49="","",DEGREES(ATAN2($K49,$L49)))</f>
        <v/>
      </c>
      <c r="P49">
        <f t="array" ref="P49">IF($N49="","",IFERROR(IF(INDEX(geo_grid!$B$2:$JU$231,INT(($N49+40)/0.5)+1,INT(($O49+30)/0.5)+1)="","",INDEX(geo_grid!$B$2:$JU$231,INT(($N49+40)/0.5)+1,INT(($O49+30)/0.5)+1)),"OUTSIDE GRID"))</f>
        <v/>
      </c>
      <c r="Q49">
        <f>IF($P49="","",$A49*1000+$B49)</f>
        <v/>
      </c>
    </row>
    <row r="50">
      <c r="A50">
        <f>INT((ROW()-2)/151)+1</f>
        <v/>
      </c>
      <c r="B50">
        <f>MOD(ROW()-2,151)</f>
        <v/>
      </c>
      <c r="C50">
        <f t="array" ref="C50">IFERROR(INDEX('TRIP MANAGER'!$O$18:$O$25,$A50),"")</f>
        <v/>
      </c>
      <c r="D50">
        <f t="array" ref="D50">IFERROR(INDEX('TRIP MANAGER'!$P$18:$P$25,$A50),"")</f>
        <v/>
      </c>
      <c r="E50">
        <f t="array" ref="E50">IFERROR(INDEX('TRIP MANAGER'!$Q$18:$Q$25,$A50),"")</f>
        <v/>
      </c>
      <c r="F50">
        <f t="array" ref="F50">IFERROR(INDEX('TRIP MANAGER'!$R$18:$R$25,$A50),"")</f>
        <v/>
      </c>
      <c r="G50">
        <f t="array" ref="G50">IFERROR(INDEX('TRIP MANAGER'!$S$18:$S$25,$A50),"")</f>
        <v/>
      </c>
      <c r="H50">
        <f>$B50/150</f>
        <v/>
      </c>
      <c r="I50">
        <f>IF(OR($G50="",$G50=0),"",SIN((1-$H50)*$G50)/SIN($G50))</f>
        <v/>
      </c>
      <c r="J50">
        <f>IF($I50="","",SIN($H50*$G50)/SIN($G50))</f>
        <v/>
      </c>
      <c r="K50">
        <f>IF($I50="","",$I50*COS(RADIANS($C50))*COS(RADIANS($D50))+$J50*COS(RADIANS($E50))*COS(RADIANS($F50)))</f>
        <v/>
      </c>
      <c r="L50">
        <f>IF($I50="","",$I50*COS(RADIANS($C50))*SIN(RADIANS($D50))+$J50*COS(RADIANS($E50))*SIN(RADIANS($F50)))</f>
        <v/>
      </c>
      <c r="M50">
        <f>IF($I50="","",$I50*SIN(RADIANS($C50))+$J50*SIN(RADIANS($E50)))</f>
        <v/>
      </c>
      <c r="N50">
        <f>IF($M50="","",DEGREES(ATAN2(SQRT($K50^2+$L50^2),$M50)))</f>
        <v/>
      </c>
      <c r="O50">
        <f>IF($M50="","",DEGREES(ATAN2($K50,$L50)))</f>
        <v/>
      </c>
      <c r="P50">
        <f t="array" ref="P50">IF($N50="","",IFERROR(IF(INDEX(geo_grid!$B$2:$JU$231,INT(($N50+40)/0.5)+1,INT(($O50+30)/0.5)+1)="","",INDEX(geo_grid!$B$2:$JU$231,INT(($N50+40)/0.5)+1,INT(($O50+30)/0.5)+1)),"OUTSIDE GRID"))</f>
        <v/>
      </c>
      <c r="Q50">
        <f>IF($P50="","",$A50*1000+$B50)</f>
        <v/>
      </c>
    </row>
    <row r="51">
      <c r="A51">
        <f>INT((ROW()-2)/151)+1</f>
        <v/>
      </c>
      <c r="B51">
        <f>MOD(ROW()-2,151)</f>
        <v/>
      </c>
      <c r="C51">
        <f t="array" ref="C51">IFERROR(INDEX('TRIP MANAGER'!$O$18:$O$25,$A51),"")</f>
        <v/>
      </c>
      <c r="D51">
        <f t="array" ref="D51">IFERROR(INDEX('TRIP MANAGER'!$P$18:$P$25,$A51),"")</f>
        <v/>
      </c>
      <c r="E51">
        <f t="array" ref="E51">IFERROR(INDEX('TRIP MANAGER'!$Q$18:$Q$25,$A51),"")</f>
        <v/>
      </c>
      <c r="F51">
        <f t="array" ref="F51">IFERROR(INDEX('TRIP MANAGER'!$R$18:$R$25,$A51),"")</f>
        <v/>
      </c>
      <c r="G51">
        <f t="array" ref="G51">IFERROR(INDEX('TRIP MANAGER'!$S$18:$S$25,$A51),"")</f>
        <v/>
      </c>
      <c r="H51">
        <f>$B51/150</f>
        <v/>
      </c>
      <c r="I51">
        <f>IF(OR($G51="",$G51=0),"",SIN((1-$H51)*$G51)/SIN($G51))</f>
        <v/>
      </c>
      <c r="J51">
        <f>IF($I51="","",SIN($H51*$G51)/SIN($G51))</f>
        <v/>
      </c>
      <c r="K51">
        <f>IF($I51="","",$I51*COS(RADIANS($C51))*COS(RADIANS($D51))+$J51*COS(RADIANS($E51))*COS(RADIANS($F51)))</f>
        <v/>
      </c>
      <c r="L51">
        <f>IF($I51="","",$I51*COS(RADIANS($C51))*SIN(RADIANS($D51))+$J51*COS(RADIANS($E51))*SIN(RADIANS($F51)))</f>
        <v/>
      </c>
      <c r="M51">
        <f>IF($I51="","",$I51*SIN(RADIANS($C51))+$J51*SIN(RADIANS($E51)))</f>
        <v/>
      </c>
      <c r="N51">
        <f>IF($M51="","",DEGREES(ATAN2(SQRT($K51^2+$L51^2),$M51)))</f>
        <v/>
      </c>
      <c r="O51">
        <f>IF($M51="","",DEGREES(ATAN2($K51,$L51)))</f>
        <v/>
      </c>
      <c r="P51">
        <f t="array" ref="P51">IF($N51="","",IFERROR(IF(INDEX(geo_grid!$B$2:$JU$231,INT(($N51+40)/0.5)+1,INT(($O51+30)/0.5)+1)="","",INDEX(geo_grid!$B$2:$JU$231,INT(($N51+40)/0.5)+1,INT(($O51+30)/0.5)+1)),"OUTSIDE GRID"))</f>
        <v/>
      </c>
      <c r="Q51">
        <f>IF($P51="","",$A51*1000+$B51)</f>
        <v/>
      </c>
    </row>
    <row r="52">
      <c r="A52">
        <f>INT((ROW()-2)/151)+1</f>
        <v/>
      </c>
      <c r="B52">
        <f>MOD(ROW()-2,151)</f>
        <v/>
      </c>
      <c r="C52">
        <f t="array" ref="C52">IFERROR(INDEX('TRIP MANAGER'!$O$18:$O$25,$A52),"")</f>
        <v/>
      </c>
      <c r="D52">
        <f t="array" ref="D52">IFERROR(INDEX('TRIP MANAGER'!$P$18:$P$25,$A52),"")</f>
        <v/>
      </c>
      <c r="E52">
        <f t="array" ref="E52">IFERROR(INDEX('TRIP MANAGER'!$Q$18:$Q$25,$A52),"")</f>
        <v/>
      </c>
      <c r="F52">
        <f t="array" ref="F52">IFERROR(INDEX('TRIP MANAGER'!$R$18:$R$25,$A52),"")</f>
        <v/>
      </c>
      <c r="G52">
        <f t="array" ref="G52">IFERROR(INDEX('TRIP MANAGER'!$S$18:$S$25,$A52),"")</f>
        <v/>
      </c>
      <c r="H52">
        <f>$B52/150</f>
        <v/>
      </c>
      <c r="I52">
        <f>IF(OR($G52="",$G52=0),"",SIN((1-$H52)*$G52)/SIN($G52))</f>
        <v/>
      </c>
      <c r="J52">
        <f>IF($I52="","",SIN($H52*$G52)/SIN($G52))</f>
        <v/>
      </c>
      <c r="K52">
        <f>IF($I52="","",$I52*COS(RADIANS($C52))*COS(RADIANS($D52))+$J52*COS(RADIANS($E52))*COS(RADIANS($F52)))</f>
        <v/>
      </c>
      <c r="L52">
        <f>IF($I52="","",$I52*COS(RADIANS($C52))*SIN(RADIANS($D52))+$J52*COS(RADIANS($E52))*SIN(RADIANS($F52)))</f>
        <v/>
      </c>
      <c r="M52">
        <f>IF($I52="","",$I52*SIN(RADIANS($C52))+$J52*SIN(RADIANS($E52)))</f>
        <v/>
      </c>
      <c r="N52">
        <f>IF($M52="","",DEGREES(ATAN2(SQRT($K52^2+$L52^2),$M52)))</f>
        <v/>
      </c>
      <c r="O52">
        <f>IF($M52="","",DEGREES(ATAN2($K52,$L52)))</f>
        <v/>
      </c>
      <c r="P52">
        <f t="array" ref="P52">IF($N52="","",IFERROR(IF(INDEX(geo_grid!$B$2:$JU$231,INT(($N52+40)/0.5)+1,INT(($O52+30)/0.5)+1)="","",INDEX(geo_grid!$B$2:$JU$231,INT(($N52+40)/0.5)+1,INT(($O52+30)/0.5)+1)),"OUTSIDE GRID"))</f>
        <v/>
      </c>
      <c r="Q52">
        <f>IF($P52="","",$A52*1000+$B52)</f>
        <v/>
      </c>
    </row>
    <row r="53">
      <c r="A53">
        <f>INT((ROW()-2)/151)+1</f>
        <v/>
      </c>
      <c r="B53">
        <f>MOD(ROW()-2,151)</f>
        <v/>
      </c>
      <c r="C53">
        <f t="array" ref="C53">IFERROR(INDEX('TRIP MANAGER'!$O$18:$O$25,$A53),"")</f>
        <v/>
      </c>
      <c r="D53">
        <f t="array" ref="D53">IFERROR(INDEX('TRIP MANAGER'!$P$18:$P$25,$A53),"")</f>
        <v/>
      </c>
      <c r="E53">
        <f t="array" ref="E53">IFERROR(INDEX('TRIP MANAGER'!$Q$18:$Q$25,$A53),"")</f>
        <v/>
      </c>
      <c r="F53">
        <f t="array" ref="F53">IFERROR(INDEX('TRIP MANAGER'!$R$18:$R$25,$A53),"")</f>
        <v/>
      </c>
      <c r="G53">
        <f t="array" ref="G53">IFERROR(INDEX('TRIP MANAGER'!$S$18:$S$25,$A53),"")</f>
        <v/>
      </c>
      <c r="H53">
        <f>$B53/150</f>
        <v/>
      </c>
      <c r="I53">
        <f>IF(OR($G53="",$G53=0),"",SIN((1-$H53)*$G53)/SIN($G53))</f>
        <v/>
      </c>
      <c r="J53">
        <f>IF($I53="","",SIN($H53*$G53)/SIN($G53))</f>
        <v/>
      </c>
      <c r="K53">
        <f>IF($I53="","",$I53*COS(RADIANS($C53))*COS(RADIANS($D53))+$J53*COS(RADIANS($E53))*COS(RADIANS($F53)))</f>
        <v/>
      </c>
      <c r="L53">
        <f>IF($I53="","",$I53*COS(RADIANS($C53))*SIN(RADIANS($D53))+$J53*COS(RADIANS($E53))*SIN(RADIANS($F53)))</f>
        <v/>
      </c>
      <c r="M53">
        <f>IF($I53="","",$I53*SIN(RADIANS($C53))+$J53*SIN(RADIANS($E53)))</f>
        <v/>
      </c>
      <c r="N53">
        <f>IF($M53="","",DEGREES(ATAN2(SQRT($K53^2+$L53^2),$M53)))</f>
        <v/>
      </c>
      <c r="O53">
        <f>IF($M53="","",DEGREES(ATAN2($K53,$L53)))</f>
        <v/>
      </c>
      <c r="P53">
        <f t="array" ref="P53">IF($N53="","",IFERROR(IF(INDEX(geo_grid!$B$2:$JU$231,INT(($N53+40)/0.5)+1,INT(($O53+30)/0.5)+1)="","",INDEX(geo_grid!$B$2:$JU$231,INT(($N53+40)/0.5)+1,INT(($O53+30)/0.5)+1)),"OUTSIDE GRID"))</f>
        <v/>
      </c>
      <c r="Q53">
        <f>IF($P53="","",$A53*1000+$B53)</f>
        <v/>
      </c>
    </row>
    <row r="54">
      <c r="A54">
        <f>INT((ROW()-2)/151)+1</f>
        <v/>
      </c>
      <c r="B54">
        <f>MOD(ROW()-2,151)</f>
        <v/>
      </c>
      <c r="C54">
        <f t="array" ref="C54">IFERROR(INDEX('TRIP MANAGER'!$O$18:$O$25,$A54),"")</f>
        <v/>
      </c>
      <c r="D54">
        <f t="array" ref="D54">IFERROR(INDEX('TRIP MANAGER'!$P$18:$P$25,$A54),"")</f>
        <v/>
      </c>
      <c r="E54">
        <f t="array" ref="E54">IFERROR(INDEX('TRIP MANAGER'!$Q$18:$Q$25,$A54),"")</f>
        <v/>
      </c>
      <c r="F54">
        <f t="array" ref="F54">IFERROR(INDEX('TRIP MANAGER'!$R$18:$R$25,$A54),"")</f>
        <v/>
      </c>
      <c r="G54">
        <f t="array" ref="G54">IFERROR(INDEX('TRIP MANAGER'!$S$18:$S$25,$A54),"")</f>
        <v/>
      </c>
      <c r="H54">
        <f>$B54/150</f>
        <v/>
      </c>
      <c r="I54">
        <f>IF(OR($G54="",$G54=0),"",SIN((1-$H54)*$G54)/SIN($G54))</f>
        <v/>
      </c>
      <c r="J54">
        <f>IF($I54="","",SIN($H54*$G54)/SIN($G54))</f>
        <v/>
      </c>
      <c r="K54">
        <f>IF($I54="","",$I54*COS(RADIANS($C54))*COS(RADIANS($D54))+$J54*COS(RADIANS($E54))*COS(RADIANS($F54)))</f>
        <v/>
      </c>
      <c r="L54">
        <f>IF($I54="","",$I54*COS(RADIANS($C54))*SIN(RADIANS($D54))+$J54*COS(RADIANS($E54))*SIN(RADIANS($F54)))</f>
        <v/>
      </c>
      <c r="M54">
        <f>IF($I54="","",$I54*SIN(RADIANS($C54))+$J54*SIN(RADIANS($E54)))</f>
        <v/>
      </c>
      <c r="N54">
        <f>IF($M54="","",DEGREES(ATAN2(SQRT($K54^2+$L54^2),$M54)))</f>
        <v/>
      </c>
      <c r="O54">
        <f>IF($M54="","",DEGREES(ATAN2($K54,$L54)))</f>
        <v/>
      </c>
      <c r="P54">
        <f t="array" ref="P54">IF($N54="","",IFERROR(IF(INDEX(geo_grid!$B$2:$JU$231,INT(($N54+40)/0.5)+1,INT(($O54+30)/0.5)+1)="","",INDEX(geo_grid!$B$2:$JU$231,INT(($N54+40)/0.5)+1,INT(($O54+30)/0.5)+1)),"OUTSIDE GRID"))</f>
        <v/>
      </c>
      <c r="Q54">
        <f>IF($P54="","",$A54*1000+$B54)</f>
        <v/>
      </c>
    </row>
    <row r="55">
      <c r="A55">
        <f>INT((ROW()-2)/151)+1</f>
        <v/>
      </c>
      <c r="B55">
        <f>MOD(ROW()-2,151)</f>
        <v/>
      </c>
      <c r="C55">
        <f t="array" ref="C55">IFERROR(INDEX('TRIP MANAGER'!$O$18:$O$25,$A55),"")</f>
        <v/>
      </c>
      <c r="D55">
        <f t="array" ref="D55">IFERROR(INDEX('TRIP MANAGER'!$P$18:$P$25,$A55),"")</f>
        <v/>
      </c>
      <c r="E55">
        <f t="array" ref="E55">IFERROR(INDEX('TRIP MANAGER'!$Q$18:$Q$25,$A55),"")</f>
        <v/>
      </c>
      <c r="F55">
        <f t="array" ref="F55">IFERROR(INDEX('TRIP MANAGER'!$R$18:$R$25,$A55),"")</f>
        <v/>
      </c>
      <c r="G55">
        <f t="array" ref="G55">IFERROR(INDEX('TRIP MANAGER'!$S$18:$S$25,$A55),"")</f>
        <v/>
      </c>
      <c r="H55">
        <f>$B55/150</f>
        <v/>
      </c>
      <c r="I55">
        <f>IF(OR($G55="",$G55=0),"",SIN((1-$H55)*$G55)/SIN($G55))</f>
        <v/>
      </c>
      <c r="J55">
        <f>IF($I55="","",SIN($H55*$G55)/SIN($G55))</f>
        <v/>
      </c>
      <c r="K55">
        <f>IF($I55="","",$I55*COS(RADIANS($C55))*COS(RADIANS($D55))+$J55*COS(RADIANS($E55))*COS(RADIANS($F55)))</f>
        <v/>
      </c>
      <c r="L55">
        <f>IF($I55="","",$I55*COS(RADIANS($C55))*SIN(RADIANS($D55))+$J55*COS(RADIANS($E55))*SIN(RADIANS($F55)))</f>
        <v/>
      </c>
      <c r="M55">
        <f>IF($I55="","",$I55*SIN(RADIANS($C55))+$J55*SIN(RADIANS($E55)))</f>
        <v/>
      </c>
      <c r="N55">
        <f>IF($M55="","",DEGREES(ATAN2(SQRT($K55^2+$L55^2),$M55)))</f>
        <v/>
      </c>
      <c r="O55">
        <f>IF($M55="","",DEGREES(ATAN2($K55,$L55)))</f>
        <v/>
      </c>
      <c r="P55">
        <f t="array" ref="P55">IF($N55="","",IFERROR(IF(INDEX(geo_grid!$B$2:$JU$231,INT(($N55+40)/0.5)+1,INT(($O55+30)/0.5)+1)="","",INDEX(geo_grid!$B$2:$JU$231,INT(($N55+40)/0.5)+1,INT(($O55+30)/0.5)+1)),"OUTSIDE GRID"))</f>
        <v/>
      </c>
      <c r="Q55">
        <f>IF($P55="","",$A55*1000+$B55)</f>
        <v/>
      </c>
    </row>
    <row r="56">
      <c r="A56">
        <f>INT((ROW()-2)/151)+1</f>
        <v/>
      </c>
      <c r="B56">
        <f>MOD(ROW()-2,151)</f>
        <v/>
      </c>
      <c r="C56">
        <f t="array" ref="C56">IFERROR(INDEX('TRIP MANAGER'!$O$18:$O$25,$A56),"")</f>
        <v/>
      </c>
      <c r="D56">
        <f t="array" ref="D56">IFERROR(INDEX('TRIP MANAGER'!$P$18:$P$25,$A56),"")</f>
        <v/>
      </c>
      <c r="E56">
        <f t="array" ref="E56">IFERROR(INDEX('TRIP MANAGER'!$Q$18:$Q$25,$A56),"")</f>
        <v/>
      </c>
      <c r="F56">
        <f t="array" ref="F56">IFERROR(INDEX('TRIP MANAGER'!$R$18:$R$25,$A56),"")</f>
        <v/>
      </c>
      <c r="G56">
        <f t="array" ref="G56">IFERROR(INDEX('TRIP MANAGER'!$S$18:$S$25,$A56),"")</f>
        <v/>
      </c>
      <c r="H56">
        <f>$B56/150</f>
        <v/>
      </c>
      <c r="I56">
        <f>IF(OR($G56="",$G56=0),"",SIN((1-$H56)*$G56)/SIN($G56))</f>
        <v/>
      </c>
      <c r="J56">
        <f>IF($I56="","",SIN($H56*$G56)/SIN($G56))</f>
        <v/>
      </c>
      <c r="K56">
        <f>IF($I56="","",$I56*COS(RADIANS($C56))*COS(RADIANS($D56))+$J56*COS(RADIANS($E56))*COS(RADIANS($F56)))</f>
        <v/>
      </c>
      <c r="L56">
        <f>IF($I56="","",$I56*COS(RADIANS($C56))*SIN(RADIANS($D56))+$J56*COS(RADIANS($E56))*SIN(RADIANS($F56)))</f>
        <v/>
      </c>
      <c r="M56">
        <f>IF($I56="","",$I56*SIN(RADIANS($C56))+$J56*SIN(RADIANS($E56)))</f>
        <v/>
      </c>
      <c r="N56">
        <f>IF($M56="","",DEGREES(ATAN2(SQRT($K56^2+$L56^2),$M56)))</f>
        <v/>
      </c>
      <c r="O56">
        <f>IF($M56="","",DEGREES(ATAN2($K56,$L56)))</f>
        <v/>
      </c>
      <c r="P56">
        <f t="array" ref="P56">IF($N56="","",IFERROR(IF(INDEX(geo_grid!$B$2:$JU$231,INT(($N56+40)/0.5)+1,INT(($O56+30)/0.5)+1)="","",INDEX(geo_grid!$B$2:$JU$231,INT(($N56+40)/0.5)+1,INT(($O56+30)/0.5)+1)),"OUTSIDE GRID"))</f>
        <v/>
      </c>
      <c r="Q56">
        <f>IF($P56="","",$A56*1000+$B56)</f>
        <v/>
      </c>
    </row>
    <row r="57">
      <c r="A57">
        <f>INT((ROW()-2)/151)+1</f>
        <v/>
      </c>
      <c r="B57">
        <f>MOD(ROW()-2,151)</f>
        <v/>
      </c>
      <c r="C57">
        <f t="array" ref="C57">IFERROR(INDEX('TRIP MANAGER'!$O$18:$O$25,$A57),"")</f>
        <v/>
      </c>
      <c r="D57">
        <f t="array" ref="D57">IFERROR(INDEX('TRIP MANAGER'!$P$18:$P$25,$A57),"")</f>
        <v/>
      </c>
      <c r="E57">
        <f t="array" ref="E57">IFERROR(INDEX('TRIP MANAGER'!$Q$18:$Q$25,$A57),"")</f>
        <v/>
      </c>
      <c r="F57">
        <f t="array" ref="F57">IFERROR(INDEX('TRIP MANAGER'!$R$18:$R$25,$A57),"")</f>
        <v/>
      </c>
      <c r="G57">
        <f t="array" ref="G57">IFERROR(INDEX('TRIP MANAGER'!$S$18:$S$25,$A57),"")</f>
        <v/>
      </c>
      <c r="H57">
        <f>$B57/150</f>
        <v/>
      </c>
      <c r="I57">
        <f>IF(OR($G57="",$G57=0),"",SIN((1-$H57)*$G57)/SIN($G57))</f>
        <v/>
      </c>
      <c r="J57">
        <f>IF($I57="","",SIN($H57*$G57)/SIN($G57))</f>
        <v/>
      </c>
      <c r="K57">
        <f>IF($I57="","",$I57*COS(RADIANS($C57))*COS(RADIANS($D57))+$J57*COS(RADIANS($E57))*COS(RADIANS($F57)))</f>
        <v/>
      </c>
      <c r="L57">
        <f>IF($I57="","",$I57*COS(RADIANS($C57))*SIN(RADIANS($D57))+$J57*COS(RADIANS($E57))*SIN(RADIANS($F57)))</f>
        <v/>
      </c>
      <c r="M57">
        <f>IF($I57="","",$I57*SIN(RADIANS($C57))+$J57*SIN(RADIANS($E57)))</f>
        <v/>
      </c>
      <c r="N57">
        <f>IF($M57="","",DEGREES(ATAN2(SQRT($K57^2+$L57^2),$M57)))</f>
        <v/>
      </c>
      <c r="O57">
        <f>IF($M57="","",DEGREES(ATAN2($K57,$L57)))</f>
        <v/>
      </c>
      <c r="P57">
        <f t="array" ref="P57">IF($N57="","",IFERROR(IF(INDEX(geo_grid!$B$2:$JU$231,INT(($N57+40)/0.5)+1,INT(($O57+30)/0.5)+1)="","",INDEX(geo_grid!$B$2:$JU$231,INT(($N57+40)/0.5)+1,INT(($O57+30)/0.5)+1)),"OUTSIDE GRID"))</f>
        <v/>
      </c>
      <c r="Q57">
        <f>IF($P57="","",$A57*1000+$B57)</f>
        <v/>
      </c>
    </row>
    <row r="58">
      <c r="A58">
        <f>INT((ROW()-2)/151)+1</f>
        <v/>
      </c>
      <c r="B58">
        <f>MOD(ROW()-2,151)</f>
        <v/>
      </c>
      <c r="C58">
        <f t="array" ref="C58">IFERROR(INDEX('TRIP MANAGER'!$O$18:$O$25,$A58),"")</f>
        <v/>
      </c>
      <c r="D58">
        <f t="array" ref="D58">IFERROR(INDEX('TRIP MANAGER'!$P$18:$P$25,$A58),"")</f>
        <v/>
      </c>
      <c r="E58">
        <f t="array" ref="E58">IFERROR(INDEX('TRIP MANAGER'!$Q$18:$Q$25,$A58),"")</f>
        <v/>
      </c>
      <c r="F58">
        <f t="array" ref="F58">IFERROR(INDEX('TRIP MANAGER'!$R$18:$R$25,$A58),"")</f>
        <v/>
      </c>
      <c r="G58">
        <f t="array" ref="G58">IFERROR(INDEX('TRIP MANAGER'!$S$18:$S$25,$A58),"")</f>
        <v/>
      </c>
      <c r="H58">
        <f>$B58/150</f>
        <v/>
      </c>
      <c r="I58">
        <f>IF(OR($G58="",$G58=0),"",SIN((1-$H58)*$G58)/SIN($G58))</f>
        <v/>
      </c>
      <c r="J58">
        <f>IF($I58="","",SIN($H58*$G58)/SIN($G58))</f>
        <v/>
      </c>
      <c r="K58">
        <f>IF($I58="","",$I58*COS(RADIANS($C58))*COS(RADIANS($D58))+$J58*COS(RADIANS($E58))*COS(RADIANS($F58)))</f>
        <v/>
      </c>
      <c r="L58">
        <f>IF($I58="","",$I58*COS(RADIANS($C58))*SIN(RADIANS($D58))+$J58*COS(RADIANS($E58))*SIN(RADIANS($F58)))</f>
        <v/>
      </c>
      <c r="M58">
        <f>IF($I58="","",$I58*SIN(RADIANS($C58))+$J58*SIN(RADIANS($E58)))</f>
        <v/>
      </c>
      <c r="N58">
        <f>IF($M58="","",DEGREES(ATAN2(SQRT($K58^2+$L58^2),$M58)))</f>
        <v/>
      </c>
      <c r="O58">
        <f>IF($M58="","",DEGREES(ATAN2($K58,$L58)))</f>
        <v/>
      </c>
      <c r="P58">
        <f t="array" ref="P58">IF($N58="","",IFERROR(IF(INDEX(geo_grid!$B$2:$JU$231,INT(($N58+40)/0.5)+1,INT(($O58+30)/0.5)+1)="","",INDEX(geo_grid!$B$2:$JU$231,INT(($N58+40)/0.5)+1,INT(($O58+30)/0.5)+1)),"OUTSIDE GRID"))</f>
        <v/>
      </c>
      <c r="Q58">
        <f>IF($P58="","",$A58*1000+$B58)</f>
        <v/>
      </c>
    </row>
    <row r="59">
      <c r="A59">
        <f>INT((ROW()-2)/151)+1</f>
        <v/>
      </c>
      <c r="B59">
        <f>MOD(ROW()-2,151)</f>
        <v/>
      </c>
      <c r="C59">
        <f t="array" ref="C59">IFERROR(INDEX('TRIP MANAGER'!$O$18:$O$25,$A59),"")</f>
        <v/>
      </c>
      <c r="D59">
        <f t="array" ref="D59">IFERROR(INDEX('TRIP MANAGER'!$P$18:$P$25,$A59),"")</f>
        <v/>
      </c>
      <c r="E59">
        <f t="array" ref="E59">IFERROR(INDEX('TRIP MANAGER'!$Q$18:$Q$25,$A59),"")</f>
        <v/>
      </c>
      <c r="F59">
        <f t="array" ref="F59">IFERROR(INDEX('TRIP MANAGER'!$R$18:$R$25,$A59),"")</f>
        <v/>
      </c>
      <c r="G59">
        <f t="array" ref="G59">IFERROR(INDEX('TRIP MANAGER'!$S$18:$S$25,$A59),"")</f>
        <v/>
      </c>
      <c r="H59">
        <f>$B59/150</f>
        <v/>
      </c>
      <c r="I59">
        <f>IF(OR($G59="",$G59=0),"",SIN((1-$H59)*$G59)/SIN($G59))</f>
        <v/>
      </c>
      <c r="J59">
        <f>IF($I59="","",SIN($H59*$G59)/SIN($G59))</f>
        <v/>
      </c>
      <c r="K59">
        <f>IF($I59="","",$I59*COS(RADIANS($C59))*COS(RADIANS($D59))+$J59*COS(RADIANS($E59))*COS(RADIANS($F59)))</f>
        <v/>
      </c>
      <c r="L59">
        <f>IF($I59="","",$I59*COS(RADIANS($C59))*SIN(RADIANS($D59))+$J59*COS(RADIANS($E59))*SIN(RADIANS($F59)))</f>
        <v/>
      </c>
      <c r="M59">
        <f>IF($I59="","",$I59*SIN(RADIANS($C59))+$J59*SIN(RADIANS($E59)))</f>
        <v/>
      </c>
      <c r="N59">
        <f>IF($M59="","",DEGREES(ATAN2(SQRT($K59^2+$L59^2),$M59)))</f>
        <v/>
      </c>
      <c r="O59">
        <f>IF($M59="","",DEGREES(ATAN2($K59,$L59)))</f>
        <v/>
      </c>
      <c r="P59">
        <f t="array" ref="P59">IF($N59="","",IFERROR(IF(INDEX(geo_grid!$B$2:$JU$231,INT(($N59+40)/0.5)+1,INT(($O59+30)/0.5)+1)="","",INDEX(geo_grid!$B$2:$JU$231,INT(($N59+40)/0.5)+1,INT(($O59+30)/0.5)+1)),"OUTSIDE GRID"))</f>
        <v/>
      </c>
      <c r="Q59">
        <f>IF($P59="","",$A59*1000+$B59)</f>
        <v/>
      </c>
    </row>
    <row r="60">
      <c r="A60">
        <f>INT((ROW()-2)/151)+1</f>
        <v/>
      </c>
      <c r="B60">
        <f>MOD(ROW()-2,151)</f>
        <v/>
      </c>
      <c r="C60">
        <f t="array" ref="C60">IFERROR(INDEX('TRIP MANAGER'!$O$18:$O$25,$A60),"")</f>
        <v/>
      </c>
      <c r="D60">
        <f t="array" ref="D60">IFERROR(INDEX('TRIP MANAGER'!$P$18:$P$25,$A60),"")</f>
        <v/>
      </c>
      <c r="E60">
        <f t="array" ref="E60">IFERROR(INDEX('TRIP MANAGER'!$Q$18:$Q$25,$A60),"")</f>
        <v/>
      </c>
      <c r="F60">
        <f t="array" ref="F60">IFERROR(INDEX('TRIP MANAGER'!$R$18:$R$25,$A60),"")</f>
        <v/>
      </c>
      <c r="G60">
        <f t="array" ref="G60">IFERROR(INDEX('TRIP MANAGER'!$S$18:$S$25,$A60),"")</f>
        <v/>
      </c>
      <c r="H60">
        <f>$B60/150</f>
        <v/>
      </c>
      <c r="I60">
        <f>IF(OR($G60="",$G60=0),"",SIN((1-$H60)*$G60)/SIN($G60))</f>
        <v/>
      </c>
      <c r="J60">
        <f>IF($I60="","",SIN($H60*$G60)/SIN($G60))</f>
        <v/>
      </c>
      <c r="K60">
        <f>IF($I60="","",$I60*COS(RADIANS($C60))*COS(RADIANS($D60))+$J60*COS(RADIANS($E60))*COS(RADIANS($F60)))</f>
        <v/>
      </c>
      <c r="L60">
        <f>IF($I60="","",$I60*COS(RADIANS($C60))*SIN(RADIANS($D60))+$J60*COS(RADIANS($E60))*SIN(RADIANS($F60)))</f>
        <v/>
      </c>
      <c r="M60">
        <f>IF($I60="","",$I60*SIN(RADIANS($C60))+$J60*SIN(RADIANS($E60)))</f>
        <v/>
      </c>
      <c r="N60">
        <f>IF($M60="","",DEGREES(ATAN2(SQRT($K60^2+$L60^2),$M60)))</f>
        <v/>
      </c>
      <c r="O60">
        <f>IF($M60="","",DEGREES(ATAN2($K60,$L60)))</f>
        <v/>
      </c>
      <c r="P60">
        <f t="array" ref="P60">IF($N60="","",IFERROR(IF(INDEX(geo_grid!$B$2:$JU$231,INT(($N60+40)/0.5)+1,INT(($O60+30)/0.5)+1)="","",INDEX(geo_grid!$B$2:$JU$231,INT(($N60+40)/0.5)+1,INT(($O60+30)/0.5)+1)),"OUTSIDE GRID"))</f>
        <v/>
      </c>
      <c r="Q60">
        <f>IF($P60="","",$A60*1000+$B60)</f>
        <v/>
      </c>
    </row>
    <row r="61">
      <c r="A61">
        <f>INT((ROW()-2)/151)+1</f>
        <v/>
      </c>
      <c r="B61">
        <f>MOD(ROW()-2,151)</f>
        <v/>
      </c>
      <c r="C61">
        <f t="array" ref="C61">IFERROR(INDEX('TRIP MANAGER'!$O$18:$O$25,$A61),"")</f>
        <v/>
      </c>
      <c r="D61">
        <f t="array" ref="D61">IFERROR(INDEX('TRIP MANAGER'!$P$18:$P$25,$A61),"")</f>
        <v/>
      </c>
      <c r="E61">
        <f t="array" ref="E61">IFERROR(INDEX('TRIP MANAGER'!$Q$18:$Q$25,$A61),"")</f>
        <v/>
      </c>
      <c r="F61">
        <f t="array" ref="F61">IFERROR(INDEX('TRIP MANAGER'!$R$18:$R$25,$A61),"")</f>
        <v/>
      </c>
      <c r="G61">
        <f t="array" ref="G61">IFERROR(INDEX('TRIP MANAGER'!$S$18:$S$25,$A61),"")</f>
        <v/>
      </c>
      <c r="H61">
        <f>$B61/150</f>
        <v/>
      </c>
      <c r="I61">
        <f>IF(OR($G61="",$G61=0),"",SIN((1-$H61)*$G61)/SIN($G61))</f>
        <v/>
      </c>
      <c r="J61">
        <f>IF($I61="","",SIN($H61*$G61)/SIN($G61))</f>
        <v/>
      </c>
      <c r="K61">
        <f>IF($I61="","",$I61*COS(RADIANS($C61))*COS(RADIANS($D61))+$J61*COS(RADIANS($E61))*COS(RADIANS($F61)))</f>
        <v/>
      </c>
      <c r="L61">
        <f>IF($I61="","",$I61*COS(RADIANS($C61))*SIN(RADIANS($D61))+$J61*COS(RADIANS($E61))*SIN(RADIANS($F61)))</f>
        <v/>
      </c>
      <c r="M61">
        <f>IF($I61="","",$I61*SIN(RADIANS($C61))+$J61*SIN(RADIANS($E61)))</f>
        <v/>
      </c>
      <c r="N61">
        <f>IF($M61="","",DEGREES(ATAN2(SQRT($K61^2+$L61^2),$M61)))</f>
        <v/>
      </c>
      <c r="O61">
        <f>IF($M61="","",DEGREES(ATAN2($K61,$L61)))</f>
        <v/>
      </c>
      <c r="P61">
        <f t="array" ref="P61">IF($N61="","",IFERROR(IF(INDEX(geo_grid!$B$2:$JU$231,INT(($N61+40)/0.5)+1,INT(($O61+30)/0.5)+1)="","",INDEX(geo_grid!$B$2:$JU$231,INT(($N61+40)/0.5)+1,INT(($O61+30)/0.5)+1)),"OUTSIDE GRID"))</f>
        <v/>
      </c>
      <c r="Q61">
        <f>IF($P61="","",$A61*1000+$B61)</f>
        <v/>
      </c>
    </row>
    <row r="62">
      <c r="A62">
        <f>INT((ROW()-2)/151)+1</f>
        <v/>
      </c>
      <c r="B62">
        <f>MOD(ROW()-2,151)</f>
        <v/>
      </c>
      <c r="C62">
        <f t="array" ref="C62">IFERROR(INDEX('TRIP MANAGER'!$O$18:$O$25,$A62),"")</f>
        <v/>
      </c>
      <c r="D62">
        <f t="array" ref="D62">IFERROR(INDEX('TRIP MANAGER'!$P$18:$P$25,$A62),"")</f>
        <v/>
      </c>
      <c r="E62">
        <f t="array" ref="E62">IFERROR(INDEX('TRIP MANAGER'!$Q$18:$Q$25,$A62),"")</f>
        <v/>
      </c>
      <c r="F62">
        <f t="array" ref="F62">IFERROR(INDEX('TRIP MANAGER'!$R$18:$R$25,$A62),"")</f>
        <v/>
      </c>
      <c r="G62">
        <f t="array" ref="G62">IFERROR(INDEX('TRIP MANAGER'!$S$18:$S$25,$A62),"")</f>
        <v/>
      </c>
      <c r="H62">
        <f>$B62/150</f>
        <v/>
      </c>
      <c r="I62">
        <f>IF(OR($G62="",$G62=0),"",SIN((1-$H62)*$G62)/SIN($G62))</f>
        <v/>
      </c>
      <c r="J62">
        <f>IF($I62="","",SIN($H62*$G62)/SIN($G62))</f>
        <v/>
      </c>
      <c r="K62">
        <f>IF($I62="","",$I62*COS(RADIANS($C62))*COS(RADIANS($D62))+$J62*COS(RADIANS($E62))*COS(RADIANS($F62)))</f>
        <v/>
      </c>
      <c r="L62">
        <f>IF($I62="","",$I62*COS(RADIANS($C62))*SIN(RADIANS($D62))+$J62*COS(RADIANS($E62))*SIN(RADIANS($F62)))</f>
        <v/>
      </c>
      <c r="M62">
        <f>IF($I62="","",$I62*SIN(RADIANS($C62))+$J62*SIN(RADIANS($E62)))</f>
        <v/>
      </c>
      <c r="N62">
        <f>IF($M62="","",DEGREES(ATAN2(SQRT($K62^2+$L62^2),$M62)))</f>
        <v/>
      </c>
      <c r="O62">
        <f>IF($M62="","",DEGREES(ATAN2($K62,$L62)))</f>
        <v/>
      </c>
      <c r="P62">
        <f t="array" ref="P62">IF($N62="","",IFERROR(IF(INDEX(geo_grid!$B$2:$JU$231,INT(($N62+40)/0.5)+1,INT(($O62+30)/0.5)+1)="","",INDEX(geo_grid!$B$2:$JU$231,INT(($N62+40)/0.5)+1,INT(($O62+30)/0.5)+1)),"OUTSIDE GRID"))</f>
        <v/>
      </c>
      <c r="Q62">
        <f>IF($P62="","",$A62*1000+$B62)</f>
        <v/>
      </c>
    </row>
    <row r="63">
      <c r="A63">
        <f>INT((ROW()-2)/151)+1</f>
        <v/>
      </c>
      <c r="B63">
        <f>MOD(ROW()-2,151)</f>
        <v/>
      </c>
      <c r="C63">
        <f t="array" ref="C63">IFERROR(INDEX('TRIP MANAGER'!$O$18:$O$25,$A63),"")</f>
        <v/>
      </c>
      <c r="D63">
        <f t="array" ref="D63">IFERROR(INDEX('TRIP MANAGER'!$P$18:$P$25,$A63),"")</f>
        <v/>
      </c>
      <c r="E63">
        <f t="array" ref="E63">IFERROR(INDEX('TRIP MANAGER'!$Q$18:$Q$25,$A63),"")</f>
        <v/>
      </c>
      <c r="F63">
        <f t="array" ref="F63">IFERROR(INDEX('TRIP MANAGER'!$R$18:$R$25,$A63),"")</f>
        <v/>
      </c>
      <c r="G63">
        <f t="array" ref="G63">IFERROR(INDEX('TRIP MANAGER'!$S$18:$S$25,$A63),"")</f>
        <v/>
      </c>
      <c r="H63">
        <f>$B63/150</f>
        <v/>
      </c>
      <c r="I63">
        <f>IF(OR($G63="",$G63=0),"",SIN((1-$H63)*$G63)/SIN($G63))</f>
        <v/>
      </c>
      <c r="J63">
        <f>IF($I63="","",SIN($H63*$G63)/SIN($G63))</f>
        <v/>
      </c>
      <c r="K63">
        <f>IF($I63="","",$I63*COS(RADIANS($C63))*COS(RADIANS($D63))+$J63*COS(RADIANS($E63))*COS(RADIANS($F63)))</f>
        <v/>
      </c>
      <c r="L63">
        <f>IF($I63="","",$I63*COS(RADIANS($C63))*SIN(RADIANS($D63))+$J63*COS(RADIANS($E63))*SIN(RADIANS($F63)))</f>
        <v/>
      </c>
      <c r="M63">
        <f>IF($I63="","",$I63*SIN(RADIANS($C63))+$J63*SIN(RADIANS($E63)))</f>
        <v/>
      </c>
      <c r="N63">
        <f>IF($M63="","",DEGREES(ATAN2(SQRT($K63^2+$L63^2),$M63)))</f>
        <v/>
      </c>
      <c r="O63">
        <f>IF($M63="","",DEGREES(ATAN2($K63,$L63)))</f>
        <v/>
      </c>
      <c r="P63">
        <f t="array" ref="P63">IF($N63="","",IFERROR(IF(INDEX(geo_grid!$B$2:$JU$231,INT(($N63+40)/0.5)+1,INT(($O63+30)/0.5)+1)="","",INDEX(geo_grid!$B$2:$JU$231,INT(($N63+40)/0.5)+1,INT(($O63+30)/0.5)+1)),"OUTSIDE GRID"))</f>
        <v/>
      </c>
      <c r="Q63">
        <f>IF($P63="","",$A63*1000+$B63)</f>
        <v/>
      </c>
    </row>
    <row r="64">
      <c r="A64">
        <f>INT((ROW()-2)/151)+1</f>
        <v/>
      </c>
      <c r="B64">
        <f>MOD(ROW()-2,151)</f>
        <v/>
      </c>
      <c r="C64">
        <f t="array" ref="C64">IFERROR(INDEX('TRIP MANAGER'!$O$18:$O$25,$A64),"")</f>
        <v/>
      </c>
      <c r="D64">
        <f t="array" ref="D64">IFERROR(INDEX('TRIP MANAGER'!$P$18:$P$25,$A64),"")</f>
        <v/>
      </c>
      <c r="E64">
        <f t="array" ref="E64">IFERROR(INDEX('TRIP MANAGER'!$Q$18:$Q$25,$A64),"")</f>
        <v/>
      </c>
      <c r="F64">
        <f t="array" ref="F64">IFERROR(INDEX('TRIP MANAGER'!$R$18:$R$25,$A64),"")</f>
        <v/>
      </c>
      <c r="G64">
        <f t="array" ref="G64">IFERROR(INDEX('TRIP MANAGER'!$S$18:$S$25,$A64),"")</f>
        <v/>
      </c>
      <c r="H64">
        <f>$B64/150</f>
        <v/>
      </c>
      <c r="I64">
        <f>IF(OR($G64="",$G64=0),"",SIN((1-$H64)*$G64)/SIN($G64))</f>
        <v/>
      </c>
      <c r="J64">
        <f>IF($I64="","",SIN($H64*$G64)/SIN($G64))</f>
        <v/>
      </c>
      <c r="K64">
        <f>IF($I64="","",$I64*COS(RADIANS($C64))*COS(RADIANS($D64))+$J64*COS(RADIANS($E64))*COS(RADIANS($F64)))</f>
        <v/>
      </c>
      <c r="L64">
        <f>IF($I64="","",$I64*COS(RADIANS($C64))*SIN(RADIANS($D64))+$J64*COS(RADIANS($E64))*SIN(RADIANS($F64)))</f>
        <v/>
      </c>
      <c r="M64">
        <f>IF($I64="","",$I64*SIN(RADIANS($C64))+$J64*SIN(RADIANS($E64)))</f>
        <v/>
      </c>
      <c r="N64">
        <f>IF($M64="","",DEGREES(ATAN2(SQRT($K64^2+$L64^2),$M64)))</f>
        <v/>
      </c>
      <c r="O64">
        <f>IF($M64="","",DEGREES(ATAN2($K64,$L64)))</f>
        <v/>
      </c>
      <c r="P64">
        <f t="array" ref="P64">IF($N64="","",IFERROR(IF(INDEX(geo_grid!$B$2:$JU$231,INT(($N64+40)/0.5)+1,INT(($O64+30)/0.5)+1)="","",INDEX(geo_grid!$B$2:$JU$231,INT(($N64+40)/0.5)+1,INT(($O64+30)/0.5)+1)),"OUTSIDE GRID"))</f>
        <v/>
      </c>
      <c r="Q64">
        <f>IF($P64="","",$A64*1000+$B64)</f>
        <v/>
      </c>
    </row>
    <row r="65">
      <c r="A65">
        <f>INT((ROW()-2)/151)+1</f>
        <v/>
      </c>
      <c r="B65">
        <f>MOD(ROW()-2,151)</f>
        <v/>
      </c>
      <c r="C65">
        <f t="array" ref="C65">IFERROR(INDEX('TRIP MANAGER'!$O$18:$O$25,$A65),"")</f>
        <v/>
      </c>
      <c r="D65">
        <f t="array" ref="D65">IFERROR(INDEX('TRIP MANAGER'!$P$18:$P$25,$A65),"")</f>
        <v/>
      </c>
      <c r="E65">
        <f t="array" ref="E65">IFERROR(INDEX('TRIP MANAGER'!$Q$18:$Q$25,$A65),"")</f>
        <v/>
      </c>
      <c r="F65">
        <f t="array" ref="F65">IFERROR(INDEX('TRIP MANAGER'!$R$18:$R$25,$A65),"")</f>
        <v/>
      </c>
      <c r="G65">
        <f t="array" ref="G65">IFERROR(INDEX('TRIP MANAGER'!$S$18:$S$25,$A65),"")</f>
        <v/>
      </c>
      <c r="H65">
        <f>$B65/150</f>
        <v/>
      </c>
      <c r="I65">
        <f>IF(OR($G65="",$G65=0),"",SIN((1-$H65)*$G65)/SIN($G65))</f>
        <v/>
      </c>
      <c r="J65">
        <f>IF($I65="","",SIN($H65*$G65)/SIN($G65))</f>
        <v/>
      </c>
      <c r="K65">
        <f>IF($I65="","",$I65*COS(RADIANS($C65))*COS(RADIANS($D65))+$J65*COS(RADIANS($E65))*COS(RADIANS($F65)))</f>
        <v/>
      </c>
      <c r="L65">
        <f>IF($I65="","",$I65*COS(RADIANS($C65))*SIN(RADIANS($D65))+$J65*COS(RADIANS($E65))*SIN(RADIANS($F65)))</f>
        <v/>
      </c>
      <c r="M65">
        <f>IF($I65="","",$I65*SIN(RADIANS($C65))+$J65*SIN(RADIANS($E65)))</f>
        <v/>
      </c>
      <c r="N65">
        <f>IF($M65="","",DEGREES(ATAN2(SQRT($K65^2+$L65^2),$M65)))</f>
        <v/>
      </c>
      <c r="O65">
        <f>IF($M65="","",DEGREES(ATAN2($K65,$L65)))</f>
        <v/>
      </c>
      <c r="P65">
        <f t="array" ref="P65">IF($N65="","",IFERROR(IF(INDEX(geo_grid!$B$2:$JU$231,INT(($N65+40)/0.5)+1,INT(($O65+30)/0.5)+1)="","",INDEX(geo_grid!$B$2:$JU$231,INT(($N65+40)/0.5)+1,INT(($O65+30)/0.5)+1)),"OUTSIDE GRID"))</f>
        <v/>
      </c>
      <c r="Q65">
        <f>IF($P65="","",$A65*1000+$B65)</f>
        <v/>
      </c>
    </row>
    <row r="66">
      <c r="A66">
        <f>INT((ROW()-2)/151)+1</f>
        <v/>
      </c>
      <c r="B66">
        <f>MOD(ROW()-2,151)</f>
        <v/>
      </c>
      <c r="C66">
        <f t="array" ref="C66">IFERROR(INDEX('TRIP MANAGER'!$O$18:$O$25,$A66),"")</f>
        <v/>
      </c>
      <c r="D66">
        <f t="array" ref="D66">IFERROR(INDEX('TRIP MANAGER'!$P$18:$P$25,$A66),"")</f>
        <v/>
      </c>
      <c r="E66">
        <f t="array" ref="E66">IFERROR(INDEX('TRIP MANAGER'!$Q$18:$Q$25,$A66),"")</f>
        <v/>
      </c>
      <c r="F66">
        <f t="array" ref="F66">IFERROR(INDEX('TRIP MANAGER'!$R$18:$R$25,$A66),"")</f>
        <v/>
      </c>
      <c r="G66">
        <f t="array" ref="G66">IFERROR(INDEX('TRIP MANAGER'!$S$18:$S$25,$A66),"")</f>
        <v/>
      </c>
      <c r="H66">
        <f>$B66/150</f>
        <v/>
      </c>
      <c r="I66">
        <f>IF(OR($G66="",$G66=0),"",SIN((1-$H66)*$G66)/SIN($G66))</f>
        <v/>
      </c>
      <c r="J66">
        <f>IF($I66="","",SIN($H66*$G66)/SIN($G66))</f>
        <v/>
      </c>
      <c r="K66">
        <f>IF($I66="","",$I66*COS(RADIANS($C66))*COS(RADIANS($D66))+$J66*COS(RADIANS($E66))*COS(RADIANS($F66)))</f>
        <v/>
      </c>
      <c r="L66">
        <f>IF($I66="","",$I66*COS(RADIANS($C66))*SIN(RADIANS($D66))+$J66*COS(RADIANS($E66))*SIN(RADIANS($F66)))</f>
        <v/>
      </c>
      <c r="M66">
        <f>IF($I66="","",$I66*SIN(RADIANS($C66))+$J66*SIN(RADIANS($E66)))</f>
        <v/>
      </c>
      <c r="N66">
        <f>IF($M66="","",DEGREES(ATAN2(SQRT($K66^2+$L66^2),$M66)))</f>
        <v/>
      </c>
      <c r="O66">
        <f>IF($M66="","",DEGREES(ATAN2($K66,$L66)))</f>
        <v/>
      </c>
      <c r="P66">
        <f t="array" ref="P66">IF($N66="","",IFERROR(IF(INDEX(geo_grid!$B$2:$JU$231,INT(($N66+40)/0.5)+1,INT(($O66+30)/0.5)+1)="","",INDEX(geo_grid!$B$2:$JU$231,INT(($N66+40)/0.5)+1,INT(($O66+30)/0.5)+1)),"OUTSIDE GRID"))</f>
        <v/>
      </c>
      <c r="Q66">
        <f>IF($P66="","",$A66*1000+$B66)</f>
        <v/>
      </c>
    </row>
    <row r="67">
      <c r="A67">
        <f>INT((ROW()-2)/151)+1</f>
        <v/>
      </c>
      <c r="B67">
        <f>MOD(ROW()-2,151)</f>
        <v/>
      </c>
      <c r="C67">
        <f t="array" ref="C67">IFERROR(INDEX('TRIP MANAGER'!$O$18:$O$25,$A67),"")</f>
        <v/>
      </c>
      <c r="D67">
        <f t="array" ref="D67">IFERROR(INDEX('TRIP MANAGER'!$P$18:$P$25,$A67),"")</f>
        <v/>
      </c>
      <c r="E67">
        <f t="array" ref="E67">IFERROR(INDEX('TRIP MANAGER'!$Q$18:$Q$25,$A67),"")</f>
        <v/>
      </c>
      <c r="F67">
        <f t="array" ref="F67">IFERROR(INDEX('TRIP MANAGER'!$R$18:$R$25,$A67),"")</f>
        <v/>
      </c>
      <c r="G67">
        <f t="array" ref="G67">IFERROR(INDEX('TRIP MANAGER'!$S$18:$S$25,$A67),"")</f>
        <v/>
      </c>
      <c r="H67">
        <f>$B67/150</f>
        <v/>
      </c>
      <c r="I67">
        <f>IF(OR($G67="",$G67=0),"",SIN((1-$H67)*$G67)/SIN($G67))</f>
        <v/>
      </c>
      <c r="J67">
        <f>IF($I67="","",SIN($H67*$G67)/SIN($G67))</f>
        <v/>
      </c>
      <c r="K67">
        <f>IF($I67="","",$I67*COS(RADIANS($C67))*COS(RADIANS($D67))+$J67*COS(RADIANS($E67))*COS(RADIANS($F67)))</f>
        <v/>
      </c>
      <c r="L67">
        <f>IF($I67="","",$I67*COS(RADIANS($C67))*SIN(RADIANS($D67))+$J67*COS(RADIANS($E67))*SIN(RADIANS($F67)))</f>
        <v/>
      </c>
      <c r="M67">
        <f>IF($I67="","",$I67*SIN(RADIANS($C67))+$J67*SIN(RADIANS($E67)))</f>
        <v/>
      </c>
      <c r="N67">
        <f>IF($M67="","",DEGREES(ATAN2(SQRT($K67^2+$L67^2),$M67)))</f>
        <v/>
      </c>
      <c r="O67">
        <f>IF($M67="","",DEGREES(ATAN2($K67,$L67)))</f>
        <v/>
      </c>
      <c r="P67">
        <f t="array" ref="P67">IF($N67="","",IFERROR(IF(INDEX(geo_grid!$B$2:$JU$231,INT(($N67+40)/0.5)+1,INT(($O67+30)/0.5)+1)="","",INDEX(geo_grid!$B$2:$JU$231,INT(($N67+40)/0.5)+1,INT(($O67+30)/0.5)+1)),"OUTSIDE GRID"))</f>
        <v/>
      </c>
      <c r="Q67">
        <f>IF($P67="","",$A67*1000+$B67)</f>
        <v/>
      </c>
    </row>
    <row r="68">
      <c r="A68">
        <f>INT((ROW()-2)/151)+1</f>
        <v/>
      </c>
      <c r="B68">
        <f>MOD(ROW()-2,151)</f>
        <v/>
      </c>
      <c r="C68">
        <f t="array" ref="C68">IFERROR(INDEX('TRIP MANAGER'!$O$18:$O$25,$A68),"")</f>
        <v/>
      </c>
      <c r="D68">
        <f t="array" ref="D68">IFERROR(INDEX('TRIP MANAGER'!$P$18:$P$25,$A68),"")</f>
        <v/>
      </c>
      <c r="E68">
        <f t="array" ref="E68">IFERROR(INDEX('TRIP MANAGER'!$Q$18:$Q$25,$A68),"")</f>
        <v/>
      </c>
      <c r="F68">
        <f t="array" ref="F68">IFERROR(INDEX('TRIP MANAGER'!$R$18:$R$25,$A68),"")</f>
        <v/>
      </c>
      <c r="G68">
        <f t="array" ref="G68">IFERROR(INDEX('TRIP MANAGER'!$S$18:$S$25,$A68),"")</f>
        <v/>
      </c>
      <c r="H68">
        <f>$B68/150</f>
        <v/>
      </c>
      <c r="I68">
        <f>IF(OR($G68="",$G68=0),"",SIN((1-$H68)*$G68)/SIN($G68))</f>
        <v/>
      </c>
      <c r="J68">
        <f>IF($I68="","",SIN($H68*$G68)/SIN($G68))</f>
        <v/>
      </c>
      <c r="K68">
        <f>IF($I68="","",$I68*COS(RADIANS($C68))*COS(RADIANS($D68))+$J68*COS(RADIANS($E68))*COS(RADIANS($F68)))</f>
        <v/>
      </c>
      <c r="L68">
        <f>IF($I68="","",$I68*COS(RADIANS($C68))*SIN(RADIANS($D68))+$J68*COS(RADIANS($E68))*SIN(RADIANS($F68)))</f>
        <v/>
      </c>
      <c r="M68">
        <f>IF($I68="","",$I68*SIN(RADIANS($C68))+$J68*SIN(RADIANS($E68)))</f>
        <v/>
      </c>
      <c r="N68">
        <f>IF($M68="","",DEGREES(ATAN2(SQRT($K68^2+$L68^2),$M68)))</f>
        <v/>
      </c>
      <c r="O68">
        <f>IF($M68="","",DEGREES(ATAN2($K68,$L68)))</f>
        <v/>
      </c>
      <c r="P68">
        <f t="array" ref="P68">IF($N68="","",IFERROR(IF(INDEX(geo_grid!$B$2:$JU$231,INT(($N68+40)/0.5)+1,INT(($O68+30)/0.5)+1)="","",INDEX(geo_grid!$B$2:$JU$231,INT(($N68+40)/0.5)+1,INT(($O68+30)/0.5)+1)),"OUTSIDE GRID"))</f>
        <v/>
      </c>
      <c r="Q68">
        <f>IF($P68="","",$A68*1000+$B68)</f>
        <v/>
      </c>
    </row>
    <row r="69">
      <c r="A69">
        <f>INT((ROW()-2)/151)+1</f>
        <v/>
      </c>
      <c r="B69">
        <f>MOD(ROW()-2,151)</f>
        <v/>
      </c>
      <c r="C69">
        <f t="array" ref="C69">IFERROR(INDEX('TRIP MANAGER'!$O$18:$O$25,$A69),"")</f>
        <v/>
      </c>
      <c r="D69">
        <f t="array" ref="D69">IFERROR(INDEX('TRIP MANAGER'!$P$18:$P$25,$A69),"")</f>
        <v/>
      </c>
      <c r="E69">
        <f t="array" ref="E69">IFERROR(INDEX('TRIP MANAGER'!$Q$18:$Q$25,$A69),"")</f>
        <v/>
      </c>
      <c r="F69">
        <f t="array" ref="F69">IFERROR(INDEX('TRIP MANAGER'!$R$18:$R$25,$A69),"")</f>
        <v/>
      </c>
      <c r="G69">
        <f t="array" ref="G69">IFERROR(INDEX('TRIP MANAGER'!$S$18:$S$25,$A69),"")</f>
        <v/>
      </c>
      <c r="H69">
        <f>$B69/150</f>
        <v/>
      </c>
      <c r="I69">
        <f>IF(OR($G69="",$G69=0),"",SIN((1-$H69)*$G69)/SIN($G69))</f>
        <v/>
      </c>
      <c r="J69">
        <f>IF($I69="","",SIN($H69*$G69)/SIN($G69))</f>
        <v/>
      </c>
      <c r="K69">
        <f>IF($I69="","",$I69*COS(RADIANS($C69))*COS(RADIANS($D69))+$J69*COS(RADIANS($E69))*COS(RADIANS($F69)))</f>
        <v/>
      </c>
      <c r="L69">
        <f>IF($I69="","",$I69*COS(RADIANS($C69))*SIN(RADIANS($D69))+$J69*COS(RADIANS($E69))*SIN(RADIANS($F69)))</f>
        <v/>
      </c>
      <c r="M69">
        <f>IF($I69="","",$I69*SIN(RADIANS($C69))+$J69*SIN(RADIANS($E69)))</f>
        <v/>
      </c>
      <c r="N69">
        <f>IF($M69="","",DEGREES(ATAN2(SQRT($K69^2+$L69^2),$M69)))</f>
        <v/>
      </c>
      <c r="O69">
        <f>IF($M69="","",DEGREES(ATAN2($K69,$L69)))</f>
        <v/>
      </c>
      <c r="P69">
        <f t="array" ref="P69">IF($N69="","",IFERROR(IF(INDEX(geo_grid!$B$2:$JU$231,INT(($N69+40)/0.5)+1,INT(($O69+30)/0.5)+1)="","",INDEX(geo_grid!$B$2:$JU$231,INT(($N69+40)/0.5)+1,INT(($O69+30)/0.5)+1)),"OUTSIDE GRID"))</f>
        <v/>
      </c>
      <c r="Q69">
        <f>IF($P69="","",$A69*1000+$B69)</f>
        <v/>
      </c>
    </row>
    <row r="70">
      <c r="A70">
        <f>INT((ROW()-2)/151)+1</f>
        <v/>
      </c>
      <c r="B70">
        <f>MOD(ROW()-2,151)</f>
        <v/>
      </c>
      <c r="C70">
        <f t="array" ref="C70">IFERROR(INDEX('TRIP MANAGER'!$O$18:$O$25,$A70),"")</f>
        <v/>
      </c>
      <c r="D70">
        <f t="array" ref="D70">IFERROR(INDEX('TRIP MANAGER'!$P$18:$P$25,$A70),"")</f>
        <v/>
      </c>
      <c r="E70">
        <f t="array" ref="E70">IFERROR(INDEX('TRIP MANAGER'!$Q$18:$Q$25,$A70),"")</f>
        <v/>
      </c>
      <c r="F70">
        <f t="array" ref="F70">IFERROR(INDEX('TRIP MANAGER'!$R$18:$R$25,$A70),"")</f>
        <v/>
      </c>
      <c r="G70">
        <f t="array" ref="G70">IFERROR(INDEX('TRIP MANAGER'!$S$18:$S$25,$A70),"")</f>
        <v/>
      </c>
      <c r="H70">
        <f>$B70/150</f>
        <v/>
      </c>
      <c r="I70">
        <f>IF(OR($G70="",$G70=0),"",SIN((1-$H70)*$G70)/SIN($G70))</f>
        <v/>
      </c>
      <c r="J70">
        <f>IF($I70="","",SIN($H70*$G70)/SIN($G70))</f>
        <v/>
      </c>
      <c r="K70">
        <f>IF($I70="","",$I70*COS(RADIANS($C70))*COS(RADIANS($D70))+$J70*COS(RADIANS($E70))*COS(RADIANS($F70)))</f>
        <v/>
      </c>
      <c r="L70">
        <f>IF($I70="","",$I70*COS(RADIANS($C70))*SIN(RADIANS($D70))+$J70*COS(RADIANS($E70))*SIN(RADIANS($F70)))</f>
        <v/>
      </c>
      <c r="M70">
        <f>IF($I70="","",$I70*SIN(RADIANS($C70))+$J70*SIN(RADIANS($E70)))</f>
        <v/>
      </c>
      <c r="N70">
        <f>IF($M70="","",DEGREES(ATAN2(SQRT($K70^2+$L70^2),$M70)))</f>
        <v/>
      </c>
      <c r="O70">
        <f>IF($M70="","",DEGREES(ATAN2($K70,$L70)))</f>
        <v/>
      </c>
      <c r="P70">
        <f t="array" ref="P70">IF($N70="","",IFERROR(IF(INDEX(geo_grid!$B$2:$JU$231,INT(($N70+40)/0.5)+1,INT(($O70+30)/0.5)+1)="","",INDEX(geo_grid!$B$2:$JU$231,INT(($N70+40)/0.5)+1,INT(($O70+30)/0.5)+1)),"OUTSIDE GRID"))</f>
        <v/>
      </c>
      <c r="Q70">
        <f>IF($P70="","",$A70*1000+$B70)</f>
        <v/>
      </c>
    </row>
    <row r="71">
      <c r="A71">
        <f>INT((ROW()-2)/151)+1</f>
        <v/>
      </c>
      <c r="B71">
        <f>MOD(ROW()-2,151)</f>
        <v/>
      </c>
      <c r="C71">
        <f t="array" ref="C71">IFERROR(INDEX('TRIP MANAGER'!$O$18:$O$25,$A71),"")</f>
        <v/>
      </c>
      <c r="D71">
        <f t="array" ref="D71">IFERROR(INDEX('TRIP MANAGER'!$P$18:$P$25,$A71),"")</f>
        <v/>
      </c>
      <c r="E71">
        <f t="array" ref="E71">IFERROR(INDEX('TRIP MANAGER'!$Q$18:$Q$25,$A71),"")</f>
        <v/>
      </c>
      <c r="F71">
        <f t="array" ref="F71">IFERROR(INDEX('TRIP MANAGER'!$R$18:$R$25,$A71),"")</f>
        <v/>
      </c>
      <c r="G71">
        <f t="array" ref="G71">IFERROR(INDEX('TRIP MANAGER'!$S$18:$S$25,$A71),"")</f>
        <v/>
      </c>
      <c r="H71">
        <f>$B71/150</f>
        <v/>
      </c>
      <c r="I71">
        <f>IF(OR($G71="",$G71=0),"",SIN((1-$H71)*$G71)/SIN($G71))</f>
        <v/>
      </c>
      <c r="J71">
        <f>IF($I71="","",SIN($H71*$G71)/SIN($G71))</f>
        <v/>
      </c>
      <c r="K71">
        <f>IF($I71="","",$I71*COS(RADIANS($C71))*COS(RADIANS($D71))+$J71*COS(RADIANS($E71))*COS(RADIANS($F71)))</f>
        <v/>
      </c>
      <c r="L71">
        <f>IF($I71="","",$I71*COS(RADIANS($C71))*SIN(RADIANS($D71))+$J71*COS(RADIANS($E71))*SIN(RADIANS($F71)))</f>
        <v/>
      </c>
      <c r="M71">
        <f>IF($I71="","",$I71*SIN(RADIANS($C71))+$J71*SIN(RADIANS($E71)))</f>
        <v/>
      </c>
      <c r="N71">
        <f>IF($M71="","",DEGREES(ATAN2(SQRT($K71^2+$L71^2),$M71)))</f>
        <v/>
      </c>
      <c r="O71">
        <f>IF($M71="","",DEGREES(ATAN2($K71,$L71)))</f>
        <v/>
      </c>
      <c r="P71">
        <f t="array" ref="P71">IF($N71="","",IFERROR(IF(INDEX(geo_grid!$B$2:$JU$231,INT(($N71+40)/0.5)+1,INT(($O71+30)/0.5)+1)="","",INDEX(geo_grid!$B$2:$JU$231,INT(($N71+40)/0.5)+1,INT(($O71+30)/0.5)+1)),"OUTSIDE GRID"))</f>
        <v/>
      </c>
      <c r="Q71">
        <f>IF($P71="","",$A71*1000+$B71)</f>
        <v/>
      </c>
    </row>
    <row r="72">
      <c r="A72">
        <f>INT((ROW()-2)/151)+1</f>
        <v/>
      </c>
      <c r="B72">
        <f>MOD(ROW()-2,151)</f>
        <v/>
      </c>
      <c r="C72">
        <f t="array" ref="C72">IFERROR(INDEX('TRIP MANAGER'!$O$18:$O$25,$A72),"")</f>
        <v/>
      </c>
      <c r="D72">
        <f t="array" ref="D72">IFERROR(INDEX('TRIP MANAGER'!$P$18:$P$25,$A72),"")</f>
        <v/>
      </c>
      <c r="E72">
        <f t="array" ref="E72">IFERROR(INDEX('TRIP MANAGER'!$Q$18:$Q$25,$A72),"")</f>
        <v/>
      </c>
      <c r="F72">
        <f t="array" ref="F72">IFERROR(INDEX('TRIP MANAGER'!$R$18:$R$25,$A72),"")</f>
        <v/>
      </c>
      <c r="G72">
        <f t="array" ref="G72">IFERROR(INDEX('TRIP MANAGER'!$S$18:$S$25,$A72),"")</f>
        <v/>
      </c>
      <c r="H72">
        <f>$B72/150</f>
        <v/>
      </c>
      <c r="I72">
        <f>IF(OR($G72="",$G72=0),"",SIN((1-$H72)*$G72)/SIN($G72))</f>
        <v/>
      </c>
      <c r="J72">
        <f>IF($I72="","",SIN($H72*$G72)/SIN($G72))</f>
        <v/>
      </c>
      <c r="K72">
        <f>IF($I72="","",$I72*COS(RADIANS($C72))*COS(RADIANS($D72))+$J72*COS(RADIANS($E72))*COS(RADIANS($F72)))</f>
        <v/>
      </c>
      <c r="L72">
        <f>IF($I72="","",$I72*COS(RADIANS($C72))*SIN(RADIANS($D72))+$J72*COS(RADIANS($E72))*SIN(RADIANS($F72)))</f>
        <v/>
      </c>
      <c r="M72">
        <f>IF($I72="","",$I72*SIN(RADIANS($C72))+$J72*SIN(RADIANS($E72)))</f>
        <v/>
      </c>
      <c r="N72">
        <f>IF($M72="","",DEGREES(ATAN2(SQRT($K72^2+$L72^2),$M72)))</f>
        <v/>
      </c>
      <c r="O72">
        <f>IF($M72="","",DEGREES(ATAN2($K72,$L72)))</f>
        <v/>
      </c>
      <c r="P72">
        <f t="array" ref="P72">IF($N72="","",IFERROR(IF(INDEX(geo_grid!$B$2:$JU$231,INT(($N72+40)/0.5)+1,INT(($O72+30)/0.5)+1)="","",INDEX(geo_grid!$B$2:$JU$231,INT(($N72+40)/0.5)+1,INT(($O72+30)/0.5)+1)),"OUTSIDE GRID"))</f>
        <v/>
      </c>
      <c r="Q72">
        <f>IF($P72="","",$A72*1000+$B72)</f>
        <v/>
      </c>
    </row>
    <row r="73">
      <c r="A73">
        <f>INT((ROW()-2)/151)+1</f>
        <v/>
      </c>
      <c r="B73">
        <f>MOD(ROW()-2,151)</f>
        <v/>
      </c>
      <c r="C73">
        <f t="array" ref="C73">IFERROR(INDEX('TRIP MANAGER'!$O$18:$O$25,$A73),"")</f>
        <v/>
      </c>
      <c r="D73">
        <f t="array" ref="D73">IFERROR(INDEX('TRIP MANAGER'!$P$18:$P$25,$A73),"")</f>
        <v/>
      </c>
      <c r="E73">
        <f t="array" ref="E73">IFERROR(INDEX('TRIP MANAGER'!$Q$18:$Q$25,$A73),"")</f>
        <v/>
      </c>
      <c r="F73">
        <f t="array" ref="F73">IFERROR(INDEX('TRIP MANAGER'!$R$18:$R$25,$A73),"")</f>
        <v/>
      </c>
      <c r="G73">
        <f t="array" ref="G73">IFERROR(INDEX('TRIP MANAGER'!$S$18:$S$25,$A73),"")</f>
        <v/>
      </c>
      <c r="H73">
        <f>$B73/150</f>
        <v/>
      </c>
      <c r="I73">
        <f>IF(OR($G73="",$G73=0),"",SIN((1-$H73)*$G73)/SIN($G73))</f>
        <v/>
      </c>
      <c r="J73">
        <f>IF($I73="","",SIN($H73*$G73)/SIN($G73))</f>
        <v/>
      </c>
      <c r="K73">
        <f>IF($I73="","",$I73*COS(RADIANS($C73))*COS(RADIANS($D73))+$J73*COS(RADIANS($E73))*COS(RADIANS($F73)))</f>
        <v/>
      </c>
      <c r="L73">
        <f>IF($I73="","",$I73*COS(RADIANS($C73))*SIN(RADIANS($D73))+$J73*COS(RADIANS($E73))*SIN(RADIANS($F73)))</f>
        <v/>
      </c>
      <c r="M73">
        <f>IF($I73="","",$I73*SIN(RADIANS($C73))+$J73*SIN(RADIANS($E73)))</f>
        <v/>
      </c>
      <c r="N73">
        <f>IF($M73="","",DEGREES(ATAN2(SQRT($K73^2+$L73^2),$M73)))</f>
        <v/>
      </c>
      <c r="O73">
        <f>IF($M73="","",DEGREES(ATAN2($K73,$L73)))</f>
        <v/>
      </c>
      <c r="P73">
        <f t="array" ref="P73">IF($N73="","",IFERROR(IF(INDEX(geo_grid!$B$2:$JU$231,INT(($N73+40)/0.5)+1,INT(($O73+30)/0.5)+1)="","",INDEX(geo_grid!$B$2:$JU$231,INT(($N73+40)/0.5)+1,INT(($O73+30)/0.5)+1)),"OUTSIDE GRID"))</f>
        <v/>
      </c>
      <c r="Q73">
        <f>IF($P73="","",$A73*1000+$B73)</f>
        <v/>
      </c>
    </row>
    <row r="74">
      <c r="A74">
        <f>INT((ROW()-2)/151)+1</f>
        <v/>
      </c>
      <c r="B74">
        <f>MOD(ROW()-2,151)</f>
        <v/>
      </c>
      <c r="C74">
        <f t="array" ref="C74">IFERROR(INDEX('TRIP MANAGER'!$O$18:$O$25,$A74),"")</f>
        <v/>
      </c>
      <c r="D74">
        <f t="array" ref="D74">IFERROR(INDEX('TRIP MANAGER'!$P$18:$P$25,$A74),"")</f>
        <v/>
      </c>
      <c r="E74">
        <f t="array" ref="E74">IFERROR(INDEX('TRIP MANAGER'!$Q$18:$Q$25,$A74),"")</f>
        <v/>
      </c>
      <c r="F74">
        <f t="array" ref="F74">IFERROR(INDEX('TRIP MANAGER'!$R$18:$R$25,$A74),"")</f>
        <v/>
      </c>
      <c r="G74">
        <f t="array" ref="G74">IFERROR(INDEX('TRIP MANAGER'!$S$18:$S$25,$A74),"")</f>
        <v/>
      </c>
      <c r="H74">
        <f>$B74/150</f>
        <v/>
      </c>
      <c r="I74">
        <f>IF(OR($G74="",$G74=0),"",SIN((1-$H74)*$G74)/SIN($G74))</f>
        <v/>
      </c>
      <c r="J74">
        <f>IF($I74="","",SIN($H74*$G74)/SIN($G74))</f>
        <v/>
      </c>
      <c r="K74">
        <f>IF($I74="","",$I74*COS(RADIANS($C74))*COS(RADIANS($D74))+$J74*COS(RADIANS($E74))*COS(RADIANS($F74)))</f>
        <v/>
      </c>
      <c r="L74">
        <f>IF($I74="","",$I74*COS(RADIANS($C74))*SIN(RADIANS($D74))+$J74*COS(RADIANS($E74))*SIN(RADIANS($F74)))</f>
        <v/>
      </c>
      <c r="M74">
        <f>IF($I74="","",$I74*SIN(RADIANS($C74))+$J74*SIN(RADIANS($E74)))</f>
        <v/>
      </c>
      <c r="N74">
        <f>IF($M74="","",DEGREES(ATAN2(SQRT($K74^2+$L74^2),$M74)))</f>
        <v/>
      </c>
      <c r="O74">
        <f>IF($M74="","",DEGREES(ATAN2($K74,$L74)))</f>
        <v/>
      </c>
      <c r="P74">
        <f t="array" ref="P74">IF($N74="","",IFERROR(IF(INDEX(geo_grid!$B$2:$JU$231,INT(($N74+40)/0.5)+1,INT(($O74+30)/0.5)+1)="","",INDEX(geo_grid!$B$2:$JU$231,INT(($N74+40)/0.5)+1,INT(($O74+30)/0.5)+1)),"OUTSIDE GRID"))</f>
        <v/>
      </c>
      <c r="Q74">
        <f>IF($P74="","",$A74*1000+$B74)</f>
        <v/>
      </c>
    </row>
    <row r="75">
      <c r="A75">
        <f>INT((ROW()-2)/151)+1</f>
        <v/>
      </c>
      <c r="B75">
        <f>MOD(ROW()-2,151)</f>
        <v/>
      </c>
      <c r="C75">
        <f t="array" ref="C75">IFERROR(INDEX('TRIP MANAGER'!$O$18:$O$25,$A75),"")</f>
        <v/>
      </c>
      <c r="D75">
        <f t="array" ref="D75">IFERROR(INDEX('TRIP MANAGER'!$P$18:$P$25,$A75),"")</f>
        <v/>
      </c>
      <c r="E75">
        <f t="array" ref="E75">IFERROR(INDEX('TRIP MANAGER'!$Q$18:$Q$25,$A75),"")</f>
        <v/>
      </c>
      <c r="F75">
        <f t="array" ref="F75">IFERROR(INDEX('TRIP MANAGER'!$R$18:$R$25,$A75),"")</f>
        <v/>
      </c>
      <c r="G75">
        <f t="array" ref="G75">IFERROR(INDEX('TRIP MANAGER'!$S$18:$S$25,$A75),"")</f>
        <v/>
      </c>
      <c r="H75">
        <f>$B75/150</f>
        <v/>
      </c>
      <c r="I75">
        <f>IF(OR($G75="",$G75=0),"",SIN((1-$H75)*$G75)/SIN($G75))</f>
        <v/>
      </c>
      <c r="J75">
        <f>IF($I75="","",SIN($H75*$G75)/SIN($G75))</f>
        <v/>
      </c>
      <c r="K75">
        <f>IF($I75="","",$I75*COS(RADIANS($C75))*COS(RADIANS($D75))+$J75*COS(RADIANS($E75))*COS(RADIANS($F75)))</f>
        <v/>
      </c>
      <c r="L75">
        <f>IF($I75="","",$I75*COS(RADIANS($C75))*SIN(RADIANS($D75))+$J75*COS(RADIANS($E75))*SIN(RADIANS($F75)))</f>
        <v/>
      </c>
      <c r="M75">
        <f>IF($I75="","",$I75*SIN(RADIANS($C75))+$J75*SIN(RADIANS($E75)))</f>
        <v/>
      </c>
      <c r="N75">
        <f>IF($M75="","",DEGREES(ATAN2(SQRT($K75^2+$L75^2),$M75)))</f>
        <v/>
      </c>
      <c r="O75">
        <f>IF($M75="","",DEGREES(ATAN2($K75,$L75)))</f>
        <v/>
      </c>
      <c r="P75">
        <f t="array" ref="P75">IF($N75="","",IFERROR(IF(INDEX(geo_grid!$B$2:$JU$231,INT(($N75+40)/0.5)+1,INT(($O75+30)/0.5)+1)="","",INDEX(geo_grid!$B$2:$JU$231,INT(($N75+40)/0.5)+1,INT(($O75+30)/0.5)+1)),"OUTSIDE GRID"))</f>
        <v/>
      </c>
      <c r="Q75">
        <f>IF($P75="","",$A75*1000+$B75)</f>
        <v/>
      </c>
    </row>
    <row r="76">
      <c r="A76">
        <f>INT((ROW()-2)/151)+1</f>
        <v/>
      </c>
      <c r="B76">
        <f>MOD(ROW()-2,151)</f>
        <v/>
      </c>
      <c r="C76">
        <f t="array" ref="C76">IFERROR(INDEX('TRIP MANAGER'!$O$18:$O$25,$A76),"")</f>
        <v/>
      </c>
      <c r="D76">
        <f t="array" ref="D76">IFERROR(INDEX('TRIP MANAGER'!$P$18:$P$25,$A76),"")</f>
        <v/>
      </c>
      <c r="E76">
        <f t="array" ref="E76">IFERROR(INDEX('TRIP MANAGER'!$Q$18:$Q$25,$A76),"")</f>
        <v/>
      </c>
      <c r="F76">
        <f t="array" ref="F76">IFERROR(INDEX('TRIP MANAGER'!$R$18:$R$25,$A76),"")</f>
        <v/>
      </c>
      <c r="G76">
        <f t="array" ref="G76">IFERROR(INDEX('TRIP MANAGER'!$S$18:$S$25,$A76),"")</f>
        <v/>
      </c>
      <c r="H76">
        <f>$B76/150</f>
        <v/>
      </c>
      <c r="I76">
        <f>IF(OR($G76="",$G76=0),"",SIN((1-$H76)*$G76)/SIN($G76))</f>
        <v/>
      </c>
      <c r="J76">
        <f>IF($I76="","",SIN($H76*$G76)/SIN($G76))</f>
        <v/>
      </c>
      <c r="K76">
        <f>IF($I76="","",$I76*COS(RADIANS($C76))*COS(RADIANS($D76))+$J76*COS(RADIANS($E76))*COS(RADIANS($F76)))</f>
        <v/>
      </c>
      <c r="L76">
        <f>IF($I76="","",$I76*COS(RADIANS($C76))*SIN(RADIANS($D76))+$J76*COS(RADIANS($E76))*SIN(RADIANS($F76)))</f>
        <v/>
      </c>
      <c r="M76">
        <f>IF($I76="","",$I76*SIN(RADIANS($C76))+$J76*SIN(RADIANS($E76)))</f>
        <v/>
      </c>
      <c r="N76">
        <f>IF($M76="","",DEGREES(ATAN2(SQRT($K76^2+$L76^2),$M76)))</f>
        <v/>
      </c>
      <c r="O76">
        <f>IF($M76="","",DEGREES(ATAN2($K76,$L76)))</f>
        <v/>
      </c>
      <c r="P76">
        <f t="array" ref="P76">IF($N76="","",IFERROR(IF(INDEX(geo_grid!$B$2:$JU$231,INT(($N76+40)/0.5)+1,INT(($O76+30)/0.5)+1)="","",INDEX(geo_grid!$B$2:$JU$231,INT(($N76+40)/0.5)+1,INT(($O76+30)/0.5)+1)),"OUTSIDE GRID"))</f>
        <v/>
      </c>
      <c r="Q76">
        <f>IF($P76="","",$A76*1000+$B76)</f>
        <v/>
      </c>
    </row>
    <row r="77">
      <c r="A77">
        <f>INT((ROW()-2)/151)+1</f>
        <v/>
      </c>
      <c r="B77">
        <f>MOD(ROW()-2,151)</f>
        <v/>
      </c>
      <c r="C77">
        <f t="array" ref="C77">IFERROR(INDEX('TRIP MANAGER'!$O$18:$O$25,$A77),"")</f>
        <v/>
      </c>
      <c r="D77">
        <f t="array" ref="D77">IFERROR(INDEX('TRIP MANAGER'!$P$18:$P$25,$A77),"")</f>
        <v/>
      </c>
      <c r="E77">
        <f t="array" ref="E77">IFERROR(INDEX('TRIP MANAGER'!$Q$18:$Q$25,$A77),"")</f>
        <v/>
      </c>
      <c r="F77">
        <f t="array" ref="F77">IFERROR(INDEX('TRIP MANAGER'!$R$18:$R$25,$A77),"")</f>
        <v/>
      </c>
      <c r="G77">
        <f t="array" ref="G77">IFERROR(INDEX('TRIP MANAGER'!$S$18:$S$25,$A77),"")</f>
        <v/>
      </c>
      <c r="H77">
        <f>$B77/150</f>
        <v/>
      </c>
      <c r="I77">
        <f>IF(OR($G77="",$G77=0),"",SIN((1-$H77)*$G77)/SIN($G77))</f>
        <v/>
      </c>
      <c r="J77">
        <f>IF($I77="","",SIN($H77*$G77)/SIN($G77))</f>
        <v/>
      </c>
      <c r="K77">
        <f>IF($I77="","",$I77*COS(RADIANS($C77))*COS(RADIANS($D77))+$J77*COS(RADIANS($E77))*COS(RADIANS($F77)))</f>
        <v/>
      </c>
      <c r="L77">
        <f>IF($I77="","",$I77*COS(RADIANS($C77))*SIN(RADIANS($D77))+$J77*COS(RADIANS($E77))*SIN(RADIANS($F77)))</f>
        <v/>
      </c>
      <c r="M77">
        <f>IF($I77="","",$I77*SIN(RADIANS($C77))+$J77*SIN(RADIANS($E77)))</f>
        <v/>
      </c>
      <c r="N77">
        <f>IF($M77="","",DEGREES(ATAN2(SQRT($K77^2+$L77^2),$M77)))</f>
        <v/>
      </c>
      <c r="O77">
        <f>IF($M77="","",DEGREES(ATAN2($K77,$L77)))</f>
        <v/>
      </c>
      <c r="P77">
        <f t="array" ref="P77">IF($N77="","",IFERROR(IF(INDEX(geo_grid!$B$2:$JU$231,INT(($N77+40)/0.5)+1,INT(($O77+30)/0.5)+1)="","",INDEX(geo_grid!$B$2:$JU$231,INT(($N77+40)/0.5)+1,INT(($O77+30)/0.5)+1)),"OUTSIDE GRID"))</f>
        <v/>
      </c>
      <c r="Q77">
        <f>IF($P77="","",$A77*1000+$B77)</f>
        <v/>
      </c>
    </row>
    <row r="78">
      <c r="A78">
        <f>INT((ROW()-2)/151)+1</f>
        <v/>
      </c>
      <c r="B78">
        <f>MOD(ROW()-2,151)</f>
        <v/>
      </c>
      <c r="C78">
        <f t="array" ref="C78">IFERROR(INDEX('TRIP MANAGER'!$O$18:$O$25,$A78),"")</f>
        <v/>
      </c>
      <c r="D78">
        <f t="array" ref="D78">IFERROR(INDEX('TRIP MANAGER'!$P$18:$P$25,$A78),"")</f>
        <v/>
      </c>
      <c r="E78">
        <f t="array" ref="E78">IFERROR(INDEX('TRIP MANAGER'!$Q$18:$Q$25,$A78),"")</f>
        <v/>
      </c>
      <c r="F78">
        <f t="array" ref="F78">IFERROR(INDEX('TRIP MANAGER'!$R$18:$R$25,$A78),"")</f>
        <v/>
      </c>
      <c r="G78">
        <f t="array" ref="G78">IFERROR(INDEX('TRIP MANAGER'!$S$18:$S$25,$A78),"")</f>
        <v/>
      </c>
      <c r="H78">
        <f>$B78/150</f>
        <v/>
      </c>
      <c r="I78">
        <f>IF(OR($G78="",$G78=0),"",SIN((1-$H78)*$G78)/SIN($G78))</f>
        <v/>
      </c>
      <c r="J78">
        <f>IF($I78="","",SIN($H78*$G78)/SIN($G78))</f>
        <v/>
      </c>
      <c r="K78">
        <f>IF($I78="","",$I78*COS(RADIANS($C78))*COS(RADIANS($D78))+$J78*COS(RADIANS($E78))*COS(RADIANS($F78)))</f>
        <v/>
      </c>
      <c r="L78">
        <f>IF($I78="","",$I78*COS(RADIANS($C78))*SIN(RADIANS($D78))+$J78*COS(RADIANS($E78))*SIN(RADIANS($F78)))</f>
        <v/>
      </c>
      <c r="M78">
        <f>IF($I78="","",$I78*SIN(RADIANS($C78))+$J78*SIN(RADIANS($E78)))</f>
        <v/>
      </c>
      <c r="N78">
        <f>IF($M78="","",DEGREES(ATAN2(SQRT($K78^2+$L78^2),$M78)))</f>
        <v/>
      </c>
      <c r="O78">
        <f>IF($M78="","",DEGREES(ATAN2($K78,$L78)))</f>
        <v/>
      </c>
      <c r="P78">
        <f t="array" ref="P78">IF($N78="","",IFERROR(IF(INDEX(geo_grid!$B$2:$JU$231,INT(($N78+40)/0.5)+1,INT(($O78+30)/0.5)+1)="","",INDEX(geo_grid!$B$2:$JU$231,INT(($N78+40)/0.5)+1,INT(($O78+30)/0.5)+1)),"OUTSIDE GRID"))</f>
        <v/>
      </c>
      <c r="Q78">
        <f>IF($P78="","",$A78*1000+$B78)</f>
        <v/>
      </c>
    </row>
    <row r="79">
      <c r="A79">
        <f>INT((ROW()-2)/151)+1</f>
        <v/>
      </c>
      <c r="B79">
        <f>MOD(ROW()-2,151)</f>
        <v/>
      </c>
      <c r="C79">
        <f t="array" ref="C79">IFERROR(INDEX('TRIP MANAGER'!$O$18:$O$25,$A79),"")</f>
        <v/>
      </c>
      <c r="D79">
        <f t="array" ref="D79">IFERROR(INDEX('TRIP MANAGER'!$P$18:$P$25,$A79),"")</f>
        <v/>
      </c>
      <c r="E79">
        <f t="array" ref="E79">IFERROR(INDEX('TRIP MANAGER'!$Q$18:$Q$25,$A79),"")</f>
        <v/>
      </c>
      <c r="F79">
        <f t="array" ref="F79">IFERROR(INDEX('TRIP MANAGER'!$R$18:$R$25,$A79),"")</f>
        <v/>
      </c>
      <c r="G79">
        <f t="array" ref="G79">IFERROR(INDEX('TRIP MANAGER'!$S$18:$S$25,$A79),"")</f>
        <v/>
      </c>
      <c r="H79">
        <f>$B79/150</f>
        <v/>
      </c>
      <c r="I79">
        <f>IF(OR($G79="",$G79=0),"",SIN((1-$H79)*$G79)/SIN($G79))</f>
        <v/>
      </c>
      <c r="J79">
        <f>IF($I79="","",SIN($H79*$G79)/SIN($G79))</f>
        <v/>
      </c>
      <c r="K79">
        <f>IF($I79="","",$I79*COS(RADIANS($C79))*COS(RADIANS($D79))+$J79*COS(RADIANS($E79))*COS(RADIANS($F79)))</f>
        <v/>
      </c>
      <c r="L79">
        <f>IF($I79="","",$I79*COS(RADIANS($C79))*SIN(RADIANS($D79))+$J79*COS(RADIANS($E79))*SIN(RADIANS($F79)))</f>
        <v/>
      </c>
      <c r="M79">
        <f>IF($I79="","",$I79*SIN(RADIANS($C79))+$J79*SIN(RADIANS($E79)))</f>
        <v/>
      </c>
      <c r="N79">
        <f>IF($M79="","",DEGREES(ATAN2(SQRT($K79^2+$L79^2),$M79)))</f>
        <v/>
      </c>
      <c r="O79">
        <f>IF($M79="","",DEGREES(ATAN2($K79,$L79)))</f>
        <v/>
      </c>
      <c r="P79">
        <f t="array" ref="P79">IF($N79="","",IFERROR(IF(INDEX(geo_grid!$B$2:$JU$231,INT(($N79+40)/0.5)+1,INT(($O79+30)/0.5)+1)="","",INDEX(geo_grid!$B$2:$JU$231,INT(($N79+40)/0.5)+1,INT(($O79+30)/0.5)+1)),"OUTSIDE GRID"))</f>
        <v/>
      </c>
      <c r="Q79">
        <f>IF($P79="","",$A79*1000+$B79)</f>
        <v/>
      </c>
    </row>
    <row r="80">
      <c r="A80">
        <f>INT((ROW()-2)/151)+1</f>
        <v/>
      </c>
      <c r="B80">
        <f>MOD(ROW()-2,151)</f>
        <v/>
      </c>
      <c r="C80">
        <f t="array" ref="C80">IFERROR(INDEX('TRIP MANAGER'!$O$18:$O$25,$A80),"")</f>
        <v/>
      </c>
      <c r="D80">
        <f t="array" ref="D80">IFERROR(INDEX('TRIP MANAGER'!$P$18:$P$25,$A80),"")</f>
        <v/>
      </c>
      <c r="E80">
        <f t="array" ref="E80">IFERROR(INDEX('TRIP MANAGER'!$Q$18:$Q$25,$A80),"")</f>
        <v/>
      </c>
      <c r="F80">
        <f t="array" ref="F80">IFERROR(INDEX('TRIP MANAGER'!$R$18:$R$25,$A80),"")</f>
        <v/>
      </c>
      <c r="G80">
        <f t="array" ref="G80">IFERROR(INDEX('TRIP MANAGER'!$S$18:$S$25,$A80),"")</f>
        <v/>
      </c>
      <c r="H80">
        <f>$B80/150</f>
        <v/>
      </c>
      <c r="I80">
        <f>IF(OR($G80="",$G80=0),"",SIN((1-$H80)*$G80)/SIN($G80))</f>
        <v/>
      </c>
      <c r="J80">
        <f>IF($I80="","",SIN($H80*$G80)/SIN($G80))</f>
        <v/>
      </c>
      <c r="K80">
        <f>IF($I80="","",$I80*COS(RADIANS($C80))*COS(RADIANS($D80))+$J80*COS(RADIANS($E80))*COS(RADIANS($F80)))</f>
        <v/>
      </c>
      <c r="L80">
        <f>IF($I80="","",$I80*COS(RADIANS($C80))*SIN(RADIANS($D80))+$J80*COS(RADIANS($E80))*SIN(RADIANS($F80)))</f>
        <v/>
      </c>
      <c r="M80">
        <f>IF($I80="","",$I80*SIN(RADIANS($C80))+$J80*SIN(RADIANS($E80)))</f>
        <v/>
      </c>
      <c r="N80">
        <f>IF($M80="","",DEGREES(ATAN2(SQRT($K80^2+$L80^2),$M80)))</f>
        <v/>
      </c>
      <c r="O80">
        <f>IF($M80="","",DEGREES(ATAN2($K80,$L80)))</f>
        <v/>
      </c>
      <c r="P80">
        <f t="array" ref="P80">IF($N80="","",IFERROR(IF(INDEX(geo_grid!$B$2:$JU$231,INT(($N80+40)/0.5)+1,INT(($O80+30)/0.5)+1)="","",INDEX(geo_grid!$B$2:$JU$231,INT(($N80+40)/0.5)+1,INT(($O80+30)/0.5)+1)),"OUTSIDE GRID"))</f>
        <v/>
      </c>
      <c r="Q80">
        <f>IF($P80="","",$A80*1000+$B80)</f>
        <v/>
      </c>
    </row>
    <row r="81">
      <c r="A81">
        <f>INT((ROW()-2)/151)+1</f>
        <v/>
      </c>
      <c r="B81">
        <f>MOD(ROW()-2,151)</f>
        <v/>
      </c>
      <c r="C81">
        <f t="array" ref="C81">IFERROR(INDEX('TRIP MANAGER'!$O$18:$O$25,$A81),"")</f>
        <v/>
      </c>
      <c r="D81">
        <f t="array" ref="D81">IFERROR(INDEX('TRIP MANAGER'!$P$18:$P$25,$A81),"")</f>
        <v/>
      </c>
      <c r="E81">
        <f t="array" ref="E81">IFERROR(INDEX('TRIP MANAGER'!$Q$18:$Q$25,$A81),"")</f>
        <v/>
      </c>
      <c r="F81">
        <f t="array" ref="F81">IFERROR(INDEX('TRIP MANAGER'!$R$18:$R$25,$A81),"")</f>
        <v/>
      </c>
      <c r="G81">
        <f t="array" ref="G81">IFERROR(INDEX('TRIP MANAGER'!$S$18:$S$25,$A81),"")</f>
        <v/>
      </c>
      <c r="H81">
        <f>$B81/150</f>
        <v/>
      </c>
      <c r="I81">
        <f>IF(OR($G81="",$G81=0),"",SIN((1-$H81)*$G81)/SIN($G81))</f>
        <v/>
      </c>
      <c r="J81">
        <f>IF($I81="","",SIN($H81*$G81)/SIN($G81))</f>
        <v/>
      </c>
      <c r="K81">
        <f>IF($I81="","",$I81*COS(RADIANS($C81))*COS(RADIANS($D81))+$J81*COS(RADIANS($E81))*COS(RADIANS($F81)))</f>
        <v/>
      </c>
      <c r="L81">
        <f>IF($I81="","",$I81*COS(RADIANS($C81))*SIN(RADIANS($D81))+$J81*COS(RADIANS($E81))*SIN(RADIANS($F81)))</f>
        <v/>
      </c>
      <c r="M81">
        <f>IF($I81="","",$I81*SIN(RADIANS($C81))+$J81*SIN(RADIANS($E81)))</f>
        <v/>
      </c>
      <c r="N81">
        <f>IF($M81="","",DEGREES(ATAN2(SQRT($K81^2+$L81^2),$M81)))</f>
        <v/>
      </c>
      <c r="O81">
        <f>IF($M81="","",DEGREES(ATAN2($K81,$L81)))</f>
        <v/>
      </c>
      <c r="P81">
        <f t="array" ref="P81">IF($N81="","",IFERROR(IF(INDEX(geo_grid!$B$2:$JU$231,INT(($N81+40)/0.5)+1,INT(($O81+30)/0.5)+1)="","",INDEX(geo_grid!$B$2:$JU$231,INT(($N81+40)/0.5)+1,INT(($O81+30)/0.5)+1)),"OUTSIDE GRID"))</f>
        <v/>
      </c>
      <c r="Q81">
        <f>IF($P81="","",$A81*1000+$B81)</f>
        <v/>
      </c>
    </row>
    <row r="82">
      <c r="A82">
        <f>INT((ROW()-2)/151)+1</f>
        <v/>
      </c>
      <c r="B82">
        <f>MOD(ROW()-2,151)</f>
        <v/>
      </c>
      <c r="C82">
        <f t="array" ref="C82">IFERROR(INDEX('TRIP MANAGER'!$O$18:$O$25,$A82),"")</f>
        <v/>
      </c>
      <c r="D82">
        <f t="array" ref="D82">IFERROR(INDEX('TRIP MANAGER'!$P$18:$P$25,$A82),"")</f>
        <v/>
      </c>
      <c r="E82">
        <f t="array" ref="E82">IFERROR(INDEX('TRIP MANAGER'!$Q$18:$Q$25,$A82),"")</f>
        <v/>
      </c>
      <c r="F82">
        <f t="array" ref="F82">IFERROR(INDEX('TRIP MANAGER'!$R$18:$R$25,$A82),"")</f>
        <v/>
      </c>
      <c r="G82">
        <f t="array" ref="G82">IFERROR(INDEX('TRIP MANAGER'!$S$18:$S$25,$A82),"")</f>
        <v/>
      </c>
      <c r="H82">
        <f>$B82/150</f>
        <v/>
      </c>
      <c r="I82">
        <f>IF(OR($G82="",$G82=0),"",SIN((1-$H82)*$G82)/SIN($G82))</f>
        <v/>
      </c>
      <c r="J82">
        <f>IF($I82="","",SIN($H82*$G82)/SIN($G82))</f>
        <v/>
      </c>
      <c r="K82">
        <f>IF($I82="","",$I82*COS(RADIANS($C82))*COS(RADIANS($D82))+$J82*COS(RADIANS($E82))*COS(RADIANS($F82)))</f>
        <v/>
      </c>
      <c r="L82">
        <f>IF($I82="","",$I82*COS(RADIANS($C82))*SIN(RADIANS($D82))+$J82*COS(RADIANS($E82))*SIN(RADIANS($F82)))</f>
        <v/>
      </c>
      <c r="M82">
        <f>IF($I82="","",$I82*SIN(RADIANS($C82))+$J82*SIN(RADIANS($E82)))</f>
        <v/>
      </c>
      <c r="N82">
        <f>IF($M82="","",DEGREES(ATAN2(SQRT($K82^2+$L82^2),$M82)))</f>
        <v/>
      </c>
      <c r="O82">
        <f>IF($M82="","",DEGREES(ATAN2($K82,$L82)))</f>
        <v/>
      </c>
      <c r="P82">
        <f t="array" ref="P82">IF($N82="","",IFERROR(IF(INDEX(geo_grid!$B$2:$JU$231,INT(($N82+40)/0.5)+1,INT(($O82+30)/0.5)+1)="","",INDEX(geo_grid!$B$2:$JU$231,INT(($N82+40)/0.5)+1,INT(($O82+30)/0.5)+1)),"OUTSIDE GRID"))</f>
        <v/>
      </c>
      <c r="Q82">
        <f>IF($P82="","",$A82*1000+$B82)</f>
        <v/>
      </c>
    </row>
    <row r="83">
      <c r="A83">
        <f>INT((ROW()-2)/151)+1</f>
        <v/>
      </c>
      <c r="B83">
        <f>MOD(ROW()-2,151)</f>
        <v/>
      </c>
      <c r="C83">
        <f t="array" ref="C83">IFERROR(INDEX('TRIP MANAGER'!$O$18:$O$25,$A83),"")</f>
        <v/>
      </c>
      <c r="D83">
        <f t="array" ref="D83">IFERROR(INDEX('TRIP MANAGER'!$P$18:$P$25,$A83),"")</f>
        <v/>
      </c>
      <c r="E83">
        <f t="array" ref="E83">IFERROR(INDEX('TRIP MANAGER'!$Q$18:$Q$25,$A83),"")</f>
        <v/>
      </c>
      <c r="F83">
        <f t="array" ref="F83">IFERROR(INDEX('TRIP MANAGER'!$R$18:$R$25,$A83),"")</f>
        <v/>
      </c>
      <c r="G83">
        <f t="array" ref="G83">IFERROR(INDEX('TRIP MANAGER'!$S$18:$S$25,$A83),"")</f>
        <v/>
      </c>
      <c r="H83">
        <f>$B83/150</f>
        <v/>
      </c>
      <c r="I83">
        <f>IF(OR($G83="",$G83=0),"",SIN((1-$H83)*$G83)/SIN($G83))</f>
        <v/>
      </c>
      <c r="J83">
        <f>IF($I83="","",SIN($H83*$G83)/SIN($G83))</f>
        <v/>
      </c>
      <c r="K83">
        <f>IF($I83="","",$I83*COS(RADIANS($C83))*COS(RADIANS($D83))+$J83*COS(RADIANS($E83))*COS(RADIANS($F83)))</f>
        <v/>
      </c>
      <c r="L83">
        <f>IF($I83="","",$I83*COS(RADIANS($C83))*SIN(RADIANS($D83))+$J83*COS(RADIANS($E83))*SIN(RADIANS($F83)))</f>
        <v/>
      </c>
      <c r="M83">
        <f>IF($I83="","",$I83*SIN(RADIANS($C83))+$J83*SIN(RADIANS($E83)))</f>
        <v/>
      </c>
      <c r="N83">
        <f>IF($M83="","",DEGREES(ATAN2(SQRT($K83^2+$L83^2),$M83)))</f>
        <v/>
      </c>
      <c r="O83">
        <f>IF($M83="","",DEGREES(ATAN2($K83,$L83)))</f>
        <v/>
      </c>
      <c r="P83">
        <f t="array" ref="P83">IF($N83="","",IFERROR(IF(INDEX(geo_grid!$B$2:$JU$231,INT(($N83+40)/0.5)+1,INT(($O83+30)/0.5)+1)="","",INDEX(geo_grid!$B$2:$JU$231,INT(($N83+40)/0.5)+1,INT(($O83+30)/0.5)+1)),"OUTSIDE GRID"))</f>
        <v/>
      </c>
      <c r="Q83">
        <f>IF($P83="","",$A83*1000+$B83)</f>
        <v/>
      </c>
    </row>
    <row r="84">
      <c r="A84">
        <f>INT((ROW()-2)/151)+1</f>
        <v/>
      </c>
      <c r="B84">
        <f>MOD(ROW()-2,151)</f>
        <v/>
      </c>
      <c r="C84">
        <f t="array" ref="C84">IFERROR(INDEX('TRIP MANAGER'!$O$18:$O$25,$A84),"")</f>
        <v/>
      </c>
      <c r="D84">
        <f t="array" ref="D84">IFERROR(INDEX('TRIP MANAGER'!$P$18:$P$25,$A84),"")</f>
        <v/>
      </c>
      <c r="E84">
        <f t="array" ref="E84">IFERROR(INDEX('TRIP MANAGER'!$Q$18:$Q$25,$A84),"")</f>
        <v/>
      </c>
      <c r="F84">
        <f t="array" ref="F84">IFERROR(INDEX('TRIP MANAGER'!$R$18:$R$25,$A84),"")</f>
        <v/>
      </c>
      <c r="G84">
        <f t="array" ref="G84">IFERROR(INDEX('TRIP MANAGER'!$S$18:$S$25,$A84),"")</f>
        <v/>
      </c>
      <c r="H84">
        <f>$B84/150</f>
        <v/>
      </c>
      <c r="I84">
        <f>IF(OR($G84="",$G84=0),"",SIN((1-$H84)*$G84)/SIN($G84))</f>
        <v/>
      </c>
      <c r="J84">
        <f>IF($I84="","",SIN($H84*$G84)/SIN($G84))</f>
        <v/>
      </c>
      <c r="K84">
        <f>IF($I84="","",$I84*COS(RADIANS($C84))*COS(RADIANS($D84))+$J84*COS(RADIANS($E84))*COS(RADIANS($F84)))</f>
        <v/>
      </c>
      <c r="L84">
        <f>IF($I84="","",$I84*COS(RADIANS($C84))*SIN(RADIANS($D84))+$J84*COS(RADIANS($E84))*SIN(RADIANS($F84)))</f>
        <v/>
      </c>
      <c r="M84">
        <f>IF($I84="","",$I84*SIN(RADIANS($C84))+$J84*SIN(RADIANS($E84)))</f>
        <v/>
      </c>
      <c r="N84">
        <f>IF($M84="","",DEGREES(ATAN2(SQRT($K84^2+$L84^2),$M84)))</f>
        <v/>
      </c>
      <c r="O84">
        <f>IF($M84="","",DEGREES(ATAN2($K84,$L84)))</f>
        <v/>
      </c>
      <c r="P84">
        <f t="array" ref="P84">IF($N84="","",IFERROR(IF(INDEX(geo_grid!$B$2:$JU$231,INT(($N84+40)/0.5)+1,INT(($O84+30)/0.5)+1)="","",INDEX(geo_grid!$B$2:$JU$231,INT(($N84+40)/0.5)+1,INT(($O84+30)/0.5)+1)),"OUTSIDE GRID"))</f>
        <v/>
      </c>
      <c r="Q84">
        <f>IF($P84="","",$A84*1000+$B84)</f>
        <v/>
      </c>
    </row>
    <row r="85">
      <c r="A85">
        <f>INT((ROW()-2)/151)+1</f>
        <v/>
      </c>
      <c r="B85">
        <f>MOD(ROW()-2,151)</f>
        <v/>
      </c>
      <c r="C85">
        <f t="array" ref="C85">IFERROR(INDEX('TRIP MANAGER'!$O$18:$O$25,$A85),"")</f>
        <v/>
      </c>
      <c r="D85">
        <f t="array" ref="D85">IFERROR(INDEX('TRIP MANAGER'!$P$18:$P$25,$A85),"")</f>
        <v/>
      </c>
      <c r="E85">
        <f t="array" ref="E85">IFERROR(INDEX('TRIP MANAGER'!$Q$18:$Q$25,$A85),"")</f>
        <v/>
      </c>
      <c r="F85">
        <f t="array" ref="F85">IFERROR(INDEX('TRIP MANAGER'!$R$18:$R$25,$A85),"")</f>
        <v/>
      </c>
      <c r="G85">
        <f t="array" ref="G85">IFERROR(INDEX('TRIP MANAGER'!$S$18:$S$25,$A85),"")</f>
        <v/>
      </c>
      <c r="H85">
        <f>$B85/150</f>
        <v/>
      </c>
      <c r="I85">
        <f>IF(OR($G85="",$G85=0),"",SIN((1-$H85)*$G85)/SIN($G85))</f>
        <v/>
      </c>
      <c r="J85">
        <f>IF($I85="","",SIN($H85*$G85)/SIN($G85))</f>
        <v/>
      </c>
      <c r="K85">
        <f>IF($I85="","",$I85*COS(RADIANS($C85))*COS(RADIANS($D85))+$J85*COS(RADIANS($E85))*COS(RADIANS($F85)))</f>
        <v/>
      </c>
      <c r="L85">
        <f>IF($I85="","",$I85*COS(RADIANS($C85))*SIN(RADIANS($D85))+$J85*COS(RADIANS($E85))*SIN(RADIANS($F85)))</f>
        <v/>
      </c>
      <c r="M85">
        <f>IF($I85="","",$I85*SIN(RADIANS($C85))+$J85*SIN(RADIANS($E85)))</f>
        <v/>
      </c>
      <c r="N85">
        <f>IF($M85="","",DEGREES(ATAN2(SQRT($K85^2+$L85^2),$M85)))</f>
        <v/>
      </c>
      <c r="O85">
        <f>IF($M85="","",DEGREES(ATAN2($K85,$L85)))</f>
        <v/>
      </c>
      <c r="P85">
        <f t="array" ref="P85">IF($N85="","",IFERROR(IF(INDEX(geo_grid!$B$2:$JU$231,INT(($N85+40)/0.5)+1,INT(($O85+30)/0.5)+1)="","",INDEX(geo_grid!$B$2:$JU$231,INT(($N85+40)/0.5)+1,INT(($O85+30)/0.5)+1)),"OUTSIDE GRID"))</f>
        <v/>
      </c>
      <c r="Q85">
        <f>IF($P85="","",$A85*1000+$B85)</f>
        <v/>
      </c>
    </row>
    <row r="86">
      <c r="A86">
        <f>INT((ROW()-2)/151)+1</f>
        <v/>
      </c>
      <c r="B86">
        <f>MOD(ROW()-2,151)</f>
        <v/>
      </c>
      <c r="C86">
        <f t="array" ref="C86">IFERROR(INDEX('TRIP MANAGER'!$O$18:$O$25,$A86),"")</f>
        <v/>
      </c>
      <c r="D86">
        <f t="array" ref="D86">IFERROR(INDEX('TRIP MANAGER'!$P$18:$P$25,$A86),"")</f>
        <v/>
      </c>
      <c r="E86">
        <f t="array" ref="E86">IFERROR(INDEX('TRIP MANAGER'!$Q$18:$Q$25,$A86),"")</f>
        <v/>
      </c>
      <c r="F86">
        <f t="array" ref="F86">IFERROR(INDEX('TRIP MANAGER'!$R$18:$R$25,$A86),"")</f>
        <v/>
      </c>
      <c r="G86">
        <f t="array" ref="G86">IFERROR(INDEX('TRIP MANAGER'!$S$18:$S$25,$A86),"")</f>
        <v/>
      </c>
      <c r="H86">
        <f>$B86/150</f>
        <v/>
      </c>
      <c r="I86">
        <f>IF(OR($G86="",$G86=0),"",SIN((1-$H86)*$G86)/SIN($G86))</f>
        <v/>
      </c>
      <c r="J86">
        <f>IF($I86="","",SIN($H86*$G86)/SIN($G86))</f>
        <v/>
      </c>
      <c r="K86">
        <f>IF($I86="","",$I86*COS(RADIANS($C86))*COS(RADIANS($D86))+$J86*COS(RADIANS($E86))*COS(RADIANS($F86)))</f>
        <v/>
      </c>
      <c r="L86">
        <f>IF($I86="","",$I86*COS(RADIANS($C86))*SIN(RADIANS($D86))+$J86*COS(RADIANS($E86))*SIN(RADIANS($F86)))</f>
        <v/>
      </c>
      <c r="M86">
        <f>IF($I86="","",$I86*SIN(RADIANS($C86))+$J86*SIN(RADIANS($E86)))</f>
        <v/>
      </c>
      <c r="N86">
        <f>IF($M86="","",DEGREES(ATAN2(SQRT($K86^2+$L86^2),$M86)))</f>
        <v/>
      </c>
      <c r="O86">
        <f>IF($M86="","",DEGREES(ATAN2($K86,$L86)))</f>
        <v/>
      </c>
      <c r="P86">
        <f t="array" ref="P86">IF($N86="","",IFERROR(IF(INDEX(geo_grid!$B$2:$JU$231,INT(($N86+40)/0.5)+1,INT(($O86+30)/0.5)+1)="","",INDEX(geo_grid!$B$2:$JU$231,INT(($N86+40)/0.5)+1,INT(($O86+30)/0.5)+1)),"OUTSIDE GRID"))</f>
        <v/>
      </c>
      <c r="Q86">
        <f>IF($P86="","",$A86*1000+$B86)</f>
        <v/>
      </c>
    </row>
    <row r="87">
      <c r="A87">
        <f>INT((ROW()-2)/151)+1</f>
        <v/>
      </c>
      <c r="B87">
        <f>MOD(ROW()-2,151)</f>
        <v/>
      </c>
      <c r="C87">
        <f t="array" ref="C87">IFERROR(INDEX('TRIP MANAGER'!$O$18:$O$25,$A87),"")</f>
        <v/>
      </c>
      <c r="D87">
        <f t="array" ref="D87">IFERROR(INDEX('TRIP MANAGER'!$P$18:$P$25,$A87),"")</f>
        <v/>
      </c>
      <c r="E87">
        <f t="array" ref="E87">IFERROR(INDEX('TRIP MANAGER'!$Q$18:$Q$25,$A87),"")</f>
        <v/>
      </c>
      <c r="F87">
        <f t="array" ref="F87">IFERROR(INDEX('TRIP MANAGER'!$R$18:$R$25,$A87),"")</f>
        <v/>
      </c>
      <c r="G87">
        <f t="array" ref="G87">IFERROR(INDEX('TRIP MANAGER'!$S$18:$S$25,$A87),"")</f>
        <v/>
      </c>
      <c r="H87">
        <f>$B87/150</f>
        <v/>
      </c>
      <c r="I87">
        <f>IF(OR($G87="",$G87=0),"",SIN((1-$H87)*$G87)/SIN($G87))</f>
        <v/>
      </c>
      <c r="J87">
        <f>IF($I87="","",SIN($H87*$G87)/SIN($G87))</f>
        <v/>
      </c>
      <c r="K87">
        <f>IF($I87="","",$I87*COS(RADIANS($C87))*COS(RADIANS($D87))+$J87*COS(RADIANS($E87))*COS(RADIANS($F87)))</f>
        <v/>
      </c>
      <c r="L87">
        <f>IF($I87="","",$I87*COS(RADIANS($C87))*SIN(RADIANS($D87))+$J87*COS(RADIANS($E87))*SIN(RADIANS($F87)))</f>
        <v/>
      </c>
      <c r="M87">
        <f>IF($I87="","",$I87*SIN(RADIANS($C87))+$J87*SIN(RADIANS($E87)))</f>
        <v/>
      </c>
      <c r="N87">
        <f>IF($M87="","",DEGREES(ATAN2(SQRT($K87^2+$L87^2),$M87)))</f>
        <v/>
      </c>
      <c r="O87">
        <f>IF($M87="","",DEGREES(ATAN2($K87,$L87)))</f>
        <v/>
      </c>
      <c r="P87">
        <f t="array" ref="P87">IF($N87="","",IFERROR(IF(INDEX(geo_grid!$B$2:$JU$231,INT(($N87+40)/0.5)+1,INT(($O87+30)/0.5)+1)="","",INDEX(geo_grid!$B$2:$JU$231,INT(($N87+40)/0.5)+1,INT(($O87+30)/0.5)+1)),"OUTSIDE GRID"))</f>
        <v/>
      </c>
      <c r="Q87">
        <f>IF($P87="","",$A87*1000+$B87)</f>
        <v/>
      </c>
    </row>
    <row r="88">
      <c r="A88">
        <f>INT((ROW()-2)/151)+1</f>
        <v/>
      </c>
      <c r="B88">
        <f>MOD(ROW()-2,151)</f>
        <v/>
      </c>
      <c r="C88">
        <f t="array" ref="C88">IFERROR(INDEX('TRIP MANAGER'!$O$18:$O$25,$A88),"")</f>
        <v/>
      </c>
      <c r="D88">
        <f t="array" ref="D88">IFERROR(INDEX('TRIP MANAGER'!$P$18:$P$25,$A88),"")</f>
        <v/>
      </c>
      <c r="E88">
        <f t="array" ref="E88">IFERROR(INDEX('TRIP MANAGER'!$Q$18:$Q$25,$A88),"")</f>
        <v/>
      </c>
      <c r="F88">
        <f t="array" ref="F88">IFERROR(INDEX('TRIP MANAGER'!$R$18:$R$25,$A88),"")</f>
        <v/>
      </c>
      <c r="G88">
        <f t="array" ref="G88">IFERROR(INDEX('TRIP MANAGER'!$S$18:$S$25,$A88),"")</f>
        <v/>
      </c>
      <c r="H88">
        <f>$B88/150</f>
        <v/>
      </c>
      <c r="I88">
        <f>IF(OR($G88="",$G88=0),"",SIN((1-$H88)*$G88)/SIN($G88))</f>
        <v/>
      </c>
      <c r="J88">
        <f>IF($I88="","",SIN($H88*$G88)/SIN($G88))</f>
        <v/>
      </c>
      <c r="K88">
        <f>IF($I88="","",$I88*COS(RADIANS($C88))*COS(RADIANS($D88))+$J88*COS(RADIANS($E88))*COS(RADIANS($F88)))</f>
        <v/>
      </c>
      <c r="L88">
        <f>IF($I88="","",$I88*COS(RADIANS($C88))*SIN(RADIANS($D88))+$J88*COS(RADIANS($E88))*SIN(RADIANS($F88)))</f>
        <v/>
      </c>
      <c r="M88">
        <f>IF($I88="","",$I88*SIN(RADIANS($C88))+$J88*SIN(RADIANS($E88)))</f>
        <v/>
      </c>
      <c r="N88">
        <f>IF($M88="","",DEGREES(ATAN2(SQRT($K88^2+$L88^2),$M88)))</f>
        <v/>
      </c>
      <c r="O88">
        <f>IF($M88="","",DEGREES(ATAN2($K88,$L88)))</f>
        <v/>
      </c>
      <c r="P88">
        <f t="array" ref="P88">IF($N88="","",IFERROR(IF(INDEX(geo_grid!$B$2:$JU$231,INT(($N88+40)/0.5)+1,INT(($O88+30)/0.5)+1)="","",INDEX(geo_grid!$B$2:$JU$231,INT(($N88+40)/0.5)+1,INT(($O88+30)/0.5)+1)),"OUTSIDE GRID"))</f>
        <v/>
      </c>
      <c r="Q88">
        <f>IF($P88="","",$A88*1000+$B88)</f>
        <v/>
      </c>
    </row>
    <row r="89">
      <c r="A89">
        <f>INT((ROW()-2)/151)+1</f>
        <v/>
      </c>
      <c r="B89">
        <f>MOD(ROW()-2,151)</f>
        <v/>
      </c>
      <c r="C89">
        <f t="array" ref="C89">IFERROR(INDEX('TRIP MANAGER'!$O$18:$O$25,$A89),"")</f>
        <v/>
      </c>
      <c r="D89">
        <f t="array" ref="D89">IFERROR(INDEX('TRIP MANAGER'!$P$18:$P$25,$A89),"")</f>
        <v/>
      </c>
      <c r="E89">
        <f t="array" ref="E89">IFERROR(INDEX('TRIP MANAGER'!$Q$18:$Q$25,$A89),"")</f>
        <v/>
      </c>
      <c r="F89">
        <f t="array" ref="F89">IFERROR(INDEX('TRIP MANAGER'!$R$18:$R$25,$A89),"")</f>
        <v/>
      </c>
      <c r="G89">
        <f t="array" ref="G89">IFERROR(INDEX('TRIP MANAGER'!$S$18:$S$25,$A89),"")</f>
        <v/>
      </c>
      <c r="H89">
        <f>$B89/150</f>
        <v/>
      </c>
      <c r="I89">
        <f>IF(OR($G89="",$G89=0),"",SIN((1-$H89)*$G89)/SIN($G89))</f>
        <v/>
      </c>
      <c r="J89">
        <f>IF($I89="","",SIN($H89*$G89)/SIN($G89))</f>
        <v/>
      </c>
      <c r="K89">
        <f>IF($I89="","",$I89*COS(RADIANS($C89))*COS(RADIANS($D89))+$J89*COS(RADIANS($E89))*COS(RADIANS($F89)))</f>
        <v/>
      </c>
      <c r="L89">
        <f>IF($I89="","",$I89*COS(RADIANS($C89))*SIN(RADIANS($D89))+$J89*COS(RADIANS($E89))*SIN(RADIANS($F89)))</f>
        <v/>
      </c>
      <c r="M89">
        <f>IF($I89="","",$I89*SIN(RADIANS($C89))+$J89*SIN(RADIANS($E89)))</f>
        <v/>
      </c>
      <c r="N89">
        <f>IF($M89="","",DEGREES(ATAN2(SQRT($K89^2+$L89^2),$M89)))</f>
        <v/>
      </c>
      <c r="O89">
        <f>IF($M89="","",DEGREES(ATAN2($K89,$L89)))</f>
        <v/>
      </c>
      <c r="P89">
        <f t="array" ref="P89">IF($N89="","",IFERROR(IF(INDEX(geo_grid!$B$2:$JU$231,INT(($N89+40)/0.5)+1,INT(($O89+30)/0.5)+1)="","",INDEX(geo_grid!$B$2:$JU$231,INT(($N89+40)/0.5)+1,INT(($O89+30)/0.5)+1)),"OUTSIDE GRID"))</f>
        <v/>
      </c>
      <c r="Q89">
        <f>IF($P89="","",$A89*1000+$B89)</f>
        <v/>
      </c>
    </row>
    <row r="90">
      <c r="A90">
        <f>INT((ROW()-2)/151)+1</f>
        <v/>
      </c>
      <c r="B90">
        <f>MOD(ROW()-2,151)</f>
        <v/>
      </c>
      <c r="C90">
        <f t="array" ref="C90">IFERROR(INDEX('TRIP MANAGER'!$O$18:$O$25,$A90),"")</f>
        <v/>
      </c>
      <c r="D90">
        <f t="array" ref="D90">IFERROR(INDEX('TRIP MANAGER'!$P$18:$P$25,$A90),"")</f>
        <v/>
      </c>
      <c r="E90">
        <f t="array" ref="E90">IFERROR(INDEX('TRIP MANAGER'!$Q$18:$Q$25,$A90),"")</f>
        <v/>
      </c>
      <c r="F90">
        <f t="array" ref="F90">IFERROR(INDEX('TRIP MANAGER'!$R$18:$R$25,$A90),"")</f>
        <v/>
      </c>
      <c r="G90">
        <f t="array" ref="G90">IFERROR(INDEX('TRIP MANAGER'!$S$18:$S$25,$A90),"")</f>
        <v/>
      </c>
      <c r="H90">
        <f>$B90/150</f>
        <v/>
      </c>
      <c r="I90">
        <f>IF(OR($G90="",$G90=0),"",SIN((1-$H90)*$G90)/SIN($G90))</f>
        <v/>
      </c>
      <c r="J90">
        <f>IF($I90="","",SIN($H90*$G90)/SIN($G90))</f>
        <v/>
      </c>
      <c r="K90">
        <f>IF($I90="","",$I90*COS(RADIANS($C90))*COS(RADIANS($D90))+$J90*COS(RADIANS($E90))*COS(RADIANS($F90)))</f>
        <v/>
      </c>
      <c r="L90">
        <f>IF($I90="","",$I90*COS(RADIANS($C90))*SIN(RADIANS($D90))+$J90*COS(RADIANS($E90))*SIN(RADIANS($F90)))</f>
        <v/>
      </c>
      <c r="M90">
        <f>IF($I90="","",$I90*SIN(RADIANS($C90))+$J90*SIN(RADIANS($E90)))</f>
        <v/>
      </c>
      <c r="N90">
        <f>IF($M90="","",DEGREES(ATAN2(SQRT($K90^2+$L90^2),$M90)))</f>
        <v/>
      </c>
      <c r="O90">
        <f>IF($M90="","",DEGREES(ATAN2($K90,$L90)))</f>
        <v/>
      </c>
      <c r="P90">
        <f t="array" ref="P90">IF($N90="","",IFERROR(IF(INDEX(geo_grid!$B$2:$JU$231,INT(($N90+40)/0.5)+1,INT(($O90+30)/0.5)+1)="","",INDEX(geo_grid!$B$2:$JU$231,INT(($N90+40)/0.5)+1,INT(($O90+30)/0.5)+1)),"OUTSIDE GRID"))</f>
        <v/>
      </c>
      <c r="Q90">
        <f>IF($P90="","",$A90*1000+$B90)</f>
        <v/>
      </c>
    </row>
    <row r="91">
      <c r="A91">
        <f>INT((ROW()-2)/151)+1</f>
        <v/>
      </c>
      <c r="B91">
        <f>MOD(ROW()-2,151)</f>
        <v/>
      </c>
      <c r="C91">
        <f t="array" ref="C91">IFERROR(INDEX('TRIP MANAGER'!$O$18:$O$25,$A91),"")</f>
        <v/>
      </c>
      <c r="D91">
        <f t="array" ref="D91">IFERROR(INDEX('TRIP MANAGER'!$P$18:$P$25,$A91),"")</f>
        <v/>
      </c>
      <c r="E91">
        <f t="array" ref="E91">IFERROR(INDEX('TRIP MANAGER'!$Q$18:$Q$25,$A91),"")</f>
        <v/>
      </c>
      <c r="F91">
        <f t="array" ref="F91">IFERROR(INDEX('TRIP MANAGER'!$R$18:$R$25,$A91),"")</f>
        <v/>
      </c>
      <c r="G91">
        <f t="array" ref="G91">IFERROR(INDEX('TRIP MANAGER'!$S$18:$S$25,$A91),"")</f>
        <v/>
      </c>
      <c r="H91">
        <f>$B91/150</f>
        <v/>
      </c>
      <c r="I91">
        <f>IF(OR($G91="",$G91=0),"",SIN((1-$H91)*$G91)/SIN($G91))</f>
        <v/>
      </c>
      <c r="J91">
        <f>IF($I91="","",SIN($H91*$G91)/SIN($G91))</f>
        <v/>
      </c>
      <c r="K91">
        <f>IF($I91="","",$I91*COS(RADIANS($C91))*COS(RADIANS($D91))+$J91*COS(RADIANS($E91))*COS(RADIANS($F91)))</f>
        <v/>
      </c>
      <c r="L91">
        <f>IF($I91="","",$I91*COS(RADIANS($C91))*SIN(RADIANS($D91))+$J91*COS(RADIANS($E91))*SIN(RADIANS($F91)))</f>
        <v/>
      </c>
      <c r="M91">
        <f>IF($I91="","",$I91*SIN(RADIANS($C91))+$J91*SIN(RADIANS($E91)))</f>
        <v/>
      </c>
      <c r="N91">
        <f>IF($M91="","",DEGREES(ATAN2(SQRT($K91^2+$L91^2),$M91)))</f>
        <v/>
      </c>
      <c r="O91">
        <f>IF($M91="","",DEGREES(ATAN2($K91,$L91)))</f>
        <v/>
      </c>
      <c r="P91">
        <f t="array" ref="P91">IF($N91="","",IFERROR(IF(INDEX(geo_grid!$B$2:$JU$231,INT(($N91+40)/0.5)+1,INT(($O91+30)/0.5)+1)="","",INDEX(geo_grid!$B$2:$JU$231,INT(($N91+40)/0.5)+1,INT(($O91+30)/0.5)+1)),"OUTSIDE GRID"))</f>
        <v/>
      </c>
      <c r="Q91">
        <f>IF($P91="","",$A91*1000+$B91)</f>
        <v/>
      </c>
    </row>
    <row r="92">
      <c r="A92">
        <f>INT((ROW()-2)/151)+1</f>
        <v/>
      </c>
      <c r="B92">
        <f>MOD(ROW()-2,151)</f>
        <v/>
      </c>
      <c r="C92">
        <f t="array" ref="C92">IFERROR(INDEX('TRIP MANAGER'!$O$18:$O$25,$A92),"")</f>
        <v/>
      </c>
      <c r="D92">
        <f t="array" ref="D92">IFERROR(INDEX('TRIP MANAGER'!$P$18:$P$25,$A92),"")</f>
        <v/>
      </c>
      <c r="E92">
        <f t="array" ref="E92">IFERROR(INDEX('TRIP MANAGER'!$Q$18:$Q$25,$A92),"")</f>
        <v/>
      </c>
      <c r="F92">
        <f t="array" ref="F92">IFERROR(INDEX('TRIP MANAGER'!$R$18:$R$25,$A92),"")</f>
        <v/>
      </c>
      <c r="G92">
        <f t="array" ref="G92">IFERROR(INDEX('TRIP MANAGER'!$S$18:$S$25,$A92),"")</f>
        <v/>
      </c>
      <c r="H92">
        <f>$B92/150</f>
        <v/>
      </c>
      <c r="I92">
        <f>IF(OR($G92="",$G92=0),"",SIN((1-$H92)*$G92)/SIN($G92))</f>
        <v/>
      </c>
      <c r="J92">
        <f>IF($I92="","",SIN($H92*$G92)/SIN($G92))</f>
        <v/>
      </c>
      <c r="K92">
        <f>IF($I92="","",$I92*COS(RADIANS($C92))*COS(RADIANS($D92))+$J92*COS(RADIANS($E92))*COS(RADIANS($F92)))</f>
        <v/>
      </c>
      <c r="L92">
        <f>IF($I92="","",$I92*COS(RADIANS($C92))*SIN(RADIANS($D92))+$J92*COS(RADIANS($E92))*SIN(RADIANS($F92)))</f>
        <v/>
      </c>
      <c r="M92">
        <f>IF($I92="","",$I92*SIN(RADIANS($C92))+$J92*SIN(RADIANS($E92)))</f>
        <v/>
      </c>
      <c r="N92">
        <f>IF($M92="","",DEGREES(ATAN2(SQRT($K92^2+$L92^2),$M92)))</f>
        <v/>
      </c>
      <c r="O92">
        <f>IF($M92="","",DEGREES(ATAN2($K92,$L92)))</f>
        <v/>
      </c>
      <c r="P92">
        <f t="array" ref="P92">IF($N92="","",IFERROR(IF(INDEX(geo_grid!$B$2:$JU$231,INT(($N92+40)/0.5)+1,INT(($O92+30)/0.5)+1)="","",INDEX(geo_grid!$B$2:$JU$231,INT(($N92+40)/0.5)+1,INT(($O92+30)/0.5)+1)),"OUTSIDE GRID"))</f>
        <v/>
      </c>
      <c r="Q92">
        <f>IF($P92="","",$A92*1000+$B92)</f>
        <v/>
      </c>
    </row>
    <row r="93">
      <c r="A93">
        <f>INT((ROW()-2)/151)+1</f>
        <v/>
      </c>
      <c r="B93">
        <f>MOD(ROW()-2,151)</f>
        <v/>
      </c>
      <c r="C93">
        <f t="array" ref="C93">IFERROR(INDEX('TRIP MANAGER'!$O$18:$O$25,$A93),"")</f>
        <v/>
      </c>
      <c r="D93">
        <f t="array" ref="D93">IFERROR(INDEX('TRIP MANAGER'!$P$18:$P$25,$A93),"")</f>
        <v/>
      </c>
      <c r="E93">
        <f t="array" ref="E93">IFERROR(INDEX('TRIP MANAGER'!$Q$18:$Q$25,$A93),"")</f>
        <v/>
      </c>
      <c r="F93">
        <f t="array" ref="F93">IFERROR(INDEX('TRIP MANAGER'!$R$18:$R$25,$A93),"")</f>
        <v/>
      </c>
      <c r="G93">
        <f t="array" ref="G93">IFERROR(INDEX('TRIP MANAGER'!$S$18:$S$25,$A93),"")</f>
        <v/>
      </c>
      <c r="H93">
        <f>$B93/150</f>
        <v/>
      </c>
      <c r="I93">
        <f>IF(OR($G93="",$G93=0),"",SIN((1-$H93)*$G93)/SIN($G93))</f>
        <v/>
      </c>
      <c r="J93">
        <f>IF($I93="","",SIN($H93*$G93)/SIN($G93))</f>
        <v/>
      </c>
      <c r="K93">
        <f>IF($I93="","",$I93*COS(RADIANS($C93))*COS(RADIANS($D93))+$J93*COS(RADIANS($E93))*COS(RADIANS($F93)))</f>
        <v/>
      </c>
      <c r="L93">
        <f>IF($I93="","",$I93*COS(RADIANS($C93))*SIN(RADIANS($D93))+$J93*COS(RADIANS($E93))*SIN(RADIANS($F93)))</f>
        <v/>
      </c>
      <c r="M93">
        <f>IF($I93="","",$I93*SIN(RADIANS($C93))+$J93*SIN(RADIANS($E93)))</f>
        <v/>
      </c>
      <c r="N93">
        <f>IF($M93="","",DEGREES(ATAN2(SQRT($K93^2+$L93^2),$M93)))</f>
        <v/>
      </c>
      <c r="O93">
        <f>IF($M93="","",DEGREES(ATAN2($K93,$L93)))</f>
        <v/>
      </c>
      <c r="P93">
        <f t="array" ref="P93">IF($N93="","",IFERROR(IF(INDEX(geo_grid!$B$2:$JU$231,INT(($N93+40)/0.5)+1,INT(($O93+30)/0.5)+1)="","",INDEX(geo_grid!$B$2:$JU$231,INT(($N93+40)/0.5)+1,INT(($O93+30)/0.5)+1)),"OUTSIDE GRID"))</f>
        <v/>
      </c>
      <c r="Q93">
        <f>IF($P93="","",$A93*1000+$B93)</f>
        <v/>
      </c>
    </row>
    <row r="94">
      <c r="A94">
        <f>INT((ROW()-2)/151)+1</f>
        <v/>
      </c>
      <c r="B94">
        <f>MOD(ROW()-2,151)</f>
        <v/>
      </c>
      <c r="C94">
        <f t="array" ref="C94">IFERROR(INDEX('TRIP MANAGER'!$O$18:$O$25,$A94),"")</f>
        <v/>
      </c>
      <c r="D94">
        <f t="array" ref="D94">IFERROR(INDEX('TRIP MANAGER'!$P$18:$P$25,$A94),"")</f>
        <v/>
      </c>
      <c r="E94">
        <f t="array" ref="E94">IFERROR(INDEX('TRIP MANAGER'!$Q$18:$Q$25,$A94),"")</f>
        <v/>
      </c>
      <c r="F94">
        <f t="array" ref="F94">IFERROR(INDEX('TRIP MANAGER'!$R$18:$R$25,$A94),"")</f>
        <v/>
      </c>
      <c r="G94">
        <f t="array" ref="G94">IFERROR(INDEX('TRIP MANAGER'!$S$18:$S$25,$A94),"")</f>
        <v/>
      </c>
      <c r="H94">
        <f>$B94/150</f>
        <v/>
      </c>
      <c r="I94">
        <f>IF(OR($G94="",$G94=0),"",SIN((1-$H94)*$G94)/SIN($G94))</f>
        <v/>
      </c>
      <c r="J94">
        <f>IF($I94="","",SIN($H94*$G94)/SIN($G94))</f>
        <v/>
      </c>
      <c r="K94">
        <f>IF($I94="","",$I94*COS(RADIANS($C94))*COS(RADIANS($D94))+$J94*COS(RADIANS($E94))*COS(RADIANS($F94)))</f>
        <v/>
      </c>
      <c r="L94">
        <f>IF($I94="","",$I94*COS(RADIANS($C94))*SIN(RADIANS($D94))+$J94*COS(RADIANS($E94))*SIN(RADIANS($F94)))</f>
        <v/>
      </c>
      <c r="M94">
        <f>IF($I94="","",$I94*SIN(RADIANS($C94))+$J94*SIN(RADIANS($E94)))</f>
        <v/>
      </c>
      <c r="N94">
        <f>IF($M94="","",DEGREES(ATAN2(SQRT($K94^2+$L94^2),$M94)))</f>
        <v/>
      </c>
      <c r="O94">
        <f>IF($M94="","",DEGREES(ATAN2($K94,$L94)))</f>
        <v/>
      </c>
      <c r="P94">
        <f t="array" ref="P94">IF($N94="","",IFERROR(IF(INDEX(geo_grid!$B$2:$JU$231,INT(($N94+40)/0.5)+1,INT(($O94+30)/0.5)+1)="","",INDEX(geo_grid!$B$2:$JU$231,INT(($N94+40)/0.5)+1,INT(($O94+30)/0.5)+1)),"OUTSIDE GRID"))</f>
        <v/>
      </c>
      <c r="Q94">
        <f>IF($P94="","",$A94*1000+$B94)</f>
        <v/>
      </c>
    </row>
    <row r="95">
      <c r="A95">
        <f>INT((ROW()-2)/151)+1</f>
        <v/>
      </c>
      <c r="B95">
        <f>MOD(ROW()-2,151)</f>
        <v/>
      </c>
      <c r="C95">
        <f t="array" ref="C95">IFERROR(INDEX('TRIP MANAGER'!$O$18:$O$25,$A95),"")</f>
        <v/>
      </c>
      <c r="D95">
        <f t="array" ref="D95">IFERROR(INDEX('TRIP MANAGER'!$P$18:$P$25,$A95),"")</f>
        <v/>
      </c>
      <c r="E95">
        <f t="array" ref="E95">IFERROR(INDEX('TRIP MANAGER'!$Q$18:$Q$25,$A95),"")</f>
        <v/>
      </c>
      <c r="F95">
        <f t="array" ref="F95">IFERROR(INDEX('TRIP MANAGER'!$R$18:$R$25,$A95),"")</f>
        <v/>
      </c>
      <c r="G95">
        <f t="array" ref="G95">IFERROR(INDEX('TRIP MANAGER'!$S$18:$S$25,$A95),"")</f>
        <v/>
      </c>
      <c r="H95">
        <f>$B95/150</f>
        <v/>
      </c>
      <c r="I95">
        <f>IF(OR($G95="",$G95=0),"",SIN((1-$H95)*$G95)/SIN($G95))</f>
        <v/>
      </c>
      <c r="J95">
        <f>IF($I95="","",SIN($H95*$G95)/SIN($G95))</f>
        <v/>
      </c>
      <c r="K95">
        <f>IF($I95="","",$I95*COS(RADIANS($C95))*COS(RADIANS($D95))+$J95*COS(RADIANS($E95))*COS(RADIANS($F95)))</f>
        <v/>
      </c>
      <c r="L95">
        <f>IF($I95="","",$I95*COS(RADIANS($C95))*SIN(RADIANS($D95))+$J95*COS(RADIANS($E95))*SIN(RADIANS($F95)))</f>
        <v/>
      </c>
      <c r="M95">
        <f>IF($I95="","",$I95*SIN(RADIANS($C95))+$J95*SIN(RADIANS($E95)))</f>
        <v/>
      </c>
      <c r="N95">
        <f>IF($M95="","",DEGREES(ATAN2(SQRT($K95^2+$L95^2),$M95)))</f>
        <v/>
      </c>
      <c r="O95">
        <f>IF($M95="","",DEGREES(ATAN2($K95,$L95)))</f>
        <v/>
      </c>
      <c r="P95">
        <f t="array" ref="P95">IF($N95="","",IFERROR(IF(INDEX(geo_grid!$B$2:$JU$231,INT(($N95+40)/0.5)+1,INT(($O95+30)/0.5)+1)="","",INDEX(geo_grid!$B$2:$JU$231,INT(($N95+40)/0.5)+1,INT(($O95+30)/0.5)+1)),"OUTSIDE GRID"))</f>
        <v/>
      </c>
      <c r="Q95">
        <f>IF($P95="","",$A95*1000+$B95)</f>
        <v/>
      </c>
    </row>
    <row r="96">
      <c r="A96">
        <f>INT((ROW()-2)/151)+1</f>
        <v/>
      </c>
      <c r="B96">
        <f>MOD(ROW()-2,151)</f>
        <v/>
      </c>
      <c r="C96">
        <f t="array" ref="C96">IFERROR(INDEX('TRIP MANAGER'!$O$18:$O$25,$A96),"")</f>
        <v/>
      </c>
      <c r="D96">
        <f t="array" ref="D96">IFERROR(INDEX('TRIP MANAGER'!$P$18:$P$25,$A96),"")</f>
        <v/>
      </c>
      <c r="E96">
        <f t="array" ref="E96">IFERROR(INDEX('TRIP MANAGER'!$Q$18:$Q$25,$A96),"")</f>
        <v/>
      </c>
      <c r="F96">
        <f t="array" ref="F96">IFERROR(INDEX('TRIP MANAGER'!$R$18:$R$25,$A96),"")</f>
        <v/>
      </c>
      <c r="G96">
        <f t="array" ref="G96">IFERROR(INDEX('TRIP MANAGER'!$S$18:$S$25,$A96),"")</f>
        <v/>
      </c>
      <c r="H96">
        <f>$B96/150</f>
        <v/>
      </c>
      <c r="I96">
        <f>IF(OR($G96="",$G96=0),"",SIN((1-$H96)*$G96)/SIN($G96))</f>
        <v/>
      </c>
      <c r="J96">
        <f>IF($I96="","",SIN($H96*$G96)/SIN($G96))</f>
        <v/>
      </c>
      <c r="K96">
        <f>IF($I96="","",$I96*COS(RADIANS($C96))*COS(RADIANS($D96))+$J96*COS(RADIANS($E96))*COS(RADIANS($F96)))</f>
        <v/>
      </c>
      <c r="L96">
        <f>IF($I96="","",$I96*COS(RADIANS($C96))*SIN(RADIANS($D96))+$J96*COS(RADIANS($E96))*SIN(RADIANS($F96)))</f>
        <v/>
      </c>
      <c r="M96">
        <f>IF($I96="","",$I96*SIN(RADIANS($C96))+$J96*SIN(RADIANS($E96)))</f>
        <v/>
      </c>
      <c r="N96">
        <f>IF($M96="","",DEGREES(ATAN2(SQRT($K96^2+$L96^2),$M96)))</f>
        <v/>
      </c>
      <c r="O96">
        <f>IF($M96="","",DEGREES(ATAN2($K96,$L96)))</f>
        <v/>
      </c>
      <c r="P96">
        <f t="array" ref="P96">IF($N96="","",IFERROR(IF(INDEX(geo_grid!$B$2:$JU$231,INT(($N96+40)/0.5)+1,INT(($O96+30)/0.5)+1)="","",INDEX(geo_grid!$B$2:$JU$231,INT(($N96+40)/0.5)+1,INT(($O96+30)/0.5)+1)),"OUTSIDE GRID"))</f>
        <v/>
      </c>
      <c r="Q96">
        <f>IF($P96="","",$A96*1000+$B96)</f>
        <v/>
      </c>
    </row>
    <row r="97">
      <c r="A97">
        <f>INT((ROW()-2)/151)+1</f>
        <v/>
      </c>
      <c r="B97">
        <f>MOD(ROW()-2,151)</f>
        <v/>
      </c>
      <c r="C97">
        <f t="array" ref="C97">IFERROR(INDEX('TRIP MANAGER'!$O$18:$O$25,$A97),"")</f>
        <v/>
      </c>
      <c r="D97">
        <f t="array" ref="D97">IFERROR(INDEX('TRIP MANAGER'!$P$18:$P$25,$A97),"")</f>
        <v/>
      </c>
      <c r="E97">
        <f t="array" ref="E97">IFERROR(INDEX('TRIP MANAGER'!$Q$18:$Q$25,$A97),"")</f>
        <v/>
      </c>
      <c r="F97">
        <f t="array" ref="F97">IFERROR(INDEX('TRIP MANAGER'!$R$18:$R$25,$A97),"")</f>
        <v/>
      </c>
      <c r="G97">
        <f t="array" ref="G97">IFERROR(INDEX('TRIP MANAGER'!$S$18:$S$25,$A97),"")</f>
        <v/>
      </c>
      <c r="H97">
        <f>$B97/150</f>
        <v/>
      </c>
      <c r="I97">
        <f>IF(OR($G97="",$G97=0),"",SIN((1-$H97)*$G97)/SIN($G97))</f>
        <v/>
      </c>
      <c r="J97">
        <f>IF($I97="","",SIN($H97*$G97)/SIN($G97))</f>
        <v/>
      </c>
      <c r="K97">
        <f>IF($I97="","",$I97*COS(RADIANS($C97))*COS(RADIANS($D97))+$J97*COS(RADIANS($E97))*COS(RADIANS($F97)))</f>
        <v/>
      </c>
      <c r="L97">
        <f>IF($I97="","",$I97*COS(RADIANS($C97))*SIN(RADIANS($D97))+$J97*COS(RADIANS($E97))*SIN(RADIANS($F97)))</f>
        <v/>
      </c>
      <c r="M97">
        <f>IF($I97="","",$I97*SIN(RADIANS($C97))+$J97*SIN(RADIANS($E97)))</f>
        <v/>
      </c>
      <c r="N97">
        <f>IF($M97="","",DEGREES(ATAN2(SQRT($K97^2+$L97^2),$M97)))</f>
        <v/>
      </c>
      <c r="O97">
        <f>IF($M97="","",DEGREES(ATAN2($K97,$L97)))</f>
        <v/>
      </c>
      <c r="P97">
        <f t="array" ref="P97">IF($N97="","",IFERROR(IF(INDEX(geo_grid!$B$2:$JU$231,INT(($N97+40)/0.5)+1,INT(($O97+30)/0.5)+1)="","",INDEX(geo_grid!$B$2:$JU$231,INT(($N97+40)/0.5)+1,INT(($O97+30)/0.5)+1)),"OUTSIDE GRID"))</f>
        <v/>
      </c>
      <c r="Q97">
        <f>IF($P97="","",$A97*1000+$B97)</f>
        <v/>
      </c>
    </row>
    <row r="98">
      <c r="A98">
        <f>INT((ROW()-2)/151)+1</f>
        <v/>
      </c>
      <c r="B98">
        <f>MOD(ROW()-2,151)</f>
        <v/>
      </c>
      <c r="C98">
        <f t="array" ref="C98">IFERROR(INDEX('TRIP MANAGER'!$O$18:$O$25,$A98),"")</f>
        <v/>
      </c>
      <c r="D98">
        <f t="array" ref="D98">IFERROR(INDEX('TRIP MANAGER'!$P$18:$P$25,$A98),"")</f>
        <v/>
      </c>
      <c r="E98">
        <f t="array" ref="E98">IFERROR(INDEX('TRIP MANAGER'!$Q$18:$Q$25,$A98),"")</f>
        <v/>
      </c>
      <c r="F98">
        <f t="array" ref="F98">IFERROR(INDEX('TRIP MANAGER'!$R$18:$R$25,$A98),"")</f>
        <v/>
      </c>
      <c r="G98">
        <f t="array" ref="G98">IFERROR(INDEX('TRIP MANAGER'!$S$18:$S$25,$A98),"")</f>
        <v/>
      </c>
      <c r="H98">
        <f>$B98/150</f>
        <v/>
      </c>
      <c r="I98">
        <f>IF(OR($G98="",$G98=0),"",SIN((1-$H98)*$G98)/SIN($G98))</f>
        <v/>
      </c>
      <c r="J98">
        <f>IF($I98="","",SIN($H98*$G98)/SIN($G98))</f>
        <v/>
      </c>
      <c r="K98">
        <f>IF($I98="","",$I98*COS(RADIANS($C98))*COS(RADIANS($D98))+$J98*COS(RADIANS($E98))*COS(RADIANS($F98)))</f>
        <v/>
      </c>
      <c r="L98">
        <f>IF($I98="","",$I98*COS(RADIANS($C98))*SIN(RADIANS($D98))+$J98*COS(RADIANS($E98))*SIN(RADIANS($F98)))</f>
        <v/>
      </c>
      <c r="M98">
        <f>IF($I98="","",$I98*SIN(RADIANS($C98))+$J98*SIN(RADIANS($E98)))</f>
        <v/>
      </c>
      <c r="N98">
        <f>IF($M98="","",DEGREES(ATAN2(SQRT($K98^2+$L98^2),$M98)))</f>
        <v/>
      </c>
      <c r="O98">
        <f>IF($M98="","",DEGREES(ATAN2($K98,$L98)))</f>
        <v/>
      </c>
      <c r="P98">
        <f t="array" ref="P98">IF($N98="","",IFERROR(IF(INDEX(geo_grid!$B$2:$JU$231,INT(($N98+40)/0.5)+1,INT(($O98+30)/0.5)+1)="","",INDEX(geo_grid!$B$2:$JU$231,INT(($N98+40)/0.5)+1,INT(($O98+30)/0.5)+1)),"OUTSIDE GRID"))</f>
        <v/>
      </c>
      <c r="Q98">
        <f>IF($P98="","",$A98*1000+$B98)</f>
        <v/>
      </c>
    </row>
    <row r="99">
      <c r="A99">
        <f>INT((ROW()-2)/151)+1</f>
        <v/>
      </c>
      <c r="B99">
        <f>MOD(ROW()-2,151)</f>
        <v/>
      </c>
      <c r="C99">
        <f t="array" ref="C99">IFERROR(INDEX('TRIP MANAGER'!$O$18:$O$25,$A99),"")</f>
        <v/>
      </c>
      <c r="D99">
        <f t="array" ref="D99">IFERROR(INDEX('TRIP MANAGER'!$P$18:$P$25,$A99),"")</f>
        <v/>
      </c>
      <c r="E99">
        <f t="array" ref="E99">IFERROR(INDEX('TRIP MANAGER'!$Q$18:$Q$25,$A99),"")</f>
        <v/>
      </c>
      <c r="F99">
        <f t="array" ref="F99">IFERROR(INDEX('TRIP MANAGER'!$R$18:$R$25,$A99),"")</f>
        <v/>
      </c>
      <c r="G99">
        <f t="array" ref="G99">IFERROR(INDEX('TRIP MANAGER'!$S$18:$S$25,$A99),"")</f>
        <v/>
      </c>
      <c r="H99">
        <f>$B99/150</f>
        <v/>
      </c>
      <c r="I99">
        <f>IF(OR($G99="",$G99=0),"",SIN((1-$H99)*$G99)/SIN($G99))</f>
        <v/>
      </c>
      <c r="J99">
        <f>IF($I99="","",SIN($H99*$G99)/SIN($G99))</f>
        <v/>
      </c>
      <c r="K99">
        <f>IF($I99="","",$I99*COS(RADIANS($C99))*COS(RADIANS($D99))+$J99*COS(RADIANS($E99))*COS(RADIANS($F99)))</f>
        <v/>
      </c>
      <c r="L99">
        <f>IF($I99="","",$I99*COS(RADIANS($C99))*SIN(RADIANS($D99))+$J99*COS(RADIANS($E99))*SIN(RADIANS($F99)))</f>
        <v/>
      </c>
      <c r="M99">
        <f>IF($I99="","",$I99*SIN(RADIANS($C99))+$J99*SIN(RADIANS($E99)))</f>
        <v/>
      </c>
      <c r="N99">
        <f>IF($M99="","",DEGREES(ATAN2(SQRT($K99^2+$L99^2),$M99)))</f>
        <v/>
      </c>
      <c r="O99">
        <f>IF($M99="","",DEGREES(ATAN2($K99,$L99)))</f>
        <v/>
      </c>
      <c r="P99">
        <f t="array" ref="P99">IF($N99="","",IFERROR(IF(INDEX(geo_grid!$B$2:$JU$231,INT(($N99+40)/0.5)+1,INT(($O99+30)/0.5)+1)="","",INDEX(geo_grid!$B$2:$JU$231,INT(($N99+40)/0.5)+1,INT(($O99+30)/0.5)+1)),"OUTSIDE GRID"))</f>
        <v/>
      </c>
      <c r="Q99">
        <f>IF($P99="","",$A99*1000+$B99)</f>
        <v/>
      </c>
    </row>
    <row r="100">
      <c r="A100">
        <f>INT((ROW()-2)/151)+1</f>
        <v/>
      </c>
      <c r="B100">
        <f>MOD(ROW()-2,151)</f>
        <v/>
      </c>
      <c r="C100">
        <f t="array" ref="C100">IFERROR(INDEX('TRIP MANAGER'!$O$18:$O$25,$A100),"")</f>
        <v/>
      </c>
      <c r="D100">
        <f t="array" ref="D100">IFERROR(INDEX('TRIP MANAGER'!$P$18:$P$25,$A100),"")</f>
        <v/>
      </c>
      <c r="E100">
        <f t="array" ref="E100">IFERROR(INDEX('TRIP MANAGER'!$Q$18:$Q$25,$A100),"")</f>
        <v/>
      </c>
      <c r="F100">
        <f t="array" ref="F100">IFERROR(INDEX('TRIP MANAGER'!$R$18:$R$25,$A100),"")</f>
        <v/>
      </c>
      <c r="G100">
        <f t="array" ref="G100">IFERROR(INDEX('TRIP MANAGER'!$S$18:$S$25,$A100),"")</f>
        <v/>
      </c>
      <c r="H100">
        <f>$B100/150</f>
        <v/>
      </c>
      <c r="I100">
        <f>IF(OR($G100="",$G100=0),"",SIN((1-$H100)*$G100)/SIN($G100))</f>
        <v/>
      </c>
      <c r="J100">
        <f>IF($I100="","",SIN($H100*$G100)/SIN($G100))</f>
        <v/>
      </c>
      <c r="K100">
        <f>IF($I100="","",$I100*COS(RADIANS($C100))*COS(RADIANS($D100))+$J100*COS(RADIANS($E100))*COS(RADIANS($F100)))</f>
        <v/>
      </c>
      <c r="L100">
        <f>IF($I100="","",$I100*COS(RADIANS($C100))*SIN(RADIANS($D100))+$J100*COS(RADIANS($E100))*SIN(RADIANS($F100)))</f>
        <v/>
      </c>
      <c r="M100">
        <f>IF($I100="","",$I100*SIN(RADIANS($C100))+$J100*SIN(RADIANS($E100)))</f>
        <v/>
      </c>
      <c r="N100">
        <f>IF($M100="","",DEGREES(ATAN2(SQRT($K100^2+$L100^2),$M100)))</f>
        <v/>
      </c>
      <c r="O100">
        <f>IF($M100="","",DEGREES(ATAN2($K100,$L100)))</f>
        <v/>
      </c>
      <c r="P100">
        <f t="array" ref="P100">IF($N100="","",IFERROR(IF(INDEX(geo_grid!$B$2:$JU$231,INT(($N100+40)/0.5)+1,INT(($O100+30)/0.5)+1)="","",INDEX(geo_grid!$B$2:$JU$231,INT(($N100+40)/0.5)+1,INT(($O100+30)/0.5)+1)),"OUTSIDE GRID"))</f>
        <v/>
      </c>
      <c r="Q100">
        <f>IF($P100="","",$A100*1000+$B100)</f>
        <v/>
      </c>
    </row>
    <row r="101">
      <c r="A101">
        <f>INT((ROW()-2)/151)+1</f>
        <v/>
      </c>
      <c r="B101">
        <f>MOD(ROW()-2,151)</f>
        <v/>
      </c>
      <c r="C101">
        <f t="array" ref="C101">IFERROR(INDEX('TRIP MANAGER'!$O$18:$O$25,$A101),"")</f>
        <v/>
      </c>
      <c r="D101">
        <f t="array" ref="D101">IFERROR(INDEX('TRIP MANAGER'!$P$18:$P$25,$A101),"")</f>
        <v/>
      </c>
      <c r="E101">
        <f t="array" ref="E101">IFERROR(INDEX('TRIP MANAGER'!$Q$18:$Q$25,$A101),"")</f>
        <v/>
      </c>
      <c r="F101">
        <f t="array" ref="F101">IFERROR(INDEX('TRIP MANAGER'!$R$18:$R$25,$A101),"")</f>
        <v/>
      </c>
      <c r="G101">
        <f t="array" ref="G101">IFERROR(INDEX('TRIP MANAGER'!$S$18:$S$25,$A101),"")</f>
        <v/>
      </c>
      <c r="H101">
        <f>$B101/150</f>
        <v/>
      </c>
      <c r="I101">
        <f>IF(OR($G101="",$G101=0),"",SIN((1-$H101)*$G101)/SIN($G101))</f>
        <v/>
      </c>
      <c r="J101">
        <f>IF($I101="","",SIN($H101*$G101)/SIN($G101))</f>
        <v/>
      </c>
      <c r="K101">
        <f>IF($I101="","",$I101*COS(RADIANS($C101))*COS(RADIANS($D101))+$J101*COS(RADIANS($E101))*COS(RADIANS($F101)))</f>
        <v/>
      </c>
      <c r="L101">
        <f>IF($I101="","",$I101*COS(RADIANS($C101))*SIN(RADIANS($D101))+$J101*COS(RADIANS($E101))*SIN(RADIANS($F101)))</f>
        <v/>
      </c>
      <c r="M101">
        <f>IF($I101="","",$I101*SIN(RADIANS($C101))+$J101*SIN(RADIANS($E101)))</f>
        <v/>
      </c>
      <c r="N101">
        <f>IF($M101="","",DEGREES(ATAN2(SQRT($K101^2+$L101^2),$M101)))</f>
        <v/>
      </c>
      <c r="O101">
        <f>IF($M101="","",DEGREES(ATAN2($K101,$L101)))</f>
        <v/>
      </c>
      <c r="P101">
        <f t="array" ref="P101">IF($N101="","",IFERROR(IF(INDEX(geo_grid!$B$2:$JU$231,INT(($N101+40)/0.5)+1,INT(($O101+30)/0.5)+1)="","",INDEX(geo_grid!$B$2:$JU$231,INT(($N101+40)/0.5)+1,INT(($O101+30)/0.5)+1)),"OUTSIDE GRID"))</f>
        <v/>
      </c>
      <c r="Q101">
        <f>IF($P101="","",$A101*1000+$B101)</f>
        <v/>
      </c>
    </row>
    <row r="102">
      <c r="A102">
        <f>INT((ROW()-2)/151)+1</f>
        <v/>
      </c>
      <c r="B102">
        <f>MOD(ROW()-2,151)</f>
        <v/>
      </c>
      <c r="C102">
        <f t="array" ref="C102">IFERROR(INDEX('TRIP MANAGER'!$O$18:$O$25,$A102),"")</f>
        <v/>
      </c>
      <c r="D102">
        <f t="array" ref="D102">IFERROR(INDEX('TRIP MANAGER'!$P$18:$P$25,$A102),"")</f>
        <v/>
      </c>
      <c r="E102">
        <f t="array" ref="E102">IFERROR(INDEX('TRIP MANAGER'!$Q$18:$Q$25,$A102),"")</f>
        <v/>
      </c>
      <c r="F102">
        <f t="array" ref="F102">IFERROR(INDEX('TRIP MANAGER'!$R$18:$R$25,$A102),"")</f>
        <v/>
      </c>
      <c r="G102">
        <f t="array" ref="G102">IFERROR(INDEX('TRIP MANAGER'!$S$18:$S$25,$A102),"")</f>
        <v/>
      </c>
      <c r="H102">
        <f>$B102/150</f>
        <v/>
      </c>
      <c r="I102">
        <f>IF(OR($G102="",$G102=0),"",SIN((1-$H102)*$G102)/SIN($G102))</f>
        <v/>
      </c>
      <c r="J102">
        <f>IF($I102="","",SIN($H102*$G102)/SIN($G102))</f>
        <v/>
      </c>
      <c r="K102">
        <f>IF($I102="","",$I102*COS(RADIANS($C102))*COS(RADIANS($D102))+$J102*COS(RADIANS($E102))*COS(RADIANS($F102)))</f>
        <v/>
      </c>
      <c r="L102">
        <f>IF($I102="","",$I102*COS(RADIANS($C102))*SIN(RADIANS($D102))+$J102*COS(RADIANS($E102))*SIN(RADIANS($F102)))</f>
        <v/>
      </c>
      <c r="M102">
        <f>IF($I102="","",$I102*SIN(RADIANS($C102))+$J102*SIN(RADIANS($E102)))</f>
        <v/>
      </c>
      <c r="N102">
        <f>IF($M102="","",DEGREES(ATAN2(SQRT($K102^2+$L102^2),$M102)))</f>
        <v/>
      </c>
      <c r="O102">
        <f>IF($M102="","",DEGREES(ATAN2($K102,$L102)))</f>
        <v/>
      </c>
      <c r="P102">
        <f t="array" ref="P102">IF($N102="","",IFERROR(IF(INDEX(geo_grid!$B$2:$JU$231,INT(($N102+40)/0.5)+1,INT(($O102+30)/0.5)+1)="","",INDEX(geo_grid!$B$2:$JU$231,INT(($N102+40)/0.5)+1,INT(($O102+30)/0.5)+1)),"OUTSIDE GRID"))</f>
        <v/>
      </c>
      <c r="Q102">
        <f>IF($P102="","",$A102*1000+$B102)</f>
        <v/>
      </c>
    </row>
    <row r="103">
      <c r="A103">
        <f>INT((ROW()-2)/151)+1</f>
        <v/>
      </c>
      <c r="B103">
        <f>MOD(ROW()-2,151)</f>
        <v/>
      </c>
      <c r="C103">
        <f t="array" ref="C103">IFERROR(INDEX('TRIP MANAGER'!$O$18:$O$25,$A103),"")</f>
        <v/>
      </c>
      <c r="D103">
        <f t="array" ref="D103">IFERROR(INDEX('TRIP MANAGER'!$P$18:$P$25,$A103),"")</f>
        <v/>
      </c>
      <c r="E103">
        <f t="array" ref="E103">IFERROR(INDEX('TRIP MANAGER'!$Q$18:$Q$25,$A103),"")</f>
        <v/>
      </c>
      <c r="F103">
        <f t="array" ref="F103">IFERROR(INDEX('TRIP MANAGER'!$R$18:$R$25,$A103),"")</f>
        <v/>
      </c>
      <c r="G103">
        <f t="array" ref="G103">IFERROR(INDEX('TRIP MANAGER'!$S$18:$S$25,$A103),"")</f>
        <v/>
      </c>
      <c r="H103">
        <f>$B103/150</f>
        <v/>
      </c>
      <c r="I103">
        <f>IF(OR($G103="",$G103=0),"",SIN((1-$H103)*$G103)/SIN($G103))</f>
        <v/>
      </c>
      <c r="J103">
        <f>IF($I103="","",SIN($H103*$G103)/SIN($G103))</f>
        <v/>
      </c>
      <c r="K103">
        <f>IF($I103="","",$I103*COS(RADIANS($C103))*COS(RADIANS($D103))+$J103*COS(RADIANS($E103))*COS(RADIANS($F103)))</f>
        <v/>
      </c>
      <c r="L103">
        <f>IF($I103="","",$I103*COS(RADIANS($C103))*SIN(RADIANS($D103))+$J103*COS(RADIANS($E103))*SIN(RADIANS($F103)))</f>
        <v/>
      </c>
      <c r="M103">
        <f>IF($I103="","",$I103*SIN(RADIANS($C103))+$J103*SIN(RADIANS($E103)))</f>
        <v/>
      </c>
      <c r="N103">
        <f>IF($M103="","",DEGREES(ATAN2(SQRT($K103^2+$L103^2),$M103)))</f>
        <v/>
      </c>
      <c r="O103">
        <f>IF($M103="","",DEGREES(ATAN2($K103,$L103)))</f>
        <v/>
      </c>
      <c r="P103">
        <f t="array" ref="P103">IF($N103="","",IFERROR(IF(INDEX(geo_grid!$B$2:$JU$231,INT(($N103+40)/0.5)+1,INT(($O103+30)/0.5)+1)="","",INDEX(geo_grid!$B$2:$JU$231,INT(($N103+40)/0.5)+1,INT(($O103+30)/0.5)+1)),"OUTSIDE GRID"))</f>
        <v/>
      </c>
      <c r="Q103">
        <f>IF($P103="","",$A103*1000+$B103)</f>
        <v/>
      </c>
    </row>
    <row r="104">
      <c r="A104">
        <f>INT((ROW()-2)/151)+1</f>
        <v/>
      </c>
      <c r="B104">
        <f>MOD(ROW()-2,151)</f>
        <v/>
      </c>
      <c r="C104">
        <f t="array" ref="C104">IFERROR(INDEX('TRIP MANAGER'!$O$18:$O$25,$A104),"")</f>
        <v/>
      </c>
      <c r="D104">
        <f t="array" ref="D104">IFERROR(INDEX('TRIP MANAGER'!$P$18:$P$25,$A104),"")</f>
        <v/>
      </c>
      <c r="E104">
        <f t="array" ref="E104">IFERROR(INDEX('TRIP MANAGER'!$Q$18:$Q$25,$A104),"")</f>
        <v/>
      </c>
      <c r="F104">
        <f t="array" ref="F104">IFERROR(INDEX('TRIP MANAGER'!$R$18:$R$25,$A104),"")</f>
        <v/>
      </c>
      <c r="G104">
        <f t="array" ref="G104">IFERROR(INDEX('TRIP MANAGER'!$S$18:$S$25,$A104),"")</f>
        <v/>
      </c>
      <c r="H104">
        <f>$B104/150</f>
        <v/>
      </c>
      <c r="I104">
        <f>IF(OR($G104="",$G104=0),"",SIN((1-$H104)*$G104)/SIN($G104))</f>
        <v/>
      </c>
      <c r="J104">
        <f>IF($I104="","",SIN($H104*$G104)/SIN($G104))</f>
        <v/>
      </c>
      <c r="K104">
        <f>IF($I104="","",$I104*COS(RADIANS($C104))*COS(RADIANS($D104))+$J104*COS(RADIANS($E104))*COS(RADIANS($F104)))</f>
        <v/>
      </c>
      <c r="L104">
        <f>IF($I104="","",$I104*COS(RADIANS($C104))*SIN(RADIANS($D104))+$J104*COS(RADIANS($E104))*SIN(RADIANS($F104)))</f>
        <v/>
      </c>
      <c r="M104">
        <f>IF($I104="","",$I104*SIN(RADIANS($C104))+$J104*SIN(RADIANS($E104)))</f>
        <v/>
      </c>
      <c r="N104">
        <f>IF($M104="","",DEGREES(ATAN2(SQRT($K104^2+$L104^2),$M104)))</f>
        <v/>
      </c>
      <c r="O104">
        <f>IF($M104="","",DEGREES(ATAN2($K104,$L104)))</f>
        <v/>
      </c>
      <c r="P104">
        <f t="array" ref="P104">IF($N104="","",IFERROR(IF(INDEX(geo_grid!$B$2:$JU$231,INT(($N104+40)/0.5)+1,INT(($O104+30)/0.5)+1)="","",INDEX(geo_grid!$B$2:$JU$231,INT(($N104+40)/0.5)+1,INT(($O104+30)/0.5)+1)),"OUTSIDE GRID"))</f>
        <v/>
      </c>
      <c r="Q104">
        <f>IF($P104="","",$A104*1000+$B104)</f>
        <v/>
      </c>
    </row>
    <row r="105">
      <c r="A105">
        <f>INT((ROW()-2)/151)+1</f>
        <v/>
      </c>
      <c r="B105">
        <f>MOD(ROW()-2,151)</f>
        <v/>
      </c>
      <c r="C105">
        <f t="array" ref="C105">IFERROR(INDEX('TRIP MANAGER'!$O$18:$O$25,$A105),"")</f>
        <v/>
      </c>
      <c r="D105">
        <f t="array" ref="D105">IFERROR(INDEX('TRIP MANAGER'!$P$18:$P$25,$A105),"")</f>
        <v/>
      </c>
      <c r="E105">
        <f t="array" ref="E105">IFERROR(INDEX('TRIP MANAGER'!$Q$18:$Q$25,$A105),"")</f>
        <v/>
      </c>
      <c r="F105">
        <f t="array" ref="F105">IFERROR(INDEX('TRIP MANAGER'!$R$18:$R$25,$A105),"")</f>
        <v/>
      </c>
      <c r="G105">
        <f t="array" ref="G105">IFERROR(INDEX('TRIP MANAGER'!$S$18:$S$25,$A105),"")</f>
        <v/>
      </c>
      <c r="H105">
        <f>$B105/150</f>
        <v/>
      </c>
      <c r="I105">
        <f>IF(OR($G105="",$G105=0),"",SIN((1-$H105)*$G105)/SIN($G105))</f>
        <v/>
      </c>
      <c r="J105">
        <f>IF($I105="","",SIN($H105*$G105)/SIN($G105))</f>
        <v/>
      </c>
      <c r="K105">
        <f>IF($I105="","",$I105*COS(RADIANS($C105))*COS(RADIANS($D105))+$J105*COS(RADIANS($E105))*COS(RADIANS($F105)))</f>
        <v/>
      </c>
      <c r="L105">
        <f>IF($I105="","",$I105*COS(RADIANS($C105))*SIN(RADIANS($D105))+$J105*COS(RADIANS($E105))*SIN(RADIANS($F105)))</f>
        <v/>
      </c>
      <c r="M105">
        <f>IF($I105="","",$I105*SIN(RADIANS($C105))+$J105*SIN(RADIANS($E105)))</f>
        <v/>
      </c>
      <c r="N105">
        <f>IF($M105="","",DEGREES(ATAN2(SQRT($K105^2+$L105^2),$M105)))</f>
        <v/>
      </c>
      <c r="O105">
        <f>IF($M105="","",DEGREES(ATAN2($K105,$L105)))</f>
        <v/>
      </c>
      <c r="P105">
        <f t="array" ref="P105">IF($N105="","",IFERROR(IF(INDEX(geo_grid!$B$2:$JU$231,INT(($N105+40)/0.5)+1,INT(($O105+30)/0.5)+1)="","",INDEX(geo_grid!$B$2:$JU$231,INT(($N105+40)/0.5)+1,INT(($O105+30)/0.5)+1)),"OUTSIDE GRID"))</f>
        <v/>
      </c>
      <c r="Q105">
        <f>IF($P105="","",$A105*1000+$B105)</f>
        <v/>
      </c>
    </row>
    <row r="106">
      <c r="A106">
        <f>INT((ROW()-2)/151)+1</f>
        <v/>
      </c>
      <c r="B106">
        <f>MOD(ROW()-2,151)</f>
        <v/>
      </c>
      <c r="C106">
        <f t="array" ref="C106">IFERROR(INDEX('TRIP MANAGER'!$O$18:$O$25,$A106),"")</f>
        <v/>
      </c>
      <c r="D106">
        <f t="array" ref="D106">IFERROR(INDEX('TRIP MANAGER'!$P$18:$P$25,$A106),"")</f>
        <v/>
      </c>
      <c r="E106">
        <f t="array" ref="E106">IFERROR(INDEX('TRIP MANAGER'!$Q$18:$Q$25,$A106),"")</f>
        <v/>
      </c>
      <c r="F106">
        <f t="array" ref="F106">IFERROR(INDEX('TRIP MANAGER'!$R$18:$R$25,$A106),"")</f>
        <v/>
      </c>
      <c r="G106">
        <f t="array" ref="G106">IFERROR(INDEX('TRIP MANAGER'!$S$18:$S$25,$A106),"")</f>
        <v/>
      </c>
      <c r="H106">
        <f>$B106/150</f>
        <v/>
      </c>
      <c r="I106">
        <f>IF(OR($G106="",$G106=0),"",SIN((1-$H106)*$G106)/SIN($G106))</f>
        <v/>
      </c>
      <c r="J106">
        <f>IF($I106="","",SIN($H106*$G106)/SIN($G106))</f>
        <v/>
      </c>
      <c r="K106">
        <f>IF($I106="","",$I106*COS(RADIANS($C106))*COS(RADIANS($D106))+$J106*COS(RADIANS($E106))*COS(RADIANS($F106)))</f>
        <v/>
      </c>
      <c r="L106">
        <f>IF($I106="","",$I106*COS(RADIANS($C106))*SIN(RADIANS($D106))+$J106*COS(RADIANS($E106))*SIN(RADIANS($F106)))</f>
        <v/>
      </c>
      <c r="M106">
        <f>IF($I106="","",$I106*SIN(RADIANS($C106))+$J106*SIN(RADIANS($E106)))</f>
        <v/>
      </c>
      <c r="N106">
        <f>IF($M106="","",DEGREES(ATAN2(SQRT($K106^2+$L106^2),$M106)))</f>
        <v/>
      </c>
      <c r="O106">
        <f>IF($M106="","",DEGREES(ATAN2($K106,$L106)))</f>
        <v/>
      </c>
      <c r="P106">
        <f t="array" ref="P106">IF($N106="","",IFERROR(IF(INDEX(geo_grid!$B$2:$JU$231,INT(($N106+40)/0.5)+1,INT(($O106+30)/0.5)+1)="","",INDEX(geo_grid!$B$2:$JU$231,INT(($N106+40)/0.5)+1,INT(($O106+30)/0.5)+1)),"OUTSIDE GRID"))</f>
        <v/>
      </c>
      <c r="Q106">
        <f>IF($P106="","",$A106*1000+$B106)</f>
        <v/>
      </c>
    </row>
    <row r="107">
      <c r="A107">
        <f>INT((ROW()-2)/151)+1</f>
        <v/>
      </c>
      <c r="B107">
        <f>MOD(ROW()-2,151)</f>
        <v/>
      </c>
      <c r="C107">
        <f t="array" ref="C107">IFERROR(INDEX('TRIP MANAGER'!$O$18:$O$25,$A107),"")</f>
        <v/>
      </c>
      <c r="D107">
        <f t="array" ref="D107">IFERROR(INDEX('TRIP MANAGER'!$P$18:$P$25,$A107),"")</f>
        <v/>
      </c>
      <c r="E107">
        <f t="array" ref="E107">IFERROR(INDEX('TRIP MANAGER'!$Q$18:$Q$25,$A107),"")</f>
        <v/>
      </c>
      <c r="F107">
        <f t="array" ref="F107">IFERROR(INDEX('TRIP MANAGER'!$R$18:$R$25,$A107),"")</f>
        <v/>
      </c>
      <c r="G107">
        <f t="array" ref="G107">IFERROR(INDEX('TRIP MANAGER'!$S$18:$S$25,$A107),"")</f>
        <v/>
      </c>
      <c r="H107">
        <f>$B107/150</f>
        <v/>
      </c>
      <c r="I107">
        <f>IF(OR($G107="",$G107=0),"",SIN((1-$H107)*$G107)/SIN($G107))</f>
        <v/>
      </c>
      <c r="J107">
        <f>IF($I107="","",SIN($H107*$G107)/SIN($G107))</f>
        <v/>
      </c>
      <c r="K107">
        <f>IF($I107="","",$I107*COS(RADIANS($C107))*COS(RADIANS($D107))+$J107*COS(RADIANS($E107))*COS(RADIANS($F107)))</f>
        <v/>
      </c>
      <c r="L107">
        <f>IF($I107="","",$I107*COS(RADIANS($C107))*SIN(RADIANS($D107))+$J107*COS(RADIANS($E107))*SIN(RADIANS($F107)))</f>
        <v/>
      </c>
      <c r="M107">
        <f>IF($I107="","",$I107*SIN(RADIANS($C107))+$J107*SIN(RADIANS($E107)))</f>
        <v/>
      </c>
      <c r="N107">
        <f>IF($M107="","",DEGREES(ATAN2(SQRT($K107^2+$L107^2),$M107)))</f>
        <v/>
      </c>
      <c r="O107">
        <f>IF($M107="","",DEGREES(ATAN2($K107,$L107)))</f>
        <v/>
      </c>
      <c r="P107">
        <f t="array" ref="P107">IF($N107="","",IFERROR(IF(INDEX(geo_grid!$B$2:$JU$231,INT(($N107+40)/0.5)+1,INT(($O107+30)/0.5)+1)="","",INDEX(geo_grid!$B$2:$JU$231,INT(($N107+40)/0.5)+1,INT(($O107+30)/0.5)+1)),"OUTSIDE GRID"))</f>
        <v/>
      </c>
      <c r="Q107">
        <f>IF($P107="","",$A107*1000+$B107)</f>
        <v/>
      </c>
    </row>
    <row r="108">
      <c r="A108">
        <f>INT((ROW()-2)/151)+1</f>
        <v/>
      </c>
      <c r="B108">
        <f>MOD(ROW()-2,151)</f>
        <v/>
      </c>
      <c r="C108">
        <f t="array" ref="C108">IFERROR(INDEX('TRIP MANAGER'!$O$18:$O$25,$A108),"")</f>
        <v/>
      </c>
      <c r="D108">
        <f t="array" ref="D108">IFERROR(INDEX('TRIP MANAGER'!$P$18:$P$25,$A108),"")</f>
        <v/>
      </c>
      <c r="E108">
        <f t="array" ref="E108">IFERROR(INDEX('TRIP MANAGER'!$Q$18:$Q$25,$A108),"")</f>
        <v/>
      </c>
      <c r="F108">
        <f t="array" ref="F108">IFERROR(INDEX('TRIP MANAGER'!$R$18:$R$25,$A108),"")</f>
        <v/>
      </c>
      <c r="G108">
        <f t="array" ref="G108">IFERROR(INDEX('TRIP MANAGER'!$S$18:$S$25,$A108),"")</f>
        <v/>
      </c>
      <c r="H108">
        <f>$B108/150</f>
        <v/>
      </c>
      <c r="I108">
        <f>IF(OR($G108="",$G108=0),"",SIN((1-$H108)*$G108)/SIN($G108))</f>
        <v/>
      </c>
      <c r="J108">
        <f>IF($I108="","",SIN($H108*$G108)/SIN($G108))</f>
        <v/>
      </c>
      <c r="K108">
        <f>IF($I108="","",$I108*COS(RADIANS($C108))*COS(RADIANS($D108))+$J108*COS(RADIANS($E108))*COS(RADIANS($F108)))</f>
        <v/>
      </c>
      <c r="L108">
        <f>IF($I108="","",$I108*COS(RADIANS($C108))*SIN(RADIANS($D108))+$J108*COS(RADIANS($E108))*SIN(RADIANS($F108)))</f>
        <v/>
      </c>
      <c r="M108">
        <f>IF($I108="","",$I108*SIN(RADIANS($C108))+$J108*SIN(RADIANS($E108)))</f>
        <v/>
      </c>
      <c r="N108">
        <f>IF($M108="","",DEGREES(ATAN2(SQRT($K108^2+$L108^2),$M108)))</f>
        <v/>
      </c>
      <c r="O108">
        <f>IF($M108="","",DEGREES(ATAN2($K108,$L108)))</f>
        <v/>
      </c>
      <c r="P108">
        <f t="array" ref="P108">IF($N108="","",IFERROR(IF(INDEX(geo_grid!$B$2:$JU$231,INT(($N108+40)/0.5)+1,INT(($O108+30)/0.5)+1)="","",INDEX(geo_grid!$B$2:$JU$231,INT(($N108+40)/0.5)+1,INT(($O108+30)/0.5)+1)),"OUTSIDE GRID"))</f>
        <v/>
      </c>
      <c r="Q108">
        <f>IF($P108="","",$A108*1000+$B108)</f>
        <v/>
      </c>
    </row>
    <row r="109">
      <c r="A109">
        <f>INT((ROW()-2)/151)+1</f>
        <v/>
      </c>
      <c r="B109">
        <f>MOD(ROW()-2,151)</f>
        <v/>
      </c>
      <c r="C109">
        <f t="array" ref="C109">IFERROR(INDEX('TRIP MANAGER'!$O$18:$O$25,$A109),"")</f>
        <v/>
      </c>
      <c r="D109">
        <f t="array" ref="D109">IFERROR(INDEX('TRIP MANAGER'!$P$18:$P$25,$A109),"")</f>
        <v/>
      </c>
      <c r="E109">
        <f t="array" ref="E109">IFERROR(INDEX('TRIP MANAGER'!$Q$18:$Q$25,$A109),"")</f>
        <v/>
      </c>
      <c r="F109">
        <f t="array" ref="F109">IFERROR(INDEX('TRIP MANAGER'!$R$18:$R$25,$A109),"")</f>
        <v/>
      </c>
      <c r="G109">
        <f t="array" ref="G109">IFERROR(INDEX('TRIP MANAGER'!$S$18:$S$25,$A109),"")</f>
        <v/>
      </c>
      <c r="H109">
        <f>$B109/150</f>
        <v/>
      </c>
      <c r="I109">
        <f>IF(OR($G109="",$G109=0),"",SIN((1-$H109)*$G109)/SIN($G109))</f>
        <v/>
      </c>
      <c r="J109">
        <f>IF($I109="","",SIN($H109*$G109)/SIN($G109))</f>
        <v/>
      </c>
      <c r="K109">
        <f>IF($I109="","",$I109*COS(RADIANS($C109))*COS(RADIANS($D109))+$J109*COS(RADIANS($E109))*COS(RADIANS($F109)))</f>
        <v/>
      </c>
      <c r="L109">
        <f>IF($I109="","",$I109*COS(RADIANS($C109))*SIN(RADIANS($D109))+$J109*COS(RADIANS($E109))*SIN(RADIANS($F109)))</f>
        <v/>
      </c>
      <c r="M109">
        <f>IF($I109="","",$I109*SIN(RADIANS($C109))+$J109*SIN(RADIANS($E109)))</f>
        <v/>
      </c>
      <c r="N109">
        <f>IF($M109="","",DEGREES(ATAN2(SQRT($K109^2+$L109^2),$M109)))</f>
        <v/>
      </c>
      <c r="O109">
        <f>IF($M109="","",DEGREES(ATAN2($K109,$L109)))</f>
        <v/>
      </c>
      <c r="P109">
        <f t="array" ref="P109">IF($N109="","",IFERROR(IF(INDEX(geo_grid!$B$2:$JU$231,INT(($N109+40)/0.5)+1,INT(($O109+30)/0.5)+1)="","",INDEX(geo_grid!$B$2:$JU$231,INT(($N109+40)/0.5)+1,INT(($O109+30)/0.5)+1)),"OUTSIDE GRID"))</f>
        <v/>
      </c>
      <c r="Q109">
        <f>IF($P109="","",$A109*1000+$B109)</f>
        <v/>
      </c>
    </row>
    <row r="110">
      <c r="A110">
        <f>INT((ROW()-2)/151)+1</f>
        <v/>
      </c>
      <c r="B110">
        <f>MOD(ROW()-2,151)</f>
        <v/>
      </c>
      <c r="C110">
        <f t="array" ref="C110">IFERROR(INDEX('TRIP MANAGER'!$O$18:$O$25,$A110),"")</f>
        <v/>
      </c>
      <c r="D110">
        <f t="array" ref="D110">IFERROR(INDEX('TRIP MANAGER'!$P$18:$P$25,$A110),"")</f>
        <v/>
      </c>
      <c r="E110">
        <f t="array" ref="E110">IFERROR(INDEX('TRIP MANAGER'!$Q$18:$Q$25,$A110),"")</f>
        <v/>
      </c>
      <c r="F110">
        <f t="array" ref="F110">IFERROR(INDEX('TRIP MANAGER'!$R$18:$R$25,$A110),"")</f>
        <v/>
      </c>
      <c r="G110">
        <f t="array" ref="G110">IFERROR(INDEX('TRIP MANAGER'!$S$18:$S$25,$A110),"")</f>
        <v/>
      </c>
      <c r="H110">
        <f>$B110/150</f>
        <v/>
      </c>
      <c r="I110">
        <f>IF(OR($G110="",$G110=0),"",SIN((1-$H110)*$G110)/SIN($G110))</f>
        <v/>
      </c>
      <c r="J110">
        <f>IF($I110="","",SIN($H110*$G110)/SIN($G110))</f>
        <v/>
      </c>
      <c r="K110">
        <f>IF($I110="","",$I110*COS(RADIANS($C110))*COS(RADIANS($D110))+$J110*COS(RADIANS($E110))*COS(RADIANS($F110)))</f>
        <v/>
      </c>
      <c r="L110">
        <f>IF($I110="","",$I110*COS(RADIANS($C110))*SIN(RADIANS($D110))+$J110*COS(RADIANS($E110))*SIN(RADIANS($F110)))</f>
        <v/>
      </c>
      <c r="M110">
        <f>IF($I110="","",$I110*SIN(RADIANS($C110))+$J110*SIN(RADIANS($E110)))</f>
        <v/>
      </c>
      <c r="N110">
        <f>IF($M110="","",DEGREES(ATAN2(SQRT($K110^2+$L110^2),$M110)))</f>
        <v/>
      </c>
      <c r="O110">
        <f>IF($M110="","",DEGREES(ATAN2($K110,$L110)))</f>
        <v/>
      </c>
      <c r="P110">
        <f t="array" ref="P110">IF($N110="","",IFERROR(IF(INDEX(geo_grid!$B$2:$JU$231,INT(($N110+40)/0.5)+1,INT(($O110+30)/0.5)+1)="","",INDEX(geo_grid!$B$2:$JU$231,INT(($N110+40)/0.5)+1,INT(($O110+30)/0.5)+1)),"OUTSIDE GRID"))</f>
        <v/>
      </c>
      <c r="Q110">
        <f>IF($P110="","",$A110*1000+$B110)</f>
        <v/>
      </c>
    </row>
    <row r="111">
      <c r="A111">
        <f>INT((ROW()-2)/151)+1</f>
        <v/>
      </c>
      <c r="B111">
        <f>MOD(ROW()-2,151)</f>
        <v/>
      </c>
      <c r="C111">
        <f t="array" ref="C111">IFERROR(INDEX('TRIP MANAGER'!$O$18:$O$25,$A111),"")</f>
        <v/>
      </c>
      <c r="D111">
        <f t="array" ref="D111">IFERROR(INDEX('TRIP MANAGER'!$P$18:$P$25,$A111),"")</f>
        <v/>
      </c>
      <c r="E111">
        <f t="array" ref="E111">IFERROR(INDEX('TRIP MANAGER'!$Q$18:$Q$25,$A111),"")</f>
        <v/>
      </c>
      <c r="F111">
        <f t="array" ref="F111">IFERROR(INDEX('TRIP MANAGER'!$R$18:$R$25,$A111),"")</f>
        <v/>
      </c>
      <c r="G111">
        <f t="array" ref="G111">IFERROR(INDEX('TRIP MANAGER'!$S$18:$S$25,$A111),"")</f>
        <v/>
      </c>
      <c r="H111">
        <f>$B111/150</f>
        <v/>
      </c>
      <c r="I111">
        <f>IF(OR($G111="",$G111=0),"",SIN((1-$H111)*$G111)/SIN($G111))</f>
        <v/>
      </c>
      <c r="J111">
        <f>IF($I111="","",SIN($H111*$G111)/SIN($G111))</f>
        <v/>
      </c>
      <c r="K111">
        <f>IF($I111="","",$I111*COS(RADIANS($C111))*COS(RADIANS($D111))+$J111*COS(RADIANS($E111))*COS(RADIANS($F111)))</f>
        <v/>
      </c>
      <c r="L111">
        <f>IF($I111="","",$I111*COS(RADIANS($C111))*SIN(RADIANS($D111))+$J111*COS(RADIANS($E111))*SIN(RADIANS($F111)))</f>
        <v/>
      </c>
      <c r="M111">
        <f>IF($I111="","",$I111*SIN(RADIANS($C111))+$J111*SIN(RADIANS($E111)))</f>
        <v/>
      </c>
      <c r="N111">
        <f>IF($M111="","",DEGREES(ATAN2(SQRT($K111^2+$L111^2),$M111)))</f>
        <v/>
      </c>
      <c r="O111">
        <f>IF($M111="","",DEGREES(ATAN2($K111,$L111)))</f>
        <v/>
      </c>
      <c r="P111">
        <f t="array" ref="P111">IF($N111="","",IFERROR(IF(INDEX(geo_grid!$B$2:$JU$231,INT(($N111+40)/0.5)+1,INT(($O111+30)/0.5)+1)="","",INDEX(geo_grid!$B$2:$JU$231,INT(($N111+40)/0.5)+1,INT(($O111+30)/0.5)+1)),"OUTSIDE GRID"))</f>
        <v/>
      </c>
      <c r="Q111">
        <f>IF($P111="","",$A111*1000+$B111)</f>
        <v/>
      </c>
    </row>
    <row r="112">
      <c r="A112">
        <f>INT((ROW()-2)/151)+1</f>
        <v/>
      </c>
      <c r="B112">
        <f>MOD(ROW()-2,151)</f>
        <v/>
      </c>
      <c r="C112">
        <f t="array" ref="C112">IFERROR(INDEX('TRIP MANAGER'!$O$18:$O$25,$A112),"")</f>
        <v/>
      </c>
      <c r="D112">
        <f t="array" ref="D112">IFERROR(INDEX('TRIP MANAGER'!$P$18:$P$25,$A112),"")</f>
        <v/>
      </c>
      <c r="E112">
        <f t="array" ref="E112">IFERROR(INDEX('TRIP MANAGER'!$Q$18:$Q$25,$A112),"")</f>
        <v/>
      </c>
      <c r="F112">
        <f t="array" ref="F112">IFERROR(INDEX('TRIP MANAGER'!$R$18:$R$25,$A112),"")</f>
        <v/>
      </c>
      <c r="G112">
        <f t="array" ref="G112">IFERROR(INDEX('TRIP MANAGER'!$S$18:$S$25,$A112),"")</f>
        <v/>
      </c>
      <c r="H112">
        <f>$B112/150</f>
        <v/>
      </c>
      <c r="I112">
        <f>IF(OR($G112="",$G112=0),"",SIN((1-$H112)*$G112)/SIN($G112))</f>
        <v/>
      </c>
      <c r="J112">
        <f>IF($I112="","",SIN($H112*$G112)/SIN($G112))</f>
        <v/>
      </c>
      <c r="K112">
        <f>IF($I112="","",$I112*COS(RADIANS($C112))*COS(RADIANS($D112))+$J112*COS(RADIANS($E112))*COS(RADIANS($F112)))</f>
        <v/>
      </c>
      <c r="L112">
        <f>IF($I112="","",$I112*COS(RADIANS($C112))*SIN(RADIANS($D112))+$J112*COS(RADIANS($E112))*SIN(RADIANS($F112)))</f>
        <v/>
      </c>
      <c r="M112">
        <f>IF($I112="","",$I112*SIN(RADIANS($C112))+$J112*SIN(RADIANS($E112)))</f>
        <v/>
      </c>
      <c r="N112">
        <f>IF($M112="","",DEGREES(ATAN2(SQRT($K112^2+$L112^2),$M112)))</f>
        <v/>
      </c>
      <c r="O112">
        <f>IF($M112="","",DEGREES(ATAN2($K112,$L112)))</f>
        <v/>
      </c>
      <c r="P112">
        <f t="array" ref="P112">IF($N112="","",IFERROR(IF(INDEX(geo_grid!$B$2:$JU$231,INT(($N112+40)/0.5)+1,INT(($O112+30)/0.5)+1)="","",INDEX(geo_grid!$B$2:$JU$231,INT(($N112+40)/0.5)+1,INT(($O112+30)/0.5)+1)),"OUTSIDE GRID"))</f>
        <v/>
      </c>
      <c r="Q112">
        <f>IF($P112="","",$A112*1000+$B112)</f>
        <v/>
      </c>
    </row>
    <row r="113">
      <c r="A113">
        <f>INT((ROW()-2)/151)+1</f>
        <v/>
      </c>
      <c r="B113">
        <f>MOD(ROW()-2,151)</f>
        <v/>
      </c>
      <c r="C113">
        <f t="array" ref="C113">IFERROR(INDEX('TRIP MANAGER'!$O$18:$O$25,$A113),"")</f>
        <v/>
      </c>
      <c r="D113">
        <f t="array" ref="D113">IFERROR(INDEX('TRIP MANAGER'!$P$18:$P$25,$A113),"")</f>
        <v/>
      </c>
      <c r="E113">
        <f t="array" ref="E113">IFERROR(INDEX('TRIP MANAGER'!$Q$18:$Q$25,$A113),"")</f>
        <v/>
      </c>
      <c r="F113">
        <f t="array" ref="F113">IFERROR(INDEX('TRIP MANAGER'!$R$18:$R$25,$A113),"")</f>
        <v/>
      </c>
      <c r="G113">
        <f t="array" ref="G113">IFERROR(INDEX('TRIP MANAGER'!$S$18:$S$25,$A113),"")</f>
        <v/>
      </c>
      <c r="H113">
        <f>$B113/150</f>
        <v/>
      </c>
      <c r="I113">
        <f>IF(OR($G113="",$G113=0),"",SIN((1-$H113)*$G113)/SIN($G113))</f>
        <v/>
      </c>
      <c r="J113">
        <f>IF($I113="","",SIN($H113*$G113)/SIN($G113))</f>
        <v/>
      </c>
      <c r="K113">
        <f>IF($I113="","",$I113*COS(RADIANS($C113))*COS(RADIANS($D113))+$J113*COS(RADIANS($E113))*COS(RADIANS($F113)))</f>
        <v/>
      </c>
      <c r="L113">
        <f>IF($I113="","",$I113*COS(RADIANS($C113))*SIN(RADIANS($D113))+$J113*COS(RADIANS($E113))*SIN(RADIANS($F113)))</f>
        <v/>
      </c>
      <c r="M113">
        <f>IF($I113="","",$I113*SIN(RADIANS($C113))+$J113*SIN(RADIANS($E113)))</f>
        <v/>
      </c>
      <c r="N113">
        <f>IF($M113="","",DEGREES(ATAN2(SQRT($K113^2+$L113^2),$M113)))</f>
        <v/>
      </c>
      <c r="O113">
        <f>IF($M113="","",DEGREES(ATAN2($K113,$L113)))</f>
        <v/>
      </c>
      <c r="P113">
        <f t="array" ref="P113">IF($N113="","",IFERROR(IF(INDEX(geo_grid!$B$2:$JU$231,INT(($N113+40)/0.5)+1,INT(($O113+30)/0.5)+1)="","",INDEX(geo_grid!$B$2:$JU$231,INT(($N113+40)/0.5)+1,INT(($O113+30)/0.5)+1)),"OUTSIDE GRID"))</f>
        <v/>
      </c>
      <c r="Q113">
        <f>IF($P113="","",$A113*1000+$B113)</f>
        <v/>
      </c>
    </row>
    <row r="114">
      <c r="A114">
        <f>INT((ROW()-2)/151)+1</f>
        <v/>
      </c>
      <c r="B114">
        <f>MOD(ROW()-2,151)</f>
        <v/>
      </c>
      <c r="C114">
        <f t="array" ref="C114">IFERROR(INDEX('TRIP MANAGER'!$O$18:$O$25,$A114),"")</f>
        <v/>
      </c>
      <c r="D114">
        <f t="array" ref="D114">IFERROR(INDEX('TRIP MANAGER'!$P$18:$P$25,$A114),"")</f>
        <v/>
      </c>
      <c r="E114">
        <f t="array" ref="E114">IFERROR(INDEX('TRIP MANAGER'!$Q$18:$Q$25,$A114),"")</f>
        <v/>
      </c>
      <c r="F114">
        <f t="array" ref="F114">IFERROR(INDEX('TRIP MANAGER'!$R$18:$R$25,$A114),"")</f>
        <v/>
      </c>
      <c r="G114">
        <f t="array" ref="G114">IFERROR(INDEX('TRIP MANAGER'!$S$18:$S$25,$A114),"")</f>
        <v/>
      </c>
      <c r="H114">
        <f>$B114/150</f>
        <v/>
      </c>
      <c r="I114">
        <f>IF(OR($G114="",$G114=0),"",SIN((1-$H114)*$G114)/SIN($G114))</f>
        <v/>
      </c>
      <c r="J114">
        <f>IF($I114="","",SIN($H114*$G114)/SIN($G114))</f>
        <v/>
      </c>
      <c r="K114">
        <f>IF($I114="","",$I114*COS(RADIANS($C114))*COS(RADIANS($D114))+$J114*COS(RADIANS($E114))*COS(RADIANS($F114)))</f>
        <v/>
      </c>
      <c r="L114">
        <f>IF($I114="","",$I114*COS(RADIANS($C114))*SIN(RADIANS($D114))+$J114*COS(RADIANS($E114))*SIN(RADIANS($F114)))</f>
        <v/>
      </c>
      <c r="M114">
        <f>IF($I114="","",$I114*SIN(RADIANS($C114))+$J114*SIN(RADIANS($E114)))</f>
        <v/>
      </c>
      <c r="N114">
        <f>IF($M114="","",DEGREES(ATAN2(SQRT($K114^2+$L114^2),$M114)))</f>
        <v/>
      </c>
      <c r="O114">
        <f>IF($M114="","",DEGREES(ATAN2($K114,$L114)))</f>
        <v/>
      </c>
      <c r="P114">
        <f t="array" ref="P114">IF($N114="","",IFERROR(IF(INDEX(geo_grid!$B$2:$JU$231,INT(($N114+40)/0.5)+1,INT(($O114+30)/0.5)+1)="","",INDEX(geo_grid!$B$2:$JU$231,INT(($N114+40)/0.5)+1,INT(($O114+30)/0.5)+1)),"OUTSIDE GRID"))</f>
        <v/>
      </c>
      <c r="Q114">
        <f>IF($P114="","",$A114*1000+$B114)</f>
        <v/>
      </c>
    </row>
    <row r="115">
      <c r="A115">
        <f>INT((ROW()-2)/151)+1</f>
        <v/>
      </c>
      <c r="B115">
        <f>MOD(ROW()-2,151)</f>
        <v/>
      </c>
      <c r="C115">
        <f t="array" ref="C115">IFERROR(INDEX('TRIP MANAGER'!$O$18:$O$25,$A115),"")</f>
        <v/>
      </c>
      <c r="D115">
        <f t="array" ref="D115">IFERROR(INDEX('TRIP MANAGER'!$P$18:$P$25,$A115),"")</f>
        <v/>
      </c>
      <c r="E115">
        <f t="array" ref="E115">IFERROR(INDEX('TRIP MANAGER'!$Q$18:$Q$25,$A115),"")</f>
        <v/>
      </c>
      <c r="F115">
        <f t="array" ref="F115">IFERROR(INDEX('TRIP MANAGER'!$R$18:$R$25,$A115),"")</f>
        <v/>
      </c>
      <c r="G115">
        <f t="array" ref="G115">IFERROR(INDEX('TRIP MANAGER'!$S$18:$S$25,$A115),"")</f>
        <v/>
      </c>
      <c r="H115">
        <f>$B115/150</f>
        <v/>
      </c>
      <c r="I115">
        <f>IF(OR($G115="",$G115=0),"",SIN((1-$H115)*$G115)/SIN($G115))</f>
        <v/>
      </c>
      <c r="J115">
        <f>IF($I115="","",SIN($H115*$G115)/SIN($G115))</f>
        <v/>
      </c>
      <c r="K115">
        <f>IF($I115="","",$I115*COS(RADIANS($C115))*COS(RADIANS($D115))+$J115*COS(RADIANS($E115))*COS(RADIANS($F115)))</f>
        <v/>
      </c>
      <c r="L115">
        <f>IF($I115="","",$I115*COS(RADIANS($C115))*SIN(RADIANS($D115))+$J115*COS(RADIANS($E115))*SIN(RADIANS($F115)))</f>
        <v/>
      </c>
      <c r="M115">
        <f>IF($I115="","",$I115*SIN(RADIANS($C115))+$J115*SIN(RADIANS($E115)))</f>
        <v/>
      </c>
      <c r="N115">
        <f>IF($M115="","",DEGREES(ATAN2(SQRT($K115^2+$L115^2),$M115)))</f>
        <v/>
      </c>
      <c r="O115">
        <f>IF($M115="","",DEGREES(ATAN2($K115,$L115)))</f>
        <v/>
      </c>
      <c r="P115">
        <f t="array" ref="P115">IF($N115="","",IFERROR(IF(INDEX(geo_grid!$B$2:$JU$231,INT(($N115+40)/0.5)+1,INT(($O115+30)/0.5)+1)="","",INDEX(geo_grid!$B$2:$JU$231,INT(($N115+40)/0.5)+1,INT(($O115+30)/0.5)+1)),"OUTSIDE GRID"))</f>
        <v/>
      </c>
      <c r="Q115">
        <f>IF($P115="","",$A115*1000+$B115)</f>
        <v/>
      </c>
    </row>
    <row r="116">
      <c r="A116">
        <f>INT((ROW()-2)/151)+1</f>
        <v/>
      </c>
      <c r="B116">
        <f>MOD(ROW()-2,151)</f>
        <v/>
      </c>
      <c r="C116">
        <f t="array" ref="C116">IFERROR(INDEX('TRIP MANAGER'!$O$18:$O$25,$A116),"")</f>
        <v/>
      </c>
      <c r="D116">
        <f t="array" ref="D116">IFERROR(INDEX('TRIP MANAGER'!$P$18:$P$25,$A116),"")</f>
        <v/>
      </c>
      <c r="E116">
        <f t="array" ref="E116">IFERROR(INDEX('TRIP MANAGER'!$Q$18:$Q$25,$A116),"")</f>
        <v/>
      </c>
      <c r="F116">
        <f t="array" ref="F116">IFERROR(INDEX('TRIP MANAGER'!$R$18:$R$25,$A116),"")</f>
        <v/>
      </c>
      <c r="G116">
        <f t="array" ref="G116">IFERROR(INDEX('TRIP MANAGER'!$S$18:$S$25,$A116),"")</f>
        <v/>
      </c>
      <c r="H116">
        <f>$B116/150</f>
        <v/>
      </c>
      <c r="I116">
        <f>IF(OR($G116="",$G116=0),"",SIN((1-$H116)*$G116)/SIN($G116))</f>
        <v/>
      </c>
      <c r="J116">
        <f>IF($I116="","",SIN($H116*$G116)/SIN($G116))</f>
        <v/>
      </c>
      <c r="K116">
        <f>IF($I116="","",$I116*COS(RADIANS($C116))*COS(RADIANS($D116))+$J116*COS(RADIANS($E116))*COS(RADIANS($F116)))</f>
        <v/>
      </c>
      <c r="L116">
        <f>IF($I116="","",$I116*COS(RADIANS($C116))*SIN(RADIANS($D116))+$J116*COS(RADIANS($E116))*SIN(RADIANS($F116)))</f>
        <v/>
      </c>
      <c r="M116">
        <f>IF($I116="","",$I116*SIN(RADIANS($C116))+$J116*SIN(RADIANS($E116)))</f>
        <v/>
      </c>
      <c r="N116">
        <f>IF($M116="","",DEGREES(ATAN2(SQRT($K116^2+$L116^2),$M116)))</f>
        <v/>
      </c>
      <c r="O116">
        <f>IF($M116="","",DEGREES(ATAN2($K116,$L116)))</f>
        <v/>
      </c>
      <c r="P116">
        <f t="array" ref="P116">IF($N116="","",IFERROR(IF(INDEX(geo_grid!$B$2:$JU$231,INT(($N116+40)/0.5)+1,INT(($O116+30)/0.5)+1)="","",INDEX(geo_grid!$B$2:$JU$231,INT(($N116+40)/0.5)+1,INT(($O116+30)/0.5)+1)),"OUTSIDE GRID"))</f>
        <v/>
      </c>
      <c r="Q116">
        <f>IF($P116="","",$A116*1000+$B116)</f>
        <v/>
      </c>
    </row>
    <row r="117">
      <c r="A117">
        <f>INT((ROW()-2)/151)+1</f>
        <v/>
      </c>
      <c r="B117">
        <f>MOD(ROW()-2,151)</f>
        <v/>
      </c>
      <c r="C117">
        <f t="array" ref="C117">IFERROR(INDEX('TRIP MANAGER'!$O$18:$O$25,$A117),"")</f>
        <v/>
      </c>
      <c r="D117">
        <f t="array" ref="D117">IFERROR(INDEX('TRIP MANAGER'!$P$18:$P$25,$A117),"")</f>
        <v/>
      </c>
      <c r="E117">
        <f t="array" ref="E117">IFERROR(INDEX('TRIP MANAGER'!$Q$18:$Q$25,$A117),"")</f>
        <v/>
      </c>
      <c r="F117">
        <f t="array" ref="F117">IFERROR(INDEX('TRIP MANAGER'!$R$18:$R$25,$A117),"")</f>
        <v/>
      </c>
      <c r="G117">
        <f t="array" ref="G117">IFERROR(INDEX('TRIP MANAGER'!$S$18:$S$25,$A117),"")</f>
        <v/>
      </c>
      <c r="H117">
        <f>$B117/150</f>
        <v/>
      </c>
      <c r="I117">
        <f>IF(OR($G117="",$G117=0),"",SIN((1-$H117)*$G117)/SIN($G117))</f>
        <v/>
      </c>
      <c r="J117">
        <f>IF($I117="","",SIN($H117*$G117)/SIN($G117))</f>
        <v/>
      </c>
      <c r="K117">
        <f>IF($I117="","",$I117*COS(RADIANS($C117))*COS(RADIANS($D117))+$J117*COS(RADIANS($E117))*COS(RADIANS($F117)))</f>
        <v/>
      </c>
      <c r="L117">
        <f>IF($I117="","",$I117*COS(RADIANS($C117))*SIN(RADIANS($D117))+$J117*COS(RADIANS($E117))*SIN(RADIANS($F117)))</f>
        <v/>
      </c>
      <c r="M117">
        <f>IF($I117="","",$I117*SIN(RADIANS($C117))+$J117*SIN(RADIANS($E117)))</f>
        <v/>
      </c>
      <c r="N117">
        <f>IF($M117="","",DEGREES(ATAN2(SQRT($K117^2+$L117^2),$M117)))</f>
        <v/>
      </c>
      <c r="O117">
        <f>IF($M117="","",DEGREES(ATAN2($K117,$L117)))</f>
        <v/>
      </c>
      <c r="P117">
        <f t="array" ref="P117">IF($N117="","",IFERROR(IF(INDEX(geo_grid!$B$2:$JU$231,INT(($N117+40)/0.5)+1,INT(($O117+30)/0.5)+1)="","",INDEX(geo_grid!$B$2:$JU$231,INT(($N117+40)/0.5)+1,INT(($O117+30)/0.5)+1)),"OUTSIDE GRID"))</f>
        <v/>
      </c>
      <c r="Q117">
        <f>IF($P117="","",$A117*1000+$B117)</f>
        <v/>
      </c>
    </row>
    <row r="118">
      <c r="A118">
        <f>INT((ROW()-2)/151)+1</f>
        <v/>
      </c>
      <c r="B118">
        <f>MOD(ROW()-2,151)</f>
        <v/>
      </c>
      <c r="C118">
        <f t="array" ref="C118">IFERROR(INDEX('TRIP MANAGER'!$O$18:$O$25,$A118),"")</f>
        <v/>
      </c>
      <c r="D118">
        <f t="array" ref="D118">IFERROR(INDEX('TRIP MANAGER'!$P$18:$P$25,$A118),"")</f>
        <v/>
      </c>
      <c r="E118">
        <f t="array" ref="E118">IFERROR(INDEX('TRIP MANAGER'!$Q$18:$Q$25,$A118),"")</f>
        <v/>
      </c>
      <c r="F118">
        <f t="array" ref="F118">IFERROR(INDEX('TRIP MANAGER'!$R$18:$R$25,$A118),"")</f>
        <v/>
      </c>
      <c r="G118">
        <f t="array" ref="G118">IFERROR(INDEX('TRIP MANAGER'!$S$18:$S$25,$A118),"")</f>
        <v/>
      </c>
      <c r="H118">
        <f>$B118/150</f>
        <v/>
      </c>
      <c r="I118">
        <f>IF(OR($G118="",$G118=0),"",SIN((1-$H118)*$G118)/SIN($G118))</f>
        <v/>
      </c>
      <c r="J118">
        <f>IF($I118="","",SIN($H118*$G118)/SIN($G118))</f>
        <v/>
      </c>
      <c r="K118">
        <f>IF($I118="","",$I118*COS(RADIANS($C118))*COS(RADIANS($D118))+$J118*COS(RADIANS($E118))*COS(RADIANS($F118)))</f>
        <v/>
      </c>
      <c r="L118">
        <f>IF($I118="","",$I118*COS(RADIANS($C118))*SIN(RADIANS($D118))+$J118*COS(RADIANS($E118))*SIN(RADIANS($F118)))</f>
        <v/>
      </c>
      <c r="M118">
        <f>IF($I118="","",$I118*SIN(RADIANS($C118))+$J118*SIN(RADIANS($E118)))</f>
        <v/>
      </c>
      <c r="N118">
        <f>IF($M118="","",DEGREES(ATAN2(SQRT($K118^2+$L118^2),$M118)))</f>
        <v/>
      </c>
      <c r="O118">
        <f>IF($M118="","",DEGREES(ATAN2($K118,$L118)))</f>
        <v/>
      </c>
      <c r="P118">
        <f t="array" ref="P118">IF($N118="","",IFERROR(IF(INDEX(geo_grid!$B$2:$JU$231,INT(($N118+40)/0.5)+1,INT(($O118+30)/0.5)+1)="","",INDEX(geo_grid!$B$2:$JU$231,INT(($N118+40)/0.5)+1,INT(($O118+30)/0.5)+1)),"OUTSIDE GRID"))</f>
        <v/>
      </c>
      <c r="Q118">
        <f>IF($P118="","",$A118*1000+$B118)</f>
        <v/>
      </c>
    </row>
    <row r="119">
      <c r="A119">
        <f>INT((ROW()-2)/151)+1</f>
        <v/>
      </c>
      <c r="B119">
        <f>MOD(ROW()-2,151)</f>
        <v/>
      </c>
      <c r="C119">
        <f t="array" ref="C119">IFERROR(INDEX('TRIP MANAGER'!$O$18:$O$25,$A119),"")</f>
        <v/>
      </c>
      <c r="D119">
        <f t="array" ref="D119">IFERROR(INDEX('TRIP MANAGER'!$P$18:$P$25,$A119),"")</f>
        <v/>
      </c>
      <c r="E119">
        <f t="array" ref="E119">IFERROR(INDEX('TRIP MANAGER'!$Q$18:$Q$25,$A119),"")</f>
        <v/>
      </c>
      <c r="F119">
        <f t="array" ref="F119">IFERROR(INDEX('TRIP MANAGER'!$R$18:$R$25,$A119),"")</f>
        <v/>
      </c>
      <c r="G119">
        <f t="array" ref="G119">IFERROR(INDEX('TRIP MANAGER'!$S$18:$S$25,$A119),"")</f>
        <v/>
      </c>
      <c r="H119">
        <f>$B119/150</f>
        <v/>
      </c>
      <c r="I119">
        <f>IF(OR($G119="",$G119=0),"",SIN((1-$H119)*$G119)/SIN($G119))</f>
        <v/>
      </c>
      <c r="J119">
        <f>IF($I119="","",SIN($H119*$G119)/SIN($G119))</f>
        <v/>
      </c>
      <c r="K119">
        <f>IF($I119="","",$I119*COS(RADIANS($C119))*COS(RADIANS($D119))+$J119*COS(RADIANS($E119))*COS(RADIANS($F119)))</f>
        <v/>
      </c>
      <c r="L119">
        <f>IF($I119="","",$I119*COS(RADIANS($C119))*SIN(RADIANS($D119))+$J119*COS(RADIANS($E119))*SIN(RADIANS($F119)))</f>
        <v/>
      </c>
      <c r="M119">
        <f>IF($I119="","",$I119*SIN(RADIANS($C119))+$J119*SIN(RADIANS($E119)))</f>
        <v/>
      </c>
      <c r="N119">
        <f>IF($M119="","",DEGREES(ATAN2(SQRT($K119^2+$L119^2),$M119)))</f>
        <v/>
      </c>
      <c r="O119">
        <f>IF($M119="","",DEGREES(ATAN2($K119,$L119)))</f>
        <v/>
      </c>
      <c r="P119">
        <f t="array" ref="P119">IF($N119="","",IFERROR(IF(INDEX(geo_grid!$B$2:$JU$231,INT(($N119+40)/0.5)+1,INT(($O119+30)/0.5)+1)="","",INDEX(geo_grid!$B$2:$JU$231,INT(($N119+40)/0.5)+1,INT(($O119+30)/0.5)+1)),"OUTSIDE GRID"))</f>
        <v/>
      </c>
      <c r="Q119">
        <f>IF($P119="","",$A119*1000+$B119)</f>
        <v/>
      </c>
    </row>
    <row r="120">
      <c r="A120">
        <f>INT((ROW()-2)/151)+1</f>
        <v/>
      </c>
      <c r="B120">
        <f>MOD(ROW()-2,151)</f>
        <v/>
      </c>
      <c r="C120">
        <f t="array" ref="C120">IFERROR(INDEX('TRIP MANAGER'!$O$18:$O$25,$A120),"")</f>
        <v/>
      </c>
      <c r="D120">
        <f t="array" ref="D120">IFERROR(INDEX('TRIP MANAGER'!$P$18:$P$25,$A120),"")</f>
        <v/>
      </c>
      <c r="E120">
        <f t="array" ref="E120">IFERROR(INDEX('TRIP MANAGER'!$Q$18:$Q$25,$A120),"")</f>
        <v/>
      </c>
      <c r="F120">
        <f t="array" ref="F120">IFERROR(INDEX('TRIP MANAGER'!$R$18:$R$25,$A120),"")</f>
        <v/>
      </c>
      <c r="G120">
        <f t="array" ref="G120">IFERROR(INDEX('TRIP MANAGER'!$S$18:$S$25,$A120),"")</f>
        <v/>
      </c>
      <c r="H120">
        <f>$B120/150</f>
        <v/>
      </c>
      <c r="I120">
        <f>IF(OR($G120="",$G120=0),"",SIN((1-$H120)*$G120)/SIN($G120))</f>
        <v/>
      </c>
      <c r="J120">
        <f>IF($I120="","",SIN($H120*$G120)/SIN($G120))</f>
        <v/>
      </c>
      <c r="K120">
        <f>IF($I120="","",$I120*COS(RADIANS($C120))*COS(RADIANS($D120))+$J120*COS(RADIANS($E120))*COS(RADIANS($F120)))</f>
        <v/>
      </c>
      <c r="L120">
        <f>IF($I120="","",$I120*COS(RADIANS($C120))*SIN(RADIANS($D120))+$J120*COS(RADIANS($E120))*SIN(RADIANS($F120)))</f>
        <v/>
      </c>
      <c r="M120">
        <f>IF($I120="","",$I120*SIN(RADIANS($C120))+$J120*SIN(RADIANS($E120)))</f>
        <v/>
      </c>
      <c r="N120">
        <f>IF($M120="","",DEGREES(ATAN2(SQRT($K120^2+$L120^2),$M120)))</f>
        <v/>
      </c>
      <c r="O120">
        <f>IF($M120="","",DEGREES(ATAN2($K120,$L120)))</f>
        <v/>
      </c>
      <c r="P120">
        <f t="array" ref="P120">IF($N120="","",IFERROR(IF(INDEX(geo_grid!$B$2:$JU$231,INT(($N120+40)/0.5)+1,INT(($O120+30)/0.5)+1)="","",INDEX(geo_grid!$B$2:$JU$231,INT(($N120+40)/0.5)+1,INT(($O120+30)/0.5)+1)),"OUTSIDE GRID"))</f>
        <v/>
      </c>
      <c r="Q120">
        <f>IF($P120="","",$A120*1000+$B120)</f>
        <v/>
      </c>
    </row>
    <row r="121">
      <c r="A121">
        <f>INT((ROW()-2)/151)+1</f>
        <v/>
      </c>
      <c r="B121">
        <f>MOD(ROW()-2,151)</f>
        <v/>
      </c>
      <c r="C121">
        <f t="array" ref="C121">IFERROR(INDEX('TRIP MANAGER'!$O$18:$O$25,$A121),"")</f>
        <v/>
      </c>
      <c r="D121">
        <f t="array" ref="D121">IFERROR(INDEX('TRIP MANAGER'!$P$18:$P$25,$A121),"")</f>
        <v/>
      </c>
      <c r="E121">
        <f t="array" ref="E121">IFERROR(INDEX('TRIP MANAGER'!$Q$18:$Q$25,$A121),"")</f>
        <v/>
      </c>
      <c r="F121">
        <f t="array" ref="F121">IFERROR(INDEX('TRIP MANAGER'!$R$18:$R$25,$A121),"")</f>
        <v/>
      </c>
      <c r="G121">
        <f t="array" ref="G121">IFERROR(INDEX('TRIP MANAGER'!$S$18:$S$25,$A121),"")</f>
        <v/>
      </c>
      <c r="H121">
        <f>$B121/150</f>
        <v/>
      </c>
      <c r="I121">
        <f>IF(OR($G121="",$G121=0),"",SIN((1-$H121)*$G121)/SIN($G121))</f>
        <v/>
      </c>
      <c r="J121">
        <f>IF($I121="","",SIN($H121*$G121)/SIN($G121))</f>
        <v/>
      </c>
      <c r="K121">
        <f>IF($I121="","",$I121*COS(RADIANS($C121))*COS(RADIANS($D121))+$J121*COS(RADIANS($E121))*COS(RADIANS($F121)))</f>
        <v/>
      </c>
      <c r="L121">
        <f>IF($I121="","",$I121*COS(RADIANS($C121))*SIN(RADIANS($D121))+$J121*COS(RADIANS($E121))*SIN(RADIANS($F121)))</f>
        <v/>
      </c>
      <c r="M121">
        <f>IF($I121="","",$I121*SIN(RADIANS($C121))+$J121*SIN(RADIANS($E121)))</f>
        <v/>
      </c>
      <c r="N121">
        <f>IF($M121="","",DEGREES(ATAN2(SQRT($K121^2+$L121^2),$M121)))</f>
        <v/>
      </c>
      <c r="O121">
        <f>IF($M121="","",DEGREES(ATAN2($K121,$L121)))</f>
        <v/>
      </c>
      <c r="P121">
        <f t="array" ref="P121">IF($N121="","",IFERROR(IF(INDEX(geo_grid!$B$2:$JU$231,INT(($N121+40)/0.5)+1,INT(($O121+30)/0.5)+1)="","",INDEX(geo_grid!$B$2:$JU$231,INT(($N121+40)/0.5)+1,INT(($O121+30)/0.5)+1)),"OUTSIDE GRID"))</f>
        <v/>
      </c>
      <c r="Q121">
        <f>IF($P121="","",$A121*1000+$B121)</f>
        <v/>
      </c>
    </row>
    <row r="122">
      <c r="A122">
        <f>INT((ROW()-2)/151)+1</f>
        <v/>
      </c>
      <c r="B122">
        <f>MOD(ROW()-2,151)</f>
        <v/>
      </c>
      <c r="C122">
        <f t="array" ref="C122">IFERROR(INDEX('TRIP MANAGER'!$O$18:$O$25,$A122),"")</f>
        <v/>
      </c>
      <c r="D122">
        <f t="array" ref="D122">IFERROR(INDEX('TRIP MANAGER'!$P$18:$P$25,$A122),"")</f>
        <v/>
      </c>
      <c r="E122">
        <f t="array" ref="E122">IFERROR(INDEX('TRIP MANAGER'!$Q$18:$Q$25,$A122),"")</f>
        <v/>
      </c>
      <c r="F122">
        <f t="array" ref="F122">IFERROR(INDEX('TRIP MANAGER'!$R$18:$R$25,$A122),"")</f>
        <v/>
      </c>
      <c r="G122">
        <f t="array" ref="G122">IFERROR(INDEX('TRIP MANAGER'!$S$18:$S$25,$A122),"")</f>
        <v/>
      </c>
      <c r="H122">
        <f>$B122/150</f>
        <v/>
      </c>
      <c r="I122">
        <f>IF(OR($G122="",$G122=0),"",SIN((1-$H122)*$G122)/SIN($G122))</f>
        <v/>
      </c>
      <c r="J122">
        <f>IF($I122="","",SIN($H122*$G122)/SIN($G122))</f>
        <v/>
      </c>
      <c r="K122">
        <f>IF($I122="","",$I122*COS(RADIANS($C122))*COS(RADIANS($D122))+$J122*COS(RADIANS($E122))*COS(RADIANS($F122)))</f>
        <v/>
      </c>
      <c r="L122">
        <f>IF($I122="","",$I122*COS(RADIANS($C122))*SIN(RADIANS($D122))+$J122*COS(RADIANS($E122))*SIN(RADIANS($F122)))</f>
        <v/>
      </c>
      <c r="M122">
        <f>IF($I122="","",$I122*SIN(RADIANS($C122))+$J122*SIN(RADIANS($E122)))</f>
        <v/>
      </c>
      <c r="N122">
        <f>IF($M122="","",DEGREES(ATAN2(SQRT($K122^2+$L122^2),$M122)))</f>
        <v/>
      </c>
      <c r="O122">
        <f>IF($M122="","",DEGREES(ATAN2($K122,$L122)))</f>
        <v/>
      </c>
      <c r="P122">
        <f t="array" ref="P122">IF($N122="","",IFERROR(IF(INDEX(geo_grid!$B$2:$JU$231,INT(($N122+40)/0.5)+1,INT(($O122+30)/0.5)+1)="","",INDEX(geo_grid!$B$2:$JU$231,INT(($N122+40)/0.5)+1,INT(($O122+30)/0.5)+1)),"OUTSIDE GRID"))</f>
        <v/>
      </c>
      <c r="Q122">
        <f>IF($P122="","",$A122*1000+$B122)</f>
        <v/>
      </c>
    </row>
    <row r="123">
      <c r="A123">
        <f>INT((ROW()-2)/151)+1</f>
        <v/>
      </c>
      <c r="B123">
        <f>MOD(ROW()-2,151)</f>
        <v/>
      </c>
      <c r="C123">
        <f t="array" ref="C123">IFERROR(INDEX('TRIP MANAGER'!$O$18:$O$25,$A123),"")</f>
        <v/>
      </c>
      <c r="D123">
        <f t="array" ref="D123">IFERROR(INDEX('TRIP MANAGER'!$P$18:$P$25,$A123),"")</f>
        <v/>
      </c>
      <c r="E123">
        <f t="array" ref="E123">IFERROR(INDEX('TRIP MANAGER'!$Q$18:$Q$25,$A123),"")</f>
        <v/>
      </c>
      <c r="F123">
        <f t="array" ref="F123">IFERROR(INDEX('TRIP MANAGER'!$R$18:$R$25,$A123),"")</f>
        <v/>
      </c>
      <c r="G123">
        <f t="array" ref="G123">IFERROR(INDEX('TRIP MANAGER'!$S$18:$S$25,$A123),"")</f>
        <v/>
      </c>
      <c r="H123">
        <f>$B123/150</f>
        <v/>
      </c>
      <c r="I123">
        <f>IF(OR($G123="",$G123=0),"",SIN((1-$H123)*$G123)/SIN($G123))</f>
        <v/>
      </c>
      <c r="J123">
        <f>IF($I123="","",SIN($H123*$G123)/SIN($G123))</f>
        <v/>
      </c>
      <c r="K123">
        <f>IF($I123="","",$I123*COS(RADIANS($C123))*COS(RADIANS($D123))+$J123*COS(RADIANS($E123))*COS(RADIANS($F123)))</f>
        <v/>
      </c>
      <c r="L123">
        <f>IF($I123="","",$I123*COS(RADIANS($C123))*SIN(RADIANS($D123))+$J123*COS(RADIANS($E123))*SIN(RADIANS($F123)))</f>
        <v/>
      </c>
      <c r="M123">
        <f>IF($I123="","",$I123*SIN(RADIANS($C123))+$J123*SIN(RADIANS($E123)))</f>
        <v/>
      </c>
      <c r="N123">
        <f>IF($M123="","",DEGREES(ATAN2(SQRT($K123^2+$L123^2),$M123)))</f>
        <v/>
      </c>
      <c r="O123">
        <f>IF($M123="","",DEGREES(ATAN2($K123,$L123)))</f>
        <v/>
      </c>
      <c r="P123">
        <f t="array" ref="P123">IF($N123="","",IFERROR(IF(INDEX(geo_grid!$B$2:$JU$231,INT(($N123+40)/0.5)+1,INT(($O123+30)/0.5)+1)="","",INDEX(geo_grid!$B$2:$JU$231,INT(($N123+40)/0.5)+1,INT(($O123+30)/0.5)+1)),"OUTSIDE GRID"))</f>
        <v/>
      </c>
      <c r="Q123">
        <f>IF($P123="","",$A123*1000+$B123)</f>
        <v/>
      </c>
    </row>
    <row r="124">
      <c r="A124">
        <f>INT((ROW()-2)/151)+1</f>
        <v/>
      </c>
      <c r="B124">
        <f>MOD(ROW()-2,151)</f>
        <v/>
      </c>
      <c r="C124">
        <f t="array" ref="C124">IFERROR(INDEX('TRIP MANAGER'!$O$18:$O$25,$A124),"")</f>
        <v/>
      </c>
      <c r="D124">
        <f t="array" ref="D124">IFERROR(INDEX('TRIP MANAGER'!$P$18:$P$25,$A124),"")</f>
        <v/>
      </c>
      <c r="E124">
        <f t="array" ref="E124">IFERROR(INDEX('TRIP MANAGER'!$Q$18:$Q$25,$A124),"")</f>
        <v/>
      </c>
      <c r="F124">
        <f t="array" ref="F124">IFERROR(INDEX('TRIP MANAGER'!$R$18:$R$25,$A124),"")</f>
        <v/>
      </c>
      <c r="G124">
        <f t="array" ref="G124">IFERROR(INDEX('TRIP MANAGER'!$S$18:$S$25,$A124),"")</f>
        <v/>
      </c>
      <c r="H124">
        <f>$B124/150</f>
        <v/>
      </c>
      <c r="I124">
        <f>IF(OR($G124="",$G124=0),"",SIN((1-$H124)*$G124)/SIN($G124))</f>
        <v/>
      </c>
      <c r="J124">
        <f>IF($I124="","",SIN($H124*$G124)/SIN($G124))</f>
        <v/>
      </c>
      <c r="K124">
        <f>IF($I124="","",$I124*COS(RADIANS($C124))*COS(RADIANS($D124))+$J124*COS(RADIANS($E124))*COS(RADIANS($F124)))</f>
        <v/>
      </c>
      <c r="L124">
        <f>IF($I124="","",$I124*COS(RADIANS($C124))*SIN(RADIANS($D124))+$J124*COS(RADIANS($E124))*SIN(RADIANS($F124)))</f>
        <v/>
      </c>
      <c r="M124">
        <f>IF($I124="","",$I124*SIN(RADIANS($C124))+$J124*SIN(RADIANS($E124)))</f>
        <v/>
      </c>
      <c r="N124">
        <f>IF($M124="","",DEGREES(ATAN2(SQRT($K124^2+$L124^2),$M124)))</f>
        <v/>
      </c>
      <c r="O124">
        <f>IF($M124="","",DEGREES(ATAN2($K124,$L124)))</f>
        <v/>
      </c>
      <c r="P124">
        <f t="array" ref="P124">IF($N124="","",IFERROR(IF(INDEX(geo_grid!$B$2:$JU$231,INT(($N124+40)/0.5)+1,INT(($O124+30)/0.5)+1)="","",INDEX(geo_grid!$B$2:$JU$231,INT(($N124+40)/0.5)+1,INT(($O124+30)/0.5)+1)),"OUTSIDE GRID"))</f>
        <v/>
      </c>
      <c r="Q124">
        <f>IF($P124="","",$A124*1000+$B124)</f>
        <v/>
      </c>
    </row>
    <row r="125">
      <c r="A125">
        <f>INT((ROW()-2)/151)+1</f>
        <v/>
      </c>
      <c r="B125">
        <f>MOD(ROW()-2,151)</f>
        <v/>
      </c>
      <c r="C125">
        <f t="array" ref="C125">IFERROR(INDEX('TRIP MANAGER'!$O$18:$O$25,$A125),"")</f>
        <v/>
      </c>
      <c r="D125">
        <f t="array" ref="D125">IFERROR(INDEX('TRIP MANAGER'!$P$18:$P$25,$A125),"")</f>
        <v/>
      </c>
      <c r="E125">
        <f t="array" ref="E125">IFERROR(INDEX('TRIP MANAGER'!$Q$18:$Q$25,$A125),"")</f>
        <v/>
      </c>
      <c r="F125">
        <f t="array" ref="F125">IFERROR(INDEX('TRIP MANAGER'!$R$18:$R$25,$A125),"")</f>
        <v/>
      </c>
      <c r="G125">
        <f t="array" ref="G125">IFERROR(INDEX('TRIP MANAGER'!$S$18:$S$25,$A125),"")</f>
        <v/>
      </c>
      <c r="H125">
        <f>$B125/150</f>
        <v/>
      </c>
      <c r="I125">
        <f>IF(OR($G125="",$G125=0),"",SIN((1-$H125)*$G125)/SIN($G125))</f>
        <v/>
      </c>
      <c r="J125">
        <f>IF($I125="","",SIN($H125*$G125)/SIN($G125))</f>
        <v/>
      </c>
      <c r="K125">
        <f>IF($I125="","",$I125*COS(RADIANS($C125))*COS(RADIANS($D125))+$J125*COS(RADIANS($E125))*COS(RADIANS($F125)))</f>
        <v/>
      </c>
      <c r="L125">
        <f>IF($I125="","",$I125*COS(RADIANS($C125))*SIN(RADIANS($D125))+$J125*COS(RADIANS($E125))*SIN(RADIANS($F125)))</f>
        <v/>
      </c>
      <c r="M125">
        <f>IF($I125="","",$I125*SIN(RADIANS($C125))+$J125*SIN(RADIANS($E125)))</f>
        <v/>
      </c>
      <c r="N125">
        <f>IF($M125="","",DEGREES(ATAN2(SQRT($K125^2+$L125^2),$M125)))</f>
        <v/>
      </c>
      <c r="O125">
        <f>IF($M125="","",DEGREES(ATAN2($K125,$L125)))</f>
        <v/>
      </c>
      <c r="P125">
        <f t="array" ref="P125">IF($N125="","",IFERROR(IF(INDEX(geo_grid!$B$2:$JU$231,INT(($N125+40)/0.5)+1,INT(($O125+30)/0.5)+1)="","",INDEX(geo_grid!$B$2:$JU$231,INT(($N125+40)/0.5)+1,INT(($O125+30)/0.5)+1)),"OUTSIDE GRID"))</f>
        <v/>
      </c>
      <c r="Q125">
        <f>IF($P125="","",$A125*1000+$B125)</f>
        <v/>
      </c>
    </row>
    <row r="126">
      <c r="A126">
        <f>INT((ROW()-2)/151)+1</f>
        <v/>
      </c>
      <c r="B126">
        <f>MOD(ROW()-2,151)</f>
        <v/>
      </c>
      <c r="C126">
        <f t="array" ref="C126">IFERROR(INDEX('TRIP MANAGER'!$O$18:$O$25,$A126),"")</f>
        <v/>
      </c>
      <c r="D126">
        <f t="array" ref="D126">IFERROR(INDEX('TRIP MANAGER'!$P$18:$P$25,$A126),"")</f>
        <v/>
      </c>
      <c r="E126">
        <f t="array" ref="E126">IFERROR(INDEX('TRIP MANAGER'!$Q$18:$Q$25,$A126),"")</f>
        <v/>
      </c>
      <c r="F126">
        <f t="array" ref="F126">IFERROR(INDEX('TRIP MANAGER'!$R$18:$R$25,$A126),"")</f>
        <v/>
      </c>
      <c r="G126">
        <f t="array" ref="G126">IFERROR(INDEX('TRIP MANAGER'!$S$18:$S$25,$A126),"")</f>
        <v/>
      </c>
      <c r="H126">
        <f>$B126/150</f>
        <v/>
      </c>
      <c r="I126">
        <f>IF(OR($G126="",$G126=0),"",SIN((1-$H126)*$G126)/SIN($G126))</f>
        <v/>
      </c>
      <c r="J126">
        <f>IF($I126="","",SIN($H126*$G126)/SIN($G126))</f>
        <v/>
      </c>
      <c r="K126">
        <f>IF($I126="","",$I126*COS(RADIANS($C126))*COS(RADIANS($D126))+$J126*COS(RADIANS($E126))*COS(RADIANS($F126)))</f>
        <v/>
      </c>
      <c r="L126">
        <f>IF($I126="","",$I126*COS(RADIANS($C126))*SIN(RADIANS($D126))+$J126*COS(RADIANS($E126))*SIN(RADIANS($F126)))</f>
        <v/>
      </c>
      <c r="M126">
        <f>IF($I126="","",$I126*SIN(RADIANS($C126))+$J126*SIN(RADIANS($E126)))</f>
        <v/>
      </c>
      <c r="N126">
        <f>IF($M126="","",DEGREES(ATAN2(SQRT($K126^2+$L126^2),$M126)))</f>
        <v/>
      </c>
      <c r="O126">
        <f>IF($M126="","",DEGREES(ATAN2($K126,$L126)))</f>
        <v/>
      </c>
      <c r="P126">
        <f t="array" ref="P126">IF($N126="","",IFERROR(IF(INDEX(geo_grid!$B$2:$JU$231,INT(($N126+40)/0.5)+1,INT(($O126+30)/0.5)+1)="","",INDEX(geo_grid!$B$2:$JU$231,INT(($N126+40)/0.5)+1,INT(($O126+30)/0.5)+1)),"OUTSIDE GRID"))</f>
        <v/>
      </c>
      <c r="Q126">
        <f>IF($P126="","",$A126*1000+$B126)</f>
        <v/>
      </c>
    </row>
    <row r="127">
      <c r="A127">
        <f>INT((ROW()-2)/151)+1</f>
        <v/>
      </c>
      <c r="B127">
        <f>MOD(ROW()-2,151)</f>
        <v/>
      </c>
      <c r="C127">
        <f t="array" ref="C127">IFERROR(INDEX('TRIP MANAGER'!$O$18:$O$25,$A127),"")</f>
        <v/>
      </c>
      <c r="D127">
        <f t="array" ref="D127">IFERROR(INDEX('TRIP MANAGER'!$P$18:$P$25,$A127),"")</f>
        <v/>
      </c>
      <c r="E127">
        <f t="array" ref="E127">IFERROR(INDEX('TRIP MANAGER'!$Q$18:$Q$25,$A127),"")</f>
        <v/>
      </c>
      <c r="F127">
        <f t="array" ref="F127">IFERROR(INDEX('TRIP MANAGER'!$R$18:$R$25,$A127),"")</f>
        <v/>
      </c>
      <c r="G127">
        <f t="array" ref="G127">IFERROR(INDEX('TRIP MANAGER'!$S$18:$S$25,$A127),"")</f>
        <v/>
      </c>
      <c r="H127">
        <f>$B127/150</f>
        <v/>
      </c>
      <c r="I127">
        <f>IF(OR($G127="",$G127=0),"",SIN((1-$H127)*$G127)/SIN($G127))</f>
        <v/>
      </c>
      <c r="J127">
        <f>IF($I127="","",SIN($H127*$G127)/SIN($G127))</f>
        <v/>
      </c>
      <c r="K127">
        <f>IF($I127="","",$I127*COS(RADIANS($C127))*COS(RADIANS($D127))+$J127*COS(RADIANS($E127))*COS(RADIANS($F127)))</f>
        <v/>
      </c>
      <c r="L127">
        <f>IF($I127="","",$I127*COS(RADIANS($C127))*SIN(RADIANS($D127))+$J127*COS(RADIANS($E127))*SIN(RADIANS($F127)))</f>
        <v/>
      </c>
      <c r="M127">
        <f>IF($I127="","",$I127*SIN(RADIANS($C127))+$J127*SIN(RADIANS($E127)))</f>
        <v/>
      </c>
      <c r="N127">
        <f>IF($M127="","",DEGREES(ATAN2(SQRT($K127^2+$L127^2),$M127)))</f>
        <v/>
      </c>
      <c r="O127">
        <f>IF($M127="","",DEGREES(ATAN2($K127,$L127)))</f>
        <v/>
      </c>
      <c r="P127">
        <f t="array" ref="P127">IF($N127="","",IFERROR(IF(INDEX(geo_grid!$B$2:$JU$231,INT(($N127+40)/0.5)+1,INT(($O127+30)/0.5)+1)="","",INDEX(geo_grid!$B$2:$JU$231,INT(($N127+40)/0.5)+1,INT(($O127+30)/0.5)+1)),"OUTSIDE GRID"))</f>
        <v/>
      </c>
      <c r="Q127">
        <f>IF($P127="","",$A127*1000+$B127)</f>
        <v/>
      </c>
    </row>
    <row r="128">
      <c r="A128">
        <f>INT((ROW()-2)/151)+1</f>
        <v/>
      </c>
      <c r="B128">
        <f>MOD(ROW()-2,151)</f>
        <v/>
      </c>
      <c r="C128">
        <f t="array" ref="C128">IFERROR(INDEX('TRIP MANAGER'!$O$18:$O$25,$A128),"")</f>
        <v/>
      </c>
      <c r="D128">
        <f t="array" ref="D128">IFERROR(INDEX('TRIP MANAGER'!$P$18:$P$25,$A128),"")</f>
        <v/>
      </c>
      <c r="E128">
        <f t="array" ref="E128">IFERROR(INDEX('TRIP MANAGER'!$Q$18:$Q$25,$A128),"")</f>
        <v/>
      </c>
      <c r="F128">
        <f t="array" ref="F128">IFERROR(INDEX('TRIP MANAGER'!$R$18:$R$25,$A128),"")</f>
        <v/>
      </c>
      <c r="G128">
        <f t="array" ref="G128">IFERROR(INDEX('TRIP MANAGER'!$S$18:$S$25,$A128),"")</f>
        <v/>
      </c>
      <c r="H128">
        <f>$B128/150</f>
        <v/>
      </c>
      <c r="I128">
        <f>IF(OR($G128="",$G128=0),"",SIN((1-$H128)*$G128)/SIN($G128))</f>
        <v/>
      </c>
      <c r="J128">
        <f>IF($I128="","",SIN($H128*$G128)/SIN($G128))</f>
        <v/>
      </c>
      <c r="K128">
        <f>IF($I128="","",$I128*COS(RADIANS($C128))*COS(RADIANS($D128))+$J128*COS(RADIANS($E128))*COS(RADIANS($F128)))</f>
        <v/>
      </c>
      <c r="L128">
        <f>IF($I128="","",$I128*COS(RADIANS($C128))*SIN(RADIANS($D128))+$J128*COS(RADIANS($E128))*SIN(RADIANS($F128)))</f>
        <v/>
      </c>
      <c r="M128">
        <f>IF($I128="","",$I128*SIN(RADIANS($C128))+$J128*SIN(RADIANS($E128)))</f>
        <v/>
      </c>
      <c r="N128">
        <f>IF($M128="","",DEGREES(ATAN2(SQRT($K128^2+$L128^2),$M128)))</f>
        <v/>
      </c>
      <c r="O128">
        <f>IF($M128="","",DEGREES(ATAN2($K128,$L128)))</f>
        <v/>
      </c>
      <c r="P128">
        <f t="array" ref="P128">IF($N128="","",IFERROR(IF(INDEX(geo_grid!$B$2:$JU$231,INT(($N128+40)/0.5)+1,INT(($O128+30)/0.5)+1)="","",INDEX(geo_grid!$B$2:$JU$231,INT(($N128+40)/0.5)+1,INT(($O128+30)/0.5)+1)),"OUTSIDE GRID"))</f>
        <v/>
      </c>
      <c r="Q128">
        <f>IF($P128="","",$A128*1000+$B128)</f>
        <v/>
      </c>
    </row>
    <row r="129">
      <c r="A129">
        <f>INT((ROW()-2)/151)+1</f>
        <v/>
      </c>
      <c r="B129">
        <f>MOD(ROW()-2,151)</f>
        <v/>
      </c>
      <c r="C129">
        <f t="array" ref="C129">IFERROR(INDEX('TRIP MANAGER'!$O$18:$O$25,$A129),"")</f>
        <v/>
      </c>
      <c r="D129">
        <f t="array" ref="D129">IFERROR(INDEX('TRIP MANAGER'!$P$18:$P$25,$A129),"")</f>
        <v/>
      </c>
      <c r="E129">
        <f t="array" ref="E129">IFERROR(INDEX('TRIP MANAGER'!$Q$18:$Q$25,$A129),"")</f>
        <v/>
      </c>
      <c r="F129">
        <f t="array" ref="F129">IFERROR(INDEX('TRIP MANAGER'!$R$18:$R$25,$A129),"")</f>
        <v/>
      </c>
      <c r="G129">
        <f t="array" ref="G129">IFERROR(INDEX('TRIP MANAGER'!$S$18:$S$25,$A129),"")</f>
        <v/>
      </c>
      <c r="H129">
        <f>$B129/150</f>
        <v/>
      </c>
      <c r="I129">
        <f>IF(OR($G129="",$G129=0),"",SIN((1-$H129)*$G129)/SIN($G129))</f>
        <v/>
      </c>
      <c r="J129">
        <f>IF($I129="","",SIN($H129*$G129)/SIN($G129))</f>
        <v/>
      </c>
      <c r="K129">
        <f>IF($I129="","",$I129*COS(RADIANS($C129))*COS(RADIANS($D129))+$J129*COS(RADIANS($E129))*COS(RADIANS($F129)))</f>
        <v/>
      </c>
      <c r="L129">
        <f>IF($I129="","",$I129*COS(RADIANS($C129))*SIN(RADIANS($D129))+$J129*COS(RADIANS($E129))*SIN(RADIANS($F129)))</f>
        <v/>
      </c>
      <c r="M129">
        <f>IF($I129="","",$I129*SIN(RADIANS($C129))+$J129*SIN(RADIANS($E129)))</f>
        <v/>
      </c>
      <c r="N129">
        <f>IF($M129="","",DEGREES(ATAN2(SQRT($K129^2+$L129^2),$M129)))</f>
        <v/>
      </c>
      <c r="O129">
        <f>IF($M129="","",DEGREES(ATAN2($K129,$L129)))</f>
        <v/>
      </c>
      <c r="P129">
        <f t="array" ref="P129">IF($N129="","",IFERROR(IF(INDEX(geo_grid!$B$2:$JU$231,INT(($N129+40)/0.5)+1,INT(($O129+30)/0.5)+1)="","",INDEX(geo_grid!$B$2:$JU$231,INT(($N129+40)/0.5)+1,INT(($O129+30)/0.5)+1)),"OUTSIDE GRID"))</f>
        <v/>
      </c>
      <c r="Q129">
        <f>IF($P129="","",$A129*1000+$B129)</f>
        <v/>
      </c>
    </row>
    <row r="130">
      <c r="A130">
        <f>INT((ROW()-2)/151)+1</f>
        <v/>
      </c>
      <c r="B130">
        <f>MOD(ROW()-2,151)</f>
        <v/>
      </c>
      <c r="C130">
        <f t="array" ref="C130">IFERROR(INDEX('TRIP MANAGER'!$O$18:$O$25,$A130),"")</f>
        <v/>
      </c>
      <c r="D130">
        <f t="array" ref="D130">IFERROR(INDEX('TRIP MANAGER'!$P$18:$P$25,$A130),"")</f>
        <v/>
      </c>
      <c r="E130">
        <f t="array" ref="E130">IFERROR(INDEX('TRIP MANAGER'!$Q$18:$Q$25,$A130),"")</f>
        <v/>
      </c>
      <c r="F130">
        <f t="array" ref="F130">IFERROR(INDEX('TRIP MANAGER'!$R$18:$R$25,$A130),"")</f>
        <v/>
      </c>
      <c r="G130">
        <f t="array" ref="G130">IFERROR(INDEX('TRIP MANAGER'!$S$18:$S$25,$A130),"")</f>
        <v/>
      </c>
      <c r="H130">
        <f>$B130/150</f>
        <v/>
      </c>
      <c r="I130">
        <f>IF(OR($G130="",$G130=0),"",SIN((1-$H130)*$G130)/SIN($G130))</f>
        <v/>
      </c>
      <c r="J130">
        <f>IF($I130="","",SIN($H130*$G130)/SIN($G130))</f>
        <v/>
      </c>
      <c r="K130">
        <f>IF($I130="","",$I130*COS(RADIANS($C130))*COS(RADIANS($D130))+$J130*COS(RADIANS($E130))*COS(RADIANS($F130)))</f>
        <v/>
      </c>
      <c r="L130">
        <f>IF($I130="","",$I130*COS(RADIANS($C130))*SIN(RADIANS($D130))+$J130*COS(RADIANS($E130))*SIN(RADIANS($F130)))</f>
        <v/>
      </c>
      <c r="M130">
        <f>IF($I130="","",$I130*SIN(RADIANS($C130))+$J130*SIN(RADIANS($E130)))</f>
        <v/>
      </c>
      <c r="N130">
        <f>IF($M130="","",DEGREES(ATAN2(SQRT($K130^2+$L130^2),$M130)))</f>
        <v/>
      </c>
      <c r="O130">
        <f>IF($M130="","",DEGREES(ATAN2($K130,$L130)))</f>
        <v/>
      </c>
      <c r="P130">
        <f t="array" ref="P130">IF($N130="","",IFERROR(IF(INDEX(geo_grid!$B$2:$JU$231,INT(($N130+40)/0.5)+1,INT(($O130+30)/0.5)+1)="","",INDEX(geo_grid!$B$2:$JU$231,INT(($N130+40)/0.5)+1,INT(($O130+30)/0.5)+1)),"OUTSIDE GRID"))</f>
        <v/>
      </c>
      <c r="Q130">
        <f>IF($P130="","",$A130*1000+$B130)</f>
        <v/>
      </c>
    </row>
    <row r="131">
      <c r="A131">
        <f>INT((ROW()-2)/151)+1</f>
        <v/>
      </c>
      <c r="B131">
        <f>MOD(ROW()-2,151)</f>
        <v/>
      </c>
      <c r="C131">
        <f t="array" ref="C131">IFERROR(INDEX('TRIP MANAGER'!$O$18:$O$25,$A131),"")</f>
        <v/>
      </c>
      <c r="D131">
        <f t="array" ref="D131">IFERROR(INDEX('TRIP MANAGER'!$P$18:$P$25,$A131),"")</f>
        <v/>
      </c>
      <c r="E131">
        <f t="array" ref="E131">IFERROR(INDEX('TRIP MANAGER'!$Q$18:$Q$25,$A131),"")</f>
        <v/>
      </c>
      <c r="F131">
        <f t="array" ref="F131">IFERROR(INDEX('TRIP MANAGER'!$R$18:$R$25,$A131),"")</f>
        <v/>
      </c>
      <c r="G131">
        <f t="array" ref="G131">IFERROR(INDEX('TRIP MANAGER'!$S$18:$S$25,$A131),"")</f>
        <v/>
      </c>
      <c r="H131">
        <f>$B131/150</f>
        <v/>
      </c>
      <c r="I131">
        <f>IF(OR($G131="",$G131=0),"",SIN((1-$H131)*$G131)/SIN($G131))</f>
        <v/>
      </c>
      <c r="J131">
        <f>IF($I131="","",SIN($H131*$G131)/SIN($G131))</f>
        <v/>
      </c>
      <c r="K131">
        <f>IF($I131="","",$I131*COS(RADIANS($C131))*COS(RADIANS($D131))+$J131*COS(RADIANS($E131))*COS(RADIANS($F131)))</f>
        <v/>
      </c>
      <c r="L131">
        <f>IF($I131="","",$I131*COS(RADIANS($C131))*SIN(RADIANS($D131))+$J131*COS(RADIANS($E131))*SIN(RADIANS($F131)))</f>
        <v/>
      </c>
      <c r="M131">
        <f>IF($I131="","",$I131*SIN(RADIANS($C131))+$J131*SIN(RADIANS($E131)))</f>
        <v/>
      </c>
      <c r="N131">
        <f>IF($M131="","",DEGREES(ATAN2(SQRT($K131^2+$L131^2),$M131)))</f>
        <v/>
      </c>
      <c r="O131">
        <f>IF($M131="","",DEGREES(ATAN2($K131,$L131)))</f>
        <v/>
      </c>
      <c r="P131">
        <f t="array" ref="P131">IF($N131="","",IFERROR(IF(INDEX(geo_grid!$B$2:$JU$231,INT(($N131+40)/0.5)+1,INT(($O131+30)/0.5)+1)="","",INDEX(geo_grid!$B$2:$JU$231,INT(($N131+40)/0.5)+1,INT(($O131+30)/0.5)+1)),"OUTSIDE GRID"))</f>
        <v/>
      </c>
      <c r="Q131">
        <f>IF($P131="","",$A131*1000+$B131)</f>
        <v/>
      </c>
    </row>
    <row r="132">
      <c r="A132">
        <f>INT((ROW()-2)/151)+1</f>
        <v/>
      </c>
      <c r="B132">
        <f>MOD(ROW()-2,151)</f>
        <v/>
      </c>
      <c r="C132">
        <f t="array" ref="C132">IFERROR(INDEX('TRIP MANAGER'!$O$18:$O$25,$A132),"")</f>
        <v/>
      </c>
      <c r="D132">
        <f t="array" ref="D132">IFERROR(INDEX('TRIP MANAGER'!$P$18:$P$25,$A132),"")</f>
        <v/>
      </c>
      <c r="E132">
        <f t="array" ref="E132">IFERROR(INDEX('TRIP MANAGER'!$Q$18:$Q$25,$A132),"")</f>
        <v/>
      </c>
      <c r="F132">
        <f t="array" ref="F132">IFERROR(INDEX('TRIP MANAGER'!$R$18:$R$25,$A132),"")</f>
        <v/>
      </c>
      <c r="G132">
        <f t="array" ref="G132">IFERROR(INDEX('TRIP MANAGER'!$S$18:$S$25,$A132),"")</f>
        <v/>
      </c>
      <c r="H132">
        <f>$B132/150</f>
        <v/>
      </c>
      <c r="I132">
        <f>IF(OR($G132="",$G132=0),"",SIN((1-$H132)*$G132)/SIN($G132))</f>
        <v/>
      </c>
      <c r="J132">
        <f>IF($I132="","",SIN($H132*$G132)/SIN($G132))</f>
        <v/>
      </c>
      <c r="K132">
        <f>IF($I132="","",$I132*COS(RADIANS($C132))*COS(RADIANS($D132))+$J132*COS(RADIANS($E132))*COS(RADIANS($F132)))</f>
        <v/>
      </c>
      <c r="L132">
        <f>IF($I132="","",$I132*COS(RADIANS($C132))*SIN(RADIANS($D132))+$J132*COS(RADIANS($E132))*SIN(RADIANS($F132)))</f>
        <v/>
      </c>
      <c r="M132">
        <f>IF($I132="","",$I132*SIN(RADIANS($C132))+$J132*SIN(RADIANS($E132)))</f>
        <v/>
      </c>
      <c r="N132">
        <f>IF($M132="","",DEGREES(ATAN2(SQRT($K132^2+$L132^2),$M132)))</f>
        <v/>
      </c>
      <c r="O132">
        <f>IF($M132="","",DEGREES(ATAN2($K132,$L132)))</f>
        <v/>
      </c>
      <c r="P132">
        <f t="array" ref="P132">IF($N132="","",IFERROR(IF(INDEX(geo_grid!$B$2:$JU$231,INT(($N132+40)/0.5)+1,INT(($O132+30)/0.5)+1)="","",INDEX(geo_grid!$B$2:$JU$231,INT(($N132+40)/0.5)+1,INT(($O132+30)/0.5)+1)),"OUTSIDE GRID"))</f>
        <v/>
      </c>
      <c r="Q132">
        <f>IF($P132="","",$A132*1000+$B132)</f>
        <v/>
      </c>
    </row>
    <row r="133">
      <c r="A133">
        <f>INT((ROW()-2)/151)+1</f>
        <v/>
      </c>
      <c r="B133">
        <f>MOD(ROW()-2,151)</f>
        <v/>
      </c>
      <c r="C133">
        <f t="array" ref="C133">IFERROR(INDEX('TRIP MANAGER'!$O$18:$O$25,$A133),"")</f>
        <v/>
      </c>
      <c r="D133">
        <f t="array" ref="D133">IFERROR(INDEX('TRIP MANAGER'!$P$18:$P$25,$A133),"")</f>
        <v/>
      </c>
      <c r="E133">
        <f t="array" ref="E133">IFERROR(INDEX('TRIP MANAGER'!$Q$18:$Q$25,$A133),"")</f>
        <v/>
      </c>
      <c r="F133">
        <f t="array" ref="F133">IFERROR(INDEX('TRIP MANAGER'!$R$18:$R$25,$A133),"")</f>
        <v/>
      </c>
      <c r="G133">
        <f t="array" ref="G133">IFERROR(INDEX('TRIP MANAGER'!$S$18:$S$25,$A133),"")</f>
        <v/>
      </c>
      <c r="H133">
        <f>$B133/150</f>
        <v/>
      </c>
      <c r="I133">
        <f>IF(OR($G133="",$G133=0),"",SIN((1-$H133)*$G133)/SIN($G133))</f>
        <v/>
      </c>
      <c r="J133">
        <f>IF($I133="","",SIN($H133*$G133)/SIN($G133))</f>
        <v/>
      </c>
      <c r="K133">
        <f>IF($I133="","",$I133*COS(RADIANS($C133))*COS(RADIANS($D133))+$J133*COS(RADIANS($E133))*COS(RADIANS($F133)))</f>
        <v/>
      </c>
      <c r="L133">
        <f>IF($I133="","",$I133*COS(RADIANS($C133))*SIN(RADIANS($D133))+$J133*COS(RADIANS($E133))*SIN(RADIANS($F133)))</f>
        <v/>
      </c>
      <c r="M133">
        <f>IF($I133="","",$I133*SIN(RADIANS($C133))+$J133*SIN(RADIANS($E133)))</f>
        <v/>
      </c>
      <c r="N133">
        <f>IF($M133="","",DEGREES(ATAN2(SQRT($K133^2+$L133^2),$M133)))</f>
        <v/>
      </c>
      <c r="O133">
        <f>IF($M133="","",DEGREES(ATAN2($K133,$L133)))</f>
        <v/>
      </c>
      <c r="P133">
        <f t="array" ref="P133">IF($N133="","",IFERROR(IF(INDEX(geo_grid!$B$2:$JU$231,INT(($N133+40)/0.5)+1,INT(($O133+30)/0.5)+1)="","",INDEX(geo_grid!$B$2:$JU$231,INT(($N133+40)/0.5)+1,INT(($O133+30)/0.5)+1)),"OUTSIDE GRID"))</f>
        <v/>
      </c>
      <c r="Q133">
        <f>IF($P133="","",$A133*1000+$B133)</f>
        <v/>
      </c>
    </row>
    <row r="134">
      <c r="A134">
        <f>INT((ROW()-2)/151)+1</f>
        <v/>
      </c>
      <c r="B134">
        <f>MOD(ROW()-2,151)</f>
        <v/>
      </c>
      <c r="C134">
        <f t="array" ref="C134">IFERROR(INDEX('TRIP MANAGER'!$O$18:$O$25,$A134),"")</f>
        <v/>
      </c>
      <c r="D134">
        <f t="array" ref="D134">IFERROR(INDEX('TRIP MANAGER'!$P$18:$P$25,$A134),"")</f>
        <v/>
      </c>
      <c r="E134">
        <f t="array" ref="E134">IFERROR(INDEX('TRIP MANAGER'!$Q$18:$Q$25,$A134),"")</f>
        <v/>
      </c>
      <c r="F134">
        <f t="array" ref="F134">IFERROR(INDEX('TRIP MANAGER'!$R$18:$R$25,$A134),"")</f>
        <v/>
      </c>
      <c r="G134">
        <f t="array" ref="G134">IFERROR(INDEX('TRIP MANAGER'!$S$18:$S$25,$A134),"")</f>
        <v/>
      </c>
      <c r="H134">
        <f>$B134/150</f>
        <v/>
      </c>
      <c r="I134">
        <f>IF(OR($G134="",$G134=0),"",SIN((1-$H134)*$G134)/SIN($G134))</f>
        <v/>
      </c>
      <c r="J134">
        <f>IF($I134="","",SIN($H134*$G134)/SIN($G134))</f>
        <v/>
      </c>
      <c r="K134">
        <f>IF($I134="","",$I134*COS(RADIANS($C134))*COS(RADIANS($D134))+$J134*COS(RADIANS($E134))*COS(RADIANS($F134)))</f>
        <v/>
      </c>
      <c r="L134">
        <f>IF($I134="","",$I134*COS(RADIANS($C134))*SIN(RADIANS($D134))+$J134*COS(RADIANS($E134))*SIN(RADIANS($F134)))</f>
        <v/>
      </c>
      <c r="M134">
        <f>IF($I134="","",$I134*SIN(RADIANS($C134))+$J134*SIN(RADIANS($E134)))</f>
        <v/>
      </c>
      <c r="N134">
        <f>IF($M134="","",DEGREES(ATAN2(SQRT($K134^2+$L134^2),$M134)))</f>
        <v/>
      </c>
      <c r="O134">
        <f>IF($M134="","",DEGREES(ATAN2($K134,$L134)))</f>
        <v/>
      </c>
      <c r="P134">
        <f t="array" ref="P134">IF($N134="","",IFERROR(IF(INDEX(geo_grid!$B$2:$JU$231,INT(($N134+40)/0.5)+1,INT(($O134+30)/0.5)+1)="","",INDEX(geo_grid!$B$2:$JU$231,INT(($N134+40)/0.5)+1,INT(($O134+30)/0.5)+1)),"OUTSIDE GRID"))</f>
        <v/>
      </c>
      <c r="Q134">
        <f>IF($P134="","",$A134*1000+$B134)</f>
        <v/>
      </c>
    </row>
    <row r="135">
      <c r="A135">
        <f>INT((ROW()-2)/151)+1</f>
        <v/>
      </c>
      <c r="B135">
        <f>MOD(ROW()-2,151)</f>
        <v/>
      </c>
      <c r="C135">
        <f t="array" ref="C135">IFERROR(INDEX('TRIP MANAGER'!$O$18:$O$25,$A135),"")</f>
        <v/>
      </c>
      <c r="D135">
        <f t="array" ref="D135">IFERROR(INDEX('TRIP MANAGER'!$P$18:$P$25,$A135),"")</f>
        <v/>
      </c>
      <c r="E135">
        <f t="array" ref="E135">IFERROR(INDEX('TRIP MANAGER'!$Q$18:$Q$25,$A135),"")</f>
        <v/>
      </c>
      <c r="F135">
        <f t="array" ref="F135">IFERROR(INDEX('TRIP MANAGER'!$R$18:$R$25,$A135),"")</f>
        <v/>
      </c>
      <c r="G135">
        <f t="array" ref="G135">IFERROR(INDEX('TRIP MANAGER'!$S$18:$S$25,$A135),"")</f>
        <v/>
      </c>
      <c r="H135">
        <f>$B135/150</f>
        <v/>
      </c>
      <c r="I135">
        <f>IF(OR($G135="",$G135=0),"",SIN((1-$H135)*$G135)/SIN($G135))</f>
        <v/>
      </c>
      <c r="J135">
        <f>IF($I135="","",SIN($H135*$G135)/SIN($G135))</f>
        <v/>
      </c>
      <c r="K135">
        <f>IF($I135="","",$I135*COS(RADIANS($C135))*COS(RADIANS($D135))+$J135*COS(RADIANS($E135))*COS(RADIANS($F135)))</f>
        <v/>
      </c>
      <c r="L135">
        <f>IF($I135="","",$I135*COS(RADIANS($C135))*SIN(RADIANS($D135))+$J135*COS(RADIANS($E135))*SIN(RADIANS($F135)))</f>
        <v/>
      </c>
      <c r="M135">
        <f>IF($I135="","",$I135*SIN(RADIANS($C135))+$J135*SIN(RADIANS($E135)))</f>
        <v/>
      </c>
      <c r="N135">
        <f>IF($M135="","",DEGREES(ATAN2(SQRT($K135^2+$L135^2),$M135)))</f>
        <v/>
      </c>
      <c r="O135">
        <f>IF($M135="","",DEGREES(ATAN2($K135,$L135)))</f>
        <v/>
      </c>
      <c r="P135">
        <f t="array" ref="P135">IF($N135="","",IFERROR(IF(INDEX(geo_grid!$B$2:$JU$231,INT(($N135+40)/0.5)+1,INT(($O135+30)/0.5)+1)="","",INDEX(geo_grid!$B$2:$JU$231,INT(($N135+40)/0.5)+1,INT(($O135+30)/0.5)+1)),"OUTSIDE GRID"))</f>
        <v/>
      </c>
      <c r="Q135">
        <f>IF($P135="","",$A135*1000+$B135)</f>
        <v/>
      </c>
    </row>
    <row r="136">
      <c r="A136">
        <f>INT((ROW()-2)/151)+1</f>
        <v/>
      </c>
      <c r="B136">
        <f>MOD(ROW()-2,151)</f>
        <v/>
      </c>
      <c r="C136">
        <f t="array" ref="C136">IFERROR(INDEX('TRIP MANAGER'!$O$18:$O$25,$A136),"")</f>
        <v/>
      </c>
      <c r="D136">
        <f t="array" ref="D136">IFERROR(INDEX('TRIP MANAGER'!$P$18:$P$25,$A136),"")</f>
        <v/>
      </c>
      <c r="E136">
        <f t="array" ref="E136">IFERROR(INDEX('TRIP MANAGER'!$Q$18:$Q$25,$A136),"")</f>
        <v/>
      </c>
      <c r="F136">
        <f t="array" ref="F136">IFERROR(INDEX('TRIP MANAGER'!$R$18:$R$25,$A136),"")</f>
        <v/>
      </c>
      <c r="G136">
        <f t="array" ref="G136">IFERROR(INDEX('TRIP MANAGER'!$S$18:$S$25,$A136),"")</f>
        <v/>
      </c>
      <c r="H136">
        <f>$B136/150</f>
        <v/>
      </c>
      <c r="I136">
        <f>IF(OR($G136="",$G136=0),"",SIN((1-$H136)*$G136)/SIN($G136))</f>
        <v/>
      </c>
      <c r="J136">
        <f>IF($I136="","",SIN($H136*$G136)/SIN($G136))</f>
        <v/>
      </c>
      <c r="K136">
        <f>IF($I136="","",$I136*COS(RADIANS($C136))*COS(RADIANS($D136))+$J136*COS(RADIANS($E136))*COS(RADIANS($F136)))</f>
        <v/>
      </c>
      <c r="L136">
        <f>IF($I136="","",$I136*COS(RADIANS($C136))*SIN(RADIANS($D136))+$J136*COS(RADIANS($E136))*SIN(RADIANS($F136)))</f>
        <v/>
      </c>
      <c r="M136">
        <f>IF($I136="","",$I136*SIN(RADIANS($C136))+$J136*SIN(RADIANS($E136)))</f>
        <v/>
      </c>
      <c r="N136">
        <f>IF($M136="","",DEGREES(ATAN2(SQRT($K136^2+$L136^2),$M136)))</f>
        <v/>
      </c>
      <c r="O136">
        <f>IF($M136="","",DEGREES(ATAN2($K136,$L136)))</f>
        <v/>
      </c>
      <c r="P136">
        <f t="array" ref="P136">IF($N136="","",IFERROR(IF(INDEX(geo_grid!$B$2:$JU$231,INT(($N136+40)/0.5)+1,INT(($O136+30)/0.5)+1)="","",INDEX(geo_grid!$B$2:$JU$231,INT(($N136+40)/0.5)+1,INT(($O136+30)/0.5)+1)),"OUTSIDE GRID"))</f>
        <v/>
      </c>
      <c r="Q136">
        <f>IF($P136="","",$A136*1000+$B136)</f>
        <v/>
      </c>
    </row>
    <row r="137">
      <c r="A137">
        <f>INT((ROW()-2)/151)+1</f>
        <v/>
      </c>
      <c r="B137">
        <f>MOD(ROW()-2,151)</f>
        <v/>
      </c>
      <c r="C137">
        <f t="array" ref="C137">IFERROR(INDEX('TRIP MANAGER'!$O$18:$O$25,$A137),"")</f>
        <v/>
      </c>
      <c r="D137">
        <f t="array" ref="D137">IFERROR(INDEX('TRIP MANAGER'!$P$18:$P$25,$A137),"")</f>
        <v/>
      </c>
      <c r="E137">
        <f t="array" ref="E137">IFERROR(INDEX('TRIP MANAGER'!$Q$18:$Q$25,$A137),"")</f>
        <v/>
      </c>
      <c r="F137">
        <f t="array" ref="F137">IFERROR(INDEX('TRIP MANAGER'!$R$18:$R$25,$A137),"")</f>
        <v/>
      </c>
      <c r="G137">
        <f t="array" ref="G137">IFERROR(INDEX('TRIP MANAGER'!$S$18:$S$25,$A137),"")</f>
        <v/>
      </c>
      <c r="H137">
        <f>$B137/150</f>
        <v/>
      </c>
      <c r="I137">
        <f>IF(OR($G137="",$G137=0),"",SIN((1-$H137)*$G137)/SIN($G137))</f>
        <v/>
      </c>
      <c r="J137">
        <f>IF($I137="","",SIN($H137*$G137)/SIN($G137))</f>
        <v/>
      </c>
      <c r="K137">
        <f>IF($I137="","",$I137*COS(RADIANS($C137))*COS(RADIANS($D137))+$J137*COS(RADIANS($E137))*COS(RADIANS($F137)))</f>
        <v/>
      </c>
      <c r="L137">
        <f>IF($I137="","",$I137*COS(RADIANS($C137))*SIN(RADIANS($D137))+$J137*COS(RADIANS($E137))*SIN(RADIANS($F137)))</f>
        <v/>
      </c>
      <c r="M137">
        <f>IF($I137="","",$I137*SIN(RADIANS($C137))+$J137*SIN(RADIANS($E137)))</f>
        <v/>
      </c>
      <c r="N137">
        <f>IF($M137="","",DEGREES(ATAN2(SQRT($K137^2+$L137^2),$M137)))</f>
        <v/>
      </c>
      <c r="O137">
        <f>IF($M137="","",DEGREES(ATAN2($K137,$L137)))</f>
        <v/>
      </c>
      <c r="P137">
        <f t="array" ref="P137">IF($N137="","",IFERROR(IF(INDEX(geo_grid!$B$2:$JU$231,INT(($N137+40)/0.5)+1,INT(($O137+30)/0.5)+1)="","",INDEX(geo_grid!$B$2:$JU$231,INT(($N137+40)/0.5)+1,INT(($O137+30)/0.5)+1)),"OUTSIDE GRID"))</f>
        <v/>
      </c>
      <c r="Q137">
        <f>IF($P137="","",$A137*1000+$B137)</f>
        <v/>
      </c>
    </row>
    <row r="138">
      <c r="A138">
        <f>INT((ROW()-2)/151)+1</f>
        <v/>
      </c>
      <c r="B138">
        <f>MOD(ROW()-2,151)</f>
        <v/>
      </c>
      <c r="C138">
        <f t="array" ref="C138">IFERROR(INDEX('TRIP MANAGER'!$O$18:$O$25,$A138),"")</f>
        <v/>
      </c>
      <c r="D138">
        <f t="array" ref="D138">IFERROR(INDEX('TRIP MANAGER'!$P$18:$P$25,$A138),"")</f>
        <v/>
      </c>
      <c r="E138">
        <f t="array" ref="E138">IFERROR(INDEX('TRIP MANAGER'!$Q$18:$Q$25,$A138),"")</f>
        <v/>
      </c>
      <c r="F138">
        <f t="array" ref="F138">IFERROR(INDEX('TRIP MANAGER'!$R$18:$R$25,$A138),"")</f>
        <v/>
      </c>
      <c r="G138">
        <f t="array" ref="G138">IFERROR(INDEX('TRIP MANAGER'!$S$18:$S$25,$A138),"")</f>
        <v/>
      </c>
      <c r="H138">
        <f>$B138/150</f>
        <v/>
      </c>
      <c r="I138">
        <f>IF(OR($G138="",$G138=0),"",SIN((1-$H138)*$G138)/SIN($G138))</f>
        <v/>
      </c>
      <c r="J138">
        <f>IF($I138="","",SIN($H138*$G138)/SIN($G138))</f>
        <v/>
      </c>
      <c r="K138">
        <f>IF($I138="","",$I138*COS(RADIANS($C138))*COS(RADIANS($D138))+$J138*COS(RADIANS($E138))*COS(RADIANS($F138)))</f>
        <v/>
      </c>
      <c r="L138">
        <f>IF($I138="","",$I138*COS(RADIANS($C138))*SIN(RADIANS($D138))+$J138*COS(RADIANS($E138))*SIN(RADIANS($F138)))</f>
        <v/>
      </c>
      <c r="M138">
        <f>IF($I138="","",$I138*SIN(RADIANS($C138))+$J138*SIN(RADIANS($E138)))</f>
        <v/>
      </c>
      <c r="N138">
        <f>IF($M138="","",DEGREES(ATAN2(SQRT($K138^2+$L138^2),$M138)))</f>
        <v/>
      </c>
      <c r="O138">
        <f>IF($M138="","",DEGREES(ATAN2($K138,$L138)))</f>
        <v/>
      </c>
      <c r="P138">
        <f t="array" ref="P138">IF($N138="","",IFERROR(IF(INDEX(geo_grid!$B$2:$JU$231,INT(($N138+40)/0.5)+1,INT(($O138+30)/0.5)+1)="","",INDEX(geo_grid!$B$2:$JU$231,INT(($N138+40)/0.5)+1,INT(($O138+30)/0.5)+1)),"OUTSIDE GRID"))</f>
        <v/>
      </c>
      <c r="Q138">
        <f>IF($P138="","",$A138*1000+$B138)</f>
        <v/>
      </c>
    </row>
    <row r="139">
      <c r="A139">
        <f>INT((ROW()-2)/151)+1</f>
        <v/>
      </c>
      <c r="B139">
        <f>MOD(ROW()-2,151)</f>
        <v/>
      </c>
      <c r="C139">
        <f t="array" ref="C139">IFERROR(INDEX('TRIP MANAGER'!$O$18:$O$25,$A139),"")</f>
        <v/>
      </c>
      <c r="D139">
        <f t="array" ref="D139">IFERROR(INDEX('TRIP MANAGER'!$P$18:$P$25,$A139),"")</f>
        <v/>
      </c>
      <c r="E139">
        <f t="array" ref="E139">IFERROR(INDEX('TRIP MANAGER'!$Q$18:$Q$25,$A139),"")</f>
        <v/>
      </c>
      <c r="F139">
        <f t="array" ref="F139">IFERROR(INDEX('TRIP MANAGER'!$R$18:$R$25,$A139),"")</f>
        <v/>
      </c>
      <c r="G139">
        <f t="array" ref="G139">IFERROR(INDEX('TRIP MANAGER'!$S$18:$S$25,$A139),"")</f>
        <v/>
      </c>
      <c r="H139">
        <f>$B139/150</f>
        <v/>
      </c>
      <c r="I139">
        <f>IF(OR($G139="",$G139=0),"",SIN((1-$H139)*$G139)/SIN($G139))</f>
        <v/>
      </c>
      <c r="J139">
        <f>IF($I139="","",SIN($H139*$G139)/SIN($G139))</f>
        <v/>
      </c>
      <c r="K139">
        <f>IF($I139="","",$I139*COS(RADIANS($C139))*COS(RADIANS($D139))+$J139*COS(RADIANS($E139))*COS(RADIANS($F139)))</f>
        <v/>
      </c>
      <c r="L139">
        <f>IF($I139="","",$I139*COS(RADIANS($C139))*SIN(RADIANS($D139))+$J139*COS(RADIANS($E139))*SIN(RADIANS($F139)))</f>
        <v/>
      </c>
      <c r="M139">
        <f>IF($I139="","",$I139*SIN(RADIANS($C139))+$J139*SIN(RADIANS($E139)))</f>
        <v/>
      </c>
      <c r="N139">
        <f>IF($M139="","",DEGREES(ATAN2(SQRT($K139^2+$L139^2),$M139)))</f>
        <v/>
      </c>
      <c r="O139">
        <f>IF($M139="","",DEGREES(ATAN2($K139,$L139)))</f>
        <v/>
      </c>
      <c r="P139">
        <f t="array" ref="P139">IF($N139="","",IFERROR(IF(INDEX(geo_grid!$B$2:$JU$231,INT(($N139+40)/0.5)+1,INT(($O139+30)/0.5)+1)="","",INDEX(geo_grid!$B$2:$JU$231,INT(($N139+40)/0.5)+1,INT(($O139+30)/0.5)+1)),"OUTSIDE GRID"))</f>
        <v/>
      </c>
      <c r="Q139">
        <f>IF($P139="","",$A139*1000+$B139)</f>
        <v/>
      </c>
    </row>
    <row r="140">
      <c r="A140">
        <f>INT((ROW()-2)/151)+1</f>
        <v/>
      </c>
      <c r="B140">
        <f>MOD(ROW()-2,151)</f>
        <v/>
      </c>
      <c r="C140">
        <f t="array" ref="C140">IFERROR(INDEX('TRIP MANAGER'!$O$18:$O$25,$A140),"")</f>
        <v/>
      </c>
      <c r="D140">
        <f t="array" ref="D140">IFERROR(INDEX('TRIP MANAGER'!$P$18:$P$25,$A140),"")</f>
        <v/>
      </c>
      <c r="E140">
        <f t="array" ref="E140">IFERROR(INDEX('TRIP MANAGER'!$Q$18:$Q$25,$A140),"")</f>
        <v/>
      </c>
      <c r="F140">
        <f t="array" ref="F140">IFERROR(INDEX('TRIP MANAGER'!$R$18:$R$25,$A140),"")</f>
        <v/>
      </c>
      <c r="G140">
        <f t="array" ref="G140">IFERROR(INDEX('TRIP MANAGER'!$S$18:$S$25,$A140),"")</f>
        <v/>
      </c>
      <c r="H140">
        <f>$B140/150</f>
        <v/>
      </c>
      <c r="I140">
        <f>IF(OR($G140="",$G140=0),"",SIN((1-$H140)*$G140)/SIN($G140))</f>
        <v/>
      </c>
      <c r="J140">
        <f>IF($I140="","",SIN($H140*$G140)/SIN($G140))</f>
        <v/>
      </c>
      <c r="K140">
        <f>IF($I140="","",$I140*COS(RADIANS($C140))*COS(RADIANS($D140))+$J140*COS(RADIANS($E140))*COS(RADIANS($F140)))</f>
        <v/>
      </c>
      <c r="L140">
        <f>IF($I140="","",$I140*COS(RADIANS($C140))*SIN(RADIANS($D140))+$J140*COS(RADIANS($E140))*SIN(RADIANS($F140)))</f>
        <v/>
      </c>
      <c r="M140">
        <f>IF($I140="","",$I140*SIN(RADIANS($C140))+$J140*SIN(RADIANS($E140)))</f>
        <v/>
      </c>
      <c r="N140">
        <f>IF($M140="","",DEGREES(ATAN2(SQRT($K140^2+$L140^2),$M140)))</f>
        <v/>
      </c>
      <c r="O140">
        <f>IF($M140="","",DEGREES(ATAN2($K140,$L140)))</f>
        <v/>
      </c>
      <c r="P140">
        <f t="array" ref="P140">IF($N140="","",IFERROR(IF(INDEX(geo_grid!$B$2:$JU$231,INT(($N140+40)/0.5)+1,INT(($O140+30)/0.5)+1)="","",INDEX(geo_grid!$B$2:$JU$231,INT(($N140+40)/0.5)+1,INT(($O140+30)/0.5)+1)),"OUTSIDE GRID"))</f>
        <v/>
      </c>
      <c r="Q140">
        <f>IF($P140="","",$A140*1000+$B140)</f>
        <v/>
      </c>
    </row>
    <row r="141">
      <c r="A141">
        <f>INT((ROW()-2)/151)+1</f>
        <v/>
      </c>
      <c r="B141">
        <f>MOD(ROW()-2,151)</f>
        <v/>
      </c>
      <c r="C141">
        <f t="array" ref="C141">IFERROR(INDEX('TRIP MANAGER'!$O$18:$O$25,$A141),"")</f>
        <v/>
      </c>
      <c r="D141">
        <f t="array" ref="D141">IFERROR(INDEX('TRIP MANAGER'!$P$18:$P$25,$A141),"")</f>
        <v/>
      </c>
      <c r="E141">
        <f t="array" ref="E141">IFERROR(INDEX('TRIP MANAGER'!$Q$18:$Q$25,$A141),"")</f>
        <v/>
      </c>
      <c r="F141">
        <f t="array" ref="F141">IFERROR(INDEX('TRIP MANAGER'!$R$18:$R$25,$A141),"")</f>
        <v/>
      </c>
      <c r="G141">
        <f t="array" ref="G141">IFERROR(INDEX('TRIP MANAGER'!$S$18:$S$25,$A141),"")</f>
        <v/>
      </c>
      <c r="H141">
        <f>$B141/150</f>
        <v/>
      </c>
      <c r="I141">
        <f>IF(OR($G141="",$G141=0),"",SIN((1-$H141)*$G141)/SIN($G141))</f>
        <v/>
      </c>
      <c r="J141">
        <f>IF($I141="","",SIN($H141*$G141)/SIN($G141))</f>
        <v/>
      </c>
      <c r="K141">
        <f>IF($I141="","",$I141*COS(RADIANS($C141))*COS(RADIANS($D141))+$J141*COS(RADIANS($E141))*COS(RADIANS($F141)))</f>
        <v/>
      </c>
      <c r="L141">
        <f>IF($I141="","",$I141*COS(RADIANS($C141))*SIN(RADIANS($D141))+$J141*COS(RADIANS($E141))*SIN(RADIANS($F141)))</f>
        <v/>
      </c>
      <c r="M141">
        <f>IF($I141="","",$I141*SIN(RADIANS($C141))+$J141*SIN(RADIANS($E141)))</f>
        <v/>
      </c>
      <c r="N141">
        <f>IF($M141="","",DEGREES(ATAN2(SQRT($K141^2+$L141^2),$M141)))</f>
        <v/>
      </c>
      <c r="O141">
        <f>IF($M141="","",DEGREES(ATAN2($K141,$L141)))</f>
        <v/>
      </c>
      <c r="P141">
        <f t="array" ref="P141">IF($N141="","",IFERROR(IF(INDEX(geo_grid!$B$2:$JU$231,INT(($N141+40)/0.5)+1,INT(($O141+30)/0.5)+1)="","",INDEX(geo_grid!$B$2:$JU$231,INT(($N141+40)/0.5)+1,INT(($O141+30)/0.5)+1)),"OUTSIDE GRID"))</f>
        <v/>
      </c>
      <c r="Q141">
        <f>IF($P141="","",$A141*1000+$B141)</f>
        <v/>
      </c>
    </row>
    <row r="142">
      <c r="A142">
        <f>INT((ROW()-2)/151)+1</f>
        <v/>
      </c>
      <c r="B142">
        <f>MOD(ROW()-2,151)</f>
        <v/>
      </c>
      <c r="C142">
        <f t="array" ref="C142">IFERROR(INDEX('TRIP MANAGER'!$O$18:$O$25,$A142),"")</f>
        <v/>
      </c>
      <c r="D142">
        <f t="array" ref="D142">IFERROR(INDEX('TRIP MANAGER'!$P$18:$P$25,$A142),"")</f>
        <v/>
      </c>
      <c r="E142">
        <f t="array" ref="E142">IFERROR(INDEX('TRIP MANAGER'!$Q$18:$Q$25,$A142),"")</f>
        <v/>
      </c>
      <c r="F142">
        <f t="array" ref="F142">IFERROR(INDEX('TRIP MANAGER'!$R$18:$R$25,$A142),"")</f>
        <v/>
      </c>
      <c r="G142">
        <f t="array" ref="G142">IFERROR(INDEX('TRIP MANAGER'!$S$18:$S$25,$A142),"")</f>
        <v/>
      </c>
      <c r="H142">
        <f>$B142/150</f>
        <v/>
      </c>
      <c r="I142">
        <f>IF(OR($G142="",$G142=0),"",SIN((1-$H142)*$G142)/SIN($G142))</f>
        <v/>
      </c>
      <c r="J142">
        <f>IF($I142="","",SIN($H142*$G142)/SIN($G142))</f>
        <v/>
      </c>
      <c r="K142">
        <f>IF($I142="","",$I142*COS(RADIANS($C142))*COS(RADIANS($D142))+$J142*COS(RADIANS($E142))*COS(RADIANS($F142)))</f>
        <v/>
      </c>
      <c r="L142">
        <f>IF($I142="","",$I142*COS(RADIANS($C142))*SIN(RADIANS($D142))+$J142*COS(RADIANS($E142))*SIN(RADIANS($F142)))</f>
        <v/>
      </c>
      <c r="M142">
        <f>IF($I142="","",$I142*SIN(RADIANS($C142))+$J142*SIN(RADIANS($E142)))</f>
        <v/>
      </c>
      <c r="N142">
        <f>IF($M142="","",DEGREES(ATAN2(SQRT($K142^2+$L142^2),$M142)))</f>
        <v/>
      </c>
      <c r="O142">
        <f>IF($M142="","",DEGREES(ATAN2($K142,$L142)))</f>
        <v/>
      </c>
      <c r="P142">
        <f t="array" ref="P142">IF($N142="","",IFERROR(IF(INDEX(geo_grid!$B$2:$JU$231,INT(($N142+40)/0.5)+1,INT(($O142+30)/0.5)+1)="","",INDEX(geo_grid!$B$2:$JU$231,INT(($N142+40)/0.5)+1,INT(($O142+30)/0.5)+1)),"OUTSIDE GRID"))</f>
        <v/>
      </c>
      <c r="Q142">
        <f>IF($P142="","",$A142*1000+$B142)</f>
        <v/>
      </c>
    </row>
    <row r="143">
      <c r="A143">
        <f>INT((ROW()-2)/151)+1</f>
        <v/>
      </c>
      <c r="B143">
        <f>MOD(ROW()-2,151)</f>
        <v/>
      </c>
      <c r="C143">
        <f t="array" ref="C143">IFERROR(INDEX('TRIP MANAGER'!$O$18:$O$25,$A143),"")</f>
        <v/>
      </c>
      <c r="D143">
        <f t="array" ref="D143">IFERROR(INDEX('TRIP MANAGER'!$P$18:$P$25,$A143),"")</f>
        <v/>
      </c>
      <c r="E143">
        <f t="array" ref="E143">IFERROR(INDEX('TRIP MANAGER'!$Q$18:$Q$25,$A143),"")</f>
        <v/>
      </c>
      <c r="F143">
        <f t="array" ref="F143">IFERROR(INDEX('TRIP MANAGER'!$R$18:$R$25,$A143),"")</f>
        <v/>
      </c>
      <c r="G143">
        <f t="array" ref="G143">IFERROR(INDEX('TRIP MANAGER'!$S$18:$S$25,$A143),"")</f>
        <v/>
      </c>
      <c r="H143">
        <f>$B143/150</f>
        <v/>
      </c>
      <c r="I143">
        <f>IF(OR($G143="",$G143=0),"",SIN((1-$H143)*$G143)/SIN($G143))</f>
        <v/>
      </c>
      <c r="J143">
        <f>IF($I143="","",SIN($H143*$G143)/SIN($G143))</f>
        <v/>
      </c>
      <c r="K143">
        <f>IF($I143="","",$I143*COS(RADIANS($C143))*COS(RADIANS($D143))+$J143*COS(RADIANS($E143))*COS(RADIANS($F143)))</f>
        <v/>
      </c>
      <c r="L143">
        <f>IF($I143="","",$I143*COS(RADIANS($C143))*SIN(RADIANS($D143))+$J143*COS(RADIANS($E143))*SIN(RADIANS($F143)))</f>
        <v/>
      </c>
      <c r="M143">
        <f>IF($I143="","",$I143*SIN(RADIANS($C143))+$J143*SIN(RADIANS($E143)))</f>
        <v/>
      </c>
      <c r="N143">
        <f>IF($M143="","",DEGREES(ATAN2(SQRT($K143^2+$L143^2),$M143)))</f>
        <v/>
      </c>
      <c r="O143">
        <f>IF($M143="","",DEGREES(ATAN2($K143,$L143)))</f>
        <v/>
      </c>
      <c r="P143">
        <f t="array" ref="P143">IF($N143="","",IFERROR(IF(INDEX(geo_grid!$B$2:$JU$231,INT(($N143+40)/0.5)+1,INT(($O143+30)/0.5)+1)="","",INDEX(geo_grid!$B$2:$JU$231,INT(($N143+40)/0.5)+1,INT(($O143+30)/0.5)+1)),"OUTSIDE GRID"))</f>
        <v/>
      </c>
      <c r="Q143">
        <f>IF($P143="","",$A143*1000+$B143)</f>
        <v/>
      </c>
    </row>
    <row r="144">
      <c r="A144">
        <f>INT((ROW()-2)/151)+1</f>
        <v/>
      </c>
      <c r="B144">
        <f>MOD(ROW()-2,151)</f>
        <v/>
      </c>
      <c r="C144">
        <f t="array" ref="C144">IFERROR(INDEX('TRIP MANAGER'!$O$18:$O$25,$A144),"")</f>
        <v/>
      </c>
      <c r="D144">
        <f t="array" ref="D144">IFERROR(INDEX('TRIP MANAGER'!$P$18:$P$25,$A144),"")</f>
        <v/>
      </c>
      <c r="E144">
        <f t="array" ref="E144">IFERROR(INDEX('TRIP MANAGER'!$Q$18:$Q$25,$A144),"")</f>
        <v/>
      </c>
      <c r="F144">
        <f t="array" ref="F144">IFERROR(INDEX('TRIP MANAGER'!$R$18:$R$25,$A144),"")</f>
        <v/>
      </c>
      <c r="G144">
        <f t="array" ref="G144">IFERROR(INDEX('TRIP MANAGER'!$S$18:$S$25,$A144),"")</f>
        <v/>
      </c>
      <c r="H144">
        <f>$B144/150</f>
        <v/>
      </c>
      <c r="I144">
        <f>IF(OR($G144="",$G144=0),"",SIN((1-$H144)*$G144)/SIN($G144))</f>
        <v/>
      </c>
      <c r="J144">
        <f>IF($I144="","",SIN($H144*$G144)/SIN($G144))</f>
        <v/>
      </c>
      <c r="K144">
        <f>IF($I144="","",$I144*COS(RADIANS($C144))*COS(RADIANS($D144))+$J144*COS(RADIANS($E144))*COS(RADIANS($F144)))</f>
        <v/>
      </c>
      <c r="L144">
        <f>IF($I144="","",$I144*COS(RADIANS($C144))*SIN(RADIANS($D144))+$J144*COS(RADIANS($E144))*SIN(RADIANS($F144)))</f>
        <v/>
      </c>
      <c r="M144">
        <f>IF($I144="","",$I144*SIN(RADIANS($C144))+$J144*SIN(RADIANS($E144)))</f>
        <v/>
      </c>
      <c r="N144">
        <f>IF($M144="","",DEGREES(ATAN2(SQRT($K144^2+$L144^2),$M144)))</f>
        <v/>
      </c>
      <c r="O144">
        <f>IF($M144="","",DEGREES(ATAN2($K144,$L144)))</f>
        <v/>
      </c>
      <c r="P144">
        <f t="array" ref="P144">IF($N144="","",IFERROR(IF(INDEX(geo_grid!$B$2:$JU$231,INT(($N144+40)/0.5)+1,INT(($O144+30)/0.5)+1)="","",INDEX(geo_grid!$B$2:$JU$231,INT(($N144+40)/0.5)+1,INT(($O144+30)/0.5)+1)),"OUTSIDE GRID"))</f>
        <v/>
      </c>
      <c r="Q144">
        <f>IF($P144="","",$A144*1000+$B144)</f>
        <v/>
      </c>
    </row>
    <row r="145">
      <c r="A145">
        <f>INT((ROW()-2)/151)+1</f>
        <v/>
      </c>
      <c r="B145">
        <f>MOD(ROW()-2,151)</f>
        <v/>
      </c>
      <c r="C145">
        <f t="array" ref="C145">IFERROR(INDEX('TRIP MANAGER'!$O$18:$O$25,$A145),"")</f>
        <v/>
      </c>
      <c r="D145">
        <f t="array" ref="D145">IFERROR(INDEX('TRIP MANAGER'!$P$18:$P$25,$A145),"")</f>
        <v/>
      </c>
      <c r="E145">
        <f t="array" ref="E145">IFERROR(INDEX('TRIP MANAGER'!$Q$18:$Q$25,$A145),"")</f>
        <v/>
      </c>
      <c r="F145">
        <f t="array" ref="F145">IFERROR(INDEX('TRIP MANAGER'!$R$18:$R$25,$A145),"")</f>
        <v/>
      </c>
      <c r="G145">
        <f t="array" ref="G145">IFERROR(INDEX('TRIP MANAGER'!$S$18:$S$25,$A145),"")</f>
        <v/>
      </c>
      <c r="H145">
        <f>$B145/150</f>
        <v/>
      </c>
      <c r="I145">
        <f>IF(OR($G145="",$G145=0),"",SIN((1-$H145)*$G145)/SIN($G145))</f>
        <v/>
      </c>
      <c r="J145">
        <f>IF($I145="","",SIN($H145*$G145)/SIN($G145))</f>
        <v/>
      </c>
      <c r="K145">
        <f>IF($I145="","",$I145*COS(RADIANS($C145))*COS(RADIANS($D145))+$J145*COS(RADIANS($E145))*COS(RADIANS($F145)))</f>
        <v/>
      </c>
      <c r="L145">
        <f>IF($I145="","",$I145*COS(RADIANS($C145))*SIN(RADIANS($D145))+$J145*COS(RADIANS($E145))*SIN(RADIANS($F145)))</f>
        <v/>
      </c>
      <c r="M145">
        <f>IF($I145="","",$I145*SIN(RADIANS($C145))+$J145*SIN(RADIANS($E145)))</f>
        <v/>
      </c>
      <c r="N145">
        <f>IF($M145="","",DEGREES(ATAN2(SQRT($K145^2+$L145^2),$M145)))</f>
        <v/>
      </c>
      <c r="O145">
        <f>IF($M145="","",DEGREES(ATAN2($K145,$L145)))</f>
        <v/>
      </c>
      <c r="P145">
        <f t="array" ref="P145">IF($N145="","",IFERROR(IF(INDEX(geo_grid!$B$2:$JU$231,INT(($N145+40)/0.5)+1,INT(($O145+30)/0.5)+1)="","",INDEX(geo_grid!$B$2:$JU$231,INT(($N145+40)/0.5)+1,INT(($O145+30)/0.5)+1)),"OUTSIDE GRID"))</f>
        <v/>
      </c>
      <c r="Q145">
        <f>IF($P145="","",$A145*1000+$B145)</f>
        <v/>
      </c>
    </row>
    <row r="146">
      <c r="A146">
        <f>INT((ROW()-2)/151)+1</f>
        <v/>
      </c>
      <c r="B146">
        <f>MOD(ROW()-2,151)</f>
        <v/>
      </c>
      <c r="C146">
        <f t="array" ref="C146">IFERROR(INDEX('TRIP MANAGER'!$O$18:$O$25,$A146),"")</f>
        <v/>
      </c>
      <c r="D146">
        <f t="array" ref="D146">IFERROR(INDEX('TRIP MANAGER'!$P$18:$P$25,$A146),"")</f>
        <v/>
      </c>
      <c r="E146">
        <f t="array" ref="E146">IFERROR(INDEX('TRIP MANAGER'!$Q$18:$Q$25,$A146),"")</f>
        <v/>
      </c>
      <c r="F146">
        <f t="array" ref="F146">IFERROR(INDEX('TRIP MANAGER'!$R$18:$R$25,$A146),"")</f>
        <v/>
      </c>
      <c r="G146">
        <f t="array" ref="G146">IFERROR(INDEX('TRIP MANAGER'!$S$18:$S$25,$A146),"")</f>
        <v/>
      </c>
      <c r="H146">
        <f>$B146/150</f>
        <v/>
      </c>
      <c r="I146">
        <f>IF(OR($G146="",$G146=0),"",SIN((1-$H146)*$G146)/SIN($G146))</f>
        <v/>
      </c>
      <c r="J146">
        <f>IF($I146="","",SIN($H146*$G146)/SIN($G146))</f>
        <v/>
      </c>
      <c r="K146">
        <f>IF($I146="","",$I146*COS(RADIANS($C146))*COS(RADIANS($D146))+$J146*COS(RADIANS($E146))*COS(RADIANS($F146)))</f>
        <v/>
      </c>
      <c r="L146">
        <f>IF($I146="","",$I146*COS(RADIANS($C146))*SIN(RADIANS($D146))+$J146*COS(RADIANS($E146))*SIN(RADIANS($F146)))</f>
        <v/>
      </c>
      <c r="M146">
        <f>IF($I146="","",$I146*SIN(RADIANS($C146))+$J146*SIN(RADIANS($E146)))</f>
        <v/>
      </c>
      <c r="N146">
        <f>IF($M146="","",DEGREES(ATAN2(SQRT($K146^2+$L146^2),$M146)))</f>
        <v/>
      </c>
      <c r="O146">
        <f>IF($M146="","",DEGREES(ATAN2($K146,$L146)))</f>
        <v/>
      </c>
      <c r="P146">
        <f t="array" ref="P146">IF($N146="","",IFERROR(IF(INDEX(geo_grid!$B$2:$JU$231,INT(($N146+40)/0.5)+1,INT(($O146+30)/0.5)+1)="","",INDEX(geo_grid!$B$2:$JU$231,INT(($N146+40)/0.5)+1,INT(($O146+30)/0.5)+1)),"OUTSIDE GRID"))</f>
        <v/>
      </c>
      <c r="Q146">
        <f>IF($P146="","",$A146*1000+$B146)</f>
        <v/>
      </c>
    </row>
    <row r="147">
      <c r="A147">
        <f>INT((ROW()-2)/151)+1</f>
        <v/>
      </c>
      <c r="B147">
        <f>MOD(ROW()-2,151)</f>
        <v/>
      </c>
      <c r="C147">
        <f t="array" ref="C147">IFERROR(INDEX('TRIP MANAGER'!$O$18:$O$25,$A147),"")</f>
        <v/>
      </c>
      <c r="D147">
        <f t="array" ref="D147">IFERROR(INDEX('TRIP MANAGER'!$P$18:$P$25,$A147),"")</f>
        <v/>
      </c>
      <c r="E147">
        <f t="array" ref="E147">IFERROR(INDEX('TRIP MANAGER'!$Q$18:$Q$25,$A147),"")</f>
        <v/>
      </c>
      <c r="F147">
        <f t="array" ref="F147">IFERROR(INDEX('TRIP MANAGER'!$R$18:$R$25,$A147),"")</f>
        <v/>
      </c>
      <c r="G147">
        <f t="array" ref="G147">IFERROR(INDEX('TRIP MANAGER'!$S$18:$S$25,$A147),"")</f>
        <v/>
      </c>
      <c r="H147">
        <f>$B147/150</f>
        <v/>
      </c>
      <c r="I147">
        <f>IF(OR($G147="",$G147=0),"",SIN((1-$H147)*$G147)/SIN($G147))</f>
        <v/>
      </c>
      <c r="J147">
        <f>IF($I147="","",SIN($H147*$G147)/SIN($G147))</f>
        <v/>
      </c>
      <c r="K147">
        <f>IF($I147="","",$I147*COS(RADIANS($C147))*COS(RADIANS($D147))+$J147*COS(RADIANS($E147))*COS(RADIANS($F147)))</f>
        <v/>
      </c>
      <c r="L147">
        <f>IF($I147="","",$I147*COS(RADIANS($C147))*SIN(RADIANS($D147))+$J147*COS(RADIANS($E147))*SIN(RADIANS($F147)))</f>
        <v/>
      </c>
      <c r="M147">
        <f>IF($I147="","",$I147*SIN(RADIANS($C147))+$J147*SIN(RADIANS($E147)))</f>
        <v/>
      </c>
      <c r="N147">
        <f>IF($M147="","",DEGREES(ATAN2(SQRT($K147^2+$L147^2),$M147)))</f>
        <v/>
      </c>
      <c r="O147">
        <f>IF($M147="","",DEGREES(ATAN2($K147,$L147)))</f>
        <v/>
      </c>
      <c r="P147">
        <f t="array" ref="P147">IF($N147="","",IFERROR(IF(INDEX(geo_grid!$B$2:$JU$231,INT(($N147+40)/0.5)+1,INT(($O147+30)/0.5)+1)="","",INDEX(geo_grid!$B$2:$JU$231,INT(($N147+40)/0.5)+1,INT(($O147+30)/0.5)+1)),"OUTSIDE GRID"))</f>
        <v/>
      </c>
      <c r="Q147">
        <f>IF($P147="","",$A147*1000+$B147)</f>
        <v/>
      </c>
    </row>
    <row r="148">
      <c r="A148">
        <f>INT((ROW()-2)/151)+1</f>
        <v/>
      </c>
      <c r="B148">
        <f>MOD(ROW()-2,151)</f>
        <v/>
      </c>
      <c r="C148">
        <f t="array" ref="C148">IFERROR(INDEX('TRIP MANAGER'!$O$18:$O$25,$A148),"")</f>
        <v/>
      </c>
      <c r="D148">
        <f t="array" ref="D148">IFERROR(INDEX('TRIP MANAGER'!$P$18:$P$25,$A148),"")</f>
        <v/>
      </c>
      <c r="E148">
        <f t="array" ref="E148">IFERROR(INDEX('TRIP MANAGER'!$Q$18:$Q$25,$A148),"")</f>
        <v/>
      </c>
      <c r="F148">
        <f t="array" ref="F148">IFERROR(INDEX('TRIP MANAGER'!$R$18:$R$25,$A148),"")</f>
        <v/>
      </c>
      <c r="G148">
        <f t="array" ref="G148">IFERROR(INDEX('TRIP MANAGER'!$S$18:$S$25,$A148),"")</f>
        <v/>
      </c>
      <c r="H148">
        <f>$B148/150</f>
        <v/>
      </c>
      <c r="I148">
        <f>IF(OR($G148="",$G148=0),"",SIN((1-$H148)*$G148)/SIN($G148))</f>
        <v/>
      </c>
      <c r="J148">
        <f>IF($I148="","",SIN($H148*$G148)/SIN($G148))</f>
        <v/>
      </c>
      <c r="K148">
        <f>IF($I148="","",$I148*COS(RADIANS($C148))*COS(RADIANS($D148))+$J148*COS(RADIANS($E148))*COS(RADIANS($F148)))</f>
        <v/>
      </c>
      <c r="L148">
        <f>IF($I148="","",$I148*COS(RADIANS($C148))*SIN(RADIANS($D148))+$J148*COS(RADIANS($E148))*SIN(RADIANS($F148)))</f>
        <v/>
      </c>
      <c r="M148">
        <f>IF($I148="","",$I148*SIN(RADIANS($C148))+$J148*SIN(RADIANS($E148)))</f>
        <v/>
      </c>
      <c r="N148">
        <f>IF($M148="","",DEGREES(ATAN2(SQRT($K148^2+$L148^2),$M148)))</f>
        <v/>
      </c>
      <c r="O148">
        <f>IF($M148="","",DEGREES(ATAN2($K148,$L148)))</f>
        <v/>
      </c>
      <c r="P148">
        <f t="array" ref="P148">IF($N148="","",IFERROR(IF(INDEX(geo_grid!$B$2:$JU$231,INT(($N148+40)/0.5)+1,INT(($O148+30)/0.5)+1)="","",INDEX(geo_grid!$B$2:$JU$231,INT(($N148+40)/0.5)+1,INT(($O148+30)/0.5)+1)),"OUTSIDE GRID"))</f>
        <v/>
      </c>
      <c r="Q148">
        <f>IF($P148="","",$A148*1000+$B148)</f>
        <v/>
      </c>
    </row>
    <row r="149">
      <c r="A149">
        <f>INT((ROW()-2)/151)+1</f>
        <v/>
      </c>
      <c r="B149">
        <f>MOD(ROW()-2,151)</f>
        <v/>
      </c>
      <c r="C149">
        <f t="array" ref="C149">IFERROR(INDEX('TRIP MANAGER'!$O$18:$O$25,$A149),"")</f>
        <v/>
      </c>
      <c r="D149">
        <f t="array" ref="D149">IFERROR(INDEX('TRIP MANAGER'!$P$18:$P$25,$A149),"")</f>
        <v/>
      </c>
      <c r="E149">
        <f t="array" ref="E149">IFERROR(INDEX('TRIP MANAGER'!$Q$18:$Q$25,$A149),"")</f>
        <v/>
      </c>
      <c r="F149">
        <f t="array" ref="F149">IFERROR(INDEX('TRIP MANAGER'!$R$18:$R$25,$A149),"")</f>
        <v/>
      </c>
      <c r="G149">
        <f t="array" ref="G149">IFERROR(INDEX('TRIP MANAGER'!$S$18:$S$25,$A149),"")</f>
        <v/>
      </c>
      <c r="H149">
        <f>$B149/150</f>
        <v/>
      </c>
      <c r="I149">
        <f>IF(OR($G149="",$G149=0),"",SIN((1-$H149)*$G149)/SIN($G149))</f>
        <v/>
      </c>
      <c r="J149">
        <f>IF($I149="","",SIN($H149*$G149)/SIN($G149))</f>
        <v/>
      </c>
      <c r="K149">
        <f>IF($I149="","",$I149*COS(RADIANS($C149))*COS(RADIANS($D149))+$J149*COS(RADIANS($E149))*COS(RADIANS($F149)))</f>
        <v/>
      </c>
      <c r="L149">
        <f>IF($I149="","",$I149*COS(RADIANS($C149))*SIN(RADIANS($D149))+$J149*COS(RADIANS($E149))*SIN(RADIANS($F149)))</f>
        <v/>
      </c>
      <c r="M149">
        <f>IF($I149="","",$I149*SIN(RADIANS($C149))+$J149*SIN(RADIANS($E149)))</f>
        <v/>
      </c>
      <c r="N149">
        <f>IF($M149="","",DEGREES(ATAN2(SQRT($K149^2+$L149^2),$M149)))</f>
        <v/>
      </c>
      <c r="O149">
        <f>IF($M149="","",DEGREES(ATAN2($K149,$L149)))</f>
        <v/>
      </c>
      <c r="P149">
        <f t="array" ref="P149">IF($N149="","",IFERROR(IF(INDEX(geo_grid!$B$2:$JU$231,INT(($N149+40)/0.5)+1,INT(($O149+30)/0.5)+1)="","",INDEX(geo_grid!$B$2:$JU$231,INT(($N149+40)/0.5)+1,INT(($O149+30)/0.5)+1)),"OUTSIDE GRID"))</f>
        <v/>
      </c>
      <c r="Q149">
        <f>IF($P149="","",$A149*1000+$B149)</f>
        <v/>
      </c>
    </row>
    <row r="150">
      <c r="A150">
        <f>INT((ROW()-2)/151)+1</f>
        <v/>
      </c>
      <c r="B150">
        <f>MOD(ROW()-2,151)</f>
        <v/>
      </c>
      <c r="C150">
        <f t="array" ref="C150">IFERROR(INDEX('TRIP MANAGER'!$O$18:$O$25,$A150),"")</f>
        <v/>
      </c>
      <c r="D150">
        <f t="array" ref="D150">IFERROR(INDEX('TRIP MANAGER'!$P$18:$P$25,$A150),"")</f>
        <v/>
      </c>
      <c r="E150">
        <f t="array" ref="E150">IFERROR(INDEX('TRIP MANAGER'!$Q$18:$Q$25,$A150),"")</f>
        <v/>
      </c>
      <c r="F150">
        <f t="array" ref="F150">IFERROR(INDEX('TRIP MANAGER'!$R$18:$R$25,$A150),"")</f>
        <v/>
      </c>
      <c r="G150">
        <f t="array" ref="G150">IFERROR(INDEX('TRIP MANAGER'!$S$18:$S$25,$A150),"")</f>
        <v/>
      </c>
      <c r="H150">
        <f>$B150/150</f>
        <v/>
      </c>
      <c r="I150">
        <f>IF(OR($G150="",$G150=0),"",SIN((1-$H150)*$G150)/SIN($G150))</f>
        <v/>
      </c>
      <c r="J150">
        <f>IF($I150="","",SIN($H150*$G150)/SIN($G150))</f>
        <v/>
      </c>
      <c r="K150">
        <f>IF($I150="","",$I150*COS(RADIANS($C150))*COS(RADIANS($D150))+$J150*COS(RADIANS($E150))*COS(RADIANS($F150)))</f>
        <v/>
      </c>
      <c r="L150">
        <f>IF($I150="","",$I150*COS(RADIANS($C150))*SIN(RADIANS($D150))+$J150*COS(RADIANS($E150))*SIN(RADIANS($F150)))</f>
        <v/>
      </c>
      <c r="M150">
        <f>IF($I150="","",$I150*SIN(RADIANS($C150))+$J150*SIN(RADIANS($E150)))</f>
        <v/>
      </c>
      <c r="N150">
        <f>IF($M150="","",DEGREES(ATAN2(SQRT($K150^2+$L150^2),$M150)))</f>
        <v/>
      </c>
      <c r="O150">
        <f>IF($M150="","",DEGREES(ATAN2($K150,$L150)))</f>
        <v/>
      </c>
      <c r="P150">
        <f t="array" ref="P150">IF($N150="","",IFERROR(IF(INDEX(geo_grid!$B$2:$JU$231,INT(($N150+40)/0.5)+1,INT(($O150+30)/0.5)+1)="","",INDEX(geo_grid!$B$2:$JU$231,INT(($N150+40)/0.5)+1,INT(($O150+30)/0.5)+1)),"OUTSIDE GRID"))</f>
        <v/>
      </c>
      <c r="Q150">
        <f>IF($P150="","",$A150*1000+$B150)</f>
        <v/>
      </c>
    </row>
    <row r="151">
      <c r="A151">
        <f>INT((ROW()-2)/151)+1</f>
        <v/>
      </c>
      <c r="B151">
        <f>MOD(ROW()-2,151)</f>
        <v/>
      </c>
      <c r="C151">
        <f t="array" ref="C151">IFERROR(INDEX('TRIP MANAGER'!$O$18:$O$25,$A151),"")</f>
        <v/>
      </c>
      <c r="D151">
        <f t="array" ref="D151">IFERROR(INDEX('TRIP MANAGER'!$P$18:$P$25,$A151),"")</f>
        <v/>
      </c>
      <c r="E151">
        <f t="array" ref="E151">IFERROR(INDEX('TRIP MANAGER'!$Q$18:$Q$25,$A151),"")</f>
        <v/>
      </c>
      <c r="F151">
        <f t="array" ref="F151">IFERROR(INDEX('TRIP MANAGER'!$R$18:$R$25,$A151),"")</f>
        <v/>
      </c>
      <c r="G151">
        <f t="array" ref="G151">IFERROR(INDEX('TRIP MANAGER'!$S$18:$S$25,$A151),"")</f>
        <v/>
      </c>
      <c r="H151">
        <f>$B151/150</f>
        <v/>
      </c>
      <c r="I151">
        <f>IF(OR($G151="",$G151=0),"",SIN((1-$H151)*$G151)/SIN($G151))</f>
        <v/>
      </c>
      <c r="J151">
        <f>IF($I151="","",SIN($H151*$G151)/SIN($G151))</f>
        <v/>
      </c>
      <c r="K151">
        <f>IF($I151="","",$I151*COS(RADIANS($C151))*COS(RADIANS($D151))+$J151*COS(RADIANS($E151))*COS(RADIANS($F151)))</f>
        <v/>
      </c>
      <c r="L151">
        <f>IF($I151="","",$I151*COS(RADIANS($C151))*SIN(RADIANS($D151))+$J151*COS(RADIANS($E151))*SIN(RADIANS($F151)))</f>
        <v/>
      </c>
      <c r="M151">
        <f>IF($I151="","",$I151*SIN(RADIANS($C151))+$J151*SIN(RADIANS($E151)))</f>
        <v/>
      </c>
      <c r="N151">
        <f>IF($M151="","",DEGREES(ATAN2(SQRT($K151^2+$L151^2),$M151)))</f>
        <v/>
      </c>
      <c r="O151">
        <f>IF($M151="","",DEGREES(ATAN2($K151,$L151)))</f>
        <v/>
      </c>
      <c r="P151">
        <f t="array" ref="P151">IF($N151="","",IFERROR(IF(INDEX(geo_grid!$B$2:$JU$231,INT(($N151+40)/0.5)+1,INT(($O151+30)/0.5)+1)="","",INDEX(geo_grid!$B$2:$JU$231,INT(($N151+40)/0.5)+1,INT(($O151+30)/0.5)+1)),"OUTSIDE GRID"))</f>
        <v/>
      </c>
      <c r="Q151">
        <f>IF($P151="","",$A151*1000+$B151)</f>
        <v/>
      </c>
    </row>
    <row r="152">
      <c r="A152">
        <f>INT((ROW()-2)/151)+1</f>
        <v/>
      </c>
      <c r="B152">
        <f>MOD(ROW()-2,151)</f>
        <v/>
      </c>
      <c r="C152">
        <f t="array" ref="C152">IFERROR(INDEX('TRIP MANAGER'!$O$18:$O$25,$A152),"")</f>
        <v/>
      </c>
      <c r="D152">
        <f t="array" ref="D152">IFERROR(INDEX('TRIP MANAGER'!$P$18:$P$25,$A152),"")</f>
        <v/>
      </c>
      <c r="E152">
        <f t="array" ref="E152">IFERROR(INDEX('TRIP MANAGER'!$Q$18:$Q$25,$A152),"")</f>
        <v/>
      </c>
      <c r="F152">
        <f t="array" ref="F152">IFERROR(INDEX('TRIP MANAGER'!$R$18:$R$25,$A152),"")</f>
        <v/>
      </c>
      <c r="G152">
        <f t="array" ref="G152">IFERROR(INDEX('TRIP MANAGER'!$S$18:$S$25,$A152),"")</f>
        <v/>
      </c>
      <c r="H152">
        <f>$B152/150</f>
        <v/>
      </c>
      <c r="I152">
        <f>IF(OR($G152="",$G152=0),"",SIN((1-$H152)*$G152)/SIN($G152))</f>
        <v/>
      </c>
      <c r="J152">
        <f>IF($I152="","",SIN($H152*$G152)/SIN($G152))</f>
        <v/>
      </c>
      <c r="K152">
        <f>IF($I152="","",$I152*COS(RADIANS($C152))*COS(RADIANS($D152))+$J152*COS(RADIANS($E152))*COS(RADIANS($F152)))</f>
        <v/>
      </c>
      <c r="L152">
        <f>IF($I152="","",$I152*COS(RADIANS($C152))*SIN(RADIANS($D152))+$J152*COS(RADIANS($E152))*SIN(RADIANS($F152)))</f>
        <v/>
      </c>
      <c r="M152">
        <f>IF($I152="","",$I152*SIN(RADIANS($C152))+$J152*SIN(RADIANS($E152)))</f>
        <v/>
      </c>
      <c r="N152">
        <f>IF($M152="","",DEGREES(ATAN2(SQRT($K152^2+$L152^2),$M152)))</f>
        <v/>
      </c>
      <c r="O152">
        <f>IF($M152="","",DEGREES(ATAN2($K152,$L152)))</f>
        <v/>
      </c>
      <c r="P152">
        <f t="array" ref="P152">IF($N152="","",IFERROR(IF(INDEX(geo_grid!$B$2:$JU$231,INT(($N152+40)/0.5)+1,INT(($O152+30)/0.5)+1)="","",INDEX(geo_grid!$B$2:$JU$231,INT(($N152+40)/0.5)+1,INT(($O152+30)/0.5)+1)),"OUTSIDE GRID"))</f>
        <v/>
      </c>
      <c r="Q152">
        <f>IF($P152="","",$A152*1000+$B152)</f>
        <v/>
      </c>
    </row>
    <row r="153">
      <c r="A153">
        <f>INT((ROW()-2)/151)+1</f>
        <v/>
      </c>
      <c r="B153">
        <f>MOD(ROW()-2,151)</f>
        <v/>
      </c>
      <c r="C153">
        <f t="array" ref="C153">IFERROR(INDEX('TRIP MANAGER'!$O$18:$O$25,$A153),"")</f>
        <v/>
      </c>
      <c r="D153">
        <f t="array" ref="D153">IFERROR(INDEX('TRIP MANAGER'!$P$18:$P$25,$A153),"")</f>
        <v/>
      </c>
      <c r="E153">
        <f t="array" ref="E153">IFERROR(INDEX('TRIP MANAGER'!$Q$18:$Q$25,$A153),"")</f>
        <v/>
      </c>
      <c r="F153">
        <f t="array" ref="F153">IFERROR(INDEX('TRIP MANAGER'!$R$18:$R$25,$A153),"")</f>
        <v/>
      </c>
      <c r="G153">
        <f t="array" ref="G153">IFERROR(INDEX('TRIP MANAGER'!$S$18:$S$25,$A153),"")</f>
        <v/>
      </c>
      <c r="H153">
        <f>$B153/150</f>
        <v/>
      </c>
      <c r="I153">
        <f>IF(OR($G153="",$G153=0),"",SIN((1-$H153)*$G153)/SIN($G153))</f>
        <v/>
      </c>
      <c r="J153">
        <f>IF($I153="","",SIN($H153*$G153)/SIN($G153))</f>
        <v/>
      </c>
      <c r="K153">
        <f>IF($I153="","",$I153*COS(RADIANS($C153))*COS(RADIANS($D153))+$J153*COS(RADIANS($E153))*COS(RADIANS($F153)))</f>
        <v/>
      </c>
      <c r="L153">
        <f>IF($I153="","",$I153*COS(RADIANS($C153))*SIN(RADIANS($D153))+$J153*COS(RADIANS($E153))*SIN(RADIANS($F153)))</f>
        <v/>
      </c>
      <c r="M153">
        <f>IF($I153="","",$I153*SIN(RADIANS($C153))+$J153*SIN(RADIANS($E153)))</f>
        <v/>
      </c>
      <c r="N153">
        <f>IF($M153="","",DEGREES(ATAN2(SQRT($K153^2+$L153^2),$M153)))</f>
        <v/>
      </c>
      <c r="O153">
        <f>IF($M153="","",DEGREES(ATAN2($K153,$L153)))</f>
        <v/>
      </c>
      <c r="P153">
        <f t="array" ref="P153">IF($N153="","",IFERROR(IF(INDEX(geo_grid!$B$2:$JU$231,INT(($N153+40)/0.5)+1,INT(($O153+30)/0.5)+1)="","",INDEX(geo_grid!$B$2:$JU$231,INT(($N153+40)/0.5)+1,INT(($O153+30)/0.5)+1)),"OUTSIDE GRID"))</f>
        <v/>
      </c>
      <c r="Q153">
        <f>IF($P153="","",$A153*1000+$B153)</f>
        <v/>
      </c>
    </row>
    <row r="154">
      <c r="A154">
        <f>INT((ROW()-2)/151)+1</f>
        <v/>
      </c>
      <c r="B154">
        <f>MOD(ROW()-2,151)</f>
        <v/>
      </c>
      <c r="C154">
        <f t="array" ref="C154">IFERROR(INDEX('TRIP MANAGER'!$O$18:$O$25,$A154),"")</f>
        <v/>
      </c>
      <c r="D154">
        <f t="array" ref="D154">IFERROR(INDEX('TRIP MANAGER'!$P$18:$P$25,$A154),"")</f>
        <v/>
      </c>
      <c r="E154">
        <f t="array" ref="E154">IFERROR(INDEX('TRIP MANAGER'!$Q$18:$Q$25,$A154),"")</f>
        <v/>
      </c>
      <c r="F154">
        <f t="array" ref="F154">IFERROR(INDEX('TRIP MANAGER'!$R$18:$R$25,$A154),"")</f>
        <v/>
      </c>
      <c r="G154">
        <f t="array" ref="G154">IFERROR(INDEX('TRIP MANAGER'!$S$18:$S$25,$A154),"")</f>
        <v/>
      </c>
      <c r="H154">
        <f>$B154/150</f>
        <v/>
      </c>
      <c r="I154">
        <f>IF(OR($G154="",$G154=0),"",SIN((1-$H154)*$G154)/SIN($G154))</f>
        <v/>
      </c>
      <c r="J154">
        <f>IF($I154="","",SIN($H154*$G154)/SIN($G154))</f>
        <v/>
      </c>
      <c r="K154">
        <f>IF($I154="","",$I154*COS(RADIANS($C154))*COS(RADIANS($D154))+$J154*COS(RADIANS($E154))*COS(RADIANS($F154)))</f>
        <v/>
      </c>
      <c r="L154">
        <f>IF($I154="","",$I154*COS(RADIANS($C154))*SIN(RADIANS($D154))+$J154*COS(RADIANS($E154))*SIN(RADIANS($F154)))</f>
        <v/>
      </c>
      <c r="M154">
        <f>IF($I154="","",$I154*SIN(RADIANS($C154))+$J154*SIN(RADIANS($E154)))</f>
        <v/>
      </c>
      <c r="N154">
        <f>IF($M154="","",DEGREES(ATAN2(SQRT($K154^2+$L154^2),$M154)))</f>
        <v/>
      </c>
      <c r="O154">
        <f>IF($M154="","",DEGREES(ATAN2($K154,$L154)))</f>
        <v/>
      </c>
      <c r="P154">
        <f t="array" ref="P154">IF($N154="","",IFERROR(IF(INDEX(geo_grid!$B$2:$JU$231,INT(($N154+40)/0.5)+1,INT(($O154+30)/0.5)+1)="","",INDEX(geo_grid!$B$2:$JU$231,INT(($N154+40)/0.5)+1,INT(($O154+30)/0.5)+1)),"OUTSIDE GRID"))</f>
        <v/>
      </c>
      <c r="Q154">
        <f>IF($P154="","",$A154*1000+$B154)</f>
        <v/>
      </c>
    </row>
    <row r="155">
      <c r="A155">
        <f>INT((ROW()-2)/151)+1</f>
        <v/>
      </c>
      <c r="B155">
        <f>MOD(ROW()-2,151)</f>
        <v/>
      </c>
      <c r="C155">
        <f t="array" ref="C155">IFERROR(INDEX('TRIP MANAGER'!$O$18:$O$25,$A155),"")</f>
        <v/>
      </c>
      <c r="D155">
        <f t="array" ref="D155">IFERROR(INDEX('TRIP MANAGER'!$P$18:$P$25,$A155),"")</f>
        <v/>
      </c>
      <c r="E155">
        <f t="array" ref="E155">IFERROR(INDEX('TRIP MANAGER'!$Q$18:$Q$25,$A155),"")</f>
        <v/>
      </c>
      <c r="F155">
        <f t="array" ref="F155">IFERROR(INDEX('TRIP MANAGER'!$R$18:$R$25,$A155),"")</f>
        <v/>
      </c>
      <c r="G155">
        <f t="array" ref="G155">IFERROR(INDEX('TRIP MANAGER'!$S$18:$S$25,$A155),"")</f>
        <v/>
      </c>
      <c r="H155">
        <f>$B155/150</f>
        <v/>
      </c>
      <c r="I155">
        <f>IF(OR($G155="",$G155=0),"",SIN((1-$H155)*$G155)/SIN($G155))</f>
        <v/>
      </c>
      <c r="J155">
        <f>IF($I155="","",SIN($H155*$G155)/SIN($G155))</f>
        <v/>
      </c>
      <c r="K155">
        <f>IF($I155="","",$I155*COS(RADIANS($C155))*COS(RADIANS($D155))+$J155*COS(RADIANS($E155))*COS(RADIANS($F155)))</f>
        <v/>
      </c>
      <c r="L155">
        <f>IF($I155="","",$I155*COS(RADIANS($C155))*SIN(RADIANS($D155))+$J155*COS(RADIANS($E155))*SIN(RADIANS($F155)))</f>
        <v/>
      </c>
      <c r="M155">
        <f>IF($I155="","",$I155*SIN(RADIANS($C155))+$J155*SIN(RADIANS($E155)))</f>
        <v/>
      </c>
      <c r="N155">
        <f>IF($M155="","",DEGREES(ATAN2(SQRT($K155^2+$L155^2),$M155)))</f>
        <v/>
      </c>
      <c r="O155">
        <f>IF($M155="","",DEGREES(ATAN2($K155,$L155)))</f>
        <v/>
      </c>
      <c r="P155">
        <f t="array" ref="P155">IF($N155="","",IFERROR(IF(INDEX(geo_grid!$B$2:$JU$231,INT(($N155+40)/0.5)+1,INT(($O155+30)/0.5)+1)="","",INDEX(geo_grid!$B$2:$JU$231,INT(($N155+40)/0.5)+1,INT(($O155+30)/0.5)+1)),"OUTSIDE GRID"))</f>
        <v/>
      </c>
      <c r="Q155">
        <f>IF($P155="","",$A155*1000+$B155)</f>
        <v/>
      </c>
    </row>
    <row r="156">
      <c r="A156">
        <f>INT((ROW()-2)/151)+1</f>
        <v/>
      </c>
      <c r="B156">
        <f>MOD(ROW()-2,151)</f>
        <v/>
      </c>
      <c r="C156">
        <f t="array" ref="C156">IFERROR(INDEX('TRIP MANAGER'!$O$18:$O$25,$A156),"")</f>
        <v/>
      </c>
      <c r="D156">
        <f t="array" ref="D156">IFERROR(INDEX('TRIP MANAGER'!$P$18:$P$25,$A156),"")</f>
        <v/>
      </c>
      <c r="E156">
        <f t="array" ref="E156">IFERROR(INDEX('TRIP MANAGER'!$Q$18:$Q$25,$A156),"")</f>
        <v/>
      </c>
      <c r="F156">
        <f t="array" ref="F156">IFERROR(INDEX('TRIP MANAGER'!$R$18:$R$25,$A156),"")</f>
        <v/>
      </c>
      <c r="G156">
        <f t="array" ref="G156">IFERROR(INDEX('TRIP MANAGER'!$S$18:$S$25,$A156),"")</f>
        <v/>
      </c>
      <c r="H156">
        <f>$B156/150</f>
        <v/>
      </c>
      <c r="I156">
        <f>IF(OR($G156="",$G156=0),"",SIN((1-$H156)*$G156)/SIN($G156))</f>
        <v/>
      </c>
      <c r="J156">
        <f>IF($I156="","",SIN($H156*$G156)/SIN($G156))</f>
        <v/>
      </c>
      <c r="K156">
        <f>IF($I156="","",$I156*COS(RADIANS($C156))*COS(RADIANS($D156))+$J156*COS(RADIANS($E156))*COS(RADIANS($F156)))</f>
        <v/>
      </c>
      <c r="L156">
        <f>IF($I156="","",$I156*COS(RADIANS($C156))*SIN(RADIANS($D156))+$J156*COS(RADIANS($E156))*SIN(RADIANS($F156)))</f>
        <v/>
      </c>
      <c r="M156">
        <f>IF($I156="","",$I156*SIN(RADIANS($C156))+$J156*SIN(RADIANS($E156)))</f>
        <v/>
      </c>
      <c r="N156">
        <f>IF($M156="","",DEGREES(ATAN2(SQRT($K156^2+$L156^2),$M156)))</f>
        <v/>
      </c>
      <c r="O156">
        <f>IF($M156="","",DEGREES(ATAN2($K156,$L156)))</f>
        <v/>
      </c>
      <c r="P156">
        <f t="array" ref="P156">IF($N156="","",IFERROR(IF(INDEX(geo_grid!$B$2:$JU$231,INT(($N156+40)/0.5)+1,INT(($O156+30)/0.5)+1)="","",INDEX(geo_grid!$B$2:$JU$231,INT(($N156+40)/0.5)+1,INT(($O156+30)/0.5)+1)),"OUTSIDE GRID"))</f>
        <v/>
      </c>
      <c r="Q156">
        <f>IF($P156="","",$A156*1000+$B156)</f>
        <v/>
      </c>
    </row>
    <row r="157">
      <c r="A157">
        <f>INT((ROW()-2)/151)+1</f>
        <v/>
      </c>
      <c r="B157">
        <f>MOD(ROW()-2,151)</f>
        <v/>
      </c>
      <c r="C157">
        <f t="array" ref="C157">IFERROR(INDEX('TRIP MANAGER'!$O$18:$O$25,$A157),"")</f>
        <v/>
      </c>
      <c r="D157">
        <f t="array" ref="D157">IFERROR(INDEX('TRIP MANAGER'!$P$18:$P$25,$A157),"")</f>
        <v/>
      </c>
      <c r="E157">
        <f t="array" ref="E157">IFERROR(INDEX('TRIP MANAGER'!$Q$18:$Q$25,$A157),"")</f>
        <v/>
      </c>
      <c r="F157">
        <f t="array" ref="F157">IFERROR(INDEX('TRIP MANAGER'!$R$18:$R$25,$A157),"")</f>
        <v/>
      </c>
      <c r="G157">
        <f t="array" ref="G157">IFERROR(INDEX('TRIP MANAGER'!$S$18:$S$25,$A157),"")</f>
        <v/>
      </c>
      <c r="H157">
        <f>$B157/150</f>
        <v/>
      </c>
      <c r="I157">
        <f>IF(OR($G157="",$G157=0),"",SIN((1-$H157)*$G157)/SIN($G157))</f>
        <v/>
      </c>
      <c r="J157">
        <f>IF($I157="","",SIN($H157*$G157)/SIN($G157))</f>
        <v/>
      </c>
      <c r="K157">
        <f>IF($I157="","",$I157*COS(RADIANS($C157))*COS(RADIANS($D157))+$J157*COS(RADIANS($E157))*COS(RADIANS($F157)))</f>
        <v/>
      </c>
      <c r="L157">
        <f>IF($I157="","",$I157*COS(RADIANS($C157))*SIN(RADIANS($D157))+$J157*COS(RADIANS($E157))*SIN(RADIANS($F157)))</f>
        <v/>
      </c>
      <c r="M157">
        <f>IF($I157="","",$I157*SIN(RADIANS($C157))+$J157*SIN(RADIANS($E157)))</f>
        <v/>
      </c>
      <c r="N157">
        <f>IF($M157="","",DEGREES(ATAN2(SQRT($K157^2+$L157^2),$M157)))</f>
        <v/>
      </c>
      <c r="O157">
        <f>IF($M157="","",DEGREES(ATAN2($K157,$L157)))</f>
        <v/>
      </c>
      <c r="P157">
        <f t="array" ref="P157">IF($N157="","",IFERROR(IF(INDEX(geo_grid!$B$2:$JU$231,INT(($N157+40)/0.5)+1,INT(($O157+30)/0.5)+1)="","",INDEX(geo_grid!$B$2:$JU$231,INT(($N157+40)/0.5)+1,INT(($O157+30)/0.5)+1)),"OUTSIDE GRID"))</f>
        <v/>
      </c>
      <c r="Q157">
        <f>IF($P157="","",$A157*1000+$B157)</f>
        <v/>
      </c>
    </row>
    <row r="158">
      <c r="A158">
        <f>INT((ROW()-2)/151)+1</f>
        <v/>
      </c>
      <c r="B158">
        <f>MOD(ROW()-2,151)</f>
        <v/>
      </c>
      <c r="C158">
        <f t="array" ref="C158">IFERROR(INDEX('TRIP MANAGER'!$O$18:$O$25,$A158),"")</f>
        <v/>
      </c>
      <c r="D158">
        <f t="array" ref="D158">IFERROR(INDEX('TRIP MANAGER'!$P$18:$P$25,$A158),"")</f>
        <v/>
      </c>
      <c r="E158">
        <f t="array" ref="E158">IFERROR(INDEX('TRIP MANAGER'!$Q$18:$Q$25,$A158),"")</f>
        <v/>
      </c>
      <c r="F158">
        <f t="array" ref="F158">IFERROR(INDEX('TRIP MANAGER'!$R$18:$R$25,$A158),"")</f>
        <v/>
      </c>
      <c r="G158">
        <f t="array" ref="G158">IFERROR(INDEX('TRIP MANAGER'!$S$18:$S$25,$A158),"")</f>
        <v/>
      </c>
      <c r="H158">
        <f>$B158/150</f>
        <v/>
      </c>
      <c r="I158">
        <f>IF(OR($G158="",$G158=0),"",SIN((1-$H158)*$G158)/SIN($G158))</f>
        <v/>
      </c>
      <c r="J158">
        <f>IF($I158="","",SIN($H158*$G158)/SIN($G158))</f>
        <v/>
      </c>
      <c r="K158">
        <f>IF($I158="","",$I158*COS(RADIANS($C158))*COS(RADIANS($D158))+$J158*COS(RADIANS($E158))*COS(RADIANS($F158)))</f>
        <v/>
      </c>
      <c r="L158">
        <f>IF($I158="","",$I158*COS(RADIANS($C158))*SIN(RADIANS($D158))+$J158*COS(RADIANS($E158))*SIN(RADIANS($F158)))</f>
        <v/>
      </c>
      <c r="M158">
        <f>IF($I158="","",$I158*SIN(RADIANS($C158))+$J158*SIN(RADIANS($E158)))</f>
        <v/>
      </c>
      <c r="N158">
        <f>IF($M158="","",DEGREES(ATAN2(SQRT($K158^2+$L158^2),$M158)))</f>
        <v/>
      </c>
      <c r="O158">
        <f>IF($M158="","",DEGREES(ATAN2($K158,$L158)))</f>
        <v/>
      </c>
      <c r="P158">
        <f t="array" ref="P158">IF($N158="","",IFERROR(IF(INDEX(geo_grid!$B$2:$JU$231,INT(($N158+40)/0.5)+1,INT(($O158+30)/0.5)+1)="","",INDEX(geo_grid!$B$2:$JU$231,INT(($N158+40)/0.5)+1,INT(($O158+30)/0.5)+1)),"OUTSIDE GRID"))</f>
        <v/>
      </c>
      <c r="Q158">
        <f>IF($P158="","",$A158*1000+$B158)</f>
        <v/>
      </c>
    </row>
    <row r="159">
      <c r="A159">
        <f>INT((ROW()-2)/151)+1</f>
        <v/>
      </c>
      <c r="B159">
        <f>MOD(ROW()-2,151)</f>
        <v/>
      </c>
      <c r="C159">
        <f t="array" ref="C159">IFERROR(INDEX('TRIP MANAGER'!$O$18:$O$25,$A159),"")</f>
        <v/>
      </c>
      <c r="D159">
        <f t="array" ref="D159">IFERROR(INDEX('TRIP MANAGER'!$P$18:$P$25,$A159),"")</f>
        <v/>
      </c>
      <c r="E159">
        <f t="array" ref="E159">IFERROR(INDEX('TRIP MANAGER'!$Q$18:$Q$25,$A159),"")</f>
        <v/>
      </c>
      <c r="F159">
        <f t="array" ref="F159">IFERROR(INDEX('TRIP MANAGER'!$R$18:$R$25,$A159),"")</f>
        <v/>
      </c>
      <c r="G159">
        <f t="array" ref="G159">IFERROR(INDEX('TRIP MANAGER'!$S$18:$S$25,$A159),"")</f>
        <v/>
      </c>
      <c r="H159">
        <f>$B159/150</f>
        <v/>
      </c>
      <c r="I159">
        <f>IF(OR($G159="",$G159=0),"",SIN((1-$H159)*$G159)/SIN($G159))</f>
        <v/>
      </c>
      <c r="J159">
        <f>IF($I159="","",SIN($H159*$G159)/SIN($G159))</f>
        <v/>
      </c>
      <c r="K159">
        <f>IF($I159="","",$I159*COS(RADIANS($C159))*COS(RADIANS($D159))+$J159*COS(RADIANS($E159))*COS(RADIANS($F159)))</f>
        <v/>
      </c>
      <c r="L159">
        <f>IF($I159="","",$I159*COS(RADIANS($C159))*SIN(RADIANS($D159))+$J159*COS(RADIANS($E159))*SIN(RADIANS($F159)))</f>
        <v/>
      </c>
      <c r="M159">
        <f>IF($I159="","",$I159*SIN(RADIANS($C159))+$J159*SIN(RADIANS($E159)))</f>
        <v/>
      </c>
      <c r="N159">
        <f>IF($M159="","",DEGREES(ATAN2(SQRT($K159^2+$L159^2),$M159)))</f>
        <v/>
      </c>
      <c r="O159">
        <f>IF($M159="","",DEGREES(ATAN2($K159,$L159)))</f>
        <v/>
      </c>
      <c r="P159">
        <f t="array" ref="P159">IF($N159="","",IFERROR(IF(INDEX(geo_grid!$B$2:$JU$231,INT(($N159+40)/0.5)+1,INT(($O159+30)/0.5)+1)="","",INDEX(geo_grid!$B$2:$JU$231,INT(($N159+40)/0.5)+1,INT(($O159+30)/0.5)+1)),"OUTSIDE GRID"))</f>
        <v/>
      </c>
      <c r="Q159">
        <f>IF($P159="","",$A159*1000+$B159)</f>
        <v/>
      </c>
    </row>
    <row r="160">
      <c r="A160">
        <f>INT((ROW()-2)/151)+1</f>
        <v/>
      </c>
      <c r="B160">
        <f>MOD(ROW()-2,151)</f>
        <v/>
      </c>
      <c r="C160">
        <f t="array" ref="C160">IFERROR(INDEX('TRIP MANAGER'!$O$18:$O$25,$A160),"")</f>
        <v/>
      </c>
      <c r="D160">
        <f t="array" ref="D160">IFERROR(INDEX('TRIP MANAGER'!$P$18:$P$25,$A160),"")</f>
        <v/>
      </c>
      <c r="E160">
        <f t="array" ref="E160">IFERROR(INDEX('TRIP MANAGER'!$Q$18:$Q$25,$A160),"")</f>
        <v/>
      </c>
      <c r="F160">
        <f t="array" ref="F160">IFERROR(INDEX('TRIP MANAGER'!$R$18:$R$25,$A160),"")</f>
        <v/>
      </c>
      <c r="G160">
        <f t="array" ref="G160">IFERROR(INDEX('TRIP MANAGER'!$S$18:$S$25,$A160),"")</f>
        <v/>
      </c>
      <c r="H160">
        <f>$B160/150</f>
        <v/>
      </c>
      <c r="I160">
        <f>IF(OR($G160="",$G160=0),"",SIN((1-$H160)*$G160)/SIN($G160))</f>
        <v/>
      </c>
      <c r="J160">
        <f>IF($I160="","",SIN($H160*$G160)/SIN($G160))</f>
        <v/>
      </c>
      <c r="K160">
        <f>IF($I160="","",$I160*COS(RADIANS($C160))*COS(RADIANS($D160))+$J160*COS(RADIANS($E160))*COS(RADIANS($F160)))</f>
        <v/>
      </c>
      <c r="L160">
        <f>IF($I160="","",$I160*COS(RADIANS($C160))*SIN(RADIANS($D160))+$J160*COS(RADIANS($E160))*SIN(RADIANS($F160)))</f>
        <v/>
      </c>
      <c r="M160">
        <f>IF($I160="","",$I160*SIN(RADIANS($C160))+$J160*SIN(RADIANS($E160)))</f>
        <v/>
      </c>
      <c r="N160">
        <f>IF($M160="","",DEGREES(ATAN2(SQRT($K160^2+$L160^2),$M160)))</f>
        <v/>
      </c>
      <c r="O160">
        <f>IF($M160="","",DEGREES(ATAN2($K160,$L160)))</f>
        <v/>
      </c>
      <c r="P160">
        <f t="array" ref="P160">IF($N160="","",IFERROR(IF(INDEX(geo_grid!$B$2:$JU$231,INT(($N160+40)/0.5)+1,INT(($O160+30)/0.5)+1)="","",INDEX(geo_grid!$B$2:$JU$231,INT(($N160+40)/0.5)+1,INT(($O160+30)/0.5)+1)),"OUTSIDE GRID"))</f>
        <v/>
      </c>
      <c r="Q160">
        <f>IF($P160="","",$A160*1000+$B160)</f>
        <v/>
      </c>
    </row>
    <row r="161">
      <c r="A161">
        <f>INT((ROW()-2)/151)+1</f>
        <v/>
      </c>
      <c r="B161">
        <f>MOD(ROW()-2,151)</f>
        <v/>
      </c>
      <c r="C161">
        <f t="array" ref="C161">IFERROR(INDEX('TRIP MANAGER'!$O$18:$O$25,$A161),"")</f>
        <v/>
      </c>
      <c r="D161">
        <f t="array" ref="D161">IFERROR(INDEX('TRIP MANAGER'!$P$18:$P$25,$A161),"")</f>
        <v/>
      </c>
      <c r="E161">
        <f t="array" ref="E161">IFERROR(INDEX('TRIP MANAGER'!$Q$18:$Q$25,$A161),"")</f>
        <v/>
      </c>
      <c r="F161">
        <f t="array" ref="F161">IFERROR(INDEX('TRIP MANAGER'!$R$18:$R$25,$A161),"")</f>
        <v/>
      </c>
      <c r="G161">
        <f t="array" ref="G161">IFERROR(INDEX('TRIP MANAGER'!$S$18:$S$25,$A161),"")</f>
        <v/>
      </c>
      <c r="H161">
        <f>$B161/150</f>
        <v/>
      </c>
      <c r="I161">
        <f>IF(OR($G161="",$G161=0),"",SIN((1-$H161)*$G161)/SIN($G161))</f>
        <v/>
      </c>
      <c r="J161">
        <f>IF($I161="","",SIN($H161*$G161)/SIN($G161))</f>
        <v/>
      </c>
      <c r="K161">
        <f>IF($I161="","",$I161*COS(RADIANS($C161))*COS(RADIANS($D161))+$J161*COS(RADIANS($E161))*COS(RADIANS($F161)))</f>
        <v/>
      </c>
      <c r="L161">
        <f>IF($I161="","",$I161*COS(RADIANS($C161))*SIN(RADIANS($D161))+$J161*COS(RADIANS($E161))*SIN(RADIANS($F161)))</f>
        <v/>
      </c>
      <c r="M161">
        <f>IF($I161="","",$I161*SIN(RADIANS($C161))+$J161*SIN(RADIANS($E161)))</f>
        <v/>
      </c>
      <c r="N161">
        <f>IF($M161="","",DEGREES(ATAN2(SQRT($K161^2+$L161^2),$M161)))</f>
        <v/>
      </c>
      <c r="O161">
        <f>IF($M161="","",DEGREES(ATAN2($K161,$L161)))</f>
        <v/>
      </c>
      <c r="P161">
        <f t="array" ref="P161">IF($N161="","",IFERROR(IF(INDEX(geo_grid!$B$2:$JU$231,INT(($N161+40)/0.5)+1,INT(($O161+30)/0.5)+1)="","",INDEX(geo_grid!$B$2:$JU$231,INT(($N161+40)/0.5)+1,INT(($O161+30)/0.5)+1)),"OUTSIDE GRID"))</f>
        <v/>
      </c>
      <c r="Q161">
        <f>IF($P161="","",$A161*1000+$B161)</f>
        <v/>
      </c>
    </row>
    <row r="162">
      <c r="A162">
        <f>INT((ROW()-2)/151)+1</f>
        <v/>
      </c>
      <c r="B162">
        <f>MOD(ROW()-2,151)</f>
        <v/>
      </c>
      <c r="C162">
        <f t="array" ref="C162">IFERROR(INDEX('TRIP MANAGER'!$O$18:$O$25,$A162),"")</f>
        <v/>
      </c>
      <c r="D162">
        <f t="array" ref="D162">IFERROR(INDEX('TRIP MANAGER'!$P$18:$P$25,$A162),"")</f>
        <v/>
      </c>
      <c r="E162">
        <f t="array" ref="E162">IFERROR(INDEX('TRIP MANAGER'!$Q$18:$Q$25,$A162),"")</f>
        <v/>
      </c>
      <c r="F162">
        <f t="array" ref="F162">IFERROR(INDEX('TRIP MANAGER'!$R$18:$R$25,$A162),"")</f>
        <v/>
      </c>
      <c r="G162">
        <f t="array" ref="G162">IFERROR(INDEX('TRIP MANAGER'!$S$18:$S$25,$A162),"")</f>
        <v/>
      </c>
      <c r="H162">
        <f>$B162/150</f>
        <v/>
      </c>
      <c r="I162">
        <f>IF(OR($G162="",$G162=0),"",SIN((1-$H162)*$G162)/SIN($G162))</f>
        <v/>
      </c>
      <c r="J162">
        <f>IF($I162="","",SIN($H162*$G162)/SIN($G162))</f>
        <v/>
      </c>
      <c r="K162">
        <f>IF($I162="","",$I162*COS(RADIANS($C162))*COS(RADIANS($D162))+$J162*COS(RADIANS($E162))*COS(RADIANS($F162)))</f>
        <v/>
      </c>
      <c r="L162">
        <f>IF($I162="","",$I162*COS(RADIANS($C162))*SIN(RADIANS($D162))+$J162*COS(RADIANS($E162))*SIN(RADIANS($F162)))</f>
        <v/>
      </c>
      <c r="M162">
        <f>IF($I162="","",$I162*SIN(RADIANS($C162))+$J162*SIN(RADIANS($E162)))</f>
        <v/>
      </c>
      <c r="N162">
        <f>IF($M162="","",DEGREES(ATAN2(SQRT($K162^2+$L162^2),$M162)))</f>
        <v/>
      </c>
      <c r="O162">
        <f>IF($M162="","",DEGREES(ATAN2($K162,$L162)))</f>
        <v/>
      </c>
      <c r="P162">
        <f t="array" ref="P162">IF($N162="","",IFERROR(IF(INDEX(geo_grid!$B$2:$JU$231,INT(($N162+40)/0.5)+1,INT(($O162+30)/0.5)+1)="","",INDEX(geo_grid!$B$2:$JU$231,INT(($N162+40)/0.5)+1,INT(($O162+30)/0.5)+1)),"OUTSIDE GRID"))</f>
        <v/>
      </c>
      <c r="Q162">
        <f>IF($P162="","",$A162*1000+$B162)</f>
        <v/>
      </c>
    </row>
    <row r="163">
      <c r="A163">
        <f>INT((ROW()-2)/151)+1</f>
        <v/>
      </c>
      <c r="B163">
        <f>MOD(ROW()-2,151)</f>
        <v/>
      </c>
      <c r="C163">
        <f t="array" ref="C163">IFERROR(INDEX('TRIP MANAGER'!$O$18:$O$25,$A163),"")</f>
        <v/>
      </c>
      <c r="D163">
        <f t="array" ref="D163">IFERROR(INDEX('TRIP MANAGER'!$P$18:$P$25,$A163),"")</f>
        <v/>
      </c>
      <c r="E163">
        <f t="array" ref="E163">IFERROR(INDEX('TRIP MANAGER'!$Q$18:$Q$25,$A163),"")</f>
        <v/>
      </c>
      <c r="F163">
        <f t="array" ref="F163">IFERROR(INDEX('TRIP MANAGER'!$R$18:$R$25,$A163),"")</f>
        <v/>
      </c>
      <c r="G163">
        <f t="array" ref="G163">IFERROR(INDEX('TRIP MANAGER'!$S$18:$S$25,$A163),"")</f>
        <v/>
      </c>
      <c r="H163">
        <f>$B163/150</f>
        <v/>
      </c>
      <c r="I163">
        <f>IF(OR($G163="",$G163=0),"",SIN((1-$H163)*$G163)/SIN($G163))</f>
        <v/>
      </c>
      <c r="J163">
        <f>IF($I163="","",SIN($H163*$G163)/SIN($G163))</f>
        <v/>
      </c>
      <c r="K163">
        <f>IF($I163="","",$I163*COS(RADIANS($C163))*COS(RADIANS($D163))+$J163*COS(RADIANS($E163))*COS(RADIANS($F163)))</f>
        <v/>
      </c>
      <c r="L163">
        <f>IF($I163="","",$I163*COS(RADIANS($C163))*SIN(RADIANS($D163))+$J163*COS(RADIANS($E163))*SIN(RADIANS($F163)))</f>
        <v/>
      </c>
      <c r="M163">
        <f>IF($I163="","",$I163*SIN(RADIANS($C163))+$J163*SIN(RADIANS($E163)))</f>
        <v/>
      </c>
      <c r="N163">
        <f>IF($M163="","",DEGREES(ATAN2(SQRT($K163^2+$L163^2),$M163)))</f>
        <v/>
      </c>
      <c r="O163">
        <f>IF($M163="","",DEGREES(ATAN2($K163,$L163)))</f>
        <v/>
      </c>
      <c r="P163">
        <f t="array" ref="P163">IF($N163="","",IFERROR(IF(INDEX(geo_grid!$B$2:$JU$231,INT(($N163+40)/0.5)+1,INT(($O163+30)/0.5)+1)="","",INDEX(geo_grid!$B$2:$JU$231,INT(($N163+40)/0.5)+1,INT(($O163+30)/0.5)+1)),"OUTSIDE GRID"))</f>
        <v/>
      </c>
      <c r="Q163">
        <f>IF($P163="","",$A163*1000+$B163)</f>
        <v/>
      </c>
    </row>
    <row r="164">
      <c r="A164">
        <f>INT((ROW()-2)/151)+1</f>
        <v/>
      </c>
      <c r="B164">
        <f>MOD(ROW()-2,151)</f>
        <v/>
      </c>
      <c r="C164">
        <f t="array" ref="C164">IFERROR(INDEX('TRIP MANAGER'!$O$18:$O$25,$A164),"")</f>
        <v/>
      </c>
      <c r="D164">
        <f t="array" ref="D164">IFERROR(INDEX('TRIP MANAGER'!$P$18:$P$25,$A164),"")</f>
        <v/>
      </c>
      <c r="E164">
        <f t="array" ref="E164">IFERROR(INDEX('TRIP MANAGER'!$Q$18:$Q$25,$A164),"")</f>
        <v/>
      </c>
      <c r="F164">
        <f t="array" ref="F164">IFERROR(INDEX('TRIP MANAGER'!$R$18:$R$25,$A164),"")</f>
        <v/>
      </c>
      <c r="G164">
        <f t="array" ref="G164">IFERROR(INDEX('TRIP MANAGER'!$S$18:$S$25,$A164),"")</f>
        <v/>
      </c>
      <c r="H164">
        <f>$B164/150</f>
        <v/>
      </c>
      <c r="I164">
        <f>IF(OR($G164="",$G164=0),"",SIN((1-$H164)*$G164)/SIN($G164))</f>
        <v/>
      </c>
      <c r="J164">
        <f>IF($I164="","",SIN($H164*$G164)/SIN($G164))</f>
        <v/>
      </c>
      <c r="K164">
        <f>IF($I164="","",$I164*COS(RADIANS($C164))*COS(RADIANS($D164))+$J164*COS(RADIANS($E164))*COS(RADIANS($F164)))</f>
        <v/>
      </c>
      <c r="L164">
        <f>IF($I164="","",$I164*COS(RADIANS($C164))*SIN(RADIANS($D164))+$J164*COS(RADIANS($E164))*SIN(RADIANS($F164)))</f>
        <v/>
      </c>
      <c r="M164">
        <f>IF($I164="","",$I164*SIN(RADIANS($C164))+$J164*SIN(RADIANS($E164)))</f>
        <v/>
      </c>
      <c r="N164">
        <f>IF($M164="","",DEGREES(ATAN2(SQRT($K164^2+$L164^2),$M164)))</f>
        <v/>
      </c>
      <c r="O164">
        <f>IF($M164="","",DEGREES(ATAN2($K164,$L164)))</f>
        <v/>
      </c>
      <c r="P164">
        <f t="array" ref="P164">IF($N164="","",IFERROR(IF(INDEX(geo_grid!$B$2:$JU$231,INT(($N164+40)/0.5)+1,INT(($O164+30)/0.5)+1)="","",INDEX(geo_grid!$B$2:$JU$231,INT(($N164+40)/0.5)+1,INT(($O164+30)/0.5)+1)),"OUTSIDE GRID"))</f>
        <v/>
      </c>
      <c r="Q164">
        <f>IF($P164="","",$A164*1000+$B164)</f>
        <v/>
      </c>
    </row>
    <row r="165">
      <c r="A165">
        <f>INT((ROW()-2)/151)+1</f>
        <v/>
      </c>
      <c r="B165">
        <f>MOD(ROW()-2,151)</f>
        <v/>
      </c>
      <c r="C165">
        <f t="array" ref="C165">IFERROR(INDEX('TRIP MANAGER'!$O$18:$O$25,$A165),"")</f>
        <v/>
      </c>
      <c r="D165">
        <f t="array" ref="D165">IFERROR(INDEX('TRIP MANAGER'!$P$18:$P$25,$A165),"")</f>
        <v/>
      </c>
      <c r="E165">
        <f t="array" ref="E165">IFERROR(INDEX('TRIP MANAGER'!$Q$18:$Q$25,$A165),"")</f>
        <v/>
      </c>
      <c r="F165">
        <f t="array" ref="F165">IFERROR(INDEX('TRIP MANAGER'!$R$18:$R$25,$A165),"")</f>
        <v/>
      </c>
      <c r="G165">
        <f t="array" ref="G165">IFERROR(INDEX('TRIP MANAGER'!$S$18:$S$25,$A165),"")</f>
        <v/>
      </c>
      <c r="H165">
        <f>$B165/150</f>
        <v/>
      </c>
      <c r="I165">
        <f>IF(OR($G165="",$G165=0),"",SIN((1-$H165)*$G165)/SIN($G165))</f>
        <v/>
      </c>
      <c r="J165">
        <f>IF($I165="","",SIN($H165*$G165)/SIN($G165))</f>
        <v/>
      </c>
      <c r="K165">
        <f>IF($I165="","",$I165*COS(RADIANS($C165))*COS(RADIANS($D165))+$J165*COS(RADIANS($E165))*COS(RADIANS($F165)))</f>
        <v/>
      </c>
      <c r="L165">
        <f>IF($I165="","",$I165*COS(RADIANS($C165))*SIN(RADIANS($D165))+$J165*COS(RADIANS($E165))*SIN(RADIANS($F165)))</f>
        <v/>
      </c>
      <c r="M165">
        <f>IF($I165="","",$I165*SIN(RADIANS($C165))+$J165*SIN(RADIANS($E165)))</f>
        <v/>
      </c>
      <c r="N165">
        <f>IF($M165="","",DEGREES(ATAN2(SQRT($K165^2+$L165^2),$M165)))</f>
        <v/>
      </c>
      <c r="O165">
        <f>IF($M165="","",DEGREES(ATAN2($K165,$L165)))</f>
        <v/>
      </c>
      <c r="P165">
        <f t="array" ref="P165">IF($N165="","",IFERROR(IF(INDEX(geo_grid!$B$2:$JU$231,INT(($N165+40)/0.5)+1,INT(($O165+30)/0.5)+1)="","",INDEX(geo_grid!$B$2:$JU$231,INT(($N165+40)/0.5)+1,INT(($O165+30)/0.5)+1)),"OUTSIDE GRID"))</f>
        <v/>
      </c>
      <c r="Q165">
        <f>IF($P165="","",$A165*1000+$B165)</f>
        <v/>
      </c>
    </row>
    <row r="166">
      <c r="A166">
        <f>INT((ROW()-2)/151)+1</f>
        <v/>
      </c>
      <c r="B166">
        <f>MOD(ROW()-2,151)</f>
        <v/>
      </c>
      <c r="C166">
        <f t="array" ref="C166">IFERROR(INDEX('TRIP MANAGER'!$O$18:$O$25,$A166),"")</f>
        <v/>
      </c>
      <c r="D166">
        <f t="array" ref="D166">IFERROR(INDEX('TRIP MANAGER'!$P$18:$P$25,$A166),"")</f>
        <v/>
      </c>
      <c r="E166">
        <f t="array" ref="E166">IFERROR(INDEX('TRIP MANAGER'!$Q$18:$Q$25,$A166),"")</f>
        <v/>
      </c>
      <c r="F166">
        <f t="array" ref="F166">IFERROR(INDEX('TRIP MANAGER'!$R$18:$R$25,$A166),"")</f>
        <v/>
      </c>
      <c r="G166">
        <f t="array" ref="G166">IFERROR(INDEX('TRIP MANAGER'!$S$18:$S$25,$A166),"")</f>
        <v/>
      </c>
      <c r="H166">
        <f>$B166/150</f>
        <v/>
      </c>
      <c r="I166">
        <f>IF(OR($G166="",$G166=0),"",SIN((1-$H166)*$G166)/SIN($G166))</f>
        <v/>
      </c>
      <c r="J166">
        <f>IF($I166="","",SIN($H166*$G166)/SIN($G166))</f>
        <v/>
      </c>
      <c r="K166">
        <f>IF($I166="","",$I166*COS(RADIANS($C166))*COS(RADIANS($D166))+$J166*COS(RADIANS($E166))*COS(RADIANS($F166)))</f>
        <v/>
      </c>
      <c r="L166">
        <f>IF($I166="","",$I166*COS(RADIANS($C166))*SIN(RADIANS($D166))+$J166*COS(RADIANS($E166))*SIN(RADIANS($F166)))</f>
        <v/>
      </c>
      <c r="M166">
        <f>IF($I166="","",$I166*SIN(RADIANS($C166))+$J166*SIN(RADIANS($E166)))</f>
        <v/>
      </c>
      <c r="N166">
        <f>IF($M166="","",DEGREES(ATAN2(SQRT($K166^2+$L166^2),$M166)))</f>
        <v/>
      </c>
      <c r="O166">
        <f>IF($M166="","",DEGREES(ATAN2($K166,$L166)))</f>
        <v/>
      </c>
      <c r="P166">
        <f t="array" ref="P166">IF($N166="","",IFERROR(IF(INDEX(geo_grid!$B$2:$JU$231,INT(($N166+40)/0.5)+1,INT(($O166+30)/0.5)+1)="","",INDEX(geo_grid!$B$2:$JU$231,INT(($N166+40)/0.5)+1,INT(($O166+30)/0.5)+1)),"OUTSIDE GRID"))</f>
        <v/>
      </c>
      <c r="Q166">
        <f>IF($P166="","",$A166*1000+$B166)</f>
        <v/>
      </c>
    </row>
    <row r="167">
      <c r="A167">
        <f>INT((ROW()-2)/151)+1</f>
        <v/>
      </c>
      <c r="B167">
        <f>MOD(ROW()-2,151)</f>
        <v/>
      </c>
      <c r="C167">
        <f t="array" ref="C167">IFERROR(INDEX('TRIP MANAGER'!$O$18:$O$25,$A167),"")</f>
        <v/>
      </c>
      <c r="D167">
        <f t="array" ref="D167">IFERROR(INDEX('TRIP MANAGER'!$P$18:$P$25,$A167),"")</f>
        <v/>
      </c>
      <c r="E167">
        <f t="array" ref="E167">IFERROR(INDEX('TRIP MANAGER'!$Q$18:$Q$25,$A167),"")</f>
        <v/>
      </c>
      <c r="F167">
        <f t="array" ref="F167">IFERROR(INDEX('TRIP MANAGER'!$R$18:$R$25,$A167),"")</f>
        <v/>
      </c>
      <c r="G167">
        <f t="array" ref="G167">IFERROR(INDEX('TRIP MANAGER'!$S$18:$S$25,$A167),"")</f>
        <v/>
      </c>
      <c r="H167">
        <f>$B167/150</f>
        <v/>
      </c>
      <c r="I167">
        <f>IF(OR($G167="",$G167=0),"",SIN((1-$H167)*$G167)/SIN($G167))</f>
        <v/>
      </c>
      <c r="J167">
        <f>IF($I167="","",SIN($H167*$G167)/SIN($G167))</f>
        <v/>
      </c>
      <c r="K167">
        <f>IF($I167="","",$I167*COS(RADIANS($C167))*COS(RADIANS($D167))+$J167*COS(RADIANS($E167))*COS(RADIANS($F167)))</f>
        <v/>
      </c>
      <c r="L167">
        <f>IF($I167="","",$I167*COS(RADIANS($C167))*SIN(RADIANS($D167))+$J167*COS(RADIANS($E167))*SIN(RADIANS($F167)))</f>
        <v/>
      </c>
      <c r="M167">
        <f>IF($I167="","",$I167*SIN(RADIANS($C167))+$J167*SIN(RADIANS($E167)))</f>
        <v/>
      </c>
      <c r="N167">
        <f>IF($M167="","",DEGREES(ATAN2(SQRT($K167^2+$L167^2),$M167)))</f>
        <v/>
      </c>
      <c r="O167">
        <f>IF($M167="","",DEGREES(ATAN2($K167,$L167)))</f>
        <v/>
      </c>
      <c r="P167">
        <f t="array" ref="P167">IF($N167="","",IFERROR(IF(INDEX(geo_grid!$B$2:$JU$231,INT(($N167+40)/0.5)+1,INT(($O167+30)/0.5)+1)="","",INDEX(geo_grid!$B$2:$JU$231,INT(($N167+40)/0.5)+1,INT(($O167+30)/0.5)+1)),"OUTSIDE GRID"))</f>
        <v/>
      </c>
      <c r="Q167">
        <f>IF($P167="","",$A167*1000+$B167)</f>
        <v/>
      </c>
    </row>
    <row r="168">
      <c r="A168">
        <f>INT((ROW()-2)/151)+1</f>
        <v/>
      </c>
      <c r="B168">
        <f>MOD(ROW()-2,151)</f>
        <v/>
      </c>
      <c r="C168">
        <f t="array" ref="C168">IFERROR(INDEX('TRIP MANAGER'!$O$18:$O$25,$A168),"")</f>
        <v/>
      </c>
      <c r="D168">
        <f t="array" ref="D168">IFERROR(INDEX('TRIP MANAGER'!$P$18:$P$25,$A168),"")</f>
        <v/>
      </c>
      <c r="E168">
        <f t="array" ref="E168">IFERROR(INDEX('TRIP MANAGER'!$Q$18:$Q$25,$A168),"")</f>
        <v/>
      </c>
      <c r="F168">
        <f t="array" ref="F168">IFERROR(INDEX('TRIP MANAGER'!$R$18:$R$25,$A168),"")</f>
        <v/>
      </c>
      <c r="G168">
        <f t="array" ref="G168">IFERROR(INDEX('TRIP MANAGER'!$S$18:$S$25,$A168),"")</f>
        <v/>
      </c>
      <c r="H168">
        <f>$B168/150</f>
        <v/>
      </c>
      <c r="I168">
        <f>IF(OR($G168="",$G168=0),"",SIN((1-$H168)*$G168)/SIN($G168))</f>
        <v/>
      </c>
      <c r="J168">
        <f>IF($I168="","",SIN($H168*$G168)/SIN($G168))</f>
        <v/>
      </c>
      <c r="K168">
        <f>IF($I168="","",$I168*COS(RADIANS($C168))*COS(RADIANS($D168))+$J168*COS(RADIANS($E168))*COS(RADIANS($F168)))</f>
        <v/>
      </c>
      <c r="L168">
        <f>IF($I168="","",$I168*COS(RADIANS($C168))*SIN(RADIANS($D168))+$J168*COS(RADIANS($E168))*SIN(RADIANS($F168)))</f>
        <v/>
      </c>
      <c r="M168">
        <f>IF($I168="","",$I168*SIN(RADIANS($C168))+$J168*SIN(RADIANS($E168)))</f>
        <v/>
      </c>
      <c r="N168">
        <f>IF($M168="","",DEGREES(ATAN2(SQRT($K168^2+$L168^2),$M168)))</f>
        <v/>
      </c>
      <c r="O168">
        <f>IF($M168="","",DEGREES(ATAN2($K168,$L168)))</f>
        <v/>
      </c>
      <c r="P168">
        <f t="array" ref="P168">IF($N168="","",IFERROR(IF(INDEX(geo_grid!$B$2:$JU$231,INT(($N168+40)/0.5)+1,INT(($O168+30)/0.5)+1)="","",INDEX(geo_grid!$B$2:$JU$231,INT(($N168+40)/0.5)+1,INT(($O168+30)/0.5)+1)),"OUTSIDE GRID"))</f>
        <v/>
      </c>
      <c r="Q168">
        <f>IF($P168="","",$A168*1000+$B168)</f>
        <v/>
      </c>
    </row>
    <row r="169">
      <c r="A169">
        <f>INT((ROW()-2)/151)+1</f>
        <v/>
      </c>
      <c r="B169">
        <f>MOD(ROW()-2,151)</f>
        <v/>
      </c>
      <c r="C169">
        <f t="array" ref="C169">IFERROR(INDEX('TRIP MANAGER'!$O$18:$O$25,$A169),"")</f>
        <v/>
      </c>
      <c r="D169">
        <f t="array" ref="D169">IFERROR(INDEX('TRIP MANAGER'!$P$18:$P$25,$A169),"")</f>
        <v/>
      </c>
      <c r="E169">
        <f t="array" ref="E169">IFERROR(INDEX('TRIP MANAGER'!$Q$18:$Q$25,$A169),"")</f>
        <v/>
      </c>
      <c r="F169">
        <f t="array" ref="F169">IFERROR(INDEX('TRIP MANAGER'!$R$18:$R$25,$A169),"")</f>
        <v/>
      </c>
      <c r="G169">
        <f t="array" ref="G169">IFERROR(INDEX('TRIP MANAGER'!$S$18:$S$25,$A169),"")</f>
        <v/>
      </c>
      <c r="H169">
        <f>$B169/150</f>
        <v/>
      </c>
      <c r="I169">
        <f>IF(OR($G169="",$G169=0),"",SIN((1-$H169)*$G169)/SIN($G169))</f>
        <v/>
      </c>
      <c r="J169">
        <f>IF($I169="","",SIN($H169*$G169)/SIN($G169))</f>
        <v/>
      </c>
      <c r="K169">
        <f>IF($I169="","",$I169*COS(RADIANS($C169))*COS(RADIANS($D169))+$J169*COS(RADIANS($E169))*COS(RADIANS($F169)))</f>
        <v/>
      </c>
      <c r="L169">
        <f>IF($I169="","",$I169*COS(RADIANS($C169))*SIN(RADIANS($D169))+$J169*COS(RADIANS($E169))*SIN(RADIANS($F169)))</f>
        <v/>
      </c>
      <c r="M169">
        <f>IF($I169="","",$I169*SIN(RADIANS($C169))+$J169*SIN(RADIANS($E169)))</f>
        <v/>
      </c>
      <c r="N169">
        <f>IF($M169="","",DEGREES(ATAN2(SQRT($K169^2+$L169^2),$M169)))</f>
        <v/>
      </c>
      <c r="O169">
        <f>IF($M169="","",DEGREES(ATAN2($K169,$L169)))</f>
        <v/>
      </c>
      <c r="P169">
        <f t="array" ref="P169">IF($N169="","",IFERROR(IF(INDEX(geo_grid!$B$2:$JU$231,INT(($N169+40)/0.5)+1,INT(($O169+30)/0.5)+1)="","",INDEX(geo_grid!$B$2:$JU$231,INT(($N169+40)/0.5)+1,INT(($O169+30)/0.5)+1)),"OUTSIDE GRID"))</f>
        <v/>
      </c>
      <c r="Q169">
        <f>IF($P169="","",$A169*1000+$B169)</f>
        <v/>
      </c>
    </row>
    <row r="170">
      <c r="A170">
        <f>INT((ROW()-2)/151)+1</f>
        <v/>
      </c>
      <c r="B170">
        <f>MOD(ROW()-2,151)</f>
        <v/>
      </c>
      <c r="C170">
        <f t="array" ref="C170">IFERROR(INDEX('TRIP MANAGER'!$O$18:$O$25,$A170),"")</f>
        <v/>
      </c>
      <c r="D170">
        <f t="array" ref="D170">IFERROR(INDEX('TRIP MANAGER'!$P$18:$P$25,$A170),"")</f>
        <v/>
      </c>
      <c r="E170">
        <f t="array" ref="E170">IFERROR(INDEX('TRIP MANAGER'!$Q$18:$Q$25,$A170),"")</f>
        <v/>
      </c>
      <c r="F170">
        <f t="array" ref="F170">IFERROR(INDEX('TRIP MANAGER'!$R$18:$R$25,$A170),"")</f>
        <v/>
      </c>
      <c r="G170">
        <f t="array" ref="G170">IFERROR(INDEX('TRIP MANAGER'!$S$18:$S$25,$A170),"")</f>
        <v/>
      </c>
      <c r="H170">
        <f>$B170/150</f>
        <v/>
      </c>
      <c r="I170">
        <f>IF(OR($G170="",$G170=0),"",SIN((1-$H170)*$G170)/SIN($G170))</f>
        <v/>
      </c>
      <c r="J170">
        <f>IF($I170="","",SIN($H170*$G170)/SIN($G170))</f>
        <v/>
      </c>
      <c r="K170">
        <f>IF($I170="","",$I170*COS(RADIANS($C170))*COS(RADIANS($D170))+$J170*COS(RADIANS($E170))*COS(RADIANS($F170)))</f>
        <v/>
      </c>
      <c r="L170">
        <f>IF($I170="","",$I170*COS(RADIANS($C170))*SIN(RADIANS($D170))+$J170*COS(RADIANS($E170))*SIN(RADIANS($F170)))</f>
        <v/>
      </c>
      <c r="M170">
        <f>IF($I170="","",$I170*SIN(RADIANS($C170))+$J170*SIN(RADIANS($E170)))</f>
        <v/>
      </c>
      <c r="N170">
        <f>IF($M170="","",DEGREES(ATAN2(SQRT($K170^2+$L170^2),$M170)))</f>
        <v/>
      </c>
      <c r="O170">
        <f>IF($M170="","",DEGREES(ATAN2($K170,$L170)))</f>
        <v/>
      </c>
      <c r="P170">
        <f t="array" ref="P170">IF($N170="","",IFERROR(IF(INDEX(geo_grid!$B$2:$JU$231,INT(($N170+40)/0.5)+1,INT(($O170+30)/0.5)+1)="","",INDEX(geo_grid!$B$2:$JU$231,INT(($N170+40)/0.5)+1,INT(($O170+30)/0.5)+1)),"OUTSIDE GRID"))</f>
        <v/>
      </c>
      <c r="Q170">
        <f>IF($P170="","",$A170*1000+$B170)</f>
        <v/>
      </c>
    </row>
    <row r="171">
      <c r="A171">
        <f>INT((ROW()-2)/151)+1</f>
        <v/>
      </c>
      <c r="B171">
        <f>MOD(ROW()-2,151)</f>
        <v/>
      </c>
      <c r="C171">
        <f t="array" ref="C171">IFERROR(INDEX('TRIP MANAGER'!$O$18:$O$25,$A171),"")</f>
        <v/>
      </c>
      <c r="D171">
        <f t="array" ref="D171">IFERROR(INDEX('TRIP MANAGER'!$P$18:$P$25,$A171),"")</f>
        <v/>
      </c>
      <c r="E171">
        <f t="array" ref="E171">IFERROR(INDEX('TRIP MANAGER'!$Q$18:$Q$25,$A171),"")</f>
        <v/>
      </c>
      <c r="F171">
        <f t="array" ref="F171">IFERROR(INDEX('TRIP MANAGER'!$R$18:$R$25,$A171),"")</f>
        <v/>
      </c>
      <c r="G171">
        <f t="array" ref="G171">IFERROR(INDEX('TRIP MANAGER'!$S$18:$S$25,$A171),"")</f>
        <v/>
      </c>
      <c r="H171">
        <f>$B171/150</f>
        <v/>
      </c>
      <c r="I171">
        <f>IF(OR($G171="",$G171=0),"",SIN((1-$H171)*$G171)/SIN($G171))</f>
        <v/>
      </c>
      <c r="J171">
        <f>IF($I171="","",SIN($H171*$G171)/SIN($G171))</f>
        <v/>
      </c>
      <c r="K171">
        <f>IF($I171="","",$I171*COS(RADIANS($C171))*COS(RADIANS($D171))+$J171*COS(RADIANS($E171))*COS(RADIANS($F171)))</f>
        <v/>
      </c>
      <c r="L171">
        <f>IF($I171="","",$I171*COS(RADIANS($C171))*SIN(RADIANS($D171))+$J171*COS(RADIANS($E171))*SIN(RADIANS($F171)))</f>
        <v/>
      </c>
      <c r="M171">
        <f>IF($I171="","",$I171*SIN(RADIANS($C171))+$J171*SIN(RADIANS($E171)))</f>
        <v/>
      </c>
      <c r="N171">
        <f>IF($M171="","",DEGREES(ATAN2(SQRT($K171^2+$L171^2),$M171)))</f>
        <v/>
      </c>
      <c r="O171">
        <f>IF($M171="","",DEGREES(ATAN2($K171,$L171)))</f>
        <v/>
      </c>
      <c r="P171">
        <f t="array" ref="P171">IF($N171="","",IFERROR(IF(INDEX(geo_grid!$B$2:$JU$231,INT(($N171+40)/0.5)+1,INT(($O171+30)/0.5)+1)="","",INDEX(geo_grid!$B$2:$JU$231,INT(($N171+40)/0.5)+1,INT(($O171+30)/0.5)+1)),"OUTSIDE GRID"))</f>
        <v/>
      </c>
      <c r="Q171">
        <f>IF($P171="","",$A171*1000+$B171)</f>
        <v/>
      </c>
    </row>
    <row r="172">
      <c r="A172">
        <f>INT((ROW()-2)/151)+1</f>
        <v/>
      </c>
      <c r="B172">
        <f>MOD(ROW()-2,151)</f>
        <v/>
      </c>
      <c r="C172">
        <f t="array" ref="C172">IFERROR(INDEX('TRIP MANAGER'!$O$18:$O$25,$A172),"")</f>
        <v/>
      </c>
      <c r="D172">
        <f t="array" ref="D172">IFERROR(INDEX('TRIP MANAGER'!$P$18:$P$25,$A172),"")</f>
        <v/>
      </c>
      <c r="E172">
        <f t="array" ref="E172">IFERROR(INDEX('TRIP MANAGER'!$Q$18:$Q$25,$A172),"")</f>
        <v/>
      </c>
      <c r="F172">
        <f t="array" ref="F172">IFERROR(INDEX('TRIP MANAGER'!$R$18:$R$25,$A172),"")</f>
        <v/>
      </c>
      <c r="G172">
        <f t="array" ref="G172">IFERROR(INDEX('TRIP MANAGER'!$S$18:$S$25,$A172),"")</f>
        <v/>
      </c>
      <c r="H172">
        <f>$B172/150</f>
        <v/>
      </c>
      <c r="I172">
        <f>IF(OR($G172="",$G172=0),"",SIN((1-$H172)*$G172)/SIN($G172))</f>
        <v/>
      </c>
      <c r="J172">
        <f>IF($I172="","",SIN($H172*$G172)/SIN($G172))</f>
        <v/>
      </c>
      <c r="K172">
        <f>IF($I172="","",$I172*COS(RADIANS($C172))*COS(RADIANS($D172))+$J172*COS(RADIANS($E172))*COS(RADIANS($F172)))</f>
        <v/>
      </c>
      <c r="L172">
        <f>IF($I172="","",$I172*COS(RADIANS($C172))*SIN(RADIANS($D172))+$J172*COS(RADIANS($E172))*SIN(RADIANS($F172)))</f>
        <v/>
      </c>
      <c r="M172">
        <f>IF($I172="","",$I172*SIN(RADIANS($C172))+$J172*SIN(RADIANS($E172)))</f>
        <v/>
      </c>
      <c r="N172">
        <f>IF($M172="","",DEGREES(ATAN2(SQRT($K172^2+$L172^2),$M172)))</f>
        <v/>
      </c>
      <c r="O172">
        <f>IF($M172="","",DEGREES(ATAN2($K172,$L172)))</f>
        <v/>
      </c>
      <c r="P172">
        <f t="array" ref="P172">IF($N172="","",IFERROR(IF(INDEX(geo_grid!$B$2:$JU$231,INT(($N172+40)/0.5)+1,INT(($O172+30)/0.5)+1)="","",INDEX(geo_grid!$B$2:$JU$231,INT(($N172+40)/0.5)+1,INT(($O172+30)/0.5)+1)),"OUTSIDE GRID"))</f>
        <v/>
      </c>
      <c r="Q172">
        <f>IF($P172="","",$A172*1000+$B172)</f>
        <v/>
      </c>
    </row>
    <row r="173">
      <c r="A173">
        <f>INT((ROW()-2)/151)+1</f>
        <v/>
      </c>
      <c r="B173">
        <f>MOD(ROW()-2,151)</f>
        <v/>
      </c>
      <c r="C173">
        <f t="array" ref="C173">IFERROR(INDEX('TRIP MANAGER'!$O$18:$O$25,$A173),"")</f>
        <v/>
      </c>
      <c r="D173">
        <f t="array" ref="D173">IFERROR(INDEX('TRIP MANAGER'!$P$18:$P$25,$A173),"")</f>
        <v/>
      </c>
      <c r="E173">
        <f t="array" ref="E173">IFERROR(INDEX('TRIP MANAGER'!$Q$18:$Q$25,$A173),"")</f>
        <v/>
      </c>
      <c r="F173">
        <f t="array" ref="F173">IFERROR(INDEX('TRIP MANAGER'!$R$18:$R$25,$A173),"")</f>
        <v/>
      </c>
      <c r="G173">
        <f t="array" ref="G173">IFERROR(INDEX('TRIP MANAGER'!$S$18:$S$25,$A173),"")</f>
        <v/>
      </c>
      <c r="H173">
        <f>$B173/150</f>
        <v/>
      </c>
      <c r="I173">
        <f>IF(OR($G173="",$G173=0),"",SIN((1-$H173)*$G173)/SIN($G173))</f>
        <v/>
      </c>
      <c r="J173">
        <f>IF($I173="","",SIN($H173*$G173)/SIN($G173))</f>
        <v/>
      </c>
      <c r="K173">
        <f>IF($I173="","",$I173*COS(RADIANS($C173))*COS(RADIANS($D173))+$J173*COS(RADIANS($E173))*COS(RADIANS($F173)))</f>
        <v/>
      </c>
      <c r="L173">
        <f>IF($I173="","",$I173*COS(RADIANS($C173))*SIN(RADIANS($D173))+$J173*COS(RADIANS($E173))*SIN(RADIANS($F173)))</f>
        <v/>
      </c>
      <c r="M173">
        <f>IF($I173="","",$I173*SIN(RADIANS($C173))+$J173*SIN(RADIANS($E173)))</f>
        <v/>
      </c>
      <c r="N173">
        <f>IF($M173="","",DEGREES(ATAN2(SQRT($K173^2+$L173^2),$M173)))</f>
        <v/>
      </c>
      <c r="O173">
        <f>IF($M173="","",DEGREES(ATAN2($K173,$L173)))</f>
        <v/>
      </c>
      <c r="P173">
        <f t="array" ref="P173">IF($N173="","",IFERROR(IF(INDEX(geo_grid!$B$2:$JU$231,INT(($N173+40)/0.5)+1,INT(($O173+30)/0.5)+1)="","",INDEX(geo_grid!$B$2:$JU$231,INT(($N173+40)/0.5)+1,INT(($O173+30)/0.5)+1)),"OUTSIDE GRID"))</f>
        <v/>
      </c>
      <c r="Q173">
        <f>IF($P173="","",$A173*1000+$B173)</f>
        <v/>
      </c>
    </row>
    <row r="174">
      <c r="A174">
        <f>INT((ROW()-2)/151)+1</f>
        <v/>
      </c>
      <c r="B174">
        <f>MOD(ROW()-2,151)</f>
        <v/>
      </c>
      <c r="C174">
        <f t="array" ref="C174">IFERROR(INDEX('TRIP MANAGER'!$O$18:$O$25,$A174),"")</f>
        <v/>
      </c>
      <c r="D174">
        <f t="array" ref="D174">IFERROR(INDEX('TRIP MANAGER'!$P$18:$P$25,$A174),"")</f>
        <v/>
      </c>
      <c r="E174">
        <f t="array" ref="E174">IFERROR(INDEX('TRIP MANAGER'!$Q$18:$Q$25,$A174),"")</f>
        <v/>
      </c>
      <c r="F174">
        <f t="array" ref="F174">IFERROR(INDEX('TRIP MANAGER'!$R$18:$R$25,$A174),"")</f>
        <v/>
      </c>
      <c r="G174">
        <f t="array" ref="G174">IFERROR(INDEX('TRIP MANAGER'!$S$18:$S$25,$A174),"")</f>
        <v/>
      </c>
      <c r="H174">
        <f>$B174/150</f>
        <v/>
      </c>
      <c r="I174">
        <f>IF(OR($G174="",$G174=0),"",SIN((1-$H174)*$G174)/SIN($G174))</f>
        <v/>
      </c>
      <c r="J174">
        <f>IF($I174="","",SIN($H174*$G174)/SIN($G174))</f>
        <v/>
      </c>
      <c r="K174">
        <f>IF($I174="","",$I174*COS(RADIANS($C174))*COS(RADIANS($D174))+$J174*COS(RADIANS($E174))*COS(RADIANS($F174)))</f>
        <v/>
      </c>
      <c r="L174">
        <f>IF($I174="","",$I174*COS(RADIANS($C174))*SIN(RADIANS($D174))+$J174*COS(RADIANS($E174))*SIN(RADIANS($F174)))</f>
        <v/>
      </c>
      <c r="M174">
        <f>IF($I174="","",$I174*SIN(RADIANS($C174))+$J174*SIN(RADIANS($E174)))</f>
        <v/>
      </c>
      <c r="N174">
        <f>IF($M174="","",DEGREES(ATAN2(SQRT($K174^2+$L174^2),$M174)))</f>
        <v/>
      </c>
      <c r="O174">
        <f>IF($M174="","",DEGREES(ATAN2($K174,$L174)))</f>
        <v/>
      </c>
      <c r="P174">
        <f t="array" ref="P174">IF($N174="","",IFERROR(IF(INDEX(geo_grid!$B$2:$JU$231,INT(($N174+40)/0.5)+1,INT(($O174+30)/0.5)+1)="","",INDEX(geo_grid!$B$2:$JU$231,INT(($N174+40)/0.5)+1,INT(($O174+30)/0.5)+1)),"OUTSIDE GRID"))</f>
        <v/>
      </c>
      <c r="Q174">
        <f>IF($P174="","",$A174*1000+$B174)</f>
        <v/>
      </c>
    </row>
    <row r="175">
      <c r="A175">
        <f>INT((ROW()-2)/151)+1</f>
        <v/>
      </c>
      <c r="B175">
        <f>MOD(ROW()-2,151)</f>
        <v/>
      </c>
      <c r="C175">
        <f t="array" ref="C175">IFERROR(INDEX('TRIP MANAGER'!$O$18:$O$25,$A175),"")</f>
        <v/>
      </c>
      <c r="D175">
        <f t="array" ref="D175">IFERROR(INDEX('TRIP MANAGER'!$P$18:$P$25,$A175),"")</f>
        <v/>
      </c>
      <c r="E175">
        <f t="array" ref="E175">IFERROR(INDEX('TRIP MANAGER'!$Q$18:$Q$25,$A175),"")</f>
        <v/>
      </c>
      <c r="F175">
        <f t="array" ref="F175">IFERROR(INDEX('TRIP MANAGER'!$R$18:$R$25,$A175),"")</f>
        <v/>
      </c>
      <c r="G175">
        <f t="array" ref="G175">IFERROR(INDEX('TRIP MANAGER'!$S$18:$S$25,$A175),"")</f>
        <v/>
      </c>
      <c r="H175">
        <f>$B175/150</f>
        <v/>
      </c>
      <c r="I175">
        <f>IF(OR($G175="",$G175=0),"",SIN((1-$H175)*$G175)/SIN($G175))</f>
        <v/>
      </c>
      <c r="J175">
        <f>IF($I175="","",SIN($H175*$G175)/SIN($G175))</f>
        <v/>
      </c>
      <c r="K175">
        <f>IF($I175="","",$I175*COS(RADIANS($C175))*COS(RADIANS($D175))+$J175*COS(RADIANS($E175))*COS(RADIANS($F175)))</f>
        <v/>
      </c>
      <c r="L175">
        <f>IF($I175="","",$I175*COS(RADIANS($C175))*SIN(RADIANS($D175))+$J175*COS(RADIANS($E175))*SIN(RADIANS($F175)))</f>
        <v/>
      </c>
      <c r="M175">
        <f>IF($I175="","",$I175*SIN(RADIANS($C175))+$J175*SIN(RADIANS($E175)))</f>
        <v/>
      </c>
      <c r="N175">
        <f>IF($M175="","",DEGREES(ATAN2(SQRT($K175^2+$L175^2),$M175)))</f>
        <v/>
      </c>
      <c r="O175">
        <f>IF($M175="","",DEGREES(ATAN2($K175,$L175)))</f>
        <v/>
      </c>
      <c r="P175">
        <f t="array" ref="P175">IF($N175="","",IFERROR(IF(INDEX(geo_grid!$B$2:$JU$231,INT(($N175+40)/0.5)+1,INT(($O175+30)/0.5)+1)="","",INDEX(geo_grid!$B$2:$JU$231,INT(($N175+40)/0.5)+1,INT(($O175+30)/0.5)+1)),"OUTSIDE GRID"))</f>
        <v/>
      </c>
      <c r="Q175">
        <f>IF($P175="","",$A175*1000+$B175)</f>
        <v/>
      </c>
    </row>
    <row r="176">
      <c r="A176">
        <f>INT((ROW()-2)/151)+1</f>
        <v/>
      </c>
      <c r="B176">
        <f>MOD(ROW()-2,151)</f>
        <v/>
      </c>
      <c r="C176">
        <f t="array" ref="C176">IFERROR(INDEX('TRIP MANAGER'!$O$18:$O$25,$A176),"")</f>
        <v/>
      </c>
      <c r="D176">
        <f t="array" ref="D176">IFERROR(INDEX('TRIP MANAGER'!$P$18:$P$25,$A176),"")</f>
        <v/>
      </c>
      <c r="E176">
        <f t="array" ref="E176">IFERROR(INDEX('TRIP MANAGER'!$Q$18:$Q$25,$A176),"")</f>
        <v/>
      </c>
      <c r="F176">
        <f t="array" ref="F176">IFERROR(INDEX('TRIP MANAGER'!$R$18:$R$25,$A176),"")</f>
        <v/>
      </c>
      <c r="G176">
        <f t="array" ref="G176">IFERROR(INDEX('TRIP MANAGER'!$S$18:$S$25,$A176),"")</f>
        <v/>
      </c>
      <c r="H176">
        <f>$B176/150</f>
        <v/>
      </c>
      <c r="I176">
        <f>IF(OR($G176="",$G176=0),"",SIN((1-$H176)*$G176)/SIN($G176))</f>
        <v/>
      </c>
      <c r="J176">
        <f>IF($I176="","",SIN($H176*$G176)/SIN($G176))</f>
        <v/>
      </c>
      <c r="K176">
        <f>IF($I176="","",$I176*COS(RADIANS($C176))*COS(RADIANS($D176))+$J176*COS(RADIANS($E176))*COS(RADIANS($F176)))</f>
        <v/>
      </c>
      <c r="L176">
        <f>IF($I176="","",$I176*COS(RADIANS($C176))*SIN(RADIANS($D176))+$J176*COS(RADIANS($E176))*SIN(RADIANS($F176)))</f>
        <v/>
      </c>
      <c r="M176">
        <f>IF($I176="","",$I176*SIN(RADIANS($C176))+$J176*SIN(RADIANS($E176)))</f>
        <v/>
      </c>
      <c r="N176">
        <f>IF($M176="","",DEGREES(ATAN2(SQRT($K176^2+$L176^2),$M176)))</f>
        <v/>
      </c>
      <c r="O176">
        <f>IF($M176="","",DEGREES(ATAN2($K176,$L176)))</f>
        <v/>
      </c>
      <c r="P176">
        <f t="array" ref="P176">IF($N176="","",IFERROR(IF(INDEX(geo_grid!$B$2:$JU$231,INT(($N176+40)/0.5)+1,INT(($O176+30)/0.5)+1)="","",INDEX(geo_grid!$B$2:$JU$231,INT(($N176+40)/0.5)+1,INT(($O176+30)/0.5)+1)),"OUTSIDE GRID"))</f>
        <v/>
      </c>
      <c r="Q176">
        <f>IF($P176="","",$A176*1000+$B176)</f>
        <v/>
      </c>
    </row>
    <row r="177">
      <c r="A177">
        <f>INT((ROW()-2)/151)+1</f>
        <v/>
      </c>
      <c r="B177">
        <f>MOD(ROW()-2,151)</f>
        <v/>
      </c>
      <c r="C177">
        <f t="array" ref="C177">IFERROR(INDEX('TRIP MANAGER'!$O$18:$O$25,$A177),"")</f>
        <v/>
      </c>
      <c r="D177">
        <f t="array" ref="D177">IFERROR(INDEX('TRIP MANAGER'!$P$18:$P$25,$A177),"")</f>
        <v/>
      </c>
      <c r="E177">
        <f t="array" ref="E177">IFERROR(INDEX('TRIP MANAGER'!$Q$18:$Q$25,$A177),"")</f>
        <v/>
      </c>
      <c r="F177">
        <f t="array" ref="F177">IFERROR(INDEX('TRIP MANAGER'!$R$18:$R$25,$A177),"")</f>
        <v/>
      </c>
      <c r="G177">
        <f t="array" ref="G177">IFERROR(INDEX('TRIP MANAGER'!$S$18:$S$25,$A177),"")</f>
        <v/>
      </c>
      <c r="H177">
        <f>$B177/150</f>
        <v/>
      </c>
      <c r="I177">
        <f>IF(OR($G177="",$G177=0),"",SIN((1-$H177)*$G177)/SIN($G177))</f>
        <v/>
      </c>
      <c r="J177">
        <f>IF($I177="","",SIN($H177*$G177)/SIN($G177))</f>
        <v/>
      </c>
      <c r="K177">
        <f>IF($I177="","",$I177*COS(RADIANS($C177))*COS(RADIANS($D177))+$J177*COS(RADIANS($E177))*COS(RADIANS($F177)))</f>
        <v/>
      </c>
      <c r="L177">
        <f>IF($I177="","",$I177*COS(RADIANS($C177))*SIN(RADIANS($D177))+$J177*COS(RADIANS($E177))*SIN(RADIANS($F177)))</f>
        <v/>
      </c>
      <c r="M177">
        <f>IF($I177="","",$I177*SIN(RADIANS($C177))+$J177*SIN(RADIANS($E177)))</f>
        <v/>
      </c>
      <c r="N177">
        <f>IF($M177="","",DEGREES(ATAN2(SQRT($K177^2+$L177^2),$M177)))</f>
        <v/>
      </c>
      <c r="O177">
        <f>IF($M177="","",DEGREES(ATAN2($K177,$L177)))</f>
        <v/>
      </c>
      <c r="P177">
        <f t="array" ref="P177">IF($N177="","",IFERROR(IF(INDEX(geo_grid!$B$2:$JU$231,INT(($N177+40)/0.5)+1,INT(($O177+30)/0.5)+1)="","",INDEX(geo_grid!$B$2:$JU$231,INT(($N177+40)/0.5)+1,INT(($O177+30)/0.5)+1)),"OUTSIDE GRID"))</f>
        <v/>
      </c>
      <c r="Q177">
        <f>IF($P177="","",$A177*1000+$B177)</f>
        <v/>
      </c>
    </row>
    <row r="178">
      <c r="A178">
        <f>INT((ROW()-2)/151)+1</f>
        <v/>
      </c>
      <c r="B178">
        <f>MOD(ROW()-2,151)</f>
        <v/>
      </c>
      <c r="C178">
        <f t="array" ref="C178">IFERROR(INDEX('TRIP MANAGER'!$O$18:$O$25,$A178),"")</f>
        <v/>
      </c>
      <c r="D178">
        <f t="array" ref="D178">IFERROR(INDEX('TRIP MANAGER'!$P$18:$P$25,$A178),"")</f>
        <v/>
      </c>
      <c r="E178">
        <f t="array" ref="E178">IFERROR(INDEX('TRIP MANAGER'!$Q$18:$Q$25,$A178),"")</f>
        <v/>
      </c>
      <c r="F178">
        <f t="array" ref="F178">IFERROR(INDEX('TRIP MANAGER'!$R$18:$R$25,$A178),"")</f>
        <v/>
      </c>
      <c r="G178">
        <f t="array" ref="G178">IFERROR(INDEX('TRIP MANAGER'!$S$18:$S$25,$A178),"")</f>
        <v/>
      </c>
      <c r="H178">
        <f>$B178/150</f>
        <v/>
      </c>
      <c r="I178">
        <f>IF(OR($G178="",$G178=0),"",SIN((1-$H178)*$G178)/SIN($G178))</f>
        <v/>
      </c>
      <c r="J178">
        <f>IF($I178="","",SIN($H178*$G178)/SIN($G178))</f>
        <v/>
      </c>
      <c r="K178">
        <f>IF($I178="","",$I178*COS(RADIANS($C178))*COS(RADIANS($D178))+$J178*COS(RADIANS($E178))*COS(RADIANS($F178)))</f>
        <v/>
      </c>
      <c r="L178">
        <f>IF($I178="","",$I178*COS(RADIANS($C178))*SIN(RADIANS($D178))+$J178*COS(RADIANS($E178))*SIN(RADIANS($F178)))</f>
        <v/>
      </c>
      <c r="M178">
        <f>IF($I178="","",$I178*SIN(RADIANS($C178))+$J178*SIN(RADIANS($E178)))</f>
        <v/>
      </c>
      <c r="N178">
        <f>IF($M178="","",DEGREES(ATAN2(SQRT($K178^2+$L178^2),$M178)))</f>
        <v/>
      </c>
      <c r="O178">
        <f>IF($M178="","",DEGREES(ATAN2($K178,$L178)))</f>
        <v/>
      </c>
      <c r="P178">
        <f t="array" ref="P178">IF($N178="","",IFERROR(IF(INDEX(geo_grid!$B$2:$JU$231,INT(($N178+40)/0.5)+1,INT(($O178+30)/0.5)+1)="","",INDEX(geo_grid!$B$2:$JU$231,INT(($N178+40)/0.5)+1,INT(($O178+30)/0.5)+1)),"OUTSIDE GRID"))</f>
        <v/>
      </c>
      <c r="Q178">
        <f>IF($P178="","",$A178*1000+$B178)</f>
        <v/>
      </c>
    </row>
    <row r="179">
      <c r="A179">
        <f>INT((ROW()-2)/151)+1</f>
        <v/>
      </c>
      <c r="B179">
        <f>MOD(ROW()-2,151)</f>
        <v/>
      </c>
      <c r="C179">
        <f t="array" ref="C179">IFERROR(INDEX('TRIP MANAGER'!$O$18:$O$25,$A179),"")</f>
        <v/>
      </c>
      <c r="D179">
        <f t="array" ref="D179">IFERROR(INDEX('TRIP MANAGER'!$P$18:$P$25,$A179),"")</f>
        <v/>
      </c>
      <c r="E179">
        <f t="array" ref="E179">IFERROR(INDEX('TRIP MANAGER'!$Q$18:$Q$25,$A179),"")</f>
        <v/>
      </c>
      <c r="F179">
        <f t="array" ref="F179">IFERROR(INDEX('TRIP MANAGER'!$R$18:$R$25,$A179),"")</f>
        <v/>
      </c>
      <c r="G179">
        <f t="array" ref="G179">IFERROR(INDEX('TRIP MANAGER'!$S$18:$S$25,$A179),"")</f>
        <v/>
      </c>
      <c r="H179">
        <f>$B179/150</f>
        <v/>
      </c>
      <c r="I179">
        <f>IF(OR($G179="",$G179=0),"",SIN((1-$H179)*$G179)/SIN($G179))</f>
        <v/>
      </c>
      <c r="J179">
        <f>IF($I179="","",SIN($H179*$G179)/SIN($G179))</f>
        <v/>
      </c>
      <c r="K179">
        <f>IF($I179="","",$I179*COS(RADIANS($C179))*COS(RADIANS($D179))+$J179*COS(RADIANS($E179))*COS(RADIANS($F179)))</f>
        <v/>
      </c>
      <c r="L179">
        <f>IF($I179="","",$I179*COS(RADIANS($C179))*SIN(RADIANS($D179))+$J179*COS(RADIANS($E179))*SIN(RADIANS($F179)))</f>
        <v/>
      </c>
      <c r="M179">
        <f>IF($I179="","",$I179*SIN(RADIANS($C179))+$J179*SIN(RADIANS($E179)))</f>
        <v/>
      </c>
      <c r="N179">
        <f>IF($M179="","",DEGREES(ATAN2(SQRT($K179^2+$L179^2),$M179)))</f>
        <v/>
      </c>
      <c r="O179">
        <f>IF($M179="","",DEGREES(ATAN2($K179,$L179)))</f>
        <v/>
      </c>
      <c r="P179">
        <f t="array" ref="P179">IF($N179="","",IFERROR(IF(INDEX(geo_grid!$B$2:$JU$231,INT(($N179+40)/0.5)+1,INT(($O179+30)/0.5)+1)="","",INDEX(geo_grid!$B$2:$JU$231,INT(($N179+40)/0.5)+1,INT(($O179+30)/0.5)+1)),"OUTSIDE GRID"))</f>
        <v/>
      </c>
      <c r="Q179">
        <f>IF($P179="","",$A179*1000+$B179)</f>
        <v/>
      </c>
    </row>
    <row r="180">
      <c r="A180">
        <f>INT((ROW()-2)/151)+1</f>
        <v/>
      </c>
      <c r="B180">
        <f>MOD(ROW()-2,151)</f>
        <v/>
      </c>
      <c r="C180">
        <f t="array" ref="C180">IFERROR(INDEX('TRIP MANAGER'!$O$18:$O$25,$A180),"")</f>
        <v/>
      </c>
      <c r="D180">
        <f t="array" ref="D180">IFERROR(INDEX('TRIP MANAGER'!$P$18:$P$25,$A180),"")</f>
        <v/>
      </c>
      <c r="E180">
        <f t="array" ref="E180">IFERROR(INDEX('TRIP MANAGER'!$Q$18:$Q$25,$A180),"")</f>
        <v/>
      </c>
      <c r="F180">
        <f t="array" ref="F180">IFERROR(INDEX('TRIP MANAGER'!$R$18:$R$25,$A180),"")</f>
        <v/>
      </c>
      <c r="G180">
        <f t="array" ref="G180">IFERROR(INDEX('TRIP MANAGER'!$S$18:$S$25,$A180),"")</f>
        <v/>
      </c>
      <c r="H180">
        <f>$B180/150</f>
        <v/>
      </c>
      <c r="I180">
        <f>IF(OR($G180="",$G180=0),"",SIN((1-$H180)*$G180)/SIN($G180))</f>
        <v/>
      </c>
      <c r="J180">
        <f>IF($I180="","",SIN($H180*$G180)/SIN($G180))</f>
        <v/>
      </c>
      <c r="K180">
        <f>IF($I180="","",$I180*COS(RADIANS($C180))*COS(RADIANS($D180))+$J180*COS(RADIANS($E180))*COS(RADIANS($F180)))</f>
        <v/>
      </c>
      <c r="L180">
        <f>IF($I180="","",$I180*COS(RADIANS($C180))*SIN(RADIANS($D180))+$J180*COS(RADIANS($E180))*SIN(RADIANS($F180)))</f>
        <v/>
      </c>
      <c r="M180">
        <f>IF($I180="","",$I180*SIN(RADIANS($C180))+$J180*SIN(RADIANS($E180)))</f>
        <v/>
      </c>
      <c r="N180">
        <f>IF($M180="","",DEGREES(ATAN2(SQRT($K180^2+$L180^2),$M180)))</f>
        <v/>
      </c>
      <c r="O180">
        <f>IF($M180="","",DEGREES(ATAN2($K180,$L180)))</f>
        <v/>
      </c>
      <c r="P180">
        <f t="array" ref="P180">IF($N180="","",IFERROR(IF(INDEX(geo_grid!$B$2:$JU$231,INT(($N180+40)/0.5)+1,INT(($O180+30)/0.5)+1)="","",INDEX(geo_grid!$B$2:$JU$231,INT(($N180+40)/0.5)+1,INT(($O180+30)/0.5)+1)),"OUTSIDE GRID"))</f>
        <v/>
      </c>
      <c r="Q180">
        <f>IF($P180="","",$A180*1000+$B180)</f>
        <v/>
      </c>
    </row>
    <row r="181">
      <c r="A181">
        <f>INT((ROW()-2)/151)+1</f>
        <v/>
      </c>
      <c r="B181">
        <f>MOD(ROW()-2,151)</f>
        <v/>
      </c>
      <c r="C181">
        <f t="array" ref="C181">IFERROR(INDEX('TRIP MANAGER'!$O$18:$O$25,$A181),"")</f>
        <v/>
      </c>
      <c r="D181">
        <f t="array" ref="D181">IFERROR(INDEX('TRIP MANAGER'!$P$18:$P$25,$A181),"")</f>
        <v/>
      </c>
      <c r="E181">
        <f t="array" ref="E181">IFERROR(INDEX('TRIP MANAGER'!$Q$18:$Q$25,$A181),"")</f>
        <v/>
      </c>
      <c r="F181">
        <f t="array" ref="F181">IFERROR(INDEX('TRIP MANAGER'!$R$18:$R$25,$A181),"")</f>
        <v/>
      </c>
      <c r="G181">
        <f t="array" ref="G181">IFERROR(INDEX('TRIP MANAGER'!$S$18:$S$25,$A181),"")</f>
        <v/>
      </c>
      <c r="H181">
        <f>$B181/150</f>
        <v/>
      </c>
      <c r="I181">
        <f>IF(OR($G181="",$G181=0),"",SIN((1-$H181)*$G181)/SIN($G181))</f>
        <v/>
      </c>
      <c r="J181">
        <f>IF($I181="","",SIN($H181*$G181)/SIN($G181))</f>
        <v/>
      </c>
      <c r="K181">
        <f>IF($I181="","",$I181*COS(RADIANS($C181))*COS(RADIANS($D181))+$J181*COS(RADIANS($E181))*COS(RADIANS($F181)))</f>
        <v/>
      </c>
      <c r="L181">
        <f>IF($I181="","",$I181*COS(RADIANS($C181))*SIN(RADIANS($D181))+$J181*COS(RADIANS($E181))*SIN(RADIANS($F181)))</f>
        <v/>
      </c>
      <c r="M181">
        <f>IF($I181="","",$I181*SIN(RADIANS($C181))+$J181*SIN(RADIANS($E181)))</f>
        <v/>
      </c>
      <c r="N181">
        <f>IF($M181="","",DEGREES(ATAN2(SQRT($K181^2+$L181^2),$M181)))</f>
        <v/>
      </c>
      <c r="O181">
        <f>IF($M181="","",DEGREES(ATAN2($K181,$L181)))</f>
        <v/>
      </c>
      <c r="P181">
        <f t="array" ref="P181">IF($N181="","",IFERROR(IF(INDEX(geo_grid!$B$2:$JU$231,INT(($N181+40)/0.5)+1,INT(($O181+30)/0.5)+1)="","",INDEX(geo_grid!$B$2:$JU$231,INT(($N181+40)/0.5)+1,INT(($O181+30)/0.5)+1)),"OUTSIDE GRID"))</f>
        <v/>
      </c>
      <c r="Q181">
        <f>IF($P181="","",$A181*1000+$B181)</f>
        <v/>
      </c>
    </row>
    <row r="182">
      <c r="A182">
        <f>INT((ROW()-2)/151)+1</f>
        <v/>
      </c>
      <c r="B182">
        <f>MOD(ROW()-2,151)</f>
        <v/>
      </c>
      <c r="C182">
        <f t="array" ref="C182">IFERROR(INDEX('TRIP MANAGER'!$O$18:$O$25,$A182),"")</f>
        <v/>
      </c>
      <c r="D182">
        <f t="array" ref="D182">IFERROR(INDEX('TRIP MANAGER'!$P$18:$P$25,$A182),"")</f>
        <v/>
      </c>
      <c r="E182">
        <f t="array" ref="E182">IFERROR(INDEX('TRIP MANAGER'!$Q$18:$Q$25,$A182),"")</f>
        <v/>
      </c>
      <c r="F182">
        <f t="array" ref="F182">IFERROR(INDEX('TRIP MANAGER'!$R$18:$R$25,$A182),"")</f>
        <v/>
      </c>
      <c r="G182">
        <f t="array" ref="G182">IFERROR(INDEX('TRIP MANAGER'!$S$18:$S$25,$A182),"")</f>
        <v/>
      </c>
      <c r="H182">
        <f>$B182/150</f>
        <v/>
      </c>
      <c r="I182">
        <f>IF(OR($G182="",$G182=0),"",SIN((1-$H182)*$G182)/SIN($G182))</f>
        <v/>
      </c>
      <c r="J182">
        <f>IF($I182="","",SIN($H182*$G182)/SIN($G182))</f>
        <v/>
      </c>
      <c r="K182">
        <f>IF($I182="","",$I182*COS(RADIANS($C182))*COS(RADIANS($D182))+$J182*COS(RADIANS($E182))*COS(RADIANS($F182)))</f>
        <v/>
      </c>
      <c r="L182">
        <f>IF($I182="","",$I182*COS(RADIANS($C182))*SIN(RADIANS($D182))+$J182*COS(RADIANS($E182))*SIN(RADIANS($F182)))</f>
        <v/>
      </c>
      <c r="M182">
        <f>IF($I182="","",$I182*SIN(RADIANS($C182))+$J182*SIN(RADIANS($E182)))</f>
        <v/>
      </c>
      <c r="N182">
        <f>IF($M182="","",DEGREES(ATAN2(SQRT($K182^2+$L182^2),$M182)))</f>
        <v/>
      </c>
      <c r="O182">
        <f>IF($M182="","",DEGREES(ATAN2($K182,$L182)))</f>
        <v/>
      </c>
      <c r="P182">
        <f t="array" ref="P182">IF($N182="","",IFERROR(IF(INDEX(geo_grid!$B$2:$JU$231,INT(($N182+40)/0.5)+1,INT(($O182+30)/0.5)+1)="","",INDEX(geo_grid!$B$2:$JU$231,INT(($N182+40)/0.5)+1,INT(($O182+30)/0.5)+1)),"OUTSIDE GRID"))</f>
        <v/>
      </c>
      <c r="Q182">
        <f>IF($P182="","",$A182*1000+$B182)</f>
        <v/>
      </c>
    </row>
    <row r="183">
      <c r="A183">
        <f>INT((ROW()-2)/151)+1</f>
        <v/>
      </c>
      <c r="B183">
        <f>MOD(ROW()-2,151)</f>
        <v/>
      </c>
      <c r="C183">
        <f t="array" ref="C183">IFERROR(INDEX('TRIP MANAGER'!$O$18:$O$25,$A183),"")</f>
        <v/>
      </c>
      <c r="D183">
        <f t="array" ref="D183">IFERROR(INDEX('TRIP MANAGER'!$P$18:$P$25,$A183),"")</f>
        <v/>
      </c>
      <c r="E183">
        <f t="array" ref="E183">IFERROR(INDEX('TRIP MANAGER'!$Q$18:$Q$25,$A183),"")</f>
        <v/>
      </c>
      <c r="F183">
        <f t="array" ref="F183">IFERROR(INDEX('TRIP MANAGER'!$R$18:$R$25,$A183),"")</f>
        <v/>
      </c>
      <c r="G183">
        <f t="array" ref="G183">IFERROR(INDEX('TRIP MANAGER'!$S$18:$S$25,$A183),"")</f>
        <v/>
      </c>
      <c r="H183">
        <f>$B183/150</f>
        <v/>
      </c>
      <c r="I183">
        <f>IF(OR($G183="",$G183=0),"",SIN((1-$H183)*$G183)/SIN($G183))</f>
        <v/>
      </c>
      <c r="J183">
        <f>IF($I183="","",SIN($H183*$G183)/SIN($G183))</f>
        <v/>
      </c>
      <c r="K183">
        <f>IF($I183="","",$I183*COS(RADIANS($C183))*COS(RADIANS($D183))+$J183*COS(RADIANS($E183))*COS(RADIANS($F183)))</f>
        <v/>
      </c>
      <c r="L183">
        <f>IF($I183="","",$I183*COS(RADIANS($C183))*SIN(RADIANS($D183))+$J183*COS(RADIANS($E183))*SIN(RADIANS($F183)))</f>
        <v/>
      </c>
      <c r="M183">
        <f>IF($I183="","",$I183*SIN(RADIANS($C183))+$J183*SIN(RADIANS($E183)))</f>
        <v/>
      </c>
      <c r="N183">
        <f>IF($M183="","",DEGREES(ATAN2(SQRT($K183^2+$L183^2),$M183)))</f>
        <v/>
      </c>
      <c r="O183">
        <f>IF($M183="","",DEGREES(ATAN2($K183,$L183)))</f>
        <v/>
      </c>
      <c r="P183">
        <f t="array" ref="P183">IF($N183="","",IFERROR(IF(INDEX(geo_grid!$B$2:$JU$231,INT(($N183+40)/0.5)+1,INT(($O183+30)/0.5)+1)="","",INDEX(geo_grid!$B$2:$JU$231,INT(($N183+40)/0.5)+1,INT(($O183+30)/0.5)+1)),"OUTSIDE GRID"))</f>
        <v/>
      </c>
      <c r="Q183">
        <f>IF($P183="","",$A183*1000+$B183)</f>
        <v/>
      </c>
    </row>
    <row r="184">
      <c r="A184">
        <f>INT((ROW()-2)/151)+1</f>
        <v/>
      </c>
      <c r="B184">
        <f>MOD(ROW()-2,151)</f>
        <v/>
      </c>
      <c r="C184">
        <f t="array" ref="C184">IFERROR(INDEX('TRIP MANAGER'!$O$18:$O$25,$A184),"")</f>
        <v/>
      </c>
      <c r="D184">
        <f t="array" ref="D184">IFERROR(INDEX('TRIP MANAGER'!$P$18:$P$25,$A184),"")</f>
        <v/>
      </c>
      <c r="E184">
        <f t="array" ref="E184">IFERROR(INDEX('TRIP MANAGER'!$Q$18:$Q$25,$A184),"")</f>
        <v/>
      </c>
      <c r="F184">
        <f t="array" ref="F184">IFERROR(INDEX('TRIP MANAGER'!$R$18:$R$25,$A184),"")</f>
        <v/>
      </c>
      <c r="G184">
        <f t="array" ref="G184">IFERROR(INDEX('TRIP MANAGER'!$S$18:$S$25,$A184),"")</f>
        <v/>
      </c>
      <c r="H184">
        <f>$B184/150</f>
        <v/>
      </c>
      <c r="I184">
        <f>IF(OR($G184="",$G184=0),"",SIN((1-$H184)*$G184)/SIN($G184))</f>
        <v/>
      </c>
      <c r="J184">
        <f>IF($I184="","",SIN($H184*$G184)/SIN($G184))</f>
        <v/>
      </c>
      <c r="K184">
        <f>IF($I184="","",$I184*COS(RADIANS($C184))*COS(RADIANS($D184))+$J184*COS(RADIANS($E184))*COS(RADIANS($F184)))</f>
        <v/>
      </c>
      <c r="L184">
        <f>IF($I184="","",$I184*COS(RADIANS($C184))*SIN(RADIANS($D184))+$J184*COS(RADIANS($E184))*SIN(RADIANS($F184)))</f>
        <v/>
      </c>
      <c r="M184">
        <f>IF($I184="","",$I184*SIN(RADIANS($C184))+$J184*SIN(RADIANS($E184)))</f>
        <v/>
      </c>
      <c r="N184">
        <f>IF($M184="","",DEGREES(ATAN2(SQRT($K184^2+$L184^2),$M184)))</f>
        <v/>
      </c>
      <c r="O184">
        <f>IF($M184="","",DEGREES(ATAN2($K184,$L184)))</f>
        <v/>
      </c>
      <c r="P184">
        <f t="array" ref="P184">IF($N184="","",IFERROR(IF(INDEX(geo_grid!$B$2:$JU$231,INT(($N184+40)/0.5)+1,INT(($O184+30)/0.5)+1)="","",INDEX(geo_grid!$B$2:$JU$231,INT(($N184+40)/0.5)+1,INT(($O184+30)/0.5)+1)),"OUTSIDE GRID"))</f>
        <v/>
      </c>
      <c r="Q184">
        <f>IF($P184="","",$A184*1000+$B184)</f>
        <v/>
      </c>
    </row>
    <row r="185">
      <c r="A185">
        <f>INT((ROW()-2)/151)+1</f>
        <v/>
      </c>
      <c r="B185">
        <f>MOD(ROW()-2,151)</f>
        <v/>
      </c>
      <c r="C185">
        <f t="array" ref="C185">IFERROR(INDEX('TRIP MANAGER'!$O$18:$O$25,$A185),"")</f>
        <v/>
      </c>
      <c r="D185">
        <f t="array" ref="D185">IFERROR(INDEX('TRIP MANAGER'!$P$18:$P$25,$A185),"")</f>
        <v/>
      </c>
      <c r="E185">
        <f t="array" ref="E185">IFERROR(INDEX('TRIP MANAGER'!$Q$18:$Q$25,$A185),"")</f>
        <v/>
      </c>
      <c r="F185">
        <f t="array" ref="F185">IFERROR(INDEX('TRIP MANAGER'!$R$18:$R$25,$A185),"")</f>
        <v/>
      </c>
      <c r="G185">
        <f t="array" ref="G185">IFERROR(INDEX('TRIP MANAGER'!$S$18:$S$25,$A185),"")</f>
        <v/>
      </c>
      <c r="H185">
        <f>$B185/150</f>
        <v/>
      </c>
      <c r="I185">
        <f>IF(OR($G185="",$G185=0),"",SIN((1-$H185)*$G185)/SIN($G185))</f>
        <v/>
      </c>
      <c r="J185">
        <f>IF($I185="","",SIN($H185*$G185)/SIN($G185))</f>
        <v/>
      </c>
      <c r="K185">
        <f>IF($I185="","",$I185*COS(RADIANS($C185))*COS(RADIANS($D185))+$J185*COS(RADIANS($E185))*COS(RADIANS($F185)))</f>
        <v/>
      </c>
      <c r="L185">
        <f>IF($I185="","",$I185*COS(RADIANS($C185))*SIN(RADIANS($D185))+$J185*COS(RADIANS($E185))*SIN(RADIANS($F185)))</f>
        <v/>
      </c>
      <c r="M185">
        <f>IF($I185="","",$I185*SIN(RADIANS($C185))+$J185*SIN(RADIANS($E185)))</f>
        <v/>
      </c>
      <c r="N185">
        <f>IF($M185="","",DEGREES(ATAN2(SQRT($K185^2+$L185^2),$M185)))</f>
        <v/>
      </c>
      <c r="O185">
        <f>IF($M185="","",DEGREES(ATAN2($K185,$L185)))</f>
        <v/>
      </c>
      <c r="P185">
        <f t="array" ref="P185">IF($N185="","",IFERROR(IF(INDEX(geo_grid!$B$2:$JU$231,INT(($N185+40)/0.5)+1,INT(($O185+30)/0.5)+1)="","",INDEX(geo_grid!$B$2:$JU$231,INT(($N185+40)/0.5)+1,INT(($O185+30)/0.5)+1)),"OUTSIDE GRID"))</f>
        <v/>
      </c>
      <c r="Q185">
        <f>IF($P185="","",$A185*1000+$B185)</f>
        <v/>
      </c>
    </row>
    <row r="186">
      <c r="A186">
        <f>INT((ROW()-2)/151)+1</f>
        <v/>
      </c>
      <c r="B186">
        <f>MOD(ROW()-2,151)</f>
        <v/>
      </c>
      <c r="C186">
        <f t="array" ref="C186">IFERROR(INDEX('TRIP MANAGER'!$O$18:$O$25,$A186),"")</f>
        <v/>
      </c>
      <c r="D186">
        <f t="array" ref="D186">IFERROR(INDEX('TRIP MANAGER'!$P$18:$P$25,$A186),"")</f>
        <v/>
      </c>
      <c r="E186">
        <f t="array" ref="E186">IFERROR(INDEX('TRIP MANAGER'!$Q$18:$Q$25,$A186),"")</f>
        <v/>
      </c>
      <c r="F186">
        <f t="array" ref="F186">IFERROR(INDEX('TRIP MANAGER'!$R$18:$R$25,$A186),"")</f>
        <v/>
      </c>
      <c r="G186">
        <f t="array" ref="G186">IFERROR(INDEX('TRIP MANAGER'!$S$18:$S$25,$A186),"")</f>
        <v/>
      </c>
      <c r="H186">
        <f>$B186/150</f>
        <v/>
      </c>
      <c r="I186">
        <f>IF(OR($G186="",$G186=0),"",SIN((1-$H186)*$G186)/SIN($G186))</f>
        <v/>
      </c>
      <c r="J186">
        <f>IF($I186="","",SIN($H186*$G186)/SIN($G186))</f>
        <v/>
      </c>
      <c r="K186">
        <f>IF($I186="","",$I186*COS(RADIANS($C186))*COS(RADIANS($D186))+$J186*COS(RADIANS($E186))*COS(RADIANS($F186)))</f>
        <v/>
      </c>
      <c r="L186">
        <f>IF($I186="","",$I186*COS(RADIANS($C186))*SIN(RADIANS($D186))+$J186*COS(RADIANS($E186))*SIN(RADIANS($F186)))</f>
        <v/>
      </c>
      <c r="M186">
        <f>IF($I186="","",$I186*SIN(RADIANS($C186))+$J186*SIN(RADIANS($E186)))</f>
        <v/>
      </c>
      <c r="N186">
        <f>IF($M186="","",DEGREES(ATAN2(SQRT($K186^2+$L186^2),$M186)))</f>
        <v/>
      </c>
      <c r="O186">
        <f>IF($M186="","",DEGREES(ATAN2($K186,$L186)))</f>
        <v/>
      </c>
      <c r="P186">
        <f t="array" ref="P186">IF($N186="","",IFERROR(IF(INDEX(geo_grid!$B$2:$JU$231,INT(($N186+40)/0.5)+1,INT(($O186+30)/0.5)+1)="","",INDEX(geo_grid!$B$2:$JU$231,INT(($N186+40)/0.5)+1,INT(($O186+30)/0.5)+1)),"OUTSIDE GRID"))</f>
        <v/>
      </c>
      <c r="Q186">
        <f>IF($P186="","",$A186*1000+$B186)</f>
        <v/>
      </c>
    </row>
    <row r="187">
      <c r="A187">
        <f>INT((ROW()-2)/151)+1</f>
        <v/>
      </c>
      <c r="B187">
        <f>MOD(ROW()-2,151)</f>
        <v/>
      </c>
      <c r="C187">
        <f t="array" ref="C187">IFERROR(INDEX('TRIP MANAGER'!$O$18:$O$25,$A187),"")</f>
        <v/>
      </c>
      <c r="D187">
        <f t="array" ref="D187">IFERROR(INDEX('TRIP MANAGER'!$P$18:$P$25,$A187),"")</f>
        <v/>
      </c>
      <c r="E187">
        <f t="array" ref="E187">IFERROR(INDEX('TRIP MANAGER'!$Q$18:$Q$25,$A187),"")</f>
        <v/>
      </c>
      <c r="F187">
        <f t="array" ref="F187">IFERROR(INDEX('TRIP MANAGER'!$R$18:$R$25,$A187),"")</f>
        <v/>
      </c>
      <c r="G187">
        <f t="array" ref="G187">IFERROR(INDEX('TRIP MANAGER'!$S$18:$S$25,$A187),"")</f>
        <v/>
      </c>
      <c r="H187">
        <f>$B187/150</f>
        <v/>
      </c>
      <c r="I187">
        <f>IF(OR($G187="",$G187=0),"",SIN((1-$H187)*$G187)/SIN($G187))</f>
        <v/>
      </c>
      <c r="J187">
        <f>IF($I187="","",SIN($H187*$G187)/SIN($G187))</f>
        <v/>
      </c>
      <c r="K187">
        <f>IF($I187="","",$I187*COS(RADIANS($C187))*COS(RADIANS($D187))+$J187*COS(RADIANS($E187))*COS(RADIANS($F187)))</f>
        <v/>
      </c>
      <c r="L187">
        <f>IF($I187="","",$I187*COS(RADIANS($C187))*SIN(RADIANS($D187))+$J187*COS(RADIANS($E187))*SIN(RADIANS($F187)))</f>
        <v/>
      </c>
      <c r="M187">
        <f>IF($I187="","",$I187*SIN(RADIANS($C187))+$J187*SIN(RADIANS($E187)))</f>
        <v/>
      </c>
      <c r="N187">
        <f>IF($M187="","",DEGREES(ATAN2(SQRT($K187^2+$L187^2),$M187)))</f>
        <v/>
      </c>
      <c r="O187">
        <f>IF($M187="","",DEGREES(ATAN2($K187,$L187)))</f>
        <v/>
      </c>
      <c r="P187">
        <f t="array" ref="P187">IF($N187="","",IFERROR(IF(INDEX(geo_grid!$B$2:$JU$231,INT(($N187+40)/0.5)+1,INT(($O187+30)/0.5)+1)="","",INDEX(geo_grid!$B$2:$JU$231,INT(($N187+40)/0.5)+1,INT(($O187+30)/0.5)+1)),"OUTSIDE GRID"))</f>
        <v/>
      </c>
      <c r="Q187">
        <f>IF($P187="","",$A187*1000+$B187)</f>
        <v/>
      </c>
    </row>
    <row r="188">
      <c r="A188">
        <f>INT((ROW()-2)/151)+1</f>
        <v/>
      </c>
      <c r="B188">
        <f>MOD(ROW()-2,151)</f>
        <v/>
      </c>
      <c r="C188">
        <f t="array" ref="C188">IFERROR(INDEX('TRIP MANAGER'!$O$18:$O$25,$A188),"")</f>
        <v/>
      </c>
      <c r="D188">
        <f t="array" ref="D188">IFERROR(INDEX('TRIP MANAGER'!$P$18:$P$25,$A188),"")</f>
        <v/>
      </c>
      <c r="E188">
        <f t="array" ref="E188">IFERROR(INDEX('TRIP MANAGER'!$Q$18:$Q$25,$A188),"")</f>
        <v/>
      </c>
      <c r="F188">
        <f t="array" ref="F188">IFERROR(INDEX('TRIP MANAGER'!$R$18:$R$25,$A188),"")</f>
        <v/>
      </c>
      <c r="G188">
        <f t="array" ref="G188">IFERROR(INDEX('TRIP MANAGER'!$S$18:$S$25,$A188),"")</f>
        <v/>
      </c>
      <c r="H188">
        <f>$B188/150</f>
        <v/>
      </c>
      <c r="I188">
        <f>IF(OR($G188="",$G188=0),"",SIN((1-$H188)*$G188)/SIN($G188))</f>
        <v/>
      </c>
      <c r="J188">
        <f>IF($I188="","",SIN($H188*$G188)/SIN($G188))</f>
        <v/>
      </c>
      <c r="K188">
        <f>IF($I188="","",$I188*COS(RADIANS($C188))*COS(RADIANS($D188))+$J188*COS(RADIANS($E188))*COS(RADIANS($F188)))</f>
        <v/>
      </c>
      <c r="L188">
        <f>IF($I188="","",$I188*COS(RADIANS($C188))*SIN(RADIANS($D188))+$J188*COS(RADIANS($E188))*SIN(RADIANS($F188)))</f>
        <v/>
      </c>
      <c r="M188">
        <f>IF($I188="","",$I188*SIN(RADIANS($C188))+$J188*SIN(RADIANS($E188)))</f>
        <v/>
      </c>
      <c r="N188">
        <f>IF($M188="","",DEGREES(ATAN2(SQRT($K188^2+$L188^2),$M188)))</f>
        <v/>
      </c>
      <c r="O188">
        <f>IF($M188="","",DEGREES(ATAN2($K188,$L188)))</f>
        <v/>
      </c>
      <c r="P188">
        <f t="array" ref="P188">IF($N188="","",IFERROR(IF(INDEX(geo_grid!$B$2:$JU$231,INT(($N188+40)/0.5)+1,INT(($O188+30)/0.5)+1)="","",INDEX(geo_grid!$B$2:$JU$231,INT(($N188+40)/0.5)+1,INT(($O188+30)/0.5)+1)),"OUTSIDE GRID"))</f>
        <v/>
      </c>
      <c r="Q188">
        <f>IF($P188="","",$A188*1000+$B188)</f>
        <v/>
      </c>
    </row>
    <row r="189">
      <c r="A189">
        <f>INT((ROW()-2)/151)+1</f>
        <v/>
      </c>
      <c r="B189">
        <f>MOD(ROW()-2,151)</f>
        <v/>
      </c>
      <c r="C189">
        <f t="array" ref="C189">IFERROR(INDEX('TRIP MANAGER'!$O$18:$O$25,$A189),"")</f>
        <v/>
      </c>
      <c r="D189">
        <f t="array" ref="D189">IFERROR(INDEX('TRIP MANAGER'!$P$18:$P$25,$A189),"")</f>
        <v/>
      </c>
      <c r="E189">
        <f t="array" ref="E189">IFERROR(INDEX('TRIP MANAGER'!$Q$18:$Q$25,$A189),"")</f>
        <v/>
      </c>
      <c r="F189">
        <f t="array" ref="F189">IFERROR(INDEX('TRIP MANAGER'!$R$18:$R$25,$A189),"")</f>
        <v/>
      </c>
      <c r="G189">
        <f t="array" ref="G189">IFERROR(INDEX('TRIP MANAGER'!$S$18:$S$25,$A189),"")</f>
        <v/>
      </c>
      <c r="H189">
        <f>$B189/150</f>
        <v/>
      </c>
      <c r="I189">
        <f>IF(OR($G189="",$G189=0),"",SIN((1-$H189)*$G189)/SIN($G189))</f>
        <v/>
      </c>
      <c r="J189">
        <f>IF($I189="","",SIN($H189*$G189)/SIN($G189))</f>
        <v/>
      </c>
      <c r="K189">
        <f>IF($I189="","",$I189*COS(RADIANS($C189))*COS(RADIANS($D189))+$J189*COS(RADIANS($E189))*COS(RADIANS($F189)))</f>
        <v/>
      </c>
      <c r="L189">
        <f>IF($I189="","",$I189*COS(RADIANS($C189))*SIN(RADIANS($D189))+$J189*COS(RADIANS($E189))*SIN(RADIANS($F189)))</f>
        <v/>
      </c>
      <c r="M189">
        <f>IF($I189="","",$I189*SIN(RADIANS($C189))+$J189*SIN(RADIANS($E189)))</f>
        <v/>
      </c>
      <c r="N189">
        <f>IF($M189="","",DEGREES(ATAN2(SQRT($K189^2+$L189^2),$M189)))</f>
        <v/>
      </c>
      <c r="O189">
        <f>IF($M189="","",DEGREES(ATAN2($K189,$L189)))</f>
        <v/>
      </c>
      <c r="P189">
        <f t="array" ref="P189">IF($N189="","",IFERROR(IF(INDEX(geo_grid!$B$2:$JU$231,INT(($N189+40)/0.5)+1,INT(($O189+30)/0.5)+1)="","",INDEX(geo_grid!$B$2:$JU$231,INT(($N189+40)/0.5)+1,INT(($O189+30)/0.5)+1)),"OUTSIDE GRID"))</f>
        <v/>
      </c>
      <c r="Q189">
        <f>IF($P189="","",$A189*1000+$B189)</f>
        <v/>
      </c>
    </row>
    <row r="190">
      <c r="A190">
        <f>INT((ROW()-2)/151)+1</f>
        <v/>
      </c>
      <c r="B190">
        <f>MOD(ROW()-2,151)</f>
        <v/>
      </c>
      <c r="C190">
        <f t="array" ref="C190">IFERROR(INDEX('TRIP MANAGER'!$O$18:$O$25,$A190),"")</f>
        <v/>
      </c>
      <c r="D190">
        <f t="array" ref="D190">IFERROR(INDEX('TRIP MANAGER'!$P$18:$P$25,$A190),"")</f>
        <v/>
      </c>
      <c r="E190">
        <f t="array" ref="E190">IFERROR(INDEX('TRIP MANAGER'!$Q$18:$Q$25,$A190),"")</f>
        <v/>
      </c>
      <c r="F190">
        <f t="array" ref="F190">IFERROR(INDEX('TRIP MANAGER'!$R$18:$R$25,$A190),"")</f>
        <v/>
      </c>
      <c r="G190">
        <f t="array" ref="G190">IFERROR(INDEX('TRIP MANAGER'!$S$18:$S$25,$A190),"")</f>
        <v/>
      </c>
      <c r="H190">
        <f>$B190/150</f>
        <v/>
      </c>
      <c r="I190">
        <f>IF(OR($G190="",$G190=0),"",SIN((1-$H190)*$G190)/SIN($G190))</f>
        <v/>
      </c>
      <c r="J190">
        <f>IF($I190="","",SIN($H190*$G190)/SIN($G190))</f>
        <v/>
      </c>
      <c r="K190">
        <f>IF($I190="","",$I190*COS(RADIANS($C190))*COS(RADIANS($D190))+$J190*COS(RADIANS($E190))*COS(RADIANS($F190)))</f>
        <v/>
      </c>
      <c r="L190">
        <f>IF($I190="","",$I190*COS(RADIANS($C190))*SIN(RADIANS($D190))+$J190*COS(RADIANS($E190))*SIN(RADIANS($F190)))</f>
        <v/>
      </c>
      <c r="M190">
        <f>IF($I190="","",$I190*SIN(RADIANS($C190))+$J190*SIN(RADIANS($E190)))</f>
        <v/>
      </c>
      <c r="N190">
        <f>IF($M190="","",DEGREES(ATAN2(SQRT($K190^2+$L190^2),$M190)))</f>
        <v/>
      </c>
      <c r="O190">
        <f>IF($M190="","",DEGREES(ATAN2($K190,$L190)))</f>
        <v/>
      </c>
      <c r="P190">
        <f t="array" ref="P190">IF($N190="","",IFERROR(IF(INDEX(geo_grid!$B$2:$JU$231,INT(($N190+40)/0.5)+1,INT(($O190+30)/0.5)+1)="","",INDEX(geo_grid!$B$2:$JU$231,INT(($N190+40)/0.5)+1,INT(($O190+30)/0.5)+1)),"OUTSIDE GRID"))</f>
        <v/>
      </c>
      <c r="Q190">
        <f>IF($P190="","",$A190*1000+$B190)</f>
        <v/>
      </c>
    </row>
    <row r="191">
      <c r="A191">
        <f>INT((ROW()-2)/151)+1</f>
        <v/>
      </c>
      <c r="B191">
        <f>MOD(ROW()-2,151)</f>
        <v/>
      </c>
      <c r="C191">
        <f t="array" ref="C191">IFERROR(INDEX('TRIP MANAGER'!$O$18:$O$25,$A191),"")</f>
        <v/>
      </c>
      <c r="D191">
        <f t="array" ref="D191">IFERROR(INDEX('TRIP MANAGER'!$P$18:$P$25,$A191),"")</f>
        <v/>
      </c>
      <c r="E191">
        <f t="array" ref="E191">IFERROR(INDEX('TRIP MANAGER'!$Q$18:$Q$25,$A191),"")</f>
        <v/>
      </c>
      <c r="F191">
        <f t="array" ref="F191">IFERROR(INDEX('TRIP MANAGER'!$R$18:$R$25,$A191),"")</f>
        <v/>
      </c>
      <c r="G191">
        <f t="array" ref="G191">IFERROR(INDEX('TRIP MANAGER'!$S$18:$S$25,$A191),"")</f>
        <v/>
      </c>
      <c r="H191">
        <f>$B191/150</f>
        <v/>
      </c>
      <c r="I191">
        <f>IF(OR($G191="",$G191=0),"",SIN((1-$H191)*$G191)/SIN($G191))</f>
        <v/>
      </c>
      <c r="J191">
        <f>IF($I191="","",SIN($H191*$G191)/SIN($G191))</f>
        <v/>
      </c>
      <c r="K191">
        <f>IF($I191="","",$I191*COS(RADIANS($C191))*COS(RADIANS($D191))+$J191*COS(RADIANS($E191))*COS(RADIANS($F191)))</f>
        <v/>
      </c>
      <c r="L191">
        <f>IF($I191="","",$I191*COS(RADIANS($C191))*SIN(RADIANS($D191))+$J191*COS(RADIANS($E191))*SIN(RADIANS($F191)))</f>
        <v/>
      </c>
      <c r="M191">
        <f>IF($I191="","",$I191*SIN(RADIANS($C191))+$J191*SIN(RADIANS($E191)))</f>
        <v/>
      </c>
      <c r="N191">
        <f>IF($M191="","",DEGREES(ATAN2(SQRT($K191^2+$L191^2),$M191)))</f>
        <v/>
      </c>
      <c r="O191">
        <f>IF($M191="","",DEGREES(ATAN2($K191,$L191)))</f>
        <v/>
      </c>
      <c r="P191">
        <f t="array" ref="P191">IF($N191="","",IFERROR(IF(INDEX(geo_grid!$B$2:$JU$231,INT(($N191+40)/0.5)+1,INT(($O191+30)/0.5)+1)="","",INDEX(geo_grid!$B$2:$JU$231,INT(($N191+40)/0.5)+1,INT(($O191+30)/0.5)+1)),"OUTSIDE GRID"))</f>
        <v/>
      </c>
      <c r="Q191">
        <f>IF($P191="","",$A191*1000+$B191)</f>
        <v/>
      </c>
    </row>
    <row r="192">
      <c r="A192">
        <f>INT((ROW()-2)/151)+1</f>
        <v/>
      </c>
      <c r="B192">
        <f>MOD(ROW()-2,151)</f>
        <v/>
      </c>
      <c r="C192">
        <f t="array" ref="C192">IFERROR(INDEX('TRIP MANAGER'!$O$18:$O$25,$A192),"")</f>
        <v/>
      </c>
      <c r="D192">
        <f t="array" ref="D192">IFERROR(INDEX('TRIP MANAGER'!$P$18:$P$25,$A192),"")</f>
        <v/>
      </c>
      <c r="E192">
        <f t="array" ref="E192">IFERROR(INDEX('TRIP MANAGER'!$Q$18:$Q$25,$A192),"")</f>
        <v/>
      </c>
      <c r="F192">
        <f t="array" ref="F192">IFERROR(INDEX('TRIP MANAGER'!$R$18:$R$25,$A192),"")</f>
        <v/>
      </c>
      <c r="G192">
        <f t="array" ref="G192">IFERROR(INDEX('TRIP MANAGER'!$S$18:$S$25,$A192),"")</f>
        <v/>
      </c>
      <c r="H192">
        <f>$B192/150</f>
        <v/>
      </c>
      <c r="I192">
        <f>IF(OR($G192="",$G192=0),"",SIN((1-$H192)*$G192)/SIN($G192))</f>
        <v/>
      </c>
      <c r="J192">
        <f>IF($I192="","",SIN($H192*$G192)/SIN($G192))</f>
        <v/>
      </c>
      <c r="K192">
        <f>IF($I192="","",$I192*COS(RADIANS($C192))*COS(RADIANS($D192))+$J192*COS(RADIANS($E192))*COS(RADIANS($F192)))</f>
        <v/>
      </c>
      <c r="L192">
        <f>IF($I192="","",$I192*COS(RADIANS($C192))*SIN(RADIANS($D192))+$J192*COS(RADIANS($E192))*SIN(RADIANS($F192)))</f>
        <v/>
      </c>
      <c r="M192">
        <f>IF($I192="","",$I192*SIN(RADIANS($C192))+$J192*SIN(RADIANS($E192)))</f>
        <v/>
      </c>
      <c r="N192">
        <f>IF($M192="","",DEGREES(ATAN2(SQRT($K192^2+$L192^2),$M192)))</f>
        <v/>
      </c>
      <c r="O192">
        <f>IF($M192="","",DEGREES(ATAN2($K192,$L192)))</f>
        <v/>
      </c>
      <c r="P192">
        <f t="array" ref="P192">IF($N192="","",IFERROR(IF(INDEX(geo_grid!$B$2:$JU$231,INT(($N192+40)/0.5)+1,INT(($O192+30)/0.5)+1)="","",INDEX(geo_grid!$B$2:$JU$231,INT(($N192+40)/0.5)+1,INT(($O192+30)/0.5)+1)),"OUTSIDE GRID"))</f>
        <v/>
      </c>
      <c r="Q192">
        <f>IF($P192="","",$A192*1000+$B192)</f>
        <v/>
      </c>
    </row>
    <row r="193">
      <c r="A193">
        <f>INT((ROW()-2)/151)+1</f>
        <v/>
      </c>
      <c r="B193">
        <f>MOD(ROW()-2,151)</f>
        <v/>
      </c>
      <c r="C193">
        <f t="array" ref="C193">IFERROR(INDEX('TRIP MANAGER'!$O$18:$O$25,$A193),"")</f>
        <v/>
      </c>
      <c r="D193">
        <f t="array" ref="D193">IFERROR(INDEX('TRIP MANAGER'!$P$18:$P$25,$A193),"")</f>
        <v/>
      </c>
      <c r="E193">
        <f t="array" ref="E193">IFERROR(INDEX('TRIP MANAGER'!$Q$18:$Q$25,$A193),"")</f>
        <v/>
      </c>
      <c r="F193">
        <f t="array" ref="F193">IFERROR(INDEX('TRIP MANAGER'!$R$18:$R$25,$A193),"")</f>
        <v/>
      </c>
      <c r="G193">
        <f t="array" ref="G193">IFERROR(INDEX('TRIP MANAGER'!$S$18:$S$25,$A193),"")</f>
        <v/>
      </c>
      <c r="H193">
        <f>$B193/150</f>
        <v/>
      </c>
      <c r="I193">
        <f>IF(OR($G193="",$G193=0),"",SIN((1-$H193)*$G193)/SIN($G193))</f>
        <v/>
      </c>
      <c r="J193">
        <f>IF($I193="","",SIN($H193*$G193)/SIN($G193))</f>
        <v/>
      </c>
      <c r="K193">
        <f>IF($I193="","",$I193*COS(RADIANS($C193))*COS(RADIANS($D193))+$J193*COS(RADIANS($E193))*COS(RADIANS($F193)))</f>
        <v/>
      </c>
      <c r="L193">
        <f>IF($I193="","",$I193*COS(RADIANS($C193))*SIN(RADIANS($D193))+$J193*COS(RADIANS($E193))*SIN(RADIANS($F193)))</f>
        <v/>
      </c>
      <c r="M193">
        <f>IF($I193="","",$I193*SIN(RADIANS($C193))+$J193*SIN(RADIANS($E193)))</f>
        <v/>
      </c>
      <c r="N193">
        <f>IF($M193="","",DEGREES(ATAN2(SQRT($K193^2+$L193^2),$M193)))</f>
        <v/>
      </c>
      <c r="O193">
        <f>IF($M193="","",DEGREES(ATAN2($K193,$L193)))</f>
        <v/>
      </c>
      <c r="P193">
        <f t="array" ref="P193">IF($N193="","",IFERROR(IF(INDEX(geo_grid!$B$2:$JU$231,INT(($N193+40)/0.5)+1,INT(($O193+30)/0.5)+1)="","",INDEX(geo_grid!$B$2:$JU$231,INT(($N193+40)/0.5)+1,INT(($O193+30)/0.5)+1)),"OUTSIDE GRID"))</f>
        <v/>
      </c>
      <c r="Q193">
        <f>IF($P193="","",$A193*1000+$B193)</f>
        <v/>
      </c>
    </row>
    <row r="194">
      <c r="A194">
        <f>INT((ROW()-2)/151)+1</f>
        <v/>
      </c>
      <c r="B194">
        <f>MOD(ROW()-2,151)</f>
        <v/>
      </c>
      <c r="C194">
        <f t="array" ref="C194">IFERROR(INDEX('TRIP MANAGER'!$O$18:$O$25,$A194),"")</f>
        <v/>
      </c>
      <c r="D194">
        <f t="array" ref="D194">IFERROR(INDEX('TRIP MANAGER'!$P$18:$P$25,$A194),"")</f>
        <v/>
      </c>
      <c r="E194">
        <f t="array" ref="E194">IFERROR(INDEX('TRIP MANAGER'!$Q$18:$Q$25,$A194),"")</f>
        <v/>
      </c>
      <c r="F194">
        <f t="array" ref="F194">IFERROR(INDEX('TRIP MANAGER'!$R$18:$R$25,$A194),"")</f>
        <v/>
      </c>
      <c r="G194">
        <f t="array" ref="G194">IFERROR(INDEX('TRIP MANAGER'!$S$18:$S$25,$A194),"")</f>
        <v/>
      </c>
      <c r="H194">
        <f>$B194/150</f>
        <v/>
      </c>
      <c r="I194">
        <f>IF(OR($G194="",$G194=0),"",SIN((1-$H194)*$G194)/SIN($G194))</f>
        <v/>
      </c>
      <c r="J194">
        <f>IF($I194="","",SIN($H194*$G194)/SIN($G194))</f>
        <v/>
      </c>
      <c r="K194">
        <f>IF($I194="","",$I194*COS(RADIANS($C194))*COS(RADIANS($D194))+$J194*COS(RADIANS($E194))*COS(RADIANS($F194)))</f>
        <v/>
      </c>
      <c r="L194">
        <f>IF($I194="","",$I194*COS(RADIANS($C194))*SIN(RADIANS($D194))+$J194*COS(RADIANS($E194))*SIN(RADIANS($F194)))</f>
        <v/>
      </c>
      <c r="M194">
        <f>IF($I194="","",$I194*SIN(RADIANS($C194))+$J194*SIN(RADIANS($E194)))</f>
        <v/>
      </c>
      <c r="N194">
        <f>IF($M194="","",DEGREES(ATAN2(SQRT($K194^2+$L194^2),$M194)))</f>
        <v/>
      </c>
      <c r="O194">
        <f>IF($M194="","",DEGREES(ATAN2($K194,$L194)))</f>
        <v/>
      </c>
      <c r="P194">
        <f t="array" ref="P194">IF($N194="","",IFERROR(IF(INDEX(geo_grid!$B$2:$JU$231,INT(($N194+40)/0.5)+1,INT(($O194+30)/0.5)+1)="","",INDEX(geo_grid!$B$2:$JU$231,INT(($N194+40)/0.5)+1,INT(($O194+30)/0.5)+1)),"OUTSIDE GRID"))</f>
        <v/>
      </c>
      <c r="Q194">
        <f>IF($P194="","",$A194*1000+$B194)</f>
        <v/>
      </c>
    </row>
    <row r="195">
      <c r="A195">
        <f>INT((ROW()-2)/151)+1</f>
        <v/>
      </c>
      <c r="B195">
        <f>MOD(ROW()-2,151)</f>
        <v/>
      </c>
      <c r="C195">
        <f t="array" ref="C195">IFERROR(INDEX('TRIP MANAGER'!$O$18:$O$25,$A195),"")</f>
        <v/>
      </c>
      <c r="D195">
        <f t="array" ref="D195">IFERROR(INDEX('TRIP MANAGER'!$P$18:$P$25,$A195),"")</f>
        <v/>
      </c>
      <c r="E195">
        <f t="array" ref="E195">IFERROR(INDEX('TRIP MANAGER'!$Q$18:$Q$25,$A195),"")</f>
        <v/>
      </c>
      <c r="F195">
        <f t="array" ref="F195">IFERROR(INDEX('TRIP MANAGER'!$R$18:$R$25,$A195),"")</f>
        <v/>
      </c>
      <c r="G195">
        <f t="array" ref="G195">IFERROR(INDEX('TRIP MANAGER'!$S$18:$S$25,$A195),"")</f>
        <v/>
      </c>
      <c r="H195">
        <f>$B195/150</f>
        <v/>
      </c>
      <c r="I195">
        <f>IF(OR($G195="",$G195=0),"",SIN((1-$H195)*$G195)/SIN($G195))</f>
        <v/>
      </c>
      <c r="J195">
        <f>IF($I195="","",SIN($H195*$G195)/SIN($G195))</f>
        <v/>
      </c>
      <c r="K195">
        <f>IF($I195="","",$I195*COS(RADIANS($C195))*COS(RADIANS($D195))+$J195*COS(RADIANS($E195))*COS(RADIANS($F195)))</f>
        <v/>
      </c>
      <c r="L195">
        <f>IF($I195="","",$I195*COS(RADIANS($C195))*SIN(RADIANS($D195))+$J195*COS(RADIANS($E195))*SIN(RADIANS($F195)))</f>
        <v/>
      </c>
      <c r="M195">
        <f>IF($I195="","",$I195*SIN(RADIANS($C195))+$J195*SIN(RADIANS($E195)))</f>
        <v/>
      </c>
      <c r="N195">
        <f>IF($M195="","",DEGREES(ATAN2(SQRT($K195^2+$L195^2),$M195)))</f>
        <v/>
      </c>
      <c r="O195">
        <f>IF($M195="","",DEGREES(ATAN2($K195,$L195)))</f>
        <v/>
      </c>
      <c r="P195">
        <f t="array" ref="P195">IF($N195="","",IFERROR(IF(INDEX(geo_grid!$B$2:$JU$231,INT(($N195+40)/0.5)+1,INT(($O195+30)/0.5)+1)="","",INDEX(geo_grid!$B$2:$JU$231,INT(($N195+40)/0.5)+1,INT(($O195+30)/0.5)+1)),"OUTSIDE GRID"))</f>
        <v/>
      </c>
      <c r="Q195">
        <f>IF($P195="","",$A195*1000+$B195)</f>
        <v/>
      </c>
    </row>
    <row r="196">
      <c r="A196">
        <f>INT((ROW()-2)/151)+1</f>
        <v/>
      </c>
      <c r="B196">
        <f>MOD(ROW()-2,151)</f>
        <v/>
      </c>
      <c r="C196">
        <f t="array" ref="C196">IFERROR(INDEX('TRIP MANAGER'!$O$18:$O$25,$A196),"")</f>
        <v/>
      </c>
      <c r="D196">
        <f t="array" ref="D196">IFERROR(INDEX('TRIP MANAGER'!$P$18:$P$25,$A196),"")</f>
        <v/>
      </c>
      <c r="E196">
        <f t="array" ref="E196">IFERROR(INDEX('TRIP MANAGER'!$Q$18:$Q$25,$A196),"")</f>
        <v/>
      </c>
      <c r="F196">
        <f t="array" ref="F196">IFERROR(INDEX('TRIP MANAGER'!$R$18:$R$25,$A196),"")</f>
        <v/>
      </c>
      <c r="G196">
        <f t="array" ref="G196">IFERROR(INDEX('TRIP MANAGER'!$S$18:$S$25,$A196),"")</f>
        <v/>
      </c>
      <c r="H196">
        <f>$B196/150</f>
        <v/>
      </c>
      <c r="I196">
        <f>IF(OR($G196="",$G196=0),"",SIN((1-$H196)*$G196)/SIN($G196))</f>
        <v/>
      </c>
      <c r="J196">
        <f>IF($I196="","",SIN($H196*$G196)/SIN($G196))</f>
        <v/>
      </c>
      <c r="K196">
        <f>IF($I196="","",$I196*COS(RADIANS($C196))*COS(RADIANS($D196))+$J196*COS(RADIANS($E196))*COS(RADIANS($F196)))</f>
        <v/>
      </c>
      <c r="L196">
        <f>IF($I196="","",$I196*COS(RADIANS($C196))*SIN(RADIANS($D196))+$J196*COS(RADIANS($E196))*SIN(RADIANS($F196)))</f>
        <v/>
      </c>
      <c r="M196">
        <f>IF($I196="","",$I196*SIN(RADIANS($C196))+$J196*SIN(RADIANS($E196)))</f>
        <v/>
      </c>
      <c r="N196">
        <f>IF($M196="","",DEGREES(ATAN2(SQRT($K196^2+$L196^2),$M196)))</f>
        <v/>
      </c>
      <c r="O196">
        <f>IF($M196="","",DEGREES(ATAN2($K196,$L196)))</f>
        <v/>
      </c>
      <c r="P196">
        <f t="array" ref="P196">IF($N196="","",IFERROR(IF(INDEX(geo_grid!$B$2:$JU$231,INT(($N196+40)/0.5)+1,INT(($O196+30)/0.5)+1)="","",INDEX(geo_grid!$B$2:$JU$231,INT(($N196+40)/0.5)+1,INT(($O196+30)/0.5)+1)),"OUTSIDE GRID"))</f>
        <v/>
      </c>
      <c r="Q196">
        <f>IF($P196="","",$A196*1000+$B196)</f>
        <v/>
      </c>
    </row>
    <row r="197">
      <c r="A197">
        <f>INT((ROW()-2)/151)+1</f>
        <v/>
      </c>
      <c r="B197">
        <f>MOD(ROW()-2,151)</f>
        <v/>
      </c>
      <c r="C197">
        <f t="array" ref="C197">IFERROR(INDEX('TRIP MANAGER'!$O$18:$O$25,$A197),"")</f>
        <v/>
      </c>
      <c r="D197">
        <f t="array" ref="D197">IFERROR(INDEX('TRIP MANAGER'!$P$18:$P$25,$A197),"")</f>
        <v/>
      </c>
      <c r="E197">
        <f t="array" ref="E197">IFERROR(INDEX('TRIP MANAGER'!$Q$18:$Q$25,$A197),"")</f>
        <v/>
      </c>
      <c r="F197">
        <f t="array" ref="F197">IFERROR(INDEX('TRIP MANAGER'!$R$18:$R$25,$A197),"")</f>
        <v/>
      </c>
      <c r="G197">
        <f t="array" ref="G197">IFERROR(INDEX('TRIP MANAGER'!$S$18:$S$25,$A197),"")</f>
        <v/>
      </c>
      <c r="H197">
        <f>$B197/150</f>
        <v/>
      </c>
      <c r="I197">
        <f>IF(OR($G197="",$G197=0),"",SIN((1-$H197)*$G197)/SIN($G197))</f>
        <v/>
      </c>
      <c r="J197">
        <f>IF($I197="","",SIN($H197*$G197)/SIN($G197))</f>
        <v/>
      </c>
      <c r="K197">
        <f>IF($I197="","",$I197*COS(RADIANS($C197))*COS(RADIANS($D197))+$J197*COS(RADIANS($E197))*COS(RADIANS($F197)))</f>
        <v/>
      </c>
      <c r="L197">
        <f>IF($I197="","",$I197*COS(RADIANS($C197))*SIN(RADIANS($D197))+$J197*COS(RADIANS($E197))*SIN(RADIANS($F197)))</f>
        <v/>
      </c>
      <c r="M197">
        <f>IF($I197="","",$I197*SIN(RADIANS($C197))+$J197*SIN(RADIANS($E197)))</f>
        <v/>
      </c>
      <c r="N197">
        <f>IF($M197="","",DEGREES(ATAN2(SQRT($K197^2+$L197^2),$M197)))</f>
        <v/>
      </c>
      <c r="O197">
        <f>IF($M197="","",DEGREES(ATAN2($K197,$L197)))</f>
        <v/>
      </c>
      <c r="P197">
        <f t="array" ref="P197">IF($N197="","",IFERROR(IF(INDEX(geo_grid!$B$2:$JU$231,INT(($N197+40)/0.5)+1,INT(($O197+30)/0.5)+1)="","",INDEX(geo_grid!$B$2:$JU$231,INT(($N197+40)/0.5)+1,INT(($O197+30)/0.5)+1)),"OUTSIDE GRID"))</f>
        <v/>
      </c>
      <c r="Q197">
        <f>IF($P197="","",$A197*1000+$B197)</f>
        <v/>
      </c>
    </row>
    <row r="198">
      <c r="A198">
        <f>INT((ROW()-2)/151)+1</f>
        <v/>
      </c>
      <c r="B198">
        <f>MOD(ROW()-2,151)</f>
        <v/>
      </c>
      <c r="C198">
        <f t="array" ref="C198">IFERROR(INDEX('TRIP MANAGER'!$O$18:$O$25,$A198),"")</f>
        <v/>
      </c>
      <c r="D198">
        <f t="array" ref="D198">IFERROR(INDEX('TRIP MANAGER'!$P$18:$P$25,$A198),"")</f>
        <v/>
      </c>
      <c r="E198">
        <f t="array" ref="E198">IFERROR(INDEX('TRIP MANAGER'!$Q$18:$Q$25,$A198),"")</f>
        <v/>
      </c>
      <c r="F198">
        <f t="array" ref="F198">IFERROR(INDEX('TRIP MANAGER'!$R$18:$R$25,$A198),"")</f>
        <v/>
      </c>
      <c r="G198">
        <f t="array" ref="G198">IFERROR(INDEX('TRIP MANAGER'!$S$18:$S$25,$A198),"")</f>
        <v/>
      </c>
      <c r="H198">
        <f>$B198/150</f>
        <v/>
      </c>
      <c r="I198">
        <f>IF(OR($G198="",$G198=0),"",SIN((1-$H198)*$G198)/SIN($G198))</f>
        <v/>
      </c>
      <c r="J198">
        <f>IF($I198="","",SIN($H198*$G198)/SIN($G198))</f>
        <v/>
      </c>
      <c r="K198">
        <f>IF($I198="","",$I198*COS(RADIANS($C198))*COS(RADIANS($D198))+$J198*COS(RADIANS($E198))*COS(RADIANS($F198)))</f>
        <v/>
      </c>
      <c r="L198">
        <f>IF($I198="","",$I198*COS(RADIANS($C198))*SIN(RADIANS($D198))+$J198*COS(RADIANS($E198))*SIN(RADIANS($F198)))</f>
        <v/>
      </c>
      <c r="M198">
        <f>IF($I198="","",$I198*SIN(RADIANS($C198))+$J198*SIN(RADIANS($E198)))</f>
        <v/>
      </c>
      <c r="N198">
        <f>IF($M198="","",DEGREES(ATAN2(SQRT($K198^2+$L198^2),$M198)))</f>
        <v/>
      </c>
      <c r="O198">
        <f>IF($M198="","",DEGREES(ATAN2($K198,$L198)))</f>
        <v/>
      </c>
      <c r="P198">
        <f t="array" ref="P198">IF($N198="","",IFERROR(IF(INDEX(geo_grid!$B$2:$JU$231,INT(($N198+40)/0.5)+1,INT(($O198+30)/0.5)+1)="","",INDEX(geo_grid!$B$2:$JU$231,INT(($N198+40)/0.5)+1,INT(($O198+30)/0.5)+1)),"OUTSIDE GRID"))</f>
        <v/>
      </c>
      <c r="Q198">
        <f>IF($P198="","",$A198*1000+$B198)</f>
        <v/>
      </c>
    </row>
    <row r="199">
      <c r="A199">
        <f>INT((ROW()-2)/151)+1</f>
        <v/>
      </c>
      <c r="B199">
        <f>MOD(ROW()-2,151)</f>
        <v/>
      </c>
      <c r="C199">
        <f t="array" ref="C199">IFERROR(INDEX('TRIP MANAGER'!$O$18:$O$25,$A199),"")</f>
        <v/>
      </c>
      <c r="D199">
        <f t="array" ref="D199">IFERROR(INDEX('TRIP MANAGER'!$P$18:$P$25,$A199),"")</f>
        <v/>
      </c>
      <c r="E199">
        <f t="array" ref="E199">IFERROR(INDEX('TRIP MANAGER'!$Q$18:$Q$25,$A199),"")</f>
        <v/>
      </c>
      <c r="F199">
        <f t="array" ref="F199">IFERROR(INDEX('TRIP MANAGER'!$R$18:$R$25,$A199),"")</f>
        <v/>
      </c>
      <c r="G199">
        <f t="array" ref="G199">IFERROR(INDEX('TRIP MANAGER'!$S$18:$S$25,$A199),"")</f>
        <v/>
      </c>
      <c r="H199">
        <f>$B199/150</f>
        <v/>
      </c>
      <c r="I199">
        <f>IF(OR($G199="",$G199=0),"",SIN((1-$H199)*$G199)/SIN($G199))</f>
        <v/>
      </c>
      <c r="J199">
        <f>IF($I199="","",SIN($H199*$G199)/SIN($G199))</f>
        <v/>
      </c>
      <c r="K199">
        <f>IF($I199="","",$I199*COS(RADIANS($C199))*COS(RADIANS($D199))+$J199*COS(RADIANS($E199))*COS(RADIANS($F199)))</f>
        <v/>
      </c>
      <c r="L199">
        <f>IF($I199="","",$I199*COS(RADIANS($C199))*SIN(RADIANS($D199))+$J199*COS(RADIANS($E199))*SIN(RADIANS($F199)))</f>
        <v/>
      </c>
      <c r="M199">
        <f>IF($I199="","",$I199*SIN(RADIANS($C199))+$J199*SIN(RADIANS($E199)))</f>
        <v/>
      </c>
      <c r="N199">
        <f>IF($M199="","",DEGREES(ATAN2(SQRT($K199^2+$L199^2),$M199)))</f>
        <v/>
      </c>
      <c r="O199">
        <f>IF($M199="","",DEGREES(ATAN2($K199,$L199)))</f>
        <v/>
      </c>
      <c r="P199">
        <f t="array" ref="P199">IF($N199="","",IFERROR(IF(INDEX(geo_grid!$B$2:$JU$231,INT(($N199+40)/0.5)+1,INT(($O199+30)/0.5)+1)="","",INDEX(geo_grid!$B$2:$JU$231,INT(($N199+40)/0.5)+1,INT(($O199+30)/0.5)+1)),"OUTSIDE GRID"))</f>
        <v/>
      </c>
      <c r="Q199">
        <f>IF($P199="","",$A199*1000+$B199)</f>
        <v/>
      </c>
    </row>
    <row r="200">
      <c r="A200">
        <f>INT((ROW()-2)/151)+1</f>
        <v/>
      </c>
      <c r="B200">
        <f>MOD(ROW()-2,151)</f>
        <v/>
      </c>
      <c r="C200">
        <f t="array" ref="C200">IFERROR(INDEX('TRIP MANAGER'!$O$18:$O$25,$A200),"")</f>
        <v/>
      </c>
      <c r="D200">
        <f t="array" ref="D200">IFERROR(INDEX('TRIP MANAGER'!$P$18:$P$25,$A200),"")</f>
        <v/>
      </c>
      <c r="E200">
        <f t="array" ref="E200">IFERROR(INDEX('TRIP MANAGER'!$Q$18:$Q$25,$A200),"")</f>
        <v/>
      </c>
      <c r="F200">
        <f t="array" ref="F200">IFERROR(INDEX('TRIP MANAGER'!$R$18:$R$25,$A200),"")</f>
        <v/>
      </c>
      <c r="G200">
        <f t="array" ref="G200">IFERROR(INDEX('TRIP MANAGER'!$S$18:$S$25,$A200),"")</f>
        <v/>
      </c>
      <c r="H200">
        <f>$B200/150</f>
        <v/>
      </c>
      <c r="I200">
        <f>IF(OR($G200="",$G200=0),"",SIN((1-$H200)*$G200)/SIN($G200))</f>
        <v/>
      </c>
      <c r="J200">
        <f>IF($I200="","",SIN($H200*$G200)/SIN($G200))</f>
        <v/>
      </c>
      <c r="K200">
        <f>IF($I200="","",$I200*COS(RADIANS($C200))*COS(RADIANS($D200))+$J200*COS(RADIANS($E200))*COS(RADIANS($F200)))</f>
        <v/>
      </c>
      <c r="L200">
        <f>IF($I200="","",$I200*COS(RADIANS($C200))*SIN(RADIANS($D200))+$J200*COS(RADIANS($E200))*SIN(RADIANS($F200)))</f>
        <v/>
      </c>
      <c r="M200">
        <f>IF($I200="","",$I200*SIN(RADIANS($C200))+$J200*SIN(RADIANS($E200)))</f>
        <v/>
      </c>
      <c r="N200">
        <f>IF($M200="","",DEGREES(ATAN2(SQRT($K200^2+$L200^2),$M200)))</f>
        <v/>
      </c>
      <c r="O200">
        <f>IF($M200="","",DEGREES(ATAN2($K200,$L200)))</f>
        <v/>
      </c>
      <c r="P200">
        <f t="array" ref="P200">IF($N200="","",IFERROR(IF(INDEX(geo_grid!$B$2:$JU$231,INT(($N200+40)/0.5)+1,INT(($O200+30)/0.5)+1)="","",INDEX(geo_grid!$B$2:$JU$231,INT(($N200+40)/0.5)+1,INT(($O200+30)/0.5)+1)),"OUTSIDE GRID"))</f>
        <v/>
      </c>
      <c r="Q200">
        <f>IF($P200="","",$A200*1000+$B200)</f>
        <v/>
      </c>
    </row>
    <row r="201">
      <c r="A201">
        <f>INT((ROW()-2)/151)+1</f>
        <v/>
      </c>
      <c r="B201">
        <f>MOD(ROW()-2,151)</f>
        <v/>
      </c>
      <c r="C201">
        <f t="array" ref="C201">IFERROR(INDEX('TRIP MANAGER'!$O$18:$O$25,$A201),"")</f>
        <v/>
      </c>
      <c r="D201">
        <f t="array" ref="D201">IFERROR(INDEX('TRIP MANAGER'!$P$18:$P$25,$A201),"")</f>
        <v/>
      </c>
      <c r="E201">
        <f t="array" ref="E201">IFERROR(INDEX('TRIP MANAGER'!$Q$18:$Q$25,$A201),"")</f>
        <v/>
      </c>
      <c r="F201">
        <f t="array" ref="F201">IFERROR(INDEX('TRIP MANAGER'!$R$18:$R$25,$A201),"")</f>
        <v/>
      </c>
      <c r="G201">
        <f t="array" ref="G201">IFERROR(INDEX('TRIP MANAGER'!$S$18:$S$25,$A201),"")</f>
        <v/>
      </c>
      <c r="H201">
        <f>$B201/150</f>
        <v/>
      </c>
      <c r="I201">
        <f>IF(OR($G201="",$G201=0),"",SIN((1-$H201)*$G201)/SIN($G201))</f>
        <v/>
      </c>
      <c r="J201">
        <f>IF($I201="","",SIN($H201*$G201)/SIN($G201))</f>
        <v/>
      </c>
      <c r="K201">
        <f>IF($I201="","",$I201*COS(RADIANS($C201))*COS(RADIANS($D201))+$J201*COS(RADIANS($E201))*COS(RADIANS($F201)))</f>
        <v/>
      </c>
      <c r="L201">
        <f>IF($I201="","",$I201*COS(RADIANS($C201))*SIN(RADIANS($D201))+$J201*COS(RADIANS($E201))*SIN(RADIANS($F201)))</f>
        <v/>
      </c>
      <c r="M201">
        <f>IF($I201="","",$I201*SIN(RADIANS($C201))+$J201*SIN(RADIANS($E201)))</f>
        <v/>
      </c>
      <c r="N201">
        <f>IF($M201="","",DEGREES(ATAN2(SQRT($K201^2+$L201^2),$M201)))</f>
        <v/>
      </c>
      <c r="O201">
        <f>IF($M201="","",DEGREES(ATAN2($K201,$L201)))</f>
        <v/>
      </c>
      <c r="P201">
        <f t="array" ref="P201">IF($N201="","",IFERROR(IF(INDEX(geo_grid!$B$2:$JU$231,INT(($N201+40)/0.5)+1,INT(($O201+30)/0.5)+1)="","",INDEX(geo_grid!$B$2:$JU$231,INT(($N201+40)/0.5)+1,INT(($O201+30)/0.5)+1)),"OUTSIDE GRID"))</f>
        <v/>
      </c>
      <c r="Q201">
        <f>IF($P201="","",$A201*1000+$B201)</f>
        <v/>
      </c>
    </row>
    <row r="202">
      <c r="A202">
        <f>INT((ROW()-2)/151)+1</f>
        <v/>
      </c>
      <c r="B202">
        <f>MOD(ROW()-2,151)</f>
        <v/>
      </c>
      <c r="C202">
        <f t="array" ref="C202">IFERROR(INDEX('TRIP MANAGER'!$O$18:$O$25,$A202),"")</f>
        <v/>
      </c>
      <c r="D202">
        <f t="array" ref="D202">IFERROR(INDEX('TRIP MANAGER'!$P$18:$P$25,$A202),"")</f>
        <v/>
      </c>
      <c r="E202">
        <f t="array" ref="E202">IFERROR(INDEX('TRIP MANAGER'!$Q$18:$Q$25,$A202),"")</f>
        <v/>
      </c>
      <c r="F202">
        <f t="array" ref="F202">IFERROR(INDEX('TRIP MANAGER'!$R$18:$R$25,$A202),"")</f>
        <v/>
      </c>
      <c r="G202">
        <f t="array" ref="G202">IFERROR(INDEX('TRIP MANAGER'!$S$18:$S$25,$A202),"")</f>
        <v/>
      </c>
      <c r="H202">
        <f>$B202/150</f>
        <v/>
      </c>
      <c r="I202">
        <f>IF(OR($G202="",$G202=0),"",SIN((1-$H202)*$G202)/SIN($G202))</f>
        <v/>
      </c>
      <c r="J202">
        <f>IF($I202="","",SIN($H202*$G202)/SIN($G202))</f>
        <v/>
      </c>
      <c r="K202">
        <f>IF($I202="","",$I202*COS(RADIANS($C202))*COS(RADIANS($D202))+$J202*COS(RADIANS($E202))*COS(RADIANS($F202)))</f>
        <v/>
      </c>
      <c r="L202">
        <f>IF($I202="","",$I202*COS(RADIANS($C202))*SIN(RADIANS($D202))+$J202*COS(RADIANS($E202))*SIN(RADIANS($F202)))</f>
        <v/>
      </c>
      <c r="M202">
        <f>IF($I202="","",$I202*SIN(RADIANS($C202))+$J202*SIN(RADIANS($E202)))</f>
        <v/>
      </c>
      <c r="N202">
        <f>IF($M202="","",DEGREES(ATAN2(SQRT($K202^2+$L202^2),$M202)))</f>
        <v/>
      </c>
      <c r="O202">
        <f>IF($M202="","",DEGREES(ATAN2($K202,$L202)))</f>
        <v/>
      </c>
      <c r="P202">
        <f t="array" ref="P202">IF($N202="","",IFERROR(IF(INDEX(geo_grid!$B$2:$JU$231,INT(($N202+40)/0.5)+1,INT(($O202+30)/0.5)+1)="","",INDEX(geo_grid!$B$2:$JU$231,INT(($N202+40)/0.5)+1,INT(($O202+30)/0.5)+1)),"OUTSIDE GRID"))</f>
        <v/>
      </c>
      <c r="Q202">
        <f>IF($P202="","",$A202*1000+$B202)</f>
        <v/>
      </c>
    </row>
    <row r="203">
      <c r="A203">
        <f>INT((ROW()-2)/151)+1</f>
        <v/>
      </c>
      <c r="B203">
        <f>MOD(ROW()-2,151)</f>
        <v/>
      </c>
      <c r="C203">
        <f t="array" ref="C203">IFERROR(INDEX('TRIP MANAGER'!$O$18:$O$25,$A203),"")</f>
        <v/>
      </c>
      <c r="D203">
        <f t="array" ref="D203">IFERROR(INDEX('TRIP MANAGER'!$P$18:$P$25,$A203),"")</f>
        <v/>
      </c>
      <c r="E203">
        <f t="array" ref="E203">IFERROR(INDEX('TRIP MANAGER'!$Q$18:$Q$25,$A203),"")</f>
        <v/>
      </c>
      <c r="F203">
        <f t="array" ref="F203">IFERROR(INDEX('TRIP MANAGER'!$R$18:$R$25,$A203),"")</f>
        <v/>
      </c>
      <c r="G203">
        <f t="array" ref="G203">IFERROR(INDEX('TRIP MANAGER'!$S$18:$S$25,$A203),"")</f>
        <v/>
      </c>
      <c r="H203">
        <f>$B203/150</f>
        <v/>
      </c>
      <c r="I203">
        <f>IF(OR($G203="",$G203=0),"",SIN((1-$H203)*$G203)/SIN($G203))</f>
        <v/>
      </c>
      <c r="J203">
        <f>IF($I203="","",SIN($H203*$G203)/SIN($G203))</f>
        <v/>
      </c>
      <c r="K203">
        <f>IF($I203="","",$I203*COS(RADIANS($C203))*COS(RADIANS($D203))+$J203*COS(RADIANS($E203))*COS(RADIANS($F203)))</f>
        <v/>
      </c>
      <c r="L203">
        <f>IF($I203="","",$I203*COS(RADIANS($C203))*SIN(RADIANS($D203))+$J203*COS(RADIANS($E203))*SIN(RADIANS($F203)))</f>
        <v/>
      </c>
      <c r="M203">
        <f>IF($I203="","",$I203*SIN(RADIANS($C203))+$J203*SIN(RADIANS($E203)))</f>
        <v/>
      </c>
      <c r="N203">
        <f>IF($M203="","",DEGREES(ATAN2(SQRT($K203^2+$L203^2),$M203)))</f>
        <v/>
      </c>
      <c r="O203">
        <f>IF($M203="","",DEGREES(ATAN2($K203,$L203)))</f>
        <v/>
      </c>
      <c r="P203">
        <f t="array" ref="P203">IF($N203="","",IFERROR(IF(INDEX(geo_grid!$B$2:$JU$231,INT(($N203+40)/0.5)+1,INT(($O203+30)/0.5)+1)="","",INDEX(geo_grid!$B$2:$JU$231,INT(($N203+40)/0.5)+1,INT(($O203+30)/0.5)+1)),"OUTSIDE GRID"))</f>
        <v/>
      </c>
      <c r="Q203">
        <f>IF($P203="","",$A203*1000+$B203)</f>
        <v/>
      </c>
    </row>
    <row r="204">
      <c r="A204">
        <f>INT((ROW()-2)/151)+1</f>
        <v/>
      </c>
      <c r="B204">
        <f>MOD(ROW()-2,151)</f>
        <v/>
      </c>
      <c r="C204">
        <f t="array" ref="C204">IFERROR(INDEX('TRIP MANAGER'!$O$18:$O$25,$A204),"")</f>
        <v/>
      </c>
      <c r="D204">
        <f t="array" ref="D204">IFERROR(INDEX('TRIP MANAGER'!$P$18:$P$25,$A204),"")</f>
        <v/>
      </c>
      <c r="E204">
        <f t="array" ref="E204">IFERROR(INDEX('TRIP MANAGER'!$Q$18:$Q$25,$A204),"")</f>
        <v/>
      </c>
      <c r="F204">
        <f t="array" ref="F204">IFERROR(INDEX('TRIP MANAGER'!$R$18:$R$25,$A204),"")</f>
        <v/>
      </c>
      <c r="G204">
        <f t="array" ref="G204">IFERROR(INDEX('TRIP MANAGER'!$S$18:$S$25,$A204),"")</f>
        <v/>
      </c>
      <c r="H204">
        <f>$B204/150</f>
        <v/>
      </c>
      <c r="I204">
        <f>IF(OR($G204="",$G204=0),"",SIN((1-$H204)*$G204)/SIN($G204))</f>
        <v/>
      </c>
      <c r="J204">
        <f>IF($I204="","",SIN($H204*$G204)/SIN($G204))</f>
        <v/>
      </c>
      <c r="K204">
        <f>IF($I204="","",$I204*COS(RADIANS($C204))*COS(RADIANS($D204))+$J204*COS(RADIANS($E204))*COS(RADIANS($F204)))</f>
        <v/>
      </c>
      <c r="L204">
        <f>IF($I204="","",$I204*COS(RADIANS($C204))*SIN(RADIANS($D204))+$J204*COS(RADIANS($E204))*SIN(RADIANS($F204)))</f>
        <v/>
      </c>
      <c r="M204">
        <f>IF($I204="","",$I204*SIN(RADIANS($C204))+$J204*SIN(RADIANS($E204)))</f>
        <v/>
      </c>
      <c r="N204">
        <f>IF($M204="","",DEGREES(ATAN2(SQRT($K204^2+$L204^2),$M204)))</f>
        <v/>
      </c>
      <c r="O204">
        <f>IF($M204="","",DEGREES(ATAN2($K204,$L204)))</f>
        <v/>
      </c>
      <c r="P204">
        <f t="array" ref="P204">IF($N204="","",IFERROR(IF(INDEX(geo_grid!$B$2:$JU$231,INT(($N204+40)/0.5)+1,INT(($O204+30)/0.5)+1)="","",INDEX(geo_grid!$B$2:$JU$231,INT(($N204+40)/0.5)+1,INT(($O204+30)/0.5)+1)),"OUTSIDE GRID"))</f>
        <v/>
      </c>
      <c r="Q204">
        <f>IF($P204="","",$A204*1000+$B204)</f>
        <v/>
      </c>
    </row>
    <row r="205">
      <c r="A205">
        <f>INT((ROW()-2)/151)+1</f>
        <v/>
      </c>
      <c r="B205">
        <f>MOD(ROW()-2,151)</f>
        <v/>
      </c>
      <c r="C205">
        <f t="array" ref="C205">IFERROR(INDEX('TRIP MANAGER'!$O$18:$O$25,$A205),"")</f>
        <v/>
      </c>
      <c r="D205">
        <f t="array" ref="D205">IFERROR(INDEX('TRIP MANAGER'!$P$18:$P$25,$A205),"")</f>
        <v/>
      </c>
      <c r="E205">
        <f t="array" ref="E205">IFERROR(INDEX('TRIP MANAGER'!$Q$18:$Q$25,$A205),"")</f>
        <v/>
      </c>
      <c r="F205">
        <f t="array" ref="F205">IFERROR(INDEX('TRIP MANAGER'!$R$18:$R$25,$A205),"")</f>
        <v/>
      </c>
      <c r="G205">
        <f t="array" ref="G205">IFERROR(INDEX('TRIP MANAGER'!$S$18:$S$25,$A205),"")</f>
        <v/>
      </c>
      <c r="H205">
        <f>$B205/150</f>
        <v/>
      </c>
      <c r="I205">
        <f>IF(OR($G205="",$G205=0),"",SIN((1-$H205)*$G205)/SIN($G205))</f>
        <v/>
      </c>
      <c r="J205">
        <f>IF($I205="","",SIN($H205*$G205)/SIN($G205))</f>
        <v/>
      </c>
      <c r="K205">
        <f>IF($I205="","",$I205*COS(RADIANS($C205))*COS(RADIANS($D205))+$J205*COS(RADIANS($E205))*COS(RADIANS($F205)))</f>
        <v/>
      </c>
      <c r="L205">
        <f>IF($I205="","",$I205*COS(RADIANS($C205))*SIN(RADIANS($D205))+$J205*COS(RADIANS($E205))*SIN(RADIANS($F205)))</f>
        <v/>
      </c>
      <c r="M205">
        <f>IF($I205="","",$I205*SIN(RADIANS($C205))+$J205*SIN(RADIANS($E205)))</f>
        <v/>
      </c>
      <c r="N205">
        <f>IF($M205="","",DEGREES(ATAN2(SQRT($K205^2+$L205^2),$M205)))</f>
        <v/>
      </c>
      <c r="O205">
        <f>IF($M205="","",DEGREES(ATAN2($K205,$L205)))</f>
        <v/>
      </c>
      <c r="P205">
        <f t="array" ref="P205">IF($N205="","",IFERROR(IF(INDEX(geo_grid!$B$2:$JU$231,INT(($N205+40)/0.5)+1,INT(($O205+30)/0.5)+1)="","",INDEX(geo_grid!$B$2:$JU$231,INT(($N205+40)/0.5)+1,INT(($O205+30)/0.5)+1)),"OUTSIDE GRID"))</f>
        <v/>
      </c>
      <c r="Q205">
        <f>IF($P205="","",$A205*1000+$B205)</f>
        <v/>
      </c>
    </row>
    <row r="206">
      <c r="A206">
        <f>INT((ROW()-2)/151)+1</f>
        <v/>
      </c>
      <c r="B206">
        <f>MOD(ROW()-2,151)</f>
        <v/>
      </c>
      <c r="C206">
        <f t="array" ref="C206">IFERROR(INDEX('TRIP MANAGER'!$O$18:$O$25,$A206),"")</f>
        <v/>
      </c>
      <c r="D206">
        <f t="array" ref="D206">IFERROR(INDEX('TRIP MANAGER'!$P$18:$P$25,$A206),"")</f>
        <v/>
      </c>
      <c r="E206">
        <f t="array" ref="E206">IFERROR(INDEX('TRIP MANAGER'!$Q$18:$Q$25,$A206),"")</f>
        <v/>
      </c>
      <c r="F206">
        <f t="array" ref="F206">IFERROR(INDEX('TRIP MANAGER'!$R$18:$R$25,$A206),"")</f>
        <v/>
      </c>
      <c r="G206">
        <f t="array" ref="G206">IFERROR(INDEX('TRIP MANAGER'!$S$18:$S$25,$A206),"")</f>
        <v/>
      </c>
      <c r="H206">
        <f>$B206/150</f>
        <v/>
      </c>
      <c r="I206">
        <f>IF(OR($G206="",$G206=0),"",SIN((1-$H206)*$G206)/SIN($G206))</f>
        <v/>
      </c>
      <c r="J206">
        <f>IF($I206="","",SIN($H206*$G206)/SIN($G206))</f>
        <v/>
      </c>
      <c r="K206">
        <f>IF($I206="","",$I206*COS(RADIANS($C206))*COS(RADIANS($D206))+$J206*COS(RADIANS($E206))*COS(RADIANS($F206)))</f>
        <v/>
      </c>
      <c r="L206">
        <f>IF($I206="","",$I206*COS(RADIANS($C206))*SIN(RADIANS($D206))+$J206*COS(RADIANS($E206))*SIN(RADIANS($F206)))</f>
        <v/>
      </c>
      <c r="M206">
        <f>IF($I206="","",$I206*SIN(RADIANS($C206))+$J206*SIN(RADIANS($E206)))</f>
        <v/>
      </c>
      <c r="N206">
        <f>IF($M206="","",DEGREES(ATAN2(SQRT($K206^2+$L206^2),$M206)))</f>
        <v/>
      </c>
      <c r="O206">
        <f>IF($M206="","",DEGREES(ATAN2($K206,$L206)))</f>
        <v/>
      </c>
      <c r="P206">
        <f t="array" ref="P206">IF($N206="","",IFERROR(IF(INDEX(geo_grid!$B$2:$JU$231,INT(($N206+40)/0.5)+1,INT(($O206+30)/0.5)+1)="","",INDEX(geo_grid!$B$2:$JU$231,INT(($N206+40)/0.5)+1,INT(($O206+30)/0.5)+1)),"OUTSIDE GRID"))</f>
        <v/>
      </c>
      <c r="Q206">
        <f>IF($P206="","",$A206*1000+$B206)</f>
        <v/>
      </c>
    </row>
    <row r="207">
      <c r="A207">
        <f>INT((ROW()-2)/151)+1</f>
        <v/>
      </c>
      <c r="B207">
        <f>MOD(ROW()-2,151)</f>
        <v/>
      </c>
      <c r="C207">
        <f t="array" ref="C207">IFERROR(INDEX('TRIP MANAGER'!$O$18:$O$25,$A207),"")</f>
        <v/>
      </c>
      <c r="D207">
        <f t="array" ref="D207">IFERROR(INDEX('TRIP MANAGER'!$P$18:$P$25,$A207),"")</f>
        <v/>
      </c>
      <c r="E207">
        <f t="array" ref="E207">IFERROR(INDEX('TRIP MANAGER'!$Q$18:$Q$25,$A207),"")</f>
        <v/>
      </c>
      <c r="F207">
        <f t="array" ref="F207">IFERROR(INDEX('TRIP MANAGER'!$R$18:$R$25,$A207),"")</f>
        <v/>
      </c>
      <c r="G207">
        <f t="array" ref="G207">IFERROR(INDEX('TRIP MANAGER'!$S$18:$S$25,$A207),"")</f>
        <v/>
      </c>
      <c r="H207">
        <f>$B207/150</f>
        <v/>
      </c>
      <c r="I207">
        <f>IF(OR($G207="",$G207=0),"",SIN((1-$H207)*$G207)/SIN($G207))</f>
        <v/>
      </c>
      <c r="J207">
        <f>IF($I207="","",SIN($H207*$G207)/SIN($G207))</f>
        <v/>
      </c>
      <c r="K207">
        <f>IF($I207="","",$I207*COS(RADIANS($C207))*COS(RADIANS($D207))+$J207*COS(RADIANS($E207))*COS(RADIANS($F207)))</f>
        <v/>
      </c>
      <c r="L207">
        <f>IF($I207="","",$I207*COS(RADIANS($C207))*SIN(RADIANS($D207))+$J207*COS(RADIANS($E207))*SIN(RADIANS($F207)))</f>
        <v/>
      </c>
      <c r="M207">
        <f>IF($I207="","",$I207*SIN(RADIANS($C207))+$J207*SIN(RADIANS($E207)))</f>
        <v/>
      </c>
      <c r="N207">
        <f>IF($M207="","",DEGREES(ATAN2(SQRT($K207^2+$L207^2),$M207)))</f>
        <v/>
      </c>
      <c r="O207">
        <f>IF($M207="","",DEGREES(ATAN2($K207,$L207)))</f>
        <v/>
      </c>
      <c r="P207">
        <f t="array" ref="P207">IF($N207="","",IFERROR(IF(INDEX(geo_grid!$B$2:$JU$231,INT(($N207+40)/0.5)+1,INT(($O207+30)/0.5)+1)="","",INDEX(geo_grid!$B$2:$JU$231,INT(($N207+40)/0.5)+1,INT(($O207+30)/0.5)+1)),"OUTSIDE GRID"))</f>
        <v/>
      </c>
      <c r="Q207">
        <f>IF($P207="","",$A207*1000+$B207)</f>
        <v/>
      </c>
    </row>
    <row r="208">
      <c r="A208">
        <f>INT((ROW()-2)/151)+1</f>
        <v/>
      </c>
      <c r="B208">
        <f>MOD(ROW()-2,151)</f>
        <v/>
      </c>
      <c r="C208">
        <f t="array" ref="C208">IFERROR(INDEX('TRIP MANAGER'!$O$18:$O$25,$A208),"")</f>
        <v/>
      </c>
      <c r="D208">
        <f t="array" ref="D208">IFERROR(INDEX('TRIP MANAGER'!$P$18:$P$25,$A208),"")</f>
        <v/>
      </c>
      <c r="E208">
        <f t="array" ref="E208">IFERROR(INDEX('TRIP MANAGER'!$Q$18:$Q$25,$A208),"")</f>
        <v/>
      </c>
      <c r="F208">
        <f t="array" ref="F208">IFERROR(INDEX('TRIP MANAGER'!$R$18:$R$25,$A208),"")</f>
        <v/>
      </c>
      <c r="G208">
        <f t="array" ref="G208">IFERROR(INDEX('TRIP MANAGER'!$S$18:$S$25,$A208),"")</f>
        <v/>
      </c>
      <c r="H208">
        <f>$B208/150</f>
        <v/>
      </c>
      <c r="I208">
        <f>IF(OR($G208="",$G208=0),"",SIN((1-$H208)*$G208)/SIN($G208))</f>
        <v/>
      </c>
      <c r="J208">
        <f>IF($I208="","",SIN($H208*$G208)/SIN($G208))</f>
        <v/>
      </c>
      <c r="K208">
        <f>IF($I208="","",$I208*COS(RADIANS($C208))*COS(RADIANS($D208))+$J208*COS(RADIANS($E208))*COS(RADIANS($F208)))</f>
        <v/>
      </c>
      <c r="L208">
        <f>IF($I208="","",$I208*COS(RADIANS($C208))*SIN(RADIANS($D208))+$J208*COS(RADIANS($E208))*SIN(RADIANS($F208)))</f>
        <v/>
      </c>
      <c r="M208">
        <f>IF($I208="","",$I208*SIN(RADIANS($C208))+$J208*SIN(RADIANS($E208)))</f>
        <v/>
      </c>
      <c r="N208">
        <f>IF($M208="","",DEGREES(ATAN2(SQRT($K208^2+$L208^2),$M208)))</f>
        <v/>
      </c>
      <c r="O208">
        <f>IF($M208="","",DEGREES(ATAN2($K208,$L208)))</f>
        <v/>
      </c>
      <c r="P208">
        <f t="array" ref="P208">IF($N208="","",IFERROR(IF(INDEX(geo_grid!$B$2:$JU$231,INT(($N208+40)/0.5)+1,INT(($O208+30)/0.5)+1)="","",INDEX(geo_grid!$B$2:$JU$231,INT(($N208+40)/0.5)+1,INT(($O208+30)/0.5)+1)),"OUTSIDE GRID"))</f>
        <v/>
      </c>
      <c r="Q208">
        <f>IF($P208="","",$A208*1000+$B208)</f>
        <v/>
      </c>
    </row>
    <row r="209">
      <c r="A209">
        <f>INT((ROW()-2)/151)+1</f>
        <v/>
      </c>
      <c r="B209">
        <f>MOD(ROW()-2,151)</f>
        <v/>
      </c>
      <c r="C209">
        <f t="array" ref="C209">IFERROR(INDEX('TRIP MANAGER'!$O$18:$O$25,$A209),"")</f>
        <v/>
      </c>
      <c r="D209">
        <f t="array" ref="D209">IFERROR(INDEX('TRIP MANAGER'!$P$18:$P$25,$A209),"")</f>
        <v/>
      </c>
      <c r="E209">
        <f t="array" ref="E209">IFERROR(INDEX('TRIP MANAGER'!$Q$18:$Q$25,$A209),"")</f>
        <v/>
      </c>
      <c r="F209">
        <f t="array" ref="F209">IFERROR(INDEX('TRIP MANAGER'!$R$18:$R$25,$A209),"")</f>
        <v/>
      </c>
      <c r="G209">
        <f t="array" ref="G209">IFERROR(INDEX('TRIP MANAGER'!$S$18:$S$25,$A209),"")</f>
        <v/>
      </c>
      <c r="H209">
        <f>$B209/150</f>
        <v/>
      </c>
      <c r="I209">
        <f>IF(OR($G209="",$G209=0),"",SIN((1-$H209)*$G209)/SIN($G209))</f>
        <v/>
      </c>
      <c r="J209">
        <f>IF($I209="","",SIN($H209*$G209)/SIN($G209))</f>
        <v/>
      </c>
      <c r="K209">
        <f>IF($I209="","",$I209*COS(RADIANS($C209))*COS(RADIANS($D209))+$J209*COS(RADIANS($E209))*COS(RADIANS($F209)))</f>
        <v/>
      </c>
      <c r="L209">
        <f>IF($I209="","",$I209*COS(RADIANS($C209))*SIN(RADIANS($D209))+$J209*COS(RADIANS($E209))*SIN(RADIANS($F209)))</f>
        <v/>
      </c>
      <c r="M209">
        <f>IF($I209="","",$I209*SIN(RADIANS($C209))+$J209*SIN(RADIANS($E209)))</f>
        <v/>
      </c>
      <c r="N209">
        <f>IF($M209="","",DEGREES(ATAN2(SQRT($K209^2+$L209^2),$M209)))</f>
        <v/>
      </c>
      <c r="O209">
        <f>IF($M209="","",DEGREES(ATAN2($K209,$L209)))</f>
        <v/>
      </c>
      <c r="P209">
        <f t="array" ref="P209">IF($N209="","",IFERROR(IF(INDEX(geo_grid!$B$2:$JU$231,INT(($N209+40)/0.5)+1,INT(($O209+30)/0.5)+1)="","",INDEX(geo_grid!$B$2:$JU$231,INT(($N209+40)/0.5)+1,INT(($O209+30)/0.5)+1)),"OUTSIDE GRID"))</f>
        <v/>
      </c>
      <c r="Q209">
        <f>IF($P209="","",$A209*1000+$B209)</f>
        <v/>
      </c>
    </row>
    <row r="210">
      <c r="A210">
        <f>INT((ROW()-2)/151)+1</f>
        <v/>
      </c>
      <c r="B210">
        <f>MOD(ROW()-2,151)</f>
        <v/>
      </c>
      <c r="C210">
        <f t="array" ref="C210">IFERROR(INDEX('TRIP MANAGER'!$O$18:$O$25,$A210),"")</f>
        <v/>
      </c>
      <c r="D210">
        <f t="array" ref="D210">IFERROR(INDEX('TRIP MANAGER'!$P$18:$P$25,$A210),"")</f>
        <v/>
      </c>
      <c r="E210">
        <f t="array" ref="E210">IFERROR(INDEX('TRIP MANAGER'!$Q$18:$Q$25,$A210),"")</f>
        <v/>
      </c>
      <c r="F210">
        <f t="array" ref="F210">IFERROR(INDEX('TRIP MANAGER'!$R$18:$R$25,$A210),"")</f>
        <v/>
      </c>
      <c r="G210">
        <f t="array" ref="G210">IFERROR(INDEX('TRIP MANAGER'!$S$18:$S$25,$A210),"")</f>
        <v/>
      </c>
      <c r="H210">
        <f>$B210/150</f>
        <v/>
      </c>
      <c r="I210">
        <f>IF(OR($G210="",$G210=0),"",SIN((1-$H210)*$G210)/SIN($G210))</f>
        <v/>
      </c>
      <c r="J210">
        <f>IF($I210="","",SIN($H210*$G210)/SIN($G210))</f>
        <v/>
      </c>
      <c r="K210">
        <f>IF($I210="","",$I210*COS(RADIANS($C210))*COS(RADIANS($D210))+$J210*COS(RADIANS($E210))*COS(RADIANS($F210)))</f>
        <v/>
      </c>
      <c r="L210">
        <f>IF($I210="","",$I210*COS(RADIANS($C210))*SIN(RADIANS($D210))+$J210*COS(RADIANS($E210))*SIN(RADIANS($F210)))</f>
        <v/>
      </c>
      <c r="M210">
        <f>IF($I210="","",$I210*SIN(RADIANS($C210))+$J210*SIN(RADIANS($E210)))</f>
        <v/>
      </c>
      <c r="N210">
        <f>IF($M210="","",DEGREES(ATAN2(SQRT($K210^2+$L210^2),$M210)))</f>
        <v/>
      </c>
      <c r="O210">
        <f>IF($M210="","",DEGREES(ATAN2($K210,$L210)))</f>
        <v/>
      </c>
      <c r="P210">
        <f t="array" ref="P210">IF($N210="","",IFERROR(IF(INDEX(geo_grid!$B$2:$JU$231,INT(($N210+40)/0.5)+1,INT(($O210+30)/0.5)+1)="","",INDEX(geo_grid!$B$2:$JU$231,INT(($N210+40)/0.5)+1,INT(($O210+30)/0.5)+1)),"OUTSIDE GRID"))</f>
        <v/>
      </c>
      <c r="Q210">
        <f>IF($P210="","",$A210*1000+$B210)</f>
        <v/>
      </c>
    </row>
    <row r="211">
      <c r="A211">
        <f>INT((ROW()-2)/151)+1</f>
        <v/>
      </c>
      <c r="B211">
        <f>MOD(ROW()-2,151)</f>
        <v/>
      </c>
      <c r="C211">
        <f t="array" ref="C211">IFERROR(INDEX('TRIP MANAGER'!$O$18:$O$25,$A211),"")</f>
        <v/>
      </c>
      <c r="D211">
        <f t="array" ref="D211">IFERROR(INDEX('TRIP MANAGER'!$P$18:$P$25,$A211),"")</f>
        <v/>
      </c>
      <c r="E211">
        <f t="array" ref="E211">IFERROR(INDEX('TRIP MANAGER'!$Q$18:$Q$25,$A211),"")</f>
        <v/>
      </c>
      <c r="F211">
        <f t="array" ref="F211">IFERROR(INDEX('TRIP MANAGER'!$R$18:$R$25,$A211),"")</f>
        <v/>
      </c>
      <c r="G211">
        <f t="array" ref="G211">IFERROR(INDEX('TRIP MANAGER'!$S$18:$S$25,$A211),"")</f>
        <v/>
      </c>
      <c r="H211">
        <f>$B211/150</f>
        <v/>
      </c>
      <c r="I211">
        <f>IF(OR($G211="",$G211=0),"",SIN((1-$H211)*$G211)/SIN($G211))</f>
        <v/>
      </c>
      <c r="J211">
        <f>IF($I211="","",SIN($H211*$G211)/SIN($G211))</f>
        <v/>
      </c>
      <c r="K211">
        <f>IF($I211="","",$I211*COS(RADIANS($C211))*COS(RADIANS($D211))+$J211*COS(RADIANS($E211))*COS(RADIANS($F211)))</f>
        <v/>
      </c>
      <c r="L211">
        <f>IF($I211="","",$I211*COS(RADIANS($C211))*SIN(RADIANS($D211))+$J211*COS(RADIANS($E211))*SIN(RADIANS($F211)))</f>
        <v/>
      </c>
      <c r="M211">
        <f>IF($I211="","",$I211*SIN(RADIANS($C211))+$J211*SIN(RADIANS($E211)))</f>
        <v/>
      </c>
      <c r="N211">
        <f>IF($M211="","",DEGREES(ATAN2(SQRT($K211^2+$L211^2),$M211)))</f>
        <v/>
      </c>
      <c r="O211">
        <f>IF($M211="","",DEGREES(ATAN2($K211,$L211)))</f>
        <v/>
      </c>
      <c r="P211">
        <f t="array" ref="P211">IF($N211="","",IFERROR(IF(INDEX(geo_grid!$B$2:$JU$231,INT(($N211+40)/0.5)+1,INT(($O211+30)/0.5)+1)="","",INDEX(geo_grid!$B$2:$JU$231,INT(($N211+40)/0.5)+1,INT(($O211+30)/0.5)+1)),"OUTSIDE GRID"))</f>
        <v/>
      </c>
      <c r="Q211">
        <f>IF($P211="","",$A211*1000+$B211)</f>
        <v/>
      </c>
    </row>
    <row r="212">
      <c r="A212">
        <f>INT((ROW()-2)/151)+1</f>
        <v/>
      </c>
      <c r="B212">
        <f>MOD(ROW()-2,151)</f>
        <v/>
      </c>
      <c r="C212">
        <f t="array" ref="C212">IFERROR(INDEX('TRIP MANAGER'!$O$18:$O$25,$A212),"")</f>
        <v/>
      </c>
      <c r="D212">
        <f t="array" ref="D212">IFERROR(INDEX('TRIP MANAGER'!$P$18:$P$25,$A212),"")</f>
        <v/>
      </c>
      <c r="E212">
        <f t="array" ref="E212">IFERROR(INDEX('TRIP MANAGER'!$Q$18:$Q$25,$A212),"")</f>
        <v/>
      </c>
      <c r="F212">
        <f t="array" ref="F212">IFERROR(INDEX('TRIP MANAGER'!$R$18:$R$25,$A212),"")</f>
        <v/>
      </c>
      <c r="G212">
        <f t="array" ref="G212">IFERROR(INDEX('TRIP MANAGER'!$S$18:$S$25,$A212),"")</f>
        <v/>
      </c>
      <c r="H212">
        <f>$B212/150</f>
        <v/>
      </c>
      <c r="I212">
        <f>IF(OR($G212="",$G212=0),"",SIN((1-$H212)*$G212)/SIN($G212))</f>
        <v/>
      </c>
      <c r="J212">
        <f>IF($I212="","",SIN($H212*$G212)/SIN($G212))</f>
        <v/>
      </c>
      <c r="K212">
        <f>IF($I212="","",$I212*COS(RADIANS($C212))*COS(RADIANS($D212))+$J212*COS(RADIANS($E212))*COS(RADIANS($F212)))</f>
        <v/>
      </c>
      <c r="L212">
        <f>IF($I212="","",$I212*COS(RADIANS($C212))*SIN(RADIANS($D212))+$J212*COS(RADIANS($E212))*SIN(RADIANS($F212)))</f>
        <v/>
      </c>
      <c r="M212">
        <f>IF($I212="","",$I212*SIN(RADIANS($C212))+$J212*SIN(RADIANS($E212)))</f>
        <v/>
      </c>
      <c r="N212">
        <f>IF($M212="","",DEGREES(ATAN2(SQRT($K212^2+$L212^2),$M212)))</f>
        <v/>
      </c>
      <c r="O212">
        <f>IF($M212="","",DEGREES(ATAN2($K212,$L212)))</f>
        <v/>
      </c>
      <c r="P212">
        <f t="array" ref="P212">IF($N212="","",IFERROR(IF(INDEX(geo_grid!$B$2:$JU$231,INT(($N212+40)/0.5)+1,INT(($O212+30)/0.5)+1)="","",INDEX(geo_grid!$B$2:$JU$231,INT(($N212+40)/0.5)+1,INT(($O212+30)/0.5)+1)),"OUTSIDE GRID"))</f>
        <v/>
      </c>
      <c r="Q212">
        <f>IF($P212="","",$A212*1000+$B212)</f>
        <v/>
      </c>
    </row>
    <row r="213">
      <c r="A213">
        <f>INT((ROW()-2)/151)+1</f>
        <v/>
      </c>
      <c r="B213">
        <f>MOD(ROW()-2,151)</f>
        <v/>
      </c>
      <c r="C213">
        <f t="array" ref="C213">IFERROR(INDEX('TRIP MANAGER'!$O$18:$O$25,$A213),"")</f>
        <v/>
      </c>
      <c r="D213">
        <f t="array" ref="D213">IFERROR(INDEX('TRIP MANAGER'!$P$18:$P$25,$A213),"")</f>
        <v/>
      </c>
      <c r="E213">
        <f t="array" ref="E213">IFERROR(INDEX('TRIP MANAGER'!$Q$18:$Q$25,$A213),"")</f>
        <v/>
      </c>
      <c r="F213">
        <f t="array" ref="F213">IFERROR(INDEX('TRIP MANAGER'!$R$18:$R$25,$A213),"")</f>
        <v/>
      </c>
      <c r="G213">
        <f t="array" ref="G213">IFERROR(INDEX('TRIP MANAGER'!$S$18:$S$25,$A213),"")</f>
        <v/>
      </c>
      <c r="H213">
        <f>$B213/150</f>
        <v/>
      </c>
      <c r="I213">
        <f>IF(OR($G213="",$G213=0),"",SIN((1-$H213)*$G213)/SIN($G213))</f>
        <v/>
      </c>
      <c r="J213">
        <f>IF($I213="","",SIN($H213*$G213)/SIN($G213))</f>
        <v/>
      </c>
      <c r="K213">
        <f>IF($I213="","",$I213*COS(RADIANS($C213))*COS(RADIANS($D213))+$J213*COS(RADIANS($E213))*COS(RADIANS($F213)))</f>
        <v/>
      </c>
      <c r="L213">
        <f>IF($I213="","",$I213*COS(RADIANS($C213))*SIN(RADIANS($D213))+$J213*COS(RADIANS($E213))*SIN(RADIANS($F213)))</f>
        <v/>
      </c>
      <c r="M213">
        <f>IF($I213="","",$I213*SIN(RADIANS($C213))+$J213*SIN(RADIANS($E213)))</f>
        <v/>
      </c>
      <c r="N213">
        <f>IF($M213="","",DEGREES(ATAN2(SQRT($K213^2+$L213^2),$M213)))</f>
        <v/>
      </c>
      <c r="O213">
        <f>IF($M213="","",DEGREES(ATAN2($K213,$L213)))</f>
        <v/>
      </c>
      <c r="P213">
        <f t="array" ref="P213">IF($N213="","",IFERROR(IF(INDEX(geo_grid!$B$2:$JU$231,INT(($N213+40)/0.5)+1,INT(($O213+30)/0.5)+1)="","",INDEX(geo_grid!$B$2:$JU$231,INT(($N213+40)/0.5)+1,INT(($O213+30)/0.5)+1)),"OUTSIDE GRID"))</f>
        <v/>
      </c>
      <c r="Q213">
        <f>IF($P213="","",$A213*1000+$B213)</f>
        <v/>
      </c>
    </row>
    <row r="214">
      <c r="A214">
        <f>INT((ROW()-2)/151)+1</f>
        <v/>
      </c>
      <c r="B214">
        <f>MOD(ROW()-2,151)</f>
        <v/>
      </c>
      <c r="C214">
        <f t="array" ref="C214">IFERROR(INDEX('TRIP MANAGER'!$O$18:$O$25,$A214),"")</f>
        <v/>
      </c>
      <c r="D214">
        <f t="array" ref="D214">IFERROR(INDEX('TRIP MANAGER'!$P$18:$P$25,$A214),"")</f>
        <v/>
      </c>
      <c r="E214">
        <f t="array" ref="E214">IFERROR(INDEX('TRIP MANAGER'!$Q$18:$Q$25,$A214),"")</f>
        <v/>
      </c>
      <c r="F214">
        <f t="array" ref="F214">IFERROR(INDEX('TRIP MANAGER'!$R$18:$R$25,$A214),"")</f>
        <v/>
      </c>
      <c r="G214">
        <f t="array" ref="G214">IFERROR(INDEX('TRIP MANAGER'!$S$18:$S$25,$A214),"")</f>
        <v/>
      </c>
      <c r="H214">
        <f>$B214/150</f>
        <v/>
      </c>
      <c r="I214">
        <f>IF(OR($G214="",$G214=0),"",SIN((1-$H214)*$G214)/SIN($G214))</f>
        <v/>
      </c>
      <c r="J214">
        <f>IF($I214="","",SIN($H214*$G214)/SIN($G214))</f>
        <v/>
      </c>
      <c r="K214">
        <f>IF($I214="","",$I214*COS(RADIANS($C214))*COS(RADIANS($D214))+$J214*COS(RADIANS($E214))*COS(RADIANS($F214)))</f>
        <v/>
      </c>
      <c r="L214">
        <f>IF($I214="","",$I214*COS(RADIANS($C214))*SIN(RADIANS($D214))+$J214*COS(RADIANS($E214))*SIN(RADIANS($F214)))</f>
        <v/>
      </c>
      <c r="M214">
        <f>IF($I214="","",$I214*SIN(RADIANS($C214))+$J214*SIN(RADIANS($E214)))</f>
        <v/>
      </c>
      <c r="N214">
        <f>IF($M214="","",DEGREES(ATAN2(SQRT($K214^2+$L214^2),$M214)))</f>
        <v/>
      </c>
      <c r="O214">
        <f>IF($M214="","",DEGREES(ATAN2($K214,$L214)))</f>
        <v/>
      </c>
      <c r="P214">
        <f t="array" ref="P214">IF($N214="","",IFERROR(IF(INDEX(geo_grid!$B$2:$JU$231,INT(($N214+40)/0.5)+1,INT(($O214+30)/0.5)+1)="","",INDEX(geo_grid!$B$2:$JU$231,INT(($N214+40)/0.5)+1,INT(($O214+30)/0.5)+1)),"OUTSIDE GRID"))</f>
        <v/>
      </c>
      <c r="Q214">
        <f>IF($P214="","",$A214*1000+$B214)</f>
        <v/>
      </c>
    </row>
    <row r="215">
      <c r="A215">
        <f>INT((ROW()-2)/151)+1</f>
        <v/>
      </c>
      <c r="B215">
        <f>MOD(ROW()-2,151)</f>
        <v/>
      </c>
      <c r="C215">
        <f t="array" ref="C215">IFERROR(INDEX('TRIP MANAGER'!$O$18:$O$25,$A215),"")</f>
        <v/>
      </c>
      <c r="D215">
        <f t="array" ref="D215">IFERROR(INDEX('TRIP MANAGER'!$P$18:$P$25,$A215),"")</f>
        <v/>
      </c>
      <c r="E215">
        <f t="array" ref="E215">IFERROR(INDEX('TRIP MANAGER'!$Q$18:$Q$25,$A215),"")</f>
        <v/>
      </c>
      <c r="F215">
        <f t="array" ref="F215">IFERROR(INDEX('TRIP MANAGER'!$R$18:$R$25,$A215),"")</f>
        <v/>
      </c>
      <c r="G215">
        <f t="array" ref="G215">IFERROR(INDEX('TRIP MANAGER'!$S$18:$S$25,$A215),"")</f>
        <v/>
      </c>
      <c r="H215">
        <f>$B215/150</f>
        <v/>
      </c>
      <c r="I215">
        <f>IF(OR($G215="",$G215=0),"",SIN((1-$H215)*$G215)/SIN($G215))</f>
        <v/>
      </c>
      <c r="J215">
        <f>IF($I215="","",SIN($H215*$G215)/SIN($G215))</f>
        <v/>
      </c>
      <c r="K215">
        <f>IF($I215="","",$I215*COS(RADIANS($C215))*COS(RADIANS($D215))+$J215*COS(RADIANS($E215))*COS(RADIANS($F215)))</f>
        <v/>
      </c>
      <c r="L215">
        <f>IF($I215="","",$I215*COS(RADIANS($C215))*SIN(RADIANS($D215))+$J215*COS(RADIANS($E215))*SIN(RADIANS($F215)))</f>
        <v/>
      </c>
      <c r="M215">
        <f>IF($I215="","",$I215*SIN(RADIANS($C215))+$J215*SIN(RADIANS($E215)))</f>
        <v/>
      </c>
      <c r="N215">
        <f>IF($M215="","",DEGREES(ATAN2(SQRT($K215^2+$L215^2),$M215)))</f>
        <v/>
      </c>
      <c r="O215">
        <f>IF($M215="","",DEGREES(ATAN2($K215,$L215)))</f>
        <v/>
      </c>
      <c r="P215">
        <f t="array" ref="P215">IF($N215="","",IFERROR(IF(INDEX(geo_grid!$B$2:$JU$231,INT(($N215+40)/0.5)+1,INT(($O215+30)/0.5)+1)="","",INDEX(geo_grid!$B$2:$JU$231,INT(($N215+40)/0.5)+1,INT(($O215+30)/0.5)+1)),"OUTSIDE GRID"))</f>
        <v/>
      </c>
      <c r="Q215">
        <f>IF($P215="","",$A215*1000+$B215)</f>
        <v/>
      </c>
    </row>
    <row r="216">
      <c r="A216">
        <f>INT((ROW()-2)/151)+1</f>
        <v/>
      </c>
      <c r="B216">
        <f>MOD(ROW()-2,151)</f>
        <v/>
      </c>
      <c r="C216">
        <f t="array" ref="C216">IFERROR(INDEX('TRIP MANAGER'!$O$18:$O$25,$A216),"")</f>
        <v/>
      </c>
      <c r="D216">
        <f t="array" ref="D216">IFERROR(INDEX('TRIP MANAGER'!$P$18:$P$25,$A216),"")</f>
        <v/>
      </c>
      <c r="E216">
        <f t="array" ref="E216">IFERROR(INDEX('TRIP MANAGER'!$Q$18:$Q$25,$A216),"")</f>
        <v/>
      </c>
      <c r="F216">
        <f t="array" ref="F216">IFERROR(INDEX('TRIP MANAGER'!$R$18:$R$25,$A216),"")</f>
        <v/>
      </c>
      <c r="G216">
        <f t="array" ref="G216">IFERROR(INDEX('TRIP MANAGER'!$S$18:$S$25,$A216),"")</f>
        <v/>
      </c>
      <c r="H216">
        <f>$B216/150</f>
        <v/>
      </c>
      <c r="I216">
        <f>IF(OR($G216="",$G216=0),"",SIN((1-$H216)*$G216)/SIN($G216))</f>
        <v/>
      </c>
      <c r="J216">
        <f>IF($I216="","",SIN($H216*$G216)/SIN($G216))</f>
        <v/>
      </c>
      <c r="K216">
        <f>IF($I216="","",$I216*COS(RADIANS($C216))*COS(RADIANS($D216))+$J216*COS(RADIANS($E216))*COS(RADIANS($F216)))</f>
        <v/>
      </c>
      <c r="L216">
        <f>IF($I216="","",$I216*COS(RADIANS($C216))*SIN(RADIANS($D216))+$J216*COS(RADIANS($E216))*SIN(RADIANS($F216)))</f>
        <v/>
      </c>
      <c r="M216">
        <f>IF($I216="","",$I216*SIN(RADIANS($C216))+$J216*SIN(RADIANS($E216)))</f>
        <v/>
      </c>
      <c r="N216">
        <f>IF($M216="","",DEGREES(ATAN2(SQRT($K216^2+$L216^2),$M216)))</f>
        <v/>
      </c>
      <c r="O216">
        <f>IF($M216="","",DEGREES(ATAN2($K216,$L216)))</f>
        <v/>
      </c>
      <c r="P216">
        <f t="array" ref="P216">IF($N216="","",IFERROR(IF(INDEX(geo_grid!$B$2:$JU$231,INT(($N216+40)/0.5)+1,INT(($O216+30)/0.5)+1)="","",INDEX(geo_grid!$B$2:$JU$231,INT(($N216+40)/0.5)+1,INT(($O216+30)/0.5)+1)),"OUTSIDE GRID"))</f>
        <v/>
      </c>
      <c r="Q216">
        <f>IF($P216="","",$A216*1000+$B216)</f>
        <v/>
      </c>
    </row>
    <row r="217">
      <c r="A217">
        <f>INT((ROW()-2)/151)+1</f>
        <v/>
      </c>
      <c r="B217">
        <f>MOD(ROW()-2,151)</f>
        <v/>
      </c>
      <c r="C217">
        <f t="array" ref="C217">IFERROR(INDEX('TRIP MANAGER'!$O$18:$O$25,$A217),"")</f>
        <v/>
      </c>
      <c r="D217">
        <f t="array" ref="D217">IFERROR(INDEX('TRIP MANAGER'!$P$18:$P$25,$A217),"")</f>
        <v/>
      </c>
      <c r="E217">
        <f t="array" ref="E217">IFERROR(INDEX('TRIP MANAGER'!$Q$18:$Q$25,$A217),"")</f>
        <v/>
      </c>
      <c r="F217">
        <f t="array" ref="F217">IFERROR(INDEX('TRIP MANAGER'!$R$18:$R$25,$A217),"")</f>
        <v/>
      </c>
      <c r="G217">
        <f t="array" ref="G217">IFERROR(INDEX('TRIP MANAGER'!$S$18:$S$25,$A217),"")</f>
        <v/>
      </c>
      <c r="H217">
        <f>$B217/150</f>
        <v/>
      </c>
      <c r="I217">
        <f>IF(OR($G217="",$G217=0),"",SIN((1-$H217)*$G217)/SIN($G217))</f>
        <v/>
      </c>
      <c r="J217">
        <f>IF($I217="","",SIN($H217*$G217)/SIN($G217))</f>
        <v/>
      </c>
      <c r="K217">
        <f>IF($I217="","",$I217*COS(RADIANS($C217))*COS(RADIANS($D217))+$J217*COS(RADIANS($E217))*COS(RADIANS($F217)))</f>
        <v/>
      </c>
      <c r="L217">
        <f>IF($I217="","",$I217*COS(RADIANS($C217))*SIN(RADIANS($D217))+$J217*COS(RADIANS($E217))*SIN(RADIANS($F217)))</f>
        <v/>
      </c>
      <c r="M217">
        <f>IF($I217="","",$I217*SIN(RADIANS($C217))+$J217*SIN(RADIANS($E217)))</f>
        <v/>
      </c>
      <c r="N217">
        <f>IF($M217="","",DEGREES(ATAN2(SQRT($K217^2+$L217^2),$M217)))</f>
        <v/>
      </c>
      <c r="O217">
        <f>IF($M217="","",DEGREES(ATAN2($K217,$L217)))</f>
        <v/>
      </c>
      <c r="P217">
        <f t="array" ref="P217">IF($N217="","",IFERROR(IF(INDEX(geo_grid!$B$2:$JU$231,INT(($N217+40)/0.5)+1,INT(($O217+30)/0.5)+1)="","",INDEX(geo_grid!$B$2:$JU$231,INT(($N217+40)/0.5)+1,INT(($O217+30)/0.5)+1)),"OUTSIDE GRID"))</f>
        <v/>
      </c>
      <c r="Q217">
        <f>IF($P217="","",$A217*1000+$B217)</f>
        <v/>
      </c>
    </row>
    <row r="218">
      <c r="A218">
        <f>INT((ROW()-2)/151)+1</f>
        <v/>
      </c>
      <c r="B218">
        <f>MOD(ROW()-2,151)</f>
        <v/>
      </c>
      <c r="C218">
        <f t="array" ref="C218">IFERROR(INDEX('TRIP MANAGER'!$O$18:$O$25,$A218),"")</f>
        <v/>
      </c>
      <c r="D218">
        <f t="array" ref="D218">IFERROR(INDEX('TRIP MANAGER'!$P$18:$P$25,$A218),"")</f>
        <v/>
      </c>
      <c r="E218">
        <f t="array" ref="E218">IFERROR(INDEX('TRIP MANAGER'!$Q$18:$Q$25,$A218),"")</f>
        <v/>
      </c>
      <c r="F218">
        <f t="array" ref="F218">IFERROR(INDEX('TRIP MANAGER'!$R$18:$R$25,$A218),"")</f>
        <v/>
      </c>
      <c r="G218">
        <f t="array" ref="G218">IFERROR(INDEX('TRIP MANAGER'!$S$18:$S$25,$A218),"")</f>
        <v/>
      </c>
      <c r="H218">
        <f>$B218/150</f>
        <v/>
      </c>
      <c r="I218">
        <f>IF(OR($G218="",$G218=0),"",SIN((1-$H218)*$G218)/SIN($G218))</f>
        <v/>
      </c>
      <c r="J218">
        <f>IF($I218="","",SIN($H218*$G218)/SIN($G218))</f>
        <v/>
      </c>
      <c r="K218">
        <f>IF($I218="","",$I218*COS(RADIANS($C218))*COS(RADIANS($D218))+$J218*COS(RADIANS($E218))*COS(RADIANS($F218)))</f>
        <v/>
      </c>
      <c r="L218">
        <f>IF($I218="","",$I218*COS(RADIANS($C218))*SIN(RADIANS($D218))+$J218*COS(RADIANS($E218))*SIN(RADIANS($F218)))</f>
        <v/>
      </c>
      <c r="M218">
        <f>IF($I218="","",$I218*SIN(RADIANS($C218))+$J218*SIN(RADIANS($E218)))</f>
        <v/>
      </c>
      <c r="N218">
        <f>IF($M218="","",DEGREES(ATAN2(SQRT($K218^2+$L218^2),$M218)))</f>
        <v/>
      </c>
      <c r="O218">
        <f>IF($M218="","",DEGREES(ATAN2($K218,$L218)))</f>
        <v/>
      </c>
      <c r="P218">
        <f t="array" ref="P218">IF($N218="","",IFERROR(IF(INDEX(geo_grid!$B$2:$JU$231,INT(($N218+40)/0.5)+1,INT(($O218+30)/0.5)+1)="","",INDEX(geo_grid!$B$2:$JU$231,INT(($N218+40)/0.5)+1,INT(($O218+30)/0.5)+1)),"OUTSIDE GRID"))</f>
        <v/>
      </c>
      <c r="Q218">
        <f>IF($P218="","",$A218*1000+$B218)</f>
        <v/>
      </c>
    </row>
    <row r="219">
      <c r="A219">
        <f>INT((ROW()-2)/151)+1</f>
        <v/>
      </c>
      <c r="B219">
        <f>MOD(ROW()-2,151)</f>
        <v/>
      </c>
      <c r="C219">
        <f t="array" ref="C219">IFERROR(INDEX('TRIP MANAGER'!$O$18:$O$25,$A219),"")</f>
        <v/>
      </c>
      <c r="D219">
        <f t="array" ref="D219">IFERROR(INDEX('TRIP MANAGER'!$P$18:$P$25,$A219),"")</f>
        <v/>
      </c>
      <c r="E219">
        <f t="array" ref="E219">IFERROR(INDEX('TRIP MANAGER'!$Q$18:$Q$25,$A219),"")</f>
        <v/>
      </c>
      <c r="F219">
        <f t="array" ref="F219">IFERROR(INDEX('TRIP MANAGER'!$R$18:$R$25,$A219),"")</f>
        <v/>
      </c>
      <c r="G219">
        <f t="array" ref="G219">IFERROR(INDEX('TRIP MANAGER'!$S$18:$S$25,$A219),"")</f>
        <v/>
      </c>
      <c r="H219">
        <f>$B219/150</f>
        <v/>
      </c>
      <c r="I219">
        <f>IF(OR($G219="",$G219=0),"",SIN((1-$H219)*$G219)/SIN($G219))</f>
        <v/>
      </c>
      <c r="J219">
        <f>IF($I219="","",SIN($H219*$G219)/SIN($G219))</f>
        <v/>
      </c>
      <c r="K219">
        <f>IF($I219="","",$I219*COS(RADIANS($C219))*COS(RADIANS($D219))+$J219*COS(RADIANS($E219))*COS(RADIANS($F219)))</f>
        <v/>
      </c>
      <c r="L219">
        <f>IF($I219="","",$I219*COS(RADIANS($C219))*SIN(RADIANS($D219))+$J219*COS(RADIANS($E219))*SIN(RADIANS($F219)))</f>
        <v/>
      </c>
      <c r="M219">
        <f>IF($I219="","",$I219*SIN(RADIANS($C219))+$J219*SIN(RADIANS($E219)))</f>
        <v/>
      </c>
      <c r="N219">
        <f>IF($M219="","",DEGREES(ATAN2(SQRT($K219^2+$L219^2),$M219)))</f>
        <v/>
      </c>
      <c r="O219">
        <f>IF($M219="","",DEGREES(ATAN2($K219,$L219)))</f>
        <v/>
      </c>
      <c r="P219">
        <f t="array" ref="P219">IF($N219="","",IFERROR(IF(INDEX(geo_grid!$B$2:$JU$231,INT(($N219+40)/0.5)+1,INT(($O219+30)/0.5)+1)="","",INDEX(geo_grid!$B$2:$JU$231,INT(($N219+40)/0.5)+1,INT(($O219+30)/0.5)+1)),"OUTSIDE GRID"))</f>
        <v/>
      </c>
      <c r="Q219">
        <f>IF($P219="","",$A219*1000+$B219)</f>
        <v/>
      </c>
    </row>
    <row r="220">
      <c r="A220">
        <f>INT((ROW()-2)/151)+1</f>
        <v/>
      </c>
      <c r="B220">
        <f>MOD(ROW()-2,151)</f>
        <v/>
      </c>
      <c r="C220">
        <f t="array" ref="C220">IFERROR(INDEX('TRIP MANAGER'!$O$18:$O$25,$A220),"")</f>
        <v/>
      </c>
      <c r="D220">
        <f t="array" ref="D220">IFERROR(INDEX('TRIP MANAGER'!$P$18:$P$25,$A220),"")</f>
        <v/>
      </c>
      <c r="E220">
        <f t="array" ref="E220">IFERROR(INDEX('TRIP MANAGER'!$Q$18:$Q$25,$A220),"")</f>
        <v/>
      </c>
      <c r="F220">
        <f t="array" ref="F220">IFERROR(INDEX('TRIP MANAGER'!$R$18:$R$25,$A220),"")</f>
        <v/>
      </c>
      <c r="G220">
        <f t="array" ref="G220">IFERROR(INDEX('TRIP MANAGER'!$S$18:$S$25,$A220),"")</f>
        <v/>
      </c>
      <c r="H220">
        <f>$B220/150</f>
        <v/>
      </c>
      <c r="I220">
        <f>IF(OR($G220="",$G220=0),"",SIN((1-$H220)*$G220)/SIN($G220))</f>
        <v/>
      </c>
      <c r="J220">
        <f>IF($I220="","",SIN($H220*$G220)/SIN($G220))</f>
        <v/>
      </c>
      <c r="K220">
        <f>IF($I220="","",$I220*COS(RADIANS($C220))*COS(RADIANS($D220))+$J220*COS(RADIANS($E220))*COS(RADIANS($F220)))</f>
        <v/>
      </c>
      <c r="L220">
        <f>IF($I220="","",$I220*COS(RADIANS($C220))*SIN(RADIANS($D220))+$J220*COS(RADIANS($E220))*SIN(RADIANS($F220)))</f>
        <v/>
      </c>
      <c r="M220">
        <f>IF($I220="","",$I220*SIN(RADIANS($C220))+$J220*SIN(RADIANS($E220)))</f>
        <v/>
      </c>
      <c r="N220">
        <f>IF($M220="","",DEGREES(ATAN2(SQRT($K220^2+$L220^2),$M220)))</f>
        <v/>
      </c>
      <c r="O220">
        <f>IF($M220="","",DEGREES(ATAN2($K220,$L220)))</f>
        <v/>
      </c>
      <c r="P220">
        <f t="array" ref="P220">IF($N220="","",IFERROR(IF(INDEX(geo_grid!$B$2:$JU$231,INT(($N220+40)/0.5)+1,INT(($O220+30)/0.5)+1)="","",INDEX(geo_grid!$B$2:$JU$231,INT(($N220+40)/0.5)+1,INT(($O220+30)/0.5)+1)),"OUTSIDE GRID"))</f>
        <v/>
      </c>
      <c r="Q220">
        <f>IF($P220="","",$A220*1000+$B220)</f>
        <v/>
      </c>
    </row>
    <row r="221">
      <c r="A221">
        <f>INT((ROW()-2)/151)+1</f>
        <v/>
      </c>
      <c r="B221">
        <f>MOD(ROW()-2,151)</f>
        <v/>
      </c>
      <c r="C221">
        <f t="array" ref="C221">IFERROR(INDEX('TRIP MANAGER'!$O$18:$O$25,$A221),"")</f>
        <v/>
      </c>
      <c r="D221">
        <f t="array" ref="D221">IFERROR(INDEX('TRIP MANAGER'!$P$18:$P$25,$A221),"")</f>
        <v/>
      </c>
      <c r="E221">
        <f t="array" ref="E221">IFERROR(INDEX('TRIP MANAGER'!$Q$18:$Q$25,$A221),"")</f>
        <v/>
      </c>
      <c r="F221">
        <f t="array" ref="F221">IFERROR(INDEX('TRIP MANAGER'!$R$18:$R$25,$A221),"")</f>
        <v/>
      </c>
      <c r="G221">
        <f t="array" ref="G221">IFERROR(INDEX('TRIP MANAGER'!$S$18:$S$25,$A221),"")</f>
        <v/>
      </c>
      <c r="H221">
        <f>$B221/150</f>
        <v/>
      </c>
      <c r="I221">
        <f>IF(OR($G221="",$G221=0),"",SIN((1-$H221)*$G221)/SIN($G221))</f>
        <v/>
      </c>
      <c r="J221">
        <f>IF($I221="","",SIN($H221*$G221)/SIN($G221))</f>
        <v/>
      </c>
      <c r="K221">
        <f>IF($I221="","",$I221*COS(RADIANS($C221))*COS(RADIANS($D221))+$J221*COS(RADIANS($E221))*COS(RADIANS($F221)))</f>
        <v/>
      </c>
      <c r="L221">
        <f>IF($I221="","",$I221*COS(RADIANS($C221))*SIN(RADIANS($D221))+$J221*COS(RADIANS($E221))*SIN(RADIANS($F221)))</f>
        <v/>
      </c>
      <c r="M221">
        <f>IF($I221="","",$I221*SIN(RADIANS($C221))+$J221*SIN(RADIANS($E221)))</f>
        <v/>
      </c>
      <c r="N221">
        <f>IF($M221="","",DEGREES(ATAN2(SQRT($K221^2+$L221^2),$M221)))</f>
        <v/>
      </c>
      <c r="O221">
        <f>IF($M221="","",DEGREES(ATAN2($K221,$L221)))</f>
        <v/>
      </c>
      <c r="P221">
        <f t="array" ref="P221">IF($N221="","",IFERROR(IF(INDEX(geo_grid!$B$2:$JU$231,INT(($N221+40)/0.5)+1,INT(($O221+30)/0.5)+1)="","",INDEX(geo_grid!$B$2:$JU$231,INT(($N221+40)/0.5)+1,INT(($O221+30)/0.5)+1)),"OUTSIDE GRID"))</f>
        <v/>
      </c>
      <c r="Q221">
        <f>IF($P221="","",$A221*1000+$B221)</f>
        <v/>
      </c>
    </row>
    <row r="222">
      <c r="A222">
        <f>INT((ROW()-2)/151)+1</f>
        <v/>
      </c>
      <c r="B222">
        <f>MOD(ROW()-2,151)</f>
        <v/>
      </c>
      <c r="C222">
        <f t="array" ref="C222">IFERROR(INDEX('TRIP MANAGER'!$O$18:$O$25,$A222),"")</f>
        <v/>
      </c>
      <c r="D222">
        <f t="array" ref="D222">IFERROR(INDEX('TRIP MANAGER'!$P$18:$P$25,$A222),"")</f>
        <v/>
      </c>
      <c r="E222">
        <f t="array" ref="E222">IFERROR(INDEX('TRIP MANAGER'!$Q$18:$Q$25,$A222),"")</f>
        <v/>
      </c>
      <c r="F222">
        <f t="array" ref="F222">IFERROR(INDEX('TRIP MANAGER'!$R$18:$R$25,$A222),"")</f>
        <v/>
      </c>
      <c r="G222">
        <f t="array" ref="G222">IFERROR(INDEX('TRIP MANAGER'!$S$18:$S$25,$A222),"")</f>
        <v/>
      </c>
      <c r="H222">
        <f>$B222/150</f>
        <v/>
      </c>
      <c r="I222">
        <f>IF(OR($G222="",$G222=0),"",SIN((1-$H222)*$G222)/SIN($G222))</f>
        <v/>
      </c>
      <c r="J222">
        <f>IF($I222="","",SIN($H222*$G222)/SIN($G222))</f>
        <v/>
      </c>
      <c r="K222">
        <f>IF($I222="","",$I222*COS(RADIANS($C222))*COS(RADIANS($D222))+$J222*COS(RADIANS($E222))*COS(RADIANS($F222)))</f>
        <v/>
      </c>
      <c r="L222">
        <f>IF($I222="","",$I222*COS(RADIANS($C222))*SIN(RADIANS($D222))+$J222*COS(RADIANS($E222))*SIN(RADIANS($F222)))</f>
        <v/>
      </c>
      <c r="M222">
        <f>IF($I222="","",$I222*SIN(RADIANS($C222))+$J222*SIN(RADIANS($E222)))</f>
        <v/>
      </c>
      <c r="N222">
        <f>IF($M222="","",DEGREES(ATAN2(SQRT($K222^2+$L222^2),$M222)))</f>
        <v/>
      </c>
      <c r="O222">
        <f>IF($M222="","",DEGREES(ATAN2($K222,$L222)))</f>
        <v/>
      </c>
      <c r="P222">
        <f t="array" ref="P222">IF($N222="","",IFERROR(IF(INDEX(geo_grid!$B$2:$JU$231,INT(($N222+40)/0.5)+1,INT(($O222+30)/0.5)+1)="","",INDEX(geo_grid!$B$2:$JU$231,INT(($N222+40)/0.5)+1,INT(($O222+30)/0.5)+1)),"OUTSIDE GRID"))</f>
        <v/>
      </c>
      <c r="Q222">
        <f>IF($P222="","",$A222*1000+$B222)</f>
        <v/>
      </c>
    </row>
    <row r="223">
      <c r="A223">
        <f>INT((ROW()-2)/151)+1</f>
        <v/>
      </c>
      <c r="B223">
        <f>MOD(ROW()-2,151)</f>
        <v/>
      </c>
      <c r="C223">
        <f t="array" ref="C223">IFERROR(INDEX('TRIP MANAGER'!$O$18:$O$25,$A223),"")</f>
        <v/>
      </c>
      <c r="D223">
        <f t="array" ref="D223">IFERROR(INDEX('TRIP MANAGER'!$P$18:$P$25,$A223),"")</f>
        <v/>
      </c>
      <c r="E223">
        <f t="array" ref="E223">IFERROR(INDEX('TRIP MANAGER'!$Q$18:$Q$25,$A223),"")</f>
        <v/>
      </c>
      <c r="F223">
        <f t="array" ref="F223">IFERROR(INDEX('TRIP MANAGER'!$R$18:$R$25,$A223),"")</f>
        <v/>
      </c>
      <c r="G223">
        <f t="array" ref="G223">IFERROR(INDEX('TRIP MANAGER'!$S$18:$S$25,$A223),"")</f>
        <v/>
      </c>
      <c r="H223">
        <f>$B223/150</f>
        <v/>
      </c>
      <c r="I223">
        <f>IF(OR($G223="",$G223=0),"",SIN((1-$H223)*$G223)/SIN($G223))</f>
        <v/>
      </c>
      <c r="J223">
        <f>IF($I223="","",SIN($H223*$G223)/SIN($G223))</f>
        <v/>
      </c>
      <c r="K223">
        <f>IF($I223="","",$I223*COS(RADIANS($C223))*COS(RADIANS($D223))+$J223*COS(RADIANS($E223))*COS(RADIANS($F223)))</f>
        <v/>
      </c>
      <c r="L223">
        <f>IF($I223="","",$I223*COS(RADIANS($C223))*SIN(RADIANS($D223))+$J223*COS(RADIANS($E223))*SIN(RADIANS($F223)))</f>
        <v/>
      </c>
      <c r="M223">
        <f>IF($I223="","",$I223*SIN(RADIANS($C223))+$J223*SIN(RADIANS($E223)))</f>
        <v/>
      </c>
      <c r="N223">
        <f>IF($M223="","",DEGREES(ATAN2(SQRT($K223^2+$L223^2),$M223)))</f>
        <v/>
      </c>
      <c r="O223">
        <f>IF($M223="","",DEGREES(ATAN2($K223,$L223)))</f>
        <v/>
      </c>
      <c r="P223">
        <f t="array" ref="P223">IF($N223="","",IFERROR(IF(INDEX(geo_grid!$B$2:$JU$231,INT(($N223+40)/0.5)+1,INT(($O223+30)/0.5)+1)="","",INDEX(geo_grid!$B$2:$JU$231,INT(($N223+40)/0.5)+1,INT(($O223+30)/0.5)+1)),"OUTSIDE GRID"))</f>
        <v/>
      </c>
      <c r="Q223">
        <f>IF($P223="","",$A223*1000+$B223)</f>
        <v/>
      </c>
    </row>
    <row r="224">
      <c r="A224">
        <f>INT((ROW()-2)/151)+1</f>
        <v/>
      </c>
      <c r="B224">
        <f>MOD(ROW()-2,151)</f>
        <v/>
      </c>
      <c r="C224">
        <f t="array" ref="C224">IFERROR(INDEX('TRIP MANAGER'!$O$18:$O$25,$A224),"")</f>
        <v/>
      </c>
      <c r="D224">
        <f t="array" ref="D224">IFERROR(INDEX('TRIP MANAGER'!$P$18:$P$25,$A224),"")</f>
        <v/>
      </c>
      <c r="E224">
        <f t="array" ref="E224">IFERROR(INDEX('TRIP MANAGER'!$Q$18:$Q$25,$A224),"")</f>
        <v/>
      </c>
      <c r="F224">
        <f t="array" ref="F224">IFERROR(INDEX('TRIP MANAGER'!$R$18:$R$25,$A224),"")</f>
        <v/>
      </c>
      <c r="G224">
        <f t="array" ref="G224">IFERROR(INDEX('TRIP MANAGER'!$S$18:$S$25,$A224),"")</f>
        <v/>
      </c>
      <c r="H224">
        <f>$B224/150</f>
        <v/>
      </c>
      <c r="I224">
        <f>IF(OR($G224="",$G224=0),"",SIN((1-$H224)*$G224)/SIN($G224))</f>
        <v/>
      </c>
      <c r="J224">
        <f>IF($I224="","",SIN($H224*$G224)/SIN($G224))</f>
        <v/>
      </c>
      <c r="K224">
        <f>IF($I224="","",$I224*COS(RADIANS($C224))*COS(RADIANS($D224))+$J224*COS(RADIANS($E224))*COS(RADIANS($F224)))</f>
        <v/>
      </c>
      <c r="L224">
        <f>IF($I224="","",$I224*COS(RADIANS($C224))*SIN(RADIANS($D224))+$J224*COS(RADIANS($E224))*SIN(RADIANS($F224)))</f>
        <v/>
      </c>
      <c r="M224">
        <f>IF($I224="","",$I224*SIN(RADIANS($C224))+$J224*SIN(RADIANS($E224)))</f>
        <v/>
      </c>
      <c r="N224">
        <f>IF($M224="","",DEGREES(ATAN2(SQRT($K224^2+$L224^2),$M224)))</f>
        <v/>
      </c>
      <c r="O224">
        <f>IF($M224="","",DEGREES(ATAN2($K224,$L224)))</f>
        <v/>
      </c>
      <c r="P224">
        <f t="array" ref="P224">IF($N224="","",IFERROR(IF(INDEX(geo_grid!$B$2:$JU$231,INT(($N224+40)/0.5)+1,INT(($O224+30)/0.5)+1)="","",INDEX(geo_grid!$B$2:$JU$231,INT(($N224+40)/0.5)+1,INT(($O224+30)/0.5)+1)),"OUTSIDE GRID"))</f>
        <v/>
      </c>
      <c r="Q224">
        <f>IF($P224="","",$A224*1000+$B224)</f>
        <v/>
      </c>
    </row>
    <row r="225">
      <c r="A225">
        <f>INT((ROW()-2)/151)+1</f>
        <v/>
      </c>
      <c r="B225">
        <f>MOD(ROW()-2,151)</f>
        <v/>
      </c>
      <c r="C225">
        <f t="array" ref="C225">IFERROR(INDEX('TRIP MANAGER'!$O$18:$O$25,$A225),"")</f>
        <v/>
      </c>
      <c r="D225">
        <f t="array" ref="D225">IFERROR(INDEX('TRIP MANAGER'!$P$18:$P$25,$A225),"")</f>
        <v/>
      </c>
      <c r="E225">
        <f t="array" ref="E225">IFERROR(INDEX('TRIP MANAGER'!$Q$18:$Q$25,$A225),"")</f>
        <v/>
      </c>
      <c r="F225">
        <f t="array" ref="F225">IFERROR(INDEX('TRIP MANAGER'!$R$18:$R$25,$A225),"")</f>
        <v/>
      </c>
      <c r="G225">
        <f t="array" ref="G225">IFERROR(INDEX('TRIP MANAGER'!$S$18:$S$25,$A225),"")</f>
        <v/>
      </c>
      <c r="H225">
        <f>$B225/150</f>
        <v/>
      </c>
      <c r="I225">
        <f>IF(OR($G225="",$G225=0),"",SIN((1-$H225)*$G225)/SIN($G225))</f>
        <v/>
      </c>
      <c r="J225">
        <f>IF($I225="","",SIN($H225*$G225)/SIN($G225))</f>
        <v/>
      </c>
      <c r="K225">
        <f>IF($I225="","",$I225*COS(RADIANS($C225))*COS(RADIANS($D225))+$J225*COS(RADIANS($E225))*COS(RADIANS($F225)))</f>
        <v/>
      </c>
      <c r="L225">
        <f>IF($I225="","",$I225*COS(RADIANS($C225))*SIN(RADIANS($D225))+$J225*COS(RADIANS($E225))*SIN(RADIANS($F225)))</f>
        <v/>
      </c>
      <c r="M225">
        <f>IF($I225="","",$I225*SIN(RADIANS($C225))+$J225*SIN(RADIANS($E225)))</f>
        <v/>
      </c>
      <c r="N225">
        <f>IF($M225="","",DEGREES(ATAN2(SQRT($K225^2+$L225^2),$M225)))</f>
        <v/>
      </c>
      <c r="O225">
        <f>IF($M225="","",DEGREES(ATAN2($K225,$L225)))</f>
        <v/>
      </c>
      <c r="P225">
        <f t="array" ref="P225">IF($N225="","",IFERROR(IF(INDEX(geo_grid!$B$2:$JU$231,INT(($N225+40)/0.5)+1,INT(($O225+30)/0.5)+1)="","",INDEX(geo_grid!$B$2:$JU$231,INT(($N225+40)/0.5)+1,INT(($O225+30)/0.5)+1)),"OUTSIDE GRID"))</f>
        <v/>
      </c>
      <c r="Q225">
        <f>IF($P225="","",$A225*1000+$B225)</f>
        <v/>
      </c>
    </row>
    <row r="226">
      <c r="A226">
        <f>INT((ROW()-2)/151)+1</f>
        <v/>
      </c>
      <c r="B226">
        <f>MOD(ROW()-2,151)</f>
        <v/>
      </c>
      <c r="C226">
        <f t="array" ref="C226">IFERROR(INDEX('TRIP MANAGER'!$O$18:$O$25,$A226),"")</f>
        <v/>
      </c>
      <c r="D226">
        <f t="array" ref="D226">IFERROR(INDEX('TRIP MANAGER'!$P$18:$P$25,$A226),"")</f>
        <v/>
      </c>
      <c r="E226">
        <f t="array" ref="E226">IFERROR(INDEX('TRIP MANAGER'!$Q$18:$Q$25,$A226),"")</f>
        <v/>
      </c>
      <c r="F226">
        <f t="array" ref="F226">IFERROR(INDEX('TRIP MANAGER'!$R$18:$R$25,$A226),"")</f>
        <v/>
      </c>
      <c r="G226">
        <f t="array" ref="G226">IFERROR(INDEX('TRIP MANAGER'!$S$18:$S$25,$A226),"")</f>
        <v/>
      </c>
      <c r="H226">
        <f>$B226/150</f>
        <v/>
      </c>
      <c r="I226">
        <f>IF(OR($G226="",$G226=0),"",SIN((1-$H226)*$G226)/SIN($G226))</f>
        <v/>
      </c>
      <c r="J226">
        <f>IF($I226="","",SIN($H226*$G226)/SIN($G226))</f>
        <v/>
      </c>
      <c r="K226">
        <f>IF($I226="","",$I226*COS(RADIANS($C226))*COS(RADIANS($D226))+$J226*COS(RADIANS($E226))*COS(RADIANS($F226)))</f>
        <v/>
      </c>
      <c r="L226">
        <f>IF($I226="","",$I226*COS(RADIANS($C226))*SIN(RADIANS($D226))+$J226*COS(RADIANS($E226))*SIN(RADIANS($F226)))</f>
        <v/>
      </c>
      <c r="M226">
        <f>IF($I226="","",$I226*SIN(RADIANS($C226))+$J226*SIN(RADIANS($E226)))</f>
        <v/>
      </c>
      <c r="N226">
        <f>IF($M226="","",DEGREES(ATAN2(SQRT($K226^2+$L226^2),$M226)))</f>
        <v/>
      </c>
      <c r="O226">
        <f>IF($M226="","",DEGREES(ATAN2($K226,$L226)))</f>
        <v/>
      </c>
      <c r="P226">
        <f t="array" ref="P226">IF($N226="","",IFERROR(IF(INDEX(geo_grid!$B$2:$JU$231,INT(($N226+40)/0.5)+1,INT(($O226+30)/0.5)+1)="","",INDEX(geo_grid!$B$2:$JU$231,INT(($N226+40)/0.5)+1,INT(($O226+30)/0.5)+1)),"OUTSIDE GRID"))</f>
        <v/>
      </c>
      <c r="Q226">
        <f>IF($P226="","",$A226*1000+$B226)</f>
        <v/>
      </c>
    </row>
    <row r="227">
      <c r="A227">
        <f>INT((ROW()-2)/151)+1</f>
        <v/>
      </c>
      <c r="B227">
        <f>MOD(ROW()-2,151)</f>
        <v/>
      </c>
      <c r="C227">
        <f t="array" ref="C227">IFERROR(INDEX('TRIP MANAGER'!$O$18:$O$25,$A227),"")</f>
        <v/>
      </c>
      <c r="D227">
        <f t="array" ref="D227">IFERROR(INDEX('TRIP MANAGER'!$P$18:$P$25,$A227),"")</f>
        <v/>
      </c>
      <c r="E227">
        <f t="array" ref="E227">IFERROR(INDEX('TRIP MANAGER'!$Q$18:$Q$25,$A227),"")</f>
        <v/>
      </c>
      <c r="F227">
        <f t="array" ref="F227">IFERROR(INDEX('TRIP MANAGER'!$R$18:$R$25,$A227),"")</f>
        <v/>
      </c>
      <c r="G227">
        <f t="array" ref="G227">IFERROR(INDEX('TRIP MANAGER'!$S$18:$S$25,$A227),"")</f>
        <v/>
      </c>
      <c r="H227">
        <f>$B227/150</f>
        <v/>
      </c>
      <c r="I227">
        <f>IF(OR($G227="",$G227=0),"",SIN((1-$H227)*$G227)/SIN($G227))</f>
        <v/>
      </c>
      <c r="J227">
        <f>IF($I227="","",SIN($H227*$G227)/SIN($G227))</f>
        <v/>
      </c>
      <c r="K227">
        <f>IF($I227="","",$I227*COS(RADIANS($C227))*COS(RADIANS($D227))+$J227*COS(RADIANS($E227))*COS(RADIANS($F227)))</f>
        <v/>
      </c>
      <c r="L227">
        <f>IF($I227="","",$I227*COS(RADIANS($C227))*SIN(RADIANS($D227))+$J227*COS(RADIANS($E227))*SIN(RADIANS($F227)))</f>
        <v/>
      </c>
      <c r="M227">
        <f>IF($I227="","",$I227*SIN(RADIANS($C227))+$J227*SIN(RADIANS($E227)))</f>
        <v/>
      </c>
      <c r="N227">
        <f>IF($M227="","",DEGREES(ATAN2(SQRT($K227^2+$L227^2),$M227)))</f>
        <v/>
      </c>
      <c r="O227">
        <f>IF($M227="","",DEGREES(ATAN2($K227,$L227)))</f>
        <v/>
      </c>
      <c r="P227">
        <f t="array" ref="P227">IF($N227="","",IFERROR(IF(INDEX(geo_grid!$B$2:$JU$231,INT(($N227+40)/0.5)+1,INT(($O227+30)/0.5)+1)="","",INDEX(geo_grid!$B$2:$JU$231,INT(($N227+40)/0.5)+1,INT(($O227+30)/0.5)+1)),"OUTSIDE GRID"))</f>
        <v/>
      </c>
      <c r="Q227">
        <f>IF($P227="","",$A227*1000+$B227)</f>
        <v/>
      </c>
    </row>
    <row r="228">
      <c r="A228">
        <f>INT((ROW()-2)/151)+1</f>
        <v/>
      </c>
      <c r="B228">
        <f>MOD(ROW()-2,151)</f>
        <v/>
      </c>
      <c r="C228">
        <f t="array" ref="C228">IFERROR(INDEX('TRIP MANAGER'!$O$18:$O$25,$A228),"")</f>
        <v/>
      </c>
      <c r="D228">
        <f t="array" ref="D228">IFERROR(INDEX('TRIP MANAGER'!$P$18:$P$25,$A228),"")</f>
        <v/>
      </c>
      <c r="E228">
        <f t="array" ref="E228">IFERROR(INDEX('TRIP MANAGER'!$Q$18:$Q$25,$A228),"")</f>
        <v/>
      </c>
      <c r="F228">
        <f t="array" ref="F228">IFERROR(INDEX('TRIP MANAGER'!$R$18:$R$25,$A228),"")</f>
        <v/>
      </c>
      <c r="G228">
        <f t="array" ref="G228">IFERROR(INDEX('TRIP MANAGER'!$S$18:$S$25,$A228),"")</f>
        <v/>
      </c>
      <c r="H228">
        <f>$B228/150</f>
        <v/>
      </c>
      <c r="I228">
        <f>IF(OR($G228="",$G228=0),"",SIN((1-$H228)*$G228)/SIN($G228))</f>
        <v/>
      </c>
      <c r="J228">
        <f>IF($I228="","",SIN($H228*$G228)/SIN($G228))</f>
        <v/>
      </c>
      <c r="K228">
        <f>IF($I228="","",$I228*COS(RADIANS($C228))*COS(RADIANS($D228))+$J228*COS(RADIANS($E228))*COS(RADIANS($F228)))</f>
        <v/>
      </c>
      <c r="L228">
        <f>IF($I228="","",$I228*COS(RADIANS($C228))*SIN(RADIANS($D228))+$J228*COS(RADIANS($E228))*SIN(RADIANS($F228)))</f>
        <v/>
      </c>
      <c r="M228">
        <f>IF($I228="","",$I228*SIN(RADIANS($C228))+$J228*SIN(RADIANS($E228)))</f>
        <v/>
      </c>
      <c r="N228">
        <f>IF($M228="","",DEGREES(ATAN2(SQRT($K228^2+$L228^2),$M228)))</f>
        <v/>
      </c>
      <c r="O228">
        <f>IF($M228="","",DEGREES(ATAN2($K228,$L228)))</f>
        <v/>
      </c>
      <c r="P228">
        <f t="array" ref="P228">IF($N228="","",IFERROR(IF(INDEX(geo_grid!$B$2:$JU$231,INT(($N228+40)/0.5)+1,INT(($O228+30)/0.5)+1)="","",INDEX(geo_grid!$B$2:$JU$231,INT(($N228+40)/0.5)+1,INT(($O228+30)/0.5)+1)),"OUTSIDE GRID"))</f>
        <v/>
      </c>
      <c r="Q228">
        <f>IF($P228="","",$A228*1000+$B228)</f>
        <v/>
      </c>
    </row>
    <row r="229">
      <c r="A229">
        <f>INT((ROW()-2)/151)+1</f>
        <v/>
      </c>
      <c r="B229">
        <f>MOD(ROW()-2,151)</f>
        <v/>
      </c>
      <c r="C229">
        <f t="array" ref="C229">IFERROR(INDEX('TRIP MANAGER'!$O$18:$O$25,$A229),"")</f>
        <v/>
      </c>
      <c r="D229">
        <f t="array" ref="D229">IFERROR(INDEX('TRIP MANAGER'!$P$18:$P$25,$A229),"")</f>
        <v/>
      </c>
      <c r="E229">
        <f t="array" ref="E229">IFERROR(INDEX('TRIP MANAGER'!$Q$18:$Q$25,$A229),"")</f>
        <v/>
      </c>
      <c r="F229">
        <f t="array" ref="F229">IFERROR(INDEX('TRIP MANAGER'!$R$18:$R$25,$A229),"")</f>
        <v/>
      </c>
      <c r="G229">
        <f t="array" ref="G229">IFERROR(INDEX('TRIP MANAGER'!$S$18:$S$25,$A229),"")</f>
        <v/>
      </c>
      <c r="H229">
        <f>$B229/150</f>
        <v/>
      </c>
      <c r="I229">
        <f>IF(OR($G229="",$G229=0),"",SIN((1-$H229)*$G229)/SIN($G229))</f>
        <v/>
      </c>
      <c r="J229">
        <f>IF($I229="","",SIN($H229*$G229)/SIN($G229))</f>
        <v/>
      </c>
      <c r="K229">
        <f>IF($I229="","",$I229*COS(RADIANS($C229))*COS(RADIANS($D229))+$J229*COS(RADIANS($E229))*COS(RADIANS($F229)))</f>
        <v/>
      </c>
      <c r="L229">
        <f>IF($I229="","",$I229*COS(RADIANS($C229))*SIN(RADIANS($D229))+$J229*COS(RADIANS($E229))*SIN(RADIANS($F229)))</f>
        <v/>
      </c>
      <c r="M229">
        <f>IF($I229="","",$I229*SIN(RADIANS($C229))+$J229*SIN(RADIANS($E229)))</f>
        <v/>
      </c>
      <c r="N229">
        <f>IF($M229="","",DEGREES(ATAN2(SQRT($K229^2+$L229^2),$M229)))</f>
        <v/>
      </c>
      <c r="O229">
        <f>IF($M229="","",DEGREES(ATAN2($K229,$L229)))</f>
        <v/>
      </c>
      <c r="P229">
        <f t="array" ref="P229">IF($N229="","",IFERROR(IF(INDEX(geo_grid!$B$2:$JU$231,INT(($N229+40)/0.5)+1,INT(($O229+30)/0.5)+1)="","",INDEX(geo_grid!$B$2:$JU$231,INT(($N229+40)/0.5)+1,INT(($O229+30)/0.5)+1)),"OUTSIDE GRID"))</f>
        <v/>
      </c>
      <c r="Q229">
        <f>IF($P229="","",$A229*1000+$B229)</f>
        <v/>
      </c>
    </row>
    <row r="230">
      <c r="A230">
        <f>INT((ROW()-2)/151)+1</f>
        <v/>
      </c>
      <c r="B230">
        <f>MOD(ROW()-2,151)</f>
        <v/>
      </c>
      <c r="C230">
        <f t="array" ref="C230">IFERROR(INDEX('TRIP MANAGER'!$O$18:$O$25,$A230),"")</f>
        <v/>
      </c>
      <c r="D230">
        <f t="array" ref="D230">IFERROR(INDEX('TRIP MANAGER'!$P$18:$P$25,$A230),"")</f>
        <v/>
      </c>
      <c r="E230">
        <f t="array" ref="E230">IFERROR(INDEX('TRIP MANAGER'!$Q$18:$Q$25,$A230),"")</f>
        <v/>
      </c>
      <c r="F230">
        <f t="array" ref="F230">IFERROR(INDEX('TRIP MANAGER'!$R$18:$R$25,$A230),"")</f>
        <v/>
      </c>
      <c r="G230">
        <f t="array" ref="G230">IFERROR(INDEX('TRIP MANAGER'!$S$18:$S$25,$A230),"")</f>
        <v/>
      </c>
      <c r="H230">
        <f>$B230/150</f>
        <v/>
      </c>
      <c r="I230">
        <f>IF(OR($G230="",$G230=0),"",SIN((1-$H230)*$G230)/SIN($G230))</f>
        <v/>
      </c>
      <c r="J230">
        <f>IF($I230="","",SIN($H230*$G230)/SIN($G230))</f>
        <v/>
      </c>
      <c r="K230">
        <f>IF($I230="","",$I230*COS(RADIANS($C230))*COS(RADIANS($D230))+$J230*COS(RADIANS($E230))*COS(RADIANS($F230)))</f>
        <v/>
      </c>
      <c r="L230">
        <f>IF($I230="","",$I230*COS(RADIANS($C230))*SIN(RADIANS($D230))+$J230*COS(RADIANS($E230))*SIN(RADIANS($F230)))</f>
        <v/>
      </c>
      <c r="M230">
        <f>IF($I230="","",$I230*SIN(RADIANS($C230))+$J230*SIN(RADIANS($E230)))</f>
        <v/>
      </c>
      <c r="N230">
        <f>IF($M230="","",DEGREES(ATAN2(SQRT($K230^2+$L230^2),$M230)))</f>
        <v/>
      </c>
      <c r="O230">
        <f>IF($M230="","",DEGREES(ATAN2($K230,$L230)))</f>
        <v/>
      </c>
      <c r="P230">
        <f t="array" ref="P230">IF($N230="","",IFERROR(IF(INDEX(geo_grid!$B$2:$JU$231,INT(($N230+40)/0.5)+1,INT(($O230+30)/0.5)+1)="","",INDEX(geo_grid!$B$2:$JU$231,INT(($N230+40)/0.5)+1,INT(($O230+30)/0.5)+1)),"OUTSIDE GRID"))</f>
        <v/>
      </c>
      <c r="Q230">
        <f>IF($P230="","",$A230*1000+$B230)</f>
        <v/>
      </c>
    </row>
    <row r="231">
      <c r="A231">
        <f>INT((ROW()-2)/151)+1</f>
        <v/>
      </c>
      <c r="B231">
        <f>MOD(ROW()-2,151)</f>
        <v/>
      </c>
      <c r="C231">
        <f t="array" ref="C231">IFERROR(INDEX('TRIP MANAGER'!$O$18:$O$25,$A231),"")</f>
        <v/>
      </c>
      <c r="D231">
        <f t="array" ref="D231">IFERROR(INDEX('TRIP MANAGER'!$P$18:$P$25,$A231),"")</f>
        <v/>
      </c>
      <c r="E231">
        <f t="array" ref="E231">IFERROR(INDEX('TRIP MANAGER'!$Q$18:$Q$25,$A231),"")</f>
        <v/>
      </c>
      <c r="F231">
        <f t="array" ref="F231">IFERROR(INDEX('TRIP MANAGER'!$R$18:$R$25,$A231),"")</f>
        <v/>
      </c>
      <c r="G231">
        <f t="array" ref="G231">IFERROR(INDEX('TRIP MANAGER'!$S$18:$S$25,$A231),"")</f>
        <v/>
      </c>
      <c r="H231">
        <f>$B231/150</f>
        <v/>
      </c>
      <c r="I231">
        <f>IF(OR($G231="",$G231=0),"",SIN((1-$H231)*$G231)/SIN($G231))</f>
        <v/>
      </c>
      <c r="J231">
        <f>IF($I231="","",SIN($H231*$G231)/SIN($G231))</f>
        <v/>
      </c>
      <c r="K231">
        <f>IF($I231="","",$I231*COS(RADIANS($C231))*COS(RADIANS($D231))+$J231*COS(RADIANS($E231))*COS(RADIANS($F231)))</f>
        <v/>
      </c>
      <c r="L231">
        <f>IF($I231="","",$I231*COS(RADIANS($C231))*SIN(RADIANS($D231))+$J231*COS(RADIANS($E231))*SIN(RADIANS($F231)))</f>
        <v/>
      </c>
      <c r="M231">
        <f>IF($I231="","",$I231*SIN(RADIANS($C231))+$J231*SIN(RADIANS($E231)))</f>
        <v/>
      </c>
      <c r="N231">
        <f>IF($M231="","",DEGREES(ATAN2(SQRT($K231^2+$L231^2),$M231)))</f>
        <v/>
      </c>
      <c r="O231">
        <f>IF($M231="","",DEGREES(ATAN2($K231,$L231)))</f>
        <v/>
      </c>
      <c r="P231">
        <f t="array" ref="P231">IF($N231="","",IFERROR(IF(INDEX(geo_grid!$B$2:$JU$231,INT(($N231+40)/0.5)+1,INT(($O231+30)/0.5)+1)="","",INDEX(geo_grid!$B$2:$JU$231,INT(($N231+40)/0.5)+1,INT(($O231+30)/0.5)+1)),"OUTSIDE GRID"))</f>
        <v/>
      </c>
      <c r="Q231">
        <f>IF($P231="","",$A231*1000+$B231)</f>
        <v/>
      </c>
    </row>
    <row r="232">
      <c r="A232">
        <f>INT((ROW()-2)/151)+1</f>
        <v/>
      </c>
      <c r="B232">
        <f>MOD(ROW()-2,151)</f>
        <v/>
      </c>
      <c r="C232">
        <f t="array" ref="C232">IFERROR(INDEX('TRIP MANAGER'!$O$18:$O$25,$A232),"")</f>
        <v/>
      </c>
      <c r="D232">
        <f t="array" ref="D232">IFERROR(INDEX('TRIP MANAGER'!$P$18:$P$25,$A232),"")</f>
        <v/>
      </c>
      <c r="E232">
        <f t="array" ref="E232">IFERROR(INDEX('TRIP MANAGER'!$Q$18:$Q$25,$A232),"")</f>
        <v/>
      </c>
      <c r="F232">
        <f t="array" ref="F232">IFERROR(INDEX('TRIP MANAGER'!$R$18:$R$25,$A232),"")</f>
        <v/>
      </c>
      <c r="G232">
        <f t="array" ref="G232">IFERROR(INDEX('TRIP MANAGER'!$S$18:$S$25,$A232),"")</f>
        <v/>
      </c>
      <c r="H232">
        <f>$B232/150</f>
        <v/>
      </c>
      <c r="I232">
        <f>IF(OR($G232="",$G232=0),"",SIN((1-$H232)*$G232)/SIN($G232))</f>
        <v/>
      </c>
      <c r="J232">
        <f>IF($I232="","",SIN($H232*$G232)/SIN($G232))</f>
        <v/>
      </c>
      <c r="K232">
        <f>IF($I232="","",$I232*COS(RADIANS($C232))*COS(RADIANS($D232))+$J232*COS(RADIANS($E232))*COS(RADIANS($F232)))</f>
        <v/>
      </c>
      <c r="L232">
        <f>IF($I232="","",$I232*COS(RADIANS($C232))*SIN(RADIANS($D232))+$J232*COS(RADIANS($E232))*SIN(RADIANS($F232)))</f>
        <v/>
      </c>
      <c r="M232">
        <f>IF($I232="","",$I232*SIN(RADIANS($C232))+$J232*SIN(RADIANS($E232)))</f>
        <v/>
      </c>
      <c r="N232">
        <f>IF($M232="","",DEGREES(ATAN2(SQRT($K232^2+$L232^2),$M232)))</f>
        <v/>
      </c>
      <c r="O232">
        <f>IF($M232="","",DEGREES(ATAN2($K232,$L232)))</f>
        <v/>
      </c>
      <c r="P232">
        <f t="array" ref="P232">IF($N232="","",IFERROR(IF(INDEX(geo_grid!$B$2:$JU$231,INT(($N232+40)/0.5)+1,INT(($O232+30)/0.5)+1)="","",INDEX(geo_grid!$B$2:$JU$231,INT(($N232+40)/0.5)+1,INT(($O232+30)/0.5)+1)),"OUTSIDE GRID"))</f>
        <v/>
      </c>
      <c r="Q232">
        <f>IF($P232="","",$A232*1000+$B232)</f>
        <v/>
      </c>
    </row>
    <row r="233">
      <c r="A233">
        <f>INT((ROW()-2)/151)+1</f>
        <v/>
      </c>
      <c r="B233">
        <f>MOD(ROW()-2,151)</f>
        <v/>
      </c>
      <c r="C233">
        <f t="array" ref="C233">IFERROR(INDEX('TRIP MANAGER'!$O$18:$O$25,$A233),"")</f>
        <v/>
      </c>
      <c r="D233">
        <f t="array" ref="D233">IFERROR(INDEX('TRIP MANAGER'!$P$18:$P$25,$A233),"")</f>
        <v/>
      </c>
      <c r="E233">
        <f t="array" ref="E233">IFERROR(INDEX('TRIP MANAGER'!$Q$18:$Q$25,$A233),"")</f>
        <v/>
      </c>
      <c r="F233">
        <f t="array" ref="F233">IFERROR(INDEX('TRIP MANAGER'!$R$18:$R$25,$A233),"")</f>
        <v/>
      </c>
      <c r="G233">
        <f t="array" ref="G233">IFERROR(INDEX('TRIP MANAGER'!$S$18:$S$25,$A233),"")</f>
        <v/>
      </c>
      <c r="H233">
        <f>$B233/150</f>
        <v/>
      </c>
      <c r="I233">
        <f>IF(OR($G233="",$G233=0),"",SIN((1-$H233)*$G233)/SIN($G233))</f>
        <v/>
      </c>
      <c r="J233">
        <f>IF($I233="","",SIN($H233*$G233)/SIN($G233))</f>
        <v/>
      </c>
      <c r="K233">
        <f>IF($I233="","",$I233*COS(RADIANS($C233))*COS(RADIANS($D233))+$J233*COS(RADIANS($E233))*COS(RADIANS($F233)))</f>
        <v/>
      </c>
      <c r="L233">
        <f>IF($I233="","",$I233*COS(RADIANS($C233))*SIN(RADIANS($D233))+$J233*COS(RADIANS($E233))*SIN(RADIANS($F233)))</f>
        <v/>
      </c>
      <c r="M233">
        <f>IF($I233="","",$I233*SIN(RADIANS($C233))+$J233*SIN(RADIANS($E233)))</f>
        <v/>
      </c>
      <c r="N233">
        <f>IF($M233="","",DEGREES(ATAN2(SQRT($K233^2+$L233^2),$M233)))</f>
        <v/>
      </c>
      <c r="O233">
        <f>IF($M233="","",DEGREES(ATAN2($K233,$L233)))</f>
        <v/>
      </c>
      <c r="P233">
        <f t="array" ref="P233">IF($N233="","",IFERROR(IF(INDEX(geo_grid!$B$2:$JU$231,INT(($N233+40)/0.5)+1,INT(($O233+30)/0.5)+1)="","",INDEX(geo_grid!$B$2:$JU$231,INT(($N233+40)/0.5)+1,INT(($O233+30)/0.5)+1)),"OUTSIDE GRID"))</f>
        <v/>
      </c>
      <c r="Q233">
        <f>IF($P233="","",$A233*1000+$B233)</f>
        <v/>
      </c>
    </row>
    <row r="234">
      <c r="A234">
        <f>INT((ROW()-2)/151)+1</f>
        <v/>
      </c>
      <c r="B234">
        <f>MOD(ROW()-2,151)</f>
        <v/>
      </c>
      <c r="C234">
        <f t="array" ref="C234">IFERROR(INDEX('TRIP MANAGER'!$O$18:$O$25,$A234),"")</f>
        <v/>
      </c>
      <c r="D234">
        <f t="array" ref="D234">IFERROR(INDEX('TRIP MANAGER'!$P$18:$P$25,$A234),"")</f>
        <v/>
      </c>
      <c r="E234">
        <f t="array" ref="E234">IFERROR(INDEX('TRIP MANAGER'!$Q$18:$Q$25,$A234),"")</f>
        <v/>
      </c>
      <c r="F234">
        <f t="array" ref="F234">IFERROR(INDEX('TRIP MANAGER'!$R$18:$R$25,$A234),"")</f>
        <v/>
      </c>
      <c r="G234">
        <f t="array" ref="G234">IFERROR(INDEX('TRIP MANAGER'!$S$18:$S$25,$A234),"")</f>
        <v/>
      </c>
      <c r="H234">
        <f>$B234/150</f>
        <v/>
      </c>
      <c r="I234">
        <f>IF(OR($G234="",$G234=0),"",SIN((1-$H234)*$G234)/SIN($G234))</f>
        <v/>
      </c>
      <c r="J234">
        <f>IF($I234="","",SIN($H234*$G234)/SIN($G234))</f>
        <v/>
      </c>
      <c r="K234">
        <f>IF($I234="","",$I234*COS(RADIANS($C234))*COS(RADIANS($D234))+$J234*COS(RADIANS($E234))*COS(RADIANS($F234)))</f>
        <v/>
      </c>
      <c r="L234">
        <f>IF($I234="","",$I234*COS(RADIANS($C234))*SIN(RADIANS($D234))+$J234*COS(RADIANS($E234))*SIN(RADIANS($F234)))</f>
        <v/>
      </c>
      <c r="M234">
        <f>IF($I234="","",$I234*SIN(RADIANS($C234))+$J234*SIN(RADIANS($E234)))</f>
        <v/>
      </c>
      <c r="N234">
        <f>IF($M234="","",DEGREES(ATAN2(SQRT($K234^2+$L234^2),$M234)))</f>
        <v/>
      </c>
      <c r="O234">
        <f>IF($M234="","",DEGREES(ATAN2($K234,$L234)))</f>
        <v/>
      </c>
      <c r="P234">
        <f t="array" ref="P234">IF($N234="","",IFERROR(IF(INDEX(geo_grid!$B$2:$JU$231,INT(($N234+40)/0.5)+1,INT(($O234+30)/0.5)+1)="","",INDEX(geo_grid!$B$2:$JU$231,INT(($N234+40)/0.5)+1,INT(($O234+30)/0.5)+1)),"OUTSIDE GRID"))</f>
        <v/>
      </c>
      <c r="Q234">
        <f>IF($P234="","",$A234*1000+$B234)</f>
        <v/>
      </c>
    </row>
    <row r="235">
      <c r="A235">
        <f>INT((ROW()-2)/151)+1</f>
        <v/>
      </c>
      <c r="B235">
        <f>MOD(ROW()-2,151)</f>
        <v/>
      </c>
      <c r="C235">
        <f t="array" ref="C235">IFERROR(INDEX('TRIP MANAGER'!$O$18:$O$25,$A235),"")</f>
        <v/>
      </c>
      <c r="D235">
        <f t="array" ref="D235">IFERROR(INDEX('TRIP MANAGER'!$P$18:$P$25,$A235),"")</f>
        <v/>
      </c>
      <c r="E235">
        <f t="array" ref="E235">IFERROR(INDEX('TRIP MANAGER'!$Q$18:$Q$25,$A235),"")</f>
        <v/>
      </c>
      <c r="F235">
        <f t="array" ref="F235">IFERROR(INDEX('TRIP MANAGER'!$R$18:$R$25,$A235),"")</f>
        <v/>
      </c>
      <c r="G235">
        <f t="array" ref="G235">IFERROR(INDEX('TRIP MANAGER'!$S$18:$S$25,$A235),"")</f>
        <v/>
      </c>
      <c r="H235">
        <f>$B235/150</f>
        <v/>
      </c>
      <c r="I235">
        <f>IF(OR($G235="",$G235=0),"",SIN((1-$H235)*$G235)/SIN($G235))</f>
        <v/>
      </c>
      <c r="J235">
        <f>IF($I235="","",SIN($H235*$G235)/SIN($G235))</f>
        <v/>
      </c>
      <c r="K235">
        <f>IF($I235="","",$I235*COS(RADIANS($C235))*COS(RADIANS($D235))+$J235*COS(RADIANS($E235))*COS(RADIANS($F235)))</f>
        <v/>
      </c>
      <c r="L235">
        <f>IF($I235="","",$I235*COS(RADIANS($C235))*SIN(RADIANS($D235))+$J235*COS(RADIANS($E235))*SIN(RADIANS($F235)))</f>
        <v/>
      </c>
      <c r="M235">
        <f>IF($I235="","",$I235*SIN(RADIANS($C235))+$J235*SIN(RADIANS($E235)))</f>
        <v/>
      </c>
      <c r="N235">
        <f>IF($M235="","",DEGREES(ATAN2(SQRT($K235^2+$L235^2),$M235)))</f>
        <v/>
      </c>
      <c r="O235">
        <f>IF($M235="","",DEGREES(ATAN2($K235,$L235)))</f>
        <v/>
      </c>
      <c r="P235">
        <f t="array" ref="P235">IF($N235="","",IFERROR(IF(INDEX(geo_grid!$B$2:$JU$231,INT(($N235+40)/0.5)+1,INT(($O235+30)/0.5)+1)="","",INDEX(geo_grid!$B$2:$JU$231,INT(($N235+40)/0.5)+1,INT(($O235+30)/0.5)+1)),"OUTSIDE GRID"))</f>
        <v/>
      </c>
      <c r="Q235">
        <f>IF($P235="","",$A235*1000+$B235)</f>
        <v/>
      </c>
    </row>
    <row r="236">
      <c r="A236">
        <f>INT((ROW()-2)/151)+1</f>
        <v/>
      </c>
      <c r="B236">
        <f>MOD(ROW()-2,151)</f>
        <v/>
      </c>
      <c r="C236">
        <f t="array" ref="C236">IFERROR(INDEX('TRIP MANAGER'!$O$18:$O$25,$A236),"")</f>
        <v/>
      </c>
      <c r="D236">
        <f t="array" ref="D236">IFERROR(INDEX('TRIP MANAGER'!$P$18:$P$25,$A236),"")</f>
        <v/>
      </c>
      <c r="E236">
        <f t="array" ref="E236">IFERROR(INDEX('TRIP MANAGER'!$Q$18:$Q$25,$A236),"")</f>
        <v/>
      </c>
      <c r="F236">
        <f t="array" ref="F236">IFERROR(INDEX('TRIP MANAGER'!$R$18:$R$25,$A236),"")</f>
        <v/>
      </c>
      <c r="G236">
        <f t="array" ref="G236">IFERROR(INDEX('TRIP MANAGER'!$S$18:$S$25,$A236),"")</f>
        <v/>
      </c>
      <c r="H236">
        <f>$B236/150</f>
        <v/>
      </c>
      <c r="I236">
        <f>IF(OR($G236="",$G236=0),"",SIN((1-$H236)*$G236)/SIN($G236))</f>
        <v/>
      </c>
      <c r="J236">
        <f>IF($I236="","",SIN($H236*$G236)/SIN($G236))</f>
        <v/>
      </c>
      <c r="K236">
        <f>IF($I236="","",$I236*COS(RADIANS($C236))*COS(RADIANS($D236))+$J236*COS(RADIANS($E236))*COS(RADIANS($F236)))</f>
        <v/>
      </c>
      <c r="L236">
        <f>IF($I236="","",$I236*COS(RADIANS($C236))*SIN(RADIANS($D236))+$J236*COS(RADIANS($E236))*SIN(RADIANS($F236)))</f>
        <v/>
      </c>
      <c r="M236">
        <f>IF($I236="","",$I236*SIN(RADIANS($C236))+$J236*SIN(RADIANS($E236)))</f>
        <v/>
      </c>
      <c r="N236">
        <f>IF($M236="","",DEGREES(ATAN2(SQRT($K236^2+$L236^2),$M236)))</f>
        <v/>
      </c>
      <c r="O236">
        <f>IF($M236="","",DEGREES(ATAN2($K236,$L236)))</f>
        <v/>
      </c>
      <c r="P236">
        <f t="array" ref="P236">IF($N236="","",IFERROR(IF(INDEX(geo_grid!$B$2:$JU$231,INT(($N236+40)/0.5)+1,INT(($O236+30)/0.5)+1)="","",INDEX(geo_grid!$B$2:$JU$231,INT(($N236+40)/0.5)+1,INT(($O236+30)/0.5)+1)),"OUTSIDE GRID"))</f>
        <v/>
      </c>
      <c r="Q236">
        <f>IF($P236="","",$A236*1000+$B236)</f>
        <v/>
      </c>
    </row>
    <row r="237">
      <c r="A237">
        <f>INT((ROW()-2)/151)+1</f>
        <v/>
      </c>
      <c r="B237">
        <f>MOD(ROW()-2,151)</f>
        <v/>
      </c>
      <c r="C237">
        <f t="array" ref="C237">IFERROR(INDEX('TRIP MANAGER'!$O$18:$O$25,$A237),"")</f>
        <v/>
      </c>
      <c r="D237">
        <f t="array" ref="D237">IFERROR(INDEX('TRIP MANAGER'!$P$18:$P$25,$A237),"")</f>
        <v/>
      </c>
      <c r="E237">
        <f t="array" ref="E237">IFERROR(INDEX('TRIP MANAGER'!$Q$18:$Q$25,$A237),"")</f>
        <v/>
      </c>
      <c r="F237">
        <f t="array" ref="F237">IFERROR(INDEX('TRIP MANAGER'!$R$18:$R$25,$A237),"")</f>
        <v/>
      </c>
      <c r="G237">
        <f t="array" ref="G237">IFERROR(INDEX('TRIP MANAGER'!$S$18:$S$25,$A237),"")</f>
        <v/>
      </c>
      <c r="H237">
        <f>$B237/150</f>
        <v/>
      </c>
      <c r="I237">
        <f>IF(OR($G237="",$G237=0),"",SIN((1-$H237)*$G237)/SIN($G237))</f>
        <v/>
      </c>
      <c r="J237">
        <f>IF($I237="","",SIN($H237*$G237)/SIN($G237))</f>
        <v/>
      </c>
      <c r="K237">
        <f>IF($I237="","",$I237*COS(RADIANS($C237))*COS(RADIANS($D237))+$J237*COS(RADIANS($E237))*COS(RADIANS($F237)))</f>
        <v/>
      </c>
      <c r="L237">
        <f>IF($I237="","",$I237*COS(RADIANS($C237))*SIN(RADIANS($D237))+$J237*COS(RADIANS($E237))*SIN(RADIANS($F237)))</f>
        <v/>
      </c>
      <c r="M237">
        <f>IF($I237="","",$I237*SIN(RADIANS($C237))+$J237*SIN(RADIANS($E237)))</f>
        <v/>
      </c>
      <c r="N237">
        <f>IF($M237="","",DEGREES(ATAN2(SQRT($K237^2+$L237^2),$M237)))</f>
        <v/>
      </c>
      <c r="O237">
        <f>IF($M237="","",DEGREES(ATAN2($K237,$L237)))</f>
        <v/>
      </c>
      <c r="P237">
        <f t="array" ref="P237">IF($N237="","",IFERROR(IF(INDEX(geo_grid!$B$2:$JU$231,INT(($N237+40)/0.5)+1,INT(($O237+30)/0.5)+1)="","",INDEX(geo_grid!$B$2:$JU$231,INT(($N237+40)/0.5)+1,INT(($O237+30)/0.5)+1)),"OUTSIDE GRID"))</f>
        <v/>
      </c>
      <c r="Q237">
        <f>IF($P237="","",$A237*1000+$B237)</f>
        <v/>
      </c>
    </row>
    <row r="238">
      <c r="A238">
        <f>INT((ROW()-2)/151)+1</f>
        <v/>
      </c>
      <c r="B238">
        <f>MOD(ROW()-2,151)</f>
        <v/>
      </c>
      <c r="C238">
        <f t="array" ref="C238">IFERROR(INDEX('TRIP MANAGER'!$O$18:$O$25,$A238),"")</f>
        <v/>
      </c>
      <c r="D238">
        <f t="array" ref="D238">IFERROR(INDEX('TRIP MANAGER'!$P$18:$P$25,$A238),"")</f>
        <v/>
      </c>
      <c r="E238">
        <f t="array" ref="E238">IFERROR(INDEX('TRIP MANAGER'!$Q$18:$Q$25,$A238),"")</f>
        <v/>
      </c>
      <c r="F238">
        <f t="array" ref="F238">IFERROR(INDEX('TRIP MANAGER'!$R$18:$R$25,$A238),"")</f>
        <v/>
      </c>
      <c r="G238">
        <f t="array" ref="G238">IFERROR(INDEX('TRIP MANAGER'!$S$18:$S$25,$A238),"")</f>
        <v/>
      </c>
      <c r="H238">
        <f>$B238/150</f>
        <v/>
      </c>
      <c r="I238">
        <f>IF(OR($G238="",$G238=0),"",SIN((1-$H238)*$G238)/SIN($G238))</f>
        <v/>
      </c>
      <c r="J238">
        <f>IF($I238="","",SIN($H238*$G238)/SIN($G238))</f>
        <v/>
      </c>
      <c r="K238">
        <f>IF($I238="","",$I238*COS(RADIANS($C238))*COS(RADIANS($D238))+$J238*COS(RADIANS($E238))*COS(RADIANS($F238)))</f>
        <v/>
      </c>
      <c r="L238">
        <f>IF($I238="","",$I238*COS(RADIANS($C238))*SIN(RADIANS($D238))+$J238*COS(RADIANS($E238))*SIN(RADIANS($F238)))</f>
        <v/>
      </c>
      <c r="M238">
        <f>IF($I238="","",$I238*SIN(RADIANS($C238))+$J238*SIN(RADIANS($E238)))</f>
        <v/>
      </c>
      <c r="N238">
        <f>IF($M238="","",DEGREES(ATAN2(SQRT($K238^2+$L238^2),$M238)))</f>
        <v/>
      </c>
      <c r="O238">
        <f>IF($M238="","",DEGREES(ATAN2($K238,$L238)))</f>
        <v/>
      </c>
      <c r="P238">
        <f t="array" ref="P238">IF($N238="","",IFERROR(IF(INDEX(geo_grid!$B$2:$JU$231,INT(($N238+40)/0.5)+1,INT(($O238+30)/0.5)+1)="","",INDEX(geo_grid!$B$2:$JU$231,INT(($N238+40)/0.5)+1,INT(($O238+30)/0.5)+1)),"OUTSIDE GRID"))</f>
        <v/>
      </c>
      <c r="Q238">
        <f>IF($P238="","",$A238*1000+$B238)</f>
        <v/>
      </c>
    </row>
    <row r="239">
      <c r="A239">
        <f>INT((ROW()-2)/151)+1</f>
        <v/>
      </c>
      <c r="B239">
        <f>MOD(ROW()-2,151)</f>
        <v/>
      </c>
      <c r="C239">
        <f t="array" ref="C239">IFERROR(INDEX('TRIP MANAGER'!$O$18:$O$25,$A239),"")</f>
        <v/>
      </c>
      <c r="D239">
        <f t="array" ref="D239">IFERROR(INDEX('TRIP MANAGER'!$P$18:$P$25,$A239),"")</f>
        <v/>
      </c>
      <c r="E239">
        <f t="array" ref="E239">IFERROR(INDEX('TRIP MANAGER'!$Q$18:$Q$25,$A239),"")</f>
        <v/>
      </c>
      <c r="F239">
        <f t="array" ref="F239">IFERROR(INDEX('TRIP MANAGER'!$R$18:$R$25,$A239),"")</f>
        <v/>
      </c>
      <c r="G239">
        <f t="array" ref="G239">IFERROR(INDEX('TRIP MANAGER'!$S$18:$S$25,$A239),"")</f>
        <v/>
      </c>
      <c r="H239">
        <f>$B239/150</f>
        <v/>
      </c>
      <c r="I239">
        <f>IF(OR($G239="",$G239=0),"",SIN((1-$H239)*$G239)/SIN($G239))</f>
        <v/>
      </c>
      <c r="J239">
        <f>IF($I239="","",SIN($H239*$G239)/SIN($G239))</f>
        <v/>
      </c>
      <c r="K239">
        <f>IF($I239="","",$I239*COS(RADIANS($C239))*COS(RADIANS($D239))+$J239*COS(RADIANS($E239))*COS(RADIANS($F239)))</f>
        <v/>
      </c>
      <c r="L239">
        <f>IF($I239="","",$I239*COS(RADIANS($C239))*SIN(RADIANS($D239))+$J239*COS(RADIANS($E239))*SIN(RADIANS($F239)))</f>
        <v/>
      </c>
      <c r="M239">
        <f>IF($I239="","",$I239*SIN(RADIANS($C239))+$J239*SIN(RADIANS($E239)))</f>
        <v/>
      </c>
      <c r="N239">
        <f>IF($M239="","",DEGREES(ATAN2(SQRT($K239^2+$L239^2),$M239)))</f>
        <v/>
      </c>
      <c r="O239">
        <f>IF($M239="","",DEGREES(ATAN2($K239,$L239)))</f>
        <v/>
      </c>
      <c r="P239">
        <f t="array" ref="P239">IF($N239="","",IFERROR(IF(INDEX(geo_grid!$B$2:$JU$231,INT(($N239+40)/0.5)+1,INT(($O239+30)/0.5)+1)="","",INDEX(geo_grid!$B$2:$JU$231,INT(($N239+40)/0.5)+1,INT(($O239+30)/0.5)+1)),"OUTSIDE GRID"))</f>
        <v/>
      </c>
      <c r="Q239">
        <f>IF($P239="","",$A239*1000+$B239)</f>
        <v/>
      </c>
    </row>
    <row r="240">
      <c r="A240">
        <f>INT((ROW()-2)/151)+1</f>
        <v/>
      </c>
      <c r="B240">
        <f>MOD(ROW()-2,151)</f>
        <v/>
      </c>
      <c r="C240">
        <f t="array" ref="C240">IFERROR(INDEX('TRIP MANAGER'!$O$18:$O$25,$A240),"")</f>
        <v/>
      </c>
      <c r="D240">
        <f t="array" ref="D240">IFERROR(INDEX('TRIP MANAGER'!$P$18:$P$25,$A240),"")</f>
        <v/>
      </c>
      <c r="E240">
        <f t="array" ref="E240">IFERROR(INDEX('TRIP MANAGER'!$Q$18:$Q$25,$A240),"")</f>
        <v/>
      </c>
      <c r="F240">
        <f t="array" ref="F240">IFERROR(INDEX('TRIP MANAGER'!$R$18:$R$25,$A240),"")</f>
        <v/>
      </c>
      <c r="G240">
        <f t="array" ref="G240">IFERROR(INDEX('TRIP MANAGER'!$S$18:$S$25,$A240),"")</f>
        <v/>
      </c>
      <c r="H240">
        <f>$B240/150</f>
        <v/>
      </c>
      <c r="I240">
        <f>IF(OR($G240="",$G240=0),"",SIN((1-$H240)*$G240)/SIN($G240))</f>
        <v/>
      </c>
      <c r="J240">
        <f>IF($I240="","",SIN($H240*$G240)/SIN($G240))</f>
        <v/>
      </c>
      <c r="K240">
        <f>IF($I240="","",$I240*COS(RADIANS($C240))*COS(RADIANS($D240))+$J240*COS(RADIANS($E240))*COS(RADIANS($F240)))</f>
        <v/>
      </c>
      <c r="L240">
        <f>IF($I240="","",$I240*COS(RADIANS($C240))*SIN(RADIANS($D240))+$J240*COS(RADIANS($E240))*SIN(RADIANS($F240)))</f>
        <v/>
      </c>
      <c r="M240">
        <f>IF($I240="","",$I240*SIN(RADIANS($C240))+$J240*SIN(RADIANS($E240)))</f>
        <v/>
      </c>
      <c r="N240">
        <f>IF($M240="","",DEGREES(ATAN2(SQRT($K240^2+$L240^2),$M240)))</f>
        <v/>
      </c>
      <c r="O240">
        <f>IF($M240="","",DEGREES(ATAN2($K240,$L240)))</f>
        <v/>
      </c>
      <c r="P240">
        <f t="array" ref="P240">IF($N240="","",IFERROR(IF(INDEX(geo_grid!$B$2:$JU$231,INT(($N240+40)/0.5)+1,INT(($O240+30)/0.5)+1)="","",INDEX(geo_grid!$B$2:$JU$231,INT(($N240+40)/0.5)+1,INT(($O240+30)/0.5)+1)),"OUTSIDE GRID"))</f>
        <v/>
      </c>
      <c r="Q240">
        <f>IF($P240="","",$A240*1000+$B240)</f>
        <v/>
      </c>
    </row>
    <row r="241">
      <c r="A241">
        <f>INT((ROW()-2)/151)+1</f>
        <v/>
      </c>
      <c r="B241">
        <f>MOD(ROW()-2,151)</f>
        <v/>
      </c>
      <c r="C241">
        <f t="array" ref="C241">IFERROR(INDEX('TRIP MANAGER'!$O$18:$O$25,$A241),"")</f>
        <v/>
      </c>
      <c r="D241">
        <f t="array" ref="D241">IFERROR(INDEX('TRIP MANAGER'!$P$18:$P$25,$A241),"")</f>
        <v/>
      </c>
      <c r="E241">
        <f t="array" ref="E241">IFERROR(INDEX('TRIP MANAGER'!$Q$18:$Q$25,$A241),"")</f>
        <v/>
      </c>
      <c r="F241">
        <f t="array" ref="F241">IFERROR(INDEX('TRIP MANAGER'!$R$18:$R$25,$A241),"")</f>
        <v/>
      </c>
      <c r="G241">
        <f t="array" ref="G241">IFERROR(INDEX('TRIP MANAGER'!$S$18:$S$25,$A241),"")</f>
        <v/>
      </c>
      <c r="H241">
        <f>$B241/150</f>
        <v/>
      </c>
      <c r="I241">
        <f>IF(OR($G241="",$G241=0),"",SIN((1-$H241)*$G241)/SIN($G241))</f>
        <v/>
      </c>
      <c r="J241">
        <f>IF($I241="","",SIN($H241*$G241)/SIN($G241))</f>
        <v/>
      </c>
      <c r="K241">
        <f>IF($I241="","",$I241*COS(RADIANS($C241))*COS(RADIANS($D241))+$J241*COS(RADIANS($E241))*COS(RADIANS($F241)))</f>
        <v/>
      </c>
      <c r="L241">
        <f>IF($I241="","",$I241*COS(RADIANS($C241))*SIN(RADIANS($D241))+$J241*COS(RADIANS($E241))*SIN(RADIANS($F241)))</f>
        <v/>
      </c>
      <c r="M241">
        <f>IF($I241="","",$I241*SIN(RADIANS($C241))+$J241*SIN(RADIANS($E241)))</f>
        <v/>
      </c>
      <c r="N241">
        <f>IF($M241="","",DEGREES(ATAN2(SQRT($K241^2+$L241^2),$M241)))</f>
        <v/>
      </c>
      <c r="O241">
        <f>IF($M241="","",DEGREES(ATAN2($K241,$L241)))</f>
        <v/>
      </c>
      <c r="P241">
        <f t="array" ref="P241">IF($N241="","",IFERROR(IF(INDEX(geo_grid!$B$2:$JU$231,INT(($N241+40)/0.5)+1,INT(($O241+30)/0.5)+1)="","",INDEX(geo_grid!$B$2:$JU$231,INT(($N241+40)/0.5)+1,INT(($O241+30)/0.5)+1)),"OUTSIDE GRID"))</f>
        <v/>
      </c>
      <c r="Q241">
        <f>IF($P241="","",$A241*1000+$B241)</f>
        <v/>
      </c>
    </row>
    <row r="242">
      <c r="A242">
        <f>INT((ROW()-2)/151)+1</f>
        <v/>
      </c>
      <c r="B242">
        <f>MOD(ROW()-2,151)</f>
        <v/>
      </c>
      <c r="C242">
        <f t="array" ref="C242">IFERROR(INDEX('TRIP MANAGER'!$O$18:$O$25,$A242),"")</f>
        <v/>
      </c>
      <c r="D242">
        <f t="array" ref="D242">IFERROR(INDEX('TRIP MANAGER'!$P$18:$P$25,$A242),"")</f>
        <v/>
      </c>
      <c r="E242">
        <f t="array" ref="E242">IFERROR(INDEX('TRIP MANAGER'!$Q$18:$Q$25,$A242),"")</f>
        <v/>
      </c>
      <c r="F242">
        <f t="array" ref="F242">IFERROR(INDEX('TRIP MANAGER'!$R$18:$R$25,$A242),"")</f>
        <v/>
      </c>
      <c r="G242">
        <f t="array" ref="G242">IFERROR(INDEX('TRIP MANAGER'!$S$18:$S$25,$A242),"")</f>
        <v/>
      </c>
      <c r="H242">
        <f>$B242/150</f>
        <v/>
      </c>
      <c r="I242">
        <f>IF(OR($G242="",$G242=0),"",SIN((1-$H242)*$G242)/SIN($G242))</f>
        <v/>
      </c>
      <c r="J242">
        <f>IF($I242="","",SIN($H242*$G242)/SIN($G242))</f>
        <v/>
      </c>
      <c r="K242">
        <f>IF($I242="","",$I242*COS(RADIANS($C242))*COS(RADIANS($D242))+$J242*COS(RADIANS($E242))*COS(RADIANS($F242)))</f>
        <v/>
      </c>
      <c r="L242">
        <f>IF($I242="","",$I242*COS(RADIANS($C242))*SIN(RADIANS($D242))+$J242*COS(RADIANS($E242))*SIN(RADIANS($F242)))</f>
        <v/>
      </c>
      <c r="M242">
        <f>IF($I242="","",$I242*SIN(RADIANS($C242))+$J242*SIN(RADIANS($E242)))</f>
        <v/>
      </c>
      <c r="N242">
        <f>IF($M242="","",DEGREES(ATAN2(SQRT($K242^2+$L242^2),$M242)))</f>
        <v/>
      </c>
      <c r="O242">
        <f>IF($M242="","",DEGREES(ATAN2($K242,$L242)))</f>
        <v/>
      </c>
      <c r="P242">
        <f t="array" ref="P242">IF($N242="","",IFERROR(IF(INDEX(geo_grid!$B$2:$JU$231,INT(($N242+40)/0.5)+1,INT(($O242+30)/0.5)+1)="","",INDEX(geo_grid!$B$2:$JU$231,INT(($N242+40)/0.5)+1,INT(($O242+30)/0.5)+1)),"OUTSIDE GRID"))</f>
        <v/>
      </c>
      <c r="Q242">
        <f>IF($P242="","",$A242*1000+$B242)</f>
        <v/>
      </c>
    </row>
    <row r="243">
      <c r="A243">
        <f>INT((ROW()-2)/151)+1</f>
        <v/>
      </c>
      <c r="B243">
        <f>MOD(ROW()-2,151)</f>
        <v/>
      </c>
      <c r="C243">
        <f t="array" ref="C243">IFERROR(INDEX('TRIP MANAGER'!$O$18:$O$25,$A243),"")</f>
        <v/>
      </c>
      <c r="D243">
        <f t="array" ref="D243">IFERROR(INDEX('TRIP MANAGER'!$P$18:$P$25,$A243),"")</f>
        <v/>
      </c>
      <c r="E243">
        <f t="array" ref="E243">IFERROR(INDEX('TRIP MANAGER'!$Q$18:$Q$25,$A243),"")</f>
        <v/>
      </c>
      <c r="F243">
        <f t="array" ref="F243">IFERROR(INDEX('TRIP MANAGER'!$R$18:$R$25,$A243),"")</f>
        <v/>
      </c>
      <c r="G243">
        <f t="array" ref="G243">IFERROR(INDEX('TRIP MANAGER'!$S$18:$S$25,$A243),"")</f>
        <v/>
      </c>
      <c r="H243">
        <f>$B243/150</f>
        <v/>
      </c>
      <c r="I243">
        <f>IF(OR($G243="",$G243=0),"",SIN((1-$H243)*$G243)/SIN($G243))</f>
        <v/>
      </c>
      <c r="J243">
        <f>IF($I243="","",SIN($H243*$G243)/SIN($G243))</f>
        <v/>
      </c>
      <c r="K243">
        <f>IF($I243="","",$I243*COS(RADIANS($C243))*COS(RADIANS($D243))+$J243*COS(RADIANS($E243))*COS(RADIANS($F243)))</f>
        <v/>
      </c>
      <c r="L243">
        <f>IF($I243="","",$I243*COS(RADIANS($C243))*SIN(RADIANS($D243))+$J243*COS(RADIANS($E243))*SIN(RADIANS($F243)))</f>
        <v/>
      </c>
      <c r="M243">
        <f>IF($I243="","",$I243*SIN(RADIANS($C243))+$J243*SIN(RADIANS($E243)))</f>
        <v/>
      </c>
      <c r="N243">
        <f>IF($M243="","",DEGREES(ATAN2(SQRT($K243^2+$L243^2),$M243)))</f>
        <v/>
      </c>
      <c r="O243">
        <f>IF($M243="","",DEGREES(ATAN2($K243,$L243)))</f>
        <v/>
      </c>
      <c r="P243">
        <f t="array" ref="P243">IF($N243="","",IFERROR(IF(INDEX(geo_grid!$B$2:$JU$231,INT(($N243+40)/0.5)+1,INT(($O243+30)/0.5)+1)="","",INDEX(geo_grid!$B$2:$JU$231,INT(($N243+40)/0.5)+1,INT(($O243+30)/0.5)+1)),"OUTSIDE GRID"))</f>
        <v/>
      </c>
      <c r="Q243">
        <f>IF($P243="","",$A243*1000+$B243)</f>
        <v/>
      </c>
    </row>
    <row r="244">
      <c r="A244">
        <f>INT((ROW()-2)/151)+1</f>
        <v/>
      </c>
      <c r="B244">
        <f>MOD(ROW()-2,151)</f>
        <v/>
      </c>
      <c r="C244">
        <f t="array" ref="C244">IFERROR(INDEX('TRIP MANAGER'!$O$18:$O$25,$A244),"")</f>
        <v/>
      </c>
      <c r="D244">
        <f t="array" ref="D244">IFERROR(INDEX('TRIP MANAGER'!$P$18:$P$25,$A244),"")</f>
        <v/>
      </c>
      <c r="E244">
        <f t="array" ref="E244">IFERROR(INDEX('TRIP MANAGER'!$Q$18:$Q$25,$A244),"")</f>
        <v/>
      </c>
      <c r="F244">
        <f t="array" ref="F244">IFERROR(INDEX('TRIP MANAGER'!$R$18:$R$25,$A244),"")</f>
        <v/>
      </c>
      <c r="G244">
        <f t="array" ref="G244">IFERROR(INDEX('TRIP MANAGER'!$S$18:$S$25,$A244),"")</f>
        <v/>
      </c>
      <c r="H244">
        <f>$B244/150</f>
        <v/>
      </c>
      <c r="I244">
        <f>IF(OR($G244="",$G244=0),"",SIN((1-$H244)*$G244)/SIN($G244))</f>
        <v/>
      </c>
      <c r="J244">
        <f>IF($I244="","",SIN($H244*$G244)/SIN($G244))</f>
        <v/>
      </c>
      <c r="K244">
        <f>IF($I244="","",$I244*COS(RADIANS($C244))*COS(RADIANS($D244))+$J244*COS(RADIANS($E244))*COS(RADIANS($F244)))</f>
        <v/>
      </c>
      <c r="L244">
        <f>IF($I244="","",$I244*COS(RADIANS($C244))*SIN(RADIANS($D244))+$J244*COS(RADIANS($E244))*SIN(RADIANS($F244)))</f>
        <v/>
      </c>
      <c r="M244">
        <f>IF($I244="","",$I244*SIN(RADIANS($C244))+$J244*SIN(RADIANS($E244)))</f>
        <v/>
      </c>
      <c r="N244">
        <f>IF($M244="","",DEGREES(ATAN2(SQRT($K244^2+$L244^2),$M244)))</f>
        <v/>
      </c>
      <c r="O244">
        <f>IF($M244="","",DEGREES(ATAN2($K244,$L244)))</f>
        <v/>
      </c>
      <c r="P244">
        <f t="array" ref="P244">IF($N244="","",IFERROR(IF(INDEX(geo_grid!$B$2:$JU$231,INT(($N244+40)/0.5)+1,INT(($O244+30)/0.5)+1)="","",INDEX(geo_grid!$B$2:$JU$231,INT(($N244+40)/0.5)+1,INT(($O244+30)/0.5)+1)),"OUTSIDE GRID"))</f>
        <v/>
      </c>
      <c r="Q244">
        <f>IF($P244="","",$A244*1000+$B244)</f>
        <v/>
      </c>
    </row>
    <row r="245">
      <c r="A245">
        <f>INT((ROW()-2)/151)+1</f>
        <v/>
      </c>
      <c r="B245">
        <f>MOD(ROW()-2,151)</f>
        <v/>
      </c>
      <c r="C245">
        <f t="array" ref="C245">IFERROR(INDEX('TRIP MANAGER'!$O$18:$O$25,$A245),"")</f>
        <v/>
      </c>
      <c r="D245">
        <f t="array" ref="D245">IFERROR(INDEX('TRIP MANAGER'!$P$18:$P$25,$A245),"")</f>
        <v/>
      </c>
      <c r="E245">
        <f t="array" ref="E245">IFERROR(INDEX('TRIP MANAGER'!$Q$18:$Q$25,$A245),"")</f>
        <v/>
      </c>
      <c r="F245">
        <f t="array" ref="F245">IFERROR(INDEX('TRIP MANAGER'!$R$18:$R$25,$A245),"")</f>
        <v/>
      </c>
      <c r="G245">
        <f t="array" ref="G245">IFERROR(INDEX('TRIP MANAGER'!$S$18:$S$25,$A245),"")</f>
        <v/>
      </c>
      <c r="H245">
        <f>$B245/150</f>
        <v/>
      </c>
      <c r="I245">
        <f>IF(OR($G245="",$G245=0),"",SIN((1-$H245)*$G245)/SIN($G245))</f>
        <v/>
      </c>
      <c r="J245">
        <f>IF($I245="","",SIN($H245*$G245)/SIN($G245))</f>
        <v/>
      </c>
      <c r="K245">
        <f>IF($I245="","",$I245*COS(RADIANS($C245))*COS(RADIANS($D245))+$J245*COS(RADIANS($E245))*COS(RADIANS($F245)))</f>
        <v/>
      </c>
      <c r="L245">
        <f>IF($I245="","",$I245*COS(RADIANS($C245))*SIN(RADIANS($D245))+$J245*COS(RADIANS($E245))*SIN(RADIANS($F245)))</f>
        <v/>
      </c>
      <c r="M245">
        <f>IF($I245="","",$I245*SIN(RADIANS($C245))+$J245*SIN(RADIANS($E245)))</f>
        <v/>
      </c>
      <c r="N245">
        <f>IF($M245="","",DEGREES(ATAN2(SQRT($K245^2+$L245^2),$M245)))</f>
        <v/>
      </c>
      <c r="O245">
        <f>IF($M245="","",DEGREES(ATAN2($K245,$L245)))</f>
        <v/>
      </c>
      <c r="P245">
        <f t="array" ref="P245">IF($N245="","",IFERROR(IF(INDEX(geo_grid!$B$2:$JU$231,INT(($N245+40)/0.5)+1,INT(($O245+30)/0.5)+1)="","",INDEX(geo_grid!$B$2:$JU$231,INT(($N245+40)/0.5)+1,INT(($O245+30)/0.5)+1)),"OUTSIDE GRID"))</f>
        <v/>
      </c>
      <c r="Q245">
        <f>IF($P245="","",$A245*1000+$B245)</f>
        <v/>
      </c>
    </row>
    <row r="246">
      <c r="A246">
        <f>INT((ROW()-2)/151)+1</f>
        <v/>
      </c>
      <c r="B246">
        <f>MOD(ROW()-2,151)</f>
        <v/>
      </c>
      <c r="C246">
        <f t="array" ref="C246">IFERROR(INDEX('TRIP MANAGER'!$O$18:$O$25,$A246),"")</f>
        <v/>
      </c>
      <c r="D246">
        <f t="array" ref="D246">IFERROR(INDEX('TRIP MANAGER'!$P$18:$P$25,$A246),"")</f>
        <v/>
      </c>
      <c r="E246">
        <f t="array" ref="E246">IFERROR(INDEX('TRIP MANAGER'!$Q$18:$Q$25,$A246),"")</f>
        <v/>
      </c>
      <c r="F246">
        <f t="array" ref="F246">IFERROR(INDEX('TRIP MANAGER'!$R$18:$R$25,$A246),"")</f>
        <v/>
      </c>
      <c r="G246">
        <f t="array" ref="G246">IFERROR(INDEX('TRIP MANAGER'!$S$18:$S$25,$A246),"")</f>
        <v/>
      </c>
      <c r="H246">
        <f>$B246/150</f>
        <v/>
      </c>
      <c r="I246">
        <f>IF(OR($G246="",$G246=0),"",SIN((1-$H246)*$G246)/SIN($G246))</f>
        <v/>
      </c>
      <c r="J246">
        <f>IF($I246="","",SIN($H246*$G246)/SIN($G246))</f>
        <v/>
      </c>
      <c r="K246">
        <f>IF($I246="","",$I246*COS(RADIANS($C246))*COS(RADIANS($D246))+$J246*COS(RADIANS($E246))*COS(RADIANS($F246)))</f>
        <v/>
      </c>
      <c r="L246">
        <f>IF($I246="","",$I246*COS(RADIANS($C246))*SIN(RADIANS($D246))+$J246*COS(RADIANS($E246))*SIN(RADIANS($F246)))</f>
        <v/>
      </c>
      <c r="M246">
        <f>IF($I246="","",$I246*SIN(RADIANS($C246))+$J246*SIN(RADIANS($E246)))</f>
        <v/>
      </c>
      <c r="N246">
        <f>IF($M246="","",DEGREES(ATAN2(SQRT($K246^2+$L246^2),$M246)))</f>
        <v/>
      </c>
      <c r="O246">
        <f>IF($M246="","",DEGREES(ATAN2($K246,$L246)))</f>
        <v/>
      </c>
      <c r="P246">
        <f t="array" ref="P246">IF($N246="","",IFERROR(IF(INDEX(geo_grid!$B$2:$JU$231,INT(($N246+40)/0.5)+1,INT(($O246+30)/0.5)+1)="","",INDEX(geo_grid!$B$2:$JU$231,INT(($N246+40)/0.5)+1,INT(($O246+30)/0.5)+1)),"OUTSIDE GRID"))</f>
        <v/>
      </c>
      <c r="Q246">
        <f>IF($P246="","",$A246*1000+$B246)</f>
        <v/>
      </c>
    </row>
    <row r="247">
      <c r="A247">
        <f>INT((ROW()-2)/151)+1</f>
        <v/>
      </c>
      <c r="B247">
        <f>MOD(ROW()-2,151)</f>
        <v/>
      </c>
      <c r="C247">
        <f t="array" ref="C247">IFERROR(INDEX('TRIP MANAGER'!$O$18:$O$25,$A247),"")</f>
        <v/>
      </c>
      <c r="D247">
        <f t="array" ref="D247">IFERROR(INDEX('TRIP MANAGER'!$P$18:$P$25,$A247),"")</f>
        <v/>
      </c>
      <c r="E247">
        <f t="array" ref="E247">IFERROR(INDEX('TRIP MANAGER'!$Q$18:$Q$25,$A247),"")</f>
        <v/>
      </c>
      <c r="F247">
        <f t="array" ref="F247">IFERROR(INDEX('TRIP MANAGER'!$R$18:$R$25,$A247),"")</f>
        <v/>
      </c>
      <c r="G247">
        <f t="array" ref="G247">IFERROR(INDEX('TRIP MANAGER'!$S$18:$S$25,$A247),"")</f>
        <v/>
      </c>
      <c r="H247">
        <f>$B247/150</f>
        <v/>
      </c>
      <c r="I247">
        <f>IF(OR($G247="",$G247=0),"",SIN((1-$H247)*$G247)/SIN($G247))</f>
        <v/>
      </c>
      <c r="J247">
        <f>IF($I247="","",SIN($H247*$G247)/SIN($G247))</f>
        <v/>
      </c>
      <c r="K247">
        <f>IF($I247="","",$I247*COS(RADIANS($C247))*COS(RADIANS($D247))+$J247*COS(RADIANS($E247))*COS(RADIANS($F247)))</f>
        <v/>
      </c>
      <c r="L247">
        <f>IF($I247="","",$I247*COS(RADIANS($C247))*SIN(RADIANS($D247))+$J247*COS(RADIANS($E247))*SIN(RADIANS($F247)))</f>
        <v/>
      </c>
      <c r="M247">
        <f>IF($I247="","",$I247*SIN(RADIANS($C247))+$J247*SIN(RADIANS($E247)))</f>
        <v/>
      </c>
      <c r="N247">
        <f>IF($M247="","",DEGREES(ATAN2(SQRT($K247^2+$L247^2),$M247)))</f>
        <v/>
      </c>
      <c r="O247">
        <f>IF($M247="","",DEGREES(ATAN2($K247,$L247)))</f>
        <v/>
      </c>
      <c r="P247">
        <f t="array" ref="P247">IF($N247="","",IFERROR(IF(INDEX(geo_grid!$B$2:$JU$231,INT(($N247+40)/0.5)+1,INT(($O247+30)/0.5)+1)="","",INDEX(geo_grid!$B$2:$JU$231,INT(($N247+40)/0.5)+1,INT(($O247+30)/0.5)+1)),"OUTSIDE GRID"))</f>
        <v/>
      </c>
      <c r="Q247">
        <f>IF($P247="","",$A247*1000+$B247)</f>
        <v/>
      </c>
    </row>
    <row r="248">
      <c r="A248">
        <f>INT((ROW()-2)/151)+1</f>
        <v/>
      </c>
      <c r="B248">
        <f>MOD(ROW()-2,151)</f>
        <v/>
      </c>
      <c r="C248">
        <f t="array" ref="C248">IFERROR(INDEX('TRIP MANAGER'!$O$18:$O$25,$A248),"")</f>
        <v/>
      </c>
      <c r="D248">
        <f t="array" ref="D248">IFERROR(INDEX('TRIP MANAGER'!$P$18:$P$25,$A248),"")</f>
        <v/>
      </c>
      <c r="E248">
        <f t="array" ref="E248">IFERROR(INDEX('TRIP MANAGER'!$Q$18:$Q$25,$A248),"")</f>
        <v/>
      </c>
      <c r="F248">
        <f t="array" ref="F248">IFERROR(INDEX('TRIP MANAGER'!$R$18:$R$25,$A248),"")</f>
        <v/>
      </c>
      <c r="G248">
        <f t="array" ref="G248">IFERROR(INDEX('TRIP MANAGER'!$S$18:$S$25,$A248),"")</f>
        <v/>
      </c>
      <c r="H248">
        <f>$B248/150</f>
        <v/>
      </c>
      <c r="I248">
        <f>IF(OR($G248="",$G248=0),"",SIN((1-$H248)*$G248)/SIN($G248))</f>
        <v/>
      </c>
      <c r="J248">
        <f>IF($I248="","",SIN($H248*$G248)/SIN($G248))</f>
        <v/>
      </c>
      <c r="K248">
        <f>IF($I248="","",$I248*COS(RADIANS($C248))*COS(RADIANS($D248))+$J248*COS(RADIANS($E248))*COS(RADIANS($F248)))</f>
        <v/>
      </c>
      <c r="L248">
        <f>IF($I248="","",$I248*COS(RADIANS($C248))*SIN(RADIANS($D248))+$J248*COS(RADIANS($E248))*SIN(RADIANS($F248)))</f>
        <v/>
      </c>
      <c r="M248">
        <f>IF($I248="","",$I248*SIN(RADIANS($C248))+$J248*SIN(RADIANS($E248)))</f>
        <v/>
      </c>
      <c r="N248">
        <f>IF($M248="","",DEGREES(ATAN2(SQRT($K248^2+$L248^2),$M248)))</f>
        <v/>
      </c>
      <c r="O248">
        <f>IF($M248="","",DEGREES(ATAN2($K248,$L248)))</f>
        <v/>
      </c>
      <c r="P248">
        <f t="array" ref="P248">IF($N248="","",IFERROR(IF(INDEX(geo_grid!$B$2:$JU$231,INT(($N248+40)/0.5)+1,INT(($O248+30)/0.5)+1)="","",INDEX(geo_grid!$B$2:$JU$231,INT(($N248+40)/0.5)+1,INT(($O248+30)/0.5)+1)),"OUTSIDE GRID"))</f>
        <v/>
      </c>
      <c r="Q248">
        <f>IF($P248="","",$A248*1000+$B248)</f>
        <v/>
      </c>
    </row>
    <row r="249">
      <c r="A249">
        <f>INT((ROW()-2)/151)+1</f>
        <v/>
      </c>
      <c r="B249">
        <f>MOD(ROW()-2,151)</f>
        <v/>
      </c>
      <c r="C249">
        <f t="array" ref="C249">IFERROR(INDEX('TRIP MANAGER'!$O$18:$O$25,$A249),"")</f>
        <v/>
      </c>
      <c r="D249">
        <f t="array" ref="D249">IFERROR(INDEX('TRIP MANAGER'!$P$18:$P$25,$A249),"")</f>
        <v/>
      </c>
      <c r="E249">
        <f t="array" ref="E249">IFERROR(INDEX('TRIP MANAGER'!$Q$18:$Q$25,$A249),"")</f>
        <v/>
      </c>
      <c r="F249">
        <f t="array" ref="F249">IFERROR(INDEX('TRIP MANAGER'!$R$18:$R$25,$A249),"")</f>
        <v/>
      </c>
      <c r="G249">
        <f t="array" ref="G249">IFERROR(INDEX('TRIP MANAGER'!$S$18:$S$25,$A249),"")</f>
        <v/>
      </c>
      <c r="H249">
        <f>$B249/150</f>
        <v/>
      </c>
      <c r="I249">
        <f>IF(OR($G249="",$G249=0),"",SIN((1-$H249)*$G249)/SIN($G249))</f>
        <v/>
      </c>
      <c r="J249">
        <f>IF($I249="","",SIN($H249*$G249)/SIN($G249))</f>
        <v/>
      </c>
      <c r="K249">
        <f>IF($I249="","",$I249*COS(RADIANS($C249))*COS(RADIANS($D249))+$J249*COS(RADIANS($E249))*COS(RADIANS($F249)))</f>
        <v/>
      </c>
      <c r="L249">
        <f>IF($I249="","",$I249*COS(RADIANS($C249))*SIN(RADIANS($D249))+$J249*COS(RADIANS($E249))*SIN(RADIANS($F249)))</f>
        <v/>
      </c>
      <c r="M249">
        <f>IF($I249="","",$I249*SIN(RADIANS($C249))+$J249*SIN(RADIANS($E249)))</f>
        <v/>
      </c>
      <c r="N249">
        <f>IF($M249="","",DEGREES(ATAN2(SQRT($K249^2+$L249^2),$M249)))</f>
        <v/>
      </c>
      <c r="O249">
        <f>IF($M249="","",DEGREES(ATAN2($K249,$L249)))</f>
        <v/>
      </c>
      <c r="P249">
        <f t="array" ref="P249">IF($N249="","",IFERROR(IF(INDEX(geo_grid!$B$2:$JU$231,INT(($N249+40)/0.5)+1,INT(($O249+30)/0.5)+1)="","",INDEX(geo_grid!$B$2:$JU$231,INT(($N249+40)/0.5)+1,INT(($O249+30)/0.5)+1)),"OUTSIDE GRID"))</f>
        <v/>
      </c>
      <c r="Q249">
        <f>IF($P249="","",$A249*1000+$B249)</f>
        <v/>
      </c>
    </row>
    <row r="250">
      <c r="A250">
        <f>INT((ROW()-2)/151)+1</f>
        <v/>
      </c>
      <c r="B250">
        <f>MOD(ROW()-2,151)</f>
        <v/>
      </c>
      <c r="C250">
        <f t="array" ref="C250">IFERROR(INDEX('TRIP MANAGER'!$O$18:$O$25,$A250),"")</f>
        <v/>
      </c>
      <c r="D250">
        <f t="array" ref="D250">IFERROR(INDEX('TRIP MANAGER'!$P$18:$P$25,$A250),"")</f>
        <v/>
      </c>
      <c r="E250">
        <f t="array" ref="E250">IFERROR(INDEX('TRIP MANAGER'!$Q$18:$Q$25,$A250),"")</f>
        <v/>
      </c>
      <c r="F250">
        <f t="array" ref="F250">IFERROR(INDEX('TRIP MANAGER'!$R$18:$R$25,$A250),"")</f>
        <v/>
      </c>
      <c r="G250">
        <f t="array" ref="G250">IFERROR(INDEX('TRIP MANAGER'!$S$18:$S$25,$A250),"")</f>
        <v/>
      </c>
      <c r="H250">
        <f>$B250/150</f>
        <v/>
      </c>
      <c r="I250">
        <f>IF(OR($G250="",$G250=0),"",SIN((1-$H250)*$G250)/SIN($G250))</f>
        <v/>
      </c>
      <c r="J250">
        <f>IF($I250="","",SIN($H250*$G250)/SIN($G250))</f>
        <v/>
      </c>
      <c r="K250">
        <f>IF($I250="","",$I250*COS(RADIANS($C250))*COS(RADIANS($D250))+$J250*COS(RADIANS($E250))*COS(RADIANS($F250)))</f>
        <v/>
      </c>
      <c r="L250">
        <f>IF($I250="","",$I250*COS(RADIANS($C250))*SIN(RADIANS($D250))+$J250*COS(RADIANS($E250))*SIN(RADIANS($F250)))</f>
        <v/>
      </c>
      <c r="M250">
        <f>IF($I250="","",$I250*SIN(RADIANS($C250))+$J250*SIN(RADIANS($E250)))</f>
        <v/>
      </c>
      <c r="N250">
        <f>IF($M250="","",DEGREES(ATAN2(SQRT($K250^2+$L250^2),$M250)))</f>
        <v/>
      </c>
      <c r="O250">
        <f>IF($M250="","",DEGREES(ATAN2($K250,$L250)))</f>
        <v/>
      </c>
      <c r="P250">
        <f t="array" ref="P250">IF($N250="","",IFERROR(IF(INDEX(geo_grid!$B$2:$JU$231,INT(($N250+40)/0.5)+1,INT(($O250+30)/0.5)+1)="","",INDEX(geo_grid!$B$2:$JU$231,INT(($N250+40)/0.5)+1,INT(($O250+30)/0.5)+1)),"OUTSIDE GRID"))</f>
        <v/>
      </c>
      <c r="Q250">
        <f>IF($P250="","",$A250*1000+$B250)</f>
        <v/>
      </c>
    </row>
    <row r="251">
      <c r="A251">
        <f>INT((ROW()-2)/151)+1</f>
        <v/>
      </c>
      <c r="B251">
        <f>MOD(ROW()-2,151)</f>
        <v/>
      </c>
      <c r="C251">
        <f t="array" ref="C251">IFERROR(INDEX('TRIP MANAGER'!$O$18:$O$25,$A251),"")</f>
        <v/>
      </c>
      <c r="D251">
        <f t="array" ref="D251">IFERROR(INDEX('TRIP MANAGER'!$P$18:$P$25,$A251),"")</f>
        <v/>
      </c>
      <c r="E251">
        <f t="array" ref="E251">IFERROR(INDEX('TRIP MANAGER'!$Q$18:$Q$25,$A251),"")</f>
        <v/>
      </c>
      <c r="F251">
        <f t="array" ref="F251">IFERROR(INDEX('TRIP MANAGER'!$R$18:$R$25,$A251),"")</f>
        <v/>
      </c>
      <c r="G251">
        <f t="array" ref="G251">IFERROR(INDEX('TRIP MANAGER'!$S$18:$S$25,$A251),"")</f>
        <v/>
      </c>
      <c r="H251">
        <f>$B251/150</f>
        <v/>
      </c>
      <c r="I251">
        <f>IF(OR($G251="",$G251=0),"",SIN((1-$H251)*$G251)/SIN($G251))</f>
        <v/>
      </c>
      <c r="J251">
        <f>IF($I251="","",SIN($H251*$G251)/SIN($G251))</f>
        <v/>
      </c>
      <c r="K251">
        <f>IF($I251="","",$I251*COS(RADIANS($C251))*COS(RADIANS($D251))+$J251*COS(RADIANS($E251))*COS(RADIANS($F251)))</f>
        <v/>
      </c>
      <c r="L251">
        <f>IF($I251="","",$I251*COS(RADIANS($C251))*SIN(RADIANS($D251))+$J251*COS(RADIANS($E251))*SIN(RADIANS($F251)))</f>
        <v/>
      </c>
      <c r="M251">
        <f>IF($I251="","",$I251*SIN(RADIANS($C251))+$J251*SIN(RADIANS($E251)))</f>
        <v/>
      </c>
      <c r="N251">
        <f>IF($M251="","",DEGREES(ATAN2(SQRT($K251^2+$L251^2),$M251)))</f>
        <v/>
      </c>
      <c r="O251">
        <f>IF($M251="","",DEGREES(ATAN2($K251,$L251)))</f>
        <v/>
      </c>
      <c r="P251">
        <f t="array" ref="P251">IF($N251="","",IFERROR(IF(INDEX(geo_grid!$B$2:$JU$231,INT(($N251+40)/0.5)+1,INT(($O251+30)/0.5)+1)="","",INDEX(geo_grid!$B$2:$JU$231,INT(($N251+40)/0.5)+1,INT(($O251+30)/0.5)+1)),"OUTSIDE GRID"))</f>
        <v/>
      </c>
      <c r="Q251">
        <f>IF($P251="","",$A251*1000+$B251)</f>
        <v/>
      </c>
    </row>
    <row r="252">
      <c r="A252">
        <f>INT((ROW()-2)/151)+1</f>
        <v/>
      </c>
      <c r="B252">
        <f>MOD(ROW()-2,151)</f>
        <v/>
      </c>
      <c r="C252">
        <f t="array" ref="C252">IFERROR(INDEX('TRIP MANAGER'!$O$18:$O$25,$A252),"")</f>
        <v/>
      </c>
      <c r="D252">
        <f t="array" ref="D252">IFERROR(INDEX('TRIP MANAGER'!$P$18:$P$25,$A252),"")</f>
        <v/>
      </c>
      <c r="E252">
        <f t="array" ref="E252">IFERROR(INDEX('TRIP MANAGER'!$Q$18:$Q$25,$A252),"")</f>
        <v/>
      </c>
      <c r="F252">
        <f t="array" ref="F252">IFERROR(INDEX('TRIP MANAGER'!$R$18:$R$25,$A252),"")</f>
        <v/>
      </c>
      <c r="G252">
        <f t="array" ref="G252">IFERROR(INDEX('TRIP MANAGER'!$S$18:$S$25,$A252),"")</f>
        <v/>
      </c>
      <c r="H252">
        <f>$B252/150</f>
        <v/>
      </c>
      <c r="I252">
        <f>IF(OR($G252="",$G252=0),"",SIN((1-$H252)*$G252)/SIN($G252))</f>
        <v/>
      </c>
      <c r="J252">
        <f>IF($I252="","",SIN($H252*$G252)/SIN($G252))</f>
        <v/>
      </c>
      <c r="K252">
        <f>IF($I252="","",$I252*COS(RADIANS($C252))*COS(RADIANS($D252))+$J252*COS(RADIANS($E252))*COS(RADIANS($F252)))</f>
        <v/>
      </c>
      <c r="L252">
        <f>IF($I252="","",$I252*COS(RADIANS($C252))*SIN(RADIANS($D252))+$J252*COS(RADIANS($E252))*SIN(RADIANS($F252)))</f>
        <v/>
      </c>
      <c r="M252">
        <f>IF($I252="","",$I252*SIN(RADIANS($C252))+$J252*SIN(RADIANS($E252)))</f>
        <v/>
      </c>
      <c r="N252">
        <f>IF($M252="","",DEGREES(ATAN2(SQRT($K252^2+$L252^2),$M252)))</f>
        <v/>
      </c>
      <c r="O252">
        <f>IF($M252="","",DEGREES(ATAN2($K252,$L252)))</f>
        <v/>
      </c>
      <c r="P252">
        <f t="array" ref="P252">IF($N252="","",IFERROR(IF(INDEX(geo_grid!$B$2:$JU$231,INT(($N252+40)/0.5)+1,INT(($O252+30)/0.5)+1)="","",INDEX(geo_grid!$B$2:$JU$231,INT(($N252+40)/0.5)+1,INT(($O252+30)/0.5)+1)),"OUTSIDE GRID"))</f>
        <v/>
      </c>
      <c r="Q252">
        <f>IF($P252="","",$A252*1000+$B252)</f>
        <v/>
      </c>
    </row>
    <row r="253">
      <c r="A253">
        <f>INT((ROW()-2)/151)+1</f>
        <v/>
      </c>
      <c r="B253">
        <f>MOD(ROW()-2,151)</f>
        <v/>
      </c>
      <c r="C253">
        <f t="array" ref="C253">IFERROR(INDEX('TRIP MANAGER'!$O$18:$O$25,$A253),"")</f>
        <v/>
      </c>
      <c r="D253">
        <f t="array" ref="D253">IFERROR(INDEX('TRIP MANAGER'!$P$18:$P$25,$A253),"")</f>
        <v/>
      </c>
      <c r="E253">
        <f t="array" ref="E253">IFERROR(INDEX('TRIP MANAGER'!$Q$18:$Q$25,$A253),"")</f>
        <v/>
      </c>
      <c r="F253">
        <f t="array" ref="F253">IFERROR(INDEX('TRIP MANAGER'!$R$18:$R$25,$A253),"")</f>
        <v/>
      </c>
      <c r="G253">
        <f t="array" ref="G253">IFERROR(INDEX('TRIP MANAGER'!$S$18:$S$25,$A253),"")</f>
        <v/>
      </c>
      <c r="H253">
        <f>$B253/150</f>
        <v/>
      </c>
      <c r="I253">
        <f>IF(OR($G253="",$G253=0),"",SIN((1-$H253)*$G253)/SIN($G253))</f>
        <v/>
      </c>
      <c r="J253">
        <f>IF($I253="","",SIN($H253*$G253)/SIN($G253))</f>
        <v/>
      </c>
      <c r="K253">
        <f>IF($I253="","",$I253*COS(RADIANS($C253))*COS(RADIANS($D253))+$J253*COS(RADIANS($E253))*COS(RADIANS($F253)))</f>
        <v/>
      </c>
      <c r="L253">
        <f>IF($I253="","",$I253*COS(RADIANS($C253))*SIN(RADIANS($D253))+$J253*COS(RADIANS($E253))*SIN(RADIANS($F253)))</f>
        <v/>
      </c>
      <c r="M253">
        <f>IF($I253="","",$I253*SIN(RADIANS($C253))+$J253*SIN(RADIANS($E253)))</f>
        <v/>
      </c>
      <c r="N253">
        <f>IF($M253="","",DEGREES(ATAN2(SQRT($K253^2+$L253^2),$M253)))</f>
        <v/>
      </c>
      <c r="O253">
        <f>IF($M253="","",DEGREES(ATAN2($K253,$L253)))</f>
        <v/>
      </c>
      <c r="P253">
        <f t="array" ref="P253">IF($N253="","",IFERROR(IF(INDEX(geo_grid!$B$2:$JU$231,INT(($N253+40)/0.5)+1,INT(($O253+30)/0.5)+1)="","",INDEX(geo_grid!$B$2:$JU$231,INT(($N253+40)/0.5)+1,INT(($O253+30)/0.5)+1)),"OUTSIDE GRID"))</f>
        <v/>
      </c>
      <c r="Q253">
        <f>IF($P253="","",$A253*1000+$B253)</f>
        <v/>
      </c>
    </row>
    <row r="254">
      <c r="A254">
        <f>INT((ROW()-2)/151)+1</f>
        <v/>
      </c>
      <c r="B254">
        <f>MOD(ROW()-2,151)</f>
        <v/>
      </c>
      <c r="C254">
        <f t="array" ref="C254">IFERROR(INDEX('TRIP MANAGER'!$O$18:$O$25,$A254),"")</f>
        <v/>
      </c>
      <c r="D254">
        <f t="array" ref="D254">IFERROR(INDEX('TRIP MANAGER'!$P$18:$P$25,$A254),"")</f>
        <v/>
      </c>
      <c r="E254">
        <f t="array" ref="E254">IFERROR(INDEX('TRIP MANAGER'!$Q$18:$Q$25,$A254),"")</f>
        <v/>
      </c>
      <c r="F254">
        <f t="array" ref="F254">IFERROR(INDEX('TRIP MANAGER'!$R$18:$R$25,$A254),"")</f>
        <v/>
      </c>
      <c r="G254">
        <f t="array" ref="G254">IFERROR(INDEX('TRIP MANAGER'!$S$18:$S$25,$A254),"")</f>
        <v/>
      </c>
      <c r="H254">
        <f>$B254/150</f>
        <v/>
      </c>
      <c r="I254">
        <f>IF(OR($G254="",$G254=0),"",SIN((1-$H254)*$G254)/SIN($G254))</f>
        <v/>
      </c>
      <c r="J254">
        <f>IF($I254="","",SIN($H254*$G254)/SIN($G254))</f>
        <v/>
      </c>
      <c r="K254">
        <f>IF($I254="","",$I254*COS(RADIANS($C254))*COS(RADIANS($D254))+$J254*COS(RADIANS($E254))*COS(RADIANS($F254)))</f>
        <v/>
      </c>
      <c r="L254">
        <f>IF($I254="","",$I254*COS(RADIANS($C254))*SIN(RADIANS($D254))+$J254*COS(RADIANS($E254))*SIN(RADIANS($F254)))</f>
        <v/>
      </c>
      <c r="M254">
        <f>IF($I254="","",$I254*SIN(RADIANS($C254))+$J254*SIN(RADIANS($E254)))</f>
        <v/>
      </c>
      <c r="N254">
        <f>IF($M254="","",DEGREES(ATAN2(SQRT($K254^2+$L254^2),$M254)))</f>
        <v/>
      </c>
      <c r="O254">
        <f>IF($M254="","",DEGREES(ATAN2($K254,$L254)))</f>
        <v/>
      </c>
      <c r="P254">
        <f t="array" ref="P254">IF($N254="","",IFERROR(IF(INDEX(geo_grid!$B$2:$JU$231,INT(($N254+40)/0.5)+1,INT(($O254+30)/0.5)+1)="","",INDEX(geo_grid!$B$2:$JU$231,INT(($N254+40)/0.5)+1,INT(($O254+30)/0.5)+1)),"OUTSIDE GRID"))</f>
        <v/>
      </c>
      <c r="Q254">
        <f>IF($P254="","",$A254*1000+$B254)</f>
        <v/>
      </c>
    </row>
    <row r="255">
      <c r="A255">
        <f>INT((ROW()-2)/151)+1</f>
        <v/>
      </c>
      <c r="B255">
        <f>MOD(ROW()-2,151)</f>
        <v/>
      </c>
      <c r="C255">
        <f t="array" ref="C255">IFERROR(INDEX('TRIP MANAGER'!$O$18:$O$25,$A255),"")</f>
        <v/>
      </c>
      <c r="D255">
        <f t="array" ref="D255">IFERROR(INDEX('TRIP MANAGER'!$P$18:$P$25,$A255),"")</f>
        <v/>
      </c>
      <c r="E255">
        <f t="array" ref="E255">IFERROR(INDEX('TRIP MANAGER'!$Q$18:$Q$25,$A255),"")</f>
        <v/>
      </c>
      <c r="F255">
        <f t="array" ref="F255">IFERROR(INDEX('TRIP MANAGER'!$R$18:$R$25,$A255),"")</f>
        <v/>
      </c>
      <c r="G255">
        <f t="array" ref="G255">IFERROR(INDEX('TRIP MANAGER'!$S$18:$S$25,$A255),"")</f>
        <v/>
      </c>
      <c r="H255">
        <f>$B255/150</f>
        <v/>
      </c>
      <c r="I255">
        <f>IF(OR($G255="",$G255=0),"",SIN((1-$H255)*$G255)/SIN($G255))</f>
        <v/>
      </c>
      <c r="J255">
        <f>IF($I255="","",SIN($H255*$G255)/SIN($G255))</f>
        <v/>
      </c>
      <c r="K255">
        <f>IF($I255="","",$I255*COS(RADIANS($C255))*COS(RADIANS($D255))+$J255*COS(RADIANS($E255))*COS(RADIANS($F255)))</f>
        <v/>
      </c>
      <c r="L255">
        <f>IF($I255="","",$I255*COS(RADIANS($C255))*SIN(RADIANS($D255))+$J255*COS(RADIANS($E255))*SIN(RADIANS($F255)))</f>
        <v/>
      </c>
      <c r="M255">
        <f>IF($I255="","",$I255*SIN(RADIANS($C255))+$J255*SIN(RADIANS($E255)))</f>
        <v/>
      </c>
      <c r="N255">
        <f>IF($M255="","",DEGREES(ATAN2(SQRT($K255^2+$L255^2),$M255)))</f>
        <v/>
      </c>
      <c r="O255">
        <f>IF($M255="","",DEGREES(ATAN2($K255,$L255)))</f>
        <v/>
      </c>
      <c r="P255">
        <f t="array" ref="P255">IF($N255="","",IFERROR(IF(INDEX(geo_grid!$B$2:$JU$231,INT(($N255+40)/0.5)+1,INT(($O255+30)/0.5)+1)="","",INDEX(geo_grid!$B$2:$JU$231,INT(($N255+40)/0.5)+1,INT(($O255+30)/0.5)+1)),"OUTSIDE GRID"))</f>
        <v/>
      </c>
      <c r="Q255">
        <f>IF($P255="","",$A255*1000+$B255)</f>
        <v/>
      </c>
    </row>
    <row r="256">
      <c r="A256">
        <f>INT((ROW()-2)/151)+1</f>
        <v/>
      </c>
      <c r="B256">
        <f>MOD(ROW()-2,151)</f>
        <v/>
      </c>
      <c r="C256">
        <f t="array" ref="C256">IFERROR(INDEX('TRIP MANAGER'!$O$18:$O$25,$A256),"")</f>
        <v/>
      </c>
      <c r="D256">
        <f t="array" ref="D256">IFERROR(INDEX('TRIP MANAGER'!$P$18:$P$25,$A256),"")</f>
        <v/>
      </c>
      <c r="E256">
        <f t="array" ref="E256">IFERROR(INDEX('TRIP MANAGER'!$Q$18:$Q$25,$A256),"")</f>
        <v/>
      </c>
      <c r="F256">
        <f t="array" ref="F256">IFERROR(INDEX('TRIP MANAGER'!$R$18:$R$25,$A256),"")</f>
        <v/>
      </c>
      <c r="G256">
        <f t="array" ref="G256">IFERROR(INDEX('TRIP MANAGER'!$S$18:$S$25,$A256),"")</f>
        <v/>
      </c>
      <c r="H256">
        <f>$B256/150</f>
        <v/>
      </c>
      <c r="I256">
        <f>IF(OR($G256="",$G256=0),"",SIN((1-$H256)*$G256)/SIN($G256))</f>
        <v/>
      </c>
      <c r="J256">
        <f>IF($I256="","",SIN($H256*$G256)/SIN($G256))</f>
        <v/>
      </c>
      <c r="K256">
        <f>IF($I256="","",$I256*COS(RADIANS($C256))*COS(RADIANS($D256))+$J256*COS(RADIANS($E256))*COS(RADIANS($F256)))</f>
        <v/>
      </c>
      <c r="L256">
        <f>IF($I256="","",$I256*COS(RADIANS($C256))*SIN(RADIANS($D256))+$J256*COS(RADIANS($E256))*SIN(RADIANS($F256)))</f>
        <v/>
      </c>
      <c r="M256">
        <f>IF($I256="","",$I256*SIN(RADIANS($C256))+$J256*SIN(RADIANS($E256)))</f>
        <v/>
      </c>
      <c r="N256">
        <f>IF($M256="","",DEGREES(ATAN2(SQRT($K256^2+$L256^2),$M256)))</f>
        <v/>
      </c>
      <c r="O256">
        <f>IF($M256="","",DEGREES(ATAN2($K256,$L256)))</f>
        <v/>
      </c>
      <c r="P256">
        <f t="array" ref="P256">IF($N256="","",IFERROR(IF(INDEX(geo_grid!$B$2:$JU$231,INT(($N256+40)/0.5)+1,INT(($O256+30)/0.5)+1)="","",INDEX(geo_grid!$B$2:$JU$231,INT(($N256+40)/0.5)+1,INT(($O256+30)/0.5)+1)),"OUTSIDE GRID"))</f>
        <v/>
      </c>
      <c r="Q256">
        <f>IF($P256="","",$A256*1000+$B256)</f>
        <v/>
      </c>
    </row>
    <row r="257">
      <c r="A257">
        <f>INT((ROW()-2)/151)+1</f>
        <v/>
      </c>
      <c r="B257">
        <f>MOD(ROW()-2,151)</f>
        <v/>
      </c>
      <c r="C257">
        <f t="array" ref="C257">IFERROR(INDEX('TRIP MANAGER'!$O$18:$O$25,$A257),"")</f>
        <v/>
      </c>
      <c r="D257">
        <f t="array" ref="D257">IFERROR(INDEX('TRIP MANAGER'!$P$18:$P$25,$A257),"")</f>
        <v/>
      </c>
      <c r="E257">
        <f t="array" ref="E257">IFERROR(INDEX('TRIP MANAGER'!$Q$18:$Q$25,$A257),"")</f>
        <v/>
      </c>
      <c r="F257">
        <f t="array" ref="F257">IFERROR(INDEX('TRIP MANAGER'!$R$18:$R$25,$A257),"")</f>
        <v/>
      </c>
      <c r="G257">
        <f t="array" ref="G257">IFERROR(INDEX('TRIP MANAGER'!$S$18:$S$25,$A257),"")</f>
        <v/>
      </c>
      <c r="H257">
        <f>$B257/150</f>
        <v/>
      </c>
      <c r="I257">
        <f>IF(OR($G257="",$G257=0),"",SIN((1-$H257)*$G257)/SIN($G257))</f>
        <v/>
      </c>
      <c r="J257">
        <f>IF($I257="","",SIN($H257*$G257)/SIN($G257))</f>
        <v/>
      </c>
      <c r="K257">
        <f>IF($I257="","",$I257*COS(RADIANS($C257))*COS(RADIANS($D257))+$J257*COS(RADIANS($E257))*COS(RADIANS($F257)))</f>
        <v/>
      </c>
      <c r="L257">
        <f>IF($I257="","",$I257*COS(RADIANS($C257))*SIN(RADIANS($D257))+$J257*COS(RADIANS($E257))*SIN(RADIANS($F257)))</f>
        <v/>
      </c>
      <c r="M257">
        <f>IF($I257="","",$I257*SIN(RADIANS($C257))+$J257*SIN(RADIANS($E257)))</f>
        <v/>
      </c>
      <c r="N257">
        <f>IF($M257="","",DEGREES(ATAN2(SQRT($K257^2+$L257^2),$M257)))</f>
        <v/>
      </c>
      <c r="O257">
        <f>IF($M257="","",DEGREES(ATAN2($K257,$L257)))</f>
        <v/>
      </c>
      <c r="P257">
        <f t="array" ref="P257">IF($N257="","",IFERROR(IF(INDEX(geo_grid!$B$2:$JU$231,INT(($N257+40)/0.5)+1,INT(($O257+30)/0.5)+1)="","",INDEX(geo_grid!$B$2:$JU$231,INT(($N257+40)/0.5)+1,INT(($O257+30)/0.5)+1)),"OUTSIDE GRID"))</f>
        <v/>
      </c>
      <c r="Q257">
        <f>IF($P257="","",$A257*1000+$B257)</f>
        <v/>
      </c>
    </row>
    <row r="258">
      <c r="A258">
        <f>INT((ROW()-2)/151)+1</f>
        <v/>
      </c>
      <c r="B258">
        <f>MOD(ROW()-2,151)</f>
        <v/>
      </c>
      <c r="C258">
        <f t="array" ref="C258">IFERROR(INDEX('TRIP MANAGER'!$O$18:$O$25,$A258),"")</f>
        <v/>
      </c>
      <c r="D258">
        <f t="array" ref="D258">IFERROR(INDEX('TRIP MANAGER'!$P$18:$P$25,$A258),"")</f>
        <v/>
      </c>
      <c r="E258">
        <f t="array" ref="E258">IFERROR(INDEX('TRIP MANAGER'!$Q$18:$Q$25,$A258),"")</f>
        <v/>
      </c>
      <c r="F258">
        <f t="array" ref="F258">IFERROR(INDEX('TRIP MANAGER'!$R$18:$R$25,$A258),"")</f>
        <v/>
      </c>
      <c r="G258">
        <f t="array" ref="G258">IFERROR(INDEX('TRIP MANAGER'!$S$18:$S$25,$A258),"")</f>
        <v/>
      </c>
      <c r="H258">
        <f>$B258/150</f>
        <v/>
      </c>
      <c r="I258">
        <f>IF(OR($G258="",$G258=0),"",SIN((1-$H258)*$G258)/SIN($G258))</f>
        <v/>
      </c>
      <c r="J258">
        <f>IF($I258="","",SIN($H258*$G258)/SIN($G258))</f>
        <v/>
      </c>
      <c r="K258">
        <f>IF($I258="","",$I258*COS(RADIANS($C258))*COS(RADIANS($D258))+$J258*COS(RADIANS($E258))*COS(RADIANS($F258)))</f>
        <v/>
      </c>
      <c r="L258">
        <f>IF($I258="","",$I258*COS(RADIANS($C258))*SIN(RADIANS($D258))+$J258*COS(RADIANS($E258))*SIN(RADIANS($F258)))</f>
        <v/>
      </c>
      <c r="M258">
        <f>IF($I258="","",$I258*SIN(RADIANS($C258))+$J258*SIN(RADIANS($E258)))</f>
        <v/>
      </c>
      <c r="N258">
        <f>IF($M258="","",DEGREES(ATAN2(SQRT($K258^2+$L258^2),$M258)))</f>
        <v/>
      </c>
      <c r="O258">
        <f>IF($M258="","",DEGREES(ATAN2($K258,$L258)))</f>
        <v/>
      </c>
      <c r="P258">
        <f t="array" ref="P258">IF($N258="","",IFERROR(IF(INDEX(geo_grid!$B$2:$JU$231,INT(($N258+40)/0.5)+1,INT(($O258+30)/0.5)+1)="","",INDEX(geo_grid!$B$2:$JU$231,INT(($N258+40)/0.5)+1,INT(($O258+30)/0.5)+1)),"OUTSIDE GRID"))</f>
        <v/>
      </c>
      <c r="Q258">
        <f>IF($P258="","",$A258*1000+$B258)</f>
        <v/>
      </c>
    </row>
    <row r="259">
      <c r="A259">
        <f>INT((ROW()-2)/151)+1</f>
        <v/>
      </c>
      <c r="B259">
        <f>MOD(ROW()-2,151)</f>
        <v/>
      </c>
      <c r="C259">
        <f t="array" ref="C259">IFERROR(INDEX('TRIP MANAGER'!$O$18:$O$25,$A259),"")</f>
        <v/>
      </c>
      <c r="D259">
        <f t="array" ref="D259">IFERROR(INDEX('TRIP MANAGER'!$P$18:$P$25,$A259),"")</f>
        <v/>
      </c>
      <c r="E259">
        <f t="array" ref="E259">IFERROR(INDEX('TRIP MANAGER'!$Q$18:$Q$25,$A259),"")</f>
        <v/>
      </c>
      <c r="F259">
        <f t="array" ref="F259">IFERROR(INDEX('TRIP MANAGER'!$R$18:$R$25,$A259),"")</f>
        <v/>
      </c>
      <c r="G259">
        <f t="array" ref="G259">IFERROR(INDEX('TRIP MANAGER'!$S$18:$S$25,$A259),"")</f>
        <v/>
      </c>
      <c r="H259">
        <f>$B259/150</f>
        <v/>
      </c>
      <c r="I259">
        <f>IF(OR($G259="",$G259=0),"",SIN((1-$H259)*$G259)/SIN($G259))</f>
        <v/>
      </c>
      <c r="J259">
        <f>IF($I259="","",SIN($H259*$G259)/SIN($G259))</f>
        <v/>
      </c>
      <c r="K259">
        <f>IF($I259="","",$I259*COS(RADIANS($C259))*COS(RADIANS($D259))+$J259*COS(RADIANS($E259))*COS(RADIANS($F259)))</f>
        <v/>
      </c>
      <c r="L259">
        <f>IF($I259="","",$I259*COS(RADIANS($C259))*SIN(RADIANS($D259))+$J259*COS(RADIANS($E259))*SIN(RADIANS($F259)))</f>
        <v/>
      </c>
      <c r="M259">
        <f>IF($I259="","",$I259*SIN(RADIANS($C259))+$J259*SIN(RADIANS($E259)))</f>
        <v/>
      </c>
      <c r="N259">
        <f>IF($M259="","",DEGREES(ATAN2(SQRT($K259^2+$L259^2),$M259)))</f>
        <v/>
      </c>
      <c r="O259">
        <f>IF($M259="","",DEGREES(ATAN2($K259,$L259)))</f>
        <v/>
      </c>
      <c r="P259">
        <f t="array" ref="P259">IF($N259="","",IFERROR(IF(INDEX(geo_grid!$B$2:$JU$231,INT(($N259+40)/0.5)+1,INT(($O259+30)/0.5)+1)="","",INDEX(geo_grid!$B$2:$JU$231,INT(($N259+40)/0.5)+1,INT(($O259+30)/0.5)+1)),"OUTSIDE GRID"))</f>
        <v/>
      </c>
      <c r="Q259">
        <f>IF($P259="","",$A259*1000+$B259)</f>
        <v/>
      </c>
    </row>
    <row r="260">
      <c r="A260">
        <f>INT((ROW()-2)/151)+1</f>
        <v/>
      </c>
      <c r="B260">
        <f>MOD(ROW()-2,151)</f>
        <v/>
      </c>
      <c r="C260">
        <f t="array" ref="C260">IFERROR(INDEX('TRIP MANAGER'!$O$18:$O$25,$A260),"")</f>
        <v/>
      </c>
      <c r="D260">
        <f t="array" ref="D260">IFERROR(INDEX('TRIP MANAGER'!$P$18:$P$25,$A260),"")</f>
        <v/>
      </c>
      <c r="E260">
        <f t="array" ref="E260">IFERROR(INDEX('TRIP MANAGER'!$Q$18:$Q$25,$A260),"")</f>
        <v/>
      </c>
      <c r="F260">
        <f t="array" ref="F260">IFERROR(INDEX('TRIP MANAGER'!$R$18:$R$25,$A260),"")</f>
        <v/>
      </c>
      <c r="G260">
        <f t="array" ref="G260">IFERROR(INDEX('TRIP MANAGER'!$S$18:$S$25,$A260),"")</f>
        <v/>
      </c>
      <c r="H260">
        <f>$B260/150</f>
        <v/>
      </c>
      <c r="I260">
        <f>IF(OR($G260="",$G260=0),"",SIN((1-$H260)*$G260)/SIN($G260))</f>
        <v/>
      </c>
      <c r="J260">
        <f>IF($I260="","",SIN($H260*$G260)/SIN($G260))</f>
        <v/>
      </c>
      <c r="K260">
        <f>IF($I260="","",$I260*COS(RADIANS($C260))*COS(RADIANS($D260))+$J260*COS(RADIANS($E260))*COS(RADIANS($F260)))</f>
        <v/>
      </c>
      <c r="L260">
        <f>IF($I260="","",$I260*COS(RADIANS($C260))*SIN(RADIANS($D260))+$J260*COS(RADIANS($E260))*SIN(RADIANS($F260)))</f>
        <v/>
      </c>
      <c r="M260">
        <f>IF($I260="","",$I260*SIN(RADIANS($C260))+$J260*SIN(RADIANS($E260)))</f>
        <v/>
      </c>
      <c r="N260">
        <f>IF($M260="","",DEGREES(ATAN2(SQRT($K260^2+$L260^2),$M260)))</f>
        <v/>
      </c>
      <c r="O260">
        <f>IF($M260="","",DEGREES(ATAN2($K260,$L260)))</f>
        <v/>
      </c>
      <c r="P260">
        <f t="array" ref="P260">IF($N260="","",IFERROR(IF(INDEX(geo_grid!$B$2:$JU$231,INT(($N260+40)/0.5)+1,INT(($O260+30)/0.5)+1)="","",INDEX(geo_grid!$B$2:$JU$231,INT(($N260+40)/0.5)+1,INT(($O260+30)/0.5)+1)),"OUTSIDE GRID"))</f>
        <v/>
      </c>
      <c r="Q260">
        <f>IF($P260="","",$A260*1000+$B260)</f>
        <v/>
      </c>
    </row>
    <row r="261">
      <c r="A261">
        <f>INT((ROW()-2)/151)+1</f>
        <v/>
      </c>
      <c r="B261">
        <f>MOD(ROW()-2,151)</f>
        <v/>
      </c>
      <c r="C261">
        <f t="array" ref="C261">IFERROR(INDEX('TRIP MANAGER'!$O$18:$O$25,$A261),"")</f>
        <v/>
      </c>
      <c r="D261">
        <f t="array" ref="D261">IFERROR(INDEX('TRIP MANAGER'!$P$18:$P$25,$A261),"")</f>
        <v/>
      </c>
      <c r="E261">
        <f t="array" ref="E261">IFERROR(INDEX('TRIP MANAGER'!$Q$18:$Q$25,$A261),"")</f>
        <v/>
      </c>
      <c r="F261">
        <f t="array" ref="F261">IFERROR(INDEX('TRIP MANAGER'!$R$18:$R$25,$A261),"")</f>
        <v/>
      </c>
      <c r="G261">
        <f t="array" ref="G261">IFERROR(INDEX('TRIP MANAGER'!$S$18:$S$25,$A261),"")</f>
        <v/>
      </c>
      <c r="H261">
        <f>$B261/150</f>
        <v/>
      </c>
      <c r="I261">
        <f>IF(OR($G261="",$G261=0),"",SIN((1-$H261)*$G261)/SIN($G261))</f>
        <v/>
      </c>
      <c r="J261">
        <f>IF($I261="","",SIN($H261*$G261)/SIN($G261))</f>
        <v/>
      </c>
      <c r="K261">
        <f>IF($I261="","",$I261*COS(RADIANS($C261))*COS(RADIANS($D261))+$J261*COS(RADIANS($E261))*COS(RADIANS($F261)))</f>
        <v/>
      </c>
      <c r="L261">
        <f>IF($I261="","",$I261*COS(RADIANS($C261))*SIN(RADIANS($D261))+$J261*COS(RADIANS($E261))*SIN(RADIANS($F261)))</f>
        <v/>
      </c>
      <c r="M261">
        <f>IF($I261="","",$I261*SIN(RADIANS($C261))+$J261*SIN(RADIANS($E261)))</f>
        <v/>
      </c>
      <c r="N261">
        <f>IF($M261="","",DEGREES(ATAN2(SQRT($K261^2+$L261^2),$M261)))</f>
        <v/>
      </c>
      <c r="O261">
        <f>IF($M261="","",DEGREES(ATAN2($K261,$L261)))</f>
        <v/>
      </c>
      <c r="P261">
        <f t="array" ref="P261">IF($N261="","",IFERROR(IF(INDEX(geo_grid!$B$2:$JU$231,INT(($N261+40)/0.5)+1,INT(($O261+30)/0.5)+1)="","",INDEX(geo_grid!$B$2:$JU$231,INT(($N261+40)/0.5)+1,INT(($O261+30)/0.5)+1)),"OUTSIDE GRID"))</f>
        <v/>
      </c>
      <c r="Q261">
        <f>IF($P261="","",$A261*1000+$B261)</f>
        <v/>
      </c>
    </row>
    <row r="262">
      <c r="A262">
        <f>INT((ROW()-2)/151)+1</f>
        <v/>
      </c>
      <c r="B262">
        <f>MOD(ROW()-2,151)</f>
        <v/>
      </c>
      <c r="C262">
        <f t="array" ref="C262">IFERROR(INDEX('TRIP MANAGER'!$O$18:$O$25,$A262),"")</f>
        <v/>
      </c>
      <c r="D262">
        <f t="array" ref="D262">IFERROR(INDEX('TRIP MANAGER'!$P$18:$P$25,$A262),"")</f>
        <v/>
      </c>
      <c r="E262">
        <f t="array" ref="E262">IFERROR(INDEX('TRIP MANAGER'!$Q$18:$Q$25,$A262),"")</f>
        <v/>
      </c>
      <c r="F262">
        <f t="array" ref="F262">IFERROR(INDEX('TRIP MANAGER'!$R$18:$R$25,$A262),"")</f>
        <v/>
      </c>
      <c r="G262">
        <f t="array" ref="G262">IFERROR(INDEX('TRIP MANAGER'!$S$18:$S$25,$A262),"")</f>
        <v/>
      </c>
      <c r="H262">
        <f>$B262/150</f>
        <v/>
      </c>
      <c r="I262">
        <f>IF(OR($G262="",$G262=0),"",SIN((1-$H262)*$G262)/SIN($G262))</f>
        <v/>
      </c>
      <c r="J262">
        <f>IF($I262="","",SIN($H262*$G262)/SIN($G262))</f>
        <v/>
      </c>
      <c r="K262">
        <f>IF($I262="","",$I262*COS(RADIANS($C262))*COS(RADIANS($D262))+$J262*COS(RADIANS($E262))*COS(RADIANS($F262)))</f>
        <v/>
      </c>
      <c r="L262">
        <f>IF($I262="","",$I262*COS(RADIANS($C262))*SIN(RADIANS($D262))+$J262*COS(RADIANS($E262))*SIN(RADIANS($F262)))</f>
        <v/>
      </c>
      <c r="M262">
        <f>IF($I262="","",$I262*SIN(RADIANS($C262))+$J262*SIN(RADIANS($E262)))</f>
        <v/>
      </c>
      <c r="N262">
        <f>IF($M262="","",DEGREES(ATAN2(SQRT($K262^2+$L262^2),$M262)))</f>
        <v/>
      </c>
      <c r="O262">
        <f>IF($M262="","",DEGREES(ATAN2($K262,$L262)))</f>
        <v/>
      </c>
      <c r="P262">
        <f t="array" ref="P262">IF($N262="","",IFERROR(IF(INDEX(geo_grid!$B$2:$JU$231,INT(($N262+40)/0.5)+1,INT(($O262+30)/0.5)+1)="","",INDEX(geo_grid!$B$2:$JU$231,INT(($N262+40)/0.5)+1,INT(($O262+30)/0.5)+1)),"OUTSIDE GRID"))</f>
        <v/>
      </c>
      <c r="Q262">
        <f>IF($P262="","",$A262*1000+$B262)</f>
        <v/>
      </c>
    </row>
    <row r="263">
      <c r="A263">
        <f>INT((ROW()-2)/151)+1</f>
        <v/>
      </c>
      <c r="B263">
        <f>MOD(ROW()-2,151)</f>
        <v/>
      </c>
      <c r="C263">
        <f t="array" ref="C263">IFERROR(INDEX('TRIP MANAGER'!$O$18:$O$25,$A263),"")</f>
        <v/>
      </c>
      <c r="D263">
        <f t="array" ref="D263">IFERROR(INDEX('TRIP MANAGER'!$P$18:$P$25,$A263),"")</f>
        <v/>
      </c>
      <c r="E263">
        <f t="array" ref="E263">IFERROR(INDEX('TRIP MANAGER'!$Q$18:$Q$25,$A263),"")</f>
        <v/>
      </c>
      <c r="F263">
        <f t="array" ref="F263">IFERROR(INDEX('TRIP MANAGER'!$R$18:$R$25,$A263),"")</f>
        <v/>
      </c>
      <c r="G263">
        <f t="array" ref="G263">IFERROR(INDEX('TRIP MANAGER'!$S$18:$S$25,$A263),"")</f>
        <v/>
      </c>
      <c r="H263">
        <f>$B263/150</f>
        <v/>
      </c>
      <c r="I263">
        <f>IF(OR($G263="",$G263=0),"",SIN((1-$H263)*$G263)/SIN($G263))</f>
        <v/>
      </c>
      <c r="J263">
        <f>IF($I263="","",SIN($H263*$G263)/SIN($G263))</f>
        <v/>
      </c>
      <c r="K263">
        <f>IF($I263="","",$I263*COS(RADIANS($C263))*COS(RADIANS($D263))+$J263*COS(RADIANS($E263))*COS(RADIANS($F263)))</f>
        <v/>
      </c>
      <c r="L263">
        <f>IF($I263="","",$I263*COS(RADIANS($C263))*SIN(RADIANS($D263))+$J263*COS(RADIANS($E263))*SIN(RADIANS($F263)))</f>
        <v/>
      </c>
      <c r="M263">
        <f>IF($I263="","",$I263*SIN(RADIANS($C263))+$J263*SIN(RADIANS($E263)))</f>
        <v/>
      </c>
      <c r="N263">
        <f>IF($M263="","",DEGREES(ATAN2(SQRT($K263^2+$L263^2),$M263)))</f>
        <v/>
      </c>
      <c r="O263">
        <f>IF($M263="","",DEGREES(ATAN2($K263,$L263)))</f>
        <v/>
      </c>
      <c r="P263">
        <f t="array" ref="P263">IF($N263="","",IFERROR(IF(INDEX(geo_grid!$B$2:$JU$231,INT(($N263+40)/0.5)+1,INT(($O263+30)/0.5)+1)="","",INDEX(geo_grid!$B$2:$JU$231,INT(($N263+40)/0.5)+1,INT(($O263+30)/0.5)+1)),"OUTSIDE GRID"))</f>
        <v/>
      </c>
      <c r="Q263">
        <f>IF($P263="","",$A263*1000+$B263)</f>
        <v/>
      </c>
    </row>
    <row r="264">
      <c r="A264">
        <f>INT((ROW()-2)/151)+1</f>
        <v/>
      </c>
      <c r="B264">
        <f>MOD(ROW()-2,151)</f>
        <v/>
      </c>
      <c r="C264">
        <f t="array" ref="C264">IFERROR(INDEX('TRIP MANAGER'!$O$18:$O$25,$A264),"")</f>
        <v/>
      </c>
      <c r="D264">
        <f t="array" ref="D264">IFERROR(INDEX('TRIP MANAGER'!$P$18:$P$25,$A264),"")</f>
        <v/>
      </c>
      <c r="E264">
        <f t="array" ref="E264">IFERROR(INDEX('TRIP MANAGER'!$Q$18:$Q$25,$A264),"")</f>
        <v/>
      </c>
      <c r="F264">
        <f t="array" ref="F264">IFERROR(INDEX('TRIP MANAGER'!$R$18:$R$25,$A264),"")</f>
        <v/>
      </c>
      <c r="G264">
        <f t="array" ref="G264">IFERROR(INDEX('TRIP MANAGER'!$S$18:$S$25,$A264),"")</f>
        <v/>
      </c>
      <c r="H264">
        <f>$B264/150</f>
        <v/>
      </c>
      <c r="I264">
        <f>IF(OR($G264="",$G264=0),"",SIN((1-$H264)*$G264)/SIN($G264))</f>
        <v/>
      </c>
      <c r="J264">
        <f>IF($I264="","",SIN($H264*$G264)/SIN($G264))</f>
        <v/>
      </c>
      <c r="K264">
        <f>IF($I264="","",$I264*COS(RADIANS($C264))*COS(RADIANS($D264))+$J264*COS(RADIANS($E264))*COS(RADIANS($F264)))</f>
        <v/>
      </c>
      <c r="L264">
        <f>IF($I264="","",$I264*COS(RADIANS($C264))*SIN(RADIANS($D264))+$J264*COS(RADIANS($E264))*SIN(RADIANS($F264)))</f>
        <v/>
      </c>
      <c r="M264">
        <f>IF($I264="","",$I264*SIN(RADIANS($C264))+$J264*SIN(RADIANS($E264)))</f>
        <v/>
      </c>
      <c r="N264">
        <f>IF($M264="","",DEGREES(ATAN2(SQRT($K264^2+$L264^2),$M264)))</f>
        <v/>
      </c>
      <c r="O264">
        <f>IF($M264="","",DEGREES(ATAN2($K264,$L264)))</f>
        <v/>
      </c>
      <c r="P264">
        <f t="array" ref="P264">IF($N264="","",IFERROR(IF(INDEX(geo_grid!$B$2:$JU$231,INT(($N264+40)/0.5)+1,INT(($O264+30)/0.5)+1)="","",INDEX(geo_grid!$B$2:$JU$231,INT(($N264+40)/0.5)+1,INT(($O264+30)/0.5)+1)),"OUTSIDE GRID"))</f>
        <v/>
      </c>
      <c r="Q264">
        <f>IF($P264="","",$A264*1000+$B264)</f>
        <v/>
      </c>
    </row>
    <row r="265">
      <c r="A265">
        <f>INT((ROW()-2)/151)+1</f>
        <v/>
      </c>
      <c r="B265">
        <f>MOD(ROW()-2,151)</f>
        <v/>
      </c>
      <c r="C265">
        <f t="array" ref="C265">IFERROR(INDEX('TRIP MANAGER'!$O$18:$O$25,$A265),"")</f>
        <v/>
      </c>
      <c r="D265">
        <f t="array" ref="D265">IFERROR(INDEX('TRIP MANAGER'!$P$18:$P$25,$A265),"")</f>
        <v/>
      </c>
      <c r="E265">
        <f t="array" ref="E265">IFERROR(INDEX('TRIP MANAGER'!$Q$18:$Q$25,$A265),"")</f>
        <v/>
      </c>
      <c r="F265">
        <f t="array" ref="F265">IFERROR(INDEX('TRIP MANAGER'!$R$18:$R$25,$A265),"")</f>
        <v/>
      </c>
      <c r="G265">
        <f t="array" ref="G265">IFERROR(INDEX('TRIP MANAGER'!$S$18:$S$25,$A265),"")</f>
        <v/>
      </c>
      <c r="H265">
        <f>$B265/150</f>
        <v/>
      </c>
      <c r="I265">
        <f>IF(OR($G265="",$G265=0),"",SIN((1-$H265)*$G265)/SIN($G265))</f>
        <v/>
      </c>
      <c r="J265">
        <f>IF($I265="","",SIN($H265*$G265)/SIN($G265))</f>
        <v/>
      </c>
      <c r="K265">
        <f>IF($I265="","",$I265*COS(RADIANS($C265))*COS(RADIANS($D265))+$J265*COS(RADIANS($E265))*COS(RADIANS($F265)))</f>
        <v/>
      </c>
      <c r="L265">
        <f>IF($I265="","",$I265*COS(RADIANS($C265))*SIN(RADIANS($D265))+$J265*COS(RADIANS($E265))*SIN(RADIANS($F265)))</f>
        <v/>
      </c>
      <c r="M265">
        <f>IF($I265="","",$I265*SIN(RADIANS($C265))+$J265*SIN(RADIANS($E265)))</f>
        <v/>
      </c>
      <c r="N265">
        <f>IF($M265="","",DEGREES(ATAN2(SQRT($K265^2+$L265^2),$M265)))</f>
        <v/>
      </c>
      <c r="O265">
        <f>IF($M265="","",DEGREES(ATAN2($K265,$L265)))</f>
        <v/>
      </c>
      <c r="P265">
        <f t="array" ref="P265">IF($N265="","",IFERROR(IF(INDEX(geo_grid!$B$2:$JU$231,INT(($N265+40)/0.5)+1,INT(($O265+30)/0.5)+1)="","",INDEX(geo_grid!$B$2:$JU$231,INT(($N265+40)/0.5)+1,INT(($O265+30)/0.5)+1)),"OUTSIDE GRID"))</f>
        <v/>
      </c>
      <c r="Q265">
        <f>IF($P265="","",$A265*1000+$B265)</f>
        <v/>
      </c>
    </row>
    <row r="266">
      <c r="A266">
        <f>INT((ROW()-2)/151)+1</f>
        <v/>
      </c>
      <c r="B266">
        <f>MOD(ROW()-2,151)</f>
        <v/>
      </c>
      <c r="C266">
        <f t="array" ref="C266">IFERROR(INDEX('TRIP MANAGER'!$O$18:$O$25,$A266),"")</f>
        <v/>
      </c>
      <c r="D266">
        <f t="array" ref="D266">IFERROR(INDEX('TRIP MANAGER'!$P$18:$P$25,$A266),"")</f>
        <v/>
      </c>
      <c r="E266">
        <f t="array" ref="E266">IFERROR(INDEX('TRIP MANAGER'!$Q$18:$Q$25,$A266),"")</f>
        <v/>
      </c>
      <c r="F266">
        <f t="array" ref="F266">IFERROR(INDEX('TRIP MANAGER'!$R$18:$R$25,$A266),"")</f>
        <v/>
      </c>
      <c r="G266">
        <f t="array" ref="G266">IFERROR(INDEX('TRIP MANAGER'!$S$18:$S$25,$A266),"")</f>
        <v/>
      </c>
      <c r="H266">
        <f>$B266/150</f>
        <v/>
      </c>
      <c r="I266">
        <f>IF(OR($G266="",$G266=0),"",SIN((1-$H266)*$G266)/SIN($G266))</f>
        <v/>
      </c>
      <c r="J266">
        <f>IF($I266="","",SIN($H266*$G266)/SIN($G266))</f>
        <v/>
      </c>
      <c r="K266">
        <f>IF($I266="","",$I266*COS(RADIANS($C266))*COS(RADIANS($D266))+$J266*COS(RADIANS($E266))*COS(RADIANS($F266)))</f>
        <v/>
      </c>
      <c r="L266">
        <f>IF($I266="","",$I266*COS(RADIANS($C266))*SIN(RADIANS($D266))+$J266*COS(RADIANS($E266))*SIN(RADIANS($F266)))</f>
        <v/>
      </c>
      <c r="M266">
        <f>IF($I266="","",$I266*SIN(RADIANS($C266))+$J266*SIN(RADIANS($E266)))</f>
        <v/>
      </c>
      <c r="N266">
        <f>IF($M266="","",DEGREES(ATAN2(SQRT($K266^2+$L266^2),$M266)))</f>
        <v/>
      </c>
      <c r="O266">
        <f>IF($M266="","",DEGREES(ATAN2($K266,$L266)))</f>
        <v/>
      </c>
      <c r="P266">
        <f t="array" ref="P266">IF($N266="","",IFERROR(IF(INDEX(geo_grid!$B$2:$JU$231,INT(($N266+40)/0.5)+1,INT(($O266+30)/0.5)+1)="","",INDEX(geo_grid!$B$2:$JU$231,INT(($N266+40)/0.5)+1,INT(($O266+30)/0.5)+1)),"OUTSIDE GRID"))</f>
        <v/>
      </c>
      <c r="Q266">
        <f>IF($P266="","",$A266*1000+$B266)</f>
        <v/>
      </c>
    </row>
    <row r="267">
      <c r="A267">
        <f>INT((ROW()-2)/151)+1</f>
        <v/>
      </c>
      <c r="B267">
        <f>MOD(ROW()-2,151)</f>
        <v/>
      </c>
      <c r="C267">
        <f t="array" ref="C267">IFERROR(INDEX('TRIP MANAGER'!$O$18:$O$25,$A267),"")</f>
        <v/>
      </c>
      <c r="D267">
        <f t="array" ref="D267">IFERROR(INDEX('TRIP MANAGER'!$P$18:$P$25,$A267),"")</f>
        <v/>
      </c>
      <c r="E267">
        <f t="array" ref="E267">IFERROR(INDEX('TRIP MANAGER'!$Q$18:$Q$25,$A267),"")</f>
        <v/>
      </c>
      <c r="F267">
        <f t="array" ref="F267">IFERROR(INDEX('TRIP MANAGER'!$R$18:$R$25,$A267),"")</f>
        <v/>
      </c>
      <c r="G267">
        <f t="array" ref="G267">IFERROR(INDEX('TRIP MANAGER'!$S$18:$S$25,$A267),"")</f>
        <v/>
      </c>
      <c r="H267">
        <f>$B267/150</f>
        <v/>
      </c>
      <c r="I267">
        <f>IF(OR($G267="",$G267=0),"",SIN((1-$H267)*$G267)/SIN($G267))</f>
        <v/>
      </c>
      <c r="J267">
        <f>IF($I267="","",SIN($H267*$G267)/SIN($G267))</f>
        <v/>
      </c>
      <c r="K267">
        <f>IF($I267="","",$I267*COS(RADIANS($C267))*COS(RADIANS($D267))+$J267*COS(RADIANS($E267))*COS(RADIANS($F267)))</f>
        <v/>
      </c>
      <c r="L267">
        <f>IF($I267="","",$I267*COS(RADIANS($C267))*SIN(RADIANS($D267))+$J267*COS(RADIANS($E267))*SIN(RADIANS($F267)))</f>
        <v/>
      </c>
      <c r="M267">
        <f>IF($I267="","",$I267*SIN(RADIANS($C267))+$J267*SIN(RADIANS($E267)))</f>
        <v/>
      </c>
      <c r="N267">
        <f>IF($M267="","",DEGREES(ATAN2(SQRT($K267^2+$L267^2),$M267)))</f>
        <v/>
      </c>
      <c r="O267">
        <f>IF($M267="","",DEGREES(ATAN2($K267,$L267)))</f>
        <v/>
      </c>
      <c r="P267">
        <f t="array" ref="P267">IF($N267="","",IFERROR(IF(INDEX(geo_grid!$B$2:$JU$231,INT(($N267+40)/0.5)+1,INT(($O267+30)/0.5)+1)="","",INDEX(geo_grid!$B$2:$JU$231,INT(($N267+40)/0.5)+1,INT(($O267+30)/0.5)+1)),"OUTSIDE GRID"))</f>
        <v/>
      </c>
      <c r="Q267">
        <f>IF($P267="","",$A267*1000+$B267)</f>
        <v/>
      </c>
    </row>
    <row r="268">
      <c r="A268">
        <f>INT((ROW()-2)/151)+1</f>
        <v/>
      </c>
      <c r="B268">
        <f>MOD(ROW()-2,151)</f>
        <v/>
      </c>
      <c r="C268">
        <f t="array" ref="C268">IFERROR(INDEX('TRIP MANAGER'!$O$18:$O$25,$A268),"")</f>
        <v/>
      </c>
      <c r="D268">
        <f t="array" ref="D268">IFERROR(INDEX('TRIP MANAGER'!$P$18:$P$25,$A268),"")</f>
        <v/>
      </c>
      <c r="E268">
        <f t="array" ref="E268">IFERROR(INDEX('TRIP MANAGER'!$Q$18:$Q$25,$A268),"")</f>
        <v/>
      </c>
      <c r="F268">
        <f t="array" ref="F268">IFERROR(INDEX('TRIP MANAGER'!$R$18:$R$25,$A268),"")</f>
        <v/>
      </c>
      <c r="G268">
        <f t="array" ref="G268">IFERROR(INDEX('TRIP MANAGER'!$S$18:$S$25,$A268),"")</f>
        <v/>
      </c>
      <c r="H268">
        <f>$B268/150</f>
        <v/>
      </c>
      <c r="I268">
        <f>IF(OR($G268="",$G268=0),"",SIN((1-$H268)*$G268)/SIN($G268))</f>
        <v/>
      </c>
      <c r="J268">
        <f>IF($I268="","",SIN($H268*$G268)/SIN($G268))</f>
        <v/>
      </c>
      <c r="K268">
        <f>IF($I268="","",$I268*COS(RADIANS($C268))*COS(RADIANS($D268))+$J268*COS(RADIANS($E268))*COS(RADIANS($F268)))</f>
        <v/>
      </c>
      <c r="L268">
        <f>IF($I268="","",$I268*COS(RADIANS($C268))*SIN(RADIANS($D268))+$J268*COS(RADIANS($E268))*SIN(RADIANS($F268)))</f>
        <v/>
      </c>
      <c r="M268">
        <f>IF($I268="","",$I268*SIN(RADIANS($C268))+$J268*SIN(RADIANS($E268)))</f>
        <v/>
      </c>
      <c r="N268">
        <f>IF($M268="","",DEGREES(ATAN2(SQRT($K268^2+$L268^2),$M268)))</f>
        <v/>
      </c>
      <c r="O268">
        <f>IF($M268="","",DEGREES(ATAN2($K268,$L268)))</f>
        <v/>
      </c>
      <c r="P268">
        <f t="array" ref="P268">IF($N268="","",IFERROR(IF(INDEX(geo_grid!$B$2:$JU$231,INT(($N268+40)/0.5)+1,INT(($O268+30)/0.5)+1)="","",INDEX(geo_grid!$B$2:$JU$231,INT(($N268+40)/0.5)+1,INT(($O268+30)/0.5)+1)),"OUTSIDE GRID"))</f>
        <v/>
      </c>
      <c r="Q268">
        <f>IF($P268="","",$A268*1000+$B268)</f>
        <v/>
      </c>
    </row>
    <row r="269">
      <c r="A269">
        <f>INT((ROW()-2)/151)+1</f>
        <v/>
      </c>
      <c r="B269">
        <f>MOD(ROW()-2,151)</f>
        <v/>
      </c>
      <c r="C269">
        <f t="array" ref="C269">IFERROR(INDEX('TRIP MANAGER'!$O$18:$O$25,$A269),"")</f>
        <v/>
      </c>
      <c r="D269">
        <f t="array" ref="D269">IFERROR(INDEX('TRIP MANAGER'!$P$18:$P$25,$A269),"")</f>
        <v/>
      </c>
      <c r="E269">
        <f t="array" ref="E269">IFERROR(INDEX('TRIP MANAGER'!$Q$18:$Q$25,$A269),"")</f>
        <v/>
      </c>
      <c r="F269">
        <f t="array" ref="F269">IFERROR(INDEX('TRIP MANAGER'!$R$18:$R$25,$A269),"")</f>
        <v/>
      </c>
      <c r="G269">
        <f t="array" ref="G269">IFERROR(INDEX('TRIP MANAGER'!$S$18:$S$25,$A269),"")</f>
        <v/>
      </c>
      <c r="H269">
        <f>$B269/150</f>
        <v/>
      </c>
      <c r="I269">
        <f>IF(OR($G269="",$G269=0),"",SIN((1-$H269)*$G269)/SIN($G269))</f>
        <v/>
      </c>
      <c r="J269">
        <f>IF($I269="","",SIN($H269*$G269)/SIN($G269))</f>
        <v/>
      </c>
      <c r="K269">
        <f>IF($I269="","",$I269*COS(RADIANS($C269))*COS(RADIANS($D269))+$J269*COS(RADIANS($E269))*COS(RADIANS($F269)))</f>
        <v/>
      </c>
      <c r="L269">
        <f>IF($I269="","",$I269*COS(RADIANS($C269))*SIN(RADIANS($D269))+$J269*COS(RADIANS($E269))*SIN(RADIANS($F269)))</f>
        <v/>
      </c>
      <c r="M269">
        <f>IF($I269="","",$I269*SIN(RADIANS($C269))+$J269*SIN(RADIANS($E269)))</f>
        <v/>
      </c>
      <c r="N269">
        <f>IF($M269="","",DEGREES(ATAN2(SQRT($K269^2+$L269^2),$M269)))</f>
        <v/>
      </c>
      <c r="O269">
        <f>IF($M269="","",DEGREES(ATAN2($K269,$L269)))</f>
        <v/>
      </c>
      <c r="P269">
        <f t="array" ref="P269">IF($N269="","",IFERROR(IF(INDEX(geo_grid!$B$2:$JU$231,INT(($N269+40)/0.5)+1,INT(($O269+30)/0.5)+1)="","",INDEX(geo_grid!$B$2:$JU$231,INT(($N269+40)/0.5)+1,INT(($O269+30)/0.5)+1)),"OUTSIDE GRID"))</f>
        <v/>
      </c>
      <c r="Q269">
        <f>IF($P269="","",$A269*1000+$B269)</f>
        <v/>
      </c>
    </row>
    <row r="270">
      <c r="A270">
        <f>INT((ROW()-2)/151)+1</f>
        <v/>
      </c>
      <c r="B270">
        <f>MOD(ROW()-2,151)</f>
        <v/>
      </c>
      <c r="C270">
        <f t="array" ref="C270">IFERROR(INDEX('TRIP MANAGER'!$O$18:$O$25,$A270),"")</f>
        <v/>
      </c>
      <c r="D270">
        <f t="array" ref="D270">IFERROR(INDEX('TRIP MANAGER'!$P$18:$P$25,$A270),"")</f>
        <v/>
      </c>
      <c r="E270">
        <f t="array" ref="E270">IFERROR(INDEX('TRIP MANAGER'!$Q$18:$Q$25,$A270),"")</f>
        <v/>
      </c>
      <c r="F270">
        <f t="array" ref="F270">IFERROR(INDEX('TRIP MANAGER'!$R$18:$R$25,$A270),"")</f>
        <v/>
      </c>
      <c r="G270">
        <f t="array" ref="G270">IFERROR(INDEX('TRIP MANAGER'!$S$18:$S$25,$A270),"")</f>
        <v/>
      </c>
      <c r="H270">
        <f>$B270/150</f>
        <v/>
      </c>
      <c r="I270">
        <f>IF(OR($G270="",$G270=0),"",SIN((1-$H270)*$G270)/SIN($G270))</f>
        <v/>
      </c>
      <c r="J270">
        <f>IF($I270="","",SIN($H270*$G270)/SIN($G270))</f>
        <v/>
      </c>
      <c r="K270">
        <f>IF($I270="","",$I270*COS(RADIANS($C270))*COS(RADIANS($D270))+$J270*COS(RADIANS($E270))*COS(RADIANS($F270)))</f>
        <v/>
      </c>
      <c r="L270">
        <f>IF($I270="","",$I270*COS(RADIANS($C270))*SIN(RADIANS($D270))+$J270*COS(RADIANS($E270))*SIN(RADIANS($F270)))</f>
        <v/>
      </c>
      <c r="M270">
        <f>IF($I270="","",$I270*SIN(RADIANS($C270))+$J270*SIN(RADIANS($E270)))</f>
        <v/>
      </c>
      <c r="N270">
        <f>IF($M270="","",DEGREES(ATAN2(SQRT($K270^2+$L270^2),$M270)))</f>
        <v/>
      </c>
      <c r="O270">
        <f>IF($M270="","",DEGREES(ATAN2($K270,$L270)))</f>
        <v/>
      </c>
      <c r="P270">
        <f t="array" ref="P270">IF($N270="","",IFERROR(IF(INDEX(geo_grid!$B$2:$JU$231,INT(($N270+40)/0.5)+1,INT(($O270+30)/0.5)+1)="","",INDEX(geo_grid!$B$2:$JU$231,INT(($N270+40)/0.5)+1,INT(($O270+30)/0.5)+1)),"OUTSIDE GRID"))</f>
        <v/>
      </c>
      <c r="Q270">
        <f>IF($P270="","",$A270*1000+$B270)</f>
        <v/>
      </c>
    </row>
    <row r="271">
      <c r="A271">
        <f>INT((ROW()-2)/151)+1</f>
        <v/>
      </c>
      <c r="B271">
        <f>MOD(ROW()-2,151)</f>
        <v/>
      </c>
      <c r="C271">
        <f t="array" ref="C271">IFERROR(INDEX('TRIP MANAGER'!$O$18:$O$25,$A271),"")</f>
        <v/>
      </c>
      <c r="D271">
        <f t="array" ref="D271">IFERROR(INDEX('TRIP MANAGER'!$P$18:$P$25,$A271),"")</f>
        <v/>
      </c>
      <c r="E271">
        <f t="array" ref="E271">IFERROR(INDEX('TRIP MANAGER'!$Q$18:$Q$25,$A271),"")</f>
        <v/>
      </c>
      <c r="F271">
        <f t="array" ref="F271">IFERROR(INDEX('TRIP MANAGER'!$R$18:$R$25,$A271),"")</f>
        <v/>
      </c>
      <c r="G271">
        <f t="array" ref="G271">IFERROR(INDEX('TRIP MANAGER'!$S$18:$S$25,$A271),"")</f>
        <v/>
      </c>
      <c r="H271">
        <f>$B271/150</f>
        <v/>
      </c>
      <c r="I271">
        <f>IF(OR($G271="",$G271=0),"",SIN((1-$H271)*$G271)/SIN($G271))</f>
        <v/>
      </c>
      <c r="J271">
        <f>IF($I271="","",SIN($H271*$G271)/SIN($G271))</f>
        <v/>
      </c>
      <c r="K271">
        <f>IF($I271="","",$I271*COS(RADIANS($C271))*COS(RADIANS($D271))+$J271*COS(RADIANS($E271))*COS(RADIANS($F271)))</f>
        <v/>
      </c>
      <c r="L271">
        <f>IF($I271="","",$I271*COS(RADIANS($C271))*SIN(RADIANS($D271))+$J271*COS(RADIANS($E271))*SIN(RADIANS($F271)))</f>
        <v/>
      </c>
      <c r="M271">
        <f>IF($I271="","",$I271*SIN(RADIANS($C271))+$J271*SIN(RADIANS($E271)))</f>
        <v/>
      </c>
      <c r="N271">
        <f>IF($M271="","",DEGREES(ATAN2(SQRT($K271^2+$L271^2),$M271)))</f>
        <v/>
      </c>
      <c r="O271">
        <f>IF($M271="","",DEGREES(ATAN2($K271,$L271)))</f>
        <v/>
      </c>
      <c r="P271">
        <f t="array" ref="P271">IF($N271="","",IFERROR(IF(INDEX(geo_grid!$B$2:$JU$231,INT(($N271+40)/0.5)+1,INT(($O271+30)/0.5)+1)="","",INDEX(geo_grid!$B$2:$JU$231,INT(($N271+40)/0.5)+1,INT(($O271+30)/0.5)+1)),"OUTSIDE GRID"))</f>
        <v/>
      </c>
      <c r="Q271">
        <f>IF($P271="","",$A271*1000+$B271)</f>
        <v/>
      </c>
    </row>
    <row r="272">
      <c r="A272">
        <f>INT((ROW()-2)/151)+1</f>
        <v/>
      </c>
      <c r="B272">
        <f>MOD(ROW()-2,151)</f>
        <v/>
      </c>
      <c r="C272">
        <f t="array" ref="C272">IFERROR(INDEX('TRIP MANAGER'!$O$18:$O$25,$A272),"")</f>
        <v/>
      </c>
      <c r="D272">
        <f t="array" ref="D272">IFERROR(INDEX('TRIP MANAGER'!$P$18:$P$25,$A272),"")</f>
        <v/>
      </c>
      <c r="E272">
        <f t="array" ref="E272">IFERROR(INDEX('TRIP MANAGER'!$Q$18:$Q$25,$A272),"")</f>
        <v/>
      </c>
      <c r="F272">
        <f t="array" ref="F272">IFERROR(INDEX('TRIP MANAGER'!$R$18:$R$25,$A272),"")</f>
        <v/>
      </c>
      <c r="G272">
        <f t="array" ref="G272">IFERROR(INDEX('TRIP MANAGER'!$S$18:$S$25,$A272),"")</f>
        <v/>
      </c>
      <c r="H272">
        <f>$B272/150</f>
        <v/>
      </c>
      <c r="I272">
        <f>IF(OR($G272="",$G272=0),"",SIN((1-$H272)*$G272)/SIN($G272))</f>
        <v/>
      </c>
      <c r="J272">
        <f>IF($I272="","",SIN($H272*$G272)/SIN($G272))</f>
        <v/>
      </c>
      <c r="K272">
        <f>IF($I272="","",$I272*COS(RADIANS($C272))*COS(RADIANS($D272))+$J272*COS(RADIANS($E272))*COS(RADIANS($F272)))</f>
        <v/>
      </c>
      <c r="L272">
        <f>IF($I272="","",$I272*COS(RADIANS($C272))*SIN(RADIANS($D272))+$J272*COS(RADIANS($E272))*SIN(RADIANS($F272)))</f>
        <v/>
      </c>
      <c r="M272">
        <f>IF($I272="","",$I272*SIN(RADIANS($C272))+$J272*SIN(RADIANS($E272)))</f>
        <v/>
      </c>
      <c r="N272">
        <f>IF($M272="","",DEGREES(ATAN2(SQRT($K272^2+$L272^2),$M272)))</f>
        <v/>
      </c>
      <c r="O272">
        <f>IF($M272="","",DEGREES(ATAN2($K272,$L272)))</f>
        <v/>
      </c>
      <c r="P272">
        <f t="array" ref="P272">IF($N272="","",IFERROR(IF(INDEX(geo_grid!$B$2:$JU$231,INT(($N272+40)/0.5)+1,INT(($O272+30)/0.5)+1)="","",INDEX(geo_grid!$B$2:$JU$231,INT(($N272+40)/0.5)+1,INT(($O272+30)/0.5)+1)),"OUTSIDE GRID"))</f>
        <v/>
      </c>
      <c r="Q272">
        <f>IF($P272="","",$A272*1000+$B272)</f>
        <v/>
      </c>
    </row>
    <row r="273">
      <c r="A273">
        <f>INT((ROW()-2)/151)+1</f>
        <v/>
      </c>
      <c r="B273">
        <f>MOD(ROW()-2,151)</f>
        <v/>
      </c>
      <c r="C273">
        <f t="array" ref="C273">IFERROR(INDEX('TRIP MANAGER'!$O$18:$O$25,$A273),"")</f>
        <v/>
      </c>
      <c r="D273">
        <f t="array" ref="D273">IFERROR(INDEX('TRIP MANAGER'!$P$18:$P$25,$A273),"")</f>
        <v/>
      </c>
      <c r="E273">
        <f t="array" ref="E273">IFERROR(INDEX('TRIP MANAGER'!$Q$18:$Q$25,$A273),"")</f>
        <v/>
      </c>
      <c r="F273">
        <f t="array" ref="F273">IFERROR(INDEX('TRIP MANAGER'!$R$18:$R$25,$A273),"")</f>
        <v/>
      </c>
      <c r="G273">
        <f t="array" ref="G273">IFERROR(INDEX('TRIP MANAGER'!$S$18:$S$25,$A273),"")</f>
        <v/>
      </c>
      <c r="H273">
        <f>$B273/150</f>
        <v/>
      </c>
      <c r="I273">
        <f>IF(OR($G273="",$G273=0),"",SIN((1-$H273)*$G273)/SIN($G273))</f>
        <v/>
      </c>
      <c r="J273">
        <f>IF($I273="","",SIN($H273*$G273)/SIN($G273))</f>
        <v/>
      </c>
      <c r="K273">
        <f>IF($I273="","",$I273*COS(RADIANS($C273))*COS(RADIANS($D273))+$J273*COS(RADIANS($E273))*COS(RADIANS($F273)))</f>
        <v/>
      </c>
      <c r="L273">
        <f>IF($I273="","",$I273*COS(RADIANS($C273))*SIN(RADIANS($D273))+$J273*COS(RADIANS($E273))*SIN(RADIANS($F273)))</f>
        <v/>
      </c>
      <c r="M273">
        <f>IF($I273="","",$I273*SIN(RADIANS($C273))+$J273*SIN(RADIANS($E273)))</f>
        <v/>
      </c>
      <c r="N273">
        <f>IF($M273="","",DEGREES(ATAN2(SQRT($K273^2+$L273^2),$M273)))</f>
        <v/>
      </c>
      <c r="O273">
        <f>IF($M273="","",DEGREES(ATAN2($K273,$L273)))</f>
        <v/>
      </c>
      <c r="P273">
        <f t="array" ref="P273">IF($N273="","",IFERROR(IF(INDEX(geo_grid!$B$2:$JU$231,INT(($N273+40)/0.5)+1,INT(($O273+30)/0.5)+1)="","",INDEX(geo_grid!$B$2:$JU$231,INT(($N273+40)/0.5)+1,INT(($O273+30)/0.5)+1)),"OUTSIDE GRID"))</f>
        <v/>
      </c>
      <c r="Q273">
        <f>IF($P273="","",$A273*1000+$B273)</f>
        <v/>
      </c>
    </row>
    <row r="274">
      <c r="A274">
        <f>INT((ROW()-2)/151)+1</f>
        <v/>
      </c>
      <c r="B274">
        <f>MOD(ROW()-2,151)</f>
        <v/>
      </c>
      <c r="C274">
        <f t="array" ref="C274">IFERROR(INDEX('TRIP MANAGER'!$O$18:$O$25,$A274),"")</f>
        <v/>
      </c>
      <c r="D274">
        <f t="array" ref="D274">IFERROR(INDEX('TRIP MANAGER'!$P$18:$P$25,$A274),"")</f>
        <v/>
      </c>
      <c r="E274">
        <f t="array" ref="E274">IFERROR(INDEX('TRIP MANAGER'!$Q$18:$Q$25,$A274),"")</f>
        <v/>
      </c>
      <c r="F274">
        <f t="array" ref="F274">IFERROR(INDEX('TRIP MANAGER'!$R$18:$R$25,$A274),"")</f>
        <v/>
      </c>
      <c r="G274">
        <f t="array" ref="G274">IFERROR(INDEX('TRIP MANAGER'!$S$18:$S$25,$A274),"")</f>
        <v/>
      </c>
      <c r="H274">
        <f>$B274/150</f>
        <v/>
      </c>
      <c r="I274">
        <f>IF(OR($G274="",$G274=0),"",SIN((1-$H274)*$G274)/SIN($G274))</f>
        <v/>
      </c>
      <c r="J274">
        <f>IF($I274="","",SIN($H274*$G274)/SIN($G274))</f>
        <v/>
      </c>
      <c r="K274">
        <f>IF($I274="","",$I274*COS(RADIANS($C274))*COS(RADIANS($D274))+$J274*COS(RADIANS($E274))*COS(RADIANS($F274)))</f>
        <v/>
      </c>
      <c r="L274">
        <f>IF($I274="","",$I274*COS(RADIANS($C274))*SIN(RADIANS($D274))+$J274*COS(RADIANS($E274))*SIN(RADIANS($F274)))</f>
        <v/>
      </c>
      <c r="M274">
        <f>IF($I274="","",$I274*SIN(RADIANS($C274))+$J274*SIN(RADIANS($E274)))</f>
        <v/>
      </c>
      <c r="N274">
        <f>IF($M274="","",DEGREES(ATAN2(SQRT($K274^2+$L274^2),$M274)))</f>
        <v/>
      </c>
      <c r="O274">
        <f>IF($M274="","",DEGREES(ATAN2($K274,$L274)))</f>
        <v/>
      </c>
      <c r="P274">
        <f t="array" ref="P274">IF($N274="","",IFERROR(IF(INDEX(geo_grid!$B$2:$JU$231,INT(($N274+40)/0.5)+1,INT(($O274+30)/0.5)+1)="","",INDEX(geo_grid!$B$2:$JU$231,INT(($N274+40)/0.5)+1,INT(($O274+30)/0.5)+1)),"OUTSIDE GRID"))</f>
        <v/>
      </c>
      <c r="Q274">
        <f>IF($P274="","",$A274*1000+$B274)</f>
        <v/>
      </c>
    </row>
    <row r="275">
      <c r="A275">
        <f>INT((ROW()-2)/151)+1</f>
        <v/>
      </c>
      <c r="B275">
        <f>MOD(ROW()-2,151)</f>
        <v/>
      </c>
      <c r="C275">
        <f t="array" ref="C275">IFERROR(INDEX('TRIP MANAGER'!$O$18:$O$25,$A275),"")</f>
        <v/>
      </c>
      <c r="D275">
        <f t="array" ref="D275">IFERROR(INDEX('TRIP MANAGER'!$P$18:$P$25,$A275),"")</f>
        <v/>
      </c>
      <c r="E275">
        <f t="array" ref="E275">IFERROR(INDEX('TRIP MANAGER'!$Q$18:$Q$25,$A275),"")</f>
        <v/>
      </c>
      <c r="F275">
        <f t="array" ref="F275">IFERROR(INDEX('TRIP MANAGER'!$R$18:$R$25,$A275),"")</f>
        <v/>
      </c>
      <c r="G275">
        <f t="array" ref="G275">IFERROR(INDEX('TRIP MANAGER'!$S$18:$S$25,$A275),"")</f>
        <v/>
      </c>
      <c r="H275">
        <f>$B275/150</f>
        <v/>
      </c>
      <c r="I275">
        <f>IF(OR($G275="",$G275=0),"",SIN((1-$H275)*$G275)/SIN($G275))</f>
        <v/>
      </c>
      <c r="J275">
        <f>IF($I275="","",SIN($H275*$G275)/SIN($G275))</f>
        <v/>
      </c>
      <c r="K275">
        <f>IF($I275="","",$I275*COS(RADIANS($C275))*COS(RADIANS($D275))+$J275*COS(RADIANS($E275))*COS(RADIANS($F275)))</f>
        <v/>
      </c>
      <c r="L275">
        <f>IF($I275="","",$I275*COS(RADIANS($C275))*SIN(RADIANS($D275))+$J275*COS(RADIANS($E275))*SIN(RADIANS($F275)))</f>
        <v/>
      </c>
      <c r="M275">
        <f>IF($I275="","",$I275*SIN(RADIANS($C275))+$J275*SIN(RADIANS($E275)))</f>
        <v/>
      </c>
      <c r="N275">
        <f>IF($M275="","",DEGREES(ATAN2(SQRT($K275^2+$L275^2),$M275)))</f>
        <v/>
      </c>
      <c r="O275">
        <f>IF($M275="","",DEGREES(ATAN2($K275,$L275)))</f>
        <v/>
      </c>
      <c r="P275">
        <f t="array" ref="P275">IF($N275="","",IFERROR(IF(INDEX(geo_grid!$B$2:$JU$231,INT(($N275+40)/0.5)+1,INT(($O275+30)/0.5)+1)="","",INDEX(geo_grid!$B$2:$JU$231,INT(($N275+40)/0.5)+1,INT(($O275+30)/0.5)+1)),"OUTSIDE GRID"))</f>
        <v/>
      </c>
      <c r="Q275">
        <f>IF($P275="","",$A275*1000+$B275)</f>
        <v/>
      </c>
    </row>
    <row r="276">
      <c r="A276">
        <f>INT((ROW()-2)/151)+1</f>
        <v/>
      </c>
      <c r="B276">
        <f>MOD(ROW()-2,151)</f>
        <v/>
      </c>
      <c r="C276">
        <f t="array" ref="C276">IFERROR(INDEX('TRIP MANAGER'!$O$18:$O$25,$A276),"")</f>
        <v/>
      </c>
      <c r="D276">
        <f t="array" ref="D276">IFERROR(INDEX('TRIP MANAGER'!$P$18:$P$25,$A276),"")</f>
        <v/>
      </c>
      <c r="E276">
        <f t="array" ref="E276">IFERROR(INDEX('TRIP MANAGER'!$Q$18:$Q$25,$A276),"")</f>
        <v/>
      </c>
      <c r="F276">
        <f t="array" ref="F276">IFERROR(INDEX('TRIP MANAGER'!$R$18:$R$25,$A276),"")</f>
        <v/>
      </c>
      <c r="G276">
        <f t="array" ref="G276">IFERROR(INDEX('TRIP MANAGER'!$S$18:$S$25,$A276),"")</f>
        <v/>
      </c>
      <c r="H276">
        <f>$B276/150</f>
        <v/>
      </c>
      <c r="I276">
        <f>IF(OR($G276="",$G276=0),"",SIN((1-$H276)*$G276)/SIN($G276))</f>
        <v/>
      </c>
      <c r="J276">
        <f>IF($I276="","",SIN($H276*$G276)/SIN($G276))</f>
        <v/>
      </c>
      <c r="K276">
        <f>IF($I276="","",$I276*COS(RADIANS($C276))*COS(RADIANS($D276))+$J276*COS(RADIANS($E276))*COS(RADIANS($F276)))</f>
        <v/>
      </c>
      <c r="L276">
        <f>IF($I276="","",$I276*COS(RADIANS($C276))*SIN(RADIANS($D276))+$J276*COS(RADIANS($E276))*SIN(RADIANS($F276)))</f>
        <v/>
      </c>
      <c r="M276">
        <f>IF($I276="","",$I276*SIN(RADIANS($C276))+$J276*SIN(RADIANS($E276)))</f>
        <v/>
      </c>
      <c r="N276">
        <f>IF($M276="","",DEGREES(ATAN2(SQRT($K276^2+$L276^2),$M276)))</f>
        <v/>
      </c>
      <c r="O276">
        <f>IF($M276="","",DEGREES(ATAN2($K276,$L276)))</f>
        <v/>
      </c>
      <c r="P276">
        <f t="array" ref="P276">IF($N276="","",IFERROR(IF(INDEX(geo_grid!$B$2:$JU$231,INT(($N276+40)/0.5)+1,INT(($O276+30)/0.5)+1)="","",INDEX(geo_grid!$B$2:$JU$231,INT(($N276+40)/0.5)+1,INT(($O276+30)/0.5)+1)),"OUTSIDE GRID"))</f>
        <v/>
      </c>
      <c r="Q276">
        <f>IF($P276="","",$A276*1000+$B276)</f>
        <v/>
      </c>
    </row>
    <row r="277">
      <c r="A277">
        <f>INT((ROW()-2)/151)+1</f>
        <v/>
      </c>
      <c r="B277">
        <f>MOD(ROW()-2,151)</f>
        <v/>
      </c>
      <c r="C277">
        <f t="array" ref="C277">IFERROR(INDEX('TRIP MANAGER'!$O$18:$O$25,$A277),"")</f>
        <v/>
      </c>
      <c r="D277">
        <f t="array" ref="D277">IFERROR(INDEX('TRIP MANAGER'!$P$18:$P$25,$A277),"")</f>
        <v/>
      </c>
      <c r="E277">
        <f t="array" ref="E277">IFERROR(INDEX('TRIP MANAGER'!$Q$18:$Q$25,$A277),"")</f>
        <v/>
      </c>
      <c r="F277">
        <f t="array" ref="F277">IFERROR(INDEX('TRIP MANAGER'!$R$18:$R$25,$A277),"")</f>
        <v/>
      </c>
      <c r="G277">
        <f t="array" ref="G277">IFERROR(INDEX('TRIP MANAGER'!$S$18:$S$25,$A277),"")</f>
        <v/>
      </c>
      <c r="H277">
        <f>$B277/150</f>
        <v/>
      </c>
      <c r="I277">
        <f>IF(OR($G277="",$G277=0),"",SIN((1-$H277)*$G277)/SIN($G277))</f>
        <v/>
      </c>
      <c r="J277">
        <f>IF($I277="","",SIN($H277*$G277)/SIN($G277))</f>
        <v/>
      </c>
      <c r="K277">
        <f>IF($I277="","",$I277*COS(RADIANS($C277))*COS(RADIANS($D277))+$J277*COS(RADIANS($E277))*COS(RADIANS($F277)))</f>
        <v/>
      </c>
      <c r="L277">
        <f>IF($I277="","",$I277*COS(RADIANS($C277))*SIN(RADIANS($D277))+$J277*COS(RADIANS($E277))*SIN(RADIANS($F277)))</f>
        <v/>
      </c>
      <c r="M277">
        <f>IF($I277="","",$I277*SIN(RADIANS($C277))+$J277*SIN(RADIANS($E277)))</f>
        <v/>
      </c>
      <c r="N277">
        <f>IF($M277="","",DEGREES(ATAN2(SQRT($K277^2+$L277^2),$M277)))</f>
        <v/>
      </c>
      <c r="O277">
        <f>IF($M277="","",DEGREES(ATAN2($K277,$L277)))</f>
        <v/>
      </c>
      <c r="P277">
        <f t="array" ref="P277">IF($N277="","",IFERROR(IF(INDEX(geo_grid!$B$2:$JU$231,INT(($N277+40)/0.5)+1,INT(($O277+30)/0.5)+1)="","",INDEX(geo_grid!$B$2:$JU$231,INT(($N277+40)/0.5)+1,INT(($O277+30)/0.5)+1)),"OUTSIDE GRID"))</f>
        <v/>
      </c>
      <c r="Q277">
        <f>IF($P277="","",$A277*1000+$B277)</f>
        <v/>
      </c>
    </row>
    <row r="278">
      <c r="A278">
        <f>INT((ROW()-2)/151)+1</f>
        <v/>
      </c>
      <c r="B278">
        <f>MOD(ROW()-2,151)</f>
        <v/>
      </c>
      <c r="C278">
        <f t="array" ref="C278">IFERROR(INDEX('TRIP MANAGER'!$O$18:$O$25,$A278),"")</f>
        <v/>
      </c>
      <c r="D278">
        <f t="array" ref="D278">IFERROR(INDEX('TRIP MANAGER'!$P$18:$P$25,$A278),"")</f>
        <v/>
      </c>
      <c r="E278">
        <f t="array" ref="E278">IFERROR(INDEX('TRIP MANAGER'!$Q$18:$Q$25,$A278),"")</f>
        <v/>
      </c>
      <c r="F278">
        <f t="array" ref="F278">IFERROR(INDEX('TRIP MANAGER'!$R$18:$R$25,$A278),"")</f>
        <v/>
      </c>
      <c r="G278">
        <f t="array" ref="G278">IFERROR(INDEX('TRIP MANAGER'!$S$18:$S$25,$A278),"")</f>
        <v/>
      </c>
      <c r="H278">
        <f>$B278/150</f>
        <v/>
      </c>
      <c r="I278">
        <f>IF(OR($G278="",$G278=0),"",SIN((1-$H278)*$G278)/SIN($G278))</f>
        <v/>
      </c>
      <c r="J278">
        <f>IF($I278="","",SIN($H278*$G278)/SIN($G278))</f>
        <v/>
      </c>
      <c r="K278">
        <f>IF($I278="","",$I278*COS(RADIANS($C278))*COS(RADIANS($D278))+$J278*COS(RADIANS($E278))*COS(RADIANS($F278)))</f>
        <v/>
      </c>
      <c r="L278">
        <f>IF($I278="","",$I278*COS(RADIANS($C278))*SIN(RADIANS($D278))+$J278*COS(RADIANS($E278))*SIN(RADIANS($F278)))</f>
        <v/>
      </c>
      <c r="M278">
        <f>IF($I278="","",$I278*SIN(RADIANS($C278))+$J278*SIN(RADIANS($E278)))</f>
        <v/>
      </c>
      <c r="N278">
        <f>IF($M278="","",DEGREES(ATAN2(SQRT($K278^2+$L278^2),$M278)))</f>
        <v/>
      </c>
      <c r="O278">
        <f>IF($M278="","",DEGREES(ATAN2($K278,$L278)))</f>
        <v/>
      </c>
      <c r="P278">
        <f t="array" ref="P278">IF($N278="","",IFERROR(IF(INDEX(geo_grid!$B$2:$JU$231,INT(($N278+40)/0.5)+1,INT(($O278+30)/0.5)+1)="","",INDEX(geo_grid!$B$2:$JU$231,INT(($N278+40)/0.5)+1,INT(($O278+30)/0.5)+1)),"OUTSIDE GRID"))</f>
        <v/>
      </c>
      <c r="Q278">
        <f>IF($P278="","",$A278*1000+$B278)</f>
        <v/>
      </c>
    </row>
    <row r="279">
      <c r="A279">
        <f>INT((ROW()-2)/151)+1</f>
        <v/>
      </c>
      <c r="B279">
        <f>MOD(ROW()-2,151)</f>
        <v/>
      </c>
      <c r="C279">
        <f t="array" ref="C279">IFERROR(INDEX('TRIP MANAGER'!$O$18:$O$25,$A279),"")</f>
        <v/>
      </c>
      <c r="D279">
        <f t="array" ref="D279">IFERROR(INDEX('TRIP MANAGER'!$P$18:$P$25,$A279),"")</f>
        <v/>
      </c>
      <c r="E279">
        <f t="array" ref="E279">IFERROR(INDEX('TRIP MANAGER'!$Q$18:$Q$25,$A279),"")</f>
        <v/>
      </c>
      <c r="F279">
        <f t="array" ref="F279">IFERROR(INDEX('TRIP MANAGER'!$R$18:$R$25,$A279),"")</f>
        <v/>
      </c>
      <c r="G279">
        <f t="array" ref="G279">IFERROR(INDEX('TRIP MANAGER'!$S$18:$S$25,$A279),"")</f>
        <v/>
      </c>
      <c r="H279">
        <f>$B279/150</f>
        <v/>
      </c>
      <c r="I279">
        <f>IF(OR($G279="",$G279=0),"",SIN((1-$H279)*$G279)/SIN($G279))</f>
        <v/>
      </c>
      <c r="J279">
        <f>IF($I279="","",SIN($H279*$G279)/SIN($G279))</f>
        <v/>
      </c>
      <c r="K279">
        <f>IF($I279="","",$I279*COS(RADIANS($C279))*COS(RADIANS($D279))+$J279*COS(RADIANS($E279))*COS(RADIANS($F279)))</f>
        <v/>
      </c>
      <c r="L279">
        <f>IF($I279="","",$I279*COS(RADIANS($C279))*SIN(RADIANS($D279))+$J279*COS(RADIANS($E279))*SIN(RADIANS($F279)))</f>
        <v/>
      </c>
      <c r="M279">
        <f>IF($I279="","",$I279*SIN(RADIANS($C279))+$J279*SIN(RADIANS($E279)))</f>
        <v/>
      </c>
      <c r="N279">
        <f>IF($M279="","",DEGREES(ATAN2(SQRT($K279^2+$L279^2),$M279)))</f>
        <v/>
      </c>
      <c r="O279">
        <f>IF($M279="","",DEGREES(ATAN2($K279,$L279)))</f>
        <v/>
      </c>
      <c r="P279">
        <f t="array" ref="P279">IF($N279="","",IFERROR(IF(INDEX(geo_grid!$B$2:$JU$231,INT(($N279+40)/0.5)+1,INT(($O279+30)/0.5)+1)="","",INDEX(geo_grid!$B$2:$JU$231,INT(($N279+40)/0.5)+1,INT(($O279+30)/0.5)+1)),"OUTSIDE GRID"))</f>
        <v/>
      </c>
      <c r="Q279">
        <f>IF($P279="","",$A279*1000+$B279)</f>
        <v/>
      </c>
    </row>
    <row r="280">
      <c r="A280">
        <f>INT((ROW()-2)/151)+1</f>
        <v/>
      </c>
      <c r="B280">
        <f>MOD(ROW()-2,151)</f>
        <v/>
      </c>
      <c r="C280">
        <f t="array" ref="C280">IFERROR(INDEX('TRIP MANAGER'!$O$18:$O$25,$A280),"")</f>
        <v/>
      </c>
      <c r="D280">
        <f t="array" ref="D280">IFERROR(INDEX('TRIP MANAGER'!$P$18:$P$25,$A280),"")</f>
        <v/>
      </c>
      <c r="E280">
        <f t="array" ref="E280">IFERROR(INDEX('TRIP MANAGER'!$Q$18:$Q$25,$A280),"")</f>
        <v/>
      </c>
      <c r="F280">
        <f t="array" ref="F280">IFERROR(INDEX('TRIP MANAGER'!$R$18:$R$25,$A280),"")</f>
        <v/>
      </c>
      <c r="G280">
        <f t="array" ref="G280">IFERROR(INDEX('TRIP MANAGER'!$S$18:$S$25,$A280),"")</f>
        <v/>
      </c>
      <c r="H280">
        <f>$B280/150</f>
        <v/>
      </c>
      <c r="I280">
        <f>IF(OR($G280="",$G280=0),"",SIN((1-$H280)*$G280)/SIN($G280))</f>
        <v/>
      </c>
      <c r="J280">
        <f>IF($I280="","",SIN($H280*$G280)/SIN($G280))</f>
        <v/>
      </c>
      <c r="K280">
        <f>IF($I280="","",$I280*COS(RADIANS($C280))*COS(RADIANS($D280))+$J280*COS(RADIANS($E280))*COS(RADIANS($F280)))</f>
        <v/>
      </c>
      <c r="L280">
        <f>IF($I280="","",$I280*COS(RADIANS($C280))*SIN(RADIANS($D280))+$J280*COS(RADIANS($E280))*SIN(RADIANS($F280)))</f>
        <v/>
      </c>
      <c r="M280">
        <f>IF($I280="","",$I280*SIN(RADIANS($C280))+$J280*SIN(RADIANS($E280)))</f>
        <v/>
      </c>
      <c r="N280">
        <f>IF($M280="","",DEGREES(ATAN2(SQRT($K280^2+$L280^2),$M280)))</f>
        <v/>
      </c>
      <c r="O280">
        <f>IF($M280="","",DEGREES(ATAN2($K280,$L280)))</f>
        <v/>
      </c>
      <c r="P280">
        <f t="array" ref="P280">IF($N280="","",IFERROR(IF(INDEX(geo_grid!$B$2:$JU$231,INT(($N280+40)/0.5)+1,INT(($O280+30)/0.5)+1)="","",INDEX(geo_grid!$B$2:$JU$231,INT(($N280+40)/0.5)+1,INT(($O280+30)/0.5)+1)),"OUTSIDE GRID"))</f>
        <v/>
      </c>
      <c r="Q280">
        <f>IF($P280="","",$A280*1000+$B280)</f>
        <v/>
      </c>
    </row>
    <row r="281">
      <c r="A281">
        <f>INT((ROW()-2)/151)+1</f>
        <v/>
      </c>
      <c r="B281">
        <f>MOD(ROW()-2,151)</f>
        <v/>
      </c>
      <c r="C281">
        <f t="array" ref="C281">IFERROR(INDEX('TRIP MANAGER'!$O$18:$O$25,$A281),"")</f>
        <v/>
      </c>
      <c r="D281">
        <f t="array" ref="D281">IFERROR(INDEX('TRIP MANAGER'!$P$18:$P$25,$A281),"")</f>
        <v/>
      </c>
      <c r="E281">
        <f t="array" ref="E281">IFERROR(INDEX('TRIP MANAGER'!$Q$18:$Q$25,$A281),"")</f>
        <v/>
      </c>
      <c r="F281">
        <f t="array" ref="F281">IFERROR(INDEX('TRIP MANAGER'!$R$18:$R$25,$A281),"")</f>
        <v/>
      </c>
      <c r="G281">
        <f t="array" ref="G281">IFERROR(INDEX('TRIP MANAGER'!$S$18:$S$25,$A281),"")</f>
        <v/>
      </c>
      <c r="H281">
        <f>$B281/150</f>
        <v/>
      </c>
      <c r="I281">
        <f>IF(OR($G281="",$G281=0),"",SIN((1-$H281)*$G281)/SIN($G281))</f>
        <v/>
      </c>
      <c r="J281">
        <f>IF($I281="","",SIN($H281*$G281)/SIN($G281))</f>
        <v/>
      </c>
      <c r="K281">
        <f>IF($I281="","",$I281*COS(RADIANS($C281))*COS(RADIANS($D281))+$J281*COS(RADIANS($E281))*COS(RADIANS($F281)))</f>
        <v/>
      </c>
      <c r="L281">
        <f>IF($I281="","",$I281*COS(RADIANS($C281))*SIN(RADIANS($D281))+$J281*COS(RADIANS($E281))*SIN(RADIANS($F281)))</f>
        <v/>
      </c>
      <c r="M281">
        <f>IF($I281="","",$I281*SIN(RADIANS($C281))+$J281*SIN(RADIANS($E281)))</f>
        <v/>
      </c>
      <c r="N281">
        <f>IF($M281="","",DEGREES(ATAN2(SQRT($K281^2+$L281^2),$M281)))</f>
        <v/>
      </c>
      <c r="O281">
        <f>IF($M281="","",DEGREES(ATAN2($K281,$L281)))</f>
        <v/>
      </c>
      <c r="P281">
        <f t="array" ref="P281">IF($N281="","",IFERROR(IF(INDEX(geo_grid!$B$2:$JU$231,INT(($N281+40)/0.5)+1,INT(($O281+30)/0.5)+1)="","",INDEX(geo_grid!$B$2:$JU$231,INT(($N281+40)/0.5)+1,INT(($O281+30)/0.5)+1)),"OUTSIDE GRID"))</f>
        <v/>
      </c>
      <c r="Q281">
        <f>IF($P281="","",$A281*1000+$B281)</f>
        <v/>
      </c>
    </row>
    <row r="282">
      <c r="A282">
        <f>INT((ROW()-2)/151)+1</f>
        <v/>
      </c>
      <c r="B282">
        <f>MOD(ROW()-2,151)</f>
        <v/>
      </c>
      <c r="C282">
        <f t="array" ref="C282">IFERROR(INDEX('TRIP MANAGER'!$O$18:$O$25,$A282),"")</f>
        <v/>
      </c>
      <c r="D282">
        <f t="array" ref="D282">IFERROR(INDEX('TRIP MANAGER'!$P$18:$P$25,$A282),"")</f>
        <v/>
      </c>
      <c r="E282">
        <f t="array" ref="E282">IFERROR(INDEX('TRIP MANAGER'!$Q$18:$Q$25,$A282),"")</f>
        <v/>
      </c>
      <c r="F282">
        <f t="array" ref="F282">IFERROR(INDEX('TRIP MANAGER'!$R$18:$R$25,$A282),"")</f>
        <v/>
      </c>
      <c r="G282">
        <f t="array" ref="G282">IFERROR(INDEX('TRIP MANAGER'!$S$18:$S$25,$A282),"")</f>
        <v/>
      </c>
      <c r="H282">
        <f>$B282/150</f>
        <v/>
      </c>
      <c r="I282">
        <f>IF(OR($G282="",$G282=0),"",SIN((1-$H282)*$G282)/SIN($G282))</f>
        <v/>
      </c>
      <c r="J282">
        <f>IF($I282="","",SIN($H282*$G282)/SIN($G282))</f>
        <v/>
      </c>
      <c r="K282">
        <f>IF($I282="","",$I282*COS(RADIANS($C282))*COS(RADIANS($D282))+$J282*COS(RADIANS($E282))*COS(RADIANS($F282)))</f>
        <v/>
      </c>
      <c r="L282">
        <f>IF($I282="","",$I282*COS(RADIANS($C282))*SIN(RADIANS($D282))+$J282*COS(RADIANS($E282))*SIN(RADIANS($F282)))</f>
        <v/>
      </c>
      <c r="M282">
        <f>IF($I282="","",$I282*SIN(RADIANS($C282))+$J282*SIN(RADIANS($E282)))</f>
        <v/>
      </c>
      <c r="N282">
        <f>IF($M282="","",DEGREES(ATAN2(SQRT($K282^2+$L282^2),$M282)))</f>
        <v/>
      </c>
      <c r="O282">
        <f>IF($M282="","",DEGREES(ATAN2($K282,$L282)))</f>
        <v/>
      </c>
      <c r="P282">
        <f t="array" ref="P282">IF($N282="","",IFERROR(IF(INDEX(geo_grid!$B$2:$JU$231,INT(($N282+40)/0.5)+1,INT(($O282+30)/0.5)+1)="","",INDEX(geo_grid!$B$2:$JU$231,INT(($N282+40)/0.5)+1,INT(($O282+30)/0.5)+1)),"OUTSIDE GRID"))</f>
        <v/>
      </c>
      <c r="Q282">
        <f>IF($P282="","",$A282*1000+$B282)</f>
        <v/>
      </c>
    </row>
    <row r="283">
      <c r="A283">
        <f>INT((ROW()-2)/151)+1</f>
        <v/>
      </c>
      <c r="B283">
        <f>MOD(ROW()-2,151)</f>
        <v/>
      </c>
      <c r="C283">
        <f t="array" ref="C283">IFERROR(INDEX('TRIP MANAGER'!$O$18:$O$25,$A283),"")</f>
        <v/>
      </c>
      <c r="D283">
        <f t="array" ref="D283">IFERROR(INDEX('TRIP MANAGER'!$P$18:$P$25,$A283),"")</f>
        <v/>
      </c>
      <c r="E283">
        <f t="array" ref="E283">IFERROR(INDEX('TRIP MANAGER'!$Q$18:$Q$25,$A283),"")</f>
        <v/>
      </c>
      <c r="F283">
        <f t="array" ref="F283">IFERROR(INDEX('TRIP MANAGER'!$R$18:$R$25,$A283),"")</f>
        <v/>
      </c>
      <c r="G283">
        <f t="array" ref="G283">IFERROR(INDEX('TRIP MANAGER'!$S$18:$S$25,$A283),"")</f>
        <v/>
      </c>
      <c r="H283">
        <f>$B283/150</f>
        <v/>
      </c>
      <c r="I283">
        <f>IF(OR($G283="",$G283=0),"",SIN((1-$H283)*$G283)/SIN($G283))</f>
        <v/>
      </c>
      <c r="J283">
        <f>IF($I283="","",SIN($H283*$G283)/SIN($G283))</f>
        <v/>
      </c>
      <c r="K283">
        <f>IF($I283="","",$I283*COS(RADIANS($C283))*COS(RADIANS($D283))+$J283*COS(RADIANS($E283))*COS(RADIANS($F283)))</f>
        <v/>
      </c>
      <c r="L283">
        <f>IF($I283="","",$I283*COS(RADIANS($C283))*SIN(RADIANS($D283))+$J283*COS(RADIANS($E283))*SIN(RADIANS($F283)))</f>
        <v/>
      </c>
      <c r="M283">
        <f>IF($I283="","",$I283*SIN(RADIANS($C283))+$J283*SIN(RADIANS($E283)))</f>
        <v/>
      </c>
      <c r="N283">
        <f>IF($M283="","",DEGREES(ATAN2(SQRT($K283^2+$L283^2),$M283)))</f>
        <v/>
      </c>
      <c r="O283">
        <f>IF($M283="","",DEGREES(ATAN2($K283,$L283)))</f>
        <v/>
      </c>
      <c r="P283">
        <f t="array" ref="P283">IF($N283="","",IFERROR(IF(INDEX(geo_grid!$B$2:$JU$231,INT(($N283+40)/0.5)+1,INT(($O283+30)/0.5)+1)="","",INDEX(geo_grid!$B$2:$JU$231,INT(($N283+40)/0.5)+1,INT(($O283+30)/0.5)+1)),"OUTSIDE GRID"))</f>
        <v/>
      </c>
      <c r="Q283">
        <f>IF($P283="","",$A283*1000+$B283)</f>
        <v/>
      </c>
    </row>
    <row r="284">
      <c r="A284">
        <f>INT((ROW()-2)/151)+1</f>
        <v/>
      </c>
      <c r="B284">
        <f>MOD(ROW()-2,151)</f>
        <v/>
      </c>
      <c r="C284">
        <f t="array" ref="C284">IFERROR(INDEX('TRIP MANAGER'!$O$18:$O$25,$A284),"")</f>
        <v/>
      </c>
      <c r="D284">
        <f t="array" ref="D284">IFERROR(INDEX('TRIP MANAGER'!$P$18:$P$25,$A284),"")</f>
        <v/>
      </c>
      <c r="E284">
        <f t="array" ref="E284">IFERROR(INDEX('TRIP MANAGER'!$Q$18:$Q$25,$A284),"")</f>
        <v/>
      </c>
      <c r="F284">
        <f t="array" ref="F284">IFERROR(INDEX('TRIP MANAGER'!$R$18:$R$25,$A284),"")</f>
        <v/>
      </c>
      <c r="G284">
        <f t="array" ref="G284">IFERROR(INDEX('TRIP MANAGER'!$S$18:$S$25,$A284),"")</f>
        <v/>
      </c>
      <c r="H284">
        <f>$B284/150</f>
        <v/>
      </c>
      <c r="I284">
        <f>IF(OR($G284="",$G284=0),"",SIN((1-$H284)*$G284)/SIN($G284))</f>
        <v/>
      </c>
      <c r="J284">
        <f>IF($I284="","",SIN($H284*$G284)/SIN($G284))</f>
        <v/>
      </c>
      <c r="K284">
        <f>IF($I284="","",$I284*COS(RADIANS($C284))*COS(RADIANS($D284))+$J284*COS(RADIANS($E284))*COS(RADIANS($F284)))</f>
        <v/>
      </c>
      <c r="L284">
        <f>IF($I284="","",$I284*COS(RADIANS($C284))*SIN(RADIANS($D284))+$J284*COS(RADIANS($E284))*SIN(RADIANS($F284)))</f>
        <v/>
      </c>
      <c r="M284">
        <f>IF($I284="","",$I284*SIN(RADIANS($C284))+$J284*SIN(RADIANS($E284)))</f>
        <v/>
      </c>
      <c r="N284">
        <f>IF($M284="","",DEGREES(ATAN2(SQRT($K284^2+$L284^2),$M284)))</f>
        <v/>
      </c>
      <c r="O284">
        <f>IF($M284="","",DEGREES(ATAN2($K284,$L284)))</f>
        <v/>
      </c>
      <c r="P284">
        <f t="array" ref="P284">IF($N284="","",IFERROR(IF(INDEX(geo_grid!$B$2:$JU$231,INT(($N284+40)/0.5)+1,INT(($O284+30)/0.5)+1)="","",INDEX(geo_grid!$B$2:$JU$231,INT(($N284+40)/0.5)+1,INT(($O284+30)/0.5)+1)),"OUTSIDE GRID"))</f>
        <v/>
      </c>
      <c r="Q284">
        <f>IF($P284="","",$A284*1000+$B284)</f>
        <v/>
      </c>
    </row>
    <row r="285">
      <c r="A285">
        <f>INT((ROW()-2)/151)+1</f>
        <v/>
      </c>
      <c r="B285">
        <f>MOD(ROW()-2,151)</f>
        <v/>
      </c>
      <c r="C285">
        <f t="array" ref="C285">IFERROR(INDEX('TRIP MANAGER'!$O$18:$O$25,$A285),"")</f>
        <v/>
      </c>
      <c r="D285">
        <f t="array" ref="D285">IFERROR(INDEX('TRIP MANAGER'!$P$18:$P$25,$A285),"")</f>
        <v/>
      </c>
      <c r="E285">
        <f t="array" ref="E285">IFERROR(INDEX('TRIP MANAGER'!$Q$18:$Q$25,$A285),"")</f>
        <v/>
      </c>
      <c r="F285">
        <f t="array" ref="F285">IFERROR(INDEX('TRIP MANAGER'!$R$18:$R$25,$A285),"")</f>
        <v/>
      </c>
      <c r="G285">
        <f t="array" ref="G285">IFERROR(INDEX('TRIP MANAGER'!$S$18:$S$25,$A285),"")</f>
        <v/>
      </c>
      <c r="H285">
        <f>$B285/150</f>
        <v/>
      </c>
      <c r="I285">
        <f>IF(OR($G285="",$G285=0),"",SIN((1-$H285)*$G285)/SIN($G285))</f>
        <v/>
      </c>
      <c r="J285">
        <f>IF($I285="","",SIN($H285*$G285)/SIN($G285))</f>
        <v/>
      </c>
      <c r="K285">
        <f>IF($I285="","",$I285*COS(RADIANS($C285))*COS(RADIANS($D285))+$J285*COS(RADIANS($E285))*COS(RADIANS($F285)))</f>
        <v/>
      </c>
      <c r="L285">
        <f>IF($I285="","",$I285*COS(RADIANS($C285))*SIN(RADIANS($D285))+$J285*COS(RADIANS($E285))*SIN(RADIANS($F285)))</f>
        <v/>
      </c>
      <c r="M285">
        <f>IF($I285="","",$I285*SIN(RADIANS($C285))+$J285*SIN(RADIANS($E285)))</f>
        <v/>
      </c>
      <c r="N285">
        <f>IF($M285="","",DEGREES(ATAN2(SQRT($K285^2+$L285^2),$M285)))</f>
        <v/>
      </c>
      <c r="O285">
        <f>IF($M285="","",DEGREES(ATAN2($K285,$L285)))</f>
        <v/>
      </c>
      <c r="P285">
        <f t="array" ref="P285">IF($N285="","",IFERROR(IF(INDEX(geo_grid!$B$2:$JU$231,INT(($N285+40)/0.5)+1,INT(($O285+30)/0.5)+1)="","",INDEX(geo_grid!$B$2:$JU$231,INT(($N285+40)/0.5)+1,INT(($O285+30)/0.5)+1)),"OUTSIDE GRID"))</f>
        <v/>
      </c>
      <c r="Q285">
        <f>IF($P285="","",$A285*1000+$B285)</f>
        <v/>
      </c>
    </row>
    <row r="286">
      <c r="A286">
        <f>INT((ROW()-2)/151)+1</f>
        <v/>
      </c>
      <c r="B286">
        <f>MOD(ROW()-2,151)</f>
        <v/>
      </c>
      <c r="C286">
        <f t="array" ref="C286">IFERROR(INDEX('TRIP MANAGER'!$O$18:$O$25,$A286),"")</f>
        <v/>
      </c>
      <c r="D286">
        <f t="array" ref="D286">IFERROR(INDEX('TRIP MANAGER'!$P$18:$P$25,$A286),"")</f>
        <v/>
      </c>
      <c r="E286">
        <f t="array" ref="E286">IFERROR(INDEX('TRIP MANAGER'!$Q$18:$Q$25,$A286),"")</f>
        <v/>
      </c>
      <c r="F286">
        <f t="array" ref="F286">IFERROR(INDEX('TRIP MANAGER'!$R$18:$R$25,$A286),"")</f>
        <v/>
      </c>
      <c r="G286">
        <f t="array" ref="G286">IFERROR(INDEX('TRIP MANAGER'!$S$18:$S$25,$A286),"")</f>
        <v/>
      </c>
      <c r="H286">
        <f>$B286/150</f>
        <v/>
      </c>
      <c r="I286">
        <f>IF(OR($G286="",$G286=0),"",SIN((1-$H286)*$G286)/SIN($G286))</f>
        <v/>
      </c>
      <c r="J286">
        <f>IF($I286="","",SIN($H286*$G286)/SIN($G286))</f>
        <v/>
      </c>
      <c r="K286">
        <f>IF($I286="","",$I286*COS(RADIANS($C286))*COS(RADIANS($D286))+$J286*COS(RADIANS($E286))*COS(RADIANS($F286)))</f>
        <v/>
      </c>
      <c r="L286">
        <f>IF($I286="","",$I286*COS(RADIANS($C286))*SIN(RADIANS($D286))+$J286*COS(RADIANS($E286))*SIN(RADIANS($F286)))</f>
        <v/>
      </c>
      <c r="M286">
        <f>IF($I286="","",$I286*SIN(RADIANS($C286))+$J286*SIN(RADIANS($E286)))</f>
        <v/>
      </c>
      <c r="N286">
        <f>IF($M286="","",DEGREES(ATAN2(SQRT($K286^2+$L286^2),$M286)))</f>
        <v/>
      </c>
      <c r="O286">
        <f>IF($M286="","",DEGREES(ATAN2($K286,$L286)))</f>
        <v/>
      </c>
      <c r="P286">
        <f t="array" ref="P286">IF($N286="","",IFERROR(IF(INDEX(geo_grid!$B$2:$JU$231,INT(($N286+40)/0.5)+1,INT(($O286+30)/0.5)+1)="","",INDEX(geo_grid!$B$2:$JU$231,INT(($N286+40)/0.5)+1,INT(($O286+30)/0.5)+1)),"OUTSIDE GRID"))</f>
        <v/>
      </c>
      <c r="Q286">
        <f>IF($P286="","",$A286*1000+$B286)</f>
        <v/>
      </c>
    </row>
    <row r="287">
      <c r="A287">
        <f>INT((ROW()-2)/151)+1</f>
        <v/>
      </c>
      <c r="B287">
        <f>MOD(ROW()-2,151)</f>
        <v/>
      </c>
      <c r="C287">
        <f t="array" ref="C287">IFERROR(INDEX('TRIP MANAGER'!$O$18:$O$25,$A287),"")</f>
        <v/>
      </c>
      <c r="D287">
        <f t="array" ref="D287">IFERROR(INDEX('TRIP MANAGER'!$P$18:$P$25,$A287),"")</f>
        <v/>
      </c>
      <c r="E287">
        <f t="array" ref="E287">IFERROR(INDEX('TRIP MANAGER'!$Q$18:$Q$25,$A287),"")</f>
        <v/>
      </c>
      <c r="F287">
        <f t="array" ref="F287">IFERROR(INDEX('TRIP MANAGER'!$R$18:$R$25,$A287),"")</f>
        <v/>
      </c>
      <c r="G287">
        <f t="array" ref="G287">IFERROR(INDEX('TRIP MANAGER'!$S$18:$S$25,$A287),"")</f>
        <v/>
      </c>
      <c r="H287">
        <f>$B287/150</f>
        <v/>
      </c>
      <c r="I287">
        <f>IF(OR($G287="",$G287=0),"",SIN((1-$H287)*$G287)/SIN($G287))</f>
        <v/>
      </c>
      <c r="J287">
        <f>IF($I287="","",SIN($H287*$G287)/SIN($G287))</f>
        <v/>
      </c>
      <c r="K287">
        <f>IF($I287="","",$I287*COS(RADIANS($C287))*COS(RADIANS($D287))+$J287*COS(RADIANS($E287))*COS(RADIANS($F287)))</f>
        <v/>
      </c>
      <c r="L287">
        <f>IF($I287="","",$I287*COS(RADIANS($C287))*SIN(RADIANS($D287))+$J287*COS(RADIANS($E287))*SIN(RADIANS($F287)))</f>
        <v/>
      </c>
      <c r="M287">
        <f>IF($I287="","",$I287*SIN(RADIANS($C287))+$J287*SIN(RADIANS($E287)))</f>
        <v/>
      </c>
      <c r="N287">
        <f>IF($M287="","",DEGREES(ATAN2(SQRT($K287^2+$L287^2),$M287)))</f>
        <v/>
      </c>
      <c r="O287">
        <f>IF($M287="","",DEGREES(ATAN2($K287,$L287)))</f>
        <v/>
      </c>
      <c r="P287">
        <f t="array" ref="P287">IF($N287="","",IFERROR(IF(INDEX(geo_grid!$B$2:$JU$231,INT(($N287+40)/0.5)+1,INT(($O287+30)/0.5)+1)="","",INDEX(geo_grid!$B$2:$JU$231,INT(($N287+40)/0.5)+1,INT(($O287+30)/0.5)+1)),"OUTSIDE GRID"))</f>
        <v/>
      </c>
      <c r="Q287">
        <f>IF($P287="","",$A287*1000+$B287)</f>
        <v/>
      </c>
    </row>
    <row r="288">
      <c r="A288">
        <f>INT((ROW()-2)/151)+1</f>
        <v/>
      </c>
      <c r="B288">
        <f>MOD(ROW()-2,151)</f>
        <v/>
      </c>
      <c r="C288">
        <f t="array" ref="C288">IFERROR(INDEX('TRIP MANAGER'!$O$18:$O$25,$A288),"")</f>
        <v/>
      </c>
      <c r="D288">
        <f t="array" ref="D288">IFERROR(INDEX('TRIP MANAGER'!$P$18:$P$25,$A288),"")</f>
        <v/>
      </c>
      <c r="E288">
        <f t="array" ref="E288">IFERROR(INDEX('TRIP MANAGER'!$Q$18:$Q$25,$A288),"")</f>
        <v/>
      </c>
      <c r="F288">
        <f t="array" ref="F288">IFERROR(INDEX('TRIP MANAGER'!$R$18:$R$25,$A288),"")</f>
        <v/>
      </c>
      <c r="G288">
        <f t="array" ref="G288">IFERROR(INDEX('TRIP MANAGER'!$S$18:$S$25,$A288),"")</f>
        <v/>
      </c>
      <c r="H288">
        <f>$B288/150</f>
        <v/>
      </c>
      <c r="I288">
        <f>IF(OR($G288="",$G288=0),"",SIN((1-$H288)*$G288)/SIN($G288))</f>
        <v/>
      </c>
      <c r="J288">
        <f>IF($I288="","",SIN($H288*$G288)/SIN($G288))</f>
        <v/>
      </c>
      <c r="K288">
        <f>IF($I288="","",$I288*COS(RADIANS($C288))*COS(RADIANS($D288))+$J288*COS(RADIANS($E288))*COS(RADIANS($F288)))</f>
        <v/>
      </c>
      <c r="L288">
        <f>IF($I288="","",$I288*COS(RADIANS($C288))*SIN(RADIANS($D288))+$J288*COS(RADIANS($E288))*SIN(RADIANS($F288)))</f>
        <v/>
      </c>
      <c r="M288">
        <f>IF($I288="","",$I288*SIN(RADIANS($C288))+$J288*SIN(RADIANS($E288)))</f>
        <v/>
      </c>
      <c r="N288">
        <f>IF($M288="","",DEGREES(ATAN2(SQRT($K288^2+$L288^2),$M288)))</f>
        <v/>
      </c>
      <c r="O288">
        <f>IF($M288="","",DEGREES(ATAN2($K288,$L288)))</f>
        <v/>
      </c>
      <c r="P288">
        <f t="array" ref="P288">IF($N288="","",IFERROR(IF(INDEX(geo_grid!$B$2:$JU$231,INT(($N288+40)/0.5)+1,INT(($O288+30)/0.5)+1)="","",INDEX(geo_grid!$B$2:$JU$231,INT(($N288+40)/0.5)+1,INT(($O288+30)/0.5)+1)),"OUTSIDE GRID"))</f>
        <v/>
      </c>
      <c r="Q288">
        <f>IF($P288="","",$A288*1000+$B288)</f>
        <v/>
      </c>
    </row>
    <row r="289">
      <c r="A289">
        <f>INT((ROW()-2)/151)+1</f>
        <v/>
      </c>
      <c r="B289">
        <f>MOD(ROW()-2,151)</f>
        <v/>
      </c>
      <c r="C289">
        <f t="array" ref="C289">IFERROR(INDEX('TRIP MANAGER'!$O$18:$O$25,$A289),"")</f>
        <v/>
      </c>
      <c r="D289">
        <f t="array" ref="D289">IFERROR(INDEX('TRIP MANAGER'!$P$18:$P$25,$A289),"")</f>
        <v/>
      </c>
      <c r="E289">
        <f t="array" ref="E289">IFERROR(INDEX('TRIP MANAGER'!$Q$18:$Q$25,$A289),"")</f>
        <v/>
      </c>
      <c r="F289">
        <f t="array" ref="F289">IFERROR(INDEX('TRIP MANAGER'!$R$18:$R$25,$A289),"")</f>
        <v/>
      </c>
      <c r="G289">
        <f t="array" ref="G289">IFERROR(INDEX('TRIP MANAGER'!$S$18:$S$25,$A289),"")</f>
        <v/>
      </c>
      <c r="H289">
        <f>$B289/150</f>
        <v/>
      </c>
      <c r="I289">
        <f>IF(OR($G289="",$G289=0),"",SIN((1-$H289)*$G289)/SIN($G289))</f>
        <v/>
      </c>
      <c r="J289">
        <f>IF($I289="","",SIN($H289*$G289)/SIN($G289))</f>
        <v/>
      </c>
      <c r="K289">
        <f>IF($I289="","",$I289*COS(RADIANS($C289))*COS(RADIANS($D289))+$J289*COS(RADIANS($E289))*COS(RADIANS($F289)))</f>
        <v/>
      </c>
      <c r="L289">
        <f>IF($I289="","",$I289*COS(RADIANS($C289))*SIN(RADIANS($D289))+$J289*COS(RADIANS($E289))*SIN(RADIANS($F289)))</f>
        <v/>
      </c>
      <c r="M289">
        <f>IF($I289="","",$I289*SIN(RADIANS($C289))+$J289*SIN(RADIANS($E289)))</f>
        <v/>
      </c>
      <c r="N289">
        <f>IF($M289="","",DEGREES(ATAN2(SQRT($K289^2+$L289^2),$M289)))</f>
        <v/>
      </c>
      <c r="O289">
        <f>IF($M289="","",DEGREES(ATAN2($K289,$L289)))</f>
        <v/>
      </c>
      <c r="P289">
        <f t="array" ref="P289">IF($N289="","",IFERROR(IF(INDEX(geo_grid!$B$2:$JU$231,INT(($N289+40)/0.5)+1,INT(($O289+30)/0.5)+1)="","",INDEX(geo_grid!$B$2:$JU$231,INT(($N289+40)/0.5)+1,INT(($O289+30)/0.5)+1)),"OUTSIDE GRID"))</f>
        <v/>
      </c>
      <c r="Q289">
        <f>IF($P289="","",$A289*1000+$B289)</f>
        <v/>
      </c>
    </row>
    <row r="290">
      <c r="A290">
        <f>INT((ROW()-2)/151)+1</f>
        <v/>
      </c>
      <c r="B290">
        <f>MOD(ROW()-2,151)</f>
        <v/>
      </c>
      <c r="C290">
        <f t="array" ref="C290">IFERROR(INDEX('TRIP MANAGER'!$O$18:$O$25,$A290),"")</f>
        <v/>
      </c>
      <c r="D290">
        <f t="array" ref="D290">IFERROR(INDEX('TRIP MANAGER'!$P$18:$P$25,$A290),"")</f>
        <v/>
      </c>
      <c r="E290">
        <f t="array" ref="E290">IFERROR(INDEX('TRIP MANAGER'!$Q$18:$Q$25,$A290),"")</f>
        <v/>
      </c>
      <c r="F290">
        <f t="array" ref="F290">IFERROR(INDEX('TRIP MANAGER'!$R$18:$R$25,$A290),"")</f>
        <v/>
      </c>
      <c r="G290">
        <f t="array" ref="G290">IFERROR(INDEX('TRIP MANAGER'!$S$18:$S$25,$A290),"")</f>
        <v/>
      </c>
      <c r="H290">
        <f>$B290/150</f>
        <v/>
      </c>
      <c r="I290">
        <f>IF(OR($G290="",$G290=0),"",SIN((1-$H290)*$G290)/SIN($G290))</f>
        <v/>
      </c>
      <c r="J290">
        <f>IF($I290="","",SIN($H290*$G290)/SIN($G290))</f>
        <v/>
      </c>
      <c r="K290">
        <f>IF($I290="","",$I290*COS(RADIANS($C290))*COS(RADIANS($D290))+$J290*COS(RADIANS($E290))*COS(RADIANS($F290)))</f>
        <v/>
      </c>
      <c r="L290">
        <f>IF($I290="","",$I290*COS(RADIANS($C290))*SIN(RADIANS($D290))+$J290*COS(RADIANS($E290))*SIN(RADIANS($F290)))</f>
        <v/>
      </c>
      <c r="M290">
        <f>IF($I290="","",$I290*SIN(RADIANS($C290))+$J290*SIN(RADIANS($E290)))</f>
        <v/>
      </c>
      <c r="N290">
        <f>IF($M290="","",DEGREES(ATAN2(SQRT($K290^2+$L290^2),$M290)))</f>
        <v/>
      </c>
      <c r="O290">
        <f>IF($M290="","",DEGREES(ATAN2($K290,$L290)))</f>
        <v/>
      </c>
      <c r="P290">
        <f t="array" ref="P290">IF($N290="","",IFERROR(IF(INDEX(geo_grid!$B$2:$JU$231,INT(($N290+40)/0.5)+1,INT(($O290+30)/0.5)+1)="","",INDEX(geo_grid!$B$2:$JU$231,INT(($N290+40)/0.5)+1,INT(($O290+30)/0.5)+1)),"OUTSIDE GRID"))</f>
        <v/>
      </c>
      <c r="Q290">
        <f>IF($P290="","",$A290*1000+$B290)</f>
        <v/>
      </c>
    </row>
    <row r="291">
      <c r="A291">
        <f>INT((ROW()-2)/151)+1</f>
        <v/>
      </c>
      <c r="B291">
        <f>MOD(ROW()-2,151)</f>
        <v/>
      </c>
      <c r="C291">
        <f t="array" ref="C291">IFERROR(INDEX('TRIP MANAGER'!$O$18:$O$25,$A291),"")</f>
        <v/>
      </c>
      <c r="D291">
        <f t="array" ref="D291">IFERROR(INDEX('TRIP MANAGER'!$P$18:$P$25,$A291),"")</f>
        <v/>
      </c>
      <c r="E291">
        <f t="array" ref="E291">IFERROR(INDEX('TRIP MANAGER'!$Q$18:$Q$25,$A291),"")</f>
        <v/>
      </c>
      <c r="F291">
        <f t="array" ref="F291">IFERROR(INDEX('TRIP MANAGER'!$R$18:$R$25,$A291),"")</f>
        <v/>
      </c>
      <c r="G291">
        <f t="array" ref="G291">IFERROR(INDEX('TRIP MANAGER'!$S$18:$S$25,$A291),"")</f>
        <v/>
      </c>
      <c r="H291">
        <f>$B291/150</f>
        <v/>
      </c>
      <c r="I291">
        <f>IF(OR($G291="",$G291=0),"",SIN((1-$H291)*$G291)/SIN($G291))</f>
        <v/>
      </c>
      <c r="J291">
        <f>IF($I291="","",SIN($H291*$G291)/SIN($G291))</f>
        <v/>
      </c>
      <c r="K291">
        <f>IF($I291="","",$I291*COS(RADIANS($C291))*COS(RADIANS($D291))+$J291*COS(RADIANS($E291))*COS(RADIANS($F291)))</f>
        <v/>
      </c>
      <c r="L291">
        <f>IF($I291="","",$I291*COS(RADIANS($C291))*SIN(RADIANS($D291))+$J291*COS(RADIANS($E291))*SIN(RADIANS($F291)))</f>
        <v/>
      </c>
      <c r="M291">
        <f>IF($I291="","",$I291*SIN(RADIANS($C291))+$J291*SIN(RADIANS($E291)))</f>
        <v/>
      </c>
      <c r="N291">
        <f>IF($M291="","",DEGREES(ATAN2(SQRT($K291^2+$L291^2),$M291)))</f>
        <v/>
      </c>
      <c r="O291">
        <f>IF($M291="","",DEGREES(ATAN2($K291,$L291)))</f>
        <v/>
      </c>
      <c r="P291">
        <f t="array" ref="P291">IF($N291="","",IFERROR(IF(INDEX(geo_grid!$B$2:$JU$231,INT(($N291+40)/0.5)+1,INT(($O291+30)/0.5)+1)="","",INDEX(geo_grid!$B$2:$JU$231,INT(($N291+40)/0.5)+1,INT(($O291+30)/0.5)+1)),"OUTSIDE GRID"))</f>
        <v/>
      </c>
      <c r="Q291">
        <f>IF($P291="","",$A291*1000+$B291)</f>
        <v/>
      </c>
    </row>
    <row r="292">
      <c r="A292">
        <f>INT((ROW()-2)/151)+1</f>
        <v/>
      </c>
      <c r="B292">
        <f>MOD(ROW()-2,151)</f>
        <v/>
      </c>
      <c r="C292">
        <f t="array" ref="C292">IFERROR(INDEX('TRIP MANAGER'!$O$18:$O$25,$A292),"")</f>
        <v/>
      </c>
      <c r="D292">
        <f t="array" ref="D292">IFERROR(INDEX('TRIP MANAGER'!$P$18:$P$25,$A292),"")</f>
        <v/>
      </c>
      <c r="E292">
        <f t="array" ref="E292">IFERROR(INDEX('TRIP MANAGER'!$Q$18:$Q$25,$A292),"")</f>
        <v/>
      </c>
      <c r="F292">
        <f t="array" ref="F292">IFERROR(INDEX('TRIP MANAGER'!$R$18:$R$25,$A292),"")</f>
        <v/>
      </c>
      <c r="G292">
        <f t="array" ref="G292">IFERROR(INDEX('TRIP MANAGER'!$S$18:$S$25,$A292),"")</f>
        <v/>
      </c>
      <c r="H292">
        <f>$B292/150</f>
        <v/>
      </c>
      <c r="I292">
        <f>IF(OR($G292="",$G292=0),"",SIN((1-$H292)*$G292)/SIN($G292))</f>
        <v/>
      </c>
      <c r="J292">
        <f>IF($I292="","",SIN($H292*$G292)/SIN($G292))</f>
        <v/>
      </c>
      <c r="K292">
        <f>IF($I292="","",$I292*COS(RADIANS($C292))*COS(RADIANS($D292))+$J292*COS(RADIANS($E292))*COS(RADIANS($F292)))</f>
        <v/>
      </c>
      <c r="L292">
        <f>IF($I292="","",$I292*COS(RADIANS($C292))*SIN(RADIANS($D292))+$J292*COS(RADIANS($E292))*SIN(RADIANS($F292)))</f>
        <v/>
      </c>
      <c r="M292">
        <f>IF($I292="","",$I292*SIN(RADIANS($C292))+$J292*SIN(RADIANS($E292)))</f>
        <v/>
      </c>
      <c r="N292">
        <f>IF($M292="","",DEGREES(ATAN2(SQRT($K292^2+$L292^2),$M292)))</f>
        <v/>
      </c>
      <c r="O292">
        <f>IF($M292="","",DEGREES(ATAN2($K292,$L292)))</f>
        <v/>
      </c>
      <c r="P292">
        <f t="array" ref="P292">IF($N292="","",IFERROR(IF(INDEX(geo_grid!$B$2:$JU$231,INT(($N292+40)/0.5)+1,INT(($O292+30)/0.5)+1)="","",INDEX(geo_grid!$B$2:$JU$231,INT(($N292+40)/0.5)+1,INT(($O292+30)/0.5)+1)),"OUTSIDE GRID"))</f>
        <v/>
      </c>
      <c r="Q292">
        <f>IF($P292="","",$A292*1000+$B292)</f>
        <v/>
      </c>
    </row>
    <row r="293">
      <c r="A293">
        <f>INT((ROW()-2)/151)+1</f>
        <v/>
      </c>
      <c r="B293">
        <f>MOD(ROW()-2,151)</f>
        <v/>
      </c>
      <c r="C293">
        <f t="array" ref="C293">IFERROR(INDEX('TRIP MANAGER'!$O$18:$O$25,$A293),"")</f>
        <v/>
      </c>
      <c r="D293">
        <f t="array" ref="D293">IFERROR(INDEX('TRIP MANAGER'!$P$18:$P$25,$A293),"")</f>
        <v/>
      </c>
      <c r="E293">
        <f t="array" ref="E293">IFERROR(INDEX('TRIP MANAGER'!$Q$18:$Q$25,$A293),"")</f>
        <v/>
      </c>
      <c r="F293">
        <f t="array" ref="F293">IFERROR(INDEX('TRIP MANAGER'!$R$18:$R$25,$A293),"")</f>
        <v/>
      </c>
      <c r="G293">
        <f t="array" ref="G293">IFERROR(INDEX('TRIP MANAGER'!$S$18:$S$25,$A293),"")</f>
        <v/>
      </c>
      <c r="H293">
        <f>$B293/150</f>
        <v/>
      </c>
      <c r="I293">
        <f>IF(OR($G293="",$G293=0),"",SIN((1-$H293)*$G293)/SIN($G293))</f>
        <v/>
      </c>
      <c r="J293">
        <f>IF($I293="","",SIN($H293*$G293)/SIN($G293))</f>
        <v/>
      </c>
      <c r="K293">
        <f>IF($I293="","",$I293*COS(RADIANS($C293))*COS(RADIANS($D293))+$J293*COS(RADIANS($E293))*COS(RADIANS($F293)))</f>
        <v/>
      </c>
      <c r="L293">
        <f>IF($I293="","",$I293*COS(RADIANS($C293))*SIN(RADIANS($D293))+$J293*COS(RADIANS($E293))*SIN(RADIANS($F293)))</f>
        <v/>
      </c>
      <c r="M293">
        <f>IF($I293="","",$I293*SIN(RADIANS($C293))+$J293*SIN(RADIANS($E293)))</f>
        <v/>
      </c>
      <c r="N293">
        <f>IF($M293="","",DEGREES(ATAN2(SQRT($K293^2+$L293^2),$M293)))</f>
        <v/>
      </c>
      <c r="O293">
        <f>IF($M293="","",DEGREES(ATAN2($K293,$L293)))</f>
        <v/>
      </c>
      <c r="P293">
        <f t="array" ref="P293">IF($N293="","",IFERROR(IF(INDEX(geo_grid!$B$2:$JU$231,INT(($N293+40)/0.5)+1,INT(($O293+30)/0.5)+1)="","",INDEX(geo_grid!$B$2:$JU$231,INT(($N293+40)/0.5)+1,INT(($O293+30)/0.5)+1)),"OUTSIDE GRID"))</f>
        <v/>
      </c>
      <c r="Q293">
        <f>IF($P293="","",$A293*1000+$B293)</f>
        <v/>
      </c>
    </row>
    <row r="294">
      <c r="A294">
        <f>INT((ROW()-2)/151)+1</f>
        <v/>
      </c>
      <c r="B294">
        <f>MOD(ROW()-2,151)</f>
        <v/>
      </c>
      <c r="C294">
        <f t="array" ref="C294">IFERROR(INDEX('TRIP MANAGER'!$O$18:$O$25,$A294),"")</f>
        <v/>
      </c>
      <c r="D294">
        <f t="array" ref="D294">IFERROR(INDEX('TRIP MANAGER'!$P$18:$P$25,$A294),"")</f>
        <v/>
      </c>
      <c r="E294">
        <f t="array" ref="E294">IFERROR(INDEX('TRIP MANAGER'!$Q$18:$Q$25,$A294),"")</f>
        <v/>
      </c>
      <c r="F294">
        <f t="array" ref="F294">IFERROR(INDEX('TRIP MANAGER'!$R$18:$R$25,$A294),"")</f>
        <v/>
      </c>
      <c r="G294">
        <f t="array" ref="G294">IFERROR(INDEX('TRIP MANAGER'!$S$18:$S$25,$A294),"")</f>
        <v/>
      </c>
      <c r="H294">
        <f>$B294/150</f>
        <v/>
      </c>
      <c r="I294">
        <f>IF(OR($G294="",$G294=0),"",SIN((1-$H294)*$G294)/SIN($G294))</f>
        <v/>
      </c>
      <c r="J294">
        <f>IF($I294="","",SIN($H294*$G294)/SIN($G294))</f>
        <v/>
      </c>
      <c r="K294">
        <f>IF($I294="","",$I294*COS(RADIANS($C294))*COS(RADIANS($D294))+$J294*COS(RADIANS($E294))*COS(RADIANS($F294)))</f>
        <v/>
      </c>
      <c r="L294">
        <f>IF($I294="","",$I294*COS(RADIANS($C294))*SIN(RADIANS($D294))+$J294*COS(RADIANS($E294))*SIN(RADIANS($F294)))</f>
        <v/>
      </c>
      <c r="M294">
        <f>IF($I294="","",$I294*SIN(RADIANS($C294))+$J294*SIN(RADIANS($E294)))</f>
        <v/>
      </c>
      <c r="N294">
        <f>IF($M294="","",DEGREES(ATAN2(SQRT($K294^2+$L294^2),$M294)))</f>
        <v/>
      </c>
      <c r="O294">
        <f>IF($M294="","",DEGREES(ATAN2($K294,$L294)))</f>
        <v/>
      </c>
      <c r="P294">
        <f t="array" ref="P294">IF($N294="","",IFERROR(IF(INDEX(geo_grid!$B$2:$JU$231,INT(($N294+40)/0.5)+1,INT(($O294+30)/0.5)+1)="","",INDEX(geo_grid!$B$2:$JU$231,INT(($N294+40)/0.5)+1,INT(($O294+30)/0.5)+1)),"OUTSIDE GRID"))</f>
        <v/>
      </c>
      <c r="Q294">
        <f>IF($P294="","",$A294*1000+$B294)</f>
        <v/>
      </c>
    </row>
    <row r="295">
      <c r="A295">
        <f>INT((ROW()-2)/151)+1</f>
        <v/>
      </c>
      <c r="B295">
        <f>MOD(ROW()-2,151)</f>
        <v/>
      </c>
      <c r="C295">
        <f t="array" ref="C295">IFERROR(INDEX('TRIP MANAGER'!$O$18:$O$25,$A295),"")</f>
        <v/>
      </c>
      <c r="D295">
        <f t="array" ref="D295">IFERROR(INDEX('TRIP MANAGER'!$P$18:$P$25,$A295),"")</f>
        <v/>
      </c>
      <c r="E295">
        <f t="array" ref="E295">IFERROR(INDEX('TRIP MANAGER'!$Q$18:$Q$25,$A295),"")</f>
        <v/>
      </c>
      <c r="F295">
        <f t="array" ref="F295">IFERROR(INDEX('TRIP MANAGER'!$R$18:$R$25,$A295),"")</f>
        <v/>
      </c>
      <c r="G295">
        <f t="array" ref="G295">IFERROR(INDEX('TRIP MANAGER'!$S$18:$S$25,$A295),"")</f>
        <v/>
      </c>
      <c r="H295">
        <f>$B295/150</f>
        <v/>
      </c>
      <c r="I295">
        <f>IF(OR($G295="",$G295=0),"",SIN((1-$H295)*$G295)/SIN($G295))</f>
        <v/>
      </c>
      <c r="J295">
        <f>IF($I295="","",SIN($H295*$G295)/SIN($G295))</f>
        <v/>
      </c>
      <c r="K295">
        <f>IF($I295="","",$I295*COS(RADIANS($C295))*COS(RADIANS($D295))+$J295*COS(RADIANS($E295))*COS(RADIANS($F295)))</f>
        <v/>
      </c>
      <c r="L295">
        <f>IF($I295="","",$I295*COS(RADIANS($C295))*SIN(RADIANS($D295))+$J295*COS(RADIANS($E295))*SIN(RADIANS($F295)))</f>
        <v/>
      </c>
      <c r="M295">
        <f>IF($I295="","",$I295*SIN(RADIANS($C295))+$J295*SIN(RADIANS($E295)))</f>
        <v/>
      </c>
      <c r="N295">
        <f>IF($M295="","",DEGREES(ATAN2(SQRT($K295^2+$L295^2),$M295)))</f>
        <v/>
      </c>
      <c r="O295">
        <f>IF($M295="","",DEGREES(ATAN2($K295,$L295)))</f>
        <v/>
      </c>
      <c r="P295">
        <f t="array" ref="P295">IF($N295="","",IFERROR(IF(INDEX(geo_grid!$B$2:$JU$231,INT(($N295+40)/0.5)+1,INT(($O295+30)/0.5)+1)="","",INDEX(geo_grid!$B$2:$JU$231,INT(($N295+40)/0.5)+1,INT(($O295+30)/0.5)+1)),"OUTSIDE GRID"))</f>
        <v/>
      </c>
      <c r="Q295">
        <f>IF($P295="","",$A295*1000+$B295)</f>
        <v/>
      </c>
    </row>
    <row r="296">
      <c r="A296">
        <f>INT((ROW()-2)/151)+1</f>
        <v/>
      </c>
      <c r="B296">
        <f>MOD(ROW()-2,151)</f>
        <v/>
      </c>
      <c r="C296">
        <f t="array" ref="C296">IFERROR(INDEX('TRIP MANAGER'!$O$18:$O$25,$A296),"")</f>
        <v/>
      </c>
      <c r="D296">
        <f t="array" ref="D296">IFERROR(INDEX('TRIP MANAGER'!$P$18:$P$25,$A296),"")</f>
        <v/>
      </c>
      <c r="E296">
        <f t="array" ref="E296">IFERROR(INDEX('TRIP MANAGER'!$Q$18:$Q$25,$A296),"")</f>
        <v/>
      </c>
      <c r="F296">
        <f t="array" ref="F296">IFERROR(INDEX('TRIP MANAGER'!$R$18:$R$25,$A296),"")</f>
        <v/>
      </c>
      <c r="G296">
        <f t="array" ref="G296">IFERROR(INDEX('TRIP MANAGER'!$S$18:$S$25,$A296),"")</f>
        <v/>
      </c>
      <c r="H296">
        <f>$B296/150</f>
        <v/>
      </c>
      <c r="I296">
        <f>IF(OR($G296="",$G296=0),"",SIN((1-$H296)*$G296)/SIN($G296))</f>
        <v/>
      </c>
      <c r="J296">
        <f>IF($I296="","",SIN($H296*$G296)/SIN($G296))</f>
        <v/>
      </c>
      <c r="K296">
        <f>IF($I296="","",$I296*COS(RADIANS($C296))*COS(RADIANS($D296))+$J296*COS(RADIANS($E296))*COS(RADIANS($F296)))</f>
        <v/>
      </c>
      <c r="L296">
        <f>IF($I296="","",$I296*COS(RADIANS($C296))*SIN(RADIANS($D296))+$J296*COS(RADIANS($E296))*SIN(RADIANS($F296)))</f>
        <v/>
      </c>
      <c r="M296">
        <f>IF($I296="","",$I296*SIN(RADIANS($C296))+$J296*SIN(RADIANS($E296)))</f>
        <v/>
      </c>
      <c r="N296">
        <f>IF($M296="","",DEGREES(ATAN2(SQRT($K296^2+$L296^2),$M296)))</f>
        <v/>
      </c>
      <c r="O296">
        <f>IF($M296="","",DEGREES(ATAN2($K296,$L296)))</f>
        <v/>
      </c>
      <c r="P296">
        <f t="array" ref="P296">IF($N296="","",IFERROR(IF(INDEX(geo_grid!$B$2:$JU$231,INT(($N296+40)/0.5)+1,INT(($O296+30)/0.5)+1)="","",INDEX(geo_grid!$B$2:$JU$231,INT(($N296+40)/0.5)+1,INT(($O296+30)/0.5)+1)),"OUTSIDE GRID"))</f>
        <v/>
      </c>
      <c r="Q296">
        <f>IF($P296="","",$A296*1000+$B296)</f>
        <v/>
      </c>
    </row>
    <row r="297">
      <c r="A297">
        <f>INT((ROW()-2)/151)+1</f>
        <v/>
      </c>
      <c r="B297">
        <f>MOD(ROW()-2,151)</f>
        <v/>
      </c>
      <c r="C297">
        <f t="array" ref="C297">IFERROR(INDEX('TRIP MANAGER'!$O$18:$O$25,$A297),"")</f>
        <v/>
      </c>
      <c r="D297">
        <f t="array" ref="D297">IFERROR(INDEX('TRIP MANAGER'!$P$18:$P$25,$A297),"")</f>
        <v/>
      </c>
      <c r="E297">
        <f t="array" ref="E297">IFERROR(INDEX('TRIP MANAGER'!$Q$18:$Q$25,$A297),"")</f>
        <v/>
      </c>
      <c r="F297">
        <f t="array" ref="F297">IFERROR(INDEX('TRIP MANAGER'!$R$18:$R$25,$A297),"")</f>
        <v/>
      </c>
      <c r="G297">
        <f t="array" ref="G297">IFERROR(INDEX('TRIP MANAGER'!$S$18:$S$25,$A297),"")</f>
        <v/>
      </c>
      <c r="H297">
        <f>$B297/150</f>
        <v/>
      </c>
      <c r="I297">
        <f>IF(OR($G297="",$G297=0),"",SIN((1-$H297)*$G297)/SIN($G297))</f>
        <v/>
      </c>
      <c r="J297">
        <f>IF($I297="","",SIN($H297*$G297)/SIN($G297))</f>
        <v/>
      </c>
      <c r="K297">
        <f>IF($I297="","",$I297*COS(RADIANS($C297))*COS(RADIANS($D297))+$J297*COS(RADIANS($E297))*COS(RADIANS($F297)))</f>
        <v/>
      </c>
      <c r="L297">
        <f>IF($I297="","",$I297*COS(RADIANS($C297))*SIN(RADIANS($D297))+$J297*COS(RADIANS($E297))*SIN(RADIANS($F297)))</f>
        <v/>
      </c>
      <c r="M297">
        <f>IF($I297="","",$I297*SIN(RADIANS($C297))+$J297*SIN(RADIANS($E297)))</f>
        <v/>
      </c>
      <c r="N297">
        <f>IF($M297="","",DEGREES(ATAN2(SQRT($K297^2+$L297^2),$M297)))</f>
        <v/>
      </c>
      <c r="O297">
        <f>IF($M297="","",DEGREES(ATAN2($K297,$L297)))</f>
        <v/>
      </c>
      <c r="P297">
        <f t="array" ref="P297">IF($N297="","",IFERROR(IF(INDEX(geo_grid!$B$2:$JU$231,INT(($N297+40)/0.5)+1,INT(($O297+30)/0.5)+1)="","",INDEX(geo_grid!$B$2:$JU$231,INT(($N297+40)/0.5)+1,INT(($O297+30)/0.5)+1)),"OUTSIDE GRID"))</f>
        <v/>
      </c>
      <c r="Q297">
        <f>IF($P297="","",$A297*1000+$B297)</f>
        <v/>
      </c>
    </row>
    <row r="298">
      <c r="A298">
        <f>INT((ROW()-2)/151)+1</f>
        <v/>
      </c>
      <c r="B298">
        <f>MOD(ROW()-2,151)</f>
        <v/>
      </c>
      <c r="C298">
        <f t="array" ref="C298">IFERROR(INDEX('TRIP MANAGER'!$O$18:$O$25,$A298),"")</f>
        <v/>
      </c>
      <c r="D298">
        <f t="array" ref="D298">IFERROR(INDEX('TRIP MANAGER'!$P$18:$P$25,$A298),"")</f>
        <v/>
      </c>
      <c r="E298">
        <f t="array" ref="E298">IFERROR(INDEX('TRIP MANAGER'!$Q$18:$Q$25,$A298),"")</f>
        <v/>
      </c>
      <c r="F298">
        <f t="array" ref="F298">IFERROR(INDEX('TRIP MANAGER'!$R$18:$R$25,$A298),"")</f>
        <v/>
      </c>
      <c r="G298">
        <f t="array" ref="G298">IFERROR(INDEX('TRIP MANAGER'!$S$18:$S$25,$A298),"")</f>
        <v/>
      </c>
      <c r="H298">
        <f>$B298/150</f>
        <v/>
      </c>
      <c r="I298">
        <f>IF(OR($G298="",$G298=0),"",SIN((1-$H298)*$G298)/SIN($G298))</f>
        <v/>
      </c>
      <c r="J298">
        <f>IF($I298="","",SIN($H298*$G298)/SIN($G298))</f>
        <v/>
      </c>
      <c r="K298">
        <f>IF($I298="","",$I298*COS(RADIANS($C298))*COS(RADIANS($D298))+$J298*COS(RADIANS($E298))*COS(RADIANS($F298)))</f>
        <v/>
      </c>
      <c r="L298">
        <f>IF($I298="","",$I298*COS(RADIANS($C298))*SIN(RADIANS($D298))+$J298*COS(RADIANS($E298))*SIN(RADIANS($F298)))</f>
        <v/>
      </c>
      <c r="M298">
        <f>IF($I298="","",$I298*SIN(RADIANS($C298))+$J298*SIN(RADIANS($E298)))</f>
        <v/>
      </c>
      <c r="N298">
        <f>IF($M298="","",DEGREES(ATAN2(SQRT($K298^2+$L298^2),$M298)))</f>
        <v/>
      </c>
      <c r="O298">
        <f>IF($M298="","",DEGREES(ATAN2($K298,$L298)))</f>
        <v/>
      </c>
      <c r="P298">
        <f t="array" ref="P298">IF($N298="","",IFERROR(IF(INDEX(geo_grid!$B$2:$JU$231,INT(($N298+40)/0.5)+1,INT(($O298+30)/0.5)+1)="","",INDEX(geo_grid!$B$2:$JU$231,INT(($N298+40)/0.5)+1,INT(($O298+30)/0.5)+1)),"OUTSIDE GRID"))</f>
        <v/>
      </c>
      <c r="Q298">
        <f>IF($P298="","",$A298*1000+$B298)</f>
        <v/>
      </c>
    </row>
    <row r="299">
      <c r="A299">
        <f>INT((ROW()-2)/151)+1</f>
        <v/>
      </c>
      <c r="B299">
        <f>MOD(ROW()-2,151)</f>
        <v/>
      </c>
      <c r="C299">
        <f t="array" ref="C299">IFERROR(INDEX('TRIP MANAGER'!$O$18:$O$25,$A299),"")</f>
        <v/>
      </c>
      <c r="D299">
        <f t="array" ref="D299">IFERROR(INDEX('TRIP MANAGER'!$P$18:$P$25,$A299),"")</f>
        <v/>
      </c>
      <c r="E299">
        <f t="array" ref="E299">IFERROR(INDEX('TRIP MANAGER'!$Q$18:$Q$25,$A299),"")</f>
        <v/>
      </c>
      <c r="F299">
        <f t="array" ref="F299">IFERROR(INDEX('TRIP MANAGER'!$R$18:$R$25,$A299),"")</f>
        <v/>
      </c>
      <c r="G299">
        <f t="array" ref="G299">IFERROR(INDEX('TRIP MANAGER'!$S$18:$S$25,$A299),"")</f>
        <v/>
      </c>
      <c r="H299">
        <f>$B299/150</f>
        <v/>
      </c>
      <c r="I299">
        <f>IF(OR($G299="",$G299=0),"",SIN((1-$H299)*$G299)/SIN($G299))</f>
        <v/>
      </c>
      <c r="J299">
        <f>IF($I299="","",SIN($H299*$G299)/SIN($G299))</f>
        <v/>
      </c>
      <c r="K299">
        <f>IF($I299="","",$I299*COS(RADIANS($C299))*COS(RADIANS($D299))+$J299*COS(RADIANS($E299))*COS(RADIANS($F299)))</f>
        <v/>
      </c>
      <c r="L299">
        <f>IF($I299="","",$I299*COS(RADIANS($C299))*SIN(RADIANS($D299))+$J299*COS(RADIANS($E299))*SIN(RADIANS($F299)))</f>
        <v/>
      </c>
      <c r="M299">
        <f>IF($I299="","",$I299*SIN(RADIANS($C299))+$J299*SIN(RADIANS($E299)))</f>
        <v/>
      </c>
      <c r="N299">
        <f>IF($M299="","",DEGREES(ATAN2(SQRT($K299^2+$L299^2),$M299)))</f>
        <v/>
      </c>
      <c r="O299">
        <f>IF($M299="","",DEGREES(ATAN2($K299,$L299)))</f>
        <v/>
      </c>
      <c r="P299">
        <f t="array" ref="P299">IF($N299="","",IFERROR(IF(INDEX(geo_grid!$B$2:$JU$231,INT(($N299+40)/0.5)+1,INT(($O299+30)/0.5)+1)="","",INDEX(geo_grid!$B$2:$JU$231,INT(($N299+40)/0.5)+1,INT(($O299+30)/0.5)+1)),"OUTSIDE GRID"))</f>
        <v/>
      </c>
      <c r="Q299">
        <f>IF($P299="","",$A299*1000+$B299)</f>
        <v/>
      </c>
    </row>
    <row r="300">
      <c r="A300">
        <f>INT((ROW()-2)/151)+1</f>
        <v/>
      </c>
      <c r="B300">
        <f>MOD(ROW()-2,151)</f>
        <v/>
      </c>
      <c r="C300">
        <f t="array" ref="C300">IFERROR(INDEX('TRIP MANAGER'!$O$18:$O$25,$A300),"")</f>
        <v/>
      </c>
      <c r="D300">
        <f t="array" ref="D300">IFERROR(INDEX('TRIP MANAGER'!$P$18:$P$25,$A300),"")</f>
        <v/>
      </c>
      <c r="E300">
        <f t="array" ref="E300">IFERROR(INDEX('TRIP MANAGER'!$Q$18:$Q$25,$A300),"")</f>
        <v/>
      </c>
      <c r="F300">
        <f t="array" ref="F300">IFERROR(INDEX('TRIP MANAGER'!$R$18:$R$25,$A300),"")</f>
        <v/>
      </c>
      <c r="G300">
        <f t="array" ref="G300">IFERROR(INDEX('TRIP MANAGER'!$S$18:$S$25,$A300),"")</f>
        <v/>
      </c>
      <c r="H300">
        <f>$B300/150</f>
        <v/>
      </c>
      <c r="I300">
        <f>IF(OR($G300="",$G300=0),"",SIN((1-$H300)*$G300)/SIN($G300))</f>
        <v/>
      </c>
      <c r="J300">
        <f>IF($I300="","",SIN($H300*$G300)/SIN($G300))</f>
        <v/>
      </c>
      <c r="K300">
        <f>IF($I300="","",$I300*COS(RADIANS($C300))*COS(RADIANS($D300))+$J300*COS(RADIANS($E300))*COS(RADIANS($F300)))</f>
        <v/>
      </c>
      <c r="L300">
        <f>IF($I300="","",$I300*COS(RADIANS($C300))*SIN(RADIANS($D300))+$J300*COS(RADIANS($E300))*SIN(RADIANS($F300)))</f>
        <v/>
      </c>
      <c r="M300">
        <f>IF($I300="","",$I300*SIN(RADIANS($C300))+$J300*SIN(RADIANS($E300)))</f>
        <v/>
      </c>
      <c r="N300">
        <f>IF($M300="","",DEGREES(ATAN2(SQRT($K300^2+$L300^2),$M300)))</f>
        <v/>
      </c>
      <c r="O300">
        <f>IF($M300="","",DEGREES(ATAN2($K300,$L300)))</f>
        <v/>
      </c>
      <c r="P300">
        <f t="array" ref="P300">IF($N300="","",IFERROR(IF(INDEX(geo_grid!$B$2:$JU$231,INT(($N300+40)/0.5)+1,INT(($O300+30)/0.5)+1)="","",INDEX(geo_grid!$B$2:$JU$231,INT(($N300+40)/0.5)+1,INT(($O300+30)/0.5)+1)),"OUTSIDE GRID"))</f>
        <v/>
      </c>
      <c r="Q300">
        <f>IF($P300="","",$A300*1000+$B300)</f>
        <v/>
      </c>
    </row>
    <row r="301">
      <c r="A301">
        <f>INT((ROW()-2)/151)+1</f>
        <v/>
      </c>
      <c r="B301">
        <f>MOD(ROW()-2,151)</f>
        <v/>
      </c>
      <c r="C301">
        <f t="array" ref="C301">IFERROR(INDEX('TRIP MANAGER'!$O$18:$O$25,$A301),"")</f>
        <v/>
      </c>
      <c r="D301">
        <f t="array" ref="D301">IFERROR(INDEX('TRIP MANAGER'!$P$18:$P$25,$A301),"")</f>
        <v/>
      </c>
      <c r="E301">
        <f t="array" ref="E301">IFERROR(INDEX('TRIP MANAGER'!$Q$18:$Q$25,$A301),"")</f>
        <v/>
      </c>
      <c r="F301">
        <f t="array" ref="F301">IFERROR(INDEX('TRIP MANAGER'!$R$18:$R$25,$A301),"")</f>
        <v/>
      </c>
      <c r="G301">
        <f t="array" ref="G301">IFERROR(INDEX('TRIP MANAGER'!$S$18:$S$25,$A301),"")</f>
        <v/>
      </c>
      <c r="H301">
        <f>$B301/150</f>
        <v/>
      </c>
      <c r="I301">
        <f>IF(OR($G301="",$G301=0),"",SIN((1-$H301)*$G301)/SIN($G301))</f>
        <v/>
      </c>
      <c r="J301">
        <f>IF($I301="","",SIN($H301*$G301)/SIN($G301))</f>
        <v/>
      </c>
      <c r="K301">
        <f>IF($I301="","",$I301*COS(RADIANS($C301))*COS(RADIANS($D301))+$J301*COS(RADIANS($E301))*COS(RADIANS($F301)))</f>
        <v/>
      </c>
      <c r="L301">
        <f>IF($I301="","",$I301*COS(RADIANS($C301))*SIN(RADIANS($D301))+$J301*COS(RADIANS($E301))*SIN(RADIANS($F301)))</f>
        <v/>
      </c>
      <c r="M301">
        <f>IF($I301="","",$I301*SIN(RADIANS($C301))+$J301*SIN(RADIANS($E301)))</f>
        <v/>
      </c>
      <c r="N301">
        <f>IF($M301="","",DEGREES(ATAN2(SQRT($K301^2+$L301^2),$M301)))</f>
        <v/>
      </c>
      <c r="O301">
        <f>IF($M301="","",DEGREES(ATAN2($K301,$L301)))</f>
        <v/>
      </c>
      <c r="P301">
        <f t="array" ref="P301">IF($N301="","",IFERROR(IF(INDEX(geo_grid!$B$2:$JU$231,INT(($N301+40)/0.5)+1,INT(($O301+30)/0.5)+1)="","",INDEX(geo_grid!$B$2:$JU$231,INT(($N301+40)/0.5)+1,INT(($O301+30)/0.5)+1)),"OUTSIDE GRID"))</f>
        <v/>
      </c>
      <c r="Q301">
        <f>IF($P301="","",$A301*1000+$B301)</f>
        <v/>
      </c>
    </row>
    <row r="302">
      <c r="A302">
        <f>INT((ROW()-2)/151)+1</f>
        <v/>
      </c>
      <c r="B302">
        <f>MOD(ROW()-2,151)</f>
        <v/>
      </c>
      <c r="C302">
        <f t="array" ref="C302">IFERROR(INDEX('TRIP MANAGER'!$O$18:$O$25,$A302),"")</f>
        <v/>
      </c>
      <c r="D302">
        <f t="array" ref="D302">IFERROR(INDEX('TRIP MANAGER'!$P$18:$P$25,$A302),"")</f>
        <v/>
      </c>
      <c r="E302">
        <f t="array" ref="E302">IFERROR(INDEX('TRIP MANAGER'!$Q$18:$Q$25,$A302),"")</f>
        <v/>
      </c>
      <c r="F302">
        <f t="array" ref="F302">IFERROR(INDEX('TRIP MANAGER'!$R$18:$R$25,$A302),"")</f>
        <v/>
      </c>
      <c r="G302">
        <f t="array" ref="G302">IFERROR(INDEX('TRIP MANAGER'!$S$18:$S$25,$A302),"")</f>
        <v/>
      </c>
      <c r="H302">
        <f>$B302/150</f>
        <v/>
      </c>
      <c r="I302">
        <f>IF(OR($G302="",$G302=0),"",SIN((1-$H302)*$G302)/SIN($G302))</f>
        <v/>
      </c>
      <c r="J302">
        <f>IF($I302="","",SIN($H302*$G302)/SIN($G302))</f>
        <v/>
      </c>
      <c r="K302">
        <f>IF($I302="","",$I302*COS(RADIANS($C302))*COS(RADIANS($D302))+$J302*COS(RADIANS($E302))*COS(RADIANS($F302)))</f>
        <v/>
      </c>
      <c r="L302">
        <f>IF($I302="","",$I302*COS(RADIANS($C302))*SIN(RADIANS($D302))+$J302*COS(RADIANS($E302))*SIN(RADIANS($F302)))</f>
        <v/>
      </c>
      <c r="M302">
        <f>IF($I302="","",$I302*SIN(RADIANS($C302))+$J302*SIN(RADIANS($E302)))</f>
        <v/>
      </c>
      <c r="N302">
        <f>IF($M302="","",DEGREES(ATAN2(SQRT($K302^2+$L302^2),$M302)))</f>
        <v/>
      </c>
      <c r="O302">
        <f>IF($M302="","",DEGREES(ATAN2($K302,$L302)))</f>
        <v/>
      </c>
      <c r="P302">
        <f t="array" ref="P302">IF($N302="","",IFERROR(IF(INDEX(geo_grid!$B$2:$JU$231,INT(($N302+40)/0.5)+1,INT(($O302+30)/0.5)+1)="","",INDEX(geo_grid!$B$2:$JU$231,INT(($N302+40)/0.5)+1,INT(($O302+30)/0.5)+1)),"OUTSIDE GRID"))</f>
        <v/>
      </c>
      <c r="Q302">
        <f>IF($P302="","",$A302*1000+$B302)</f>
        <v/>
      </c>
    </row>
    <row r="303">
      <c r="A303">
        <f>INT((ROW()-2)/151)+1</f>
        <v/>
      </c>
      <c r="B303">
        <f>MOD(ROW()-2,151)</f>
        <v/>
      </c>
      <c r="C303">
        <f t="array" ref="C303">IFERROR(INDEX('TRIP MANAGER'!$O$18:$O$25,$A303),"")</f>
        <v/>
      </c>
      <c r="D303">
        <f t="array" ref="D303">IFERROR(INDEX('TRIP MANAGER'!$P$18:$P$25,$A303),"")</f>
        <v/>
      </c>
      <c r="E303">
        <f t="array" ref="E303">IFERROR(INDEX('TRIP MANAGER'!$Q$18:$Q$25,$A303),"")</f>
        <v/>
      </c>
      <c r="F303">
        <f t="array" ref="F303">IFERROR(INDEX('TRIP MANAGER'!$R$18:$R$25,$A303),"")</f>
        <v/>
      </c>
      <c r="G303">
        <f t="array" ref="G303">IFERROR(INDEX('TRIP MANAGER'!$S$18:$S$25,$A303),"")</f>
        <v/>
      </c>
      <c r="H303">
        <f>$B303/150</f>
        <v/>
      </c>
      <c r="I303">
        <f>IF(OR($G303="",$G303=0),"",SIN((1-$H303)*$G303)/SIN($G303))</f>
        <v/>
      </c>
      <c r="J303">
        <f>IF($I303="","",SIN($H303*$G303)/SIN($G303))</f>
        <v/>
      </c>
      <c r="K303">
        <f>IF($I303="","",$I303*COS(RADIANS($C303))*COS(RADIANS($D303))+$J303*COS(RADIANS($E303))*COS(RADIANS($F303)))</f>
        <v/>
      </c>
      <c r="L303">
        <f>IF($I303="","",$I303*COS(RADIANS($C303))*SIN(RADIANS($D303))+$J303*COS(RADIANS($E303))*SIN(RADIANS($F303)))</f>
        <v/>
      </c>
      <c r="M303">
        <f>IF($I303="","",$I303*SIN(RADIANS($C303))+$J303*SIN(RADIANS($E303)))</f>
        <v/>
      </c>
      <c r="N303">
        <f>IF($M303="","",DEGREES(ATAN2(SQRT($K303^2+$L303^2),$M303)))</f>
        <v/>
      </c>
      <c r="O303">
        <f>IF($M303="","",DEGREES(ATAN2($K303,$L303)))</f>
        <v/>
      </c>
      <c r="P303">
        <f t="array" ref="P303">IF($N303="","",IFERROR(IF(INDEX(geo_grid!$B$2:$JU$231,INT(($N303+40)/0.5)+1,INT(($O303+30)/0.5)+1)="","",INDEX(geo_grid!$B$2:$JU$231,INT(($N303+40)/0.5)+1,INT(($O303+30)/0.5)+1)),"OUTSIDE GRID"))</f>
        <v/>
      </c>
      <c r="Q303">
        <f>IF($P303="","",$A303*1000+$B303)</f>
        <v/>
      </c>
    </row>
    <row r="304">
      <c r="A304">
        <f>INT((ROW()-2)/151)+1</f>
        <v/>
      </c>
      <c r="B304">
        <f>MOD(ROW()-2,151)</f>
        <v/>
      </c>
      <c r="C304">
        <f t="array" ref="C304">IFERROR(INDEX('TRIP MANAGER'!$O$18:$O$25,$A304),"")</f>
        <v/>
      </c>
      <c r="D304">
        <f t="array" ref="D304">IFERROR(INDEX('TRIP MANAGER'!$P$18:$P$25,$A304),"")</f>
        <v/>
      </c>
      <c r="E304">
        <f t="array" ref="E304">IFERROR(INDEX('TRIP MANAGER'!$Q$18:$Q$25,$A304),"")</f>
        <v/>
      </c>
      <c r="F304">
        <f t="array" ref="F304">IFERROR(INDEX('TRIP MANAGER'!$R$18:$R$25,$A304),"")</f>
        <v/>
      </c>
      <c r="G304">
        <f t="array" ref="G304">IFERROR(INDEX('TRIP MANAGER'!$S$18:$S$25,$A304),"")</f>
        <v/>
      </c>
      <c r="H304">
        <f>$B304/150</f>
        <v/>
      </c>
      <c r="I304">
        <f>IF(OR($G304="",$G304=0),"",SIN((1-$H304)*$G304)/SIN($G304))</f>
        <v/>
      </c>
      <c r="J304">
        <f>IF($I304="","",SIN($H304*$G304)/SIN($G304))</f>
        <v/>
      </c>
      <c r="K304">
        <f>IF($I304="","",$I304*COS(RADIANS($C304))*COS(RADIANS($D304))+$J304*COS(RADIANS($E304))*COS(RADIANS($F304)))</f>
        <v/>
      </c>
      <c r="L304">
        <f>IF($I304="","",$I304*COS(RADIANS($C304))*SIN(RADIANS($D304))+$J304*COS(RADIANS($E304))*SIN(RADIANS($F304)))</f>
        <v/>
      </c>
      <c r="M304">
        <f>IF($I304="","",$I304*SIN(RADIANS($C304))+$J304*SIN(RADIANS($E304)))</f>
        <v/>
      </c>
      <c r="N304">
        <f>IF($M304="","",DEGREES(ATAN2(SQRT($K304^2+$L304^2),$M304)))</f>
        <v/>
      </c>
      <c r="O304">
        <f>IF($M304="","",DEGREES(ATAN2($K304,$L304)))</f>
        <v/>
      </c>
      <c r="P304">
        <f t="array" ref="P304">IF($N304="","",IFERROR(IF(INDEX(geo_grid!$B$2:$JU$231,INT(($N304+40)/0.5)+1,INT(($O304+30)/0.5)+1)="","",INDEX(geo_grid!$B$2:$JU$231,INT(($N304+40)/0.5)+1,INT(($O304+30)/0.5)+1)),"OUTSIDE GRID"))</f>
        <v/>
      </c>
      <c r="Q304">
        <f>IF($P304="","",$A304*1000+$B304)</f>
        <v/>
      </c>
    </row>
    <row r="305">
      <c r="A305">
        <f>INT((ROW()-2)/151)+1</f>
        <v/>
      </c>
      <c r="B305">
        <f>MOD(ROW()-2,151)</f>
        <v/>
      </c>
      <c r="C305">
        <f t="array" ref="C305">IFERROR(INDEX('TRIP MANAGER'!$O$18:$O$25,$A305),"")</f>
        <v/>
      </c>
      <c r="D305">
        <f t="array" ref="D305">IFERROR(INDEX('TRIP MANAGER'!$P$18:$P$25,$A305),"")</f>
        <v/>
      </c>
      <c r="E305">
        <f t="array" ref="E305">IFERROR(INDEX('TRIP MANAGER'!$Q$18:$Q$25,$A305),"")</f>
        <v/>
      </c>
      <c r="F305">
        <f t="array" ref="F305">IFERROR(INDEX('TRIP MANAGER'!$R$18:$R$25,$A305),"")</f>
        <v/>
      </c>
      <c r="G305">
        <f t="array" ref="G305">IFERROR(INDEX('TRIP MANAGER'!$S$18:$S$25,$A305),"")</f>
        <v/>
      </c>
      <c r="H305">
        <f>$B305/150</f>
        <v/>
      </c>
      <c r="I305">
        <f>IF(OR($G305="",$G305=0),"",SIN((1-$H305)*$G305)/SIN($G305))</f>
        <v/>
      </c>
      <c r="J305">
        <f>IF($I305="","",SIN($H305*$G305)/SIN($G305))</f>
        <v/>
      </c>
      <c r="K305">
        <f>IF($I305="","",$I305*COS(RADIANS($C305))*COS(RADIANS($D305))+$J305*COS(RADIANS($E305))*COS(RADIANS($F305)))</f>
        <v/>
      </c>
      <c r="L305">
        <f>IF($I305="","",$I305*COS(RADIANS($C305))*SIN(RADIANS($D305))+$J305*COS(RADIANS($E305))*SIN(RADIANS($F305)))</f>
        <v/>
      </c>
      <c r="M305">
        <f>IF($I305="","",$I305*SIN(RADIANS($C305))+$J305*SIN(RADIANS($E305)))</f>
        <v/>
      </c>
      <c r="N305">
        <f>IF($M305="","",DEGREES(ATAN2(SQRT($K305^2+$L305^2),$M305)))</f>
        <v/>
      </c>
      <c r="O305">
        <f>IF($M305="","",DEGREES(ATAN2($K305,$L305)))</f>
        <v/>
      </c>
      <c r="P305">
        <f t="array" ref="P305">IF($N305="","",IFERROR(IF(INDEX(geo_grid!$B$2:$JU$231,INT(($N305+40)/0.5)+1,INT(($O305+30)/0.5)+1)="","",INDEX(geo_grid!$B$2:$JU$231,INT(($N305+40)/0.5)+1,INT(($O305+30)/0.5)+1)),"OUTSIDE GRID"))</f>
        <v/>
      </c>
      <c r="Q305">
        <f>IF($P305="","",$A305*1000+$B305)</f>
        <v/>
      </c>
    </row>
    <row r="306">
      <c r="A306">
        <f>INT((ROW()-2)/151)+1</f>
        <v/>
      </c>
      <c r="B306">
        <f>MOD(ROW()-2,151)</f>
        <v/>
      </c>
      <c r="C306">
        <f t="array" ref="C306">IFERROR(INDEX('TRIP MANAGER'!$O$18:$O$25,$A306),"")</f>
        <v/>
      </c>
      <c r="D306">
        <f t="array" ref="D306">IFERROR(INDEX('TRIP MANAGER'!$P$18:$P$25,$A306),"")</f>
        <v/>
      </c>
      <c r="E306">
        <f t="array" ref="E306">IFERROR(INDEX('TRIP MANAGER'!$Q$18:$Q$25,$A306),"")</f>
        <v/>
      </c>
      <c r="F306">
        <f t="array" ref="F306">IFERROR(INDEX('TRIP MANAGER'!$R$18:$R$25,$A306),"")</f>
        <v/>
      </c>
      <c r="G306">
        <f t="array" ref="G306">IFERROR(INDEX('TRIP MANAGER'!$S$18:$S$25,$A306),"")</f>
        <v/>
      </c>
      <c r="H306">
        <f>$B306/150</f>
        <v/>
      </c>
      <c r="I306">
        <f>IF(OR($G306="",$G306=0),"",SIN((1-$H306)*$G306)/SIN($G306))</f>
        <v/>
      </c>
      <c r="J306">
        <f>IF($I306="","",SIN($H306*$G306)/SIN($G306))</f>
        <v/>
      </c>
      <c r="K306">
        <f>IF($I306="","",$I306*COS(RADIANS($C306))*COS(RADIANS($D306))+$J306*COS(RADIANS($E306))*COS(RADIANS($F306)))</f>
        <v/>
      </c>
      <c r="L306">
        <f>IF($I306="","",$I306*COS(RADIANS($C306))*SIN(RADIANS($D306))+$J306*COS(RADIANS($E306))*SIN(RADIANS($F306)))</f>
        <v/>
      </c>
      <c r="M306">
        <f>IF($I306="","",$I306*SIN(RADIANS($C306))+$J306*SIN(RADIANS($E306)))</f>
        <v/>
      </c>
      <c r="N306">
        <f>IF($M306="","",DEGREES(ATAN2(SQRT($K306^2+$L306^2),$M306)))</f>
        <v/>
      </c>
      <c r="O306">
        <f>IF($M306="","",DEGREES(ATAN2($K306,$L306)))</f>
        <v/>
      </c>
      <c r="P306">
        <f t="array" ref="P306">IF($N306="","",IFERROR(IF(INDEX(geo_grid!$B$2:$JU$231,INT(($N306+40)/0.5)+1,INT(($O306+30)/0.5)+1)="","",INDEX(geo_grid!$B$2:$JU$231,INT(($N306+40)/0.5)+1,INT(($O306+30)/0.5)+1)),"OUTSIDE GRID"))</f>
        <v/>
      </c>
      <c r="Q306">
        <f>IF($P306="","",$A306*1000+$B306)</f>
        <v/>
      </c>
    </row>
    <row r="307">
      <c r="A307">
        <f>INT((ROW()-2)/151)+1</f>
        <v/>
      </c>
      <c r="B307">
        <f>MOD(ROW()-2,151)</f>
        <v/>
      </c>
      <c r="C307">
        <f t="array" ref="C307">IFERROR(INDEX('TRIP MANAGER'!$O$18:$O$25,$A307),"")</f>
        <v/>
      </c>
      <c r="D307">
        <f t="array" ref="D307">IFERROR(INDEX('TRIP MANAGER'!$P$18:$P$25,$A307),"")</f>
        <v/>
      </c>
      <c r="E307">
        <f t="array" ref="E307">IFERROR(INDEX('TRIP MANAGER'!$Q$18:$Q$25,$A307),"")</f>
        <v/>
      </c>
      <c r="F307">
        <f t="array" ref="F307">IFERROR(INDEX('TRIP MANAGER'!$R$18:$R$25,$A307),"")</f>
        <v/>
      </c>
      <c r="G307">
        <f t="array" ref="G307">IFERROR(INDEX('TRIP MANAGER'!$S$18:$S$25,$A307),"")</f>
        <v/>
      </c>
      <c r="H307">
        <f>$B307/150</f>
        <v/>
      </c>
      <c r="I307">
        <f>IF(OR($G307="",$G307=0),"",SIN((1-$H307)*$G307)/SIN($G307))</f>
        <v/>
      </c>
      <c r="J307">
        <f>IF($I307="","",SIN($H307*$G307)/SIN($G307))</f>
        <v/>
      </c>
      <c r="K307">
        <f>IF($I307="","",$I307*COS(RADIANS($C307))*COS(RADIANS($D307))+$J307*COS(RADIANS($E307))*COS(RADIANS($F307)))</f>
        <v/>
      </c>
      <c r="L307">
        <f>IF($I307="","",$I307*COS(RADIANS($C307))*SIN(RADIANS($D307))+$J307*COS(RADIANS($E307))*SIN(RADIANS($F307)))</f>
        <v/>
      </c>
      <c r="M307">
        <f>IF($I307="","",$I307*SIN(RADIANS($C307))+$J307*SIN(RADIANS($E307)))</f>
        <v/>
      </c>
      <c r="N307">
        <f>IF($M307="","",DEGREES(ATAN2(SQRT($K307^2+$L307^2),$M307)))</f>
        <v/>
      </c>
      <c r="O307">
        <f>IF($M307="","",DEGREES(ATAN2($K307,$L307)))</f>
        <v/>
      </c>
      <c r="P307">
        <f t="array" ref="P307">IF($N307="","",IFERROR(IF(INDEX(geo_grid!$B$2:$JU$231,INT(($N307+40)/0.5)+1,INT(($O307+30)/0.5)+1)="","",INDEX(geo_grid!$B$2:$JU$231,INT(($N307+40)/0.5)+1,INT(($O307+30)/0.5)+1)),"OUTSIDE GRID"))</f>
        <v/>
      </c>
      <c r="Q307">
        <f>IF($P307="","",$A307*1000+$B307)</f>
        <v/>
      </c>
    </row>
    <row r="308">
      <c r="A308">
        <f>INT((ROW()-2)/151)+1</f>
        <v/>
      </c>
      <c r="B308">
        <f>MOD(ROW()-2,151)</f>
        <v/>
      </c>
      <c r="C308">
        <f t="array" ref="C308">IFERROR(INDEX('TRIP MANAGER'!$O$18:$O$25,$A308),"")</f>
        <v/>
      </c>
      <c r="D308">
        <f t="array" ref="D308">IFERROR(INDEX('TRIP MANAGER'!$P$18:$P$25,$A308),"")</f>
        <v/>
      </c>
      <c r="E308">
        <f t="array" ref="E308">IFERROR(INDEX('TRIP MANAGER'!$Q$18:$Q$25,$A308),"")</f>
        <v/>
      </c>
      <c r="F308">
        <f t="array" ref="F308">IFERROR(INDEX('TRIP MANAGER'!$R$18:$R$25,$A308),"")</f>
        <v/>
      </c>
      <c r="G308">
        <f t="array" ref="G308">IFERROR(INDEX('TRIP MANAGER'!$S$18:$S$25,$A308),"")</f>
        <v/>
      </c>
      <c r="H308">
        <f>$B308/150</f>
        <v/>
      </c>
      <c r="I308">
        <f>IF(OR($G308="",$G308=0),"",SIN((1-$H308)*$G308)/SIN($G308))</f>
        <v/>
      </c>
      <c r="J308">
        <f>IF($I308="","",SIN($H308*$G308)/SIN($G308))</f>
        <v/>
      </c>
      <c r="K308">
        <f>IF($I308="","",$I308*COS(RADIANS($C308))*COS(RADIANS($D308))+$J308*COS(RADIANS($E308))*COS(RADIANS($F308)))</f>
        <v/>
      </c>
      <c r="L308">
        <f>IF($I308="","",$I308*COS(RADIANS($C308))*SIN(RADIANS($D308))+$J308*COS(RADIANS($E308))*SIN(RADIANS($F308)))</f>
        <v/>
      </c>
      <c r="M308">
        <f>IF($I308="","",$I308*SIN(RADIANS($C308))+$J308*SIN(RADIANS($E308)))</f>
        <v/>
      </c>
      <c r="N308">
        <f>IF($M308="","",DEGREES(ATAN2(SQRT($K308^2+$L308^2),$M308)))</f>
        <v/>
      </c>
      <c r="O308">
        <f>IF($M308="","",DEGREES(ATAN2($K308,$L308)))</f>
        <v/>
      </c>
      <c r="P308">
        <f t="array" ref="P308">IF($N308="","",IFERROR(IF(INDEX(geo_grid!$B$2:$JU$231,INT(($N308+40)/0.5)+1,INT(($O308+30)/0.5)+1)="","",INDEX(geo_grid!$B$2:$JU$231,INT(($N308+40)/0.5)+1,INT(($O308+30)/0.5)+1)),"OUTSIDE GRID"))</f>
        <v/>
      </c>
      <c r="Q308">
        <f>IF($P308="","",$A308*1000+$B308)</f>
        <v/>
      </c>
    </row>
    <row r="309">
      <c r="A309">
        <f>INT((ROW()-2)/151)+1</f>
        <v/>
      </c>
      <c r="B309">
        <f>MOD(ROW()-2,151)</f>
        <v/>
      </c>
      <c r="C309">
        <f t="array" ref="C309">IFERROR(INDEX('TRIP MANAGER'!$O$18:$O$25,$A309),"")</f>
        <v/>
      </c>
      <c r="D309">
        <f t="array" ref="D309">IFERROR(INDEX('TRIP MANAGER'!$P$18:$P$25,$A309),"")</f>
        <v/>
      </c>
      <c r="E309">
        <f t="array" ref="E309">IFERROR(INDEX('TRIP MANAGER'!$Q$18:$Q$25,$A309),"")</f>
        <v/>
      </c>
      <c r="F309">
        <f t="array" ref="F309">IFERROR(INDEX('TRIP MANAGER'!$R$18:$R$25,$A309),"")</f>
        <v/>
      </c>
      <c r="G309">
        <f t="array" ref="G309">IFERROR(INDEX('TRIP MANAGER'!$S$18:$S$25,$A309),"")</f>
        <v/>
      </c>
      <c r="H309">
        <f>$B309/150</f>
        <v/>
      </c>
      <c r="I309">
        <f>IF(OR($G309="",$G309=0),"",SIN((1-$H309)*$G309)/SIN($G309))</f>
        <v/>
      </c>
      <c r="J309">
        <f>IF($I309="","",SIN($H309*$G309)/SIN($G309))</f>
        <v/>
      </c>
      <c r="K309">
        <f>IF($I309="","",$I309*COS(RADIANS($C309))*COS(RADIANS($D309))+$J309*COS(RADIANS($E309))*COS(RADIANS($F309)))</f>
        <v/>
      </c>
      <c r="L309">
        <f>IF($I309="","",$I309*COS(RADIANS($C309))*SIN(RADIANS($D309))+$J309*COS(RADIANS($E309))*SIN(RADIANS($F309)))</f>
        <v/>
      </c>
      <c r="M309">
        <f>IF($I309="","",$I309*SIN(RADIANS($C309))+$J309*SIN(RADIANS($E309)))</f>
        <v/>
      </c>
      <c r="N309">
        <f>IF($M309="","",DEGREES(ATAN2(SQRT($K309^2+$L309^2),$M309)))</f>
        <v/>
      </c>
      <c r="O309">
        <f>IF($M309="","",DEGREES(ATAN2($K309,$L309)))</f>
        <v/>
      </c>
      <c r="P309">
        <f t="array" ref="P309">IF($N309="","",IFERROR(IF(INDEX(geo_grid!$B$2:$JU$231,INT(($N309+40)/0.5)+1,INT(($O309+30)/0.5)+1)="","",INDEX(geo_grid!$B$2:$JU$231,INT(($N309+40)/0.5)+1,INT(($O309+30)/0.5)+1)),"OUTSIDE GRID"))</f>
        <v/>
      </c>
      <c r="Q309">
        <f>IF($P309="","",$A309*1000+$B309)</f>
        <v/>
      </c>
    </row>
    <row r="310">
      <c r="A310">
        <f>INT((ROW()-2)/151)+1</f>
        <v/>
      </c>
      <c r="B310">
        <f>MOD(ROW()-2,151)</f>
        <v/>
      </c>
      <c r="C310">
        <f t="array" ref="C310">IFERROR(INDEX('TRIP MANAGER'!$O$18:$O$25,$A310),"")</f>
        <v/>
      </c>
      <c r="D310">
        <f t="array" ref="D310">IFERROR(INDEX('TRIP MANAGER'!$P$18:$P$25,$A310),"")</f>
        <v/>
      </c>
      <c r="E310">
        <f t="array" ref="E310">IFERROR(INDEX('TRIP MANAGER'!$Q$18:$Q$25,$A310),"")</f>
        <v/>
      </c>
      <c r="F310">
        <f t="array" ref="F310">IFERROR(INDEX('TRIP MANAGER'!$R$18:$R$25,$A310),"")</f>
        <v/>
      </c>
      <c r="G310">
        <f t="array" ref="G310">IFERROR(INDEX('TRIP MANAGER'!$S$18:$S$25,$A310),"")</f>
        <v/>
      </c>
      <c r="H310">
        <f>$B310/150</f>
        <v/>
      </c>
      <c r="I310">
        <f>IF(OR($G310="",$G310=0),"",SIN((1-$H310)*$G310)/SIN($G310))</f>
        <v/>
      </c>
      <c r="J310">
        <f>IF($I310="","",SIN($H310*$G310)/SIN($G310))</f>
        <v/>
      </c>
      <c r="K310">
        <f>IF($I310="","",$I310*COS(RADIANS($C310))*COS(RADIANS($D310))+$J310*COS(RADIANS($E310))*COS(RADIANS($F310)))</f>
        <v/>
      </c>
      <c r="L310">
        <f>IF($I310="","",$I310*COS(RADIANS($C310))*SIN(RADIANS($D310))+$J310*COS(RADIANS($E310))*SIN(RADIANS($F310)))</f>
        <v/>
      </c>
      <c r="M310">
        <f>IF($I310="","",$I310*SIN(RADIANS($C310))+$J310*SIN(RADIANS($E310)))</f>
        <v/>
      </c>
      <c r="N310">
        <f>IF($M310="","",DEGREES(ATAN2(SQRT($K310^2+$L310^2),$M310)))</f>
        <v/>
      </c>
      <c r="O310">
        <f>IF($M310="","",DEGREES(ATAN2($K310,$L310)))</f>
        <v/>
      </c>
      <c r="P310">
        <f t="array" ref="P310">IF($N310="","",IFERROR(IF(INDEX(geo_grid!$B$2:$JU$231,INT(($N310+40)/0.5)+1,INT(($O310+30)/0.5)+1)="","",INDEX(geo_grid!$B$2:$JU$231,INT(($N310+40)/0.5)+1,INT(($O310+30)/0.5)+1)),"OUTSIDE GRID"))</f>
        <v/>
      </c>
      <c r="Q310">
        <f>IF($P310="","",$A310*1000+$B310)</f>
        <v/>
      </c>
    </row>
    <row r="311">
      <c r="A311">
        <f>INT((ROW()-2)/151)+1</f>
        <v/>
      </c>
      <c r="B311">
        <f>MOD(ROW()-2,151)</f>
        <v/>
      </c>
      <c r="C311">
        <f t="array" ref="C311">IFERROR(INDEX('TRIP MANAGER'!$O$18:$O$25,$A311),"")</f>
        <v/>
      </c>
      <c r="D311">
        <f t="array" ref="D311">IFERROR(INDEX('TRIP MANAGER'!$P$18:$P$25,$A311),"")</f>
        <v/>
      </c>
      <c r="E311">
        <f t="array" ref="E311">IFERROR(INDEX('TRIP MANAGER'!$Q$18:$Q$25,$A311),"")</f>
        <v/>
      </c>
      <c r="F311">
        <f t="array" ref="F311">IFERROR(INDEX('TRIP MANAGER'!$R$18:$R$25,$A311),"")</f>
        <v/>
      </c>
      <c r="G311">
        <f t="array" ref="G311">IFERROR(INDEX('TRIP MANAGER'!$S$18:$S$25,$A311),"")</f>
        <v/>
      </c>
      <c r="H311">
        <f>$B311/150</f>
        <v/>
      </c>
      <c r="I311">
        <f>IF(OR($G311="",$G311=0),"",SIN((1-$H311)*$G311)/SIN($G311))</f>
        <v/>
      </c>
      <c r="J311">
        <f>IF($I311="","",SIN($H311*$G311)/SIN($G311))</f>
        <v/>
      </c>
      <c r="K311">
        <f>IF($I311="","",$I311*COS(RADIANS($C311))*COS(RADIANS($D311))+$J311*COS(RADIANS($E311))*COS(RADIANS($F311)))</f>
        <v/>
      </c>
      <c r="L311">
        <f>IF($I311="","",$I311*COS(RADIANS($C311))*SIN(RADIANS($D311))+$J311*COS(RADIANS($E311))*SIN(RADIANS($F311)))</f>
        <v/>
      </c>
      <c r="M311">
        <f>IF($I311="","",$I311*SIN(RADIANS($C311))+$J311*SIN(RADIANS($E311)))</f>
        <v/>
      </c>
      <c r="N311">
        <f>IF($M311="","",DEGREES(ATAN2(SQRT($K311^2+$L311^2),$M311)))</f>
        <v/>
      </c>
      <c r="O311">
        <f>IF($M311="","",DEGREES(ATAN2($K311,$L311)))</f>
        <v/>
      </c>
      <c r="P311">
        <f t="array" ref="P311">IF($N311="","",IFERROR(IF(INDEX(geo_grid!$B$2:$JU$231,INT(($N311+40)/0.5)+1,INT(($O311+30)/0.5)+1)="","",INDEX(geo_grid!$B$2:$JU$231,INT(($N311+40)/0.5)+1,INT(($O311+30)/0.5)+1)),"OUTSIDE GRID"))</f>
        <v/>
      </c>
      <c r="Q311">
        <f>IF($P311="","",$A311*1000+$B311)</f>
        <v/>
      </c>
    </row>
    <row r="312">
      <c r="A312">
        <f>INT((ROW()-2)/151)+1</f>
        <v/>
      </c>
      <c r="B312">
        <f>MOD(ROW()-2,151)</f>
        <v/>
      </c>
      <c r="C312">
        <f t="array" ref="C312">IFERROR(INDEX('TRIP MANAGER'!$O$18:$O$25,$A312),"")</f>
        <v/>
      </c>
      <c r="D312">
        <f t="array" ref="D312">IFERROR(INDEX('TRIP MANAGER'!$P$18:$P$25,$A312),"")</f>
        <v/>
      </c>
      <c r="E312">
        <f t="array" ref="E312">IFERROR(INDEX('TRIP MANAGER'!$Q$18:$Q$25,$A312),"")</f>
        <v/>
      </c>
      <c r="F312">
        <f t="array" ref="F312">IFERROR(INDEX('TRIP MANAGER'!$R$18:$R$25,$A312),"")</f>
        <v/>
      </c>
      <c r="G312">
        <f t="array" ref="G312">IFERROR(INDEX('TRIP MANAGER'!$S$18:$S$25,$A312),"")</f>
        <v/>
      </c>
      <c r="H312">
        <f>$B312/150</f>
        <v/>
      </c>
      <c r="I312">
        <f>IF(OR($G312="",$G312=0),"",SIN((1-$H312)*$G312)/SIN($G312))</f>
        <v/>
      </c>
      <c r="J312">
        <f>IF($I312="","",SIN($H312*$G312)/SIN($G312))</f>
        <v/>
      </c>
      <c r="K312">
        <f>IF($I312="","",$I312*COS(RADIANS($C312))*COS(RADIANS($D312))+$J312*COS(RADIANS($E312))*COS(RADIANS($F312)))</f>
        <v/>
      </c>
      <c r="L312">
        <f>IF($I312="","",$I312*COS(RADIANS($C312))*SIN(RADIANS($D312))+$J312*COS(RADIANS($E312))*SIN(RADIANS($F312)))</f>
        <v/>
      </c>
      <c r="M312">
        <f>IF($I312="","",$I312*SIN(RADIANS($C312))+$J312*SIN(RADIANS($E312)))</f>
        <v/>
      </c>
      <c r="N312">
        <f>IF($M312="","",DEGREES(ATAN2(SQRT($K312^2+$L312^2),$M312)))</f>
        <v/>
      </c>
      <c r="O312">
        <f>IF($M312="","",DEGREES(ATAN2($K312,$L312)))</f>
        <v/>
      </c>
      <c r="P312">
        <f t="array" ref="P312">IF($N312="","",IFERROR(IF(INDEX(geo_grid!$B$2:$JU$231,INT(($N312+40)/0.5)+1,INT(($O312+30)/0.5)+1)="","",INDEX(geo_grid!$B$2:$JU$231,INT(($N312+40)/0.5)+1,INT(($O312+30)/0.5)+1)),"OUTSIDE GRID"))</f>
        <v/>
      </c>
      <c r="Q312">
        <f>IF($P312="","",$A312*1000+$B312)</f>
        <v/>
      </c>
    </row>
    <row r="313">
      <c r="A313">
        <f>INT((ROW()-2)/151)+1</f>
        <v/>
      </c>
      <c r="B313">
        <f>MOD(ROW()-2,151)</f>
        <v/>
      </c>
      <c r="C313">
        <f t="array" ref="C313">IFERROR(INDEX('TRIP MANAGER'!$O$18:$O$25,$A313),"")</f>
        <v/>
      </c>
      <c r="D313">
        <f t="array" ref="D313">IFERROR(INDEX('TRIP MANAGER'!$P$18:$P$25,$A313),"")</f>
        <v/>
      </c>
      <c r="E313">
        <f t="array" ref="E313">IFERROR(INDEX('TRIP MANAGER'!$Q$18:$Q$25,$A313),"")</f>
        <v/>
      </c>
      <c r="F313">
        <f t="array" ref="F313">IFERROR(INDEX('TRIP MANAGER'!$R$18:$R$25,$A313),"")</f>
        <v/>
      </c>
      <c r="G313">
        <f t="array" ref="G313">IFERROR(INDEX('TRIP MANAGER'!$S$18:$S$25,$A313),"")</f>
        <v/>
      </c>
      <c r="H313">
        <f>$B313/150</f>
        <v/>
      </c>
      <c r="I313">
        <f>IF(OR($G313="",$G313=0),"",SIN((1-$H313)*$G313)/SIN($G313))</f>
        <v/>
      </c>
      <c r="J313">
        <f>IF($I313="","",SIN($H313*$G313)/SIN($G313))</f>
        <v/>
      </c>
      <c r="K313">
        <f>IF($I313="","",$I313*COS(RADIANS($C313))*COS(RADIANS($D313))+$J313*COS(RADIANS($E313))*COS(RADIANS($F313)))</f>
        <v/>
      </c>
      <c r="L313">
        <f>IF($I313="","",$I313*COS(RADIANS($C313))*SIN(RADIANS($D313))+$J313*COS(RADIANS($E313))*SIN(RADIANS($F313)))</f>
        <v/>
      </c>
      <c r="M313">
        <f>IF($I313="","",$I313*SIN(RADIANS($C313))+$J313*SIN(RADIANS($E313)))</f>
        <v/>
      </c>
      <c r="N313">
        <f>IF($M313="","",DEGREES(ATAN2(SQRT($K313^2+$L313^2),$M313)))</f>
        <v/>
      </c>
      <c r="O313">
        <f>IF($M313="","",DEGREES(ATAN2($K313,$L313)))</f>
        <v/>
      </c>
      <c r="P313">
        <f t="array" ref="P313">IF($N313="","",IFERROR(IF(INDEX(geo_grid!$B$2:$JU$231,INT(($N313+40)/0.5)+1,INT(($O313+30)/0.5)+1)="","",INDEX(geo_grid!$B$2:$JU$231,INT(($N313+40)/0.5)+1,INT(($O313+30)/0.5)+1)),"OUTSIDE GRID"))</f>
        <v/>
      </c>
      <c r="Q313">
        <f>IF($P313="","",$A313*1000+$B313)</f>
        <v/>
      </c>
    </row>
    <row r="314">
      <c r="A314">
        <f>INT((ROW()-2)/151)+1</f>
        <v/>
      </c>
      <c r="B314">
        <f>MOD(ROW()-2,151)</f>
        <v/>
      </c>
      <c r="C314">
        <f t="array" ref="C314">IFERROR(INDEX('TRIP MANAGER'!$O$18:$O$25,$A314),"")</f>
        <v/>
      </c>
      <c r="D314">
        <f t="array" ref="D314">IFERROR(INDEX('TRIP MANAGER'!$P$18:$P$25,$A314),"")</f>
        <v/>
      </c>
      <c r="E314">
        <f t="array" ref="E314">IFERROR(INDEX('TRIP MANAGER'!$Q$18:$Q$25,$A314),"")</f>
        <v/>
      </c>
      <c r="F314">
        <f t="array" ref="F314">IFERROR(INDEX('TRIP MANAGER'!$R$18:$R$25,$A314),"")</f>
        <v/>
      </c>
      <c r="G314">
        <f t="array" ref="G314">IFERROR(INDEX('TRIP MANAGER'!$S$18:$S$25,$A314),"")</f>
        <v/>
      </c>
      <c r="H314">
        <f>$B314/150</f>
        <v/>
      </c>
      <c r="I314">
        <f>IF(OR($G314="",$G314=0),"",SIN((1-$H314)*$G314)/SIN($G314))</f>
        <v/>
      </c>
      <c r="J314">
        <f>IF($I314="","",SIN($H314*$G314)/SIN($G314))</f>
        <v/>
      </c>
      <c r="K314">
        <f>IF($I314="","",$I314*COS(RADIANS($C314))*COS(RADIANS($D314))+$J314*COS(RADIANS($E314))*COS(RADIANS($F314)))</f>
        <v/>
      </c>
      <c r="L314">
        <f>IF($I314="","",$I314*COS(RADIANS($C314))*SIN(RADIANS($D314))+$J314*COS(RADIANS($E314))*SIN(RADIANS($F314)))</f>
        <v/>
      </c>
      <c r="M314">
        <f>IF($I314="","",$I314*SIN(RADIANS($C314))+$J314*SIN(RADIANS($E314)))</f>
        <v/>
      </c>
      <c r="N314">
        <f>IF($M314="","",DEGREES(ATAN2(SQRT($K314^2+$L314^2),$M314)))</f>
        <v/>
      </c>
      <c r="O314">
        <f>IF($M314="","",DEGREES(ATAN2($K314,$L314)))</f>
        <v/>
      </c>
      <c r="P314">
        <f t="array" ref="P314">IF($N314="","",IFERROR(IF(INDEX(geo_grid!$B$2:$JU$231,INT(($N314+40)/0.5)+1,INT(($O314+30)/0.5)+1)="","",INDEX(geo_grid!$B$2:$JU$231,INT(($N314+40)/0.5)+1,INT(($O314+30)/0.5)+1)),"OUTSIDE GRID"))</f>
        <v/>
      </c>
      <c r="Q314">
        <f>IF($P314="","",$A314*1000+$B314)</f>
        <v/>
      </c>
    </row>
    <row r="315">
      <c r="A315">
        <f>INT((ROW()-2)/151)+1</f>
        <v/>
      </c>
      <c r="B315">
        <f>MOD(ROW()-2,151)</f>
        <v/>
      </c>
      <c r="C315">
        <f t="array" ref="C315">IFERROR(INDEX('TRIP MANAGER'!$O$18:$O$25,$A315),"")</f>
        <v/>
      </c>
      <c r="D315">
        <f t="array" ref="D315">IFERROR(INDEX('TRIP MANAGER'!$P$18:$P$25,$A315),"")</f>
        <v/>
      </c>
      <c r="E315">
        <f t="array" ref="E315">IFERROR(INDEX('TRIP MANAGER'!$Q$18:$Q$25,$A315),"")</f>
        <v/>
      </c>
      <c r="F315">
        <f t="array" ref="F315">IFERROR(INDEX('TRIP MANAGER'!$R$18:$R$25,$A315),"")</f>
        <v/>
      </c>
      <c r="G315">
        <f t="array" ref="G315">IFERROR(INDEX('TRIP MANAGER'!$S$18:$S$25,$A315),"")</f>
        <v/>
      </c>
      <c r="H315">
        <f>$B315/150</f>
        <v/>
      </c>
      <c r="I315">
        <f>IF(OR($G315="",$G315=0),"",SIN((1-$H315)*$G315)/SIN($G315))</f>
        <v/>
      </c>
      <c r="J315">
        <f>IF($I315="","",SIN($H315*$G315)/SIN($G315))</f>
        <v/>
      </c>
      <c r="K315">
        <f>IF($I315="","",$I315*COS(RADIANS($C315))*COS(RADIANS($D315))+$J315*COS(RADIANS($E315))*COS(RADIANS($F315)))</f>
        <v/>
      </c>
      <c r="L315">
        <f>IF($I315="","",$I315*COS(RADIANS($C315))*SIN(RADIANS($D315))+$J315*COS(RADIANS($E315))*SIN(RADIANS($F315)))</f>
        <v/>
      </c>
      <c r="M315">
        <f>IF($I315="","",$I315*SIN(RADIANS($C315))+$J315*SIN(RADIANS($E315)))</f>
        <v/>
      </c>
      <c r="N315">
        <f>IF($M315="","",DEGREES(ATAN2(SQRT($K315^2+$L315^2),$M315)))</f>
        <v/>
      </c>
      <c r="O315">
        <f>IF($M315="","",DEGREES(ATAN2($K315,$L315)))</f>
        <v/>
      </c>
      <c r="P315">
        <f t="array" ref="P315">IF($N315="","",IFERROR(IF(INDEX(geo_grid!$B$2:$JU$231,INT(($N315+40)/0.5)+1,INT(($O315+30)/0.5)+1)="","",INDEX(geo_grid!$B$2:$JU$231,INT(($N315+40)/0.5)+1,INT(($O315+30)/0.5)+1)),"OUTSIDE GRID"))</f>
        <v/>
      </c>
      <c r="Q315">
        <f>IF($P315="","",$A315*1000+$B315)</f>
        <v/>
      </c>
    </row>
    <row r="316">
      <c r="A316">
        <f>INT((ROW()-2)/151)+1</f>
        <v/>
      </c>
      <c r="B316">
        <f>MOD(ROW()-2,151)</f>
        <v/>
      </c>
      <c r="C316">
        <f t="array" ref="C316">IFERROR(INDEX('TRIP MANAGER'!$O$18:$O$25,$A316),"")</f>
        <v/>
      </c>
      <c r="D316">
        <f t="array" ref="D316">IFERROR(INDEX('TRIP MANAGER'!$P$18:$P$25,$A316),"")</f>
        <v/>
      </c>
      <c r="E316">
        <f t="array" ref="E316">IFERROR(INDEX('TRIP MANAGER'!$Q$18:$Q$25,$A316),"")</f>
        <v/>
      </c>
      <c r="F316">
        <f t="array" ref="F316">IFERROR(INDEX('TRIP MANAGER'!$R$18:$R$25,$A316),"")</f>
        <v/>
      </c>
      <c r="G316">
        <f t="array" ref="G316">IFERROR(INDEX('TRIP MANAGER'!$S$18:$S$25,$A316),"")</f>
        <v/>
      </c>
      <c r="H316">
        <f>$B316/150</f>
        <v/>
      </c>
      <c r="I316">
        <f>IF(OR($G316="",$G316=0),"",SIN((1-$H316)*$G316)/SIN($G316))</f>
        <v/>
      </c>
      <c r="J316">
        <f>IF($I316="","",SIN($H316*$G316)/SIN($G316))</f>
        <v/>
      </c>
      <c r="K316">
        <f>IF($I316="","",$I316*COS(RADIANS($C316))*COS(RADIANS($D316))+$J316*COS(RADIANS($E316))*COS(RADIANS($F316)))</f>
        <v/>
      </c>
      <c r="L316">
        <f>IF($I316="","",$I316*COS(RADIANS($C316))*SIN(RADIANS($D316))+$J316*COS(RADIANS($E316))*SIN(RADIANS($F316)))</f>
        <v/>
      </c>
      <c r="M316">
        <f>IF($I316="","",$I316*SIN(RADIANS($C316))+$J316*SIN(RADIANS($E316)))</f>
        <v/>
      </c>
      <c r="N316">
        <f>IF($M316="","",DEGREES(ATAN2(SQRT($K316^2+$L316^2),$M316)))</f>
        <v/>
      </c>
      <c r="O316">
        <f>IF($M316="","",DEGREES(ATAN2($K316,$L316)))</f>
        <v/>
      </c>
      <c r="P316">
        <f t="array" ref="P316">IF($N316="","",IFERROR(IF(INDEX(geo_grid!$B$2:$JU$231,INT(($N316+40)/0.5)+1,INT(($O316+30)/0.5)+1)="","",INDEX(geo_grid!$B$2:$JU$231,INT(($N316+40)/0.5)+1,INT(($O316+30)/0.5)+1)),"OUTSIDE GRID"))</f>
        <v/>
      </c>
      <c r="Q316">
        <f>IF($P316="","",$A316*1000+$B316)</f>
        <v/>
      </c>
    </row>
    <row r="317">
      <c r="A317">
        <f>INT((ROW()-2)/151)+1</f>
        <v/>
      </c>
      <c r="B317">
        <f>MOD(ROW()-2,151)</f>
        <v/>
      </c>
      <c r="C317">
        <f t="array" ref="C317">IFERROR(INDEX('TRIP MANAGER'!$O$18:$O$25,$A317),"")</f>
        <v/>
      </c>
      <c r="D317">
        <f t="array" ref="D317">IFERROR(INDEX('TRIP MANAGER'!$P$18:$P$25,$A317),"")</f>
        <v/>
      </c>
      <c r="E317">
        <f t="array" ref="E317">IFERROR(INDEX('TRIP MANAGER'!$Q$18:$Q$25,$A317),"")</f>
        <v/>
      </c>
      <c r="F317">
        <f t="array" ref="F317">IFERROR(INDEX('TRIP MANAGER'!$R$18:$R$25,$A317),"")</f>
        <v/>
      </c>
      <c r="G317">
        <f t="array" ref="G317">IFERROR(INDEX('TRIP MANAGER'!$S$18:$S$25,$A317),"")</f>
        <v/>
      </c>
      <c r="H317">
        <f>$B317/150</f>
        <v/>
      </c>
      <c r="I317">
        <f>IF(OR($G317="",$G317=0),"",SIN((1-$H317)*$G317)/SIN($G317))</f>
        <v/>
      </c>
      <c r="J317">
        <f>IF($I317="","",SIN($H317*$G317)/SIN($G317))</f>
        <v/>
      </c>
      <c r="K317">
        <f>IF($I317="","",$I317*COS(RADIANS($C317))*COS(RADIANS($D317))+$J317*COS(RADIANS($E317))*COS(RADIANS($F317)))</f>
        <v/>
      </c>
      <c r="L317">
        <f>IF($I317="","",$I317*COS(RADIANS($C317))*SIN(RADIANS($D317))+$J317*COS(RADIANS($E317))*SIN(RADIANS($F317)))</f>
        <v/>
      </c>
      <c r="M317">
        <f>IF($I317="","",$I317*SIN(RADIANS($C317))+$J317*SIN(RADIANS($E317)))</f>
        <v/>
      </c>
      <c r="N317">
        <f>IF($M317="","",DEGREES(ATAN2(SQRT($K317^2+$L317^2),$M317)))</f>
        <v/>
      </c>
      <c r="O317">
        <f>IF($M317="","",DEGREES(ATAN2($K317,$L317)))</f>
        <v/>
      </c>
      <c r="P317">
        <f t="array" ref="P317">IF($N317="","",IFERROR(IF(INDEX(geo_grid!$B$2:$JU$231,INT(($N317+40)/0.5)+1,INT(($O317+30)/0.5)+1)="","",INDEX(geo_grid!$B$2:$JU$231,INT(($N317+40)/0.5)+1,INT(($O317+30)/0.5)+1)),"OUTSIDE GRID"))</f>
        <v/>
      </c>
      <c r="Q317">
        <f>IF($P317="","",$A317*1000+$B317)</f>
        <v/>
      </c>
    </row>
    <row r="318">
      <c r="A318">
        <f>INT((ROW()-2)/151)+1</f>
        <v/>
      </c>
      <c r="B318">
        <f>MOD(ROW()-2,151)</f>
        <v/>
      </c>
      <c r="C318">
        <f t="array" ref="C318">IFERROR(INDEX('TRIP MANAGER'!$O$18:$O$25,$A318),"")</f>
        <v/>
      </c>
      <c r="D318">
        <f t="array" ref="D318">IFERROR(INDEX('TRIP MANAGER'!$P$18:$P$25,$A318),"")</f>
        <v/>
      </c>
      <c r="E318">
        <f t="array" ref="E318">IFERROR(INDEX('TRIP MANAGER'!$Q$18:$Q$25,$A318),"")</f>
        <v/>
      </c>
      <c r="F318">
        <f t="array" ref="F318">IFERROR(INDEX('TRIP MANAGER'!$R$18:$R$25,$A318),"")</f>
        <v/>
      </c>
      <c r="G318">
        <f t="array" ref="G318">IFERROR(INDEX('TRIP MANAGER'!$S$18:$S$25,$A318),"")</f>
        <v/>
      </c>
      <c r="H318">
        <f>$B318/150</f>
        <v/>
      </c>
      <c r="I318">
        <f>IF(OR($G318="",$G318=0),"",SIN((1-$H318)*$G318)/SIN($G318))</f>
        <v/>
      </c>
      <c r="J318">
        <f>IF($I318="","",SIN($H318*$G318)/SIN($G318))</f>
        <v/>
      </c>
      <c r="K318">
        <f>IF($I318="","",$I318*COS(RADIANS($C318))*COS(RADIANS($D318))+$J318*COS(RADIANS($E318))*COS(RADIANS($F318)))</f>
        <v/>
      </c>
      <c r="L318">
        <f>IF($I318="","",$I318*COS(RADIANS($C318))*SIN(RADIANS($D318))+$J318*COS(RADIANS($E318))*SIN(RADIANS($F318)))</f>
        <v/>
      </c>
      <c r="M318">
        <f>IF($I318="","",$I318*SIN(RADIANS($C318))+$J318*SIN(RADIANS($E318)))</f>
        <v/>
      </c>
      <c r="N318">
        <f>IF($M318="","",DEGREES(ATAN2(SQRT($K318^2+$L318^2),$M318)))</f>
        <v/>
      </c>
      <c r="O318">
        <f>IF($M318="","",DEGREES(ATAN2($K318,$L318)))</f>
        <v/>
      </c>
      <c r="P318">
        <f t="array" ref="P318">IF($N318="","",IFERROR(IF(INDEX(geo_grid!$B$2:$JU$231,INT(($N318+40)/0.5)+1,INT(($O318+30)/0.5)+1)="","",INDEX(geo_grid!$B$2:$JU$231,INT(($N318+40)/0.5)+1,INT(($O318+30)/0.5)+1)),"OUTSIDE GRID"))</f>
        <v/>
      </c>
      <c r="Q318">
        <f>IF($P318="","",$A318*1000+$B318)</f>
        <v/>
      </c>
    </row>
    <row r="319">
      <c r="A319">
        <f>INT((ROW()-2)/151)+1</f>
        <v/>
      </c>
      <c r="B319">
        <f>MOD(ROW()-2,151)</f>
        <v/>
      </c>
      <c r="C319">
        <f t="array" ref="C319">IFERROR(INDEX('TRIP MANAGER'!$O$18:$O$25,$A319),"")</f>
        <v/>
      </c>
      <c r="D319">
        <f t="array" ref="D319">IFERROR(INDEX('TRIP MANAGER'!$P$18:$P$25,$A319),"")</f>
        <v/>
      </c>
      <c r="E319">
        <f t="array" ref="E319">IFERROR(INDEX('TRIP MANAGER'!$Q$18:$Q$25,$A319),"")</f>
        <v/>
      </c>
      <c r="F319">
        <f t="array" ref="F319">IFERROR(INDEX('TRIP MANAGER'!$R$18:$R$25,$A319),"")</f>
        <v/>
      </c>
      <c r="G319">
        <f t="array" ref="G319">IFERROR(INDEX('TRIP MANAGER'!$S$18:$S$25,$A319),"")</f>
        <v/>
      </c>
      <c r="H319">
        <f>$B319/150</f>
        <v/>
      </c>
      <c r="I319">
        <f>IF(OR($G319="",$G319=0),"",SIN((1-$H319)*$G319)/SIN($G319))</f>
        <v/>
      </c>
      <c r="J319">
        <f>IF($I319="","",SIN($H319*$G319)/SIN($G319))</f>
        <v/>
      </c>
      <c r="K319">
        <f>IF($I319="","",$I319*COS(RADIANS($C319))*COS(RADIANS($D319))+$J319*COS(RADIANS($E319))*COS(RADIANS($F319)))</f>
        <v/>
      </c>
      <c r="L319">
        <f>IF($I319="","",$I319*COS(RADIANS($C319))*SIN(RADIANS($D319))+$J319*COS(RADIANS($E319))*SIN(RADIANS($F319)))</f>
        <v/>
      </c>
      <c r="M319">
        <f>IF($I319="","",$I319*SIN(RADIANS($C319))+$J319*SIN(RADIANS($E319)))</f>
        <v/>
      </c>
      <c r="N319">
        <f>IF($M319="","",DEGREES(ATAN2(SQRT($K319^2+$L319^2),$M319)))</f>
        <v/>
      </c>
      <c r="O319">
        <f>IF($M319="","",DEGREES(ATAN2($K319,$L319)))</f>
        <v/>
      </c>
      <c r="P319">
        <f t="array" ref="P319">IF($N319="","",IFERROR(IF(INDEX(geo_grid!$B$2:$JU$231,INT(($N319+40)/0.5)+1,INT(($O319+30)/0.5)+1)="","",INDEX(geo_grid!$B$2:$JU$231,INT(($N319+40)/0.5)+1,INT(($O319+30)/0.5)+1)),"OUTSIDE GRID"))</f>
        <v/>
      </c>
      <c r="Q319">
        <f>IF($P319="","",$A319*1000+$B319)</f>
        <v/>
      </c>
    </row>
    <row r="320">
      <c r="A320">
        <f>INT((ROW()-2)/151)+1</f>
        <v/>
      </c>
      <c r="B320">
        <f>MOD(ROW()-2,151)</f>
        <v/>
      </c>
      <c r="C320">
        <f t="array" ref="C320">IFERROR(INDEX('TRIP MANAGER'!$O$18:$O$25,$A320),"")</f>
        <v/>
      </c>
      <c r="D320">
        <f t="array" ref="D320">IFERROR(INDEX('TRIP MANAGER'!$P$18:$P$25,$A320),"")</f>
        <v/>
      </c>
      <c r="E320">
        <f t="array" ref="E320">IFERROR(INDEX('TRIP MANAGER'!$Q$18:$Q$25,$A320),"")</f>
        <v/>
      </c>
      <c r="F320">
        <f t="array" ref="F320">IFERROR(INDEX('TRIP MANAGER'!$R$18:$R$25,$A320),"")</f>
        <v/>
      </c>
      <c r="G320">
        <f t="array" ref="G320">IFERROR(INDEX('TRIP MANAGER'!$S$18:$S$25,$A320),"")</f>
        <v/>
      </c>
      <c r="H320">
        <f>$B320/150</f>
        <v/>
      </c>
      <c r="I320">
        <f>IF(OR($G320="",$G320=0),"",SIN((1-$H320)*$G320)/SIN($G320))</f>
        <v/>
      </c>
      <c r="J320">
        <f>IF($I320="","",SIN($H320*$G320)/SIN($G320))</f>
        <v/>
      </c>
      <c r="K320">
        <f>IF($I320="","",$I320*COS(RADIANS($C320))*COS(RADIANS($D320))+$J320*COS(RADIANS($E320))*COS(RADIANS($F320)))</f>
        <v/>
      </c>
      <c r="L320">
        <f>IF($I320="","",$I320*COS(RADIANS($C320))*SIN(RADIANS($D320))+$J320*COS(RADIANS($E320))*SIN(RADIANS($F320)))</f>
        <v/>
      </c>
      <c r="M320">
        <f>IF($I320="","",$I320*SIN(RADIANS($C320))+$J320*SIN(RADIANS($E320)))</f>
        <v/>
      </c>
      <c r="N320">
        <f>IF($M320="","",DEGREES(ATAN2(SQRT($K320^2+$L320^2),$M320)))</f>
        <v/>
      </c>
      <c r="O320">
        <f>IF($M320="","",DEGREES(ATAN2($K320,$L320)))</f>
        <v/>
      </c>
      <c r="P320">
        <f t="array" ref="P320">IF($N320="","",IFERROR(IF(INDEX(geo_grid!$B$2:$JU$231,INT(($N320+40)/0.5)+1,INT(($O320+30)/0.5)+1)="","",INDEX(geo_grid!$B$2:$JU$231,INT(($N320+40)/0.5)+1,INT(($O320+30)/0.5)+1)),"OUTSIDE GRID"))</f>
        <v/>
      </c>
      <c r="Q320">
        <f>IF($P320="","",$A320*1000+$B320)</f>
        <v/>
      </c>
    </row>
    <row r="321">
      <c r="A321">
        <f>INT((ROW()-2)/151)+1</f>
        <v/>
      </c>
      <c r="B321">
        <f>MOD(ROW()-2,151)</f>
        <v/>
      </c>
      <c r="C321">
        <f t="array" ref="C321">IFERROR(INDEX('TRIP MANAGER'!$O$18:$O$25,$A321),"")</f>
        <v/>
      </c>
      <c r="D321">
        <f t="array" ref="D321">IFERROR(INDEX('TRIP MANAGER'!$P$18:$P$25,$A321),"")</f>
        <v/>
      </c>
      <c r="E321">
        <f t="array" ref="E321">IFERROR(INDEX('TRIP MANAGER'!$Q$18:$Q$25,$A321),"")</f>
        <v/>
      </c>
      <c r="F321">
        <f t="array" ref="F321">IFERROR(INDEX('TRIP MANAGER'!$R$18:$R$25,$A321),"")</f>
        <v/>
      </c>
      <c r="G321">
        <f t="array" ref="G321">IFERROR(INDEX('TRIP MANAGER'!$S$18:$S$25,$A321),"")</f>
        <v/>
      </c>
      <c r="H321">
        <f>$B321/150</f>
        <v/>
      </c>
      <c r="I321">
        <f>IF(OR($G321="",$G321=0),"",SIN((1-$H321)*$G321)/SIN($G321))</f>
        <v/>
      </c>
      <c r="J321">
        <f>IF($I321="","",SIN($H321*$G321)/SIN($G321))</f>
        <v/>
      </c>
      <c r="K321">
        <f>IF($I321="","",$I321*COS(RADIANS($C321))*COS(RADIANS($D321))+$J321*COS(RADIANS($E321))*COS(RADIANS($F321)))</f>
        <v/>
      </c>
      <c r="L321">
        <f>IF($I321="","",$I321*COS(RADIANS($C321))*SIN(RADIANS($D321))+$J321*COS(RADIANS($E321))*SIN(RADIANS($F321)))</f>
        <v/>
      </c>
      <c r="M321">
        <f>IF($I321="","",$I321*SIN(RADIANS($C321))+$J321*SIN(RADIANS($E321)))</f>
        <v/>
      </c>
      <c r="N321">
        <f>IF($M321="","",DEGREES(ATAN2(SQRT($K321^2+$L321^2),$M321)))</f>
        <v/>
      </c>
      <c r="O321">
        <f>IF($M321="","",DEGREES(ATAN2($K321,$L321)))</f>
        <v/>
      </c>
      <c r="P321">
        <f t="array" ref="P321">IF($N321="","",IFERROR(IF(INDEX(geo_grid!$B$2:$JU$231,INT(($N321+40)/0.5)+1,INT(($O321+30)/0.5)+1)="","",INDEX(geo_grid!$B$2:$JU$231,INT(($N321+40)/0.5)+1,INT(($O321+30)/0.5)+1)),"OUTSIDE GRID"))</f>
        <v/>
      </c>
      <c r="Q321">
        <f>IF($P321="","",$A321*1000+$B321)</f>
        <v/>
      </c>
    </row>
    <row r="322">
      <c r="A322">
        <f>INT((ROW()-2)/151)+1</f>
        <v/>
      </c>
      <c r="B322">
        <f>MOD(ROW()-2,151)</f>
        <v/>
      </c>
      <c r="C322">
        <f t="array" ref="C322">IFERROR(INDEX('TRIP MANAGER'!$O$18:$O$25,$A322),"")</f>
        <v/>
      </c>
      <c r="D322">
        <f t="array" ref="D322">IFERROR(INDEX('TRIP MANAGER'!$P$18:$P$25,$A322),"")</f>
        <v/>
      </c>
      <c r="E322">
        <f t="array" ref="E322">IFERROR(INDEX('TRIP MANAGER'!$Q$18:$Q$25,$A322),"")</f>
        <v/>
      </c>
      <c r="F322">
        <f t="array" ref="F322">IFERROR(INDEX('TRIP MANAGER'!$R$18:$R$25,$A322),"")</f>
        <v/>
      </c>
      <c r="G322">
        <f t="array" ref="G322">IFERROR(INDEX('TRIP MANAGER'!$S$18:$S$25,$A322),"")</f>
        <v/>
      </c>
      <c r="H322">
        <f>$B322/150</f>
        <v/>
      </c>
      <c r="I322">
        <f>IF(OR($G322="",$G322=0),"",SIN((1-$H322)*$G322)/SIN($G322))</f>
        <v/>
      </c>
      <c r="J322">
        <f>IF($I322="","",SIN($H322*$G322)/SIN($G322))</f>
        <v/>
      </c>
      <c r="K322">
        <f>IF($I322="","",$I322*COS(RADIANS($C322))*COS(RADIANS($D322))+$J322*COS(RADIANS($E322))*COS(RADIANS($F322)))</f>
        <v/>
      </c>
      <c r="L322">
        <f>IF($I322="","",$I322*COS(RADIANS($C322))*SIN(RADIANS($D322))+$J322*COS(RADIANS($E322))*SIN(RADIANS($F322)))</f>
        <v/>
      </c>
      <c r="M322">
        <f>IF($I322="","",$I322*SIN(RADIANS($C322))+$J322*SIN(RADIANS($E322)))</f>
        <v/>
      </c>
      <c r="N322">
        <f>IF($M322="","",DEGREES(ATAN2(SQRT($K322^2+$L322^2),$M322)))</f>
        <v/>
      </c>
      <c r="O322">
        <f>IF($M322="","",DEGREES(ATAN2($K322,$L322)))</f>
        <v/>
      </c>
      <c r="P322">
        <f t="array" ref="P322">IF($N322="","",IFERROR(IF(INDEX(geo_grid!$B$2:$JU$231,INT(($N322+40)/0.5)+1,INT(($O322+30)/0.5)+1)="","",INDEX(geo_grid!$B$2:$JU$231,INT(($N322+40)/0.5)+1,INT(($O322+30)/0.5)+1)),"OUTSIDE GRID"))</f>
        <v/>
      </c>
      <c r="Q322">
        <f>IF($P322="","",$A322*1000+$B322)</f>
        <v/>
      </c>
    </row>
    <row r="323">
      <c r="A323">
        <f>INT((ROW()-2)/151)+1</f>
        <v/>
      </c>
      <c r="B323">
        <f>MOD(ROW()-2,151)</f>
        <v/>
      </c>
      <c r="C323">
        <f t="array" ref="C323">IFERROR(INDEX('TRIP MANAGER'!$O$18:$O$25,$A323),"")</f>
        <v/>
      </c>
      <c r="D323">
        <f t="array" ref="D323">IFERROR(INDEX('TRIP MANAGER'!$P$18:$P$25,$A323),"")</f>
        <v/>
      </c>
      <c r="E323">
        <f t="array" ref="E323">IFERROR(INDEX('TRIP MANAGER'!$Q$18:$Q$25,$A323),"")</f>
        <v/>
      </c>
      <c r="F323">
        <f t="array" ref="F323">IFERROR(INDEX('TRIP MANAGER'!$R$18:$R$25,$A323),"")</f>
        <v/>
      </c>
      <c r="G323">
        <f t="array" ref="G323">IFERROR(INDEX('TRIP MANAGER'!$S$18:$S$25,$A323),"")</f>
        <v/>
      </c>
      <c r="H323">
        <f>$B323/150</f>
        <v/>
      </c>
      <c r="I323">
        <f>IF(OR($G323="",$G323=0),"",SIN((1-$H323)*$G323)/SIN($G323))</f>
        <v/>
      </c>
      <c r="J323">
        <f>IF($I323="","",SIN($H323*$G323)/SIN($G323))</f>
        <v/>
      </c>
      <c r="K323">
        <f>IF($I323="","",$I323*COS(RADIANS($C323))*COS(RADIANS($D323))+$J323*COS(RADIANS($E323))*COS(RADIANS($F323)))</f>
        <v/>
      </c>
      <c r="L323">
        <f>IF($I323="","",$I323*COS(RADIANS($C323))*SIN(RADIANS($D323))+$J323*COS(RADIANS($E323))*SIN(RADIANS($F323)))</f>
        <v/>
      </c>
      <c r="M323">
        <f>IF($I323="","",$I323*SIN(RADIANS($C323))+$J323*SIN(RADIANS($E323)))</f>
        <v/>
      </c>
      <c r="N323">
        <f>IF($M323="","",DEGREES(ATAN2(SQRT($K323^2+$L323^2),$M323)))</f>
        <v/>
      </c>
      <c r="O323">
        <f>IF($M323="","",DEGREES(ATAN2($K323,$L323)))</f>
        <v/>
      </c>
      <c r="P323">
        <f t="array" ref="P323">IF($N323="","",IFERROR(IF(INDEX(geo_grid!$B$2:$JU$231,INT(($N323+40)/0.5)+1,INT(($O323+30)/0.5)+1)="","",INDEX(geo_grid!$B$2:$JU$231,INT(($N323+40)/0.5)+1,INT(($O323+30)/0.5)+1)),"OUTSIDE GRID"))</f>
        <v/>
      </c>
      <c r="Q323">
        <f>IF($P323="","",$A323*1000+$B323)</f>
        <v/>
      </c>
    </row>
    <row r="324">
      <c r="A324">
        <f>INT((ROW()-2)/151)+1</f>
        <v/>
      </c>
      <c r="B324">
        <f>MOD(ROW()-2,151)</f>
        <v/>
      </c>
      <c r="C324">
        <f t="array" ref="C324">IFERROR(INDEX('TRIP MANAGER'!$O$18:$O$25,$A324),"")</f>
        <v/>
      </c>
      <c r="D324">
        <f t="array" ref="D324">IFERROR(INDEX('TRIP MANAGER'!$P$18:$P$25,$A324),"")</f>
        <v/>
      </c>
      <c r="E324">
        <f t="array" ref="E324">IFERROR(INDEX('TRIP MANAGER'!$Q$18:$Q$25,$A324),"")</f>
        <v/>
      </c>
      <c r="F324">
        <f t="array" ref="F324">IFERROR(INDEX('TRIP MANAGER'!$R$18:$R$25,$A324),"")</f>
        <v/>
      </c>
      <c r="G324">
        <f t="array" ref="G324">IFERROR(INDEX('TRIP MANAGER'!$S$18:$S$25,$A324),"")</f>
        <v/>
      </c>
      <c r="H324">
        <f>$B324/150</f>
        <v/>
      </c>
      <c r="I324">
        <f>IF(OR($G324="",$G324=0),"",SIN((1-$H324)*$G324)/SIN($G324))</f>
        <v/>
      </c>
      <c r="J324">
        <f>IF($I324="","",SIN($H324*$G324)/SIN($G324))</f>
        <v/>
      </c>
      <c r="K324">
        <f>IF($I324="","",$I324*COS(RADIANS($C324))*COS(RADIANS($D324))+$J324*COS(RADIANS($E324))*COS(RADIANS($F324)))</f>
        <v/>
      </c>
      <c r="L324">
        <f>IF($I324="","",$I324*COS(RADIANS($C324))*SIN(RADIANS($D324))+$J324*COS(RADIANS($E324))*SIN(RADIANS($F324)))</f>
        <v/>
      </c>
      <c r="M324">
        <f>IF($I324="","",$I324*SIN(RADIANS($C324))+$J324*SIN(RADIANS($E324)))</f>
        <v/>
      </c>
      <c r="N324">
        <f>IF($M324="","",DEGREES(ATAN2(SQRT($K324^2+$L324^2),$M324)))</f>
        <v/>
      </c>
      <c r="O324">
        <f>IF($M324="","",DEGREES(ATAN2($K324,$L324)))</f>
        <v/>
      </c>
      <c r="P324">
        <f t="array" ref="P324">IF($N324="","",IFERROR(IF(INDEX(geo_grid!$B$2:$JU$231,INT(($N324+40)/0.5)+1,INT(($O324+30)/0.5)+1)="","",INDEX(geo_grid!$B$2:$JU$231,INT(($N324+40)/0.5)+1,INT(($O324+30)/0.5)+1)),"OUTSIDE GRID"))</f>
        <v/>
      </c>
      <c r="Q324">
        <f>IF($P324="","",$A324*1000+$B324)</f>
        <v/>
      </c>
    </row>
    <row r="325">
      <c r="A325">
        <f>INT((ROW()-2)/151)+1</f>
        <v/>
      </c>
      <c r="B325">
        <f>MOD(ROW()-2,151)</f>
        <v/>
      </c>
      <c r="C325">
        <f t="array" ref="C325">IFERROR(INDEX('TRIP MANAGER'!$O$18:$O$25,$A325),"")</f>
        <v/>
      </c>
      <c r="D325">
        <f t="array" ref="D325">IFERROR(INDEX('TRIP MANAGER'!$P$18:$P$25,$A325),"")</f>
        <v/>
      </c>
      <c r="E325">
        <f t="array" ref="E325">IFERROR(INDEX('TRIP MANAGER'!$Q$18:$Q$25,$A325),"")</f>
        <v/>
      </c>
      <c r="F325">
        <f t="array" ref="F325">IFERROR(INDEX('TRIP MANAGER'!$R$18:$R$25,$A325),"")</f>
        <v/>
      </c>
      <c r="G325">
        <f t="array" ref="G325">IFERROR(INDEX('TRIP MANAGER'!$S$18:$S$25,$A325),"")</f>
        <v/>
      </c>
      <c r="H325">
        <f>$B325/150</f>
        <v/>
      </c>
      <c r="I325">
        <f>IF(OR($G325="",$G325=0),"",SIN((1-$H325)*$G325)/SIN($G325))</f>
        <v/>
      </c>
      <c r="J325">
        <f>IF($I325="","",SIN($H325*$G325)/SIN($G325))</f>
        <v/>
      </c>
      <c r="K325">
        <f>IF($I325="","",$I325*COS(RADIANS($C325))*COS(RADIANS($D325))+$J325*COS(RADIANS($E325))*COS(RADIANS($F325)))</f>
        <v/>
      </c>
      <c r="L325">
        <f>IF($I325="","",$I325*COS(RADIANS($C325))*SIN(RADIANS($D325))+$J325*COS(RADIANS($E325))*SIN(RADIANS($F325)))</f>
        <v/>
      </c>
      <c r="M325">
        <f>IF($I325="","",$I325*SIN(RADIANS($C325))+$J325*SIN(RADIANS($E325)))</f>
        <v/>
      </c>
      <c r="N325">
        <f>IF($M325="","",DEGREES(ATAN2(SQRT($K325^2+$L325^2),$M325)))</f>
        <v/>
      </c>
      <c r="O325">
        <f>IF($M325="","",DEGREES(ATAN2($K325,$L325)))</f>
        <v/>
      </c>
      <c r="P325">
        <f t="array" ref="P325">IF($N325="","",IFERROR(IF(INDEX(geo_grid!$B$2:$JU$231,INT(($N325+40)/0.5)+1,INT(($O325+30)/0.5)+1)="","",INDEX(geo_grid!$B$2:$JU$231,INT(($N325+40)/0.5)+1,INT(($O325+30)/0.5)+1)),"OUTSIDE GRID"))</f>
        <v/>
      </c>
      <c r="Q325">
        <f>IF($P325="","",$A325*1000+$B325)</f>
        <v/>
      </c>
    </row>
    <row r="326">
      <c r="A326">
        <f>INT((ROW()-2)/151)+1</f>
        <v/>
      </c>
      <c r="B326">
        <f>MOD(ROW()-2,151)</f>
        <v/>
      </c>
      <c r="C326">
        <f t="array" ref="C326">IFERROR(INDEX('TRIP MANAGER'!$O$18:$O$25,$A326),"")</f>
        <v/>
      </c>
      <c r="D326">
        <f t="array" ref="D326">IFERROR(INDEX('TRIP MANAGER'!$P$18:$P$25,$A326),"")</f>
        <v/>
      </c>
      <c r="E326">
        <f t="array" ref="E326">IFERROR(INDEX('TRIP MANAGER'!$Q$18:$Q$25,$A326),"")</f>
        <v/>
      </c>
      <c r="F326">
        <f t="array" ref="F326">IFERROR(INDEX('TRIP MANAGER'!$R$18:$R$25,$A326),"")</f>
        <v/>
      </c>
      <c r="G326">
        <f t="array" ref="G326">IFERROR(INDEX('TRIP MANAGER'!$S$18:$S$25,$A326),"")</f>
        <v/>
      </c>
      <c r="H326">
        <f>$B326/150</f>
        <v/>
      </c>
      <c r="I326">
        <f>IF(OR($G326="",$G326=0),"",SIN((1-$H326)*$G326)/SIN($G326))</f>
        <v/>
      </c>
      <c r="J326">
        <f>IF($I326="","",SIN($H326*$G326)/SIN($G326))</f>
        <v/>
      </c>
      <c r="K326">
        <f>IF($I326="","",$I326*COS(RADIANS($C326))*COS(RADIANS($D326))+$J326*COS(RADIANS($E326))*COS(RADIANS($F326)))</f>
        <v/>
      </c>
      <c r="L326">
        <f>IF($I326="","",$I326*COS(RADIANS($C326))*SIN(RADIANS($D326))+$J326*COS(RADIANS($E326))*SIN(RADIANS($F326)))</f>
        <v/>
      </c>
      <c r="M326">
        <f>IF($I326="","",$I326*SIN(RADIANS($C326))+$J326*SIN(RADIANS($E326)))</f>
        <v/>
      </c>
      <c r="N326">
        <f>IF($M326="","",DEGREES(ATAN2(SQRT($K326^2+$L326^2),$M326)))</f>
        <v/>
      </c>
      <c r="O326">
        <f>IF($M326="","",DEGREES(ATAN2($K326,$L326)))</f>
        <v/>
      </c>
      <c r="P326">
        <f t="array" ref="P326">IF($N326="","",IFERROR(IF(INDEX(geo_grid!$B$2:$JU$231,INT(($N326+40)/0.5)+1,INT(($O326+30)/0.5)+1)="","",INDEX(geo_grid!$B$2:$JU$231,INT(($N326+40)/0.5)+1,INT(($O326+30)/0.5)+1)),"OUTSIDE GRID"))</f>
        <v/>
      </c>
      <c r="Q326">
        <f>IF($P326="","",$A326*1000+$B326)</f>
        <v/>
      </c>
    </row>
    <row r="327">
      <c r="A327">
        <f>INT((ROW()-2)/151)+1</f>
        <v/>
      </c>
      <c r="B327">
        <f>MOD(ROW()-2,151)</f>
        <v/>
      </c>
      <c r="C327">
        <f t="array" ref="C327">IFERROR(INDEX('TRIP MANAGER'!$O$18:$O$25,$A327),"")</f>
        <v/>
      </c>
      <c r="D327">
        <f t="array" ref="D327">IFERROR(INDEX('TRIP MANAGER'!$P$18:$P$25,$A327),"")</f>
        <v/>
      </c>
      <c r="E327">
        <f t="array" ref="E327">IFERROR(INDEX('TRIP MANAGER'!$Q$18:$Q$25,$A327),"")</f>
        <v/>
      </c>
      <c r="F327">
        <f t="array" ref="F327">IFERROR(INDEX('TRIP MANAGER'!$R$18:$R$25,$A327),"")</f>
        <v/>
      </c>
      <c r="G327">
        <f t="array" ref="G327">IFERROR(INDEX('TRIP MANAGER'!$S$18:$S$25,$A327),"")</f>
        <v/>
      </c>
      <c r="H327">
        <f>$B327/150</f>
        <v/>
      </c>
      <c r="I327">
        <f>IF(OR($G327="",$G327=0),"",SIN((1-$H327)*$G327)/SIN($G327))</f>
        <v/>
      </c>
      <c r="J327">
        <f>IF($I327="","",SIN($H327*$G327)/SIN($G327))</f>
        <v/>
      </c>
      <c r="K327">
        <f>IF($I327="","",$I327*COS(RADIANS($C327))*COS(RADIANS($D327))+$J327*COS(RADIANS($E327))*COS(RADIANS($F327)))</f>
        <v/>
      </c>
      <c r="L327">
        <f>IF($I327="","",$I327*COS(RADIANS($C327))*SIN(RADIANS($D327))+$J327*COS(RADIANS($E327))*SIN(RADIANS($F327)))</f>
        <v/>
      </c>
      <c r="M327">
        <f>IF($I327="","",$I327*SIN(RADIANS($C327))+$J327*SIN(RADIANS($E327)))</f>
        <v/>
      </c>
      <c r="N327">
        <f>IF($M327="","",DEGREES(ATAN2(SQRT($K327^2+$L327^2),$M327)))</f>
        <v/>
      </c>
      <c r="O327">
        <f>IF($M327="","",DEGREES(ATAN2($K327,$L327)))</f>
        <v/>
      </c>
      <c r="P327">
        <f t="array" ref="P327">IF($N327="","",IFERROR(IF(INDEX(geo_grid!$B$2:$JU$231,INT(($N327+40)/0.5)+1,INT(($O327+30)/0.5)+1)="","",INDEX(geo_grid!$B$2:$JU$231,INT(($N327+40)/0.5)+1,INT(($O327+30)/0.5)+1)),"OUTSIDE GRID"))</f>
        <v/>
      </c>
      <c r="Q327">
        <f>IF($P327="","",$A327*1000+$B327)</f>
        <v/>
      </c>
    </row>
    <row r="328">
      <c r="A328">
        <f>INT((ROW()-2)/151)+1</f>
        <v/>
      </c>
      <c r="B328">
        <f>MOD(ROW()-2,151)</f>
        <v/>
      </c>
      <c r="C328">
        <f t="array" ref="C328">IFERROR(INDEX('TRIP MANAGER'!$O$18:$O$25,$A328),"")</f>
        <v/>
      </c>
      <c r="D328">
        <f t="array" ref="D328">IFERROR(INDEX('TRIP MANAGER'!$P$18:$P$25,$A328),"")</f>
        <v/>
      </c>
      <c r="E328">
        <f t="array" ref="E328">IFERROR(INDEX('TRIP MANAGER'!$Q$18:$Q$25,$A328),"")</f>
        <v/>
      </c>
      <c r="F328">
        <f t="array" ref="F328">IFERROR(INDEX('TRIP MANAGER'!$R$18:$R$25,$A328),"")</f>
        <v/>
      </c>
      <c r="G328">
        <f t="array" ref="G328">IFERROR(INDEX('TRIP MANAGER'!$S$18:$S$25,$A328),"")</f>
        <v/>
      </c>
      <c r="H328">
        <f>$B328/150</f>
        <v/>
      </c>
      <c r="I328">
        <f>IF(OR($G328="",$G328=0),"",SIN((1-$H328)*$G328)/SIN($G328))</f>
        <v/>
      </c>
      <c r="J328">
        <f>IF($I328="","",SIN($H328*$G328)/SIN($G328))</f>
        <v/>
      </c>
      <c r="K328">
        <f>IF($I328="","",$I328*COS(RADIANS($C328))*COS(RADIANS($D328))+$J328*COS(RADIANS($E328))*COS(RADIANS($F328)))</f>
        <v/>
      </c>
      <c r="L328">
        <f>IF($I328="","",$I328*COS(RADIANS($C328))*SIN(RADIANS($D328))+$J328*COS(RADIANS($E328))*SIN(RADIANS($F328)))</f>
        <v/>
      </c>
      <c r="M328">
        <f>IF($I328="","",$I328*SIN(RADIANS($C328))+$J328*SIN(RADIANS($E328)))</f>
        <v/>
      </c>
      <c r="N328">
        <f>IF($M328="","",DEGREES(ATAN2(SQRT($K328^2+$L328^2),$M328)))</f>
        <v/>
      </c>
      <c r="O328">
        <f>IF($M328="","",DEGREES(ATAN2($K328,$L328)))</f>
        <v/>
      </c>
      <c r="P328">
        <f t="array" ref="P328">IF($N328="","",IFERROR(IF(INDEX(geo_grid!$B$2:$JU$231,INT(($N328+40)/0.5)+1,INT(($O328+30)/0.5)+1)="","",INDEX(geo_grid!$B$2:$JU$231,INT(($N328+40)/0.5)+1,INT(($O328+30)/0.5)+1)),"OUTSIDE GRID"))</f>
        <v/>
      </c>
      <c r="Q328">
        <f>IF($P328="","",$A328*1000+$B328)</f>
        <v/>
      </c>
    </row>
    <row r="329">
      <c r="A329">
        <f>INT((ROW()-2)/151)+1</f>
        <v/>
      </c>
      <c r="B329">
        <f>MOD(ROW()-2,151)</f>
        <v/>
      </c>
      <c r="C329">
        <f t="array" ref="C329">IFERROR(INDEX('TRIP MANAGER'!$O$18:$O$25,$A329),"")</f>
        <v/>
      </c>
      <c r="D329">
        <f t="array" ref="D329">IFERROR(INDEX('TRIP MANAGER'!$P$18:$P$25,$A329),"")</f>
        <v/>
      </c>
      <c r="E329">
        <f t="array" ref="E329">IFERROR(INDEX('TRIP MANAGER'!$Q$18:$Q$25,$A329),"")</f>
        <v/>
      </c>
      <c r="F329">
        <f t="array" ref="F329">IFERROR(INDEX('TRIP MANAGER'!$R$18:$R$25,$A329),"")</f>
        <v/>
      </c>
      <c r="G329">
        <f t="array" ref="G329">IFERROR(INDEX('TRIP MANAGER'!$S$18:$S$25,$A329),"")</f>
        <v/>
      </c>
      <c r="H329">
        <f>$B329/150</f>
        <v/>
      </c>
      <c r="I329">
        <f>IF(OR($G329="",$G329=0),"",SIN((1-$H329)*$G329)/SIN($G329))</f>
        <v/>
      </c>
      <c r="J329">
        <f>IF($I329="","",SIN($H329*$G329)/SIN($G329))</f>
        <v/>
      </c>
      <c r="K329">
        <f>IF($I329="","",$I329*COS(RADIANS($C329))*COS(RADIANS($D329))+$J329*COS(RADIANS($E329))*COS(RADIANS($F329)))</f>
        <v/>
      </c>
      <c r="L329">
        <f>IF($I329="","",$I329*COS(RADIANS($C329))*SIN(RADIANS($D329))+$J329*COS(RADIANS($E329))*SIN(RADIANS($F329)))</f>
        <v/>
      </c>
      <c r="M329">
        <f>IF($I329="","",$I329*SIN(RADIANS($C329))+$J329*SIN(RADIANS($E329)))</f>
        <v/>
      </c>
      <c r="N329">
        <f>IF($M329="","",DEGREES(ATAN2(SQRT($K329^2+$L329^2),$M329)))</f>
        <v/>
      </c>
      <c r="O329">
        <f>IF($M329="","",DEGREES(ATAN2($K329,$L329)))</f>
        <v/>
      </c>
      <c r="P329">
        <f t="array" ref="P329">IF($N329="","",IFERROR(IF(INDEX(geo_grid!$B$2:$JU$231,INT(($N329+40)/0.5)+1,INT(($O329+30)/0.5)+1)="","",INDEX(geo_grid!$B$2:$JU$231,INT(($N329+40)/0.5)+1,INT(($O329+30)/0.5)+1)),"OUTSIDE GRID"))</f>
        <v/>
      </c>
      <c r="Q329">
        <f>IF($P329="","",$A329*1000+$B329)</f>
        <v/>
      </c>
    </row>
    <row r="330">
      <c r="A330">
        <f>INT((ROW()-2)/151)+1</f>
        <v/>
      </c>
      <c r="B330">
        <f>MOD(ROW()-2,151)</f>
        <v/>
      </c>
      <c r="C330">
        <f t="array" ref="C330">IFERROR(INDEX('TRIP MANAGER'!$O$18:$O$25,$A330),"")</f>
        <v/>
      </c>
      <c r="D330">
        <f t="array" ref="D330">IFERROR(INDEX('TRIP MANAGER'!$P$18:$P$25,$A330),"")</f>
        <v/>
      </c>
      <c r="E330">
        <f t="array" ref="E330">IFERROR(INDEX('TRIP MANAGER'!$Q$18:$Q$25,$A330),"")</f>
        <v/>
      </c>
      <c r="F330">
        <f t="array" ref="F330">IFERROR(INDEX('TRIP MANAGER'!$R$18:$R$25,$A330),"")</f>
        <v/>
      </c>
      <c r="G330">
        <f t="array" ref="G330">IFERROR(INDEX('TRIP MANAGER'!$S$18:$S$25,$A330),"")</f>
        <v/>
      </c>
      <c r="H330">
        <f>$B330/150</f>
        <v/>
      </c>
      <c r="I330">
        <f>IF(OR($G330="",$G330=0),"",SIN((1-$H330)*$G330)/SIN($G330))</f>
        <v/>
      </c>
      <c r="J330">
        <f>IF($I330="","",SIN($H330*$G330)/SIN($G330))</f>
        <v/>
      </c>
      <c r="K330">
        <f>IF($I330="","",$I330*COS(RADIANS($C330))*COS(RADIANS($D330))+$J330*COS(RADIANS($E330))*COS(RADIANS($F330)))</f>
        <v/>
      </c>
      <c r="L330">
        <f>IF($I330="","",$I330*COS(RADIANS($C330))*SIN(RADIANS($D330))+$J330*COS(RADIANS($E330))*SIN(RADIANS($F330)))</f>
        <v/>
      </c>
      <c r="M330">
        <f>IF($I330="","",$I330*SIN(RADIANS($C330))+$J330*SIN(RADIANS($E330)))</f>
        <v/>
      </c>
      <c r="N330">
        <f>IF($M330="","",DEGREES(ATAN2(SQRT($K330^2+$L330^2),$M330)))</f>
        <v/>
      </c>
      <c r="O330">
        <f>IF($M330="","",DEGREES(ATAN2($K330,$L330)))</f>
        <v/>
      </c>
      <c r="P330">
        <f t="array" ref="P330">IF($N330="","",IFERROR(IF(INDEX(geo_grid!$B$2:$JU$231,INT(($N330+40)/0.5)+1,INT(($O330+30)/0.5)+1)="","",INDEX(geo_grid!$B$2:$JU$231,INT(($N330+40)/0.5)+1,INT(($O330+30)/0.5)+1)),"OUTSIDE GRID"))</f>
        <v/>
      </c>
      <c r="Q330">
        <f>IF($P330="","",$A330*1000+$B330)</f>
        <v/>
      </c>
    </row>
    <row r="331">
      <c r="A331">
        <f>INT((ROW()-2)/151)+1</f>
        <v/>
      </c>
      <c r="B331">
        <f>MOD(ROW()-2,151)</f>
        <v/>
      </c>
      <c r="C331">
        <f t="array" ref="C331">IFERROR(INDEX('TRIP MANAGER'!$O$18:$O$25,$A331),"")</f>
        <v/>
      </c>
      <c r="D331">
        <f t="array" ref="D331">IFERROR(INDEX('TRIP MANAGER'!$P$18:$P$25,$A331),"")</f>
        <v/>
      </c>
      <c r="E331">
        <f t="array" ref="E331">IFERROR(INDEX('TRIP MANAGER'!$Q$18:$Q$25,$A331),"")</f>
        <v/>
      </c>
      <c r="F331">
        <f t="array" ref="F331">IFERROR(INDEX('TRIP MANAGER'!$R$18:$R$25,$A331),"")</f>
        <v/>
      </c>
      <c r="G331">
        <f t="array" ref="G331">IFERROR(INDEX('TRIP MANAGER'!$S$18:$S$25,$A331),"")</f>
        <v/>
      </c>
      <c r="H331">
        <f>$B331/150</f>
        <v/>
      </c>
      <c r="I331">
        <f>IF(OR($G331="",$G331=0),"",SIN((1-$H331)*$G331)/SIN($G331))</f>
        <v/>
      </c>
      <c r="J331">
        <f>IF($I331="","",SIN($H331*$G331)/SIN($G331))</f>
        <v/>
      </c>
      <c r="K331">
        <f>IF($I331="","",$I331*COS(RADIANS($C331))*COS(RADIANS($D331))+$J331*COS(RADIANS($E331))*COS(RADIANS($F331)))</f>
        <v/>
      </c>
      <c r="L331">
        <f>IF($I331="","",$I331*COS(RADIANS($C331))*SIN(RADIANS($D331))+$J331*COS(RADIANS($E331))*SIN(RADIANS($F331)))</f>
        <v/>
      </c>
      <c r="M331">
        <f>IF($I331="","",$I331*SIN(RADIANS($C331))+$J331*SIN(RADIANS($E331)))</f>
        <v/>
      </c>
      <c r="N331">
        <f>IF($M331="","",DEGREES(ATAN2(SQRT($K331^2+$L331^2),$M331)))</f>
        <v/>
      </c>
      <c r="O331">
        <f>IF($M331="","",DEGREES(ATAN2($K331,$L331)))</f>
        <v/>
      </c>
      <c r="P331">
        <f t="array" ref="P331">IF($N331="","",IFERROR(IF(INDEX(geo_grid!$B$2:$JU$231,INT(($N331+40)/0.5)+1,INT(($O331+30)/0.5)+1)="","",INDEX(geo_grid!$B$2:$JU$231,INT(($N331+40)/0.5)+1,INT(($O331+30)/0.5)+1)),"OUTSIDE GRID"))</f>
        <v/>
      </c>
      <c r="Q331">
        <f>IF($P331="","",$A331*1000+$B331)</f>
        <v/>
      </c>
    </row>
    <row r="332">
      <c r="A332">
        <f>INT((ROW()-2)/151)+1</f>
        <v/>
      </c>
      <c r="B332">
        <f>MOD(ROW()-2,151)</f>
        <v/>
      </c>
      <c r="C332">
        <f t="array" ref="C332">IFERROR(INDEX('TRIP MANAGER'!$O$18:$O$25,$A332),"")</f>
        <v/>
      </c>
      <c r="D332">
        <f t="array" ref="D332">IFERROR(INDEX('TRIP MANAGER'!$P$18:$P$25,$A332),"")</f>
        <v/>
      </c>
      <c r="E332">
        <f t="array" ref="E332">IFERROR(INDEX('TRIP MANAGER'!$Q$18:$Q$25,$A332),"")</f>
        <v/>
      </c>
      <c r="F332">
        <f t="array" ref="F332">IFERROR(INDEX('TRIP MANAGER'!$R$18:$R$25,$A332),"")</f>
        <v/>
      </c>
      <c r="G332">
        <f t="array" ref="G332">IFERROR(INDEX('TRIP MANAGER'!$S$18:$S$25,$A332),"")</f>
        <v/>
      </c>
      <c r="H332">
        <f>$B332/150</f>
        <v/>
      </c>
      <c r="I332">
        <f>IF(OR($G332="",$G332=0),"",SIN((1-$H332)*$G332)/SIN($G332))</f>
        <v/>
      </c>
      <c r="J332">
        <f>IF($I332="","",SIN($H332*$G332)/SIN($G332))</f>
        <v/>
      </c>
      <c r="K332">
        <f>IF($I332="","",$I332*COS(RADIANS($C332))*COS(RADIANS($D332))+$J332*COS(RADIANS($E332))*COS(RADIANS($F332)))</f>
        <v/>
      </c>
      <c r="L332">
        <f>IF($I332="","",$I332*COS(RADIANS($C332))*SIN(RADIANS($D332))+$J332*COS(RADIANS($E332))*SIN(RADIANS($F332)))</f>
        <v/>
      </c>
      <c r="M332">
        <f>IF($I332="","",$I332*SIN(RADIANS($C332))+$J332*SIN(RADIANS($E332)))</f>
        <v/>
      </c>
      <c r="N332">
        <f>IF($M332="","",DEGREES(ATAN2(SQRT($K332^2+$L332^2),$M332)))</f>
        <v/>
      </c>
      <c r="O332">
        <f>IF($M332="","",DEGREES(ATAN2($K332,$L332)))</f>
        <v/>
      </c>
      <c r="P332">
        <f t="array" ref="P332">IF($N332="","",IFERROR(IF(INDEX(geo_grid!$B$2:$JU$231,INT(($N332+40)/0.5)+1,INT(($O332+30)/0.5)+1)="","",INDEX(geo_grid!$B$2:$JU$231,INT(($N332+40)/0.5)+1,INT(($O332+30)/0.5)+1)),"OUTSIDE GRID"))</f>
        <v/>
      </c>
      <c r="Q332">
        <f>IF($P332="","",$A332*1000+$B332)</f>
        <v/>
      </c>
    </row>
    <row r="333">
      <c r="A333">
        <f>INT((ROW()-2)/151)+1</f>
        <v/>
      </c>
      <c r="B333">
        <f>MOD(ROW()-2,151)</f>
        <v/>
      </c>
      <c r="C333">
        <f t="array" ref="C333">IFERROR(INDEX('TRIP MANAGER'!$O$18:$O$25,$A333),"")</f>
        <v/>
      </c>
      <c r="D333">
        <f t="array" ref="D333">IFERROR(INDEX('TRIP MANAGER'!$P$18:$P$25,$A333),"")</f>
        <v/>
      </c>
      <c r="E333">
        <f t="array" ref="E333">IFERROR(INDEX('TRIP MANAGER'!$Q$18:$Q$25,$A333),"")</f>
        <v/>
      </c>
      <c r="F333">
        <f t="array" ref="F333">IFERROR(INDEX('TRIP MANAGER'!$R$18:$R$25,$A333),"")</f>
        <v/>
      </c>
      <c r="G333">
        <f t="array" ref="G333">IFERROR(INDEX('TRIP MANAGER'!$S$18:$S$25,$A333),"")</f>
        <v/>
      </c>
      <c r="H333">
        <f>$B333/150</f>
        <v/>
      </c>
      <c r="I333">
        <f>IF(OR($G333="",$G333=0),"",SIN((1-$H333)*$G333)/SIN($G333))</f>
        <v/>
      </c>
      <c r="J333">
        <f>IF($I333="","",SIN($H333*$G333)/SIN($G333))</f>
        <v/>
      </c>
      <c r="K333">
        <f>IF($I333="","",$I333*COS(RADIANS($C333))*COS(RADIANS($D333))+$J333*COS(RADIANS($E333))*COS(RADIANS($F333)))</f>
        <v/>
      </c>
      <c r="L333">
        <f>IF($I333="","",$I333*COS(RADIANS($C333))*SIN(RADIANS($D333))+$J333*COS(RADIANS($E333))*SIN(RADIANS($F333)))</f>
        <v/>
      </c>
      <c r="M333">
        <f>IF($I333="","",$I333*SIN(RADIANS($C333))+$J333*SIN(RADIANS($E333)))</f>
        <v/>
      </c>
      <c r="N333">
        <f>IF($M333="","",DEGREES(ATAN2(SQRT($K333^2+$L333^2),$M333)))</f>
        <v/>
      </c>
      <c r="O333">
        <f>IF($M333="","",DEGREES(ATAN2($K333,$L333)))</f>
        <v/>
      </c>
      <c r="P333">
        <f t="array" ref="P333">IF($N333="","",IFERROR(IF(INDEX(geo_grid!$B$2:$JU$231,INT(($N333+40)/0.5)+1,INT(($O333+30)/0.5)+1)="","",INDEX(geo_grid!$B$2:$JU$231,INT(($N333+40)/0.5)+1,INT(($O333+30)/0.5)+1)),"OUTSIDE GRID"))</f>
        <v/>
      </c>
      <c r="Q333">
        <f>IF($P333="","",$A333*1000+$B333)</f>
        <v/>
      </c>
    </row>
    <row r="334">
      <c r="A334">
        <f>INT((ROW()-2)/151)+1</f>
        <v/>
      </c>
      <c r="B334">
        <f>MOD(ROW()-2,151)</f>
        <v/>
      </c>
      <c r="C334">
        <f t="array" ref="C334">IFERROR(INDEX('TRIP MANAGER'!$O$18:$O$25,$A334),"")</f>
        <v/>
      </c>
      <c r="D334">
        <f t="array" ref="D334">IFERROR(INDEX('TRIP MANAGER'!$P$18:$P$25,$A334),"")</f>
        <v/>
      </c>
      <c r="E334">
        <f t="array" ref="E334">IFERROR(INDEX('TRIP MANAGER'!$Q$18:$Q$25,$A334),"")</f>
        <v/>
      </c>
      <c r="F334">
        <f t="array" ref="F334">IFERROR(INDEX('TRIP MANAGER'!$R$18:$R$25,$A334),"")</f>
        <v/>
      </c>
      <c r="G334">
        <f t="array" ref="G334">IFERROR(INDEX('TRIP MANAGER'!$S$18:$S$25,$A334),"")</f>
        <v/>
      </c>
      <c r="H334">
        <f>$B334/150</f>
        <v/>
      </c>
      <c r="I334">
        <f>IF(OR($G334="",$G334=0),"",SIN((1-$H334)*$G334)/SIN($G334))</f>
        <v/>
      </c>
      <c r="J334">
        <f>IF($I334="","",SIN($H334*$G334)/SIN($G334))</f>
        <v/>
      </c>
      <c r="K334">
        <f>IF($I334="","",$I334*COS(RADIANS($C334))*COS(RADIANS($D334))+$J334*COS(RADIANS($E334))*COS(RADIANS($F334)))</f>
        <v/>
      </c>
      <c r="L334">
        <f>IF($I334="","",$I334*COS(RADIANS($C334))*SIN(RADIANS($D334))+$J334*COS(RADIANS($E334))*SIN(RADIANS($F334)))</f>
        <v/>
      </c>
      <c r="M334">
        <f>IF($I334="","",$I334*SIN(RADIANS($C334))+$J334*SIN(RADIANS($E334)))</f>
        <v/>
      </c>
      <c r="N334">
        <f>IF($M334="","",DEGREES(ATAN2(SQRT($K334^2+$L334^2),$M334)))</f>
        <v/>
      </c>
      <c r="O334">
        <f>IF($M334="","",DEGREES(ATAN2($K334,$L334)))</f>
        <v/>
      </c>
      <c r="P334">
        <f t="array" ref="P334">IF($N334="","",IFERROR(IF(INDEX(geo_grid!$B$2:$JU$231,INT(($N334+40)/0.5)+1,INT(($O334+30)/0.5)+1)="","",INDEX(geo_grid!$B$2:$JU$231,INT(($N334+40)/0.5)+1,INT(($O334+30)/0.5)+1)),"OUTSIDE GRID"))</f>
        <v/>
      </c>
      <c r="Q334">
        <f>IF($P334="","",$A334*1000+$B334)</f>
        <v/>
      </c>
    </row>
    <row r="335">
      <c r="A335">
        <f>INT((ROW()-2)/151)+1</f>
        <v/>
      </c>
      <c r="B335">
        <f>MOD(ROW()-2,151)</f>
        <v/>
      </c>
      <c r="C335">
        <f t="array" ref="C335">IFERROR(INDEX('TRIP MANAGER'!$O$18:$O$25,$A335),"")</f>
        <v/>
      </c>
      <c r="D335">
        <f t="array" ref="D335">IFERROR(INDEX('TRIP MANAGER'!$P$18:$P$25,$A335),"")</f>
        <v/>
      </c>
      <c r="E335">
        <f t="array" ref="E335">IFERROR(INDEX('TRIP MANAGER'!$Q$18:$Q$25,$A335),"")</f>
        <v/>
      </c>
      <c r="F335">
        <f t="array" ref="F335">IFERROR(INDEX('TRIP MANAGER'!$R$18:$R$25,$A335),"")</f>
        <v/>
      </c>
      <c r="G335">
        <f t="array" ref="G335">IFERROR(INDEX('TRIP MANAGER'!$S$18:$S$25,$A335),"")</f>
        <v/>
      </c>
      <c r="H335">
        <f>$B335/150</f>
        <v/>
      </c>
      <c r="I335">
        <f>IF(OR($G335="",$G335=0),"",SIN((1-$H335)*$G335)/SIN($G335))</f>
        <v/>
      </c>
      <c r="J335">
        <f>IF($I335="","",SIN($H335*$G335)/SIN($G335))</f>
        <v/>
      </c>
      <c r="K335">
        <f>IF($I335="","",$I335*COS(RADIANS($C335))*COS(RADIANS($D335))+$J335*COS(RADIANS($E335))*COS(RADIANS($F335)))</f>
        <v/>
      </c>
      <c r="L335">
        <f>IF($I335="","",$I335*COS(RADIANS($C335))*SIN(RADIANS($D335))+$J335*COS(RADIANS($E335))*SIN(RADIANS($F335)))</f>
        <v/>
      </c>
      <c r="M335">
        <f>IF($I335="","",$I335*SIN(RADIANS($C335))+$J335*SIN(RADIANS($E335)))</f>
        <v/>
      </c>
      <c r="N335">
        <f>IF($M335="","",DEGREES(ATAN2(SQRT($K335^2+$L335^2),$M335)))</f>
        <v/>
      </c>
      <c r="O335">
        <f>IF($M335="","",DEGREES(ATAN2($K335,$L335)))</f>
        <v/>
      </c>
      <c r="P335">
        <f t="array" ref="P335">IF($N335="","",IFERROR(IF(INDEX(geo_grid!$B$2:$JU$231,INT(($N335+40)/0.5)+1,INT(($O335+30)/0.5)+1)="","",INDEX(geo_grid!$B$2:$JU$231,INT(($N335+40)/0.5)+1,INT(($O335+30)/0.5)+1)),"OUTSIDE GRID"))</f>
        <v/>
      </c>
      <c r="Q335">
        <f>IF($P335="","",$A335*1000+$B335)</f>
        <v/>
      </c>
    </row>
    <row r="336">
      <c r="A336">
        <f>INT((ROW()-2)/151)+1</f>
        <v/>
      </c>
      <c r="B336">
        <f>MOD(ROW()-2,151)</f>
        <v/>
      </c>
      <c r="C336">
        <f t="array" ref="C336">IFERROR(INDEX('TRIP MANAGER'!$O$18:$O$25,$A336),"")</f>
        <v/>
      </c>
      <c r="D336">
        <f t="array" ref="D336">IFERROR(INDEX('TRIP MANAGER'!$P$18:$P$25,$A336),"")</f>
        <v/>
      </c>
      <c r="E336">
        <f t="array" ref="E336">IFERROR(INDEX('TRIP MANAGER'!$Q$18:$Q$25,$A336),"")</f>
        <v/>
      </c>
      <c r="F336">
        <f t="array" ref="F336">IFERROR(INDEX('TRIP MANAGER'!$R$18:$R$25,$A336),"")</f>
        <v/>
      </c>
      <c r="G336">
        <f t="array" ref="G336">IFERROR(INDEX('TRIP MANAGER'!$S$18:$S$25,$A336),"")</f>
        <v/>
      </c>
      <c r="H336">
        <f>$B336/150</f>
        <v/>
      </c>
      <c r="I336">
        <f>IF(OR($G336="",$G336=0),"",SIN((1-$H336)*$G336)/SIN($G336))</f>
        <v/>
      </c>
      <c r="J336">
        <f>IF($I336="","",SIN($H336*$G336)/SIN($G336))</f>
        <v/>
      </c>
      <c r="K336">
        <f>IF($I336="","",$I336*COS(RADIANS($C336))*COS(RADIANS($D336))+$J336*COS(RADIANS($E336))*COS(RADIANS($F336)))</f>
        <v/>
      </c>
      <c r="L336">
        <f>IF($I336="","",$I336*COS(RADIANS($C336))*SIN(RADIANS($D336))+$J336*COS(RADIANS($E336))*SIN(RADIANS($F336)))</f>
        <v/>
      </c>
      <c r="M336">
        <f>IF($I336="","",$I336*SIN(RADIANS($C336))+$J336*SIN(RADIANS($E336)))</f>
        <v/>
      </c>
      <c r="N336">
        <f>IF($M336="","",DEGREES(ATAN2(SQRT($K336^2+$L336^2),$M336)))</f>
        <v/>
      </c>
      <c r="O336">
        <f>IF($M336="","",DEGREES(ATAN2($K336,$L336)))</f>
        <v/>
      </c>
      <c r="P336">
        <f t="array" ref="P336">IF($N336="","",IFERROR(IF(INDEX(geo_grid!$B$2:$JU$231,INT(($N336+40)/0.5)+1,INT(($O336+30)/0.5)+1)="","",INDEX(geo_grid!$B$2:$JU$231,INT(($N336+40)/0.5)+1,INT(($O336+30)/0.5)+1)),"OUTSIDE GRID"))</f>
        <v/>
      </c>
      <c r="Q336">
        <f>IF($P336="","",$A336*1000+$B336)</f>
        <v/>
      </c>
    </row>
    <row r="337">
      <c r="A337">
        <f>INT((ROW()-2)/151)+1</f>
        <v/>
      </c>
      <c r="B337">
        <f>MOD(ROW()-2,151)</f>
        <v/>
      </c>
      <c r="C337">
        <f t="array" ref="C337">IFERROR(INDEX('TRIP MANAGER'!$O$18:$O$25,$A337),"")</f>
        <v/>
      </c>
      <c r="D337">
        <f t="array" ref="D337">IFERROR(INDEX('TRIP MANAGER'!$P$18:$P$25,$A337),"")</f>
        <v/>
      </c>
      <c r="E337">
        <f t="array" ref="E337">IFERROR(INDEX('TRIP MANAGER'!$Q$18:$Q$25,$A337),"")</f>
        <v/>
      </c>
      <c r="F337">
        <f t="array" ref="F337">IFERROR(INDEX('TRIP MANAGER'!$R$18:$R$25,$A337),"")</f>
        <v/>
      </c>
      <c r="G337">
        <f t="array" ref="G337">IFERROR(INDEX('TRIP MANAGER'!$S$18:$S$25,$A337),"")</f>
        <v/>
      </c>
      <c r="H337">
        <f>$B337/150</f>
        <v/>
      </c>
      <c r="I337">
        <f>IF(OR($G337="",$G337=0),"",SIN((1-$H337)*$G337)/SIN($G337))</f>
        <v/>
      </c>
      <c r="J337">
        <f>IF($I337="","",SIN($H337*$G337)/SIN($G337))</f>
        <v/>
      </c>
      <c r="K337">
        <f>IF($I337="","",$I337*COS(RADIANS($C337))*COS(RADIANS($D337))+$J337*COS(RADIANS($E337))*COS(RADIANS($F337)))</f>
        <v/>
      </c>
      <c r="L337">
        <f>IF($I337="","",$I337*COS(RADIANS($C337))*SIN(RADIANS($D337))+$J337*COS(RADIANS($E337))*SIN(RADIANS($F337)))</f>
        <v/>
      </c>
      <c r="M337">
        <f>IF($I337="","",$I337*SIN(RADIANS($C337))+$J337*SIN(RADIANS($E337)))</f>
        <v/>
      </c>
      <c r="N337">
        <f>IF($M337="","",DEGREES(ATAN2(SQRT($K337^2+$L337^2),$M337)))</f>
        <v/>
      </c>
      <c r="O337">
        <f>IF($M337="","",DEGREES(ATAN2($K337,$L337)))</f>
        <v/>
      </c>
      <c r="P337">
        <f t="array" ref="P337">IF($N337="","",IFERROR(IF(INDEX(geo_grid!$B$2:$JU$231,INT(($N337+40)/0.5)+1,INT(($O337+30)/0.5)+1)="","",INDEX(geo_grid!$B$2:$JU$231,INT(($N337+40)/0.5)+1,INT(($O337+30)/0.5)+1)),"OUTSIDE GRID"))</f>
        <v/>
      </c>
      <c r="Q337">
        <f>IF($P337="","",$A337*1000+$B337)</f>
        <v/>
      </c>
    </row>
    <row r="338">
      <c r="A338">
        <f>INT((ROW()-2)/151)+1</f>
        <v/>
      </c>
      <c r="B338">
        <f>MOD(ROW()-2,151)</f>
        <v/>
      </c>
      <c r="C338">
        <f t="array" ref="C338">IFERROR(INDEX('TRIP MANAGER'!$O$18:$O$25,$A338),"")</f>
        <v/>
      </c>
      <c r="D338">
        <f t="array" ref="D338">IFERROR(INDEX('TRIP MANAGER'!$P$18:$P$25,$A338),"")</f>
        <v/>
      </c>
      <c r="E338">
        <f t="array" ref="E338">IFERROR(INDEX('TRIP MANAGER'!$Q$18:$Q$25,$A338),"")</f>
        <v/>
      </c>
      <c r="F338">
        <f t="array" ref="F338">IFERROR(INDEX('TRIP MANAGER'!$R$18:$R$25,$A338),"")</f>
        <v/>
      </c>
      <c r="G338">
        <f t="array" ref="G338">IFERROR(INDEX('TRIP MANAGER'!$S$18:$S$25,$A338),"")</f>
        <v/>
      </c>
      <c r="H338">
        <f>$B338/150</f>
        <v/>
      </c>
      <c r="I338">
        <f>IF(OR($G338="",$G338=0),"",SIN((1-$H338)*$G338)/SIN($G338))</f>
        <v/>
      </c>
      <c r="J338">
        <f>IF($I338="","",SIN($H338*$G338)/SIN($G338))</f>
        <v/>
      </c>
      <c r="K338">
        <f>IF($I338="","",$I338*COS(RADIANS($C338))*COS(RADIANS($D338))+$J338*COS(RADIANS($E338))*COS(RADIANS($F338)))</f>
        <v/>
      </c>
      <c r="L338">
        <f>IF($I338="","",$I338*COS(RADIANS($C338))*SIN(RADIANS($D338))+$J338*COS(RADIANS($E338))*SIN(RADIANS($F338)))</f>
        <v/>
      </c>
      <c r="M338">
        <f>IF($I338="","",$I338*SIN(RADIANS($C338))+$J338*SIN(RADIANS($E338)))</f>
        <v/>
      </c>
      <c r="N338">
        <f>IF($M338="","",DEGREES(ATAN2(SQRT($K338^2+$L338^2),$M338)))</f>
        <v/>
      </c>
      <c r="O338">
        <f>IF($M338="","",DEGREES(ATAN2($K338,$L338)))</f>
        <v/>
      </c>
      <c r="P338">
        <f t="array" ref="P338">IF($N338="","",IFERROR(IF(INDEX(geo_grid!$B$2:$JU$231,INT(($N338+40)/0.5)+1,INT(($O338+30)/0.5)+1)="","",INDEX(geo_grid!$B$2:$JU$231,INT(($N338+40)/0.5)+1,INT(($O338+30)/0.5)+1)),"OUTSIDE GRID"))</f>
        <v/>
      </c>
      <c r="Q338">
        <f>IF($P338="","",$A338*1000+$B338)</f>
        <v/>
      </c>
    </row>
    <row r="339">
      <c r="A339">
        <f>INT((ROW()-2)/151)+1</f>
        <v/>
      </c>
      <c r="B339">
        <f>MOD(ROW()-2,151)</f>
        <v/>
      </c>
      <c r="C339">
        <f t="array" ref="C339">IFERROR(INDEX('TRIP MANAGER'!$O$18:$O$25,$A339),"")</f>
        <v/>
      </c>
      <c r="D339">
        <f t="array" ref="D339">IFERROR(INDEX('TRIP MANAGER'!$P$18:$P$25,$A339),"")</f>
        <v/>
      </c>
      <c r="E339">
        <f t="array" ref="E339">IFERROR(INDEX('TRIP MANAGER'!$Q$18:$Q$25,$A339),"")</f>
        <v/>
      </c>
      <c r="F339">
        <f t="array" ref="F339">IFERROR(INDEX('TRIP MANAGER'!$R$18:$R$25,$A339),"")</f>
        <v/>
      </c>
      <c r="G339">
        <f t="array" ref="G339">IFERROR(INDEX('TRIP MANAGER'!$S$18:$S$25,$A339),"")</f>
        <v/>
      </c>
      <c r="H339">
        <f>$B339/150</f>
        <v/>
      </c>
      <c r="I339">
        <f>IF(OR($G339="",$G339=0),"",SIN((1-$H339)*$G339)/SIN($G339))</f>
        <v/>
      </c>
      <c r="J339">
        <f>IF($I339="","",SIN($H339*$G339)/SIN($G339))</f>
        <v/>
      </c>
      <c r="K339">
        <f>IF($I339="","",$I339*COS(RADIANS($C339))*COS(RADIANS($D339))+$J339*COS(RADIANS($E339))*COS(RADIANS($F339)))</f>
        <v/>
      </c>
      <c r="L339">
        <f>IF($I339="","",$I339*COS(RADIANS($C339))*SIN(RADIANS($D339))+$J339*COS(RADIANS($E339))*SIN(RADIANS($F339)))</f>
        <v/>
      </c>
      <c r="M339">
        <f>IF($I339="","",$I339*SIN(RADIANS($C339))+$J339*SIN(RADIANS($E339)))</f>
        <v/>
      </c>
      <c r="N339">
        <f>IF($M339="","",DEGREES(ATAN2(SQRT($K339^2+$L339^2),$M339)))</f>
        <v/>
      </c>
      <c r="O339">
        <f>IF($M339="","",DEGREES(ATAN2($K339,$L339)))</f>
        <v/>
      </c>
      <c r="P339">
        <f t="array" ref="P339">IF($N339="","",IFERROR(IF(INDEX(geo_grid!$B$2:$JU$231,INT(($N339+40)/0.5)+1,INT(($O339+30)/0.5)+1)="","",INDEX(geo_grid!$B$2:$JU$231,INT(($N339+40)/0.5)+1,INT(($O339+30)/0.5)+1)),"OUTSIDE GRID"))</f>
        <v/>
      </c>
      <c r="Q339">
        <f>IF($P339="","",$A339*1000+$B339)</f>
        <v/>
      </c>
    </row>
    <row r="340">
      <c r="A340">
        <f>INT((ROW()-2)/151)+1</f>
        <v/>
      </c>
      <c r="B340">
        <f>MOD(ROW()-2,151)</f>
        <v/>
      </c>
      <c r="C340">
        <f t="array" ref="C340">IFERROR(INDEX('TRIP MANAGER'!$O$18:$O$25,$A340),"")</f>
        <v/>
      </c>
      <c r="D340">
        <f t="array" ref="D340">IFERROR(INDEX('TRIP MANAGER'!$P$18:$P$25,$A340),"")</f>
        <v/>
      </c>
      <c r="E340">
        <f t="array" ref="E340">IFERROR(INDEX('TRIP MANAGER'!$Q$18:$Q$25,$A340),"")</f>
        <v/>
      </c>
      <c r="F340">
        <f t="array" ref="F340">IFERROR(INDEX('TRIP MANAGER'!$R$18:$R$25,$A340),"")</f>
        <v/>
      </c>
      <c r="G340">
        <f t="array" ref="G340">IFERROR(INDEX('TRIP MANAGER'!$S$18:$S$25,$A340),"")</f>
        <v/>
      </c>
      <c r="H340">
        <f>$B340/150</f>
        <v/>
      </c>
      <c r="I340">
        <f>IF(OR($G340="",$G340=0),"",SIN((1-$H340)*$G340)/SIN($G340))</f>
        <v/>
      </c>
      <c r="J340">
        <f>IF($I340="","",SIN($H340*$G340)/SIN($G340))</f>
        <v/>
      </c>
      <c r="K340">
        <f>IF($I340="","",$I340*COS(RADIANS($C340))*COS(RADIANS($D340))+$J340*COS(RADIANS($E340))*COS(RADIANS($F340)))</f>
        <v/>
      </c>
      <c r="L340">
        <f>IF($I340="","",$I340*COS(RADIANS($C340))*SIN(RADIANS($D340))+$J340*COS(RADIANS($E340))*SIN(RADIANS($F340)))</f>
        <v/>
      </c>
      <c r="M340">
        <f>IF($I340="","",$I340*SIN(RADIANS($C340))+$J340*SIN(RADIANS($E340)))</f>
        <v/>
      </c>
      <c r="N340">
        <f>IF($M340="","",DEGREES(ATAN2(SQRT($K340^2+$L340^2),$M340)))</f>
        <v/>
      </c>
      <c r="O340">
        <f>IF($M340="","",DEGREES(ATAN2($K340,$L340)))</f>
        <v/>
      </c>
      <c r="P340">
        <f t="array" ref="P340">IF($N340="","",IFERROR(IF(INDEX(geo_grid!$B$2:$JU$231,INT(($N340+40)/0.5)+1,INT(($O340+30)/0.5)+1)="","",INDEX(geo_grid!$B$2:$JU$231,INT(($N340+40)/0.5)+1,INT(($O340+30)/0.5)+1)),"OUTSIDE GRID"))</f>
        <v/>
      </c>
      <c r="Q340">
        <f>IF($P340="","",$A340*1000+$B340)</f>
        <v/>
      </c>
    </row>
    <row r="341">
      <c r="A341">
        <f>INT((ROW()-2)/151)+1</f>
        <v/>
      </c>
      <c r="B341">
        <f>MOD(ROW()-2,151)</f>
        <v/>
      </c>
      <c r="C341">
        <f t="array" ref="C341">IFERROR(INDEX('TRIP MANAGER'!$O$18:$O$25,$A341),"")</f>
        <v/>
      </c>
      <c r="D341">
        <f t="array" ref="D341">IFERROR(INDEX('TRIP MANAGER'!$P$18:$P$25,$A341),"")</f>
        <v/>
      </c>
      <c r="E341">
        <f t="array" ref="E341">IFERROR(INDEX('TRIP MANAGER'!$Q$18:$Q$25,$A341),"")</f>
        <v/>
      </c>
      <c r="F341">
        <f t="array" ref="F341">IFERROR(INDEX('TRIP MANAGER'!$R$18:$R$25,$A341),"")</f>
        <v/>
      </c>
      <c r="G341">
        <f t="array" ref="G341">IFERROR(INDEX('TRIP MANAGER'!$S$18:$S$25,$A341),"")</f>
        <v/>
      </c>
      <c r="H341">
        <f>$B341/150</f>
        <v/>
      </c>
      <c r="I341">
        <f>IF(OR($G341="",$G341=0),"",SIN((1-$H341)*$G341)/SIN($G341))</f>
        <v/>
      </c>
      <c r="J341">
        <f>IF($I341="","",SIN($H341*$G341)/SIN($G341))</f>
        <v/>
      </c>
      <c r="K341">
        <f>IF($I341="","",$I341*COS(RADIANS($C341))*COS(RADIANS($D341))+$J341*COS(RADIANS($E341))*COS(RADIANS($F341)))</f>
        <v/>
      </c>
      <c r="L341">
        <f>IF($I341="","",$I341*COS(RADIANS($C341))*SIN(RADIANS($D341))+$J341*COS(RADIANS($E341))*SIN(RADIANS($F341)))</f>
        <v/>
      </c>
      <c r="M341">
        <f>IF($I341="","",$I341*SIN(RADIANS($C341))+$J341*SIN(RADIANS($E341)))</f>
        <v/>
      </c>
      <c r="N341">
        <f>IF($M341="","",DEGREES(ATAN2(SQRT($K341^2+$L341^2),$M341)))</f>
        <v/>
      </c>
      <c r="O341">
        <f>IF($M341="","",DEGREES(ATAN2($K341,$L341)))</f>
        <v/>
      </c>
      <c r="P341">
        <f t="array" ref="P341">IF($N341="","",IFERROR(IF(INDEX(geo_grid!$B$2:$JU$231,INT(($N341+40)/0.5)+1,INT(($O341+30)/0.5)+1)="","",INDEX(geo_grid!$B$2:$JU$231,INT(($N341+40)/0.5)+1,INT(($O341+30)/0.5)+1)),"OUTSIDE GRID"))</f>
        <v/>
      </c>
      <c r="Q341">
        <f>IF($P341="","",$A341*1000+$B341)</f>
        <v/>
      </c>
    </row>
    <row r="342">
      <c r="A342">
        <f>INT((ROW()-2)/151)+1</f>
        <v/>
      </c>
      <c r="B342">
        <f>MOD(ROW()-2,151)</f>
        <v/>
      </c>
      <c r="C342">
        <f t="array" ref="C342">IFERROR(INDEX('TRIP MANAGER'!$O$18:$O$25,$A342),"")</f>
        <v/>
      </c>
      <c r="D342">
        <f t="array" ref="D342">IFERROR(INDEX('TRIP MANAGER'!$P$18:$P$25,$A342),"")</f>
        <v/>
      </c>
      <c r="E342">
        <f t="array" ref="E342">IFERROR(INDEX('TRIP MANAGER'!$Q$18:$Q$25,$A342),"")</f>
        <v/>
      </c>
      <c r="F342">
        <f t="array" ref="F342">IFERROR(INDEX('TRIP MANAGER'!$R$18:$R$25,$A342),"")</f>
        <v/>
      </c>
      <c r="G342">
        <f t="array" ref="G342">IFERROR(INDEX('TRIP MANAGER'!$S$18:$S$25,$A342),"")</f>
        <v/>
      </c>
      <c r="H342">
        <f>$B342/150</f>
        <v/>
      </c>
      <c r="I342">
        <f>IF(OR($G342="",$G342=0),"",SIN((1-$H342)*$G342)/SIN($G342))</f>
        <v/>
      </c>
      <c r="J342">
        <f>IF($I342="","",SIN($H342*$G342)/SIN($G342))</f>
        <v/>
      </c>
      <c r="K342">
        <f>IF($I342="","",$I342*COS(RADIANS($C342))*COS(RADIANS($D342))+$J342*COS(RADIANS($E342))*COS(RADIANS($F342)))</f>
        <v/>
      </c>
      <c r="L342">
        <f>IF($I342="","",$I342*COS(RADIANS($C342))*SIN(RADIANS($D342))+$J342*COS(RADIANS($E342))*SIN(RADIANS($F342)))</f>
        <v/>
      </c>
      <c r="M342">
        <f>IF($I342="","",$I342*SIN(RADIANS($C342))+$J342*SIN(RADIANS($E342)))</f>
        <v/>
      </c>
      <c r="N342">
        <f>IF($M342="","",DEGREES(ATAN2(SQRT($K342^2+$L342^2),$M342)))</f>
        <v/>
      </c>
      <c r="O342">
        <f>IF($M342="","",DEGREES(ATAN2($K342,$L342)))</f>
        <v/>
      </c>
      <c r="P342">
        <f t="array" ref="P342">IF($N342="","",IFERROR(IF(INDEX(geo_grid!$B$2:$JU$231,INT(($N342+40)/0.5)+1,INT(($O342+30)/0.5)+1)="","",INDEX(geo_grid!$B$2:$JU$231,INT(($N342+40)/0.5)+1,INT(($O342+30)/0.5)+1)),"OUTSIDE GRID"))</f>
        <v/>
      </c>
      <c r="Q342">
        <f>IF($P342="","",$A342*1000+$B342)</f>
        <v/>
      </c>
    </row>
    <row r="343">
      <c r="A343">
        <f>INT((ROW()-2)/151)+1</f>
        <v/>
      </c>
      <c r="B343">
        <f>MOD(ROW()-2,151)</f>
        <v/>
      </c>
      <c r="C343">
        <f t="array" ref="C343">IFERROR(INDEX('TRIP MANAGER'!$O$18:$O$25,$A343),"")</f>
        <v/>
      </c>
      <c r="D343">
        <f t="array" ref="D343">IFERROR(INDEX('TRIP MANAGER'!$P$18:$P$25,$A343),"")</f>
        <v/>
      </c>
      <c r="E343">
        <f t="array" ref="E343">IFERROR(INDEX('TRIP MANAGER'!$Q$18:$Q$25,$A343),"")</f>
        <v/>
      </c>
      <c r="F343">
        <f t="array" ref="F343">IFERROR(INDEX('TRIP MANAGER'!$R$18:$R$25,$A343),"")</f>
        <v/>
      </c>
      <c r="G343">
        <f t="array" ref="G343">IFERROR(INDEX('TRIP MANAGER'!$S$18:$S$25,$A343),"")</f>
        <v/>
      </c>
      <c r="H343">
        <f>$B343/150</f>
        <v/>
      </c>
      <c r="I343">
        <f>IF(OR($G343="",$G343=0),"",SIN((1-$H343)*$G343)/SIN($G343))</f>
        <v/>
      </c>
      <c r="J343">
        <f>IF($I343="","",SIN($H343*$G343)/SIN($G343))</f>
        <v/>
      </c>
      <c r="K343">
        <f>IF($I343="","",$I343*COS(RADIANS($C343))*COS(RADIANS($D343))+$J343*COS(RADIANS($E343))*COS(RADIANS($F343)))</f>
        <v/>
      </c>
      <c r="L343">
        <f>IF($I343="","",$I343*COS(RADIANS($C343))*SIN(RADIANS($D343))+$J343*COS(RADIANS($E343))*SIN(RADIANS($F343)))</f>
        <v/>
      </c>
      <c r="M343">
        <f>IF($I343="","",$I343*SIN(RADIANS($C343))+$J343*SIN(RADIANS($E343)))</f>
        <v/>
      </c>
      <c r="N343">
        <f>IF($M343="","",DEGREES(ATAN2(SQRT($K343^2+$L343^2),$M343)))</f>
        <v/>
      </c>
      <c r="O343">
        <f>IF($M343="","",DEGREES(ATAN2($K343,$L343)))</f>
        <v/>
      </c>
      <c r="P343">
        <f t="array" ref="P343">IF($N343="","",IFERROR(IF(INDEX(geo_grid!$B$2:$JU$231,INT(($N343+40)/0.5)+1,INT(($O343+30)/0.5)+1)="","",INDEX(geo_grid!$B$2:$JU$231,INT(($N343+40)/0.5)+1,INT(($O343+30)/0.5)+1)),"OUTSIDE GRID"))</f>
        <v/>
      </c>
      <c r="Q343">
        <f>IF($P343="","",$A343*1000+$B343)</f>
        <v/>
      </c>
    </row>
    <row r="344">
      <c r="A344">
        <f>INT((ROW()-2)/151)+1</f>
        <v/>
      </c>
      <c r="B344">
        <f>MOD(ROW()-2,151)</f>
        <v/>
      </c>
      <c r="C344">
        <f t="array" ref="C344">IFERROR(INDEX('TRIP MANAGER'!$O$18:$O$25,$A344),"")</f>
        <v/>
      </c>
      <c r="D344">
        <f t="array" ref="D344">IFERROR(INDEX('TRIP MANAGER'!$P$18:$P$25,$A344),"")</f>
        <v/>
      </c>
      <c r="E344">
        <f t="array" ref="E344">IFERROR(INDEX('TRIP MANAGER'!$Q$18:$Q$25,$A344),"")</f>
        <v/>
      </c>
      <c r="F344">
        <f t="array" ref="F344">IFERROR(INDEX('TRIP MANAGER'!$R$18:$R$25,$A344),"")</f>
        <v/>
      </c>
      <c r="G344">
        <f t="array" ref="G344">IFERROR(INDEX('TRIP MANAGER'!$S$18:$S$25,$A344),"")</f>
        <v/>
      </c>
      <c r="H344">
        <f>$B344/150</f>
        <v/>
      </c>
      <c r="I344">
        <f>IF(OR($G344="",$G344=0),"",SIN((1-$H344)*$G344)/SIN($G344))</f>
        <v/>
      </c>
      <c r="J344">
        <f>IF($I344="","",SIN($H344*$G344)/SIN($G344))</f>
        <v/>
      </c>
      <c r="K344">
        <f>IF($I344="","",$I344*COS(RADIANS($C344))*COS(RADIANS($D344))+$J344*COS(RADIANS($E344))*COS(RADIANS($F344)))</f>
        <v/>
      </c>
      <c r="L344">
        <f>IF($I344="","",$I344*COS(RADIANS($C344))*SIN(RADIANS($D344))+$J344*COS(RADIANS($E344))*SIN(RADIANS($F344)))</f>
        <v/>
      </c>
      <c r="M344">
        <f>IF($I344="","",$I344*SIN(RADIANS($C344))+$J344*SIN(RADIANS($E344)))</f>
        <v/>
      </c>
      <c r="N344">
        <f>IF($M344="","",DEGREES(ATAN2(SQRT($K344^2+$L344^2),$M344)))</f>
        <v/>
      </c>
      <c r="O344">
        <f>IF($M344="","",DEGREES(ATAN2($K344,$L344)))</f>
        <v/>
      </c>
      <c r="P344">
        <f t="array" ref="P344">IF($N344="","",IFERROR(IF(INDEX(geo_grid!$B$2:$JU$231,INT(($N344+40)/0.5)+1,INT(($O344+30)/0.5)+1)="","",INDEX(geo_grid!$B$2:$JU$231,INT(($N344+40)/0.5)+1,INT(($O344+30)/0.5)+1)),"OUTSIDE GRID"))</f>
        <v/>
      </c>
      <c r="Q344">
        <f>IF($P344="","",$A344*1000+$B344)</f>
        <v/>
      </c>
    </row>
    <row r="345">
      <c r="A345">
        <f>INT((ROW()-2)/151)+1</f>
        <v/>
      </c>
      <c r="B345">
        <f>MOD(ROW()-2,151)</f>
        <v/>
      </c>
      <c r="C345">
        <f t="array" ref="C345">IFERROR(INDEX('TRIP MANAGER'!$O$18:$O$25,$A345),"")</f>
        <v/>
      </c>
      <c r="D345">
        <f t="array" ref="D345">IFERROR(INDEX('TRIP MANAGER'!$P$18:$P$25,$A345),"")</f>
        <v/>
      </c>
      <c r="E345">
        <f t="array" ref="E345">IFERROR(INDEX('TRIP MANAGER'!$Q$18:$Q$25,$A345),"")</f>
        <v/>
      </c>
      <c r="F345">
        <f t="array" ref="F345">IFERROR(INDEX('TRIP MANAGER'!$R$18:$R$25,$A345),"")</f>
        <v/>
      </c>
      <c r="G345">
        <f t="array" ref="G345">IFERROR(INDEX('TRIP MANAGER'!$S$18:$S$25,$A345),"")</f>
        <v/>
      </c>
      <c r="H345">
        <f>$B345/150</f>
        <v/>
      </c>
      <c r="I345">
        <f>IF(OR($G345="",$G345=0),"",SIN((1-$H345)*$G345)/SIN($G345))</f>
        <v/>
      </c>
      <c r="J345">
        <f>IF($I345="","",SIN($H345*$G345)/SIN($G345))</f>
        <v/>
      </c>
      <c r="K345">
        <f>IF($I345="","",$I345*COS(RADIANS($C345))*COS(RADIANS($D345))+$J345*COS(RADIANS($E345))*COS(RADIANS($F345)))</f>
        <v/>
      </c>
      <c r="L345">
        <f>IF($I345="","",$I345*COS(RADIANS($C345))*SIN(RADIANS($D345))+$J345*COS(RADIANS($E345))*SIN(RADIANS($F345)))</f>
        <v/>
      </c>
      <c r="M345">
        <f>IF($I345="","",$I345*SIN(RADIANS($C345))+$J345*SIN(RADIANS($E345)))</f>
        <v/>
      </c>
      <c r="N345">
        <f>IF($M345="","",DEGREES(ATAN2(SQRT($K345^2+$L345^2),$M345)))</f>
        <v/>
      </c>
      <c r="O345">
        <f>IF($M345="","",DEGREES(ATAN2($K345,$L345)))</f>
        <v/>
      </c>
      <c r="P345">
        <f t="array" ref="P345">IF($N345="","",IFERROR(IF(INDEX(geo_grid!$B$2:$JU$231,INT(($N345+40)/0.5)+1,INT(($O345+30)/0.5)+1)="","",INDEX(geo_grid!$B$2:$JU$231,INT(($N345+40)/0.5)+1,INT(($O345+30)/0.5)+1)),"OUTSIDE GRID"))</f>
        <v/>
      </c>
      <c r="Q345">
        <f>IF($P345="","",$A345*1000+$B345)</f>
        <v/>
      </c>
    </row>
    <row r="346">
      <c r="A346">
        <f>INT((ROW()-2)/151)+1</f>
        <v/>
      </c>
      <c r="B346">
        <f>MOD(ROW()-2,151)</f>
        <v/>
      </c>
      <c r="C346">
        <f t="array" ref="C346">IFERROR(INDEX('TRIP MANAGER'!$O$18:$O$25,$A346),"")</f>
        <v/>
      </c>
      <c r="D346">
        <f t="array" ref="D346">IFERROR(INDEX('TRIP MANAGER'!$P$18:$P$25,$A346),"")</f>
        <v/>
      </c>
      <c r="E346">
        <f t="array" ref="E346">IFERROR(INDEX('TRIP MANAGER'!$Q$18:$Q$25,$A346),"")</f>
        <v/>
      </c>
      <c r="F346">
        <f t="array" ref="F346">IFERROR(INDEX('TRIP MANAGER'!$R$18:$R$25,$A346),"")</f>
        <v/>
      </c>
      <c r="G346">
        <f t="array" ref="G346">IFERROR(INDEX('TRIP MANAGER'!$S$18:$S$25,$A346),"")</f>
        <v/>
      </c>
      <c r="H346">
        <f>$B346/150</f>
        <v/>
      </c>
      <c r="I346">
        <f>IF(OR($G346="",$G346=0),"",SIN((1-$H346)*$G346)/SIN($G346))</f>
        <v/>
      </c>
      <c r="J346">
        <f>IF($I346="","",SIN($H346*$G346)/SIN($G346))</f>
        <v/>
      </c>
      <c r="K346">
        <f>IF($I346="","",$I346*COS(RADIANS($C346))*COS(RADIANS($D346))+$J346*COS(RADIANS($E346))*COS(RADIANS($F346)))</f>
        <v/>
      </c>
      <c r="L346">
        <f>IF($I346="","",$I346*COS(RADIANS($C346))*SIN(RADIANS($D346))+$J346*COS(RADIANS($E346))*SIN(RADIANS($F346)))</f>
        <v/>
      </c>
      <c r="M346">
        <f>IF($I346="","",$I346*SIN(RADIANS($C346))+$J346*SIN(RADIANS($E346)))</f>
        <v/>
      </c>
      <c r="N346">
        <f>IF($M346="","",DEGREES(ATAN2(SQRT($K346^2+$L346^2),$M346)))</f>
        <v/>
      </c>
      <c r="O346">
        <f>IF($M346="","",DEGREES(ATAN2($K346,$L346)))</f>
        <v/>
      </c>
      <c r="P346">
        <f t="array" ref="P346">IF($N346="","",IFERROR(IF(INDEX(geo_grid!$B$2:$JU$231,INT(($N346+40)/0.5)+1,INT(($O346+30)/0.5)+1)="","",INDEX(geo_grid!$B$2:$JU$231,INT(($N346+40)/0.5)+1,INT(($O346+30)/0.5)+1)),"OUTSIDE GRID"))</f>
        <v/>
      </c>
      <c r="Q346">
        <f>IF($P346="","",$A346*1000+$B346)</f>
        <v/>
      </c>
    </row>
    <row r="347">
      <c r="A347">
        <f>INT((ROW()-2)/151)+1</f>
        <v/>
      </c>
      <c r="B347">
        <f>MOD(ROW()-2,151)</f>
        <v/>
      </c>
      <c r="C347">
        <f t="array" ref="C347">IFERROR(INDEX('TRIP MANAGER'!$O$18:$O$25,$A347),"")</f>
        <v/>
      </c>
      <c r="D347">
        <f t="array" ref="D347">IFERROR(INDEX('TRIP MANAGER'!$P$18:$P$25,$A347),"")</f>
        <v/>
      </c>
      <c r="E347">
        <f t="array" ref="E347">IFERROR(INDEX('TRIP MANAGER'!$Q$18:$Q$25,$A347),"")</f>
        <v/>
      </c>
      <c r="F347">
        <f t="array" ref="F347">IFERROR(INDEX('TRIP MANAGER'!$R$18:$R$25,$A347),"")</f>
        <v/>
      </c>
      <c r="G347">
        <f t="array" ref="G347">IFERROR(INDEX('TRIP MANAGER'!$S$18:$S$25,$A347),"")</f>
        <v/>
      </c>
      <c r="H347">
        <f>$B347/150</f>
        <v/>
      </c>
      <c r="I347">
        <f>IF(OR($G347="",$G347=0),"",SIN((1-$H347)*$G347)/SIN($G347))</f>
        <v/>
      </c>
      <c r="J347">
        <f>IF($I347="","",SIN($H347*$G347)/SIN($G347))</f>
        <v/>
      </c>
      <c r="K347">
        <f>IF($I347="","",$I347*COS(RADIANS($C347))*COS(RADIANS($D347))+$J347*COS(RADIANS($E347))*COS(RADIANS($F347)))</f>
        <v/>
      </c>
      <c r="L347">
        <f>IF($I347="","",$I347*COS(RADIANS($C347))*SIN(RADIANS($D347))+$J347*COS(RADIANS($E347))*SIN(RADIANS($F347)))</f>
        <v/>
      </c>
      <c r="M347">
        <f>IF($I347="","",$I347*SIN(RADIANS($C347))+$J347*SIN(RADIANS($E347)))</f>
        <v/>
      </c>
      <c r="N347">
        <f>IF($M347="","",DEGREES(ATAN2(SQRT($K347^2+$L347^2),$M347)))</f>
        <v/>
      </c>
      <c r="O347">
        <f>IF($M347="","",DEGREES(ATAN2($K347,$L347)))</f>
        <v/>
      </c>
      <c r="P347">
        <f t="array" ref="P347">IF($N347="","",IFERROR(IF(INDEX(geo_grid!$B$2:$JU$231,INT(($N347+40)/0.5)+1,INT(($O347+30)/0.5)+1)="","",INDEX(geo_grid!$B$2:$JU$231,INT(($N347+40)/0.5)+1,INT(($O347+30)/0.5)+1)),"OUTSIDE GRID"))</f>
        <v/>
      </c>
      <c r="Q347">
        <f>IF($P347="","",$A347*1000+$B347)</f>
        <v/>
      </c>
    </row>
    <row r="348">
      <c r="A348">
        <f>INT((ROW()-2)/151)+1</f>
        <v/>
      </c>
      <c r="B348">
        <f>MOD(ROW()-2,151)</f>
        <v/>
      </c>
      <c r="C348">
        <f t="array" ref="C348">IFERROR(INDEX('TRIP MANAGER'!$O$18:$O$25,$A348),"")</f>
        <v/>
      </c>
      <c r="D348">
        <f t="array" ref="D348">IFERROR(INDEX('TRIP MANAGER'!$P$18:$P$25,$A348),"")</f>
        <v/>
      </c>
      <c r="E348">
        <f t="array" ref="E348">IFERROR(INDEX('TRIP MANAGER'!$Q$18:$Q$25,$A348),"")</f>
        <v/>
      </c>
      <c r="F348">
        <f t="array" ref="F348">IFERROR(INDEX('TRIP MANAGER'!$R$18:$R$25,$A348),"")</f>
        <v/>
      </c>
      <c r="G348">
        <f t="array" ref="G348">IFERROR(INDEX('TRIP MANAGER'!$S$18:$S$25,$A348),"")</f>
        <v/>
      </c>
      <c r="H348">
        <f>$B348/150</f>
        <v/>
      </c>
      <c r="I348">
        <f>IF(OR($G348="",$G348=0),"",SIN((1-$H348)*$G348)/SIN($G348))</f>
        <v/>
      </c>
      <c r="J348">
        <f>IF($I348="","",SIN($H348*$G348)/SIN($G348))</f>
        <v/>
      </c>
      <c r="K348">
        <f>IF($I348="","",$I348*COS(RADIANS($C348))*COS(RADIANS($D348))+$J348*COS(RADIANS($E348))*COS(RADIANS($F348)))</f>
        <v/>
      </c>
      <c r="L348">
        <f>IF($I348="","",$I348*COS(RADIANS($C348))*SIN(RADIANS($D348))+$J348*COS(RADIANS($E348))*SIN(RADIANS($F348)))</f>
        <v/>
      </c>
      <c r="M348">
        <f>IF($I348="","",$I348*SIN(RADIANS($C348))+$J348*SIN(RADIANS($E348)))</f>
        <v/>
      </c>
      <c r="N348">
        <f>IF($M348="","",DEGREES(ATAN2(SQRT($K348^2+$L348^2),$M348)))</f>
        <v/>
      </c>
      <c r="O348">
        <f>IF($M348="","",DEGREES(ATAN2($K348,$L348)))</f>
        <v/>
      </c>
      <c r="P348">
        <f t="array" ref="P348">IF($N348="","",IFERROR(IF(INDEX(geo_grid!$B$2:$JU$231,INT(($N348+40)/0.5)+1,INT(($O348+30)/0.5)+1)="","",INDEX(geo_grid!$B$2:$JU$231,INT(($N348+40)/0.5)+1,INT(($O348+30)/0.5)+1)),"OUTSIDE GRID"))</f>
        <v/>
      </c>
      <c r="Q348">
        <f>IF($P348="","",$A348*1000+$B348)</f>
        <v/>
      </c>
    </row>
    <row r="349">
      <c r="A349">
        <f>INT((ROW()-2)/151)+1</f>
        <v/>
      </c>
      <c r="B349">
        <f>MOD(ROW()-2,151)</f>
        <v/>
      </c>
      <c r="C349">
        <f t="array" ref="C349">IFERROR(INDEX('TRIP MANAGER'!$O$18:$O$25,$A349),"")</f>
        <v/>
      </c>
      <c r="D349">
        <f t="array" ref="D349">IFERROR(INDEX('TRIP MANAGER'!$P$18:$P$25,$A349),"")</f>
        <v/>
      </c>
      <c r="E349">
        <f t="array" ref="E349">IFERROR(INDEX('TRIP MANAGER'!$Q$18:$Q$25,$A349),"")</f>
        <v/>
      </c>
      <c r="F349">
        <f t="array" ref="F349">IFERROR(INDEX('TRIP MANAGER'!$R$18:$R$25,$A349),"")</f>
        <v/>
      </c>
      <c r="G349">
        <f t="array" ref="G349">IFERROR(INDEX('TRIP MANAGER'!$S$18:$S$25,$A349),"")</f>
        <v/>
      </c>
      <c r="H349">
        <f>$B349/150</f>
        <v/>
      </c>
      <c r="I349">
        <f>IF(OR($G349="",$G349=0),"",SIN((1-$H349)*$G349)/SIN($G349))</f>
        <v/>
      </c>
      <c r="J349">
        <f>IF($I349="","",SIN($H349*$G349)/SIN($G349))</f>
        <v/>
      </c>
      <c r="K349">
        <f>IF($I349="","",$I349*COS(RADIANS($C349))*COS(RADIANS($D349))+$J349*COS(RADIANS($E349))*COS(RADIANS($F349)))</f>
        <v/>
      </c>
      <c r="L349">
        <f>IF($I349="","",$I349*COS(RADIANS($C349))*SIN(RADIANS($D349))+$J349*COS(RADIANS($E349))*SIN(RADIANS($F349)))</f>
        <v/>
      </c>
      <c r="M349">
        <f>IF($I349="","",$I349*SIN(RADIANS($C349))+$J349*SIN(RADIANS($E349)))</f>
        <v/>
      </c>
      <c r="N349">
        <f>IF($M349="","",DEGREES(ATAN2(SQRT($K349^2+$L349^2),$M349)))</f>
        <v/>
      </c>
      <c r="O349">
        <f>IF($M349="","",DEGREES(ATAN2($K349,$L349)))</f>
        <v/>
      </c>
      <c r="P349">
        <f t="array" ref="P349">IF($N349="","",IFERROR(IF(INDEX(geo_grid!$B$2:$JU$231,INT(($N349+40)/0.5)+1,INT(($O349+30)/0.5)+1)="","",INDEX(geo_grid!$B$2:$JU$231,INT(($N349+40)/0.5)+1,INT(($O349+30)/0.5)+1)),"OUTSIDE GRID"))</f>
        <v/>
      </c>
      <c r="Q349">
        <f>IF($P349="","",$A349*1000+$B349)</f>
        <v/>
      </c>
    </row>
    <row r="350">
      <c r="A350">
        <f>INT((ROW()-2)/151)+1</f>
        <v/>
      </c>
      <c r="B350">
        <f>MOD(ROW()-2,151)</f>
        <v/>
      </c>
      <c r="C350">
        <f t="array" ref="C350">IFERROR(INDEX('TRIP MANAGER'!$O$18:$O$25,$A350),"")</f>
        <v/>
      </c>
      <c r="D350">
        <f t="array" ref="D350">IFERROR(INDEX('TRIP MANAGER'!$P$18:$P$25,$A350),"")</f>
        <v/>
      </c>
      <c r="E350">
        <f t="array" ref="E350">IFERROR(INDEX('TRIP MANAGER'!$Q$18:$Q$25,$A350),"")</f>
        <v/>
      </c>
      <c r="F350">
        <f t="array" ref="F350">IFERROR(INDEX('TRIP MANAGER'!$R$18:$R$25,$A350),"")</f>
        <v/>
      </c>
      <c r="G350">
        <f t="array" ref="G350">IFERROR(INDEX('TRIP MANAGER'!$S$18:$S$25,$A350),"")</f>
        <v/>
      </c>
      <c r="H350">
        <f>$B350/150</f>
        <v/>
      </c>
      <c r="I350">
        <f>IF(OR($G350="",$G350=0),"",SIN((1-$H350)*$G350)/SIN($G350))</f>
        <v/>
      </c>
      <c r="J350">
        <f>IF($I350="","",SIN($H350*$G350)/SIN($G350))</f>
        <v/>
      </c>
      <c r="K350">
        <f>IF($I350="","",$I350*COS(RADIANS($C350))*COS(RADIANS($D350))+$J350*COS(RADIANS($E350))*COS(RADIANS($F350)))</f>
        <v/>
      </c>
      <c r="L350">
        <f>IF($I350="","",$I350*COS(RADIANS($C350))*SIN(RADIANS($D350))+$J350*COS(RADIANS($E350))*SIN(RADIANS($F350)))</f>
        <v/>
      </c>
      <c r="M350">
        <f>IF($I350="","",$I350*SIN(RADIANS($C350))+$J350*SIN(RADIANS($E350)))</f>
        <v/>
      </c>
      <c r="N350">
        <f>IF($M350="","",DEGREES(ATAN2(SQRT($K350^2+$L350^2),$M350)))</f>
        <v/>
      </c>
      <c r="O350">
        <f>IF($M350="","",DEGREES(ATAN2($K350,$L350)))</f>
        <v/>
      </c>
      <c r="P350">
        <f t="array" ref="P350">IF($N350="","",IFERROR(IF(INDEX(geo_grid!$B$2:$JU$231,INT(($N350+40)/0.5)+1,INT(($O350+30)/0.5)+1)="","",INDEX(geo_grid!$B$2:$JU$231,INT(($N350+40)/0.5)+1,INT(($O350+30)/0.5)+1)),"OUTSIDE GRID"))</f>
        <v/>
      </c>
      <c r="Q350">
        <f>IF($P350="","",$A350*1000+$B350)</f>
        <v/>
      </c>
    </row>
    <row r="351">
      <c r="A351">
        <f>INT((ROW()-2)/151)+1</f>
        <v/>
      </c>
      <c r="B351">
        <f>MOD(ROW()-2,151)</f>
        <v/>
      </c>
      <c r="C351">
        <f t="array" ref="C351">IFERROR(INDEX('TRIP MANAGER'!$O$18:$O$25,$A351),"")</f>
        <v/>
      </c>
      <c r="D351">
        <f t="array" ref="D351">IFERROR(INDEX('TRIP MANAGER'!$P$18:$P$25,$A351),"")</f>
        <v/>
      </c>
      <c r="E351">
        <f t="array" ref="E351">IFERROR(INDEX('TRIP MANAGER'!$Q$18:$Q$25,$A351),"")</f>
        <v/>
      </c>
      <c r="F351">
        <f t="array" ref="F351">IFERROR(INDEX('TRIP MANAGER'!$R$18:$R$25,$A351),"")</f>
        <v/>
      </c>
      <c r="G351">
        <f t="array" ref="G351">IFERROR(INDEX('TRIP MANAGER'!$S$18:$S$25,$A351),"")</f>
        <v/>
      </c>
      <c r="H351">
        <f>$B351/150</f>
        <v/>
      </c>
      <c r="I351">
        <f>IF(OR($G351="",$G351=0),"",SIN((1-$H351)*$G351)/SIN($G351))</f>
        <v/>
      </c>
      <c r="J351">
        <f>IF($I351="","",SIN($H351*$G351)/SIN($G351))</f>
        <v/>
      </c>
      <c r="K351">
        <f>IF($I351="","",$I351*COS(RADIANS($C351))*COS(RADIANS($D351))+$J351*COS(RADIANS($E351))*COS(RADIANS($F351)))</f>
        <v/>
      </c>
      <c r="L351">
        <f>IF($I351="","",$I351*COS(RADIANS($C351))*SIN(RADIANS($D351))+$J351*COS(RADIANS($E351))*SIN(RADIANS($F351)))</f>
        <v/>
      </c>
      <c r="M351">
        <f>IF($I351="","",$I351*SIN(RADIANS($C351))+$J351*SIN(RADIANS($E351)))</f>
        <v/>
      </c>
      <c r="N351">
        <f>IF($M351="","",DEGREES(ATAN2(SQRT($K351^2+$L351^2),$M351)))</f>
        <v/>
      </c>
      <c r="O351">
        <f>IF($M351="","",DEGREES(ATAN2($K351,$L351)))</f>
        <v/>
      </c>
      <c r="P351">
        <f t="array" ref="P351">IF($N351="","",IFERROR(IF(INDEX(geo_grid!$B$2:$JU$231,INT(($N351+40)/0.5)+1,INT(($O351+30)/0.5)+1)="","",INDEX(geo_grid!$B$2:$JU$231,INT(($N351+40)/0.5)+1,INT(($O351+30)/0.5)+1)),"OUTSIDE GRID"))</f>
        <v/>
      </c>
      <c r="Q351">
        <f>IF($P351="","",$A351*1000+$B351)</f>
        <v/>
      </c>
    </row>
    <row r="352">
      <c r="A352">
        <f>INT((ROW()-2)/151)+1</f>
        <v/>
      </c>
      <c r="B352">
        <f>MOD(ROW()-2,151)</f>
        <v/>
      </c>
      <c r="C352">
        <f t="array" ref="C352">IFERROR(INDEX('TRIP MANAGER'!$O$18:$O$25,$A352),"")</f>
        <v/>
      </c>
      <c r="D352">
        <f t="array" ref="D352">IFERROR(INDEX('TRIP MANAGER'!$P$18:$P$25,$A352),"")</f>
        <v/>
      </c>
      <c r="E352">
        <f t="array" ref="E352">IFERROR(INDEX('TRIP MANAGER'!$Q$18:$Q$25,$A352),"")</f>
        <v/>
      </c>
      <c r="F352">
        <f t="array" ref="F352">IFERROR(INDEX('TRIP MANAGER'!$R$18:$R$25,$A352),"")</f>
        <v/>
      </c>
      <c r="G352">
        <f t="array" ref="G352">IFERROR(INDEX('TRIP MANAGER'!$S$18:$S$25,$A352),"")</f>
        <v/>
      </c>
      <c r="H352">
        <f>$B352/150</f>
        <v/>
      </c>
      <c r="I352">
        <f>IF(OR($G352="",$G352=0),"",SIN((1-$H352)*$G352)/SIN($G352))</f>
        <v/>
      </c>
      <c r="J352">
        <f>IF($I352="","",SIN($H352*$G352)/SIN($G352))</f>
        <v/>
      </c>
      <c r="K352">
        <f>IF($I352="","",$I352*COS(RADIANS($C352))*COS(RADIANS($D352))+$J352*COS(RADIANS($E352))*COS(RADIANS($F352)))</f>
        <v/>
      </c>
      <c r="L352">
        <f>IF($I352="","",$I352*COS(RADIANS($C352))*SIN(RADIANS($D352))+$J352*COS(RADIANS($E352))*SIN(RADIANS($F352)))</f>
        <v/>
      </c>
      <c r="M352">
        <f>IF($I352="","",$I352*SIN(RADIANS($C352))+$J352*SIN(RADIANS($E352)))</f>
        <v/>
      </c>
      <c r="N352">
        <f>IF($M352="","",DEGREES(ATAN2(SQRT($K352^2+$L352^2),$M352)))</f>
        <v/>
      </c>
      <c r="O352">
        <f>IF($M352="","",DEGREES(ATAN2($K352,$L352)))</f>
        <v/>
      </c>
      <c r="P352">
        <f t="array" ref="P352">IF($N352="","",IFERROR(IF(INDEX(geo_grid!$B$2:$JU$231,INT(($N352+40)/0.5)+1,INT(($O352+30)/0.5)+1)="","",INDEX(geo_grid!$B$2:$JU$231,INT(($N352+40)/0.5)+1,INT(($O352+30)/0.5)+1)),"OUTSIDE GRID"))</f>
        <v/>
      </c>
      <c r="Q352">
        <f>IF($P352="","",$A352*1000+$B352)</f>
        <v/>
      </c>
    </row>
    <row r="353">
      <c r="A353">
        <f>INT((ROW()-2)/151)+1</f>
        <v/>
      </c>
      <c r="B353">
        <f>MOD(ROW()-2,151)</f>
        <v/>
      </c>
      <c r="C353">
        <f t="array" ref="C353">IFERROR(INDEX('TRIP MANAGER'!$O$18:$O$25,$A353),"")</f>
        <v/>
      </c>
      <c r="D353">
        <f t="array" ref="D353">IFERROR(INDEX('TRIP MANAGER'!$P$18:$P$25,$A353),"")</f>
        <v/>
      </c>
      <c r="E353">
        <f t="array" ref="E353">IFERROR(INDEX('TRIP MANAGER'!$Q$18:$Q$25,$A353),"")</f>
        <v/>
      </c>
      <c r="F353">
        <f t="array" ref="F353">IFERROR(INDEX('TRIP MANAGER'!$R$18:$R$25,$A353),"")</f>
        <v/>
      </c>
      <c r="G353">
        <f t="array" ref="G353">IFERROR(INDEX('TRIP MANAGER'!$S$18:$S$25,$A353),"")</f>
        <v/>
      </c>
      <c r="H353">
        <f>$B353/150</f>
        <v/>
      </c>
      <c r="I353">
        <f>IF(OR($G353="",$G353=0),"",SIN((1-$H353)*$G353)/SIN($G353))</f>
        <v/>
      </c>
      <c r="J353">
        <f>IF($I353="","",SIN($H353*$G353)/SIN($G353))</f>
        <v/>
      </c>
      <c r="K353">
        <f>IF($I353="","",$I353*COS(RADIANS($C353))*COS(RADIANS($D353))+$J353*COS(RADIANS($E353))*COS(RADIANS($F353)))</f>
        <v/>
      </c>
      <c r="L353">
        <f>IF($I353="","",$I353*COS(RADIANS($C353))*SIN(RADIANS($D353))+$J353*COS(RADIANS($E353))*SIN(RADIANS($F353)))</f>
        <v/>
      </c>
      <c r="M353">
        <f>IF($I353="","",$I353*SIN(RADIANS($C353))+$J353*SIN(RADIANS($E353)))</f>
        <v/>
      </c>
      <c r="N353">
        <f>IF($M353="","",DEGREES(ATAN2(SQRT($K353^2+$L353^2),$M353)))</f>
        <v/>
      </c>
      <c r="O353">
        <f>IF($M353="","",DEGREES(ATAN2($K353,$L353)))</f>
        <v/>
      </c>
      <c r="P353">
        <f t="array" ref="P353">IF($N353="","",IFERROR(IF(INDEX(geo_grid!$B$2:$JU$231,INT(($N353+40)/0.5)+1,INT(($O353+30)/0.5)+1)="","",INDEX(geo_grid!$B$2:$JU$231,INT(($N353+40)/0.5)+1,INT(($O353+30)/0.5)+1)),"OUTSIDE GRID"))</f>
        <v/>
      </c>
      <c r="Q353">
        <f>IF($P353="","",$A353*1000+$B353)</f>
        <v/>
      </c>
    </row>
    <row r="354">
      <c r="A354">
        <f>INT((ROW()-2)/151)+1</f>
        <v/>
      </c>
      <c r="B354">
        <f>MOD(ROW()-2,151)</f>
        <v/>
      </c>
      <c r="C354">
        <f t="array" ref="C354">IFERROR(INDEX('TRIP MANAGER'!$O$18:$O$25,$A354),"")</f>
        <v/>
      </c>
      <c r="D354">
        <f t="array" ref="D354">IFERROR(INDEX('TRIP MANAGER'!$P$18:$P$25,$A354),"")</f>
        <v/>
      </c>
      <c r="E354">
        <f t="array" ref="E354">IFERROR(INDEX('TRIP MANAGER'!$Q$18:$Q$25,$A354),"")</f>
        <v/>
      </c>
      <c r="F354">
        <f t="array" ref="F354">IFERROR(INDEX('TRIP MANAGER'!$R$18:$R$25,$A354),"")</f>
        <v/>
      </c>
      <c r="G354">
        <f t="array" ref="G354">IFERROR(INDEX('TRIP MANAGER'!$S$18:$S$25,$A354),"")</f>
        <v/>
      </c>
      <c r="H354">
        <f>$B354/150</f>
        <v/>
      </c>
      <c r="I354">
        <f>IF(OR($G354="",$G354=0),"",SIN((1-$H354)*$G354)/SIN($G354))</f>
        <v/>
      </c>
      <c r="J354">
        <f>IF($I354="","",SIN($H354*$G354)/SIN($G354))</f>
        <v/>
      </c>
      <c r="K354">
        <f>IF($I354="","",$I354*COS(RADIANS($C354))*COS(RADIANS($D354))+$J354*COS(RADIANS($E354))*COS(RADIANS($F354)))</f>
        <v/>
      </c>
      <c r="L354">
        <f>IF($I354="","",$I354*COS(RADIANS($C354))*SIN(RADIANS($D354))+$J354*COS(RADIANS($E354))*SIN(RADIANS($F354)))</f>
        <v/>
      </c>
      <c r="M354">
        <f>IF($I354="","",$I354*SIN(RADIANS($C354))+$J354*SIN(RADIANS($E354)))</f>
        <v/>
      </c>
      <c r="N354">
        <f>IF($M354="","",DEGREES(ATAN2(SQRT($K354^2+$L354^2),$M354)))</f>
        <v/>
      </c>
      <c r="O354">
        <f>IF($M354="","",DEGREES(ATAN2($K354,$L354)))</f>
        <v/>
      </c>
      <c r="P354">
        <f t="array" ref="P354">IF($N354="","",IFERROR(IF(INDEX(geo_grid!$B$2:$JU$231,INT(($N354+40)/0.5)+1,INT(($O354+30)/0.5)+1)="","",INDEX(geo_grid!$B$2:$JU$231,INT(($N354+40)/0.5)+1,INT(($O354+30)/0.5)+1)),"OUTSIDE GRID"))</f>
        <v/>
      </c>
      <c r="Q354">
        <f>IF($P354="","",$A354*1000+$B354)</f>
        <v/>
      </c>
    </row>
    <row r="355">
      <c r="A355">
        <f>INT((ROW()-2)/151)+1</f>
        <v/>
      </c>
      <c r="B355">
        <f>MOD(ROW()-2,151)</f>
        <v/>
      </c>
      <c r="C355">
        <f t="array" ref="C355">IFERROR(INDEX('TRIP MANAGER'!$O$18:$O$25,$A355),"")</f>
        <v/>
      </c>
      <c r="D355">
        <f t="array" ref="D355">IFERROR(INDEX('TRIP MANAGER'!$P$18:$P$25,$A355),"")</f>
        <v/>
      </c>
      <c r="E355">
        <f t="array" ref="E355">IFERROR(INDEX('TRIP MANAGER'!$Q$18:$Q$25,$A355),"")</f>
        <v/>
      </c>
      <c r="F355">
        <f t="array" ref="F355">IFERROR(INDEX('TRIP MANAGER'!$R$18:$R$25,$A355),"")</f>
        <v/>
      </c>
      <c r="G355">
        <f t="array" ref="G355">IFERROR(INDEX('TRIP MANAGER'!$S$18:$S$25,$A355),"")</f>
        <v/>
      </c>
      <c r="H355">
        <f>$B355/150</f>
        <v/>
      </c>
      <c r="I355">
        <f>IF(OR($G355="",$G355=0),"",SIN((1-$H355)*$G355)/SIN($G355))</f>
        <v/>
      </c>
      <c r="J355">
        <f>IF($I355="","",SIN($H355*$G355)/SIN($G355))</f>
        <v/>
      </c>
      <c r="K355">
        <f>IF($I355="","",$I355*COS(RADIANS($C355))*COS(RADIANS($D355))+$J355*COS(RADIANS($E355))*COS(RADIANS($F355)))</f>
        <v/>
      </c>
      <c r="L355">
        <f>IF($I355="","",$I355*COS(RADIANS($C355))*SIN(RADIANS($D355))+$J355*COS(RADIANS($E355))*SIN(RADIANS($F355)))</f>
        <v/>
      </c>
      <c r="M355">
        <f>IF($I355="","",$I355*SIN(RADIANS($C355))+$J355*SIN(RADIANS($E355)))</f>
        <v/>
      </c>
      <c r="N355">
        <f>IF($M355="","",DEGREES(ATAN2(SQRT($K355^2+$L355^2),$M355)))</f>
        <v/>
      </c>
      <c r="O355">
        <f>IF($M355="","",DEGREES(ATAN2($K355,$L355)))</f>
        <v/>
      </c>
      <c r="P355">
        <f t="array" ref="P355">IF($N355="","",IFERROR(IF(INDEX(geo_grid!$B$2:$JU$231,INT(($N355+40)/0.5)+1,INT(($O355+30)/0.5)+1)="","",INDEX(geo_grid!$B$2:$JU$231,INT(($N355+40)/0.5)+1,INT(($O355+30)/0.5)+1)),"OUTSIDE GRID"))</f>
        <v/>
      </c>
      <c r="Q355">
        <f>IF($P355="","",$A355*1000+$B355)</f>
        <v/>
      </c>
    </row>
    <row r="356">
      <c r="A356">
        <f>INT((ROW()-2)/151)+1</f>
        <v/>
      </c>
      <c r="B356">
        <f>MOD(ROW()-2,151)</f>
        <v/>
      </c>
      <c r="C356">
        <f t="array" ref="C356">IFERROR(INDEX('TRIP MANAGER'!$O$18:$O$25,$A356),"")</f>
        <v/>
      </c>
      <c r="D356">
        <f t="array" ref="D356">IFERROR(INDEX('TRIP MANAGER'!$P$18:$P$25,$A356),"")</f>
        <v/>
      </c>
      <c r="E356">
        <f t="array" ref="E356">IFERROR(INDEX('TRIP MANAGER'!$Q$18:$Q$25,$A356),"")</f>
        <v/>
      </c>
      <c r="F356">
        <f t="array" ref="F356">IFERROR(INDEX('TRIP MANAGER'!$R$18:$R$25,$A356),"")</f>
        <v/>
      </c>
      <c r="G356">
        <f t="array" ref="G356">IFERROR(INDEX('TRIP MANAGER'!$S$18:$S$25,$A356),"")</f>
        <v/>
      </c>
      <c r="H356">
        <f>$B356/150</f>
        <v/>
      </c>
      <c r="I356">
        <f>IF(OR($G356="",$G356=0),"",SIN((1-$H356)*$G356)/SIN($G356))</f>
        <v/>
      </c>
      <c r="J356">
        <f>IF($I356="","",SIN($H356*$G356)/SIN($G356))</f>
        <v/>
      </c>
      <c r="K356">
        <f>IF($I356="","",$I356*COS(RADIANS($C356))*COS(RADIANS($D356))+$J356*COS(RADIANS($E356))*COS(RADIANS($F356)))</f>
        <v/>
      </c>
      <c r="L356">
        <f>IF($I356="","",$I356*COS(RADIANS($C356))*SIN(RADIANS($D356))+$J356*COS(RADIANS($E356))*SIN(RADIANS($F356)))</f>
        <v/>
      </c>
      <c r="M356">
        <f>IF($I356="","",$I356*SIN(RADIANS($C356))+$J356*SIN(RADIANS($E356)))</f>
        <v/>
      </c>
      <c r="N356">
        <f>IF($M356="","",DEGREES(ATAN2(SQRT($K356^2+$L356^2),$M356)))</f>
        <v/>
      </c>
      <c r="O356">
        <f>IF($M356="","",DEGREES(ATAN2($K356,$L356)))</f>
        <v/>
      </c>
      <c r="P356">
        <f t="array" ref="P356">IF($N356="","",IFERROR(IF(INDEX(geo_grid!$B$2:$JU$231,INT(($N356+40)/0.5)+1,INT(($O356+30)/0.5)+1)="","",INDEX(geo_grid!$B$2:$JU$231,INT(($N356+40)/0.5)+1,INT(($O356+30)/0.5)+1)),"OUTSIDE GRID"))</f>
        <v/>
      </c>
      <c r="Q356">
        <f>IF($P356="","",$A356*1000+$B356)</f>
        <v/>
      </c>
    </row>
    <row r="357">
      <c r="A357">
        <f>INT((ROW()-2)/151)+1</f>
        <v/>
      </c>
      <c r="B357">
        <f>MOD(ROW()-2,151)</f>
        <v/>
      </c>
      <c r="C357">
        <f t="array" ref="C357">IFERROR(INDEX('TRIP MANAGER'!$O$18:$O$25,$A357),"")</f>
        <v/>
      </c>
      <c r="D357">
        <f t="array" ref="D357">IFERROR(INDEX('TRIP MANAGER'!$P$18:$P$25,$A357),"")</f>
        <v/>
      </c>
      <c r="E357">
        <f t="array" ref="E357">IFERROR(INDEX('TRIP MANAGER'!$Q$18:$Q$25,$A357),"")</f>
        <v/>
      </c>
      <c r="F357">
        <f t="array" ref="F357">IFERROR(INDEX('TRIP MANAGER'!$R$18:$R$25,$A357),"")</f>
        <v/>
      </c>
      <c r="G357">
        <f t="array" ref="G357">IFERROR(INDEX('TRIP MANAGER'!$S$18:$S$25,$A357),"")</f>
        <v/>
      </c>
      <c r="H357">
        <f>$B357/150</f>
        <v/>
      </c>
      <c r="I357">
        <f>IF(OR($G357="",$G357=0),"",SIN((1-$H357)*$G357)/SIN($G357))</f>
        <v/>
      </c>
      <c r="J357">
        <f>IF($I357="","",SIN($H357*$G357)/SIN($G357))</f>
        <v/>
      </c>
      <c r="K357">
        <f>IF($I357="","",$I357*COS(RADIANS($C357))*COS(RADIANS($D357))+$J357*COS(RADIANS($E357))*COS(RADIANS($F357)))</f>
        <v/>
      </c>
      <c r="L357">
        <f>IF($I357="","",$I357*COS(RADIANS($C357))*SIN(RADIANS($D357))+$J357*COS(RADIANS($E357))*SIN(RADIANS($F357)))</f>
        <v/>
      </c>
      <c r="M357">
        <f>IF($I357="","",$I357*SIN(RADIANS($C357))+$J357*SIN(RADIANS($E357)))</f>
        <v/>
      </c>
      <c r="N357">
        <f>IF($M357="","",DEGREES(ATAN2(SQRT($K357^2+$L357^2),$M357)))</f>
        <v/>
      </c>
      <c r="O357">
        <f>IF($M357="","",DEGREES(ATAN2($K357,$L357)))</f>
        <v/>
      </c>
      <c r="P357">
        <f t="array" ref="P357">IF($N357="","",IFERROR(IF(INDEX(geo_grid!$B$2:$JU$231,INT(($N357+40)/0.5)+1,INT(($O357+30)/0.5)+1)="","",INDEX(geo_grid!$B$2:$JU$231,INT(($N357+40)/0.5)+1,INT(($O357+30)/0.5)+1)),"OUTSIDE GRID"))</f>
        <v/>
      </c>
      <c r="Q357">
        <f>IF($P357="","",$A357*1000+$B357)</f>
        <v/>
      </c>
    </row>
    <row r="358">
      <c r="A358">
        <f>INT((ROW()-2)/151)+1</f>
        <v/>
      </c>
      <c r="B358">
        <f>MOD(ROW()-2,151)</f>
        <v/>
      </c>
      <c r="C358">
        <f t="array" ref="C358">IFERROR(INDEX('TRIP MANAGER'!$O$18:$O$25,$A358),"")</f>
        <v/>
      </c>
      <c r="D358">
        <f t="array" ref="D358">IFERROR(INDEX('TRIP MANAGER'!$P$18:$P$25,$A358),"")</f>
        <v/>
      </c>
      <c r="E358">
        <f t="array" ref="E358">IFERROR(INDEX('TRIP MANAGER'!$Q$18:$Q$25,$A358),"")</f>
        <v/>
      </c>
      <c r="F358">
        <f t="array" ref="F358">IFERROR(INDEX('TRIP MANAGER'!$R$18:$R$25,$A358),"")</f>
        <v/>
      </c>
      <c r="G358">
        <f t="array" ref="G358">IFERROR(INDEX('TRIP MANAGER'!$S$18:$S$25,$A358),"")</f>
        <v/>
      </c>
      <c r="H358">
        <f>$B358/150</f>
        <v/>
      </c>
      <c r="I358">
        <f>IF(OR($G358="",$G358=0),"",SIN((1-$H358)*$G358)/SIN($G358))</f>
        <v/>
      </c>
      <c r="J358">
        <f>IF($I358="","",SIN($H358*$G358)/SIN($G358))</f>
        <v/>
      </c>
      <c r="K358">
        <f>IF($I358="","",$I358*COS(RADIANS($C358))*COS(RADIANS($D358))+$J358*COS(RADIANS($E358))*COS(RADIANS($F358)))</f>
        <v/>
      </c>
      <c r="L358">
        <f>IF($I358="","",$I358*COS(RADIANS($C358))*SIN(RADIANS($D358))+$J358*COS(RADIANS($E358))*SIN(RADIANS($F358)))</f>
        <v/>
      </c>
      <c r="M358">
        <f>IF($I358="","",$I358*SIN(RADIANS($C358))+$J358*SIN(RADIANS($E358)))</f>
        <v/>
      </c>
      <c r="N358">
        <f>IF($M358="","",DEGREES(ATAN2(SQRT($K358^2+$L358^2),$M358)))</f>
        <v/>
      </c>
      <c r="O358">
        <f>IF($M358="","",DEGREES(ATAN2($K358,$L358)))</f>
        <v/>
      </c>
      <c r="P358">
        <f t="array" ref="P358">IF($N358="","",IFERROR(IF(INDEX(geo_grid!$B$2:$JU$231,INT(($N358+40)/0.5)+1,INT(($O358+30)/0.5)+1)="","",INDEX(geo_grid!$B$2:$JU$231,INT(($N358+40)/0.5)+1,INT(($O358+30)/0.5)+1)),"OUTSIDE GRID"))</f>
        <v/>
      </c>
      <c r="Q358">
        <f>IF($P358="","",$A358*1000+$B358)</f>
        <v/>
      </c>
    </row>
    <row r="359">
      <c r="A359">
        <f>INT((ROW()-2)/151)+1</f>
        <v/>
      </c>
      <c r="B359">
        <f>MOD(ROW()-2,151)</f>
        <v/>
      </c>
      <c r="C359">
        <f t="array" ref="C359">IFERROR(INDEX('TRIP MANAGER'!$O$18:$O$25,$A359),"")</f>
        <v/>
      </c>
      <c r="D359">
        <f t="array" ref="D359">IFERROR(INDEX('TRIP MANAGER'!$P$18:$P$25,$A359),"")</f>
        <v/>
      </c>
      <c r="E359">
        <f t="array" ref="E359">IFERROR(INDEX('TRIP MANAGER'!$Q$18:$Q$25,$A359),"")</f>
        <v/>
      </c>
      <c r="F359">
        <f t="array" ref="F359">IFERROR(INDEX('TRIP MANAGER'!$R$18:$R$25,$A359),"")</f>
        <v/>
      </c>
      <c r="G359">
        <f t="array" ref="G359">IFERROR(INDEX('TRIP MANAGER'!$S$18:$S$25,$A359),"")</f>
        <v/>
      </c>
      <c r="H359">
        <f>$B359/150</f>
        <v/>
      </c>
      <c r="I359">
        <f>IF(OR($G359="",$G359=0),"",SIN((1-$H359)*$G359)/SIN($G359))</f>
        <v/>
      </c>
      <c r="J359">
        <f>IF($I359="","",SIN($H359*$G359)/SIN($G359))</f>
        <v/>
      </c>
      <c r="K359">
        <f>IF($I359="","",$I359*COS(RADIANS($C359))*COS(RADIANS($D359))+$J359*COS(RADIANS($E359))*COS(RADIANS($F359)))</f>
        <v/>
      </c>
      <c r="L359">
        <f>IF($I359="","",$I359*COS(RADIANS($C359))*SIN(RADIANS($D359))+$J359*COS(RADIANS($E359))*SIN(RADIANS($F359)))</f>
        <v/>
      </c>
      <c r="M359">
        <f>IF($I359="","",$I359*SIN(RADIANS($C359))+$J359*SIN(RADIANS($E359)))</f>
        <v/>
      </c>
      <c r="N359">
        <f>IF($M359="","",DEGREES(ATAN2(SQRT($K359^2+$L359^2),$M359)))</f>
        <v/>
      </c>
      <c r="O359">
        <f>IF($M359="","",DEGREES(ATAN2($K359,$L359)))</f>
        <v/>
      </c>
      <c r="P359">
        <f t="array" ref="P359">IF($N359="","",IFERROR(IF(INDEX(geo_grid!$B$2:$JU$231,INT(($N359+40)/0.5)+1,INT(($O359+30)/0.5)+1)="","",INDEX(geo_grid!$B$2:$JU$231,INT(($N359+40)/0.5)+1,INT(($O359+30)/0.5)+1)),"OUTSIDE GRID"))</f>
        <v/>
      </c>
      <c r="Q359">
        <f>IF($P359="","",$A359*1000+$B359)</f>
        <v/>
      </c>
    </row>
    <row r="360">
      <c r="A360">
        <f>INT((ROW()-2)/151)+1</f>
        <v/>
      </c>
      <c r="B360">
        <f>MOD(ROW()-2,151)</f>
        <v/>
      </c>
      <c r="C360">
        <f t="array" ref="C360">IFERROR(INDEX('TRIP MANAGER'!$O$18:$O$25,$A360),"")</f>
        <v/>
      </c>
      <c r="D360">
        <f t="array" ref="D360">IFERROR(INDEX('TRIP MANAGER'!$P$18:$P$25,$A360),"")</f>
        <v/>
      </c>
      <c r="E360">
        <f t="array" ref="E360">IFERROR(INDEX('TRIP MANAGER'!$Q$18:$Q$25,$A360),"")</f>
        <v/>
      </c>
      <c r="F360">
        <f t="array" ref="F360">IFERROR(INDEX('TRIP MANAGER'!$R$18:$R$25,$A360),"")</f>
        <v/>
      </c>
      <c r="G360">
        <f t="array" ref="G360">IFERROR(INDEX('TRIP MANAGER'!$S$18:$S$25,$A360),"")</f>
        <v/>
      </c>
      <c r="H360">
        <f>$B360/150</f>
        <v/>
      </c>
      <c r="I360">
        <f>IF(OR($G360="",$G360=0),"",SIN((1-$H360)*$G360)/SIN($G360))</f>
        <v/>
      </c>
      <c r="J360">
        <f>IF($I360="","",SIN($H360*$G360)/SIN($G360))</f>
        <v/>
      </c>
      <c r="K360">
        <f>IF($I360="","",$I360*COS(RADIANS($C360))*COS(RADIANS($D360))+$J360*COS(RADIANS($E360))*COS(RADIANS($F360)))</f>
        <v/>
      </c>
      <c r="L360">
        <f>IF($I360="","",$I360*COS(RADIANS($C360))*SIN(RADIANS($D360))+$J360*COS(RADIANS($E360))*SIN(RADIANS($F360)))</f>
        <v/>
      </c>
      <c r="M360">
        <f>IF($I360="","",$I360*SIN(RADIANS($C360))+$J360*SIN(RADIANS($E360)))</f>
        <v/>
      </c>
      <c r="N360">
        <f>IF($M360="","",DEGREES(ATAN2(SQRT($K360^2+$L360^2),$M360)))</f>
        <v/>
      </c>
      <c r="O360">
        <f>IF($M360="","",DEGREES(ATAN2($K360,$L360)))</f>
        <v/>
      </c>
      <c r="P360">
        <f t="array" ref="P360">IF($N360="","",IFERROR(IF(INDEX(geo_grid!$B$2:$JU$231,INT(($N360+40)/0.5)+1,INT(($O360+30)/0.5)+1)="","",INDEX(geo_grid!$B$2:$JU$231,INT(($N360+40)/0.5)+1,INT(($O360+30)/0.5)+1)),"OUTSIDE GRID"))</f>
        <v/>
      </c>
      <c r="Q360">
        <f>IF($P360="","",$A360*1000+$B360)</f>
        <v/>
      </c>
    </row>
    <row r="361">
      <c r="A361">
        <f>INT((ROW()-2)/151)+1</f>
        <v/>
      </c>
      <c r="B361">
        <f>MOD(ROW()-2,151)</f>
        <v/>
      </c>
      <c r="C361">
        <f t="array" ref="C361">IFERROR(INDEX('TRIP MANAGER'!$O$18:$O$25,$A361),"")</f>
        <v/>
      </c>
      <c r="D361">
        <f t="array" ref="D361">IFERROR(INDEX('TRIP MANAGER'!$P$18:$P$25,$A361),"")</f>
        <v/>
      </c>
      <c r="E361">
        <f t="array" ref="E361">IFERROR(INDEX('TRIP MANAGER'!$Q$18:$Q$25,$A361),"")</f>
        <v/>
      </c>
      <c r="F361">
        <f t="array" ref="F361">IFERROR(INDEX('TRIP MANAGER'!$R$18:$R$25,$A361),"")</f>
        <v/>
      </c>
      <c r="G361">
        <f t="array" ref="G361">IFERROR(INDEX('TRIP MANAGER'!$S$18:$S$25,$A361),"")</f>
        <v/>
      </c>
      <c r="H361">
        <f>$B361/150</f>
        <v/>
      </c>
      <c r="I361">
        <f>IF(OR($G361="",$G361=0),"",SIN((1-$H361)*$G361)/SIN($G361))</f>
        <v/>
      </c>
      <c r="J361">
        <f>IF($I361="","",SIN($H361*$G361)/SIN($G361))</f>
        <v/>
      </c>
      <c r="K361">
        <f>IF($I361="","",$I361*COS(RADIANS($C361))*COS(RADIANS($D361))+$J361*COS(RADIANS($E361))*COS(RADIANS($F361)))</f>
        <v/>
      </c>
      <c r="L361">
        <f>IF($I361="","",$I361*COS(RADIANS($C361))*SIN(RADIANS($D361))+$J361*COS(RADIANS($E361))*SIN(RADIANS($F361)))</f>
        <v/>
      </c>
      <c r="M361">
        <f>IF($I361="","",$I361*SIN(RADIANS($C361))+$J361*SIN(RADIANS($E361)))</f>
        <v/>
      </c>
      <c r="N361">
        <f>IF($M361="","",DEGREES(ATAN2(SQRT($K361^2+$L361^2),$M361)))</f>
        <v/>
      </c>
      <c r="O361">
        <f>IF($M361="","",DEGREES(ATAN2($K361,$L361)))</f>
        <v/>
      </c>
      <c r="P361">
        <f t="array" ref="P361">IF($N361="","",IFERROR(IF(INDEX(geo_grid!$B$2:$JU$231,INT(($N361+40)/0.5)+1,INT(($O361+30)/0.5)+1)="","",INDEX(geo_grid!$B$2:$JU$231,INT(($N361+40)/0.5)+1,INT(($O361+30)/0.5)+1)),"OUTSIDE GRID"))</f>
        <v/>
      </c>
      <c r="Q361">
        <f>IF($P361="","",$A361*1000+$B361)</f>
        <v/>
      </c>
    </row>
    <row r="362">
      <c r="A362">
        <f>INT((ROW()-2)/151)+1</f>
        <v/>
      </c>
      <c r="B362">
        <f>MOD(ROW()-2,151)</f>
        <v/>
      </c>
      <c r="C362">
        <f t="array" ref="C362">IFERROR(INDEX('TRIP MANAGER'!$O$18:$O$25,$A362),"")</f>
        <v/>
      </c>
      <c r="D362">
        <f t="array" ref="D362">IFERROR(INDEX('TRIP MANAGER'!$P$18:$P$25,$A362),"")</f>
        <v/>
      </c>
      <c r="E362">
        <f t="array" ref="E362">IFERROR(INDEX('TRIP MANAGER'!$Q$18:$Q$25,$A362),"")</f>
        <v/>
      </c>
      <c r="F362">
        <f t="array" ref="F362">IFERROR(INDEX('TRIP MANAGER'!$R$18:$R$25,$A362),"")</f>
        <v/>
      </c>
      <c r="G362">
        <f t="array" ref="G362">IFERROR(INDEX('TRIP MANAGER'!$S$18:$S$25,$A362),"")</f>
        <v/>
      </c>
      <c r="H362">
        <f>$B362/150</f>
        <v/>
      </c>
      <c r="I362">
        <f>IF(OR($G362="",$G362=0),"",SIN((1-$H362)*$G362)/SIN($G362))</f>
        <v/>
      </c>
      <c r="J362">
        <f>IF($I362="","",SIN($H362*$G362)/SIN($G362))</f>
        <v/>
      </c>
      <c r="K362">
        <f>IF($I362="","",$I362*COS(RADIANS($C362))*COS(RADIANS($D362))+$J362*COS(RADIANS($E362))*COS(RADIANS($F362)))</f>
        <v/>
      </c>
      <c r="L362">
        <f>IF($I362="","",$I362*COS(RADIANS($C362))*SIN(RADIANS($D362))+$J362*COS(RADIANS($E362))*SIN(RADIANS($F362)))</f>
        <v/>
      </c>
      <c r="M362">
        <f>IF($I362="","",$I362*SIN(RADIANS($C362))+$J362*SIN(RADIANS($E362)))</f>
        <v/>
      </c>
      <c r="N362">
        <f>IF($M362="","",DEGREES(ATAN2(SQRT($K362^2+$L362^2),$M362)))</f>
        <v/>
      </c>
      <c r="O362">
        <f>IF($M362="","",DEGREES(ATAN2($K362,$L362)))</f>
        <v/>
      </c>
      <c r="P362">
        <f t="array" ref="P362">IF($N362="","",IFERROR(IF(INDEX(geo_grid!$B$2:$JU$231,INT(($N362+40)/0.5)+1,INT(($O362+30)/0.5)+1)="","",INDEX(geo_grid!$B$2:$JU$231,INT(($N362+40)/0.5)+1,INT(($O362+30)/0.5)+1)),"OUTSIDE GRID"))</f>
        <v/>
      </c>
      <c r="Q362">
        <f>IF($P362="","",$A362*1000+$B362)</f>
        <v/>
      </c>
    </row>
    <row r="363">
      <c r="A363">
        <f>INT((ROW()-2)/151)+1</f>
        <v/>
      </c>
      <c r="B363">
        <f>MOD(ROW()-2,151)</f>
        <v/>
      </c>
      <c r="C363">
        <f t="array" ref="C363">IFERROR(INDEX('TRIP MANAGER'!$O$18:$O$25,$A363),"")</f>
        <v/>
      </c>
      <c r="D363">
        <f t="array" ref="D363">IFERROR(INDEX('TRIP MANAGER'!$P$18:$P$25,$A363),"")</f>
        <v/>
      </c>
      <c r="E363">
        <f t="array" ref="E363">IFERROR(INDEX('TRIP MANAGER'!$Q$18:$Q$25,$A363),"")</f>
        <v/>
      </c>
      <c r="F363">
        <f t="array" ref="F363">IFERROR(INDEX('TRIP MANAGER'!$R$18:$R$25,$A363),"")</f>
        <v/>
      </c>
      <c r="G363">
        <f t="array" ref="G363">IFERROR(INDEX('TRIP MANAGER'!$S$18:$S$25,$A363),"")</f>
        <v/>
      </c>
      <c r="H363">
        <f>$B363/150</f>
        <v/>
      </c>
      <c r="I363">
        <f>IF(OR($G363="",$G363=0),"",SIN((1-$H363)*$G363)/SIN($G363))</f>
        <v/>
      </c>
      <c r="J363">
        <f>IF($I363="","",SIN($H363*$G363)/SIN($G363))</f>
        <v/>
      </c>
      <c r="K363">
        <f>IF($I363="","",$I363*COS(RADIANS($C363))*COS(RADIANS($D363))+$J363*COS(RADIANS($E363))*COS(RADIANS($F363)))</f>
        <v/>
      </c>
      <c r="L363">
        <f>IF($I363="","",$I363*COS(RADIANS($C363))*SIN(RADIANS($D363))+$J363*COS(RADIANS($E363))*SIN(RADIANS($F363)))</f>
        <v/>
      </c>
      <c r="M363">
        <f>IF($I363="","",$I363*SIN(RADIANS($C363))+$J363*SIN(RADIANS($E363)))</f>
        <v/>
      </c>
      <c r="N363">
        <f>IF($M363="","",DEGREES(ATAN2(SQRT($K363^2+$L363^2),$M363)))</f>
        <v/>
      </c>
      <c r="O363">
        <f>IF($M363="","",DEGREES(ATAN2($K363,$L363)))</f>
        <v/>
      </c>
      <c r="P363">
        <f t="array" ref="P363">IF($N363="","",IFERROR(IF(INDEX(geo_grid!$B$2:$JU$231,INT(($N363+40)/0.5)+1,INT(($O363+30)/0.5)+1)="","",INDEX(geo_grid!$B$2:$JU$231,INT(($N363+40)/0.5)+1,INT(($O363+30)/0.5)+1)),"OUTSIDE GRID"))</f>
        <v/>
      </c>
      <c r="Q363">
        <f>IF($P363="","",$A363*1000+$B363)</f>
        <v/>
      </c>
    </row>
    <row r="364">
      <c r="A364">
        <f>INT((ROW()-2)/151)+1</f>
        <v/>
      </c>
      <c r="B364">
        <f>MOD(ROW()-2,151)</f>
        <v/>
      </c>
      <c r="C364">
        <f t="array" ref="C364">IFERROR(INDEX('TRIP MANAGER'!$O$18:$O$25,$A364),"")</f>
        <v/>
      </c>
      <c r="D364">
        <f t="array" ref="D364">IFERROR(INDEX('TRIP MANAGER'!$P$18:$P$25,$A364),"")</f>
        <v/>
      </c>
      <c r="E364">
        <f t="array" ref="E364">IFERROR(INDEX('TRIP MANAGER'!$Q$18:$Q$25,$A364),"")</f>
        <v/>
      </c>
      <c r="F364">
        <f t="array" ref="F364">IFERROR(INDEX('TRIP MANAGER'!$R$18:$R$25,$A364),"")</f>
        <v/>
      </c>
      <c r="G364">
        <f t="array" ref="G364">IFERROR(INDEX('TRIP MANAGER'!$S$18:$S$25,$A364),"")</f>
        <v/>
      </c>
      <c r="H364">
        <f>$B364/150</f>
        <v/>
      </c>
      <c r="I364">
        <f>IF(OR($G364="",$G364=0),"",SIN((1-$H364)*$G364)/SIN($G364))</f>
        <v/>
      </c>
      <c r="J364">
        <f>IF($I364="","",SIN($H364*$G364)/SIN($G364))</f>
        <v/>
      </c>
      <c r="K364">
        <f>IF($I364="","",$I364*COS(RADIANS($C364))*COS(RADIANS($D364))+$J364*COS(RADIANS($E364))*COS(RADIANS($F364)))</f>
        <v/>
      </c>
      <c r="L364">
        <f>IF($I364="","",$I364*COS(RADIANS($C364))*SIN(RADIANS($D364))+$J364*COS(RADIANS($E364))*SIN(RADIANS($F364)))</f>
        <v/>
      </c>
      <c r="M364">
        <f>IF($I364="","",$I364*SIN(RADIANS($C364))+$J364*SIN(RADIANS($E364)))</f>
        <v/>
      </c>
      <c r="N364">
        <f>IF($M364="","",DEGREES(ATAN2(SQRT($K364^2+$L364^2),$M364)))</f>
        <v/>
      </c>
      <c r="O364">
        <f>IF($M364="","",DEGREES(ATAN2($K364,$L364)))</f>
        <v/>
      </c>
      <c r="P364">
        <f t="array" ref="P364">IF($N364="","",IFERROR(IF(INDEX(geo_grid!$B$2:$JU$231,INT(($N364+40)/0.5)+1,INT(($O364+30)/0.5)+1)="","",INDEX(geo_grid!$B$2:$JU$231,INT(($N364+40)/0.5)+1,INT(($O364+30)/0.5)+1)),"OUTSIDE GRID"))</f>
        <v/>
      </c>
      <c r="Q364">
        <f>IF($P364="","",$A364*1000+$B364)</f>
        <v/>
      </c>
    </row>
    <row r="365">
      <c r="A365">
        <f>INT((ROW()-2)/151)+1</f>
        <v/>
      </c>
      <c r="B365">
        <f>MOD(ROW()-2,151)</f>
        <v/>
      </c>
      <c r="C365">
        <f t="array" ref="C365">IFERROR(INDEX('TRIP MANAGER'!$O$18:$O$25,$A365),"")</f>
        <v/>
      </c>
      <c r="D365">
        <f t="array" ref="D365">IFERROR(INDEX('TRIP MANAGER'!$P$18:$P$25,$A365),"")</f>
        <v/>
      </c>
      <c r="E365">
        <f t="array" ref="E365">IFERROR(INDEX('TRIP MANAGER'!$Q$18:$Q$25,$A365),"")</f>
        <v/>
      </c>
      <c r="F365">
        <f t="array" ref="F365">IFERROR(INDEX('TRIP MANAGER'!$R$18:$R$25,$A365),"")</f>
        <v/>
      </c>
      <c r="G365">
        <f t="array" ref="G365">IFERROR(INDEX('TRIP MANAGER'!$S$18:$S$25,$A365),"")</f>
        <v/>
      </c>
      <c r="H365">
        <f>$B365/150</f>
        <v/>
      </c>
      <c r="I365">
        <f>IF(OR($G365="",$G365=0),"",SIN((1-$H365)*$G365)/SIN($G365))</f>
        <v/>
      </c>
      <c r="J365">
        <f>IF($I365="","",SIN($H365*$G365)/SIN($G365))</f>
        <v/>
      </c>
      <c r="K365">
        <f>IF($I365="","",$I365*COS(RADIANS($C365))*COS(RADIANS($D365))+$J365*COS(RADIANS($E365))*COS(RADIANS($F365)))</f>
        <v/>
      </c>
      <c r="L365">
        <f>IF($I365="","",$I365*COS(RADIANS($C365))*SIN(RADIANS($D365))+$J365*COS(RADIANS($E365))*SIN(RADIANS($F365)))</f>
        <v/>
      </c>
      <c r="M365">
        <f>IF($I365="","",$I365*SIN(RADIANS($C365))+$J365*SIN(RADIANS($E365)))</f>
        <v/>
      </c>
      <c r="N365">
        <f>IF($M365="","",DEGREES(ATAN2(SQRT($K365^2+$L365^2),$M365)))</f>
        <v/>
      </c>
      <c r="O365">
        <f>IF($M365="","",DEGREES(ATAN2($K365,$L365)))</f>
        <v/>
      </c>
      <c r="P365">
        <f t="array" ref="P365">IF($N365="","",IFERROR(IF(INDEX(geo_grid!$B$2:$JU$231,INT(($N365+40)/0.5)+1,INT(($O365+30)/0.5)+1)="","",INDEX(geo_grid!$B$2:$JU$231,INT(($N365+40)/0.5)+1,INT(($O365+30)/0.5)+1)),"OUTSIDE GRID"))</f>
        <v/>
      </c>
      <c r="Q365">
        <f>IF($P365="","",$A365*1000+$B365)</f>
        <v/>
      </c>
    </row>
    <row r="366">
      <c r="A366">
        <f>INT((ROW()-2)/151)+1</f>
        <v/>
      </c>
      <c r="B366">
        <f>MOD(ROW()-2,151)</f>
        <v/>
      </c>
      <c r="C366">
        <f t="array" ref="C366">IFERROR(INDEX('TRIP MANAGER'!$O$18:$O$25,$A366),"")</f>
        <v/>
      </c>
      <c r="D366">
        <f t="array" ref="D366">IFERROR(INDEX('TRIP MANAGER'!$P$18:$P$25,$A366),"")</f>
        <v/>
      </c>
      <c r="E366">
        <f t="array" ref="E366">IFERROR(INDEX('TRIP MANAGER'!$Q$18:$Q$25,$A366),"")</f>
        <v/>
      </c>
      <c r="F366">
        <f t="array" ref="F366">IFERROR(INDEX('TRIP MANAGER'!$R$18:$R$25,$A366),"")</f>
        <v/>
      </c>
      <c r="G366">
        <f t="array" ref="G366">IFERROR(INDEX('TRIP MANAGER'!$S$18:$S$25,$A366),"")</f>
        <v/>
      </c>
      <c r="H366">
        <f>$B366/150</f>
        <v/>
      </c>
      <c r="I366">
        <f>IF(OR($G366="",$G366=0),"",SIN((1-$H366)*$G366)/SIN($G366))</f>
        <v/>
      </c>
      <c r="J366">
        <f>IF($I366="","",SIN($H366*$G366)/SIN($G366))</f>
        <v/>
      </c>
      <c r="K366">
        <f>IF($I366="","",$I366*COS(RADIANS($C366))*COS(RADIANS($D366))+$J366*COS(RADIANS($E366))*COS(RADIANS($F366)))</f>
        <v/>
      </c>
      <c r="L366">
        <f>IF($I366="","",$I366*COS(RADIANS($C366))*SIN(RADIANS($D366))+$J366*COS(RADIANS($E366))*SIN(RADIANS($F366)))</f>
        <v/>
      </c>
      <c r="M366">
        <f>IF($I366="","",$I366*SIN(RADIANS($C366))+$J366*SIN(RADIANS($E366)))</f>
        <v/>
      </c>
      <c r="N366">
        <f>IF($M366="","",DEGREES(ATAN2(SQRT($K366^2+$L366^2),$M366)))</f>
        <v/>
      </c>
      <c r="O366">
        <f>IF($M366="","",DEGREES(ATAN2($K366,$L366)))</f>
        <v/>
      </c>
      <c r="P366">
        <f t="array" ref="P366">IF($N366="","",IFERROR(IF(INDEX(geo_grid!$B$2:$JU$231,INT(($N366+40)/0.5)+1,INT(($O366+30)/0.5)+1)="","",INDEX(geo_grid!$B$2:$JU$231,INT(($N366+40)/0.5)+1,INT(($O366+30)/0.5)+1)),"OUTSIDE GRID"))</f>
        <v/>
      </c>
      <c r="Q366">
        <f>IF($P366="","",$A366*1000+$B366)</f>
        <v/>
      </c>
    </row>
    <row r="367">
      <c r="A367">
        <f>INT((ROW()-2)/151)+1</f>
        <v/>
      </c>
      <c r="B367">
        <f>MOD(ROW()-2,151)</f>
        <v/>
      </c>
      <c r="C367">
        <f t="array" ref="C367">IFERROR(INDEX('TRIP MANAGER'!$O$18:$O$25,$A367),"")</f>
        <v/>
      </c>
      <c r="D367">
        <f t="array" ref="D367">IFERROR(INDEX('TRIP MANAGER'!$P$18:$P$25,$A367),"")</f>
        <v/>
      </c>
      <c r="E367">
        <f t="array" ref="E367">IFERROR(INDEX('TRIP MANAGER'!$Q$18:$Q$25,$A367),"")</f>
        <v/>
      </c>
      <c r="F367">
        <f t="array" ref="F367">IFERROR(INDEX('TRIP MANAGER'!$R$18:$R$25,$A367),"")</f>
        <v/>
      </c>
      <c r="G367">
        <f t="array" ref="G367">IFERROR(INDEX('TRIP MANAGER'!$S$18:$S$25,$A367),"")</f>
        <v/>
      </c>
      <c r="H367">
        <f>$B367/150</f>
        <v/>
      </c>
      <c r="I367">
        <f>IF(OR($G367="",$G367=0),"",SIN((1-$H367)*$G367)/SIN($G367))</f>
        <v/>
      </c>
      <c r="J367">
        <f>IF($I367="","",SIN($H367*$G367)/SIN($G367))</f>
        <v/>
      </c>
      <c r="K367">
        <f>IF($I367="","",$I367*COS(RADIANS($C367))*COS(RADIANS($D367))+$J367*COS(RADIANS($E367))*COS(RADIANS($F367)))</f>
        <v/>
      </c>
      <c r="L367">
        <f>IF($I367="","",$I367*COS(RADIANS($C367))*SIN(RADIANS($D367))+$J367*COS(RADIANS($E367))*SIN(RADIANS($F367)))</f>
        <v/>
      </c>
      <c r="M367">
        <f>IF($I367="","",$I367*SIN(RADIANS($C367))+$J367*SIN(RADIANS($E367)))</f>
        <v/>
      </c>
      <c r="N367">
        <f>IF($M367="","",DEGREES(ATAN2(SQRT($K367^2+$L367^2),$M367)))</f>
        <v/>
      </c>
      <c r="O367">
        <f>IF($M367="","",DEGREES(ATAN2($K367,$L367)))</f>
        <v/>
      </c>
      <c r="P367">
        <f t="array" ref="P367">IF($N367="","",IFERROR(IF(INDEX(geo_grid!$B$2:$JU$231,INT(($N367+40)/0.5)+1,INT(($O367+30)/0.5)+1)="","",INDEX(geo_grid!$B$2:$JU$231,INT(($N367+40)/0.5)+1,INT(($O367+30)/0.5)+1)),"OUTSIDE GRID"))</f>
        <v/>
      </c>
      <c r="Q367">
        <f>IF($P367="","",$A367*1000+$B367)</f>
        <v/>
      </c>
    </row>
    <row r="368">
      <c r="A368">
        <f>INT((ROW()-2)/151)+1</f>
        <v/>
      </c>
      <c r="B368">
        <f>MOD(ROW()-2,151)</f>
        <v/>
      </c>
      <c r="C368">
        <f t="array" ref="C368">IFERROR(INDEX('TRIP MANAGER'!$O$18:$O$25,$A368),"")</f>
        <v/>
      </c>
      <c r="D368">
        <f t="array" ref="D368">IFERROR(INDEX('TRIP MANAGER'!$P$18:$P$25,$A368),"")</f>
        <v/>
      </c>
      <c r="E368">
        <f t="array" ref="E368">IFERROR(INDEX('TRIP MANAGER'!$Q$18:$Q$25,$A368),"")</f>
        <v/>
      </c>
      <c r="F368">
        <f t="array" ref="F368">IFERROR(INDEX('TRIP MANAGER'!$R$18:$R$25,$A368),"")</f>
        <v/>
      </c>
      <c r="G368">
        <f t="array" ref="G368">IFERROR(INDEX('TRIP MANAGER'!$S$18:$S$25,$A368),"")</f>
        <v/>
      </c>
      <c r="H368">
        <f>$B368/150</f>
        <v/>
      </c>
      <c r="I368">
        <f>IF(OR($G368="",$G368=0),"",SIN((1-$H368)*$G368)/SIN($G368))</f>
        <v/>
      </c>
      <c r="J368">
        <f>IF($I368="","",SIN($H368*$G368)/SIN($G368))</f>
        <v/>
      </c>
      <c r="K368">
        <f>IF($I368="","",$I368*COS(RADIANS($C368))*COS(RADIANS($D368))+$J368*COS(RADIANS($E368))*COS(RADIANS($F368)))</f>
        <v/>
      </c>
      <c r="L368">
        <f>IF($I368="","",$I368*COS(RADIANS($C368))*SIN(RADIANS($D368))+$J368*COS(RADIANS($E368))*SIN(RADIANS($F368)))</f>
        <v/>
      </c>
      <c r="M368">
        <f>IF($I368="","",$I368*SIN(RADIANS($C368))+$J368*SIN(RADIANS($E368)))</f>
        <v/>
      </c>
      <c r="N368">
        <f>IF($M368="","",DEGREES(ATAN2(SQRT($K368^2+$L368^2),$M368)))</f>
        <v/>
      </c>
      <c r="O368">
        <f>IF($M368="","",DEGREES(ATAN2($K368,$L368)))</f>
        <v/>
      </c>
      <c r="P368">
        <f t="array" ref="P368">IF($N368="","",IFERROR(IF(INDEX(geo_grid!$B$2:$JU$231,INT(($N368+40)/0.5)+1,INT(($O368+30)/0.5)+1)="","",INDEX(geo_grid!$B$2:$JU$231,INT(($N368+40)/0.5)+1,INT(($O368+30)/0.5)+1)),"OUTSIDE GRID"))</f>
        <v/>
      </c>
      <c r="Q368">
        <f>IF($P368="","",$A368*1000+$B368)</f>
        <v/>
      </c>
    </row>
    <row r="369">
      <c r="A369">
        <f>INT((ROW()-2)/151)+1</f>
        <v/>
      </c>
      <c r="B369">
        <f>MOD(ROW()-2,151)</f>
        <v/>
      </c>
      <c r="C369">
        <f t="array" ref="C369">IFERROR(INDEX('TRIP MANAGER'!$O$18:$O$25,$A369),"")</f>
        <v/>
      </c>
      <c r="D369">
        <f t="array" ref="D369">IFERROR(INDEX('TRIP MANAGER'!$P$18:$P$25,$A369),"")</f>
        <v/>
      </c>
      <c r="E369">
        <f t="array" ref="E369">IFERROR(INDEX('TRIP MANAGER'!$Q$18:$Q$25,$A369),"")</f>
        <v/>
      </c>
      <c r="F369">
        <f t="array" ref="F369">IFERROR(INDEX('TRIP MANAGER'!$R$18:$R$25,$A369),"")</f>
        <v/>
      </c>
      <c r="G369">
        <f t="array" ref="G369">IFERROR(INDEX('TRIP MANAGER'!$S$18:$S$25,$A369),"")</f>
        <v/>
      </c>
      <c r="H369">
        <f>$B369/150</f>
        <v/>
      </c>
      <c r="I369">
        <f>IF(OR($G369="",$G369=0),"",SIN((1-$H369)*$G369)/SIN($G369))</f>
        <v/>
      </c>
      <c r="J369">
        <f>IF($I369="","",SIN($H369*$G369)/SIN($G369))</f>
        <v/>
      </c>
      <c r="K369">
        <f>IF($I369="","",$I369*COS(RADIANS($C369))*COS(RADIANS($D369))+$J369*COS(RADIANS($E369))*COS(RADIANS($F369)))</f>
        <v/>
      </c>
      <c r="L369">
        <f>IF($I369="","",$I369*COS(RADIANS($C369))*SIN(RADIANS($D369))+$J369*COS(RADIANS($E369))*SIN(RADIANS($F369)))</f>
        <v/>
      </c>
      <c r="M369">
        <f>IF($I369="","",$I369*SIN(RADIANS($C369))+$J369*SIN(RADIANS($E369)))</f>
        <v/>
      </c>
      <c r="N369">
        <f>IF($M369="","",DEGREES(ATAN2(SQRT($K369^2+$L369^2),$M369)))</f>
        <v/>
      </c>
      <c r="O369">
        <f>IF($M369="","",DEGREES(ATAN2($K369,$L369)))</f>
        <v/>
      </c>
      <c r="P369">
        <f t="array" ref="P369">IF($N369="","",IFERROR(IF(INDEX(geo_grid!$B$2:$JU$231,INT(($N369+40)/0.5)+1,INT(($O369+30)/0.5)+1)="","",INDEX(geo_grid!$B$2:$JU$231,INT(($N369+40)/0.5)+1,INT(($O369+30)/0.5)+1)),"OUTSIDE GRID"))</f>
        <v/>
      </c>
      <c r="Q369">
        <f>IF($P369="","",$A369*1000+$B369)</f>
        <v/>
      </c>
    </row>
    <row r="370">
      <c r="A370">
        <f>INT((ROW()-2)/151)+1</f>
        <v/>
      </c>
      <c r="B370">
        <f>MOD(ROW()-2,151)</f>
        <v/>
      </c>
      <c r="C370">
        <f t="array" ref="C370">IFERROR(INDEX('TRIP MANAGER'!$O$18:$O$25,$A370),"")</f>
        <v/>
      </c>
      <c r="D370">
        <f t="array" ref="D370">IFERROR(INDEX('TRIP MANAGER'!$P$18:$P$25,$A370),"")</f>
        <v/>
      </c>
      <c r="E370">
        <f t="array" ref="E370">IFERROR(INDEX('TRIP MANAGER'!$Q$18:$Q$25,$A370),"")</f>
        <v/>
      </c>
      <c r="F370">
        <f t="array" ref="F370">IFERROR(INDEX('TRIP MANAGER'!$R$18:$R$25,$A370),"")</f>
        <v/>
      </c>
      <c r="G370">
        <f t="array" ref="G370">IFERROR(INDEX('TRIP MANAGER'!$S$18:$S$25,$A370),"")</f>
        <v/>
      </c>
      <c r="H370">
        <f>$B370/150</f>
        <v/>
      </c>
      <c r="I370">
        <f>IF(OR($G370="",$G370=0),"",SIN((1-$H370)*$G370)/SIN($G370))</f>
        <v/>
      </c>
      <c r="J370">
        <f>IF($I370="","",SIN($H370*$G370)/SIN($G370))</f>
        <v/>
      </c>
      <c r="K370">
        <f>IF($I370="","",$I370*COS(RADIANS($C370))*COS(RADIANS($D370))+$J370*COS(RADIANS($E370))*COS(RADIANS($F370)))</f>
        <v/>
      </c>
      <c r="L370">
        <f>IF($I370="","",$I370*COS(RADIANS($C370))*SIN(RADIANS($D370))+$J370*COS(RADIANS($E370))*SIN(RADIANS($F370)))</f>
        <v/>
      </c>
      <c r="M370">
        <f>IF($I370="","",$I370*SIN(RADIANS($C370))+$J370*SIN(RADIANS($E370)))</f>
        <v/>
      </c>
      <c r="N370">
        <f>IF($M370="","",DEGREES(ATAN2(SQRT($K370^2+$L370^2),$M370)))</f>
        <v/>
      </c>
      <c r="O370">
        <f>IF($M370="","",DEGREES(ATAN2($K370,$L370)))</f>
        <v/>
      </c>
      <c r="P370">
        <f t="array" ref="P370">IF($N370="","",IFERROR(IF(INDEX(geo_grid!$B$2:$JU$231,INT(($N370+40)/0.5)+1,INT(($O370+30)/0.5)+1)="","",INDEX(geo_grid!$B$2:$JU$231,INT(($N370+40)/0.5)+1,INT(($O370+30)/0.5)+1)),"OUTSIDE GRID"))</f>
        <v/>
      </c>
      <c r="Q370">
        <f>IF($P370="","",$A370*1000+$B370)</f>
        <v/>
      </c>
    </row>
    <row r="371">
      <c r="A371">
        <f>INT((ROW()-2)/151)+1</f>
        <v/>
      </c>
      <c r="B371">
        <f>MOD(ROW()-2,151)</f>
        <v/>
      </c>
      <c r="C371">
        <f t="array" ref="C371">IFERROR(INDEX('TRIP MANAGER'!$O$18:$O$25,$A371),"")</f>
        <v/>
      </c>
      <c r="D371">
        <f t="array" ref="D371">IFERROR(INDEX('TRIP MANAGER'!$P$18:$P$25,$A371),"")</f>
        <v/>
      </c>
      <c r="E371">
        <f t="array" ref="E371">IFERROR(INDEX('TRIP MANAGER'!$Q$18:$Q$25,$A371),"")</f>
        <v/>
      </c>
      <c r="F371">
        <f t="array" ref="F371">IFERROR(INDEX('TRIP MANAGER'!$R$18:$R$25,$A371),"")</f>
        <v/>
      </c>
      <c r="G371">
        <f t="array" ref="G371">IFERROR(INDEX('TRIP MANAGER'!$S$18:$S$25,$A371),"")</f>
        <v/>
      </c>
      <c r="H371">
        <f>$B371/150</f>
        <v/>
      </c>
      <c r="I371">
        <f>IF(OR($G371="",$G371=0),"",SIN((1-$H371)*$G371)/SIN($G371))</f>
        <v/>
      </c>
      <c r="J371">
        <f>IF($I371="","",SIN($H371*$G371)/SIN($G371))</f>
        <v/>
      </c>
      <c r="K371">
        <f>IF($I371="","",$I371*COS(RADIANS($C371))*COS(RADIANS($D371))+$J371*COS(RADIANS($E371))*COS(RADIANS($F371)))</f>
        <v/>
      </c>
      <c r="L371">
        <f>IF($I371="","",$I371*COS(RADIANS($C371))*SIN(RADIANS($D371))+$J371*COS(RADIANS($E371))*SIN(RADIANS($F371)))</f>
        <v/>
      </c>
      <c r="M371">
        <f>IF($I371="","",$I371*SIN(RADIANS($C371))+$J371*SIN(RADIANS($E371)))</f>
        <v/>
      </c>
      <c r="N371">
        <f>IF($M371="","",DEGREES(ATAN2(SQRT($K371^2+$L371^2),$M371)))</f>
        <v/>
      </c>
      <c r="O371">
        <f>IF($M371="","",DEGREES(ATAN2($K371,$L371)))</f>
        <v/>
      </c>
      <c r="P371">
        <f t="array" ref="P371">IF($N371="","",IFERROR(IF(INDEX(geo_grid!$B$2:$JU$231,INT(($N371+40)/0.5)+1,INT(($O371+30)/0.5)+1)="","",INDEX(geo_grid!$B$2:$JU$231,INT(($N371+40)/0.5)+1,INT(($O371+30)/0.5)+1)),"OUTSIDE GRID"))</f>
        <v/>
      </c>
      <c r="Q371">
        <f>IF($P371="","",$A371*1000+$B371)</f>
        <v/>
      </c>
    </row>
    <row r="372">
      <c r="A372">
        <f>INT((ROW()-2)/151)+1</f>
        <v/>
      </c>
      <c r="B372">
        <f>MOD(ROW()-2,151)</f>
        <v/>
      </c>
      <c r="C372">
        <f t="array" ref="C372">IFERROR(INDEX('TRIP MANAGER'!$O$18:$O$25,$A372),"")</f>
        <v/>
      </c>
      <c r="D372">
        <f t="array" ref="D372">IFERROR(INDEX('TRIP MANAGER'!$P$18:$P$25,$A372),"")</f>
        <v/>
      </c>
      <c r="E372">
        <f t="array" ref="E372">IFERROR(INDEX('TRIP MANAGER'!$Q$18:$Q$25,$A372),"")</f>
        <v/>
      </c>
      <c r="F372">
        <f t="array" ref="F372">IFERROR(INDEX('TRIP MANAGER'!$R$18:$R$25,$A372),"")</f>
        <v/>
      </c>
      <c r="G372">
        <f t="array" ref="G372">IFERROR(INDEX('TRIP MANAGER'!$S$18:$S$25,$A372),"")</f>
        <v/>
      </c>
      <c r="H372">
        <f>$B372/150</f>
        <v/>
      </c>
      <c r="I372">
        <f>IF(OR($G372="",$G372=0),"",SIN((1-$H372)*$G372)/SIN($G372))</f>
        <v/>
      </c>
      <c r="J372">
        <f>IF($I372="","",SIN($H372*$G372)/SIN($G372))</f>
        <v/>
      </c>
      <c r="K372">
        <f>IF($I372="","",$I372*COS(RADIANS($C372))*COS(RADIANS($D372))+$J372*COS(RADIANS($E372))*COS(RADIANS($F372)))</f>
        <v/>
      </c>
      <c r="L372">
        <f>IF($I372="","",$I372*COS(RADIANS($C372))*SIN(RADIANS($D372))+$J372*COS(RADIANS($E372))*SIN(RADIANS($F372)))</f>
        <v/>
      </c>
      <c r="M372">
        <f>IF($I372="","",$I372*SIN(RADIANS($C372))+$J372*SIN(RADIANS($E372)))</f>
        <v/>
      </c>
      <c r="N372">
        <f>IF($M372="","",DEGREES(ATAN2(SQRT($K372^2+$L372^2),$M372)))</f>
        <v/>
      </c>
      <c r="O372">
        <f>IF($M372="","",DEGREES(ATAN2($K372,$L372)))</f>
        <v/>
      </c>
      <c r="P372">
        <f t="array" ref="P372">IF($N372="","",IFERROR(IF(INDEX(geo_grid!$B$2:$JU$231,INT(($N372+40)/0.5)+1,INT(($O372+30)/0.5)+1)="","",INDEX(geo_grid!$B$2:$JU$231,INT(($N372+40)/0.5)+1,INT(($O372+30)/0.5)+1)),"OUTSIDE GRID"))</f>
        <v/>
      </c>
      <c r="Q372">
        <f>IF($P372="","",$A372*1000+$B372)</f>
        <v/>
      </c>
    </row>
    <row r="373">
      <c r="A373">
        <f>INT((ROW()-2)/151)+1</f>
        <v/>
      </c>
      <c r="B373">
        <f>MOD(ROW()-2,151)</f>
        <v/>
      </c>
      <c r="C373">
        <f t="array" ref="C373">IFERROR(INDEX('TRIP MANAGER'!$O$18:$O$25,$A373),"")</f>
        <v/>
      </c>
      <c r="D373">
        <f t="array" ref="D373">IFERROR(INDEX('TRIP MANAGER'!$P$18:$P$25,$A373),"")</f>
        <v/>
      </c>
      <c r="E373">
        <f t="array" ref="E373">IFERROR(INDEX('TRIP MANAGER'!$Q$18:$Q$25,$A373),"")</f>
        <v/>
      </c>
      <c r="F373">
        <f t="array" ref="F373">IFERROR(INDEX('TRIP MANAGER'!$R$18:$R$25,$A373),"")</f>
        <v/>
      </c>
      <c r="G373">
        <f t="array" ref="G373">IFERROR(INDEX('TRIP MANAGER'!$S$18:$S$25,$A373),"")</f>
        <v/>
      </c>
      <c r="H373">
        <f>$B373/150</f>
        <v/>
      </c>
      <c r="I373">
        <f>IF(OR($G373="",$G373=0),"",SIN((1-$H373)*$G373)/SIN($G373))</f>
        <v/>
      </c>
      <c r="J373">
        <f>IF($I373="","",SIN($H373*$G373)/SIN($G373))</f>
        <v/>
      </c>
      <c r="K373">
        <f>IF($I373="","",$I373*COS(RADIANS($C373))*COS(RADIANS($D373))+$J373*COS(RADIANS($E373))*COS(RADIANS($F373)))</f>
        <v/>
      </c>
      <c r="L373">
        <f>IF($I373="","",$I373*COS(RADIANS($C373))*SIN(RADIANS($D373))+$J373*COS(RADIANS($E373))*SIN(RADIANS($F373)))</f>
        <v/>
      </c>
      <c r="M373">
        <f>IF($I373="","",$I373*SIN(RADIANS($C373))+$J373*SIN(RADIANS($E373)))</f>
        <v/>
      </c>
      <c r="N373">
        <f>IF($M373="","",DEGREES(ATAN2(SQRT($K373^2+$L373^2),$M373)))</f>
        <v/>
      </c>
      <c r="O373">
        <f>IF($M373="","",DEGREES(ATAN2($K373,$L373)))</f>
        <v/>
      </c>
      <c r="P373">
        <f t="array" ref="P373">IF($N373="","",IFERROR(IF(INDEX(geo_grid!$B$2:$JU$231,INT(($N373+40)/0.5)+1,INT(($O373+30)/0.5)+1)="","",INDEX(geo_grid!$B$2:$JU$231,INT(($N373+40)/0.5)+1,INT(($O373+30)/0.5)+1)),"OUTSIDE GRID"))</f>
        <v/>
      </c>
      <c r="Q373">
        <f>IF($P373="","",$A373*1000+$B373)</f>
        <v/>
      </c>
    </row>
    <row r="374">
      <c r="A374">
        <f>INT((ROW()-2)/151)+1</f>
        <v/>
      </c>
      <c r="B374">
        <f>MOD(ROW()-2,151)</f>
        <v/>
      </c>
      <c r="C374">
        <f t="array" ref="C374">IFERROR(INDEX('TRIP MANAGER'!$O$18:$O$25,$A374),"")</f>
        <v/>
      </c>
      <c r="D374">
        <f t="array" ref="D374">IFERROR(INDEX('TRIP MANAGER'!$P$18:$P$25,$A374),"")</f>
        <v/>
      </c>
      <c r="E374">
        <f t="array" ref="E374">IFERROR(INDEX('TRIP MANAGER'!$Q$18:$Q$25,$A374),"")</f>
        <v/>
      </c>
      <c r="F374">
        <f t="array" ref="F374">IFERROR(INDEX('TRIP MANAGER'!$R$18:$R$25,$A374),"")</f>
        <v/>
      </c>
      <c r="G374">
        <f t="array" ref="G374">IFERROR(INDEX('TRIP MANAGER'!$S$18:$S$25,$A374),"")</f>
        <v/>
      </c>
      <c r="H374">
        <f>$B374/150</f>
        <v/>
      </c>
      <c r="I374">
        <f>IF(OR($G374="",$G374=0),"",SIN((1-$H374)*$G374)/SIN($G374))</f>
        <v/>
      </c>
      <c r="J374">
        <f>IF($I374="","",SIN($H374*$G374)/SIN($G374))</f>
        <v/>
      </c>
      <c r="K374">
        <f>IF($I374="","",$I374*COS(RADIANS($C374))*COS(RADIANS($D374))+$J374*COS(RADIANS($E374))*COS(RADIANS($F374)))</f>
        <v/>
      </c>
      <c r="L374">
        <f>IF($I374="","",$I374*COS(RADIANS($C374))*SIN(RADIANS($D374))+$J374*COS(RADIANS($E374))*SIN(RADIANS($F374)))</f>
        <v/>
      </c>
      <c r="M374">
        <f>IF($I374="","",$I374*SIN(RADIANS($C374))+$J374*SIN(RADIANS($E374)))</f>
        <v/>
      </c>
      <c r="N374">
        <f>IF($M374="","",DEGREES(ATAN2(SQRT($K374^2+$L374^2),$M374)))</f>
        <v/>
      </c>
      <c r="O374">
        <f>IF($M374="","",DEGREES(ATAN2($K374,$L374)))</f>
        <v/>
      </c>
      <c r="P374">
        <f t="array" ref="P374">IF($N374="","",IFERROR(IF(INDEX(geo_grid!$B$2:$JU$231,INT(($N374+40)/0.5)+1,INT(($O374+30)/0.5)+1)="","",INDEX(geo_grid!$B$2:$JU$231,INT(($N374+40)/0.5)+1,INT(($O374+30)/0.5)+1)),"OUTSIDE GRID"))</f>
        <v/>
      </c>
      <c r="Q374">
        <f>IF($P374="","",$A374*1000+$B374)</f>
        <v/>
      </c>
    </row>
    <row r="375">
      <c r="A375">
        <f>INT((ROW()-2)/151)+1</f>
        <v/>
      </c>
      <c r="B375">
        <f>MOD(ROW()-2,151)</f>
        <v/>
      </c>
      <c r="C375">
        <f t="array" ref="C375">IFERROR(INDEX('TRIP MANAGER'!$O$18:$O$25,$A375),"")</f>
        <v/>
      </c>
      <c r="D375">
        <f t="array" ref="D375">IFERROR(INDEX('TRIP MANAGER'!$P$18:$P$25,$A375),"")</f>
        <v/>
      </c>
      <c r="E375">
        <f t="array" ref="E375">IFERROR(INDEX('TRIP MANAGER'!$Q$18:$Q$25,$A375),"")</f>
        <v/>
      </c>
      <c r="F375">
        <f t="array" ref="F375">IFERROR(INDEX('TRIP MANAGER'!$R$18:$R$25,$A375),"")</f>
        <v/>
      </c>
      <c r="G375">
        <f t="array" ref="G375">IFERROR(INDEX('TRIP MANAGER'!$S$18:$S$25,$A375),"")</f>
        <v/>
      </c>
      <c r="H375">
        <f>$B375/150</f>
        <v/>
      </c>
      <c r="I375">
        <f>IF(OR($G375="",$G375=0),"",SIN((1-$H375)*$G375)/SIN($G375))</f>
        <v/>
      </c>
      <c r="J375">
        <f>IF($I375="","",SIN($H375*$G375)/SIN($G375))</f>
        <v/>
      </c>
      <c r="K375">
        <f>IF($I375="","",$I375*COS(RADIANS($C375))*COS(RADIANS($D375))+$J375*COS(RADIANS($E375))*COS(RADIANS($F375)))</f>
        <v/>
      </c>
      <c r="L375">
        <f>IF($I375="","",$I375*COS(RADIANS($C375))*SIN(RADIANS($D375))+$J375*COS(RADIANS($E375))*SIN(RADIANS($F375)))</f>
        <v/>
      </c>
      <c r="M375">
        <f>IF($I375="","",$I375*SIN(RADIANS($C375))+$J375*SIN(RADIANS($E375)))</f>
        <v/>
      </c>
      <c r="N375">
        <f>IF($M375="","",DEGREES(ATAN2(SQRT($K375^2+$L375^2),$M375)))</f>
        <v/>
      </c>
      <c r="O375">
        <f>IF($M375="","",DEGREES(ATAN2($K375,$L375)))</f>
        <v/>
      </c>
      <c r="P375">
        <f t="array" ref="P375">IF($N375="","",IFERROR(IF(INDEX(geo_grid!$B$2:$JU$231,INT(($N375+40)/0.5)+1,INT(($O375+30)/0.5)+1)="","",INDEX(geo_grid!$B$2:$JU$231,INT(($N375+40)/0.5)+1,INT(($O375+30)/0.5)+1)),"OUTSIDE GRID"))</f>
        <v/>
      </c>
      <c r="Q375">
        <f>IF($P375="","",$A375*1000+$B375)</f>
        <v/>
      </c>
    </row>
    <row r="376">
      <c r="A376">
        <f>INT((ROW()-2)/151)+1</f>
        <v/>
      </c>
      <c r="B376">
        <f>MOD(ROW()-2,151)</f>
        <v/>
      </c>
      <c r="C376">
        <f t="array" ref="C376">IFERROR(INDEX('TRIP MANAGER'!$O$18:$O$25,$A376),"")</f>
        <v/>
      </c>
      <c r="D376">
        <f t="array" ref="D376">IFERROR(INDEX('TRIP MANAGER'!$P$18:$P$25,$A376),"")</f>
        <v/>
      </c>
      <c r="E376">
        <f t="array" ref="E376">IFERROR(INDEX('TRIP MANAGER'!$Q$18:$Q$25,$A376),"")</f>
        <v/>
      </c>
      <c r="F376">
        <f t="array" ref="F376">IFERROR(INDEX('TRIP MANAGER'!$R$18:$R$25,$A376),"")</f>
        <v/>
      </c>
      <c r="G376">
        <f t="array" ref="G376">IFERROR(INDEX('TRIP MANAGER'!$S$18:$S$25,$A376),"")</f>
        <v/>
      </c>
      <c r="H376">
        <f>$B376/150</f>
        <v/>
      </c>
      <c r="I376">
        <f>IF(OR($G376="",$G376=0),"",SIN((1-$H376)*$G376)/SIN($G376))</f>
        <v/>
      </c>
      <c r="J376">
        <f>IF($I376="","",SIN($H376*$G376)/SIN($G376))</f>
        <v/>
      </c>
      <c r="K376">
        <f>IF($I376="","",$I376*COS(RADIANS($C376))*COS(RADIANS($D376))+$J376*COS(RADIANS($E376))*COS(RADIANS($F376)))</f>
        <v/>
      </c>
      <c r="L376">
        <f>IF($I376="","",$I376*COS(RADIANS($C376))*SIN(RADIANS($D376))+$J376*COS(RADIANS($E376))*SIN(RADIANS($F376)))</f>
        <v/>
      </c>
      <c r="M376">
        <f>IF($I376="","",$I376*SIN(RADIANS($C376))+$J376*SIN(RADIANS($E376)))</f>
        <v/>
      </c>
      <c r="N376">
        <f>IF($M376="","",DEGREES(ATAN2(SQRT($K376^2+$L376^2),$M376)))</f>
        <v/>
      </c>
      <c r="O376">
        <f>IF($M376="","",DEGREES(ATAN2($K376,$L376)))</f>
        <v/>
      </c>
      <c r="P376">
        <f t="array" ref="P376">IF($N376="","",IFERROR(IF(INDEX(geo_grid!$B$2:$JU$231,INT(($N376+40)/0.5)+1,INT(($O376+30)/0.5)+1)="","",INDEX(geo_grid!$B$2:$JU$231,INT(($N376+40)/0.5)+1,INT(($O376+30)/0.5)+1)),"OUTSIDE GRID"))</f>
        <v/>
      </c>
      <c r="Q376">
        <f>IF($P376="","",$A376*1000+$B376)</f>
        <v/>
      </c>
    </row>
    <row r="377">
      <c r="A377">
        <f>INT((ROW()-2)/151)+1</f>
        <v/>
      </c>
      <c r="B377">
        <f>MOD(ROW()-2,151)</f>
        <v/>
      </c>
      <c r="C377">
        <f t="array" ref="C377">IFERROR(INDEX('TRIP MANAGER'!$O$18:$O$25,$A377),"")</f>
        <v/>
      </c>
      <c r="D377">
        <f t="array" ref="D377">IFERROR(INDEX('TRIP MANAGER'!$P$18:$P$25,$A377),"")</f>
        <v/>
      </c>
      <c r="E377">
        <f t="array" ref="E377">IFERROR(INDEX('TRIP MANAGER'!$Q$18:$Q$25,$A377),"")</f>
        <v/>
      </c>
      <c r="F377">
        <f t="array" ref="F377">IFERROR(INDEX('TRIP MANAGER'!$R$18:$R$25,$A377),"")</f>
        <v/>
      </c>
      <c r="G377">
        <f t="array" ref="G377">IFERROR(INDEX('TRIP MANAGER'!$S$18:$S$25,$A377),"")</f>
        <v/>
      </c>
      <c r="H377">
        <f>$B377/150</f>
        <v/>
      </c>
      <c r="I377">
        <f>IF(OR($G377="",$G377=0),"",SIN((1-$H377)*$G377)/SIN($G377))</f>
        <v/>
      </c>
      <c r="J377">
        <f>IF($I377="","",SIN($H377*$G377)/SIN($G377))</f>
        <v/>
      </c>
      <c r="K377">
        <f>IF($I377="","",$I377*COS(RADIANS($C377))*COS(RADIANS($D377))+$J377*COS(RADIANS($E377))*COS(RADIANS($F377)))</f>
        <v/>
      </c>
      <c r="L377">
        <f>IF($I377="","",$I377*COS(RADIANS($C377))*SIN(RADIANS($D377))+$J377*COS(RADIANS($E377))*SIN(RADIANS($F377)))</f>
        <v/>
      </c>
      <c r="M377">
        <f>IF($I377="","",$I377*SIN(RADIANS($C377))+$J377*SIN(RADIANS($E377)))</f>
        <v/>
      </c>
      <c r="N377">
        <f>IF($M377="","",DEGREES(ATAN2(SQRT($K377^2+$L377^2),$M377)))</f>
        <v/>
      </c>
      <c r="O377">
        <f>IF($M377="","",DEGREES(ATAN2($K377,$L377)))</f>
        <v/>
      </c>
      <c r="P377">
        <f t="array" ref="P377">IF($N377="","",IFERROR(IF(INDEX(geo_grid!$B$2:$JU$231,INT(($N377+40)/0.5)+1,INT(($O377+30)/0.5)+1)="","",INDEX(geo_grid!$B$2:$JU$231,INT(($N377+40)/0.5)+1,INT(($O377+30)/0.5)+1)),"OUTSIDE GRID"))</f>
        <v/>
      </c>
      <c r="Q377">
        <f>IF($P377="","",$A377*1000+$B377)</f>
        <v/>
      </c>
    </row>
    <row r="378">
      <c r="A378">
        <f>INT((ROW()-2)/151)+1</f>
        <v/>
      </c>
      <c r="B378">
        <f>MOD(ROW()-2,151)</f>
        <v/>
      </c>
      <c r="C378">
        <f t="array" ref="C378">IFERROR(INDEX('TRIP MANAGER'!$O$18:$O$25,$A378),"")</f>
        <v/>
      </c>
      <c r="D378">
        <f t="array" ref="D378">IFERROR(INDEX('TRIP MANAGER'!$P$18:$P$25,$A378),"")</f>
        <v/>
      </c>
      <c r="E378">
        <f t="array" ref="E378">IFERROR(INDEX('TRIP MANAGER'!$Q$18:$Q$25,$A378),"")</f>
        <v/>
      </c>
      <c r="F378">
        <f t="array" ref="F378">IFERROR(INDEX('TRIP MANAGER'!$R$18:$R$25,$A378),"")</f>
        <v/>
      </c>
      <c r="G378">
        <f t="array" ref="G378">IFERROR(INDEX('TRIP MANAGER'!$S$18:$S$25,$A378),"")</f>
        <v/>
      </c>
      <c r="H378">
        <f>$B378/150</f>
        <v/>
      </c>
      <c r="I378">
        <f>IF(OR($G378="",$G378=0),"",SIN((1-$H378)*$G378)/SIN($G378))</f>
        <v/>
      </c>
      <c r="J378">
        <f>IF($I378="","",SIN($H378*$G378)/SIN($G378))</f>
        <v/>
      </c>
      <c r="K378">
        <f>IF($I378="","",$I378*COS(RADIANS($C378))*COS(RADIANS($D378))+$J378*COS(RADIANS($E378))*COS(RADIANS($F378)))</f>
        <v/>
      </c>
      <c r="L378">
        <f>IF($I378="","",$I378*COS(RADIANS($C378))*SIN(RADIANS($D378))+$J378*COS(RADIANS($E378))*SIN(RADIANS($F378)))</f>
        <v/>
      </c>
      <c r="M378">
        <f>IF($I378="","",$I378*SIN(RADIANS($C378))+$J378*SIN(RADIANS($E378)))</f>
        <v/>
      </c>
      <c r="N378">
        <f>IF($M378="","",DEGREES(ATAN2(SQRT($K378^2+$L378^2),$M378)))</f>
        <v/>
      </c>
      <c r="O378">
        <f>IF($M378="","",DEGREES(ATAN2($K378,$L378)))</f>
        <v/>
      </c>
      <c r="P378">
        <f t="array" ref="P378">IF($N378="","",IFERROR(IF(INDEX(geo_grid!$B$2:$JU$231,INT(($N378+40)/0.5)+1,INT(($O378+30)/0.5)+1)="","",INDEX(geo_grid!$B$2:$JU$231,INT(($N378+40)/0.5)+1,INT(($O378+30)/0.5)+1)),"OUTSIDE GRID"))</f>
        <v/>
      </c>
      <c r="Q378">
        <f>IF($P378="","",$A378*1000+$B378)</f>
        <v/>
      </c>
    </row>
    <row r="379">
      <c r="A379">
        <f>INT((ROW()-2)/151)+1</f>
        <v/>
      </c>
      <c r="B379">
        <f>MOD(ROW()-2,151)</f>
        <v/>
      </c>
      <c r="C379">
        <f t="array" ref="C379">IFERROR(INDEX('TRIP MANAGER'!$O$18:$O$25,$A379),"")</f>
        <v/>
      </c>
      <c r="D379">
        <f t="array" ref="D379">IFERROR(INDEX('TRIP MANAGER'!$P$18:$P$25,$A379),"")</f>
        <v/>
      </c>
      <c r="E379">
        <f t="array" ref="E379">IFERROR(INDEX('TRIP MANAGER'!$Q$18:$Q$25,$A379),"")</f>
        <v/>
      </c>
      <c r="F379">
        <f t="array" ref="F379">IFERROR(INDEX('TRIP MANAGER'!$R$18:$R$25,$A379),"")</f>
        <v/>
      </c>
      <c r="G379">
        <f t="array" ref="G379">IFERROR(INDEX('TRIP MANAGER'!$S$18:$S$25,$A379),"")</f>
        <v/>
      </c>
      <c r="H379">
        <f>$B379/150</f>
        <v/>
      </c>
      <c r="I379">
        <f>IF(OR($G379="",$G379=0),"",SIN((1-$H379)*$G379)/SIN($G379))</f>
        <v/>
      </c>
      <c r="J379">
        <f>IF($I379="","",SIN($H379*$G379)/SIN($G379))</f>
        <v/>
      </c>
      <c r="K379">
        <f>IF($I379="","",$I379*COS(RADIANS($C379))*COS(RADIANS($D379))+$J379*COS(RADIANS($E379))*COS(RADIANS($F379)))</f>
        <v/>
      </c>
      <c r="L379">
        <f>IF($I379="","",$I379*COS(RADIANS($C379))*SIN(RADIANS($D379))+$J379*COS(RADIANS($E379))*SIN(RADIANS($F379)))</f>
        <v/>
      </c>
      <c r="M379">
        <f>IF($I379="","",$I379*SIN(RADIANS($C379))+$J379*SIN(RADIANS($E379)))</f>
        <v/>
      </c>
      <c r="N379">
        <f>IF($M379="","",DEGREES(ATAN2(SQRT($K379^2+$L379^2),$M379)))</f>
        <v/>
      </c>
      <c r="O379">
        <f>IF($M379="","",DEGREES(ATAN2($K379,$L379)))</f>
        <v/>
      </c>
      <c r="P379">
        <f t="array" ref="P379">IF($N379="","",IFERROR(IF(INDEX(geo_grid!$B$2:$JU$231,INT(($N379+40)/0.5)+1,INT(($O379+30)/0.5)+1)="","",INDEX(geo_grid!$B$2:$JU$231,INT(($N379+40)/0.5)+1,INT(($O379+30)/0.5)+1)),"OUTSIDE GRID"))</f>
        <v/>
      </c>
      <c r="Q379">
        <f>IF($P379="","",$A379*1000+$B379)</f>
        <v/>
      </c>
    </row>
    <row r="380">
      <c r="A380">
        <f>INT((ROW()-2)/151)+1</f>
        <v/>
      </c>
      <c r="B380">
        <f>MOD(ROW()-2,151)</f>
        <v/>
      </c>
      <c r="C380">
        <f t="array" ref="C380">IFERROR(INDEX('TRIP MANAGER'!$O$18:$O$25,$A380),"")</f>
        <v/>
      </c>
      <c r="D380">
        <f t="array" ref="D380">IFERROR(INDEX('TRIP MANAGER'!$P$18:$P$25,$A380),"")</f>
        <v/>
      </c>
      <c r="E380">
        <f t="array" ref="E380">IFERROR(INDEX('TRIP MANAGER'!$Q$18:$Q$25,$A380),"")</f>
        <v/>
      </c>
      <c r="F380">
        <f t="array" ref="F380">IFERROR(INDEX('TRIP MANAGER'!$R$18:$R$25,$A380),"")</f>
        <v/>
      </c>
      <c r="G380">
        <f t="array" ref="G380">IFERROR(INDEX('TRIP MANAGER'!$S$18:$S$25,$A380),"")</f>
        <v/>
      </c>
      <c r="H380">
        <f>$B380/150</f>
        <v/>
      </c>
      <c r="I380">
        <f>IF(OR($G380="",$G380=0),"",SIN((1-$H380)*$G380)/SIN($G380))</f>
        <v/>
      </c>
      <c r="J380">
        <f>IF($I380="","",SIN($H380*$G380)/SIN($G380))</f>
        <v/>
      </c>
      <c r="K380">
        <f>IF($I380="","",$I380*COS(RADIANS($C380))*COS(RADIANS($D380))+$J380*COS(RADIANS($E380))*COS(RADIANS($F380)))</f>
        <v/>
      </c>
      <c r="L380">
        <f>IF($I380="","",$I380*COS(RADIANS($C380))*SIN(RADIANS($D380))+$J380*COS(RADIANS($E380))*SIN(RADIANS($F380)))</f>
        <v/>
      </c>
      <c r="M380">
        <f>IF($I380="","",$I380*SIN(RADIANS($C380))+$J380*SIN(RADIANS($E380)))</f>
        <v/>
      </c>
      <c r="N380">
        <f>IF($M380="","",DEGREES(ATAN2(SQRT($K380^2+$L380^2),$M380)))</f>
        <v/>
      </c>
      <c r="O380">
        <f>IF($M380="","",DEGREES(ATAN2($K380,$L380)))</f>
        <v/>
      </c>
      <c r="P380">
        <f t="array" ref="P380">IF($N380="","",IFERROR(IF(INDEX(geo_grid!$B$2:$JU$231,INT(($N380+40)/0.5)+1,INT(($O380+30)/0.5)+1)="","",INDEX(geo_grid!$B$2:$JU$231,INT(($N380+40)/0.5)+1,INT(($O380+30)/0.5)+1)),"OUTSIDE GRID"))</f>
        <v/>
      </c>
      <c r="Q380">
        <f>IF($P380="","",$A380*1000+$B380)</f>
        <v/>
      </c>
    </row>
    <row r="381">
      <c r="A381">
        <f>INT((ROW()-2)/151)+1</f>
        <v/>
      </c>
      <c r="B381">
        <f>MOD(ROW()-2,151)</f>
        <v/>
      </c>
      <c r="C381">
        <f t="array" ref="C381">IFERROR(INDEX('TRIP MANAGER'!$O$18:$O$25,$A381),"")</f>
        <v/>
      </c>
      <c r="D381">
        <f t="array" ref="D381">IFERROR(INDEX('TRIP MANAGER'!$P$18:$P$25,$A381),"")</f>
        <v/>
      </c>
      <c r="E381">
        <f t="array" ref="E381">IFERROR(INDEX('TRIP MANAGER'!$Q$18:$Q$25,$A381),"")</f>
        <v/>
      </c>
      <c r="F381">
        <f t="array" ref="F381">IFERROR(INDEX('TRIP MANAGER'!$R$18:$R$25,$A381),"")</f>
        <v/>
      </c>
      <c r="G381">
        <f t="array" ref="G381">IFERROR(INDEX('TRIP MANAGER'!$S$18:$S$25,$A381),"")</f>
        <v/>
      </c>
      <c r="H381">
        <f>$B381/150</f>
        <v/>
      </c>
      <c r="I381">
        <f>IF(OR($G381="",$G381=0),"",SIN((1-$H381)*$G381)/SIN($G381))</f>
        <v/>
      </c>
      <c r="J381">
        <f>IF($I381="","",SIN($H381*$G381)/SIN($G381))</f>
        <v/>
      </c>
      <c r="K381">
        <f>IF($I381="","",$I381*COS(RADIANS($C381))*COS(RADIANS($D381))+$J381*COS(RADIANS($E381))*COS(RADIANS($F381)))</f>
        <v/>
      </c>
      <c r="L381">
        <f>IF($I381="","",$I381*COS(RADIANS($C381))*SIN(RADIANS($D381))+$J381*COS(RADIANS($E381))*SIN(RADIANS($F381)))</f>
        <v/>
      </c>
      <c r="M381">
        <f>IF($I381="","",$I381*SIN(RADIANS($C381))+$J381*SIN(RADIANS($E381)))</f>
        <v/>
      </c>
      <c r="N381">
        <f>IF($M381="","",DEGREES(ATAN2(SQRT($K381^2+$L381^2),$M381)))</f>
        <v/>
      </c>
      <c r="O381">
        <f>IF($M381="","",DEGREES(ATAN2($K381,$L381)))</f>
        <v/>
      </c>
      <c r="P381">
        <f t="array" ref="P381">IF($N381="","",IFERROR(IF(INDEX(geo_grid!$B$2:$JU$231,INT(($N381+40)/0.5)+1,INT(($O381+30)/0.5)+1)="","",INDEX(geo_grid!$B$2:$JU$231,INT(($N381+40)/0.5)+1,INT(($O381+30)/0.5)+1)),"OUTSIDE GRID"))</f>
        <v/>
      </c>
      <c r="Q381">
        <f>IF($P381="","",$A381*1000+$B381)</f>
        <v/>
      </c>
    </row>
    <row r="382">
      <c r="A382">
        <f>INT((ROW()-2)/151)+1</f>
        <v/>
      </c>
      <c r="B382">
        <f>MOD(ROW()-2,151)</f>
        <v/>
      </c>
      <c r="C382">
        <f t="array" ref="C382">IFERROR(INDEX('TRIP MANAGER'!$O$18:$O$25,$A382),"")</f>
        <v/>
      </c>
      <c r="D382">
        <f t="array" ref="D382">IFERROR(INDEX('TRIP MANAGER'!$P$18:$P$25,$A382),"")</f>
        <v/>
      </c>
      <c r="E382">
        <f t="array" ref="E382">IFERROR(INDEX('TRIP MANAGER'!$Q$18:$Q$25,$A382),"")</f>
        <v/>
      </c>
      <c r="F382">
        <f t="array" ref="F382">IFERROR(INDEX('TRIP MANAGER'!$R$18:$R$25,$A382),"")</f>
        <v/>
      </c>
      <c r="G382">
        <f t="array" ref="G382">IFERROR(INDEX('TRIP MANAGER'!$S$18:$S$25,$A382),"")</f>
        <v/>
      </c>
      <c r="H382">
        <f>$B382/150</f>
        <v/>
      </c>
      <c r="I382">
        <f>IF(OR($G382="",$G382=0),"",SIN((1-$H382)*$G382)/SIN($G382))</f>
        <v/>
      </c>
      <c r="J382">
        <f>IF($I382="","",SIN($H382*$G382)/SIN($G382))</f>
        <v/>
      </c>
      <c r="K382">
        <f>IF($I382="","",$I382*COS(RADIANS($C382))*COS(RADIANS($D382))+$J382*COS(RADIANS($E382))*COS(RADIANS($F382)))</f>
        <v/>
      </c>
      <c r="L382">
        <f>IF($I382="","",$I382*COS(RADIANS($C382))*SIN(RADIANS($D382))+$J382*COS(RADIANS($E382))*SIN(RADIANS($F382)))</f>
        <v/>
      </c>
      <c r="M382">
        <f>IF($I382="","",$I382*SIN(RADIANS($C382))+$J382*SIN(RADIANS($E382)))</f>
        <v/>
      </c>
      <c r="N382">
        <f>IF($M382="","",DEGREES(ATAN2(SQRT($K382^2+$L382^2),$M382)))</f>
        <v/>
      </c>
      <c r="O382">
        <f>IF($M382="","",DEGREES(ATAN2($K382,$L382)))</f>
        <v/>
      </c>
      <c r="P382">
        <f t="array" ref="P382">IF($N382="","",IFERROR(IF(INDEX(geo_grid!$B$2:$JU$231,INT(($N382+40)/0.5)+1,INT(($O382+30)/0.5)+1)="","",INDEX(geo_grid!$B$2:$JU$231,INT(($N382+40)/0.5)+1,INT(($O382+30)/0.5)+1)),"OUTSIDE GRID"))</f>
        <v/>
      </c>
      <c r="Q382">
        <f>IF($P382="","",$A382*1000+$B382)</f>
        <v/>
      </c>
    </row>
    <row r="383">
      <c r="A383">
        <f>INT((ROW()-2)/151)+1</f>
        <v/>
      </c>
      <c r="B383">
        <f>MOD(ROW()-2,151)</f>
        <v/>
      </c>
      <c r="C383">
        <f t="array" ref="C383">IFERROR(INDEX('TRIP MANAGER'!$O$18:$O$25,$A383),"")</f>
        <v/>
      </c>
      <c r="D383">
        <f t="array" ref="D383">IFERROR(INDEX('TRIP MANAGER'!$P$18:$P$25,$A383),"")</f>
        <v/>
      </c>
      <c r="E383">
        <f t="array" ref="E383">IFERROR(INDEX('TRIP MANAGER'!$Q$18:$Q$25,$A383),"")</f>
        <v/>
      </c>
      <c r="F383">
        <f t="array" ref="F383">IFERROR(INDEX('TRIP MANAGER'!$R$18:$R$25,$A383),"")</f>
        <v/>
      </c>
      <c r="G383">
        <f t="array" ref="G383">IFERROR(INDEX('TRIP MANAGER'!$S$18:$S$25,$A383),"")</f>
        <v/>
      </c>
      <c r="H383">
        <f>$B383/150</f>
        <v/>
      </c>
      <c r="I383">
        <f>IF(OR($G383="",$G383=0),"",SIN((1-$H383)*$G383)/SIN($G383))</f>
        <v/>
      </c>
      <c r="J383">
        <f>IF($I383="","",SIN($H383*$G383)/SIN($G383))</f>
        <v/>
      </c>
      <c r="K383">
        <f>IF($I383="","",$I383*COS(RADIANS($C383))*COS(RADIANS($D383))+$J383*COS(RADIANS($E383))*COS(RADIANS($F383)))</f>
        <v/>
      </c>
      <c r="L383">
        <f>IF($I383="","",$I383*COS(RADIANS($C383))*SIN(RADIANS($D383))+$J383*COS(RADIANS($E383))*SIN(RADIANS($F383)))</f>
        <v/>
      </c>
      <c r="M383">
        <f>IF($I383="","",$I383*SIN(RADIANS($C383))+$J383*SIN(RADIANS($E383)))</f>
        <v/>
      </c>
      <c r="N383">
        <f>IF($M383="","",DEGREES(ATAN2(SQRT($K383^2+$L383^2),$M383)))</f>
        <v/>
      </c>
      <c r="O383">
        <f>IF($M383="","",DEGREES(ATAN2($K383,$L383)))</f>
        <v/>
      </c>
      <c r="P383">
        <f t="array" ref="P383">IF($N383="","",IFERROR(IF(INDEX(geo_grid!$B$2:$JU$231,INT(($N383+40)/0.5)+1,INT(($O383+30)/0.5)+1)="","",INDEX(geo_grid!$B$2:$JU$231,INT(($N383+40)/0.5)+1,INT(($O383+30)/0.5)+1)),"OUTSIDE GRID"))</f>
        <v/>
      </c>
      <c r="Q383">
        <f>IF($P383="","",$A383*1000+$B383)</f>
        <v/>
      </c>
    </row>
    <row r="384">
      <c r="A384">
        <f>INT((ROW()-2)/151)+1</f>
        <v/>
      </c>
      <c r="B384">
        <f>MOD(ROW()-2,151)</f>
        <v/>
      </c>
      <c r="C384">
        <f t="array" ref="C384">IFERROR(INDEX('TRIP MANAGER'!$O$18:$O$25,$A384),"")</f>
        <v/>
      </c>
      <c r="D384">
        <f t="array" ref="D384">IFERROR(INDEX('TRIP MANAGER'!$P$18:$P$25,$A384),"")</f>
        <v/>
      </c>
      <c r="E384">
        <f t="array" ref="E384">IFERROR(INDEX('TRIP MANAGER'!$Q$18:$Q$25,$A384),"")</f>
        <v/>
      </c>
      <c r="F384">
        <f t="array" ref="F384">IFERROR(INDEX('TRIP MANAGER'!$R$18:$R$25,$A384),"")</f>
        <v/>
      </c>
      <c r="G384">
        <f t="array" ref="G384">IFERROR(INDEX('TRIP MANAGER'!$S$18:$S$25,$A384),"")</f>
        <v/>
      </c>
      <c r="H384">
        <f>$B384/150</f>
        <v/>
      </c>
      <c r="I384">
        <f>IF(OR($G384="",$G384=0),"",SIN((1-$H384)*$G384)/SIN($G384))</f>
        <v/>
      </c>
      <c r="J384">
        <f>IF($I384="","",SIN($H384*$G384)/SIN($G384))</f>
        <v/>
      </c>
      <c r="K384">
        <f>IF($I384="","",$I384*COS(RADIANS($C384))*COS(RADIANS($D384))+$J384*COS(RADIANS($E384))*COS(RADIANS($F384)))</f>
        <v/>
      </c>
      <c r="L384">
        <f>IF($I384="","",$I384*COS(RADIANS($C384))*SIN(RADIANS($D384))+$J384*COS(RADIANS($E384))*SIN(RADIANS($F384)))</f>
        <v/>
      </c>
      <c r="M384">
        <f>IF($I384="","",$I384*SIN(RADIANS($C384))+$J384*SIN(RADIANS($E384)))</f>
        <v/>
      </c>
      <c r="N384">
        <f>IF($M384="","",DEGREES(ATAN2(SQRT($K384^2+$L384^2),$M384)))</f>
        <v/>
      </c>
      <c r="O384">
        <f>IF($M384="","",DEGREES(ATAN2($K384,$L384)))</f>
        <v/>
      </c>
      <c r="P384">
        <f t="array" ref="P384">IF($N384="","",IFERROR(IF(INDEX(geo_grid!$B$2:$JU$231,INT(($N384+40)/0.5)+1,INT(($O384+30)/0.5)+1)="","",INDEX(geo_grid!$B$2:$JU$231,INT(($N384+40)/0.5)+1,INT(($O384+30)/0.5)+1)),"OUTSIDE GRID"))</f>
        <v/>
      </c>
      <c r="Q384">
        <f>IF($P384="","",$A384*1000+$B384)</f>
        <v/>
      </c>
    </row>
    <row r="385">
      <c r="A385">
        <f>INT((ROW()-2)/151)+1</f>
        <v/>
      </c>
      <c r="B385">
        <f>MOD(ROW()-2,151)</f>
        <v/>
      </c>
      <c r="C385">
        <f t="array" ref="C385">IFERROR(INDEX('TRIP MANAGER'!$O$18:$O$25,$A385),"")</f>
        <v/>
      </c>
      <c r="D385">
        <f t="array" ref="D385">IFERROR(INDEX('TRIP MANAGER'!$P$18:$P$25,$A385),"")</f>
        <v/>
      </c>
      <c r="E385">
        <f t="array" ref="E385">IFERROR(INDEX('TRIP MANAGER'!$Q$18:$Q$25,$A385),"")</f>
        <v/>
      </c>
      <c r="F385">
        <f t="array" ref="F385">IFERROR(INDEX('TRIP MANAGER'!$R$18:$R$25,$A385),"")</f>
        <v/>
      </c>
      <c r="G385">
        <f t="array" ref="G385">IFERROR(INDEX('TRIP MANAGER'!$S$18:$S$25,$A385),"")</f>
        <v/>
      </c>
      <c r="H385">
        <f>$B385/150</f>
        <v/>
      </c>
      <c r="I385">
        <f>IF(OR($G385="",$G385=0),"",SIN((1-$H385)*$G385)/SIN($G385))</f>
        <v/>
      </c>
      <c r="J385">
        <f>IF($I385="","",SIN($H385*$G385)/SIN($G385))</f>
        <v/>
      </c>
      <c r="K385">
        <f>IF($I385="","",$I385*COS(RADIANS($C385))*COS(RADIANS($D385))+$J385*COS(RADIANS($E385))*COS(RADIANS($F385)))</f>
        <v/>
      </c>
      <c r="L385">
        <f>IF($I385="","",$I385*COS(RADIANS($C385))*SIN(RADIANS($D385))+$J385*COS(RADIANS($E385))*SIN(RADIANS($F385)))</f>
        <v/>
      </c>
      <c r="M385">
        <f>IF($I385="","",$I385*SIN(RADIANS($C385))+$J385*SIN(RADIANS($E385)))</f>
        <v/>
      </c>
      <c r="N385">
        <f>IF($M385="","",DEGREES(ATAN2(SQRT($K385^2+$L385^2),$M385)))</f>
        <v/>
      </c>
      <c r="O385">
        <f>IF($M385="","",DEGREES(ATAN2($K385,$L385)))</f>
        <v/>
      </c>
      <c r="P385">
        <f t="array" ref="P385">IF($N385="","",IFERROR(IF(INDEX(geo_grid!$B$2:$JU$231,INT(($N385+40)/0.5)+1,INT(($O385+30)/0.5)+1)="","",INDEX(geo_grid!$B$2:$JU$231,INT(($N385+40)/0.5)+1,INT(($O385+30)/0.5)+1)),"OUTSIDE GRID"))</f>
        <v/>
      </c>
      <c r="Q385">
        <f>IF($P385="","",$A385*1000+$B385)</f>
        <v/>
      </c>
    </row>
    <row r="386">
      <c r="A386">
        <f>INT((ROW()-2)/151)+1</f>
        <v/>
      </c>
      <c r="B386">
        <f>MOD(ROW()-2,151)</f>
        <v/>
      </c>
      <c r="C386">
        <f t="array" ref="C386">IFERROR(INDEX('TRIP MANAGER'!$O$18:$O$25,$A386),"")</f>
        <v/>
      </c>
      <c r="D386">
        <f t="array" ref="D386">IFERROR(INDEX('TRIP MANAGER'!$P$18:$P$25,$A386),"")</f>
        <v/>
      </c>
      <c r="E386">
        <f t="array" ref="E386">IFERROR(INDEX('TRIP MANAGER'!$Q$18:$Q$25,$A386),"")</f>
        <v/>
      </c>
      <c r="F386">
        <f t="array" ref="F386">IFERROR(INDEX('TRIP MANAGER'!$R$18:$R$25,$A386),"")</f>
        <v/>
      </c>
      <c r="G386">
        <f t="array" ref="G386">IFERROR(INDEX('TRIP MANAGER'!$S$18:$S$25,$A386),"")</f>
        <v/>
      </c>
      <c r="H386">
        <f>$B386/150</f>
        <v/>
      </c>
      <c r="I386">
        <f>IF(OR($G386="",$G386=0),"",SIN((1-$H386)*$G386)/SIN($G386))</f>
        <v/>
      </c>
      <c r="J386">
        <f>IF($I386="","",SIN($H386*$G386)/SIN($G386))</f>
        <v/>
      </c>
      <c r="K386">
        <f>IF($I386="","",$I386*COS(RADIANS($C386))*COS(RADIANS($D386))+$J386*COS(RADIANS($E386))*COS(RADIANS($F386)))</f>
        <v/>
      </c>
      <c r="L386">
        <f>IF($I386="","",$I386*COS(RADIANS($C386))*SIN(RADIANS($D386))+$J386*COS(RADIANS($E386))*SIN(RADIANS($F386)))</f>
        <v/>
      </c>
      <c r="M386">
        <f>IF($I386="","",$I386*SIN(RADIANS($C386))+$J386*SIN(RADIANS($E386)))</f>
        <v/>
      </c>
      <c r="N386">
        <f>IF($M386="","",DEGREES(ATAN2(SQRT($K386^2+$L386^2),$M386)))</f>
        <v/>
      </c>
      <c r="O386">
        <f>IF($M386="","",DEGREES(ATAN2($K386,$L386)))</f>
        <v/>
      </c>
      <c r="P386">
        <f t="array" ref="P386">IF($N386="","",IFERROR(IF(INDEX(geo_grid!$B$2:$JU$231,INT(($N386+40)/0.5)+1,INT(($O386+30)/0.5)+1)="","",INDEX(geo_grid!$B$2:$JU$231,INT(($N386+40)/0.5)+1,INT(($O386+30)/0.5)+1)),"OUTSIDE GRID"))</f>
        <v/>
      </c>
      <c r="Q386">
        <f>IF($P386="","",$A386*1000+$B386)</f>
        <v/>
      </c>
    </row>
    <row r="387">
      <c r="A387">
        <f>INT((ROW()-2)/151)+1</f>
        <v/>
      </c>
      <c r="B387">
        <f>MOD(ROW()-2,151)</f>
        <v/>
      </c>
      <c r="C387">
        <f t="array" ref="C387">IFERROR(INDEX('TRIP MANAGER'!$O$18:$O$25,$A387),"")</f>
        <v/>
      </c>
      <c r="D387">
        <f t="array" ref="D387">IFERROR(INDEX('TRIP MANAGER'!$P$18:$P$25,$A387),"")</f>
        <v/>
      </c>
      <c r="E387">
        <f t="array" ref="E387">IFERROR(INDEX('TRIP MANAGER'!$Q$18:$Q$25,$A387),"")</f>
        <v/>
      </c>
      <c r="F387">
        <f t="array" ref="F387">IFERROR(INDEX('TRIP MANAGER'!$R$18:$R$25,$A387),"")</f>
        <v/>
      </c>
      <c r="G387">
        <f t="array" ref="G387">IFERROR(INDEX('TRIP MANAGER'!$S$18:$S$25,$A387),"")</f>
        <v/>
      </c>
      <c r="H387">
        <f>$B387/150</f>
        <v/>
      </c>
      <c r="I387">
        <f>IF(OR($G387="",$G387=0),"",SIN((1-$H387)*$G387)/SIN($G387))</f>
        <v/>
      </c>
      <c r="J387">
        <f>IF($I387="","",SIN($H387*$G387)/SIN($G387))</f>
        <v/>
      </c>
      <c r="K387">
        <f>IF($I387="","",$I387*COS(RADIANS($C387))*COS(RADIANS($D387))+$J387*COS(RADIANS($E387))*COS(RADIANS($F387)))</f>
        <v/>
      </c>
      <c r="L387">
        <f>IF($I387="","",$I387*COS(RADIANS($C387))*SIN(RADIANS($D387))+$J387*COS(RADIANS($E387))*SIN(RADIANS($F387)))</f>
        <v/>
      </c>
      <c r="M387">
        <f>IF($I387="","",$I387*SIN(RADIANS($C387))+$J387*SIN(RADIANS($E387)))</f>
        <v/>
      </c>
      <c r="N387">
        <f>IF($M387="","",DEGREES(ATAN2(SQRT($K387^2+$L387^2),$M387)))</f>
        <v/>
      </c>
      <c r="O387">
        <f>IF($M387="","",DEGREES(ATAN2($K387,$L387)))</f>
        <v/>
      </c>
      <c r="P387">
        <f t="array" ref="P387">IF($N387="","",IFERROR(IF(INDEX(geo_grid!$B$2:$JU$231,INT(($N387+40)/0.5)+1,INT(($O387+30)/0.5)+1)="","",INDEX(geo_grid!$B$2:$JU$231,INT(($N387+40)/0.5)+1,INT(($O387+30)/0.5)+1)),"OUTSIDE GRID"))</f>
        <v/>
      </c>
      <c r="Q387">
        <f>IF($P387="","",$A387*1000+$B387)</f>
        <v/>
      </c>
    </row>
    <row r="388">
      <c r="A388">
        <f>INT((ROW()-2)/151)+1</f>
        <v/>
      </c>
      <c r="B388">
        <f>MOD(ROW()-2,151)</f>
        <v/>
      </c>
      <c r="C388">
        <f t="array" ref="C388">IFERROR(INDEX('TRIP MANAGER'!$O$18:$O$25,$A388),"")</f>
        <v/>
      </c>
      <c r="D388">
        <f t="array" ref="D388">IFERROR(INDEX('TRIP MANAGER'!$P$18:$P$25,$A388),"")</f>
        <v/>
      </c>
      <c r="E388">
        <f t="array" ref="E388">IFERROR(INDEX('TRIP MANAGER'!$Q$18:$Q$25,$A388),"")</f>
        <v/>
      </c>
      <c r="F388">
        <f t="array" ref="F388">IFERROR(INDEX('TRIP MANAGER'!$R$18:$R$25,$A388),"")</f>
        <v/>
      </c>
      <c r="G388">
        <f t="array" ref="G388">IFERROR(INDEX('TRIP MANAGER'!$S$18:$S$25,$A388),"")</f>
        <v/>
      </c>
      <c r="H388">
        <f>$B388/150</f>
        <v/>
      </c>
      <c r="I388">
        <f>IF(OR($G388="",$G388=0),"",SIN((1-$H388)*$G388)/SIN($G388))</f>
        <v/>
      </c>
      <c r="J388">
        <f>IF($I388="","",SIN($H388*$G388)/SIN($G388))</f>
        <v/>
      </c>
      <c r="K388">
        <f>IF($I388="","",$I388*COS(RADIANS($C388))*COS(RADIANS($D388))+$J388*COS(RADIANS($E388))*COS(RADIANS($F388)))</f>
        <v/>
      </c>
      <c r="L388">
        <f>IF($I388="","",$I388*COS(RADIANS($C388))*SIN(RADIANS($D388))+$J388*COS(RADIANS($E388))*SIN(RADIANS($F388)))</f>
        <v/>
      </c>
      <c r="M388">
        <f>IF($I388="","",$I388*SIN(RADIANS($C388))+$J388*SIN(RADIANS($E388)))</f>
        <v/>
      </c>
      <c r="N388">
        <f>IF($M388="","",DEGREES(ATAN2(SQRT($K388^2+$L388^2),$M388)))</f>
        <v/>
      </c>
      <c r="O388">
        <f>IF($M388="","",DEGREES(ATAN2($K388,$L388)))</f>
        <v/>
      </c>
      <c r="P388">
        <f t="array" ref="P388">IF($N388="","",IFERROR(IF(INDEX(geo_grid!$B$2:$JU$231,INT(($N388+40)/0.5)+1,INT(($O388+30)/0.5)+1)="","",INDEX(geo_grid!$B$2:$JU$231,INT(($N388+40)/0.5)+1,INT(($O388+30)/0.5)+1)),"OUTSIDE GRID"))</f>
        <v/>
      </c>
      <c r="Q388">
        <f>IF($P388="","",$A388*1000+$B388)</f>
        <v/>
      </c>
    </row>
    <row r="389">
      <c r="A389">
        <f>INT((ROW()-2)/151)+1</f>
        <v/>
      </c>
      <c r="B389">
        <f>MOD(ROW()-2,151)</f>
        <v/>
      </c>
      <c r="C389">
        <f t="array" ref="C389">IFERROR(INDEX('TRIP MANAGER'!$O$18:$O$25,$A389),"")</f>
        <v/>
      </c>
      <c r="D389">
        <f t="array" ref="D389">IFERROR(INDEX('TRIP MANAGER'!$P$18:$P$25,$A389),"")</f>
        <v/>
      </c>
      <c r="E389">
        <f t="array" ref="E389">IFERROR(INDEX('TRIP MANAGER'!$Q$18:$Q$25,$A389),"")</f>
        <v/>
      </c>
      <c r="F389">
        <f t="array" ref="F389">IFERROR(INDEX('TRIP MANAGER'!$R$18:$R$25,$A389),"")</f>
        <v/>
      </c>
      <c r="G389">
        <f t="array" ref="G389">IFERROR(INDEX('TRIP MANAGER'!$S$18:$S$25,$A389),"")</f>
        <v/>
      </c>
      <c r="H389">
        <f>$B389/150</f>
        <v/>
      </c>
      <c r="I389">
        <f>IF(OR($G389="",$G389=0),"",SIN((1-$H389)*$G389)/SIN($G389))</f>
        <v/>
      </c>
      <c r="J389">
        <f>IF($I389="","",SIN($H389*$G389)/SIN($G389))</f>
        <v/>
      </c>
      <c r="K389">
        <f>IF($I389="","",$I389*COS(RADIANS($C389))*COS(RADIANS($D389))+$J389*COS(RADIANS($E389))*COS(RADIANS($F389)))</f>
        <v/>
      </c>
      <c r="L389">
        <f>IF($I389="","",$I389*COS(RADIANS($C389))*SIN(RADIANS($D389))+$J389*COS(RADIANS($E389))*SIN(RADIANS($F389)))</f>
        <v/>
      </c>
      <c r="M389">
        <f>IF($I389="","",$I389*SIN(RADIANS($C389))+$J389*SIN(RADIANS($E389)))</f>
        <v/>
      </c>
      <c r="N389">
        <f>IF($M389="","",DEGREES(ATAN2(SQRT($K389^2+$L389^2),$M389)))</f>
        <v/>
      </c>
      <c r="O389">
        <f>IF($M389="","",DEGREES(ATAN2($K389,$L389)))</f>
        <v/>
      </c>
      <c r="P389">
        <f t="array" ref="P389">IF($N389="","",IFERROR(IF(INDEX(geo_grid!$B$2:$JU$231,INT(($N389+40)/0.5)+1,INT(($O389+30)/0.5)+1)="","",INDEX(geo_grid!$B$2:$JU$231,INT(($N389+40)/0.5)+1,INT(($O389+30)/0.5)+1)),"OUTSIDE GRID"))</f>
        <v/>
      </c>
      <c r="Q389">
        <f>IF($P389="","",$A389*1000+$B389)</f>
        <v/>
      </c>
    </row>
    <row r="390">
      <c r="A390">
        <f>INT((ROW()-2)/151)+1</f>
        <v/>
      </c>
      <c r="B390">
        <f>MOD(ROW()-2,151)</f>
        <v/>
      </c>
      <c r="C390">
        <f t="array" ref="C390">IFERROR(INDEX('TRIP MANAGER'!$O$18:$O$25,$A390),"")</f>
        <v/>
      </c>
      <c r="D390">
        <f t="array" ref="D390">IFERROR(INDEX('TRIP MANAGER'!$P$18:$P$25,$A390),"")</f>
        <v/>
      </c>
      <c r="E390">
        <f t="array" ref="E390">IFERROR(INDEX('TRIP MANAGER'!$Q$18:$Q$25,$A390),"")</f>
        <v/>
      </c>
      <c r="F390">
        <f t="array" ref="F390">IFERROR(INDEX('TRIP MANAGER'!$R$18:$R$25,$A390),"")</f>
        <v/>
      </c>
      <c r="G390">
        <f t="array" ref="G390">IFERROR(INDEX('TRIP MANAGER'!$S$18:$S$25,$A390),"")</f>
        <v/>
      </c>
      <c r="H390">
        <f>$B390/150</f>
        <v/>
      </c>
      <c r="I390">
        <f>IF(OR($G390="",$G390=0),"",SIN((1-$H390)*$G390)/SIN($G390))</f>
        <v/>
      </c>
      <c r="J390">
        <f>IF($I390="","",SIN($H390*$G390)/SIN($G390))</f>
        <v/>
      </c>
      <c r="K390">
        <f>IF($I390="","",$I390*COS(RADIANS($C390))*COS(RADIANS($D390))+$J390*COS(RADIANS($E390))*COS(RADIANS($F390)))</f>
        <v/>
      </c>
      <c r="L390">
        <f>IF($I390="","",$I390*COS(RADIANS($C390))*SIN(RADIANS($D390))+$J390*COS(RADIANS($E390))*SIN(RADIANS($F390)))</f>
        <v/>
      </c>
      <c r="M390">
        <f>IF($I390="","",$I390*SIN(RADIANS($C390))+$J390*SIN(RADIANS($E390)))</f>
        <v/>
      </c>
      <c r="N390">
        <f>IF($M390="","",DEGREES(ATAN2(SQRT($K390^2+$L390^2),$M390)))</f>
        <v/>
      </c>
      <c r="O390">
        <f>IF($M390="","",DEGREES(ATAN2($K390,$L390)))</f>
        <v/>
      </c>
      <c r="P390">
        <f t="array" ref="P390">IF($N390="","",IFERROR(IF(INDEX(geo_grid!$B$2:$JU$231,INT(($N390+40)/0.5)+1,INT(($O390+30)/0.5)+1)="","",INDEX(geo_grid!$B$2:$JU$231,INT(($N390+40)/0.5)+1,INT(($O390+30)/0.5)+1)),"OUTSIDE GRID"))</f>
        <v/>
      </c>
      <c r="Q390">
        <f>IF($P390="","",$A390*1000+$B390)</f>
        <v/>
      </c>
    </row>
    <row r="391">
      <c r="A391">
        <f>INT((ROW()-2)/151)+1</f>
        <v/>
      </c>
      <c r="B391">
        <f>MOD(ROW()-2,151)</f>
        <v/>
      </c>
      <c r="C391">
        <f t="array" ref="C391">IFERROR(INDEX('TRIP MANAGER'!$O$18:$O$25,$A391),"")</f>
        <v/>
      </c>
      <c r="D391">
        <f t="array" ref="D391">IFERROR(INDEX('TRIP MANAGER'!$P$18:$P$25,$A391),"")</f>
        <v/>
      </c>
      <c r="E391">
        <f t="array" ref="E391">IFERROR(INDEX('TRIP MANAGER'!$Q$18:$Q$25,$A391),"")</f>
        <v/>
      </c>
      <c r="F391">
        <f t="array" ref="F391">IFERROR(INDEX('TRIP MANAGER'!$R$18:$R$25,$A391),"")</f>
        <v/>
      </c>
      <c r="G391">
        <f t="array" ref="G391">IFERROR(INDEX('TRIP MANAGER'!$S$18:$S$25,$A391),"")</f>
        <v/>
      </c>
      <c r="H391">
        <f>$B391/150</f>
        <v/>
      </c>
      <c r="I391">
        <f>IF(OR($G391="",$G391=0),"",SIN((1-$H391)*$G391)/SIN($G391))</f>
        <v/>
      </c>
      <c r="J391">
        <f>IF($I391="","",SIN($H391*$G391)/SIN($G391))</f>
        <v/>
      </c>
      <c r="K391">
        <f>IF($I391="","",$I391*COS(RADIANS($C391))*COS(RADIANS($D391))+$J391*COS(RADIANS($E391))*COS(RADIANS($F391)))</f>
        <v/>
      </c>
      <c r="L391">
        <f>IF($I391="","",$I391*COS(RADIANS($C391))*SIN(RADIANS($D391))+$J391*COS(RADIANS($E391))*SIN(RADIANS($F391)))</f>
        <v/>
      </c>
      <c r="M391">
        <f>IF($I391="","",$I391*SIN(RADIANS($C391))+$J391*SIN(RADIANS($E391)))</f>
        <v/>
      </c>
      <c r="N391">
        <f>IF($M391="","",DEGREES(ATAN2(SQRT($K391^2+$L391^2),$M391)))</f>
        <v/>
      </c>
      <c r="O391">
        <f>IF($M391="","",DEGREES(ATAN2($K391,$L391)))</f>
        <v/>
      </c>
      <c r="P391">
        <f t="array" ref="P391">IF($N391="","",IFERROR(IF(INDEX(geo_grid!$B$2:$JU$231,INT(($N391+40)/0.5)+1,INT(($O391+30)/0.5)+1)="","",INDEX(geo_grid!$B$2:$JU$231,INT(($N391+40)/0.5)+1,INT(($O391+30)/0.5)+1)),"OUTSIDE GRID"))</f>
        <v/>
      </c>
      <c r="Q391">
        <f>IF($P391="","",$A391*1000+$B391)</f>
        <v/>
      </c>
    </row>
    <row r="392">
      <c r="A392">
        <f>INT((ROW()-2)/151)+1</f>
        <v/>
      </c>
      <c r="B392">
        <f>MOD(ROW()-2,151)</f>
        <v/>
      </c>
      <c r="C392">
        <f t="array" ref="C392">IFERROR(INDEX('TRIP MANAGER'!$O$18:$O$25,$A392),"")</f>
        <v/>
      </c>
      <c r="D392">
        <f t="array" ref="D392">IFERROR(INDEX('TRIP MANAGER'!$P$18:$P$25,$A392),"")</f>
        <v/>
      </c>
      <c r="E392">
        <f t="array" ref="E392">IFERROR(INDEX('TRIP MANAGER'!$Q$18:$Q$25,$A392),"")</f>
        <v/>
      </c>
      <c r="F392">
        <f t="array" ref="F392">IFERROR(INDEX('TRIP MANAGER'!$R$18:$R$25,$A392),"")</f>
        <v/>
      </c>
      <c r="G392">
        <f t="array" ref="G392">IFERROR(INDEX('TRIP MANAGER'!$S$18:$S$25,$A392),"")</f>
        <v/>
      </c>
      <c r="H392">
        <f>$B392/150</f>
        <v/>
      </c>
      <c r="I392">
        <f>IF(OR($G392="",$G392=0),"",SIN((1-$H392)*$G392)/SIN($G392))</f>
        <v/>
      </c>
      <c r="J392">
        <f>IF($I392="","",SIN($H392*$G392)/SIN($G392))</f>
        <v/>
      </c>
      <c r="K392">
        <f>IF($I392="","",$I392*COS(RADIANS($C392))*COS(RADIANS($D392))+$J392*COS(RADIANS($E392))*COS(RADIANS($F392)))</f>
        <v/>
      </c>
      <c r="L392">
        <f>IF($I392="","",$I392*COS(RADIANS($C392))*SIN(RADIANS($D392))+$J392*COS(RADIANS($E392))*SIN(RADIANS($F392)))</f>
        <v/>
      </c>
      <c r="M392">
        <f>IF($I392="","",$I392*SIN(RADIANS($C392))+$J392*SIN(RADIANS($E392)))</f>
        <v/>
      </c>
      <c r="N392">
        <f>IF($M392="","",DEGREES(ATAN2(SQRT($K392^2+$L392^2),$M392)))</f>
        <v/>
      </c>
      <c r="O392">
        <f>IF($M392="","",DEGREES(ATAN2($K392,$L392)))</f>
        <v/>
      </c>
      <c r="P392">
        <f t="array" ref="P392">IF($N392="","",IFERROR(IF(INDEX(geo_grid!$B$2:$JU$231,INT(($N392+40)/0.5)+1,INT(($O392+30)/0.5)+1)="","",INDEX(geo_grid!$B$2:$JU$231,INT(($N392+40)/0.5)+1,INT(($O392+30)/0.5)+1)),"OUTSIDE GRID"))</f>
        <v/>
      </c>
      <c r="Q392">
        <f>IF($P392="","",$A392*1000+$B392)</f>
        <v/>
      </c>
    </row>
    <row r="393">
      <c r="A393">
        <f>INT((ROW()-2)/151)+1</f>
        <v/>
      </c>
      <c r="B393">
        <f>MOD(ROW()-2,151)</f>
        <v/>
      </c>
      <c r="C393">
        <f t="array" ref="C393">IFERROR(INDEX('TRIP MANAGER'!$O$18:$O$25,$A393),"")</f>
        <v/>
      </c>
      <c r="D393">
        <f t="array" ref="D393">IFERROR(INDEX('TRIP MANAGER'!$P$18:$P$25,$A393),"")</f>
        <v/>
      </c>
      <c r="E393">
        <f t="array" ref="E393">IFERROR(INDEX('TRIP MANAGER'!$Q$18:$Q$25,$A393),"")</f>
        <v/>
      </c>
      <c r="F393">
        <f t="array" ref="F393">IFERROR(INDEX('TRIP MANAGER'!$R$18:$R$25,$A393),"")</f>
        <v/>
      </c>
      <c r="G393">
        <f t="array" ref="G393">IFERROR(INDEX('TRIP MANAGER'!$S$18:$S$25,$A393),"")</f>
        <v/>
      </c>
      <c r="H393">
        <f>$B393/150</f>
        <v/>
      </c>
      <c r="I393">
        <f>IF(OR($G393="",$G393=0),"",SIN((1-$H393)*$G393)/SIN($G393))</f>
        <v/>
      </c>
      <c r="J393">
        <f>IF($I393="","",SIN($H393*$G393)/SIN($G393))</f>
        <v/>
      </c>
      <c r="K393">
        <f>IF($I393="","",$I393*COS(RADIANS($C393))*COS(RADIANS($D393))+$J393*COS(RADIANS($E393))*COS(RADIANS($F393)))</f>
        <v/>
      </c>
      <c r="L393">
        <f>IF($I393="","",$I393*COS(RADIANS($C393))*SIN(RADIANS($D393))+$J393*COS(RADIANS($E393))*SIN(RADIANS($F393)))</f>
        <v/>
      </c>
      <c r="M393">
        <f>IF($I393="","",$I393*SIN(RADIANS($C393))+$J393*SIN(RADIANS($E393)))</f>
        <v/>
      </c>
      <c r="N393">
        <f>IF($M393="","",DEGREES(ATAN2(SQRT($K393^2+$L393^2),$M393)))</f>
        <v/>
      </c>
      <c r="O393">
        <f>IF($M393="","",DEGREES(ATAN2($K393,$L393)))</f>
        <v/>
      </c>
      <c r="P393">
        <f t="array" ref="P393">IF($N393="","",IFERROR(IF(INDEX(geo_grid!$B$2:$JU$231,INT(($N393+40)/0.5)+1,INT(($O393+30)/0.5)+1)="","",INDEX(geo_grid!$B$2:$JU$231,INT(($N393+40)/0.5)+1,INT(($O393+30)/0.5)+1)),"OUTSIDE GRID"))</f>
        <v/>
      </c>
      <c r="Q393">
        <f>IF($P393="","",$A393*1000+$B393)</f>
        <v/>
      </c>
    </row>
    <row r="394">
      <c r="A394">
        <f>INT((ROW()-2)/151)+1</f>
        <v/>
      </c>
      <c r="B394">
        <f>MOD(ROW()-2,151)</f>
        <v/>
      </c>
      <c r="C394">
        <f t="array" ref="C394">IFERROR(INDEX('TRIP MANAGER'!$O$18:$O$25,$A394),"")</f>
        <v/>
      </c>
      <c r="D394">
        <f t="array" ref="D394">IFERROR(INDEX('TRIP MANAGER'!$P$18:$P$25,$A394),"")</f>
        <v/>
      </c>
      <c r="E394">
        <f t="array" ref="E394">IFERROR(INDEX('TRIP MANAGER'!$Q$18:$Q$25,$A394),"")</f>
        <v/>
      </c>
      <c r="F394">
        <f t="array" ref="F394">IFERROR(INDEX('TRIP MANAGER'!$R$18:$R$25,$A394),"")</f>
        <v/>
      </c>
      <c r="G394">
        <f t="array" ref="G394">IFERROR(INDEX('TRIP MANAGER'!$S$18:$S$25,$A394),"")</f>
        <v/>
      </c>
      <c r="H394">
        <f>$B394/150</f>
        <v/>
      </c>
      <c r="I394">
        <f>IF(OR($G394="",$G394=0),"",SIN((1-$H394)*$G394)/SIN($G394))</f>
        <v/>
      </c>
      <c r="J394">
        <f>IF($I394="","",SIN($H394*$G394)/SIN($G394))</f>
        <v/>
      </c>
      <c r="K394">
        <f>IF($I394="","",$I394*COS(RADIANS($C394))*COS(RADIANS($D394))+$J394*COS(RADIANS($E394))*COS(RADIANS($F394)))</f>
        <v/>
      </c>
      <c r="L394">
        <f>IF($I394="","",$I394*COS(RADIANS($C394))*SIN(RADIANS($D394))+$J394*COS(RADIANS($E394))*SIN(RADIANS($F394)))</f>
        <v/>
      </c>
      <c r="M394">
        <f>IF($I394="","",$I394*SIN(RADIANS($C394))+$J394*SIN(RADIANS($E394)))</f>
        <v/>
      </c>
      <c r="N394">
        <f>IF($M394="","",DEGREES(ATAN2(SQRT($K394^2+$L394^2),$M394)))</f>
        <v/>
      </c>
      <c r="O394">
        <f>IF($M394="","",DEGREES(ATAN2($K394,$L394)))</f>
        <v/>
      </c>
      <c r="P394">
        <f t="array" ref="P394">IF($N394="","",IFERROR(IF(INDEX(geo_grid!$B$2:$JU$231,INT(($N394+40)/0.5)+1,INT(($O394+30)/0.5)+1)="","",INDEX(geo_grid!$B$2:$JU$231,INT(($N394+40)/0.5)+1,INT(($O394+30)/0.5)+1)),"OUTSIDE GRID"))</f>
        <v/>
      </c>
      <c r="Q394">
        <f>IF($P394="","",$A394*1000+$B394)</f>
        <v/>
      </c>
    </row>
    <row r="395">
      <c r="A395">
        <f>INT((ROW()-2)/151)+1</f>
        <v/>
      </c>
      <c r="B395">
        <f>MOD(ROW()-2,151)</f>
        <v/>
      </c>
      <c r="C395">
        <f t="array" ref="C395">IFERROR(INDEX('TRIP MANAGER'!$O$18:$O$25,$A395),"")</f>
        <v/>
      </c>
      <c r="D395">
        <f t="array" ref="D395">IFERROR(INDEX('TRIP MANAGER'!$P$18:$P$25,$A395),"")</f>
        <v/>
      </c>
      <c r="E395">
        <f t="array" ref="E395">IFERROR(INDEX('TRIP MANAGER'!$Q$18:$Q$25,$A395),"")</f>
        <v/>
      </c>
      <c r="F395">
        <f t="array" ref="F395">IFERROR(INDEX('TRIP MANAGER'!$R$18:$R$25,$A395),"")</f>
        <v/>
      </c>
      <c r="G395">
        <f t="array" ref="G395">IFERROR(INDEX('TRIP MANAGER'!$S$18:$S$25,$A395),"")</f>
        <v/>
      </c>
      <c r="H395">
        <f>$B395/150</f>
        <v/>
      </c>
      <c r="I395">
        <f>IF(OR($G395="",$G395=0),"",SIN((1-$H395)*$G395)/SIN($G395))</f>
        <v/>
      </c>
      <c r="J395">
        <f>IF($I395="","",SIN($H395*$G395)/SIN($G395))</f>
        <v/>
      </c>
      <c r="K395">
        <f>IF($I395="","",$I395*COS(RADIANS($C395))*COS(RADIANS($D395))+$J395*COS(RADIANS($E395))*COS(RADIANS($F395)))</f>
        <v/>
      </c>
      <c r="L395">
        <f>IF($I395="","",$I395*COS(RADIANS($C395))*SIN(RADIANS($D395))+$J395*COS(RADIANS($E395))*SIN(RADIANS($F395)))</f>
        <v/>
      </c>
      <c r="M395">
        <f>IF($I395="","",$I395*SIN(RADIANS($C395))+$J395*SIN(RADIANS($E395)))</f>
        <v/>
      </c>
      <c r="N395">
        <f>IF($M395="","",DEGREES(ATAN2(SQRT($K395^2+$L395^2),$M395)))</f>
        <v/>
      </c>
      <c r="O395">
        <f>IF($M395="","",DEGREES(ATAN2($K395,$L395)))</f>
        <v/>
      </c>
      <c r="P395">
        <f t="array" ref="P395">IF($N395="","",IFERROR(IF(INDEX(geo_grid!$B$2:$JU$231,INT(($N395+40)/0.5)+1,INT(($O395+30)/0.5)+1)="","",INDEX(geo_grid!$B$2:$JU$231,INT(($N395+40)/0.5)+1,INT(($O395+30)/0.5)+1)),"OUTSIDE GRID"))</f>
        <v/>
      </c>
      <c r="Q395">
        <f>IF($P395="","",$A395*1000+$B395)</f>
        <v/>
      </c>
    </row>
    <row r="396">
      <c r="A396">
        <f>INT((ROW()-2)/151)+1</f>
        <v/>
      </c>
      <c r="B396">
        <f>MOD(ROW()-2,151)</f>
        <v/>
      </c>
      <c r="C396">
        <f t="array" ref="C396">IFERROR(INDEX('TRIP MANAGER'!$O$18:$O$25,$A396),"")</f>
        <v/>
      </c>
      <c r="D396">
        <f t="array" ref="D396">IFERROR(INDEX('TRIP MANAGER'!$P$18:$P$25,$A396),"")</f>
        <v/>
      </c>
      <c r="E396">
        <f t="array" ref="E396">IFERROR(INDEX('TRIP MANAGER'!$Q$18:$Q$25,$A396),"")</f>
        <v/>
      </c>
      <c r="F396">
        <f t="array" ref="F396">IFERROR(INDEX('TRIP MANAGER'!$R$18:$R$25,$A396),"")</f>
        <v/>
      </c>
      <c r="G396">
        <f t="array" ref="G396">IFERROR(INDEX('TRIP MANAGER'!$S$18:$S$25,$A396),"")</f>
        <v/>
      </c>
      <c r="H396">
        <f>$B396/150</f>
        <v/>
      </c>
      <c r="I396">
        <f>IF(OR($G396="",$G396=0),"",SIN((1-$H396)*$G396)/SIN($G396))</f>
        <v/>
      </c>
      <c r="J396">
        <f>IF($I396="","",SIN($H396*$G396)/SIN($G396))</f>
        <v/>
      </c>
      <c r="K396">
        <f>IF($I396="","",$I396*COS(RADIANS($C396))*COS(RADIANS($D396))+$J396*COS(RADIANS($E396))*COS(RADIANS($F396)))</f>
        <v/>
      </c>
      <c r="L396">
        <f>IF($I396="","",$I396*COS(RADIANS($C396))*SIN(RADIANS($D396))+$J396*COS(RADIANS($E396))*SIN(RADIANS($F396)))</f>
        <v/>
      </c>
      <c r="M396">
        <f>IF($I396="","",$I396*SIN(RADIANS($C396))+$J396*SIN(RADIANS($E396)))</f>
        <v/>
      </c>
      <c r="N396">
        <f>IF($M396="","",DEGREES(ATAN2(SQRT($K396^2+$L396^2),$M396)))</f>
        <v/>
      </c>
      <c r="O396">
        <f>IF($M396="","",DEGREES(ATAN2($K396,$L396)))</f>
        <v/>
      </c>
      <c r="P396">
        <f t="array" ref="P396">IF($N396="","",IFERROR(IF(INDEX(geo_grid!$B$2:$JU$231,INT(($N396+40)/0.5)+1,INT(($O396+30)/0.5)+1)="","",INDEX(geo_grid!$B$2:$JU$231,INT(($N396+40)/0.5)+1,INT(($O396+30)/0.5)+1)),"OUTSIDE GRID"))</f>
        <v/>
      </c>
      <c r="Q396">
        <f>IF($P396="","",$A396*1000+$B396)</f>
        <v/>
      </c>
    </row>
    <row r="397">
      <c r="A397">
        <f>INT((ROW()-2)/151)+1</f>
        <v/>
      </c>
      <c r="B397">
        <f>MOD(ROW()-2,151)</f>
        <v/>
      </c>
      <c r="C397">
        <f t="array" ref="C397">IFERROR(INDEX('TRIP MANAGER'!$O$18:$O$25,$A397),"")</f>
        <v/>
      </c>
      <c r="D397">
        <f t="array" ref="D397">IFERROR(INDEX('TRIP MANAGER'!$P$18:$P$25,$A397),"")</f>
        <v/>
      </c>
      <c r="E397">
        <f t="array" ref="E397">IFERROR(INDEX('TRIP MANAGER'!$Q$18:$Q$25,$A397),"")</f>
        <v/>
      </c>
      <c r="F397">
        <f t="array" ref="F397">IFERROR(INDEX('TRIP MANAGER'!$R$18:$R$25,$A397),"")</f>
        <v/>
      </c>
      <c r="G397">
        <f t="array" ref="G397">IFERROR(INDEX('TRIP MANAGER'!$S$18:$S$25,$A397),"")</f>
        <v/>
      </c>
      <c r="H397">
        <f>$B397/150</f>
        <v/>
      </c>
      <c r="I397">
        <f>IF(OR($G397="",$G397=0),"",SIN((1-$H397)*$G397)/SIN($G397))</f>
        <v/>
      </c>
      <c r="J397">
        <f>IF($I397="","",SIN($H397*$G397)/SIN($G397))</f>
        <v/>
      </c>
      <c r="K397">
        <f>IF($I397="","",$I397*COS(RADIANS($C397))*COS(RADIANS($D397))+$J397*COS(RADIANS($E397))*COS(RADIANS($F397)))</f>
        <v/>
      </c>
      <c r="L397">
        <f>IF($I397="","",$I397*COS(RADIANS($C397))*SIN(RADIANS($D397))+$J397*COS(RADIANS($E397))*SIN(RADIANS($F397)))</f>
        <v/>
      </c>
      <c r="M397">
        <f>IF($I397="","",$I397*SIN(RADIANS($C397))+$J397*SIN(RADIANS($E397)))</f>
        <v/>
      </c>
      <c r="N397">
        <f>IF($M397="","",DEGREES(ATAN2(SQRT($K397^2+$L397^2),$M397)))</f>
        <v/>
      </c>
      <c r="O397">
        <f>IF($M397="","",DEGREES(ATAN2($K397,$L397)))</f>
        <v/>
      </c>
      <c r="P397">
        <f t="array" ref="P397">IF($N397="","",IFERROR(IF(INDEX(geo_grid!$B$2:$JU$231,INT(($N397+40)/0.5)+1,INT(($O397+30)/0.5)+1)="","",INDEX(geo_grid!$B$2:$JU$231,INT(($N397+40)/0.5)+1,INT(($O397+30)/0.5)+1)),"OUTSIDE GRID"))</f>
        <v/>
      </c>
      <c r="Q397">
        <f>IF($P397="","",$A397*1000+$B397)</f>
        <v/>
      </c>
    </row>
    <row r="398">
      <c r="A398">
        <f>INT((ROW()-2)/151)+1</f>
        <v/>
      </c>
      <c r="B398">
        <f>MOD(ROW()-2,151)</f>
        <v/>
      </c>
      <c r="C398">
        <f t="array" ref="C398">IFERROR(INDEX('TRIP MANAGER'!$O$18:$O$25,$A398),"")</f>
        <v/>
      </c>
      <c r="D398">
        <f t="array" ref="D398">IFERROR(INDEX('TRIP MANAGER'!$P$18:$P$25,$A398),"")</f>
        <v/>
      </c>
      <c r="E398">
        <f t="array" ref="E398">IFERROR(INDEX('TRIP MANAGER'!$Q$18:$Q$25,$A398),"")</f>
        <v/>
      </c>
      <c r="F398">
        <f t="array" ref="F398">IFERROR(INDEX('TRIP MANAGER'!$R$18:$R$25,$A398),"")</f>
        <v/>
      </c>
      <c r="G398">
        <f t="array" ref="G398">IFERROR(INDEX('TRIP MANAGER'!$S$18:$S$25,$A398),"")</f>
        <v/>
      </c>
      <c r="H398">
        <f>$B398/150</f>
        <v/>
      </c>
      <c r="I398">
        <f>IF(OR($G398="",$G398=0),"",SIN((1-$H398)*$G398)/SIN($G398))</f>
        <v/>
      </c>
      <c r="J398">
        <f>IF($I398="","",SIN($H398*$G398)/SIN($G398))</f>
        <v/>
      </c>
      <c r="K398">
        <f>IF($I398="","",$I398*COS(RADIANS($C398))*COS(RADIANS($D398))+$J398*COS(RADIANS($E398))*COS(RADIANS($F398)))</f>
        <v/>
      </c>
      <c r="L398">
        <f>IF($I398="","",$I398*COS(RADIANS($C398))*SIN(RADIANS($D398))+$J398*COS(RADIANS($E398))*SIN(RADIANS($F398)))</f>
        <v/>
      </c>
      <c r="M398">
        <f>IF($I398="","",$I398*SIN(RADIANS($C398))+$J398*SIN(RADIANS($E398)))</f>
        <v/>
      </c>
      <c r="N398">
        <f>IF($M398="","",DEGREES(ATAN2(SQRT($K398^2+$L398^2),$M398)))</f>
        <v/>
      </c>
      <c r="O398">
        <f>IF($M398="","",DEGREES(ATAN2($K398,$L398)))</f>
        <v/>
      </c>
      <c r="P398">
        <f t="array" ref="P398">IF($N398="","",IFERROR(IF(INDEX(geo_grid!$B$2:$JU$231,INT(($N398+40)/0.5)+1,INT(($O398+30)/0.5)+1)="","",INDEX(geo_grid!$B$2:$JU$231,INT(($N398+40)/0.5)+1,INT(($O398+30)/0.5)+1)),"OUTSIDE GRID"))</f>
        <v/>
      </c>
      <c r="Q398">
        <f>IF($P398="","",$A398*1000+$B398)</f>
        <v/>
      </c>
    </row>
    <row r="399">
      <c r="A399">
        <f>INT((ROW()-2)/151)+1</f>
        <v/>
      </c>
      <c r="B399">
        <f>MOD(ROW()-2,151)</f>
        <v/>
      </c>
      <c r="C399">
        <f t="array" ref="C399">IFERROR(INDEX('TRIP MANAGER'!$O$18:$O$25,$A399),"")</f>
        <v/>
      </c>
      <c r="D399">
        <f t="array" ref="D399">IFERROR(INDEX('TRIP MANAGER'!$P$18:$P$25,$A399),"")</f>
        <v/>
      </c>
      <c r="E399">
        <f t="array" ref="E399">IFERROR(INDEX('TRIP MANAGER'!$Q$18:$Q$25,$A399),"")</f>
        <v/>
      </c>
      <c r="F399">
        <f t="array" ref="F399">IFERROR(INDEX('TRIP MANAGER'!$R$18:$R$25,$A399),"")</f>
        <v/>
      </c>
      <c r="G399">
        <f t="array" ref="G399">IFERROR(INDEX('TRIP MANAGER'!$S$18:$S$25,$A399),"")</f>
        <v/>
      </c>
      <c r="H399">
        <f>$B399/150</f>
        <v/>
      </c>
      <c r="I399">
        <f>IF(OR($G399="",$G399=0),"",SIN((1-$H399)*$G399)/SIN($G399))</f>
        <v/>
      </c>
      <c r="J399">
        <f>IF($I399="","",SIN($H399*$G399)/SIN($G399))</f>
        <v/>
      </c>
      <c r="K399">
        <f>IF($I399="","",$I399*COS(RADIANS($C399))*COS(RADIANS($D399))+$J399*COS(RADIANS($E399))*COS(RADIANS($F399)))</f>
        <v/>
      </c>
      <c r="L399">
        <f>IF($I399="","",$I399*COS(RADIANS($C399))*SIN(RADIANS($D399))+$J399*COS(RADIANS($E399))*SIN(RADIANS($F399)))</f>
        <v/>
      </c>
      <c r="M399">
        <f>IF($I399="","",$I399*SIN(RADIANS($C399))+$J399*SIN(RADIANS($E399)))</f>
        <v/>
      </c>
      <c r="N399">
        <f>IF($M399="","",DEGREES(ATAN2(SQRT($K399^2+$L399^2),$M399)))</f>
        <v/>
      </c>
      <c r="O399">
        <f>IF($M399="","",DEGREES(ATAN2($K399,$L399)))</f>
        <v/>
      </c>
      <c r="P399">
        <f t="array" ref="P399">IF($N399="","",IFERROR(IF(INDEX(geo_grid!$B$2:$JU$231,INT(($N399+40)/0.5)+1,INT(($O399+30)/0.5)+1)="","",INDEX(geo_grid!$B$2:$JU$231,INT(($N399+40)/0.5)+1,INT(($O399+30)/0.5)+1)),"OUTSIDE GRID"))</f>
        <v/>
      </c>
      <c r="Q399">
        <f>IF($P399="","",$A399*1000+$B399)</f>
        <v/>
      </c>
    </row>
    <row r="400">
      <c r="A400">
        <f>INT((ROW()-2)/151)+1</f>
        <v/>
      </c>
      <c r="B400">
        <f>MOD(ROW()-2,151)</f>
        <v/>
      </c>
      <c r="C400">
        <f t="array" ref="C400">IFERROR(INDEX('TRIP MANAGER'!$O$18:$O$25,$A400),"")</f>
        <v/>
      </c>
      <c r="D400">
        <f t="array" ref="D400">IFERROR(INDEX('TRIP MANAGER'!$P$18:$P$25,$A400),"")</f>
        <v/>
      </c>
      <c r="E400">
        <f t="array" ref="E400">IFERROR(INDEX('TRIP MANAGER'!$Q$18:$Q$25,$A400),"")</f>
        <v/>
      </c>
      <c r="F400">
        <f t="array" ref="F400">IFERROR(INDEX('TRIP MANAGER'!$R$18:$R$25,$A400),"")</f>
        <v/>
      </c>
      <c r="G400">
        <f t="array" ref="G400">IFERROR(INDEX('TRIP MANAGER'!$S$18:$S$25,$A400),"")</f>
        <v/>
      </c>
      <c r="H400">
        <f>$B400/150</f>
        <v/>
      </c>
      <c r="I400">
        <f>IF(OR($G400="",$G400=0),"",SIN((1-$H400)*$G400)/SIN($G400))</f>
        <v/>
      </c>
      <c r="J400">
        <f>IF($I400="","",SIN($H400*$G400)/SIN($G400))</f>
        <v/>
      </c>
      <c r="K400">
        <f>IF($I400="","",$I400*COS(RADIANS($C400))*COS(RADIANS($D400))+$J400*COS(RADIANS($E400))*COS(RADIANS($F400)))</f>
        <v/>
      </c>
      <c r="L400">
        <f>IF($I400="","",$I400*COS(RADIANS($C400))*SIN(RADIANS($D400))+$J400*COS(RADIANS($E400))*SIN(RADIANS($F400)))</f>
        <v/>
      </c>
      <c r="M400">
        <f>IF($I400="","",$I400*SIN(RADIANS($C400))+$J400*SIN(RADIANS($E400)))</f>
        <v/>
      </c>
      <c r="N400">
        <f>IF($M400="","",DEGREES(ATAN2(SQRT($K400^2+$L400^2),$M400)))</f>
        <v/>
      </c>
      <c r="O400">
        <f>IF($M400="","",DEGREES(ATAN2($K400,$L400)))</f>
        <v/>
      </c>
      <c r="P400">
        <f t="array" ref="P400">IF($N400="","",IFERROR(IF(INDEX(geo_grid!$B$2:$JU$231,INT(($N400+40)/0.5)+1,INT(($O400+30)/0.5)+1)="","",INDEX(geo_grid!$B$2:$JU$231,INT(($N400+40)/0.5)+1,INT(($O400+30)/0.5)+1)),"OUTSIDE GRID"))</f>
        <v/>
      </c>
      <c r="Q400">
        <f>IF($P400="","",$A400*1000+$B400)</f>
        <v/>
      </c>
    </row>
    <row r="401">
      <c r="A401">
        <f>INT((ROW()-2)/151)+1</f>
        <v/>
      </c>
      <c r="B401">
        <f>MOD(ROW()-2,151)</f>
        <v/>
      </c>
      <c r="C401">
        <f t="array" ref="C401">IFERROR(INDEX('TRIP MANAGER'!$O$18:$O$25,$A401),"")</f>
        <v/>
      </c>
      <c r="D401">
        <f t="array" ref="D401">IFERROR(INDEX('TRIP MANAGER'!$P$18:$P$25,$A401),"")</f>
        <v/>
      </c>
      <c r="E401">
        <f t="array" ref="E401">IFERROR(INDEX('TRIP MANAGER'!$Q$18:$Q$25,$A401),"")</f>
        <v/>
      </c>
      <c r="F401">
        <f t="array" ref="F401">IFERROR(INDEX('TRIP MANAGER'!$R$18:$R$25,$A401),"")</f>
        <v/>
      </c>
      <c r="G401">
        <f t="array" ref="G401">IFERROR(INDEX('TRIP MANAGER'!$S$18:$S$25,$A401),"")</f>
        <v/>
      </c>
      <c r="H401">
        <f>$B401/150</f>
        <v/>
      </c>
      <c r="I401">
        <f>IF(OR($G401="",$G401=0),"",SIN((1-$H401)*$G401)/SIN($G401))</f>
        <v/>
      </c>
      <c r="J401">
        <f>IF($I401="","",SIN($H401*$G401)/SIN($G401))</f>
        <v/>
      </c>
      <c r="K401">
        <f>IF($I401="","",$I401*COS(RADIANS($C401))*COS(RADIANS($D401))+$J401*COS(RADIANS($E401))*COS(RADIANS($F401)))</f>
        <v/>
      </c>
      <c r="L401">
        <f>IF($I401="","",$I401*COS(RADIANS($C401))*SIN(RADIANS($D401))+$J401*COS(RADIANS($E401))*SIN(RADIANS($F401)))</f>
        <v/>
      </c>
      <c r="M401">
        <f>IF($I401="","",$I401*SIN(RADIANS($C401))+$J401*SIN(RADIANS($E401)))</f>
        <v/>
      </c>
      <c r="N401">
        <f>IF($M401="","",DEGREES(ATAN2(SQRT($K401^2+$L401^2),$M401)))</f>
        <v/>
      </c>
      <c r="O401">
        <f>IF($M401="","",DEGREES(ATAN2($K401,$L401)))</f>
        <v/>
      </c>
      <c r="P401">
        <f t="array" ref="P401">IF($N401="","",IFERROR(IF(INDEX(geo_grid!$B$2:$JU$231,INT(($N401+40)/0.5)+1,INT(($O401+30)/0.5)+1)="","",INDEX(geo_grid!$B$2:$JU$231,INT(($N401+40)/0.5)+1,INT(($O401+30)/0.5)+1)),"OUTSIDE GRID"))</f>
        <v/>
      </c>
      <c r="Q401">
        <f>IF($P401="","",$A401*1000+$B401)</f>
        <v/>
      </c>
    </row>
    <row r="402">
      <c r="A402">
        <f>INT((ROW()-2)/151)+1</f>
        <v/>
      </c>
      <c r="B402">
        <f>MOD(ROW()-2,151)</f>
        <v/>
      </c>
      <c r="C402">
        <f t="array" ref="C402">IFERROR(INDEX('TRIP MANAGER'!$O$18:$O$25,$A402),"")</f>
        <v/>
      </c>
      <c r="D402">
        <f t="array" ref="D402">IFERROR(INDEX('TRIP MANAGER'!$P$18:$P$25,$A402),"")</f>
        <v/>
      </c>
      <c r="E402">
        <f t="array" ref="E402">IFERROR(INDEX('TRIP MANAGER'!$Q$18:$Q$25,$A402),"")</f>
        <v/>
      </c>
      <c r="F402">
        <f t="array" ref="F402">IFERROR(INDEX('TRIP MANAGER'!$R$18:$R$25,$A402),"")</f>
        <v/>
      </c>
      <c r="G402">
        <f t="array" ref="G402">IFERROR(INDEX('TRIP MANAGER'!$S$18:$S$25,$A402),"")</f>
        <v/>
      </c>
      <c r="H402">
        <f>$B402/150</f>
        <v/>
      </c>
      <c r="I402">
        <f>IF(OR($G402="",$G402=0),"",SIN((1-$H402)*$G402)/SIN($G402))</f>
        <v/>
      </c>
      <c r="J402">
        <f>IF($I402="","",SIN($H402*$G402)/SIN($G402))</f>
        <v/>
      </c>
      <c r="K402">
        <f>IF($I402="","",$I402*COS(RADIANS($C402))*COS(RADIANS($D402))+$J402*COS(RADIANS($E402))*COS(RADIANS($F402)))</f>
        <v/>
      </c>
      <c r="L402">
        <f>IF($I402="","",$I402*COS(RADIANS($C402))*SIN(RADIANS($D402))+$J402*COS(RADIANS($E402))*SIN(RADIANS($F402)))</f>
        <v/>
      </c>
      <c r="M402">
        <f>IF($I402="","",$I402*SIN(RADIANS($C402))+$J402*SIN(RADIANS($E402)))</f>
        <v/>
      </c>
      <c r="N402">
        <f>IF($M402="","",DEGREES(ATAN2(SQRT($K402^2+$L402^2),$M402)))</f>
        <v/>
      </c>
      <c r="O402">
        <f>IF($M402="","",DEGREES(ATAN2($K402,$L402)))</f>
        <v/>
      </c>
      <c r="P402">
        <f t="array" ref="P402">IF($N402="","",IFERROR(IF(INDEX(geo_grid!$B$2:$JU$231,INT(($N402+40)/0.5)+1,INT(($O402+30)/0.5)+1)="","",INDEX(geo_grid!$B$2:$JU$231,INT(($N402+40)/0.5)+1,INT(($O402+30)/0.5)+1)),"OUTSIDE GRID"))</f>
        <v/>
      </c>
      <c r="Q402">
        <f>IF($P402="","",$A402*1000+$B402)</f>
        <v/>
      </c>
    </row>
    <row r="403">
      <c r="A403">
        <f>INT((ROW()-2)/151)+1</f>
        <v/>
      </c>
      <c r="B403">
        <f>MOD(ROW()-2,151)</f>
        <v/>
      </c>
      <c r="C403">
        <f t="array" ref="C403">IFERROR(INDEX('TRIP MANAGER'!$O$18:$O$25,$A403),"")</f>
        <v/>
      </c>
      <c r="D403">
        <f t="array" ref="D403">IFERROR(INDEX('TRIP MANAGER'!$P$18:$P$25,$A403),"")</f>
        <v/>
      </c>
      <c r="E403">
        <f t="array" ref="E403">IFERROR(INDEX('TRIP MANAGER'!$Q$18:$Q$25,$A403),"")</f>
        <v/>
      </c>
      <c r="F403">
        <f t="array" ref="F403">IFERROR(INDEX('TRIP MANAGER'!$R$18:$R$25,$A403),"")</f>
        <v/>
      </c>
      <c r="G403">
        <f t="array" ref="G403">IFERROR(INDEX('TRIP MANAGER'!$S$18:$S$25,$A403),"")</f>
        <v/>
      </c>
      <c r="H403">
        <f>$B403/150</f>
        <v/>
      </c>
      <c r="I403">
        <f>IF(OR($G403="",$G403=0),"",SIN((1-$H403)*$G403)/SIN($G403))</f>
        <v/>
      </c>
      <c r="J403">
        <f>IF($I403="","",SIN($H403*$G403)/SIN($G403))</f>
        <v/>
      </c>
      <c r="K403">
        <f>IF($I403="","",$I403*COS(RADIANS($C403))*COS(RADIANS($D403))+$J403*COS(RADIANS($E403))*COS(RADIANS($F403)))</f>
        <v/>
      </c>
      <c r="L403">
        <f>IF($I403="","",$I403*COS(RADIANS($C403))*SIN(RADIANS($D403))+$J403*COS(RADIANS($E403))*SIN(RADIANS($F403)))</f>
        <v/>
      </c>
      <c r="M403">
        <f>IF($I403="","",$I403*SIN(RADIANS($C403))+$J403*SIN(RADIANS($E403)))</f>
        <v/>
      </c>
      <c r="N403">
        <f>IF($M403="","",DEGREES(ATAN2(SQRT($K403^2+$L403^2),$M403)))</f>
        <v/>
      </c>
      <c r="O403">
        <f>IF($M403="","",DEGREES(ATAN2($K403,$L403)))</f>
        <v/>
      </c>
      <c r="P403">
        <f t="array" ref="P403">IF($N403="","",IFERROR(IF(INDEX(geo_grid!$B$2:$JU$231,INT(($N403+40)/0.5)+1,INT(($O403+30)/0.5)+1)="","",INDEX(geo_grid!$B$2:$JU$231,INT(($N403+40)/0.5)+1,INT(($O403+30)/0.5)+1)),"OUTSIDE GRID"))</f>
        <v/>
      </c>
      <c r="Q403">
        <f>IF($P403="","",$A403*1000+$B403)</f>
        <v/>
      </c>
    </row>
    <row r="404">
      <c r="A404">
        <f>INT((ROW()-2)/151)+1</f>
        <v/>
      </c>
      <c r="B404">
        <f>MOD(ROW()-2,151)</f>
        <v/>
      </c>
      <c r="C404">
        <f t="array" ref="C404">IFERROR(INDEX('TRIP MANAGER'!$O$18:$O$25,$A404),"")</f>
        <v/>
      </c>
      <c r="D404">
        <f t="array" ref="D404">IFERROR(INDEX('TRIP MANAGER'!$P$18:$P$25,$A404),"")</f>
        <v/>
      </c>
      <c r="E404">
        <f t="array" ref="E404">IFERROR(INDEX('TRIP MANAGER'!$Q$18:$Q$25,$A404),"")</f>
        <v/>
      </c>
      <c r="F404">
        <f t="array" ref="F404">IFERROR(INDEX('TRIP MANAGER'!$R$18:$R$25,$A404),"")</f>
        <v/>
      </c>
      <c r="G404">
        <f t="array" ref="G404">IFERROR(INDEX('TRIP MANAGER'!$S$18:$S$25,$A404),"")</f>
        <v/>
      </c>
      <c r="H404">
        <f>$B404/150</f>
        <v/>
      </c>
      <c r="I404">
        <f>IF(OR($G404="",$G404=0),"",SIN((1-$H404)*$G404)/SIN($G404))</f>
        <v/>
      </c>
      <c r="J404">
        <f>IF($I404="","",SIN($H404*$G404)/SIN($G404))</f>
        <v/>
      </c>
      <c r="K404">
        <f>IF($I404="","",$I404*COS(RADIANS($C404))*COS(RADIANS($D404))+$J404*COS(RADIANS($E404))*COS(RADIANS($F404)))</f>
        <v/>
      </c>
      <c r="L404">
        <f>IF($I404="","",$I404*COS(RADIANS($C404))*SIN(RADIANS($D404))+$J404*COS(RADIANS($E404))*SIN(RADIANS($F404)))</f>
        <v/>
      </c>
      <c r="M404">
        <f>IF($I404="","",$I404*SIN(RADIANS($C404))+$J404*SIN(RADIANS($E404)))</f>
        <v/>
      </c>
      <c r="N404">
        <f>IF($M404="","",DEGREES(ATAN2(SQRT($K404^2+$L404^2),$M404)))</f>
        <v/>
      </c>
      <c r="O404">
        <f>IF($M404="","",DEGREES(ATAN2($K404,$L404)))</f>
        <v/>
      </c>
      <c r="P404">
        <f t="array" ref="P404">IF($N404="","",IFERROR(IF(INDEX(geo_grid!$B$2:$JU$231,INT(($N404+40)/0.5)+1,INT(($O404+30)/0.5)+1)="","",INDEX(geo_grid!$B$2:$JU$231,INT(($N404+40)/0.5)+1,INT(($O404+30)/0.5)+1)),"OUTSIDE GRID"))</f>
        <v/>
      </c>
      <c r="Q404">
        <f>IF($P404="","",$A404*1000+$B404)</f>
        <v/>
      </c>
    </row>
    <row r="405">
      <c r="A405">
        <f>INT((ROW()-2)/151)+1</f>
        <v/>
      </c>
      <c r="B405">
        <f>MOD(ROW()-2,151)</f>
        <v/>
      </c>
      <c r="C405">
        <f t="array" ref="C405">IFERROR(INDEX('TRIP MANAGER'!$O$18:$O$25,$A405),"")</f>
        <v/>
      </c>
      <c r="D405">
        <f t="array" ref="D405">IFERROR(INDEX('TRIP MANAGER'!$P$18:$P$25,$A405),"")</f>
        <v/>
      </c>
      <c r="E405">
        <f t="array" ref="E405">IFERROR(INDEX('TRIP MANAGER'!$Q$18:$Q$25,$A405),"")</f>
        <v/>
      </c>
      <c r="F405">
        <f t="array" ref="F405">IFERROR(INDEX('TRIP MANAGER'!$R$18:$R$25,$A405),"")</f>
        <v/>
      </c>
      <c r="G405">
        <f t="array" ref="G405">IFERROR(INDEX('TRIP MANAGER'!$S$18:$S$25,$A405),"")</f>
        <v/>
      </c>
      <c r="H405">
        <f>$B405/150</f>
        <v/>
      </c>
      <c r="I405">
        <f>IF(OR($G405="",$G405=0),"",SIN((1-$H405)*$G405)/SIN($G405))</f>
        <v/>
      </c>
      <c r="J405">
        <f>IF($I405="","",SIN($H405*$G405)/SIN($G405))</f>
        <v/>
      </c>
      <c r="K405">
        <f>IF($I405="","",$I405*COS(RADIANS($C405))*COS(RADIANS($D405))+$J405*COS(RADIANS($E405))*COS(RADIANS($F405)))</f>
        <v/>
      </c>
      <c r="L405">
        <f>IF($I405="","",$I405*COS(RADIANS($C405))*SIN(RADIANS($D405))+$J405*COS(RADIANS($E405))*SIN(RADIANS($F405)))</f>
        <v/>
      </c>
      <c r="M405">
        <f>IF($I405="","",$I405*SIN(RADIANS($C405))+$J405*SIN(RADIANS($E405)))</f>
        <v/>
      </c>
      <c r="N405">
        <f>IF($M405="","",DEGREES(ATAN2(SQRT($K405^2+$L405^2),$M405)))</f>
        <v/>
      </c>
      <c r="O405">
        <f>IF($M405="","",DEGREES(ATAN2($K405,$L405)))</f>
        <v/>
      </c>
      <c r="P405">
        <f t="array" ref="P405">IF($N405="","",IFERROR(IF(INDEX(geo_grid!$B$2:$JU$231,INT(($N405+40)/0.5)+1,INT(($O405+30)/0.5)+1)="","",INDEX(geo_grid!$B$2:$JU$231,INT(($N405+40)/0.5)+1,INT(($O405+30)/0.5)+1)),"OUTSIDE GRID"))</f>
        <v/>
      </c>
      <c r="Q405">
        <f>IF($P405="","",$A405*1000+$B405)</f>
        <v/>
      </c>
    </row>
    <row r="406">
      <c r="A406">
        <f>INT((ROW()-2)/151)+1</f>
        <v/>
      </c>
      <c r="B406">
        <f>MOD(ROW()-2,151)</f>
        <v/>
      </c>
      <c r="C406">
        <f t="array" ref="C406">IFERROR(INDEX('TRIP MANAGER'!$O$18:$O$25,$A406),"")</f>
        <v/>
      </c>
      <c r="D406">
        <f t="array" ref="D406">IFERROR(INDEX('TRIP MANAGER'!$P$18:$P$25,$A406),"")</f>
        <v/>
      </c>
      <c r="E406">
        <f t="array" ref="E406">IFERROR(INDEX('TRIP MANAGER'!$Q$18:$Q$25,$A406),"")</f>
        <v/>
      </c>
      <c r="F406">
        <f t="array" ref="F406">IFERROR(INDEX('TRIP MANAGER'!$R$18:$R$25,$A406),"")</f>
        <v/>
      </c>
      <c r="G406">
        <f t="array" ref="G406">IFERROR(INDEX('TRIP MANAGER'!$S$18:$S$25,$A406),"")</f>
        <v/>
      </c>
      <c r="H406">
        <f>$B406/150</f>
        <v/>
      </c>
      <c r="I406">
        <f>IF(OR($G406="",$G406=0),"",SIN((1-$H406)*$G406)/SIN($G406))</f>
        <v/>
      </c>
      <c r="J406">
        <f>IF($I406="","",SIN($H406*$G406)/SIN($G406))</f>
        <v/>
      </c>
      <c r="K406">
        <f>IF($I406="","",$I406*COS(RADIANS($C406))*COS(RADIANS($D406))+$J406*COS(RADIANS($E406))*COS(RADIANS($F406)))</f>
        <v/>
      </c>
      <c r="L406">
        <f>IF($I406="","",$I406*COS(RADIANS($C406))*SIN(RADIANS($D406))+$J406*COS(RADIANS($E406))*SIN(RADIANS($F406)))</f>
        <v/>
      </c>
      <c r="M406">
        <f>IF($I406="","",$I406*SIN(RADIANS($C406))+$J406*SIN(RADIANS($E406)))</f>
        <v/>
      </c>
      <c r="N406">
        <f>IF($M406="","",DEGREES(ATAN2(SQRT($K406^2+$L406^2),$M406)))</f>
        <v/>
      </c>
      <c r="O406">
        <f>IF($M406="","",DEGREES(ATAN2($K406,$L406)))</f>
        <v/>
      </c>
      <c r="P406">
        <f t="array" ref="P406">IF($N406="","",IFERROR(IF(INDEX(geo_grid!$B$2:$JU$231,INT(($N406+40)/0.5)+1,INT(($O406+30)/0.5)+1)="","",INDEX(geo_grid!$B$2:$JU$231,INT(($N406+40)/0.5)+1,INT(($O406+30)/0.5)+1)),"OUTSIDE GRID"))</f>
        <v/>
      </c>
      <c r="Q406">
        <f>IF($P406="","",$A406*1000+$B406)</f>
        <v/>
      </c>
    </row>
    <row r="407">
      <c r="A407">
        <f>INT((ROW()-2)/151)+1</f>
        <v/>
      </c>
      <c r="B407">
        <f>MOD(ROW()-2,151)</f>
        <v/>
      </c>
      <c r="C407">
        <f t="array" ref="C407">IFERROR(INDEX('TRIP MANAGER'!$O$18:$O$25,$A407),"")</f>
        <v/>
      </c>
      <c r="D407">
        <f t="array" ref="D407">IFERROR(INDEX('TRIP MANAGER'!$P$18:$P$25,$A407),"")</f>
        <v/>
      </c>
      <c r="E407">
        <f t="array" ref="E407">IFERROR(INDEX('TRIP MANAGER'!$Q$18:$Q$25,$A407),"")</f>
        <v/>
      </c>
      <c r="F407">
        <f t="array" ref="F407">IFERROR(INDEX('TRIP MANAGER'!$R$18:$R$25,$A407),"")</f>
        <v/>
      </c>
      <c r="G407">
        <f t="array" ref="G407">IFERROR(INDEX('TRIP MANAGER'!$S$18:$S$25,$A407),"")</f>
        <v/>
      </c>
      <c r="H407">
        <f>$B407/150</f>
        <v/>
      </c>
      <c r="I407">
        <f>IF(OR($G407="",$G407=0),"",SIN((1-$H407)*$G407)/SIN($G407))</f>
        <v/>
      </c>
      <c r="J407">
        <f>IF($I407="","",SIN($H407*$G407)/SIN($G407))</f>
        <v/>
      </c>
      <c r="K407">
        <f>IF($I407="","",$I407*COS(RADIANS($C407))*COS(RADIANS($D407))+$J407*COS(RADIANS($E407))*COS(RADIANS($F407)))</f>
        <v/>
      </c>
      <c r="L407">
        <f>IF($I407="","",$I407*COS(RADIANS($C407))*SIN(RADIANS($D407))+$J407*COS(RADIANS($E407))*SIN(RADIANS($F407)))</f>
        <v/>
      </c>
      <c r="M407">
        <f>IF($I407="","",$I407*SIN(RADIANS($C407))+$J407*SIN(RADIANS($E407)))</f>
        <v/>
      </c>
      <c r="N407">
        <f>IF($M407="","",DEGREES(ATAN2(SQRT($K407^2+$L407^2),$M407)))</f>
        <v/>
      </c>
      <c r="O407">
        <f>IF($M407="","",DEGREES(ATAN2($K407,$L407)))</f>
        <v/>
      </c>
      <c r="P407">
        <f t="array" ref="P407">IF($N407="","",IFERROR(IF(INDEX(geo_grid!$B$2:$JU$231,INT(($N407+40)/0.5)+1,INT(($O407+30)/0.5)+1)="","",INDEX(geo_grid!$B$2:$JU$231,INT(($N407+40)/0.5)+1,INT(($O407+30)/0.5)+1)),"OUTSIDE GRID"))</f>
        <v/>
      </c>
      <c r="Q407">
        <f>IF($P407="","",$A407*1000+$B407)</f>
        <v/>
      </c>
    </row>
    <row r="408">
      <c r="A408">
        <f>INT((ROW()-2)/151)+1</f>
        <v/>
      </c>
      <c r="B408">
        <f>MOD(ROW()-2,151)</f>
        <v/>
      </c>
      <c r="C408">
        <f t="array" ref="C408">IFERROR(INDEX('TRIP MANAGER'!$O$18:$O$25,$A408),"")</f>
        <v/>
      </c>
      <c r="D408">
        <f t="array" ref="D408">IFERROR(INDEX('TRIP MANAGER'!$P$18:$P$25,$A408),"")</f>
        <v/>
      </c>
      <c r="E408">
        <f t="array" ref="E408">IFERROR(INDEX('TRIP MANAGER'!$Q$18:$Q$25,$A408),"")</f>
        <v/>
      </c>
      <c r="F408">
        <f t="array" ref="F408">IFERROR(INDEX('TRIP MANAGER'!$R$18:$R$25,$A408),"")</f>
        <v/>
      </c>
      <c r="G408">
        <f t="array" ref="G408">IFERROR(INDEX('TRIP MANAGER'!$S$18:$S$25,$A408),"")</f>
        <v/>
      </c>
      <c r="H408">
        <f>$B408/150</f>
        <v/>
      </c>
      <c r="I408">
        <f>IF(OR($G408="",$G408=0),"",SIN((1-$H408)*$G408)/SIN($G408))</f>
        <v/>
      </c>
      <c r="J408">
        <f>IF($I408="","",SIN($H408*$G408)/SIN($G408))</f>
        <v/>
      </c>
      <c r="K408">
        <f>IF($I408="","",$I408*COS(RADIANS($C408))*COS(RADIANS($D408))+$J408*COS(RADIANS($E408))*COS(RADIANS($F408)))</f>
        <v/>
      </c>
      <c r="L408">
        <f>IF($I408="","",$I408*COS(RADIANS($C408))*SIN(RADIANS($D408))+$J408*COS(RADIANS($E408))*SIN(RADIANS($F408)))</f>
        <v/>
      </c>
      <c r="M408">
        <f>IF($I408="","",$I408*SIN(RADIANS($C408))+$J408*SIN(RADIANS($E408)))</f>
        <v/>
      </c>
      <c r="N408">
        <f>IF($M408="","",DEGREES(ATAN2(SQRT($K408^2+$L408^2),$M408)))</f>
        <v/>
      </c>
      <c r="O408">
        <f>IF($M408="","",DEGREES(ATAN2($K408,$L408)))</f>
        <v/>
      </c>
      <c r="P408">
        <f t="array" ref="P408">IF($N408="","",IFERROR(IF(INDEX(geo_grid!$B$2:$JU$231,INT(($N408+40)/0.5)+1,INT(($O408+30)/0.5)+1)="","",INDEX(geo_grid!$B$2:$JU$231,INT(($N408+40)/0.5)+1,INT(($O408+30)/0.5)+1)),"OUTSIDE GRID"))</f>
        <v/>
      </c>
      <c r="Q408">
        <f>IF($P408="","",$A408*1000+$B408)</f>
        <v/>
      </c>
    </row>
    <row r="409">
      <c r="A409">
        <f>INT((ROW()-2)/151)+1</f>
        <v/>
      </c>
      <c r="B409">
        <f>MOD(ROW()-2,151)</f>
        <v/>
      </c>
      <c r="C409">
        <f t="array" ref="C409">IFERROR(INDEX('TRIP MANAGER'!$O$18:$O$25,$A409),"")</f>
        <v/>
      </c>
      <c r="D409">
        <f t="array" ref="D409">IFERROR(INDEX('TRIP MANAGER'!$P$18:$P$25,$A409),"")</f>
        <v/>
      </c>
      <c r="E409">
        <f t="array" ref="E409">IFERROR(INDEX('TRIP MANAGER'!$Q$18:$Q$25,$A409),"")</f>
        <v/>
      </c>
      <c r="F409">
        <f t="array" ref="F409">IFERROR(INDEX('TRIP MANAGER'!$R$18:$R$25,$A409),"")</f>
        <v/>
      </c>
      <c r="G409">
        <f t="array" ref="G409">IFERROR(INDEX('TRIP MANAGER'!$S$18:$S$25,$A409),"")</f>
        <v/>
      </c>
      <c r="H409">
        <f>$B409/150</f>
        <v/>
      </c>
      <c r="I409">
        <f>IF(OR($G409="",$G409=0),"",SIN((1-$H409)*$G409)/SIN($G409))</f>
        <v/>
      </c>
      <c r="J409">
        <f>IF($I409="","",SIN($H409*$G409)/SIN($G409))</f>
        <v/>
      </c>
      <c r="K409">
        <f>IF($I409="","",$I409*COS(RADIANS($C409))*COS(RADIANS($D409))+$J409*COS(RADIANS($E409))*COS(RADIANS($F409)))</f>
        <v/>
      </c>
      <c r="L409">
        <f>IF($I409="","",$I409*COS(RADIANS($C409))*SIN(RADIANS($D409))+$J409*COS(RADIANS($E409))*SIN(RADIANS($F409)))</f>
        <v/>
      </c>
      <c r="M409">
        <f>IF($I409="","",$I409*SIN(RADIANS($C409))+$J409*SIN(RADIANS($E409)))</f>
        <v/>
      </c>
      <c r="N409">
        <f>IF($M409="","",DEGREES(ATAN2(SQRT($K409^2+$L409^2),$M409)))</f>
        <v/>
      </c>
      <c r="O409">
        <f>IF($M409="","",DEGREES(ATAN2($K409,$L409)))</f>
        <v/>
      </c>
      <c r="P409">
        <f t="array" ref="P409">IF($N409="","",IFERROR(IF(INDEX(geo_grid!$B$2:$JU$231,INT(($N409+40)/0.5)+1,INT(($O409+30)/0.5)+1)="","",INDEX(geo_grid!$B$2:$JU$231,INT(($N409+40)/0.5)+1,INT(($O409+30)/0.5)+1)),"OUTSIDE GRID"))</f>
        <v/>
      </c>
      <c r="Q409">
        <f>IF($P409="","",$A409*1000+$B409)</f>
        <v/>
      </c>
    </row>
    <row r="410">
      <c r="A410">
        <f>INT((ROW()-2)/151)+1</f>
        <v/>
      </c>
      <c r="B410">
        <f>MOD(ROW()-2,151)</f>
        <v/>
      </c>
      <c r="C410">
        <f t="array" ref="C410">IFERROR(INDEX('TRIP MANAGER'!$O$18:$O$25,$A410),"")</f>
        <v/>
      </c>
      <c r="D410">
        <f t="array" ref="D410">IFERROR(INDEX('TRIP MANAGER'!$P$18:$P$25,$A410),"")</f>
        <v/>
      </c>
      <c r="E410">
        <f t="array" ref="E410">IFERROR(INDEX('TRIP MANAGER'!$Q$18:$Q$25,$A410),"")</f>
        <v/>
      </c>
      <c r="F410">
        <f t="array" ref="F410">IFERROR(INDEX('TRIP MANAGER'!$R$18:$R$25,$A410),"")</f>
        <v/>
      </c>
      <c r="G410">
        <f t="array" ref="G410">IFERROR(INDEX('TRIP MANAGER'!$S$18:$S$25,$A410),"")</f>
        <v/>
      </c>
      <c r="H410">
        <f>$B410/150</f>
        <v/>
      </c>
      <c r="I410">
        <f>IF(OR($G410="",$G410=0),"",SIN((1-$H410)*$G410)/SIN($G410))</f>
        <v/>
      </c>
      <c r="J410">
        <f>IF($I410="","",SIN($H410*$G410)/SIN($G410))</f>
        <v/>
      </c>
      <c r="K410">
        <f>IF($I410="","",$I410*COS(RADIANS($C410))*COS(RADIANS($D410))+$J410*COS(RADIANS($E410))*COS(RADIANS($F410)))</f>
        <v/>
      </c>
      <c r="L410">
        <f>IF($I410="","",$I410*COS(RADIANS($C410))*SIN(RADIANS($D410))+$J410*COS(RADIANS($E410))*SIN(RADIANS($F410)))</f>
        <v/>
      </c>
      <c r="M410">
        <f>IF($I410="","",$I410*SIN(RADIANS($C410))+$J410*SIN(RADIANS($E410)))</f>
        <v/>
      </c>
      <c r="N410">
        <f>IF($M410="","",DEGREES(ATAN2(SQRT($K410^2+$L410^2),$M410)))</f>
        <v/>
      </c>
      <c r="O410">
        <f>IF($M410="","",DEGREES(ATAN2($K410,$L410)))</f>
        <v/>
      </c>
      <c r="P410">
        <f t="array" ref="P410">IF($N410="","",IFERROR(IF(INDEX(geo_grid!$B$2:$JU$231,INT(($N410+40)/0.5)+1,INT(($O410+30)/0.5)+1)="","",INDEX(geo_grid!$B$2:$JU$231,INT(($N410+40)/0.5)+1,INT(($O410+30)/0.5)+1)),"OUTSIDE GRID"))</f>
        <v/>
      </c>
      <c r="Q410">
        <f>IF($P410="","",$A410*1000+$B410)</f>
        <v/>
      </c>
    </row>
    <row r="411">
      <c r="A411">
        <f>INT((ROW()-2)/151)+1</f>
        <v/>
      </c>
      <c r="B411">
        <f>MOD(ROW()-2,151)</f>
        <v/>
      </c>
      <c r="C411">
        <f t="array" ref="C411">IFERROR(INDEX('TRIP MANAGER'!$O$18:$O$25,$A411),"")</f>
        <v/>
      </c>
      <c r="D411">
        <f t="array" ref="D411">IFERROR(INDEX('TRIP MANAGER'!$P$18:$P$25,$A411),"")</f>
        <v/>
      </c>
      <c r="E411">
        <f t="array" ref="E411">IFERROR(INDEX('TRIP MANAGER'!$Q$18:$Q$25,$A411),"")</f>
        <v/>
      </c>
      <c r="F411">
        <f t="array" ref="F411">IFERROR(INDEX('TRIP MANAGER'!$R$18:$R$25,$A411),"")</f>
        <v/>
      </c>
      <c r="G411">
        <f t="array" ref="G411">IFERROR(INDEX('TRIP MANAGER'!$S$18:$S$25,$A411),"")</f>
        <v/>
      </c>
      <c r="H411">
        <f>$B411/150</f>
        <v/>
      </c>
      <c r="I411">
        <f>IF(OR($G411="",$G411=0),"",SIN((1-$H411)*$G411)/SIN($G411))</f>
        <v/>
      </c>
      <c r="J411">
        <f>IF($I411="","",SIN($H411*$G411)/SIN($G411))</f>
        <v/>
      </c>
      <c r="K411">
        <f>IF($I411="","",$I411*COS(RADIANS($C411))*COS(RADIANS($D411))+$J411*COS(RADIANS($E411))*COS(RADIANS($F411)))</f>
        <v/>
      </c>
      <c r="L411">
        <f>IF($I411="","",$I411*COS(RADIANS($C411))*SIN(RADIANS($D411))+$J411*COS(RADIANS($E411))*SIN(RADIANS($F411)))</f>
        <v/>
      </c>
      <c r="M411">
        <f>IF($I411="","",$I411*SIN(RADIANS($C411))+$J411*SIN(RADIANS($E411)))</f>
        <v/>
      </c>
      <c r="N411">
        <f>IF($M411="","",DEGREES(ATAN2(SQRT($K411^2+$L411^2),$M411)))</f>
        <v/>
      </c>
      <c r="O411">
        <f>IF($M411="","",DEGREES(ATAN2($K411,$L411)))</f>
        <v/>
      </c>
      <c r="P411">
        <f t="array" ref="P411">IF($N411="","",IFERROR(IF(INDEX(geo_grid!$B$2:$JU$231,INT(($N411+40)/0.5)+1,INT(($O411+30)/0.5)+1)="","",INDEX(geo_grid!$B$2:$JU$231,INT(($N411+40)/0.5)+1,INT(($O411+30)/0.5)+1)),"OUTSIDE GRID"))</f>
        <v/>
      </c>
      <c r="Q411">
        <f>IF($P411="","",$A411*1000+$B411)</f>
        <v/>
      </c>
    </row>
    <row r="412">
      <c r="A412">
        <f>INT((ROW()-2)/151)+1</f>
        <v/>
      </c>
      <c r="B412">
        <f>MOD(ROW()-2,151)</f>
        <v/>
      </c>
      <c r="C412">
        <f t="array" ref="C412">IFERROR(INDEX('TRIP MANAGER'!$O$18:$O$25,$A412),"")</f>
        <v/>
      </c>
      <c r="D412">
        <f t="array" ref="D412">IFERROR(INDEX('TRIP MANAGER'!$P$18:$P$25,$A412),"")</f>
        <v/>
      </c>
      <c r="E412">
        <f t="array" ref="E412">IFERROR(INDEX('TRIP MANAGER'!$Q$18:$Q$25,$A412),"")</f>
        <v/>
      </c>
      <c r="F412">
        <f t="array" ref="F412">IFERROR(INDEX('TRIP MANAGER'!$R$18:$R$25,$A412),"")</f>
        <v/>
      </c>
      <c r="G412">
        <f t="array" ref="G412">IFERROR(INDEX('TRIP MANAGER'!$S$18:$S$25,$A412),"")</f>
        <v/>
      </c>
      <c r="H412">
        <f>$B412/150</f>
        <v/>
      </c>
      <c r="I412">
        <f>IF(OR($G412="",$G412=0),"",SIN((1-$H412)*$G412)/SIN($G412))</f>
        <v/>
      </c>
      <c r="J412">
        <f>IF($I412="","",SIN($H412*$G412)/SIN($G412))</f>
        <v/>
      </c>
      <c r="K412">
        <f>IF($I412="","",$I412*COS(RADIANS($C412))*COS(RADIANS($D412))+$J412*COS(RADIANS($E412))*COS(RADIANS($F412)))</f>
        <v/>
      </c>
      <c r="L412">
        <f>IF($I412="","",$I412*COS(RADIANS($C412))*SIN(RADIANS($D412))+$J412*COS(RADIANS($E412))*SIN(RADIANS($F412)))</f>
        <v/>
      </c>
      <c r="M412">
        <f>IF($I412="","",$I412*SIN(RADIANS($C412))+$J412*SIN(RADIANS($E412)))</f>
        <v/>
      </c>
      <c r="N412">
        <f>IF($M412="","",DEGREES(ATAN2(SQRT($K412^2+$L412^2),$M412)))</f>
        <v/>
      </c>
      <c r="O412">
        <f>IF($M412="","",DEGREES(ATAN2($K412,$L412)))</f>
        <v/>
      </c>
      <c r="P412">
        <f t="array" ref="P412">IF($N412="","",IFERROR(IF(INDEX(geo_grid!$B$2:$JU$231,INT(($N412+40)/0.5)+1,INT(($O412+30)/0.5)+1)="","",INDEX(geo_grid!$B$2:$JU$231,INT(($N412+40)/0.5)+1,INT(($O412+30)/0.5)+1)),"OUTSIDE GRID"))</f>
        <v/>
      </c>
      <c r="Q412">
        <f>IF($P412="","",$A412*1000+$B412)</f>
        <v/>
      </c>
    </row>
    <row r="413">
      <c r="A413">
        <f>INT((ROW()-2)/151)+1</f>
        <v/>
      </c>
      <c r="B413">
        <f>MOD(ROW()-2,151)</f>
        <v/>
      </c>
      <c r="C413">
        <f t="array" ref="C413">IFERROR(INDEX('TRIP MANAGER'!$O$18:$O$25,$A413),"")</f>
        <v/>
      </c>
      <c r="D413">
        <f t="array" ref="D413">IFERROR(INDEX('TRIP MANAGER'!$P$18:$P$25,$A413),"")</f>
        <v/>
      </c>
      <c r="E413">
        <f t="array" ref="E413">IFERROR(INDEX('TRIP MANAGER'!$Q$18:$Q$25,$A413),"")</f>
        <v/>
      </c>
      <c r="F413">
        <f t="array" ref="F413">IFERROR(INDEX('TRIP MANAGER'!$R$18:$R$25,$A413),"")</f>
        <v/>
      </c>
      <c r="G413">
        <f t="array" ref="G413">IFERROR(INDEX('TRIP MANAGER'!$S$18:$S$25,$A413),"")</f>
        <v/>
      </c>
      <c r="H413">
        <f>$B413/150</f>
        <v/>
      </c>
      <c r="I413">
        <f>IF(OR($G413="",$G413=0),"",SIN((1-$H413)*$G413)/SIN($G413))</f>
        <v/>
      </c>
      <c r="J413">
        <f>IF($I413="","",SIN($H413*$G413)/SIN($G413))</f>
        <v/>
      </c>
      <c r="K413">
        <f>IF($I413="","",$I413*COS(RADIANS($C413))*COS(RADIANS($D413))+$J413*COS(RADIANS($E413))*COS(RADIANS($F413)))</f>
        <v/>
      </c>
      <c r="L413">
        <f>IF($I413="","",$I413*COS(RADIANS($C413))*SIN(RADIANS($D413))+$J413*COS(RADIANS($E413))*SIN(RADIANS($F413)))</f>
        <v/>
      </c>
      <c r="M413">
        <f>IF($I413="","",$I413*SIN(RADIANS($C413))+$J413*SIN(RADIANS($E413)))</f>
        <v/>
      </c>
      <c r="N413">
        <f>IF($M413="","",DEGREES(ATAN2(SQRT($K413^2+$L413^2),$M413)))</f>
        <v/>
      </c>
      <c r="O413">
        <f>IF($M413="","",DEGREES(ATAN2($K413,$L413)))</f>
        <v/>
      </c>
      <c r="P413">
        <f t="array" ref="P413">IF($N413="","",IFERROR(IF(INDEX(geo_grid!$B$2:$JU$231,INT(($N413+40)/0.5)+1,INT(($O413+30)/0.5)+1)="","",INDEX(geo_grid!$B$2:$JU$231,INT(($N413+40)/0.5)+1,INT(($O413+30)/0.5)+1)),"OUTSIDE GRID"))</f>
        <v/>
      </c>
      <c r="Q413">
        <f>IF($P413="","",$A413*1000+$B413)</f>
        <v/>
      </c>
    </row>
    <row r="414">
      <c r="A414">
        <f>INT((ROW()-2)/151)+1</f>
        <v/>
      </c>
      <c r="B414">
        <f>MOD(ROW()-2,151)</f>
        <v/>
      </c>
      <c r="C414">
        <f t="array" ref="C414">IFERROR(INDEX('TRIP MANAGER'!$O$18:$O$25,$A414),"")</f>
        <v/>
      </c>
      <c r="D414">
        <f t="array" ref="D414">IFERROR(INDEX('TRIP MANAGER'!$P$18:$P$25,$A414),"")</f>
        <v/>
      </c>
      <c r="E414">
        <f t="array" ref="E414">IFERROR(INDEX('TRIP MANAGER'!$Q$18:$Q$25,$A414),"")</f>
        <v/>
      </c>
      <c r="F414">
        <f t="array" ref="F414">IFERROR(INDEX('TRIP MANAGER'!$R$18:$R$25,$A414),"")</f>
        <v/>
      </c>
      <c r="G414">
        <f t="array" ref="G414">IFERROR(INDEX('TRIP MANAGER'!$S$18:$S$25,$A414),"")</f>
        <v/>
      </c>
      <c r="H414">
        <f>$B414/150</f>
        <v/>
      </c>
      <c r="I414">
        <f>IF(OR($G414="",$G414=0),"",SIN((1-$H414)*$G414)/SIN($G414))</f>
        <v/>
      </c>
      <c r="J414">
        <f>IF($I414="","",SIN($H414*$G414)/SIN($G414))</f>
        <v/>
      </c>
      <c r="K414">
        <f>IF($I414="","",$I414*COS(RADIANS($C414))*COS(RADIANS($D414))+$J414*COS(RADIANS($E414))*COS(RADIANS($F414)))</f>
        <v/>
      </c>
      <c r="L414">
        <f>IF($I414="","",$I414*COS(RADIANS($C414))*SIN(RADIANS($D414))+$J414*COS(RADIANS($E414))*SIN(RADIANS($F414)))</f>
        <v/>
      </c>
      <c r="M414">
        <f>IF($I414="","",$I414*SIN(RADIANS($C414))+$J414*SIN(RADIANS($E414)))</f>
        <v/>
      </c>
      <c r="N414">
        <f>IF($M414="","",DEGREES(ATAN2(SQRT($K414^2+$L414^2),$M414)))</f>
        <v/>
      </c>
      <c r="O414">
        <f>IF($M414="","",DEGREES(ATAN2($K414,$L414)))</f>
        <v/>
      </c>
      <c r="P414">
        <f t="array" ref="P414">IF($N414="","",IFERROR(IF(INDEX(geo_grid!$B$2:$JU$231,INT(($N414+40)/0.5)+1,INT(($O414+30)/0.5)+1)="","",INDEX(geo_grid!$B$2:$JU$231,INT(($N414+40)/0.5)+1,INT(($O414+30)/0.5)+1)),"OUTSIDE GRID"))</f>
        <v/>
      </c>
      <c r="Q414">
        <f>IF($P414="","",$A414*1000+$B414)</f>
        <v/>
      </c>
    </row>
    <row r="415">
      <c r="A415">
        <f>INT((ROW()-2)/151)+1</f>
        <v/>
      </c>
      <c r="B415">
        <f>MOD(ROW()-2,151)</f>
        <v/>
      </c>
      <c r="C415">
        <f t="array" ref="C415">IFERROR(INDEX('TRIP MANAGER'!$O$18:$O$25,$A415),"")</f>
        <v/>
      </c>
      <c r="D415">
        <f t="array" ref="D415">IFERROR(INDEX('TRIP MANAGER'!$P$18:$P$25,$A415),"")</f>
        <v/>
      </c>
      <c r="E415">
        <f t="array" ref="E415">IFERROR(INDEX('TRIP MANAGER'!$Q$18:$Q$25,$A415),"")</f>
        <v/>
      </c>
      <c r="F415">
        <f t="array" ref="F415">IFERROR(INDEX('TRIP MANAGER'!$R$18:$R$25,$A415),"")</f>
        <v/>
      </c>
      <c r="G415">
        <f t="array" ref="G415">IFERROR(INDEX('TRIP MANAGER'!$S$18:$S$25,$A415),"")</f>
        <v/>
      </c>
      <c r="H415">
        <f>$B415/150</f>
        <v/>
      </c>
      <c r="I415">
        <f>IF(OR($G415="",$G415=0),"",SIN((1-$H415)*$G415)/SIN($G415))</f>
        <v/>
      </c>
      <c r="J415">
        <f>IF($I415="","",SIN($H415*$G415)/SIN($G415))</f>
        <v/>
      </c>
      <c r="K415">
        <f>IF($I415="","",$I415*COS(RADIANS($C415))*COS(RADIANS($D415))+$J415*COS(RADIANS($E415))*COS(RADIANS($F415)))</f>
        <v/>
      </c>
      <c r="L415">
        <f>IF($I415="","",$I415*COS(RADIANS($C415))*SIN(RADIANS($D415))+$J415*COS(RADIANS($E415))*SIN(RADIANS($F415)))</f>
        <v/>
      </c>
      <c r="M415">
        <f>IF($I415="","",$I415*SIN(RADIANS($C415))+$J415*SIN(RADIANS($E415)))</f>
        <v/>
      </c>
      <c r="N415">
        <f>IF($M415="","",DEGREES(ATAN2(SQRT($K415^2+$L415^2),$M415)))</f>
        <v/>
      </c>
      <c r="O415">
        <f>IF($M415="","",DEGREES(ATAN2($K415,$L415)))</f>
        <v/>
      </c>
      <c r="P415">
        <f t="array" ref="P415">IF($N415="","",IFERROR(IF(INDEX(geo_grid!$B$2:$JU$231,INT(($N415+40)/0.5)+1,INT(($O415+30)/0.5)+1)="","",INDEX(geo_grid!$B$2:$JU$231,INT(($N415+40)/0.5)+1,INT(($O415+30)/0.5)+1)),"OUTSIDE GRID"))</f>
        <v/>
      </c>
      <c r="Q415">
        <f>IF($P415="","",$A415*1000+$B415)</f>
        <v/>
      </c>
    </row>
    <row r="416">
      <c r="A416">
        <f>INT((ROW()-2)/151)+1</f>
        <v/>
      </c>
      <c r="B416">
        <f>MOD(ROW()-2,151)</f>
        <v/>
      </c>
      <c r="C416">
        <f t="array" ref="C416">IFERROR(INDEX('TRIP MANAGER'!$O$18:$O$25,$A416),"")</f>
        <v/>
      </c>
      <c r="D416">
        <f t="array" ref="D416">IFERROR(INDEX('TRIP MANAGER'!$P$18:$P$25,$A416),"")</f>
        <v/>
      </c>
      <c r="E416">
        <f t="array" ref="E416">IFERROR(INDEX('TRIP MANAGER'!$Q$18:$Q$25,$A416),"")</f>
        <v/>
      </c>
      <c r="F416">
        <f t="array" ref="F416">IFERROR(INDEX('TRIP MANAGER'!$R$18:$R$25,$A416),"")</f>
        <v/>
      </c>
      <c r="G416">
        <f t="array" ref="G416">IFERROR(INDEX('TRIP MANAGER'!$S$18:$S$25,$A416),"")</f>
        <v/>
      </c>
      <c r="H416">
        <f>$B416/150</f>
        <v/>
      </c>
      <c r="I416">
        <f>IF(OR($G416="",$G416=0),"",SIN((1-$H416)*$G416)/SIN($G416))</f>
        <v/>
      </c>
      <c r="J416">
        <f>IF($I416="","",SIN($H416*$G416)/SIN($G416))</f>
        <v/>
      </c>
      <c r="K416">
        <f>IF($I416="","",$I416*COS(RADIANS($C416))*COS(RADIANS($D416))+$J416*COS(RADIANS($E416))*COS(RADIANS($F416)))</f>
        <v/>
      </c>
      <c r="L416">
        <f>IF($I416="","",$I416*COS(RADIANS($C416))*SIN(RADIANS($D416))+$J416*COS(RADIANS($E416))*SIN(RADIANS($F416)))</f>
        <v/>
      </c>
      <c r="M416">
        <f>IF($I416="","",$I416*SIN(RADIANS($C416))+$J416*SIN(RADIANS($E416)))</f>
        <v/>
      </c>
      <c r="N416">
        <f>IF($M416="","",DEGREES(ATAN2(SQRT($K416^2+$L416^2),$M416)))</f>
        <v/>
      </c>
      <c r="O416">
        <f>IF($M416="","",DEGREES(ATAN2($K416,$L416)))</f>
        <v/>
      </c>
      <c r="P416">
        <f t="array" ref="P416">IF($N416="","",IFERROR(IF(INDEX(geo_grid!$B$2:$JU$231,INT(($N416+40)/0.5)+1,INT(($O416+30)/0.5)+1)="","",INDEX(geo_grid!$B$2:$JU$231,INT(($N416+40)/0.5)+1,INT(($O416+30)/0.5)+1)),"OUTSIDE GRID"))</f>
        <v/>
      </c>
      <c r="Q416">
        <f>IF($P416="","",$A416*1000+$B416)</f>
        <v/>
      </c>
    </row>
    <row r="417">
      <c r="A417">
        <f>INT((ROW()-2)/151)+1</f>
        <v/>
      </c>
      <c r="B417">
        <f>MOD(ROW()-2,151)</f>
        <v/>
      </c>
      <c r="C417">
        <f t="array" ref="C417">IFERROR(INDEX('TRIP MANAGER'!$O$18:$O$25,$A417),"")</f>
        <v/>
      </c>
      <c r="D417">
        <f t="array" ref="D417">IFERROR(INDEX('TRIP MANAGER'!$P$18:$P$25,$A417),"")</f>
        <v/>
      </c>
      <c r="E417">
        <f t="array" ref="E417">IFERROR(INDEX('TRIP MANAGER'!$Q$18:$Q$25,$A417),"")</f>
        <v/>
      </c>
      <c r="F417">
        <f t="array" ref="F417">IFERROR(INDEX('TRIP MANAGER'!$R$18:$R$25,$A417),"")</f>
        <v/>
      </c>
      <c r="G417">
        <f t="array" ref="G417">IFERROR(INDEX('TRIP MANAGER'!$S$18:$S$25,$A417),"")</f>
        <v/>
      </c>
      <c r="H417">
        <f>$B417/150</f>
        <v/>
      </c>
      <c r="I417">
        <f>IF(OR($G417="",$G417=0),"",SIN((1-$H417)*$G417)/SIN($G417))</f>
        <v/>
      </c>
      <c r="J417">
        <f>IF($I417="","",SIN($H417*$G417)/SIN($G417))</f>
        <v/>
      </c>
      <c r="K417">
        <f>IF($I417="","",$I417*COS(RADIANS($C417))*COS(RADIANS($D417))+$J417*COS(RADIANS($E417))*COS(RADIANS($F417)))</f>
        <v/>
      </c>
      <c r="L417">
        <f>IF($I417="","",$I417*COS(RADIANS($C417))*SIN(RADIANS($D417))+$J417*COS(RADIANS($E417))*SIN(RADIANS($F417)))</f>
        <v/>
      </c>
      <c r="M417">
        <f>IF($I417="","",$I417*SIN(RADIANS($C417))+$J417*SIN(RADIANS($E417)))</f>
        <v/>
      </c>
      <c r="N417">
        <f>IF($M417="","",DEGREES(ATAN2(SQRT($K417^2+$L417^2),$M417)))</f>
        <v/>
      </c>
      <c r="O417">
        <f>IF($M417="","",DEGREES(ATAN2($K417,$L417)))</f>
        <v/>
      </c>
      <c r="P417">
        <f t="array" ref="P417">IF($N417="","",IFERROR(IF(INDEX(geo_grid!$B$2:$JU$231,INT(($N417+40)/0.5)+1,INT(($O417+30)/0.5)+1)="","",INDEX(geo_grid!$B$2:$JU$231,INT(($N417+40)/0.5)+1,INT(($O417+30)/0.5)+1)),"OUTSIDE GRID"))</f>
        <v/>
      </c>
      <c r="Q417">
        <f>IF($P417="","",$A417*1000+$B417)</f>
        <v/>
      </c>
    </row>
    <row r="418">
      <c r="A418">
        <f>INT((ROW()-2)/151)+1</f>
        <v/>
      </c>
      <c r="B418">
        <f>MOD(ROW()-2,151)</f>
        <v/>
      </c>
      <c r="C418">
        <f t="array" ref="C418">IFERROR(INDEX('TRIP MANAGER'!$O$18:$O$25,$A418),"")</f>
        <v/>
      </c>
      <c r="D418">
        <f t="array" ref="D418">IFERROR(INDEX('TRIP MANAGER'!$P$18:$P$25,$A418),"")</f>
        <v/>
      </c>
      <c r="E418">
        <f t="array" ref="E418">IFERROR(INDEX('TRIP MANAGER'!$Q$18:$Q$25,$A418),"")</f>
        <v/>
      </c>
      <c r="F418">
        <f t="array" ref="F418">IFERROR(INDEX('TRIP MANAGER'!$R$18:$R$25,$A418),"")</f>
        <v/>
      </c>
      <c r="G418">
        <f t="array" ref="G418">IFERROR(INDEX('TRIP MANAGER'!$S$18:$S$25,$A418),"")</f>
        <v/>
      </c>
      <c r="H418">
        <f>$B418/150</f>
        <v/>
      </c>
      <c r="I418">
        <f>IF(OR($G418="",$G418=0),"",SIN((1-$H418)*$G418)/SIN($G418))</f>
        <v/>
      </c>
      <c r="J418">
        <f>IF($I418="","",SIN($H418*$G418)/SIN($G418))</f>
        <v/>
      </c>
      <c r="K418">
        <f>IF($I418="","",$I418*COS(RADIANS($C418))*COS(RADIANS($D418))+$J418*COS(RADIANS($E418))*COS(RADIANS($F418)))</f>
        <v/>
      </c>
      <c r="L418">
        <f>IF($I418="","",$I418*COS(RADIANS($C418))*SIN(RADIANS($D418))+$J418*COS(RADIANS($E418))*SIN(RADIANS($F418)))</f>
        <v/>
      </c>
      <c r="M418">
        <f>IF($I418="","",$I418*SIN(RADIANS($C418))+$J418*SIN(RADIANS($E418)))</f>
        <v/>
      </c>
      <c r="N418">
        <f>IF($M418="","",DEGREES(ATAN2(SQRT($K418^2+$L418^2),$M418)))</f>
        <v/>
      </c>
      <c r="O418">
        <f>IF($M418="","",DEGREES(ATAN2($K418,$L418)))</f>
        <v/>
      </c>
      <c r="P418">
        <f t="array" ref="P418">IF($N418="","",IFERROR(IF(INDEX(geo_grid!$B$2:$JU$231,INT(($N418+40)/0.5)+1,INT(($O418+30)/0.5)+1)="","",INDEX(geo_grid!$B$2:$JU$231,INT(($N418+40)/0.5)+1,INT(($O418+30)/0.5)+1)),"OUTSIDE GRID"))</f>
        <v/>
      </c>
      <c r="Q418">
        <f>IF($P418="","",$A418*1000+$B418)</f>
        <v/>
      </c>
    </row>
    <row r="419">
      <c r="A419">
        <f>INT((ROW()-2)/151)+1</f>
        <v/>
      </c>
      <c r="B419">
        <f>MOD(ROW()-2,151)</f>
        <v/>
      </c>
      <c r="C419">
        <f t="array" ref="C419">IFERROR(INDEX('TRIP MANAGER'!$O$18:$O$25,$A419),"")</f>
        <v/>
      </c>
      <c r="D419">
        <f t="array" ref="D419">IFERROR(INDEX('TRIP MANAGER'!$P$18:$P$25,$A419),"")</f>
        <v/>
      </c>
      <c r="E419">
        <f t="array" ref="E419">IFERROR(INDEX('TRIP MANAGER'!$Q$18:$Q$25,$A419),"")</f>
        <v/>
      </c>
      <c r="F419">
        <f t="array" ref="F419">IFERROR(INDEX('TRIP MANAGER'!$R$18:$R$25,$A419),"")</f>
        <v/>
      </c>
      <c r="G419">
        <f t="array" ref="G419">IFERROR(INDEX('TRIP MANAGER'!$S$18:$S$25,$A419),"")</f>
        <v/>
      </c>
      <c r="H419">
        <f>$B419/150</f>
        <v/>
      </c>
      <c r="I419">
        <f>IF(OR($G419="",$G419=0),"",SIN((1-$H419)*$G419)/SIN($G419))</f>
        <v/>
      </c>
      <c r="J419">
        <f>IF($I419="","",SIN($H419*$G419)/SIN($G419))</f>
        <v/>
      </c>
      <c r="K419">
        <f>IF($I419="","",$I419*COS(RADIANS($C419))*COS(RADIANS($D419))+$J419*COS(RADIANS($E419))*COS(RADIANS($F419)))</f>
        <v/>
      </c>
      <c r="L419">
        <f>IF($I419="","",$I419*COS(RADIANS($C419))*SIN(RADIANS($D419))+$J419*COS(RADIANS($E419))*SIN(RADIANS($F419)))</f>
        <v/>
      </c>
      <c r="M419">
        <f>IF($I419="","",$I419*SIN(RADIANS($C419))+$J419*SIN(RADIANS($E419)))</f>
        <v/>
      </c>
      <c r="N419">
        <f>IF($M419="","",DEGREES(ATAN2(SQRT($K419^2+$L419^2),$M419)))</f>
        <v/>
      </c>
      <c r="O419">
        <f>IF($M419="","",DEGREES(ATAN2($K419,$L419)))</f>
        <v/>
      </c>
      <c r="P419">
        <f t="array" ref="P419">IF($N419="","",IFERROR(IF(INDEX(geo_grid!$B$2:$JU$231,INT(($N419+40)/0.5)+1,INT(($O419+30)/0.5)+1)="","",INDEX(geo_grid!$B$2:$JU$231,INT(($N419+40)/0.5)+1,INT(($O419+30)/0.5)+1)),"OUTSIDE GRID"))</f>
        <v/>
      </c>
      <c r="Q419">
        <f>IF($P419="","",$A419*1000+$B419)</f>
        <v/>
      </c>
    </row>
    <row r="420">
      <c r="A420">
        <f>INT((ROW()-2)/151)+1</f>
        <v/>
      </c>
      <c r="B420">
        <f>MOD(ROW()-2,151)</f>
        <v/>
      </c>
      <c r="C420">
        <f t="array" ref="C420">IFERROR(INDEX('TRIP MANAGER'!$O$18:$O$25,$A420),"")</f>
        <v/>
      </c>
      <c r="D420">
        <f t="array" ref="D420">IFERROR(INDEX('TRIP MANAGER'!$P$18:$P$25,$A420),"")</f>
        <v/>
      </c>
      <c r="E420">
        <f t="array" ref="E420">IFERROR(INDEX('TRIP MANAGER'!$Q$18:$Q$25,$A420),"")</f>
        <v/>
      </c>
      <c r="F420">
        <f t="array" ref="F420">IFERROR(INDEX('TRIP MANAGER'!$R$18:$R$25,$A420),"")</f>
        <v/>
      </c>
      <c r="G420">
        <f t="array" ref="G420">IFERROR(INDEX('TRIP MANAGER'!$S$18:$S$25,$A420),"")</f>
        <v/>
      </c>
      <c r="H420">
        <f>$B420/150</f>
        <v/>
      </c>
      <c r="I420">
        <f>IF(OR($G420="",$G420=0),"",SIN((1-$H420)*$G420)/SIN($G420))</f>
        <v/>
      </c>
      <c r="J420">
        <f>IF($I420="","",SIN($H420*$G420)/SIN($G420))</f>
        <v/>
      </c>
      <c r="K420">
        <f>IF($I420="","",$I420*COS(RADIANS($C420))*COS(RADIANS($D420))+$J420*COS(RADIANS($E420))*COS(RADIANS($F420)))</f>
        <v/>
      </c>
      <c r="L420">
        <f>IF($I420="","",$I420*COS(RADIANS($C420))*SIN(RADIANS($D420))+$J420*COS(RADIANS($E420))*SIN(RADIANS($F420)))</f>
        <v/>
      </c>
      <c r="M420">
        <f>IF($I420="","",$I420*SIN(RADIANS($C420))+$J420*SIN(RADIANS($E420)))</f>
        <v/>
      </c>
      <c r="N420">
        <f>IF($M420="","",DEGREES(ATAN2(SQRT($K420^2+$L420^2),$M420)))</f>
        <v/>
      </c>
      <c r="O420">
        <f>IF($M420="","",DEGREES(ATAN2($K420,$L420)))</f>
        <v/>
      </c>
      <c r="P420">
        <f t="array" ref="P420">IF($N420="","",IFERROR(IF(INDEX(geo_grid!$B$2:$JU$231,INT(($N420+40)/0.5)+1,INT(($O420+30)/0.5)+1)="","",INDEX(geo_grid!$B$2:$JU$231,INT(($N420+40)/0.5)+1,INT(($O420+30)/0.5)+1)),"OUTSIDE GRID"))</f>
        <v/>
      </c>
      <c r="Q420">
        <f>IF($P420="","",$A420*1000+$B420)</f>
        <v/>
      </c>
    </row>
    <row r="421">
      <c r="A421">
        <f>INT((ROW()-2)/151)+1</f>
        <v/>
      </c>
      <c r="B421">
        <f>MOD(ROW()-2,151)</f>
        <v/>
      </c>
      <c r="C421">
        <f t="array" ref="C421">IFERROR(INDEX('TRIP MANAGER'!$O$18:$O$25,$A421),"")</f>
        <v/>
      </c>
      <c r="D421">
        <f t="array" ref="D421">IFERROR(INDEX('TRIP MANAGER'!$P$18:$P$25,$A421),"")</f>
        <v/>
      </c>
      <c r="E421">
        <f t="array" ref="E421">IFERROR(INDEX('TRIP MANAGER'!$Q$18:$Q$25,$A421),"")</f>
        <v/>
      </c>
      <c r="F421">
        <f t="array" ref="F421">IFERROR(INDEX('TRIP MANAGER'!$R$18:$R$25,$A421),"")</f>
        <v/>
      </c>
      <c r="G421">
        <f t="array" ref="G421">IFERROR(INDEX('TRIP MANAGER'!$S$18:$S$25,$A421),"")</f>
        <v/>
      </c>
      <c r="H421">
        <f>$B421/150</f>
        <v/>
      </c>
      <c r="I421">
        <f>IF(OR($G421="",$G421=0),"",SIN((1-$H421)*$G421)/SIN($G421))</f>
        <v/>
      </c>
      <c r="J421">
        <f>IF($I421="","",SIN($H421*$G421)/SIN($G421))</f>
        <v/>
      </c>
      <c r="K421">
        <f>IF($I421="","",$I421*COS(RADIANS($C421))*COS(RADIANS($D421))+$J421*COS(RADIANS($E421))*COS(RADIANS($F421)))</f>
        <v/>
      </c>
      <c r="L421">
        <f>IF($I421="","",$I421*COS(RADIANS($C421))*SIN(RADIANS($D421))+$J421*COS(RADIANS($E421))*SIN(RADIANS($F421)))</f>
        <v/>
      </c>
      <c r="M421">
        <f>IF($I421="","",$I421*SIN(RADIANS($C421))+$J421*SIN(RADIANS($E421)))</f>
        <v/>
      </c>
      <c r="N421">
        <f>IF($M421="","",DEGREES(ATAN2(SQRT($K421^2+$L421^2),$M421)))</f>
        <v/>
      </c>
      <c r="O421">
        <f>IF($M421="","",DEGREES(ATAN2($K421,$L421)))</f>
        <v/>
      </c>
      <c r="P421">
        <f t="array" ref="P421">IF($N421="","",IFERROR(IF(INDEX(geo_grid!$B$2:$JU$231,INT(($N421+40)/0.5)+1,INT(($O421+30)/0.5)+1)="","",INDEX(geo_grid!$B$2:$JU$231,INT(($N421+40)/0.5)+1,INT(($O421+30)/0.5)+1)),"OUTSIDE GRID"))</f>
        <v/>
      </c>
      <c r="Q421">
        <f>IF($P421="","",$A421*1000+$B421)</f>
        <v/>
      </c>
    </row>
    <row r="422">
      <c r="A422">
        <f>INT((ROW()-2)/151)+1</f>
        <v/>
      </c>
      <c r="B422">
        <f>MOD(ROW()-2,151)</f>
        <v/>
      </c>
      <c r="C422">
        <f t="array" ref="C422">IFERROR(INDEX('TRIP MANAGER'!$O$18:$O$25,$A422),"")</f>
        <v/>
      </c>
      <c r="D422">
        <f t="array" ref="D422">IFERROR(INDEX('TRIP MANAGER'!$P$18:$P$25,$A422),"")</f>
        <v/>
      </c>
      <c r="E422">
        <f t="array" ref="E422">IFERROR(INDEX('TRIP MANAGER'!$Q$18:$Q$25,$A422),"")</f>
        <v/>
      </c>
      <c r="F422">
        <f t="array" ref="F422">IFERROR(INDEX('TRIP MANAGER'!$R$18:$R$25,$A422),"")</f>
        <v/>
      </c>
      <c r="G422">
        <f t="array" ref="G422">IFERROR(INDEX('TRIP MANAGER'!$S$18:$S$25,$A422),"")</f>
        <v/>
      </c>
      <c r="H422">
        <f>$B422/150</f>
        <v/>
      </c>
      <c r="I422">
        <f>IF(OR($G422="",$G422=0),"",SIN((1-$H422)*$G422)/SIN($G422))</f>
        <v/>
      </c>
      <c r="J422">
        <f>IF($I422="","",SIN($H422*$G422)/SIN($G422))</f>
        <v/>
      </c>
      <c r="K422">
        <f>IF($I422="","",$I422*COS(RADIANS($C422))*COS(RADIANS($D422))+$J422*COS(RADIANS($E422))*COS(RADIANS($F422)))</f>
        <v/>
      </c>
      <c r="L422">
        <f>IF($I422="","",$I422*COS(RADIANS($C422))*SIN(RADIANS($D422))+$J422*COS(RADIANS($E422))*SIN(RADIANS($F422)))</f>
        <v/>
      </c>
      <c r="M422">
        <f>IF($I422="","",$I422*SIN(RADIANS($C422))+$J422*SIN(RADIANS($E422)))</f>
        <v/>
      </c>
      <c r="N422">
        <f>IF($M422="","",DEGREES(ATAN2(SQRT($K422^2+$L422^2),$M422)))</f>
        <v/>
      </c>
      <c r="O422">
        <f>IF($M422="","",DEGREES(ATAN2($K422,$L422)))</f>
        <v/>
      </c>
      <c r="P422">
        <f t="array" ref="P422">IF($N422="","",IFERROR(IF(INDEX(geo_grid!$B$2:$JU$231,INT(($N422+40)/0.5)+1,INT(($O422+30)/0.5)+1)="","",INDEX(geo_grid!$B$2:$JU$231,INT(($N422+40)/0.5)+1,INT(($O422+30)/0.5)+1)),"OUTSIDE GRID"))</f>
        <v/>
      </c>
      <c r="Q422">
        <f>IF($P422="","",$A422*1000+$B422)</f>
        <v/>
      </c>
    </row>
    <row r="423">
      <c r="A423">
        <f>INT((ROW()-2)/151)+1</f>
        <v/>
      </c>
      <c r="B423">
        <f>MOD(ROW()-2,151)</f>
        <v/>
      </c>
      <c r="C423">
        <f t="array" ref="C423">IFERROR(INDEX('TRIP MANAGER'!$O$18:$O$25,$A423),"")</f>
        <v/>
      </c>
      <c r="D423">
        <f t="array" ref="D423">IFERROR(INDEX('TRIP MANAGER'!$P$18:$P$25,$A423),"")</f>
        <v/>
      </c>
      <c r="E423">
        <f t="array" ref="E423">IFERROR(INDEX('TRIP MANAGER'!$Q$18:$Q$25,$A423),"")</f>
        <v/>
      </c>
      <c r="F423">
        <f t="array" ref="F423">IFERROR(INDEX('TRIP MANAGER'!$R$18:$R$25,$A423),"")</f>
        <v/>
      </c>
      <c r="G423">
        <f t="array" ref="G423">IFERROR(INDEX('TRIP MANAGER'!$S$18:$S$25,$A423),"")</f>
        <v/>
      </c>
      <c r="H423">
        <f>$B423/150</f>
        <v/>
      </c>
      <c r="I423">
        <f>IF(OR($G423="",$G423=0),"",SIN((1-$H423)*$G423)/SIN($G423))</f>
        <v/>
      </c>
      <c r="J423">
        <f>IF($I423="","",SIN($H423*$G423)/SIN($G423))</f>
        <v/>
      </c>
      <c r="K423">
        <f>IF($I423="","",$I423*COS(RADIANS($C423))*COS(RADIANS($D423))+$J423*COS(RADIANS($E423))*COS(RADIANS($F423)))</f>
        <v/>
      </c>
      <c r="L423">
        <f>IF($I423="","",$I423*COS(RADIANS($C423))*SIN(RADIANS($D423))+$J423*COS(RADIANS($E423))*SIN(RADIANS($F423)))</f>
        <v/>
      </c>
      <c r="M423">
        <f>IF($I423="","",$I423*SIN(RADIANS($C423))+$J423*SIN(RADIANS($E423)))</f>
        <v/>
      </c>
      <c r="N423">
        <f>IF($M423="","",DEGREES(ATAN2(SQRT($K423^2+$L423^2),$M423)))</f>
        <v/>
      </c>
      <c r="O423">
        <f>IF($M423="","",DEGREES(ATAN2($K423,$L423)))</f>
        <v/>
      </c>
      <c r="P423">
        <f t="array" ref="P423">IF($N423="","",IFERROR(IF(INDEX(geo_grid!$B$2:$JU$231,INT(($N423+40)/0.5)+1,INT(($O423+30)/0.5)+1)="","",INDEX(geo_grid!$B$2:$JU$231,INT(($N423+40)/0.5)+1,INT(($O423+30)/0.5)+1)),"OUTSIDE GRID"))</f>
        <v/>
      </c>
      <c r="Q423">
        <f>IF($P423="","",$A423*1000+$B423)</f>
        <v/>
      </c>
    </row>
    <row r="424">
      <c r="A424">
        <f>INT((ROW()-2)/151)+1</f>
        <v/>
      </c>
      <c r="B424">
        <f>MOD(ROW()-2,151)</f>
        <v/>
      </c>
      <c r="C424">
        <f t="array" ref="C424">IFERROR(INDEX('TRIP MANAGER'!$O$18:$O$25,$A424),"")</f>
        <v/>
      </c>
      <c r="D424">
        <f t="array" ref="D424">IFERROR(INDEX('TRIP MANAGER'!$P$18:$P$25,$A424),"")</f>
        <v/>
      </c>
      <c r="E424">
        <f t="array" ref="E424">IFERROR(INDEX('TRIP MANAGER'!$Q$18:$Q$25,$A424),"")</f>
        <v/>
      </c>
      <c r="F424">
        <f t="array" ref="F424">IFERROR(INDEX('TRIP MANAGER'!$R$18:$R$25,$A424),"")</f>
        <v/>
      </c>
      <c r="G424">
        <f t="array" ref="G424">IFERROR(INDEX('TRIP MANAGER'!$S$18:$S$25,$A424),"")</f>
        <v/>
      </c>
      <c r="H424">
        <f>$B424/150</f>
        <v/>
      </c>
      <c r="I424">
        <f>IF(OR($G424="",$G424=0),"",SIN((1-$H424)*$G424)/SIN($G424))</f>
        <v/>
      </c>
      <c r="J424">
        <f>IF($I424="","",SIN($H424*$G424)/SIN($G424))</f>
        <v/>
      </c>
      <c r="K424">
        <f>IF($I424="","",$I424*COS(RADIANS($C424))*COS(RADIANS($D424))+$J424*COS(RADIANS($E424))*COS(RADIANS($F424)))</f>
        <v/>
      </c>
      <c r="L424">
        <f>IF($I424="","",$I424*COS(RADIANS($C424))*SIN(RADIANS($D424))+$J424*COS(RADIANS($E424))*SIN(RADIANS($F424)))</f>
        <v/>
      </c>
      <c r="M424">
        <f>IF($I424="","",$I424*SIN(RADIANS($C424))+$J424*SIN(RADIANS($E424)))</f>
        <v/>
      </c>
      <c r="N424">
        <f>IF($M424="","",DEGREES(ATAN2(SQRT($K424^2+$L424^2),$M424)))</f>
        <v/>
      </c>
      <c r="O424">
        <f>IF($M424="","",DEGREES(ATAN2($K424,$L424)))</f>
        <v/>
      </c>
      <c r="P424">
        <f t="array" ref="P424">IF($N424="","",IFERROR(IF(INDEX(geo_grid!$B$2:$JU$231,INT(($N424+40)/0.5)+1,INT(($O424+30)/0.5)+1)="","",INDEX(geo_grid!$B$2:$JU$231,INT(($N424+40)/0.5)+1,INT(($O424+30)/0.5)+1)),"OUTSIDE GRID"))</f>
        <v/>
      </c>
      <c r="Q424">
        <f>IF($P424="","",$A424*1000+$B424)</f>
        <v/>
      </c>
    </row>
    <row r="425">
      <c r="A425">
        <f>INT((ROW()-2)/151)+1</f>
        <v/>
      </c>
      <c r="B425">
        <f>MOD(ROW()-2,151)</f>
        <v/>
      </c>
      <c r="C425">
        <f t="array" ref="C425">IFERROR(INDEX('TRIP MANAGER'!$O$18:$O$25,$A425),"")</f>
        <v/>
      </c>
      <c r="D425">
        <f t="array" ref="D425">IFERROR(INDEX('TRIP MANAGER'!$P$18:$P$25,$A425),"")</f>
        <v/>
      </c>
      <c r="E425">
        <f t="array" ref="E425">IFERROR(INDEX('TRIP MANAGER'!$Q$18:$Q$25,$A425),"")</f>
        <v/>
      </c>
      <c r="F425">
        <f t="array" ref="F425">IFERROR(INDEX('TRIP MANAGER'!$R$18:$R$25,$A425),"")</f>
        <v/>
      </c>
      <c r="G425">
        <f t="array" ref="G425">IFERROR(INDEX('TRIP MANAGER'!$S$18:$S$25,$A425),"")</f>
        <v/>
      </c>
      <c r="H425">
        <f>$B425/150</f>
        <v/>
      </c>
      <c r="I425">
        <f>IF(OR($G425="",$G425=0),"",SIN((1-$H425)*$G425)/SIN($G425))</f>
        <v/>
      </c>
      <c r="J425">
        <f>IF($I425="","",SIN($H425*$G425)/SIN($G425))</f>
        <v/>
      </c>
      <c r="K425">
        <f>IF($I425="","",$I425*COS(RADIANS($C425))*COS(RADIANS($D425))+$J425*COS(RADIANS($E425))*COS(RADIANS($F425)))</f>
        <v/>
      </c>
      <c r="L425">
        <f>IF($I425="","",$I425*COS(RADIANS($C425))*SIN(RADIANS($D425))+$J425*COS(RADIANS($E425))*SIN(RADIANS($F425)))</f>
        <v/>
      </c>
      <c r="M425">
        <f>IF($I425="","",$I425*SIN(RADIANS($C425))+$J425*SIN(RADIANS($E425)))</f>
        <v/>
      </c>
      <c r="N425">
        <f>IF($M425="","",DEGREES(ATAN2(SQRT($K425^2+$L425^2),$M425)))</f>
        <v/>
      </c>
      <c r="O425">
        <f>IF($M425="","",DEGREES(ATAN2($K425,$L425)))</f>
        <v/>
      </c>
      <c r="P425">
        <f t="array" ref="P425">IF($N425="","",IFERROR(IF(INDEX(geo_grid!$B$2:$JU$231,INT(($N425+40)/0.5)+1,INT(($O425+30)/0.5)+1)="","",INDEX(geo_grid!$B$2:$JU$231,INT(($N425+40)/0.5)+1,INT(($O425+30)/0.5)+1)),"OUTSIDE GRID"))</f>
        <v/>
      </c>
      <c r="Q425">
        <f>IF($P425="","",$A425*1000+$B425)</f>
        <v/>
      </c>
    </row>
    <row r="426">
      <c r="A426">
        <f>INT((ROW()-2)/151)+1</f>
        <v/>
      </c>
      <c r="B426">
        <f>MOD(ROW()-2,151)</f>
        <v/>
      </c>
      <c r="C426">
        <f t="array" ref="C426">IFERROR(INDEX('TRIP MANAGER'!$O$18:$O$25,$A426),"")</f>
        <v/>
      </c>
      <c r="D426">
        <f t="array" ref="D426">IFERROR(INDEX('TRIP MANAGER'!$P$18:$P$25,$A426),"")</f>
        <v/>
      </c>
      <c r="E426">
        <f t="array" ref="E426">IFERROR(INDEX('TRIP MANAGER'!$Q$18:$Q$25,$A426),"")</f>
        <v/>
      </c>
      <c r="F426">
        <f t="array" ref="F426">IFERROR(INDEX('TRIP MANAGER'!$R$18:$R$25,$A426),"")</f>
        <v/>
      </c>
      <c r="G426">
        <f t="array" ref="G426">IFERROR(INDEX('TRIP MANAGER'!$S$18:$S$25,$A426),"")</f>
        <v/>
      </c>
      <c r="H426">
        <f>$B426/150</f>
        <v/>
      </c>
      <c r="I426">
        <f>IF(OR($G426="",$G426=0),"",SIN((1-$H426)*$G426)/SIN($G426))</f>
        <v/>
      </c>
      <c r="J426">
        <f>IF($I426="","",SIN($H426*$G426)/SIN($G426))</f>
        <v/>
      </c>
      <c r="K426">
        <f>IF($I426="","",$I426*COS(RADIANS($C426))*COS(RADIANS($D426))+$J426*COS(RADIANS($E426))*COS(RADIANS($F426)))</f>
        <v/>
      </c>
      <c r="L426">
        <f>IF($I426="","",$I426*COS(RADIANS($C426))*SIN(RADIANS($D426))+$J426*COS(RADIANS($E426))*SIN(RADIANS($F426)))</f>
        <v/>
      </c>
      <c r="M426">
        <f>IF($I426="","",$I426*SIN(RADIANS($C426))+$J426*SIN(RADIANS($E426)))</f>
        <v/>
      </c>
      <c r="N426">
        <f>IF($M426="","",DEGREES(ATAN2(SQRT($K426^2+$L426^2),$M426)))</f>
        <v/>
      </c>
      <c r="O426">
        <f>IF($M426="","",DEGREES(ATAN2($K426,$L426)))</f>
        <v/>
      </c>
      <c r="P426">
        <f t="array" ref="P426">IF($N426="","",IFERROR(IF(INDEX(geo_grid!$B$2:$JU$231,INT(($N426+40)/0.5)+1,INT(($O426+30)/0.5)+1)="","",INDEX(geo_grid!$B$2:$JU$231,INT(($N426+40)/0.5)+1,INT(($O426+30)/0.5)+1)),"OUTSIDE GRID"))</f>
        <v/>
      </c>
      <c r="Q426">
        <f>IF($P426="","",$A426*1000+$B426)</f>
        <v/>
      </c>
    </row>
    <row r="427">
      <c r="A427">
        <f>INT((ROW()-2)/151)+1</f>
        <v/>
      </c>
      <c r="B427">
        <f>MOD(ROW()-2,151)</f>
        <v/>
      </c>
      <c r="C427">
        <f t="array" ref="C427">IFERROR(INDEX('TRIP MANAGER'!$O$18:$O$25,$A427),"")</f>
        <v/>
      </c>
      <c r="D427">
        <f t="array" ref="D427">IFERROR(INDEX('TRIP MANAGER'!$P$18:$P$25,$A427),"")</f>
        <v/>
      </c>
      <c r="E427">
        <f t="array" ref="E427">IFERROR(INDEX('TRIP MANAGER'!$Q$18:$Q$25,$A427),"")</f>
        <v/>
      </c>
      <c r="F427">
        <f t="array" ref="F427">IFERROR(INDEX('TRIP MANAGER'!$R$18:$R$25,$A427),"")</f>
        <v/>
      </c>
      <c r="G427">
        <f t="array" ref="G427">IFERROR(INDEX('TRIP MANAGER'!$S$18:$S$25,$A427),"")</f>
        <v/>
      </c>
      <c r="H427">
        <f>$B427/150</f>
        <v/>
      </c>
      <c r="I427">
        <f>IF(OR($G427="",$G427=0),"",SIN((1-$H427)*$G427)/SIN($G427))</f>
        <v/>
      </c>
      <c r="J427">
        <f>IF($I427="","",SIN($H427*$G427)/SIN($G427))</f>
        <v/>
      </c>
      <c r="K427">
        <f>IF($I427="","",$I427*COS(RADIANS($C427))*COS(RADIANS($D427))+$J427*COS(RADIANS($E427))*COS(RADIANS($F427)))</f>
        <v/>
      </c>
      <c r="L427">
        <f>IF($I427="","",$I427*COS(RADIANS($C427))*SIN(RADIANS($D427))+$J427*COS(RADIANS($E427))*SIN(RADIANS($F427)))</f>
        <v/>
      </c>
      <c r="M427">
        <f>IF($I427="","",$I427*SIN(RADIANS($C427))+$J427*SIN(RADIANS($E427)))</f>
        <v/>
      </c>
      <c r="N427">
        <f>IF($M427="","",DEGREES(ATAN2(SQRT($K427^2+$L427^2),$M427)))</f>
        <v/>
      </c>
      <c r="O427">
        <f>IF($M427="","",DEGREES(ATAN2($K427,$L427)))</f>
        <v/>
      </c>
      <c r="P427">
        <f t="array" ref="P427">IF($N427="","",IFERROR(IF(INDEX(geo_grid!$B$2:$JU$231,INT(($N427+40)/0.5)+1,INT(($O427+30)/0.5)+1)="","",INDEX(geo_grid!$B$2:$JU$231,INT(($N427+40)/0.5)+1,INT(($O427+30)/0.5)+1)),"OUTSIDE GRID"))</f>
        <v/>
      </c>
      <c r="Q427">
        <f>IF($P427="","",$A427*1000+$B427)</f>
        <v/>
      </c>
    </row>
    <row r="428">
      <c r="A428">
        <f>INT((ROW()-2)/151)+1</f>
        <v/>
      </c>
      <c r="B428">
        <f>MOD(ROW()-2,151)</f>
        <v/>
      </c>
      <c r="C428">
        <f t="array" ref="C428">IFERROR(INDEX('TRIP MANAGER'!$O$18:$O$25,$A428),"")</f>
        <v/>
      </c>
      <c r="D428">
        <f t="array" ref="D428">IFERROR(INDEX('TRIP MANAGER'!$P$18:$P$25,$A428),"")</f>
        <v/>
      </c>
      <c r="E428">
        <f t="array" ref="E428">IFERROR(INDEX('TRIP MANAGER'!$Q$18:$Q$25,$A428),"")</f>
        <v/>
      </c>
      <c r="F428">
        <f t="array" ref="F428">IFERROR(INDEX('TRIP MANAGER'!$R$18:$R$25,$A428),"")</f>
        <v/>
      </c>
      <c r="G428">
        <f t="array" ref="G428">IFERROR(INDEX('TRIP MANAGER'!$S$18:$S$25,$A428),"")</f>
        <v/>
      </c>
      <c r="H428">
        <f>$B428/150</f>
        <v/>
      </c>
      <c r="I428">
        <f>IF(OR($G428="",$G428=0),"",SIN((1-$H428)*$G428)/SIN($G428))</f>
        <v/>
      </c>
      <c r="J428">
        <f>IF($I428="","",SIN($H428*$G428)/SIN($G428))</f>
        <v/>
      </c>
      <c r="K428">
        <f>IF($I428="","",$I428*COS(RADIANS($C428))*COS(RADIANS($D428))+$J428*COS(RADIANS($E428))*COS(RADIANS($F428)))</f>
        <v/>
      </c>
      <c r="L428">
        <f>IF($I428="","",$I428*COS(RADIANS($C428))*SIN(RADIANS($D428))+$J428*COS(RADIANS($E428))*SIN(RADIANS($F428)))</f>
        <v/>
      </c>
      <c r="M428">
        <f>IF($I428="","",$I428*SIN(RADIANS($C428))+$J428*SIN(RADIANS($E428)))</f>
        <v/>
      </c>
      <c r="N428">
        <f>IF($M428="","",DEGREES(ATAN2(SQRT($K428^2+$L428^2),$M428)))</f>
        <v/>
      </c>
      <c r="O428">
        <f>IF($M428="","",DEGREES(ATAN2($K428,$L428)))</f>
        <v/>
      </c>
      <c r="P428">
        <f t="array" ref="P428">IF($N428="","",IFERROR(IF(INDEX(geo_grid!$B$2:$JU$231,INT(($N428+40)/0.5)+1,INT(($O428+30)/0.5)+1)="","",INDEX(geo_grid!$B$2:$JU$231,INT(($N428+40)/0.5)+1,INT(($O428+30)/0.5)+1)),"OUTSIDE GRID"))</f>
        <v/>
      </c>
      <c r="Q428">
        <f>IF($P428="","",$A428*1000+$B428)</f>
        <v/>
      </c>
    </row>
    <row r="429">
      <c r="A429">
        <f>INT((ROW()-2)/151)+1</f>
        <v/>
      </c>
      <c r="B429">
        <f>MOD(ROW()-2,151)</f>
        <v/>
      </c>
      <c r="C429">
        <f t="array" ref="C429">IFERROR(INDEX('TRIP MANAGER'!$O$18:$O$25,$A429),"")</f>
        <v/>
      </c>
      <c r="D429">
        <f t="array" ref="D429">IFERROR(INDEX('TRIP MANAGER'!$P$18:$P$25,$A429),"")</f>
        <v/>
      </c>
      <c r="E429">
        <f t="array" ref="E429">IFERROR(INDEX('TRIP MANAGER'!$Q$18:$Q$25,$A429),"")</f>
        <v/>
      </c>
      <c r="F429">
        <f t="array" ref="F429">IFERROR(INDEX('TRIP MANAGER'!$R$18:$R$25,$A429),"")</f>
        <v/>
      </c>
      <c r="G429">
        <f t="array" ref="G429">IFERROR(INDEX('TRIP MANAGER'!$S$18:$S$25,$A429),"")</f>
        <v/>
      </c>
      <c r="H429">
        <f>$B429/150</f>
        <v/>
      </c>
      <c r="I429">
        <f>IF(OR($G429="",$G429=0),"",SIN((1-$H429)*$G429)/SIN($G429))</f>
        <v/>
      </c>
      <c r="J429">
        <f>IF($I429="","",SIN($H429*$G429)/SIN($G429))</f>
        <v/>
      </c>
      <c r="K429">
        <f>IF($I429="","",$I429*COS(RADIANS($C429))*COS(RADIANS($D429))+$J429*COS(RADIANS($E429))*COS(RADIANS($F429)))</f>
        <v/>
      </c>
      <c r="L429">
        <f>IF($I429="","",$I429*COS(RADIANS($C429))*SIN(RADIANS($D429))+$J429*COS(RADIANS($E429))*SIN(RADIANS($F429)))</f>
        <v/>
      </c>
      <c r="M429">
        <f>IF($I429="","",$I429*SIN(RADIANS($C429))+$J429*SIN(RADIANS($E429)))</f>
        <v/>
      </c>
      <c r="N429">
        <f>IF($M429="","",DEGREES(ATAN2(SQRT($K429^2+$L429^2),$M429)))</f>
        <v/>
      </c>
      <c r="O429">
        <f>IF($M429="","",DEGREES(ATAN2($K429,$L429)))</f>
        <v/>
      </c>
      <c r="P429">
        <f t="array" ref="P429">IF($N429="","",IFERROR(IF(INDEX(geo_grid!$B$2:$JU$231,INT(($N429+40)/0.5)+1,INT(($O429+30)/0.5)+1)="","",INDEX(geo_grid!$B$2:$JU$231,INT(($N429+40)/0.5)+1,INT(($O429+30)/0.5)+1)),"OUTSIDE GRID"))</f>
        <v/>
      </c>
      <c r="Q429">
        <f>IF($P429="","",$A429*1000+$B429)</f>
        <v/>
      </c>
    </row>
    <row r="430">
      <c r="A430">
        <f>INT((ROW()-2)/151)+1</f>
        <v/>
      </c>
      <c r="B430">
        <f>MOD(ROW()-2,151)</f>
        <v/>
      </c>
      <c r="C430">
        <f t="array" ref="C430">IFERROR(INDEX('TRIP MANAGER'!$O$18:$O$25,$A430),"")</f>
        <v/>
      </c>
      <c r="D430">
        <f t="array" ref="D430">IFERROR(INDEX('TRIP MANAGER'!$P$18:$P$25,$A430),"")</f>
        <v/>
      </c>
      <c r="E430">
        <f t="array" ref="E430">IFERROR(INDEX('TRIP MANAGER'!$Q$18:$Q$25,$A430),"")</f>
        <v/>
      </c>
      <c r="F430">
        <f t="array" ref="F430">IFERROR(INDEX('TRIP MANAGER'!$R$18:$R$25,$A430),"")</f>
        <v/>
      </c>
      <c r="G430">
        <f t="array" ref="G430">IFERROR(INDEX('TRIP MANAGER'!$S$18:$S$25,$A430),"")</f>
        <v/>
      </c>
      <c r="H430">
        <f>$B430/150</f>
        <v/>
      </c>
      <c r="I430">
        <f>IF(OR($G430="",$G430=0),"",SIN((1-$H430)*$G430)/SIN($G430))</f>
        <v/>
      </c>
      <c r="J430">
        <f>IF($I430="","",SIN($H430*$G430)/SIN($G430))</f>
        <v/>
      </c>
      <c r="K430">
        <f>IF($I430="","",$I430*COS(RADIANS($C430))*COS(RADIANS($D430))+$J430*COS(RADIANS($E430))*COS(RADIANS($F430)))</f>
        <v/>
      </c>
      <c r="L430">
        <f>IF($I430="","",$I430*COS(RADIANS($C430))*SIN(RADIANS($D430))+$J430*COS(RADIANS($E430))*SIN(RADIANS($F430)))</f>
        <v/>
      </c>
      <c r="M430">
        <f>IF($I430="","",$I430*SIN(RADIANS($C430))+$J430*SIN(RADIANS($E430)))</f>
        <v/>
      </c>
      <c r="N430">
        <f>IF($M430="","",DEGREES(ATAN2(SQRT($K430^2+$L430^2),$M430)))</f>
        <v/>
      </c>
      <c r="O430">
        <f>IF($M430="","",DEGREES(ATAN2($K430,$L430)))</f>
        <v/>
      </c>
      <c r="P430">
        <f t="array" ref="P430">IF($N430="","",IFERROR(IF(INDEX(geo_grid!$B$2:$JU$231,INT(($N430+40)/0.5)+1,INT(($O430+30)/0.5)+1)="","",INDEX(geo_grid!$B$2:$JU$231,INT(($N430+40)/0.5)+1,INT(($O430+30)/0.5)+1)),"OUTSIDE GRID"))</f>
        <v/>
      </c>
      <c r="Q430">
        <f>IF($P430="","",$A430*1000+$B430)</f>
        <v/>
      </c>
    </row>
    <row r="431">
      <c r="A431">
        <f>INT((ROW()-2)/151)+1</f>
        <v/>
      </c>
      <c r="B431">
        <f>MOD(ROW()-2,151)</f>
        <v/>
      </c>
      <c r="C431">
        <f t="array" ref="C431">IFERROR(INDEX('TRIP MANAGER'!$O$18:$O$25,$A431),"")</f>
        <v/>
      </c>
      <c r="D431">
        <f t="array" ref="D431">IFERROR(INDEX('TRIP MANAGER'!$P$18:$P$25,$A431),"")</f>
        <v/>
      </c>
      <c r="E431">
        <f t="array" ref="E431">IFERROR(INDEX('TRIP MANAGER'!$Q$18:$Q$25,$A431),"")</f>
        <v/>
      </c>
      <c r="F431">
        <f t="array" ref="F431">IFERROR(INDEX('TRIP MANAGER'!$R$18:$R$25,$A431),"")</f>
        <v/>
      </c>
      <c r="G431">
        <f t="array" ref="G431">IFERROR(INDEX('TRIP MANAGER'!$S$18:$S$25,$A431),"")</f>
        <v/>
      </c>
      <c r="H431">
        <f>$B431/150</f>
        <v/>
      </c>
      <c r="I431">
        <f>IF(OR($G431="",$G431=0),"",SIN((1-$H431)*$G431)/SIN($G431))</f>
        <v/>
      </c>
      <c r="J431">
        <f>IF($I431="","",SIN($H431*$G431)/SIN($G431))</f>
        <v/>
      </c>
      <c r="K431">
        <f>IF($I431="","",$I431*COS(RADIANS($C431))*COS(RADIANS($D431))+$J431*COS(RADIANS($E431))*COS(RADIANS($F431)))</f>
        <v/>
      </c>
      <c r="L431">
        <f>IF($I431="","",$I431*COS(RADIANS($C431))*SIN(RADIANS($D431))+$J431*COS(RADIANS($E431))*SIN(RADIANS($F431)))</f>
        <v/>
      </c>
      <c r="M431">
        <f>IF($I431="","",$I431*SIN(RADIANS($C431))+$J431*SIN(RADIANS($E431)))</f>
        <v/>
      </c>
      <c r="N431">
        <f>IF($M431="","",DEGREES(ATAN2(SQRT($K431^2+$L431^2),$M431)))</f>
        <v/>
      </c>
      <c r="O431">
        <f>IF($M431="","",DEGREES(ATAN2($K431,$L431)))</f>
        <v/>
      </c>
      <c r="P431">
        <f t="array" ref="P431">IF($N431="","",IFERROR(IF(INDEX(geo_grid!$B$2:$JU$231,INT(($N431+40)/0.5)+1,INT(($O431+30)/0.5)+1)="","",INDEX(geo_grid!$B$2:$JU$231,INT(($N431+40)/0.5)+1,INT(($O431+30)/0.5)+1)),"OUTSIDE GRID"))</f>
        <v/>
      </c>
      <c r="Q431">
        <f>IF($P431="","",$A431*1000+$B431)</f>
        <v/>
      </c>
    </row>
    <row r="432">
      <c r="A432">
        <f>INT((ROW()-2)/151)+1</f>
        <v/>
      </c>
      <c r="B432">
        <f>MOD(ROW()-2,151)</f>
        <v/>
      </c>
      <c r="C432">
        <f t="array" ref="C432">IFERROR(INDEX('TRIP MANAGER'!$O$18:$O$25,$A432),"")</f>
        <v/>
      </c>
      <c r="D432">
        <f t="array" ref="D432">IFERROR(INDEX('TRIP MANAGER'!$P$18:$P$25,$A432),"")</f>
        <v/>
      </c>
      <c r="E432">
        <f t="array" ref="E432">IFERROR(INDEX('TRIP MANAGER'!$Q$18:$Q$25,$A432),"")</f>
        <v/>
      </c>
      <c r="F432">
        <f t="array" ref="F432">IFERROR(INDEX('TRIP MANAGER'!$R$18:$R$25,$A432),"")</f>
        <v/>
      </c>
      <c r="G432">
        <f t="array" ref="G432">IFERROR(INDEX('TRIP MANAGER'!$S$18:$S$25,$A432),"")</f>
        <v/>
      </c>
      <c r="H432">
        <f>$B432/150</f>
        <v/>
      </c>
      <c r="I432">
        <f>IF(OR($G432="",$G432=0),"",SIN((1-$H432)*$G432)/SIN($G432))</f>
        <v/>
      </c>
      <c r="J432">
        <f>IF($I432="","",SIN($H432*$G432)/SIN($G432))</f>
        <v/>
      </c>
      <c r="K432">
        <f>IF($I432="","",$I432*COS(RADIANS($C432))*COS(RADIANS($D432))+$J432*COS(RADIANS($E432))*COS(RADIANS($F432)))</f>
        <v/>
      </c>
      <c r="L432">
        <f>IF($I432="","",$I432*COS(RADIANS($C432))*SIN(RADIANS($D432))+$J432*COS(RADIANS($E432))*SIN(RADIANS($F432)))</f>
        <v/>
      </c>
      <c r="M432">
        <f>IF($I432="","",$I432*SIN(RADIANS($C432))+$J432*SIN(RADIANS($E432)))</f>
        <v/>
      </c>
      <c r="N432">
        <f>IF($M432="","",DEGREES(ATAN2(SQRT($K432^2+$L432^2),$M432)))</f>
        <v/>
      </c>
      <c r="O432">
        <f>IF($M432="","",DEGREES(ATAN2($K432,$L432)))</f>
        <v/>
      </c>
      <c r="P432">
        <f t="array" ref="P432">IF($N432="","",IFERROR(IF(INDEX(geo_grid!$B$2:$JU$231,INT(($N432+40)/0.5)+1,INT(($O432+30)/0.5)+1)="","",INDEX(geo_grid!$B$2:$JU$231,INT(($N432+40)/0.5)+1,INT(($O432+30)/0.5)+1)),"OUTSIDE GRID"))</f>
        <v/>
      </c>
      <c r="Q432">
        <f>IF($P432="","",$A432*1000+$B432)</f>
        <v/>
      </c>
    </row>
    <row r="433">
      <c r="A433">
        <f>INT((ROW()-2)/151)+1</f>
        <v/>
      </c>
      <c r="B433">
        <f>MOD(ROW()-2,151)</f>
        <v/>
      </c>
      <c r="C433">
        <f t="array" ref="C433">IFERROR(INDEX('TRIP MANAGER'!$O$18:$O$25,$A433),"")</f>
        <v/>
      </c>
      <c r="D433">
        <f t="array" ref="D433">IFERROR(INDEX('TRIP MANAGER'!$P$18:$P$25,$A433),"")</f>
        <v/>
      </c>
      <c r="E433">
        <f t="array" ref="E433">IFERROR(INDEX('TRIP MANAGER'!$Q$18:$Q$25,$A433),"")</f>
        <v/>
      </c>
      <c r="F433">
        <f t="array" ref="F433">IFERROR(INDEX('TRIP MANAGER'!$R$18:$R$25,$A433),"")</f>
        <v/>
      </c>
      <c r="G433">
        <f t="array" ref="G433">IFERROR(INDEX('TRIP MANAGER'!$S$18:$S$25,$A433),"")</f>
        <v/>
      </c>
      <c r="H433">
        <f>$B433/150</f>
        <v/>
      </c>
      <c r="I433">
        <f>IF(OR($G433="",$G433=0),"",SIN((1-$H433)*$G433)/SIN($G433))</f>
        <v/>
      </c>
      <c r="J433">
        <f>IF($I433="","",SIN($H433*$G433)/SIN($G433))</f>
        <v/>
      </c>
      <c r="K433">
        <f>IF($I433="","",$I433*COS(RADIANS($C433))*COS(RADIANS($D433))+$J433*COS(RADIANS($E433))*COS(RADIANS($F433)))</f>
        <v/>
      </c>
      <c r="L433">
        <f>IF($I433="","",$I433*COS(RADIANS($C433))*SIN(RADIANS($D433))+$J433*COS(RADIANS($E433))*SIN(RADIANS($F433)))</f>
        <v/>
      </c>
      <c r="M433">
        <f>IF($I433="","",$I433*SIN(RADIANS($C433))+$J433*SIN(RADIANS($E433)))</f>
        <v/>
      </c>
      <c r="N433">
        <f>IF($M433="","",DEGREES(ATAN2(SQRT($K433^2+$L433^2),$M433)))</f>
        <v/>
      </c>
      <c r="O433">
        <f>IF($M433="","",DEGREES(ATAN2($K433,$L433)))</f>
        <v/>
      </c>
      <c r="P433">
        <f t="array" ref="P433">IF($N433="","",IFERROR(IF(INDEX(geo_grid!$B$2:$JU$231,INT(($N433+40)/0.5)+1,INT(($O433+30)/0.5)+1)="","",INDEX(geo_grid!$B$2:$JU$231,INT(($N433+40)/0.5)+1,INT(($O433+30)/0.5)+1)),"OUTSIDE GRID"))</f>
        <v/>
      </c>
      <c r="Q433">
        <f>IF($P433="","",$A433*1000+$B433)</f>
        <v/>
      </c>
    </row>
    <row r="434">
      <c r="A434">
        <f>INT((ROW()-2)/151)+1</f>
        <v/>
      </c>
      <c r="B434">
        <f>MOD(ROW()-2,151)</f>
        <v/>
      </c>
      <c r="C434">
        <f t="array" ref="C434">IFERROR(INDEX('TRIP MANAGER'!$O$18:$O$25,$A434),"")</f>
        <v/>
      </c>
      <c r="D434">
        <f t="array" ref="D434">IFERROR(INDEX('TRIP MANAGER'!$P$18:$P$25,$A434),"")</f>
        <v/>
      </c>
      <c r="E434">
        <f t="array" ref="E434">IFERROR(INDEX('TRIP MANAGER'!$Q$18:$Q$25,$A434),"")</f>
        <v/>
      </c>
      <c r="F434">
        <f t="array" ref="F434">IFERROR(INDEX('TRIP MANAGER'!$R$18:$R$25,$A434),"")</f>
        <v/>
      </c>
      <c r="G434">
        <f t="array" ref="G434">IFERROR(INDEX('TRIP MANAGER'!$S$18:$S$25,$A434),"")</f>
        <v/>
      </c>
      <c r="H434">
        <f>$B434/150</f>
        <v/>
      </c>
      <c r="I434">
        <f>IF(OR($G434="",$G434=0),"",SIN((1-$H434)*$G434)/SIN($G434))</f>
        <v/>
      </c>
      <c r="J434">
        <f>IF($I434="","",SIN($H434*$G434)/SIN($G434))</f>
        <v/>
      </c>
      <c r="K434">
        <f>IF($I434="","",$I434*COS(RADIANS($C434))*COS(RADIANS($D434))+$J434*COS(RADIANS($E434))*COS(RADIANS($F434)))</f>
        <v/>
      </c>
      <c r="L434">
        <f>IF($I434="","",$I434*COS(RADIANS($C434))*SIN(RADIANS($D434))+$J434*COS(RADIANS($E434))*SIN(RADIANS($F434)))</f>
        <v/>
      </c>
      <c r="M434">
        <f>IF($I434="","",$I434*SIN(RADIANS($C434))+$J434*SIN(RADIANS($E434)))</f>
        <v/>
      </c>
      <c r="N434">
        <f>IF($M434="","",DEGREES(ATAN2(SQRT($K434^2+$L434^2),$M434)))</f>
        <v/>
      </c>
      <c r="O434">
        <f>IF($M434="","",DEGREES(ATAN2($K434,$L434)))</f>
        <v/>
      </c>
      <c r="P434">
        <f t="array" ref="P434">IF($N434="","",IFERROR(IF(INDEX(geo_grid!$B$2:$JU$231,INT(($N434+40)/0.5)+1,INT(($O434+30)/0.5)+1)="","",INDEX(geo_grid!$B$2:$JU$231,INT(($N434+40)/0.5)+1,INT(($O434+30)/0.5)+1)),"OUTSIDE GRID"))</f>
        <v/>
      </c>
      <c r="Q434">
        <f>IF($P434="","",$A434*1000+$B434)</f>
        <v/>
      </c>
    </row>
    <row r="435">
      <c r="A435">
        <f>INT((ROW()-2)/151)+1</f>
        <v/>
      </c>
      <c r="B435">
        <f>MOD(ROW()-2,151)</f>
        <v/>
      </c>
      <c r="C435">
        <f t="array" ref="C435">IFERROR(INDEX('TRIP MANAGER'!$O$18:$O$25,$A435),"")</f>
        <v/>
      </c>
      <c r="D435">
        <f t="array" ref="D435">IFERROR(INDEX('TRIP MANAGER'!$P$18:$P$25,$A435),"")</f>
        <v/>
      </c>
      <c r="E435">
        <f t="array" ref="E435">IFERROR(INDEX('TRIP MANAGER'!$Q$18:$Q$25,$A435),"")</f>
        <v/>
      </c>
      <c r="F435">
        <f t="array" ref="F435">IFERROR(INDEX('TRIP MANAGER'!$R$18:$R$25,$A435),"")</f>
        <v/>
      </c>
      <c r="G435">
        <f t="array" ref="G435">IFERROR(INDEX('TRIP MANAGER'!$S$18:$S$25,$A435),"")</f>
        <v/>
      </c>
      <c r="H435">
        <f>$B435/150</f>
        <v/>
      </c>
      <c r="I435">
        <f>IF(OR($G435="",$G435=0),"",SIN((1-$H435)*$G435)/SIN($G435))</f>
        <v/>
      </c>
      <c r="J435">
        <f>IF($I435="","",SIN($H435*$G435)/SIN($G435))</f>
        <v/>
      </c>
      <c r="K435">
        <f>IF($I435="","",$I435*COS(RADIANS($C435))*COS(RADIANS($D435))+$J435*COS(RADIANS($E435))*COS(RADIANS($F435)))</f>
        <v/>
      </c>
      <c r="L435">
        <f>IF($I435="","",$I435*COS(RADIANS($C435))*SIN(RADIANS($D435))+$J435*COS(RADIANS($E435))*SIN(RADIANS($F435)))</f>
        <v/>
      </c>
      <c r="M435">
        <f>IF($I435="","",$I435*SIN(RADIANS($C435))+$J435*SIN(RADIANS($E435)))</f>
        <v/>
      </c>
      <c r="N435">
        <f>IF($M435="","",DEGREES(ATAN2(SQRT($K435^2+$L435^2),$M435)))</f>
        <v/>
      </c>
      <c r="O435">
        <f>IF($M435="","",DEGREES(ATAN2($K435,$L435)))</f>
        <v/>
      </c>
      <c r="P435">
        <f t="array" ref="P435">IF($N435="","",IFERROR(IF(INDEX(geo_grid!$B$2:$JU$231,INT(($N435+40)/0.5)+1,INT(($O435+30)/0.5)+1)="","",INDEX(geo_grid!$B$2:$JU$231,INT(($N435+40)/0.5)+1,INT(($O435+30)/0.5)+1)),"OUTSIDE GRID"))</f>
        <v/>
      </c>
      <c r="Q435">
        <f>IF($P435="","",$A435*1000+$B435)</f>
        <v/>
      </c>
    </row>
    <row r="436">
      <c r="A436">
        <f>INT((ROW()-2)/151)+1</f>
        <v/>
      </c>
      <c r="B436">
        <f>MOD(ROW()-2,151)</f>
        <v/>
      </c>
      <c r="C436">
        <f t="array" ref="C436">IFERROR(INDEX('TRIP MANAGER'!$O$18:$O$25,$A436),"")</f>
        <v/>
      </c>
      <c r="D436">
        <f t="array" ref="D436">IFERROR(INDEX('TRIP MANAGER'!$P$18:$P$25,$A436),"")</f>
        <v/>
      </c>
      <c r="E436">
        <f t="array" ref="E436">IFERROR(INDEX('TRIP MANAGER'!$Q$18:$Q$25,$A436),"")</f>
        <v/>
      </c>
      <c r="F436">
        <f t="array" ref="F436">IFERROR(INDEX('TRIP MANAGER'!$R$18:$R$25,$A436),"")</f>
        <v/>
      </c>
      <c r="G436">
        <f t="array" ref="G436">IFERROR(INDEX('TRIP MANAGER'!$S$18:$S$25,$A436),"")</f>
        <v/>
      </c>
      <c r="H436">
        <f>$B436/150</f>
        <v/>
      </c>
      <c r="I436">
        <f>IF(OR($G436="",$G436=0),"",SIN((1-$H436)*$G436)/SIN($G436))</f>
        <v/>
      </c>
      <c r="J436">
        <f>IF($I436="","",SIN($H436*$G436)/SIN($G436))</f>
        <v/>
      </c>
      <c r="K436">
        <f>IF($I436="","",$I436*COS(RADIANS($C436))*COS(RADIANS($D436))+$J436*COS(RADIANS($E436))*COS(RADIANS($F436)))</f>
        <v/>
      </c>
      <c r="L436">
        <f>IF($I436="","",$I436*COS(RADIANS($C436))*SIN(RADIANS($D436))+$J436*COS(RADIANS($E436))*SIN(RADIANS($F436)))</f>
        <v/>
      </c>
      <c r="M436">
        <f>IF($I436="","",$I436*SIN(RADIANS($C436))+$J436*SIN(RADIANS($E436)))</f>
        <v/>
      </c>
      <c r="N436">
        <f>IF($M436="","",DEGREES(ATAN2(SQRT($K436^2+$L436^2),$M436)))</f>
        <v/>
      </c>
      <c r="O436">
        <f>IF($M436="","",DEGREES(ATAN2($K436,$L436)))</f>
        <v/>
      </c>
      <c r="P436">
        <f t="array" ref="P436">IF($N436="","",IFERROR(IF(INDEX(geo_grid!$B$2:$JU$231,INT(($N436+40)/0.5)+1,INT(($O436+30)/0.5)+1)="","",INDEX(geo_grid!$B$2:$JU$231,INT(($N436+40)/0.5)+1,INT(($O436+30)/0.5)+1)),"OUTSIDE GRID"))</f>
        <v/>
      </c>
      <c r="Q436">
        <f>IF($P436="","",$A436*1000+$B436)</f>
        <v/>
      </c>
    </row>
    <row r="437">
      <c r="A437">
        <f>INT((ROW()-2)/151)+1</f>
        <v/>
      </c>
      <c r="B437">
        <f>MOD(ROW()-2,151)</f>
        <v/>
      </c>
      <c r="C437">
        <f t="array" ref="C437">IFERROR(INDEX('TRIP MANAGER'!$O$18:$O$25,$A437),"")</f>
        <v/>
      </c>
      <c r="D437">
        <f t="array" ref="D437">IFERROR(INDEX('TRIP MANAGER'!$P$18:$P$25,$A437),"")</f>
        <v/>
      </c>
      <c r="E437">
        <f t="array" ref="E437">IFERROR(INDEX('TRIP MANAGER'!$Q$18:$Q$25,$A437),"")</f>
        <v/>
      </c>
      <c r="F437">
        <f t="array" ref="F437">IFERROR(INDEX('TRIP MANAGER'!$R$18:$R$25,$A437),"")</f>
        <v/>
      </c>
      <c r="G437">
        <f t="array" ref="G437">IFERROR(INDEX('TRIP MANAGER'!$S$18:$S$25,$A437),"")</f>
        <v/>
      </c>
      <c r="H437">
        <f>$B437/150</f>
        <v/>
      </c>
      <c r="I437">
        <f>IF(OR($G437="",$G437=0),"",SIN((1-$H437)*$G437)/SIN($G437))</f>
        <v/>
      </c>
      <c r="J437">
        <f>IF($I437="","",SIN($H437*$G437)/SIN($G437))</f>
        <v/>
      </c>
      <c r="K437">
        <f>IF($I437="","",$I437*COS(RADIANS($C437))*COS(RADIANS($D437))+$J437*COS(RADIANS($E437))*COS(RADIANS($F437)))</f>
        <v/>
      </c>
      <c r="L437">
        <f>IF($I437="","",$I437*COS(RADIANS($C437))*SIN(RADIANS($D437))+$J437*COS(RADIANS($E437))*SIN(RADIANS($F437)))</f>
        <v/>
      </c>
      <c r="M437">
        <f>IF($I437="","",$I437*SIN(RADIANS($C437))+$J437*SIN(RADIANS($E437)))</f>
        <v/>
      </c>
      <c r="N437">
        <f>IF($M437="","",DEGREES(ATAN2(SQRT($K437^2+$L437^2),$M437)))</f>
        <v/>
      </c>
      <c r="O437">
        <f>IF($M437="","",DEGREES(ATAN2($K437,$L437)))</f>
        <v/>
      </c>
      <c r="P437">
        <f t="array" ref="P437">IF($N437="","",IFERROR(IF(INDEX(geo_grid!$B$2:$JU$231,INT(($N437+40)/0.5)+1,INT(($O437+30)/0.5)+1)="","",INDEX(geo_grid!$B$2:$JU$231,INT(($N437+40)/0.5)+1,INT(($O437+30)/0.5)+1)),"OUTSIDE GRID"))</f>
        <v/>
      </c>
      <c r="Q437">
        <f>IF($P437="","",$A437*1000+$B437)</f>
        <v/>
      </c>
    </row>
    <row r="438">
      <c r="A438">
        <f>INT((ROW()-2)/151)+1</f>
        <v/>
      </c>
      <c r="B438">
        <f>MOD(ROW()-2,151)</f>
        <v/>
      </c>
      <c r="C438">
        <f t="array" ref="C438">IFERROR(INDEX('TRIP MANAGER'!$O$18:$O$25,$A438),"")</f>
        <v/>
      </c>
      <c r="D438">
        <f t="array" ref="D438">IFERROR(INDEX('TRIP MANAGER'!$P$18:$P$25,$A438),"")</f>
        <v/>
      </c>
      <c r="E438">
        <f t="array" ref="E438">IFERROR(INDEX('TRIP MANAGER'!$Q$18:$Q$25,$A438),"")</f>
        <v/>
      </c>
      <c r="F438">
        <f t="array" ref="F438">IFERROR(INDEX('TRIP MANAGER'!$R$18:$R$25,$A438),"")</f>
        <v/>
      </c>
      <c r="G438">
        <f t="array" ref="G438">IFERROR(INDEX('TRIP MANAGER'!$S$18:$S$25,$A438),"")</f>
        <v/>
      </c>
      <c r="H438">
        <f>$B438/150</f>
        <v/>
      </c>
      <c r="I438">
        <f>IF(OR($G438="",$G438=0),"",SIN((1-$H438)*$G438)/SIN($G438))</f>
        <v/>
      </c>
      <c r="J438">
        <f>IF($I438="","",SIN($H438*$G438)/SIN($G438))</f>
        <v/>
      </c>
      <c r="K438">
        <f>IF($I438="","",$I438*COS(RADIANS($C438))*COS(RADIANS($D438))+$J438*COS(RADIANS($E438))*COS(RADIANS($F438)))</f>
        <v/>
      </c>
      <c r="L438">
        <f>IF($I438="","",$I438*COS(RADIANS($C438))*SIN(RADIANS($D438))+$J438*COS(RADIANS($E438))*SIN(RADIANS($F438)))</f>
        <v/>
      </c>
      <c r="M438">
        <f>IF($I438="","",$I438*SIN(RADIANS($C438))+$J438*SIN(RADIANS($E438)))</f>
        <v/>
      </c>
      <c r="N438">
        <f>IF($M438="","",DEGREES(ATAN2(SQRT($K438^2+$L438^2),$M438)))</f>
        <v/>
      </c>
      <c r="O438">
        <f>IF($M438="","",DEGREES(ATAN2($K438,$L438)))</f>
        <v/>
      </c>
      <c r="P438">
        <f t="array" ref="P438">IF($N438="","",IFERROR(IF(INDEX(geo_grid!$B$2:$JU$231,INT(($N438+40)/0.5)+1,INT(($O438+30)/0.5)+1)="","",INDEX(geo_grid!$B$2:$JU$231,INT(($N438+40)/0.5)+1,INT(($O438+30)/0.5)+1)),"OUTSIDE GRID"))</f>
        <v/>
      </c>
      <c r="Q438">
        <f>IF($P438="","",$A438*1000+$B438)</f>
        <v/>
      </c>
    </row>
    <row r="439">
      <c r="A439">
        <f>INT((ROW()-2)/151)+1</f>
        <v/>
      </c>
      <c r="B439">
        <f>MOD(ROW()-2,151)</f>
        <v/>
      </c>
      <c r="C439">
        <f t="array" ref="C439">IFERROR(INDEX('TRIP MANAGER'!$O$18:$O$25,$A439),"")</f>
        <v/>
      </c>
      <c r="D439">
        <f t="array" ref="D439">IFERROR(INDEX('TRIP MANAGER'!$P$18:$P$25,$A439),"")</f>
        <v/>
      </c>
      <c r="E439">
        <f t="array" ref="E439">IFERROR(INDEX('TRIP MANAGER'!$Q$18:$Q$25,$A439),"")</f>
        <v/>
      </c>
      <c r="F439">
        <f t="array" ref="F439">IFERROR(INDEX('TRIP MANAGER'!$R$18:$R$25,$A439),"")</f>
        <v/>
      </c>
      <c r="G439">
        <f t="array" ref="G439">IFERROR(INDEX('TRIP MANAGER'!$S$18:$S$25,$A439),"")</f>
        <v/>
      </c>
      <c r="H439">
        <f>$B439/150</f>
        <v/>
      </c>
      <c r="I439">
        <f>IF(OR($G439="",$G439=0),"",SIN((1-$H439)*$G439)/SIN($G439))</f>
        <v/>
      </c>
      <c r="J439">
        <f>IF($I439="","",SIN($H439*$G439)/SIN($G439))</f>
        <v/>
      </c>
      <c r="K439">
        <f>IF($I439="","",$I439*COS(RADIANS($C439))*COS(RADIANS($D439))+$J439*COS(RADIANS($E439))*COS(RADIANS($F439)))</f>
        <v/>
      </c>
      <c r="L439">
        <f>IF($I439="","",$I439*COS(RADIANS($C439))*SIN(RADIANS($D439))+$J439*COS(RADIANS($E439))*SIN(RADIANS($F439)))</f>
        <v/>
      </c>
      <c r="M439">
        <f>IF($I439="","",$I439*SIN(RADIANS($C439))+$J439*SIN(RADIANS($E439)))</f>
        <v/>
      </c>
      <c r="N439">
        <f>IF($M439="","",DEGREES(ATAN2(SQRT($K439^2+$L439^2),$M439)))</f>
        <v/>
      </c>
      <c r="O439">
        <f>IF($M439="","",DEGREES(ATAN2($K439,$L439)))</f>
        <v/>
      </c>
      <c r="P439">
        <f t="array" ref="P439">IF($N439="","",IFERROR(IF(INDEX(geo_grid!$B$2:$JU$231,INT(($N439+40)/0.5)+1,INT(($O439+30)/0.5)+1)="","",INDEX(geo_grid!$B$2:$JU$231,INT(($N439+40)/0.5)+1,INT(($O439+30)/0.5)+1)),"OUTSIDE GRID"))</f>
        <v/>
      </c>
      <c r="Q439">
        <f>IF($P439="","",$A439*1000+$B439)</f>
        <v/>
      </c>
    </row>
    <row r="440">
      <c r="A440">
        <f>INT((ROW()-2)/151)+1</f>
        <v/>
      </c>
      <c r="B440">
        <f>MOD(ROW()-2,151)</f>
        <v/>
      </c>
      <c r="C440">
        <f t="array" ref="C440">IFERROR(INDEX('TRIP MANAGER'!$O$18:$O$25,$A440),"")</f>
        <v/>
      </c>
      <c r="D440">
        <f t="array" ref="D440">IFERROR(INDEX('TRIP MANAGER'!$P$18:$P$25,$A440),"")</f>
        <v/>
      </c>
      <c r="E440">
        <f t="array" ref="E440">IFERROR(INDEX('TRIP MANAGER'!$Q$18:$Q$25,$A440),"")</f>
        <v/>
      </c>
      <c r="F440">
        <f t="array" ref="F440">IFERROR(INDEX('TRIP MANAGER'!$R$18:$R$25,$A440),"")</f>
        <v/>
      </c>
      <c r="G440">
        <f t="array" ref="G440">IFERROR(INDEX('TRIP MANAGER'!$S$18:$S$25,$A440),"")</f>
        <v/>
      </c>
      <c r="H440">
        <f>$B440/150</f>
        <v/>
      </c>
      <c r="I440">
        <f>IF(OR($G440="",$G440=0),"",SIN((1-$H440)*$G440)/SIN($G440))</f>
        <v/>
      </c>
      <c r="J440">
        <f>IF($I440="","",SIN($H440*$G440)/SIN($G440))</f>
        <v/>
      </c>
      <c r="K440">
        <f>IF($I440="","",$I440*COS(RADIANS($C440))*COS(RADIANS($D440))+$J440*COS(RADIANS($E440))*COS(RADIANS($F440)))</f>
        <v/>
      </c>
      <c r="L440">
        <f>IF($I440="","",$I440*COS(RADIANS($C440))*SIN(RADIANS($D440))+$J440*COS(RADIANS($E440))*SIN(RADIANS($F440)))</f>
        <v/>
      </c>
      <c r="M440">
        <f>IF($I440="","",$I440*SIN(RADIANS($C440))+$J440*SIN(RADIANS($E440)))</f>
        <v/>
      </c>
      <c r="N440">
        <f>IF($M440="","",DEGREES(ATAN2(SQRT($K440^2+$L440^2),$M440)))</f>
        <v/>
      </c>
      <c r="O440">
        <f>IF($M440="","",DEGREES(ATAN2($K440,$L440)))</f>
        <v/>
      </c>
      <c r="P440">
        <f t="array" ref="P440">IF($N440="","",IFERROR(IF(INDEX(geo_grid!$B$2:$JU$231,INT(($N440+40)/0.5)+1,INT(($O440+30)/0.5)+1)="","",INDEX(geo_grid!$B$2:$JU$231,INT(($N440+40)/0.5)+1,INT(($O440+30)/0.5)+1)),"OUTSIDE GRID"))</f>
        <v/>
      </c>
      <c r="Q440">
        <f>IF($P440="","",$A440*1000+$B440)</f>
        <v/>
      </c>
    </row>
    <row r="441">
      <c r="A441">
        <f>INT((ROW()-2)/151)+1</f>
        <v/>
      </c>
      <c r="B441">
        <f>MOD(ROW()-2,151)</f>
        <v/>
      </c>
      <c r="C441">
        <f t="array" ref="C441">IFERROR(INDEX('TRIP MANAGER'!$O$18:$O$25,$A441),"")</f>
        <v/>
      </c>
      <c r="D441">
        <f t="array" ref="D441">IFERROR(INDEX('TRIP MANAGER'!$P$18:$P$25,$A441),"")</f>
        <v/>
      </c>
      <c r="E441">
        <f t="array" ref="E441">IFERROR(INDEX('TRIP MANAGER'!$Q$18:$Q$25,$A441),"")</f>
        <v/>
      </c>
      <c r="F441">
        <f t="array" ref="F441">IFERROR(INDEX('TRIP MANAGER'!$R$18:$R$25,$A441),"")</f>
        <v/>
      </c>
      <c r="G441">
        <f t="array" ref="G441">IFERROR(INDEX('TRIP MANAGER'!$S$18:$S$25,$A441),"")</f>
        <v/>
      </c>
      <c r="H441">
        <f>$B441/150</f>
        <v/>
      </c>
      <c r="I441">
        <f>IF(OR($G441="",$G441=0),"",SIN((1-$H441)*$G441)/SIN($G441))</f>
        <v/>
      </c>
      <c r="J441">
        <f>IF($I441="","",SIN($H441*$G441)/SIN($G441))</f>
        <v/>
      </c>
      <c r="K441">
        <f>IF($I441="","",$I441*COS(RADIANS($C441))*COS(RADIANS($D441))+$J441*COS(RADIANS($E441))*COS(RADIANS($F441)))</f>
        <v/>
      </c>
      <c r="L441">
        <f>IF($I441="","",$I441*COS(RADIANS($C441))*SIN(RADIANS($D441))+$J441*COS(RADIANS($E441))*SIN(RADIANS($F441)))</f>
        <v/>
      </c>
      <c r="M441">
        <f>IF($I441="","",$I441*SIN(RADIANS($C441))+$J441*SIN(RADIANS($E441)))</f>
        <v/>
      </c>
      <c r="N441">
        <f>IF($M441="","",DEGREES(ATAN2(SQRT($K441^2+$L441^2),$M441)))</f>
        <v/>
      </c>
      <c r="O441">
        <f>IF($M441="","",DEGREES(ATAN2($K441,$L441)))</f>
        <v/>
      </c>
      <c r="P441">
        <f t="array" ref="P441">IF($N441="","",IFERROR(IF(INDEX(geo_grid!$B$2:$JU$231,INT(($N441+40)/0.5)+1,INT(($O441+30)/0.5)+1)="","",INDEX(geo_grid!$B$2:$JU$231,INT(($N441+40)/0.5)+1,INT(($O441+30)/0.5)+1)),"OUTSIDE GRID"))</f>
        <v/>
      </c>
      <c r="Q441">
        <f>IF($P441="","",$A441*1000+$B441)</f>
        <v/>
      </c>
    </row>
    <row r="442">
      <c r="A442">
        <f>INT((ROW()-2)/151)+1</f>
        <v/>
      </c>
      <c r="B442">
        <f>MOD(ROW()-2,151)</f>
        <v/>
      </c>
      <c r="C442">
        <f t="array" ref="C442">IFERROR(INDEX('TRIP MANAGER'!$O$18:$O$25,$A442),"")</f>
        <v/>
      </c>
      <c r="D442">
        <f t="array" ref="D442">IFERROR(INDEX('TRIP MANAGER'!$P$18:$P$25,$A442),"")</f>
        <v/>
      </c>
      <c r="E442">
        <f t="array" ref="E442">IFERROR(INDEX('TRIP MANAGER'!$Q$18:$Q$25,$A442),"")</f>
        <v/>
      </c>
      <c r="F442">
        <f t="array" ref="F442">IFERROR(INDEX('TRIP MANAGER'!$R$18:$R$25,$A442),"")</f>
        <v/>
      </c>
      <c r="G442">
        <f t="array" ref="G442">IFERROR(INDEX('TRIP MANAGER'!$S$18:$S$25,$A442),"")</f>
        <v/>
      </c>
      <c r="H442">
        <f>$B442/150</f>
        <v/>
      </c>
      <c r="I442">
        <f>IF(OR($G442="",$G442=0),"",SIN((1-$H442)*$G442)/SIN($G442))</f>
        <v/>
      </c>
      <c r="J442">
        <f>IF($I442="","",SIN($H442*$G442)/SIN($G442))</f>
        <v/>
      </c>
      <c r="K442">
        <f>IF($I442="","",$I442*COS(RADIANS($C442))*COS(RADIANS($D442))+$J442*COS(RADIANS($E442))*COS(RADIANS($F442)))</f>
        <v/>
      </c>
      <c r="L442">
        <f>IF($I442="","",$I442*COS(RADIANS($C442))*SIN(RADIANS($D442))+$J442*COS(RADIANS($E442))*SIN(RADIANS($F442)))</f>
        <v/>
      </c>
      <c r="M442">
        <f>IF($I442="","",$I442*SIN(RADIANS($C442))+$J442*SIN(RADIANS($E442)))</f>
        <v/>
      </c>
      <c r="N442">
        <f>IF($M442="","",DEGREES(ATAN2(SQRT($K442^2+$L442^2),$M442)))</f>
        <v/>
      </c>
      <c r="O442">
        <f>IF($M442="","",DEGREES(ATAN2($K442,$L442)))</f>
        <v/>
      </c>
      <c r="P442">
        <f t="array" ref="P442">IF($N442="","",IFERROR(IF(INDEX(geo_grid!$B$2:$JU$231,INT(($N442+40)/0.5)+1,INT(($O442+30)/0.5)+1)="","",INDEX(geo_grid!$B$2:$JU$231,INT(($N442+40)/0.5)+1,INT(($O442+30)/0.5)+1)),"OUTSIDE GRID"))</f>
        <v/>
      </c>
      <c r="Q442">
        <f>IF($P442="","",$A442*1000+$B442)</f>
        <v/>
      </c>
    </row>
    <row r="443">
      <c r="A443">
        <f>INT((ROW()-2)/151)+1</f>
        <v/>
      </c>
      <c r="B443">
        <f>MOD(ROW()-2,151)</f>
        <v/>
      </c>
      <c r="C443">
        <f t="array" ref="C443">IFERROR(INDEX('TRIP MANAGER'!$O$18:$O$25,$A443),"")</f>
        <v/>
      </c>
      <c r="D443">
        <f t="array" ref="D443">IFERROR(INDEX('TRIP MANAGER'!$P$18:$P$25,$A443),"")</f>
        <v/>
      </c>
      <c r="E443">
        <f t="array" ref="E443">IFERROR(INDEX('TRIP MANAGER'!$Q$18:$Q$25,$A443),"")</f>
        <v/>
      </c>
      <c r="F443">
        <f t="array" ref="F443">IFERROR(INDEX('TRIP MANAGER'!$R$18:$R$25,$A443),"")</f>
        <v/>
      </c>
      <c r="G443">
        <f t="array" ref="G443">IFERROR(INDEX('TRIP MANAGER'!$S$18:$S$25,$A443),"")</f>
        <v/>
      </c>
      <c r="H443">
        <f>$B443/150</f>
        <v/>
      </c>
      <c r="I443">
        <f>IF(OR($G443="",$G443=0),"",SIN((1-$H443)*$G443)/SIN($G443))</f>
        <v/>
      </c>
      <c r="J443">
        <f>IF($I443="","",SIN($H443*$G443)/SIN($G443))</f>
        <v/>
      </c>
      <c r="K443">
        <f>IF($I443="","",$I443*COS(RADIANS($C443))*COS(RADIANS($D443))+$J443*COS(RADIANS($E443))*COS(RADIANS($F443)))</f>
        <v/>
      </c>
      <c r="L443">
        <f>IF($I443="","",$I443*COS(RADIANS($C443))*SIN(RADIANS($D443))+$J443*COS(RADIANS($E443))*SIN(RADIANS($F443)))</f>
        <v/>
      </c>
      <c r="M443">
        <f>IF($I443="","",$I443*SIN(RADIANS($C443))+$J443*SIN(RADIANS($E443)))</f>
        <v/>
      </c>
      <c r="N443">
        <f>IF($M443="","",DEGREES(ATAN2(SQRT($K443^2+$L443^2),$M443)))</f>
        <v/>
      </c>
      <c r="O443">
        <f>IF($M443="","",DEGREES(ATAN2($K443,$L443)))</f>
        <v/>
      </c>
      <c r="P443">
        <f t="array" ref="P443">IF($N443="","",IFERROR(IF(INDEX(geo_grid!$B$2:$JU$231,INT(($N443+40)/0.5)+1,INT(($O443+30)/0.5)+1)="","",INDEX(geo_grid!$B$2:$JU$231,INT(($N443+40)/0.5)+1,INT(($O443+30)/0.5)+1)),"OUTSIDE GRID"))</f>
        <v/>
      </c>
      <c r="Q443">
        <f>IF($P443="","",$A443*1000+$B443)</f>
        <v/>
      </c>
    </row>
    <row r="444">
      <c r="A444">
        <f>INT((ROW()-2)/151)+1</f>
        <v/>
      </c>
      <c r="B444">
        <f>MOD(ROW()-2,151)</f>
        <v/>
      </c>
      <c r="C444">
        <f t="array" ref="C444">IFERROR(INDEX('TRIP MANAGER'!$O$18:$O$25,$A444),"")</f>
        <v/>
      </c>
      <c r="D444">
        <f t="array" ref="D444">IFERROR(INDEX('TRIP MANAGER'!$P$18:$P$25,$A444),"")</f>
        <v/>
      </c>
      <c r="E444">
        <f t="array" ref="E444">IFERROR(INDEX('TRIP MANAGER'!$Q$18:$Q$25,$A444),"")</f>
        <v/>
      </c>
      <c r="F444">
        <f t="array" ref="F444">IFERROR(INDEX('TRIP MANAGER'!$R$18:$R$25,$A444),"")</f>
        <v/>
      </c>
      <c r="G444">
        <f t="array" ref="G444">IFERROR(INDEX('TRIP MANAGER'!$S$18:$S$25,$A444),"")</f>
        <v/>
      </c>
      <c r="H444">
        <f>$B444/150</f>
        <v/>
      </c>
      <c r="I444">
        <f>IF(OR($G444="",$G444=0),"",SIN((1-$H444)*$G444)/SIN($G444))</f>
        <v/>
      </c>
      <c r="J444">
        <f>IF($I444="","",SIN($H444*$G444)/SIN($G444))</f>
        <v/>
      </c>
      <c r="K444">
        <f>IF($I444="","",$I444*COS(RADIANS($C444))*COS(RADIANS($D444))+$J444*COS(RADIANS($E444))*COS(RADIANS($F444)))</f>
        <v/>
      </c>
      <c r="L444">
        <f>IF($I444="","",$I444*COS(RADIANS($C444))*SIN(RADIANS($D444))+$J444*COS(RADIANS($E444))*SIN(RADIANS($F444)))</f>
        <v/>
      </c>
      <c r="M444">
        <f>IF($I444="","",$I444*SIN(RADIANS($C444))+$J444*SIN(RADIANS($E444)))</f>
        <v/>
      </c>
      <c r="N444">
        <f>IF($M444="","",DEGREES(ATAN2(SQRT($K444^2+$L444^2),$M444)))</f>
        <v/>
      </c>
      <c r="O444">
        <f>IF($M444="","",DEGREES(ATAN2($K444,$L444)))</f>
        <v/>
      </c>
      <c r="P444">
        <f t="array" ref="P444">IF($N444="","",IFERROR(IF(INDEX(geo_grid!$B$2:$JU$231,INT(($N444+40)/0.5)+1,INT(($O444+30)/0.5)+1)="","",INDEX(geo_grid!$B$2:$JU$231,INT(($N444+40)/0.5)+1,INT(($O444+30)/0.5)+1)),"OUTSIDE GRID"))</f>
        <v/>
      </c>
      <c r="Q444">
        <f>IF($P444="","",$A444*1000+$B444)</f>
        <v/>
      </c>
    </row>
    <row r="445">
      <c r="A445">
        <f>INT((ROW()-2)/151)+1</f>
        <v/>
      </c>
      <c r="B445">
        <f>MOD(ROW()-2,151)</f>
        <v/>
      </c>
      <c r="C445">
        <f t="array" ref="C445">IFERROR(INDEX('TRIP MANAGER'!$O$18:$O$25,$A445),"")</f>
        <v/>
      </c>
      <c r="D445">
        <f t="array" ref="D445">IFERROR(INDEX('TRIP MANAGER'!$P$18:$P$25,$A445),"")</f>
        <v/>
      </c>
      <c r="E445">
        <f t="array" ref="E445">IFERROR(INDEX('TRIP MANAGER'!$Q$18:$Q$25,$A445),"")</f>
        <v/>
      </c>
      <c r="F445">
        <f t="array" ref="F445">IFERROR(INDEX('TRIP MANAGER'!$R$18:$R$25,$A445),"")</f>
        <v/>
      </c>
      <c r="G445">
        <f t="array" ref="G445">IFERROR(INDEX('TRIP MANAGER'!$S$18:$S$25,$A445),"")</f>
        <v/>
      </c>
      <c r="H445">
        <f>$B445/150</f>
        <v/>
      </c>
      <c r="I445">
        <f>IF(OR($G445="",$G445=0),"",SIN((1-$H445)*$G445)/SIN($G445))</f>
        <v/>
      </c>
      <c r="J445">
        <f>IF($I445="","",SIN($H445*$G445)/SIN($G445))</f>
        <v/>
      </c>
      <c r="K445">
        <f>IF($I445="","",$I445*COS(RADIANS($C445))*COS(RADIANS($D445))+$J445*COS(RADIANS($E445))*COS(RADIANS($F445)))</f>
        <v/>
      </c>
      <c r="L445">
        <f>IF($I445="","",$I445*COS(RADIANS($C445))*SIN(RADIANS($D445))+$J445*COS(RADIANS($E445))*SIN(RADIANS($F445)))</f>
        <v/>
      </c>
      <c r="M445">
        <f>IF($I445="","",$I445*SIN(RADIANS($C445))+$J445*SIN(RADIANS($E445)))</f>
        <v/>
      </c>
      <c r="N445">
        <f>IF($M445="","",DEGREES(ATAN2(SQRT($K445^2+$L445^2),$M445)))</f>
        <v/>
      </c>
      <c r="O445">
        <f>IF($M445="","",DEGREES(ATAN2($K445,$L445)))</f>
        <v/>
      </c>
      <c r="P445">
        <f t="array" ref="P445">IF($N445="","",IFERROR(IF(INDEX(geo_grid!$B$2:$JU$231,INT(($N445+40)/0.5)+1,INT(($O445+30)/0.5)+1)="","",INDEX(geo_grid!$B$2:$JU$231,INT(($N445+40)/0.5)+1,INT(($O445+30)/0.5)+1)),"OUTSIDE GRID"))</f>
        <v/>
      </c>
      <c r="Q445">
        <f>IF($P445="","",$A445*1000+$B445)</f>
        <v/>
      </c>
    </row>
    <row r="446">
      <c r="A446">
        <f>INT((ROW()-2)/151)+1</f>
        <v/>
      </c>
      <c r="B446">
        <f>MOD(ROW()-2,151)</f>
        <v/>
      </c>
      <c r="C446">
        <f t="array" ref="C446">IFERROR(INDEX('TRIP MANAGER'!$O$18:$O$25,$A446),"")</f>
        <v/>
      </c>
      <c r="D446">
        <f t="array" ref="D446">IFERROR(INDEX('TRIP MANAGER'!$P$18:$P$25,$A446),"")</f>
        <v/>
      </c>
      <c r="E446">
        <f t="array" ref="E446">IFERROR(INDEX('TRIP MANAGER'!$Q$18:$Q$25,$A446),"")</f>
        <v/>
      </c>
      <c r="F446">
        <f t="array" ref="F446">IFERROR(INDEX('TRIP MANAGER'!$R$18:$R$25,$A446),"")</f>
        <v/>
      </c>
      <c r="G446">
        <f t="array" ref="G446">IFERROR(INDEX('TRIP MANAGER'!$S$18:$S$25,$A446),"")</f>
        <v/>
      </c>
      <c r="H446">
        <f>$B446/150</f>
        <v/>
      </c>
      <c r="I446">
        <f>IF(OR($G446="",$G446=0),"",SIN((1-$H446)*$G446)/SIN($G446))</f>
        <v/>
      </c>
      <c r="J446">
        <f>IF($I446="","",SIN($H446*$G446)/SIN($G446))</f>
        <v/>
      </c>
      <c r="K446">
        <f>IF($I446="","",$I446*COS(RADIANS($C446))*COS(RADIANS($D446))+$J446*COS(RADIANS($E446))*COS(RADIANS($F446)))</f>
        <v/>
      </c>
      <c r="L446">
        <f>IF($I446="","",$I446*COS(RADIANS($C446))*SIN(RADIANS($D446))+$J446*COS(RADIANS($E446))*SIN(RADIANS($F446)))</f>
        <v/>
      </c>
      <c r="M446">
        <f>IF($I446="","",$I446*SIN(RADIANS($C446))+$J446*SIN(RADIANS($E446)))</f>
        <v/>
      </c>
      <c r="N446">
        <f>IF($M446="","",DEGREES(ATAN2(SQRT($K446^2+$L446^2),$M446)))</f>
        <v/>
      </c>
      <c r="O446">
        <f>IF($M446="","",DEGREES(ATAN2($K446,$L446)))</f>
        <v/>
      </c>
      <c r="P446">
        <f t="array" ref="P446">IF($N446="","",IFERROR(IF(INDEX(geo_grid!$B$2:$JU$231,INT(($N446+40)/0.5)+1,INT(($O446+30)/0.5)+1)="","",INDEX(geo_grid!$B$2:$JU$231,INT(($N446+40)/0.5)+1,INT(($O446+30)/0.5)+1)),"OUTSIDE GRID"))</f>
        <v/>
      </c>
      <c r="Q446">
        <f>IF($P446="","",$A446*1000+$B446)</f>
        <v/>
      </c>
    </row>
    <row r="447">
      <c r="A447">
        <f>INT((ROW()-2)/151)+1</f>
        <v/>
      </c>
      <c r="B447">
        <f>MOD(ROW()-2,151)</f>
        <v/>
      </c>
      <c r="C447">
        <f t="array" ref="C447">IFERROR(INDEX('TRIP MANAGER'!$O$18:$O$25,$A447),"")</f>
        <v/>
      </c>
      <c r="D447">
        <f t="array" ref="D447">IFERROR(INDEX('TRIP MANAGER'!$P$18:$P$25,$A447),"")</f>
        <v/>
      </c>
      <c r="E447">
        <f t="array" ref="E447">IFERROR(INDEX('TRIP MANAGER'!$Q$18:$Q$25,$A447),"")</f>
        <v/>
      </c>
      <c r="F447">
        <f t="array" ref="F447">IFERROR(INDEX('TRIP MANAGER'!$R$18:$R$25,$A447),"")</f>
        <v/>
      </c>
      <c r="G447">
        <f t="array" ref="G447">IFERROR(INDEX('TRIP MANAGER'!$S$18:$S$25,$A447),"")</f>
        <v/>
      </c>
      <c r="H447">
        <f>$B447/150</f>
        <v/>
      </c>
      <c r="I447">
        <f>IF(OR($G447="",$G447=0),"",SIN((1-$H447)*$G447)/SIN($G447))</f>
        <v/>
      </c>
      <c r="J447">
        <f>IF($I447="","",SIN($H447*$G447)/SIN($G447))</f>
        <v/>
      </c>
      <c r="K447">
        <f>IF($I447="","",$I447*COS(RADIANS($C447))*COS(RADIANS($D447))+$J447*COS(RADIANS($E447))*COS(RADIANS($F447)))</f>
        <v/>
      </c>
      <c r="L447">
        <f>IF($I447="","",$I447*COS(RADIANS($C447))*SIN(RADIANS($D447))+$J447*COS(RADIANS($E447))*SIN(RADIANS($F447)))</f>
        <v/>
      </c>
      <c r="M447">
        <f>IF($I447="","",$I447*SIN(RADIANS($C447))+$J447*SIN(RADIANS($E447)))</f>
        <v/>
      </c>
      <c r="N447">
        <f>IF($M447="","",DEGREES(ATAN2(SQRT($K447^2+$L447^2),$M447)))</f>
        <v/>
      </c>
      <c r="O447">
        <f>IF($M447="","",DEGREES(ATAN2($K447,$L447)))</f>
        <v/>
      </c>
      <c r="P447">
        <f t="array" ref="P447">IF($N447="","",IFERROR(IF(INDEX(geo_grid!$B$2:$JU$231,INT(($N447+40)/0.5)+1,INT(($O447+30)/0.5)+1)="","",INDEX(geo_grid!$B$2:$JU$231,INT(($N447+40)/0.5)+1,INT(($O447+30)/0.5)+1)),"OUTSIDE GRID"))</f>
        <v/>
      </c>
      <c r="Q447">
        <f>IF($P447="","",$A447*1000+$B447)</f>
        <v/>
      </c>
    </row>
    <row r="448">
      <c r="A448">
        <f>INT((ROW()-2)/151)+1</f>
        <v/>
      </c>
      <c r="B448">
        <f>MOD(ROW()-2,151)</f>
        <v/>
      </c>
      <c r="C448">
        <f t="array" ref="C448">IFERROR(INDEX('TRIP MANAGER'!$O$18:$O$25,$A448),"")</f>
        <v/>
      </c>
      <c r="D448">
        <f t="array" ref="D448">IFERROR(INDEX('TRIP MANAGER'!$P$18:$P$25,$A448),"")</f>
        <v/>
      </c>
      <c r="E448">
        <f t="array" ref="E448">IFERROR(INDEX('TRIP MANAGER'!$Q$18:$Q$25,$A448),"")</f>
        <v/>
      </c>
      <c r="F448">
        <f t="array" ref="F448">IFERROR(INDEX('TRIP MANAGER'!$R$18:$R$25,$A448),"")</f>
        <v/>
      </c>
      <c r="G448">
        <f t="array" ref="G448">IFERROR(INDEX('TRIP MANAGER'!$S$18:$S$25,$A448),"")</f>
        <v/>
      </c>
      <c r="H448">
        <f>$B448/150</f>
        <v/>
      </c>
      <c r="I448">
        <f>IF(OR($G448="",$G448=0),"",SIN((1-$H448)*$G448)/SIN($G448))</f>
        <v/>
      </c>
      <c r="J448">
        <f>IF($I448="","",SIN($H448*$G448)/SIN($G448))</f>
        <v/>
      </c>
      <c r="K448">
        <f>IF($I448="","",$I448*COS(RADIANS($C448))*COS(RADIANS($D448))+$J448*COS(RADIANS($E448))*COS(RADIANS($F448)))</f>
        <v/>
      </c>
      <c r="L448">
        <f>IF($I448="","",$I448*COS(RADIANS($C448))*SIN(RADIANS($D448))+$J448*COS(RADIANS($E448))*SIN(RADIANS($F448)))</f>
        <v/>
      </c>
      <c r="M448">
        <f>IF($I448="","",$I448*SIN(RADIANS($C448))+$J448*SIN(RADIANS($E448)))</f>
        <v/>
      </c>
      <c r="N448">
        <f>IF($M448="","",DEGREES(ATAN2(SQRT($K448^2+$L448^2),$M448)))</f>
        <v/>
      </c>
      <c r="O448">
        <f>IF($M448="","",DEGREES(ATAN2($K448,$L448)))</f>
        <v/>
      </c>
      <c r="P448">
        <f t="array" ref="P448">IF($N448="","",IFERROR(IF(INDEX(geo_grid!$B$2:$JU$231,INT(($N448+40)/0.5)+1,INT(($O448+30)/0.5)+1)="","",INDEX(geo_grid!$B$2:$JU$231,INT(($N448+40)/0.5)+1,INT(($O448+30)/0.5)+1)),"OUTSIDE GRID"))</f>
        <v/>
      </c>
      <c r="Q448">
        <f>IF($P448="","",$A448*1000+$B448)</f>
        <v/>
      </c>
    </row>
    <row r="449">
      <c r="A449">
        <f>INT((ROW()-2)/151)+1</f>
        <v/>
      </c>
      <c r="B449">
        <f>MOD(ROW()-2,151)</f>
        <v/>
      </c>
      <c r="C449">
        <f t="array" ref="C449">IFERROR(INDEX('TRIP MANAGER'!$O$18:$O$25,$A449),"")</f>
        <v/>
      </c>
      <c r="D449">
        <f t="array" ref="D449">IFERROR(INDEX('TRIP MANAGER'!$P$18:$P$25,$A449),"")</f>
        <v/>
      </c>
      <c r="E449">
        <f t="array" ref="E449">IFERROR(INDEX('TRIP MANAGER'!$Q$18:$Q$25,$A449),"")</f>
        <v/>
      </c>
      <c r="F449">
        <f t="array" ref="F449">IFERROR(INDEX('TRIP MANAGER'!$R$18:$R$25,$A449),"")</f>
        <v/>
      </c>
      <c r="G449">
        <f t="array" ref="G449">IFERROR(INDEX('TRIP MANAGER'!$S$18:$S$25,$A449),"")</f>
        <v/>
      </c>
      <c r="H449">
        <f>$B449/150</f>
        <v/>
      </c>
      <c r="I449">
        <f>IF(OR($G449="",$G449=0),"",SIN((1-$H449)*$G449)/SIN($G449))</f>
        <v/>
      </c>
      <c r="J449">
        <f>IF($I449="","",SIN($H449*$G449)/SIN($G449))</f>
        <v/>
      </c>
      <c r="K449">
        <f>IF($I449="","",$I449*COS(RADIANS($C449))*COS(RADIANS($D449))+$J449*COS(RADIANS($E449))*COS(RADIANS($F449)))</f>
        <v/>
      </c>
      <c r="L449">
        <f>IF($I449="","",$I449*COS(RADIANS($C449))*SIN(RADIANS($D449))+$J449*COS(RADIANS($E449))*SIN(RADIANS($F449)))</f>
        <v/>
      </c>
      <c r="M449">
        <f>IF($I449="","",$I449*SIN(RADIANS($C449))+$J449*SIN(RADIANS($E449)))</f>
        <v/>
      </c>
      <c r="N449">
        <f>IF($M449="","",DEGREES(ATAN2(SQRT($K449^2+$L449^2),$M449)))</f>
        <v/>
      </c>
      <c r="O449">
        <f>IF($M449="","",DEGREES(ATAN2($K449,$L449)))</f>
        <v/>
      </c>
      <c r="P449">
        <f t="array" ref="P449">IF($N449="","",IFERROR(IF(INDEX(geo_grid!$B$2:$JU$231,INT(($N449+40)/0.5)+1,INT(($O449+30)/0.5)+1)="","",INDEX(geo_grid!$B$2:$JU$231,INT(($N449+40)/0.5)+1,INT(($O449+30)/0.5)+1)),"OUTSIDE GRID"))</f>
        <v/>
      </c>
      <c r="Q449">
        <f>IF($P449="","",$A449*1000+$B449)</f>
        <v/>
      </c>
    </row>
    <row r="450">
      <c r="A450">
        <f>INT((ROW()-2)/151)+1</f>
        <v/>
      </c>
      <c r="B450">
        <f>MOD(ROW()-2,151)</f>
        <v/>
      </c>
      <c r="C450">
        <f t="array" ref="C450">IFERROR(INDEX('TRIP MANAGER'!$O$18:$O$25,$A450),"")</f>
        <v/>
      </c>
      <c r="D450">
        <f t="array" ref="D450">IFERROR(INDEX('TRIP MANAGER'!$P$18:$P$25,$A450),"")</f>
        <v/>
      </c>
      <c r="E450">
        <f t="array" ref="E450">IFERROR(INDEX('TRIP MANAGER'!$Q$18:$Q$25,$A450),"")</f>
        <v/>
      </c>
      <c r="F450">
        <f t="array" ref="F450">IFERROR(INDEX('TRIP MANAGER'!$R$18:$R$25,$A450),"")</f>
        <v/>
      </c>
      <c r="G450">
        <f t="array" ref="G450">IFERROR(INDEX('TRIP MANAGER'!$S$18:$S$25,$A450),"")</f>
        <v/>
      </c>
      <c r="H450">
        <f>$B450/150</f>
        <v/>
      </c>
      <c r="I450">
        <f>IF(OR($G450="",$G450=0),"",SIN((1-$H450)*$G450)/SIN($G450))</f>
        <v/>
      </c>
      <c r="J450">
        <f>IF($I450="","",SIN($H450*$G450)/SIN($G450))</f>
        <v/>
      </c>
      <c r="K450">
        <f>IF($I450="","",$I450*COS(RADIANS($C450))*COS(RADIANS($D450))+$J450*COS(RADIANS($E450))*COS(RADIANS($F450)))</f>
        <v/>
      </c>
      <c r="L450">
        <f>IF($I450="","",$I450*COS(RADIANS($C450))*SIN(RADIANS($D450))+$J450*COS(RADIANS($E450))*SIN(RADIANS($F450)))</f>
        <v/>
      </c>
      <c r="M450">
        <f>IF($I450="","",$I450*SIN(RADIANS($C450))+$J450*SIN(RADIANS($E450)))</f>
        <v/>
      </c>
      <c r="N450">
        <f>IF($M450="","",DEGREES(ATAN2(SQRT($K450^2+$L450^2),$M450)))</f>
        <v/>
      </c>
      <c r="O450">
        <f>IF($M450="","",DEGREES(ATAN2($K450,$L450)))</f>
        <v/>
      </c>
      <c r="P450">
        <f t="array" ref="P450">IF($N450="","",IFERROR(IF(INDEX(geo_grid!$B$2:$JU$231,INT(($N450+40)/0.5)+1,INT(($O450+30)/0.5)+1)="","",INDEX(geo_grid!$B$2:$JU$231,INT(($N450+40)/0.5)+1,INT(($O450+30)/0.5)+1)),"OUTSIDE GRID"))</f>
        <v/>
      </c>
      <c r="Q450">
        <f>IF($P450="","",$A450*1000+$B450)</f>
        <v/>
      </c>
    </row>
    <row r="451">
      <c r="A451">
        <f>INT((ROW()-2)/151)+1</f>
        <v/>
      </c>
      <c r="B451">
        <f>MOD(ROW()-2,151)</f>
        <v/>
      </c>
      <c r="C451">
        <f t="array" ref="C451">IFERROR(INDEX('TRIP MANAGER'!$O$18:$O$25,$A451),"")</f>
        <v/>
      </c>
      <c r="D451">
        <f t="array" ref="D451">IFERROR(INDEX('TRIP MANAGER'!$P$18:$P$25,$A451),"")</f>
        <v/>
      </c>
      <c r="E451">
        <f t="array" ref="E451">IFERROR(INDEX('TRIP MANAGER'!$Q$18:$Q$25,$A451),"")</f>
        <v/>
      </c>
      <c r="F451">
        <f t="array" ref="F451">IFERROR(INDEX('TRIP MANAGER'!$R$18:$R$25,$A451),"")</f>
        <v/>
      </c>
      <c r="G451">
        <f t="array" ref="G451">IFERROR(INDEX('TRIP MANAGER'!$S$18:$S$25,$A451),"")</f>
        <v/>
      </c>
      <c r="H451">
        <f>$B451/150</f>
        <v/>
      </c>
      <c r="I451">
        <f>IF(OR($G451="",$G451=0),"",SIN((1-$H451)*$G451)/SIN($G451))</f>
        <v/>
      </c>
      <c r="J451">
        <f>IF($I451="","",SIN($H451*$G451)/SIN($G451))</f>
        <v/>
      </c>
      <c r="K451">
        <f>IF($I451="","",$I451*COS(RADIANS($C451))*COS(RADIANS($D451))+$J451*COS(RADIANS($E451))*COS(RADIANS($F451)))</f>
        <v/>
      </c>
      <c r="L451">
        <f>IF($I451="","",$I451*COS(RADIANS($C451))*SIN(RADIANS($D451))+$J451*COS(RADIANS($E451))*SIN(RADIANS($F451)))</f>
        <v/>
      </c>
      <c r="M451">
        <f>IF($I451="","",$I451*SIN(RADIANS($C451))+$J451*SIN(RADIANS($E451)))</f>
        <v/>
      </c>
      <c r="N451">
        <f>IF($M451="","",DEGREES(ATAN2(SQRT($K451^2+$L451^2),$M451)))</f>
        <v/>
      </c>
      <c r="O451">
        <f>IF($M451="","",DEGREES(ATAN2($K451,$L451)))</f>
        <v/>
      </c>
      <c r="P451">
        <f t="array" ref="P451">IF($N451="","",IFERROR(IF(INDEX(geo_grid!$B$2:$JU$231,INT(($N451+40)/0.5)+1,INT(($O451+30)/0.5)+1)="","",INDEX(geo_grid!$B$2:$JU$231,INT(($N451+40)/0.5)+1,INT(($O451+30)/0.5)+1)),"OUTSIDE GRID"))</f>
        <v/>
      </c>
      <c r="Q451">
        <f>IF($P451="","",$A451*1000+$B451)</f>
        <v/>
      </c>
    </row>
    <row r="452">
      <c r="A452">
        <f>INT((ROW()-2)/151)+1</f>
        <v/>
      </c>
      <c r="B452">
        <f>MOD(ROW()-2,151)</f>
        <v/>
      </c>
      <c r="C452">
        <f t="array" ref="C452">IFERROR(INDEX('TRIP MANAGER'!$O$18:$O$25,$A452),"")</f>
        <v/>
      </c>
      <c r="D452">
        <f t="array" ref="D452">IFERROR(INDEX('TRIP MANAGER'!$P$18:$P$25,$A452),"")</f>
        <v/>
      </c>
      <c r="E452">
        <f t="array" ref="E452">IFERROR(INDEX('TRIP MANAGER'!$Q$18:$Q$25,$A452),"")</f>
        <v/>
      </c>
      <c r="F452">
        <f t="array" ref="F452">IFERROR(INDEX('TRIP MANAGER'!$R$18:$R$25,$A452),"")</f>
        <v/>
      </c>
      <c r="G452">
        <f t="array" ref="G452">IFERROR(INDEX('TRIP MANAGER'!$S$18:$S$25,$A452),"")</f>
        <v/>
      </c>
      <c r="H452">
        <f>$B452/150</f>
        <v/>
      </c>
      <c r="I452">
        <f>IF(OR($G452="",$G452=0),"",SIN((1-$H452)*$G452)/SIN($G452))</f>
        <v/>
      </c>
      <c r="J452">
        <f>IF($I452="","",SIN($H452*$G452)/SIN($G452))</f>
        <v/>
      </c>
      <c r="K452">
        <f>IF($I452="","",$I452*COS(RADIANS($C452))*COS(RADIANS($D452))+$J452*COS(RADIANS($E452))*COS(RADIANS($F452)))</f>
        <v/>
      </c>
      <c r="L452">
        <f>IF($I452="","",$I452*COS(RADIANS($C452))*SIN(RADIANS($D452))+$J452*COS(RADIANS($E452))*SIN(RADIANS($F452)))</f>
        <v/>
      </c>
      <c r="M452">
        <f>IF($I452="","",$I452*SIN(RADIANS($C452))+$J452*SIN(RADIANS($E452)))</f>
        <v/>
      </c>
      <c r="N452">
        <f>IF($M452="","",DEGREES(ATAN2(SQRT($K452^2+$L452^2),$M452)))</f>
        <v/>
      </c>
      <c r="O452">
        <f>IF($M452="","",DEGREES(ATAN2($K452,$L452)))</f>
        <v/>
      </c>
      <c r="P452">
        <f t="array" ref="P452">IF($N452="","",IFERROR(IF(INDEX(geo_grid!$B$2:$JU$231,INT(($N452+40)/0.5)+1,INT(($O452+30)/0.5)+1)="","",INDEX(geo_grid!$B$2:$JU$231,INT(($N452+40)/0.5)+1,INT(($O452+30)/0.5)+1)),"OUTSIDE GRID"))</f>
        <v/>
      </c>
      <c r="Q452">
        <f>IF($P452="","",$A452*1000+$B452)</f>
        <v/>
      </c>
    </row>
    <row r="453">
      <c r="A453">
        <f>INT((ROW()-2)/151)+1</f>
        <v/>
      </c>
      <c r="B453">
        <f>MOD(ROW()-2,151)</f>
        <v/>
      </c>
      <c r="C453">
        <f t="array" ref="C453">IFERROR(INDEX('TRIP MANAGER'!$O$18:$O$25,$A453),"")</f>
        <v/>
      </c>
      <c r="D453">
        <f t="array" ref="D453">IFERROR(INDEX('TRIP MANAGER'!$P$18:$P$25,$A453),"")</f>
        <v/>
      </c>
      <c r="E453">
        <f t="array" ref="E453">IFERROR(INDEX('TRIP MANAGER'!$Q$18:$Q$25,$A453),"")</f>
        <v/>
      </c>
      <c r="F453">
        <f t="array" ref="F453">IFERROR(INDEX('TRIP MANAGER'!$R$18:$R$25,$A453),"")</f>
        <v/>
      </c>
      <c r="G453">
        <f t="array" ref="G453">IFERROR(INDEX('TRIP MANAGER'!$S$18:$S$25,$A453),"")</f>
        <v/>
      </c>
      <c r="H453">
        <f>$B453/150</f>
        <v/>
      </c>
      <c r="I453">
        <f>IF(OR($G453="",$G453=0),"",SIN((1-$H453)*$G453)/SIN($G453))</f>
        <v/>
      </c>
      <c r="J453">
        <f>IF($I453="","",SIN($H453*$G453)/SIN($G453))</f>
        <v/>
      </c>
      <c r="K453">
        <f>IF($I453="","",$I453*COS(RADIANS($C453))*COS(RADIANS($D453))+$J453*COS(RADIANS($E453))*COS(RADIANS($F453)))</f>
        <v/>
      </c>
      <c r="L453">
        <f>IF($I453="","",$I453*COS(RADIANS($C453))*SIN(RADIANS($D453))+$J453*COS(RADIANS($E453))*SIN(RADIANS($F453)))</f>
        <v/>
      </c>
      <c r="M453">
        <f>IF($I453="","",$I453*SIN(RADIANS($C453))+$J453*SIN(RADIANS($E453)))</f>
        <v/>
      </c>
      <c r="N453">
        <f>IF($M453="","",DEGREES(ATAN2(SQRT($K453^2+$L453^2),$M453)))</f>
        <v/>
      </c>
      <c r="O453">
        <f>IF($M453="","",DEGREES(ATAN2($K453,$L453)))</f>
        <v/>
      </c>
      <c r="P453">
        <f t="array" ref="P453">IF($N453="","",IFERROR(IF(INDEX(geo_grid!$B$2:$JU$231,INT(($N453+40)/0.5)+1,INT(($O453+30)/0.5)+1)="","",INDEX(geo_grid!$B$2:$JU$231,INT(($N453+40)/0.5)+1,INT(($O453+30)/0.5)+1)),"OUTSIDE GRID"))</f>
        <v/>
      </c>
      <c r="Q453">
        <f>IF($P453="","",$A453*1000+$B453)</f>
        <v/>
      </c>
    </row>
    <row r="454">
      <c r="A454">
        <f>INT((ROW()-2)/151)+1</f>
        <v/>
      </c>
      <c r="B454">
        <f>MOD(ROW()-2,151)</f>
        <v/>
      </c>
      <c r="C454">
        <f t="array" ref="C454">IFERROR(INDEX('TRIP MANAGER'!$O$18:$O$25,$A454),"")</f>
        <v/>
      </c>
      <c r="D454">
        <f t="array" ref="D454">IFERROR(INDEX('TRIP MANAGER'!$P$18:$P$25,$A454),"")</f>
        <v/>
      </c>
      <c r="E454">
        <f t="array" ref="E454">IFERROR(INDEX('TRIP MANAGER'!$Q$18:$Q$25,$A454),"")</f>
        <v/>
      </c>
      <c r="F454">
        <f t="array" ref="F454">IFERROR(INDEX('TRIP MANAGER'!$R$18:$R$25,$A454),"")</f>
        <v/>
      </c>
      <c r="G454">
        <f t="array" ref="G454">IFERROR(INDEX('TRIP MANAGER'!$S$18:$S$25,$A454),"")</f>
        <v/>
      </c>
      <c r="H454">
        <f>$B454/150</f>
        <v/>
      </c>
      <c r="I454">
        <f>IF(OR($G454="",$G454=0),"",SIN((1-$H454)*$G454)/SIN($G454))</f>
        <v/>
      </c>
      <c r="J454">
        <f>IF($I454="","",SIN($H454*$G454)/SIN($G454))</f>
        <v/>
      </c>
      <c r="K454">
        <f>IF($I454="","",$I454*COS(RADIANS($C454))*COS(RADIANS($D454))+$J454*COS(RADIANS($E454))*COS(RADIANS($F454)))</f>
        <v/>
      </c>
      <c r="L454">
        <f>IF($I454="","",$I454*COS(RADIANS($C454))*SIN(RADIANS($D454))+$J454*COS(RADIANS($E454))*SIN(RADIANS($F454)))</f>
        <v/>
      </c>
      <c r="M454">
        <f>IF($I454="","",$I454*SIN(RADIANS($C454))+$J454*SIN(RADIANS($E454)))</f>
        <v/>
      </c>
      <c r="N454">
        <f>IF($M454="","",DEGREES(ATAN2(SQRT($K454^2+$L454^2),$M454)))</f>
        <v/>
      </c>
      <c r="O454">
        <f>IF($M454="","",DEGREES(ATAN2($K454,$L454)))</f>
        <v/>
      </c>
      <c r="P454">
        <f t="array" ref="P454">IF($N454="","",IFERROR(IF(INDEX(geo_grid!$B$2:$JU$231,INT(($N454+40)/0.5)+1,INT(($O454+30)/0.5)+1)="","",INDEX(geo_grid!$B$2:$JU$231,INT(($N454+40)/0.5)+1,INT(($O454+30)/0.5)+1)),"OUTSIDE GRID"))</f>
        <v/>
      </c>
      <c r="Q454">
        <f>IF($P454="","",$A454*1000+$B454)</f>
        <v/>
      </c>
    </row>
    <row r="455">
      <c r="A455">
        <f>INT((ROW()-2)/151)+1</f>
        <v/>
      </c>
      <c r="B455">
        <f>MOD(ROW()-2,151)</f>
        <v/>
      </c>
      <c r="C455">
        <f t="array" ref="C455">IFERROR(INDEX('TRIP MANAGER'!$O$18:$O$25,$A455),"")</f>
        <v/>
      </c>
      <c r="D455">
        <f t="array" ref="D455">IFERROR(INDEX('TRIP MANAGER'!$P$18:$P$25,$A455),"")</f>
        <v/>
      </c>
      <c r="E455">
        <f t="array" ref="E455">IFERROR(INDEX('TRIP MANAGER'!$Q$18:$Q$25,$A455),"")</f>
        <v/>
      </c>
      <c r="F455">
        <f t="array" ref="F455">IFERROR(INDEX('TRIP MANAGER'!$R$18:$R$25,$A455),"")</f>
        <v/>
      </c>
      <c r="G455">
        <f t="array" ref="G455">IFERROR(INDEX('TRIP MANAGER'!$S$18:$S$25,$A455),"")</f>
        <v/>
      </c>
      <c r="H455">
        <f>$B455/150</f>
        <v/>
      </c>
      <c r="I455">
        <f>IF(OR($G455="",$G455=0),"",SIN((1-$H455)*$G455)/SIN($G455))</f>
        <v/>
      </c>
      <c r="J455">
        <f>IF($I455="","",SIN($H455*$G455)/SIN($G455))</f>
        <v/>
      </c>
      <c r="K455">
        <f>IF($I455="","",$I455*COS(RADIANS($C455))*COS(RADIANS($D455))+$J455*COS(RADIANS($E455))*COS(RADIANS($F455)))</f>
        <v/>
      </c>
      <c r="L455">
        <f>IF($I455="","",$I455*COS(RADIANS($C455))*SIN(RADIANS($D455))+$J455*COS(RADIANS($E455))*SIN(RADIANS($F455)))</f>
        <v/>
      </c>
      <c r="M455">
        <f>IF($I455="","",$I455*SIN(RADIANS($C455))+$J455*SIN(RADIANS($E455)))</f>
        <v/>
      </c>
      <c r="N455">
        <f>IF($M455="","",DEGREES(ATAN2(SQRT($K455^2+$L455^2),$M455)))</f>
        <v/>
      </c>
      <c r="O455">
        <f>IF($M455="","",DEGREES(ATAN2($K455,$L455)))</f>
        <v/>
      </c>
      <c r="P455">
        <f t="array" ref="P455">IF($N455="","",IFERROR(IF(INDEX(geo_grid!$B$2:$JU$231,INT(($N455+40)/0.5)+1,INT(($O455+30)/0.5)+1)="","",INDEX(geo_grid!$B$2:$JU$231,INT(($N455+40)/0.5)+1,INT(($O455+30)/0.5)+1)),"OUTSIDE GRID"))</f>
        <v/>
      </c>
      <c r="Q455">
        <f>IF($P455="","",$A455*1000+$B455)</f>
        <v/>
      </c>
    </row>
    <row r="456">
      <c r="A456">
        <f>INT((ROW()-2)/151)+1</f>
        <v/>
      </c>
      <c r="B456">
        <f>MOD(ROW()-2,151)</f>
        <v/>
      </c>
      <c r="C456">
        <f t="array" ref="C456">IFERROR(INDEX('TRIP MANAGER'!$O$18:$O$25,$A456),"")</f>
        <v/>
      </c>
      <c r="D456">
        <f t="array" ref="D456">IFERROR(INDEX('TRIP MANAGER'!$P$18:$P$25,$A456),"")</f>
        <v/>
      </c>
      <c r="E456">
        <f t="array" ref="E456">IFERROR(INDEX('TRIP MANAGER'!$Q$18:$Q$25,$A456),"")</f>
        <v/>
      </c>
      <c r="F456">
        <f t="array" ref="F456">IFERROR(INDEX('TRIP MANAGER'!$R$18:$R$25,$A456),"")</f>
        <v/>
      </c>
      <c r="G456">
        <f t="array" ref="G456">IFERROR(INDEX('TRIP MANAGER'!$S$18:$S$25,$A456),"")</f>
        <v/>
      </c>
      <c r="H456">
        <f>$B456/150</f>
        <v/>
      </c>
      <c r="I456">
        <f>IF(OR($G456="",$G456=0),"",SIN((1-$H456)*$G456)/SIN($G456))</f>
        <v/>
      </c>
      <c r="J456">
        <f>IF($I456="","",SIN($H456*$G456)/SIN($G456))</f>
        <v/>
      </c>
      <c r="K456">
        <f>IF($I456="","",$I456*COS(RADIANS($C456))*COS(RADIANS($D456))+$J456*COS(RADIANS($E456))*COS(RADIANS($F456)))</f>
        <v/>
      </c>
      <c r="L456">
        <f>IF($I456="","",$I456*COS(RADIANS($C456))*SIN(RADIANS($D456))+$J456*COS(RADIANS($E456))*SIN(RADIANS($F456)))</f>
        <v/>
      </c>
      <c r="M456">
        <f>IF($I456="","",$I456*SIN(RADIANS($C456))+$J456*SIN(RADIANS($E456)))</f>
        <v/>
      </c>
      <c r="N456">
        <f>IF($M456="","",DEGREES(ATAN2(SQRT($K456^2+$L456^2),$M456)))</f>
        <v/>
      </c>
      <c r="O456">
        <f>IF($M456="","",DEGREES(ATAN2($K456,$L456)))</f>
        <v/>
      </c>
      <c r="P456">
        <f t="array" ref="P456">IF($N456="","",IFERROR(IF(INDEX(geo_grid!$B$2:$JU$231,INT(($N456+40)/0.5)+1,INT(($O456+30)/0.5)+1)="","",INDEX(geo_grid!$B$2:$JU$231,INT(($N456+40)/0.5)+1,INT(($O456+30)/0.5)+1)),"OUTSIDE GRID"))</f>
        <v/>
      </c>
      <c r="Q456">
        <f>IF($P456="","",$A456*1000+$B456)</f>
        <v/>
      </c>
    </row>
    <row r="457">
      <c r="A457">
        <f>INT((ROW()-2)/151)+1</f>
        <v/>
      </c>
      <c r="B457">
        <f>MOD(ROW()-2,151)</f>
        <v/>
      </c>
      <c r="C457">
        <f t="array" ref="C457">IFERROR(INDEX('TRIP MANAGER'!$O$18:$O$25,$A457),"")</f>
        <v/>
      </c>
      <c r="D457">
        <f t="array" ref="D457">IFERROR(INDEX('TRIP MANAGER'!$P$18:$P$25,$A457),"")</f>
        <v/>
      </c>
      <c r="E457">
        <f t="array" ref="E457">IFERROR(INDEX('TRIP MANAGER'!$Q$18:$Q$25,$A457),"")</f>
        <v/>
      </c>
      <c r="F457">
        <f t="array" ref="F457">IFERROR(INDEX('TRIP MANAGER'!$R$18:$R$25,$A457),"")</f>
        <v/>
      </c>
      <c r="G457">
        <f t="array" ref="G457">IFERROR(INDEX('TRIP MANAGER'!$S$18:$S$25,$A457),"")</f>
        <v/>
      </c>
      <c r="H457">
        <f>$B457/150</f>
        <v/>
      </c>
      <c r="I457">
        <f>IF(OR($G457="",$G457=0),"",SIN((1-$H457)*$G457)/SIN($G457))</f>
        <v/>
      </c>
      <c r="J457">
        <f>IF($I457="","",SIN($H457*$G457)/SIN($G457))</f>
        <v/>
      </c>
      <c r="K457">
        <f>IF($I457="","",$I457*COS(RADIANS($C457))*COS(RADIANS($D457))+$J457*COS(RADIANS($E457))*COS(RADIANS($F457)))</f>
        <v/>
      </c>
      <c r="L457">
        <f>IF($I457="","",$I457*COS(RADIANS($C457))*SIN(RADIANS($D457))+$J457*COS(RADIANS($E457))*SIN(RADIANS($F457)))</f>
        <v/>
      </c>
      <c r="M457">
        <f>IF($I457="","",$I457*SIN(RADIANS($C457))+$J457*SIN(RADIANS($E457)))</f>
        <v/>
      </c>
      <c r="N457">
        <f>IF($M457="","",DEGREES(ATAN2(SQRT($K457^2+$L457^2),$M457)))</f>
        <v/>
      </c>
      <c r="O457">
        <f>IF($M457="","",DEGREES(ATAN2($K457,$L457)))</f>
        <v/>
      </c>
      <c r="P457">
        <f t="array" ref="P457">IF($N457="","",IFERROR(IF(INDEX(geo_grid!$B$2:$JU$231,INT(($N457+40)/0.5)+1,INT(($O457+30)/0.5)+1)="","",INDEX(geo_grid!$B$2:$JU$231,INT(($N457+40)/0.5)+1,INT(($O457+30)/0.5)+1)),"OUTSIDE GRID"))</f>
        <v/>
      </c>
      <c r="Q457">
        <f>IF($P457="","",$A457*1000+$B457)</f>
        <v/>
      </c>
    </row>
    <row r="458">
      <c r="A458">
        <f>INT((ROW()-2)/151)+1</f>
        <v/>
      </c>
      <c r="B458">
        <f>MOD(ROW()-2,151)</f>
        <v/>
      </c>
      <c r="C458">
        <f t="array" ref="C458">IFERROR(INDEX('TRIP MANAGER'!$O$18:$O$25,$A458),"")</f>
        <v/>
      </c>
      <c r="D458">
        <f t="array" ref="D458">IFERROR(INDEX('TRIP MANAGER'!$P$18:$P$25,$A458),"")</f>
        <v/>
      </c>
      <c r="E458">
        <f t="array" ref="E458">IFERROR(INDEX('TRIP MANAGER'!$Q$18:$Q$25,$A458),"")</f>
        <v/>
      </c>
      <c r="F458">
        <f t="array" ref="F458">IFERROR(INDEX('TRIP MANAGER'!$R$18:$R$25,$A458),"")</f>
        <v/>
      </c>
      <c r="G458">
        <f t="array" ref="G458">IFERROR(INDEX('TRIP MANAGER'!$S$18:$S$25,$A458),"")</f>
        <v/>
      </c>
      <c r="H458">
        <f>$B458/150</f>
        <v/>
      </c>
      <c r="I458">
        <f>IF(OR($G458="",$G458=0),"",SIN((1-$H458)*$G458)/SIN($G458))</f>
        <v/>
      </c>
      <c r="J458">
        <f>IF($I458="","",SIN($H458*$G458)/SIN($G458))</f>
        <v/>
      </c>
      <c r="K458">
        <f>IF($I458="","",$I458*COS(RADIANS($C458))*COS(RADIANS($D458))+$J458*COS(RADIANS($E458))*COS(RADIANS($F458)))</f>
        <v/>
      </c>
      <c r="L458">
        <f>IF($I458="","",$I458*COS(RADIANS($C458))*SIN(RADIANS($D458))+$J458*COS(RADIANS($E458))*SIN(RADIANS($F458)))</f>
        <v/>
      </c>
      <c r="M458">
        <f>IF($I458="","",$I458*SIN(RADIANS($C458))+$J458*SIN(RADIANS($E458)))</f>
        <v/>
      </c>
      <c r="N458">
        <f>IF($M458="","",DEGREES(ATAN2(SQRT($K458^2+$L458^2),$M458)))</f>
        <v/>
      </c>
      <c r="O458">
        <f>IF($M458="","",DEGREES(ATAN2($K458,$L458)))</f>
        <v/>
      </c>
      <c r="P458">
        <f t="array" ref="P458">IF($N458="","",IFERROR(IF(INDEX(geo_grid!$B$2:$JU$231,INT(($N458+40)/0.5)+1,INT(($O458+30)/0.5)+1)="","",INDEX(geo_grid!$B$2:$JU$231,INT(($N458+40)/0.5)+1,INT(($O458+30)/0.5)+1)),"OUTSIDE GRID"))</f>
        <v/>
      </c>
      <c r="Q458">
        <f>IF($P458="","",$A458*1000+$B458)</f>
        <v/>
      </c>
    </row>
    <row r="459">
      <c r="A459">
        <f>INT((ROW()-2)/151)+1</f>
        <v/>
      </c>
      <c r="B459">
        <f>MOD(ROW()-2,151)</f>
        <v/>
      </c>
      <c r="C459">
        <f t="array" ref="C459">IFERROR(INDEX('TRIP MANAGER'!$O$18:$O$25,$A459),"")</f>
        <v/>
      </c>
      <c r="D459">
        <f t="array" ref="D459">IFERROR(INDEX('TRIP MANAGER'!$P$18:$P$25,$A459),"")</f>
        <v/>
      </c>
      <c r="E459">
        <f t="array" ref="E459">IFERROR(INDEX('TRIP MANAGER'!$Q$18:$Q$25,$A459),"")</f>
        <v/>
      </c>
      <c r="F459">
        <f t="array" ref="F459">IFERROR(INDEX('TRIP MANAGER'!$R$18:$R$25,$A459),"")</f>
        <v/>
      </c>
      <c r="G459">
        <f t="array" ref="G459">IFERROR(INDEX('TRIP MANAGER'!$S$18:$S$25,$A459),"")</f>
        <v/>
      </c>
      <c r="H459">
        <f>$B459/150</f>
        <v/>
      </c>
      <c r="I459">
        <f>IF(OR($G459="",$G459=0),"",SIN((1-$H459)*$G459)/SIN($G459))</f>
        <v/>
      </c>
      <c r="J459">
        <f>IF($I459="","",SIN($H459*$G459)/SIN($G459))</f>
        <v/>
      </c>
      <c r="K459">
        <f>IF($I459="","",$I459*COS(RADIANS($C459))*COS(RADIANS($D459))+$J459*COS(RADIANS($E459))*COS(RADIANS($F459)))</f>
        <v/>
      </c>
      <c r="L459">
        <f>IF($I459="","",$I459*COS(RADIANS($C459))*SIN(RADIANS($D459))+$J459*COS(RADIANS($E459))*SIN(RADIANS($F459)))</f>
        <v/>
      </c>
      <c r="M459">
        <f>IF($I459="","",$I459*SIN(RADIANS($C459))+$J459*SIN(RADIANS($E459)))</f>
        <v/>
      </c>
      <c r="N459">
        <f>IF($M459="","",DEGREES(ATAN2(SQRT($K459^2+$L459^2),$M459)))</f>
        <v/>
      </c>
      <c r="O459">
        <f>IF($M459="","",DEGREES(ATAN2($K459,$L459)))</f>
        <v/>
      </c>
      <c r="P459">
        <f t="array" ref="P459">IF($N459="","",IFERROR(IF(INDEX(geo_grid!$B$2:$JU$231,INT(($N459+40)/0.5)+1,INT(($O459+30)/0.5)+1)="","",INDEX(geo_grid!$B$2:$JU$231,INT(($N459+40)/0.5)+1,INT(($O459+30)/0.5)+1)),"OUTSIDE GRID"))</f>
        <v/>
      </c>
      <c r="Q459">
        <f>IF($P459="","",$A459*1000+$B459)</f>
        <v/>
      </c>
    </row>
    <row r="460">
      <c r="A460">
        <f>INT((ROW()-2)/151)+1</f>
        <v/>
      </c>
      <c r="B460">
        <f>MOD(ROW()-2,151)</f>
        <v/>
      </c>
      <c r="C460">
        <f t="array" ref="C460">IFERROR(INDEX('TRIP MANAGER'!$O$18:$O$25,$A460),"")</f>
        <v/>
      </c>
      <c r="D460">
        <f t="array" ref="D460">IFERROR(INDEX('TRIP MANAGER'!$P$18:$P$25,$A460),"")</f>
        <v/>
      </c>
      <c r="E460">
        <f t="array" ref="E460">IFERROR(INDEX('TRIP MANAGER'!$Q$18:$Q$25,$A460),"")</f>
        <v/>
      </c>
      <c r="F460">
        <f t="array" ref="F460">IFERROR(INDEX('TRIP MANAGER'!$R$18:$R$25,$A460),"")</f>
        <v/>
      </c>
      <c r="G460">
        <f t="array" ref="G460">IFERROR(INDEX('TRIP MANAGER'!$S$18:$S$25,$A460),"")</f>
        <v/>
      </c>
      <c r="H460">
        <f>$B460/150</f>
        <v/>
      </c>
      <c r="I460">
        <f>IF(OR($G460="",$G460=0),"",SIN((1-$H460)*$G460)/SIN($G460))</f>
        <v/>
      </c>
      <c r="J460">
        <f>IF($I460="","",SIN($H460*$G460)/SIN($G460))</f>
        <v/>
      </c>
      <c r="K460">
        <f>IF($I460="","",$I460*COS(RADIANS($C460))*COS(RADIANS($D460))+$J460*COS(RADIANS($E460))*COS(RADIANS($F460)))</f>
        <v/>
      </c>
      <c r="L460">
        <f>IF($I460="","",$I460*COS(RADIANS($C460))*SIN(RADIANS($D460))+$J460*COS(RADIANS($E460))*SIN(RADIANS($F460)))</f>
        <v/>
      </c>
      <c r="M460">
        <f>IF($I460="","",$I460*SIN(RADIANS($C460))+$J460*SIN(RADIANS($E460)))</f>
        <v/>
      </c>
      <c r="N460">
        <f>IF($M460="","",DEGREES(ATAN2(SQRT($K460^2+$L460^2),$M460)))</f>
        <v/>
      </c>
      <c r="O460">
        <f>IF($M460="","",DEGREES(ATAN2($K460,$L460)))</f>
        <v/>
      </c>
      <c r="P460">
        <f t="array" ref="P460">IF($N460="","",IFERROR(IF(INDEX(geo_grid!$B$2:$JU$231,INT(($N460+40)/0.5)+1,INT(($O460+30)/0.5)+1)="","",INDEX(geo_grid!$B$2:$JU$231,INT(($N460+40)/0.5)+1,INT(($O460+30)/0.5)+1)),"OUTSIDE GRID"))</f>
        <v/>
      </c>
      <c r="Q460">
        <f>IF($P460="","",$A460*1000+$B460)</f>
        <v/>
      </c>
    </row>
    <row r="461">
      <c r="A461">
        <f>INT((ROW()-2)/151)+1</f>
        <v/>
      </c>
      <c r="B461">
        <f>MOD(ROW()-2,151)</f>
        <v/>
      </c>
      <c r="C461">
        <f t="array" ref="C461">IFERROR(INDEX('TRIP MANAGER'!$O$18:$O$25,$A461),"")</f>
        <v/>
      </c>
      <c r="D461">
        <f t="array" ref="D461">IFERROR(INDEX('TRIP MANAGER'!$P$18:$P$25,$A461),"")</f>
        <v/>
      </c>
      <c r="E461">
        <f t="array" ref="E461">IFERROR(INDEX('TRIP MANAGER'!$Q$18:$Q$25,$A461),"")</f>
        <v/>
      </c>
      <c r="F461">
        <f t="array" ref="F461">IFERROR(INDEX('TRIP MANAGER'!$R$18:$R$25,$A461),"")</f>
        <v/>
      </c>
      <c r="G461">
        <f t="array" ref="G461">IFERROR(INDEX('TRIP MANAGER'!$S$18:$S$25,$A461),"")</f>
        <v/>
      </c>
      <c r="H461">
        <f>$B461/150</f>
        <v/>
      </c>
      <c r="I461">
        <f>IF(OR($G461="",$G461=0),"",SIN((1-$H461)*$G461)/SIN($G461))</f>
        <v/>
      </c>
      <c r="J461">
        <f>IF($I461="","",SIN($H461*$G461)/SIN($G461))</f>
        <v/>
      </c>
      <c r="K461">
        <f>IF($I461="","",$I461*COS(RADIANS($C461))*COS(RADIANS($D461))+$J461*COS(RADIANS($E461))*COS(RADIANS($F461)))</f>
        <v/>
      </c>
      <c r="L461">
        <f>IF($I461="","",$I461*COS(RADIANS($C461))*SIN(RADIANS($D461))+$J461*COS(RADIANS($E461))*SIN(RADIANS($F461)))</f>
        <v/>
      </c>
      <c r="M461">
        <f>IF($I461="","",$I461*SIN(RADIANS($C461))+$J461*SIN(RADIANS($E461)))</f>
        <v/>
      </c>
      <c r="N461">
        <f>IF($M461="","",DEGREES(ATAN2(SQRT($K461^2+$L461^2),$M461)))</f>
        <v/>
      </c>
      <c r="O461">
        <f>IF($M461="","",DEGREES(ATAN2($K461,$L461)))</f>
        <v/>
      </c>
      <c r="P461">
        <f t="array" ref="P461">IF($N461="","",IFERROR(IF(INDEX(geo_grid!$B$2:$JU$231,INT(($N461+40)/0.5)+1,INT(($O461+30)/0.5)+1)="","",INDEX(geo_grid!$B$2:$JU$231,INT(($N461+40)/0.5)+1,INT(($O461+30)/0.5)+1)),"OUTSIDE GRID"))</f>
        <v/>
      </c>
      <c r="Q461">
        <f>IF($P461="","",$A461*1000+$B461)</f>
        <v/>
      </c>
    </row>
    <row r="462">
      <c r="A462">
        <f>INT((ROW()-2)/151)+1</f>
        <v/>
      </c>
      <c r="B462">
        <f>MOD(ROW()-2,151)</f>
        <v/>
      </c>
      <c r="C462">
        <f t="array" ref="C462">IFERROR(INDEX('TRIP MANAGER'!$O$18:$O$25,$A462),"")</f>
        <v/>
      </c>
      <c r="D462">
        <f t="array" ref="D462">IFERROR(INDEX('TRIP MANAGER'!$P$18:$P$25,$A462),"")</f>
        <v/>
      </c>
      <c r="E462">
        <f t="array" ref="E462">IFERROR(INDEX('TRIP MANAGER'!$Q$18:$Q$25,$A462),"")</f>
        <v/>
      </c>
      <c r="F462">
        <f t="array" ref="F462">IFERROR(INDEX('TRIP MANAGER'!$R$18:$R$25,$A462),"")</f>
        <v/>
      </c>
      <c r="G462">
        <f t="array" ref="G462">IFERROR(INDEX('TRIP MANAGER'!$S$18:$S$25,$A462),"")</f>
        <v/>
      </c>
      <c r="H462">
        <f>$B462/150</f>
        <v/>
      </c>
      <c r="I462">
        <f>IF(OR($G462="",$G462=0),"",SIN((1-$H462)*$G462)/SIN($G462))</f>
        <v/>
      </c>
      <c r="J462">
        <f>IF($I462="","",SIN($H462*$G462)/SIN($G462))</f>
        <v/>
      </c>
      <c r="K462">
        <f>IF($I462="","",$I462*COS(RADIANS($C462))*COS(RADIANS($D462))+$J462*COS(RADIANS($E462))*COS(RADIANS($F462)))</f>
        <v/>
      </c>
      <c r="L462">
        <f>IF($I462="","",$I462*COS(RADIANS($C462))*SIN(RADIANS($D462))+$J462*COS(RADIANS($E462))*SIN(RADIANS($F462)))</f>
        <v/>
      </c>
      <c r="M462">
        <f>IF($I462="","",$I462*SIN(RADIANS($C462))+$J462*SIN(RADIANS($E462)))</f>
        <v/>
      </c>
      <c r="N462">
        <f>IF($M462="","",DEGREES(ATAN2(SQRT($K462^2+$L462^2),$M462)))</f>
        <v/>
      </c>
      <c r="O462">
        <f>IF($M462="","",DEGREES(ATAN2($K462,$L462)))</f>
        <v/>
      </c>
      <c r="P462">
        <f t="array" ref="P462">IF($N462="","",IFERROR(IF(INDEX(geo_grid!$B$2:$JU$231,INT(($N462+40)/0.5)+1,INT(($O462+30)/0.5)+1)="","",INDEX(geo_grid!$B$2:$JU$231,INT(($N462+40)/0.5)+1,INT(($O462+30)/0.5)+1)),"OUTSIDE GRID"))</f>
        <v/>
      </c>
      <c r="Q462">
        <f>IF($P462="","",$A462*1000+$B462)</f>
        <v/>
      </c>
    </row>
    <row r="463">
      <c r="A463">
        <f>INT((ROW()-2)/151)+1</f>
        <v/>
      </c>
      <c r="B463">
        <f>MOD(ROW()-2,151)</f>
        <v/>
      </c>
      <c r="C463">
        <f t="array" ref="C463">IFERROR(INDEX('TRIP MANAGER'!$O$18:$O$25,$A463),"")</f>
        <v/>
      </c>
      <c r="D463">
        <f t="array" ref="D463">IFERROR(INDEX('TRIP MANAGER'!$P$18:$P$25,$A463),"")</f>
        <v/>
      </c>
      <c r="E463">
        <f t="array" ref="E463">IFERROR(INDEX('TRIP MANAGER'!$Q$18:$Q$25,$A463),"")</f>
        <v/>
      </c>
      <c r="F463">
        <f t="array" ref="F463">IFERROR(INDEX('TRIP MANAGER'!$R$18:$R$25,$A463),"")</f>
        <v/>
      </c>
      <c r="G463">
        <f t="array" ref="G463">IFERROR(INDEX('TRIP MANAGER'!$S$18:$S$25,$A463),"")</f>
        <v/>
      </c>
      <c r="H463">
        <f>$B463/150</f>
        <v/>
      </c>
      <c r="I463">
        <f>IF(OR($G463="",$G463=0),"",SIN((1-$H463)*$G463)/SIN($G463))</f>
        <v/>
      </c>
      <c r="J463">
        <f>IF($I463="","",SIN($H463*$G463)/SIN($G463))</f>
        <v/>
      </c>
      <c r="K463">
        <f>IF($I463="","",$I463*COS(RADIANS($C463))*COS(RADIANS($D463))+$J463*COS(RADIANS($E463))*COS(RADIANS($F463)))</f>
        <v/>
      </c>
      <c r="L463">
        <f>IF($I463="","",$I463*COS(RADIANS($C463))*SIN(RADIANS($D463))+$J463*COS(RADIANS($E463))*SIN(RADIANS($F463)))</f>
        <v/>
      </c>
      <c r="M463">
        <f>IF($I463="","",$I463*SIN(RADIANS($C463))+$J463*SIN(RADIANS($E463)))</f>
        <v/>
      </c>
      <c r="N463">
        <f>IF($M463="","",DEGREES(ATAN2(SQRT($K463^2+$L463^2),$M463)))</f>
        <v/>
      </c>
      <c r="O463">
        <f>IF($M463="","",DEGREES(ATAN2($K463,$L463)))</f>
        <v/>
      </c>
      <c r="P463">
        <f t="array" ref="P463">IF($N463="","",IFERROR(IF(INDEX(geo_grid!$B$2:$JU$231,INT(($N463+40)/0.5)+1,INT(($O463+30)/0.5)+1)="","",INDEX(geo_grid!$B$2:$JU$231,INT(($N463+40)/0.5)+1,INT(($O463+30)/0.5)+1)),"OUTSIDE GRID"))</f>
        <v/>
      </c>
      <c r="Q463">
        <f>IF($P463="","",$A463*1000+$B463)</f>
        <v/>
      </c>
    </row>
    <row r="464">
      <c r="A464">
        <f>INT((ROW()-2)/151)+1</f>
        <v/>
      </c>
      <c r="B464">
        <f>MOD(ROW()-2,151)</f>
        <v/>
      </c>
      <c r="C464">
        <f t="array" ref="C464">IFERROR(INDEX('TRIP MANAGER'!$O$18:$O$25,$A464),"")</f>
        <v/>
      </c>
      <c r="D464">
        <f t="array" ref="D464">IFERROR(INDEX('TRIP MANAGER'!$P$18:$P$25,$A464),"")</f>
        <v/>
      </c>
      <c r="E464">
        <f t="array" ref="E464">IFERROR(INDEX('TRIP MANAGER'!$Q$18:$Q$25,$A464),"")</f>
        <v/>
      </c>
      <c r="F464">
        <f t="array" ref="F464">IFERROR(INDEX('TRIP MANAGER'!$R$18:$R$25,$A464),"")</f>
        <v/>
      </c>
      <c r="G464">
        <f t="array" ref="G464">IFERROR(INDEX('TRIP MANAGER'!$S$18:$S$25,$A464),"")</f>
        <v/>
      </c>
      <c r="H464">
        <f>$B464/150</f>
        <v/>
      </c>
      <c r="I464">
        <f>IF(OR($G464="",$G464=0),"",SIN((1-$H464)*$G464)/SIN($G464))</f>
        <v/>
      </c>
      <c r="J464">
        <f>IF($I464="","",SIN($H464*$G464)/SIN($G464))</f>
        <v/>
      </c>
      <c r="K464">
        <f>IF($I464="","",$I464*COS(RADIANS($C464))*COS(RADIANS($D464))+$J464*COS(RADIANS($E464))*COS(RADIANS($F464)))</f>
        <v/>
      </c>
      <c r="L464">
        <f>IF($I464="","",$I464*COS(RADIANS($C464))*SIN(RADIANS($D464))+$J464*COS(RADIANS($E464))*SIN(RADIANS($F464)))</f>
        <v/>
      </c>
      <c r="M464">
        <f>IF($I464="","",$I464*SIN(RADIANS($C464))+$J464*SIN(RADIANS($E464)))</f>
        <v/>
      </c>
      <c r="N464">
        <f>IF($M464="","",DEGREES(ATAN2(SQRT($K464^2+$L464^2),$M464)))</f>
        <v/>
      </c>
      <c r="O464">
        <f>IF($M464="","",DEGREES(ATAN2($K464,$L464)))</f>
        <v/>
      </c>
      <c r="P464">
        <f t="array" ref="P464">IF($N464="","",IFERROR(IF(INDEX(geo_grid!$B$2:$JU$231,INT(($N464+40)/0.5)+1,INT(($O464+30)/0.5)+1)="","",INDEX(geo_grid!$B$2:$JU$231,INT(($N464+40)/0.5)+1,INT(($O464+30)/0.5)+1)),"OUTSIDE GRID"))</f>
        <v/>
      </c>
      <c r="Q464">
        <f>IF($P464="","",$A464*1000+$B464)</f>
        <v/>
      </c>
    </row>
    <row r="465">
      <c r="A465">
        <f>INT((ROW()-2)/151)+1</f>
        <v/>
      </c>
      <c r="B465">
        <f>MOD(ROW()-2,151)</f>
        <v/>
      </c>
      <c r="C465">
        <f t="array" ref="C465">IFERROR(INDEX('TRIP MANAGER'!$O$18:$O$25,$A465),"")</f>
        <v/>
      </c>
      <c r="D465">
        <f t="array" ref="D465">IFERROR(INDEX('TRIP MANAGER'!$P$18:$P$25,$A465),"")</f>
        <v/>
      </c>
      <c r="E465">
        <f t="array" ref="E465">IFERROR(INDEX('TRIP MANAGER'!$Q$18:$Q$25,$A465),"")</f>
        <v/>
      </c>
      <c r="F465">
        <f t="array" ref="F465">IFERROR(INDEX('TRIP MANAGER'!$R$18:$R$25,$A465),"")</f>
        <v/>
      </c>
      <c r="G465">
        <f t="array" ref="G465">IFERROR(INDEX('TRIP MANAGER'!$S$18:$S$25,$A465),"")</f>
        <v/>
      </c>
      <c r="H465">
        <f>$B465/150</f>
        <v/>
      </c>
      <c r="I465">
        <f>IF(OR($G465="",$G465=0),"",SIN((1-$H465)*$G465)/SIN($G465))</f>
        <v/>
      </c>
      <c r="J465">
        <f>IF($I465="","",SIN($H465*$G465)/SIN($G465))</f>
        <v/>
      </c>
      <c r="K465">
        <f>IF($I465="","",$I465*COS(RADIANS($C465))*COS(RADIANS($D465))+$J465*COS(RADIANS($E465))*COS(RADIANS($F465)))</f>
        <v/>
      </c>
      <c r="L465">
        <f>IF($I465="","",$I465*COS(RADIANS($C465))*SIN(RADIANS($D465))+$J465*COS(RADIANS($E465))*SIN(RADIANS($F465)))</f>
        <v/>
      </c>
      <c r="M465">
        <f>IF($I465="","",$I465*SIN(RADIANS($C465))+$J465*SIN(RADIANS($E465)))</f>
        <v/>
      </c>
      <c r="N465">
        <f>IF($M465="","",DEGREES(ATAN2(SQRT($K465^2+$L465^2),$M465)))</f>
        <v/>
      </c>
      <c r="O465">
        <f>IF($M465="","",DEGREES(ATAN2($K465,$L465)))</f>
        <v/>
      </c>
      <c r="P465">
        <f t="array" ref="P465">IF($N465="","",IFERROR(IF(INDEX(geo_grid!$B$2:$JU$231,INT(($N465+40)/0.5)+1,INT(($O465+30)/0.5)+1)="","",INDEX(geo_grid!$B$2:$JU$231,INT(($N465+40)/0.5)+1,INT(($O465+30)/0.5)+1)),"OUTSIDE GRID"))</f>
        <v/>
      </c>
      <c r="Q465">
        <f>IF($P465="","",$A465*1000+$B465)</f>
        <v/>
      </c>
    </row>
    <row r="466">
      <c r="A466">
        <f>INT((ROW()-2)/151)+1</f>
        <v/>
      </c>
      <c r="B466">
        <f>MOD(ROW()-2,151)</f>
        <v/>
      </c>
      <c r="C466">
        <f t="array" ref="C466">IFERROR(INDEX('TRIP MANAGER'!$O$18:$O$25,$A466),"")</f>
        <v/>
      </c>
      <c r="D466">
        <f t="array" ref="D466">IFERROR(INDEX('TRIP MANAGER'!$P$18:$P$25,$A466),"")</f>
        <v/>
      </c>
      <c r="E466">
        <f t="array" ref="E466">IFERROR(INDEX('TRIP MANAGER'!$Q$18:$Q$25,$A466),"")</f>
        <v/>
      </c>
      <c r="F466">
        <f t="array" ref="F466">IFERROR(INDEX('TRIP MANAGER'!$R$18:$R$25,$A466),"")</f>
        <v/>
      </c>
      <c r="G466">
        <f t="array" ref="G466">IFERROR(INDEX('TRIP MANAGER'!$S$18:$S$25,$A466),"")</f>
        <v/>
      </c>
      <c r="H466">
        <f>$B466/150</f>
        <v/>
      </c>
      <c r="I466">
        <f>IF(OR($G466="",$G466=0),"",SIN((1-$H466)*$G466)/SIN($G466))</f>
        <v/>
      </c>
      <c r="J466">
        <f>IF($I466="","",SIN($H466*$G466)/SIN($G466))</f>
        <v/>
      </c>
      <c r="K466">
        <f>IF($I466="","",$I466*COS(RADIANS($C466))*COS(RADIANS($D466))+$J466*COS(RADIANS($E466))*COS(RADIANS($F466)))</f>
        <v/>
      </c>
      <c r="L466">
        <f>IF($I466="","",$I466*COS(RADIANS($C466))*SIN(RADIANS($D466))+$J466*COS(RADIANS($E466))*SIN(RADIANS($F466)))</f>
        <v/>
      </c>
      <c r="M466">
        <f>IF($I466="","",$I466*SIN(RADIANS($C466))+$J466*SIN(RADIANS($E466)))</f>
        <v/>
      </c>
      <c r="N466">
        <f>IF($M466="","",DEGREES(ATAN2(SQRT($K466^2+$L466^2),$M466)))</f>
        <v/>
      </c>
      <c r="O466">
        <f>IF($M466="","",DEGREES(ATAN2($K466,$L466)))</f>
        <v/>
      </c>
      <c r="P466">
        <f t="array" ref="P466">IF($N466="","",IFERROR(IF(INDEX(geo_grid!$B$2:$JU$231,INT(($N466+40)/0.5)+1,INT(($O466+30)/0.5)+1)="","",INDEX(geo_grid!$B$2:$JU$231,INT(($N466+40)/0.5)+1,INT(($O466+30)/0.5)+1)),"OUTSIDE GRID"))</f>
        <v/>
      </c>
      <c r="Q466">
        <f>IF($P466="","",$A466*1000+$B466)</f>
        <v/>
      </c>
    </row>
    <row r="467">
      <c r="A467">
        <f>INT((ROW()-2)/151)+1</f>
        <v/>
      </c>
      <c r="B467">
        <f>MOD(ROW()-2,151)</f>
        <v/>
      </c>
      <c r="C467">
        <f t="array" ref="C467">IFERROR(INDEX('TRIP MANAGER'!$O$18:$O$25,$A467),"")</f>
        <v/>
      </c>
      <c r="D467">
        <f t="array" ref="D467">IFERROR(INDEX('TRIP MANAGER'!$P$18:$P$25,$A467),"")</f>
        <v/>
      </c>
      <c r="E467">
        <f t="array" ref="E467">IFERROR(INDEX('TRIP MANAGER'!$Q$18:$Q$25,$A467),"")</f>
        <v/>
      </c>
      <c r="F467">
        <f t="array" ref="F467">IFERROR(INDEX('TRIP MANAGER'!$R$18:$R$25,$A467),"")</f>
        <v/>
      </c>
      <c r="G467">
        <f t="array" ref="G467">IFERROR(INDEX('TRIP MANAGER'!$S$18:$S$25,$A467),"")</f>
        <v/>
      </c>
      <c r="H467">
        <f>$B467/150</f>
        <v/>
      </c>
      <c r="I467">
        <f>IF(OR($G467="",$G467=0),"",SIN((1-$H467)*$G467)/SIN($G467))</f>
        <v/>
      </c>
      <c r="J467">
        <f>IF($I467="","",SIN($H467*$G467)/SIN($G467))</f>
        <v/>
      </c>
      <c r="K467">
        <f>IF($I467="","",$I467*COS(RADIANS($C467))*COS(RADIANS($D467))+$J467*COS(RADIANS($E467))*COS(RADIANS($F467)))</f>
        <v/>
      </c>
      <c r="L467">
        <f>IF($I467="","",$I467*COS(RADIANS($C467))*SIN(RADIANS($D467))+$J467*COS(RADIANS($E467))*SIN(RADIANS($F467)))</f>
        <v/>
      </c>
      <c r="M467">
        <f>IF($I467="","",$I467*SIN(RADIANS($C467))+$J467*SIN(RADIANS($E467)))</f>
        <v/>
      </c>
      <c r="N467">
        <f>IF($M467="","",DEGREES(ATAN2(SQRT($K467^2+$L467^2),$M467)))</f>
        <v/>
      </c>
      <c r="O467">
        <f>IF($M467="","",DEGREES(ATAN2($K467,$L467)))</f>
        <v/>
      </c>
      <c r="P467">
        <f t="array" ref="P467">IF($N467="","",IFERROR(IF(INDEX(geo_grid!$B$2:$JU$231,INT(($N467+40)/0.5)+1,INT(($O467+30)/0.5)+1)="","",INDEX(geo_grid!$B$2:$JU$231,INT(($N467+40)/0.5)+1,INT(($O467+30)/0.5)+1)),"OUTSIDE GRID"))</f>
        <v/>
      </c>
      <c r="Q467">
        <f>IF($P467="","",$A467*1000+$B467)</f>
        <v/>
      </c>
    </row>
    <row r="468">
      <c r="A468">
        <f>INT((ROW()-2)/151)+1</f>
        <v/>
      </c>
      <c r="B468">
        <f>MOD(ROW()-2,151)</f>
        <v/>
      </c>
      <c r="C468">
        <f t="array" ref="C468">IFERROR(INDEX('TRIP MANAGER'!$O$18:$O$25,$A468),"")</f>
        <v/>
      </c>
      <c r="D468">
        <f t="array" ref="D468">IFERROR(INDEX('TRIP MANAGER'!$P$18:$P$25,$A468),"")</f>
        <v/>
      </c>
      <c r="E468">
        <f t="array" ref="E468">IFERROR(INDEX('TRIP MANAGER'!$Q$18:$Q$25,$A468),"")</f>
        <v/>
      </c>
      <c r="F468">
        <f t="array" ref="F468">IFERROR(INDEX('TRIP MANAGER'!$R$18:$R$25,$A468),"")</f>
        <v/>
      </c>
      <c r="G468">
        <f t="array" ref="G468">IFERROR(INDEX('TRIP MANAGER'!$S$18:$S$25,$A468),"")</f>
        <v/>
      </c>
      <c r="H468">
        <f>$B468/150</f>
        <v/>
      </c>
      <c r="I468">
        <f>IF(OR($G468="",$G468=0),"",SIN((1-$H468)*$G468)/SIN($G468))</f>
        <v/>
      </c>
      <c r="J468">
        <f>IF($I468="","",SIN($H468*$G468)/SIN($G468))</f>
        <v/>
      </c>
      <c r="K468">
        <f>IF($I468="","",$I468*COS(RADIANS($C468))*COS(RADIANS($D468))+$J468*COS(RADIANS($E468))*COS(RADIANS($F468)))</f>
        <v/>
      </c>
      <c r="L468">
        <f>IF($I468="","",$I468*COS(RADIANS($C468))*SIN(RADIANS($D468))+$J468*COS(RADIANS($E468))*SIN(RADIANS($F468)))</f>
        <v/>
      </c>
      <c r="M468">
        <f>IF($I468="","",$I468*SIN(RADIANS($C468))+$J468*SIN(RADIANS($E468)))</f>
        <v/>
      </c>
      <c r="N468">
        <f>IF($M468="","",DEGREES(ATAN2(SQRT($K468^2+$L468^2),$M468)))</f>
        <v/>
      </c>
      <c r="O468">
        <f>IF($M468="","",DEGREES(ATAN2($K468,$L468)))</f>
        <v/>
      </c>
      <c r="P468">
        <f t="array" ref="P468">IF($N468="","",IFERROR(IF(INDEX(geo_grid!$B$2:$JU$231,INT(($N468+40)/0.5)+1,INT(($O468+30)/0.5)+1)="","",INDEX(geo_grid!$B$2:$JU$231,INT(($N468+40)/0.5)+1,INT(($O468+30)/0.5)+1)),"OUTSIDE GRID"))</f>
        <v/>
      </c>
      <c r="Q468">
        <f>IF($P468="","",$A468*1000+$B468)</f>
        <v/>
      </c>
    </row>
    <row r="469">
      <c r="A469">
        <f>INT((ROW()-2)/151)+1</f>
        <v/>
      </c>
      <c r="B469">
        <f>MOD(ROW()-2,151)</f>
        <v/>
      </c>
      <c r="C469">
        <f t="array" ref="C469">IFERROR(INDEX('TRIP MANAGER'!$O$18:$O$25,$A469),"")</f>
        <v/>
      </c>
      <c r="D469">
        <f t="array" ref="D469">IFERROR(INDEX('TRIP MANAGER'!$P$18:$P$25,$A469),"")</f>
        <v/>
      </c>
      <c r="E469">
        <f t="array" ref="E469">IFERROR(INDEX('TRIP MANAGER'!$Q$18:$Q$25,$A469),"")</f>
        <v/>
      </c>
      <c r="F469">
        <f t="array" ref="F469">IFERROR(INDEX('TRIP MANAGER'!$R$18:$R$25,$A469),"")</f>
        <v/>
      </c>
      <c r="G469">
        <f t="array" ref="G469">IFERROR(INDEX('TRIP MANAGER'!$S$18:$S$25,$A469),"")</f>
        <v/>
      </c>
      <c r="H469">
        <f>$B469/150</f>
        <v/>
      </c>
      <c r="I469">
        <f>IF(OR($G469="",$G469=0),"",SIN((1-$H469)*$G469)/SIN($G469))</f>
        <v/>
      </c>
      <c r="J469">
        <f>IF($I469="","",SIN($H469*$G469)/SIN($G469))</f>
        <v/>
      </c>
      <c r="K469">
        <f>IF($I469="","",$I469*COS(RADIANS($C469))*COS(RADIANS($D469))+$J469*COS(RADIANS($E469))*COS(RADIANS($F469)))</f>
        <v/>
      </c>
      <c r="L469">
        <f>IF($I469="","",$I469*COS(RADIANS($C469))*SIN(RADIANS($D469))+$J469*COS(RADIANS($E469))*SIN(RADIANS($F469)))</f>
        <v/>
      </c>
      <c r="M469">
        <f>IF($I469="","",$I469*SIN(RADIANS($C469))+$J469*SIN(RADIANS($E469)))</f>
        <v/>
      </c>
      <c r="N469">
        <f>IF($M469="","",DEGREES(ATAN2(SQRT($K469^2+$L469^2),$M469)))</f>
        <v/>
      </c>
      <c r="O469">
        <f>IF($M469="","",DEGREES(ATAN2($K469,$L469)))</f>
        <v/>
      </c>
      <c r="P469">
        <f t="array" ref="P469">IF($N469="","",IFERROR(IF(INDEX(geo_grid!$B$2:$JU$231,INT(($N469+40)/0.5)+1,INT(($O469+30)/0.5)+1)="","",INDEX(geo_grid!$B$2:$JU$231,INT(($N469+40)/0.5)+1,INT(($O469+30)/0.5)+1)),"OUTSIDE GRID"))</f>
        <v/>
      </c>
      <c r="Q469">
        <f>IF($P469="","",$A469*1000+$B469)</f>
        <v/>
      </c>
    </row>
    <row r="470">
      <c r="A470">
        <f>INT((ROW()-2)/151)+1</f>
        <v/>
      </c>
      <c r="B470">
        <f>MOD(ROW()-2,151)</f>
        <v/>
      </c>
      <c r="C470">
        <f t="array" ref="C470">IFERROR(INDEX('TRIP MANAGER'!$O$18:$O$25,$A470),"")</f>
        <v/>
      </c>
      <c r="D470">
        <f t="array" ref="D470">IFERROR(INDEX('TRIP MANAGER'!$P$18:$P$25,$A470),"")</f>
        <v/>
      </c>
      <c r="E470">
        <f t="array" ref="E470">IFERROR(INDEX('TRIP MANAGER'!$Q$18:$Q$25,$A470),"")</f>
        <v/>
      </c>
      <c r="F470">
        <f t="array" ref="F470">IFERROR(INDEX('TRIP MANAGER'!$R$18:$R$25,$A470),"")</f>
        <v/>
      </c>
      <c r="G470">
        <f t="array" ref="G470">IFERROR(INDEX('TRIP MANAGER'!$S$18:$S$25,$A470),"")</f>
        <v/>
      </c>
      <c r="H470">
        <f>$B470/150</f>
        <v/>
      </c>
      <c r="I470">
        <f>IF(OR($G470="",$G470=0),"",SIN((1-$H470)*$G470)/SIN($G470))</f>
        <v/>
      </c>
      <c r="J470">
        <f>IF($I470="","",SIN($H470*$G470)/SIN($G470))</f>
        <v/>
      </c>
      <c r="K470">
        <f>IF($I470="","",$I470*COS(RADIANS($C470))*COS(RADIANS($D470))+$J470*COS(RADIANS($E470))*COS(RADIANS($F470)))</f>
        <v/>
      </c>
      <c r="L470">
        <f>IF($I470="","",$I470*COS(RADIANS($C470))*SIN(RADIANS($D470))+$J470*COS(RADIANS($E470))*SIN(RADIANS($F470)))</f>
        <v/>
      </c>
      <c r="M470">
        <f>IF($I470="","",$I470*SIN(RADIANS($C470))+$J470*SIN(RADIANS($E470)))</f>
        <v/>
      </c>
      <c r="N470">
        <f>IF($M470="","",DEGREES(ATAN2(SQRT($K470^2+$L470^2),$M470)))</f>
        <v/>
      </c>
      <c r="O470">
        <f>IF($M470="","",DEGREES(ATAN2($K470,$L470)))</f>
        <v/>
      </c>
      <c r="P470">
        <f t="array" ref="P470">IF($N470="","",IFERROR(IF(INDEX(geo_grid!$B$2:$JU$231,INT(($N470+40)/0.5)+1,INT(($O470+30)/0.5)+1)="","",INDEX(geo_grid!$B$2:$JU$231,INT(($N470+40)/0.5)+1,INT(($O470+30)/0.5)+1)),"OUTSIDE GRID"))</f>
        <v/>
      </c>
      <c r="Q470">
        <f>IF($P470="","",$A470*1000+$B470)</f>
        <v/>
      </c>
    </row>
    <row r="471">
      <c r="A471">
        <f>INT((ROW()-2)/151)+1</f>
        <v/>
      </c>
      <c r="B471">
        <f>MOD(ROW()-2,151)</f>
        <v/>
      </c>
      <c r="C471">
        <f t="array" ref="C471">IFERROR(INDEX('TRIP MANAGER'!$O$18:$O$25,$A471),"")</f>
        <v/>
      </c>
      <c r="D471">
        <f t="array" ref="D471">IFERROR(INDEX('TRIP MANAGER'!$P$18:$P$25,$A471),"")</f>
        <v/>
      </c>
      <c r="E471">
        <f t="array" ref="E471">IFERROR(INDEX('TRIP MANAGER'!$Q$18:$Q$25,$A471),"")</f>
        <v/>
      </c>
      <c r="F471">
        <f t="array" ref="F471">IFERROR(INDEX('TRIP MANAGER'!$R$18:$R$25,$A471),"")</f>
        <v/>
      </c>
      <c r="G471">
        <f t="array" ref="G471">IFERROR(INDEX('TRIP MANAGER'!$S$18:$S$25,$A471),"")</f>
        <v/>
      </c>
      <c r="H471">
        <f>$B471/150</f>
        <v/>
      </c>
      <c r="I471">
        <f>IF(OR($G471="",$G471=0),"",SIN((1-$H471)*$G471)/SIN($G471))</f>
        <v/>
      </c>
      <c r="J471">
        <f>IF($I471="","",SIN($H471*$G471)/SIN($G471))</f>
        <v/>
      </c>
      <c r="K471">
        <f>IF($I471="","",$I471*COS(RADIANS($C471))*COS(RADIANS($D471))+$J471*COS(RADIANS($E471))*COS(RADIANS($F471)))</f>
        <v/>
      </c>
      <c r="L471">
        <f>IF($I471="","",$I471*COS(RADIANS($C471))*SIN(RADIANS($D471))+$J471*COS(RADIANS($E471))*SIN(RADIANS($F471)))</f>
        <v/>
      </c>
      <c r="M471">
        <f>IF($I471="","",$I471*SIN(RADIANS($C471))+$J471*SIN(RADIANS($E471)))</f>
        <v/>
      </c>
      <c r="N471">
        <f>IF($M471="","",DEGREES(ATAN2(SQRT($K471^2+$L471^2),$M471)))</f>
        <v/>
      </c>
      <c r="O471">
        <f>IF($M471="","",DEGREES(ATAN2($K471,$L471)))</f>
        <v/>
      </c>
      <c r="P471">
        <f t="array" ref="P471">IF($N471="","",IFERROR(IF(INDEX(geo_grid!$B$2:$JU$231,INT(($N471+40)/0.5)+1,INT(($O471+30)/0.5)+1)="","",INDEX(geo_grid!$B$2:$JU$231,INT(($N471+40)/0.5)+1,INT(($O471+30)/0.5)+1)),"OUTSIDE GRID"))</f>
        <v/>
      </c>
      <c r="Q471">
        <f>IF($P471="","",$A471*1000+$B471)</f>
        <v/>
      </c>
    </row>
    <row r="472">
      <c r="A472">
        <f>INT((ROW()-2)/151)+1</f>
        <v/>
      </c>
      <c r="B472">
        <f>MOD(ROW()-2,151)</f>
        <v/>
      </c>
      <c r="C472">
        <f t="array" ref="C472">IFERROR(INDEX('TRIP MANAGER'!$O$18:$O$25,$A472),"")</f>
        <v/>
      </c>
      <c r="D472">
        <f t="array" ref="D472">IFERROR(INDEX('TRIP MANAGER'!$P$18:$P$25,$A472),"")</f>
        <v/>
      </c>
      <c r="E472">
        <f t="array" ref="E472">IFERROR(INDEX('TRIP MANAGER'!$Q$18:$Q$25,$A472),"")</f>
        <v/>
      </c>
      <c r="F472">
        <f t="array" ref="F472">IFERROR(INDEX('TRIP MANAGER'!$R$18:$R$25,$A472),"")</f>
        <v/>
      </c>
      <c r="G472">
        <f t="array" ref="G472">IFERROR(INDEX('TRIP MANAGER'!$S$18:$S$25,$A472),"")</f>
        <v/>
      </c>
      <c r="H472">
        <f>$B472/150</f>
        <v/>
      </c>
      <c r="I472">
        <f>IF(OR($G472="",$G472=0),"",SIN((1-$H472)*$G472)/SIN($G472))</f>
        <v/>
      </c>
      <c r="J472">
        <f>IF($I472="","",SIN($H472*$G472)/SIN($G472))</f>
        <v/>
      </c>
      <c r="K472">
        <f>IF($I472="","",$I472*COS(RADIANS($C472))*COS(RADIANS($D472))+$J472*COS(RADIANS($E472))*COS(RADIANS($F472)))</f>
        <v/>
      </c>
      <c r="L472">
        <f>IF($I472="","",$I472*COS(RADIANS($C472))*SIN(RADIANS($D472))+$J472*COS(RADIANS($E472))*SIN(RADIANS($F472)))</f>
        <v/>
      </c>
      <c r="M472">
        <f>IF($I472="","",$I472*SIN(RADIANS($C472))+$J472*SIN(RADIANS($E472)))</f>
        <v/>
      </c>
      <c r="N472">
        <f>IF($M472="","",DEGREES(ATAN2(SQRT($K472^2+$L472^2),$M472)))</f>
        <v/>
      </c>
      <c r="O472">
        <f>IF($M472="","",DEGREES(ATAN2($K472,$L472)))</f>
        <v/>
      </c>
      <c r="P472">
        <f t="array" ref="P472">IF($N472="","",IFERROR(IF(INDEX(geo_grid!$B$2:$JU$231,INT(($N472+40)/0.5)+1,INT(($O472+30)/0.5)+1)="","",INDEX(geo_grid!$B$2:$JU$231,INT(($N472+40)/0.5)+1,INT(($O472+30)/0.5)+1)),"OUTSIDE GRID"))</f>
        <v/>
      </c>
      <c r="Q472">
        <f>IF($P472="","",$A472*1000+$B472)</f>
        <v/>
      </c>
    </row>
    <row r="473">
      <c r="A473">
        <f>INT((ROW()-2)/151)+1</f>
        <v/>
      </c>
      <c r="B473">
        <f>MOD(ROW()-2,151)</f>
        <v/>
      </c>
      <c r="C473">
        <f t="array" ref="C473">IFERROR(INDEX('TRIP MANAGER'!$O$18:$O$25,$A473),"")</f>
        <v/>
      </c>
      <c r="D473">
        <f t="array" ref="D473">IFERROR(INDEX('TRIP MANAGER'!$P$18:$P$25,$A473),"")</f>
        <v/>
      </c>
      <c r="E473">
        <f t="array" ref="E473">IFERROR(INDEX('TRIP MANAGER'!$Q$18:$Q$25,$A473),"")</f>
        <v/>
      </c>
      <c r="F473">
        <f t="array" ref="F473">IFERROR(INDEX('TRIP MANAGER'!$R$18:$R$25,$A473),"")</f>
        <v/>
      </c>
      <c r="G473">
        <f t="array" ref="G473">IFERROR(INDEX('TRIP MANAGER'!$S$18:$S$25,$A473),"")</f>
        <v/>
      </c>
      <c r="H473">
        <f>$B473/150</f>
        <v/>
      </c>
      <c r="I473">
        <f>IF(OR($G473="",$G473=0),"",SIN((1-$H473)*$G473)/SIN($G473))</f>
        <v/>
      </c>
      <c r="J473">
        <f>IF($I473="","",SIN($H473*$G473)/SIN($G473))</f>
        <v/>
      </c>
      <c r="K473">
        <f>IF($I473="","",$I473*COS(RADIANS($C473))*COS(RADIANS($D473))+$J473*COS(RADIANS($E473))*COS(RADIANS($F473)))</f>
        <v/>
      </c>
      <c r="L473">
        <f>IF($I473="","",$I473*COS(RADIANS($C473))*SIN(RADIANS($D473))+$J473*COS(RADIANS($E473))*SIN(RADIANS($F473)))</f>
        <v/>
      </c>
      <c r="M473">
        <f>IF($I473="","",$I473*SIN(RADIANS($C473))+$J473*SIN(RADIANS($E473)))</f>
        <v/>
      </c>
      <c r="N473">
        <f>IF($M473="","",DEGREES(ATAN2(SQRT($K473^2+$L473^2),$M473)))</f>
        <v/>
      </c>
      <c r="O473">
        <f>IF($M473="","",DEGREES(ATAN2($K473,$L473)))</f>
        <v/>
      </c>
      <c r="P473">
        <f t="array" ref="P473">IF($N473="","",IFERROR(IF(INDEX(geo_grid!$B$2:$JU$231,INT(($N473+40)/0.5)+1,INT(($O473+30)/0.5)+1)="","",INDEX(geo_grid!$B$2:$JU$231,INT(($N473+40)/0.5)+1,INT(($O473+30)/0.5)+1)),"OUTSIDE GRID"))</f>
        <v/>
      </c>
      <c r="Q473">
        <f>IF($P473="","",$A473*1000+$B473)</f>
        <v/>
      </c>
    </row>
    <row r="474">
      <c r="A474">
        <f>INT((ROW()-2)/151)+1</f>
        <v/>
      </c>
      <c r="B474">
        <f>MOD(ROW()-2,151)</f>
        <v/>
      </c>
      <c r="C474">
        <f t="array" ref="C474">IFERROR(INDEX('TRIP MANAGER'!$O$18:$O$25,$A474),"")</f>
        <v/>
      </c>
      <c r="D474">
        <f t="array" ref="D474">IFERROR(INDEX('TRIP MANAGER'!$P$18:$P$25,$A474),"")</f>
        <v/>
      </c>
      <c r="E474">
        <f t="array" ref="E474">IFERROR(INDEX('TRIP MANAGER'!$Q$18:$Q$25,$A474),"")</f>
        <v/>
      </c>
      <c r="F474">
        <f t="array" ref="F474">IFERROR(INDEX('TRIP MANAGER'!$R$18:$R$25,$A474),"")</f>
        <v/>
      </c>
      <c r="G474">
        <f t="array" ref="G474">IFERROR(INDEX('TRIP MANAGER'!$S$18:$S$25,$A474),"")</f>
        <v/>
      </c>
      <c r="H474">
        <f>$B474/150</f>
        <v/>
      </c>
      <c r="I474">
        <f>IF(OR($G474="",$G474=0),"",SIN((1-$H474)*$G474)/SIN($G474))</f>
        <v/>
      </c>
      <c r="J474">
        <f>IF($I474="","",SIN($H474*$G474)/SIN($G474))</f>
        <v/>
      </c>
      <c r="K474">
        <f>IF($I474="","",$I474*COS(RADIANS($C474))*COS(RADIANS($D474))+$J474*COS(RADIANS($E474))*COS(RADIANS($F474)))</f>
        <v/>
      </c>
      <c r="L474">
        <f>IF($I474="","",$I474*COS(RADIANS($C474))*SIN(RADIANS($D474))+$J474*COS(RADIANS($E474))*SIN(RADIANS($F474)))</f>
        <v/>
      </c>
      <c r="M474">
        <f>IF($I474="","",$I474*SIN(RADIANS($C474))+$J474*SIN(RADIANS($E474)))</f>
        <v/>
      </c>
      <c r="N474">
        <f>IF($M474="","",DEGREES(ATAN2(SQRT($K474^2+$L474^2),$M474)))</f>
        <v/>
      </c>
      <c r="O474">
        <f>IF($M474="","",DEGREES(ATAN2($K474,$L474)))</f>
        <v/>
      </c>
      <c r="P474">
        <f t="array" ref="P474">IF($N474="","",IFERROR(IF(INDEX(geo_grid!$B$2:$JU$231,INT(($N474+40)/0.5)+1,INT(($O474+30)/0.5)+1)="","",INDEX(geo_grid!$B$2:$JU$231,INT(($N474+40)/0.5)+1,INT(($O474+30)/0.5)+1)),"OUTSIDE GRID"))</f>
        <v/>
      </c>
      <c r="Q474">
        <f>IF($P474="","",$A474*1000+$B474)</f>
        <v/>
      </c>
    </row>
    <row r="475">
      <c r="A475">
        <f>INT((ROW()-2)/151)+1</f>
        <v/>
      </c>
      <c r="B475">
        <f>MOD(ROW()-2,151)</f>
        <v/>
      </c>
      <c r="C475">
        <f t="array" ref="C475">IFERROR(INDEX('TRIP MANAGER'!$O$18:$O$25,$A475),"")</f>
        <v/>
      </c>
      <c r="D475">
        <f t="array" ref="D475">IFERROR(INDEX('TRIP MANAGER'!$P$18:$P$25,$A475),"")</f>
        <v/>
      </c>
      <c r="E475">
        <f t="array" ref="E475">IFERROR(INDEX('TRIP MANAGER'!$Q$18:$Q$25,$A475),"")</f>
        <v/>
      </c>
      <c r="F475">
        <f t="array" ref="F475">IFERROR(INDEX('TRIP MANAGER'!$R$18:$R$25,$A475),"")</f>
        <v/>
      </c>
      <c r="G475">
        <f t="array" ref="G475">IFERROR(INDEX('TRIP MANAGER'!$S$18:$S$25,$A475),"")</f>
        <v/>
      </c>
      <c r="H475">
        <f>$B475/150</f>
        <v/>
      </c>
      <c r="I475">
        <f>IF(OR($G475="",$G475=0),"",SIN((1-$H475)*$G475)/SIN($G475))</f>
        <v/>
      </c>
      <c r="J475">
        <f>IF($I475="","",SIN($H475*$G475)/SIN($G475))</f>
        <v/>
      </c>
      <c r="K475">
        <f>IF($I475="","",$I475*COS(RADIANS($C475))*COS(RADIANS($D475))+$J475*COS(RADIANS($E475))*COS(RADIANS($F475)))</f>
        <v/>
      </c>
      <c r="L475">
        <f>IF($I475="","",$I475*COS(RADIANS($C475))*SIN(RADIANS($D475))+$J475*COS(RADIANS($E475))*SIN(RADIANS($F475)))</f>
        <v/>
      </c>
      <c r="M475">
        <f>IF($I475="","",$I475*SIN(RADIANS($C475))+$J475*SIN(RADIANS($E475)))</f>
        <v/>
      </c>
      <c r="N475">
        <f>IF($M475="","",DEGREES(ATAN2(SQRT($K475^2+$L475^2),$M475)))</f>
        <v/>
      </c>
      <c r="O475">
        <f>IF($M475="","",DEGREES(ATAN2($K475,$L475)))</f>
        <v/>
      </c>
      <c r="P475">
        <f t="array" ref="P475">IF($N475="","",IFERROR(IF(INDEX(geo_grid!$B$2:$JU$231,INT(($N475+40)/0.5)+1,INT(($O475+30)/0.5)+1)="","",INDEX(geo_grid!$B$2:$JU$231,INT(($N475+40)/0.5)+1,INT(($O475+30)/0.5)+1)),"OUTSIDE GRID"))</f>
        <v/>
      </c>
      <c r="Q475">
        <f>IF($P475="","",$A475*1000+$B475)</f>
        <v/>
      </c>
    </row>
    <row r="476">
      <c r="A476">
        <f>INT((ROW()-2)/151)+1</f>
        <v/>
      </c>
      <c r="B476">
        <f>MOD(ROW()-2,151)</f>
        <v/>
      </c>
      <c r="C476">
        <f t="array" ref="C476">IFERROR(INDEX('TRIP MANAGER'!$O$18:$O$25,$A476),"")</f>
        <v/>
      </c>
      <c r="D476">
        <f t="array" ref="D476">IFERROR(INDEX('TRIP MANAGER'!$P$18:$P$25,$A476),"")</f>
        <v/>
      </c>
      <c r="E476">
        <f t="array" ref="E476">IFERROR(INDEX('TRIP MANAGER'!$Q$18:$Q$25,$A476),"")</f>
        <v/>
      </c>
      <c r="F476">
        <f t="array" ref="F476">IFERROR(INDEX('TRIP MANAGER'!$R$18:$R$25,$A476),"")</f>
        <v/>
      </c>
      <c r="G476">
        <f t="array" ref="G476">IFERROR(INDEX('TRIP MANAGER'!$S$18:$S$25,$A476),"")</f>
        <v/>
      </c>
      <c r="H476">
        <f>$B476/150</f>
        <v/>
      </c>
      <c r="I476">
        <f>IF(OR($G476="",$G476=0),"",SIN((1-$H476)*$G476)/SIN($G476))</f>
        <v/>
      </c>
      <c r="J476">
        <f>IF($I476="","",SIN($H476*$G476)/SIN($G476))</f>
        <v/>
      </c>
      <c r="K476">
        <f>IF($I476="","",$I476*COS(RADIANS($C476))*COS(RADIANS($D476))+$J476*COS(RADIANS($E476))*COS(RADIANS($F476)))</f>
        <v/>
      </c>
      <c r="L476">
        <f>IF($I476="","",$I476*COS(RADIANS($C476))*SIN(RADIANS($D476))+$J476*COS(RADIANS($E476))*SIN(RADIANS($F476)))</f>
        <v/>
      </c>
      <c r="M476">
        <f>IF($I476="","",$I476*SIN(RADIANS($C476))+$J476*SIN(RADIANS($E476)))</f>
        <v/>
      </c>
      <c r="N476">
        <f>IF($M476="","",DEGREES(ATAN2(SQRT($K476^2+$L476^2),$M476)))</f>
        <v/>
      </c>
      <c r="O476">
        <f>IF($M476="","",DEGREES(ATAN2($K476,$L476)))</f>
        <v/>
      </c>
      <c r="P476">
        <f t="array" ref="P476">IF($N476="","",IFERROR(IF(INDEX(geo_grid!$B$2:$JU$231,INT(($N476+40)/0.5)+1,INT(($O476+30)/0.5)+1)="","",INDEX(geo_grid!$B$2:$JU$231,INT(($N476+40)/0.5)+1,INT(($O476+30)/0.5)+1)),"OUTSIDE GRID"))</f>
        <v/>
      </c>
      <c r="Q476">
        <f>IF($P476="","",$A476*1000+$B476)</f>
        <v/>
      </c>
    </row>
    <row r="477">
      <c r="A477">
        <f>INT((ROW()-2)/151)+1</f>
        <v/>
      </c>
      <c r="B477">
        <f>MOD(ROW()-2,151)</f>
        <v/>
      </c>
      <c r="C477">
        <f t="array" ref="C477">IFERROR(INDEX('TRIP MANAGER'!$O$18:$O$25,$A477),"")</f>
        <v/>
      </c>
      <c r="D477">
        <f t="array" ref="D477">IFERROR(INDEX('TRIP MANAGER'!$P$18:$P$25,$A477),"")</f>
        <v/>
      </c>
      <c r="E477">
        <f t="array" ref="E477">IFERROR(INDEX('TRIP MANAGER'!$Q$18:$Q$25,$A477),"")</f>
        <v/>
      </c>
      <c r="F477">
        <f t="array" ref="F477">IFERROR(INDEX('TRIP MANAGER'!$R$18:$R$25,$A477),"")</f>
        <v/>
      </c>
      <c r="G477">
        <f t="array" ref="G477">IFERROR(INDEX('TRIP MANAGER'!$S$18:$S$25,$A477),"")</f>
        <v/>
      </c>
      <c r="H477">
        <f>$B477/150</f>
        <v/>
      </c>
      <c r="I477">
        <f>IF(OR($G477="",$G477=0),"",SIN((1-$H477)*$G477)/SIN($G477))</f>
        <v/>
      </c>
      <c r="J477">
        <f>IF($I477="","",SIN($H477*$G477)/SIN($G477))</f>
        <v/>
      </c>
      <c r="K477">
        <f>IF($I477="","",$I477*COS(RADIANS($C477))*COS(RADIANS($D477))+$J477*COS(RADIANS($E477))*COS(RADIANS($F477)))</f>
        <v/>
      </c>
      <c r="L477">
        <f>IF($I477="","",$I477*COS(RADIANS($C477))*SIN(RADIANS($D477))+$J477*COS(RADIANS($E477))*SIN(RADIANS($F477)))</f>
        <v/>
      </c>
      <c r="M477">
        <f>IF($I477="","",$I477*SIN(RADIANS($C477))+$J477*SIN(RADIANS($E477)))</f>
        <v/>
      </c>
      <c r="N477">
        <f>IF($M477="","",DEGREES(ATAN2(SQRT($K477^2+$L477^2),$M477)))</f>
        <v/>
      </c>
      <c r="O477">
        <f>IF($M477="","",DEGREES(ATAN2($K477,$L477)))</f>
        <v/>
      </c>
      <c r="P477">
        <f t="array" ref="P477">IF($N477="","",IFERROR(IF(INDEX(geo_grid!$B$2:$JU$231,INT(($N477+40)/0.5)+1,INT(($O477+30)/0.5)+1)="","",INDEX(geo_grid!$B$2:$JU$231,INT(($N477+40)/0.5)+1,INT(($O477+30)/0.5)+1)),"OUTSIDE GRID"))</f>
        <v/>
      </c>
      <c r="Q477">
        <f>IF($P477="","",$A477*1000+$B477)</f>
        <v/>
      </c>
    </row>
    <row r="478">
      <c r="A478">
        <f>INT((ROW()-2)/151)+1</f>
        <v/>
      </c>
      <c r="B478">
        <f>MOD(ROW()-2,151)</f>
        <v/>
      </c>
      <c r="C478">
        <f t="array" ref="C478">IFERROR(INDEX('TRIP MANAGER'!$O$18:$O$25,$A478),"")</f>
        <v/>
      </c>
      <c r="D478">
        <f t="array" ref="D478">IFERROR(INDEX('TRIP MANAGER'!$P$18:$P$25,$A478),"")</f>
        <v/>
      </c>
      <c r="E478">
        <f t="array" ref="E478">IFERROR(INDEX('TRIP MANAGER'!$Q$18:$Q$25,$A478),"")</f>
        <v/>
      </c>
      <c r="F478">
        <f t="array" ref="F478">IFERROR(INDEX('TRIP MANAGER'!$R$18:$R$25,$A478),"")</f>
        <v/>
      </c>
      <c r="G478">
        <f t="array" ref="G478">IFERROR(INDEX('TRIP MANAGER'!$S$18:$S$25,$A478),"")</f>
        <v/>
      </c>
      <c r="H478">
        <f>$B478/150</f>
        <v/>
      </c>
      <c r="I478">
        <f>IF(OR($G478="",$G478=0),"",SIN((1-$H478)*$G478)/SIN($G478))</f>
        <v/>
      </c>
      <c r="J478">
        <f>IF($I478="","",SIN($H478*$G478)/SIN($G478))</f>
        <v/>
      </c>
      <c r="K478">
        <f>IF($I478="","",$I478*COS(RADIANS($C478))*COS(RADIANS($D478))+$J478*COS(RADIANS($E478))*COS(RADIANS($F478)))</f>
        <v/>
      </c>
      <c r="L478">
        <f>IF($I478="","",$I478*COS(RADIANS($C478))*SIN(RADIANS($D478))+$J478*COS(RADIANS($E478))*SIN(RADIANS($F478)))</f>
        <v/>
      </c>
      <c r="M478">
        <f>IF($I478="","",$I478*SIN(RADIANS($C478))+$J478*SIN(RADIANS($E478)))</f>
        <v/>
      </c>
      <c r="N478">
        <f>IF($M478="","",DEGREES(ATAN2(SQRT($K478^2+$L478^2),$M478)))</f>
        <v/>
      </c>
      <c r="O478">
        <f>IF($M478="","",DEGREES(ATAN2($K478,$L478)))</f>
        <v/>
      </c>
      <c r="P478">
        <f t="array" ref="P478">IF($N478="","",IFERROR(IF(INDEX(geo_grid!$B$2:$JU$231,INT(($N478+40)/0.5)+1,INT(($O478+30)/0.5)+1)="","",INDEX(geo_grid!$B$2:$JU$231,INT(($N478+40)/0.5)+1,INT(($O478+30)/0.5)+1)),"OUTSIDE GRID"))</f>
        <v/>
      </c>
      <c r="Q478">
        <f>IF($P478="","",$A478*1000+$B478)</f>
        <v/>
      </c>
    </row>
    <row r="479">
      <c r="A479">
        <f>INT((ROW()-2)/151)+1</f>
        <v/>
      </c>
      <c r="B479">
        <f>MOD(ROW()-2,151)</f>
        <v/>
      </c>
      <c r="C479">
        <f t="array" ref="C479">IFERROR(INDEX('TRIP MANAGER'!$O$18:$O$25,$A479),"")</f>
        <v/>
      </c>
      <c r="D479">
        <f t="array" ref="D479">IFERROR(INDEX('TRIP MANAGER'!$P$18:$P$25,$A479),"")</f>
        <v/>
      </c>
      <c r="E479">
        <f t="array" ref="E479">IFERROR(INDEX('TRIP MANAGER'!$Q$18:$Q$25,$A479),"")</f>
        <v/>
      </c>
      <c r="F479">
        <f t="array" ref="F479">IFERROR(INDEX('TRIP MANAGER'!$R$18:$R$25,$A479),"")</f>
        <v/>
      </c>
      <c r="G479">
        <f t="array" ref="G479">IFERROR(INDEX('TRIP MANAGER'!$S$18:$S$25,$A479),"")</f>
        <v/>
      </c>
      <c r="H479">
        <f>$B479/150</f>
        <v/>
      </c>
      <c r="I479">
        <f>IF(OR($G479="",$G479=0),"",SIN((1-$H479)*$G479)/SIN($G479))</f>
        <v/>
      </c>
      <c r="J479">
        <f>IF($I479="","",SIN($H479*$G479)/SIN($G479))</f>
        <v/>
      </c>
      <c r="K479">
        <f>IF($I479="","",$I479*COS(RADIANS($C479))*COS(RADIANS($D479))+$J479*COS(RADIANS($E479))*COS(RADIANS($F479)))</f>
        <v/>
      </c>
      <c r="L479">
        <f>IF($I479="","",$I479*COS(RADIANS($C479))*SIN(RADIANS($D479))+$J479*COS(RADIANS($E479))*SIN(RADIANS($F479)))</f>
        <v/>
      </c>
      <c r="M479">
        <f>IF($I479="","",$I479*SIN(RADIANS($C479))+$J479*SIN(RADIANS($E479)))</f>
        <v/>
      </c>
      <c r="N479">
        <f>IF($M479="","",DEGREES(ATAN2(SQRT($K479^2+$L479^2),$M479)))</f>
        <v/>
      </c>
      <c r="O479">
        <f>IF($M479="","",DEGREES(ATAN2($K479,$L479)))</f>
        <v/>
      </c>
      <c r="P479">
        <f t="array" ref="P479">IF($N479="","",IFERROR(IF(INDEX(geo_grid!$B$2:$JU$231,INT(($N479+40)/0.5)+1,INT(($O479+30)/0.5)+1)="","",INDEX(geo_grid!$B$2:$JU$231,INT(($N479+40)/0.5)+1,INT(($O479+30)/0.5)+1)),"OUTSIDE GRID"))</f>
        <v/>
      </c>
      <c r="Q479">
        <f>IF($P479="","",$A479*1000+$B479)</f>
        <v/>
      </c>
    </row>
    <row r="480">
      <c r="A480">
        <f>INT((ROW()-2)/151)+1</f>
        <v/>
      </c>
      <c r="B480">
        <f>MOD(ROW()-2,151)</f>
        <v/>
      </c>
      <c r="C480">
        <f t="array" ref="C480">IFERROR(INDEX('TRIP MANAGER'!$O$18:$O$25,$A480),"")</f>
        <v/>
      </c>
      <c r="D480">
        <f t="array" ref="D480">IFERROR(INDEX('TRIP MANAGER'!$P$18:$P$25,$A480),"")</f>
        <v/>
      </c>
      <c r="E480">
        <f t="array" ref="E480">IFERROR(INDEX('TRIP MANAGER'!$Q$18:$Q$25,$A480),"")</f>
        <v/>
      </c>
      <c r="F480">
        <f t="array" ref="F480">IFERROR(INDEX('TRIP MANAGER'!$R$18:$R$25,$A480),"")</f>
        <v/>
      </c>
      <c r="G480">
        <f t="array" ref="G480">IFERROR(INDEX('TRIP MANAGER'!$S$18:$S$25,$A480),"")</f>
        <v/>
      </c>
      <c r="H480">
        <f>$B480/150</f>
        <v/>
      </c>
      <c r="I480">
        <f>IF(OR($G480="",$G480=0),"",SIN((1-$H480)*$G480)/SIN($G480))</f>
        <v/>
      </c>
      <c r="J480">
        <f>IF($I480="","",SIN($H480*$G480)/SIN($G480))</f>
        <v/>
      </c>
      <c r="K480">
        <f>IF($I480="","",$I480*COS(RADIANS($C480))*COS(RADIANS($D480))+$J480*COS(RADIANS($E480))*COS(RADIANS($F480)))</f>
        <v/>
      </c>
      <c r="L480">
        <f>IF($I480="","",$I480*COS(RADIANS($C480))*SIN(RADIANS($D480))+$J480*COS(RADIANS($E480))*SIN(RADIANS($F480)))</f>
        <v/>
      </c>
      <c r="M480">
        <f>IF($I480="","",$I480*SIN(RADIANS($C480))+$J480*SIN(RADIANS($E480)))</f>
        <v/>
      </c>
      <c r="N480">
        <f>IF($M480="","",DEGREES(ATAN2(SQRT($K480^2+$L480^2),$M480)))</f>
        <v/>
      </c>
      <c r="O480">
        <f>IF($M480="","",DEGREES(ATAN2($K480,$L480)))</f>
        <v/>
      </c>
      <c r="P480">
        <f t="array" ref="P480">IF($N480="","",IFERROR(IF(INDEX(geo_grid!$B$2:$JU$231,INT(($N480+40)/0.5)+1,INT(($O480+30)/0.5)+1)="","",INDEX(geo_grid!$B$2:$JU$231,INT(($N480+40)/0.5)+1,INT(($O480+30)/0.5)+1)),"OUTSIDE GRID"))</f>
        <v/>
      </c>
      <c r="Q480">
        <f>IF($P480="","",$A480*1000+$B480)</f>
        <v/>
      </c>
    </row>
    <row r="481">
      <c r="A481">
        <f>INT((ROW()-2)/151)+1</f>
        <v/>
      </c>
      <c r="B481">
        <f>MOD(ROW()-2,151)</f>
        <v/>
      </c>
      <c r="C481">
        <f t="array" ref="C481">IFERROR(INDEX('TRIP MANAGER'!$O$18:$O$25,$A481),"")</f>
        <v/>
      </c>
      <c r="D481">
        <f t="array" ref="D481">IFERROR(INDEX('TRIP MANAGER'!$P$18:$P$25,$A481),"")</f>
        <v/>
      </c>
      <c r="E481">
        <f t="array" ref="E481">IFERROR(INDEX('TRIP MANAGER'!$Q$18:$Q$25,$A481),"")</f>
        <v/>
      </c>
      <c r="F481">
        <f t="array" ref="F481">IFERROR(INDEX('TRIP MANAGER'!$R$18:$R$25,$A481),"")</f>
        <v/>
      </c>
      <c r="G481">
        <f t="array" ref="G481">IFERROR(INDEX('TRIP MANAGER'!$S$18:$S$25,$A481),"")</f>
        <v/>
      </c>
      <c r="H481">
        <f>$B481/150</f>
        <v/>
      </c>
      <c r="I481">
        <f>IF(OR($G481="",$G481=0),"",SIN((1-$H481)*$G481)/SIN($G481))</f>
        <v/>
      </c>
      <c r="J481">
        <f>IF($I481="","",SIN($H481*$G481)/SIN($G481))</f>
        <v/>
      </c>
      <c r="K481">
        <f>IF($I481="","",$I481*COS(RADIANS($C481))*COS(RADIANS($D481))+$J481*COS(RADIANS($E481))*COS(RADIANS($F481)))</f>
        <v/>
      </c>
      <c r="L481">
        <f>IF($I481="","",$I481*COS(RADIANS($C481))*SIN(RADIANS($D481))+$J481*COS(RADIANS($E481))*SIN(RADIANS($F481)))</f>
        <v/>
      </c>
      <c r="M481">
        <f>IF($I481="","",$I481*SIN(RADIANS($C481))+$J481*SIN(RADIANS($E481)))</f>
        <v/>
      </c>
      <c r="N481">
        <f>IF($M481="","",DEGREES(ATAN2(SQRT($K481^2+$L481^2),$M481)))</f>
        <v/>
      </c>
      <c r="O481">
        <f>IF($M481="","",DEGREES(ATAN2($K481,$L481)))</f>
        <v/>
      </c>
      <c r="P481">
        <f t="array" ref="P481">IF($N481="","",IFERROR(IF(INDEX(geo_grid!$B$2:$JU$231,INT(($N481+40)/0.5)+1,INT(($O481+30)/0.5)+1)="","",INDEX(geo_grid!$B$2:$JU$231,INT(($N481+40)/0.5)+1,INT(($O481+30)/0.5)+1)),"OUTSIDE GRID"))</f>
        <v/>
      </c>
      <c r="Q481">
        <f>IF($P481="","",$A481*1000+$B481)</f>
        <v/>
      </c>
    </row>
    <row r="482">
      <c r="A482">
        <f>INT((ROW()-2)/151)+1</f>
        <v/>
      </c>
      <c r="B482">
        <f>MOD(ROW()-2,151)</f>
        <v/>
      </c>
      <c r="C482">
        <f t="array" ref="C482">IFERROR(INDEX('TRIP MANAGER'!$O$18:$O$25,$A482),"")</f>
        <v/>
      </c>
      <c r="D482">
        <f t="array" ref="D482">IFERROR(INDEX('TRIP MANAGER'!$P$18:$P$25,$A482),"")</f>
        <v/>
      </c>
      <c r="E482">
        <f t="array" ref="E482">IFERROR(INDEX('TRIP MANAGER'!$Q$18:$Q$25,$A482),"")</f>
        <v/>
      </c>
      <c r="F482">
        <f t="array" ref="F482">IFERROR(INDEX('TRIP MANAGER'!$R$18:$R$25,$A482),"")</f>
        <v/>
      </c>
      <c r="G482">
        <f t="array" ref="G482">IFERROR(INDEX('TRIP MANAGER'!$S$18:$S$25,$A482),"")</f>
        <v/>
      </c>
      <c r="H482">
        <f>$B482/150</f>
        <v/>
      </c>
      <c r="I482">
        <f>IF(OR($G482="",$G482=0),"",SIN((1-$H482)*$G482)/SIN($G482))</f>
        <v/>
      </c>
      <c r="J482">
        <f>IF($I482="","",SIN($H482*$G482)/SIN($G482))</f>
        <v/>
      </c>
      <c r="K482">
        <f>IF($I482="","",$I482*COS(RADIANS($C482))*COS(RADIANS($D482))+$J482*COS(RADIANS($E482))*COS(RADIANS($F482)))</f>
        <v/>
      </c>
      <c r="L482">
        <f>IF($I482="","",$I482*COS(RADIANS($C482))*SIN(RADIANS($D482))+$J482*COS(RADIANS($E482))*SIN(RADIANS($F482)))</f>
        <v/>
      </c>
      <c r="M482">
        <f>IF($I482="","",$I482*SIN(RADIANS($C482))+$J482*SIN(RADIANS($E482)))</f>
        <v/>
      </c>
      <c r="N482">
        <f>IF($M482="","",DEGREES(ATAN2(SQRT($K482^2+$L482^2),$M482)))</f>
        <v/>
      </c>
      <c r="O482">
        <f>IF($M482="","",DEGREES(ATAN2($K482,$L482)))</f>
        <v/>
      </c>
      <c r="P482">
        <f t="array" ref="P482">IF($N482="","",IFERROR(IF(INDEX(geo_grid!$B$2:$JU$231,INT(($N482+40)/0.5)+1,INT(($O482+30)/0.5)+1)="","",INDEX(geo_grid!$B$2:$JU$231,INT(($N482+40)/0.5)+1,INT(($O482+30)/0.5)+1)),"OUTSIDE GRID"))</f>
        <v/>
      </c>
      <c r="Q482">
        <f>IF($P482="","",$A482*1000+$B482)</f>
        <v/>
      </c>
    </row>
    <row r="483">
      <c r="A483">
        <f>INT((ROW()-2)/151)+1</f>
        <v/>
      </c>
      <c r="B483">
        <f>MOD(ROW()-2,151)</f>
        <v/>
      </c>
      <c r="C483">
        <f t="array" ref="C483">IFERROR(INDEX('TRIP MANAGER'!$O$18:$O$25,$A483),"")</f>
        <v/>
      </c>
      <c r="D483">
        <f t="array" ref="D483">IFERROR(INDEX('TRIP MANAGER'!$P$18:$P$25,$A483),"")</f>
        <v/>
      </c>
      <c r="E483">
        <f t="array" ref="E483">IFERROR(INDEX('TRIP MANAGER'!$Q$18:$Q$25,$A483),"")</f>
        <v/>
      </c>
      <c r="F483">
        <f t="array" ref="F483">IFERROR(INDEX('TRIP MANAGER'!$R$18:$R$25,$A483),"")</f>
        <v/>
      </c>
      <c r="G483">
        <f t="array" ref="G483">IFERROR(INDEX('TRIP MANAGER'!$S$18:$S$25,$A483),"")</f>
        <v/>
      </c>
      <c r="H483">
        <f>$B483/150</f>
        <v/>
      </c>
      <c r="I483">
        <f>IF(OR($G483="",$G483=0),"",SIN((1-$H483)*$G483)/SIN($G483))</f>
        <v/>
      </c>
      <c r="J483">
        <f>IF($I483="","",SIN($H483*$G483)/SIN($G483))</f>
        <v/>
      </c>
      <c r="K483">
        <f>IF($I483="","",$I483*COS(RADIANS($C483))*COS(RADIANS($D483))+$J483*COS(RADIANS($E483))*COS(RADIANS($F483)))</f>
        <v/>
      </c>
      <c r="L483">
        <f>IF($I483="","",$I483*COS(RADIANS($C483))*SIN(RADIANS($D483))+$J483*COS(RADIANS($E483))*SIN(RADIANS($F483)))</f>
        <v/>
      </c>
      <c r="M483">
        <f>IF($I483="","",$I483*SIN(RADIANS($C483))+$J483*SIN(RADIANS($E483)))</f>
        <v/>
      </c>
      <c r="N483">
        <f>IF($M483="","",DEGREES(ATAN2(SQRT($K483^2+$L483^2),$M483)))</f>
        <v/>
      </c>
      <c r="O483">
        <f>IF($M483="","",DEGREES(ATAN2($K483,$L483)))</f>
        <v/>
      </c>
      <c r="P483">
        <f t="array" ref="P483">IF($N483="","",IFERROR(IF(INDEX(geo_grid!$B$2:$JU$231,INT(($N483+40)/0.5)+1,INT(($O483+30)/0.5)+1)="","",INDEX(geo_grid!$B$2:$JU$231,INT(($N483+40)/0.5)+1,INT(($O483+30)/0.5)+1)),"OUTSIDE GRID"))</f>
        <v/>
      </c>
      <c r="Q483">
        <f>IF($P483="","",$A483*1000+$B483)</f>
        <v/>
      </c>
    </row>
    <row r="484">
      <c r="A484">
        <f>INT((ROW()-2)/151)+1</f>
        <v/>
      </c>
      <c r="B484">
        <f>MOD(ROW()-2,151)</f>
        <v/>
      </c>
      <c r="C484">
        <f t="array" ref="C484">IFERROR(INDEX('TRIP MANAGER'!$O$18:$O$25,$A484),"")</f>
        <v/>
      </c>
      <c r="D484">
        <f t="array" ref="D484">IFERROR(INDEX('TRIP MANAGER'!$P$18:$P$25,$A484),"")</f>
        <v/>
      </c>
      <c r="E484">
        <f t="array" ref="E484">IFERROR(INDEX('TRIP MANAGER'!$Q$18:$Q$25,$A484),"")</f>
        <v/>
      </c>
      <c r="F484">
        <f t="array" ref="F484">IFERROR(INDEX('TRIP MANAGER'!$R$18:$R$25,$A484),"")</f>
        <v/>
      </c>
      <c r="G484">
        <f t="array" ref="G484">IFERROR(INDEX('TRIP MANAGER'!$S$18:$S$25,$A484),"")</f>
        <v/>
      </c>
      <c r="H484">
        <f>$B484/150</f>
        <v/>
      </c>
      <c r="I484">
        <f>IF(OR($G484="",$G484=0),"",SIN((1-$H484)*$G484)/SIN($G484))</f>
        <v/>
      </c>
      <c r="J484">
        <f>IF($I484="","",SIN($H484*$G484)/SIN($G484))</f>
        <v/>
      </c>
      <c r="K484">
        <f>IF($I484="","",$I484*COS(RADIANS($C484))*COS(RADIANS($D484))+$J484*COS(RADIANS($E484))*COS(RADIANS($F484)))</f>
        <v/>
      </c>
      <c r="L484">
        <f>IF($I484="","",$I484*COS(RADIANS($C484))*SIN(RADIANS($D484))+$J484*COS(RADIANS($E484))*SIN(RADIANS($F484)))</f>
        <v/>
      </c>
      <c r="M484">
        <f>IF($I484="","",$I484*SIN(RADIANS($C484))+$J484*SIN(RADIANS($E484)))</f>
        <v/>
      </c>
      <c r="N484">
        <f>IF($M484="","",DEGREES(ATAN2(SQRT($K484^2+$L484^2),$M484)))</f>
        <v/>
      </c>
      <c r="O484">
        <f>IF($M484="","",DEGREES(ATAN2($K484,$L484)))</f>
        <v/>
      </c>
      <c r="P484">
        <f t="array" ref="P484">IF($N484="","",IFERROR(IF(INDEX(geo_grid!$B$2:$JU$231,INT(($N484+40)/0.5)+1,INT(($O484+30)/0.5)+1)="","",INDEX(geo_grid!$B$2:$JU$231,INT(($N484+40)/0.5)+1,INT(($O484+30)/0.5)+1)),"OUTSIDE GRID"))</f>
        <v/>
      </c>
      <c r="Q484">
        <f>IF($P484="","",$A484*1000+$B484)</f>
        <v/>
      </c>
    </row>
    <row r="485">
      <c r="A485">
        <f>INT((ROW()-2)/151)+1</f>
        <v/>
      </c>
      <c r="B485">
        <f>MOD(ROW()-2,151)</f>
        <v/>
      </c>
      <c r="C485">
        <f t="array" ref="C485">IFERROR(INDEX('TRIP MANAGER'!$O$18:$O$25,$A485),"")</f>
        <v/>
      </c>
      <c r="D485">
        <f t="array" ref="D485">IFERROR(INDEX('TRIP MANAGER'!$P$18:$P$25,$A485),"")</f>
        <v/>
      </c>
      <c r="E485">
        <f t="array" ref="E485">IFERROR(INDEX('TRIP MANAGER'!$Q$18:$Q$25,$A485),"")</f>
        <v/>
      </c>
      <c r="F485">
        <f t="array" ref="F485">IFERROR(INDEX('TRIP MANAGER'!$R$18:$R$25,$A485),"")</f>
        <v/>
      </c>
      <c r="G485">
        <f t="array" ref="G485">IFERROR(INDEX('TRIP MANAGER'!$S$18:$S$25,$A485),"")</f>
        <v/>
      </c>
      <c r="H485">
        <f>$B485/150</f>
        <v/>
      </c>
      <c r="I485">
        <f>IF(OR($G485="",$G485=0),"",SIN((1-$H485)*$G485)/SIN($G485))</f>
        <v/>
      </c>
      <c r="J485">
        <f>IF($I485="","",SIN($H485*$G485)/SIN($G485))</f>
        <v/>
      </c>
      <c r="K485">
        <f>IF($I485="","",$I485*COS(RADIANS($C485))*COS(RADIANS($D485))+$J485*COS(RADIANS($E485))*COS(RADIANS($F485)))</f>
        <v/>
      </c>
      <c r="L485">
        <f>IF($I485="","",$I485*COS(RADIANS($C485))*SIN(RADIANS($D485))+$J485*COS(RADIANS($E485))*SIN(RADIANS($F485)))</f>
        <v/>
      </c>
      <c r="M485">
        <f>IF($I485="","",$I485*SIN(RADIANS($C485))+$J485*SIN(RADIANS($E485)))</f>
        <v/>
      </c>
      <c r="N485">
        <f>IF($M485="","",DEGREES(ATAN2(SQRT($K485^2+$L485^2),$M485)))</f>
        <v/>
      </c>
      <c r="O485">
        <f>IF($M485="","",DEGREES(ATAN2($K485,$L485)))</f>
        <v/>
      </c>
      <c r="P485">
        <f t="array" ref="P485">IF($N485="","",IFERROR(IF(INDEX(geo_grid!$B$2:$JU$231,INT(($N485+40)/0.5)+1,INT(($O485+30)/0.5)+1)="","",INDEX(geo_grid!$B$2:$JU$231,INT(($N485+40)/0.5)+1,INT(($O485+30)/0.5)+1)),"OUTSIDE GRID"))</f>
        <v/>
      </c>
      <c r="Q485">
        <f>IF($P485="","",$A485*1000+$B485)</f>
        <v/>
      </c>
    </row>
    <row r="486">
      <c r="A486">
        <f>INT((ROW()-2)/151)+1</f>
        <v/>
      </c>
      <c r="B486">
        <f>MOD(ROW()-2,151)</f>
        <v/>
      </c>
      <c r="C486">
        <f t="array" ref="C486">IFERROR(INDEX('TRIP MANAGER'!$O$18:$O$25,$A486),"")</f>
        <v/>
      </c>
      <c r="D486">
        <f t="array" ref="D486">IFERROR(INDEX('TRIP MANAGER'!$P$18:$P$25,$A486),"")</f>
        <v/>
      </c>
      <c r="E486">
        <f t="array" ref="E486">IFERROR(INDEX('TRIP MANAGER'!$Q$18:$Q$25,$A486),"")</f>
        <v/>
      </c>
      <c r="F486">
        <f t="array" ref="F486">IFERROR(INDEX('TRIP MANAGER'!$R$18:$R$25,$A486),"")</f>
        <v/>
      </c>
      <c r="G486">
        <f t="array" ref="G486">IFERROR(INDEX('TRIP MANAGER'!$S$18:$S$25,$A486),"")</f>
        <v/>
      </c>
      <c r="H486">
        <f>$B486/150</f>
        <v/>
      </c>
      <c r="I486">
        <f>IF(OR($G486="",$G486=0),"",SIN((1-$H486)*$G486)/SIN($G486))</f>
        <v/>
      </c>
      <c r="J486">
        <f>IF($I486="","",SIN($H486*$G486)/SIN($G486))</f>
        <v/>
      </c>
      <c r="K486">
        <f>IF($I486="","",$I486*COS(RADIANS($C486))*COS(RADIANS($D486))+$J486*COS(RADIANS($E486))*COS(RADIANS($F486)))</f>
        <v/>
      </c>
      <c r="L486">
        <f>IF($I486="","",$I486*COS(RADIANS($C486))*SIN(RADIANS($D486))+$J486*COS(RADIANS($E486))*SIN(RADIANS($F486)))</f>
        <v/>
      </c>
      <c r="M486">
        <f>IF($I486="","",$I486*SIN(RADIANS($C486))+$J486*SIN(RADIANS($E486)))</f>
        <v/>
      </c>
      <c r="N486">
        <f>IF($M486="","",DEGREES(ATAN2(SQRT($K486^2+$L486^2),$M486)))</f>
        <v/>
      </c>
      <c r="O486">
        <f>IF($M486="","",DEGREES(ATAN2($K486,$L486)))</f>
        <v/>
      </c>
      <c r="P486">
        <f t="array" ref="P486">IF($N486="","",IFERROR(IF(INDEX(geo_grid!$B$2:$JU$231,INT(($N486+40)/0.5)+1,INT(($O486+30)/0.5)+1)="","",INDEX(geo_grid!$B$2:$JU$231,INT(($N486+40)/0.5)+1,INT(($O486+30)/0.5)+1)),"OUTSIDE GRID"))</f>
        <v/>
      </c>
      <c r="Q486">
        <f>IF($P486="","",$A486*1000+$B486)</f>
        <v/>
      </c>
    </row>
    <row r="487">
      <c r="A487">
        <f>INT((ROW()-2)/151)+1</f>
        <v/>
      </c>
      <c r="B487">
        <f>MOD(ROW()-2,151)</f>
        <v/>
      </c>
      <c r="C487">
        <f t="array" ref="C487">IFERROR(INDEX('TRIP MANAGER'!$O$18:$O$25,$A487),"")</f>
        <v/>
      </c>
      <c r="D487">
        <f t="array" ref="D487">IFERROR(INDEX('TRIP MANAGER'!$P$18:$P$25,$A487),"")</f>
        <v/>
      </c>
      <c r="E487">
        <f t="array" ref="E487">IFERROR(INDEX('TRIP MANAGER'!$Q$18:$Q$25,$A487),"")</f>
        <v/>
      </c>
      <c r="F487">
        <f t="array" ref="F487">IFERROR(INDEX('TRIP MANAGER'!$R$18:$R$25,$A487),"")</f>
        <v/>
      </c>
      <c r="G487">
        <f t="array" ref="G487">IFERROR(INDEX('TRIP MANAGER'!$S$18:$S$25,$A487),"")</f>
        <v/>
      </c>
      <c r="H487">
        <f>$B487/150</f>
        <v/>
      </c>
      <c r="I487">
        <f>IF(OR($G487="",$G487=0),"",SIN((1-$H487)*$G487)/SIN($G487))</f>
        <v/>
      </c>
      <c r="J487">
        <f>IF($I487="","",SIN($H487*$G487)/SIN($G487))</f>
        <v/>
      </c>
      <c r="K487">
        <f>IF($I487="","",$I487*COS(RADIANS($C487))*COS(RADIANS($D487))+$J487*COS(RADIANS($E487))*COS(RADIANS($F487)))</f>
        <v/>
      </c>
      <c r="L487">
        <f>IF($I487="","",$I487*COS(RADIANS($C487))*SIN(RADIANS($D487))+$J487*COS(RADIANS($E487))*SIN(RADIANS($F487)))</f>
        <v/>
      </c>
      <c r="M487">
        <f>IF($I487="","",$I487*SIN(RADIANS($C487))+$J487*SIN(RADIANS($E487)))</f>
        <v/>
      </c>
      <c r="N487">
        <f>IF($M487="","",DEGREES(ATAN2(SQRT($K487^2+$L487^2),$M487)))</f>
        <v/>
      </c>
      <c r="O487">
        <f>IF($M487="","",DEGREES(ATAN2($K487,$L487)))</f>
        <v/>
      </c>
      <c r="P487">
        <f t="array" ref="P487">IF($N487="","",IFERROR(IF(INDEX(geo_grid!$B$2:$JU$231,INT(($N487+40)/0.5)+1,INT(($O487+30)/0.5)+1)="","",INDEX(geo_grid!$B$2:$JU$231,INT(($N487+40)/0.5)+1,INT(($O487+30)/0.5)+1)),"OUTSIDE GRID"))</f>
        <v/>
      </c>
      <c r="Q487">
        <f>IF($P487="","",$A487*1000+$B487)</f>
        <v/>
      </c>
    </row>
    <row r="488">
      <c r="A488">
        <f>INT((ROW()-2)/151)+1</f>
        <v/>
      </c>
      <c r="B488">
        <f>MOD(ROW()-2,151)</f>
        <v/>
      </c>
      <c r="C488">
        <f t="array" ref="C488">IFERROR(INDEX('TRIP MANAGER'!$O$18:$O$25,$A488),"")</f>
        <v/>
      </c>
      <c r="D488">
        <f t="array" ref="D488">IFERROR(INDEX('TRIP MANAGER'!$P$18:$P$25,$A488),"")</f>
        <v/>
      </c>
      <c r="E488">
        <f t="array" ref="E488">IFERROR(INDEX('TRIP MANAGER'!$Q$18:$Q$25,$A488),"")</f>
        <v/>
      </c>
      <c r="F488">
        <f t="array" ref="F488">IFERROR(INDEX('TRIP MANAGER'!$R$18:$R$25,$A488),"")</f>
        <v/>
      </c>
      <c r="G488">
        <f t="array" ref="G488">IFERROR(INDEX('TRIP MANAGER'!$S$18:$S$25,$A488),"")</f>
        <v/>
      </c>
      <c r="H488">
        <f>$B488/150</f>
        <v/>
      </c>
      <c r="I488">
        <f>IF(OR($G488="",$G488=0),"",SIN((1-$H488)*$G488)/SIN($G488))</f>
        <v/>
      </c>
      <c r="J488">
        <f>IF($I488="","",SIN($H488*$G488)/SIN($G488))</f>
        <v/>
      </c>
      <c r="K488">
        <f>IF($I488="","",$I488*COS(RADIANS($C488))*COS(RADIANS($D488))+$J488*COS(RADIANS($E488))*COS(RADIANS($F488)))</f>
        <v/>
      </c>
      <c r="L488">
        <f>IF($I488="","",$I488*COS(RADIANS($C488))*SIN(RADIANS($D488))+$J488*COS(RADIANS($E488))*SIN(RADIANS($F488)))</f>
        <v/>
      </c>
      <c r="M488">
        <f>IF($I488="","",$I488*SIN(RADIANS($C488))+$J488*SIN(RADIANS($E488)))</f>
        <v/>
      </c>
      <c r="N488">
        <f>IF($M488="","",DEGREES(ATAN2(SQRT($K488^2+$L488^2),$M488)))</f>
        <v/>
      </c>
      <c r="O488">
        <f>IF($M488="","",DEGREES(ATAN2($K488,$L488)))</f>
        <v/>
      </c>
      <c r="P488">
        <f t="array" ref="P488">IF($N488="","",IFERROR(IF(INDEX(geo_grid!$B$2:$JU$231,INT(($N488+40)/0.5)+1,INT(($O488+30)/0.5)+1)="","",INDEX(geo_grid!$B$2:$JU$231,INT(($N488+40)/0.5)+1,INT(($O488+30)/0.5)+1)),"OUTSIDE GRID"))</f>
        <v/>
      </c>
      <c r="Q488">
        <f>IF($P488="","",$A488*1000+$B488)</f>
        <v/>
      </c>
    </row>
    <row r="489">
      <c r="A489">
        <f>INT((ROW()-2)/151)+1</f>
        <v/>
      </c>
      <c r="B489">
        <f>MOD(ROW()-2,151)</f>
        <v/>
      </c>
      <c r="C489">
        <f t="array" ref="C489">IFERROR(INDEX('TRIP MANAGER'!$O$18:$O$25,$A489),"")</f>
        <v/>
      </c>
      <c r="D489">
        <f t="array" ref="D489">IFERROR(INDEX('TRIP MANAGER'!$P$18:$P$25,$A489),"")</f>
        <v/>
      </c>
      <c r="E489">
        <f t="array" ref="E489">IFERROR(INDEX('TRIP MANAGER'!$Q$18:$Q$25,$A489),"")</f>
        <v/>
      </c>
      <c r="F489">
        <f t="array" ref="F489">IFERROR(INDEX('TRIP MANAGER'!$R$18:$R$25,$A489),"")</f>
        <v/>
      </c>
      <c r="G489">
        <f t="array" ref="G489">IFERROR(INDEX('TRIP MANAGER'!$S$18:$S$25,$A489),"")</f>
        <v/>
      </c>
      <c r="H489">
        <f>$B489/150</f>
        <v/>
      </c>
      <c r="I489">
        <f>IF(OR($G489="",$G489=0),"",SIN((1-$H489)*$G489)/SIN($G489))</f>
        <v/>
      </c>
      <c r="J489">
        <f>IF($I489="","",SIN($H489*$G489)/SIN($G489))</f>
        <v/>
      </c>
      <c r="K489">
        <f>IF($I489="","",$I489*COS(RADIANS($C489))*COS(RADIANS($D489))+$J489*COS(RADIANS($E489))*COS(RADIANS($F489)))</f>
        <v/>
      </c>
      <c r="L489">
        <f>IF($I489="","",$I489*COS(RADIANS($C489))*SIN(RADIANS($D489))+$J489*COS(RADIANS($E489))*SIN(RADIANS($F489)))</f>
        <v/>
      </c>
      <c r="M489">
        <f>IF($I489="","",$I489*SIN(RADIANS($C489))+$J489*SIN(RADIANS($E489)))</f>
        <v/>
      </c>
      <c r="N489">
        <f>IF($M489="","",DEGREES(ATAN2(SQRT($K489^2+$L489^2),$M489)))</f>
        <v/>
      </c>
      <c r="O489">
        <f>IF($M489="","",DEGREES(ATAN2($K489,$L489)))</f>
        <v/>
      </c>
      <c r="P489">
        <f t="array" ref="P489">IF($N489="","",IFERROR(IF(INDEX(geo_grid!$B$2:$JU$231,INT(($N489+40)/0.5)+1,INT(($O489+30)/0.5)+1)="","",INDEX(geo_grid!$B$2:$JU$231,INT(($N489+40)/0.5)+1,INT(($O489+30)/0.5)+1)),"OUTSIDE GRID"))</f>
        <v/>
      </c>
      <c r="Q489">
        <f>IF($P489="","",$A489*1000+$B489)</f>
        <v/>
      </c>
    </row>
    <row r="490">
      <c r="A490">
        <f>INT((ROW()-2)/151)+1</f>
        <v/>
      </c>
      <c r="B490">
        <f>MOD(ROW()-2,151)</f>
        <v/>
      </c>
      <c r="C490">
        <f t="array" ref="C490">IFERROR(INDEX('TRIP MANAGER'!$O$18:$O$25,$A490),"")</f>
        <v/>
      </c>
      <c r="D490">
        <f t="array" ref="D490">IFERROR(INDEX('TRIP MANAGER'!$P$18:$P$25,$A490),"")</f>
        <v/>
      </c>
      <c r="E490">
        <f t="array" ref="E490">IFERROR(INDEX('TRIP MANAGER'!$Q$18:$Q$25,$A490),"")</f>
        <v/>
      </c>
      <c r="F490">
        <f t="array" ref="F490">IFERROR(INDEX('TRIP MANAGER'!$R$18:$R$25,$A490),"")</f>
        <v/>
      </c>
      <c r="G490">
        <f t="array" ref="G490">IFERROR(INDEX('TRIP MANAGER'!$S$18:$S$25,$A490),"")</f>
        <v/>
      </c>
      <c r="H490">
        <f>$B490/150</f>
        <v/>
      </c>
      <c r="I490">
        <f>IF(OR($G490="",$G490=0),"",SIN((1-$H490)*$G490)/SIN($G490))</f>
        <v/>
      </c>
      <c r="J490">
        <f>IF($I490="","",SIN($H490*$G490)/SIN($G490))</f>
        <v/>
      </c>
      <c r="K490">
        <f>IF($I490="","",$I490*COS(RADIANS($C490))*COS(RADIANS($D490))+$J490*COS(RADIANS($E490))*COS(RADIANS($F490)))</f>
        <v/>
      </c>
      <c r="L490">
        <f>IF($I490="","",$I490*COS(RADIANS($C490))*SIN(RADIANS($D490))+$J490*COS(RADIANS($E490))*SIN(RADIANS($F490)))</f>
        <v/>
      </c>
      <c r="M490">
        <f>IF($I490="","",$I490*SIN(RADIANS($C490))+$J490*SIN(RADIANS($E490)))</f>
        <v/>
      </c>
      <c r="N490">
        <f>IF($M490="","",DEGREES(ATAN2(SQRT($K490^2+$L490^2),$M490)))</f>
        <v/>
      </c>
      <c r="O490">
        <f>IF($M490="","",DEGREES(ATAN2($K490,$L490)))</f>
        <v/>
      </c>
      <c r="P490">
        <f t="array" ref="P490">IF($N490="","",IFERROR(IF(INDEX(geo_grid!$B$2:$JU$231,INT(($N490+40)/0.5)+1,INT(($O490+30)/0.5)+1)="","",INDEX(geo_grid!$B$2:$JU$231,INT(($N490+40)/0.5)+1,INT(($O490+30)/0.5)+1)),"OUTSIDE GRID"))</f>
        <v/>
      </c>
      <c r="Q490">
        <f>IF($P490="","",$A490*1000+$B490)</f>
        <v/>
      </c>
    </row>
    <row r="491">
      <c r="A491">
        <f>INT((ROW()-2)/151)+1</f>
        <v/>
      </c>
      <c r="B491">
        <f>MOD(ROW()-2,151)</f>
        <v/>
      </c>
      <c r="C491">
        <f t="array" ref="C491">IFERROR(INDEX('TRIP MANAGER'!$O$18:$O$25,$A491),"")</f>
        <v/>
      </c>
      <c r="D491">
        <f t="array" ref="D491">IFERROR(INDEX('TRIP MANAGER'!$P$18:$P$25,$A491),"")</f>
        <v/>
      </c>
      <c r="E491">
        <f t="array" ref="E491">IFERROR(INDEX('TRIP MANAGER'!$Q$18:$Q$25,$A491),"")</f>
        <v/>
      </c>
      <c r="F491">
        <f t="array" ref="F491">IFERROR(INDEX('TRIP MANAGER'!$R$18:$R$25,$A491),"")</f>
        <v/>
      </c>
      <c r="G491">
        <f t="array" ref="G491">IFERROR(INDEX('TRIP MANAGER'!$S$18:$S$25,$A491),"")</f>
        <v/>
      </c>
      <c r="H491">
        <f>$B491/150</f>
        <v/>
      </c>
      <c r="I491">
        <f>IF(OR($G491="",$G491=0),"",SIN((1-$H491)*$G491)/SIN($G491))</f>
        <v/>
      </c>
      <c r="J491">
        <f>IF($I491="","",SIN($H491*$G491)/SIN($G491))</f>
        <v/>
      </c>
      <c r="K491">
        <f>IF($I491="","",$I491*COS(RADIANS($C491))*COS(RADIANS($D491))+$J491*COS(RADIANS($E491))*COS(RADIANS($F491)))</f>
        <v/>
      </c>
      <c r="L491">
        <f>IF($I491="","",$I491*COS(RADIANS($C491))*SIN(RADIANS($D491))+$J491*COS(RADIANS($E491))*SIN(RADIANS($F491)))</f>
        <v/>
      </c>
      <c r="M491">
        <f>IF($I491="","",$I491*SIN(RADIANS($C491))+$J491*SIN(RADIANS($E491)))</f>
        <v/>
      </c>
      <c r="N491">
        <f>IF($M491="","",DEGREES(ATAN2(SQRT($K491^2+$L491^2),$M491)))</f>
        <v/>
      </c>
      <c r="O491">
        <f>IF($M491="","",DEGREES(ATAN2($K491,$L491)))</f>
        <v/>
      </c>
      <c r="P491">
        <f t="array" ref="P491">IF($N491="","",IFERROR(IF(INDEX(geo_grid!$B$2:$JU$231,INT(($N491+40)/0.5)+1,INT(($O491+30)/0.5)+1)="","",INDEX(geo_grid!$B$2:$JU$231,INT(($N491+40)/0.5)+1,INT(($O491+30)/0.5)+1)),"OUTSIDE GRID"))</f>
        <v/>
      </c>
      <c r="Q491">
        <f>IF($P491="","",$A491*1000+$B491)</f>
        <v/>
      </c>
    </row>
    <row r="492">
      <c r="A492">
        <f>INT((ROW()-2)/151)+1</f>
        <v/>
      </c>
      <c r="B492">
        <f>MOD(ROW()-2,151)</f>
        <v/>
      </c>
      <c r="C492">
        <f t="array" ref="C492">IFERROR(INDEX('TRIP MANAGER'!$O$18:$O$25,$A492),"")</f>
        <v/>
      </c>
      <c r="D492">
        <f t="array" ref="D492">IFERROR(INDEX('TRIP MANAGER'!$P$18:$P$25,$A492),"")</f>
        <v/>
      </c>
      <c r="E492">
        <f t="array" ref="E492">IFERROR(INDEX('TRIP MANAGER'!$Q$18:$Q$25,$A492),"")</f>
        <v/>
      </c>
      <c r="F492">
        <f t="array" ref="F492">IFERROR(INDEX('TRIP MANAGER'!$R$18:$R$25,$A492),"")</f>
        <v/>
      </c>
      <c r="G492">
        <f t="array" ref="G492">IFERROR(INDEX('TRIP MANAGER'!$S$18:$S$25,$A492),"")</f>
        <v/>
      </c>
      <c r="H492">
        <f>$B492/150</f>
        <v/>
      </c>
      <c r="I492">
        <f>IF(OR($G492="",$G492=0),"",SIN((1-$H492)*$G492)/SIN($G492))</f>
        <v/>
      </c>
      <c r="J492">
        <f>IF($I492="","",SIN($H492*$G492)/SIN($G492))</f>
        <v/>
      </c>
      <c r="K492">
        <f>IF($I492="","",$I492*COS(RADIANS($C492))*COS(RADIANS($D492))+$J492*COS(RADIANS($E492))*COS(RADIANS($F492)))</f>
        <v/>
      </c>
      <c r="L492">
        <f>IF($I492="","",$I492*COS(RADIANS($C492))*SIN(RADIANS($D492))+$J492*COS(RADIANS($E492))*SIN(RADIANS($F492)))</f>
        <v/>
      </c>
      <c r="M492">
        <f>IF($I492="","",$I492*SIN(RADIANS($C492))+$J492*SIN(RADIANS($E492)))</f>
        <v/>
      </c>
      <c r="N492">
        <f>IF($M492="","",DEGREES(ATAN2(SQRT($K492^2+$L492^2),$M492)))</f>
        <v/>
      </c>
      <c r="O492">
        <f>IF($M492="","",DEGREES(ATAN2($K492,$L492)))</f>
        <v/>
      </c>
      <c r="P492">
        <f t="array" ref="P492">IF($N492="","",IFERROR(IF(INDEX(geo_grid!$B$2:$JU$231,INT(($N492+40)/0.5)+1,INT(($O492+30)/0.5)+1)="","",INDEX(geo_grid!$B$2:$JU$231,INT(($N492+40)/0.5)+1,INT(($O492+30)/0.5)+1)),"OUTSIDE GRID"))</f>
        <v/>
      </c>
      <c r="Q492">
        <f>IF($P492="","",$A492*1000+$B492)</f>
        <v/>
      </c>
    </row>
    <row r="493">
      <c r="A493">
        <f>INT((ROW()-2)/151)+1</f>
        <v/>
      </c>
      <c r="B493">
        <f>MOD(ROW()-2,151)</f>
        <v/>
      </c>
      <c r="C493">
        <f t="array" ref="C493">IFERROR(INDEX('TRIP MANAGER'!$O$18:$O$25,$A493),"")</f>
        <v/>
      </c>
      <c r="D493">
        <f t="array" ref="D493">IFERROR(INDEX('TRIP MANAGER'!$P$18:$P$25,$A493),"")</f>
        <v/>
      </c>
      <c r="E493">
        <f t="array" ref="E493">IFERROR(INDEX('TRIP MANAGER'!$Q$18:$Q$25,$A493),"")</f>
        <v/>
      </c>
      <c r="F493">
        <f t="array" ref="F493">IFERROR(INDEX('TRIP MANAGER'!$R$18:$R$25,$A493),"")</f>
        <v/>
      </c>
      <c r="G493">
        <f t="array" ref="G493">IFERROR(INDEX('TRIP MANAGER'!$S$18:$S$25,$A493),"")</f>
        <v/>
      </c>
      <c r="H493">
        <f>$B493/150</f>
        <v/>
      </c>
      <c r="I493">
        <f>IF(OR($G493="",$G493=0),"",SIN((1-$H493)*$G493)/SIN($G493))</f>
        <v/>
      </c>
      <c r="J493">
        <f>IF($I493="","",SIN($H493*$G493)/SIN($G493))</f>
        <v/>
      </c>
      <c r="K493">
        <f>IF($I493="","",$I493*COS(RADIANS($C493))*COS(RADIANS($D493))+$J493*COS(RADIANS($E493))*COS(RADIANS($F493)))</f>
        <v/>
      </c>
      <c r="L493">
        <f>IF($I493="","",$I493*COS(RADIANS($C493))*SIN(RADIANS($D493))+$J493*COS(RADIANS($E493))*SIN(RADIANS($F493)))</f>
        <v/>
      </c>
      <c r="M493">
        <f>IF($I493="","",$I493*SIN(RADIANS($C493))+$J493*SIN(RADIANS($E493)))</f>
        <v/>
      </c>
      <c r="N493">
        <f>IF($M493="","",DEGREES(ATAN2(SQRT($K493^2+$L493^2),$M493)))</f>
        <v/>
      </c>
      <c r="O493">
        <f>IF($M493="","",DEGREES(ATAN2($K493,$L493)))</f>
        <v/>
      </c>
      <c r="P493">
        <f t="array" ref="P493">IF($N493="","",IFERROR(IF(INDEX(geo_grid!$B$2:$JU$231,INT(($N493+40)/0.5)+1,INT(($O493+30)/0.5)+1)="","",INDEX(geo_grid!$B$2:$JU$231,INT(($N493+40)/0.5)+1,INT(($O493+30)/0.5)+1)),"OUTSIDE GRID"))</f>
        <v/>
      </c>
      <c r="Q493">
        <f>IF($P493="","",$A493*1000+$B493)</f>
        <v/>
      </c>
    </row>
    <row r="494">
      <c r="A494">
        <f>INT((ROW()-2)/151)+1</f>
        <v/>
      </c>
      <c r="B494">
        <f>MOD(ROW()-2,151)</f>
        <v/>
      </c>
      <c r="C494">
        <f t="array" ref="C494">IFERROR(INDEX('TRIP MANAGER'!$O$18:$O$25,$A494),"")</f>
        <v/>
      </c>
      <c r="D494">
        <f t="array" ref="D494">IFERROR(INDEX('TRIP MANAGER'!$P$18:$P$25,$A494),"")</f>
        <v/>
      </c>
      <c r="E494">
        <f t="array" ref="E494">IFERROR(INDEX('TRIP MANAGER'!$Q$18:$Q$25,$A494),"")</f>
        <v/>
      </c>
      <c r="F494">
        <f t="array" ref="F494">IFERROR(INDEX('TRIP MANAGER'!$R$18:$R$25,$A494),"")</f>
        <v/>
      </c>
      <c r="G494">
        <f t="array" ref="G494">IFERROR(INDEX('TRIP MANAGER'!$S$18:$S$25,$A494),"")</f>
        <v/>
      </c>
      <c r="H494">
        <f>$B494/150</f>
        <v/>
      </c>
      <c r="I494">
        <f>IF(OR($G494="",$G494=0),"",SIN((1-$H494)*$G494)/SIN($G494))</f>
        <v/>
      </c>
      <c r="J494">
        <f>IF($I494="","",SIN($H494*$G494)/SIN($G494))</f>
        <v/>
      </c>
      <c r="K494">
        <f>IF($I494="","",$I494*COS(RADIANS($C494))*COS(RADIANS($D494))+$J494*COS(RADIANS($E494))*COS(RADIANS($F494)))</f>
        <v/>
      </c>
      <c r="L494">
        <f>IF($I494="","",$I494*COS(RADIANS($C494))*SIN(RADIANS($D494))+$J494*COS(RADIANS($E494))*SIN(RADIANS($F494)))</f>
        <v/>
      </c>
      <c r="M494">
        <f>IF($I494="","",$I494*SIN(RADIANS($C494))+$J494*SIN(RADIANS($E494)))</f>
        <v/>
      </c>
      <c r="N494">
        <f>IF($M494="","",DEGREES(ATAN2(SQRT($K494^2+$L494^2),$M494)))</f>
        <v/>
      </c>
      <c r="O494">
        <f>IF($M494="","",DEGREES(ATAN2($K494,$L494)))</f>
        <v/>
      </c>
      <c r="P494">
        <f t="array" ref="P494">IF($N494="","",IFERROR(IF(INDEX(geo_grid!$B$2:$JU$231,INT(($N494+40)/0.5)+1,INT(($O494+30)/0.5)+1)="","",INDEX(geo_grid!$B$2:$JU$231,INT(($N494+40)/0.5)+1,INT(($O494+30)/0.5)+1)),"OUTSIDE GRID"))</f>
        <v/>
      </c>
      <c r="Q494">
        <f>IF($P494="","",$A494*1000+$B494)</f>
        <v/>
      </c>
    </row>
    <row r="495">
      <c r="A495">
        <f>INT((ROW()-2)/151)+1</f>
        <v/>
      </c>
      <c r="B495">
        <f>MOD(ROW()-2,151)</f>
        <v/>
      </c>
      <c r="C495">
        <f t="array" ref="C495">IFERROR(INDEX('TRIP MANAGER'!$O$18:$O$25,$A495),"")</f>
        <v/>
      </c>
      <c r="D495">
        <f t="array" ref="D495">IFERROR(INDEX('TRIP MANAGER'!$P$18:$P$25,$A495),"")</f>
        <v/>
      </c>
      <c r="E495">
        <f t="array" ref="E495">IFERROR(INDEX('TRIP MANAGER'!$Q$18:$Q$25,$A495),"")</f>
        <v/>
      </c>
      <c r="F495">
        <f t="array" ref="F495">IFERROR(INDEX('TRIP MANAGER'!$R$18:$R$25,$A495),"")</f>
        <v/>
      </c>
      <c r="G495">
        <f t="array" ref="G495">IFERROR(INDEX('TRIP MANAGER'!$S$18:$S$25,$A495),"")</f>
        <v/>
      </c>
      <c r="H495">
        <f>$B495/150</f>
        <v/>
      </c>
      <c r="I495">
        <f>IF(OR($G495="",$G495=0),"",SIN((1-$H495)*$G495)/SIN($G495))</f>
        <v/>
      </c>
      <c r="J495">
        <f>IF($I495="","",SIN($H495*$G495)/SIN($G495))</f>
        <v/>
      </c>
      <c r="K495">
        <f>IF($I495="","",$I495*COS(RADIANS($C495))*COS(RADIANS($D495))+$J495*COS(RADIANS($E495))*COS(RADIANS($F495)))</f>
        <v/>
      </c>
      <c r="L495">
        <f>IF($I495="","",$I495*COS(RADIANS($C495))*SIN(RADIANS($D495))+$J495*COS(RADIANS($E495))*SIN(RADIANS($F495)))</f>
        <v/>
      </c>
      <c r="M495">
        <f>IF($I495="","",$I495*SIN(RADIANS($C495))+$J495*SIN(RADIANS($E495)))</f>
        <v/>
      </c>
      <c r="N495">
        <f>IF($M495="","",DEGREES(ATAN2(SQRT($K495^2+$L495^2),$M495)))</f>
        <v/>
      </c>
      <c r="O495">
        <f>IF($M495="","",DEGREES(ATAN2($K495,$L495)))</f>
        <v/>
      </c>
      <c r="P495">
        <f t="array" ref="P495">IF($N495="","",IFERROR(IF(INDEX(geo_grid!$B$2:$JU$231,INT(($N495+40)/0.5)+1,INT(($O495+30)/0.5)+1)="","",INDEX(geo_grid!$B$2:$JU$231,INT(($N495+40)/0.5)+1,INT(($O495+30)/0.5)+1)),"OUTSIDE GRID"))</f>
        <v/>
      </c>
      <c r="Q495">
        <f>IF($P495="","",$A495*1000+$B495)</f>
        <v/>
      </c>
    </row>
    <row r="496">
      <c r="A496">
        <f>INT((ROW()-2)/151)+1</f>
        <v/>
      </c>
      <c r="B496">
        <f>MOD(ROW()-2,151)</f>
        <v/>
      </c>
      <c r="C496">
        <f t="array" ref="C496">IFERROR(INDEX('TRIP MANAGER'!$O$18:$O$25,$A496),"")</f>
        <v/>
      </c>
      <c r="D496">
        <f t="array" ref="D496">IFERROR(INDEX('TRIP MANAGER'!$P$18:$P$25,$A496),"")</f>
        <v/>
      </c>
      <c r="E496">
        <f t="array" ref="E496">IFERROR(INDEX('TRIP MANAGER'!$Q$18:$Q$25,$A496),"")</f>
        <v/>
      </c>
      <c r="F496">
        <f t="array" ref="F496">IFERROR(INDEX('TRIP MANAGER'!$R$18:$R$25,$A496),"")</f>
        <v/>
      </c>
      <c r="G496">
        <f t="array" ref="G496">IFERROR(INDEX('TRIP MANAGER'!$S$18:$S$25,$A496),"")</f>
        <v/>
      </c>
      <c r="H496">
        <f>$B496/150</f>
        <v/>
      </c>
      <c r="I496">
        <f>IF(OR($G496="",$G496=0),"",SIN((1-$H496)*$G496)/SIN($G496))</f>
        <v/>
      </c>
      <c r="J496">
        <f>IF($I496="","",SIN($H496*$G496)/SIN($G496))</f>
        <v/>
      </c>
      <c r="K496">
        <f>IF($I496="","",$I496*COS(RADIANS($C496))*COS(RADIANS($D496))+$J496*COS(RADIANS($E496))*COS(RADIANS($F496)))</f>
        <v/>
      </c>
      <c r="L496">
        <f>IF($I496="","",$I496*COS(RADIANS($C496))*SIN(RADIANS($D496))+$J496*COS(RADIANS($E496))*SIN(RADIANS($F496)))</f>
        <v/>
      </c>
      <c r="M496">
        <f>IF($I496="","",$I496*SIN(RADIANS($C496))+$J496*SIN(RADIANS($E496)))</f>
        <v/>
      </c>
      <c r="N496">
        <f>IF($M496="","",DEGREES(ATAN2(SQRT($K496^2+$L496^2),$M496)))</f>
        <v/>
      </c>
      <c r="O496">
        <f>IF($M496="","",DEGREES(ATAN2($K496,$L496)))</f>
        <v/>
      </c>
      <c r="P496">
        <f t="array" ref="P496">IF($N496="","",IFERROR(IF(INDEX(geo_grid!$B$2:$JU$231,INT(($N496+40)/0.5)+1,INT(($O496+30)/0.5)+1)="","",INDEX(geo_grid!$B$2:$JU$231,INT(($N496+40)/0.5)+1,INT(($O496+30)/0.5)+1)),"OUTSIDE GRID"))</f>
        <v/>
      </c>
      <c r="Q496">
        <f>IF($P496="","",$A496*1000+$B496)</f>
        <v/>
      </c>
    </row>
    <row r="497">
      <c r="A497">
        <f>INT((ROW()-2)/151)+1</f>
        <v/>
      </c>
      <c r="B497">
        <f>MOD(ROW()-2,151)</f>
        <v/>
      </c>
      <c r="C497">
        <f t="array" ref="C497">IFERROR(INDEX('TRIP MANAGER'!$O$18:$O$25,$A497),"")</f>
        <v/>
      </c>
      <c r="D497">
        <f t="array" ref="D497">IFERROR(INDEX('TRIP MANAGER'!$P$18:$P$25,$A497),"")</f>
        <v/>
      </c>
      <c r="E497">
        <f t="array" ref="E497">IFERROR(INDEX('TRIP MANAGER'!$Q$18:$Q$25,$A497),"")</f>
        <v/>
      </c>
      <c r="F497">
        <f t="array" ref="F497">IFERROR(INDEX('TRIP MANAGER'!$R$18:$R$25,$A497),"")</f>
        <v/>
      </c>
      <c r="G497">
        <f t="array" ref="G497">IFERROR(INDEX('TRIP MANAGER'!$S$18:$S$25,$A497),"")</f>
        <v/>
      </c>
      <c r="H497">
        <f>$B497/150</f>
        <v/>
      </c>
      <c r="I497">
        <f>IF(OR($G497="",$G497=0),"",SIN((1-$H497)*$G497)/SIN($G497))</f>
        <v/>
      </c>
      <c r="J497">
        <f>IF($I497="","",SIN($H497*$G497)/SIN($G497))</f>
        <v/>
      </c>
      <c r="K497">
        <f>IF($I497="","",$I497*COS(RADIANS($C497))*COS(RADIANS($D497))+$J497*COS(RADIANS($E497))*COS(RADIANS($F497)))</f>
        <v/>
      </c>
      <c r="L497">
        <f>IF($I497="","",$I497*COS(RADIANS($C497))*SIN(RADIANS($D497))+$J497*COS(RADIANS($E497))*SIN(RADIANS($F497)))</f>
        <v/>
      </c>
      <c r="M497">
        <f>IF($I497="","",$I497*SIN(RADIANS($C497))+$J497*SIN(RADIANS($E497)))</f>
        <v/>
      </c>
      <c r="N497">
        <f>IF($M497="","",DEGREES(ATAN2(SQRT($K497^2+$L497^2),$M497)))</f>
        <v/>
      </c>
      <c r="O497">
        <f>IF($M497="","",DEGREES(ATAN2($K497,$L497)))</f>
        <v/>
      </c>
      <c r="P497">
        <f t="array" ref="P497">IF($N497="","",IFERROR(IF(INDEX(geo_grid!$B$2:$JU$231,INT(($N497+40)/0.5)+1,INT(($O497+30)/0.5)+1)="","",INDEX(geo_grid!$B$2:$JU$231,INT(($N497+40)/0.5)+1,INT(($O497+30)/0.5)+1)),"OUTSIDE GRID"))</f>
        <v/>
      </c>
      <c r="Q497">
        <f>IF($P497="","",$A497*1000+$B497)</f>
        <v/>
      </c>
    </row>
    <row r="498">
      <c r="A498">
        <f>INT((ROW()-2)/151)+1</f>
        <v/>
      </c>
      <c r="B498">
        <f>MOD(ROW()-2,151)</f>
        <v/>
      </c>
      <c r="C498">
        <f t="array" ref="C498">IFERROR(INDEX('TRIP MANAGER'!$O$18:$O$25,$A498),"")</f>
        <v/>
      </c>
      <c r="D498">
        <f t="array" ref="D498">IFERROR(INDEX('TRIP MANAGER'!$P$18:$P$25,$A498),"")</f>
        <v/>
      </c>
      <c r="E498">
        <f t="array" ref="E498">IFERROR(INDEX('TRIP MANAGER'!$Q$18:$Q$25,$A498),"")</f>
        <v/>
      </c>
      <c r="F498">
        <f t="array" ref="F498">IFERROR(INDEX('TRIP MANAGER'!$R$18:$R$25,$A498),"")</f>
        <v/>
      </c>
      <c r="G498">
        <f t="array" ref="G498">IFERROR(INDEX('TRIP MANAGER'!$S$18:$S$25,$A498),"")</f>
        <v/>
      </c>
      <c r="H498">
        <f>$B498/150</f>
        <v/>
      </c>
      <c r="I498">
        <f>IF(OR($G498="",$G498=0),"",SIN((1-$H498)*$G498)/SIN($G498))</f>
        <v/>
      </c>
      <c r="J498">
        <f>IF($I498="","",SIN($H498*$G498)/SIN($G498))</f>
        <v/>
      </c>
      <c r="K498">
        <f>IF($I498="","",$I498*COS(RADIANS($C498))*COS(RADIANS($D498))+$J498*COS(RADIANS($E498))*COS(RADIANS($F498)))</f>
        <v/>
      </c>
      <c r="L498">
        <f>IF($I498="","",$I498*COS(RADIANS($C498))*SIN(RADIANS($D498))+$J498*COS(RADIANS($E498))*SIN(RADIANS($F498)))</f>
        <v/>
      </c>
      <c r="M498">
        <f>IF($I498="","",$I498*SIN(RADIANS($C498))+$J498*SIN(RADIANS($E498)))</f>
        <v/>
      </c>
      <c r="N498">
        <f>IF($M498="","",DEGREES(ATAN2(SQRT($K498^2+$L498^2),$M498)))</f>
        <v/>
      </c>
      <c r="O498">
        <f>IF($M498="","",DEGREES(ATAN2($K498,$L498)))</f>
        <v/>
      </c>
      <c r="P498">
        <f t="array" ref="P498">IF($N498="","",IFERROR(IF(INDEX(geo_grid!$B$2:$JU$231,INT(($N498+40)/0.5)+1,INT(($O498+30)/0.5)+1)="","",INDEX(geo_grid!$B$2:$JU$231,INT(($N498+40)/0.5)+1,INT(($O498+30)/0.5)+1)),"OUTSIDE GRID"))</f>
        <v/>
      </c>
      <c r="Q498">
        <f>IF($P498="","",$A498*1000+$B498)</f>
        <v/>
      </c>
    </row>
    <row r="499">
      <c r="A499">
        <f>INT((ROW()-2)/151)+1</f>
        <v/>
      </c>
      <c r="B499">
        <f>MOD(ROW()-2,151)</f>
        <v/>
      </c>
      <c r="C499">
        <f t="array" ref="C499">IFERROR(INDEX('TRIP MANAGER'!$O$18:$O$25,$A499),"")</f>
        <v/>
      </c>
      <c r="D499">
        <f t="array" ref="D499">IFERROR(INDEX('TRIP MANAGER'!$P$18:$P$25,$A499),"")</f>
        <v/>
      </c>
      <c r="E499">
        <f t="array" ref="E499">IFERROR(INDEX('TRIP MANAGER'!$Q$18:$Q$25,$A499),"")</f>
        <v/>
      </c>
      <c r="F499">
        <f t="array" ref="F499">IFERROR(INDEX('TRIP MANAGER'!$R$18:$R$25,$A499),"")</f>
        <v/>
      </c>
      <c r="G499">
        <f t="array" ref="G499">IFERROR(INDEX('TRIP MANAGER'!$S$18:$S$25,$A499),"")</f>
        <v/>
      </c>
      <c r="H499">
        <f>$B499/150</f>
        <v/>
      </c>
      <c r="I499">
        <f>IF(OR($G499="",$G499=0),"",SIN((1-$H499)*$G499)/SIN($G499))</f>
        <v/>
      </c>
      <c r="J499">
        <f>IF($I499="","",SIN($H499*$G499)/SIN($G499))</f>
        <v/>
      </c>
      <c r="K499">
        <f>IF($I499="","",$I499*COS(RADIANS($C499))*COS(RADIANS($D499))+$J499*COS(RADIANS($E499))*COS(RADIANS($F499)))</f>
        <v/>
      </c>
      <c r="L499">
        <f>IF($I499="","",$I499*COS(RADIANS($C499))*SIN(RADIANS($D499))+$J499*COS(RADIANS($E499))*SIN(RADIANS($F499)))</f>
        <v/>
      </c>
      <c r="M499">
        <f>IF($I499="","",$I499*SIN(RADIANS($C499))+$J499*SIN(RADIANS($E499)))</f>
        <v/>
      </c>
      <c r="N499">
        <f>IF($M499="","",DEGREES(ATAN2(SQRT($K499^2+$L499^2),$M499)))</f>
        <v/>
      </c>
      <c r="O499">
        <f>IF($M499="","",DEGREES(ATAN2($K499,$L499)))</f>
        <v/>
      </c>
      <c r="P499">
        <f t="array" ref="P499">IF($N499="","",IFERROR(IF(INDEX(geo_grid!$B$2:$JU$231,INT(($N499+40)/0.5)+1,INT(($O499+30)/0.5)+1)="","",INDEX(geo_grid!$B$2:$JU$231,INT(($N499+40)/0.5)+1,INT(($O499+30)/0.5)+1)),"OUTSIDE GRID"))</f>
        <v/>
      </c>
      <c r="Q499">
        <f>IF($P499="","",$A499*1000+$B499)</f>
        <v/>
      </c>
    </row>
    <row r="500">
      <c r="A500">
        <f>INT((ROW()-2)/151)+1</f>
        <v/>
      </c>
      <c r="B500">
        <f>MOD(ROW()-2,151)</f>
        <v/>
      </c>
      <c r="C500">
        <f t="array" ref="C500">IFERROR(INDEX('TRIP MANAGER'!$O$18:$O$25,$A500),"")</f>
        <v/>
      </c>
      <c r="D500">
        <f t="array" ref="D500">IFERROR(INDEX('TRIP MANAGER'!$P$18:$P$25,$A500),"")</f>
        <v/>
      </c>
      <c r="E500">
        <f t="array" ref="E500">IFERROR(INDEX('TRIP MANAGER'!$Q$18:$Q$25,$A500),"")</f>
        <v/>
      </c>
      <c r="F500">
        <f t="array" ref="F500">IFERROR(INDEX('TRIP MANAGER'!$R$18:$R$25,$A500),"")</f>
        <v/>
      </c>
      <c r="G500">
        <f t="array" ref="G500">IFERROR(INDEX('TRIP MANAGER'!$S$18:$S$25,$A500),"")</f>
        <v/>
      </c>
      <c r="H500">
        <f>$B500/150</f>
        <v/>
      </c>
      <c r="I500">
        <f>IF(OR($G500="",$G500=0),"",SIN((1-$H500)*$G500)/SIN($G500))</f>
        <v/>
      </c>
      <c r="J500">
        <f>IF($I500="","",SIN($H500*$G500)/SIN($G500))</f>
        <v/>
      </c>
      <c r="K500">
        <f>IF($I500="","",$I500*COS(RADIANS($C500))*COS(RADIANS($D500))+$J500*COS(RADIANS($E500))*COS(RADIANS($F500)))</f>
        <v/>
      </c>
      <c r="L500">
        <f>IF($I500="","",$I500*COS(RADIANS($C500))*SIN(RADIANS($D500))+$J500*COS(RADIANS($E500))*SIN(RADIANS($F500)))</f>
        <v/>
      </c>
      <c r="M500">
        <f>IF($I500="","",$I500*SIN(RADIANS($C500))+$J500*SIN(RADIANS($E500)))</f>
        <v/>
      </c>
      <c r="N500">
        <f>IF($M500="","",DEGREES(ATAN2(SQRT($K500^2+$L500^2),$M500)))</f>
        <v/>
      </c>
      <c r="O500">
        <f>IF($M500="","",DEGREES(ATAN2($K500,$L500)))</f>
        <v/>
      </c>
      <c r="P500">
        <f t="array" ref="P500">IF($N500="","",IFERROR(IF(INDEX(geo_grid!$B$2:$JU$231,INT(($N500+40)/0.5)+1,INT(($O500+30)/0.5)+1)="","",INDEX(geo_grid!$B$2:$JU$231,INT(($N500+40)/0.5)+1,INT(($O500+30)/0.5)+1)),"OUTSIDE GRID"))</f>
        <v/>
      </c>
      <c r="Q500">
        <f>IF($P500="","",$A500*1000+$B500)</f>
        <v/>
      </c>
    </row>
    <row r="501">
      <c r="A501">
        <f>INT((ROW()-2)/151)+1</f>
        <v/>
      </c>
      <c r="B501">
        <f>MOD(ROW()-2,151)</f>
        <v/>
      </c>
      <c r="C501">
        <f t="array" ref="C501">IFERROR(INDEX('TRIP MANAGER'!$O$18:$O$25,$A501),"")</f>
        <v/>
      </c>
      <c r="D501">
        <f t="array" ref="D501">IFERROR(INDEX('TRIP MANAGER'!$P$18:$P$25,$A501),"")</f>
        <v/>
      </c>
      <c r="E501">
        <f t="array" ref="E501">IFERROR(INDEX('TRIP MANAGER'!$Q$18:$Q$25,$A501),"")</f>
        <v/>
      </c>
      <c r="F501">
        <f t="array" ref="F501">IFERROR(INDEX('TRIP MANAGER'!$R$18:$R$25,$A501),"")</f>
        <v/>
      </c>
      <c r="G501">
        <f t="array" ref="G501">IFERROR(INDEX('TRIP MANAGER'!$S$18:$S$25,$A501),"")</f>
        <v/>
      </c>
      <c r="H501">
        <f>$B501/150</f>
        <v/>
      </c>
      <c r="I501">
        <f>IF(OR($G501="",$G501=0),"",SIN((1-$H501)*$G501)/SIN($G501))</f>
        <v/>
      </c>
      <c r="J501">
        <f>IF($I501="","",SIN($H501*$G501)/SIN($G501))</f>
        <v/>
      </c>
      <c r="K501">
        <f>IF($I501="","",$I501*COS(RADIANS($C501))*COS(RADIANS($D501))+$J501*COS(RADIANS($E501))*COS(RADIANS($F501)))</f>
        <v/>
      </c>
      <c r="L501">
        <f>IF($I501="","",$I501*COS(RADIANS($C501))*SIN(RADIANS($D501))+$J501*COS(RADIANS($E501))*SIN(RADIANS($F501)))</f>
        <v/>
      </c>
      <c r="M501">
        <f>IF($I501="","",$I501*SIN(RADIANS($C501))+$J501*SIN(RADIANS($E501)))</f>
        <v/>
      </c>
      <c r="N501">
        <f>IF($M501="","",DEGREES(ATAN2(SQRT($K501^2+$L501^2),$M501)))</f>
        <v/>
      </c>
      <c r="O501">
        <f>IF($M501="","",DEGREES(ATAN2($K501,$L501)))</f>
        <v/>
      </c>
      <c r="P501">
        <f t="array" ref="P501">IF($N501="","",IFERROR(IF(INDEX(geo_grid!$B$2:$JU$231,INT(($N501+40)/0.5)+1,INT(($O501+30)/0.5)+1)="","",INDEX(geo_grid!$B$2:$JU$231,INT(($N501+40)/0.5)+1,INT(($O501+30)/0.5)+1)),"OUTSIDE GRID"))</f>
        <v/>
      </c>
      <c r="Q501">
        <f>IF($P501="","",$A501*1000+$B501)</f>
        <v/>
      </c>
    </row>
    <row r="502">
      <c r="A502">
        <f>INT((ROW()-2)/151)+1</f>
        <v/>
      </c>
      <c r="B502">
        <f>MOD(ROW()-2,151)</f>
        <v/>
      </c>
      <c r="C502">
        <f t="array" ref="C502">IFERROR(INDEX('TRIP MANAGER'!$O$18:$O$25,$A502),"")</f>
        <v/>
      </c>
      <c r="D502">
        <f t="array" ref="D502">IFERROR(INDEX('TRIP MANAGER'!$P$18:$P$25,$A502),"")</f>
        <v/>
      </c>
      <c r="E502">
        <f t="array" ref="E502">IFERROR(INDEX('TRIP MANAGER'!$Q$18:$Q$25,$A502),"")</f>
        <v/>
      </c>
      <c r="F502">
        <f t="array" ref="F502">IFERROR(INDEX('TRIP MANAGER'!$R$18:$R$25,$A502),"")</f>
        <v/>
      </c>
      <c r="G502">
        <f t="array" ref="G502">IFERROR(INDEX('TRIP MANAGER'!$S$18:$S$25,$A502),"")</f>
        <v/>
      </c>
      <c r="H502">
        <f>$B502/150</f>
        <v/>
      </c>
      <c r="I502">
        <f>IF(OR($G502="",$G502=0),"",SIN((1-$H502)*$G502)/SIN($G502))</f>
        <v/>
      </c>
      <c r="J502">
        <f>IF($I502="","",SIN($H502*$G502)/SIN($G502))</f>
        <v/>
      </c>
      <c r="K502">
        <f>IF($I502="","",$I502*COS(RADIANS($C502))*COS(RADIANS($D502))+$J502*COS(RADIANS($E502))*COS(RADIANS($F502)))</f>
        <v/>
      </c>
      <c r="L502">
        <f>IF($I502="","",$I502*COS(RADIANS($C502))*SIN(RADIANS($D502))+$J502*COS(RADIANS($E502))*SIN(RADIANS($F502)))</f>
        <v/>
      </c>
      <c r="M502">
        <f>IF($I502="","",$I502*SIN(RADIANS($C502))+$J502*SIN(RADIANS($E502)))</f>
        <v/>
      </c>
      <c r="N502">
        <f>IF($M502="","",DEGREES(ATAN2(SQRT($K502^2+$L502^2),$M502)))</f>
        <v/>
      </c>
      <c r="O502">
        <f>IF($M502="","",DEGREES(ATAN2($K502,$L502)))</f>
        <v/>
      </c>
      <c r="P502">
        <f t="array" ref="P502">IF($N502="","",IFERROR(IF(INDEX(geo_grid!$B$2:$JU$231,INT(($N502+40)/0.5)+1,INT(($O502+30)/0.5)+1)="","",INDEX(geo_grid!$B$2:$JU$231,INT(($N502+40)/0.5)+1,INT(($O502+30)/0.5)+1)),"OUTSIDE GRID"))</f>
        <v/>
      </c>
      <c r="Q502">
        <f>IF($P502="","",$A502*1000+$B502)</f>
        <v/>
      </c>
    </row>
    <row r="503">
      <c r="A503">
        <f>INT((ROW()-2)/151)+1</f>
        <v/>
      </c>
      <c r="B503">
        <f>MOD(ROW()-2,151)</f>
        <v/>
      </c>
      <c r="C503">
        <f t="array" ref="C503">IFERROR(INDEX('TRIP MANAGER'!$O$18:$O$25,$A503),"")</f>
        <v/>
      </c>
      <c r="D503">
        <f t="array" ref="D503">IFERROR(INDEX('TRIP MANAGER'!$P$18:$P$25,$A503),"")</f>
        <v/>
      </c>
      <c r="E503">
        <f t="array" ref="E503">IFERROR(INDEX('TRIP MANAGER'!$Q$18:$Q$25,$A503),"")</f>
        <v/>
      </c>
      <c r="F503">
        <f t="array" ref="F503">IFERROR(INDEX('TRIP MANAGER'!$R$18:$R$25,$A503),"")</f>
        <v/>
      </c>
      <c r="G503">
        <f t="array" ref="G503">IFERROR(INDEX('TRIP MANAGER'!$S$18:$S$25,$A503),"")</f>
        <v/>
      </c>
      <c r="H503">
        <f>$B503/150</f>
        <v/>
      </c>
      <c r="I503">
        <f>IF(OR($G503="",$G503=0),"",SIN((1-$H503)*$G503)/SIN($G503))</f>
        <v/>
      </c>
      <c r="J503">
        <f>IF($I503="","",SIN($H503*$G503)/SIN($G503))</f>
        <v/>
      </c>
      <c r="K503">
        <f>IF($I503="","",$I503*COS(RADIANS($C503))*COS(RADIANS($D503))+$J503*COS(RADIANS($E503))*COS(RADIANS($F503)))</f>
        <v/>
      </c>
      <c r="L503">
        <f>IF($I503="","",$I503*COS(RADIANS($C503))*SIN(RADIANS($D503))+$J503*COS(RADIANS($E503))*SIN(RADIANS($F503)))</f>
        <v/>
      </c>
      <c r="M503">
        <f>IF($I503="","",$I503*SIN(RADIANS($C503))+$J503*SIN(RADIANS($E503)))</f>
        <v/>
      </c>
      <c r="N503">
        <f>IF($M503="","",DEGREES(ATAN2(SQRT($K503^2+$L503^2),$M503)))</f>
        <v/>
      </c>
      <c r="O503">
        <f>IF($M503="","",DEGREES(ATAN2($K503,$L503)))</f>
        <v/>
      </c>
      <c r="P503">
        <f t="array" ref="P503">IF($N503="","",IFERROR(IF(INDEX(geo_grid!$B$2:$JU$231,INT(($N503+40)/0.5)+1,INT(($O503+30)/0.5)+1)="","",INDEX(geo_grid!$B$2:$JU$231,INT(($N503+40)/0.5)+1,INT(($O503+30)/0.5)+1)),"OUTSIDE GRID"))</f>
        <v/>
      </c>
      <c r="Q503">
        <f>IF($P503="","",$A503*1000+$B503)</f>
        <v/>
      </c>
    </row>
    <row r="504">
      <c r="A504">
        <f>INT((ROW()-2)/151)+1</f>
        <v/>
      </c>
      <c r="B504">
        <f>MOD(ROW()-2,151)</f>
        <v/>
      </c>
      <c r="C504">
        <f t="array" ref="C504">IFERROR(INDEX('TRIP MANAGER'!$O$18:$O$25,$A504),"")</f>
        <v/>
      </c>
      <c r="D504">
        <f t="array" ref="D504">IFERROR(INDEX('TRIP MANAGER'!$P$18:$P$25,$A504),"")</f>
        <v/>
      </c>
      <c r="E504">
        <f t="array" ref="E504">IFERROR(INDEX('TRIP MANAGER'!$Q$18:$Q$25,$A504),"")</f>
        <v/>
      </c>
      <c r="F504">
        <f t="array" ref="F504">IFERROR(INDEX('TRIP MANAGER'!$R$18:$R$25,$A504),"")</f>
        <v/>
      </c>
      <c r="G504">
        <f t="array" ref="G504">IFERROR(INDEX('TRIP MANAGER'!$S$18:$S$25,$A504),"")</f>
        <v/>
      </c>
      <c r="H504">
        <f>$B504/150</f>
        <v/>
      </c>
      <c r="I504">
        <f>IF(OR($G504="",$G504=0),"",SIN((1-$H504)*$G504)/SIN($G504))</f>
        <v/>
      </c>
      <c r="J504">
        <f>IF($I504="","",SIN($H504*$G504)/SIN($G504))</f>
        <v/>
      </c>
      <c r="K504">
        <f>IF($I504="","",$I504*COS(RADIANS($C504))*COS(RADIANS($D504))+$J504*COS(RADIANS($E504))*COS(RADIANS($F504)))</f>
        <v/>
      </c>
      <c r="L504">
        <f>IF($I504="","",$I504*COS(RADIANS($C504))*SIN(RADIANS($D504))+$J504*COS(RADIANS($E504))*SIN(RADIANS($F504)))</f>
        <v/>
      </c>
      <c r="M504">
        <f>IF($I504="","",$I504*SIN(RADIANS($C504))+$J504*SIN(RADIANS($E504)))</f>
        <v/>
      </c>
      <c r="N504">
        <f>IF($M504="","",DEGREES(ATAN2(SQRT($K504^2+$L504^2),$M504)))</f>
        <v/>
      </c>
      <c r="O504">
        <f>IF($M504="","",DEGREES(ATAN2($K504,$L504)))</f>
        <v/>
      </c>
      <c r="P504">
        <f t="array" ref="P504">IF($N504="","",IFERROR(IF(INDEX(geo_grid!$B$2:$JU$231,INT(($N504+40)/0.5)+1,INT(($O504+30)/0.5)+1)="","",INDEX(geo_grid!$B$2:$JU$231,INT(($N504+40)/0.5)+1,INT(($O504+30)/0.5)+1)),"OUTSIDE GRID"))</f>
        <v/>
      </c>
      <c r="Q504">
        <f>IF($P504="","",$A504*1000+$B504)</f>
        <v/>
      </c>
    </row>
    <row r="505">
      <c r="A505">
        <f>INT((ROW()-2)/151)+1</f>
        <v/>
      </c>
      <c r="B505">
        <f>MOD(ROW()-2,151)</f>
        <v/>
      </c>
      <c r="C505">
        <f t="array" ref="C505">IFERROR(INDEX('TRIP MANAGER'!$O$18:$O$25,$A505),"")</f>
        <v/>
      </c>
      <c r="D505">
        <f t="array" ref="D505">IFERROR(INDEX('TRIP MANAGER'!$P$18:$P$25,$A505),"")</f>
        <v/>
      </c>
      <c r="E505">
        <f t="array" ref="E505">IFERROR(INDEX('TRIP MANAGER'!$Q$18:$Q$25,$A505),"")</f>
        <v/>
      </c>
      <c r="F505">
        <f t="array" ref="F505">IFERROR(INDEX('TRIP MANAGER'!$R$18:$R$25,$A505),"")</f>
        <v/>
      </c>
      <c r="G505">
        <f t="array" ref="G505">IFERROR(INDEX('TRIP MANAGER'!$S$18:$S$25,$A505),"")</f>
        <v/>
      </c>
      <c r="H505">
        <f>$B505/150</f>
        <v/>
      </c>
      <c r="I505">
        <f>IF(OR($G505="",$G505=0),"",SIN((1-$H505)*$G505)/SIN($G505))</f>
        <v/>
      </c>
      <c r="J505">
        <f>IF($I505="","",SIN($H505*$G505)/SIN($G505))</f>
        <v/>
      </c>
      <c r="K505">
        <f>IF($I505="","",$I505*COS(RADIANS($C505))*COS(RADIANS($D505))+$J505*COS(RADIANS($E505))*COS(RADIANS($F505)))</f>
        <v/>
      </c>
      <c r="L505">
        <f>IF($I505="","",$I505*COS(RADIANS($C505))*SIN(RADIANS($D505))+$J505*COS(RADIANS($E505))*SIN(RADIANS($F505)))</f>
        <v/>
      </c>
      <c r="M505">
        <f>IF($I505="","",$I505*SIN(RADIANS($C505))+$J505*SIN(RADIANS($E505)))</f>
        <v/>
      </c>
      <c r="N505">
        <f>IF($M505="","",DEGREES(ATAN2(SQRT($K505^2+$L505^2),$M505)))</f>
        <v/>
      </c>
      <c r="O505">
        <f>IF($M505="","",DEGREES(ATAN2($K505,$L505)))</f>
        <v/>
      </c>
      <c r="P505">
        <f t="array" ref="P505">IF($N505="","",IFERROR(IF(INDEX(geo_grid!$B$2:$JU$231,INT(($N505+40)/0.5)+1,INT(($O505+30)/0.5)+1)="","",INDEX(geo_grid!$B$2:$JU$231,INT(($N505+40)/0.5)+1,INT(($O505+30)/0.5)+1)),"OUTSIDE GRID"))</f>
        <v/>
      </c>
      <c r="Q505">
        <f>IF($P505="","",$A505*1000+$B505)</f>
        <v/>
      </c>
    </row>
    <row r="506">
      <c r="A506">
        <f>INT((ROW()-2)/151)+1</f>
        <v/>
      </c>
      <c r="B506">
        <f>MOD(ROW()-2,151)</f>
        <v/>
      </c>
      <c r="C506">
        <f t="array" ref="C506">IFERROR(INDEX('TRIP MANAGER'!$O$18:$O$25,$A506),"")</f>
        <v/>
      </c>
      <c r="D506">
        <f t="array" ref="D506">IFERROR(INDEX('TRIP MANAGER'!$P$18:$P$25,$A506),"")</f>
        <v/>
      </c>
      <c r="E506">
        <f t="array" ref="E506">IFERROR(INDEX('TRIP MANAGER'!$Q$18:$Q$25,$A506),"")</f>
        <v/>
      </c>
      <c r="F506">
        <f t="array" ref="F506">IFERROR(INDEX('TRIP MANAGER'!$R$18:$R$25,$A506),"")</f>
        <v/>
      </c>
      <c r="G506">
        <f t="array" ref="G506">IFERROR(INDEX('TRIP MANAGER'!$S$18:$S$25,$A506),"")</f>
        <v/>
      </c>
      <c r="H506">
        <f>$B506/150</f>
        <v/>
      </c>
      <c r="I506">
        <f>IF(OR($G506="",$G506=0),"",SIN((1-$H506)*$G506)/SIN($G506))</f>
        <v/>
      </c>
      <c r="J506">
        <f>IF($I506="","",SIN($H506*$G506)/SIN($G506))</f>
        <v/>
      </c>
      <c r="K506">
        <f>IF($I506="","",$I506*COS(RADIANS($C506))*COS(RADIANS($D506))+$J506*COS(RADIANS($E506))*COS(RADIANS($F506)))</f>
        <v/>
      </c>
      <c r="L506">
        <f>IF($I506="","",$I506*COS(RADIANS($C506))*SIN(RADIANS($D506))+$J506*COS(RADIANS($E506))*SIN(RADIANS($F506)))</f>
        <v/>
      </c>
      <c r="M506">
        <f>IF($I506="","",$I506*SIN(RADIANS($C506))+$J506*SIN(RADIANS($E506)))</f>
        <v/>
      </c>
      <c r="N506">
        <f>IF($M506="","",DEGREES(ATAN2(SQRT($K506^2+$L506^2),$M506)))</f>
        <v/>
      </c>
      <c r="O506">
        <f>IF($M506="","",DEGREES(ATAN2($K506,$L506)))</f>
        <v/>
      </c>
      <c r="P506">
        <f t="array" ref="P506">IF($N506="","",IFERROR(IF(INDEX(geo_grid!$B$2:$JU$231,INT(($N506+40)/0.5)+1,INT(($O506+30)/0.5)+1)="","",INDEX(geo_grid!$B$2:$JU$231,INT(($N506+40)/0.5)+1,INT(($O506+30)/0.5)+1)),"OUTSIDE GRID"))</f>
        <v/>
      </c>
      <c r="Q506">
        <f>IF($P506="","",$A506*1000+$B506)</f>
        <v/>
      </c>
    </row>
    <row r="507">
      <c r="A507">
        <f>INT((ROW()-2)/151)+1</f>
        <v/>
      </c>
      <c r="B507">
        <f>MOD(ROW()-2,151)</f>
        <v/>
      </c>
      <c r="C507">
        <f t="array" ref="C507">IFERROR(INDEX('TRIP MANAGER'!$O$18:$O$25,$A507),"")</f>
        <v/>
      </c>
      <c r="D507">
        <f t="array" ref="D507">IFERROR(INDEX('TRIP MANAGER'!$P$18:$P$25,$A507),"")</f>
        <v/>
      </c>
      <c r="E507">
        <f t="array" ref="E507">IFERROR(INDEX('TRIP MANAGER'!$Q$18:$Q$25,$A507),"")</f>
        <v/>
      </c>
      <c r="F507">
        <f t="array" ref="F507">IFERROR(INDEX('TRIP MANAGER'!$R$18:$R$25,$A507),"")</f>
        <v/>
      </c>
      <c r="G507">
        <f t="array" ref="G507">IFERROR(INDEX('TRIP MANAGER'!$S$18:$S$25,$A507),"")</f>
        <v/>
      </c>
      <c r="H507">
        <f>$B507/150</f>
        <v/>
      </c>
      <c r="I507">
        <f>IF(OR($G507="",$G507=0),"",SIN((1-$H507)*$G507)/SIN($G507))</f>
        <v/>
      </c>
      <c r="J507">
        <f>IF($I507="","",SIN($H507*$G507)/SIN($G507))</f>
        <v/>
      </c>
      <c r="K507">
        <f>IF($I507="","",$I507*COS(RADIANS($C507))*COS(RADIANS($D507))+$J507*COS(RADIANS($E507))*COS(RADIANS($F507)))</f>
        <v/>
      </c>
      <c r="L507">
        <f>IF($I507="","",$I507*COS(RADIANS($C507))*SIN(RADIANS($D507))+$J507*COS(RADIANS($E507))*SIN(RADIANS($F507)))</f>
        <v/>
      </c>
      <c r="M507">
        <f>IF($I507="","",$I507*SIN(RADIANS($C507))+$J507*SIN(RADIANS($E507)))</f>
        <v/>
      </c>
      <c r="N507">
        <f>IF($M507="","",DEGREES(ATAN2(SQRT($K507^2+$L507^2),$M507)))</f>
        <v/>
      </c>
      <c r="O507">
        <f>IF($M507="","",DEGREES(ATAN2($K507,$L507)))</f>
        <v/>
      </c>
      <c r="P507">
        <f t="array" ref="P507">IF($N507="","",IFERROR(IF(INDEX(geo_grid!$B$2:$JU$231,INT(($N507+40)/0.5)+1,INT(($O507+30)/0.5)+1)="","",INDEX(geo_grid!$B$2:$JU$231,INT(($N507+40)/0.5)+1,INT(($O507+30)/0.5)+1)),"OUTSIDE GRID"))</f>
        <v/>
      </c>
      <c r="Q507">
        <f>IF($P507="","",$A507*1000+$B507)</f>
        <v/>
      </c>
    </row>
    <row r="508">
      <c r="A508">
        <f>INT((ROW()-2)/151)+1</f>
        <v/>
      </c>
      <c r="B508">
        <f>MOD(ROW()-2,151)</f>
        <v/>
      </c>
      <c r="C508">
        <f t="array" ref="C508">IFERROR(INDEX('TRIP MANAGER'!$O$18:$O$25,$A508),"")</f>
        <v/>
      </c>
      <c r="D508">
        <f t="array" ref="D508">IFERROR(INDEX('TRIP MANAGER'!$P$18:$P$25,$A508),"")</f>
        <v/>
      </c>
      <c r="E508">
        <f t="array" ref="E508">IFERROR(INDEX('TRIP MANAGER'!$Q$18:$Q$25,$A508),"")</f>
        <v/>
      </c>
      <c r="F508">
        <f t="array" ref="F508">IFERROR(INDEX('TRIP MANAGER'!$R$18:$R$25,$A508),"")</f>
        <v/>
      </c>
      <c r="G508">
        <f t="array" ref="G508">IFERROR(INDEX('TRIP MANAGER'!$S$18:$S$25,$A508),"")</f>
        <v/>
      </c>
      <c r="H508">
        <f>$B508/150</f>
        <v/>
      </c>
      <c r="I508">
        <f>IF(OR($G508="",$G508=0),"",SIN((1-$H508)*$G508)/SIN($G508))</f>
        <v/>
      </c>
      <c r="J508">
        <f>IF($I508="","",SIN($H508*$G508)/SIN($G508))</f>
        <v/>
      </c>
      <c r="K508">
        <f>IF($I508="","",$I508*COS(RADIANS($C508))*COS(RADIANS($D508))+$J508*COS(RADIANS($E508))*COS(RADIANS($F508)))</f>
        <v/>
      </c>
      <c r="L508">
        <f>IF($I508="","",$I508*COS(RADIANS($C508))*SIN(RADIANS($D508))+$J508*COS(RADIANS($E508))*SIN(RADIANS($F508)))</f>
        <v/>
      </c>
      <c r="M508">
        <f>IF($I508="","",$I508*SIN(RADIANS($C508))+$J508*SIN(RADIANS($E508)))</f>
        <v/>
      </c>
      <c r="N508">
        <f>IF($M508="","",DEGREES(ATAN2(SQRT($K508^2+$L508^2),$M508)))</f>
        <v/>
      </c>
      <c r="O508">
        <f>IF($M508="","",DEGREES(ATAN2($K508,$L508)))</f>
        <v/>
      </c>
      <c r="P508">
        <f t="array" ref="P508">IF($N508="","",IFERROR(IF(INDEX(geo_grid!$B$2:$JU$231,INT(($N508+40)/0.5)+1,INT(($O508+30)/0.5)+1)="","",INDEX(geo_grid!$B$2:$JU$231,INT(($N508+40)/0.5)+1,INT(($O508+30)/0.5)+1)),"OUTSIDE GRID"))</f>
        <v/>
      </c>
      <c r="Q508">
        <f>IF($P508="","",$A508*1000+$B508)</f>
        <v/>
      </c>
    </row>
    <row r="509">
      <c r="A509">
        <f>INT((ROW()-2)/151)+1</f>
        <v/>
      </c>
      <c r="B509">
        <f>MOD(ROW()-2,151)</f>
        <v/>
      </c>
      <c r="C509">
        <f t="array" ref="C509">IFERROR(INDEX('TRIP MANAGER'!$O$18:$O$25,$A509),"")</f>
        <v/>
      </c>
      <c r="D509">
        <f t="array" ref="D509">IFERROR(INDEX('TRIP MANAGER'!$P$18:$P$25,$A509),"")</f>
        <v/>
      </c>
      <c r="E509">
        <f t="array" ref="E509">IFERROR(INDEX('TRIP MANAGER'!$Q$18:$Q$25,$A509),"")</f>
        <v/>
      </c>
      <c r="F509">
        <f t="array" ref="F509">IFERROR(INDEX('TRIP MANAGER'!$R$18:$R$25,$A509),"")</f>
        <v/>
      </c>
      <c r="G509">
        <f t="array" ref="G509">IFERROR(INDEX('TRIP MANAGER'!$S$18:$S$25,$A509),"")</f>
        <v/>
      </c>
      <c r="H509">
        <f>$B509/150</f>
        <v/>
      </c>
      <c r="I509">
        <f>IF(OR($G509="",$G509=0),"",SIN((1-$H509)*$G509)/SIN($G509))</f>
        <v/>
      </c>
      <c r="J509">
        <f>IF($I509="","",SIN($H509*$G509)/SIN($G509))</f>
        <v/>
      </c>
      <c r="K509">
        <f>IF($I509="","",$I509*COS(RADIANS($C509))*COS(RADIANS($D509))+$J509*COS(RADIANS($E509))*COS(RADIANS($F509)))</f>
        <v/>
      </c>
      <c r="L509">
        <f>IF($I509="","",$I509*COS(RADIANS($C509))*SIN(RADIANS($D509))+$J509*COS(RADIANS($E509))*SIN(RADIANS($F509)))</f>
        <v/>
      </c>
      <c r="M509">
        <f>IF($I509="","",$I509*SIN(RADIANS($C509))+$J509*SIN(RADIANS($E509)))</f>
        <v/>
      </c>
      <c r="N509">
        <f>IF($M509="","",DEGREES(ATAN2(SQRT($K509^2+$L509^2),$M509)))</f>
        <v/>
      </c>
      <c r="O509">
        <f>IF($M509="","",DEGREES(ATAN2($K509,$L509)))</f>
        <v/>
      </c>
      <c r="P509">
        <f t="array" ref="P509">IF($N509="","",IFERROR(IF(INDEX(geo_grid!$B$2:$JU$231,INT(($N509+40)/0.5)+1,INT(($O509+30)/0.5)+1)="","",INDEX(geo_grid!$B$2:$JU$231,INT(($N509+40)/0.5)+1,INT(($O509+30)/0.5)+1)),"OUTSIDE GRID"))</f>
        <v/>
      </c>
      <c r="Q509">
        <f>IF($P509="","",$A509*1000+$B509)</f>
        <v/>
      </c>
    </row>
    <row r="510">
      <c r="A510">
        <f>INT((ROW()-2)/151)+1</f>
        <v/>
      </c>
      <c r="B510">
        <f>MOD(ROW()-2,151)</f>
        <v/>
      </c>
      <c r="C510">
        <f t="array" ref="C510">IFERROR(INDEX('TRIP MANAGER'!$O$18:$O$25,$A510),"")</f>
        <v/>
      </c>
      <c r="D510">
        <f t="array" ref="D510">IFERROR(INDEX('TRIP MANAGER'!$P$18:$P$25,$A510),"")</f>
        <v/>
      </c>
      <c r="E510">
        <f t="array" ref="E510">IFERROR(INDEX('TRIP MANAGER'!$Q$18:$Q$25,$A510),"")</f>
        <v/>
      </c>
      <c r="F510">
        <f t="array" ref="F510">IFERROR(INDEX('TRIP MANAGER'!$R$18:$R$25,$A510),"")</f>
        <v/>
      </c>
      <c r="G510">
        <f t="array" ref="G510">IFERROR(INDEX('TRIP MANAGER'!$S$18:$S$25,$A510),"")</f>
        <v/>
      </c>
      <c r="H510">
        <f>$B510/150</f>
        <v/>
      </c>
      <c r="I510">
        <f>IF(OR($G510="",$G510=0),"",SIN((1-$H510)*$G510)/SIN($G510))</f>
        <v/>
      </c>
      <c r="J510">
        <f>IF($I510="","",SIN($H510*$G510)/SIN($G510))</f>
        <v/>
      </c>
      <c r="K510">
        <f>IF($I510="","",$I510*COS(RADIANS($C510))*COS(RADIANS($D510))+$J510*COS(RADIANS($E510))*COS(RADIANS($F510)))</f>
        <v/>
      </c>
      <c r="L510">
        <f>IF($I510="","",$I510*COS(RADIANS($C510))*SIN(RADIANS($D510))+$J510*COS(RADIANS($E510))*SIN(RADIANS($F510)))</f>
        <v/>
      </c>
      <c r="M510">
        <f>IF($I510="","",$I510*SIN(RADIANS($C510))+$J510*SIN(RADIANS($E510)))</f>
        <v/>
      </c>
      <c r="N510">
        <f>IF($M510="","",DEGREES(ATAN2(SQRT($K510^2+$L510^2),$M510)))</f>
        <v/>
      </c>
      <c r="O510">
        <f>IF($M510="","",DEGREES(ATAN2($K510,$L510)))</f>
        <v/>
      </c>
      <c r="P510">
        <f t="array" ref="P510">IF($N510="","",IFERROR(IF(INDEX(geo_grid!$B$2:$JU$231,INT(($N510+40)/0.5)+1,INT(($O510+30)/0.5)+1)="","",INDEX(geo_grid!$B$2:$JU$231,INT(($N510+40)/0.5)+1,INT(($O510+30)/0.5)+1)),"OUTSIDE GRID"))</f>
        <v/>
      </c>
      <c r="Q510">
        <f>IF($P510="","",$A510*1000+$B510)</f>
        <v/>
      </c>
    </row>
    <row r="511">
      <c r="A511">
        <f>INT((ROW()-2)/151)+1</f>
        <v/>
      </c>
      <c r="B511">
        <f>MOD(ROW()-2,151)</f>
        <v/>
      </c>
      <c r="C511">
        <f t="array" ref="C511">IFERROR(INDEX('TRIP MANAGER'!$O$18:$O$25,$A511),"")</f>
        <v/>
      </c>
      <c r="D511">
        <f t="array" ref="D511">IFERROR(INDEX('TRIP MANAGER'!$P$18:$P$25,$A511),"")</f>
        <v/>
      </c>
      <c r="E511">
        <f t="array" ref="E511">IFERROR(INDEX('TRIP MANAGER'!$Q$18:$Q$25,$A511),"")</f>
        <v/>
      </c>
      <c r="F511">
        <f t="array" ref="F511">IFERROR(INDEX('TRIP MANAGER'!$R$18:$R$25,$A511),"")</f>
        <v/>
      </c>
      <c r="G511">
        <f t="array" ref="G511">IFERROR(INDEX('TRIP MANAGER'!$S$18:$S$25,$A511),"")</f>
        <v/>
      </c>
      <c r="H511">
        <f>$B511/150</f>
        <v/>
      </c>
      <c r="I511">
        <f>IF(OR($G511="",$G511=0),"",SIN((1-$H511)*$G511)/SIN($G511))</f>
        <v/>
      </c>
      <c r="J511">
        <f>IF($I511="","",SIN($H511*$G511)/SIN($G511))</f>
        <v/>
      </c>
      <c r="K511">
        <f>IF($I511="","",$I511*COS(RADIANS($C511))*COS(RADIANS($D511))+$J511*COS(RADIANS($E511))*COS(RADIANS($F511)))</f>
        <v/>
      </c>
      <c r="L511">
        <f>IF($I511="","",$I511*COS(RADIANS($C511))*SIN(RADIANS($D511))+$J511*COS(RADIANS($E511))*SIN(RADIANS($F511)))</f>
        <v/>
      </c>
      <c r="M511">
        <f>IF($I511="","",$I511*SIN(RADIANS($C511))+$J511*SIN(RADIANS($E511)))</f>
        <v/>
      </c>
      <c r="N511">
        <f>IF($M511="","",DEGREES(ATAN2(SQRT($K511^2+$L511^2),$M511)))</f>
        <v/>
      </c>
      <c r="O511">
        <f>IF($M511="","",DEGREES(ATAN2($K511,$L511)))</f>
        <v/>
      </c>
      <c r="P511">
        <f t="array" ref="P511">IF($N511="","",IFERROR(IF(INDEX(geo_grid!$B$2:$JU$231,INT(($N511+40)/0.5)+1,INT(($O511+30)/0.5)+1)="","",INDEX(geo_grid!$B$2:$JU$231,INT(($N511+40)/0.5)+1,INT(($O511+30)/0.5)+1)),"OUTSIDE GRID"))</f>
        <v/>
      </c>
      <c r="Q511">
        <f>IF($P511="","",$A511*1000+$B511)</f>
        <v/>
      </c>
    </row>
    <row r="512">
      <c r="A512">
        <f>INT((ROW()-2)/151)+1</f>
        <v/>
      </c>
      <c r="B512">
        <f>MOD(ROW()-2,151)</f>
        <v/>
      </c>
      <c r="C512">
        <f t="array" ref="C512">IFERROR(INDEX('TRIP MANAGER'!$O$18:$O$25,$A512),"")</f>
        <v/>
      </c>
      <c r="D512">
        <f t="array" ref="D512">IFERROR(INDEX('TRIP MANAGER'!$P$18:$P$25,$A512),"")</f>
        <v/>
      </c>
      <c r="E512">
        <f t="array" ref="E512">IFERROR(INDEX('TRIP MANAGER'!$Q$18:$Q$25,$A512),"")</f>
        <v/>
      </c>
      <c r="F512">
        <f t="array" ref="F512">IFERROR(INDEX('TRIP MANAGER'!$R$18:$R$25,$A512),"")</f>
        <v/>
      </c>
      <c r="G512">
        <f t="array" ref="G512">IFERROR(INDEX('TRIP MANAGER'!$S$18:$S$25,$A512),"")</f>
        <v/>
      </c>
      <c r="H512">
        <f>$B512/150</f>
        <v/>
      </c>
      <c r="I512">
        <f>IF(OR($G512="",$G512=0),"",SIN((1-$H512)*$G512)/SIN($G512))</f>
        <v/>
      </c>
      <c r="J512">
        <f>IF($I512="","",SIN($H512*$G512)/SIN($G512))</f>
        <v/>
      </c>
      <c r="K512">
        <f>IF($I512="","",$I512*COS(RADIANS($C512))*COS(RADIANS($D512))+$J512*COS(RADIANS($E512))*COS(RADIANS($F512)))</f>
        <v/>
      </c>
      <c r="L512">
        <f>IF($I512="","",$I512*COS(RADIANS($C512))*SIN(RADIANS($D512))+$J512*COS(RADIANS($E512))*SIN(RADIANS($F512)))</f>
        <v/>
      </c>
      <c r="M512">
        <f>IF($I512="","",$I512*SIN(RADIANS($C512))+$J512*SIN(RADIANS($E512)))</f>
        <v/>
      </c>
      <c r="N512">
        <f>IF($M512="","",DEGREES(ATAN2(SQRT($K512^2+$L512^2),$M512)))</f>
        <v/>
      </c>
      <c r="O512">
        <f>IF($M512="","",DEGREES(ATAN2($K512,$L512)))</f>
        <v/>
      </c>
      <c r="P512">
        <f t="array" ref="P512">IF($N512="","",IFERROR(IF(INDEX(geo_grid!$B$2:$JU$231,INT(($N512+40)/0.5)+1,INT(($O512+30)/0.5)+1)="","",INDEX(geo_grid!$B$2:$JU$231,INT(($N512+40)/0.5)+1,INT(($O512+30)/0.5)+1)),"OUTSIDE GRID"))</f>
        <v/>
      </c>
      <c r="Q512">
        <f>IF($P512="","",$A512*1000+$B512)</f>
        <v/>
      </c>
    </row>
    <row r="513">
      <c r="A513">
        <f>INT((ROW()-2)/151)+1</f>
        <v/>
      </c>
      <c r="B513">
        <f>MOD(ROW()-2,151)</f>
        <v/>
      </c>
      <c r="C513">
        <f t="array" ref="C513">IFERROR(INDEX('TRIP MANAGER'!$O$18:$O$25,$A513),"")</f>
        <v/>
      </c>
      <c r="D513">
        <f t="array" ref="D513">IFERROR(INDEX('TRIP MANAGER'!$P$18:$P$25,$A513),"")</f>
        <v/>
      </c>
      <c r="E513">
        <f t="array" ref="E513">IFERROR(INDEX('TRIP MANAGER'!$Q$18:$Q$25,$A513),"")</f>
        <v/>
      </c>
      <c r="F513">
        <f t="array" ref="F513">IFERROR(INDEX('TRIP MANAGER'!$R$18:$R$25,$A513),"")</f>
        <v/>
      </c>
      <c r="G513">
        <f t="array" ref="G513">IFERROR(INDEX('TRIP MANAGER'!$S$18:$S$25,$A513),"")</f>
        <v/>
      </c>
      <c r="H513">
        <f>$B513/150</f>
        <v/>
      </c>
      <c r="I513">
        <f>IF(OR($G513="",$G513=0),"",SIN((1-$H513)*$G513)/SIN($G513))</f>
        <v/>
      </c>
      <c r="J513">
        <f>IF($I513="","",SIN($H513*$G513)/SIN($G513))</f>
        <v/>
      </c>
      <c r="K513">
        <f>IF($I513="","",$I513*COS(RADIANS($C513))*COS(RADIANS($D513))+$J513*COS(RADIANS($E513))*COS(RADIANS($F513)))</f>
        <v/>
      </c>
      <c r="L513">
        <f>IF($I513="","",$I513*COS(RADIANS($C513))*SIN(RADIANS($D513))+$J513*COS(RADIANS($E513))*SIN(RADIANS($F513)))</f>
        <v/>
      </c>
      <c r="M513">
        <f>IF($I513="","",$I513*SIN(RADIANS($C513))+$J513*SIN(RADIANS($E513)))</f>
        <v/>
      </c>
      <c r="N513">
        <f>IF($M513="","",DEGREES(ATAN2(SQRT($K513^2+$L513^2),$M513)))</f>
        <v/>
      </c>
      <c r="O513">
        <f>IF($M513="","",DEGREES(ATAN2($K513,$L513)))</f>
        <v/>
      </c>
      <c r="P513">
        <f t="array" ref="P513">IF($N513="","",IFERROR(IF(INDEX(geo_grid!$B$2:$JU$231,INT(($N513+40)/0.5)+1,INT(($O513+30)/0.5)+1)="","",INDEX(geo_grid!$B$2:$JU$231,INT(($N513+40)/0.5)+1,INT(($O513+30)/0.5)+1)),"OUTSIDE GRID"))</f>
        <v/>
      </c>
      <c r="Q513">
        <f>IF($P513="","",$A513*1000+$B513)</f>
        <v/>
      </c>
    </row>
    <row r="514">
      <c r="A514">
        <f>INT((ROW()-2)/151)+1</f>
        <v/>
      </c>
      <c r="B514">
        <f>MOD(ROW()-2,151)</f>
        <v/>
      </c>
      <c r="C514">
        <f t="array" ref="C514">IFERROR(INDEX('TRIP MANAGER'!$O$18:$O$25,$A514),"")</f>
        <v/>
      </c>
      <c r="D514">
        <f t="array" ref="D514">IFERROR(INDEX('TRIP MANAGER'!$P$18:$P$25,$A514),"")</f>
        <v/>
      </c>
      <c r="E514">
        <f t="array" ref="E514">IFERROR(INDEX('TRIP MANAGER'!$Q$18:$Q$25,$A514),"")</f>
        <v/>
      </c>
      <c r="F514">
        <f t="array" ref="F514">IFERROR(INDEX('TRIP MANAGER'!$R$18:$R$25,$A514),"")</f>
        <v/>
      </c>
      <c r="G514">
        <f t="array" ref="G514">IFERROR(INDEX('TRIP MANAGER'!$S$18:$S$25,$A514),"")</f>
        <v/>
      </c>
      <c r="H514">
        <f>$B514/150</f>
        <v/>
      </c>
      <c r="I514">
        <f>IF(OR($G514="",$G514=0),"",SIN((1-$H514)*$G514)/SIN($G514))</f>
        <v/>
      </c>
      <c r="J514">
        <f>IF($I514="","",SIN($H514*$G514)/SIN($G514))</f>
        <v/>
      </c>
      <c r="K514">
        <f>IF($I514="","",$I514*COS(RADIANS($C514))*COS(RADIANS($D514))+$J514*COS(RADIANS($E514))*COS(RADIANS($F514)))</f>
        <v/>
      </c>
      <c r="L514">
        <f>IF($I514="","",$I514*COS(RADIANS($C514))*SIN(RADIANS($D514))+$J514*COS(RADIANS($E514))*SIN(RADIANS($F514)))</f>
        <v/>
      </c>
      <c r="M514">
        <f>IF($I514="","",$I514*SIN(RADIANS($C514))+$J514*SIN(RADIANS($E514)))</f>
        <v/>
      </c>
      <c r="N514">
        <f>IF($M514="","",DEGREES(ATAN2(SQRT($K514^2+$L514^2),$M514)))</f>
        <v/>
      </c>
      <c r="O514">
        <f>IF($M514="","",DEGREES(ATAN2($K514,$L514)))</f>
        <v/>
      </c>
      <c r="P514">
        <f t="array" ref="P514">IF($N514="","",IFERROR(IF(INDEX(geo_grid!$B$2:$JU$231,INT(($N514+40)/0.5)+1,INT(($O514+30)/0.5)+1)="","",INDEX(geo_grid!$B$2:$JU$231,INT(($N514+40)/0.5)+1,INT(($O514+30)/0.5)+1)),"OUTSIDE GRID"))</f>
        <v/>
      </c>
      <c r="Q514">
        <f>IF($P514="","",$A514*1000+$B514)</f>
        <v/>
      </c>
    </row>
    <row r="515">
      <c r="A515">
        <f>INT((ROW()-2)/151)+1</f>
        <v/>
      </c>
      <c r="B515">
        <f>MOD(ROW()-2,151)</f>
        <v/>
      </c>
      <c r="C515">
        <f t="array" ref="C515">IFERROR(INDEX('TRIP MANAGER'!$O$18:$O$25,$A515),"")</f>
        <v/>
      </c>
      <c r="D515">
        <f t="array" ref="D515">IFERROR(INDEX('TRIP MANAGER'!$P$18:$P$25,$A515),"")</f>
        <v/>
      </c>
      <c r="E515">
        <f t="array" ref="E515">IFERROR(INDEX('TRIP MANAGER'!$Q$18:$Q$25,$A515),"")</f>
        <v/>
      </c>
      <c r="F515">
        <f t="array" ref="F515">IFERROR(INDEX('TRIP MANAGER'!$R$18:$R$25,$A515),"")</f>
        <v/>
      </c>
      <c r="G515">
        <f t="array" ref="G515">IFERROR(INDEX('TRIP MANAGER'!$S$18:$S$25,$A515),"")</f>
        <v/>
      </c>
      <c r="H515">
        <f>$B515/150</f>
        <v/>
      </c>
      <c r="I515">
        <f>IF(OR($G515="",$G515=0),"",SIN((1-$H515)*$G515)/SIN($G515))</f>
        <v/>
      </c>
      <c r="J515">
        <f>IF($I515="","",SIN($H515*$G515)/SIN($G515))</f>
        <v/>
      </c>
      <c r="K515">
        <f>IF($I515="","",$I515*COS(RADIANS($C515))*COS(RADIANS($D515))+$J515*COS(RADIANS($E515))*COS(RADIANS($F515)))</f>
        <v/>
      </c>
      <c r="L515">
        <f>IF($I515="","",$I515*COS(RADIANS($C515))*SIN(RADIANS($D515))+$J515*COS(RADIANS($E515))*SIN(RADIANS($F515)))</f>
        <v/>
      </c>
      <c r="M515">
        <f>IF($I515="","",$I515*SIN(RADIANS($C515))+$J515*SIN(RADIANS($E515)))</f>
        <v/>
      </c>
      <c r="N515">
        <f>IF($M515="","",DEGREES(ATAN2(SQRT($K515^2+$L515^2),$M515)))</f>
        <v/>
      </c>
      <c r="O515">
        <f>IF($M515="","",DEGREES(ATAN2($K515,$L515)))</f>
        <v/>
      </c>
      <c r="P515">
        <f t="array" ref="P515">IF($N515="","",IFERROR(IF(INDEX(geo_grid!$B$2:$JU$231,INT(($N515+40)/0.5)+1,INT(($O515+30)/0.5)+1)="","",INDEX(geo_grid!$B$2:$JU$231,INT(($N515+40)/0.5)+1,INT(($O515+30)/0.5)+1)),"OUTSIDE GRID"))</f>
        <v/>
      </c>
      <c r="Q515">
        <f>IF($P515="","",$A515*1000+$B515)</f>
        <v/>
      </c>
    </row>
    <row r="516">
      <c r="A516">
        <f>INT((ROW()-2)/151)+1</f>
        <v/>
      </c>
      <c r="B516">
        <f>MOD(ROW()-2,151)</f>
        <v/>
      </c>
      <c r="C516">
        <f t="array" ref="C516">IFERROR(INDEX('TRIP MANAGER'!$O$18:$O$25,$A516),"")</f>
        <v/>
      </c>
      <c r="D516">
        <f t="array" ref="D516">IFERROR(INDEX('TRIP MANAGER'!$P$18:$P$25,$A516),"")</f>
        <v/>
      </c>
      <c r="E516">
        <f t="array" ref="E516">IFERROR(INDEX('TRIP MANAGER'!$Q$18:$Q$25,$A516),"")</f>
        <v/>
      </c>
      <c r="F516">
        <f t="array" ref="F516">IFERROR(INDEX('TRIP MANAGER'!$R$18:$R$25,$A516),"")</f>
        <v/>
      </c>
      <c r="G516">
        <f t="array" ref="G516">IFERROR(INDEX('TRIP MANAGER'!$S$18:$S$25,$A516),"")</f>
        <v/>
      </c>
      <c r="H516">
        <f>$B516/150</f>
        <v/>
      </c>
      <c r="I516">
        <f>IF(OR($G516="",$G516=0),"",SIN((1-$H516)*$G516)/SIN($G516))</f>
        <v/>
      </c>
      <c r="J516">
        <f>IF($I516="","",SIN($H516*$G516)/SIN($G516))</f>
        <v/>
      </c>
      <c r="K516">
        <f>IF($I516="","",$I516*COS(RADIANS($C516))*COS(RADIANS($D516))+$J516*COS(RADIANS($E516))*COS(RADIANS($F516)))</f>
        <v/>
      </c>
      <c r="L516">
        <f>IF($I516="","",$I516*COS(RADIANS($C516))*SIN(RADIANS($D516))+$J516*COS(RADIANS($E516))*SIN(RADIANS($F516)))</f>
        <v/>
      </c>
      <c r="M516">
        <f>IF($I516="","",$I516*SIN(RADIANS($C516))+$J516*SIN(RADIANS($E516)))</f>
        <v/>
      </c>
      <c r="N516">
        <f>IF($M516="","",DEGREES(ATAN2(SQRT($K516^2+$L516^2),$M516)))</f>
        <v/>
      </c>
      <c r="O516">
        <f>IF($M516="","",DEGREES(ATAN2($K516,$L516)))</f>
        <v/>
      </c>
      <c r="P516">
        <f t="array" ref="P516">IF($N516="","",IFERROR(IF(INDEX(geo_grid!$B$2:$JU$231,INT(($N516+40)/0.5)+1,INT(($O516+30)/0.5)+1)="","",INDEX(geo_grid!$B$2:$JU$231,INT(($N516+40)/0.5)+1,INT(($O516+30)/0.5)+1)),"OUTSIDE GRID"))</f>
        <v/>
      </c>
      <c r="Q516">
        <f>IF($P516="","",$A516*1000+$B516)</f>
        <v/>
      </c>
    </row>
    <row r="517">
      <c r="A517">
        <f>INT((ROW()-2)/151)+1</f>
        <v/>
      </c>
      <c r="B517">
        <f>MOD(ROW()-2,151)</f>
        <v/>
      </c>
      <c r="C517">
        <f t="array" ref="C517">IFERROR(INDEX('TRIP MANAGER'!$O$18:$O$25,$A517),"")</f>
        <v/>
      </c>
      <c r="D517">
        <f t="array" ref="D517">IFERROR(INDEX('TRIP MANAGER'!$P$18:$P$25,$A517),"")</f>
        <v/>
      </c>
      <c r="E517">
        <f t="array" ref="E517">IFERROR(INDEX('TRIP MANAGER'!$Q$18:$Q$25,$A517),"")</f>
        <v/>
      </c>
      <c r="F517">
        <f t="array" ref="F517">IFERROR(INDEX('TRIP MANAGER'!$R$18:$R$25,$A517),"")</f>
        <v/>
      </c>
      <c r="G517">
        <f t="array" ref="G517">IFERROR(INDEX('TRIP MANAGER'!$S$18:$S$25,$A517),"")</f>
        <v/>
      </c>
      <c r="H517">
        <f>$B517/150</f>
        <v/>
      </c>
      <c r="I517">
        <f>IF(OR($G517="",$G517=0),"",SIN((1-$H517)*$G517)/SIN($G517))</f>
        <v/>
      </c>
      <c r="J517">
        <f>IF($I517="","",SIN($H517*$G517)/SIN($G517))</f>
        <v/>
      </c>
      <c r="K517">
        <f>IF($I517="","",$I517*COS(RADIANS($C517))*COS(RADIANS($D517))+$J517*COS(RADIANS($E517))*COS(RADIANS($F517)))</f>
        <v/>
      </c>
      <c r="L517">
        <f>IF($I517="","",$I517*COS(RADIANS($C517))*SIN(RADIANS($D517))+$J517*COS(RADIANS($E517))*SIN(RADIANS($F517)))</f>
        <v/>
      </c>
      <c r="M517">
        <f>IF($I517="","",$I517*SIN(RADIANS($C517))+$J517*SIN(RADIANS($E517)))</f>
        <v/>
      </c>
      <c r="N517">
        <f>IF($M517="","",DEGREES(ATAN2(SQRT($K517^2+$L517^2),$M517)))</f>
        <v/>
      </c>
      <c r="O517">
        <f>IF($M517="","",DEGREES(ATAN2($K517,$L517)))</f>
        <v/>
      </c>
      <c r="P517">
        <f t="array" ref="P517">IF($N517="","",IFERROR(IF(INDEX(geo_grid!$B$2:$JU$231,INT(($N517+40)/0.5)+1,INT(($O517+30)/0.5)+1)="","",INDEX(geo_grid!$B$2:$JU$231,INT(($N517+40)/0.5)+1,INT(($O517+30)/0.5)+1)),"OUTSIDE GRID"))</f>
        <v/>
      </c>
      <c r="Q517">
        <f>IF($P517="","",$A517*1000+$B517)</f>
        <v/>
      </c>
    </row>
    <row r="518">
      <c r="A518">
        <f>INT((ROW()-2)/151)+1</f>
        <v/>
      </c>
      <c r="B518">
        <f>MOD(ROW()-2,151)</f>
        <v/>
      </c>
      <c r="C518">
        <f t="array" ref="C518">IFERROR(INDEX('TRIP MANAGER'!$O$18:$O$25,$A518),"")</f>
        <v/>
      </c>
      <c r="D518">
        <f t="array" ref="D518">IFERROR(INDEX('TRIP MANAGER'!$P$18:$P$25,$A518),"")</f>
        <v/>
      </c>
      <c r="E518">
        <f t="array" ref="E518">IFERROR(INDEX('TRIP MANAGER'!$Q$18:$Q$25,$A518),"")</f>
        <v/>
      </c>
      <c r="F518">
        <f t="array" ref="F518">IFERROR(INDEX('TRIP MANAGER'!$R$18:$R$25,$A518),"")</f>
        <v/>
      </c>
      <c r="G518">
        <f t="array" ref="G518">IFERROR(INDEX('TRIP MANAGER'!$S$18:$S$25,$A518),"")</f>
        <v/>
      </c>
      <c r="H518">
        <f>$B518/150</f>
        <v/>
      </c>
      <c r="I518">
        <f>IF(OR($G518="",$G518=0),"",SIN((1-$H518)*$G518)/SIN($G518))</f>
        <v/>
      </c>
      <c r="J518">
        <f>IF($I518="","",SIN($H518*$G518)/SIN($G518))</f>
        <v/>
      </c>
      <c r="K518">
        <f>IF($I518="","",$I518*COS(RADIANS($C518))*COS(RADIANS($D518))+$J518*COS(RADIANS($E518))*COS(RADIANS($F518)))</f>
        <v/>
      </c>
      <c r="L518">
        <f>IF($I518="","",$I518*COS(RADIANS($C518))*SIN(RADIANS($D518))+$J518*COS(RADIANS($E518))*SIN(RADIANS($F518)))</f>
        <v/>
      </c>
      <c r="M518">
        <f>IF($I518="","",$I518*SIN(RADIANS($C518))+$J518*SIN(RADIANS($E518)))</f>
        <v/>
      </c>
      <c r="N518">
        <f>IF($M518="","",DEGREES(ATAN2(SQRT($K518^2+$L518^2),$M518)))</f>
        <v/>
      </c>
      <c r="O518">
        <f>IF($M518="","",DEGREES(ATAN2($K518,$L518)))</f>
        <v/>
      </c>
      <c r="P518">
        <f t="array" ref="P518">IF($N518="","",IFERROR(IF(INDEX(geo_grid!$B$2:$JU$231,INT(($N518+40)/0.5)+1,INT(($O518+30)/0.5)+1)="","",INDEX(geo_grid!$B$2:$JU$231,INT(($N518+40)/0.5)+1,INT(($O518+30)/0.5)+1)),"OUTSIDE GRID"))</f>
        <v/>
      </c>
      <c r="Q518">
        <f>IF($P518="","",$A518*1000+$B518)</f>
        <v/>
      </c>
    </row>
    <row r="519">
      <c r="A519">
        <f>INT((ROW()-2)/151)+1</f>
        <v/>
      </c>
      <c r="B519">
        <f>MOD(ROW()-2,151)</f>
        <v/>
      </c>
      <c r="C519">
        <f t="array" ref="C519">IFERROR(INDEX('TRIP MANAGER'!$O$18:$O$25,$A519),"")</f>
        <v/>
      </c>
      <c r="D519">
        <f t="array" ref="D519">IFERROR(INDEX('TRIP MANAGER'!$P$18:$P$25,$A519),"")</f>
        <v/>
      </c>
      <c r="E519">
        <f t="array" ref="E519">IFERROR(INDEX('TRIP MANAGER'!$Q$18:$Q$25,$A519),"")</f>
        <v/>
      </c>
      <c r="F519">
        <f t="array" ref="F519">IFERROR(INDEX('TRIP MANAGER'!$R$18:$R$25,$A519),"")</f>
        <v/>
      </c>
      <c r="G519">
        <f t="array" ref="G519">IFERROR(INDEX('TRIP MANAGER'!$S$18:$S$25,$A519),"")</f>
        <v/>
      </c>
      <c r="H519">
        <f>$B519/150</f>
        <v/>
      </c>
      <c r="I519">
        <f>IF(OR($G519="",$G519=0),"",SIN((1-$H519)*$G519)/SIN($G519))</f>
        <v/>
      </c>
      <c r="J519">
        <f>IF($I519="","",SIN($H519*$G519)/SIN($G519))</f>
        <v/>
      </c>
      <c r="K519">
        <f>IF($I519="","",$I519*COS(RADIANS($C519))*COS(RADIANS($D519))+$J519*COS(RADIANS($E519))*COS(RADIANS($F519)))</f>
        <v/>
      </c>
      <c r="L519">
        <f>IF($I519="","",$I519*COS(RADIANS($C519))*SIN(RADIANS($D519))+$J519*COS(RADIANS($E519))*SIN(RADIANS($F519)))</f>
        <v/>
      </c>
      <c r="M519">
        <f>IF($I519="","",$I519*SIN(RADIANS($C519))+$J519*SIN(RADIANS($E519)))</f>
        <v/>
      </c>
      <c r="N519">
        <f>IF($M519="","",DEGREES(ATAN2(SQRT($K519^2+$L519^2),$M519)))</f>
        <v/>
      </c>
      <c r="O519">
        <f>IF($M519="","",DEGREES(ATAN2($K519,$L519)))</f>
        <v/>
      </c>
      <c r="P519">
        <f t="array" ref="P519">IF($N519="","",IFERROR(IF(INDEX(geo_grid!$B$2:$JU$231,INT(($N519+40)/0.5)+1,INT(($O519+30)/0.5)+1)="","",INDEX(geo_grid!$B$2:$JU$231,INT(($N519+40)/0.5)+1,INT(($O519+30)/0.5)+1)),"OUTSIDE GRID"))</f>
        <v/>
      </c>
      <c r="Q519">
        <f>IF($P519="","",$A519*1000+$B519)</f>
        <v/>
      </c>
    </row>
    <row r="520">
      <c r="A520">
        <f>INT((ROW()-2)/151)+1</f>
        <v/>
      </c>
      <c r="B520">
        <f>MOD(ROW()-2,151)</f>
        <v/>
      </c>
      <c r="C520">
        <f t="array" ref="C520">IFERROR(INDEX('TRIP MANAGER'!$O$18:$O$25,$A520),"")</f>
        <v/>
      </c>
      <c r="D520">
        <f t="array" ref="D520">IFERROR(INDEX('TRIP MANAGER'!$P$18:$P$25,$A520),"")</f>
        <v/>
      </c>
      <c r="E520">
        <f t="array" ref="E520">IFERROR(INDEX('TRIP MANAGER'!$Q$18:$Q$25,$A520),"")</f>
        <v/>
      </c>
      <c r="F520">
        <f t="array" ref="F520">IFERROR(INDEX('TRIP MANAGER'!$R$18:$R$25,$A520),"")</f>
        <v/>
      </c>
      <c r="G520">
        <f t="array" ref="G520">IFERROR(INDEX('TRIP MANAGER'!$S$18:$S$25,$A520),"")</f>
        <v/>
      </c>
      <c r="H520">
        <f>$B520/150</f>
        <v/>
      </c>
      <c r="I520">
        <f>IF(OR($G520="",$G520=0),"",SIN((1-$H520)*$G520)/SIN($G520))</f>
        <v/>
      </c>
      <c r="J520">
        <f>IF($I520="","",SIN($H520*$G520)/SIN($G520))</f>
        <v/>
      </c>
      <c r="K520">
        <f>IF($I520="","",$I520*COS(RADIANS($C520))*COS(RADIANS($D520))+$J520*COS(RADIANS($E520))*COS(RADIANS($F520)))</f>
        <v/>
      </c>
      <c r="L520">
        <f>IF($I520="","",$I520*COS(RADIANS($C520))*SIN(RADIANS($D520))+$J520*COS(RADIANS($E520))*SIN(RADIANS($F520)))</f>
        <v/>
      </c>
      <c r="M520">
        <f>IF($I520="","",$I520*SIN(RADIANS($C520))+$J520*SIN(RADIANS($E520)))</f>
        <v/>
      </c>
      <c r="N520">
        <f>IF($M520="","",DEGREES(ATAN2(SQRT($K520^2+$L520^2),$M520)))</f>
        <v/>
      </c>
      <c r="O520">
        <f>IF($M520="","",DEGREES(ATAN2($K520,$L520)))</f>
        <v/>
      </c>
      <c r="P520">
        <f t="array" ref="P520">IF($N520="","",IFERROR(IF(INDEX(geo_grid!$B$2:$JU$231,INT(($N520+40)/0.5)+1,INT(($O520+30)/0.5)+1)="","",INDEX(geo_grid!$B$2:$JU$231,INT(($N520+40)/0.5)+1,INT(($O520+30)/0.5)+1)),"OUTSIDE GRID"))</f>
        <v/>
      </c>
      <c r="Q520">
        <f>IF($P520="","",$A520*1000+$B520)</f>
        <v/>
      </c>
    </row>
    <row r="521">
      <c r="A521">
        <f>INT((ROW()-2)/151)+1</f>
        <v/>
      </c>
      <c r="B521">
        <f>MOD(ROW()-2,151)</f>
        <v/>
      </c>
      <c r="C521">
        <f t="array" ref="C521">IFERROR(INDEX('TRIP MANAGER'!$O$18:$O$25,$A521),"")</f>
        <v/>
      </c>
      <c r="D521">
        <f t="array" ref="D521">IFERROR(INDEX('TRIP MANAGER'!$P$18:$P$25,$A521),"")</f>
        <v/>
      </c>
      <c r="E521">
        <f t="array" ref="E521">IFERROR(INDEX('TRIP MANAGER'!$Q$18:$Q$25,$A521),"")</f>
        <v/>
      </c>
      <c r="F521">
        <f t="array" ref="F521">IFERROR(INDEX('TRIP MANAGER'!$R$18:$R$25,$A521),"")</f>
        <v/>
      </c>
      <c r="G521">
        <f t="array" ref="G521">IFERROR(INDEX('TRIP MANAGER'!$S$18:$S$25,$A521),"")</f>
        <v/>
      </c>
      <c r="H521">
        <f>$B521/150</f>
        <v/>
      </c>
      <c r="I521">
        <f>IF(OR($G521="",$G521=0),"",SIN((1-$H521)*$G521)/SIN($G521))</f>
        <v/>
      </c>
      <c r="J521">
        <f>IF($I521="","",SIN($H521*$G521)/SIN($G521))</f>
        <v/>
      </c>
      <c r="K521">
        <f>IF($I521="","",$I521*COS(RADIANS($C521))*COS(RADIANS($D521))+$J521*COS(RADIANS($E521))*COS(RADIANS($F521)))</f>
        <v/>
      </c>
      <c r="L521">
        <f>IF($I521="","",$I521*COS(RADIANS($C521))*SIN(RADIANS($D521))+$J521*COS(RADIANS($E521))*SIN(RADIANS($F521)))</f>
        <v/>
      </c>
      <c r="M521">
        <f>IF($I521="","",$I521*SIN(RADIANS($C521))+$J521*SIN(RADIANS($E521)))</f>
        <v/>
      </c>
      <c r="N521">
        <f>IF($M521="","",DEGREES(ATAN2(SQRT($K521^2+$L521^2),$M521)))</f>
        <v/>
      </c>
      <c r="O521">
        <f>IF($M521="","",DEGREES(ATAN2($K521,$L521)))</f>
        <v/>
      </c>
      <c r="P521">
        <f t="array" ref="P521">IF($N521="","",IFERROR(IF(INDEX(geo_grid!$B$2:$JU$231,INT(($N521+40)/0.5)+1,INT(($O521+30)/0.5)+1)="","",INDEX(geo_grid!$B$2:$JU$231,INT(($N521+40)/0.5)+1,INT(($O521+30)/0.5)+1)),"OUTSIDE GRID"))</f>
        <v/>
      </c>
      <c r="Q521">
        <f>IF($P521="","",$A521*1000+$B521)</f>
        <v/>
      </c>
    </row>
    <row r="522">
      <c r="A522">
        <f>INT((ROW()-2)/151)+1</f>
        <v/>
      </c>
      <c r="B522">
        <f>MOD(ROW()-2,151)</f>
        <v/>
      </c>
      <c r="C522">
        <f t="array" ref="C522">IFERROR(INDEX('TRIP MANAGER'!$O$18:$O$25,$A522),"")</f>
        <v/>
      </c>
      <c r="D522">
        <f t="array" ref="D522">IFERROR(INDEX('TRIP MANAGER'!$P$18:$P$25,$A522),"")</f>
        <v/>
      </c>
      <c r="E522">
        <f t="array" ref="E522">IFERROR(INDEX('TRIP MANAGER'!$Q$18:$Q$25,$A522),"")</f>
        <v/>
      </c>
      <c r="F522">
        <f t="array" ref="F522">IFERROR(INDEX('TRIP MANAGER'!$R$18:$R$25,$A522),"")</f>
        <v/>
      </c>
      <c r="G522">
        <f t="array" ref="G522">IFERROR(INDEX('TRIP MANAGER'!$S$18:$S$25,$A522),"")</f>
        <v/>
      </c>
      <c r="H522">
        <f>$B522/150</f>
        <v/>
      </c>
      <c r="I522">
        <f>IF(OR($G522="",$G522=0),"",SIN((1-$H522)*$G522)/SIN($G522))</f>
        <v/>
      </c>
      <c r="J522">
        <f>IF($I522="","",SIN($H522*$G522)/SIN($G522))</f>
        <v/>
      </c>
      <c r="K522">
        <f>IF($I522="","",$I522*COS(RADIANS($C522))*COS(RADIANS($D522))+$J522*COS(RADIANS($E522))*COS(RADIANS($F522)))</f>
        <v/>
      </c>
      <c r="L522">
        <f>IF($I522="","",$I522*COS(RADIANS($C522))*SIN(RADIANS($D522))+$J522*COS(RADIANS($E522))*SIN(RADIANS($F522)))</f>
        <v/>
      </c>
      <c r="M522">
        <f>IF($I522="","",$I522*SIN(RADIANS($C522))+$J522*SIN(RADIANS($E522)))</f>
        <v/>
      </c>
      <c r="N522">
        <f>IF($M522="","",DEGREES(ATAN2(SQRT($K522^2+$L522^2),$M522)))</f>
        <v/>
      </c>
      <c r="O522">
        <f>IF($M522="","",DEGREES(ATAN2($K522,$L522)))</f>
        <v/>
      </c>
      <c r="P522">
        <f t="array" ref="P522">IF($N522="","",IFERROR(IF(INDEX(geo_grid!$B$2:$JU$231,INT(($N522+40)/0.5)+1,INT(($O522+30)/0.5)+1)="","",INDEX(geo_grid!$B$2:$JU$231,INT(($N522+40)/0.5)+1,INT(($O522+30)/0.5)+1)),"OUTSIDE GRID"))</f>
        <v/>
      </c>
      <c r="Q522">
        <f>IF($P522="","",$A522*1000+$B522)</f>
        <v/>
      </c>
    </row>
    <row r="523">
      <c r="A523">
        <f>INT((ROW()-2)/151)+1</f>
        <v/>
      </c>
      <c r="B523">
        <f>MOD(ROW()-2,151)</f>
        <v/>
      </c>
      <c r="C523">
        <f t="array" ref="C523">IFERROR(INDEX('TRIP MANAGER'!$O$18:$O$25,$A523),"")</f>
        <v/>
      </c>
      <c r="D523">
        <f t="array" ref="D523">IFERROR(INDEX('TRIP MANAGER'!$P$18:$P$25,$A523),"")</f>
        <v/>
      </c>
      <c r="E523">
        <f t="array" ref="E523">IFERROR(INDEX('TRIP MANAGER'!$Q$18:$Q$25,$A523),"")</f>
        <v/>
      </c>
      <c r="F523">
        <f t="array" ref="F523">IFERROR(INDEX('TRIP MANAGER'!$R$18:$R$25,$A523),"")</f>
        <v/>
      </c>
      <c r="G523">
        <f t="array" ref="G523">IFERROR(INDEX('TRIP MANAGER'!$S$18:$S$25,$A523),"")</f>
        <v/>
      </c>
      <c r="H523">
        <f>$B523/150</f>
        <v/>
      </c>
      <c r="I523">
        <f>IF(OR($G523="",$G523=0),"",SIN((1-$H523)*$G523)/SIN($G523))</f>
        <v/>
      </c>
      <c r="J523">
        <f>IF($I523="","",SIN($H523*$G523)/SIN($G523))</f>
        <v/>
      </c>
      <c r="K523">
        <f>IF($I523="","",$I523*COS(RADIANS($C523))*COS(RADIANS($D523))+$J523*COS(RADIANS($E523))*COS(RADIANS($F523)))</f>
        <v/>
      </c>
      <c r="L523">
        <f>IF($I523="","",$I523*COS(RADIANS($C523))*SIN(RADIANS($D523))+$J523*COS(RADIANS($E523))*SIN(RADIANS($F523)))</f>
        <v/>
      </c>
      <c r="M523">
        <f>IF($I523="","",$I523*SIN(RADIANS($C523))+$J523*SIN(RADIANS($E523)))</f>
        <v/>
      </c>
      <c r="N523">
        <f>IF($M523="","",DEGREES(ATAN2(SQRT($K523^2+$L523^2),$M523)))</f>
        <v/>
      </c>
      <c r="O523">
        <f>IF($M523="","",DEGREES(ATAN2($K523,$L523)))</f>
        <v/>
      </c>
      <c r="P523">
        <f t="array" ref="P523">IF($N523="","",IFERROR(IF(INDEX(geo_grid!$B$2:$JU$231,INT(($N523+40)/0.5)+1,INT(($O523+30)/0.5)+1)="","",INDEX(geo_grid!$B$2:$JU$231,INT(($N523+40)/0.5)+1,INT(($O523+30)/0.5)+1)),"OUTSIDE GRID"))</f>
        <v/>
      </c>
      <c r="Q523">
        <f>IF($P523="","",$A523*1000+$B523)</f>
        <v/>
      </c>
    </row>
    <row r="524">
      <c r="A524">
        <f>INT((ROW()-2)/151)+1</f>
        <v/>
      </c>
      <c r="B524">
        <f>MOD(ROW()-2,151)</f>
        <v/>
      </c>
      <c r="C524">
        <f t="array" ref="C524">IFERROR(INDEX('TRIP MANAGER'!$O$18:$O$25,$A524),"")</f>
        <v/>
      </c>
      <c r="D524">
        <f t="array" ref="D524">IFERROR(INDEX('TRIP MANAGER'!$P$18:$P$25,$A524),"")</f>
        <v/>
      </c>
      <c r="E524">
        <f t="array" ref="E524">IFERROR(INDEX('TRIP MANAGER'!$Q$18:$Q$25,$A524),"")</f>
        <v/>
      </c>
      <c r="F524">
        <f t="array" ref="F524">IFERROR(INDEX('TRIP MANAGER'!$R$18:$R$25,$A524),"")</f>
        <v/>
      </c>
      <c r="G524">
        <f t="array" ref="G524">IFERROR(INDEX('TRIP MANAGER'!$S$18:$S$25,$A524),"")</f>
        <v/>
      </c>
      <c r="H524">
        <f>$B524/150</f>
        <v/>
      </c>
      <c r="I524">
        <f>IF(OR($G524="",$G524=0),"",SIN((1-$H524)*$G524)/SIN($G524))</f>
        <v/>
      </c>
      <c r="J524">
        <f>IF($I524="","",SIN($H524*$G524)/SIN($G524))</f>
        <v/>
      </c>
      <c r="K524">
        <f>IF($I524="","",$I524*COS(RADIANS($C524))*COS(RADIANS($D524))+$J524*COS(RADIANS($E524))*COS(RADIANS($F524)))</f>
        <v/>
      </c>
      <c r="L524">
        <f>IF($I524="","",$I524*COS(RADIANS($C524))*SIN(RADIANS($D524))+$J524*COS(RADIANS($E524))*SIN(RADIANS($F524)))</f>
        <v/>
      </c>
      <c r="M524">
        <f>IF($I524="","",$I524*SIN(RADIANS($C524))+$J524*SIN(RADIANS($E524)))</f>
        <v/>
      </c>
      <c r="N524">
        <f>IF($M524="","",DEGREES(ATAN2(SQRT($K524^2+$L524^2),$M524)))</f>
        <v/>
      </c>
      <c r="O524">
        <f>IF($M524="","",DEGREES(ATAN2($K524,$L524)))</f>
        <v/>
      </c>
      <c r="P524">
        <f t="array" ref="P524">IF($N524="","",IFERROR(IF(INDEX(geo_grid!$B$2:$JU$231,INT(($N524+40)/0.5)+1,INT(($O524+30)/0.5)+1)="","",INDEX(geo_grid!$B$2:$JU$231,INT(($N524+40)/0.5)+1,INT(($O524+30)/0.5)+1)),"OUTSIDE GRID"))</f>
        <v/>
      </c>
      <c r="Q524">
        <f>IF($P524="","",$A524*1000+$B524)</f>
        <v/>
      </c>
    </row>
    <row r="525">
      <c r="A525">
        <f>INT((ROW()-2)/151)+1</f>
        <v/>
      </c>
      <c r="B525">
        <f>MOD(ROW()-2,151)</f>
        <v/>
      </c>
      <c r="C525">
        <f t="array" ref="C525">IFERROR(INDEX('TRIP MANAGER'!$O$18:$O$25,$A525),"")</f>
        <v/>
      </c>
      <c r="D525">
        <f t="array" ref="D525">IFERROR(INDEX('TRIP MANAGER'!$P$18:$P$25,$A525),"")</f>
        <v/>
      </c>
      <c r="E525">
        <f t="array" ref="E525">IFERROR(INDEX('TRIP MANAGER'!$Q$18:$Q$25,$A525),"")</f>
        <v/>
      </c>
      <c r="F525">
        <f t="array" ref="F525">IFERROR(INDEX('TRIP MANAGER'!$R$18:$R$25,$A525),"")</f>
        <v/>
      </c>
      <c r="G525">
        <f t="array" ref="G525">IFERROR(INDEX('TRIP MANAGER'!$S$18:$S$25,$A525),"")</f>
        <v/>
      </c>
      <c r="H525">
        <f>$B525/150</f>
        <v/>
      </c>
      <c r="I525">
        <f>IF(OR($G525="",$G525=0),"",SIN((1-$H525)*$G525)/SIN($G525))</f>
        <v/>
      </c>
      <c r="J525">
        <f>IF($I525="","",SIN($H525*$G525)/SIN($G525))</f>
        <v/>
      </c>
      <c r="K525">
        <f>IF($I525="","",$I525*COS(RADIANS($C525))*COS(RADIANS($D525))+$J525*COS(RADIANS($E525))*COS(RADIANS($F525)))</f>
        <v/>
      </c>
      <c r="L525">
        <f>IF($I525="","",$I525*COS(RADIANS($C525))*SIN(RADIANS($D525))+$J525*COS(RADIANS($E525))*SIN(RADIANS($F525)))</f>
        <v/>
      </c>
      <c r="M525">
        <f>IF($I525="","",$I525*SIN(RADIANS($C525))+$J525*SIN(RADIANS($E525)))</f>
        <v/>
      </c>
      <c r="N525">
        <f>IF($M525="","",DEGREES(ATAN2(SQRT($K525^2+$L525^2),$M525)))</f>
        <v/>
      </c>
      <c r="O525">
        <f>IF($M525="","",DEGREES(ATAN2($K525,$L525)))</f>
        <v/>
      </c>
      <c r="P525">
        <f t="array" ref="P525">IF($N525="","",IFERROR(IF(INDEX(geo_grid!$B$2:$JU$231,INT(($N525+40)/0.5)+1,INT(($O525+30)/0.5)+1)="","",INDEX(geo_grid!$B$2:$JU$231,INT(($N525+40)/0.5)+1,INT(($O525+30)/0.5)+1)),"OUTSIDE GRID"))</f>
        <v/>
      </c>
      <c r="Q525">
        <f>IF($P525="","",$A525*1000+$B525)</f>
        <v/>
      </c>
    </row>
    <row r="526">
      <c r="A526">
        <f>INT((ROW()-2)/151)+1</f>
        <v/>
      </c>
      <c r="B526">
        <f>MOD(ROW()-2,151)</f>
        <v/>
      </c>
      <c r="C526">
        <f t="array" ref="C526">IFERROR(INDEX('TRIP MANAGER'!$O$18:$O$25,$A526),"")</f>
        <v/>
      </c>
      <c r="D526">
        <f t="array" ref="D526">IFERROR(INDEX('TRIP MANAGER'!$P$18:$P$25,$A526),"")</f>
        <v/>
      </c>
      <c r="E526">
        <f t="array" ref="E526">IFERROR(INDEX('TRIP MANAGER'!$Q$18:$Q$25,$A526),"")</f>
        <v/>
      </c>
      <c r="F526">
        <f t="array" ref="F526">IFERROR(INDEX('TRIP MANAGER'!$R$18:$R$25,$A526),"")</f>
        <v/>
      </c>
      <c r="G526">
        <f t="array" ref="G526">IFERROR(INDEX('TRIP MANAGER'!$S$18:$S$25,$A526),"")</f>
        <v/>
      </c>
      <c r="H526">
        <f>$B526/150</f>
        <v/>
      </c>
      <c r="I526">
        <f>IF(OR($G526="",$G526=0),"",SIN((1-$H526)*$G526)/SIN($G526))</f>
        <v/>
      </c>
      <c r="J526">
        <f>IF($I526="","",SIN($H526*$G526)/SIN($G526))</f>
        <v/>
      </c>
      <c r="K526">
        <f>IF($I526="","",$I526*COS(RADIANS($C526))*COS(RADIANS($D526))+$J526*COS(RADIANS($E526))*COS(RADIANS($F526)))</f>
        <v/>
      </c>
      <c r="L526">
        <f>IF($I526="","",$I526*COS(RADIANS($C526))*SIN(RADIANS($D526))+$J526*COS(RADIANS($E526))*SIN(RADIANS($F526)))</f>
        <v/>
      </c>
      <c r="M526">
        <f>IF($I526="","",$I526*SIN(RADIANS($C526))+$J526*SIN(RADIANS($E526)))</f>
        <v/>
      </c>
      <c r="N526">
        <f>IF($M526="","",DEGREES(ATAN2(SQRT($K526^2+$L526^2),$M526)))</f>
        <v/>
      </c>
      <c r="O526">
        <f>IF($M526="","",DEGREES(ATAN2($K526,$L526)))</f>
        <v/>
      </c>
      <c r="P526">
        <f t="array" ref="P526">IF($N526="","",IFERROR(IF(INDEX(geo_grid!$B$2:$JU$231,INT(($N526+40)/0.5)+1,INT(($O526+30)/0.5)+1)="","",INDEX(geo_grid!$B$2:$JU$231,INT(($N526+40)/0.5)+1,INT(($O526+30)/0.5)+1)),"OUTSIDE GRID"))</f>
        <v/>
      </c>
      <c r="Q526">
        <f>IF($P526="","",$A526*1000+$B526)</f>
        <v/>
      </c>
    </row>
    <row r="527">
      <c r="A527">
        <f>INT((ROW()-2)/151)+1</f>
        <v/>
      </c>
      <c r="B527">
        <f>MOD(ROW()-2,151)</f>
        <v/>
      </c>
      <c r="C527">
        <f t="array" ref="C527">IFERROR(INDEX('TRIP MANAGER'!$O$18:$O$25,$A527),"")</f>
        <v/>
      </c>
      <c r="D527">
        <f t="array" ref="D527">IFERROR(INDEX('TRIP MANAGER'!$P$18:$P$25,$A527),"")</f>
        <v/>
      </c>
      <c r="E527">
        <f t="array" ref="E527">IFERROR(INDEX('TRIP MANAGER'!$Q$18:$Q$25,$A527),"")</f>
        <v/>
      </c>
      <c r="F527">
        <f t="array" ref="F527">IFERROR(INDEX('TRIP MANAGER'!$R$18:$R$25,$A527),"")</f>
        <v/>
      </c>
      <c r="G527">
        <f t="array" ref="G527">IFERROR(INDEX('TRIP MANAGER'!$S$18:$S$25,$A527),"")</f>
        <v/>
      </c>
      <c r="H527">
        <f>$B527/150</f>
        <v/>
      </c>
      <c r="I527">
        <f>IF(OR($G527="",$G527=0),"",SIN((1-$H527)*$G527)/SIN($G527))</f>
        <v/>
      </c>
      <c r="J527">
        <f>IF($I527="","",SIN($H527*$G527)/SIN($G527))</f>
        <v/>
      </c>
      <c r="K527">
        <f>IF($I527="","",$I527*COS(RADIANS($C527))*COS(RADIANS($D527))+$J527*COS(RADIANS($E527))*COS(RADIANS($F527)))</f>
        <v/>
      </c>
      <c r="L527">
        <f>IF($I527="","",$I527*COS(RADIANS($C527))*SIN(RADIANS($D527))+$J527*COS(RADIANS($E527))*SIN(RADIANS($F527)))</f>
        <v/>
      </c>
      <c r="M527">
        <f>IF($I527="","",$I527*SIN(RADIANS($C527))+$J527*SIN(RADIANS($E527)))</f>
        <v/>
      </c>
      <c r="N527">
        <f>IF($M527="","",DEGREES(ATAN2(SQRT($K527^2+$L527^2),$M527)))</f>
        <v/>
      </c>
      <c r="O527">
        <f>IF($M527="","",DEGREES(ATAN2($K527,$L527)))</f>
        <v/>
      </c>
      <c r="P527">
        <f t="array" ref="P527">IF($N527="","",IFERROR(IF(INDEX(geo_grid!$B$2:$JU$231,INT(($N527+40)/0.5)+1,INT(($O527+30)/0.5)+1)="","",INDEX(geo_grid!$B$2:$JU$231,INT(($N527+40)/0.5)+1,INT(($O527+30)/0.5)+1)),"OUTSIDE GRID"))</f>
        <v/>
      </c>
      <c r="Q527">
        <f>IF($P527="","",$A527*1000+$B527)</f>
        <v/>
      </c>
    </row>
    <row r="528">
      <c r="A528">
        <f>INT((ROW()-2)/151)+1</f>
        <v/>
      </c>
      <c r="B528">
        <f>MOD(ROW()-2,151)</f>
        <v/>
      </c>
      <c r="C528">
        <f t="array" ref="C528">IFERROR(INDEX('TRIP MANAGER'!$O$18:$O$25,$A528),"")</f>
        <v/>
      </c>
      <c r="D528">
        <f t="array" ref="D528">IFERROR(INDEX('TRIP MANAGER'!$P$18:$P$25,$A528),"")</f>
        <v/>
      </c>
      <c r="E528">
        <f t="array" ref="E528">IFERROR(INDEX('TRIP MANAGER'!$Q$18:$Q$25,$A528),"")</f>
        <v/>
      </c>
      <c r="F528">
        <f t="array" ref="F528">IFERROR(INDEX('TRIP MANAGER'!$R$18:$R$25,$A528),"")</f>
        <v/>
      </c>
      <c r="G528">
        <f t="array" ref="G528">IFERROR(INDEX('TRIP MANAGER'!$S$18:$S$25,$A528),"")</f>
        <v/>
      </c>
      <c r="H528">
        <f>$B528/150</f>
        <v/>
      </c>
      <c r="I528">
        <f>IF(OR($G528="",$G528=0),"",SIN((1-$H528)*$G528)/SIN($G528))</f>
        <v/>
      </c>
      <c r="J528">
        <f>IF($I528="","",SIN($H528*$G528)/SIN($G528))</f>
        <v/>
      </c>
      <c r="K528">
        <f>IF($I528="","",$I528*COS(RADIANS($C528))*COS(RADIANS($D528))+$J528*COS(RADIANS($E528))*COS(RADIANS($F528)))</f>
        <v/>
      </c>
      <c r="L528">
        <f>IF($I528="","",$I528*COS(RADIANS($C528))*SIN(RADIANS($D528))+$J528*COS(RADIANS($E528))*SIN(RADIANS($F528)))</f>
        <v/>
      </c>
      <c r="M528">
        <f>IF($I528="","",$I528*SIN(RADIANS($C528))+$J528*SIN(RADIANS($E528)))</f>
        <v/>
      </c>
      <c r="N528">
        <f>IF($M528="","",DEGREES(ATAN2(SQRT($K528^2+$L528^2),$M528)))</f>
        <v/>
      </c>
      <c r="O528">
        <f>IF($M528="","",DEGREES(ATAN2($K528,$L528)))</f>
        <v/>
      </c>
      <c r="P528">
        <f t="array" ref="P528">IF($N528="","",IFERROR(IF(INDEX(geo_grid!$B$2:$JU$231,INT(($N528+40)/0.5)+1,INT(($O528+30)/0.5)+1)="","",INDEX(geo_grid!$B$2:$JU$231,INT(($N528+40)/0.5)+1,INT(($O528+30)/0.5)+1)),"OUTSIDE GRID"))</f>
        <v/>
      </c>
      <c r="Q528">
        <f>IF($P528="","",$A528*1000+$B528)</f>
        <v/>
      </c>
    </row>
    <row r="529">
      <c r="A529">
        <f>INT((ROW()-2)/151)+1</f>
        <v/>
      </c>
      <c r="B529">
        <f>MOD(ROW()-2,151)</f>
        <v/>
      </c>
      <c r="C529">
        <f t="array" ref="C529">IFERROR(INDEX('TRIP MANAGER'!$O$18:$O$25,$A529),"")</f>
        <v/>
      </c>
      <c r="D529">
        <f t="array" ref="D529">IFERROR(INDEX('TRIP MANAGER'!$P$18:$P$25,$A529),"")</f>
        <v/>
      </c>
      <c r="E529">
        <f t="array" ref="E529">IFERROR(INDEX('TRIP MANAGER'!$Q$18:$Q$25,$A529),"")</f>
        <v/>
      </c>
      <c r="F529">
        <f t="array" ref="F529">IFERROR(INDEX('TRIP MANAGER'!$R$18:$R$25,$A529),"")</f>
        <v/>
      </c>
      <c r="G529">
        <f t="array" ref="G529">IFERROR(INDEX('TRIP MANAGER'!$S$18:$S$25,$A529),"")</f>
        <v/>
      </c>
      <c r="H529">
        <f>$B529/150</f>
        <v/>
      </c>
      <c r="I529">
        <f>IF(OR($G529="",$G529=0),"",SIN((1-$H529)*$G529)/SIN($G529))</f>
        <v/>
      </c>
      <c r="J529">
        <f>IF($I529="","",SIN($H529*$G529)/SIN($G529))</f>
        <v/>
      </c>
      <c r="K529">
        <f>IF($I529="","",$I529*COS(RADIANS($C529))*COS(RADIANS($D529))+$J529*COS(RADIANS($E529))*COS(RADIANS($F529)))</f>
        <v/>
      </c>
      <c r="L529">
        <f>IF($I529="","",$I529*COS(RADIANS($C529))*SIN(RADIANS($D529))+$J529*COS(RADIANS($E529))*SIN(RADIANS($F529)))</f>
        <v/>
      </c>
      <c r="M529">
        <f>IF($I529="","",$I529*SIN(RADIANS($C529))+$J529*SIN(RADIANS($E529)))</f>
        <v/>
      </c>
      <c r="N529">
        <f>IF($M529="","",DEGREES(ATAN2(SQRT($K529^2+$L529^2),$M529)))</f>
        <v/>
      </c>
      <c r="O529">
        <f>IF($M529="","",DEGREES(ATAN2($K529,$L529)))</f>
        <v/>
      </c>
      <c r="P529">
        <f t="array" ref="P529">IF($N529="","",IFERROR(IF(INDEX(geo_grid!$B$2:$JU$231,INT(($N529+40)/0.5)+1,INT(($O529+30)/0.5)+1)="","",INDEX(geo_grid!$B$2:$JU$231,INT(($N529+40)/0.5)+1,INT(($O529+30)/0.5)+1)),"OUTSIDE GRID"))</f>
        <v/>
      </c>
      <c r="Q529">
        <f>IF($P529="","",$A529*1000+$B529)</f>
        <v/>
      </c>
    </row>
    <row r="530">
      <c r="A530">
        <f>INT((ROW()-2)/151)+1</f>
        <v/>
      </c>
      <c r="B530">
        <f>MOD(ROW()-2,151)</f>
        <v/>
      </c>
      <c r="C530">
        <f t="array" ref="C530">IFERROR(INDEX('TRIP MANAGER'!$O$18:$O$25,$A530),"")</f>
        <v/>
      </c>
      <c r="D530">
        <f t="array" ref="D530">IFERROR(INDEX('TRIP MANAGER'!$P$18:$P$25,$A530),"")</f>
        <v/>
      </c>
      <c r="E530">
        <f t="array" ref="E530">IFERROR(INDEX('TRIP MANAGER'!$Q$18:$Q$25,$A530),"")</f>
        <v/>
      </c>
      <c r="F530">
        <f t="array" ref="F530">IFERROR(INDEX('TRIP MANAGER'!$R$18:$R$25,$A530),"")</f>
        <v/>
      </c>
      <c r="G530">
        <f t="array" ref="G530">IFERROR(INDEX('TRIP MANAGER'!$S$18:$S$25,$A530),"")</f>
        <v/>
      </c>
      <c r="H530">
        <f>$B530/150</f>
        <v/>
      </c>
      <c r="I530">
        <f>IF(OR($G530="",$G530=0),"",SIN((1-$H530)*$G530)/SIN($G530))</f>
        <v/>
      </c>
      <c r="J530">
        <f>IF($I530="","",SIN($H530*$G530)/SIN($G530))</f>
        <v/>
      </c>
      <c r="K530">
        <f>IF($I530="","",$I530*COS(RADIANS($C530))*COS(RADIANS($D530))+$J530*COS(RADIANS($E530))*COS(RADIANS($F530)))</f>
        <v/>
      </c>
      <c r="L530">
        <f>IF($I530="","",$I530*COS(RADIANS($C530))*SIN(RADIANS($D530))+$J530*COS(RADIANS($E530))*SIN(RADIANS($F530)))</f>
        <v/>
      </c>
      <c r="M530">
        <f>IF($I530="","",$I530*SIN(RADIANS($C530))+$J530*SIN(RADIANS($E530)))</f>
        <v/>
      </c>
      <c r="N530">
        <f>IF($M530="","",DEGREES(ATAN2(SQRT($K530^2+$L530^2),$M530)))</f>
        <v/>
      </c>
      <c r="O530">
        <f>IF($M530="","",DEGREES(ATAN2($K530,$L530)))</f>
        <v/>
      </c>
      <c r="P530">
        <f t="array" ref="P530">IF($N530="","",IFERROR(IF(INDEX(geo_grid!$B$2:$JU$231,INT(($N530+40)/0.5)+1,INT(($O530+30)/0.5)+1)="","",INDEX(geo_grid!$B$2:$JU$231,INT(($N530+40)/0.5)+1,INT(($O530+30)/0.5)+1)),"OUTSIDE GRID"))</f>
        <v/>
      </c>
      <c r="Q530">
        <f>IF($P530="","",$A530*1000+$B530)</f>
        <v/>
      </c>
    </row>
    <row r="531">
      <c r="A531">
        <f>INT((ROW()-2)/151)+1</f>
        <v/>
      </c>
      <c r="B531">
        <f>MOD(ROW()-2,151)</f>
        <v/>
      </c>
      <c r="C531">
        <f t="array" ref="C531">IFERROR(INDEX('TRIP MANAGER'!$O$18:$O$25,$A531),"")</f>
        <v/>
      </c>
      <c r="D531">
        <f t="array" ref="D531">IFERROR(INDEX('TRIP MANAGER'!$P$18:$P$25,$A531),"")</f>
        <v/>
      </c>
      <c r="E531">
        <f t="array" ref="E531">IFERROR(INDEX('TRIP MANAGER'!$Q$18:$Q$25,$A531),"")</f>
        <v/>
      </c>
      <c r="F531">
        <f t="array" ref="F531">IFERROR(INDEX('TRIP MANAGER'!$R$18:$R$25,$A531),"")</f>
        <v/>
      </c>
      <c r="G531">
        <f t="array" ref="G531">IFERROR(INDEX('TRIP MANAGER'!$S$18:$S$25,$A531),"")</f>
        <v/>
      </c>
      <c r="H531">
        <f>$B531/150</f>
        <v/>
      </c>
      <c r="I531">
        <f>IF(OR($G531="",$G531=0),"",SIN((1-$H531)*$G531)/SIN($G531))</f>
        <v/>
      </c>
      <c r="J531">
        <f>IF($I531="","",SIN($H531*$G531)/SIN($G531))</f>
        <v/>
      </c>
      <c r="K531">
        <f>IF($I531="","",$I531*COS(RADIANS($C531))*COS(RADIANS($D531))+$J531*COS(RADIANS($E531))*COS(RADIANS($F531)))</f>
        <v/>
      </c>
      <c r="L531">
        <f>IF($I531="","",$I531*COS(RADIANS($C531))*SIN(RADIANS($D531))+$J531*COS(RADIANS($E531))*SIN(RADIANS($F531)))</f>
        <v/>
      </c>
      <c r="M531">
        <f>IF($I531="","",$I531*SIN(RADIANS($C531))+$J531*SIN(RADIANS($E531)))</f>
        <v/>
      </c>
      <c r="N531">
        <f>IF($M531="","",DEGREES(ATAN2(SQRT($K531^2+$L531^2),$M531)))</f>
        <v/>
      </c>
      <c r="O531">
        <f>IF($M531="","",DEGREES(ATAN2($K531,$L531)))</f>
        <v/>
      </c>
      <c r="P531">
        <f t="array" ref="P531">IF($N531="","",IFERROR(IF(INDEX(geo_grid!$B$2:$JU$231,INT(($N531+40)/0.5)+1,INT(($O531+30)/0.5)+1)="","",INDEX(geo_grid!$B$2:$JU$231,INT(($N531+40)/0.5)+1,INT(($O531+30)/0.5)+1)),"OUTSIDE GRID"))</f>
        <v/>
      </c>
      <c r="Q531">
        <f>IF($P531="","",$A531*1000+$B531)</f>
        <v/>
      </c>
    </row>
    <row r="532">
      <c r="A532">
        <f>INT((ROW()-2)/151)+1</f>
        <v/>
      </c>
      <c r="B532">
        <f>MOD(ROW()-2,151)</f>
        <v/>
      </c>
      <c r="C532">
        <f t="array" ref="C532">IFERROR(INDEX('TRIP MANAGER'!$O$18:$O$25,$A532),"")</f>
        <v/>
      </c>
      <c r="D532">
        <f t="array" ref="D532">IFERROR(INDEX('TRIP MANAGER'!$P$18:$P$25,$A532),"")</f>
        <v/>
      </c>
      <c r="E532">
        <f t="array" ref="E532">IFERROR(INDEX('TRIP MANAGER'!$Q$18:$Q$25,$A532),"")</f>
        <v/>
      </c>
      <c r="F532">
        <f t="array" ref="F532">IFERROR(INDEX('TRIP MANAGER'!$R$18:$R$25,$A532),"")</f>
        <v/>
      </c>
      <c r="G532">
        <f t="array" ref="G532">IFERROR(INDEX('TRIP MANAGER'!$S$18:$S$25,$A532),"")</f>
        <v/>
      </c>
      <c r="H532">
        <f>$B532/150</f>
        <v/>
      </c>
      <c r="I532">
        <f>IF(OR($G532="",$G532=0),"",SIN((1-$H532)*$G532)/SIN($G532))</f>
        <v/>
      </c>
      <c r="J532">
        <f>IF($I532="","",SIN($H532*$G532)/SIN($G532))</f>
        <v/>
      </c>
      <c r="K532">
        <f>IF($I532="","",$I532*COS(RADIANS($C532))*COS(RADIANS($D532))+$J532*COS(RADIANS($E532))*COS(RADIANS($F532)))</f>
        <v/>
      </c>
      <c r="L532">
        <f>IF($I532="","",$I532*COS(RADIANS($C532))*SIN(RADIANS($D532))+$J532*COS(RADIANS($E532))*SIN(RADIANS($F532)))</f>
        <v/>
      </c>
      <c r="M532">
        <f>IF($I532="","",$I532*SIN(RADIANS($C532))+$J532*SIN(RADIANS($E532)))</f>
        <v/>
      </c>
      <c r="N532">
        <f>IF($M532="","",DEGREES(ATAN2(SQRT($K532^2+$L532^2),$M532)))</f>
        <v/>
      </c>
      <c r="O532">
        <f>IF($M532="","",DEGREES(ATAN2($K532,$L532)))</f>
        <v/>
      </c>
      <c r="P532">
        <f t="array" ref="P532">IF($N532="","",IFERROR(IF(INDEX(geo_grid!$B$2:$JU$231,INT(($N532+40)/0.5)+1,INT(($O532+30)/0.5)+1)="","",INDEX(geo_grid!$B$2:$JU$231,INT(($N532+40)/0.5)+1,INT(($O532+30)/0.5)+1)),"OUTSIDE GRID"))</f>
        <v/>
      </c>
      <c r="Q532">
        <f>IF($P532="","",$A532*1000+$B532)</f>
        <v/>
      </c>
    </row>
    <row r="533">
      <c r="A533">
        <f>INT((ROW()-2)/151)+1</f>
        <v/>
      </c>
      <c r="B533">
        <f>MOD(ROW()-2,151)</f>
        <v/>
      </c>
      <c r="C533">
        <f t="array" ref="C533">IFERROR(INDEX('TRIP MANAGER'!$O$18:$O$25,$A533),"")</f>
        <v/>
      </c>
      <c r="D533">
        <f t="array" ref="D533">IFERROR(INDEX('TRIP MANAGER'!$P$18:$P$25,$A533),"")</f>
        <v/>
      </c>
      <c r="E533">
        <f t="array" ref="E533">IFERROR(INDEX('TRIP MANAGER'!$Q$18:$Q$25,$A533),"")</f>
        <v/>
      </c>
      <c r="F533">
        <f t="array" ref="F533">IFERROR(INDEX('TRIP MANAGER'!$R$18:$R$25,$A533),"")</f>
        <v/>
      </c>
      <c r="G533">
        <f t="array" ref="G533">IFERROR(INDEX('TRIP MANAGER'!$S$18:$S$25,$A533),"")</f>
        <v/>
      </c>
      <c r="H533">
        <f>$B533/150</f>
        <v/>
      </c>
      <c r="I533">
        <f>IF(OR($G533="",$G533=0),"",SIN((1-$H533)*$G533)/SIN($G533))</f>
        <v/>
      </c>
      <c r="J533">
        <f>IF($I533="","",SIN($H533*$G533)/SIN($G533))</f>
        <v/>
      </c>
      <c r="K533">
        <f>IF($I533="","",$I533*COS(RADIANS($C533))*COS(RADIANS($D533))+$J533*COS(RADIANS($E533))*COS(RADIANS($F533)))</f>
        <v/>
      </c>
      <c r="L533">
        <f>IF($I533="","",$I533*COS(RADIANS($C533))*SIN(RADIANS($D533))+$J533*COS(RADIANS($E533))*SIN(RADIANS($F533)))</f>
        <v/>
      </c>
      <c r="M533">
        <f>IF($I533="","",$I533*SIN(RADIANS($C533))+$J533*SIN(RADIANS($E533)))</f>
        <v/>
      </c>
      <c r="N533">
        <f>IF($M533="","",DEGREES(ATAN2(SQRT($K533^2+$L533^2),$M533)))</f>
        <v/>
      </c>
      <c r="O533">
        <f>IF($M533="","",DEGREES(ATAN2($K533,$L533)))</f>
        <v/>
      </c>
      <c r="P533">
        <f t="array" ref="P533">IF($N533="","",IFERROR(IF(INDEX(geo_grid!$B$2:$JU$231,INT(($N533+40)/0.5)+1,INT(($O533+30)/0.5)+1)="","",INDEX(geo_grid!$B$2:$JU$231,INT(($N533+40)/0.5)+1,INT(($O533+30)/0.5)+1)),"OUTSIDE GRID"))</f>
        <v/>
      </c>
      <c r="Q533">
        <f>IF($P533="","",$A533*1000+$B533)</f>
        <v/>
      </c>
    </row>
    <row r="534">
      <c r="A534">
        <f>INT((ROW()-2)/151)+1</f>
        <v/>
      </c>
      <c r="B534">
        <f>MOD(ROW()-2,151)</f>
        <v/>
      </c>
      <c r="C534">
        <f t="array" ref="C534">IFERROR(INDEX('TRIP MANAGER'!$O$18:$O$25,$A534),"")</f>
        <v/>
      </c>
      <c r="D534">
        <f t="array" ref="D534">IFERROR(INDEX('TRIP MANAGER'!$P$18:$P$25,$A534),"")</f>
        <v/>
      </c>
      <c r="E534">
        <f t="array" ref="E534">IFERROR(INDEX('TRIP MANAGER'!$Q$18:$Q$25,$A534),"")</f>
        <v/>
      </c>
      <c r="F534">
        <f t="array" ref="F534">IFERROR(INDEX('TRIP MANAGER'!$R$18:$R$25,$A534),"")</f>
        <v/>
      </c>
      <c r="G534">
        <f t="array" ref="G534">IFERROR(INDEX('TRIP MANAGER'!$S$18:$S$25,$A534),"")</f>
        <v/>
      </c>
      <c r="H534">
        <f>$B534/150</f>
        <v/>
      </c>
      <c r="I534">
        <f>IF(OR($G534="",$G534=0),"",SIN((1-$H534)*$G534)/SIN($G534))</f>
        <v/>
      </c>
      <c r="J534">
        <f>IF($I534="","",SIN($H534*$G534)/SIN($G534))</f>
        <v/>
      </c>
      <c r="K534">
        <f>IF($I534="","",$I534*COS(RADIANS($C534))*COS(RADIANS($D534))+$J534*COS(RADIANS($E534))*COS(RADIANS($F534)))</f>
        <v/>
      </c>
      <c r="L534">
        <f>IF($I534="","",$I534*COS(RADIANS($C534))*SIN(RADIANS($D534))+$J534*COS(RADIANS($E534))*SIN(RADIANS($F534)))</f>
        <v/>
      </c>
      <c r="M534">
        <f>IF($I534="","",$I534*SIN(RADIANS($C534))+$J534*SIN(RADIANS($E534)))</f>
        <v/>
      </c>
      <c r="N534">
        <f>IF($M534="","",DEGREES(ATAN2(SQRT($K534^2+$L534^2),$M534)))</f>
        <v/>
      </c>
      <c r="O534">
        <f>IF($M534="","",DEGREES(ATAN2($K534,$L534)))</f>
        <v/>
      </c>
      <c r="P534">
        <f t="array" ref="P534">IF($N534="","",IFERROR(IF(INDEX(geo_grid!$B$2:$JU$231,INT(($N534+40)/0.5)+1,INT(($O534+30)/0.5)+1)="","",INDEX(geo_grid!$B$2:$JU$231,INT(($N534+40)/0.5)+1,INT(($O534+30)/0.5)+1)),"OUTSIDE GRID"))</f>
        <v/>
      </c>
      <c r="Q534">
        <f>IF($P534="","",$A534*1000+$B534)</f>
        <v/>
      </c>
    </row>
    <row r="535">
      <c r="A535">
        <f>INT((ROW()-2)/151)+1</f>
        <v/>
      </c>
      <c r="B535">
        <f>MOD(ROW()-2,151)</f>
        <v/>
      </c>
      <c r="C535">
        <f t="array" ref="C535">IFERROR(INDEX('TRIP MANAGER'!$O$18:$O$25,$A535),"")</f>
        <v/>
      </c>
      <c r="D535">
        <f t="array" ref="D535">IFERROR(INDEX('TRIP MANAGER'!$P$18:$P$25,$A535),"")</f>
        <v/>
      </c>
      <c r="E535">
        <f t="array" ref="E535">IFERROR(INDEX('TRIP MANAGER'!$Q$18:$Q$25,$A535),"")</f>
        <v/>
      </c>
      <c r="F535">
        <f t="array" ref="F535">IFERROR(INDEX('TRIP MANAGER'!$R$18:$R$25,$A535),"")</f>
        <v/>
      </c>
      <c r="G535">
        <f t="array" ref="G535">IFERROR(INDEX('TRIP MANAGER'!$S$18:$S$25,$A535),"")</f>
        <v/>
      </c>
      <c r="H535">
        <f>$B535/150</f>
        <v/>
      </c>
      <c r="I535">
        <f>IF(OR($G535="",$G535=0),"",SIN((1-$H535)*$G535)/SIN($G535))</f>
        <v/>
      </c>
      <c r="J535">
        <f>IF($I535="","",SIN($H535*$G535)/SIN($G535))</f>
        <v/>
      </c>
      <c r="K535">
        <f>IF($I535="","",$I535*COS(RADIANS($C535))*COS(RADIANS($D535))+$J535*COS(RADIANS($E535))*COS(RADIANS($F535)))</f>
        <v/>
      </c>
      <c r="L535">
        <f>IF($I535="","",$I535*COS(RADIANS($C535))*SIN(RADIANS($D535))+$J535*COS(RADIANS($E535))*SIN(RADIANS($F535)))</f>
        <v/>
      </c>
      <c r="M535">
        <f>IF($I535="","",$I535*SIN(RADIANS($C535))+$J535*SIN(RADIANS($E535)))</f>
        <v/>
      </c>
      <c r="N535">
        <f>IF($M535="","",DEGREES(ATAN2(SQRT($K535^2+$L535^2),$M535)))</f>
        <v/>
      </c>
      <c r="O535">
        <f>IF($M535="","",DEGREES(ATAN2($K535,$L535)))</f>
        <v/>
      </c>
      <c r="P535">
        <f t="array" ref="P535">IF($N535="","",IFERROR(IF(INDEX(geo_grid!$B$2:$JU$231,INT(($N535+40)/0.5)+1,INT(($O535+30)/0.5)+1)="","",INDEX(geo_grid!$B$2:$JU$231,INT(($N535+40)/0.5)+1,INT(($O535+30)/0.5)+1)),"OUTSIDE GRID"))</f>
        <v/>
      </c>
      <c r="Q535">
        <f>IF($P535="","",$A535*1000+$B535)</f>
        <v/>
      </c>
    </row>
    <row r="536">
      <c r="A536">
        <f>INT((ROW()-2)/151)+1</f>
        <v/>
      </c>
      <c r="B536">
        <f>MOD(ROW()-2,151)</f>
        <v/>
      </c>
      <c r="C536">
        <f t="array" ref="C536">IFERROR(INDEX('TRIP MANAGER'!$O$18:$O$25,$A536),"")</f>
        <v/>
      </c>
      <c r="D536">
        <f t="array" ref="D536">IFERROR(INDEX('TRIP MANAGER'!$P$18:$P$25,$A536),"")</f>
        <v/>
      </c>
      <c r="E536">
        <f t="array" ref="E536">IFERROR(INDEX('TRIP MANAGER'!$Q$18:$Q$25,$A536),"")</f>
        <v/>
      </c>
      <c r="F536">
        <f t="array" ref="F536">IFERROR(INDEX('TRIP MANAGER'!$R$18:$R$25,$A536),"")</f>
        <v/>
      </c>
      <c r="G536">
        <f t="array" ref="G536">IFERROR(INDEX('TRIP MANAGER'!$S$18:$S$25,$A536),"")</f>
        <v/>
      </c>
      <c r="H536">
        <f>$B536/150</f>
        <v/>
      </c>
      <c r="I536">
        <f>IF(OR($G536="",$G536=0),"",SIN((1-$H536)*$G536)/SIN($G536))</f>
        <v/>
      </c>
      <c r="J536">
        <f>IF($I536="","",SIN($H536*$G536)/SIN($G536))</f>
        <v/>
      </c>
      <c r="K536">
        <f>IF($I536="","",$I536*COS(RADIANS($C536))*COS(RADIANS($D536))+$J536*COS(RADIANS($E536))*COS(RADIANS($F536)))</f>
        <v/>
      </c>
      <c r="L536">
        <f>IF($I536="","",$I536*COS(RADIANS($C536))*SIN(RADIANS($D536))+$J536*COS(RADIANS($E536))*SIN(RADIANS($F536)))</f>
        <v/>
      </c>
      <c r="M536">
        <f>IF($I536="","",$I536*SIN(RADIANS($C536))+$J536*SIN(RADIANS($E536)))</f>
        <v/>
      </c>
      <c r="N536">
        <f>IF($M536="","",DEGREES(ATAN2(SQRT($K536^2+$L536^2),$M536)))</f>
        <v/>
      </c>
      <c r="O536">
        <f>IF($M536="","",DEGREES(ATAN2($K536,$L536)))</f>
        <v/>
      </c>
      <c r="P536">
        <f t="array" ref="P536">IF($N536="","",IFERROR(IF(INDEX(geo_grid!$B$2:$JU$231,INT(($N536+40)/0.5)+1,INT(($O536+30)/0.5)+1)="","",INDEX(geo_grid!$B$2:$JU$231,INT(($N536+40)/0.5)+1,INT(($O536+30)/0.5)+1)),"OUTSIDE GRID"))</f>
        <v/>
      </c>
      <c r="Q536">
        <f>IF($P536="","",$A536*1000+$B536)</f>
        <v/>
      </c>
    </row>
    <row r="537">
      <c r="A537">
        <f>INT((ROW()-2)/151)+1</f>
        <v/>
      </c>
      <c r="B537">
        <f>MOD(ROW()-2,151)</f>
        <v/>
      </c>
      <c r="C537">
        <f t="array" ref="C537">IFERROR(INDEX('TRIP MANAGER'!$O$18:$O$25,$A537),"")</f>
        <v/>
      </c>
      <c r="D537">
        <f t="array" ref="D537">IFERROR(INDEX('TRIP MANAGER'!$P$18:$P$25,$A537),"")</f>
        <v/>
      </c>
      <c r="E537">
        <f t="array" ref="E537">IFERROR(INDEX('TRIP MANAGER'!$Q$18:$Q$25,$A537),"")</f>
        <v/>
      </c>
      <c r="F537">
        <f t="array" ref="F537">IFERROR(INDEX('TRIP MANAGER'!$R$18:$R$25,$A537),"")</f>
        <v/>
      </c>
      <c r="G537">
        <f t="array" ref="G537">IFERROR(INDEX('TRIP MANAGER'!$S$18:$S$25,$A537),"")</f>
        <v/>
      </c>
      <c r="H537">
        <f>$B537/150</f>
        <v/>
      </c>
      <c r="I537">
        <f>IF(OR($G537="",$G537=0),"",SIN((1-$H537)*$G537)/SIN($G537))</f>
        <v/>
      </c>
      <c r="J537">
        <f>IF($I537="","",SIN($H537*$G537)/SIN($G537))</f>
        <v/>
      </c>
      <c r="K537">
        <f>IF($I537="","",$I537*COS(RADIANS($C537))*COS(RADIANS($D537))+$J537*COS(RADIANS($E537))*COS(RADIANS($F537)))</f>
        <v/>
      </c>
      <c r="L537">
        <f>IF($I537="","",$I537*COS(RADIANS($C537))*SIN(RADIANS($D537))+$J537*COS(RADIANS($E537))*SIN(RADIANS($F537)))</f>
        <v/>
      </c>
      <c r="M537">
        <f>IF($I537="","",$I537*SIN(RADIANS($C537))+$J537*SIN(RADIANS($E537)))</f>
        <v/>
      </c>
      <c r="N537">
        <f>IF($M537="","",DEGREES(ATAN2(SQRT($K537^2+$L537^2),$M537)))</f>
        <v/>
      </c>
      <c r="O537">
        <f>IF($M537="","",DEGREES(ATAN2($K537,$L537)))</f>
        <v/>
      </c>
      <c r="P537">
        <f t="array" ref="P537">IF($N537="","",IFERROR(IF(INDEX(geo_grid!$B$2:$JU$231,INT(($N537+40)/0.5)+1,INT(($O537+30)/0.5)+1)="","",INDEX(geo_grid!$B$2:$JU$231,INT(($N537+40)/0.5)+1,INT(($O537+30)/0.5)+1)),"OUTSIDE GRID"))</f>
        <v/>
      </c>
      <c r="Q537">
        <f>IF($P537="","",$A537*1000+$B537)</f>
        <v/>
      </c>
    </row>
    <row r="538">
      <c r="A538">
        <f>INT((ROW()-2)/151)+1</f>
        <v/>
      </c>
      <c r="B538">
        <f>MOD(ROW()-2,151)</f>
        <v/>
      </c>
      <c r="C538">
        <f t="array" ref="C538">IFERROR(INDEX('TRIP MANAGER'!$O$18:$O$25,$A538),"")</f>
        <v/>
      </c>
      <c r="D538">
        <f t="array" ref="D538">IFERROR(INDEX('TRIP MANAGER'!$P$18:$P$25,$A538),"")</f>
        <v/>
      </c>
      <c r="E538">
        <f t="array" ref="E538">IFERROR(INDEX('TRIP MANAGER'!$Q$18:$Q$25,$A538),"")</f>
        <v/>
      </c>
      <c r="F538">
        <f t="array" ref="F538">IFERROR(INDEX('TRIP MANAGER'!$R$18:$R$25,$A538),"")</f>
        <v/>
      </c>
      <c r="G538">
        <f t="array" ref="G538">IFERROR(INDEX('TRIP MANAGER'!$S$18:$S$25,$A538),"")</f>
        <v/>
      </c>
      <c r="H538">
        <f>$B538/150</f>
        <v/>
      </c>
      <c r="I538">
        <f>IF(OR($G538="",$G538=0),"",SIN((1-$H538)*$G538)/SIN($G538))</f>
        <v/>
      </c>
      <c r="J538">
        <f>IF($I538="","",SIN($H538*$G538)/SIN($G538))</f>
        <v/>
      </c>
      <c r="K538">
        <f>IF($I538="","",$I538*COS(RADIANS($C538))*COS(RADIANS($D538))+$J538*COS(RADIANS($E538))*COS(RADIANS($F538)))</f>
        <v/>
      </c>
      <c r="L538">
        <f>IF($I538="","",$I538*COS(RADIANS($C538))*SIN(RADIANS($D538))+$J538*COS(RADIANS($E538))*SIN(RADIANS($F538)))</f>
        <v/>
      </c>
      <c r="M538">
        <f>IF($I538="","",$I538*SIN(RADIANS($C538))+$J538*SIN(RADIANS($E538)))</f>
        <v/>
      </c>
      <c r="N538">
        <f>IF($M538="","",DEGREES(ATAN2(SQRT($K538^2+$L538^2),$M538)))</f>
        <v/>
      </c>
      <c r="O538">
        <f>IF($M538="","",DEGREES(ATAN2($K538,$L538)))</f>
        <v/>
      </c>
      <c r="P538">
        <f t="array" ref="P538">IF($N538="","",IFERROR(IF(INDEX(geo_grid!$B$2:$JU$231,INT(($N538+40)/0.5)+1,INT(($O538+30)/0.5)+1)="","",INDEX(geo_grid!$B$2:$JU$231,INT(($N538+40)/0.5)+1,INT(($O538+30)/0.5)+1)),"OUTSIDE GRID"))</f>
        <v/>
      </c>
      <c r="Q538">
        <f>IF($P538="","",$A538*1000+$B538)</f>
        <v/>
      </c>
    </row>
    <row r="539">
      <c r="A539">
        <f>INT((ROW()-2)/151)+1</f>
        <v/>
      </c>
      <c r="B539">
        <f>MOD(ROW()-2,151)</f>
        <v/>
      </c>
      <c r="C539">
        <f t="array" ref="C539">IFERROR(INDEX('TRIP MANAGER'!$O$18:$O$25,$A539),"")</f>
        <v/>
      </c>
      <c r="D539">
        <f t="array" ref="D539">IFERROR(INDEX('TRIP MANAGER'!$P$18:$P$25,$A539),"")</f>
        <v/>
      </c>
      <c r="E539">
        <f t="array" ref="E539">IFERROR(INDEX('TRIP MANAGER'!$Q$18:$Q$25,$A539),"")</f>
        <v/>
      </c>
      <c r="F539">
        <f t="array" ref="F539">IFERROR(INDEX('TRIP MANAGER'!$R$18:$R$25,$A539),"")</f>
        <v/>
      </c>
      <c r="G539">
        <f t="array" ref="G539">IFERROR(INDEX('TRIP MANAGER'!$S$18:$S$25,$A539),"")</f>
        <v/>
      </c>
      <c r="H539">
        <f>$B539/150</f>
        <v/>
      </c>
      <c r="I539">
        <f>IF(OR($G539="",$G539=0),"",SIN((1-$H539)*$G539)/SIN($G539))</f>
        <v/>
      </c>
      <c r="J539">
        <f>IF($I539="","",SIN($H539*$G539)/SIN($G539))</f>
        <v/>
      </c>
      <c r="K539">
        <f>IF($I539="","",$I539*COS(RADIANS($C539))*COS(RADIANS($D539))+$J539*COS(RADIANS($E539))*COS(RADIANS($F539)))</f>
        <v/>
      </c>
      <c r="L539">
        <f>IF($I539="","",$I539*COS(RADIANS($C539))*SIN(RADIANS($D539))+$J539*COS(RADIANS($E539))*SIN(RADIANS($F539)))</f>
        <v/>
      </c>
      <c r="M539">
        <f>IF($I539="","",$I539*SIN(RADIANS($C539))+$J539*SIN(RADIANS($E539)))</f>
        <v/>
      </c>
      <c r="N539">
        <f>IF($M539="","",DEGREES(ATAN2(SQRT($K539^2+$L539^2),$M539)))</f>
        <v/>
      </c>
      <c r="O539">
        <f>IF($M539="","",DEGREES(ATAN2($K539,$L539)))</f>
        <v/>
      </c>
      <c r="P539">
        <f t="array" ref="P539">IF($N539="","",IFERROR(IF(INDEX(geo_grid!$B$2:$JU$231,INT(($N539+40)/0.5)+1,INT(($O539+30)/0.5)+1)="","",INDEX(geo_grid!$B$2:$JU$231,INT(($N539+40)/0.5)+1,INT(($O539+30)/0.5)+1)),"OUTSIDE GRID"))</f>
        <v/>
      </c>
      <c r="Q539">
        <f>IF($P539="","",$A539*1000+$B539)</f>
        <v/>
      </c>
    </row>
    <row r="540">
      <c r="A540">
        <f>INT((ROW()-2)/151)+1</f>
        <v/>
      </c>
      <c r="B540">
        <f>MOD(ROW()-2,151)</f>
        <v/>
      </c>
      <c r="C540">
        <f t="array" ref="C540">IFERROR(INDEX('TRIP MANAGER'!$O$18:$O$25,$A540),"")</f>
        <v/>
      </c>
      <c r="D540">
        <f t="array" ref="D540">IFERROR(INDEX('TRIP MANAGER'!$P$18:$P$25,$A540),"")</f>
        <v/>
      </c>
      <c r="E540">
        <f t="array" ref="E540">IFERROR(INDEX('TRIP MANAGER'!$Q$18:$Q$25,$A540),"")</f>
        <v/>
      </c>
      <c r="F540">
        <f t="array" ref="F540">IFERROR(INDEX('TRIP MANAGER'!$R$18:$R$25,$A540),"")</f>
        <v/>
      </c>
      <c r="G540">
        <f t="array" ref="G540">IFERROR(INDEX('TRIP MANAGER'!$S$18:$S$25,$A540),"")</f>
        <v/>
      </c>
      <c r="H540">
        <f>$B540/150</f>
        <v/>
      </c>
      <c r="I540">
        <f>IF(OR($G540="",$G540=0),"",SIN((1-$H540)*$G540)/SIN($G540))</f>
        <v/>
      </c>
      <c r="J540">
        <f>IF($I540="","",SIN($H540*$G540)/SIN($G540))</f>
        <v/>
      </c>
      <c r="K540">
        <f>IF($I540="","",$I540*COS(RADIANS($C540))*COS(RADIANS($D540))+$J540*COS(RADIANS($E540))*COS(RADIANS($F540)))</f>
        <v/>
      </c>
      <c r="L540">
        <f>IF($I540="","",$I540*COS(RADIANS($C540))*SIN(RADIANS($D540))+$J540*COS(RADIANS($E540))*SIN(RADIANS($F540)))</f>
        <v/>
      </c>
      <c r="M540">
        <f>IF($I540="","",$I540*SIN(RADIANS($C540))+$J540*SIN(RADIANS($E540)))</f>
        <v/>
      </c>
      <c r="N540">
        <f>IF($M540="","",DEGREES(ATAN2(SQRT($K540^2+$L540^2),$M540)))</f>
        <v/>
      </c>
      <c r="O540">
        <f>IF($M540="","",DEGREES(ATAN2($K540,$L540)))</f>
        <v/>
      </c>
      <c r="P540">
        <f t="array" ref="P540">IF($N540="","",IFERROR(IF(INDEX(geo_grid!$B$2:$JU$231,INT(($N540+40)/0.5)+1,INT(($O540+30)/0.5)+1)="","",INDEX(geo_grid!$B$2:$JU$231,INT(($N540+40)/0.5)+1,INT(($O540+30)/0.5)+1)),"OUTSIDE GRID"))</f>
        <v/>
      </c>
      <c r="Q540">
        <f>IF($P540="","",$A540*1000+$B540)</f>
        <v/>
      </c>
    </row>
    <row r="541">
      <c r="A541">
        <f>INT((ROW()-2)/151)+1</f>
        <v/>
      </c>
      <c r="B541">
        <f>MOD(ROW()-2,151)</f>
        <v/>
      </c>
      <c r="C541">
        <f t="array" ref="C541">IFERROR(INDEX('TRIP MANAGER'!$O$18:$O$25,$A541),"")</f>
        <v/>
      </c>
      <c r="D541">
        <f t="array" ref="D541">IFERROR(INDEX('TRIP MANAGER'!$P$18:$P$25,$A541),"")</f>
        <v/>
      </c>
      <c r="E541">
        <f t="array" ref="E541">IFERROR(INDEX('TRIP MANAGER'!$Q$18:$Q$25,$A541),"")</f>
        <v/>
      </c>
      <c r="F541">
        <f t="array" ref="F541">IFERROR(INDEX('TRIP MANAGER'!$R$18:$R$25,$A541),"")</f>
        <v/>
      </c>
      <c r="G541">
        <f t="array" ref="G541">IFERROR(INDEX('TRIP MANAGER'!$S$18:$S$25,$A541),"")</f>
        <v/>
      </c>
      <c r="H541">
        <f>$B541/150</f>
        <v/>
      </c>
      <c r="I541">
        <f>IF(OR($G541="",$G541=0),"",SIN((1-$H541)*$G541)/SIN($G541))</f>
        <v/>
      </c>
      <c r="J541">
        <f>IF($I541="","",SIN($H541*$G541)/SIN($G541))</f>
        <v/>
      </c>
      <c r="K541">
        <f>IF($I541="","",$I541*COS(RADIANS($C541))*COS(RADIANS($D541))+$J541*COS(RADIANS($E541))*COS(RADIANS($F541)))</f>
        <v/>
      </c>
      <c r="L541">
        <f>IF($I541="","",$I541*COS(RADIANS($C541))*SIN(RADIANS($D541))+$J541*COS(RADIANS($E541))*SIN(RADIANS($F541)))</f>
        <v/>
      </c>
      <c r="M541">
        <f>IF($I541="","",$I541*SIN(RADIANS($C541))+$J541*SIN(RADIANS($E541)))</f>
        <v/>
      </c>
      <c r="N541">
        <f>IF($M541="","",DEGREES(ATAN2(SQRT($K541^2+$L541^2),$M541)))</f>
        <v/>
      </c>
      <c r="O541">
        <f>IF($M541="","",DEGREES(ATAN2($K541,$L541)))</f>
        <v/>
      </c>
      <c r="P541">
        <f t="array" ref="P541">IF($N541="","",IFERROR(IF(INDEX(geo_grid!$B$2:$JU$231,INT(($N541+40)/0.5)+1,INT(($O541+30)/0.5)+1)="","",INDEX(geo_grid!$B$2:$JU$231,INT(($N541+40)/0.5)+1,INT(($O541+30)/0.5)+1)),"OUTSIDE GRID"))</f>
        <v/>
      </c>
      <c r="Q541">
        <f>IF($P541="","",$A541*1000+$B541)</f>
        <v/>
      </c>
    </row>
    <row r="542">
      <c r="A542">
        <f>INT((ROW()-2)/151)+1</f>
        <v/>
      </c>
      <c r="B542">
        <f>MOD(ROW()-2,151)</f>
        <v/>
      </c>
      <c r="C542">
        <f t="array" ref="C542">IFERROR(INDEX('TRIP MANAGER'!$O$18:$O$25,$A542),"")</f>
        <v/>
      </c>
      <c r="D542">
        <f t="array" ref="D542">IFERROR(INDEX('TRIP MANAGER'!$P$18:$P$25,$A542),"")</f>
        <v/>
      </c>
      <c r="E542">
        <f t="array" ref="E542">IFERROR(INDEX('TRIP MANAGER'!$Q$18:$Q$25,$A542),"")</f>
        <v/>
      </c>
      <c r="F542">
        <f t="array" ref="F542">IFERROR(INDEX('TRIP MANAGER'!$R$18:$R$25,$A542),"")</f>
        <v/>
      </c>
      <c r="G542">
        <f t="array" ref="G542">IFERROR(INDEX('TRIP MANAGER'!$S$18:$S$25,$A542),"")</f>
        <v/>
      </c>
      <c r="H542">
        <f>$B542/150</f>
        <v/>
      </c>
      <c r="I542">
        <f>IF(OR($G542="",$G542=0),"",SIN((1-$H542)*$G542)/SIN($G542))</f>
        <v/>
      </c>
      <c r="J542">
        <f>IF($I542="","",SIN($H542*$G542)/SIN($G542))</f>
        <v/>
      </c>
      <c r="K542">
        <f>IF($I542="","",$I542*COS(RADIANS($C542))*COS(RADIANS($D542))+$J542*COS(RADIANS($E542))*COS(RADIANS($F542)))</f>
        <v/>
      </c>
      <c r="L542">
        <f>IF($I542="","",$I542*COS(RADIANS($C542))*SIN(RADIANS($D542))+$J542*COS(RADIANS($E542))*SIN(RADIANS($F542)))</f>
        <v/>
      </c>
      <c r="M542">
        <f>IF($I542="","",$I542*SIN(RADIANS($C542))+$J542*SIN(RADIANS($E542)))</f>
        <v/>
      </c>
      <c r="N542">
        <f>IF($M542="","",DEGREES(ATAN2(SQRT($K542^2+$L542^2),$M542)))</f>
        <v/>
      </c>
      <c r="O542">
        <f>IF($M542="","",DEGREES(ATAN2($K542,$L542)))</f>
        <v/>
      </c>
      <c r="P542">
        <f t="array" ref="P542">IF($N542="","",IFERROR(IF(INDEX(geo_grid!$B$2:$JU$231,INT(($N542+40)/0.5)+1,INT(($O542+30)/0.5)+1)="","",INDEX(geo_grid!$B$2:$JU$231,INT(($N542+40)/0.5)+1,INT(($O542+30)/0.5)+1)),"OUTSIDE GRID"))</f>
        <v/>
      </c>
      <c r="Q542">
        <f>IF($P542="","",$A542*1000+$B542)</f>
        <v/>
      </c>
    </row>
    <row r="543">
      <c r="A543">
        <f>INT((ROW()-2)/151)+1</f>
        <v/>
      </c>
      <c r="B543">
        <f>MOD(ROW()-2,151)</f>
        <v/>
      </c>
      <c r="C543">
        <f t="array" ref="C543">IFERROR(INDEX('TRIP MANAGER'!$O$18:$O$25,$A543),"")</f>
        <v/>
      </c>
      <c r="D543">
        <f t="array" ref="D543">IFERROR(INDEX('TRIP MANAGER'!$P$18:$P$25,$A543),"")</f>
        <v/>
      </c>
      <c r="E543">
        <f t="array" ref="E543">IFERROR(INDEX('TRIP MANAGER'!$Q$18:$Q$25,$A543),"")</f>
        <v/>
      </c>
      <c r="F543">
        <f t="array" ref="F543">IFERROR(INDEX('TRIP MANAGER'!$R$18:$R$25,$A543),"")</f>
        <v/>
      </c>
      <c r="G543">
        <f t="array" ref="G543">IFERROR(INDEX('TRIP MANAGER'!$S$18:$S$25,$A543),"")</f>
        <v/>
      </c>
      <c r="H543">
        <f>$B543/150</f>
        <v/>
      </c>
      <c r="I543">
        <f>IF(OR($G543="",$G543=0),"",SIN((1-$H543)*$G543)/SIN($G543))</f>
        <v/>
      </c>
      <c r="J543">
        <f>IF($I543="","",SIN($H543*$G543)/SIN($G543))</f>
        <v/>
      </c>
      <c r="K543">
        <f>IF($I543="","",$I543*COS(RADIANS($C543))*COS(RADIANS($D543))+$J543*COS(RADIANS($E543))*COS(RADIANS($F543)))</f>
        <v/>
      </c>
      <c r="L543">
        <f>IF($I543="","",$I543*COS(RADIANS($C543))*SIN(RADIANS($D543))+$J543*COS(RADIANS($E543))*SIN(RADIANS($F543)))</f>
        <v/>
      </c>
      <c r="M543">
        <f>IF($I543="","",$I543*SIN(RADIANS($C543))+$J543*SIN(RADIANS($E543)))</f>
        <v/>
      </c>
      <c r="N543">
        <f>IF($M543="","",DEGREES(ATAN2(SQRT($K543^2+$L543^2),$M543)))</f>
        <v/>
      </c>
      <c r="O543">
        <f>IF($M543="","",DEGREES(ATAN2($K543,$L543)))</f>
        <v/>
      </c>
      <c r="P543">
        <f t="array" ref="P543">IF($N543="","",IFERROR(IF(INDEX(geo_grid!$B$2:$JU$231,INT(($N543+40)/0.5)+1,INT(($O543+30)/0.5)+1)="","",INDEX(geo_grid!$B$2:$JU$231,INT(($N543+40)/0.5)+1,INT(($O543+30)/0.5)+1)),"OUTSIDE GRID"))</f>
        <v/>
      </c>
      <c r="Q543">
        <f>IF($P543="","",$A543*1000+$B543)</f>
        <v/>
      </c>
    </row>
    <row r="544">
      <c r="A544">
        <f>INT((ROW()-2)/151)+1</f>
        <v/>
      </c>
      <c r="B544">
        <f>MOD(ROW()-2,151)</f>
        <v/>
      </c>
      <c r="C544">
        <f t="array" ref="C544">IFERROR(INDEX('TRIP MANAGER'!$O$18:$O$25,$A544),"")</f>
        <v/>
      </c>
      <c r="D544">
        <f t="array" ref="D544">IFERROR(INDEX('TRIP MANAGER'!$P$18:$P$25,$A544),"")</f>
        <v/>
      </c>
      <c r="E544">
        <f t="array" ref="E544">IFERROR(INDEX('TRIP MANAGER'!$Q$18:$Q$25,$A544),"")</f>
        <v/>
      </c>
      <c r="F544">
        <f t="array" ref="F544">IFERROR(INDEX('TRIP MANAGER'!$R$18:$R$25,$A544),"")</f>
        <v/>
      </c>
      <c r="G544">
        <f t="array" ref="G544">IFERROR(INDEX('TRIP MANAGER'!$S$18:$S$25,$A544),"")</f>
        <v/>
      </c>
      <c r="H544">
        <f>$B544/150</f>
        <v/>
      </c>
      <c r="I544">
        <f>IF(OR($G544="",$G544=0),"",SIN((1-$H544)*$G544)/SIN($G544))</f>
        <v/>
      </c>
      <c r="J544">
        <f>IF($I544="","",SIN($H544*$G544)/SIN($G544))</f>
        <v/>
      </c>
      <c r="K544">
        <f>IF($I544="","",$I544*COS(RADIANS($C544))*COS(RADIANS($D544))+$J544*COS(RADIANS($E544))*COS(RADIANS($F544)))</f>
        <v/>
      </c>
      <c r="L544">
        <f>IF($I544="","",$I544*COS(RADIANS($C544))*SIN(RADIANS($D544))+$J544*COS(RADIANS($E544))*SIN(RADIANS($F544)))</f>
        <v/>
      </c>
      <c r="M544">
        <f>IF($I544="","",$I544*SIN(RADIANS($C544))+$J544*SIN(RADIANS($E544)))</f>
        <v/>
      </c>
      <c r="N544">
        <f>IF($M544="","",DEGREES(ATAN2(SQRT($K544^2+$L544^2),$M544)))</f>
        <v/>
      </c>
      <c r="O544">
        <f>IF($M544="","",DEGREES(ATAN2($K544,$L544)))</f>
        <v/>
      </c>
      <c r="P544">
        <f t="array" ref="P544">IF($N544="","",IFERROR(IF(INDEX(geo_grid!$B$2:$JU$231,INT(($N544+40)/0.5)+1,INT(($O544+30)/0.5)+1)="","",INDEX(geo_grid!$B$2:$JU$231,INT(($N544+40)/0.5)+1,INT(($O544+30)/0.5)+1)),"OUTSIDE GRID"))</f>
        <v/>
      </c>
      <c r="Q544">
        <f>IF($P544="","",$A544*1000+$B544)</f>
        <v/>
      </c>
    </row>
    <row r="545">
      <c r="A545">
        <f>INT((ROW()-2)/151)+1</f>
        <v/>
      </c>
      <c r="B545">
        <f>MOD(ROW()-2,151)</f>
        <v/>
      </c>
      <c r="C545">
        <f t="array" ref="C545">IFERROR(INDEX('TRIP MANAGER'!$O$18:$O$25,$A545),"")</f>
        <v/>
      </c>
      <c r="D545">
        <f t="array" ref="D545">IFERROR(INDEX('TRIP MANAGER'!$P$18:$P$25,$A545),"")</f>
        <v/>
      </c>
      <c r="E545">
        <f t="array" ref="E545">IFERROR(INDEX('TRIP MANAGER'!$Q$18:$Q$25,$A545),"")</f>
        <v/>
      </c>
      <c r="F545">
        <f t="array" ref="F545">IFERROR(INDEX('TRIP MANAGER'!$R$18:$R$25,$A545),"")</f>
        <v/>
      </c>
      <c r="G545">
        <f t="array" ref="G545">IFERROR(INDEX('TRIP MANAGER'!$S$18:$S$25,$A545),"")</f>
        <v/>
      </c>
      <c r="H545">
        <f>$B545/150</f>
        <v/>
      </c>
      <c r="I545">
        <f>IF(OR($G545="",$G545=0),"",SIN((1-$H545)*$G545)/SIN($G545))</f>
        <v/>
      </c>
      <c r="J545">
        <f>IF($I545="","",SIN($H545*$G545)/SIN($G545))</f>
        <v/>
      </c>
      <c r="K545">
        <f>IF($I545="","",$I545*COS(RADIANS($C545))*COS(RADIANS($D545))+$J545*COS(RADIANS($E545))*COS(RADIANS($F545)))</f>
        <v/>
      </c>
      <c r="L545">
        <f>IF($I545="","",$I545*COS(RADIANS($C545))*SIN(RADIANS($D545))+$J545*COS(RADIANS($E545))*SIN(RADIANS($F545)))</f>
        <v/>
      </c>
      <c r="M545">
        <f>IF($I545="","",$I545*SIN(RADIANS($C545))+$J545*SIN(RADIANS($E545)))</f>
        <v/>
      </c>
      <c r="N545">
        <f>IF($M545="","",DEGREES(ATAN2(SQRT($K545^2+$L545^2),$M545)))</f>
        <v/>
      </c>
      <c r="O545">
        <f>IF($M545="","",DEGREES(ATAN2($K545,$L545)))</f>
        <v/>
      </c>
      <c r="P545">
        <f t="array" ref="P545">IF($N545="","",IFERROR(IF(INDEX(geo_grid!$B$2:$JU$231,INT(($N545+40)/0.5)+1,INT(($O545+30)/0.5)+1)="","",INDEX(geo_grid!$B$2:$JU$231,INT(($N545+40)/0.5)+1,INT(($O545+30)/0.5)+1)),"OUTSIDE GRID"))</f>
        <v/>
      </c>
      <c r="Q545">
        <f>IF($P545="","",$A545*1000+$B545)</f>
        <v/>
      </c>
    </row>
    <row r="546">
      <c r="A546">
        <f>INT((ROW()-2)/151)+1</f>
        <v/>
      </c>
      <c r="B546">
        <f>MOD(ROW()-2,151)</f>
        <v/>
      </c>
      <c r="C546">
        <f t="array" ref="C546">IFERROR(INDEX('TRIP MANAGER'!$O$18:$O$25,$A546),"")</f>
        <v/>
      </c>
      <c r="D546">
        <f t="array" ref="D546">IFERROR(INDEX('TRIP MANAGER'!$P$18:$P$25,$A546),"")</f>
        <v/>
      </c>
      <c r="E546">
        <f t="array" ref="E546">IFERROR(INDEX('TRIP MANAGER'!$Q$18:$Q$25,$A546),"")</f>
        <v/>
      </c>
      <c r="F546">
        <f t="array" ref="F546">IFERROR(INDEX('TRIP MANAGER'!$R$18:$R$25,$A546),"")</f>
        <v/>
      </c>
      <c r="G546">
        <f t="array" ref="G546">IFERROR(INDEX('TRIP MANAGER'!$S$18:$S$25,$A546),"")</f>
        <v/>
      </c>
      <c r="H546">
        <f>$B546/150</f>
        <v/>
      </c>
      <c r="I546">
        <f>IF(OR($G546="",$G546=0),"",SIN((1-$H546)*$G546)/SIN($G546))</f>
        <v/>
      </c>
      <c r="J546">
        <f>IF($I546="","",SIN($H546*$G546)/SIN($G546))</f>
        <v/>
      </c>
      <c r="K546">
        <f>IF($I546="","",$I546*COS(RADIANS($C546))*COS(RADIANS($D546))+$J546*COS(RADIANS($E546))*COS(RADIANS($F546)))</f>
        <v/>
      </c>
      <c r="L546">
        <f>IF($I546="","",$I546*COS(RADIANS($C546))*SIN(RADIANS($D546))+$J546*COS(RADIANS($E546))*SIN(RADIANS($F546)))</f>
        <v/>
      </c>
      <c r="M546">
        <f>IF($I546="","",$I546*SIN(RADIANS($C546))+$J546*SIN(RADIANS($E546)))</f>
        <v/>
      </c>
      <c r="N546">
        <f>IF($M546="","",DEGREES(ATAN2(SQRT($K546^2+$L546^2),$M546)))</f>
        <v/>
      </c>
      <c r="O546">
        <f>IF($M546="","",DEGREES(ATAN2($K546,$L546)))</f>
        <v/>
      </c>
      <c r="P546">
        <f t="array" ref="P546">IF($N546="","",IFERROR(IF(INDEX(geo_grid!$B$2:$JU$231,INT(($N546+40)/0.5)+1,INT(($O546+30)/0.5)+1)="","",INDEX(geo_grid!$B$2:$JU$231,INT(($N546+40)/0.5)+1,INT(($O546+30)/0.5)+1)),"OUTSIDE GRID"))</f>
        <v/>
      </c>
      <c r="Q546">
        <f>IF($P546="","",$A546*1000+$B546)</f>
        <v/>
      </c>
    </row>
    <row r="547">
      <c r="A547">
        <f>INT((ROW()-2)/151)+1</f>
        <v/>
      </c>
      <c r="B547">
        <f>MOD(ROW()-2,151)</f>
        <v/>
      </c>
      <c r="C547">
        <f t="array" ref="C547">IFERROR(INDEX('TRIP MANAGER'!$O$18:$O$25,$A547),"")</f>
        <v/>
      </c>
      <c r="D547">
        <f t="array" ref="D547">IFERROR(INDEX('TRIP MANAGER'!$P$18:$P$25,$A547),"")</f>
        <v/>
      </c>
      <c r="E547">
        <f t="array" ref="E547">IFERROR(INDEX('TRIP MANAGER'!$Q$18:$Q$25,$A547),"")</f>
        <v/>
      </c>
      <c r="F547">
        <f t="array" ref="F547">IFERROR(INDEX('TRIP MANAGER'!$R$18:$R$25,$A547),"")</f>
        <v/>
      </c>
      <c r="G547">
        <f t="array" ref="G547">IFERROR(INDEX('TRIP MANAGER'!$S$18:$S$25,$A547),"")</f>
        <v/>
      </c>
      <c r="H547">
        <f>$B547/150</f>
        <v/>
      </c>
      <c r="I547">
        <f>IF(OR($G547="",$G547=0),"",SIN((1-$H547)*$G547)/SIN($G547))</f>
        <v/>
      </c>
      <c r="J547">
        <f>IF($I547="","",SIN($H547*$G547)/SIN($G547))</f>
        <v/>
      </c>
      <c r="K547">
        <f>IF($I547="","",$I547*COS(RADIANS($C547))*COS(RADIANS($D547))+$J547*COS(RADIANS($E547))*COS(RADIANS($F547)))</f>
        <v/>
      </c>
      <c r="L547">
        <f>IF($I547="","",$I547*COS(RADIANS($C547))*SIN(RADIANS($D547))+$J547*COS(RADIANS($E547))*SIN(RADIANS($F547)))</f>
        <v/>
      </c>
      <c r="M547">
        <f>IF($I547="","",$I547*SIN(RADIANS($C547))+$J547*SIN(RADIANS($E547)))</f>
        <v/>
      </c>
      <c r="N547">
        <f>IF($M547="","",DEGREES(ATAN2(SQRT($K547^2+$L547^2),$M547)))</f>
        <v/>
      </c>
      <c r="O547">
        <f>IF($M547="","",DEGREES(ATAN2($K547,$L547)))</f>
        <v/>
      </c>
      <c r="P547">
        <f t="array" ref="P547">IF($N547="","",IFERROR(IF(INDEX(geo_grid!$B$2:$JU$231,INT(($N547+40)/0.5)+1,INT(($O547+30)/0.5)+1)="","",INDEX(geo_grid!$B$2:$JU$231,INT(($N547+40)/0.5)+1,INT(($O547+30)/0.5)+1)),"OUTSIDE GRID"))</f>
        <v/>
      </c>
      <c r="Q547">
        <f>IF($P547="","",$A547*1000+$B547)</f>
        <v/>
      </c>
    </row>
    <row r="548">
      <c r="A548">
        <f>INT((ROW()-2)/151)+1</f>
        <v/>
      </c>
      <c r="B548">
        <f>MOD(ROW()-2,151)</f>
        <v/>
      </c>
      <c r="C548">
        <f t="array" ref="C548">IFERROR(INDEX('TRIP MANAGER'!$O$18:$O$25,$A548),"")</f>
        <v/>
      </c>
      <c r="D548">
        <f t="array" ref="D548">IFERROR(INDEX('TRIP MANAGER'!$P$18:$P$25,$A548),"")</f>
        <v/>
      </c>
      <c r="E548">
        <f t="array" ref="E548">IFERROR(INDEX('TRIP MANAGER'!$Q$18:$Q$25,$A548),"")</f>
        <v/>
      </c>
      <c r="F548">
        <f t="array" ref="F548">IFERROR(INDEX('TRIP MANAGER'!$R$18:$R$25,$A548),"")</f>
        <v/>
      </c>
      <c r="G548">
        <f t="array" ref="G548">IFERROR(INDEX('TRIP MANAGER'!$S$18:$S$25,$A548),"")</f>
        <v/>
      </c>
      <c r="H548">
        <f>$B548/150</f>
        <v/>
      </c>
      <c r="I548">
        <f>IF(OR($G548="",$G548=0),"",SIN((1-$H548)*$G548)/SIN($G548))</f>
        <v/>
      </c>
      <c r="J548">
        <f>IF($I548="","",SIN($H548*$G548)/SIN($G548))</f>
        <v/>
      </c>
      <c r="K548">
        <f>IF($I548="","",$I548*COS(RADIANS($C548))*COS(RADIANS($D548))+$J548*COS(RADIANS($E548))*COS(RADIANS($F548)))</f>
        <v/>
      </c>
      <c r="L548">
        <f>IF($I548="","",$I548*COS(RADIANS($C548))*SIN(RADIANS($D548))+$J548*COS(RADIANS($E548))*SIN(RADIANS($F548)))</f>
        <v/>
      </c>
      <c r="M548">
        <f>IF($I548="","",$I548*SIN(RADIANS($C548))+$J548*SIN(RADIANS($E548)))</f>
        <v/>
      </c>
      <c r="N548">
        <f>IF($M548="","",DEGREES(ATAN2(SQRT($K548^2+$L548^2),$M548)))</f>
        <v/>
      </c>
      <c r="O548">
        <f>IF($M548="","",DEGREES(ATAN2($K548,$L548)))</f>
        <v/>
      </c>
      <c r="P548">
        <f t="array" ref="P548">IF($N548="","",IFERROR(IF(INDEX(geo_grid!$B$2:$JU$231,INT(($N548+40)/0.5)+1,INT(($O548+30)/0.5)+1)="","",INDEX(geo_grid!$B$2:$JU$231,INT(($N548+40)/0.5)+1,INT(($O548+30)/0.5)+1)),"OUTSIDE GRID"))</f>
        <v/>
      </c>
      <c r="Q548">
        <f>IF($P548="","",$A548*1000+$B548)</f>
        <v/>
      </c>
    </row>
    <row r="549">
      <c r="A549">
        <f>INT((ROW()-2)/151)+1</f>
        <v/>
      </c>
      <c r="B549">
        <f>MOD(ROW()-2,151)</f>
        <v/>
      </c>
      <c r="C549">
        <f t="array" ref="C549">IFERROR(INDEX('TRIP MANAGER'!$O$18:$O$25,$A549),"")</f>
        <v/>
      </c>
      <c r="D549">
        <f t="array" ref="D549">IFERROR(INDEX('TRIP MANAGER'!$P$18:$P$25,$A549),"")</f>
        <v/>
      </c>
      <c r="E549">
        <f t="array" ref="E549">IFERROR(INDEX('TRIP MANAGER'!$Q$18:$Q$25,$A549),"")</f>
        <v/>
      </c>
      <c r="F549">
        <f t="array" ref="F549">IFERROR(INDEX('TRIP MANAGER'!$R$18:$R$25,$A549),"")</f>
        <v/>
      </c>
      <c r="G549">
        <f t="array" ref="G549">IFERROR(INDEX('TRIP MANAGER'!$S$18:$S$25,$A549),"")</f>
        <v/>
      </c>
      <c r="H549">
        <f>$B549/150</f>
        <v/>
      </c>
      <c r="I549">
        <f>IF(OR($G549="",$G549=0),"",SIN((1-$H549)*$G549)/SIN($G549))</f>
        <v/>
      </c>
      <c r="J549">
        <f>IF($I549="","",SIN($H549*$G549)/SIN($G549))</f>
        <v/>
      </c>
      <c r="K549">
        <f>IF($I549="","",$I549*COS(RADIANS($C549))*COS(RADIANS($D549))+$J549*COS(RADIANS($E549))*COS(RADIANS($F549)))</f>
        <v/>
      </c>
      <c r="L549">
        <f>IF($I549="","",$I549*COS(RADIANS($C549))*SIN(RADIANS($D549))+$J549*COS(RADIANS($E549))*SIN(RADIANS($F549)))</f>
        <v/>
      </c>
      <c r="M549">
        <f>IF($I549="","",$I549*SIN(RADIANS($C549))+$J549*SIN(RADIANS($E549)))</f>
        <v/>
      </c>
      <c r="N549">
        <f>IF($M549="","",DEGREES(ATAN2(SQRT($K549^2+$L549^2),$M549)))</f>
        <v/>
      </c>
      <c r="O549">
        <f>IF($M549="","",DEGREES(ATAN2($K549,$L549)))</f>
        <v/>
      </c>
      <c r="P549">
        <f t="array" ref="P549">IF($N549="","",IFERROR(IF(INDEX(geo_grid!$B$2:$JU$231,INT(($N549+40)/0.5)+1,INT(($O549+30)/0.5)+1)="","",INDEX(geo_grid!$B$2:$JU$231,INT(($N549+40)/0.5)+1,INT(($O549+30)/0.5)+1)),"OUTSIDE GRID"))</f>
        <v/>
      </c>
      <c r="Q549">
        <f>IF($P549="","",$A549*1000+$B549)</f>
        <v/>
      </c>
    </row>
    <row r="550">
      <c r="A550">
        <f>INT((ROW()-2)/151)+1</f>
        <v/>
      </c>
      <c r="B550">
        <f>MOD(ROW()-2,151)</f>
        <v/>
      </c>
      <c r="C550">
        <f t="array" ref="C550">IFERROR(INDEX('TRIP MANAGER'!$O$18:$O$25,$A550),"")</f>
        <v/>
      </c>
      <c r="D550">
        <f t="array" ref="D550">IFERROR(INDEX('TRIP MANAGER'!$P$18:$P$25,$A550),"")</f>
        <v/>
      </c>
      <c r="E550">
        <f t="array" ref="E550">IFERROR(INDEX('TRIP MANAGER'!$Q$18:$Q$25,$A550),"")</f>
        <v/>
      </c>
      <c r="F550">
        <f t="array" ref="F550">IFERROR(INDEX('TRIP MANAGER'!$R$18:$R$25,$A550),"")</f>
        <v/>
      </c>
      <c r="G550">
        <f t="array" ref="G550">IFERROR(INDEX('TRIP MANAGER'!$S$18:$S$25,$A550),"")</f>
        <v/>
      </c>
      <c r="H550">
        <f>$B550/150</f>
        <v/>
      </c>
      <c r="I550">
        <f>IF(OR($G550="",$G550=0),"",SIN((1-$H550)*$G550)/SIN($G550))</f>
        <v/>
      </c>
      <c r="J550">
        <f>IF($I550="","",SIN($H550*$G550)/SIN($G550))</f>
        <v/>
      </c>
      <c r="K550">
        <f>IF($I550="","",$I550*COS(RADIANS($C550))*COS(RADIANS($D550))+$J550*COS(RADIANS($E550))*COS(RADIANS($F550)))</f>
        <v/>
      </c>
      <c r="L550">
        <f>IF($I550="","",$I550*COS(RADIANS($C550))*SIN(RADIANS($D550))+$J550*COS(RADIANS($E550))*SIN(RADIANS($F550)))</f>
        <v/>
      </c>
      <c r="M550">
        <f>IF($I550="","",$I550*SIN(RADIANS($C550))+$J550*SIN(RADIANS($E550)))</f>
        <v/>
      </c>
      <c r="N550">
        <f>IF($M550="","",DEGREES(ATAN2(SQRT($K550^2+$L550^2),$M550)))</f>
        <v/>
      </c>
      <c r="O550">
        <f>IF($M550="","",DEGREES(ATAN2($K550,$L550)))</f>
        <v/>
      </c>
      <c r="P550">
        <f t="array" ref="P550">IF($N550="","",IFERROR(IF(INDEX(geo_grid!$B$2:$JU$231,INT(($N550+40)/0.5)+1,INT(($O550+30)/0.5)+1)="","",INDEX(geo_grid!$B$2:$JU$231,INT(($N550+40)/0.5)+1,INT(($O550+30)/0.5)+1)),"OUTSIDE GRID"))</f>
        <v/>
      </c>
      <c r="Q550">
        <f>IF($P550="","",$A550*1000+$B550)</f>
        <v/>
      </c>
    </row>
    <row r="551">
      <c r="A551">
        <f>INT((ROW()-2)/151)+1</f>
        <v/>
      </c>
      <c r="B551">
        <f>MOD(ROW()-2,151)</f>
        <v/>
      </c>
      <c r="C551">
        <f t="array" ref="C551">IFERROR(INDEX('TRIP MANAGER'!$O$18:$O$25,$A551),"")</f>
        <v/>
      </c>
      <c r="D551">
        <f t="array" ref="D551">IFERROR(INDEX('TRIP MANAGER'!$P$18:$P$25,$A551),"")</f>
        <v/>
      </c>
      <c r="E551">
        <f t="array" ref="E551">IFERROR(INDEX('TRIP MANAGER'!$Q$18:$Q$25,$A551),"")</f>
        <v/>
      </c>
      <c r="F551">
        <f t="array" ref="F551">IFERROR(INDEX('TRIP MANAGER'!$R$18:$R$25,$A551),"")</f>
        <v/>
      </c>
      <c r="G551">
        <f t="array" ref="G551">IFERROR(INDEX('TRIP MANAGER'!$S$18:$S$25,$A551),"")</f>
        <v/>
      </c>
      <c r="H551">
        <f>$B551/150</f>
        <v/>
      </c>
      <c r="I551">
        <f>IF(OR($G551="",$G551=0),"",SIN((1-$H551)*$G551)/SIN($G551))</f>
        <v/>
      </c>
      <c r="J551">
        <f>IF($I551="","",SIN($H551*$G551)/SIN($G551))</f>
        <v/>
      </c>
      <c r="K551">
        <f>IF($I551="","",$I551*COS(RADIANS($C551))*COS(RADIANS($D551))+$J551*COS(RADIANS($E551))*COS(RADIANS($F551)))</f>
        <v/>
      </c>
      <c r="L551">
        <f>IF($I551="","",$I551*COS(RADIANS($C551))*SIN(RADIANS($D551))+$J551*COS(RADIANS($E551))*SIN(RADIANS($F551)))</f>
        <v/>
      </c>
      <c r="M551">
        <f>IF($I551="","",$I551*SIN(RADIANS($C551))+$J551*SIN(RADIANS($E551)))</f>
        <v/>
      </c>
      <c r="N551">
        <f>IF($M551="","",DEGREES(ATAN2(SQRT($K551^2+$L551^2),$M551)))</f>
        <v/>
      </c>
      <c r="O551">
        <f>IF($M551="","",DEGREES(ATAN2($K551,$L551)))</f>
        <v/>
      </c>
      <c r="P551">
        <f t="array" ref="P551">IF($N551="","",IFERROR(IF(INDEX(geo_grid!$B$2:$JU$231,INT(($N551+40)/0.5)+1,INT(($O551+30)/0.5)+1)="","",INDEX(geo_grid!$B$2:$JU$231,INT(($N551+40)/0.5)+1,INT(($O551+30)/0.5)+1)),"OUTSIDE GRID"))</f>
        <v/>
      </c>
      <c r="Q551">
        <f>IF($P551="","",$A551*1000+$B551)</f>
        <v/>
      </c>
    </row>
    <row r="552">
      <c r="A552">
        <f>INT((ROW()-2)/151)+1</f>
        <v/>
      </c>
      <c r="B552">
        <f>MOD(ROW()-2,151)</f>
        <v/>
      </c>
      <c r="C552">
        <f t="array" ref="C552">IFERROR(INDEX('TRIP MANAGER'!$O$18:$O$25,$A552),"")</f>
        <v/>
      </c>
      <c r="D552">
        <f t="array" ref="D552">IFERROR(INDEX('TRIP MANAGER'!$P$18:$P$25,$A552),"")</f>
        <v/>
      </c>
      <c r="E552">
        <f t="array" ref="E552">IFERROR(INDEX('TRIP MANAGER'!$Q$18:$Q$25,$A552),"")</f>
        <v/>
      </c>
      <c r="F552">
        <f t="array" ref="F552">IFERROR(INDEX('TRIP MANAGER'!$R$18:$R$25,$A552),"")</f>
        <v/>
      </c>
      <c r="G552">
        <f t="array" ref="G552">IFERROR(INDEX('TRIP MANAGER'!$S$18:$S$25,$A552),"")</f>
        <v/>
      </c>
      <c r="H552">
        <f>$B552/150</f>
        <v/>
      </c>
      <c r="I552">
        <f>IF(OR($G552="",$G552=0),"",SIN((1-$H552)*$G552)/SIN($G552))</f>
        <v/>
      </c>
      <c r="J552">
        <f>IF($I552="","",SIN($H552*$G552)/SIN($G552))</f>
        <v/>
      </c>
      <c r="K552">
        <f>IF($I552="","",$I552*COS(RADIANS($C552))*COS(RADIANS($D552))+$J552*COS(RADIANS($E552))*COS(RADIANS($F552)))</f>
        <v/>
      </c>
      <c r="L552">
        <f>IF($I552="","",$I552*COS(RADIANS($C552))*SIN(RADIANS($D552))+$J552*COS(RADIANS($E552))*SIN(RADIANS($F552)))</f>
        <v/>
      </c>
      <c r="M552">
        <f>IF($I552="","",$I552*SIN(RADIANS($C552))+$J552*SIN(RADIANS($E552)))</f>
        <v/>
      </c>
      <c r="N552">
        <f>IF($M552="","",DEGREES(ATAN2(SQRT($K552^2+$L552^2),$M552)))</f>
        <v/>
      </c>
      <c r="O552">
        <f>IF($M552="","",DEGREES(ATAN2($K552,$L552)))</f>
        <v/>
      </c>
      <c r="P552">
        <f t="array" ref="P552">IF($N552="","",IFERROR(IF(INDEX(geo_grid!$B$2:$JU$231,INT(($N552+40)/0.5)+1,INT(($O552+30)/0.5)+1)="","",INDEX(geo_grid!$B$2:$JU$231,INT(($N552+40)/0.5)+1,INT(($O552+30)/0.5)+1)),"OUTSIDE GRID"))</f>
        <v/>
      </c>
      <c r="Q552">
        <f>IF($P552="","",$A552*1000+$B552)</f>
        <v/>
      </c>
    </row>
    <row r="553">
      <c r="A553">
        <f>INT((ROW()-2)/151)+1</f>
        <v/>
      </c>
      <c r="B553">
        <f>MOD(ROW()-2,151)</f>
        <v/>
      </c>
      <c r="C553">
        <f t="array" ref="C553">IFERROR(INDEX('TRIP MANAGER'!$O$18:$O$25,$A553),"")</f>
        <v/>
      </c>
      <c r="D553">
        <f t="array" ref="D553">IFERROR(INDEX('TRIP MANAGER'!$P$18:$P$25,$A553),"")</f>
        <v/>
      </c>
      <c r="E553">
        <f t="array" ref="E553">IFERROR(INDEX('TRIP MANAGER'!$Q$18:$Q$25,$A553),"")</f>
        <v/>
      </c>
      <c r="F553">
        <f t="array" ref="F553">IFERROR(INDEX('TRIP MANAGER'!$R$18:$R$25,$A553),"")</f>
        <v/>
      </c>
      <c r="G553">
        <f t="array" ref="G553">IFERROR(INDEX('TRIP MANAGER'!$S$18:$S$25,$A553),"")</f>
        <v/>
      </c>
      <c r="H553">
        <f>$B553/150</f>
        <v/>
      </c>
      <c r="I553">
        <f>IF(OR($G553="",$G553=0),"",SIN((1-$H553)*$G553)/SIN($G553))</f>
        <v/>
      </c>
      <c r="J553">
        <f>IF($I553="","",SIN($H553*$G553)/SIN($G553))</f>
        <v/>
      </c>
      <c r="K553">
        <f>IF($I553="","",$I553*COS(RADIANS($C553))*COS(RADIANS($D553))+$J553*COS(RADIANS($E553))*COS(RADIANS($F553)))</f>
        <v/>
      </c>
      <c r="L553">
        <f>IF($I553="","",$I553*COS(RADIANS($C553))*SIN(RADIANS($D553))+$J553*COS(RADIANS($E553))*SIN(RADIANS($F553)))</f>
        <v/>
      </c>
      <c r="M553">
        <f>IF($I553="","",$I553*SIN(RADIANS($C553))+$J553*SIN(RADIANS($E553)))</f>
        <v/>
      </c>
      <c r="N553">
        <f>IF($M553="","",DEGREES(ATAN2(SQRT($K553^2+$L553^2),$M553)))</f>
        <v/>
      </c>
      <c r="O553">
        <f>IF($M553="","",DEGREES(ATAN2($K553,$L553)))</f>
        <v/>
      </c>
      <c r="P553">
        <f t="array" ref="P553">IF($N553="","",IFERROR(IF(INDEX(geo_grid!$B$2:$JU$231,INT(($N553+40)/0.5)+1,INT(($O553+30)/0.5)+1)="","",INDEX(geo_grid!$B$2:$JU$231,INT(($N553+40)/0.5)+1,INT(($O553+30)/0.5)+1)),"OUTSIDE GRID"))</f>
        <v/>
      </c>
      <c r="Q553">
        <f>IF($P553="","",$A553*1000+$B553)</f>
        <v/>
      </c>
    </row>
    <row r="554">
      <c r="A554">
        <f>INT((ROW()-2)/151)+1</f>
        <v/>
      </c>
      <c r="B554">
        <f>MOD(ROW()-2,151)</f>
        <v/>
      </c>
      <c r="C554">
        <f t="array" ref="C554">IFERROR(INDEX('TRIP MANAGER'!$O$18:$O$25,$A554),"")</f>
        <v/>
      </c>
      <c r="D554">
        <f t="array" ref="D554">IFERROR(INDEX('TRIP MANAGER'!$P$18:$P$25,$A554),"")</f>
        <v/>
      </c>
      <c r="E554">
        <f t="array" ref="E554">IFERROR(INDEX('TRIP MANAGER'!$Q$18:$Q$25,$A554),"")</f>
        <v/>
      </c>
      <c r="F554">
        <f t="array" ref="F554">IFERROR(INDEX('TRIP MANAGER'!$R$18:$R$25,$A554),"")</f>
        <v/>
      </c>
      <c r="G554">
        <f t="array" ref="G554">IFERROR(INDEX('TRIP MANAGER'!$S$18:$S$25,$A554),"")</f>
        <v/>
      </c>
      <c r="H554">
        <f>$B554/150</f>
        <v/>
      </c>
      <c r="I554">
        <f>IF(OR($G554="",$G554=0),"",SIN((1-$H554)*$G554)/SIN($G554))</f>
        <v/>
      </c>
      <c r="J554">
        <f>IF($I554="","",SIN($H554*$G554)/SIN($G554))</f>
        <v/>
      </c>
      <c r="K554">
        <f>IF($I554="","",$I554*COS(RADIANS($C554))*COS(RADIANS($D554))+$J554*COS(RADIANS($E554))*COS(RADIANS($F554)))</f>
        <v/>
      </c>
      <c r="L554">
        <f>IF($I554="","",$I554*COS(RADIANS($C554))*SIN(RADIANS($D554))+$J554*COS(RADIANS($E554))*SIN(RADIANS($F554)))</f>
        <v/>
      </c>
      <c r="M554">
        <f>IF($I554="","",$I554*SIN(RADIANS($C554))+$J554*SIN(RADIANS($E554)))</f>
        <v/>
      </c>
      <c r="N554">
        <f>IF($M554="","",DEGREES(ATAN2(SQRT($K554^2+$L554^2),$M554)))</f>
        <v/>
      </c>
      <c r="O554">
        <f>IF($M554="","",DEGREES(ATAN2($K554,$L554)))</f>
        <v/>
      </c>
      <c r="P554">
        <f t="array" ref="P554">IF($N554="","",IFERROR(IF(INDEX(geo_grid!$B$2:$JU$231,INT(($N554+40)/0.5)+1,INT(($O554+30)/0.5)+1)="","",INDEX(geo_grid!$B$2:$JU$231,INT(($N554+40)/0.5)+1,INT(($O554+30)/0.5)+1)),"OUTSIDE GRID"))</f>
        <v/>
      </c>
      <c r="Q554">
        <f>IF($P554="","",$A554*1000+$B554)</f>
        <v/>
      </c>
    </row>
    <row r="555">
      <c r="A555">
        <f>INT((ROW()-2)/151)+1</f>
        <v/>
      </c>
      <c r="B555">
        <f>MOD(ROW()-2,151)</f>
        <v/>
      </c>
      <c r="C555">
        <f t="array" ref="C555">IFERROR(INDEX('TRIP MANAGER'!$O$18:$O$25,$A555),"")</f>
        <v/>
      </c>
      <c r="D555">
        <f t="array" ref="D555">IFERROR(INDEX('TRIP MANAGER'!$P$18:$P$25,$A555),"")</f>
        <v/>
      </c>
      <c r="E555">
        <f t="array" ref="E555">IFERROR(INDEX('TRIP MANAGER'!$Q$18:$Q$25,$A555),"")</f>
        <v/>
      </c>
      <c r="F555">
        <f t="array" ref="F555">IFERROR(INDEX('TRIP MANAGER'!$R$18:$R$25,$A555),"")</f>
        <v/>
      </c>
      <c r="G555">
        <f t="array" ref="G555">IFERROR(INDEX('TRIP MANAGER'!$S$18:$S$25,$A555),"")</f>
        <v/>
      </c>
      <c r="H555">
        <f>$B555/150</f>
        <v/>
      </c>
      <c r="I555">
        <f>IF(OR($G555="",$G555=0),"",SIN((1-$H555)*$G555)/SIN($G555))</f>
        <v/>
      </c>
      <c r="J555">
        <f>IF($I555="","",SIN($H555*$G555)/SIN($G555))</f>
        <v/>
      </c>
      <c r="K555">
        <f>IF($I555="","",$I555*COS(RADIANS($C555))*COS(RADIANS($D555))+$J555*COS(RADIANS($E555))*COS(RADIANS($F555)))</f>
        <v/>
      </c>
      <c r="L555">
        <f>IF($I555="","",$I555*COS(RADIANS($C555))*SIN(RADIANS($D555))+$J555*COS(RADIANS($E555))*SIN(RADIANS($F555)))</f>
        <v/>
      </c>
      <c r="M555">
        <f>IF($I555="","",$I555*SIN(RADIANS($C555))+$J555*SIN(RADIANS($E555)))</f>
        <v/>
      </c>
      <c r="N555">
        <f>IF($M555="","",DEGREES(ATAN2(SQRT($K555^2+$L555^2),$M555)))</f>
        <v/>
      </c>
      <c r="O555">
        <f>IF($M555="","",DEGREES(ATAN2($K555,$L555)))</f>
        <v/>
      </c>
      <c r="P555">
        <f t="array" ref="P555">IF($N555="","",IFERROR(IF(INDEX(geo_grid!$B$2:$JU$231,INT(($N555+40)/0.5)+1,INT(($O555+30)/0.5)+1)="","",INDEX(geo_grid!$B$2:$JU$231,INT(($N555+40)/0.5)+1,INT(($O555+30)/0.5)+1)),"OUTSIDE GRID"))</f>
        <v/>
      </c>
      <c r="Q555">
        <f>IF($P555="","",$A555*1000+$B555)</f>
        <v/>
      </c>
    </row>
    <row r="556">
      <c r="A556">
        <f>INT((ROW()-2)/151)+1</f>
        <v/>
      </c>
      <c r="B556">
        <f>MOD(ROW()-2,151)</f>
        <v/>
      </c>
      <c r="C556">
        <f t="array" ref="C556">IFERROR(INDEX('TRIP MANAGER'!$O$18:$O$25,$A556),"")</f>
        <v/>
      </c>
      <c r="D556">
        <f t="array" ref="D556">IFERROR(INDEX('TRIP MANAGER'!$P$18:$P$25,$A556),"")</f>
        <v/>
      </c>
      <c r="E556">
        <f t="array" ref="E556">IFERROR(INDEX('TRIP MANAGER'!$Q$18:$Q$25,$A556),"")</f>
        <v/>
      </c>
      <c r="F556">
        <f t="array" ref="F556">IFERROR(INDEX('TRIP MANAGER'!$R$18:$R$25,$A556),"")</f>
        <v/>
      </c>
      <c r="G556">
        <f t="array" ref="G556">IFERROR(INDEX('TRIP MANAGER'!$S$18:$S$25,$A556),"")</f>
        <v/>
      </c>
      <c r="H556">
        <f>$B556/150</f>
        <v/>
      </c>
      <c r="I556">
        <f>IF(OR($G556="",$G556=0),"",SIN((1-$H556)*$G556)/SIN($G556))</f>
        <v/>
      </c>
      <c r="J556">
        <f>IF($I556="","",SIN($H556*$G556)/SIN($G556))</f>
        <v/>
      </c>
      <c r="K556">
        <f>IF($I556="","",$I556*COS(RADIANS($C556))*COS(RADIANS($D556))+$J556*COS(RADIANS($E556))*COS(RADIANS($F556)))</f>
        <v/>
      </c>
      <c r="L556">
        <f>IF($I556="","",$I556*COS(RADIANS($C556))*SIN(RADIANS($D556))+$J556*COS(RADIANS($E556))*SIN(RADIANS($F556)))</f>
        <v/>
      </c>
      <c r="M556">
        <f>IF($I556="","",$I556*SIN(RADIANS($C556))+$J556*SIN(RADIANS($E556)))</f>
        <v/>
      </c>
      <c r="N556">
        <f>IF($M556="","",DEGREES(ATAN2(SQRT($K556^2+$L556^2),$M556)))</f>
        <v/>
      </c>
      <c r="O556">
        <f>IF($M556="","",DEGREES(ATAN2($K556,$L556)))</f>
        <v/>
      </c>
      <c r="P556">
        <f t="array" ref="P556">IF($N556="","",IFERROR(IF(INDEX(geo_grid!$B$2:$JU$231,INT(($N556+40)/0.5)+1,INT(($O556+30)/0.5)+1)="","",INDEX(geo_grid!$B$2:$JU$231,INT(($N556+40)/0.5)+1,INT(($O556+30)/0.5)+1)),"OUTSIDE GRID"))</f>
        <v/>
      </c>
      <c r="Q556">
        <f>IF($P556="","",$A556*1000+$B556)</f>
        <v/>
      </c>
    </row>
    <row r="557">
      <c r="A557">
        <f>INT((ROW()-2)/151)+1</f>
        <v/>
      </c>
      <c r="B557">
        <f>MOD(ROW()-2,151)</f>
        <v/>
      </c>
      <c r="C557">
        <f t="array" ref="C557">IFERROR(INDEX('TRIP MANAGER'!$O$18:$O$25,$A557),"")</f>
        <v/>
      </c>
      <c r="D557">
        <f t="array" ref="D557">IFERROR(INDEX('TRIP MANAGER'!$P$18:$P$25,$A557),"")</f>
        <v/>
      </c>
      <c r="E557">
        <f t="array" ref="E557">IFERROR(INDEX('TRIP MANAGER'!$Q$18:$Q$25,$A557),"")</f>
        <v/>
      </c>
      <c r="F557">
        <f t="array" ref="F557">IFERROR(INDEX('TRIP MANAGER'!$R$18:$R$25,$A557),"")</f>
        <v/>
      </c>
      <c r="G557">
        <f t="array" ref="G557">IFERROR(INDEX('TRIP MANAGER'!$S$18:$S$25,$A557),"")</f>
        <v/>
      </c>
      <c r="H557">
        <f>$B557/150</f>
        <v/>
      </c>
      <c r="I557">
        <f>IF(OR($G557="",$G557=0),"",SIN((1-$H557)*$G557)/SIN($G557))</f>
        <v/>
      </c>
      <c r="J557">
        <f>IF($I557="","",SIN($H557*$G557)/SIN($G557))</f>
        <v/>
      </c>
      <c r="K557">
        <f>IF($I557="","",$I557*COS(RADIANS($C557))*COS(RADIANS($D557))+$J557*COS(RADIANS($E557))*COS(RADIANS($F557)))</f>
        <v/>
      </c>
      <c r="L557">
        <f>IF($I557="","",$I557*COS(RADIANS($C557))*SIN(RADIANS($D557))+$J557*COS(RADIANS($E557))*SIN(RADIANS($F557)))</f>
        <v/>
      </c>
      <c r="M557">
        <f>IF($I557="","",$I557*SIN(RADIANS($C557))+$J557*SIN(RADIANS($E557)))</f>
        <v/>
      </c>
      <c r="N557">
        <f>IF($M557="","",DEGREES(ATAN2(SQRT($K557^2+$L557^2),$M557)))</f>
        <v/>
      </c>
      <c r="O557">
        <f>IF($M557="","",DEGREES(ATAN2($K557,$L557)))</f>
        <v/>
      </c>
      <c r="P557">
        <f t="array" ref="P557">IF($N557="","",IFERROR(IF(INDEX(geo_grid!$B$2:$JU$231,INT(($N557+40)/0.5)+1,INT(($O557+30)/0.5)+1)="","",INDEX(geo_grid!$B$2:$JU$231,INT(($N557+40)/0.5)+1,INT(($O557+30)/0.5)+1)),"OUTSIDE GRID"))</f>
        <v/>
      </c>
      <c r="Q557">
        <f>IF($P557="","",$A557*1000+$B557)</f>
        <v/>
      </c>
    </row>
    <row r="558">
      <c r="A558">
        <f>INT((ROW()-2)/151)+1</f>
        <v/>
      </c>
      <c r="B558">
        <f>MOD(ROW()-2,151)</f>
        <v/>
      </c>
      <c r="C558">
        <f t="array" ref="C558">IFERROR(INDEX('TRIP MANAGER'!$O$18:$O$25,$A558),"")</f>
        <v/>
      </c>
      <c r="D558">
        <f t="array" ref="D558">IFERROR(INDEX('TRIP MANAGER'!$P$18:$P$25,$A558),"")</f>
        <v/>
      </c>
      <c r="E558">
        <f t="array" ref="E558">IFERROR(INDEX('TRIP MANAGER'!$Q$18:$Q$25,$A558),"")</f>
        <v/>
      </c>
      <c r="F558">
        <f t="array" ref="F558">IFERROR(INDEX('TRIP MANAGER'!$R$18:$R$25,$A558),"")</f>
        <v/>
      </c>
      <c r="G558">
        <f t="array" ref="G558">IFERROR(INDEX('TRIP MANAGER'!$S$18:$S$25,$A558),"")</f>
        <v/>
      </c>
      <c r="H558">
        <f>$B558/150</f>
        <v/>
      </c>
      <c r="I558">
        <f>IF(OR($G558="",$G558=0),"",SIN((1-$H558)*$G558)/SIN($G558))</f>
        <v/>
      </c>
      <c r="J558">
        <f>IF($I558="","",SIN($H558*$G558)/SIN($G558))</f>
        <v/>
      </c>
      <c r="K558">
        <f>IF($I558="","",$I558*COS(RADIANS($C558))*COS(RADIANS($D558))+$J558*COS(RADIANS($E558))*COS(RADIANS($F558)))</f>
        <v/>
      </c>
      <c r="L558">
        <f>IF($I558="","",$I558*COS(RADIANS($C558))*SIN(RADIANS($D558))+$J558*COS(RADIANS($E558))*SIN(RADIANS($F558)))</f>
        <v/>
      </c>
      <c r="M558">
        <f>IF($I558="","",$I558*SIN(RADIANS($C558))+$J558*SIN(RADIANS($E558)))</f>
        <v/>
      </c>
      <c r="N558">
        <f>IF($M558="","",DEGREES(ATAN2(SQRT($K558^2+$L558^2),$M558)))</f>
        <v/>
      </c>
      <c r="O558">
        <f>IF($M558="","",DEGREES(ATAN2($K558,$L558)))</f>
        <v/>
      </c>
      <c r="P558">
        <f t="array" ref="P558">IF($N558="","",IFERROR(IF(INDEX(geo_grid!$B$2:$JU$231,INT(($N558+40)/0.5)+1,INT(($O558+30)/0.5)+1)="","",INDEX(geo_grid!$B$2:$JU$231,INT(($N558+40)/0.5)+1,INT(($O558+30)/0.5)+1)),"OUTSIDE GRID"))</f>
        <v/>
      </c>
      <c r="Q558">
        <f>IF($P558="","",$A558*1000+$B558)</f>
        <v/>
      </c>
    </row>
    <row r="559">
      <c r="A559">
        <f>INT((ROW()-2)/151)+1</f>
        <v/>
      </c>
      <c r="B559">
        <f>MOD(ROW()-2,151)</f>
        <v/>
      </c>
      <c r="C559">
        <f t="array" ref="C559">IFERROR(INDEX('TRIP MANAGER'!$O$18:$O$25,$A559),"")</f>
        <v/>
      </c>
      <c r="D559">
        <f t="array" ref="D559">IFERROR(INDEX('TRIP MANAGER'!$P$18:$P$25,$A559),"")</f>
        <v/>
      </c>
      <c r="E559">
        <f t="array" ref="E559">IFERROR(INDEX('TRIP MANAGER'!$Q$18:$Q$25,$A559),"")</f>
        <v/>
      </c>
      <c r="F559">
        <f t="array" ref="F559">IFERROR(INDEX('TRIP MANAGER'!$R$18:$R$25,$A559),"")</f>
        <v/>
      </c>
      <c r="G559">
        <f t="array" ref="G559">IFERROR(INDEX('TRIP MANAGER'!$S$18:$S$25,$A559),"")</f>
        <v/>
      </c>
      <c r="H559">
        <f>$B559/150</f>
        <v/>
      </c>
      <c r="I559">
        <f>IF(OR($G559="",$G559=0),"",SIN((1-$H559)*$G559)/SIN($G559))</f>
        <v/>
      </c>
      <c r="J559">
        <f>IF($I559="","",SIN($H559*$G559)/SIN($G559))</f>
        <v/>
      </c>
      <c r="K559">
        <f>IF($I559="","",$I559*COS(RADIANS($C559))*COS(RADIANS($D559))+$J559*COS(RADIANS($E559))*COS(RADIANS($F559)))</f>
        <v/>
      </c>
      <c r="L559">
        <f>IF($I559="","",$I559*COS(RADIANS($C559))*SIN(RADIANS($D559))+$J559*COS(RADIANS($E559))*SIN(RADIANS($F559)))</f>
        <v/>
      </c>
      <c r="M559">
        <f>IF($I559="","",$I559*SIN(RADIANS($C559))+$J559*SIN(RADIANS($E559)))</f>
        <v/>
      </c>
      <c r="N559">
        <f>IF($M559="","",DEGREES(ATAN2(SQRT($K559^2+$L559^2),$M559)))</f>
        <v/>
      </c>
      <c r="O559">
        <f>IF($M559="","",DEGREES(ATAN2($K559,$L559)))</f>
        <v/>
      </c>
      <c r="P559">
        <f t="array" ref="P559">IF($N559="","",IFERROR(IF(INDEX(geo_grid!$B$2:$JU$231,INT(($N559+40)/0.5)+1,INT(($O559+30)/0.5)+1)="","",INDEX(geo_grid!$B$2:$JU$231,INT(($N559+40)/0.5)+1,INT(($O559+30)/0.5)+1)),"OUTSIDE GRID"))</f>
        <v/>
      </c>
      <c r="Q559">
        <f>IF($P559="","",$A559*1000+$B559)</f>
        <v/>
      </c>
    </row>
    <row r="560">
      <c r="A560">
        <f>INT((ROW()-2)/151)+1</f>
        <v/>
      </c>
      <c r="B560">
        <f>MOD(ROW()-2,151)</f>
        <v/>
      </c>
      <c r="C560">
        <f t="array" ref="C560">IFERROR(INDEX('TRIP MANAGER'!$O$18:$O$25,$A560),"")</f>
        <v/>
      </c>
      <c r="D560">
        <f t="array" ref="D560">IFERROR(INDEX('TRIP MANAGER'!$P$18:$P$25,$A560),"")</f>
        <v/>
      </c>
      <c r="E560">
        <f t="array" ref="E560">IFERROR(INDEX('TRIP MANAGER'!$Q$18:$Q$25,$A560),"")</f>
        <v/>
      </c>
      <c r="F560">
        <f t="array" ref="F560">IFERROR(INDEX('TRIP MANAGER'!$R$18:$R$25,$A560),"")</f>
        <v/>
      </c>
      <c r="G560">
        <f t="array" ref="G560">IFERROR(INDEX('TRIP MANAGER'!$S$18:$S$25,$A560),"")</f>
        <v/>
      </c>
      <c r="H560">
        <f>$B560/150</f>
        <v/>
      </c>
      <c r="I560">
        <f>IF(OR($G560="",$G560=0),"",SIN((1-$H560)*$G560)/SIN($G560))</f>
        <v/>
      </c>
      <c r="J560">
        <f>IF($I560="","",SIN($H560*$G560)/SIN($G560))</f>
        <v/>
      </c>
      <c r="K560">
        <f>IF($I560="","",$I560*COS(RADIANS($C560))*COS(RADIANS($D560))+$J560*COS(RADIANS($E560))*COS(RADIANS($F560)))</f>
        <v/>
      </c>
      <c r="L560">
        <f>IF($I560="","",$I560*COS(RADIANS($C560))*SIN(RADIANS($D560))+$J560*COS(RADIANS($E560))*SIN(RADIANS($F560)))</f>
        <v/>
      </c>
      <c r="M560">
        <f>IF($I560="","",$I560*SIN(RADIANS($C560))+$J560*SIN(RADIANS($E560)))</f>
        <v/>
      </c>
      <c r="N560">
        <f>IF($M560="","",DEGREES(ATAN2(SQRT($K560^2+$L560^2),$M560)))</f>
        <v/>
      </c>
      <c r="O560">
        <f>IF($M560="","",DEGREES(ATAN2($K560,$L560)))</f>
        <v/>
      </c>
      <c r="P560">
        <f t="array" ref="P560">IF($N560="","",IFERROR(IF(INDEX(geo_grid!$B$2:$JU$231,INT(($N560+40)/0.5)+1,INT(($O560+30)/0.5)+1)="","",INDEX(geo_grid!$B$2:$JU$231,INT(($N560+40)/0.5)+1,INT(($O560+30)/0.5)+1)),"OUTSIDE GRID"))</f>
        <v/>
      </c>
      <c r="Q560">
        <f>IF($P560="","",$A560*1000+$B560)</f>
        <v/>
      </c>
    </row>
    <row r="561">
      <c r="A561">
        <f>INT((ROW()-2)/151)+1</f>
        <v/>
      </c>
      <c r="B561">
        <f>MOD(ROW()-2,151)</f>
        <v/>
      </c>
      <c r="C561">
        <f t="array" ref="C561">IFERROR(INDEX('TRIP MANAGER'!$O$18:$O$25,$A561),"")</f>
        <v/>
      </c>
      <c r="D561">
        <f t="array" ref="D561">IFERROR(INDEX('TRIP MANAGER'!$P$18:$P$25,$A561),"")</f>
        <v/>
      </c>
      <c r="E561">
        <f t="array" ref="E561">IFERROR(INDEX('TRIP MANAGER'!$Q$18:$Q$25,$A561),"")</f>
        <v/>
      </c>
      <c r="F561">
        <f t="array" ref="F561">IFERROR(INDEX('TRIP MANAGER'!$R$18:$R$25,$A561),"")</f>
        <v/>
      </c>
      <c r="G561">
        <f t="array" ref="G561">IFERROR(INDEX('TRIP MANAGER'!$S$18:$S$25,$A561),"")</f>
        <v/>
      </c>
      <c r="H561">
        <f>$B561/150</f>
        <v/>
      </c>
      <c r="I561">
        <f>IF(OR($G561="",$G561=0),"",SIN((1-$H561)*$G561)/SIN($G561))</f>
        <v/>
      </c>
      <c r="J561">
        <f>IF($I561="","",SIN($H561*$G561)/SIN($G561))</f>
        <v/>
      </c>
      <c r="K561">
        <f>IF($I561="","",$I561*COS(RADIANS($C561))*COS(RADIANS($D561))+$J561*COS(RADIANS($E561))*COS(RADIANS($F561)))</f>
        <v/>
      </c>
      <c r="L561">
        <f>IF($I561="","",$I561*COS(RADIANS($C561))*SIN(RADIANS($D561))+$J561*COS(RADIANS($E561))*SIN(RADIANS($F561)))</f>
        <v/>
      </c>
      <c r="M561">
        <f>IF($I561="","",$I561*SIN(RADIANS($C561))+$J561*SIN(RADIANS($E561)))</f>
        <v/>
      </c>
      <c r="N561">
        <f>IF($M561="","",DEGREES(ATAN2(SQRT($K561^2+$L561^2),$M561)))</f>
        <v/>
      </c>
      <c r="O561">
        <f>IF($M561="","",DEGREES(ATAN2($K561,$L561)))</f>
        <v/>
      </c>
      <c r="P561">
        <f t="array" ref="P561">IF($N561="","",IFERROR(IF(INDEX(geo_grid!$B$2:$JU$231,INT(($N561+40)/0.5)+1,INT(($O561+30)/0.5)+1)="","",INDEX(geo_grid!$B$2:$JU$231,INT(($N561+40)/0.5)+1,INT(($O561+30)/0.5)+1)),"OUTSIDE GRID"))</f>
        <v/>
      </c>
      <c r="Q561">
        <f>IF($P561="","",$A561*1000+$B561)</f>
        <v/>
      </c>
    </row>
    <row r="562">
      <c r="A562">
        <f>INT((ROW()-2)/151)+1</f>
        <v/>
      </c>
      <c r="B562">
        <f>MOD(ROW()-2,151)</f>
        <v/>
      </c>
      <c r="C562">
        <f t="array" ref="C562">IFERROR(INDEX('TRIP MANAGER'!$O$18:$O$25,$A562),"")</f>
        <v/>
      </c>
      <c r="D562">
        <f t="array" ref="D562">IFERROR(INDEX('TRIP MANAGER'!$P$18:$P$25,$A562),"")</f>
        <v/>
      </c>
      <c r="E562">
        <f t="array" ref="E562">IFERROR(INDEX('TRIP MANAGER'!$Q$18:$Q$25,$A562),"")</f>
        <v/>
      </c>
      <c r="F562">
        <f t="array" ref="F562">IFERROR(INDEX('TRIP MANAGER'!$R$18:$R$25,$A562),"")</f>
        <v/>
      </c>
      <c r="G562">
        <f t="array" ref="G562">IFERROR(INDEX('TRIP MANAGER'!$S$18:$S$25,$A562),"")</f>
        <v/>
      </c>
      <c r="H562">
        <f>$B562/150</f>
        <v/>
      </c>
      <c r="I562">
        <f>IF(OR($G562="",$G562=0),"",SIN((1-$H562)*$G562)/SIN($G562))</f>
        <v/>
      </c>
      <c r="J562">
        <f>IF($I562="","",SIN($H562*$G562)/SIN($G562))</f>
        <v/>
      </c>
      <c r="K562">
        <f>IF($I562="","",$I562*COS(RADIANS($C562))*COS(RADIANS($D562))+$J562*COS(RADIANS($E562))*COS(RADIANS($F562)))</f>
        <v/>
      </c>
      <c r="L562">
        <f>IF($I562="","",$I562*COS(RADIANS($C562))*SIN(RADIANS($D562))+$J562*COS(RADIANS($E562))*SIN(RADIANS($F562)))</f>
        <v/>
      </c>
      <c r="M562">
        <f>IF($I562="","",$I562*SIN(RADIANS($C562))+$J562*SIN(RADIANS($E562)))</f>
        <v/>
      </c>
      <c r="N562">
        <f>IF($M562="","",DEGREES(ATAN2(SQRT($K562^2+$L562^2),$M562)))</f>
        <v/>
      </c>
      <c r="O562">
        <f>IF($M562="","",DEGREES(ATAN2($K562,$L562)))</f>
        <v/>
      </c>
      <c r="P562">
        <f t="array" ref="P562">IF($N562="","",IFERROR(IF(INDEX(geo_grid!$B$2:$JU$231,INT(($N562+40)/0.5)+1,INT(($O562+30)/0.5)+1)="","",INDEX(geo_grid!$B$2:$JU$231,INT(($N562+40)/0.5)+1,INT(($O562+30)/0.5)+1)),"OUTSIDE GRID"))</f>
        <v/>
      </c>
      <c r="Q562">
        <f>IF($P562="","",$A562*1000+$B562)</f>
        <v/>
      </c>
    </row>
    <row r="563">
      <c r="A563">
        <f>INT((ROW()-2)/151)+1</f>
        <v/>
      </c>
      <c r="B563">
        <f>MOD(ROW()-2,151)</f>
        <v/>
      </c>
      <c r="C563">
        <f t="array" ref="C563">IFERROR(INDEX('TRIP MANAGER'!$O$18:$O$25,$A563),"")</f>
        <v/>
      </c>
      <c r="D563">
        <f t="array" ref="D563">IFERROR(INDEX('TRIP MANAGER'!$P$18:$P$25,$A563),"")</f>
        <v/>
      </c>
      <c r="E563">
        <f t="array" ref="E563">IFERROR(INDEX('TRIP MANAGER'!$Q$18:$Q$25,$A563),"")</f>
        <v/>
      </c>
      <c r="F563">
        <f t="array" ref="F563">IFERROR(INDEX('TRIP MANAGER'!$R$18:$R$25,$A563),"")</f>
        <v/>
      </c>
      <c r="G563">
        <f t="array" ref="G563">IFERROR(INDEX('TRIP MANAGER'!$S$18:$S$25,$A563),"")</f>
        <v/>
      </c>
      <c r="H563">
        <f>$B563/150</f>
        <v/>
      </c>
      <c r="I563">
        <f>IF(OR($G563="",$G563=0),"",SIN((1-$H563)*$G563)/SIN($G563))</f>
        <v/>
      </c>
      <c r="J563">
        <f>IF($I563="","",SIN($H563*$G563)/SIN($G563))</f>
        <v/>
      </c>
      <c r="K563">
        <f>IF($I563="","",$I563*COS(RADIANS($C563))*COS(RADIANS($D563))+$J563*COS(RADIANS($E563))*COS(RADIANS($F563)))</f>
        <v/>
      </c>
      <c r="L563">
        <f>IF($I563="","",$I563*COS(RADIANS($C563))*SIN(RADIANS($D563))+$J563*COS(RADIANS($E563))*SIN(RADIANS($F563)))</f>
        <v/>
      </c>
      <c r="M563">
        <f>IF($I563="","",$I563*SIN(RADIANS($C563))+$J563*SIN(RADIANS($E563)))</f>
        <v/>
      </c>
      <c r="N563">
        <f>IF($M563="","",DEGREES(ATAN2(SQRT($K563^2+$L563^2),$M563)))</f>
        <v/>
      </c>
      <c r="O563">
        <f>IF($M563="","",DEGREES(ATAN2($K563,$L563)))</f>
        <v/>
      </c>
      <c r="P563">
        <f t="array" ref="P563">IF($N563="","",IFERROR(IF(INDEX(geo_grid!$B$2:$JU$231,INT(($N563+40)/0.5)+1,INT(($O563+30)/0.5)+1)="","",INDEX(geo_grid!$B$2:$JU$231,INT(($N563+40)/0.5)+1,INT(($O563+30)/0.5)+1)),"OUTSIDE GRID"))</f>
        <v/>
      </c>
      <c r="Q563">
        <f>IF($P563="","",$A563*1000+$B563)</f>
        <v/>
      </c>
    </row>
    <row r="564">
      <c r="A564">
        <f>INT((ROW()-2)/151)+1</f>
        <v/>
      </c>
      <c r="B564">
        <f>MOD(ROW()-2,151)</f>
        <v/>
      </c>
      <c r="C564">
        <f t="array" ref="C564">IFERROR(INDEX('TRIP MANAGER'!$O$18:$O$25,$A564),"")</f>
        <v/>
      </c>
      <c r="D564">
        <f t="array" ref="D564">IFERROR(INDEX('TRIP MANAGER'!$P$18:$P$25,$A564),"")</f>
        <v/>
      </c>
      <c r="E564">
        <f t="array" ref="E564">IFERROR(INDEX('TRIP MANAGER'!$Q$18:$Q$25,$A564),"")</f>
        <v/>
      </c>
      <c r="F564">
        <f t="array" ref="F564">IFERROR(INDEX('TRIP MANAGER'!$R$18:$R$25,$A564),"")</f>
        <v/>
      </c>
      <c r="G564">
        <f t="array" ref="G564">IFERROR(INDEX('TRIP MANAGER'!$S$18:$S$25,$A564),"")</f>
        <v/>
      </c>
      <c r="H564">
        <f>$B564/150</f>
        <v/>
      </c>
      <c r="I564">
        <f>IF(OR($G564="",$G564=0),"",SIN((1-$H564)*$G564)/SIN($G564))</f>
        <v/>
      </c>
      <c r="J564">
        <f>IF($I564="","",SIN($H564*$G564)/SIN($G564))</f>
        <v/>
      </c>
      <c r="K564">
        <f>IF($I564="","",$I564*COS(RADIANS($C564))*COS(RADIANS($D564))+$J564*COS(RADIANS($E564))*COS(RADIANS($F564)))</f>
        <v/>
      </c>
      <c r="L564">
        <f>IF($I564="","",$I564*COS(RADIANS($C564))*SIN(RADIANS($D564))+$J564*COS(RADIANS($E564))*SIN(RADIANS($F564)))</f>
        <v/>
      </c>
      <c r="M564">
        <f>IF($I564="","",$I564*SIN(RADIANS($C564))+$J564*SIN(RADIANS($E564)))</f>
        <v/>
      </c>
      <c r="N564">
        <f>IF($M564="","",DEGREES(ATAN2(SQRT($K564^2+$L564^2),$M564)))</f>
        <v/>
      </c>
      <c r="O564">
        <f>IF($M564="","",DEGREES(ATAN2($K564,$L564)))</f>
        <v/>
      </c>
      <c r="P564">
        <f t="array" ref="P564">IF($N564="","",IFERROR(IF(INDEX(geo_grid!$B$2:$JU$231,INT(($N564+40)/0.5)+1,INT(($O564+30)/0.5)+1)="","",INDEX(geo_grid!$B$2:$JU$231,INT(($N564+40)/0.5)+1,INT(($O564+30)/0.5)+1)),"OUTSIDE GRID"))</f>
        <v/>
      </c>
      <c r="Q564">
        <f>IF($P564="","",$A564*1000+$B564)</f>
        <v/>
      </c>
    </row>
    <row r="565">
      <c r="A565">
        <f>INT((ROW()-2)/151)+1</f>
        <v/>
      </c>
      <c r="B565">
        <f>MOD(ROW()-2,151)</f>
        <v/>
      </c>
      <c r="C565">
        <f t="array" ref="C565">IFERROR(INDEX('TRIP MANAGER'!$O$18:$O$25,$A565),"")</f>
        <v/>
      </c>
      <c r="D565">
        <f t="array" ref="D565">IFERROR(INDEX('TRIP MANAGER'!$P$18:$P$25,$A565),"")</f>
        <v/>
      </c>
      <c r="E565">
        <f t="array" ref="E565">IFERROR(INDEX('TRIP MANAGER'!$Q$18:$Q$25,$A565),"")</f>
        <v/>
      </c>
      <c r="F565">
        <f t="array" ref="F565">IFERROR(INDEX('TRIP MANAGER'!$R$18:$R$25,$A565),"")</f>
        <v/>
      </c>
      <c r="G565">
        <f t="array" ref="G565">IFERROR(INDEX('TRIP MANAGER'!$S$18:$S$25,$A565),"")</f>
        <v/>
      </c>
      <c r="H565">
        <f>$B565/150</f>
        <v/>
      </c>
      <c r="I565">
        <f>IF(OR($G565="",$G565=0),"",SIN((1-$H565)*$G565)/SIN($G565))</f>
        <v/>
      </c>
      <c r="J565">
        <f>IF($I565="","",SIN($H565*$G565)/SIN($G565))</f>
        <v/>
      </c>
      <c r="K565">
        <f>IF($I565="","",$I565*COS(RADIANS($C565))*COS(RADIANS($D565))+$J565*COS(RADIANS($E565))*COS(RADIANS($F565)))</f>
        <v/>
      </c>
      <c r="L565">
        <f>IF($I565="","",$I565*COS(RADIANS($C565))*SIN(RADIANS($D565))+$J565*COS(RADIANS($E565))*SIN(RADIANS($F565)))</f>
        <v/>
      </c>
      <c r="M565">
        <f>IF($I565="","",$I565*SIN(RADIANS($C565))+$J565*SIN(RADIANS($E565)))</f>
        <v/>
      </c>
      <c r="N565">
        <f>IF($M565="","",DEGREES(ATAN2(SQRT($K565^2+$L565^2),$M565)))</f>
        <v/>
      </c>
      <c r="O565">
        <f>IF($M565="","",DEGREES(ATAN2($K565,$L565)))</f>
        <v/>
      </c>
      <c r="P565">
        <f t="array" ref="P565">IF($N565="","",IFERROR(IF(INDEX(geo_grid!$B$2:$JU$231,INT(($N565+40)/0.5)+1,INT(($O565+30)/0.5)+1)="","",INDEX(geo_grid!$B$2:$JU$231,INT(($N565+40)/0.5)+1,INT(($O565+30)/0.5)+1)),"OUTSIDE GRID"))</f>
        <v/>
      </c>
      <c r="Q565">
        <f>IF($P565="","",$A565*1000+$B565)</f>
        <v/>
      </c>
    </row>
    <row r="566">
      <c r="A566">
        <f>INT((ROW()-2)/151)+1</f>
        <v/>
      </c>
      <c r="B566">
        <f>MOD(ROW()-2,151)</f>
        <v/>
      </c>
      <c r="C566">
        <f t="array" ref="C566">IFERROR(INDEX('TRIP MANAGER'!$O$18:$O$25,$A566),"")</f>
        <v/>
      </c>
      <c r="D566">
        <f t="array" ref="D566">IFERROR(INDEX('TRIP MANAGER'!$P$18:$P$25,$A566),"")</f>
        <v/>
      </c>
      <c r="E566">
        <f t="array" ref="E566">IFERROR(INDEX('TRIP MANAGER'!$Q$18:$Q$25,$A566),"")</f>
        <v/>
      </c>
      <c r="F566">
        <f t="array" ref="F566">IFERROR(INDEX('TRIP MANAGER'!$R$18:$R$25,$A566),"")</f>
        <v/>
      </c>
      <c r="G566">
        <f t="array" ref="G566">IFERROR(INDEX('TRIP MANAGER'!$S$18:$S$25,$A566),"")</f>
        <v/>
      </c>
      <c r="H566">
        <f>$B566/150</f>
        <v/>
      </c>
      <c r="I566">
        <f>IF(OR($G566="",$G566=0),"",SIN((1-$H566)*$G566)/SIN($G566))</f>
        <v/>
      </c>
      <c r="J566">
        <f>IF($I566="","",SIN($H566*$G566)/SIN($G566))</f>
        <v/>
      </c>
      <c r="K566">
        <f>IF($I566="","",$I566*COS(RADIANS($C566))*COS(RADIANS($D566))+$J566*COS(RADIANS($E566))*COS(RADIANS($F566)))</f>
        <v/>
      </c>
      <c r="L566">
        <f>IF($I566="","",$I566*COS(RADIANS($C566))*SIN(RADIANS($D566))+$J566*COS(RADIANS($E566))*SIN(RADIANS($F566)))</f>
        <v/>
      </c>
      <c r="M566">
        <f>IF($I566="","",$I566*SIN(RADIANS($C566))+$J566*SIN(RADIANS($E566)))</f>
        <v/>
      </c>
      <c r="N566">
        <f>IF($M566="","",DEGREES(ATAN2(SQRT($K566^2+$L566^2),$M566)))</f>
        <v/>
      </c>
      <c r="O566">
        <f>IF($M566="","",DEGREES(ATAN2($K566,$L566)))</f>
        <v/>
      </c>
      <c r="P566">
        <f t="array" ref="P566">IF($N566="","",IFERROR(IF(INDEX(geo_grid!$B$2:$JU$231,INT(($N566+40)/0.5)+1,INT(($O566+30)/0.5)+1)="","",INDEX(geo_grid!$B$2:$JU$231,INT(($N566+40)/0.5)+1,INT(($O566+30)/0.5)+1)),"OUTSIDE GRID"))</f>
        <v/>
      </c>
      <c r="Q566">
        <f>IF($P566="","",$A566*1000+$B566)</f>
        <v/>
      </c>
    </row>
    <row r="567">
      <c r="A567">
        <f>INT((ROW()-2)/151)+1</f>
        <v/>
      </c>
      <c r="B567">
        <f>MOD(ROW()-2,151)</f>
        <v/>
      </c>
      <c r="C567">
        <f t="array" ref="C567">IFERROR(INDEX('TRIP MANAGER'!$O$18:$O$25,$A567),"")</f>
        <v/>
      </c>
      <c r="D567">
        <f t="array" ref="D567">IFERROR(INDEX('TRIP MANAGER'!$P$18:$P$25,$A567),"")</f>
        <v/>
      </c>
      <c r="E567">
        <f t="array" ref="E567">IFERROR(INDEX('TRIP MANAGER'!$Q$18:$Q$25,$A567),"")</f>
        <v/>
      </c>
      <c r="F567">
        <f t="array" ref="F567">IFERROR(INDEX('TRIP MANAGER'!$R$18:$R$25,$A567),"")</f>
        <v/>
      </c>
      <c r="G567">
        <f t="array" ref="G567">IFERROR(INDEX('TRIP MANAGER'!$S$18:$S$25,$A567),"")</f>
        <v/>
      </c>
      <c r="H567">
        <f>$B567/150</f>
        <v/>
      </c>
      <c r="I567">
        <f>IF(OR($G567="",$G567=0),"",SIN((1-$H567)*$G567)/SIN($G567))</f>
        <v/>
      </c>
      <c r="J567">
        <f>IF($I567="","",SIN($H567*$G567)/SIN($G567))</f>
        <v/>
      </c>
      <c r="K567">
        <f>IF($I567="","",$I567*COS(RADIANS($C567))*COS(RADIANS($D567))+$J567*COS(RADIANS($E567))*COS(RADIANS($F567)))</f>
        <v/>
      </c>
      <c r="L567">
        <f>IF($I567="","",$I567*COS(RADIANS($C567))*SIN(RADIANS($D567))+$J567*COS(RADIANS($E567))*SIN(RADIANS($F567)))</f>
        <v/>
      </c>
      <c r="M567">
        <f>IF($I567="","",$I567*SIN(RADIANS($C567))+$J567*SIN(RADIANS($E567)))</f>
        <v/>
      </c>
      <c r="N567">
        <f>IF($M567="","",DEGREES(ATAN2(SQRT($K567^2+$L567^2),$M567)))</f>
        <v/>
      </c>
      <c r="O567">
        <f>IF($M567="","",DEGREES(ATAN2($K567,$L567)))</f>
        <v/>
      </c>
      <c r="P567">
        <f t="array" ref="P567">IF($N567="","",IFERROR(IF(INDEX(geo_grid!$B$2:$JU$231,INT(($N567+40)/0.5)+1,INT(($O567+30)/0.5)+1)="","",INDEX(geo_grid!$B$2:$JU$231,INT(($N567+40)/0.5)+1,INT(($O567+30)/0.5)+1)),"OUTSIDE GRID"))</f>
        <v/>
      </c>
      <c r="Q567">
        <f>IF($P567="","",$A567*1000+$B567)</f>
        <v/>
      </c>
    </row>
    <row r="568">
      <c r="A568">
        <f>INT((ROW()-2)/151)+1</f>
        <v/>
      </c>
      <c r="B568">
        <f>MOD(ROW()-2,151)</f>
        <v/>
      </c>
      <c r="C568">
        <f t="array" ref="C568">IFERROR(INDEX('TRIP MANAGER'!$O$18:$O$25,$A568),"")</f>
        <v/>
      </c>
      <c r="D568">
        <f t="array" ref="D568">IFERROR(INDEX('TRIP MANAGER'!$P$18:$P$25,$A568),"")</f>
        <v/>
      </c>
      <c r="E568">
        <f t="array" ref="E568">IFERROR(INDEX('TRIP MANAGER'!$Q$18:$Q$25,$A568),"")</f>
        <v/>
      </c>
      <c r="F568">
        <f t="array" ref="F568">IFERROR(INDEX('TRIP MANAGER'!$R$18:$R$25,$A568),"")</f>
        <v/>
      </c>
      <c r="G568">
        <f t="array" ref="G568">IFERROR(INDEX('TRIP MANAGER'!$S$18:$S$25,$A568),"")</f>
        <v/>
      </c>
      <c r="H568">
        <f>$B568/150</f>
        <v/>
      </c>
      <c r="I568">
        <f>IF(OR($G568="",$G568=0),"",SIN((1-$H568)*$G568)/SIN($G568))</f>
        <v/>
      </c>
      <c r="J568">
        <f>IF($I568="","",SIN($H568*$G568)/SIN($G568))</f>
        <v/>
      </c>
      <c r="K568">
        <f>IF($I568="","",$I568*COS(RADIANS($C568))*COS(RADIANS($D568))+$J568*COS(RADIANS($E568))*COS(RADIANS($F568)))</f>
        <v/>
      </c>
      <c r="L568">
        <f>IF($I568="","",$I568*COS(RADIANS($C568))*SIN(RADIANS($D568))+$J568*COS(RADIANS($E568))*SIN(RADIANS($F568)))</f>
        <v/>
      </c>
      <c r="M568">
        <f>IF($I568="","",$I568*SIN(RADIANS($C568))+$J568*SIN(RADIANS($E568)))</f>
        <v/>
      </c>
      <c r="N568">
        <f>IF($M568="","",DEGREES(ATAN2(SQRT($K568^2+$L568^2),$M568)))</f>
        <v/>
      </c>
      <c r="O568">
        <f>IF($M568="","",DEGREES(ATAN2($K568,$L568)))</f>
        <v/>
      </c>
      <c r="P568">
        <f t="array" ref="P568">IF($N568="","",IFERROR(IF(INDEX(geo_grid!$B$2:$JU$231,INT(($N568+40)/0.5)+1,INT(($O568+30)/0.5)+1)="","",INDEX(geo_grid!$B$2:$JU$231,INT(($N568+40)/0.5)+1,INT(($O568+30)/0.5)+1)),"OUTSIDE GRID"))</f>
        <v/>
      </c>
      <c r="Q568">
        <f>IF($P568="","",$A568*1000+$B568)</f>
        <v/>
      </c>
    </row>
    <row r="569">
      <c r="A569">
        <f>INT((ROW()-2)/151)+1</f>
        <v/>
      </c>
      <c r="B569">
        <f>MOD(ROW()-2,151)</f>
        <v/>
      </c>
      <c r="C569">
        <f t="array" ref="C569">IFERROR(INDEX('TRIP MANAGER'!$O$18:$O$25,$A569),"")</f>
        <v/>
      </c>
      <c r="D569">
        <f t="array" ref="D569">IFERROR(INDEX('TRIP MANAGER'!$P$18:$P$25,$A569),"")</f>
        <v/>
      </c>
      <c r="E569">
        <f t="array" ref="E569">IFERROR(INDEX('TRIP MANAGER'!$Q$18:$Q$25,$A569),"")</f>
        <v/>
      </c>
      <c r="F569">
        <f t="array" ref="F569">IFERROR(INDEX('TRIP MANAGER'!$R$18:$R$25,$A569),"")</f>
        <v/>
      </c>
      <c r="G569">
        <f t="array" ref="G569">IFERROR(INDEX('TRIP MANAGER'!$S$18:$S$25,$A569),"")</f>
        <v/>
      </c>
      <c r="H569">
        <f>$B569/150</f>
        <v/>
      </c>
      <c r="I569">
        <f>IF(OR($G569="",$G569=0),"",SIN((1-$H569)*$G569)/SIN($G569))</f>
        <v/>
      </c>
      <c r="J569">
        <f>IF($I569="","",SIN($H569*$G569)/SIN($G569))</f>
        <v/>
      </c>
      <c r="K569">
        <f>IF($I569="","",$I569*COS(RADIANS($C569))*COS(RADIANS($D569))+$J569*COS(RADIANS($E569))*COS(RADIANS($F569)))</f>
        <v/>
      </c>
      <c r="L569">
        <f>IF($I569="","",$I569*COS(RADIANS($C569))*SIN(RADIANS($D569))+$J569*COS(RADIANS($E569))*SIN(RADIANS($F569)))</f>
        <v/>
      </c>
      <c r="M569">
        <f>IF($I569="","",$I569*SIN(RADIANS($C569))+$J569*SIN(RADIANS($E569)))</f>
        <v/>
      </c>
      <c r="N569">
        <f>IF($M569="","",DEGREES(ATAN2(SQRT($K569^2+$L569^2),$M569)))</f>
        <v/>
      </c>
      <c r="O569">
        <f>IF($M569="","",DEGREES(ATAN2($K569,$L569)))</f>
        <v/>
      </c>
      <c r="P569">
        <f t="array" ref="P569">IF($N569="","",IFERROR(IF(INDEX(geo_grid!$B$2:$JU$231,INT(($N569+40)/0.5)+1,INT(($O569+30)/0.5)+1)="","",INDEX(geo_grid!$B$2:$JU$231,INT(($N569+40)/0.5)+1,INT(($O569+30)/0.5)+1)),"OUTSIDE GRID"))</f>
        <v/>
      </c>
      <c r="Q569">
        <f>IF($P569="","",$A569*1000+$B569)</f>
        <v/>
      </c>
    </row>
    <row r="570">
      <c r="A570">
        <f>INT((ROW()-2)/151)+1</f>
        <v/>
      </c>
      <c r="B570">
        <f>MOD(ROW()-2,151)</f>
        <v/>
      </c>
      <c r="C570">
        <f t="array" ref="C570">IFERROR(INDEX('TRIP MANAGER'!$O$18:$O$25,$A570),"")</f>
        <v/>
      </c>
      <c r="D570">
        <f t="array" ref="D570">IFERROR(INDEX('TRIP MANAGER'!$P$18:$P$25,$A570),"")</f>
        <v/>
      </c>
      <c r="E570">
        <f t="array" ref="E570">IFERROR(INDEX('TRIP MANAGER'!$Q$18:$Q$25,$A570),"")</f>
        <v/>
      </c>
      <c r="F570">
        <f t="array" ref="F570">IFERROR(INDEX('TRIP MANAGER'!$R$18:$R$25,$A570),"")</f>
        <v/>
      </c>
      <c r="G570">
        <f t="array" ref="G570">IFERROR(INDEX('TRIP MANAGER'!$S$18:$S$25,$A570),"")</f>
        <v/>
      </c>
      <c r="H570">
        <f>$B570/150</f>
        <v/>
      </c>
      <c r="I570">
        <f>IF(OR($G570="",$G570=0),"",SIN((1-$H570)*$G570)/SIN($G570))</f>
        <v/>
      </c>
      <c r="J570">
        <f>IF($I570="","",SIN($H570*$G570)/SIN($G570))</f>
        <v/>
      </c>
      <c r="K570">
        <f>IF($I570="","",$I570*COS(RADIANS($C570))*COS(RADIANS($D570))+$J570*COS(RADIANS($E570))*COS(RADIANS($F570)))</f>
        <v/>
      </c>
      <c r="L570">
        <f>IF($I570="","",$I570*COS(RADIANS($C570))*SIN(RADIANS($D570))+$J570*COS(RADIANS($E570))*SIN(RADIANS($F570)))</f>
        <v/>
      </c>
      <c r="M570">
        <f>IF($I570="","",$I570*SIN(RADIANS($C570))+$J570*SIN(RADIANS($E570)))</f>
        <v/>
      </c>
      <c r="N570">
        <f>IF($M570="","",DEGREES(ATAN2(SQRT($K570^2+$L570^2),$M570)))</f>
        <v/>
      </c>
      <c r="O570">
        <f>IF($M570="","",DEGREES(ATAN2($K570,$L570)))</f>
        <v/>
      </c>
      <c r="P570">
        <f t="array" ref="P570">IF($N570="","",IFERROR(IF(INDEX(geo_grid!$B$2:$JU$231,INT(($N570+40)/0.5)+1,INT(($O570+30)/0.5)+1)="","",INDEX(geo_grid!$B$2:$JU$231,INT(($N570+40)/0.5)+1,INT(($O570+30)/0.5)+1)),"OUTSIDE GRID"))</f>
        <v/>
      </c>
      <c r="Q570">
        <f>IF($P570="","",$A570*1000+$B570)</f>
        <v/>
      </c>
    </row>
    <row r="571">
      <c r="A571">
        <f>INT((ROW()-2)/151)+1</f>
        <v/>
      </c>
      <c r="B571">
        <f>MOD(ROW()-2,151)</f>
        <v/>
      </c>
      <c r="C571">
        <f t="array" ref="C571">IFERROR(INDEX('TRIP MANAGER'!$O$18:$O$25,$A571),"")</f>
        <v/>
      </c>
      <c r="D571">
        <f t="array" ref="D571">IFERROR(INDEX('TRIP MANAGER'!$P$18:$P$25,$A571),"")</f>
        <v/>
      </c>
      <c r="E571">
        <f t="array" ref="E571">IFERROR(INDEX('TRIP MANAGER'!$Q$18:$Q$25,$A571),"")</f>
        <v/>
      </c>
      <c r="F571">
        <f t="array" ref="F571">IFERROR(INDEX('TRIP MANAGER'!$R$18:$R$25,$A571),"")</f>
        <v/>
      </c>
      <c r="G571">
        <f t="array" ref="G571">IFERROR(INDEX('TRIP MANAGER'!$S$18:$S$25,$A571),"")</f>
        <v/>
      </c>
      <c r="H571">
        <f>$B571/150</f>
        <v/>
      </c>
      <c r="I571">
        <f>IF(OR($G571="",$G571=0),"",SIN((1-$H571)*$G571)/SIN($G571))</f>
        <v/>
      </c>
      <c r="J571">
        <f>IF($I571="","",SIN($H571*$G571)/SIN($G571))</f>
        <v/>
      </c>
      <c r="K571">
        <f>IF($I571="","",$I571*COS(RADIANS($C571))*COS(RADIANS($D571))+$J571*COS(RADIANS($E571))*COS(RADIANS($F571)))</f>
        <v/>
      </c>
      <c r="L571">
        <f>IF($I571="","",$I571*COS(RADIANS($C571))*SIN(RADIANS($D571))+$J571*COS(RADIANS($E571))*SIN(RADIANS($F571)))</f>
        <v/>
      </c>
      <c r="M571">
        <f>IF($I571="","",$I571*SIN(RADIANS($C571))+$J571*SIN(RADIANS($E571)))</f>
        <v/>
      </c>
      <c r="N571">
        <f>IF($M571="","",DEGREES(ATAN2(SQRT($K571^2+$L571^2),$M571)))</f>
        <v/>
      </c>
      <c r="O571">
        <f>IF($M571="","",DEGREES(ATAN2($K571,$L571)))</f>
        <v/>
      </c>
      <c r="P571">
        <f t="array" ref="P571">IF($N571="","",IFERROR(IF(INDEX(geo_grid!$B$2:$JU$231,INT(($N571+40)/0.5)+1,INT(($O571+30)/0.5)+1)="","",INDEX(geo_grid!$B$2:$JU$231,INT(($N571+40)/0.5)+1,INT(($O571+30)/0.5)+1)),"OUTSIDE GRID"))</f>
        <v/>
      </c>
      <c r="Q571">
        <f>IF($P571="","",$A571*1000+$B571)</f>
        <v/>
      </c>
    </row>
    <row r="572">
      <c r="A572">
        <f>INT((ROW()-2)/151)+1</f>
        <v/>
      </c>
      <c r="B572">
        <f>MOD(ROW()-2,151)</f>
        <v/>
      </c>
      <c r="C572">
        <f t="array" ref="C572">IFERROR(INDEX('TRIP MANAGER'!$O$18:$O$25,$A572),"")</f>
        <v/>
      </c>
      <c r="D572">
        <f t="array" ref="D572">IFERROR(INDEX('TRIP MANAGER'!$P$18:$P$25,$A572),"")</f>
        <v/>
      </c>
      <c r="E572">
        <f t="array" ref="E572">IFERROR(INDEX('TRIP MANAGER'!$Q$18:$Q$25,$A572),"")</f>
        <v/>
      </c>
      <c r="F572">
        <f t="array" ref="F572">IFERROR(INDEX('TRIP MANAGER'!$R$18:$R$25,$A572),"")</f>
        <v/>
      </c>
      <c r="G572">
        <f t="array" ref="G572">IFERROR(INDEX('TRIP MANAGER'!$S$18:$S$25,$A572),"")</f>
        <v/>
      </c>
      <c r="H572">
        <f>$B572/150</f>
        <v/>
      </c>
      <c r="I572">
        <f>IF(OR($G572="",$G572=0),"",SIN((1-$H572)*$G572)/SIN($G572))</f>
        <v/>
      </c>
      <c r="J572">
        <f>IF($I572="","",SIN($H572*$G572)/SIN($G572))</f>
        <v/>
      </c>
      <c r="K572">
        <f>IF($I572="","",$I572*COS(RADIANS($C572))*COS(RADIANS($D572))+$J572*COS(RADIANS($E572))*COS(RADIANS($F572)))</f>
        <v/>
      </c>
      <c r="L572">
        <f>IF($I572="","",$I572*COS(RADIANS($C572))*SIN(RADIANS($D572))+$J572*COS(RADIANS($E572))*SIN(RADIANS($F572)))</f>
        <v/>
      </c>
      <c r="M572">
        <f>IF($I572="","",$I572*SIN(RADIANS($C572))+$J572*SIN(RADIANS($E572)))</f>
        <v/>
      </c>
      <c r="N572">
        <f>IF($M572="","",DEGREES(ATAN2(SQRT($K572^2+$L572^2),$M572)))</f>
        <v/>
      </c>
      <c r="O572">
        <f>IF($M572="","",DEGREES(ATAN2($K572,$L572)))</f>
        <v/>
      </c>
      <c r="P572">
        <f t="array" ref="P572">IF($N572="","",IFERROR(IF(INDEX(geo_grid!$B$2:$JU$231,INT(($N572+40)/0.5)+1,INT(($O572+30)/0.5)+1)="","",INDEX(geo_grid!$B$2:$JU$231,INT(($N572+40)/0.5)+1,INT(($O572+30)/0.5)+1)),"OUTSIDE GRID"))</f>
        <v/>
      </c>
      <c r="Q572">
        <f>IF($P572="","",$A572*1000+$B572)</f>
        <v/>
      </c>
    </row>
    <row r="573">
      <c r="A573">
        <f>INT((ROW()-2)/151)+1</f>
        <v/>
      </c>
      <c r="B573">
        <f>MOD(ROW()-2,151)</f>
        <v/>
      </c>
      <c r="C573">
        <f t="array" ref="C573">IFERROR(INDEX('TRIP MANAGER'!$O$18:$O$25,$A573),"")</f>
        <v/>
      </c>
      <c r="D573">
        <f t="array" ref="D573">IFERROR(INDEX('TRIP MANAGER'!$P$18:$P$25,$A573),"")</f>
        <v/>
      </c>
      <c r="E573">
        <f t="array" ref="E573">IFERROR(INDEX('TRIP MANAGER'!$Q$18:$Q$25,$A573),"")</f>
        <v/>
      </c>
      <c r="F573">
        <f t="array" ref="F573">IFERROR(INDEX('TRIP MANAGER'!$R$18:$R$25,$A573),"")</f>
        <v/>
      </c>
      <c r="G573">
        <f t="array" ref="G573">IFERROR(INDEX('TRIP MANAGER'!$S$18:$S$25,$A573),"")</f>
        <v/>
      </c>
      <c r="H573">
        <f>$B573/150</f>
        <v/>
      </c>
      <c r="I573">
        <f>IF(OR($G573="",$G573=0),"",SIN((1-$H573)*$G573)/SIN($G573))</f>
        <v/>
      </c>
      <c r="J573">
        <f>IF($I573="","",SIN($H573*$G573)/SIN($G573))</f>
        <v/>
      </c>
      <c r="K573">
        <f>IF($I573="","",$I573*COS(RADIANS($C573))*COS(RADIANS($D573))+$J573*COS(RADIANS($E573))*COS(RADIANS($F573)))</f>
        <v/>
      </c>
      <c r="L573">
        <f>IF($I573="","",$I573*COS(RADIANS($C573))*SIN(RADIANS($D573))+$J573*COS(RADIANS($E573))*SIN(RADIANS($F573)))</f>
        <v/>
      </c>
      <c r="M573">
        <f>IF($I573="","",$I573*SIN(RADIANS($C573))+$J573*SIN(RADIANS($E573)))</f>
        <v/>
      </c>
      <c r="N573">
        <f>IF($M573="","",DEGREES(ATAN2(SQRT($K573^2+$L573^2),$M573)))</f>
        <v/>
      </c>
      <c r="O573">
        <f>IF($M573="","",DEGREES(ATAN2($K573,$L573)))</f>
        <v/>
      </c>
      <c r="P573">
        <f t="array" ref="P573">IF($N573="","",IFERROR(IF(INDEX(geo_grid!$B$2:$JU$231,INT(($N573+40)/0.5)+1,INT(($O573+30)/0.5)+1)="","",INDEX(geo_grid!$B$2:$JU$231,INT(($N573+40)/0.5)+1,INT(($O573+30)/0.5)+1)),"OUTSIDE GRID"))</f>
        <v/>
      </c>
      <c r="Q573">
        <f>IF($P573="","",$A573*1000+$B573)</f>
        <v/>
      </c>
    </row>
    <row r="574">
      <c r="A574">
        <f>INT((ROW()-2)/151)+1</f>
        <v/>
      </c>
      <c r="B574">
        <f>MOD(ROW()-2,151)</f>
        <v/>
      </c>
      <c r="C574">
        <f t="array" ref="C574">IFERROR(INDEX('TRIP MANAGER'!$O$18:$O$25,$A574),"")</f>
        <v/>
      </c>
      <c r="D574">
        <f t="array" ref="D574">IFERROR(INDEX('TRIP MANAGER'!$P$18:$P$25,$A574),"")</f>
        <v/>
      </c>
      <c r="E574">
        <f t="array" ref="E574">IFERROR(INDEX('TRIP MANAGER'!$Q$18:$Q$25,$A574),"")</f>
        <v/>
      </c>
      <c r="F574">
        <f t="array" ref="F574">IFERROR(INDEX('TRIP MANAGER'!$R$18:$R$25,$A574),"")</f>
        <v/>
      </c>
      <c r="G574">
        <f t="array" ref="G574">IFERROR(INDEX('TRIP MANAGER'!$S$18:$S$25,$A574),"")</f>
        <v/>
      </c>
      <c r="H574">
        <f>$B574/150</f>
        <v/>
      </c>
      <c r="I574">
        <f>IF(OR($G574="",$G574=0),"",SIN((1-$H574)*$G574)/SIN($G574))</f>
        <v/>
      </c>
      <c r="J574">
        <f>IF($I574="","",SIN($H574*$G574)/SIN($G574))</f>
        <v/>
      </c>
      <c r="K574">
        <f>IF($I574="","",$I574*COS(RADIANS($C574))*COS(RADIANS($D574))+$J574*COS(RADIANS($E574))*COS(RADIANS($F574)))</f>
        <v/>
      </c>
      <c r="L574">
        <f>IF($I574="","",$I574*COS(RADIANS($C574))*SIN(RADIANS($D574))+$J574*COS(RADIANS($E574))*SIN(RADIANS($F574)))</f>
        <v/>
      </c>
      <c r="M574">
        <f>IF($I574="","",$I574*SIN(RADIANS($C574))+$J574*SIN(RADIANS($E574)))</f>
        <v/>
      </c>
      <c r="N574">
        <f>IF($M574="","",DEGREES(ATAN2(SQRT($K574^2+$L574^2),$M574)))</f>
        <v/>
      </c>
      <c r="O574">
        <f>IF($M574="","",DEGREES(ATAN2($K574,$L574)))</f>
        <v/>
      </c>
      <c r="P574">
        <f t="array" ref="P574">IF($N574="","",IFERROR(IF(INDEX(geo_grid!$B$2:$JU$231,INT(($N574+40)/0.5)+1,INT(($O574+30)/0.5)+1)="","",INDEX(geo_grid!$B$2:$JU$231,INT(($N574+40)/0.5)+1,INT(($O574+30)/0.5)+1)),"OUTSIDE GRID"))</f>
        <v/>
      </c>
      <c r="Q574">
        <f>IF($P574="","",$A574*1000+$B574)</f>
        <v/>
      </c>
    </row>
    <row r="575">
      <c r="A575">
        <f>INT((ROW()-2)/151)+1</f>
        <v/>
      </c>
      <c r="B575">
        <f>MOD(ROW()-2,151)</f>
        <v/>
      </c>
      <c r="C575">
        <f t="array" ref="C575">IFERROR(INDEX('TRIP MANAGER'!$O$18:$O$25,$A575),"")</f>
        <v/>
      </c>
      <c r="D575">
        <f t="array" ref="D575">IFERROR(INDEX('TRIP MANAGER'!$P$18:$P$25,$A575),"")</f>
        <v/>
      </c>
      <c r="E575">
        <f t="array" ref="E575">IFERROR(INDEX('TRIP MANAGER'!$Q$18:$Q$25,$A575),"")</f>
        <v/>
      </c>
      <c r="F575">
        <f t="array" ref="F575">IFERROR(INDEX('TRIP MANAGER'!$R$18:$R$25,$A575),"")</f>
        <v/>
      </c>
      <c r="G575">
        <f t="array" ref="G575">IFERROR(INDEX('TRIP MANAGER'!$S$18:$S$25,$A575),"")</f>
        <v/>
      </c>
      <c r="H575">
        <f>$B575/150</f>
        <v/>
      </c>
      <c r="I575">
        <f>IF(OR($G575="",$G575=0),"",SIN((1-$H575)*$G575)/SIN($G575))</f>
        <v/>
      </c>
      <c r="J575">
        <f>IF($I575="","",SIN($H575*$G575)/SIN($G575))</f>
        <v/>
      </c>
      <c r="K575">
        <f>IF($I575="","",$I575*COS(RADIANS($C575))*COS(RADIANS($D575))+$J575*COS(RADIANS($E575))*COS(RADIANS($F575)))</f>
        <v/>
      </c>
      <c r="L575">
        <f>IF($I575="","",$I575*COS(RADIANS($C575))*SIN(RADIANS($D575))+$J575*COS(RADIANS($E575))*SIN(RADIANS($F575)))</f>
        <v/>
      </c>
      <c r="M575">
        <f>IF($I575="","",$I575*SIN(RADIANS($C575))+$J575*SIN(RADIANS($E575)))</f>
        <v/>
      </c>
      <c r="N575">
        <f>IF($M575="","",DEGREES(ATAN2(SQRT($K575^2+$L575^2),$M575)))</f>
        <v/>
      </c>
      <c r="O575">
        <f>IF($M575="","",DEGREES(ATAN2($K575,$L575)))</f>
        <v/>
      </c>
      <c r="P575">
        <f t="array" ref="P575">IF($N575="","",IFERROR(IF(INDEX(geo_grid!$B$2:$JU$231,INT(($N575+40)/0.5)+1,INT(($O575+30)/0.5)+1)="","",INDEX(geo_grid!$B$2:$JU$231,INT(($N575+40)/0.5)+1,INT(($O575+30)/0.5)+1)),"OUTSIDE GRID"))</f>
        <v/>
      </c>
      <c r="Q575">
        <f>IF($P575="","",$A575*1000+$B575)</f>
        <v/>
      </c>
    </row>
    <row r="576">
      <c r="A576">
        <f>INT((ROW()-2)/151)+1</f>
        <v/>
      </c>
      <c r="B576">
        <f>MOD(ROW()-2,151)</f>
        <v/>
      </c>
      <c r="C576">
        <f t="array" ref="C576">IFERROR(INDEX('TRIP MANAGER'!$O$18:$O$25,$A576),"")</f>
        <v/>
      </c>
      <c r="D576">
        <f t="array" ref="D576">IFERROR(INDEX('TRIP MANAGER'!$P$18:$P$25,$A576),"")</f>
        <v/>
      </c>
      <c r="E576">
        <f t="array" ref="E576">IFERROR(INDEX('TRIP MANAGER'!$Q$18:$Q$25,$A576),"")</f>
        <v/>
      </c>
      <c r="F576">
        <f t="array" ref="F576">IFERROR(INDEX('TRIP MANAGER'!$R$18:$R$25,$A576),"")</f>
        <v/>
      </c>
      <c r="G576">
        <f t="array" ref="G576">IFERROR(INDEX('TRIP MANAGER'!$S$18:$S$25,$A576),"")</f>
        <v/>
      </c>
      <c r="H576">
        <f>$B576/150</f>
        <v/>
      </c>
      <c r="I576">
        <f>IF(OR($G576="",$G576=0),"",SIN((1-$H576)*$G576)/SIN($G576))</f>
        <v/>
      </c>
      <c r="J576">
        <f>IF($I576="","",SIN($H576*$G576)/SIN($G576))</f>
        <v/>
      </c>
      <c r="K576">
        <f>IF($I576="","",$I576*COS(RADIANS($C576))*COS(RADIANS($D576))+$J576*COS(RADIANS($E576))*COS(RADIANS($F576)))</f>
        <v/>
      </c>
      <c r="L576">
        <f>IF($I576="","",$I576*COS(RADIANS($C576))*SIN(RADIANS($D576))+$J576*COS(RADIANS($E576))*SIN(RADIANS($F576)))</f>
        <v/>
      </c>
      <c r="M576">
        <f>IF($I576="","",$I576*SIN(RADIANS($C576))+$J576*SIN(RADIANS($E576)))</f>
        <v/>
      </c>
      <c r="N576">
        <f>IF($M576="","",DEGREES(ATAN2(SQRT($K576^2+$L576^2),$M576)))</f>
        <v/>
      </c>
      <c r="O576">
        <f>IF($M576="","",DEGREES(ATAN2($K576,$L576)))</f>
        <v/>
      </c>
      <c r="P576">
        <f t="array" ref="P576">IF($N576="","",IFERROR(IF(INDEX(geo_grid!$B$2:$JU$231,INT(($N576+40)/0.5)+1,INT(($O576+30)/0.5)+1)="","",INDEX(geo_grid!$B$2:$JU$231,INT(($N576+40)/0.5)+1,INT(($O576+30)/0.5)+1)),"OUTSIDE GRID"))</f>
        <v/>
      </c>
      <c r="Q576">
        <f>IF($P576="","",$A576*1000+$B576)</f>
        <v/>
      </c>
    </row>
    <row r="577">
      <c r="A577">
        <f>INT((ROW()-2)/151)+1</f>
        <v/>
      </c>
      <c r="B577">
        <f>MOD(ROW()-2,151)</f>
        <v/>
      </c>
      <c r="C577">
        <f t="array" ref="C577">IFERROR(INDEX('TRIP MANAGER'!$O$18:$O$25,$A577),"")</f>
        <v/>
      </c>
      <c r="D577">
        <f t="array" ref="D577">IFERROR(INDEX('TRIP MANAGER'!$P$18:$P$25,$A577),"")</f>
        <v/>
      </c>
      <c r="E577">
        <f t="array" ref="E577">IFERROR(INDEX('TRIP MANAGER'!$Q$18:$Q$25,$A577),"")</f>
        <v/>
      </c>
      <c r="F577">
        <f t="array" ref="F577">IFERROR(INDEX('TRIP MANAGER'!$R$18:$R$25,$A577),"")</f>
        <v/>
      </c>
      <c r="G577">
        <f t="array" ref="G577">IFERROR(INDEX('TRIP MANAGER'!$S$18:$S$25,$A577),"")</f>
        <v/>
      </c>
      <c r="H577">
        <f>$B577/150</f>
        <v/>
      </c>
      <c r="I577">
        <f>IF(OR($G577="",$G577=0),"",SIN((1-$H577)*$G577)/SIN($G577))</f>
        <v/>
      </c>
      <c r="J577">
        <f>IF($I577="","",SIN($H577*$G577)/SIN($G577))</f>
        <v/>
      </c>
      <c r="K577">
        <f>IF($I577="","",$I577*COS(RADIANS($C577))*COS(RADIANS($D577))+$J577*COS(RADIANS($E577))*COS(RADIANS($F577)))</f>
        <v/>
      </c>
      <c r="L577">
        <f>IF($I577="","",$I577*COS(RADIANS($C577))*SIN(RADIANS($D577))+$J577*COS(RADIANS($E577))*SIN(RADIANS($F577)))</f>
        <v/>
      </c>
      <c r="M577">
        <f>IF($I577="","",$I577*SIN(RADIANS($C577))+$J577*SIN(RADIANS($E577)))</f>
        <v/>
      </c>
      <c r="N577">
        <f>IF($M577="","",DEGREES(ATAN2(SQRT($K577^2+$L577^2),$M577)))</f>
        <v/>
      </c>
      <c r="O577">
        <f>IF($M577="","",DEGREES(ATAN2($K577,$L577)))</f>
        <v/>
      </c>
      <c r="P577">
        <f t="array" ref="P577">IF($N577="","",IFERROR(IF(INDEX(geo_grid!$B$2:$JU$231,INT(($N577+40)/0.5)+1,INT(($O577+30)/0.5)+1)="","",INDEX(geo_grid!$B$2:$JU$231,INT(($N577+40)/0.5)+1,INT(($O577+30)/0.5)+1)),"OUTSIDE GRID"))</f>
        <v/>
      </c>
      <c r="Q577">
        <f>IF($P577="","",$A577*1000+$B577)</f>
        <v/>
      </c>
    </row>
    <row r="578">
      <c r="A578">
        <f>INT((ROW()-2)/151)+1</f>
        <v/>
      </c>
      <c r="B578">
        <f>MOD(ROW()-2,151)</f>
        <v/>
      </c>
      <c r="C578">
        <f t="array" ref="C578">IFERROR(INDEX('TRIP MANAGER'!$O$18:$O$25,$A578),"")</f>
        <v/>
      </c>
      <c r="D578">
        <f t="array" ref="D578">IFERROR(INDEX('TRIP MANAGER'!$P$18:$P$25,$A578),"")</f>
        <v/>
      </c>
      <c r="E578">
        <f t="array" ref="E578">IFERROR(INDEX('TRIP MANAGER'!$Q$18:$Q$25,$A578),"")</f>
        <v/>
      </c>
      <c r="F578">
        <f t="array" ref="F578">IFERROR(INDEX('TRIP MANAGER'!$R$18:$R$25,$A578),"")</f>
        <v/>
      </c>
      <c r="G578">
        <f t="array" ref="G578">IFERROR(INDEX('TRIP MANAGER'!$S$18:$S$25,$A578),"")</f>
        <v/>
      </c>
      <c r="H578">
        <f>$B578/150</f>
        <v/>
      </c>
      <c r="I578">
        <f>IF(OR($G578="",$G578=0),"",SIN((1-$H578)*$G578)/SIN($G578))</f>
        <v/>
      </c>
      <c r="J578">
        <f>IF($I578="","",SIN($H578*$G578)/SIN($G578))</f>
        <v/>
      </c>
      <c r="K578">
        <f>IF($I578="","",$I578*COS(RADIANS($C578))*COS(RADIANS($D578))+$J578*COS(RADIANS($E578))*COS(RADIANS($F578)))</f>
        <v/>
      </c>
      <c r="L578">
        <f>IF($I578="","",$I578*COS(RADIANS($C578))*SIN(RADIANS($D578))+$J578*COS(RADIANS($E578))*SIN(RADIANS($F578)))</f>
        <v/>
      </c>
      <c r="M578">
        <f>IF($I578="","",$I578*SIN(RADIANS($C578))+$J578*SIN(RADIANS($E578)))</f>
        <v/>
      </c>
      <c r="N578">
        <f>IF($M578="","",DEGREES(ATAN2(SQRT($K578^2+$L578^2),$M578)))</f>
        <v/>
      </c>
      <c r="O578">
        <f>IF($M578="","",DEGREES(ATAN2($K578,$L578)))</f>
        <v/>
      </c>
      <c r="P578">
        <f t="array" ref="P578">IF($N578="","",IFERROR(IF(INDEX(geo_grid!$B$2:$JU$231,INT(($N578+40)/0.5)+1,INT(($O578+30)/0.5)+1)="","",INDEX(geo_grid!$B$2:$JU$231,INT(($N578+40)/0.5)+1,INT(($O578+30)/0.5)+1)),"OUTSIDE GRID"))</f>
        <v/>
      </c>
      <c r="Q578">
        <f>IF($P578="","",$A578*1000+$B578)</f>
        <v/>
      </c>
    </row>
    <row r="579">
      <c r="A579">
        <f>INT((ROW()-2)/151)+1</f>
        <v/>
      </c>
      <c r="B579">
        <f>MOD(ROW()-2,151)</f>
        <v/>
      </c>
      <c r="C579">
        <f t="array" ref="C579">IFERROR(INDEX('TRIP MANAGER'!$O$18:$O$25,$A579),"")</f>
        <v/>
      </c>
      <c r="D579">
        <f t="array" ref="D579">IFERROR(INDEX('TRIP MANAGER'!$P$18:$P$25,$A579),"")</f>
        <v/>
      </c>
      <c r="E579">
        <f t="array" ref="E579">IFERROR(INDEX('TRIP MANAGER'!$Q$18:$Q$25,$A579),"")</f>
        <v/>
      </c>
      <c r="F579">
        <f t="array" ref="F579">IFERROR(INDEX('TRIP MANAGER'!$R$18:$R$25,$A579),"")</f>
        <v/>
      </c>
      <c r="G579">
        <f t="array" ref="G579">IFERROR(INDEX('TRIP MANAGER'!$S$18:$S$25,$A579),"")</f>
        <v/>
      </c>
      <c r="H579">
        <f>$B579/150</f>
        <v/>
      </c>
      <c r="I579">
        <f>IF(OR($G579="",$G579=0),"",SIN((1-$H579)*$G579)/SIN($G579))</f>
        <v/>
      </c>
      <c r="J579">
        <f>IF($I579="","",SIN($H579*$G579)/SIN($G579))</f>
        <v/>
      </c>
      <c r="K579">
        <f>IF($I579="","",$I579*COS(RADIANS($C579))*COS(RADIANS($D579))+$J579*COS(RADIANS($E579))*COS(RADIANS($F579)))</f>
        <v/>
      </c>
      <c r="L579">
        <f>IF($I579="","",$I579*COS(RADIANS($C579))*SIN(RADIANS($D579))+$J579*COS(RADIANS($E579))*SIN(RADIANS($F579)))</f>
        <v/>
      </c>
      <c r="M579">
        <f>IF($I579="","",$I579*SIN(RADIANS($C579))+$J579*SIN(RADIANS($E579)))</f>
        <v/>
      </c>
      <c r="N579">
        <f>IF($M579="","",DEGREES(ATAN2(SQRT($K579^2+$L579^2),$M579)))</f>
        <v/>
      </c>
      <c r="O579">
        <f>IF($M579="","",DEGREES(ATAN2($K579,$L579)))</f>
        <v/>
      </c>
      <c r="P579">
        <f t="array" ref="P579">IF($N579="","",IFERROR(IF(INDEX(geo_grid!$B$2:$JU$231,INT(($N579+40)/0.5)+1,INT(($O579+30)/0.5)+1)="","",INDEX(geo_grid!$B$2:$JU$231,INT(($N579+40)/0.5)+1,INT(($O579+30)/0.5)+1)),"OUTSIDE GRID"))</f>
        <v/>
      </c>
      <c r="Q579">
        <f>IF($P579="","",$A579*1000+$B579)</f>
        <v/>
      </c>
    </row>
    <row r="580">
      <c r="A580">
        <f>INT((ROW()-2)/151)+1</f>
        <v/>
      </c>
      <c r="B580">
        <f>MOD(ROW()-2,151)</f>
        <v/>
      </c>
      <c r="C580">
        <f t="array" ref="C580">IFERROR(INDEX('TRIP MANAGER'!$O$18:$O$25,$A580),"")</f>
        <v/>
      </c>
      <c r="D580">
        <f t="array" ref="D580">IFERROR(INDEX('TRIP MANAGER'!$P$18:$P$25,$A580),"")</f>
        <v/>
      </c>
      <c r="E580">
        <f t="array" ref="E580">IFERROR(INDEX('TRIP MANAGER'!$Q$18:$Q$25,$A580),"")</f>
        <v/>
      </c>
      <c r="F580">
        <f t="array" ref="F580">IFERROR(INDEX('TRIP MANAGER'!$R$18:$R$25,$A580),"")</f>
        <v/>
      </c>
      <c r="G580">
        <f t="array" ref="G580">IFERROR(INDEX('TRIP MANAGER'!$S$18:$S$25,$A580),"")</f>
        <v/>
      </c>
      <c r="H580">
        <f>$B580/150</f>
        <v/>
      </c>
      <c r="I580">
        <f>IF(OR($G580="",$G580=0),"",SIN((1-$H580)*$G580)/SIN($G580))</f>
        <v/>
      </c>
      <c r="J580">
        <f>IF($I580="","",SIN($H580*$G580)/SIN($G580))</f>
        <v/>
      </c>
      <c r="K580">
        <f>IF($I580="","",$I580*COS(RADIANS($C580))*COS(RADIANS($D580))+$J580*COS(RADIANS($E580))*COS(RADIANS($F580)))</f>
        <v/>
      </c>
      <c r="L580">
        <f>IF($I580="","",$I580*COS(RADIANS($C580))*SIN(RADIANS($D580))+$J580*COS(RADIANS($E580))*SIN(RADIANS($F580)))</f>
        <v/>
      </c>
      <c r="M580">
        <f>IF($I580="","",$I580*SIN(RADIANS($C580))+$J580*SIN(RADIANS($E580)))</f>
        <v/>
      </c>
      <c r="N580">
        <f>IF($M580="","",DEGREES(ATAN2(SQRT($K580^2+$L580^2),$M580)))</f>
        <v/>
      </c>
      <c r="O580">
        <f>IF($M580="","",DEGREES(ATAN2($K580,$L580)))</f>
        <v/>
      </c>
      <c r="P580">
        <f t="array" ref="P580">IF($N580="","",IFERROR(IF(INDEX(geo_grid!$B$2:$JU$231,INT(($N580+40)/0.5)+1,INT(($O580+30)/0.5)+1)="","",INDEX(geo_grid!$B$2:$JU$231,INT(($N580+40)/0.5)+1,INT(($O580+30)/0.5)+1)),"OUTSIDE GRID"))</f>
        <v/>
      </c>
      <c r="Q580">
        <f>IF($P580="","",$A580*1000+$B580)</f>
        <v/>
      </c>
    </row>
    <row r="581">
      <c r="A581">
        <f>INT((ROW()-2)/151)+1</f>
        <v/>
      </c>
      <c r="B581">
        <f>MOD(ROW()-2,151)</f>
        <v/>
      </c>
      <c r="C581">
        <f t="array" ref="C581">IFERROR(INDEX('TRIP MANAGER'!$O$18:$O$25,$A581),"")</f>
        <v/>
      </c>
      <c r="D581">
        <f t="array" ref="D581">IFERROR(INDEX('TRIP MANAGER'!$P$18:$P$25,$A581),"")</f>
        <v/>
      </c>
      <c r="E581">
        <f t="array" ref="E581">IFERROR(INDEX('TRIP MANAGER'!$Q$18:$Q$25,$A581),"")</f>
        <v/>
      </c>
      <c r="F581">
        <f t="array" ref="F581">IFERROR(INDEX('TRIP MANAGER'!$R$18:$R$25,$A581),"")</f>
        <v/>
      </c>
      <c r="G581">
        <f t="array" ref="G581">IFERROR(INDEX('TRIP MANAGER'!$S$18:$S$25,$A581),"")</f>
        <v/>
      </c>
      <c r="H581">
        <f>$B581/150</f>
        <v/>
      </c>
      <c r="I581">
        <f>IF(OR($G581="",$G581=0),"",SIN((1-$H581)*$G581)/SIN($G581))</f>
        <v/>
      </c>
      <c r="J581">
        <f>IF($I581="","",SIN($H581*$G581)/SIN($G581))</f>
        <v/>
      </c>
      <c r="K581">
        <f>IF($I581="","",$I581*COS(RADIANS($C581))*COS(RADIANS($D581))+$J581*COS(RADIANS($E581))*COS(RADIANS($F581)))</f>
        <v/>
      </c>
      <c r="L581">
        <f>IF($I581="","",$I581*COS(RADIANS($C581))*SIN(RADIANS($D581))+$J581*COS(RADIANS($E581))*SIN(RADIANS($F581)))</f>
        <v/>
      </c>
      <c r="M581">
        <f>IF($I581="","",$I581*SIN(RADIANS($C581))+$J581*SIN(RADIANS($E581)))</f>
        <v/>
      </c>
      <c r="N581">
        <f>IF($M581="","",DEGREES(ATAN2(SQRT($K581^2+$L581^2),$M581)))</f>
        <v/>
      </c>
      <c r="O581">
        <f>IF($M581="","",DEGREES(ATAN2($K581,$L581)))</f>
        <v/>
      </c>
      <c r="P581">
        <f t="array" ref="P581">IF($N581="","",IFERROR(IF(INDEX(geo_grid!$B$2:$JU$231,INT(($N581+40)/0.5)+1,INT(($O581+30)/0.5)+1)="","",INDEX(geo_grid!$B$2:$JU$231,INT(($N581+40)/0.5)+1,INT(($O581+30)/0.5)+1)),"OUTSIDE GRID"))</f>
        <v/>
      </c>
      <c r="Q581">
        <f>IF($P581="","",$A581*1000+$B581)</f>
        <v/>
      </c>
    </row>
    <row r="582">
      <c r="A582">
        <f>INT((ROW()-2)/151)+1</f>
        <v/>
      </c>
      <c r="B582">
        <f>MOD(ROW()-2,151)</f>
        <v/>
      </c>
      <c r="C582">
        <f t="array" ref="C582">IFERROR(INDEX('TRIP MANAGER'!$O$18:$O$25,$A582),"")</f>
        <v/>
      </c>
      <c r="D582">
        <f t="array" ref="D582">IFERROR(INDEX('TRIP MANAGER'!$P$18:$P$25,$A582),"")</f>
        <v/>
      </c>
      <c r="E582">
        <f t="array" ref="E582">IFERROR(INDEX('TRIP MANAGER'!$Q$18:$Q$25,$A582),"")</f>
        <v/>
      </c>
      <c r="F582">
        <f t="array" ref="F582">IFERROR(INDEX('TRIP MANAGER'!$R$18:$R$25,$A582),"")</f>
        <v/>
      </c>
      <c r="G582">
        <f t="array" ref="G582">IFERROR(INDEX('TRIP MANAGER'!$S$18:$S$25,$A582),"")</f>
        <v/>
      </c>
      <c r="H582">
        <f>$B582/150</f>
        <v/>
      </c>
      <c r="I582">
        <f>IF(OR($G582="",$G582=0),"",SIN((1-$H582)*$G582)/SIN($G582))</f>
        <v/>
      </c>
      <c r="J582">
        <f>IF($I582="","",SIN($H582*$G582)/SIN($G582))</f>
        <v/>
      </c>
      <c r="K582">
        <f>IF($I582="","",$I582*COS(RADIANS($C582))*COS(RADIANS($D582))+$J582*COS(RADIANS($E582))*COS(RADIANS($F582)))</f>
        <v/>
      </c>
      <c r="L582">
        <f>IF($I582="","",$I582*COS(RADIANS($C582))*SIN(RADIANS($D582))+$J582*COS(RADIANS($E582))*SIN(RADIANS($F582)))</f>
        <v/>
      </c>
      <c r="M582">
        <f>IF($I582="","",$I582*SIN(RADIANS($C582))+$J582*SIN(RADIANS($E582)))</f>
        <v/>
      </c>
      <c r="N582">
        <f>IF($M582="","",DEGREES(ATAN2(SQRT($K582^2+$L582^2),$M582)))</f>
        <v/>
      </c>
      <c r="O582">
        <f>IF($M582="","",DEGREES(ATAN2($K582,$L582)))</f>
        <v/>
      </c>
      <c r="P582">
        <f t="array" ref="P582">IF($N582="","",IFERROR(IF(INDEX(geo_grid!$B$2:$JU$231,INT(($N582+40)/0.5)+1,INT(($O582+30)/0.5)+1)="","",INDEX(geo_grid!$B$2:$JU$231,INT(($N582+40)/0.5)+1,INT(($O582+30)/0.5)+1)),"OUTSIDE GRID"))</f>
        <v/>
      </c>
      <c r="Q582">
        <f>IF($P582="","",$A582*1000+$B582)</f>
        <v/>
      </c>
    </row>
    <row r="583">
      <c r="A583">
        <f>INT((ROW()-2)/151)+1</f>
        <v/>
      </c>
      <c r="B583">
        <f>MOD(ROW()-2,151)</f>
        <v/>
      </c>
      <c r="C583">
        <f t="array" ref="C583">IFERROR(INDEX('TRIP MANAGER'!$O$18:$O$25,$A583),"")</f>
        <v/>
      </c>
      <c r="D583">
        <f t="array" ref="D583">IFERROR(INDEX('TRIP MANAGER'!$P$18:$P$25,$A583),"")</f>
        <v/>
      </c>
      <c r="E583">
        <f t="array" ref="E583">IFERROR(INDEX('TRIP MANAGER'!$Q$18:$Q$25,$A583),"")</f>
        <v/>
      </c>
      <c r="F583">
        <f t="array" ref="F583">IFERROR(INDEX('TRIP MANAGER'!$R$18:$R$25,$A583),"")</f>
        <v/>
      </c>
      <c r="G583">
        <f t="array" ref="G583">IFERROR(INDEX('TRIP MANAGER'!$S$18:$S$25,$A583),"")</f>
        <v/>
      </c>
      <c r="H583">
        <f>$B583/150</f>
        <v/>
      </c>
      <c r="I583">
        <f>IF(OR($G583="",$G583=0),"",SIN((1-$H583)*$G583)/SIN($G583))</f>
        <v/>
      </c>
      <c r="J583">
        <f>IF($I583="","",SIN($H583*$G583)/SIN($G583))</f>
        <v/>
      </c>
      <c r="K583">
        <f>IF($I583="","",$I583*COS(RADIANS($C583))*COS(RADIANS($D583))+$J583*COS(RADIANS($E583))*COS(RADIANS($F583)))</f>
        <v/>
      </c>
      <c r="L583">
        <f>IF($I583="","",$I583*COS(RADIANS($C583))*SIN(RADIANS($D583))+$J583*COS(RADIANS($E583))*SIN(RADIANS($F583)))</f>
        <v/>
      </c>
      <c r="M583">
        <f>IF($I583="","",$I583*SIN(RADIANS($C583))+$J583*SIN(RADIANS($E583)))</f>
        <v/>
      </c>
      <c r="N583">
        <f>IF($M583="","",DEGREES(ATAN2(SQRT($K583^2+$L583^2),$M583)))</f>
        <v/>
      </c>
      <c r="O583">
        <f>IF($M583="","",DEGREES(ATAN2($K583,$L583)))</f>
        <v/>
      </c>
      <c r="P583">
        <f t="array" ref="P583">IF($N583="","",IFERROR(IF(INDEX(geo_grid!$B$2:$JU$231,INT(($N583+40)/0.5)+1,INT(($O583+30)/0.5)+1)="","",INDEX(geo_grid!$B$2:$JU$231,INT(($N583+40)/0.5)+1,INT(($O583+30)/0.5)+1)),"OUTSIDE GRID"))</f>
        <v/>
      </c>
      <c r="Q583">
        <f>IF($P583="","",$A583*1000+$B583)</f>
        <v/>
      </c>
    </row>
    <row r="584">
      <c r="A584">
        <f>INT((ROW()-2)/151)+1</f>
        <v/>
      </c>
      <c r="B584">
        <f>MOD(ROW()-2,151)</f>
        <v/>
      </c>
      <c r="C584">
        <f t="array" ref="C584">IFERROR(INDEX('TRIP MANAGER'!$O$18:$O$25,$A584),"")</f>
        <v/>
      </c>
      <c r="D584">
        <f t="array" ref="D584">IFERROR(INDEX('TRIP MANAGER'!$P$18:$P$25,$A584),"")</f>
        <v/>
      </c>
      <c r="E584">
        <f t="array" ref="E584">IFERROR(INDEX('TRIP MANAGER'!$Q$18:$Q$25,$A584),"")</f>
        <v/>
      </c>
      <c r="F584">
        <f t="array" ref="F584">IFERROR(INDEX('TRIP MANAGER'!$R$18:$R$25,$A584),"")</f>
        <v/>
      </c>
      <c r="G584">
        <f t="array" ref="G584">IFERROR(INDEX('TRIP MANAGER'!$S$18:$S$25,$A584),"")</f>
        <v/>
      </c>
      <c r="H584">
        <f>$B584/150</f>
        <v/>
      </c>
      <c r="I584">
        <f>IF(OR($G584="",$G584=0),"",SIN((1-$H584)*$G584)/SIN($G584))</f>
        <v/>
      </c>
      <c r="J584">
        <f>IF($I584="","",SIN($H584*$G584)/SIN($G584))</f>
        <v/>
      </c>
      <c r="K584">
        <f>IF($I584="","",$I584*COS(RADIANS($C584))*COS(RADIANS($D584))+$J584*COS(RADIANS($E584))*COS(RADIANS($F584)))</f>
        <v/>
      </c>
      <c r="L584">
        <f>IF($I584="","",$I584*COS(RADIANS($C584))*SIN(RADIANS($D584))+$J584*COS(RADIANS($E584))*SIN(RADIANS($F584)))</f>
        <v/>
      </c>
      <c r="M584">
        <f>IF($I584="","",$I584*SIN(RADIANS($C584))+$J584*SIN(RADIANS($E584)))</f>
        <v/>
      </c>
      <c r="N584">
        <f>IF($M584="","",DEGREES(ATAN2(SQRT($K584^2+$L584^2),$M584)))</f>
        <v/>
      </c>
      <c r="O584">
        <f>IF($M584="","",DEGREES(ATAN2($K584,$L584)))</f>
        <v/>
      </c>
      <c r="P584">
        <f t="array" ref="P584">IF($N584="","",IFERROR(IF(INDEX(geo_grid!$B$2:$JU$231,INT(($N584+40)/0.5)+1,INT(($O584+30)/0.5)+1)="","",INDEX(geo_grid!$B$2:$JU$231,INT(($N584+40)/0.5)+1,INT(($O584+30)/0.5)+1)),"OUTSIDE GRID"))</f>
        <v/>
      </c>
      <c r="Q584">
        <f>IF($P584="","",$A584*1000+$B584)</f>
        <v/>
      </c>
    </row>
    <row r="585">
      <c r="A585">
        <f>INT((ROW()-2)/151)+1</f>
        <v/>
      </c>
      <c r="B585">
        <f>MOD(ROW()-2,151)</f>
        <v/>
      </c>
      <c r="C585">
        <f t="array" ref="C585">IFERROR(INDEX('TRIP MANAGER'!$O$18:$O$25,$A585),"")</f>
        <v/>
      </c>
      <c r="D585">
        <f t="array" ref="D585">IFERROR(INDEX('TRIP MANAGER'!$P$18:$P$25,$A585),"")</f>
        <v/>
      </c>
      <c r="E585">
        <f t="array" ref="E585">IFERROR(INDEX('TRIP MANAGER'!$Q$18:$Q$25,$A585),"")</f>
        <v/>
      </c>
      <c r="F585">
        <f t="array" ref="F585">IFERROR(INDEX('TRIP MANAGER'!$R$18:$R$25,$A585),"")</f>
        <v/>
      </c>
      <c r="G585">
        <f t="array" ref="G585">IFERROR(INDEX('TRIP MANAGER'!$S$18:$S$25,$A585),"")</f>
        <v/>
      </c>
      <c r="H585">
        <f>$B585/150</f>
        <v/>
      </c>
      <c r="I585">
        <f>IF(OR($G585="",$G585=0),"",SIN((1-$H585)*$G585)/SIN($G585))</f>
        <v/>
      </c>
      <c r="J585">
        <f>IF($I585="","",SIN($H585*$G585)/SIN($G585))</f>
        <v/>
      </c>
      <c r="K585">
        <f>IF($I585="","",$I585*COS(RADIANS($C585))*COS(RADIANS($D585))+$J585*COS(RADIANS($E585))*COS(RADIANS($F585)))</f>
        <v/>
      </c>
      <c r="L585">
        <f>IF($I585="","",$I585*COS(RADIANS($C585))*SIN(RADIANS($D585))+$J585*COS(RADIANS($E585))*SIN(RADIANS($F585)))</f>
        <v/>
      </c>
      <c r="M585">
        <f>IF($I585="","",$I585*SIN(RADIANS($C585))+$J585*SIN(RADIANS($E585)))</f>
        <v/>
      </c>
      <c r="N585">
        <f>IF($M585="","",DEGREES(ATAN2(SQRT($K585^2+$L585^2),$M585)))</f>
        <v/>
      </c>
      <c r="O585">
        <f>IF($M585="","",DEGREES(ATAN2($K585,$L585)))</f>
        <v/>
      </c>
      <c r="P585">
        <f t="array" ref="P585">IF($N585="","",IFERROR(IF(INDEX(geo_grid!$B$2:$JU$231,INT(($N585+40)/0.5)+1,INT(($O585+30)/0.5)+1)="","",INDEX(geo_grid!$B$2:$JU$231,INT(($N585+40)/0.5)+1,INT(($O585+30)/0.5)+1)),"OUTSIDE GRID"))</f>
        <v/>
      </c>
      <c r="Q585">
        <f>IF($P585="","",$A585*1000+$B585)</f>
        <v/>
      </c>
    </row>
    <row r="586">
      <c r="A586">
        <f>INT((ROW()-2)/151)+1</f>
        <v/>
      </c>
      <c r="B586">
        <f>MOD(ROW()-2,151)</f>
        <v/>
      </c>
      <c r="C586">
        <f t="array" ref="C586">IFERROR(INDEX('TRIP MANAGER'!$O$18:$O$25,$A586),"")</f>
        <v/>
      </c>
      <c r="D586">
        <f t="array" ref="D586">IFERROR(INDEX('TRIP MANAGER'!$P$18:$P$25,$A586),"")</f>
        <v/>
      </c>
      <c r="E586">
        <f t="array" ref="E586">IFERROR(INDEX('TRIP MANAGER'!$Q$18:$Q$25,$A586),"")</f>
        <v/>
      </c>
      <c r="F586">
        <f t="array" ref="F586">IFERROR(INDEX('TRIP MANAGER'!$R$18:$R$25,$A586),"")</f>
        <v/>
      </c>
      <c r="G586">
        <f t="array" ref="G586">IFERROR(INDEX('TRIP MANAGER'!$S$18:$S$25,$A586),"")</f>
        <v/>
      </c>
      <c r="H586">
        <f>$B586/150</f>
        <v/>
      </c>
      <c r="I586">
        <f>IF(OR($G586="",$G586=0),"",SIN((1-$H586)*$G586)/SIN($G586))</f>
        <v/>
      </c>
      <c r="J586">
        <f>IF($I586="","",SIN($H586*$G586)/SIN($G586))</f>
        <v/>
      </c>
      <c r="K586">
        <f>IF($I586="","",$I586*COS(RADIANS($C586))*COS(RADIANS($D586))+$J586*COS(RADIANS($E586))*COS(RADIANS($F586)))</f>
        <v/>
      </c>
      <c r="L586">
        <f>IF($I586="","",$I586*COS(RADIANS($C586))*SIN(RADIANS($D586))+$J586*COS(RADIANS($E586))*SIN(RADIANS($F586)))</f>
        <v/>
      </c>
      <c r="M586">
        <f>IF($I586="","",$I586*SIN(RADIANS($C586))+$J586*SIN(RADIANS($E586)))</f>
        <v/>
      </c>
      <c r="N586">
        <f>IF($M586="","",DEGREES(ATAN2(SQRT($K586^2+$L586^2),$M586)))</f>
        <v/>
      </c>
      <c r="O586">
        <f>IF($M586="","",DEGREES(ATAN2($K586,$L586)))</f>
        <v/>
      </c>
      <c r="P586">
        <f t="array" ref="P586">IF($N586="","",IFERROR(IF(INDEX(geo_grid!$B$2:$JU$231,INT(($N586+40)/0.5)+1,INT(($O586+30)/0.5)+1)="","",INDEX(geo_grid!$B$2:$JU$231,INT(($N586+40)/0.5)+1,INT(($O586+30)/0.5)+1)),"OUTSIDE GRID"))</f>
        <v/>
      </c>
      <c r="Q586">
        <f>IF($P586="","",$A586*1000+$B586)</f>
        <v/>
      </c>
    </row>
    <row r="587">
      <c r="A587">
        <f>INT((ROW()-2)/151)+1</f>
        <v/>
      </c>
      <c r="B587">
        <f>MOD(ROW()-2,151)</f>
        <v/>
      </c>
      <c r="C587">
        <f t="array" ref="C587">IFERROR(INDEX('TRIP MANAGER'!$O$18:$O$25,$A587),"")</f>
        <v/>
      </c>
      <c r="D587">
        <f t="array" ref="D587">IFERROR(INDEX('TRIP MANAGER'!$P$18:$P$25,$A587),"")</f>
        <v/>
      </c>
      <c r="E587">
        <f t="array" ref="E587">IFERROR(INDEX('TRIP MANAGER'!$Q$18:$Q$25,$A587),"")</f>
        <v/>
      </c>
      <c r="F587">
        <f t="array" ref="F587">IFERROR(INDEX('TRIP MANAGER'!$R$18:$R$25,$A587),"")</f>
        <v/>
      </c>
      <c r="G587">
        <f t="array" ref="G587">IFERROR(INDEX('TRIP MANAGER'!$S$18:$S$25,$A587),"")</f>
        <v/>
      </c>
      <c r="H587">
        <f>$B587/150</f>
        <v/>
      </c>
      <c r="I587">
        <f>IF(OR($G587="",$G587=0),"",SIN((1-$H587)*$G587)/SIN($G587))</f>
        <v/>
      </c>
      <c r="J587">
        <f>IF($I587="","",SIN($H587*$G587)/SIN($G587))</f>
        <v/>
      </c>
      <c r="K587">
        <f>IF($I587="","",$I587*COS(RADIANS($C587))*COS(RADIANS($D587))+$J587*COS(RADIANS($E587))*COS(RADIANS($F587)))</f>
        <v/>
      </c>
      <c r="L587">
        <f>IF($I587="","",$I587*COS(RADIANS($C587))*SIN(RADIANS($D587))+$J587*COS(RADIANS($E587))*SIN(RADIANS($F587)))</f>
        <v/>
      </c>
      <c r="M587">
        <f>IF($I587="","",$I587*SIN(RADIANS($C587))+$J587*SIN(RADIANS($E587)))</f>
        <v/>
      </c>
      <c r="N587">
        <f>IF($M587="","",DEGREES(ATAN2(SQRT($K587^2+$L587^2),$M587)))</f>
        <v/>
      </c>
      <c r="O587">
        <f>IF($M587="","",DEGREES(ATAN2($K587,$L587)))</f>
        <v/>
      </c>
      <c r="P587">
        <f t="array" ref="P587">IF($N587="","",IFERROR(IF(INDEX(geo_grid!$B$2:$JU$231,INT(($N587+40)/0.5)+1,INT(($O587+30)/0.5)+1)="","",INDEX(geo_grid!$B$2:$JU$231,INT(($N587+40)/0.5)+1,INT(($O587+30)/0.5)+1)),"OUTSIDE GRID"))</f>
        <v/>
      </c>
      <c r="Q587">
        <f>IF($P587="","",$A587*1000+$B587)</f>
        <v/>
      </c>
    </row>
    <row r="588">
      <c r="A588">
        <f>INT((ROW()-2)/151)+1</f>
        <v/>
      </c>
      <c r="B588">
        <f>MOD(ROW()-2,151)</f>
        <v/>
      </c>
      <c r="C588">
        <f t="array" ref="C588">IFERROR(INDEX('TRIP MANAGER'!$O$18:$O$25,$A588),"")</f>
        <v/>
      </c>
      <c r="D588">
        <f t="array" ref="D588">IFERROR(INDEX('TRIP MANAGER'!$P$18:$P$25,$A588),"")</f>
        <v/>
      </c>
      <c r="E588">
        <f t="array" ref="E588">IFERROR(INDEX('TRIP MANAGER'!$Q$18:$Q$25,$A588),"")</f>
        <v/>
      </c>
      <c r="F588">
        <f t="array" ref="F588">IFERROR(INDEX('TRIP MANAGER'!$R$18:$R$25,$A588),"")</f>
        <v/>
      </c>
      <c r="G588">
        <f t="array" ref="G588">IFERROR(INDEX('TRIP MANAGER'!$S$18:$S$25,$A588),"")</f>
        <v/>
      </c>
      <c r="H588">
        <f>$B588/150</f>
        <v/>
      </c>
      <c r="I588">
        <f>IF(OR($G588="",$G588=0),"",SIN((1-$H588)*$G588)/SIN($G588))</f>
        <v/>
      </c>
      <c r="J588">
        <f>IF($I588="","",SIN($H588*$G588)/SIN($G588))</f>
        <v/>
      </c>
      <c r="K588">
        <f>IF($I588="","",$I588*COS(RADIANS($C588))*COS(RADIANS($D588))+$J588*COS(RADIANS($E588))*COS(RADIANS($F588)))</f>
        <v/>
      </c>
      <c r="L588">
        <f>IF($I588="","",$I588*COS(RADIANS($C588))*SIN(RADIANS($D588))+$J588*COS(RADIANS($E588))*SIN(RADIANS($F588)))</f>
        <v/>
      </c>
      <c r="M588">
        <f>IF($I588="","",$I588*SIN(RADIANS($C588))+$J588*SIN(RADIANS($E588)))</f>
        <v/>
      </c>
      <c r="N588">
        <f>IF($M588="","",DEGREES(ATAN2(SQRT($K588^2+$L588^2),$M588)))</f>
        <v/>
      </c>
      <c r="O588">
        <f>IF($M588="","",DEGREES(ATAN2($K588,$L588)))</f>
        <v/>
      </c>
      <c r="P588">
        <f t="array" ref="P588">IF($N588="","",IFERROR(IF(INDEX(geo_grid!$B$2:$JU$231,INT(($N588+40)/0.5)+1,INT(($O588+30)/0.5)+1)="","",INDEX(geo_grid!$B$2:$JU$231,INT(($N588+40)/0.5)+1,INT(($O588+30)/0.5)+1)),"OUTSIDE GRID"))</f>
        <v/>
      </c>
      <c r="Q588">
        <f>IF($P588="","",$A588*1000+$B588)</f>
        <v/>
      </c>
    </row>
    <row r="589">
      <c r="A589">
        <f>INT((ROW()-2)/151)+1</f>
        <v/>
      </c>
      <c r="B589">
        <f>MOD(ROW()-2,151)</f>
        <v/>
      </c>
      <c r="C589">
        <f t="array" ref="C589">IFERROR(INDEX('TRIP MANAGER'!$O$18:$O$25,$A589),"")</f>
        <v/>
      </c>
      <c r="D589">
        <f t="array" ref="D589">IFERROR(INDEX('TRIP MANAGER'!$P$18:$P$25,$A589),"")</f>
        <v/>
      </c>
      <c r="E589">
        <f t="array" ref="E589">IFERROR(INDEX('TRIP MANAGER'!$Q$18:$Q$25,$A589),"")</f>
        <v/>
      </c>
      <c r="F589">
        <f t="array" ref="F589">IFERROR(INDEX('TRIP MANAGER'!$R$18:$R$25,$A589),"")</f>
        <v/>
      </c>
      <c r="G589">
        <f t="array" ref="G589">IFERROR(INDEX('TRIP MANAGER'!$S$18:$S$25,$A589),"")</f>
        <v/>
      </c>
      <c r="H589">
        <f>$B589/150</f>
        <v/>
      </c>
      <c r="I589">
        <f>IF(OR($G589="",$G589=0),"",SIN((1-$H589)*$G589)/SIN($G589))</f>
        <v/>
      </c>
      <c r="J589">
        <f>IF($I589="","",SIN($H589*$G589)/SIN($G589))</f>
        <v/>
      </c>
      <c r="K589">
        <f>IF($I589="","",$I589*COS(RADIANS($C589))*COS(RADIANS($D589))+$J589*COS(RADIANS($E589))*COS(RADIANS($F589)))</f>
        <v/>
      </c>
      <c r="L589">
        <f>IF($I589="","",$I589*COS(RADIANS($C589))*SIN(RADIANS($D589))+$J589*COS(RADIANS($E589))*SIN(RADIANS($F589)))</f>
        <v/>
      </c>
      <c r="M589">
        <f>IF($I589="","",$I589*SIN(RADIANS($C589))+$J589*SIN(RADIANS($E589)))</f>
        <v/>
      </c>
      <c r="N589">
        <f>IF($M589="","",DEGREES(ATAN2(SQRT($K589^2+$L589^2),$M589)))</f>
        <v/>
      </c>
      <c r="O589">
        <f>IF($M589="","",DEGREES(ATAN2($K589,$L589)))</f>
        <v/>
      </c>
      <c r="P589">
        <f t="array" ref="P589">IF($N589="","",IFERROR(IF(INDEX(geo_grid!$B$2:$JU$231,INT(($N589+40)/0.5)+1,INT(($O589+30)/0.5)+1)="","",INDEX(geo_grid!$B$2:$JU$231,INT(($N589+40)/0.5)+1,INT(($O589+30)/0.5)+1)),"OUTSIDE GRID"))</f>
        <v/>
      </c>
      <c r="Q589">
        <f>IF($P589="","",$A589*1000+$B589)</f>
        <v/>
      </c>
    </row>
    <row r="590">
      <c r="A590">
        <f>INT((ROW()-2)/151)+1</f>
        <v/>
      </c>
      <c r="B590">
        <f>MOD(ROW()-2,151)</f>
        <v/>
      </c>
      <c r="C590">
        <f t="array" ref="C590">IFERROR(INDEX('TRIP MANAGER'!$O$18:$O$25,$A590),"")</f>
        <v/>
      </c>
      <c r="D590">
        <f t="array" ref="D590">IFERROR(INDEX('TRIP MANAGER'!$P$18:$P$25,$A590),"")</f>
        <v/>
      </c>
      <c r="E590">
        <f t="array" ref="E590">IFERROR(INDEX('TRIP MANAGER'!$Q$18:$Q$25,$A590),"")</f>
        <v/>
      </c>
      <c r="F590">
        <f t="array" ref="F590">IFERROR(INDEX('TRIP MANAGER'!$R$18:$R$25,$A590),"")</f>
        <v/>
      </c>
      <c r="G590">
        <f t="array" ref="G590">IFERROR(INDEX('TRIP MANAGER'!$S$18:$S$25,$A590),"")</f>
        <v/>
      </c>
      <c r="H590">
        <f>$B590/150</f>
        <v/>
      </c>
      <c r="I590">
        <f>IF(OR($G590="",$G590=0),"",SIN((1-$H590)*$G590)/SIN($G590))</f>
        <v/>
      </c>
      <c r="J590">
        <f>IF($I590="","",SIN($H590*$G590)/SIN($G590))</f>
        <v/>
      </c>
      <c r="K590">
        <f>IF($I590="","",$I590*COS(RADIANS($C590))*COS(RADIANS($D590))+$J590*COS(RADIANS($E590))*COS(RADIANS($F590)))</f>
        <v/>
      </c>
      <c r="L590">
        <f>IF($I590="","",$I590*COS(RADIANS($C590))*SIN(RADIANS($D590))+$J590*COS(RADIANS($E590))*SIN(RADIANS($F590)))</f>
        <v/>
      </c>
      <c r="M590">
        <f>IF($I590="","",$I590*SIN(RADIANS($C590))+$J590*SIN(RADIANS($E590)))</f>
        <v/>
      </c>
      <c r="N590">
        <f>IF($M590="","",DEGREES(ATAN2(SQRT($K590^2+$L590^2),$M590)))</f>
        <v/>
      </c>
      <c r="O590">
        <f>IF($M590="","",DEGREES(ATAN2($K590,$L590)))</f>
        <v/>
      </c>
      <c r="P590">
        <f t="array" ref="P590">IF($N590="","",IFERROR(IF(INDEX(geo_grid!$B$2:$JU$231,INT(($N590+40)/0.5)+1,INT(($O590+30)/0.5)+1)="","",INDEX(geo_grid!$B$2:$JU$231,INT(($N590+40)/0.5)+1,INT(($O590+30)/0.5)+1)),"OUTSIDE GRID"))</f>
        <v/>
      </c>
      <c r="Q590">
        <f>IF($P590="","",$A590*1000+$B590)</f>
        <v/>
      </c>
    </row>
    <row r="591">
      <c r="A591">
        <f>INT((ROW()-2)/151)+1</f>
        <v/>
      </c>
      <c r="B591">
        <f>MOD(ROW()-2,151)</f>
        <v/>
      </c>
      <c r="C591">
        <f t="array" ref="C591">IFERROR(INDEX('TRIP MANAGER'!$O$18:$O$25,$A591),"")</f>
        <v/>
      </c>
      <c r="D591">
        <f t="array" ref="D591">IFERROR(INDEX('TRIP MANAGER'!$P$18:$P$25,$A591),"")</f>
        <v/>
      </c>
      <c r="E591">
        <f t="array" ref="E591">IFERROR(INDEX('TRIP MANAGER'!$Q$18:$Q$25,$A591),"")</f>
        <v/>
      </c>
      <c r="F591">
        <f t="array" ref="F591">IFERROR(INDEX('TRIP MANAGER'!$R$18:$R$25,$A591),"")</f>
        <v/>
      </c>
      <c r="G591">
        <f t="array" ref="G591">IFERROR(INDEX('TRIP MANAGER'!$S$18:$S$25,$A591),"")</f>
        <v/>
      </c>
      <c r="H591">
        <f>$B591/150</f>
        <v/>
      </c>
      <c r="I591">
        <f>IF(OR($G591="",$G591=0),"",SIN((1-$H591)*$G591)/SIN($G591))</f>
        <v/>
      </c>
      <c r="J591">
        <f>IF($I591="","",SIN($H591*$G591)/SIN($G591))</f>
        <v/>
      </c>
      <c r="K591">
        <f>IF($I591="","",$I591*COS(RADIANS($C591))*COS(RADIANS($D591))+$J591*COS(RADIANS($E591))*COS(RADIANS($F591)))</f>
        <v/>
      </c>
      <c r="L591">
        <f>IF($I591="","",$I591*COS(RADIANS($C591))*SIN(RADIANS($D591))+$J591*COS(RADIANS($E591))*SIN(RADIANS($F591)))</f>
        <v/>
      </c>
      <c r="M591">
        <f>IF($I591="","",$I591*SIN(RADIANS($C591))+$J591*SIN(RADIANS($E591)))</f>
        <v/>
      </c>
      <c r="N591">
        <f>IF($M591="","",DEGREES(ATAN2(SQRT($K591^2+$L591^2),$M591)))</f>
        <v/>
      </c>
      <c r="O591">
        <f>IF($M591="","",DEGREES(ATAN2($K591,$L591)))</f>
        <v/>
      </c>
      <c r="P591">
        <f t="array" ref="P591">IF($N591="","",IFERROR(IF(INDEX(geo_grid!$B$2:$JU$231,INT(($N591+40)/0.5)+1,INT(($O591+30)/0.5)+1)="","",INDEX(geo_grid!$B$2:$JU$231,INT(($N591+40)/0.5)+1,INT(($O591+30)/0.5)+1)),"OUTSIDE GRID"))</f>
        <v/>
      </c>
      <c r="Q591">
        <f>IF($P591="","",$A591*1000+$B591)</f>
        <v/>
      </c>
    </row>
    <row r="592">
      <c r="A592">
        <f>INT((ROW()-2)/151)+1</f>
        <v/>
      </c>
      <c r="B592">
        <f>MOD(ROW()-2,151)</f>
        <v/>
      </c>
      <c r="C592">
        <f t="array" ref="C592">IFERROR(INDEX('TRIP MANAGER'!$O$18:$O$25,$A592),"")</f>
        <v/>
      </c>
      <c r="D592">
        <f t="array" ref="D592">IFERROR(INDEX('TRIP MANAGER'!$P$18:$P$25,$A592),"")</f>
        <v/>
      </c>
      <c r="E592">
        <f t="array" ref="E592">IFERROR(INDEX('TRIP MANAGER'!$Q$18:$Q$25,$A592),"")</f>
        <v/>
      </c>
      <c r="F592">
        <f t="array" ref="F592">IFERROR(INDEX('TRIP MANAGER'!$R$18:$R$25,$A592),"")</f>
        <v/>
      </c>
      <c r="G592">
        <f t="array" ref="G592">IFERROR(INDEX('TRIP MANAGER'!$S$18:$S$25,$A592),"")</f>
        <v/>
      </c>
      <c r="H592">
        <f>$B592/150</f>
        <v/>
      </c>
      <c r="I592">
        <f>IF(OR($G592="",$G592=0),"",SIN((1-$H592)*$G592)/SIN($G592))</f>
        <v/>
      </c>
      <c r="J592">
        <f>IF($I592="","",SIN($H592*$G592)/SIN($G592))</f>
        <v/>
      </c>
      <c r="K592">
        <f>IF($I592="","",$I592*COS(RADIANS($C592))*COS(RADIANS($D592))+$J592*COS(RADIANS($E592))*COS(RADIANS($F592)))</f>
        <v/>
      </c>
      <c r="L592">
        <f>IF($I592="","",$I592*COS(RADIANS($C592))*SIN(RADIANS($D592))+$J592*COS(RADIANS($E592))*SIN(RADIANS($F592)))</f>
        <v/>
      </c>
      <c r="M592">
        <f>IF($I592="","",$I592*SIN(RADIANS($C592))+$J592*SIN(RADIANS($E592)))</f>
        <v/>
      </c>
      <c r="N592">
        <f>IF($M592="","",DEGREES(ATAN2(SQRT($K592^2+$L592^2),$M592)))</f>
        <v/>
      </c>
      <c r="O592">
        <f>IF($M592="","",DEGREES(ATAN2($K592,$L592)))</f>
        <v/>
      </c>
      <c r="P592">
        <f t="array" ref="P592">IF($N592="","",IFERROR(IF(INDEX(geo_grid!$B$2:$JU$231,INT(($N592+40)/0.5)+1,INT(($O592+30)/0.5)+1)="","",INDEX(geo_grid!$B$2:$JU$231,INT(($N592+40)/0.5)+1,INT(($O592+30)/0.5)+1)),"OUTSIDE GRID"))</f>
        <v/>
      </c>
      <c r="Q592">
        <f>IF($P592="","",$A592*1000+$B592)</f>
        <v/>
      </c>
    </row>
    <row r="593">
      <c r="A593">
        <f>INT((ROW()-2)/151)+1</f>
        <v/>
      </c>
      <c r="B593">
        <f>MOD(ROW()-2,151)</f>
        <v/>
      </c>
      <c r="C593">
        <f t="array" ref="C593">IFERROR(INDEX('TRIP MANAGER'!$O$18:$O$25,$A593),"")</f>
        <v/>
      </c>
      <c r="D593">
        <f t="array" ref="D593">IFERROR(INDEX('TRIP MANAGER'!$P$18:$P$25,$A593),"")</f>
        <v/>
      </c>
      <c r="E593">
        <f t="array" ref="E593">IFERROR(INDEX('TRIP MANAGER'!$Q$18:$Q$25,$A593),"")</f>
        <v/>
      </c>
      <c r="F593">
        <f t="array" ref="F593">IFERROR(INDEX('TRIP MANAGER'!$R$18:$R$25,$A593),"")</f>
        <v/>
      </c>
      <c r="G593">
        <f t="array" ref="G593">IFERROR(INDEX('TRIP MANAGER'!$S$18:$S$25,$A593),"")</f>
        <v/>
      </c>
      <c r="H593">
        <f>$B593/150</f>
        <v/>
      </c>
      <c r="I593">
        <f>IF(OR($G593="",$G593=0),"",SIN((1-$H593)*$G593)/SIN($G593))</f>
        <v/>
      </c>
      <c r="J593">
        <f>IF($I593="","",SIN($H593*$G593)/SIN($G593))</f>
        <v/>
      </c>
      <c r="K593">
        <f>IF($I593="","",$I593*COS(RADIANS($C593))*COS(RADIANS($D593))+$J593*COS(RADIANS($E593))*COS(RADIANS($F593)))</f>
        <v/>
      </c>
      <c r="L593">
        <f>IF($I593="","",$I593*COS(RADIANS($C593))*SIN(RADIANS($D593))+$J593*COS(RADIANS($E593))*SIN(RADIANS($F593)))</f>
        <v/>
      </c>
      <c r="M593">
        <f>IF($I593="","",$I593*SIN(RADIANS($C593))+$J593*SIN(RADIANS($E593)))</f>
        <v/>
      </c>
      <c r="N593">
        <f>IF($M593="","",DEGREES(ATAN2(SQRT($K593^2+$L593^2),$M593)))</f>
        <v/>
      </c>
      <c r="O593">
        <f>IF($M593="","",DEGREES(ATAN2($K593,$L593)))</f>
        <v/>
      </c>
      <c r="P593">
        <f t="array" ref="P593">IF($N593="","",IFERROR(IF(INDEX(geo_grid!$B$2:$JU$231,INT(($N593+40)/0.5)+1,INT(($O593+30)/0.5)+1)="","",INDEX(geo_grid!$B$2:$JU$231,INT(($N593+40)/0.5)+1,INT(($O593+30)/0.5)+1)),"OUTSIDE GRID"))</f>
        <v/>
      </c>
      <c r="Q593">
        <f>IF($P593="","",$A593*1000+$B593)</f>
        <v/>
      </c>
    </row>
    <row r="594">
      <c r="A594">
        <f>INT((ROW()-2)/151)+1</f>
        <v/>
      </c>
      <c r="B594">
        <f>MOD(ROW()-2,151)</f>
        <v/>
      </c>
      <c r="C594">
        <f t="array" ref="C594">IFERROR(INDEX('TRIP MANAGER'!$O$18:$O$25,$A594),"")</f>
        <v/>
      </c>
      <c r="D594">
        <f t="array" ref="D594">IFERROR(INDEX('TRIP MANAGER'!$P$18:$P$25,$A594),"")</f>
        <v/>
      </c>
      <c r="E594">
        <f t="array" ref="E594">IFERROR(INDEX('TRIP MANAGER'!$Q$18:$Q$25,$A594),"")</f>
        <v/>
      </c>
      <c r="F594">
        <f t="array" ref="F594">IFERROR(INDEX('TRIP MANAGER'!$R$18:$R$25,$A594),"")</f>
        <v/>
      </c>
      <c r="G594">
        <f t="array" ref="G594">IFERROR(INDEX('TRIP MANAGER'!$S$18:$S$25,$A594),"")</f>
        <v/>
      </c>
      <c r="H594">
        <f>$B594/150</f>
        <v/>
      </c>
      <c r="I594">
        <f>IF(OR($G594="",$G594=0),"",SIN((1-$H594)*$G594)/SIN($G594))</f>
        <v/>
      </c>
      <c r="J594">
        <f>IF($I594="","",SIN($H594*$G594)/SIN($G594))</f>
        <v/>
      </c>
      <c r="K594">
        <f>IF($I594="","",$I594*COS(RADIANS($C594))*COS(RADIANS($D594))+$J594*COS(RADIANS($E594))*COS(RADIANS($F594)))</f>
        <v/>
      </c>
      <c r="L594">
        <f>IF($I594="","",$I594*COS(RADIANS($C594))*SIN(RADIANS($D594))+$J594*COS(RADIANS($E594))*SIN(RADIANS($F594)))</f>
        <v/>
      </c>
      <c r="M594">
        <f>IF($I594="","",$I594*SIN(RADIANS($C594))+$J594*SIN(RADIANS($E594)))</f>
        <v/>
      </c>
      <c r="N594">
        <f>IF($M594="","",DEGREES(ATAN2(SQRT($K594^2+$L594^2),$M594)))</f>
        <v/>
      </c>
      <c r="O594">
        <f>IF($M594="","",DEGREES(ATAN2($K594,$L594)))</f>
        <v/>
      </c>
      <c r="P594">
        <f t="array" ref="P594">IF($N594="","",IFERROR(IF(INDEX(geo_grid!$B$2:$JU$231,INT(($N594+40)/0.5)+1,INT(($O594+30)/0.5)+1)="","",INDEX(geo_grid!$B$2:$JU$231,INT(($N594+40)/0.5)+1,INT(($O594+30)/0.5)+1)),"OUTSIDE GRID"))</f>
        <v/>
      </c>
      <c r="Q594">
        <f>IF($P594="","",$A594*1000+$B594)</f>
        <v/>
      </c>
    </row>
    <row r="595">
      <c r="A595">
        <f>INT((ROW()-2)/151)+1</f>
        <v/>
      </c>
      <c r="B595">
        <f>MOD(ROW()-2,151)</f>
        <v/>
      </c>
      <c r="C595">
        <f t="array" ref="C595">IFERROR(INDEX('TRIP MANAGER'!$O$18:$O$25,$A595),"")</f>
        <v/>
      </c>
      <c r="D595">
        <f t="array" ref="D595">IFERROR(INDEX('TRIP MANAGER'!$P$18:$P$25,$A595),"")</f>
        <v/>
      </c>
      <c r="E595">
        <f t="array" ref="E595">IFERROR(INDEX('TRIP MANAGER'!$Q$18:$Q$25,$A595),"")</f>
        <v/>
      </c>
      <c r="F595">
        <f t="array" ref="F595">IFERROR(INDEX('TRIP MANAGER'!$R$18:$R$25,$A595),"")</f>
        <v/>
      </c>
      <c r="G595">
        <f t="array" ref="G595">IFERROR(INDEX('TRIP MANAGER'!$S$18:$S$25,$A595),"")</f>
        <v/>
      </c>
      <c r="H595">
        <f>$B595/150</f>
        <v/>
      </c>
      <c r="I595">
        <f>IF(OR($G595="",$G595=0),"",SIN((1-$H595)*$G595)/SIN($G595))</f>
        <v/>
      </c>
      <c r="J595">
        <f>IF($I595="","",SIN($H595*$G595)/SIN($G595))</f>
        <v/>
      </c>
      <c r="K595">
        <f>IF($I595="","",$I595*COS(RADIANS($C595))*COS(RADIANS($D595))+$J595*COS(RADIANS($E595))*COS(RADIANS($F595)))</f>
        <v/>
      </c>
      <c r="L595">
        <f>IF($I595="","",$I595*COS(RADIANS($C595))*SIN(RADIANS($D595))+$J595*COS(RADIANS($E595))*SIN(RADIANS($F595)))</f>
        <v/>
      </c>
      <c r="M595">
        <f>IF($I595="","",$I595*SIN(RADIANS($C595))+$J595*SIN(RADIANS($E595)))</f>
        <v/>
      </c>
      <c r="N595">
        <f>IF($M595="","",DEGREES(ATAN2(SQRT($K595^2+$L595^2),$M595)))</f>
        <v/>
      </c>
      <c r="O595">
        <f>IF($M595="","",DEGREES(ATAN2($K595,$L595)))</f>
        <v/>
      </c>
      <c r="P595">
        <f t="array" ref="P595">IF($N595="","",IFERROR(IF(INDEX(geo_grid!$B$2:$JU$231,INT(($N595+40)/0.5)+1,INT(($O595+30)/0.5)+1)="","",INDEX(geo_grid!$B$2:$JU$231,INT(($N595+40)/0.5)+1,INT(($O595+30)/0.5)+1)),"OUTSIDE GRID"))</f>
        <v/>
      </c>
      <c r="Q595">
        <f>IF($P595="","",$A595*1000+$B595)</f>
        <v/>
      </c>
    </row>
    <row r="596">
      <c r="A596">
        <f>INT((ROW()-2)/151)+1</f>
        <v/>
      </c>
      <c r="B596">
        <f>MOD(ROW()-2,151)</f>
        <v/>
      </c>
      <c r="C596">
        <f t="array" ref="C596">IFERROR(INDEX('TRIP MANAGER'!$O$18:$O$25,$A596),"")</f>
        <v/>
      </c>
      <c r="D596">
        <f t="array" ref="D596">IFERROR(INDEX('TRIP MANAGER'!$P$18:$P$25,$A596),"")</f>
        <v/>
      </c>
      <c r="E596">
        <f t="array" ref="E596">IFERROR(INDEX('TRIP MANAGER'!$Q$18:$Q$25,$A596),"")</f>
        <v/>
      </c>
      <c r="F596">
        <f t="array" ref="F596">IFERROR(INDEX('TRIP MANAGER'!$R$18:$R$25,$A596),"")</f>
        <v/>
      </c>
      <c r="G596">
        <f t="array" ref="G596">IFERROR(INDEX('TRIP MANAGER'!$S$18:$S$25,$A596),"")</f>
        <v/>
      </c>
      <c r="H596">
        <f>$B596/150</f>
        <v/>
      </c>
      <c r="I596">
        <f>IF(OR($G596="",$G596=0),"",SIN((1-$H596)*$G596)/SIN($G596))</f>
        <v/>
      </c>
      <c r="J596">
        <f>IF($I596="","",SIN($H596*$G596)/SIN($G596))</f>
        <v/>
      </c>
      <c r="K596">
        <f>IF($I596="","",$I596*COS(RADIANS($C596))*COS(RADIANS($D596))+$J596*COS(RADIANS($E596))*COS(RADIANS($F596)))</f>
        <v/>
      </c>
      <c r="L596">
        <f>IF($I596="","",$I596*COS(RADIANS($C596))*SIN(RADIANS($D596))+$J596*COS(RADIANS($E596))*SIN(RADIANS($F596)))</f>
        <v/>
      </c>
      <c r="M596">
        <f>IF($I596="","",$I596*SIN(RADIANS($C596))+$J596*SIN(RADIANS($E596)))</f>
        <v/>
      </c>
      <c r="N596">
        <f>IF($M596="","",DEGREES(ATAN2(SQRT($K596^2+$L596^2),$M596)))</f>
        <v/>
      </c>
      <c r="O596">
        <f>IF($M596="","",DEGREES(ATAN2($K596,$L596)))</f>
        <v/>
      </c>
      <c r="P596">
        <f t="array" ref="P596">IF($N596="","",IFERROR(IF(INDEX(geo_grid!$B$2:$JU$231,INT(($N596+40)/0.5)+1,INT(($O596+30)/0.5)+1)="","",INDEX(geo_grid!$B$2:$JU$231,INT(($N596+40)/0.5)+1,INT(($O596+30)/0.5)+1)),"OUTSIDE GRID"))</f>
        <v/>
      </c>
      <c r="Q596">
        <f>IF($P596="","",$A596*1000+$B596)</f>
        <v/>
      </c>
    </row>
    <row r="597">
      <c r="A597">
        <f>INT((ROW()-2)/151)+1</f>
        <v/>
      </c>
      <c r="B597">
        <f>MOD(ROW()-2,151)</f>
        <v/>
      </c>
      <c r="C597">
        <f t="array" ref="C597">IFERROR(INDEX('TRIP MANAGER'!$O$18:$O$25,$A597),"")</f>
        <v/>
      </c>
      <c r="D597">
        <f t="array" ref="D597">IFERROR(INDEX('TRIP MANAGER'!$P$18:$P$25,$A597),"")</f>
        <v/>
      </c>
      <c r="E597">
        <f t="array" ref="E597">IFERROR(INDEX('TRIP MANAGER'!$Q$18:$Q$25,$A597),"")</f>
        <v/>
      </c>
      <c r="F597">
        <f t="array" ref="F597">IFERROR(INDEX('TRIP MANAGER'!$R$18:$R$25,$A597),"")</f>
        <v/>
      </c>
      <c r="G597">
        <f t="array" ref="G597">IFERROR(INDEX('TRIP MANAGER'!$S$18:$S$25,$A597),"")</f>
        <v/>
      </c>
      <c r="H597">
        <f>$B597/150</f>
        <v/>
      </c>
      <c r="I597">
        <f>IF(OR($G597="",$G597=0),"",SIN((1-$H597)*$G597)/SIN($G597))</f>
        <v/>
      </c>
      <c r="J597">
        <f>IF($I597="","",SIN($H597*$G597)/SIN($G597))</f>
        <v/>
      </c>
      <c r="K597">
        <f>IF($I597="","",$I597*COS(RADIANS($C597))*COS(RADIANS($D597))+$J597*COS(RADIANS($E597))*COS(RADIANS($F597)))</f>
        <v/>
      </c>
      <c r="L597">
        <f>IF($I597="","",$I597*COS(RADIANS($C597))*SIN(RADIANS($D597))+$J597*COS(RADIANS($E597))*SIN(RADIANS($F597)))</f>
        <v/>
      </c>
      <c r="M597">
        <f>IF($I597="","",$I597*SIN(RADIANS($C597))+$J597*SIN(RADIANS($E597)))</f>
        <v/>
      </c>
      <c r="N597">
        <f>IF($M597="","",DEGREES(ATAN2(SQRT($K597^2+$L597^2),$M597)))</f>
        <v/>
      </c>
      <c r="O597">
        <f>IF($M597="","",DEGREES(ATAN2($K597,$L597)))</f>
        <v/>
      </c>
      <c r="P597">
        <f t="array" ref="P597">IF($N597="","",IFERROR(IF(INDEX(geo_grid!$B$2:$JU$231,INT(($N597+40)/0.5)+1,INT(($O597+30)/0.5)+1)="","",INDEX(geo_grid!$B$2:$JU$231,INT(($N597+40)/0.5)+1,INT(($O597+30)/0.5)+1)),"OUTSIDE GRID"))</f>
        <v/>
      </c>
      <c r="Q597">
        <f>IF($P597="","",$A597*1000+$B597)</f>
        <v/>
      </c>
    </row>
    <row r="598">
      <c r="A598">
        <f>INT((ROW()-2)/151)+1</f>
        <v/>
      </c>
      <c r="B598">
        <f>MOD(ROW()-2,151)</f>
        <v/>
      </c>
      <c r="C598">
        <f t="array" ref="C598">IFERROR(INDEX('TRIP MANAGER'!$O$18:$O$25,$A598),"")</f>
        <v/>
      </c>
      <c r="D598">
        <f t="array" ref="D598">IFERROR(INDEX('TRIP MANAGER'!$P$18:$P$25,$A598),"")</f>
        <v/>
      </c>
      <c r="E598">
        <f t="array" ref="E598">IFERROR(INDEX('TRIP MANAGER'!$Q$18:$Q$25,$A598),"")</f>
        <v/>
      </c>
      <c r="F598">
        <f t="array" ref="F598">IFERROR(INDEX('TRIP MANAGER'!$R$18:$R$25,$A598),"")</f>
        <v/>
      </c>
      <c r="G598">
        <f t="array" ref="G598">IFERROR(INDEX('TRIP MANAGER'!$S$18:$S$25,$A598),"")</f>
        <v/>
      </c>
      <c r="H598">
        <f>$B598/150</f>
        <v/>
      </c>
      <c r="I598">
        <f>IF(OR($G598="",$G598=0),"",SIN((1-$H598)*$G598)/SIN($G598))</f>
        <v/>
      </c>
      <c r="J598">
        <f>IF($I598="","",SIN($H598*$G598)/SIN($G598))</f>
        <v/>
      </c>
      <c r="K598">
        <f>IF($I598="","",$I598*COS(RADIANS($C598))*COS(RADIANS($D598))+$J598*COS(RADIANS($E598))*COS(RADIANS($F598)))</f>
        <v/>
      </c>
      <c r="L598">
        <f>IF($I598="","",$I598*COS(RADIANS($C598))*SIN(RADIANS($D598))+$J598*COS(RADIANS($E598))*SIN(RADIANS($F598)))</f>
        <v/>
      </c>
      <c r="M598">
        <f>IF($I598="","",$I598*SIN(RADIANS($C598))+$J598*SIN(RADIANS($E598)))</f>
        <v/>
      </c>
      <c r="N598">
        <f>IF($M598="","",DEGREES(ATAN2(SQRT($K598^2+$L598^2),$M598)))</f>
        <v/>
      </c>
      <c r="O598">
        <f>IF($M598="","",DEGREES(ATAN2($K598,$L598)))</f>
        <v/>
      </c>
      <c r="P598">
        <f t="array" ref="P598">IF($N598="","",IFERROR(IF(INDEX(geo_grid!$B$2:$JU$231,INT(($N598+40)/0.5)+1,INT(($O598+30)/0.5)+1)="","",INDEX(geo_grid!$B$2:$JU$231,INT(($N598+40)/0.5)+1,INT(($O598+30)/0.5)+1)),"OUTSIDE GRID"))</f>
        <v/>
      </c>
      <c r="Q598">
        <f>IF($P598="","",$A598*1000+$B598)</f>
        <v/>
      </c>
    </row>
    <row r="599">
      <c r="A599">
        <f>INT((ROW()-2)/151)+1</f>
        <v/>
      </c>
      <c r="B599">
        <f>MOD(ROW()-2,151)</f>
        <v/>
      </c>
      <c r="C599">
        <f t="array" ref="C599">IFERROR(INDEX('TRIP MANAGER'!$O$18:$O$25,$A599),"")</f>
        <v/>
      </c>
      <c r="D599">
        <f t="array" ref="D599">IFERROR(INDEX('TRIP MANAGER'!$P$18:$P$25,$A599),"")</f>
        <v/>
      </c>
      <c r="E599">
        <f t="array" ref="E599">IFERROR(INDEX('TRIP MANAGER'!$Q$18:$Q$25,$A599),"")</f>
        <v/>
      </c>
      <c r="F599">
        <f t="array" ref="F599">IFERROR(INDEX('TRIP MANAGER'!$R$18:$R$25,$A599),"")</f>
        <v/>
      </c>
      <c r="G599">
        <f t="array" ref="G599">IFERROR(INDEX('TRIP MANAGER'!$S$18:$S$25,$A599),"")</f>
        <v/>
      </c>
      <c r="H599">
        <f>$B599/150</f>
        <v/>
      </c>
      <c r="I599">
        <f>IF(OR($G599="",$G599=0),"",SIN((1-$H599)*$G599)/SIN($G599))</f>
        <v/>
      </c>
      <c r="J599">
        <f>IF($I599="","",SIN($H599*$G599)/SIN($G599))</f>
        <v/>
      </c>
      <c r="K599">
        <f>IF($I599="","",$I599*COS(RADIANS($C599))*COS(RADIANS($D599))+$J599*COS(RADIANS($E599))*COS(RADIANS($F599)))</f>
        <v/>
      </c>
      <c r="L599">
        <f>IF($I599="","",$I599*COS(RADIANS($C599))*SIN(RADIANS($D599))+$J599*COS(RADIANS($E599))*SIN(RADIANS($F599)))</f>
        <v/>
      </c>
      <c r="M599">
        <f>IF($I599="","",$I599*SIN(RADIANS($C599))+$J599*SIN(RADIANS($E599)))</f>
        <v/>
      </c>
      <c r="N599">
        <f>IF($M599="","",DEGREES(ATAN2(SQRT($K599^2+$L599^2),$M599)))</f>
        <v/>
      </c>
      <c r="O599">
        <f>IF($M599="","",DEGREES(ATAN2($K599,$L599)))</f>
        <v/>
      </c>
      <c r="P599">
        <f t="array" ref="P599">IF($N599="","",IFERROR(IF(INDEX(geo_grid!$B$2:$JU$231,INT(($N599+40)/0.5)+1,INT(($O599+30)/0.5)+1)="","",INDEX(geo_grid!$B$2:$JU$231,INT(($N599+40)/0.5)+1,INT(($O599+30)/0.5)+1)),"OUTSIDE GRID"))</f>
        <v/>
      </c>
      <c r="Q599">
        <f>IF($P599="","",$A599*1000+$B599)</f>
        <v/>
      </c>
    </row>
    <row r="600">
      <c r="A600">
        <f>INT((ROW()-2)/151)+1</f>
        <v/>
      </c>
      <c r="B600">
        <f>MOD(ROW()-2,151)</f>
        <v/>
      </c>
      <c r="C600">
        <f t="array" ref="C600">IFERROR(INDEX('TRIP MANAGER'!$O$18:$O$25,$A600),"")</f>
        <v/>
      </c>
      <c r="D600">
        <f t="array" ref="D600">IFERROR(INDEX('TRIP MANAGER'!$P$18:$P$25,$A600),"")</f>
        <v/>
      </c>
      <c r="E600">
        <f t="array" ref="E600">IFERROR(INDEX('TRIP MANAGER'!$Q$18:$Q$25,$A600),"")</f>
        <v/>
      </c>
      <c r="F600">
        <f t="array" ref="F600">IFERROR(INDEX('TRIP MANAGER'!$R$18:$R$25,$A600),"")</f>
        <v/>
      </c>
      <c r="G600">
        <f t="array" ref="G600">IFERROR(INDEX('TRIP MANAGER'!$S$18:$S$25,$A600),"")</f>
        <v/>
      </c>
      <c r="H600">
        <f>$B600/150</f>
        <v/>
      </c>
      <c r="I600">
        <f>IF(OR($G600="",$G600=0),"",SIN((1-$H600)*$G600)/SIN($G600))</f>
        <v/>
      </c>
      <c r="J600">
        <f>IF($I600="","",SIN($H600*$G600)/SIN($G600))</f>
        <v/>
      </c>
      <c r="K600">
        <f>IF($I600="","",$I600*COS(RADIANS($C600))*COS(RADIANS($D600))+$J600*COS(RADIANS($E600))*COS(RADIANS($F600)))</f>
        <v/>
      </c>
      <c r="L600">
        <f>IF($I600="","",$I600*COS(RADIANS($C600))*SIN(RADIANS($D600))+$J600*COS(RADIANS($E600))*SIN(RADIANS($F600)))</f>
        <v/>
      </c>
      <c r="M600">
        <f>IF($I600="","",$I600*SIN(RADIANS($C600))+$J600*SIN(RADIANS($E600)))</f>
        <v/>
      </c>
      <c r="N600">
        <f>IF($M600="","",DEGREES(ATAN2(SQRT($K600^2+$L600^2),$M600)))</f>
        <v/>
      </c>
      <c r="O600">
        <f>IF($M600="","",DEGREES(ATAN2($K600,$L600)))</f>
        <v/>
      </c>
      <c r="P600">
        <f t="array" ref="P600">IF($N600="","",IFERROR(IF(INDEX(geo_grid!$B$2:$JU$231,INT(($N600+40)/0.5)+1,INT(($O600+30)/0.5)+1)="","",INDEX(geo_grid!$B$2:$JU$231,INT(($N600+40)/0.5)+1,INT(($O600+30)/0.5)+1)),"OUTSIDE GRID"))</f>
        <v/>
      </c>
      <c r="Q600">
        <f>IF($P600="","",$A600*1000+$B600)</f>
        <v/>
      </c>
    </row>
    <row r="601">
      <c r="A601">
        <f>INT((ROW()-2)/151)+1</f>
        <v/>
      </c>
      <c r="B601">
        <f>MOD(ROW()-2,151)</f>
        <v/>
      </c>
      <c r="C601">
        <f t="array" ref="C601">IFERROR(INDEX('TRIP MANAGER'!$O$18:$O$25,$A601),"")</f>
        <v/>
      </c>
      <c r="D601">
        <f t="array" ref="D601">IFERROR(INDEX('TRIP MANAGER'!$P$18:$P$25,$A601),"")</f>
        <v/>
      </c>
      <c r="E601">
        <f t="array" ref="E601">IFERROR(INDEX('TRIP MANAGER'!$Q$18:$Q$25,$A601),"")</f>
        <v/>
      </c>
      <c r="F601">
        <f t="array" ref="F601">IFERROR(INDEX('TRIP MANAGER'!$R$18:$R$25,$A601),"")</f>
        <v/>
      </c>
      <c r="G601">
        <f t="array" ref="G601">IFERROR(INDEX('TRIP MANAGER'!$S$18:$S$25,$A601),"")</f>
        <v/>
      </c>
      <c r="H601">
        <f>$B601/150</f>
        <v/>
      </c>
      <c r="I601">
        <f>IF(OR($G601="",$G601=0),"",SIN((1-$H601)*$G601)/SIN($G601))</f>
        <v/>
      </c>
      <c r="J601">
        <f>IF($I601="","",SIN($H601*$G601)/SIN($G601))</f>
        <v/>
      </c>
      <c r="K601">
        <f>IF($I601="","",$I601*COS(RADIANS($C601))*COS(RADIANS($D601))+$J601*COS(RADIANS($E601))*COS(RADIANS($F601)))</f>
        <v/>
      </c>
      <c r="L601">
        <f>IF($I601="","",$I601*COS(RADIANS($C601))*SIN(RADIANS($D601))+$J601*COS(RADIANS($E601))*SIN(RADIANS($F601)))</f>
        <v/>
      </c>
      <c r="M601">
        <f>IF($I601="","",$I601*SIN(RADIANS($C601))+$J601*SIN(RADIANS($E601)))</f>
        <v/>
      </c>
      <c r="N601">
        <f>IF($M601="","",DEGREES(ATAN2(SQRT($K601^2+$L601^2),$M601)))</f>
        <v/>
      </c>
      <c r="O601">
        <f>IF($M601="","",DEGREES(ATAN2($K601,$L601)))</f>
        <v/>
      </c>
      <c r="P601">
        <f t="array" ref="P601">IF($N601="","",IFERROR(IF(INDEX(geo_grid!$B$2:$JU$231,INT(($N601+40)/0.5)+1,INT(($O601+30)/0.5)+1)="","",INDEX(geo_grid!$B$2:$JU$231,INT(($N601+40)/0.5)+1,INT(($O601+30)/0.5)+1)),"OUTSIDE GRID"))</f>
        <v/>
      </c>
      <c r="Q601">
        <f>IF($P601="","",$A601*1000+$B601)</f>
        <v/>
      </c>
    </row>
    <row r="602">
      <c r="A602">
        <f>INT((ROW()-2)/151)+1</f>
        <v/>
      </c>
      <c r="B602">
        <f>MOD(ROW()-2,151)</f>
        <v/>
      </c>
      <c r="C602">
        <f t="array" ref="C602">IFERROR(INDEX('TRIP MANAGER'!$O$18:$O$25,$A602),"")</f>
        <v/>
      </c>
      <c r="D602">
        <f t="array" ref="D602">IFERROR(INDEX('TRIP MANAGER'!$P$18:$P$25,$A602),"")</f>
        <v/>
      </c>
      <c r="E602">
        <f t="array" ref="E602">IFERROR(INDEX('TRIP MANAGER'!$Q$18:$Q$25,$A602),"")</f>
        <v/>
      </c>
      <c r="F602">
        <f t="array" ref="F602">IFERROR(INDEX('TRIP MANAGER'!$R$18:$R$25,$A602),"")</f>
        <v/>
      </c>
      <c r="G602">
        <f t="array" ref="G602">IFERROR(INDEX('TRIP MANAGER'!$S$18:$S$25,$A602),"")</f>
        <v/>
      </c>
      <c r="H602">
        <f>$B602/150</f>
        <v/>
      </c>
      <c r="I602">
        <f>IF(OR($G602="",$G602=0),"",SIN((1-$H602)*$G602)/SIN($G602))</f>
        <v/>
      </c>
      <c r="J602">
        <f>IF($I602="","",SIN($H602*$G602)/SIN($G602))</f>
        <v/>
      </c>
      <c r="K602">
        <f>IF($I602="","",$I602*COS(RADIANS($C602))*COS(RADIANS($D602))+$J602*COS(RADIANS($E602))*COS(RADIANS($F602)))</f>
        <v/>
      </c>
      <c r="L602">
        <f>IF($I602="","",$I602*COS(RADIANS($C602))*SIN(RADIANS($D602))+$J602*COS(RADIANS($E602))*SIN(RADIANS($F602)))</f>
        <v/>
      </c>
      <c r="M602">
        <f>IF($I602="","",$I602*SIN(RADIANS($C602))+$J602*SIN(RADIANS($E602)))</f>
        <v/>
      </c>
      <c r="N602">
        <f>IF($M602="","",DEGREES(ATAN2(SQRT($K602^2+$L602^2),$M602)))</f>
        <v/>
      </c>
      <c r="O602">
        <f>IF($M602="","",DEGREES(ATAN2($K602,$L602)))</f>
        <v/>
      </c>
      <c r="P602">
        <f t="array" ref="P602">IF($N602="","",IFERROR(IF(INDEX(geo_grid!$B$2:$JU$231,INT(($N602+40)/0.5)+1,INT(($O602+30)/0.5)+1)="","",INDEX(geo_grid!$B$2:$JU$231,INT(($N602+40)/0.5)+1,INT(($O602+30)/0.5)+1)),"OUTSIDE GRID"))</f>
        <v/>
      </c>
      <c r="Q602">
        <f>IF($P602="","",$A602*1000+$B602)</f>
        <v/>
      </c>
    </row>
    <row r="603">
      <c r="A603">
        <f>INT((ROW()-2)/151)+1</f>
        <v/>
      </c>
      <c r="B603">
        <f>MOD(ROW()-2,151)</f>
        <v/>
      </c>
      <c r="C603">
        <f t="array" ref="C603">IFERROR(INDEX('TRIP MANAGER'!$O$18:$O$25,$A603),"")</f>
        <v/>
      </c>
      <c r="D603">
        <f t="array" ref="D603">IFERROR(INDEX('TRIP MANAGER'!$P$18:$P$25,$A603),"")</f>
        <v/>
      </c>
      <c r="E603">
        <f t="array" ref="E603">IFERROR(INDEX('TRIP MANAGER'!$Q$18:$Q$25,$A603),"")</f>
        <v/>
      </c>
      <c r="F603">
        <f t="array" ref="F603">IFERROR(INDEX('TRIP MANAGER'!$R$18:$R$25,$A603),"")</f>
        <v/>
      </c>
      <c r="G603">
        <f t="array" ref="G603">IFERROR(INDEX('TRIP MANAGER'!$S$18:$S$25,$A603),"")</f>
        <v/>
      </c>
      <c r="H603">
        <f>$B603/150</f>
        <v/>
      </c>
      <c r="I603">
        <f>IF(OR($G603="",$G603=0),"",SIN((1-$H603)*$G603)/SIN($G603))</f>
        <v/>
      </c>
      <c r="J603">
        <f>IF($I603="","",SIN($H603*$G603)/SIN($G603))</f>
        <v/>
      </c>
      <c r="K603">
        <f>IF($I603="","",$I603*COS(RADIANS($C603))*COS(RADIANS($D603))+$J603*COS(RADIANS($E603))*COS(RADIANS($F603)))</f>
        <v/>
      </c>
      <c r="L603">
        <f>IF($I603="","",$I603*COS(RADIANS($C603))*SIN(RADIANS($D603))+$J603*COS(RADIANS($E603))*SIN(RADIANS($F603)))</f>
        <v/>
      </c>
      <c r="M603">
        <f>IF($I603="","",$I603*SIN(RADIANS($C603))+$J603*SIN(RADIANS($E603)))</f>
        <v/>
      </c>
      <c r="N603">
        <f>IF($M603="","",DEGREES(ATAN2(SQRT($K603^2+$L603^2),$M603)))</f>
        <v/>
      </c>
      <c r="O603">
        <f>IF($M603="","",DEGREES(ATAN2($K603,$L603)))</f>
        <v/>
      </c>
      <c r="P603">
        <f t="array" ref="P603">IF($N603="","",IFERROR(IF(INDEX(geo_grid!$B$2:$JU$231,INT(($N603+40)/0.5)+1,INT(($O603+30)/0.5)+1)="","",INDEX(geo_grid!$B$2:$JU$231,INT(($N603+40)/0.5)+1,INT(($O603+30)/0.5)+1)),"OUTSIDE GRID"))</f>
        <v/>
      </c>
      <c r="Q603">
        <f>IF($P603="","",$A603*1000+$B603)</f>
        <v/>
      </c>
    </row>
    <row r="604">
      <c r="A604">
        <f>INT((ROW()-2)/151)+1</f>
        <v/>
      </c>
      <c r="B604">
        <f>MOD(ROW()-2,151)</f>
        <v/>
      </c>
      <c r="C604">
        <f t="array" ref="C604">IFERROR(INDEX('TRIP MANAGER'!$O$18:$O$25,$A604),"")</f>
        <v/>
      </c>
      <c r="D604">
        <f t="array" ref="D604">IFERROR(INDEX('TRIP MANAGER'!$P$18:$P$25,$A604),"")</f>
        <v/>
      </c>
      <c r="E604">
        <f t="array" ref="E604">IFERROR(INDEX('TRIP MANAGER'!$Q$18:$Q$25,$A604),"")</f>
        <v/>
      </c>
      <c r="F604">
        <f t="array" ref="F604">IFERROR(INDEX('TRIP MANAGER'!$R$18:$R$25,$A604),"")</f>
        <v/>
      </c>
      <c r="G604">
        <f t="array" ref="G604">IFERROR(INDEX('TRIP MANAGER'!$S$18:$S$25,$A604),"")</f>
        <v/>
      </c>
      <c r="H604">
        <f>$B604/150</f>
        <v/>
      </c>
      <c r="I604">
        <f>IF(OR($G604="",$G604=0),"",SIN((1-$H604)*$G604)/SIN($G604))</f>
        <v/>
      </c>
      <c r="J604">
        <f>IF($I604="","",SIN($H604*$G604)/SIN($G604))</f>
        <v/>
      </c>
      <c r="K604">
        <f>IF($I604="","",$I604*COS(RADIANS($C604))*COS(RADIANS($D604))+$J604*COS(RADIANS($E604))*COS(RADIANS($F604)))</f>
        <v/>
      </c>
      <c r="L604">
        <f>IF($I604="","",$I604*COS(RADIANS($C604))*SIN(RADIANS($D604))+$J604*COS(RADIANS($E604))*SIN(RADIANS($F604)))</f>
        <v/>
      </c>
      <c r="M604">
        <f>IF($I604="","",$I604*SIN(RADIANS($C604))+$J604*SIN(RADIANS($E604)))</f>
        <v/>
      </c>
      <c r="N604">
        <f>IF($M604="","",DEGREES(ATAN2(SQRT($K604^2+$L604^2),$M604)))</f>
        <v/>
      </c>
      <c r="O604">
        <f>IF($M604="","",DEGREES(ATAN2($K604,$L604)))</f>
        <v/>
      </c>
      <c r="P604">
        <f t="array" ref="P604">IF($N604="","",IFERROR(IF(INDEX(geo_grid!$B$2:$JU$231,INT(($N604+40)/0.5)+1,INT(($O604+30)/0.5)+1)="","",INDEX(geo_grid!$B$2:$JU$231,INT(($N604+40)/0.5)+1,INT(($O604+30)/0.5)+1)),"OUTSIDE GRID"))</f>
        <v/>
      </c>
      <c r="Q604">
        <f>IF($P604="","",$A604*1000+$B604)</f>
        <v/>
      </c>
    </row>
    <row r="605">
      <c r="A605">
        <f>INT((ROW()-2)/151)+1</f>
        <v/>
      </c>
      <c r="B605">
        <f>MOD(ROW()-2,151)</f>
        <v/>
      </c>
      <c r="C605">
        <f t="array" ref="C605">IFERROR(INDEX('TRIP MANAGER'!$O$18:$O$25,$A605),"")</f>
        <v/>
      </c>
      <c r="D605">
        <f t="array" ref="D605">IFERROR(INDEX('TRIP MANAGER'!$P$18:$P$25,$A605),"")</f>
        <v/>
      </c>
      <c r="E605">
        <f t="array" ref="E605">IFERROR(INDEX('TRIP MANAGER'!$Q$18:$Q$25,$A605),"")</f>
        <v/>
      </c>
      <c r="F605">
        <f t="array" ref="F605">IFERROR(INDEX('TRIP MANAGER'!$R$18:$R$25,$A605),"")</f>
        <v/>
      </c>
      <c r="G605">
        <f t="array" ref="G605">IFERROR(INDEX('TRIP MANAGER'!$S$18:$S$25,$A605),"")</f>
        <v/>
      </c>
      <c r="H605">
        <f>$B605/150</f>
        <v/>
      </c>
      <c r="I605">
        <f>IF(OR($G605="",$G605=0),"",SIN((1-$H605)*$G605)/SIN($G605))</f>
        <v/>
      </c>
      <c r="J605">
        <f>IF($I605="","",SIN($H605*$G605)/SIN($G605))</f>
        <v/>
      </c>
      <c r="K605">
        <f>IF($I605="","",$I605*COS(RADIANS($C605))*COS(RADIANS($D605))+$J605*COS(RADIANS($E605))*COS(RADIANS($F605)))</f>
        <v/>
      </c>
      <c r="L605">
        <f>IF($I605="","",$I605*COS(RADIANS($C605))*SIN(RADIANS($D605))+$J605*COS(RADIANS($E605))*SIN(RADIANS($F605)))</f>
        <v/>
      </c>
      <c r="M605">
        <f>IF($I605="","",$I605*SIN(RADIANS($C605))+$J605*SIN(RADIANS($E605)))</f>
        <v/>
      </c>
      <c r="N605">
        <f>IF($M605="","",DEGREES(ATAN2(SQRT($K605^2+$L605^2),$M605)))</f>
        <v/>
      </c>
      <c r="O605">
        <f>IF($M605="","",DEGREES(ATAN2($K605,$L605)))</f>
        <v/>
      </c>
      <c r="P605">
        <f t="array" ref="P605">IF($N605="","",IFERROR(IF(INDEX(geo_grid!$B$2:$JU$231,INT(($N605+40)/0.5)+1,INT(($O605+30)/0.5)+1)="","",INDEX(geo_grid!$B$2:$JU$231,INT(($N605+40)/0.5)+1,INT(($O605+30)/0.5)+1)),"OUTSIDE GRID"))</f>
        <v/>
      </c>
      <c r="Q605">
        <f>IF($P605="","",$A605*1000+$B605)</f>
        <v/>
      </c>
    </row>
    <row r="606">
      <c r="A606">
        <f>INT((ROW()-2)/151)+1</f>
        <v/>
      </c>
      <c r="B606">
        <f>MOD(ROW()-2,151)</f>
        <v/>
      </c>
      <c r="C606">
        <f t="array" ref="C606">IFERROR(INDEX('TRIP MANAGER'!$O$18:$O$25,$A606),"")</f>
        <v/>
      </c>
      <c r="D606">
        <f t="array" ref="D606">IFERROR(INDEX('TRIP MANAGER'!$P$18:$P$25,$A606),"")</f>
        <v/>
      </c>
      <c r="E606">
        <f t="array" ref="E606">IFERROR(INDEX('TRIP MANAGER'!$Q$18:$Q$25,$A606),"")</f>
        <v/>
      </c>
      <c r="F606">
        <f t="array" ref="F606">IFERROR(INDEX('TRIP MANAGER'!$R$18:$R$25,$A606),"")</f>
        <v/>
      </c>
      <c r="G606">
        <f t="array" ref="G606">IFERROR(INDEX('TRIP MANAGER'!$S$18:$S$25,$A606),"")</f>
        <v/>
      </c>
      <c r="H606">
        <f>$B606/150</f>
        <v/>
      </c>
      <c r="I606">
        <f>IF(OR($G606="",$G606=0),"",SIN((1-$H606)*$G606)/SIN($G606))</f>
        <v/>
      </c>
      <c r="J606">
        <f>IF($I606="","",SIN($H606*$G606)/SIN($G606))</f>
        <v/>
      </c>
      <c r="K606">
        <f>IF($I606="","",$I606*COS(RADIANS($C606))*COS(RADIANS($D606))+$J606*COS(RADIANS($E606))*COS(RADIANS($F606)))</f>
        <v/>
      </c>
      <c r="L606">
        <f>IF($I606="","",$I606*COS(RADIANS($C606))*SIN(RADIANS($D606))+$J606*COS(RADIANS($E606))*SIN(RADIANS($F606)))</f>
        <v/>
      </c>
      <c r="M606">
        <f>IF($I606="","",$I606*SIN(RADIANS($C606))+$J606*SIN(RADIANS($E606)))</f>
        <v/>
      </c>
      <c r="N606">
        <f>IF($M606="","",DEGREES(ATAN2(SQRT($K606^2+$L606^2),$M606)))</f>
        <v/>
      </c>
      <c r="O606">
        <f>IF($M606="","",DEGREES(ATAN2($K606,$L606)))</f>
        <v/>
      </c>
      <c r="P606">
        <f t="array" ref="P606">IF($N606="","",IFERROR(IF(INDEX(geo_grid!$B$2:$JU$231,INT(($N606+40)/0.5)+1,INT(($O606+30)/0.5)+1)="","",INDEX(geo_grid!$B$2:$JU$231,INT(($N606+40)/0.5)+1,INT(($O606+30)/0.5)+1)),"OUTSIDE GRID"))</f>
        <v/>
      </c>
      <c r="Q606">
        <f>IF($P606="","",$A606*1000+$B606)</f>
        <v/>
      </c>
    </row>
    <row r="607">
      <c r="A607">
        <f>INT((ROW()-2)/151)+1</f>
        <v/>
      </c>
      <c r="B607">
        <f>MOD(ROW()-2,151)</f>
        <v/>
      </c>
      <c r="C607">
        <f t="array" ref="C607">IFERROR(INDEX('TRIP MANAGER'!$O$18:$O$25,$A607),"")</f>
        <v/>
      </c>
      <c r="D607">
        <f t="array" ref="D607">IFERROR(INDEX('TRIP MANAGER'!$P$18:$P$25,$A607),"")</f>
        <v/>
      </c>
      <c r="E607">
        <f t="array" ref="E607">IFERROR(INDEX('TRIP MANAGER'!$Q$18:$Q$25,$A607),"")</f>
        <v/>
      </c>
      <c r="F607">
        <f t="array" ref="F607">IFERROR(INDEX('TRIP MANAGER'!$R$18:$R$25,$A607),"")</f>
        <v/>
      </c>
      <c r="G607">
        <f t="array" ref="G607">IFERROR(INDEX('TRIP MANAGER'!$S$18:$S$25,$A607),"")</f>
        <v/>
      </c>
      <c r="H607">
        <f>$B607/150</f>
        <v/>
      </c>
      <c r="I607">
        <f>IF(OR($G607="",$G607=0),"",SIN((1-$H607)*$G607)/SIN($G607))</f>
        <v/>
      </c>
      <c r="J607">
        <f>IF($I607="","",SIN($H607*$G607)/SIN($G607))</f>
        <v/>
      </c>
      <c r="K607">
        <f>IF($I607="","",$I607*COS(RADIANS($C607))*COS(RADIANS($D607))+$J607*COS(RADIANS($E607))*COS(RADIANS($F607)))</f>
        <v/>
      </c>
      <c r="L607">
        <f>IF($I607="","",$I607*COS(RADIANS($C607))*SIN(RADIANS($D607))+$J607*COS(RADIANS($E607))*SIN(RADIANS($F607)))</f>
        <v/>
      </c>
      <c r="M607">
        <f>IF($I607="","",$I607*SIN(RADIANS($C607))+$J607*SIN(RADIANS($E607)))</f>
        <v/>
      </c>
      <c r="N607">
        <f>IF($M607="","",DEGREES(ATAN2(SQRT($K607^2+$L607^2),$M607)))</f>
        <v/>
      </c>
      <c r="O607">
        <f>IF($M607="","",DEGREES(ATAN2($K607,$L607)))</f>
        <v/>
      </c>
      <c r="P607">
        <f t="array" ref="P607">IF($N607="","",IFERROR(IF(INDEX(geo_grid!$B$2:$JU$231,INT(($N607+40)/0.5)+1,INT(($O607+30)/0.5)+1)="","",INDEX(geo_grid!$B$2:$JU$231,INT(($N607+40)/0.5)+1,INT(($O607+30)/0.5)+1)),"OUTSIDE GRID"))</f>
        <v/>
      </c>
      <c r="Q607">
        <f>IF($P607="","",$A607*1000+$B607)</f>
        <v/>
      </c>
    </row>
    <row r="608">
      <c r="A608">
        <f>INT((ROW()-2)/151)+1</f>
        <v/>
      </c>
      <c r="B608">
        <f>MOD(ROW()-2,151)</f>
        <v/>
      </c>
      <c r="C608">
        <f t="array" ref="C608">IFERROR(INDEX('TRIP MANAGER'!$O$18:$O$25,$A608),"")</f>
        <v/>
      </c>
      <c r="D608">
        <f t="array" ref="D608">IFERROR(INDEX('TRIP MANAGER'!$P$18:$P$25,$A608),"")</f>
        <v/>
      </c>
      <c r="E608">
        <f t="array" ref="E608">IFERROR(INDEX('TRIP MANAGER'!$Q$18:$Q$25,$A608),"")</f>
        <v/>
      </c>
      <c r="F608">
        <f t="array" ref="F608">IFERROR(INDEX('TRIP MANAGER'!$R$18:$R$25,$A608),"")</f>
        <v/>
      </c>
      <c r="G608">
        <f t="array" ref="G608">IFERROR(INDEX('TRIP MANAGER'!$S$18:$S$25,$A608),"")</f>
        <v/>
      </c>
      <c r="H608">
        <f>$B608/150</f>
        <v/>
      </c>
      <c r="I608">
        <f>IF(OR($G608="",$G608=0),"",SIN((1-$H608)*$G608)/SIN($G608))</f>
        <v/>
      </c>
      <c r="J608">
        <f>IF($I608="","",SIN($H608*$G608)/SIN($G608))</f>
        <v/>
      </c>
      <c r="K608">
        <f>IF($I608="","",$I608*COS(RADIANS($C608))*COS(RADIANS($D608))+$J608*COS(RADIANS($E608))*COS(RADIANS($F608)))</f>
        <v/>
      </c>
      <c r="L608">
        <f>IF($I608="","",$I608*COS(RADIANS($C608))*SIN(RADIANS($D608))+$J608*COS(RADIANS($E608))*SIN(RADIANS($F608)))</f>
        <v/>
      </c>
      <c r="M608">
        <f>IF($I608="","",$I608*SIN(RADIANS($C608))+$J608*SIN(RADIANS($E608)))</f>
        <v/>
      </c>
      <c r="N608">
        <f>IF($M608="","",DEGREES(ATAN2(SQRT($K608^2+$L608^2),$M608)))</f>
        <v/>
      </c>
      <c r="O608">
        <f>IF($M608="","",DEGREES(ATAN2($K608,$L608)))</f>
        <v/>
      </c>
      <c r="P608">
        <f t="array" ref="P608">IF($N608="","",IFERROR(IF(INDEX(geo_grid!$B$2:$JU$231,INT(($N608+40)/0.5)+1,INT(($O608+30)/0.5)+1)="","",INDEX(geo_grid!$B$2:$JU$231,INT(($N608+40)/0.5)+1,INT(($O608+30)/0.5)+1)),"OUTSIDE GRID"))</f>
        <v/>
      </c>
      <c r="Q608">
        <f>IF($P608="","",$A608*1000+$B608)</f>
        <v/>
      </c>
    </row>
    <row r="609">
      <c r="A609">
        <f>INT((ROW()-2)/151)+1</f>
        <v/>
      </c>
      <c r="B609">
        <f>MOD(ROW()-2,151)</f>
        <v/>
      </c>
      <c r="C609">
        <f t="array" ref="C609">IFERROR(INDEX('TRIP MANAGER'!$O$18:$O$25,$A609),"")</f>
        <v/>
      </c>
      <c r="D609">
        <f t="array" ref="D609">IFERROR(INDEX('TRIP MANAGER'!$P$18:$P$25,$A609),"")</f>
        <v/>
      </c>
      <c r="E609">
        <f t="array" ref="E609">IFERROR(INDEX('TRIP MANAGER'!$Q$18:$Q$25,$A609),"")</f>
        <v/>
      </c>
      <c r="F609">
        <f t="array" ref="F609">IFERROR(INDEX('TRIP MANAGER'!$R$18:$R$25,$A609),"")</f>
        <v/>
      </c>
      <c r="G609">
        <f t="array" ref="G609">IFERROR(INDEX('TRIP MANAGER'!$S$18:$S$25,$A609),"")</f>
        <v/>
      </c>
      <c r="H609">
        <f>$B609/150</f>
        <v/>
      </c>
      <c r="I609">
        <f>IF(OR($G609="",$G609=0),"",SIN((1-$H609)*$G609)/SIN($G609))</f>
        <v/>
      </c>
      <c r="J609">
        <f>IF($I609="","",SIN($H609*$G609)/SIN($G609))</f>
        <v/>
      </c>
      <c r="K609">
        <f>IF($I609="","",$I609*COS(RADIANS($C609))*COS(RADIANS($D609))+$J609*COS(RADIANS($E609))*COS(RADIANS($F609)))</f>
        <v/>
      </c>
      <c r="L609">
        <f>IF($I609="","",$I609*COS(RADIANS($C609))*SIN(RADIANS($D609))+$J609*COS(RADIANS($E609))*SIN(RADIANS($F609)))</f>
        <v/>
      </c>
      <c r="M609">
        <f>IF($I609="","",$I609*SIN(RADIANS($C609))+$J609*SIN(RADIANS($E609)))</f>
        <v/>
      </c>
      <c r="N609">
        <f>IF($M609="","",DEGREES(ATAN2(SQRT($K609^2+$L609^2),$M609)))</f>
        <v/>
      </c>
      <c r="O609">
        <f>IF($M609="","",DEGREES(ATAN2($K609,$L609)))</f>
        <v/>
      </c>
      <c r="P609">
        <f t="array" ref="P609">IF($N609="","",IFERROR(IF(INDEX(geo_grid!$B$2:$JU$231,INT(($N609+40)/0.5)+1,INT(($O609+30)/0.5)+1)="","",INDEX(geo_grid!$B$2:$JU$231,INT(($N609+40)/0.5)+1,INT(($O609+30)/0.5)+1)),"OUTSIDE GRID"))</f>
        <v/>
      </c>
      <c r="Q609">
        <f>IF($P609="","",$A609*1000+$B609)</f>
        <v/>
      </c>
    </row>
    <row r="610">
      <c r="A610">
        <f>INT((ROW()-2)/151)+1</f>
        <v/>
      </c>
      <c r="B610">
        <f>MOD(ROW()-2,151)</f>
        <v/>
      </c>
      <c r="C610">
        <f t="array" ref="C610">IFERROR(INDEX('TRIP MANAGER'!$O$18:$O$25,$A610),"")</f>
        <v/>
      </c>
      <c r="D610">
        <f t="array" ref="D610">IFERROR(INDEX('TRIP MANAGER'!$P$18:$P$25,$A610),"")</f>
        <v/>
      </c>
      <c r="E610">
        <f t="array" ref="E610">IFERROR(INDEX('TRIP MANAGER'!$Q$18:$Q$25,$A610),"")</f>
        <v/>
      </c>
      <c r="F610">
        <f t="array" ref="F610">IFERROR(INDEX('TRIP MANAGER'!$R$18:$R$25,$A610),"")</f>
        <v/>
      </c>
      <c r="G610">
        <f t="array" ref="G610">IFERROR(INDEX('TRIP MANAGER'!$S$18:$S$25,$A610),"")</f>
        <v/>
      </c>
      <c r="H610">
        <f>$B610/150</f>
        <v/>
      </c>
      <c r="I610">
        <f>IF(OR($G610="",$G610=0),"",SIN((1-$H610)*$G610)/SIN($G610))</f>
        <v/>
      </c>
      <c r="J610">
        <f>IF($I610="","",SIN($H610*$G610)/SIN($G610))</f>
        <v/>
      </c>
      <c r="K610">
        <f>IF($I610="","",$I610*COS(RADIANS($C610))*COS(RADIANS($D610))+$J610*COS(RADIANS($E610))*COS(RADIANS($F610)))</f>
        <v/>
      </c>
      <c r="L610">
        <f>IF($I610="","",$I610*COS(RADIANS($C610))*SIN(RADIANS($D610))+$J610*COS(RADIANS($E610))*SIN(RADIANS($F610)))</f>
        <v/>
      </c>
      <c r="M610">
        <f>IF($I610="","",$I610*SIN(RADIANS($C610))+$J610*SIN(RADIANS($E610)))</f>
        <v/>
      </c>
      <c r="N610">
        <f>IF($M610="","",DEGREES(ATAN2(SQRT($K610^2+$L610^2),$M610)))</f>
        <v/>
      </c>
      <c r="O610">
        <f>IF($M610="","",DEGREES(ATAN2($K610,$L610)))</f>
        <v/>
      </c>
      <c r="P610">
        <f t="array" ref="P610">IF($N610="","",IFERROR(IF(INDEX(geo_grid!$B$2:$JU$231,INT(($N610+40)/0.5)+1,INT(($O610+30)/0.5)+1)="","",INDEX(geo_grid!$B$2:$JU$231,INT(($N610+40)/0.5)+1,INT(($O610+30)/0.5)+1)),"OUTSIDE GRID"))</f>
        <v/>
      </c>
      <c r="Q610">
        <f>IF($P610="","",$A610*1000+$B610)</f>
        <v/>
      </c>
    </row>
    <row r="611">
      <c r="A611">
        <f>INT((ROW()-2)/151)+1</f>
        <v/>
      </c>
      <c r="B611">
        <f>MOD(ROW()-2,151)</f>
        <v/>
      </c>
      <c r="C611">
        <f t="array" ref="C611">IFERROR(INDEX('TRIP MANAGER'!$O$18:$O$25,$A611),"")</f>
        <v/>
      </c>
      <c r="D611">
        <f t="array" ref="D611">IFERROR(INDEX('TRIP MANAGER'!$P$18:$P$25,$A611),"")</f>
        <v/>
      </c>
      <c r="E611">
        <f t="array" ref="E611">IFERROR(INDEX('TRIP MANAGER'!$Q$18:$Q$25,$A611),"")</f>
        <v/>
      </c>
      <c r="F611">
        <f t="array" ref="F611">IFERROR(INDEX('TRIP MANAGER'!$R$18:$R$25,$A611),"")</f>
        <v/>
      </c>
      <c r="G611">
        <f t="array" ref="G611">IFERROR(INDEX('TRIP MANAGER'!$S$18:$S$25,$A611),"")</f>
        <v/>
      </c>
      <c r="H611">
        <f>$B611/150</f>
        <v/>
      </c>
      <c r="I611">
        <f>IF(OR($G611="",$G611=0),"",SIN((1-$H611)*$G611)/SIN($G611))</f>
        <v/>
      </c>
      <c r="J611">
        <f>IF($I611="","",SIN($H611*$G611)/SIN($G611))</f>
        <v/>
      </c>
      <c r="K611">
        <f>IF($I611="","",$I611*COS(RADIANS($C611))*COS(RADIANS($D611))+$J611*COS(RADIANS($E611))*COS(RADIANS($F611)))</f>
        <v/>
      </c>
      <c r="L611">
        <f>IF($I611="","",$I611*COS(RADIANS($C611))*SIN(RADIANS($D611))+$J611*COS(RADIANS($E611))*SIN(RADIANS($F611)))</f>
        <v/>
      </c>
      <c r="M611">
        <f>IF($I611="","",$I611*SIN(RADIANS($C611))+$J611*SIN(RADIANS($E611)))</f>
        <v/>
      </c>
      <c r="N611">
        <f>IF($M611="","",DEGREES(ATAN2(SQRT($K611^2+$L611^2),$M611)))</f>
        <v/>
      </c>
      <c r="O611">
        <f>IF($M611="","",DEGREES(ATAN2($K611,$L611)))</f>
        <v/>
      </c>
      <c r="P611">
        <f t="array" ref="P611">IF($N611="","",IFERROR(IF(INDEX(geo_grid!$B$2:$JU$231,INT(($N611+40)/0.5)+1,INT(($O611+30)/0.5)+1)="","",INDEX(geo_grid!$B$2:$JU$231,INT(($N611+40)/0.5)+1,INT(($O611+30)/0.5)+1)),"OUTSIDE GRID"))</f>
        <v/>
      </c>
      <c r="Q611">
        <f>IF($P611="","",$A611*1000+$B611)</f>
        <v/>
      </c>
    </row>
    <row r="612">
      <c r="A612">
        <f>INT((ROW()-2)/151)+1</f>
        <v/>
      </c>
      <c r="B612">
        <f>MOD(ROW()-2,151)</f>
        <v/>
      </c>
      <c r="C612">
        <f t="array" ref="C612">IFERROR(INDEX('TRIP MANAGER'!$O$18:$O$25,$A612),"")</f>
        <v/>
      </c>
      <c r="D612">
        <f t="array" ref="D612">IFERROR(INDEX('TRIP MANAGER'!$P$18:$P$25,$A612),"")</f>
        <v/>
      </c>
      <c r="E612">
        <f t="array" ref="E612">IFERROR(INDEX('TRIP MANAGER'!$Q$18:$Q$25,$A612),"")</f>
        <v/>
      </c>
      <c r="F612">
        <f t="array" ref="F612">IFERROR(INDEX('TRIP MANAGER'!$R$18:$R$25,$A612),"")</f>
        <v/>
      </c>
      <c r="G612">
        <f t="array" ref="G612">IFERROR(INDEX('TRIP MANAGER'!$S$18:$S$25,$A612),"")</f>
        <v/>
      </c>
      <c r="H612">
        <f>$B612/150</f>
        <v/>
      </c>
      <c r="I612">
        <f>IF(OR($G612="",$G612=0),"",SIN((1-$H612)*$G612)/SIN($G612))</f>
        <v/>
      </c>
      <c r="J612">
        <f>IF($I612="","",SIN($H612*$G612)/SIN($G612))</f>
        <v/>
      </c>
      <c r="K612">
        <f>IF($I612="","",$I612*COS(RADIANS($C612))*COS(RADIANS($D612))+$J612*COS(RADIANS($E612))*COS(RADIANS($F612)))</f>
        <v/>
      </c>
      <c r="L612">
        <f>IF($I612="","",$I612*COS(RADIANS($C612))*SIN(RADIANS($D612))+$J612*COS(RADIANS($E612))*SIN(RADIANS($F612)))</f>
        <v/>
      </c>
      <c r="M612">
        <f>IF($I612="","",$I612*SIN(RADIANS($C612))+$J612*SIN(RADIANS($E612)))</f>
        <v/>
      </c>
      <c r="N612">
        <f>IF($M612="","",DEGREES(ATAN2(SQRT($K612^2+$L612^2),$M612)))</f>
        <v/>
      </c>
      <c r="O612">
        <f>IF($M612="","",DEGREES(ATAN2($K612,$L612)))</f>
        <v/>
      </c>
      <c r="P612">
        <f t="array" ref="P612">IF($N612="","",IFERROR(IF(INDEX(geo_grid!$B$2:$JU$231,INT(($N612+40)/0.5)+1,INT(($O612+30)/0.5)+1)="","",INDEX(geo_grid!$B$2:$JU$231,INT(($N612+40)/0.5)+1,INT(($O612+30)/0.5)+1)),"OUTSIDE GRID"))</f>
        <v/>
      </c>
      <c r="Q612">
        <f>IF($P612="","",$A612*1000+$B612)</f>
        <v/>
      </c>
    </row>
    <row r="613">
      <c r="A613">
        <f>INT((ROW()-2)/151)+1</f>
        <v/>
      </c>
      <c r="B613">
        <f>MOD(ROW()-2,151)</f>
        <v/>
      </c>
      <c r="C613">
        <f t="array" ref="C613">IFERROR(INDEX('TRIP MANAGER'!$O$18:$O$25,$A613),"")</f>
        <v/>
      </c>
      <c r="D613">
        <f t="array" ref="D613">IFERROR(INDEX('TRIP MANAGER'!$P$18:$P$25,$A613),"")</f>
        <v/>
      </c>
      <c r="E613">
        <f t="array" ref="E613">IFERROR(INDEX('TRIP MANAGER'!$Q$18:$Q$25,$A613),"")</f>
        <v/>
      </c>
      <c r="F613">
        <f t="array" ref="F613">IFERROR(INDEX('TRIP MANAGER'!$R$18:$R$25,$A613),"")</f>
        <v/>
      </c>
      <c r="G613">
        <f t="array" ref="G613">IFERROR(INDEX('TRIP MANAGER'!$S$18:$S$25,$A613),"")</f>
        <v/>
      </c>
      <c r="H613">
        <f>$B613/150</f>
        <v/>
      </c>
      <c r="I613">
        <f>IF(OR($G613="",$G613=0),"",SIN((1-$H613)*$G613)/SIN($G613))</f>
        <v/>
      </c>
      <c r="J613">
        <f>IF($I613="","",SIN($H613*$G613)/SIN($G613))</f>
        <v/>
      </c>
      <c r="K613">
        <f>IF($I613="","",$I613*COS(RADIANS($C613))*COS(RADIANS($D613))+$J613*COS(RADIANS($E613))*COS(RADIANS($F613)))</f>
        <v/>
      </c>
      <c r="L613">
        <f>IF($I613="","",$I613*COS(RADIANS($C613))*SIN(RADIANS($D613))+$J613*COS(RADIANS($E613))*SIN(RADIANS($F613)))</f>
        <v/>
      </c>
      <c r="M613">
        <f>IF($I613="","",$I613*SIN(RADIANS($C613))+$J613*SIN(RADIANS($E613)))</f>
        <v/>
      </c>
      <c r="N613">
        <f>IF($M613="","",DEGREES(ATAN2(SQRT($K613^2+$L613^2),$M613)))</f>
        <v/>
      </c>
      <c r="O613">
        <f>IF($M613="","",DEGREES(ATAN2($K613,$L613)))</f>
        <v/>
      </c>
      <c r="P613">
        <f t="array" ref="P613">IF($N613="","",IFERROR(IF(INDEX(geo_grid!$B$2:$JU$231,INT(($N613+40)/0.5)+1,INT(($O613+30)/0.5)+1)="","",INDEX(geo_grid!$B$2:$JU$231,INT(($N613+40)/0.5)+1,INT(($O613+30)/0.5)+1)),"OUTSIDE GRID"))</f>
        <v/>
      </c>
      <c r="Q613">
        <f>IF($P613="","",$A613*1000+$B613)</f>
        <v/>
      </c>
    </row>
    <row r="614">
      <c r="A614">
        <f>INT((ROW()-2)/151)+1</f>
        <v/>
      </c>
      <c r="B614">
        <f>MOD(ROW()-2,151)</f>
        <v/>
      </c>
      <c r="C614">
        <f t="array" ref="C614">IFERROR(INDEX('TRIP MANAGER'!$O$18:$O$25,$A614),"")</f>
        <v/>
      </c>
      <c r="D614">
        <f t="array" ref="D614">IFERROR(INDEX('TRIP MANAGER'!$P$18:$P$25,$A614),"")</f>
        <v/>
      </c>
      <c r="E614">
        <f t="array" ref="E614">IFERROR(INDEX('TRIP MANAGER'!$Q$18:$Q$25,$A614),"")</f>
        <v/>
      </c>
      <c r="F614">
        <f t="array" ref="F614">IFERROR(INDEX('TRIP MANAGER'!$R$18:$R$25,$A614),"")</f>
        <v/>
      </c>
      <c r="G614">
        <f t="array" ref="G614">IFERROR(INDEX('TRIP MANAGER'!$S$18:$S$25,$A614),"")</f>
        <v/>
      </c>
      <c r="H614">
        <f>$B614/150</f>
        <v/>
      </c>
      <c r="I614">
        <f>IF(OR($G614="",$G614=0),"",SIN((1-$H614)*$G614)/SIN($G614))</f>
        <v/>
      </c>
      <c r="J614">
        <f>IF($I614="","",SIN($H614*$G614)/SIN($G614))</f>
        <v/>
      </c>
      <c r="K614">
        <f>IF($I614="","",$I614*COS(RADIANS($C614))*COS(RADIANS($D614))+$J614*COS(RADIANS($E614))*COS(RADIANS($F614)))</f>
        <v/>
      </c>
      <c r="L614">
        <f>IF($I614="","",$I614*COS(RADIANS($C614))*SIN(RADIANS($D614))+$J614*COS(RADIANS($E614))*SIN(RADIANS($F614)))</f>
        <v/>
      </c>
      <c r="M614">
        <f>IF($I614="","",$I614*SIN(RADIANS($C614))+$J614*SIN(RADIANS($E614)))</f>
        <v/>
      </c>
      <c r="N614">
        <f>IF($M614="","",DEGREES(ATAN2(SQRT($K614^2+$L614^2),$M614)))</f>
        <v/>
      </c>
      <c r="O614">
        <f>IF($M614="","",DEGREES(ATAN2($K614,$L614)))</f>
        <v/>
      </c>
      <c r="P614">
        <f t="array" ref="P614">IF($N614="","",IFERROR(IF(INDEX(geo_grid!$B$2:$JU$231,INT(($N614+40)/0.5)+1,INT(($O614+30)/0.5)+1)="","",INDEX(geo_grid!$B$2:$JU$231,INT(($N614+40)/0.5)+1,INT(($O614+30)/0.5)+1)),"OUTSIDE GRID"))</f>
        <v/>
      </c>
      <c r="Q614">
        <f>IF($P614="","",$A614*1000+$B614)</f>
        <v/>
      </c>
    </row>
    <row r="615">
      <c r="A615">
        <f>INT((ROW()-2)/151)+1</f>
        <v/>
      </c>
      <c r="B615">
        <f>MOD(ROW()-2,151)</f>
        <v/>
      </c>
      <c r="C615">
        <f t="array" ref="C615">IFERROR(INDEX('TRIP MANAGER'!$O$18:$O$25,$A615),"")</f>
        <v/>
      </c>
      <c r="D615">
        <f t="array" ref="D615">IFERROR(INDEX('TRIP MANAGER'!$P$18:$P$25,$A615),"")</f>
        <v/>
      </c>
      <c r="E615">
        <f t="array" ref="E615">IFERROR(INDEX('TRIP MANAGER'!$Q$18:$Q$25,$A615),"")</f>
        <v/>
      </c>
      <c r="F615">
        <f t="array" ref="F615">IFERROR(INDEX('TRIP MANAGER'!$R$18:$R$25,$A615),"")</f>
        <v/>
      </c>
      <c r="G615">
        <f t="array" ref="G615">IFERROR(INDEX('TRIP MANAGER'!$S$18:$S$25,$A615),"")</f>
        <v/>
      </c>
      <c r="H615">
        <f>$B615/150</f>
        <v/>
      </c>
      <c r="I615">
        <f>IF(OR($G615="",$G615=0),"",SIN((1-$H615)*$G615)/SIN($G615))</f>
        <v/>
      </c>
      <c r="J615">
        <f>IF($I615="","",SIN($H615*$G615)/SIN($G615))</f>
        <v/>
      </c>
      <c r="K615">
        <f>IF($I615="","",$I615*COS(RADIANS($C615))*COS(RADIANS($D615))+$J615*COS(RADIANS($E615))*COS(RADIANS($F615)))</f>
        <v/>
      </c>
      <c r="L615">
        <f>IF($I615="","",$I615*COS(RADIANS($C615))*SIN(RADIANS($D615))+$J615*COS(RADIANS($E615))*SIN(RADIANS($F615)))</f>
        <v/>
      </c>
      <c r="M615">
        <f>IF($I615="","",$I615*SIN(RADIANS($C615))+$J615*SIN(RADIANS($E615)))</f>
        <v/>
      </c>
      <c r="N615">
        <f>IF($M615="","",DEGREES(ATAN2(SQRT($K615^2+$L615^2),$M615)))</f>
        <v/>
      </c>
      <c r="O615">
        <f>IF($M615="","",DEGREES(ATAN2($K615,$L615)))</f>
        <v/>
      </c>
      <c r="P615">
        <f t="array" ref="P615">IF($N615="","",IFERROR(IF(INDEX(geo_grid!$B$2:$JU$231,INT(($N615+40)/0.5)+1,INT(($O615+30)/0.5)+1)="","",INDEX(geo_grid!$B$2:$JU$231,INT(($N615+40)/0.5)+1,INT(($O615+30)/0.5)+1)),"OUTSIDE GRID"))</f>
        <v/>
      </c>
      <c r="Q615">
        <f>IF($P615="","",$A615*1000+$B615)</f>
        <v/>
      </c>
    </row>
    <row r="616">
      <c r="A616">
        <f>INT((ROW()-2)/151)+1</f>
        <v/>
      </c>
      <c r="B616">
        <f>MOD(ROW()-2,151)</f>
        <v/>
      </c>
      <c r="C616">
        <f t="array" ref="C616">IFERROR(INDEX('TRIP MANAGER'!$O$18:$O$25,$A616),"")</f>
        <v/>
      </c>
      <c r="D616">
        <f t="array" ref="D616">IFERROR(INDEX('TRIP MANAGER'!$P$18:$P$25,$A616),"")</f>
        <v/>
      </c>
      <c r="E616">
        <f t="array" ref="E616">IFERROR(INDEX('TRIP MANAGER'!$Q$18:$Q$25,$A616),"")</f>
        <v/>
      </c>
      <c r="F616">
        <f t="array" ref="F616">IFERROR(INDEX('TRIP MANAGER'!$R$18:$R$25,$A616),"")</f>
        <v/>
      </c>
      <c r="G616">
        <f t="array" ref="G616">IFERROR(INDEX('TRIP MANAGER'!$S$18:$S$25,$A616),"")</f>
        <v/>
      </c>
      <c r="H616">
        <f>$B616/150</f>
        <v/>
      </c>
      <c r="I616">
        <f>IF(OR($G616="",$G616=0),"",SIN((1-$H616)*$G616)/SIN($G616))</f>
        <v/>
      </c>
      <c r="J616">
        <f>IF($I616="","",SIN($H616*$G616)/SIN($G616))</f>
        <v/>
      </c>
      <c r="K616">
        <f>IF($I616="","",$I616*COS(RADIANS($C616))*COS(RADIANS($D616))+$J616*COS(RADIANS($E616))*COS(RADIANS($F616)))</f>
        <v/>
      </c>
      <c r="L616">
        <f>IF($I616="","",$I616*COS(RADIANS($C616))*SIN(RADIANS($D616))+$J616*COS(RADIANS($E616))*SIN(RADIANS($F616)))</f>
        <v/>
      </c>
      <c r="M616">
        <f>IF($I616="","",$I616*SIN(RADIANS($C616))+$J616*SIN(RADIANS($E616)))</f>
        <v/>
      </c>
      <c r="N616">
        <f>IF($M616="","",DEGREES(ATAN2(SQRT($K616^2+$L616^2),$M616)))</f>
        <v/>
      </c>
      <c r="O616">
        <f>IF($M616="","",DEGREES(ATAN2($K616,$L616)))</f>
        <v/>
      </c>
      <c r="P616">
        <f t="array" ref="P616">IF($N616="","",IFERROR(IF(INDEX(geo_grid!$B$2:$JU$231,INT(($N616+40)/0.5)+1,INT(($O616+30)/0.5)+1)="","",INDEX(geo_grid!$B$2:$JU$231,INT(($N616+40)/0.5)+1,INT(($O616+30)/0.5)+1)),"OUTSIDE GRID"))</f>
        <v/>
      </c>
      <c r="Q616">
        <f>IF($P616="","",$A616*1000+$B616)</f>
        <v/>
      </c>
    </row>
    <row r="617">
      <c r="A617">
        <f>INT((ROW()-2)/151)+1</f>
        <v/>
      </c>
      <c r="B617">
        <f>MOD(ROW()-2,151)</f>
        <v/>
      </c>
      <c r="C617">
        <f t="array" ref="C617">IFERROR(INDEX('TRIP MANAGER'!$O$18:$O$25,$A617),"")</f>
        <v/>
      </c>
      <c r="D617">
        <f t="array" ref="D617">IFERROR(INDEX('TRIP MANAGER'!$P$18:$P$25,$A617),"")</f>
        <v/>
      </c>
      <c r="E617">
        <f t="array" ref="E617">IFERROR(INDEX('TRIP MANAGER'!$Q$18:$Q$25,$A617),"")</f>
        <v/>
      </c>
      <c r="F617">
        <f t="array" ref="F617">IFERROR(INDEX('TRIP MANAGER'!$R$18:$R$25,$A617),"")</f>
        <v/>
      </c>
      <c r="G617">
        <f t="array" ref="G617">IFERROR(INDEX('TRIP MANAGER'!$S$18:$S$25,$A617),"")</f>
        <v/>
      </c>
      <c r="H617">
        <f>$B617/150</f>
        <v/>
      </c>
      <c r="I617">
        <f>IF(OR($G617="",$G617=0),"",SIN((1-$H617)*$G617)/SIN($G617))</f>
        <v/>
      </c>
      <c r="J617">
        <f>IF($I617="","",SIN($H617*$G617)/SIN($G617))</f>
        <v/>
      </c>
      <c r="K617">
        <f>IF($I617="","",$I617*COS(RADIANS($C617))*COS(RADIANS($D617))+$J617*COS(RADIANS($E617))*COS(RADIANS($F617)))</f>
        <v/>
      </c>
      <c r="L617">
        <f>IF($I617="","",$I617*COS(RADIANS($C617))*SIN(RADIANS($D617))+$J617*COS(RADIANS($E617))*SIN(RADIANS($F617)))</f>
        <v/>
      </c>
      <c r="M617">
        <f>IF($I617="","",$I617*SIN(RADIANS($C617))+$J617*SIN(RADIANS($E617)))</f>
        <v/>
      </c>
      <c r="N617">
        <f>IF($M617="","",DEGREES(ATAN2(SQRT($K617^2+$L617^2),$M617)))</f>
        <v/>
      </c>
      <c r="O617">
        <f>IF($M617="","",DEGREES(ATAN2($K617,$L617)))</f>
        <v/>
      </c>
      <c r="P617">
        <f t="array" ref="P617">IF($N617="","",IFERROR(IF(INDEX(geo_grid!$B$2:$JU$231,INT(($N617+40)/0.5)+1,INT(($O617+30)/0.5)+1)="","",INDEX(geo_grid!$B$2:$JU$231,INT(($N617+40)/0.5)+1,INT(($O617+30)/0.5)+1)),"OUTSIDE GRID"))</f>
        <v/>
      </c>
      <c r="Q617">
        <f>IF($P617="","",$A617*1000+$B617)</f>
        <v/>
      </c>
    </row>
    <row r="618">
      <c r="A618">
        <f>INT((ROW()-2)/151)+1</f>
        <v/>
      </c>
      <c r="B618">
        <f>MOD(ROW()-2,151)</f>
        <v/>
      </c>
      <c r="C618">
        <f t="array" ref="C618">IFERROR(INDEX('TRIP MANAGER'!$O$18:$O$25,$A618),"")</f>
        <v/>
      </c>
      <c r="D618">
        <f t="array" ref="D618">IFERROR(INDEX('TRIP MANAGER'!$P$18:$P$25,$A618),"")</f>
        <v/>
      </c>
      <c r="E618">
        <f t="array" ref="E618">IFERROR(INDEX('TRIP MANAGER'!$Q$18:$Q$25,$A618),"")</f>
        <v/>
      </c>
      <c r="F618">
        <f t="array" ref="F618">IFERROR(INDEX('TRIP MANAGER'!$R$18:$R$25,$A618),"")</f>
        <v/>
      </c>
      <c r="G618">
        <f t="array" ref="G618">IFERROR(INDEX('TRIP MANAGER'!$S$18:$S$25,$A618),"")</f>
        <v/>
      </c>
      <c r="H618">
        <f>$B618/150</f>
        <v/>
      </c>
      <c r="I618">
        <f>IF(OR($G618="",$G618=0),"",SIN((1-$H618)*$G618)/SIN($G618))</f>
        <v/>
      </c>
      <c r="J618">
        <f>IF($I618="","",SIN($H618*$G618)/SIN($G618))</f>
        <v/>
      </c>
      <c r="K618">
        <f>IF($I618="","",$I618*COS(RADIANS($C618))*COS(RADIANS($D618))+$J618*COS(RADIANS($E618))*COS(RADIANS($F618)))</f>
        <v/>
      </c>
      <c r="L618">
        <f>IF($I618="","",$I618*COS(RADIANS($C618))*SIN(RADIANS($D618))+$J618*COS(RADIANS($E618))*SIN(RADIANS($F618)))</f>
        <v/>
      </c>
      <c r="M618">
        <f>IF($I618="","",$I618*SIN(RADIANS($C618))+$J618*SIN(RADIANS($E618)))</f>
        <v/>
      </c>
      <c r="N618">
        <f>IF($M618="","",DEGREES(ATAN2(SQRT($K618^2+$L618^2),$M618)))</f>
        <v/>
      </c>
      <c r="O618">
        <f>IF($M618="","",DEGREES(ATAN2($K618,$L618)))</f>
        <v/>
      </c>
      <c r="P618">
        <f t="array" ref="P618">IF($N618="","",IFERROR(IF(INDEX(geo_grid!$B$2:$JU$231,INT(($N618+40)/0.5)+1,INT(($O618+30)/0.5)+1)="","",INDEX(geo_grid!$B$2:$JU$231,INT(($N618+40)/0.5)+1,INT(($O618+30)/0.5)+1)),"OUTSIDE GRID"))</f>
        <v/>
      </c>
      <c r="Q618">
        <f>IF($P618="","",$A618*1000+$B618)</f>
        <v/>
      </c>
    </row>
    <row r="619">
      <c r="A619">
        <f>INT((ROW()-2)/151)+1</f>
        <v/>
      </c>
      <c r="B619">
        <f>MOD(ROW()-2,151)</f>
        <v/>
      </c>
      <c r="C619">
        <f t="array" ref="C619">IFERROR(INDEX('TRIP MANAGER'!$O$18:$O$25,$A619),"")</f>
        <v/>
      </c>
      <c r="D619">
        <f t="array" ref="D619">IFERROR(INDEX('TRIP MANAGER'!$P$18:$P$25,$A619),"")</f>
        <v/>
      </c>
      <c r="E619">
        <f t="array" ref="E619">IFERROR(INDEX('TRIP MANAGER'!$Q$18:$Q$25,$A619),"")</f>
        <v/>
      </c>
      <c r="F619">
        <f t="array" ref="F619">IFERROR(INDEX('TRIP MANAGER'!$R$18:$R$25,$A619),"")</f>
        <v/>
      </c>
      <c r="G619">
        <f t="array" ref="G619">IFERROR(INDEX('TRIP MANAGER'!$S$18:$S$25,$A619),"")</f>
        <v/>
      </c>
      <c r="H619">
        <f>$B619/150</f>
        <v/>
      </c>
      <c r="I619">
        <f>IF(OR($G619="",$G619=0),"",SIN((1-$H619)*$G619)/SIN($G619))</f>
        <v/>
      </c>
      <c r="J619">
        <f>IF($I619="","",SIN($H619*$G619)/SIN($G619))</f>
        <v/>
      </c>
      <c r="K619">
        <f>IF($I619="","",$I619*COS(RADIANS($C619))*COS(RADIANS($D619))+$J619*COS(RADIANS($E619))*COS(RADIANS($F619)))</f>
        <v/>
      </c>
      <c r="L619">
        <f>IF($I619="","",$I619*COS(RADIANS($C619))*SIN(RADIANS($D619))+$J619*COS(RADIANS($E619))*SIN(RADIANS($F619)))</f>
        <v/>
      </c>
      <c r="M619">
        <f>IF($I619="","",$I619*SIN(RADIANS($C619))+$J619*SIN(RADIANS($E619)))</f>
        <v/>
      </c>
      <c r="N619">
        <f>IF($M619="","",DEGREES(ATAN2(SQRT($K619^2+$L619^2),$M619)))</f>
        <v/>
      </c>
      <c r="O619">
        <f>IF($M619="","",DEGREES(ATAN2($K619,$L619)))</f>
        <v/>
      </c>
      <c r="P619">
        <f t="array" ref="P619">IF($N619="","",IFERROR(IF(INDEX(geo_grid!$B$2:$JU$231,INT(($N619+40)/0.5)+1,INT(($O619+30)/0.5)+1)="","",INDEX(geo_grid!$B$2:$JU$231,INT(($N619+40)/0.5)+1,INT(($O619+30)/0.5)+1)),"OUTSIDE GRID"))</f>
        <v/>
      </c>
      <c r="Q619">
        <f>IF($P619="","",$A619*1000+$B619)</f>
        <v/>
      </c>
    </row>
    <row r="620">
      <c r="A620">
        <f>INT((ROW()-2)/151)+1</f>
        <v/>
      </c>
      <c r="B620">
        <f>MOD(ROW()-2,151)</f>
        <v/>
      </c>
      <c r="C620">
        <f t="array" ref="C620">IFERROR(INDEX('TRIP MANAGER'!$O$18:$O$25,$A620),"")</f>
        <v/>
      </c>
      <c r="D620">
        <f t="array" ref="D620">IFERROR(INDEX('TRIP MANAGER'!$P$18:$P$25,$A620),"")</f>
        <v/>
      </c>
      <c r="E620">
        <f t="array" ref="E620">IFERROR(INDEX('TRIP MANAGER'!$Q$18:$Q$25,$A620),"")</f>
        <v/>
      </c>
      <c r="F620">
        <f t="array" ref="F620">IFERROR(INDEX('TRIP MANAGER'!$R$18:$R$25,$A620),"")</f>
        <v/>
      </c>
      <c r="G620">
        <f t="array" ref="G620">IFERROR(INDEX('TRIP MANAGER'!$S$18:$S$25,$A620),"")</f>
        <v/>
      </c>
      <c r="H620">
        <f>$B620/150</f>
        <v/>
      </c>
      <c r="I620">
        <f>IF(OR($G620="",$G620=0),"",SIN((1-$H620)*$G620)/SIN($G620))</f>
        <v/>
      </c>
      <c r="J620">
        <f>IF($I620="","",SIN($H620*$G620)/SIN($G620))</f>
        <v/>
      </c>
      <c r="K620">
        <f>IF($I620="","",$I620*COS(RADIANS($C620))*COS(RADIANS($D620))+$J620*COS(RADIANS($E620))*COS(RADIANS($F620)))</f>
        <v/>
      </c>
      <c r="L620">
        <f>IF($I620="","",$I620*COS(RADIANS($C620))*SIN(RADIANS($D620))+$J620*COS(RADIANS($E620))*SIN(RADIANS($F620)))</f>
        <v/>
      </c>
      <c r="M620">
        <f>IF($I620="","",$I620*SIN(RADIANS($C620))+$J620*SIN(RADIANS($E620)))</f>
        <v/>
      </c>
      <c r="N620">
        <f>IF($M620="","",DEGREES(ATAN2(SQRT($K620^2+$L620^2),$M620)))</f>
        <v/>
      </c>
      <c r="O620">
        <f>IF($M620="","",DEGREES(ATAN2($K620,$L620)))</f>
        <v/>
      </c>
      <c r="P620">
        <f t="array" ref="P620">IF($N620="","",IFERROR(IF(INDEX(geo_grid!$B$2:$JU$231,INT(($N620+40)/0.5)+1,INT(($O620+30)/0.5)+1)="","",INDEX(geo_grid!$B$2:$JU$231,INT(($N620+40)/0.5)+1,INT(($O620+30)/0.5)+1)),"OUTSIDE GRID"))</f>
        <v/>
      </c>
      <c r="Q620">
        <f>IF($P620="","",$A620*1000+$B620)</f>
        <v/>
      </c>
    </row>
    <row r="621">
      <c r="A621">
        <f>INT((ROW()-2)/151)+1</f>
        <v/>
      </c>
      <c r="B621">
        <f>MOD(ROW()-2,151)</f>
        <v/>
      </c>
      <c r="C621">
        <f t="array" ref="C621">IFERROR(INDEX('TRIP MANAGER'!$O$18:$O$25,$A621),"")</f>
        <v/>
      </c>
      <c r="D621">
        <f t="array" ref="D621">IFERROR(INDEX('TRIP MANAGER'!$P$18:$P$25,$A621),"")</f>
        <v/>
      </c>
      <c r="E621">
        <f t="array" ref="E621">IFERROR(INDEX('TRIP MANAGER'!$Q$18:$Q$25,$A621),"")</f>
        <v/>
      </c>
      <c r="F621">
        <f t="array" ref="F621">IFERROR(INDEX('TRIP MANAGER'!$R$18:$R$25,$A621),"")</f>
        <v/>
      </c>
      <c r="G621">
        <f t="array" ref="G621">IFERROR(INDEX('TRIP MANAGER'!$S$18:$S$25,$A621),"")</f>
        <v/>
      </c>
      <c r="H621">
        <f>$B621/150</f>
        <v/>
      </c>
      <c r="I621">
        <f>IF(OR($G621="",$G621=0),"",SIN((1-$H621)*$G621)/SIN($G621))</f>
        <v/>
      </c>
      <c r="J621">
        <f>IF($I621="","",SIN($H621*$G621)/SIN($G621))</f>
        <v/>
      </c>
      <c r="K621">
        <f>IF($I621="","",$I621*COS(RADIANS($C621))*COS(RADIANS($D621))+$J621*COS(RADIANS($E621))*COS(RADIANS($F621)))</f>
        <v/>
      </c>
      <c r="L621">
        <f>IF($I621="","",$I621*COS(RADIANS($C621))*SIN(RADIANS($D621))+$J621*COS(RADIANS($E621))*SIN(RADIANS($F621)))</f>
        <v/>
      </c>
      <c r="M621">
        <f>IF($I621="","",$I621*SIN(RADIANS($C621))+$J621*SIN(RADIANS($E621)))</f>
        <v/>
      </c>
      <c r="N621">
        <f>IF($M621="","",DEGREES(ATAN2(SQRT($K621^2+$L621^2),$M621)))</f>
        <v/>
      </c>
      <c r="O621">
        <f>IF($M621="","",DEGREES(ATAN2($K621,$L621)))</f>
        <v/>
      </c>
      <c r="P621">
        <f t="array" ref="P621">IF($N621="","",IFERROR(IF(INDEX(geo_grid!$B$2:$JU$231,INT(($N621+40)/0.5)+1,INT(($O621+30)/0.5)+1)="","",INDEX(geo_grid!$B$2:$JU$231,INT(($N621+40)/0.5)+1,INT(($O621+30)/0.5)+1)),"OUTSIDE GRID"))</f>
        <v/>
      </c>
      <c r="Q621">
        <f>IF($P621="","",$A621*1000+$B621)</f>
        <v/>
      </c>
    </row>
    <row r="622">
      <c r="A622">
        <f>INT((ROW()-2)/151)+1</f>
        <v/>
      </c>
      <c r="B622">
        <f>MOD(ROW()-2,151)</f>
        <v/>
      </c>
      <c r="C622">
        <f t="array" ref="C622">IFERROR(INDEX('TRIP MANAGER'!$O$18:$O$25,$A622),"")</f>
        <v/>
      </c>
      <c r="D622">
        <f t="array" ref="D622">IFERROR(INDEX('TRIP MANAGER'!$P$18:$P$25,$A622),"")</f>
        <v/>
      </c>
      <c r="E622">
        <f t="array" ref="E622">IFERROR(INDEX('TRIP MANAGER'!$Q$18:$Q$25,$A622),"")</f>
        <v/>
      </c>
      <c r="F622">
        <f t="array" ref="F622">IFERROR(INDEX('TRIP MANAGER'!$R$18:$R$25,$A622),"")</f>
        <v/>
      </c>
      <c r="G622">
        <f t="array" ref="G622">IFERROR(INDEX('TRIP MANAGER'!$S$18:$S$25,$A622),"")</f>
        <v/>
      </c>
      <c r="H622">
        <f>$B622/150</f>
        <v/>
      </c>
      <c r="I622">
        <f>IF(OR($G622="",$G622=0),"",SIN((1-$H622)*$G622)/SIN($G622))</f>
        <v/>
      </c>
      <c r="J622">
        <f>IF($I622="","",SIN($H622*$G622)/SIN($G622))</f>
        <v/>
      </c>
      <c r="K622">
        <f>IF($I622="","",$I622*COS(RADIANS($C622))*COS(RADIANS($D622))+$J622*COS(RADIANS($E622))*COS(RADIANS($F622)))</f>
        <v/>
      </c>
      <c r="L622">
        <f>IF($I622="","",$I622*COS(RADIANS($C622))*SIN(RADIANS($D622))+$J622*COS(RADIANS($E622))*SIN(RADIANS($F622)))</f>
        <v/>
      </c>
      <c r="M622">
        <f>IF($I622="","",$I622*SIN(RADIANS($C622))+$J622*SIN(RADIANS($E622)))</f>
        <v/>
      </c>
      <c r="N622">
        <f>IF($M622="","",DEGREES(ATAN2(SQRT($K622^2+$L622^2),$M622)))</f>
        <v/>
      </c>
      <c r="O622">
        <f>IF($M622="","",DEGREES(ATAN2($K622,$L622)))</f>
        <v/>
      </c>
      <c r="P622">
        <f t="array" ref="P622">IF($N622="","",IFERROR(IF(INDEX(geo_grid!$B$2:$JU$231,INT(($N622+40)/0.5)+1,INT(($O622+30)/0.5)+1)="","",INDEX(geo_grid!$B$2:$JU$231,INT(($N622+40)/0.5)+1,INT(($O622+30)/0.5)+1)),"OUTSIDE GRID"))</f>
        <v/>
      </c>
      <c r="Q622">
        <f>IF($P622="","",$A622*1000+$B622)</f>
        <v/>
      </c>
    </row>
    <row r="623">
      <c r="A623">
        <f>INT((ROW()-2)/151)+1</f>
        <v/>
      </c>
      <c r="B623">
        <f>MOD(ROW()-2,151)</f>
        <v/>
      </c>
      <c r="C623">
        <f t="array" ref="C623">IFERROR(INDEX('TRIP MANAGER'!$O$18:$O$25,$A623),"")</f>
        <v/>
      </c>
      <c r="D623">
        <f t="array" ref="D623">IFERROR(INDEX('TRIP MANAGER'!$P$18:$P$25,$A623),"")</f>
        <v/>
      </c>
      <c r="E623">
        <f t="array" ref="E623">IFERROR(INDEX('TRIP MANAGER'!$Q$18:$Q$25,$A623),"")</f>
        <v/>
      </c>
      <c r="F623">
        <f t="array" ref="F623">IFERROR(INDEX('TRIP MANAGER'!$R$18:$R$25,$A623),"")</f>
        <v/>
      </c>
      <c r="G623">
        <f t="array" ref="G623">IFERROR(INDEX('TRIP MANAGER'!$S$18:$S$25,$A623),"")</f>
        <v/>
      </c>
      <c r="H623">
        <f>$B623/150</f>
        <v/>
      </c>
      <c r="I623">
        <f>IF(OR($G623="",$G623=0),"",SIN((1-$H623)*$G623)/SIN($G623))</f>
        <v/>
      </c>
      <c r="J623">
        <f>IF($I623="","",SIN($H623*$G623)/SIN($G623))</f>
        <v/>
      </c>
      <c r="K623">
        <f>IF($I623="","",$I623*COS(RADIANS($C623))*COS(RADIANS($D623))+$J623*COS(RADIANS($E623))*COS(RADIANS($F623)))</f>
        <v/>
      </c>
      <c r="L623">
        <f>IF($I623="","",$I623*COS(RADIANS($C623))*SIN(RADIANS($D623))+$J623*COS(RADIANS($E623))*SIN(RADIANS($F623)))</f>
        <v/>
      </c>
      <c r="M623">
        <f>IF($I623="","",$I623*SIN(RADIANS($C623))+$J623*SIN(RADIANS($E623)))</f>
        <v/>
      </c>
      <c r="N623">
        <f>IF($M623="","",DEGREES(ATAN2(SQRT($K623^2+$L623^2),$M623)))</f>
        <v/>
      </c>
      <c r="O623">
        <f>IF($M623="","",DEGREES(ATAN2($K623,$L623)))</f>
        <v/>
      </c>
      <c r="P623">
        <f t="array" ref="P623">IF($N623="","",IFERROR(IF(INDEX(geo_grid!$B$2:$JU$231,INT(($N623+40)/0.5)+1,INT(($O623+30)/0.5)+1)="","",INDEX(geo_grid!$B$2:$JU$231,INT(($N623+40)/0.5)+1,INT(($O623+30)/0.5)+1)),"OUTSIDE GRID"))</f>
        <v/>
      </c>
      <c r="Q623">
        <f>IF($P623="","",$A623*1000+$B623)</f>
        <v/>
      </c>
    </row>
    <row r="624">
      <c r="A624">
        <f>INT((ROW()-2)/151)+1</f>
        <v/>
      </c>
      <c r="B624">
        <f>MOD(ROW()-2,151)</f>
        <v/>
      </c>
      <c r="C624">
        <f t="array" ref="C624">IFERROR(INDEX('TRIP MANAGER'!$O$18:$O$25,$A624),"")</f>
        <v/>
      </c>
      <c r="D624">
        <f t="array" ref="D624">IFERROR(INDEX('TRIP MANAGER'!$P$18:$P$25,$A624),"")</f>
        <v/>
      </c>
      <c r="E624">
        <f t="array" ref="E624">IFERROR(INDEX('TRIP MANAGER'!$Q$18:$Q$25,$A624),"")</f>
        <v/>
      </c>
      <c r="F624">
        <f t="array" ref="F624">IFERROR(INDEX('TRIP MANAGER'!$R$18:$R$25,$A624),"")</f>
        <v/>
      </c>
      <c r="G624">
        <f t="array" ref="G624">IFERROR(INDEX('TRIP MANAGER'!$S$18:$S$25,$A624),"")</f>
        <v/>
      </c>
      <c r="H624">
        <f>$B624/150</f>
        <v/>
      </c>
      <c r="I624">
        <f>IF(OR($G624="",$G624=0),"",SIN((1-$H624)*$G624)/SIN($G624))</f>
        <v/>
      </c>
      <c r="J624">
        <f>IF($I624="","",SIN($H624*$G624)/SIN($G624))</f>
        <v/>
      </c>
      <c r="K624">
        <f>IF($I624="","",$I624*COS(RADIANS($C624))*COS(RADIANS($D624))+$J624*COS(RADIANS($E624))*COS(RADIANS($F624)))</f>
        <v/>
      </c>
      <c r="L624">
        <f>IF($I624="","",$I624*COS(RADIANS($C624))*SIN(RADIANS($D624))+$J624*COS(RADIANS($E624))*SIN(RADIANS($F624)))</f>
        <v/>
      </c>
      <c r="M624">
        <f>IF($I624="","",$I624*SIN(RADIANS($C624))+$J624*SIN(RADIANS($E624)))</f>
        <v/>
      </c>
      <c r="N624">
        <f>IF($M624="","",DEGREES(ATAN2(SQRT($K624^2+$L624^2),$M624)))</f>
        <v/>
      </c>
      <c r="O624">
        <f>IF($M624="","",DEGREES(ATAN2($K624,$L624)))</f>
        <v/>
      </c>
      <c r="P624">
        <f t="array" ref="P624">IF($N624="","",IFERROR(IF(INDEX(geo_grid!$B$2:$JU$231,INT(($N624+40)/0.5)+1,INT(($O624+30)/0.5)+1)="","",INDEX(geo_grid!$B$2:$JU$231,INT(($N624+40)/0.5)+1,INT(($O624+30)/0.5)+1)),"OUTSIDE GRID"))</f>
        <v/>
      </c>
      <c r="Q624">
        <f>IF($P624="","",$A624*1000+$B624)</f>
        <v/>
      </c>
    </row>
    <row r="625">
      <c r="A625">
        <f>INT((ROW()-2)/151)+1</f>
        <v/>
      </c>
      <c r="B625">
        <f>MOD(ROW()-2,151)</f>
        <v/>
      </c>
      <c r="C625">
        <f t="array" ref="C625">IFERROR(INDEX('TRIP MANAGER'!$O$18:$O$25,$A625),"")</f>
        <v/>
      </c>
      <c r="D625">
        <f t="array" ref="D625">IFERROR(INDEX('TRIP MANAGER'!$P$18:$P$25,$A625),"")</f>
        <v/>
      </c>
      <c r="E625">
        <f t="array" ref="E625">IFERROR(INDEX('TRIP MANAGER'!$Q$18:$Q$25,$A625),"")</f>
        <v/>
      </c>
      <c r="F625">
        <f t="array" ref="F625">IFERROR(INDEX('TRIP MANAGER'!$R$18:$R$25,$A625),"")</f>
        <v/>
      </c>
      <c r="G625">
        <f t="array" ref="G625">IFERROR(INDEX('TRIP MANAGER'!$S$18:$S$25,$A625),"")</f>
        <v/>
      </c>
      <c r="H625">
        <f>$B625/150</f>
        <v/>
      </c>
      <c r="I625">
        <f>IF(OR($G625="",$G625=0),"",SIN((1-$H625)*$G625)/SIN($G625))</f>
        <v/>
      </c>
      <c r="J625">
        <f>IF($I625="","",SIN($H625*$G625)/SIN($G625))</f>
        <v/>
      </c>
      <c r="K625">
        <f>IF($I625="","",$I625*COS(RADIANS($C625))*COS(RADIANS($D625))+$J625*COS(RADIANS($E625))*COS(RADIANS($F625)))</f>
        <v/>
      </c>
      <c r="L625">
        <f>IF($I625="","",$I625*COS(RADIANS($C625))*SIN(RADIANS($D625))+$J625*COS(RADIANS($E625))*SIN(RADIANS($F625)))</f>
        <v/>
      </c>
      <c r="M625">
        <f>IF($I625="","",$I625*SIN(RADIANS($C625))+$J625*SIN(RADIANS($E625)))</f>
        <v/>
      </c>
      <c r="N625">
        <f>IF($M625="","",DEGREES(ATAN2(SQRT($K625^2+$L625^2),$M625)))</f>
        <v/>
      </c>
      <c r="O625">
        <f>IF($M625="","",DEGREES(ATAN2($K625,$L625)))</f>
        <v/>
      </c>
      <c r="P625">
        <f t="array" ref="P625">IF($N625="","",IFERROR(IF(INDEX(geo_grid!$B$2:$JU$231,INT(($N625+40)/0.5)+1,INT(($O625+30)/0.5)+1)="","",INDEX(geo_grid!$B$2:$JU$231,INT(($N625+40)/0.5)+1,INT(($O625+30)/0.5)+1)),"OUTSIDE GRID"))</f>
        <v/>
      </c>
      <c r="Q625">
        <f>IF($P625="","",$A625*1000+$B625)</f>
        <v/>
      </c>
    </row>
    <row r="626">
      <c r="A626">
        <f>INT((ROW()-2)/151)+1</f>
        <v/>
      </c>
      <c r="B626">
        <f>MOD(ROW()-2,151)</f>
        <v/>
      </c>
      <c r="C626">
        <f t="array" ref="C626">IFERROR(INDEX('TRIP MANAGER'!$O$18:$O$25,$A626),"")</f>
        <v/>
      </c>
      <c r="D626">
        <f t="array" ref="D626">IFERROR(INDEX('TRIP MANAGER'!$P$18:$P$25,$A626),"")</f>
        <v/>
      </c>
      <c r="E626">
        <f t="array" ref="E626">IFERROR(INDEX('TRIP MANAGER'!$Q$18:$Q$25,$A626),"")</f>
        <v/>
      </c>
      <c r="F626">
        <f t="array" ref="F626">IFERROR(INDEX('TRIP MANAGER'!$R$18:$R$25,$A626),"")</f>
        <v/>
      </c>
      <c r="G626">
        <f t="array" ref="G626">IFERROR(INDEX('TRIP MANAGER'!$S$18:$S$25,$A626),"")</f>
        <v/>
      </c>
      <c r="H626">
        <f>$B626/150</f>
        <v/>
      </c>
      <c r="I626">
        <f>IF(OR($G626="",$G626=0),"",SIN((1-$H626)*$G626)/SIN($G626))</f>
        <v/>
      </c>
      <c r="J626">
        <f>IF($I626="","",SIN($H626*$G626)/SIN($G626))</f>
        <v/>
      </c>
      <c r="K626">
        <f>IF($I626="","",$I626*COS(RADIANS($C626))*COS(RADIANS($D626))+$J626*COS(RADIANS($E626))*COS(RADIANS($F626)))</f>
        <v/>
      </c>
      <c r="L626">
        <f>IF($I626="","",$I626*COS(RADIANS($C626))*SIN(RADIANS($D626))+$J626*COS(RADIANS($E626))*SIN(RADIANS($F626)))</f>
        <v/>
      </c>
      <c r="M626">
        <f>IF($I626="","",$I626*SIN(RADIANS($C626))+$J626*SIN(RADIANS($E626)))</f>
        <v/>
      </c>
      <c r="N626">
        <f>IF($M626="","",DEGREES(ATAN2(SQRT($K626^2+$L626^2),$M626)))</f>
        <v/>
      </c>
      <c r="O626">
        <f>IF($M626="","",DEGREES(ATAN2($K626,$L626)))</f>
        <v/>
      </c>
      <c r="P626">
        <f t="array" ref="P626">IF($N626="","",IFERROR(IF(INDEX(geo_grid!$B$2:$JU$231,INT(($N626+40)/0.5)+1,INT(($O626+30)/0.5)+1)="","",INDEX(geo_grid!$B$2:$JU$231,INT(($N626+40)/0.5)+1,INT(($O626+30)/0.5)+1)),"OUTSIDE GRID"))</f>
        <v/>
      </c>
      <c r="Q626">
        <f>IF($P626="","",$A626*1000+$B626)</f>
        <v/>
      </c>
    </row>
    <row r="627">
      <c r="A627">
        <f>INT((ROW()-2)/151)+1</f>
        <v/>
      </c>
      <c r="B627">
        <f>MOD(ROW()-2,151)</f>
        <v/>
      </c>
      <c r="C627">
        <f t="array" ref="C627">IFERROR(INDEX('TRIP MANAGER'!$O$18:$O$25,$A627),"")</f>
        <v/>
      </c>
      <c r="D627">
        <f t="array" ref="D627">IFERROR(INDEX('TRIP MANAGER'!$P$18:$P$25,$A627),"")</f>
        <v/>
      </c>
      <c r="E627">
        <f t="array" ref="E627">IFERROR(INDEX('TRIP MANAGER'!$Q$18:$Q$25,$A627),"")</f>
        <v/>
      </c>
      <c r="F627">
        <f t="array" ref="F627">IFERROR(INDEX('TRIP MANAGER'!$R$18:$R$25,$A627),"")</f>
        <v/>
      </c>
      <c r="G627">
        <f t="array" ref="G627">IFERROR(INDEX('TRIP MANAGER'!$S$18:$S$25,$A627),"")</f>
        <v/>
      </c>
      <c r="H627">
        <f>$B627/150</f>
        <v/>
      </c>
      <c r="I627">
        <f>IF(OR($G627="",$G627=0),"",SIN((1-$H627)*$G627)/SIN($G627))</f>
        <v/>
      </c>
      <c r="J627">
        <f>IF($I627="","",SIN($H627*$G627)/SIN($G627))</f>
        <v/>
      </c>
      <c r="K627">
        <f>IF($I627="","",$I627*COS(RADIANS($C627))*COS(RADIANS($D627))+$J627*COS(RADIANS($E627))*COS(RADIANS($F627)))</f>
        <v/>
      </c>
      <c r="L627">
        <f>IF($I627="","",$I627*COS(RADIANS($C627))*SIN(RADIANS($D627))+$J627*COS(RADIANS($E627))*SIN(RADIANS($F627)))</f>
        <v/>
      </c>
      <c r="M627">
        <f>IF($I627="","",$I627*SIN(RADIANS($C627))+$J627*SIN(RADIANS($E627)))</f>
        <v/>
      </c>
      <c r="N627">
        <f>IF($M627="","",DEGREES(ATAN2(SQRT($K627^2+$L627^2),$M627)))</f>
        <v/>
      </c>
      <c r="O627">
        <f>IF($M627="","",DEGREES(ATAN2($K627,$L627)))</f>
        <v/>
      </c>
      <c r="P627">
        <f t="array" ref="P627">IF($N627="","",IFERROR(IF(INDEX(geo_grid!$B$2:$JU$231,INT(($N627+40)/0.5)+1,INT(($O627+30)/0.5)+1)="","",INDEX(geo_grid!$B$2:$JU$231,INT(($N627+40)/0.5)+1,INT(($O627+30)/0.5)+1)),"OUTSIDE GRID"))</f>
        <v/>
      </c>
      <c r="Q627">
        <f>IF($P627="","",$A627*1000+$B627)</f>
        <v/>
      </c>
    </row>
    <row r="628">
      <c r="A628">
        <f>INT((ROW()-2)/151)+1</f>
        <v/>
      </c>
      <c r="B628">
        <f>MOD(ROW()-2,151)</f>
        <v/>
      </c>
      <c r="C628">
        <f t="array" ref="C628">IFERROR(INDEX('TRIP MANAGER'!$O$18:$O$25,$A628),"")</f>
        <v/>
      </c>
      <c r="D628">
        <f t="array" ref="D628">IFERROR(INDEX('TRIP MANAGER'!$P$18:$P$25,$A628),"")</f>
        <v/>
      </c>
      <c r="E628">
        <f t="array" ref="E628">IFERROR(INDEX('TRIP MANAGER'!$Q$18:$Q$25,$A628),"")</f>
        <v/>
      </c>
      <c r="F628">
        <f t="array" ref="F628">IFERROR(INDEX('TRIP MANAGER'!$R$18:$R$25,$A628),"")</f>
        <v/>
      </c>
      <c r="G628">
        <f t="array" ref="G628">IFERROR(INDEX('TRIP MANAGER'!$S$18:$S$25,$A628),"")</f>
        <v/>
      </c>
      <c r="H628">
        <f>$B628/150</f>
        <v/>
      </c>
      <c r="I628">
        <f>IF(OR($G628="",$G628=0),"",SIN((1-$H628)*$G628)/SIN($G628))</f>
        <v/>
      </c>
      <c r="J628">
        <f>IF($I628="","",SIN($H628*$G628)/SIN($G628))</f>
        <v/>
      </c>
      <c r="K628">
        <f>IF($I628="","",$I628*COS(RADIANS($C628))*COS(RADIANS($D628))+$J628*COS(RADIANS($E628))*COS(RADIANS($F628)))</f>
        <v/>
      </c>
      <c r="L628">
        <f>IF($I628="","",$I628*COS(RADIANS($C628))*SIN(RADIANS($D628))+$J628*COS(RADIANS($E628))*SIN(RADIANS($F628)))</f>
        <v/>
      </c>
      <c r="M628">
        <f>IF($I628="","",$I628*SIN(RADIANS($C628))+$J628*SIN(RADIANS($E628)))</f>
        <v/>
      </c>
      <c r="N628">
        <f>IF($M628="","",DEGREES(ATAN2(SQRT($K628^2+$L628^2),$M628)))</f>
        <v/>
      </c>
      <c r="O628">
        <f>IF($M628="","",DEGREES(ATAN2($K628,$L628)))</f>
        <v/>
      </c>
      <c r="P628">
        <f t="array" ref="P628">IF($N628="","",IFERROR(IF(INDEX(geo_grid!$B$2:$JU$231,INT(($N628+40)/0.5)+1,INT(($O628+30)/0.5)+1)="","",INDEX(geo_grid!$B$2:$JU$231,INT(($N628+40)/0.5)+1,INT(($O628+30)/0.5)+1)),"OUTSIDE GRID"))</f>
        <v/>
      </c>
      <c r="Q628">
        <f>IF($P628="","",$A628*1000+$B628)</f>
        <v/>
      </c>
    </row>
    <row r="629">
      <c r="A629">
        <f>INT((ROW()-2)/151)+1</f>
        <v/>
      </c>
      <c r="B629">
        <f>MOD(ROW()-2,151)</f>
        <v/>
      </c>
      <c r="C629">
        <f t="array" ref="C629">IFERROR(INDEX('TRIP MANAGER'!$O$18:$O$25,$A629),"")</f>
        <v/>
      </c>
      <c r="D629">
        <f t="array" ref="D629">IFERROR(INDEX('TRIP MANAGER'!$P$18:$P$25,$A629),"")</f>
        <v/>
      </c>
      <c r="E629">
        <f t="array" ref="E629">IFERROR(INDEX('TRIP MANAGER'!$Q$18:$Q$25,$A629),"")</f>
        <v/>
      </c>
      <c r="F629">
        <f t="array" ref="F629">IFERROR(INDEX('TRIP MANAGER'!$R$18:$R$25,$A629),"")</f>
        <v/>
      </c>
      <c r="G629">
        <f t="array" ref="G629">IFERROR(INDEX('TRIP MANAGER'!$S$18:$S$25,$A629),"")</f>
        <v/>
      </c>
      <c r="H629">
        <f>$B629/150</f>
        <v/>
      </c>
      <c r="I629">
        <f>IF(OR($G629="",$G629=0),"",SIN((1-$H629)*$G629)/SIN($G629))</f>
        <v/>
      </c>
      <c r="J629">
        <f>IF($I629="","",SIN($H629*$G629)/SIN($G629))</f>
        <v/>
      </c>
      <c r="K629">
        <f>IF($I629="","",$I629*COS(RADIANS($C629))*COS(RADIANS($D629))+$J629*COS(RADIANS($E629))*COS(RADIANS($F629)))</f>
        <v/>
      </c>
      <c r="L629">
        <f>IF($I629="","",$I629*COS(RADIANS($C629))*SIN(RADIANS($D629))+$J629*COS(RADIANS($E629))*SIN(RADIANS($F629)))</f>
        <v/>
      </c>
      <c r="M629">
        <f>IF($I629="","",$I629*SIN(RADIANS($C629))+$J629*SIN(RADIANS($E629)))</f>
        <v/>
      </c>
      <c r="N629">
        <f>IF($M629="","",DEGREES(ATAN2(SQRT($K629^2+$L629^2),$M629)))</f>
        <v/>
      </c>
      <c r="O629">
        <f>IF($M629="","",DEGREES(ATAN2($K629,$L629)))</f>
        <v/>
      </c>
      <c r="P629">
        <f t="array" ref="P629">IF($N629="","",IFERROR(IF(INDEX(geo_grid!$B$2:$JU$231,INT(($N629+40)/0.5)+1,INT(($O629+30)/0.5)+1)="","",INDEX(geo_grid!$B$2:$JU$231,INT(($N629+40)/0.5)+1,INT(($O629+30)/0.5)+1)),"OUTSIDE GRID"))</f>
        <v/>
      </c>
      <c r="Q629">
        <f>IF($P629="","",$A629*1000+$B629)</f>
        <v/>
      </c>
    </row>
    <row r="630">
      <c r="A630">
        <f>INT((ROW()-2)/151)+1</f>
        <v/>
      </c>
      <c r="B630">
        <f>MOD(ROW()-2,151)</f>
        <v/>
      </c>
      <c r="C630">
        <f t="array" ref="C630">IFERROR(INDEX('TRIP MANAGER'!$O$18:$O$25,$A630),"")</f>
        <v/>
      </c>
      <c r="D630">
        <f t="array" ref="D630">IFERROR(INDEX('TRIP MANAGER'!$P$18:$P$25,$A630),"")</f>
        <v/>
      </c>
      <c r="E630">
        <f t="array" ref="E630">IFERROR(INDEX('TRIP MANAGER'!$Q$18:$Q$25,$A630),"")</f>
        <v/>
      </c>
      <c r="F630">
        <f t="array" ref="F630">IFERROR(INDEX('TRIP MANAGER'!$R$18:$R$25,$A630),"")</f>
        <v/>
      </c>
      <c r="G630">
        <f t="array" ref="G630">IFERROR(INDEX('TRIP MANAGER'!$S$18:$S$25,$A630),"")</f>
        <v/>
      </c>
      <c r="H630">
        <f>$B630/150</f>
        <v/>
      </c>
      <c r="I630">
        <f>IF(OR($G630="",$G630=0),"",SIN((1-$H630)*$G630)/SIN($G630))</f>
        <v/>
      </c>
      <c r="J630">
        <f>IF($I630="","",SIN($H630*$G630)/SIN($G630))</f>
        <v/>
      </c>
      <c r="K630">
        <f>IF($I630="","",$I630*COS(RADIANS($C630))*COS(RADIANS($D630))+$J630*COS(RADIANS($E630))*COS(RADIANS($F630)))</f>
        <v/>
      </c>
      <c r="L630">
        <f>IF($I630="","",$I630*COS(RADIANS($C630))*SIN(RADIANS($D630))+$J630*COS(RADIANS($E630))*SIN(RADIANS($F630)))</f>
        <v/>
      </c>
      <c r="M630">
        <f>IF($I630="","",$I630*SIN(RADIANS($C630))+$J630*SIN(RADIANS($E630)))</f>
        <v/>
      </c>
      <c r="N630">
        <f>IF($M630="","",DEGREES(ATAN2(SQRT($K630^2+$L630^2),$M630)))</f>
        <v/>
      </c>
      <c r="O630">
        <f>IF($M630="","",DEGREES(ATAN2($K630,$L630)))</f>
        <v/>
      </c>
      <c r="P630">
        <f t="array" ref="P630">IF($N630="","",IFERROR(IF(INDEX(geo_grid!$B$2:$JU$231,INT(($N630+40)/0.5)+1,INT(($O630+30)/0.5)+1)="","",INDEX(geo_grid!$B$2:$JU$231,INT(($N630+40)/0.5)+1,INT(($O630+30)/0.5)+1)),"OUTSIDE GRID"))</f>
        <v/>
      </c>
      <c r="Q630">
        <f>IF($P630="","",$A630*1000+$B630)</f>
        <v/>
      </c>
    </row>
    <row r="631">
      <c r="A631">
        <f>INT((ROW()-2)/151)+1</f>
        <v/>
      </c>
      <c r="B631">
        <f>MOD(ROW()-2,151)</f>
        <v/>
      </c>
      <c r="C631">
        <f t="array" ref="C631">IFERROR(INDEX('TRIP MANAGER'!$O$18:$O$25,$A631),"")</f>
        <v/>
      </c>
      <c r="D631">
        <f t="array" ref="D631">IFERROR(INDEX('TRIP MANAGER'!$P$18:$P$25,$A631),"")</f>
        <v/>
      </c>
      <c r="E631">
        <f t="array" ref="E631">IFERROR(INDEX('TRIP MANAGER'!$Q$18:$Q$25,$A631),"")</f>
        <v/>
      </c>
      <c r="F631">
        <f t="array" ref="F631">IFERROR(INDEX('TRIP MANAGER'!$R$18:$R$25,$A631),"")</f>
        <v/>
      </c>
      <c r="G631">
        <f t="array" ref="G631">IFERROR(INDEX('TRIP MANAGER'!$S$18:$S$25,$A631),"")</f>
        <v/>
      </c>
      <c r="H631">
        <f>$B631/150</f>
        <v/>
      </c>
      <c r="I631">
        <f>IF(OR($G631="",$G631=0),"",SIN((1-$H631)*$G631)/SIN($G631))</f>
        <v/>
      </c>
      <c r="J631">
        <f>IF($I631="","",SIN($H631*$G631)/SIN($G631))</f>
        <v/>
      </c>
      <c r="K631">
        <f>IF($I631="","",$I631*COS(RADIANS($C631))*COS(RADIANS($D631))+$J631*COS(RADIANS($E631))*COS(RADIANS($F631)))</f>
        <v/>
      </c>
      <c r="L631">
        <f>IF($I631="","",$I631*COS(RADIANS($C631))*SIN(RADIANS($D631))+$J631*COS(RADIANS($E631))*SIN(RADIANS($F631)))</f>
        <v/>
      </c>
      <c r="M631">
        <f>IF($I631="","",$I631*SIN(RADIANS($C631))+$J631*SIN(RADIANS($E631)))</f>
        <v/>
      </c>
      <c r="N631">
        <f>IF($M631="","",DEGREES(ATAN2(SQRT($K631^2+$L631^2),$M631)))</f>
        <v/>
      </c>
      <c r="O631">
        <f>IF($M631="","",DEGREES(ATAN2($K631,$L631)))</f>
        <v/>
      </c>
      <c r="P631">
        <f t="array" ref="P631">IF($N631="","",IFERROR(IF(INDEX(geo_grid!$B$2:$JU$231,INT(($N631+40)/0.5)+1,INT(($O631+30)/0.5)+1)="","",INDEX(geo_grid!$B$2:$JU$231,INT(($N631+40)/0.5)+1,INT(($O631+30)/0.5)+1)),"OUTSIDE GRID"))</f>
        <v/>
      </c>
      <c r="Q631">
        <f>IF($P631="","",$A631*1000+$B631)</f>
        <v/>
      </c>
    </row>
    <row r="632">
      <c r="A632">
        <f>INT((ROW()-2)/151)+1</f>
        <v/>
      </c>
      <c r="B632">
        <f>MOD(ROW()-2,151)</f>
        <v/>
      </c>
      <c r="C632">
        <f t="array" ref="C632">IFERROR(INDEX('TRIP MANAGER'!$O$18:$O$25,$A632),"")</f>
        <v/>
      </c>
      <c r="D632">
        <f t="array" ref="D632">IFERROR(INDEX('TRIP MANAGER'!$P$18:$P$25,$A632),"")</f>
        <v/>
      </c>
      <c r="E632">
        <f t="array" ref="E632">IFERROR(INDEX('TRIP MANAGER'!$Q$18:$Q$25,$A632),"")</f>
        <v/>
      </c>
      <c r="F632">
        <f t="array" ref="F632">IFERROR(INDEX('TRIP MANAGER'!$R$18:$R$25,$A632),"")</f>
        <v/>
      </c>
      <c r="G632">
        <f t="array" ref="G632">IFERROR(INDEX('TRIP MANAGER'!$S$18:$S$25,$A632),"")</f>
        <v/>
      </c>
      <c r="H632">
        <f>$B632/150</f>
        <v/>
      </c>
      <c r="I632">
        <f>IF(OR($G632="",$G632=0),"",SIN((1-$H632)*$G632)/SIN($G632))</f>
        <v/>
      </c>
      <c r="J632">
        <f>IF($I632="","",SIN($H632*$G632)/SIN($G632))</f>
        <v/>
      </c>
      <c r="K632">
        <f>IF($I632="","",$I632*COS(RADIANS($C632))*COS(RADIANS($D632))+$J632*COS(RADIANS($E632))*COS(RADIANS($F632)))</f>
        <v/>
      </c>
      <c r="L632">
        <f>IF($I632="","",$I632*COS(RADIANS($C632))*SIN(RADIANS($D632))+$J632*COS(RADIANS($E632))*SIN(RADIANS($F632)))</f>
        <v/>
      </c>
      <c r="M632">
        <f>IF($I632="","",$I632*SIN(RADIANS($C632))+$J632*SIN(RADIANS($E632)))</f>
        <v/>
      </c>
      <c r="N632">
        <f>IF($M632="","",DEGREES(ATAN2(SQRT($K632^2+$L632^2),$M632)))</f>
        <v/>
      </c>
      <c r="O632">
        <f>IF($M632="","",DEGREES(ATAN2($K632,$L632)))</f>
        <v/>
      </c>
      <c r="P632">
        <f t="array" ref="P632">IF($N632="","",IFERROR(IF(INDEX(geo_grid!$B$2:$JU$231,INT(($N632+40)/0.5)+1,INT(($O632+30)/0.5)+1)="","",INDEX(geo_grid!$B$2:$JU$231,INT(($N632+40)/0.5)+1,INT(($O632+30)/0.5)+1)),"OUTSIDE GRID"))</f>
        <v/>
      </c>
      <c r="Q632">
        <f>IF($P632="","",$A632*1000+$B632)</f>
        <v/>
      </c>
    </row>
    <row r="633">
      <c r="A633">
        <f>INT((ROW()-2)/151)+1</f>
        <v/>
      </c>
      <c r="B633">
        <f>MOD(ROW()-2,151)</f>
        <v/>
      </c>
      <c r="C633">
        <f t="array" ref="C633">IFERROR(INDEX('TRIP MANAGER'!$O$18:$O$25,$A633),"")</f>
        <v/>
      </c>
      <c r="D633">
        <f t="array" ref="D633">IFERROR(INDEX('TRIP MANAGER'!$P$18:$P$25,$A633),"")</f>
        <v/>
      </c>
      <c r="E633">
        <f t="array" ref="E633">IFERROR(INDEX('TRIP MANAGER'!$Q$18:$Q$25,$A633),"")</f>
        <v/>
      </c>
      <c r="F633">
        <f t="array" ref="F633">IFERROR(INDEX('TRIP MANAGER'!$R$18:$R$25,$A633),"")</f>
        <v/>
      </c>
      <c r="G633">
        <f t="array" ref="G633">IFERROR(INDEX('TRIP MANAGER'!$S$18:$S$25,$A633),"")</f>
        <v/>
      </c>
      <c r="H633">
        <f>$B633/150</f>
        <v/>
      </c>
      <c r="I633">
        <f>IF(OR($G633="",$G633=0),"",SIN((1-$H633)*$G633)/SIN($G633))</f>
        <v/>
      </c>
      <c r="J633">
        <f>IF($I633="","",SIN($H633*$G633)/SIN($G633))</f>
        <v/>
      </c>
      <c r="K633">
        <f>IF($I633="","",$I633*COS(RADIANS($C633))*COS(RADIANS($D633))+$J633*COS(RADIANS($E633))*COS(RADIANS($F633)))</f>
        <v/>
      </c>
      <c r="L633">
        <f>IF($I633="","",$I633*COS(RADIANS($C633))*SIN(RADIANS($D633))+$J633*COS(RADIANS($E633))*SIN(RADIANS($F633)))</f>
        <v/>
      </c>
      <c r="M633">
        <f>IF($I633="","",$I633*SIN(RADIANS($C633))+$J633*SIN(RADIANS($E633)))</f>
        <v/>
      </c>
      <c r="N633">
        <f>IF($M633="","",DEGREES(ATAN2(SQRT($K633^2+$L633^2),$M633)))</f>
        <v/>
      </c>
      <c r="O633">
        <f>IF($M633="","",DEGREES(ATAN2($K633,$L633)))</f>
        <v/>
      </c>
      <c r="P633">
        <f t="array" ref="P633">IF($N633="","",IFERROR(IF(INDEX(geo_grid!$B$2:$JU$231,INT(($N633+40)/0.5)+1,INT(($O633+30)/0.5)+1)="","",INDEX(geo_grid!$B$2:$JU$231,INT(($N633+40)/0.5)+1,INT(($O633+30)/0.5)+1)),"OUTSIDE GRID"))</f>
        <v/>
      </c>
      <c r="Q633">
        <f>IF($P633="","",$A633*1000+$B633)</f>
        <v/>
      </c>
    </row>
    <row r="634">
      <c r="A634">
        <f>INT((ROW()-2)/151)+1</f>
        <v/>
      </c>
      <c r="B634">
        <f>MOD(ROW()-2,151)</f>
        <v/>
      </c>
      <c r="C634">
        <f t="array" ref="C634">IFERROR(INDEX('TRIP MANAGER'!$O$18:$O$25,$A634),"")</f>
        <v/>
      </c>
      <c r="D634">
        <f t="array" ref="D634">IFERROR(INDEX('TRIP MANAGER'!$P$18:$P$25,$A634),"")</f>
        <v/>
      </c>
      <c r="E634">
        <f t="array" ref="E634">IFERROR(INDEX('TRIP MANAGER'!$Q$18:$Q$25,$A634),"")</f>
        <v/>
      </c>
      <c r="F634">
        <f t="array" ref="F634">IFERROR(INDEX('TRIP MANAGER'!$R$18:$R$25,$A634),"")</f>
        <v/>
      </c>
      <c r="G634">
        <f t="array" ref="G634">IFERROR(INDEX('TRIP MANAGER'!$S$18:$S$25,$A634),"")</f>
        <v/>
      </c>
      <c r="H634">
        <f>$B634/150</f>
        <v/>
      </c>
      <c r="I634">
        <f>IF(OR($G634="",$G634=0),"",SIN((1-$H634)*$G634)/SIN($G634))</f>
        <v/>
      </c>
      <c r="J634">
        <f>IF($I634="","",SIN($H634*$G634)/SIN($G634))</f>
        <v/>
      </c>
      <c r="K634">
        <f>IF($I634="","",$I634*COS(RADIANS($C634))*COS(RADIANS($D634))+$J634*COS(RADIANS($E634))*COS(RADIANS($F634)))</f>
        <v/>
      </c>
      <c r="L634">
        <f>IF($I634="","",$I634*COS(RADIANS($C634))*SIN(RADIANS($D634))+$J634*COS(RADIANS($E634))*SIN(RADIANS($F634)))</f>
        <v/>
      </c>
      <c r="M634">
        <f>IF($I634="","",$I634*SIN(RADIANS($C634))+$J634*SIN(RADIANS($E634)))</f>
        <v/>
      </c>
      <c r="N634">
        <f>IF($M634="","",DEGREES(ATAN2(SQRT($K634^2+$L634^2),$M634)))</f>
        <v/>
      </c>
      <c r="O634">
        <f>IF($M634="","",DEGREES(ATAN2($K634,$L634)))</f>
        <v/>
      </c>
      <c r="P634">
        <f t="array" ref="P634">IF($N634="","",IFERROR(IF(INDEX(geo_grid!$B$2:$JU$231,INT(($N634+40)/0.5)+1,INT(($O634+30)/0.5)+1)="","",INDEX(geo_grid!$B$2:$JU$231,INT(($N634+40)/0.5)+1,INT(($O634+30)/0.5)+1)),"OUTSIDE GRID"))</f>
        <v/>
      </c>
      <c r="Q634">
        <f>IF($P634="","",$A634*1000+$B634)</f>
        <v/>
      </c>
    </row>
    <row r="635">
      <c r="A635">
        <f>INT((ROW()-2)/151)+1</f>
        <v/>
      </c>
      <c r="B635">
        <f>MOD(ROW()-2,151)</f>
        <v/>
      </c>
      <c r="C635">
        <f t="array" ref="C635">IFERROR(INDEX('TRIP MANAGER'!$O$18:$O$25,$A635),"")</f>
        <v/>
      </c>
      <c r="D635">
        <f t="array" ref="D635">IFERROR(INDEX('TRIP MANAGER'!$P$18:$P$25,$A635),"")</f>
        <v/>
      </c>
      <c r="E635">
        <f t="array" ref="E635">IFERROR(INDEX('TRIP MANAGER'!$Q$18:$Q$25,$A635),"")</f>
        <v/>
      </c>
      <c r="F635">
        <f t="array" ref="F635">IFERROR(INDEX('TRIP MANAGER'!$R$18:$R$25,$A635),"")</f>
        <v/>
      </c>
      <c r="G635">
        <f t="array" ref="G635">IFERROR(INDEX('TRIP MANAGER'!$S$18:$S$25,$A635),"")</f>
        <v/>
      </c>
      <c r="H635">
        <f>$B635/150</f>
        <v/>
      </c>
      <c r="I635">
        <f>IF(OR($G635="",$G635=0),"",SIN((1-$H635)*$G635)/SIN($G635))</f>
        <v/>
      </c>
      <c r="J635">
        <f>IF($I635="","",SIN($H635*$G635)/SIN($G635))</f>
        <v/>
      </c>
      <c r="K635">
        <f>IF($I635="","",$I635*COS(RADIANS($C635))*COS(RADIANS($D635))+$J635*COS(RADIANS($E635))*COS(RADIANS($F635)))</f>
        <v/>
      </c>
      <c r="L635">
        <f>IF($I635="","",$I635*COS(RADIANS($C635))*SIN(RADIANS($D635))+$J635*COS(RADIANS($E635))*SIN(RADIANS($F635)))</f>
        <v/>
      </c>
      <c r="M635">
        <f>IF($I635="","",$I635*SIN(RADIANS($C635))+$J635*SIN(RADIANS($E635)))</f>
        <v/>
      </c>
      <c r="N635">
        <f>IF($M635="","",DEGREES(ATAN2(SQRT($K635^2+$L635^2),$M635)))</f>
        <v/>
      </c>
      <c r="O635">
        <f>IF($M635="","",DEGREES(ATAN2($K635,$L635)))</f>
        <v/>
      </c>
      <c r="P635">
        <f t="array" ref="P635">IF($N635="","",IFERROR(IF(INDEX(geo_grid!$B$2:$JU$231,INT(($N635+40)/0.5)+1,INT(($O635+30)/0.5)+1)="","",INDEX(geo_grid!$B$2:$JU$231,INT(($N635+40)/0.5)+1,INT(($O635+30)/0.5)+1)),"OUTSIDE GRID"))</f>
        <v/>
      </c>
      <c r="Q635">
        <f>IF($P635="","",$A635*1000+$B635)</f>
        <v/>
      </c>
    </row>
    <row r="636">
      <c r="A636">
        <f>INT((ROW()-2)/151)+1</f>
        <v/>
      </c>
      <c r="B636">
        <f>MOD(ROW()-2,151)</f>
        <v/>
      </c>
      <c r="C636">
        <f t="array" ref="C636">IFERROR(INDEX('TRIP MANAGER'!$O$18:$O$25,$A636),"")</f>
        <v/>
      </c>
      <c r="D636">
        <f t="array" ref="D636">IFERROR(INDEX('TRIP MANAGER'!$P$18:$P$25,$A636),"")</f>
        <v/>
      </c>
      <c r="E636">
        <f t="array" ref="E636">IFERROR(INDEX('TRIP MANAGER'!$Q$18:$Q$25,$A636),"")</f>
        <v/>
      </c>
      <c r="F636">
        <f t="array" ref="F636">IFERROR(INDEX('TRIP MANAGER'!$R$18:$R$25,$A636),"")</f>
        <v/>
      </c>
      <c r="G636">
        <f t="array" ref="G636">IFERROR(INDEX('TRIP MANAGER'!$S$18:$S$25,$A636),"")</f>
        <v/>
      </c>
      <c r="H636">
        <f>$B636/150</f>
        <v/>
      </c>
      <c r="I636">
        <f>IF(OR($G636="",$G636=0),"",SIN((1-$H636)*$G636)/SIN($G636))</f>
        <v/>
      </c>
      <c r="J636">
        <f>IF($I636="","",SIN($H636*$G636)/SIN($G636))</f>
        <v/>
      </c>
      <c r="K636">
        <f>IF($I636="","",$I636*COS(RADIANS($C636))*COS(RADIANS($D636))+$J636*COS(RADIANS($E636))*COS(RADIANS($F636)))</f>
        <v/>
      </c>
      <c r="L636">
        <f>IF($I636="","",$I636*COS(RADIANS($C636))*SIN(RADIANS($D636))+$J636*COS(RADIANS($E636))*SIN(RADIANS($F636)))</f>
        <v/>
      </c>
      <c r="M636">
        <f>IF($I636="","",$I636*SIN(RADIANS($C636))+$J636*SIN(RADIANS($E636)))</f>
        <v/>
      </c>
      <c r="N636">
        <f>IF($M636="","",DEGREES(ATAN2(SQRT($K636^2+$L636^2),$M636)))</f>
        <v/>
      </c>
      <c r="O636">
        <f>IF($M636="","",DEGREES(ATAN2($K636,$L636)))</f>
        <v/>
      </c>
      <c r="P636">
        <f t="array" ref="P636">IF($N636="","",IFERROR(IF(INDEX(geo_grid!$B$2:$JU$231,INT(($N636+40)/0.5)+1,INT(($O636+30)/0.5)+1)="","",INDEX(geo_grid!$B$2:$JU$231,INT(($N636+40)/0.5)+1,INT(($O636+30)/0.5)+1)),"OUTSIDE GRID"))</f>
        <v/>
      </c>
      <c r="Q636">
        <f>IF($P636="","",$A636*1000+$B636)</f>
        <v/>
      </c>
    </row>
    <row r="637">
      <c r="A637">
        <f>INT((ROW()-2)/151)+1</f>
        <v/>
      </c>
      <c r="B637">
        <f>MOD(ROW()-2,151)</f>
        <v/>
      </c>
      <c r="C637">
        <f t="array" ref="C637">IFERROR(INDEX('TRIP MANAGER'!$O$18:$O$25,$A637),"")</f>
        <v/>
      </c>
      <c r="D637">
        <f t="array" ref="D637">IFERROR(INDEX('TRIP MANAGER'!$P$18:$P$25,$A637),"")</f>
        <v/>
      </c>
      <c r="E637">
        <f t="array" ref="E637">IFERROR(INDEX('TRIP MANAGER'!$Q$18:$Q$25,$A637),"")</f>
        <v/>
      </c>
      <c r="F637">
        <f t="array" ref="F637">IFERROR(INDEX('TRIP MANAGER'!$R$18:$R$25,$A637),"")</f>
        <v/>
      </c>
      <c r="G637">
        <f t="array" ref="G637">IFERROR(INDEX('TRIP MANAGER'!$S$18:$S$25,$A637),"")</f>
        <v/>
      </c>
      <c r="H637">
        <f>$B637/150</f>
        <v/>
      </c>
      <c r="I637">
        <f>IF(OR($G637="",$G637=0),"",SIN((1-$H637)*$G637)/SIN($G637))</f>
        <v/>
      </c>
      <c r="J637">
        <f>IF($I637="","",SIN($H637*$G637)/SIN($G637))</f>
        <v/>
      </c>
      <c r="K637">
        <f>IF($I637="","",$I637*COS(RADIANS($C637))*COS(RADIANS($D637))+$J637*COS(RADIANS($E637))*COS(RADIANS($F637)))</f>
        <v/>
      </c>
      <c r="L637">
        <f>IF($I637="","",$I637*COS(RADIANS($C637))*SIN(RADIANS($D637))+$J637*COS(RADIANS($E637))*SIN(RADIANS($F637)))</f>
        <v/>
      </c>
      <c r="M637">
        <f>IF($I637="","",$I637*SIN(RADIANS($C637))+$J637*SIN(RADIANS($E637)))</f>
        <v/>
      </c>
      <c r="N637">
        <f>IF($M637="","",DEGREES(ATAN2(SQRT($K637^2+$L637^2),$M637)))</f>
        <v/>
      </c>
      <c r="O637">
        <f>IF($M637="","",DEGREES(ATAN2($K637,$L637)))</f>
        <v/>
      </c>
      <c r="P637">
        <f t="array" ref="P637">IF($N637="","",IFERROR(IF(INDEX(geo_grid!$B$2:$JU$231,INT(($N637+40)/0.5)+1,INT(($O637+30)/0.5)+1)="","",INDEX(geo_grid!$B$2:$JU$231,INT(($N637+40)/0.5)+1,INT(($O637+30)/0.5)+1)),"OUTSIDE GRID"))</f>
        <v/>
      </c>
      <c r="Q637">
        <f>IF($P637="","",$A637*1000+$B637)</f>
        <v/>
      </c>
    </row>
    <row r="638">
      <c r="A638">
        <f>INT((ROW()-2)/151)+1</f>
        <v/>
      </c>
      <c r="B638">
        <f>MOD(ROW()-2,151)</f>
        <v/>
      </c>
      <c r="C638">
        <f t="array" ref="C638">IFERROR(INDEX('TRIP MANAGER'!$O$18:$O$25,$A638),"")</f>
        <v/>
      </c>
      <c r="D638">
        <f t="array" ref="D638">IFERROR(INDEX('TRIP MANAGER'!$P$18:$P$25,$A638),"")</f>
        <v/>
      </c>
      <c r="E638">
        <f t="array" ref="E638">IFERROR(INDEX('TRIP MANAGER'!$Q$18:$Q$25,$A638),"")</f>
        <v/>
      </c>
      <c r="F638">
        <f t="array" ref="F638">IFERROR(INDEX('TRIP MANAGER'!$R$18:$R$25,$A638),"")</f>
        <v/>
      </c>
      <c r="G638">
        <f t="array" ref="G638">IFERROR(INDEX('TRIP MANAGER'!$S$18:$S$25,$A638),"")</f>
        <v/>
      </c>
      <c r="H638">
        <f>$B638/150</f>
        <v/>
      </c>
      <c r="I638">
        <f>IF(OR($G638="",$G638=0),"",SIN((1-$H638)*$G638)/SIN($G638))</f>
        <v/>
      </c>
      <c r="J638">
        <f>IF($I638="","",SIN($H638*$G638)/SIN($G638))</f>
        <v/>
      </c>
      <c r="K638">
        <f>IF($I638="","",$I638*COS(RADIANS($C638))*COS(RADIANS($D638))+$J638*COS(RADIANS($E638))*COS(RADIANS($F638)))</f>
        <v/>
      </c>
      <c r="L638">
        <f>IF($I638="","",$I638*COS(RADIANS($C638))*SIN(RADIANS($D638))+$J638*COS(RADIANS($E638))*SIN(RADIANS($F638)))</f>
        <v/>
      </c>
      <c r="M638">
        <f>IF($I638="","",$I638*SIN(RADIANS($C638))+$J638*SIN(RADIANS($E638)))</f>
        <v/>
      </c>
      <c r="N638">
        <f>IF($M638="","",DEGREES(ATAN2(SQRT($K638^2+$L638^2),$M638)))</f>
        <v/>
      </c>
      <c r="O638">
        <f>IF($M638="","",DEGREES(ATAN2($K638,$L638)))</f>
        <v/>
      </c>
      <c r="P638">
        <f t="array" ref="P638">IF($N638="","",IFERROR(IF(INDEX(geo_grid!$B$2:$JU$231,INT(($N638+40)/0.5)+1,INT(($O638+30)/0.5)+1)="","",INDEX(geo_grid!$B$2:$JU$231,INT(($N638+40)/0.5)+1,INT(($O638+30)/0.5)+1)),"OUTSIDE GRID"))</f>
        <v/>
      </c>
      <c r="Q638">
        <f>IF($P638="","",$A638*1000+$B638)</f>
        <v/>
      </c>
    </row>
    <row r="639">
      <c r="A639">
        <f>INT((ROW()-2)/151)+1</f>
        <v/>
      </c>
      <c r="B639">
        <f>MOD(ROW()-2,151)</f>
        <v/>
      </c>
      <c r="C639">
        <f t="array" ref="C639">IFERROR(INDEX('TRIP MANAGER'!$O$18:$O$25,$A639),"")</f>
        <v/>
      </c>
      <c r="D639">
        <f t="array" ref="D639">IFERROR(INDEX('TRIP MANAGER'!$P$18:$P$25,$A639),"")</f>
        <v/>
      </c>
      <c r="E639">
        <f t="array" ref="E639">IFERROR(INDEX('TRIP MANAGER'!$Q$18:$Q$25,$A639),"")</f>
        <v/>
      </c>
      <c r="F639">
        <f t="array" ref="F639">IFERROR(INDEX('TRIP MANAGER'!$R$18:$R$25,$A639),"")</f>
        <v/>
      </c>
      <c r="G639">
        <f t="array" ref="G639">IFERROR(INDEX('TRIP MANAGER'!$S$18:$S$25,$A639),"")</f>
        <v/>
      </c>
      <c r="H639">
        <f>$B639/150</f>
        <v/>
      </c>
      <c r="I639">
        <f>IF(OR($G639="",$G639=0),"",SIN((1-$H639)*$G639)/SIN($G639))</f>
        <v/>
      </c>
      <c r="J639">
        <f>IF($I639="","",SIN($H639*$G639)/SIN($G639))</f>
        <v/>
      </c>
      <c r="K639">
        <f>IF($I639="","",$I639*COS(RADIANS($C639))*COS(RADIANS($D639))+$J639*COS(RADIANS($E639))*COS(RADIANS($F639)))</f>
        <v/>
      </c>
      <c r="L639">
        <f>IF($I639="","",$I639*COS(RADIANS($C639))*SIN(RADIANS($D639))+$J639*COS(RADIANS($E639))*SIN(RADIANS($F639)))</f>
        <v/>
      </c>
      <c r="M639">
        <f>IF($I639="","",$I639*SIN(RADIANS($C639))+$J639*SIN(RADIANS($E639)))</f>
        <v/>
      </c>
      <c r="N639">
        <f>IF($M639="","",DEGREES(ATAN2(SQRT($K639^2+$L639^2),$M639)))</f>
        <v/>
      </c>
      <c r="O639">
        <f>IF($M639="","",DEGREES(ATAN2($K639,$L639)))</f>
        <v/>
      </c>
      <c r="P639">
        <f t="array" ref="P639">IF($N639="","",IFERROR(IF(INDEX(geo_grid!$B$2:$JU$231,INT(($N639+40)/0.5)+1,INT(($O639+30)/0.5)+1)="","",INDEX(geo_grid!$B$2:$JU$231,INT(($N639+40)/0.5)+1,INT(($O639+30)/0.5)+1)),"OUTSIDE GRID"))</f>
        <v/>
      </c>
      <c r="Q639">
        <f>IF($P639="","",$A639*1000+$B639)</f>
        <v/>
      </c>
    </row>
    <row r="640">
      <c r="A640">
        <f>INT((ROW()-2)/151)+1</f>
        <v/>
      </c>
      <c r="B640">
        <f>MOD(ROW()-2,151)</f>
        <v/>
      </c>
      <c r="C640">
        <f t="array" ref="C640">IFERROR(INDEX('TRIP MANAGER'!$O$18:$O$25,$A640),"")</f>
        <v/>
      </c>
      <c r="D640">
        <f t="array" ref="D640">IFERROR(INDEX('TRIP MANAGER'!$P$18:$P$25,$A640),"")</f>
        <v/>
      </c>
      <c r="E640">
        <f t="array" ref="E640">IFERROR(INDEX('TRIP MANAGER'!$Q$18:$Q$25,$A640),"")</f>
        <v/>
      </c>
      <c r="F640">
        <f t="array" ref="F640">IFERROR(INDEX('TRIP MANAGER'!$R$18:$R$25,$A640),"")</f>
        <v/>
      </c>
      <c r="G640">
        <f t="array" ref="G640">IFERROR(INDEX('TRIP MANAGER'!$S$18:$S$25,$A640),"")</f>
        <v/>
      </c>
      <c r="H640">
        <f>$B640/150</f>
        <v/>
      </c>
      <c r="I640">
        <f>IF(OR($G640="",$G640=0),"",SIN((1-$H640)*$G640)/SIN($G640))</f>
        <v/>
      </c>
      <c r="J640">
        <f>IF($I640="","",SIN($H640*$G640)/SIN($G640))</f>
        <v/>
      </c>
      <c r="K640">
        <f>IF($I640="","",$I640*COS(RADIANS($C640))*COS(RADIANS($D640))+$J640*COS(RADIANS($E640))*COS(RADIANS($F640)))</f>
        <v/>
      </c>
      <c r="L640">
        <f>IF($I640="","",$I640*COS(RADIANS($C640))*SIN(RADIANS($D640))+$J640*COS(RADIANS($E640))*SIN(RADIANS($F640)))</f>
        <v/>
      </c>
      <c r="M640">
        <f>IF($I640="","",$I640*SIN(RADIANS($C640))+$J640*SIN(RADIANS($E640)))</f>
        <v/>
      </c>
      <c r="N640">
        <f>IF($M640="","",DEGREES(ATAN2(SQRT($K640^2+$L640^2),$M640)))</f>
        <v/>
      </c>
      <c r="O640">
        <f>IF($M640="","",DEGREES(ATAN2($K640,$L640)))</f>
        <v/>
      </c>
      <c r="P640">
        <f t="array" ref="P640">IF($N640="","",IFERROR(IF(INDEX(geo_grid!$B$2:$JU$231,INT(($N640+40)/0.5)+1,INT(($O640+30)/0.5)+1)="","",INDEX(geo_grid!$B$2:$JU$231,INT(($N640+40)/0.5)+1,INT(($O640+30)/0.5)+1)),"OUTSIDE GRID"))</f>
        <v/>
      </c>
      <c r="Q640">
        <f>IF($P640="","",$A640*1000+$B640)</f>
        <v/>
      </c>
    </row>
    <row r="641">
      <c r="A641">
        <f>INT((ROW()-2)/151)+1</f>
        <v/>
      </c>
      <c r="B641">
        <f>MOD(ROW()-2,151)</f>
        <v/>
      </c>
      <c r="C641">
        <f t="array" ref="C641">IFERROR(INDEX('TRIP MANAGER'!$O$18:$O$25,$A641),"")</f>
        <v/>
      </c>
      <c r="D641">
        <f t="array" ref="D641">IFERROR(INDEX('TRIP MANAGER'!$P$18:$P$25,$A641),"")</f>
        <v/>
      </c>
      <c r="E641">
        <f t="array" ref="E641">IFERROR(INDEX('TRIP MANAGER'!$Q$18:$Q$25,$A641),"")</f>
        <v/>
      </c>
      <c r="F641">
        <f t="array" ref="F641">IFERROR(INDEX('TRIP MANAGER'!$R$18:$R$25,$A641),"")</f>
        <v/>
      </c>
      <c r="G641">
        <f t="array" ref="G641">IFERROR(INDEX('TRIP MANAGER'!$S$18:$S$25,$A641),"")</f>
        <v/>
      </c>
      <c r="H641">
        <f>$B641/150</f>
        <v/>
      </c>
      <c r="I641">
        <f>IF(OR($G641="",$G641=0),"",SIN((1-$H641)*$G641)/SIN($G641))</f>
        <v/>
      </c>
      <c r="J641">
        <f>IF($I641="","",SIN($H641*$G641)/SIN($G641))</f>
        <v/>
      </c>
      <c r="K641">
        <f>IF($I641="","",$I641*COS(RADIANS($C641))*COS(RADIANS($D641))+$J641*COS(RADIANS($E641))*COS(RADIANS($F641)))</f>
        <v/>
      </c>
      <c r="L641">
        <f>IF($I641="","",$I641*COS(RADIANS($C641))*SIN(RADIANS($D641))+$J641*COS(RADIANS($E641))*SIN(RADIANS($F641)))</f>
        <v/>
      </c>
      <c r="M641">
        <f>IF($I641="","",$I641*SIN(RADIANS($C641))+$J641*SIN(RADIANS($E641)))</f>
        <v/>
      </c>
      <c r="N641">
        <f>IF($M641="","",DEGREES(ATAN2(SQRT($K641^2+$L641^2),$M641)))</f>
        <v/>
      </c>
      <c r="O641">
        <f>IF($M641="","",DEGREES(ATAN2($K641,$L641)))</f>
        <v/>
      </c>
      <c r="P641">
        <f t="array" ref="P641">IF($N641="","",IFERROR(IF(INDEX(geo_grid!$B$2:$JU$231,INT(($N641+40)/0.5)+1,INT(($O641+30)/0.5)+1)="","",INDEX(geo_grid!$B$2:$JU$231,INT(($N641+40)/0.5)+1,INT(($O641+30)/0.5)+1)),"OUTSIDE GRID"))</f>
        <v/>
      </c>
      <c r="Q641">
        <f>IF($P641="","",$A641*1000+$B641)</f>
        <v/>
      </c>
    </row>
    <row r="642">
      <c r="A642">
        <f>INT((ROW()-2)/151)+1</f>
        <v/>
      </c>
      <c r="B642">
        <f>MOD(ROW()-2,151)</f>
        <v/>
      </c>
      <c r="C642">
        <f t="array" ref="C642">IFERROR(INDEX('TRIP MANAGER'!$O$18:$O$25,$A642),"")</f>
        <v/>
      </c>
      <c r="D642">
        <f t="array" ref="D642">IFERROR(INDEX('TRIP MANAGER'!$P$18:$P$25,$A642),"")</f>
        <v/>
      </c>
      <c r="E642">
        <f t="array" ref="E642">IFERROR(INDEX('TRIP MANAGER'!$Q$18:$Q$25,$A642),"")</f>
        <v/>
      </c>
      <c r="F642">
        <f t="array" ref="F642">IFERROR(INDEX('TRIP MANAGER'!$R$18:$R$25,$A642),"")</f>
        <v/>
      </c>
      <c r="G642">
        <f t="array" ref="G642">IFERROR(INDEX('TRIP MANAGER'!$S$18:$S$25,$A642),"")</f>
        <v/>
      </c>
      <c r="H642">
        <f>$B642/150</f>
        <v/>
      </c>
      <c r="I642">
        <f>IF(OR($G642="",$G642=0),"",SIN((1-$H642)*$G642)/SIN($G642))</f>
        <v/>
      </c>
      <c r="J642">
        <f>IF($I642="","",SIN($H642*$G642)/SIN($G642))</f>
        <v/>
      </c>
      <c r="K642">
        <f>IF($I642="","",$I642*COS(RADIANS($C642))*COS(RADIANS($D642))+$J642*COS(RADIANS($E642))*COS(RADIANS($F642)))</f>
        <v/>
      </c>
      <c r="L642">
        <f>IF($I642="","",$I642*COS(RADIANS($C642))*SIN(RADIANS($D642))+$J642*COS(RADIANS($E642))*SIN(RADIANS($F642)))</f>
        <v/>
      </c>
      <c r="M642">
        <f>IF($I642="","",$I642*SIN(RADIANS($C642))+$J642*SIN(RADIANS($E642)))</f>
        <v/>
      </c>
      <c r="N642">
        <f>IF($M642="","",DEGREES(ATAN2(SQRT($K642^2+$L642^2),$M642)))</f>
        <v/>
      </c>
      <c r="O642">
        <f>IF($M642="","",DEGREES(ATAN2($K642,$L642)))</f>
        <v/>
      </c>
      <c r="P642">
        <f t="array" ref="P642">IF($N642="","",IFERROR(IF(INDEX(geo_grid!$B$2:$JU$231,INT(($N642+40)/0.5)+1,INT(($O642+30)/0.5)+1)="","",INDEX(geo_grid!$B$2:$JU$231,INT(($N642+40)/0.5)+1,INT(($O642+30)/0.5)+1)),"OUTSIDE GRID"))</f>
        <v/>
      </c>
      <c r="Q642">
        <f>IF($P642="","",$A642*1000+$B642)</f>
        <v/>
      </c>
    </row>
    <row r="643">
      <c r="A643">
        <f>INT((ROW()-2)/151)+1</f>
        <v/>
      </c>
      <c r="B643">
        <f>MOD(ROW()-2,151)</f>
        <v/>
      </c>
      <c r="C643">
        <f t="array" ref="C643">IFERROR(INDEX('TRIP MANAGER'!$O$18:$O$25,$A643),"")</f>
        <v/>
      </c>
      <c r="D643">
        <f t="array" ref="D643">IFERROR(INDEX('TRIP MANAGER'!$P$18:$P$25,$A643),"")</f>
        <v/>
      </c>
      <c r="E643">
        <f t="array" ref="E643">IFERROR(INDEX('TRIP MANAGER'!$Q$18:$Q$25,$A643),"")</f>
        <v/>
      </c>
      <c r="F643">
        <f t="array" ref="F643">IFERROR(INDEX('TRIP MANAGER'!$R$18:$R$25,$A643),"")</f>
        <v/>
      </c>
      <c r="G643">
        <f t="array" ref="G643">IFERROR(INDEX('TRIP MANAGER'!$S$18:$S$25,$A643),"")</f>
        <v/>
      </c>
      <c r="H643">
        <f>$B643/150</f>
        <v/>
      </c>
      <c r="I643">
        <f>IF(OR($G643="",$G643=0),"",SIN((1-$H643)*$G643)/SIN($G643))</f>
        <v/>
      </c>
      <c r="J643">
        <f>IF($I643="","",SIN($H643*$G643)/SIN($G643))</f>
        <v/>
      </c>
      <c r="K643">
        <f>IF($I643="","",$I643*COS(RADIANS($C643))*COS(RADIANS($D643))+$J643*COS(RADIANS($E643))*COS(RADIANS($F643)))</f>
        <v/>
      </c>
      <c r="L643">
        <f>IF($I643="","",$I643*COS(RADIANS($C643))*SIN(RADIANS($D643))+$J643*COS(RADIANS($E643))*SIN(RADIANS($F643)))</f>
        <v/>
      </c>
      <c r="M643">
        <f>IF($I643="","",$I643*SIN(RADIANS($C643))+$J643*SIN(RADIANS($E643)))</f>
        <v/>
      </c>
      <c r="N643">
        <f>IF($M643="","",DEGREES(ATAN2(SQRT($K643^2+$L643^2),$M643)))</f>
        <v/>
      </c>
      <c r="O643">
        <f>IF($M643="","",DEGREES(ATAN2($K643,$L643)))</f>
        <v/>
      </c>
      <c r="P643">
        <f t="array" ref="P643">IF($N643="","",IFERROR(IF(INDEX(geo_grid!$B$2:$JU$231,INT(($N643+40)/0.5)+1,INT(($O643+30)/0.5)+1)="","",INDEX(geo_grid!$B$2:$JU$231,INT(($N643+40)/0.5)+1,INT(($O643+30)/0.5)+1)),"OUTSIDE GRID"))</f>
        <v/>
      </c>
      <c r="Q643">
        <f>IF($P643="","",$A643*1000+$B643)</f>
        <v/>
      </c>
    </row>
    <row r="644">
      <c r="A644">
        <f>INT((ROW()-2)/151)+1</f>
        <v/>
      </c>
      <c r="B644">
        <f>MOD(ROW()-2,151)</f>
        <v/>
      </c>
      <c r="C644">
        <f t="array" ref="C644">IFERROR(INDEX('TRIP MANAGER'!$O$18:$O$25,$A644),"")</f>
        <v/>
      </c>
      <c r="D644">
        <f t="array" ref="D644">IFERROR(INDEX('TRIP MANAGER'!$P$18:$P$25,$A644),"")</f>
        <v/>
      </c>
      <c r="E644">
        <f t="array" ref="E644">IFERROR(INDEX('TRIP MANAGER'!$Q$18:$Q$25,$A644),"")</f>
        <v/>
      </c>
      <c r="F644">
        <f t="array" ref="F644">IFERROR(INDEX('TRIP MANAGER'!$R$18:$R$25,$A644),"")</f>
        <v/>
      </c>
      <c r="G644">
        <f t="array" ref="G644">IFERROR(INDEX('TRIP MANAGER'!$S$18:$S$25,$A644),"")</f>
        <v/>
      </c>
      <c r="H644">
        <f>$B644/150</f>
        <v/>
      </c>
      <c r="I644">
        <f>IF(OR($G644="",$G644=0),"",SIN((1-$H644)*$G644)/SIN($G644))</f>
        <v/>
      </c>
      <c r="J644">
        <f>IF($I644="","",SIN($H644*$G644)/SIN($G644))</f>
        <v/>
      </c>
      <c r="K644">
        <f>IF($I644="","",$I644*COS(RADIANS($C644))*COS(RADIANS($D644))+$J644*COS(RADIANS($E644))*COS(RADIANS($F644)))</f>
        <v/>
      </c>
      <c r="L644">
        <f>IF($I644="","",$I644*COS(RADIANS($C644))*SIN(RADIANS($D644))+$J644*COS(RADIANS($E644))*SIN(RADIANS($F644)))</f>
        <v/>
      </c>
      <c r="M644">
        <f>IF($I644="","",$I644*SIN(RADIANS($C644))+$J644*SIN(RADIANS($E644)))</f>
        <v/>
      </c>
      <c r="N644">
        <f>IF($M644="","",DEGREES(ATAN2(SQRT($K644^2+$L644^2),$M644)))</f>
        <v/>
      </c>
      <c r="O644">
        <f>IF($M644="","",DEGREES(ATAN2($K644,$L644)))</f>
        <v/>
      </c>
      <c r="P644">
        <f t="array" ref="P644">IF($N644="","",IFERROR(IF(INDEX(geo_grid!$B$2:$JU$231,INT(($N644+40)/0.5)+1,INT(($O644+30)/0.5)+1)="","",INDEX(geo_grid!$B$2:$JU$231,INT(($N644+40)/0.5)+1,INT(($O644+30)/0.5)+1)),"OUTSIDE GRID"))</f>
        <v/>
      </c>
      <c r="Q644">
        <f>IF($P644="","",$A644*1000+$B644)</f>
        <v/>
      </c>
    </row>
    <row r="645">
      <c r="A645">
        <f>INT((ROW()-2)/151)+1</f>
        <v/>
      </c>
      <c r="B645">
        <f>MOD(ROW()-2,151)</f>
        <v/>
      </c>
      <c r="C645">
        <f t="array" ref="C645">IFERROR(INDEX('TRIP MANAGER'!$O$18:$O$25,$A645),"")</f>
        <v/>
      </c>
      <c r="D645">
        <f t="array" ref="D645">IFERROR(INDEX('TRIP MANAGER'!$P$18:$P$25,$A645),"")</f>
        <v/>
      </c>
      <c r="E645">
        <f t="array" ref="E645">IFERROR(INDEX('TRIP MANAGER'!$Q$18:$Q$25,$A645),"")</f>
        <v/>
      </c>
      <c r="F645">
        <f t="array" ref="F645">IFERROR(INDEX('TRIP MANAGER'!$R$18:$R$25,$A645),"")</f>
        <v/>
      </c>
      <c r="G645">
        <f t="array" ref="G645">IFERROR(INDEX('TRIP MANAGER'!$S$18:$S$25,$A645),"")</f>
        <v/>
      </c>
      <c r="H645">
        <f>$B645/150</f>
        <v/>
      </c>
      <c r="I645">
        <f>IF(OR($G645="",$G645=0),"",SIN((1-$H645)*$G645)/SIN($G645))</f>
        <v/>
      </c>
      <c r="J645">
        <f>IF($I645="","",SIN($H645*$G645)/SIN($G645))</f>
        <v/>
      </c>
      <c r="K645">
        <f>IF($I645="","",$I645*COS(RADIANS($C645))*COS(RADIANS($D645))+$J645*COS(RADIANS($E645))*COS(RADIANS($F645)))</f>
        <v/>
      </c>
      <c r="L645">
        <f>IF($I645="","",$I645*COS(RADIANS($C645))*SIN(RADIANS($D645))+$J645*COS(RADIANS($E645))*SIN(RADIANS($F645)))</f>
        <v/>
      </c>
      <c r="M645">
        <f>IF($I645="","",$I645*SIN(RADIANS($C645))+$J645*SIN(RADIANS($E645)))</f>
        <v/>
      </c>
      <c r="N645">
        <f>IF($M645="","",DEGREES(ATAN2(SQRT($K645^2+$L645^2),$M645)))</f>
        <v/>
      </c>
      <c r="O645">
        <f>IF($M645="","",DEGREES(ATAN2($K645,$L645)))</f>
        <v/>
      </c>
      <c r="P645">
        <f t="array" ref="P645">IF($N645="","",IFERROR(IF(INDEX(geo_grid!$B$2:$JU$231,INT(($N645+40)/0.5)+1,INT(($O645+30)/0.5)+1)="","",INDEX(geo_grid!$B$2:$JU$231,INT(($N645+40)/0.5)+1,INT(($O645+30)/0.5)+1)),"OUTSIDE GRID"))</f>
        <v/>
      </c>
      <c r="Q645">
        <f>IF($P645="","",$A645*1000+$B645)</f>
        <v/>
      </c>
    </row>
    <row r="646">
      <c r="A646">
        <f>INT((ROW()-2)/151)+1</f>
        <v/>
      </c>
      <c r="B646">
        <f>MOD(ROW()-2,151)</f>
        <v/>
      </c>
      <c r="C646">
        <f t="array" ref="C646">IFERROR(INDEX('TRIP MANAGER'!$O$18:$O$25,$A646),"")</f>
        <v/>
      </c>
      <c r="D646">
        <f t="array" ref="D646">IFERROR(INDEX('TRIP MANAGER'!$P$18:$P$25,$A646),"")</f>
        <v/>
      </c>
      <c r="E646">
        <f t="array" ref="E646">IFERROR(INDEX('TRIP MANAGER'!$Q$18:$Q$25,$A646),"")</f>
        <v/>
      </c>
      <c r="F646">
        <f t="array" ref="F646">IFERROR(INDEX('TRIP MANAGER'!$R$18:$R$25,$A646),"")</f>
        <v/>
      </c>
      <c r="G646">
        <f t="array" ref="G646">IFERROR(INDEX('TRIP MANAGER'!$S$18:$S$25,$A646),"")</f>
        <v/>
      </c>
      <c r="H646">
        <f>$B646/150</f>
        <v/>
      </c>
      <c r="I646">
        <f>IF(OR($G646="",$G646=0),"",SIN((1-$H646)*$G646)/SIN($G646))</f>
        <v/>
      </c>
      <c r="J646">
        <f>IF($I646="","",SIN($H646*$G646)/SIN($G646))</f>
        <v/>
      </c>
      <c r="K646">
        <f>IF($I646="","",$I646*COS(RADIANS($C646))*COS(RADIANS($D646))+$J646*COS(RADIANS($E646))*COS(RADIANS($F646)))</f>
        <v/>
      </c>
      <c r="L646">
        <f>IF($I646="","",$I646*COS(RADIANS($C646))*SIN(RADIANS($D646))+$J646*COS(RADIANS($E646))*SIN(RADIANS($F646)))</f>
        <v/>
      </c>
      <c r="M646">
        <f>IF($I646="","",$I646*SIN(RADIANS($C646))+$J646*SIN(RADIANS($E646)))</f>
        <v/>
      </c>
      <c r="N646">
        <f>IF($M646="","",DEGREES(ATAN2(SQRT($K646^2+$L646^2),$M646)))</f>
        <v/>
      </c>
      <c r="O646">
        <f>IF($M646="","",DEGREES(ATAN2($K646,$L646)))</f>
        <v/>
      </c>
      <c r="P646">
        <f t="array" ref="P646">IF($N646="","",IFERROR(IF(INDEX(geo_grid!$B$2:$JU$231,INT(($N646+40)/0.5)+1,INT(($O646+30)/0.5)+1)="","",INDEX(geo_grid!$B$2:$JU$231,INT(($N646+40)/0.5)+1,INT(($O646+30)/0.5)+1)),"OUTSIDE GRID"))</f>
        <v/>
      </c>
      <c r="Q646">
        <f>IF($P646="","",$A646*1000+$B646)</f>
        <v/>
      </c>
    </row>
    <row r="647">
      <c r="A647">
        <f>INT((ROW()-2)/151)+1</f>
        <v/>
      </c>
      <c r="B647">
        <f>MOD(ROW()-2,151)</f>
        <v/>
      </c>
      <c r="C647">
        <f t="array" ref="C647">IFERROR(INDEX('TRIP MANAGER'!$O$18:$O$25,$A647),"")</f>
        <v/>
      </c>
      <c r="D647">
        <f t="array" ref="D647">IFERROR(INDEX('TRIP MANAGER'!$P$18:$P$25,$A647),"")</f>
        <v/>
      </c>
      <c r="E647">
        <f t="array" ref="E647">IFERROR(INDEX('TRIP MANAGER'!$Q$18:$Q$25,$A647),"")</f>
        <v/>
      </c>
      <c r="F647">
        <f t="array" ref="F647">IFERROR(INDEX('TRIP MANAGER'!$R$18:$R$25,$A647),"")</f>
        <v/>
      </c>
      <c r="G647">
        <f t="array" ref="G647">IFERROR(INDEX('TRIP MANAGER'!$S$18:$S$25,$A647),"")</f>
        <v/>
      </c>
      <c r="H647">
        <f>$B647/150</f>
        <v/>
      </c>
      <c r="I647">
        <f>IF(OR($G647="",$G647=0),"",SIN((1-$H647)*$G647)/SIN($G647))</f>
        <v/>
      </c>
      <c r="J647">
        <f>IF($I647="","",SIN($H647*$G647)/SIN($G647))</f>
        <v/>
      </c>
      <c r="K647">
        <f>IF($I647="","",$I647*COS(RADIANS($C647))*COS(RADIANS($D647))+$J647*COS(RADIANS($E647))*COS(RADIANS($F647)))</f>
        <v/>
      </c>
      <c r="L647">
        <f>IF($I647="","",$I647*COS(RADIANS($C647))*SIN(RADIANS($D647))+$J647*COS(RADIANS($E647))*SIN(RADIANS($F647)))</f>
        <v/>
      </c>
      <c r="M647">
        <f>IF($I647="","",$I647*SIN(RADIANS($C647))+$J647*SIN(RADIANS($E647)))</f>
        <v/>
      </c>
      <c r="N647">
        <f>IF($M647="","",DEGREES(ATAN2(SQRT($K647^2+$L647^2),$M647)))</f>
        <v/>
      </c>
      <c r="O647">
        <f>IF($M647="","",DEGREES(ATAN2($K647,$L647)))</f>
        <v/>
      </c>
      <c r="P647">
        <f t="array" ref="P647">IF($N647="","",IFERROR(IF(INDEX(geo_grid!$B$2:$JU$231,INT(($N647+40)/0.5)+1,INT(($O647+30)/0.5)+1)="","",INDEX(geo_grid!$B$2:$JU$231,INT(($N647+40)/0.5)+1,INT(($O647+30)/0.5)+1)),"OUTSIDE GRID"))</f>
        <v/>
      </c>
      <c r="Q647">
        <f>IF($P647="","",$A647*1000+$B647)</f>
        <v/>
      </c>
    </row>
    <row r="648">
      <c r="A648">
        <f>INT((ROW()-2)/151)+1</f>
        <v/>
      </c>
      <c r="B648">
        <f>MOD(ROW()-2,151)</f>
        <v/>
      </c>
      <c r="C648">
        <f t="array" ref="C648">IFERROR(INDEX('TRIP MANAGER'!$O$18:$O$25,$A648),"")</f>
        <v/>
      </c>
      <c r="D648">
        <f t="array" ref="D648">IFERROR(INDEX('TRIP MANAGER'!$P$18:$P$25,$A648),"")</f>
        <v/>
      </c>
      <c r="E648">
        <f t="array" ref="E648">IFERROR(INDEX('TRIP MANAGER'!$Q$18:$Q$25,$A648),"")</f>
        <v/>
      </c>
      <c r="F648">
        <f t="array" ref="F648">IFERROR(INDEX('TRIP MANAGER'!$R$18:$R$25,$A648),"")</f>
        <v/>
      </c>
      <c r="G648">
        <f t="array" ref="G648">IFERROR(INDEX('TRIP MANAGER'!$S$18:$S$25,$A648),"")</f>
        <v/>
      </c>
      <c r="H648">
        <f>$B648/150</f>
        <v/>
      </c>
      <c r="I648">
        <f>IF(OR($G648="",$G648=0),"",SIN((1-$H648)*$G648)/SIN($G648))</f>
        <v/>
      </c>
      <c r="J648">
        <f>IF($I648="","",SIN($H648*$G648)/SIN($G648))</f>
        <v/>
      </c>
      <c r="K648">
        <f>IF($I648="","",$I648*COS(RADIANS($C648))*COS(RADIANS($D648))+$J648*COS(RADIANS($E648))*COS(RADIANS($F648)))</f>
        <v/>
      </c>
      <c r="L648">
        <f>IF($I648="","",$I648*COS(RADIANS($C648))*SIN(RADIANS($D648))+$J648*COS(RADIANS($E648))*SIN(RADIANS($F648)))</f>
        <v/>
      </c>
      <c r="M648">
        <f>IF($I648="","",$I648*SIN(RADIANS($C648))+$J648*SIN(RADIANS($E648)))</f>
        <v/>
      </c>
      <c r="N648">
        <f>IF($M648="","",DEGREES(ATAN2(SQRT($K648^2+$L648^2),$M648)))</f>
        <v/>
      </c>
      <c r="O648">
        <f>IF($M648="","",DEGREES(ATAN2($K648,$L648)))</f>
        <v/>
      </c>
      <c r="P648">
        <f t="array" ref="P648">IF($N648="","",IFERROR(IF(INDEX(geo_grid!$B$2:$JU$231,INT(($N648+40)/0.5)+1,INT(($O648+30)/0.5)+1)="","",INDEX(geo_grid!$B$2:$JU$231,INT(($N648+40)/0.5)+1,INT(($O648+30)/0.5)+1)),"OUTSIDE GRID"))</f>
        <v/>
      </c>
      <c r="Q648">
        <f>IF($P648="","",$A648*1000+$B648)</f>
        <v/>
      </c>
    </row>
    <row r="649">
      <c r="A649">
        <f>INT((ROW()-2)/151)+1</f>
        <v/>
      </c>
      <c r="B649">
        <f>MOD(ROW()-2,151)</f>
        <v/>
      </c>
      <c r="C649">
        <f t="array" ref="C649">IFERROR(INDEX('TRIP MANAGER'!$O$18:$O$25,$A649),"")</f>
        <v/>
      </c>
      <c r="D649">
        <f t="array" ref="D649">IFERROR(INDEX('TRIP MANAGER'!$P$18:$P$25,$A649),"")</f>
        <v/>
      </c>
      <c r="E649">
        <f t="array" ref="E649">IFERROR(INDEX('TRIP MANAGER'!$Q$18:$Q$25,$A649),"")</f>
        <v/>
      </c>
      <c r="F649">
        <f t="array" ref="F649">IFERROR(INDEX('TRIP MANAGER'!$R$18:$R$25,$A649),"")</f>
        <v/>
      </c>
      <c r="G649">
        <f t="array" ref="G649">IFERROR(INDEX('TRIP MANAGER'!$S$18:$S$25,$A649),"")</f>
        <v/>
      </c>
      <c r="H649">
        <f>$B649/150</f>
        <v/>
      </c>
      <c r="I649">
        <f>IF(OR($G649="",$G649=0),"",SIN((1-$H649)*$G649)/SIN($G649))</f>
        <v/>
      </c>
      <c r="J649">
        <f>IF($I649="","",SIN($H649*$G649)/SIN($G649))</f>
        <v/>
      </c>
      <c r="K649">
        <f>IF($I649="","",$I649*COS(RADIANS($C649))*COS(RADIANS($D649))+$J649*COS(RADIANS($E649))*COS(RADIANS($F649)))</f>
        <v/>
      </c>
      <c r="L649">
        <f>IF($I649="","",$I649*COS(RADIANS($C649))*SIN(RADIANS($D649))+$J649*COS(RADIANS($E649))*SIN(RADIANS($F649)))</f>
        <v/>
      </c>
      <c r="M649">
        <f>IF($I649="","",$I649*SIN(RADIANS($C649))+$J649*SIN(RADIANS($E649)))</f>
        <v/>
      </c>
      <c r="N649">
        <f>IF($M649="","",DEGREES(ATAN2(SQRT($K649^2+$L649^2),$M649)))</f>
        <v/>
      </c>
      <c r="O649">
        <f>IF($M649="","",DEGREES(ATAN2($K649,$L649)))</f>
        <v/>
      </c>
      <c r="P649">
        <f t="array" ref="P649">IF($N649="","",IFERROR(IF(INDEX(geo_grid!$B$2:$JU$231,INT(($N649+40)/0.5)+1,INT(($O649+30)/0.5)+1)="","",INDEX(geo_grid!$B$2:$JU$231,INT(($N649+40)/0.5)+1,INT(($O649+30)/0.5)+1)),"OUTSIDE GRID"))</f>
        <v/>
      </c>
      <c r="Q649">
        <f>IF($P649="","",$A649*1000+$B649)</f>
        <v/>
      </c>
    </row>
    <row r="650">
      <c r="A650">
        <f>INT((ROW()-2)/151)+1</f>
        <v/>
      </c>
      <c r="B650">
        <f>MOD(ROW()-2,151)</f>
        <v/>
      </c>
      <c r="C650">
        <f t="array" ref="C650">IFERROR(INDEX('TRIP MANAGER'!$O$18:$O$25,$A650),"")</f>
        <v/>
      </c>
      <c r="D650">
        <f t="array" ref="D650">IFERROR(INDEX('TRIP MANAGER'!$P$18:$P$25,$A650),"")</f>
        <v/>
      </c>
      <c r="E650">
        <f t="array" ref="E650">IFERROR(INDEX('TRIP MANAGER'!$Q$18:$Q$25,$A650),"")</f>
        <v/>
      </c>
      <c r="F650">
        <f t="array" ref="F650">IFERROR(INDEX('TRIP MANAGER'!$R$18:$R$25,$A650),"")</f>
        <v/>
      </c>
      <c r="G650">
        <f t="array" ref="G650">IFERROR(INDEX('TRIP MANAGER'!$S$18:$S$25,$A650),"")</f>
        <v/>
      </c>
      <c r="H650">
        <f>$B650/150</f>
        <v/>
      </c>
      <c r="I650">
        <f>IF(OR($G650="",$G650=0),"",SIN((1-$H650)*$G650)/SIN($G650))</f>
        <v/>
      </c>
      <c r="J650">
        <f>IF($I650="","",SIN($H650*$G650)/SIN($G650))</f>
        <v/>
      </c>
      <c r="K650">
        <f>IF($I650="","",$I650*COS(RADIANS($C650))*COS(RADIANS($D650))+$J650*COS(RADIANS($E650))*COS(RADIANS($F650)))</f>
        <v/>
      </c>
      <c r="L650">
        <f>IF($I650="","",$I650*COS(RADIANS($C650))*SIN(RADIANS($D650))+$J650*COS(RADIANS($E650))*SIN(RADIANS($F650)))</f>
        <v/>
      </c>
      <c r="M650">
        <f>IF($I650="","",$I650*SIN(RADIANS($C650))+$J650*SIN(RADIANS($E650)))</f>
        <v/>
      </c>
      <c r="N650">
        <f>IF($M650="","",DEGREES(ATAN2(SQRT($K650^2+$L650^2),$M650)))</f>
        <v/>
      </c>
      <c r="O650">
        <f>IF($M650="","",DEGREES(ATAN2($K650,$L650)))</f>
        <v/>
      </c>
      <c r="P650">
        <f t="array" ref="P650">IF($N650="","",IFERROR(IF(INDEX(geo_grid!$B$2:$JU$231,INT(($N650+40)/0.5)+1,INT(($O650+30)/0.5)+1)="","",INDEX(geo_grid!$B$2:$JU$231,INT(($N650+40)/0.5)+1,INT(($O650+30)/0.5)+1)),"OUTSIDE GRID"))</f>
        <v/>
      </c>
      <c r="Q650">
        <f>IF($P650="","",$A650*1000+$B650)</f>
        <v/>
      </c>
    </row>
    <row r="651">
      <c r="A651">
        <f>INT((ROW()-2)/151)+1</f>
        <v/>
      </c>
      <c r="B651">
        <f>MOD(ROW()-2,151)</f>
        <v/>
      </c>
      <c r="C651">
        <f t="array" ref="C651">IFERROR(INDEX('TRIP MANAGER'!$O$18:$O$25,$A651),"")</f>
        <v/>
      </c>
      <c r="D651">
        <f t="array" ref="D651">IFERROR(INDEX('TRIP MANAGER'!$P$18:$P$25,$A651),"")</f>
        <v/>
      </c>
      <c r="E651">
        <f t="array" ref="E651">IFERROR(INDEX('TRIP MANAGER'!$Q$18:$Q$25,$A651),"")</f>
        <v/>
      </c>
      <c r="F651">
        <f t="array" ref="F651">IFERROR(INDEX('TRIP MANAGER'!$R$18:$R$25,$A651),"")</f>
        <v/>
      </c>
      <c r="G651">
        <f t="array" ref="G651">IFERROR(INDEX('TRIP MANAGER'!$S$18:$S$25,$A651),"")</f>
        <v/>
      </c>
      <c r="H651">
        <f>$B651/150</f>
        <v/>
      </c>
      <c r="I651">
        <f>IF(OR($G651="",$G651=0),"",SIN((1-$H651)*$G651)/SIN($G651))</f>
        <v/>
      </c>
      <c r="J651">
        <f>IF($I651="","",SIN($H651*$G651)/SIN($G651))</f>
        <v/>
      </c>
      <c r="K651">
        <f>IF($I651="","",$I651*COS(RADIANS($C651))*COS(RADIANS($D651))+$J651*COS(RADIANS($E651))*COS(RADIANS($F651)))</f>
        <v/>
      </c>
      <c r="L651">
        <f>IF($I651="","",$I651*COS(RADIANS($C651))*SIN(RADIANS($D651))+$J651*COS(RADIANS($E651))*SIN(RADIANS($F651)))</f>
        <v/>
      </c>
      <c r="M651">
        <f>IF($I651="","",$I651*SIN(RADIANS($C651))+$J651*SIN(RADIANS($E651)))</f>
        <v/>
      </c>
      <c r="N651">
        <f>IF($M651="","",DEGREES(ATAN2(SQRT($K651^2+$L651^2),$M651)))</f>
        <v/>
      </c>
      <c r="O651">
        <f>IF($M651="","",DEGREES(ATAN2($K651,$L651)))</f>
        <v/>
      </c>
      <c r="P651">
        <f t="array" ref="P651">IF($N651="","",IFERROR(IF(INDEX(geo_grid!$B$2:$JU$231,INT(($N651+40)/0.5)+1,INT(($O651+30)/0.5)+1)="","",INDEX(geo_grid!$B$2:$JU$231,INT(($N651+40)/0.5)+1,INT(($O651+30)/0.5)+1)),"OUTSIDE GRID"))</f>
        <v/>
      </c>
      <c r="Q651">
        <f>IF($P651="","",$A651*1000+$B651)</f>
        <v/>
      </c>
    </row>
    <row r="652">
      <c r="A652">
        <f>INT((ROW()-2)/151)+1</f>
        <v/>
      </c>
      <c r="B652">
        <f>MOD(ROW()-2,151)</f>
        <v/>
      </c>
      <c r="C652">
        <f t="array" ref="C652">IFERROR(INDEX('TRIP MANAGER'!$O$18:$O$25,$A652),"")</f>
        <v/>
      </c>
      <c r="D652">
        <f t="array" ref="D652">IFERROR(INDEX('TRIP MANAGER'!$P$18:$P$25,$A652),"")</f>
        <v/>
      </c>
      <c r="E652">
        <f t="array" ref="E652">IFERROR(INDEX('TRIP MANAGER'!$Q$18:$Q$25,$A652),"")</f>
        <v/>
      </c>
      <c r="F652">
        <f t="array" ref="F652">IFERROR(INDEX('TRIP MANAGER'!$R$18:$R$25,$A652),"")</f>
        <v/>
      </c>
      <c r="G652">
        <f t="array" ref="G652">IFERROR(INDEX('TRIP MANAGER'!$S$18:$S$25,$A652),"")</f>
        <v/>
      </c>
      <c r="H652">
        <f>$B652/150</f>
        <v/>
      </c>
      <c r="I652">
        <f>IF(OR($G652="",$G652=0),"",SIN((1-$H652)*$G652)/SIN($G652))</f>
        <v/>
      </c>
      <c r="J652">
        <f>IF($I652="","",SIN($H652*$G652)/SIN($G652))</f>
        <v/>
      </c>
      <c r="K652">
        <f>IF($I652="","",$I652*COS(RADIANS($C652))*COS(RADIANS($D652))+$J652*COS(RADIANS($E652))*COS(RADIANS($F652)))</f>
        <v/>
      </c>
      <c r="L652">
        <f>IF($I652="","",$I652*COS(RADIANS($C652))*SIN(RADIANS($D652))+$J652*COS(RADIANS($E652))*SIN(RADIANS($F652)))</f>
        <v/>
      </c>
      <c r="M652">
        <f>IF($I652="","",$I652*SIN(RADIANS($C652))+$J652*SIN(RADIANS($E652)))</f>
        <v/>
      </c>
      <c r="N652">
        <f>IF($M652="","",DEGREES(ATAN2(SQRT($K652^2+$L652^2),$M652)))</f>
        <v/>
      </c>
      <c r="O652">
        <f>IF($M652="","",DEGREES(ATAN2($K652,$L652)))</f>
        <v/>
      </c>
      <c r="P652">
        <f t="array" ref="P652">IF($N652="","",IFERROR(IF(INDEX(geo_grid!$B$2:$JU$231,INT(($N652+40)/0.5)+1,INT(($O652+30)/0.5)+1)="","",INDEX(geo_grid!$B$2:$JU$231,INT(($N652+40)/0.5)+1,INT(($O652+30)/0.5)+1)),"OUTSIDE GRID"))</f>
        <v/>
      </c>
      <c r="Q652">
        <f>IF($P652="","",$A652*1000+$B652)</f>
        <v/>
      </c>
    </row>
    <row r="653">
      <c r="A653">
        <f>INT((ROW()-2)/151)+1</f>
        <v/>
      </c>
      <c r="B653">
        <f>MOD(ROW()-2,151)</f>
        <v/>
      </c>
      <c r="C653">
        <f t="array" ref="C653">IFERROR(INDEX('TRIP MANAGER'!$O$18:$O$25,$A653),"")</f>
        <v/>
      </c>
      <c r="D653">
        <f t="array" ref="D653">IFERROR(INDEX('TRIP MANAGER'!$P$18:$P$25,$A653),"")</f>
        <v/>
      </c>
      <c r="E653">
        <f t="array" ref="E653">IFERROR(INDEX('TRIP MANAGER'!$Q$18:$Q$25,$A653),"")</f>
        <v/>
      </c>
      <c r="F653">
        <f t="array" ref="F653">IFERROR(INDEX('TRIP MANAGER'!$R$18:$R$25,$A653),"")</f>
        <v/>
      </c>
      <c r="G653">
        <f t="array" ref="G653">IFERROR(INDEX('TRIP MANAGER'!$S$18:$S$25,$A653),"")</f>
        <v/>
      </c>
      <c r="H653">
        <f>$B653/150</f>
        <v/>
      </c>
      <c r="I653">
        <f>IF(OR($G653="",$G653=0),"",SIN((1-$H653)*$G653)/SIN($G653))</f>
        <v/>
      </c>
      <c r="J653">
        <f>IF($I653="","",SIN($H653*$G653)/SIN($G653))</f>
        <v/>
      </c>
      <c r="K653">
        <f>IF($I653="","",$I653*COS(RADIANS($C653))*COS(RADIANS($D653))+$J653*COS(RADIANS($E653))*COS(RADIANS($F653)))</f>
        <v/>
      </c>
      <c r="L653">
        <f>IF($I653="","",$I653*COS(RADIANS($C653))*SIN(RADIANS($D653))+$J653*COS(RADIANS($E653))*SIN(RADIANS($F653)))</f>
        <v/>
      </c>
      <c r="M653">
        <f>IF($I653="","",$I653*SIN(RADIANS($C653))+$J653*SIN(RADIANS($E653)))</f>
        <v/>
      </c>
      <c r="N653">
        <f>IF($M653="","",DEGREES(ATAN2(SQRT($K653^2+$L653^2),$M653)))</f>
        <v/>
      </c>
      <c r="O653">
        <f>IF($M653="","",DEGREES(ATAN2($K653,$L653)))</f>
        <v/>
      </c>
      <c r="P653">
        <f t="array" ref="P653">IF($N653="","",IFERROR(IF(INDEX(geo_grid!$B$2:$JU$231,INT(($N653+40)/0.5)+1,INT(($O653+30)/0.5)+1)="","",INDEX(geo_grid!$B$2:$JU$231,INT(($N653+40)/0.5)+1,INT(($O653+30)/0.5)+1)),"OUTSIDE GRID"))</f>
        <v/>
      </c>
      <c r="Q653">
        <f>IF($P653="","",$A653*1000+$B653)</f>
        <v/>
      </c>
    </row>
    <row r="654">
      <c r="A654">
        <f>INT((ROW()-2)/151)+1</f>
        <v/>
      </c>
      <c r="B654">
        <f>MOD(ROW()-2,151)</f>
        <v/>
      </c>
      <c r="C654">
        <f t="array" ref="C654">IFERROR(INDEX('TRIP MANAGER'!$O$18:$O$25,$A654),"")</f>
        <v/>
      </c>
      <c r="D654">
        <f t="array" ref="D654">IFERROR(INDEX('TRIP MANAGER'!$P$18:$P$25,$A654),"")</f>
        <v/>
      </c>
      <c r="E654">
        <f t="array" ref="E654">IFERROR(INDEX('TRIP MANAGER'!$Q$18:$Q$25,$A654),"")</f>
        <v/>
      </c>
      <c r="F654">
        <f t="array" ref="F654">IFERROR(INDEX('TRIP MANAGER'!$R$18:$R$25,$A654),"")</f>
        <v/>
      </c>
      <c r="G654">
        <f t="array" ref="G654">IFERROR(INDEX('TRIP MANAGER'!$S$18:$S$25,$A654),"")</f>
        <v/>
      </c>
      <c r="H654">
        <f>$B654/150</f>
        <v/>
      </c>
      <c r="I654">
        <f>IF(OR($G654="",$G654=0),"",SIN((1-$H654)*$G654)/SIN($G654))</f>
        <v/>
      </c>
      <c r="J654">
        <f>IF($I654="","",SIN($H654*$G654)/SIN($G654))</f>
        <v/>
      </c>
      <c r="K654">
        <f>IF($I654="","",$I654*COS(RADIANS($C654))*COS(RADIANS($D654))+$J654*COS(RADIANS($E654))*COS(RADIANS($F654)))</f>
        <v/>
      </c>
      <c r="L654">
        <f>IF($I654="","",$I654*COS(RADIANS($C654))*SIN(RADIANS($D654))+$J654*COS(RADIANS($E654))*SIN(RADIANS($F654)))</f>
        <v/>
      </c>
      <c r="M654">
        <f>IF($I654="","",$I654*SIN(RADIANS($C654))+$J654*SIN(RADIANS($E654)))</f>
        <v/>
      </c>
      <c r="N654">
        <f>IF($M654="","",DEGREES(ATAN2(SQRT($K654^2+$L654^2),$M654)))</f>
        <v/>
      </c>
      <c r="O654">
        <f>IF($M654="","",DEGREES(ATAN2($K654,$L654)))</f>
        <v/>
      </c>
      <c r="P654">
        <f t="array" ref="P654">IF($N654="","",IFERROR(IF(INDEX(geo_grid!$B$2:$JU$231,INT(($N654+40)/0.5)+1,INT(($O654+30)/0.5)+1)="","",INDEX(geo_grid!$B$2:$JU$231,INT(($N654+40)/0.5)+1,INT(($O654+30)/0.5)+1)),"OUTSIDE GRID"))</f>
        <v/>
      </c>
      <c r="Q654">
        <f>IF($P654="","",$A654*1000+$B654)</f>
        <v/>
      </c>
    </row>
    <row r="655">
      <c r="A655">
        <f>INT((ROW()-2)/151)+1</f>
        <v/>
      </c>
      <c r="B655">
        <f>MOD(ROW()-2,151)</f>
        <v/>
      </c>
      <c r="C655">
        <f t="array" ref="C655">IFERROR(INDEX('TRIP MANAGER'!$O$18:$O$25,$A655),"")</f>
        <v/>
      </c>
      <c r="D655">
        <f t="array" ref="D655">IFERROR(INDEX('TRIP MANAGER'!$P$18:$P$25,$A655),"")</f>
        <v/>
      </c>
      <c r="E655">
        <f t="array" ref="E655">IFERROR(INDEX('TRIP MANAGER'!$Q$18:$Q$25,$A655),"")</f>
        <v/>
      </c>
      <c r="F655">
        <f t="array" ref="F655">IFERROR(INDEX('TRIP MANAGER'!$R$18:$R$25,$A655),"")</f>
        <v/>
      </c>
      <c r="G655">
        <f t="array" ref="G655">IFERROR(INDEX('TRIP MANAGER'!$S$18:$S$25,$A655),"")</f>
        <v/>
      </c>
      <c r="H655">
        <f>$B655/150</f>
        <v/>
      </c>
      <c r="I655">
        <f>IF(OR($G655="",$G655=0),"",SIN((1-$H655)*$G655)/SIN($G655))</f>
        <v/>
      </c>
      <c r="J655">
        <f>IF($I655="","",SIN($H655*$G655)/SIN($G655))</f>
        <v/>
      </c>
      <c r="K655">
        <f>IF($I655="","",$I655*COS(RADIANS($C655))*COS(RADIANS($D655))+$J655*COS(RADIANS($E655))*COS(RADIANS($F655)))</f>
        <v/>
      </c>
      <c r="L655">
        <f>IF($I655="","",$I655*COS(RADIANS($C655))*SIN(RADIANS($D655))+$J655*COS(RADIANS($E655))*SIN(RADIANS($F655)))</f>
        <v/>
      </c>
      <c r="M655">
        <f>IF($I655="","",$I655*SIN(RADIANS($C655))+$J655*SIN(RADIANS($E655)))</f>
        <v/>
      </c>
      <c r="N655">
        <f>IF($M655="","",DEGREES(ATAN2(SQRT($K655^2+$L655^2),$M655)))</f>
        <v/>
      </c>
      <c r="O655">
        <f>IF($M655="","",DEGREES(ATAN2($K655,$L655)))</f>
        <v/>
      </c>
      <c r="P655">
        <f t="array" ref="P655">IF($N655="","",IFERROR(IF(INDEX(geo_grid!$B$2:$JU$231,INT(($N655+40)/0.5)+1,INT(($O655+30)/0.5)+1)="","",INDEX(geo_grid!$B$2:$JU$231,INT(($N655+40)/0.5)+1,INT(($O655+30)/0.5)+1)),"OUTSIDE GRID"))</f>
        <v/>
      </c>
      <c r="Q655">
        <f>IF($P655="","",$A655*1000+$B655)</f>
        <v/>
      </c>
    </row>
    <row r="656">
      <c r="A656">
        <f>INT((ROW()-2)/151)+1</f>
        <v/>
      </c>
      <c r="B656">
        <f>MOD(ROW()-2,151)</f>
        <v/>
      </c>
      <c r="C656">
        <f t="array" ref="C656">IFERROR(INDEX('TRIP MANAGER'!$O$18:$O$25,$A656),"")</f>
        <v/>
      </c>
      <c r="D656">
        <f t="array" ref="D656">IFERROR(INDEX('TRIP MANAGER'!$P$18:$P$25,$A656),"")</f>
        <v/>
      </c>
      <c r="E656">
        <f t="array" ref="E656">IFERROR(INDEX('TRIP MANAGER'!$Q$18:$Q$25,$A656),"")</f>
        <v/>
      </c>
      <c r="F656">
        <f t="array" ref="F656">IFERROR(INDEX('TRIP MANAGER'!$R$18:$R$25,$A656),"")</f>
        <v/>
      </c>
      <c r="G656">
        <f t="array" ref="G656">IFERROR(INDEX('TRIP MANAGER'!$S$18:$S$25,$A656),"")</f>
        <v/>
      </c>
      <c r="H656">
        <f>$B656/150</f>
        <v/>
      </c>
      <c r="I656">
        <f>IF(OR($G656="",$G656=0),"",SIN((1-$H656)*$G656)/SIN($G656))</f>
        <v/>
      </c>
      <c r="J656">
        <f>IF($I656="","",SIN($H656*$G656)/SIN($G656))</f>
        <v/>
      </c>
      <c r="K656">
        <f>IF($I656="","",$I656*COS(RADIANS($C656))*COS(RADIANS($D656))+$J656*COS(RADIANS($E656))*COS(RADIANS($F656)))</f>
        <v/>
      </c>
      <c r="L656">
        <f>IF($I656="","",$I656*COS(RADIANS($C656))*SIN(RADIANS($D656))+$J656*COS(RADIANS($E656))*SIN(RADIANS($F656)))</f>
        <v/>
      </c>
      <c r="M656">
        <f>IF($I656="","",$I656*SIN(RADIANS($C656))+$J656*SIN(RADIANS($E656)))</f>
        <v/>
      </c>
      <c r="N656">
        <f>IF($M656="","",DEGREES(ATAN2(SQRT($K656^2+$L656^2),$M656)))</f>
        <v/>
      </c>
      <c r="O656">
        <f>IF($M656="","",DEGREES(ATAN2($K656,$L656)))</f>
        <v/>
      </c>
      <c r="P656">
        <f t="array" ref="P656">IF($N656="","",IFERROR(IF(INDEX(geo_grid!$B$2:$JU$231,INT(($N656+40)/0.5)+1,INT(($O656+30)/0.5)+1)="","",INDEX(geo_grid!$B$2:$JU$231,INT(($N656+40)/0.5)+1,INT(($O656+30)/0.5)+1)),"OUTSIDE GRID"))</f>
        <v/>
      </c>
      <c r="Q656">
        <f>IF($P656="","",$A656*1000+$B656)</f>
        <v/>
      </c>
    </row>
    <row r="657">
      <c r="A657">
        <f>INT((ROW()-2)/151)+1</f>
        <v/>
      </c>
      <c r="B657">
        <f>MOD(ROW()-2,151)</f>
        <v/>
      </c>
      <c r="C657">
        <f t="array" ref="C657">IFERROR(INDEX('TRIP MANAGER'!$O$18:$O$25,$A657),"")</f>
        <v/>
      </c>
      <c r="D657">
        <f t="array" ref="D657">IFERROR(INDEX('TRIP MANAGER'!$P$18:$P$25,$A657),"")</f>
        <v/>
      </c>
      <c r="E657">
        <f t="array" ref="E657">IFERROR(INDEX('TRIP MANAGER'!$Q$18:$Q$25,$A657),"")</f>
        <v/>
      </c>
      <c r="F657">
        <f t="array" ref="F657">IFERROR(INDEX('TRIP MANAGER'!$R$18:$R$25,$A657),"")</f>
        <v/>
      </c>
      <c r="G657">
        <f t="array" ref="G657">IFERROR(INDEX('TRIP MANAGER'!$S$18:$S$25,$A657),"")</f>
        <v/>
      </c>
      <c r="H657">
        <f>$B657/150</f>
        <v/>
      </c>
      <c r="I657">
        <f>IF(OR($G657="",$G657=0),"",SIN((1-$H657)*$G657)/SIN($G657))</f>
        <v/>
      </c>
      <c r="J657">
        <f>IF($I657="","",SIN($H657*$G657)/SIN($G657))</f>
        <v/>
      </c>
      <c r="K657">
        <f>IF($I657="","",$I657*COS(RADIANS($C657))*COS(RADIANS($D657))+$J657*COS(RADIANS($E657))*COS(RADIANS($F657)))</f>
        <v/>
      </c>
      <c r="L657">
        <f>IF($I657="","",$I657*COS(RADIANS($C657))*SIN(RADIANS($D657))+$J657*COS(RADIANS($E657))*SIN(RADIANS($F657)))</f>
        <v/>
      </c>
      <c r="M657">
        <f>IF($I657="","",$I657*SIN(RADIANS($C657))+$J657*SIN(RADIANS($E657)))</f>
        <v/>
      </c>
      <c r="N657">
        <f>IF($M657="","",DEGREES(ATAN2(SQRT($K657^2+$L657^2),$M657)))</f>
        <v/>
      </c>
      <c r="O657">
        <f>IF($M657="","",DEGREES(ATAN2($K657,$L657)))</f>
        <v/>
      </c>
      <c r="P657">
        <f t="array" ref="P657">IF($N657="","",IFERROR(IF(INDEX(geo_grid!$B$2:$JU$231,INT(($N657+40)/0.5)+1,INT(($O657+30)/0.5)+1)="","",INDEX(geo_grid!$B$2:$JU$231,INT(($N657+40)/0.5)+1,INT(($O657+30)/0.5)+1)),"OUTSIDE GRID"))</f>
        <v/>
      </c>
      <c r="Q657">
        <f>IF($P657="","",$A657*1000+$B657)</f>
        <v/>
      </c>
    </row>
    <row r="658">
      <c r="A658">
        <f>INT((ROW()-2)/151)+1</f>
        <v/>
      </c>
      <c r="B658">
        <f>MOD(ROW()-2,151)</f>
        <v/>
      </c>
      <c r="C658">
        <f t="array" ref="C658">IFERROR(INDEX('TRIP MANAGER'!$O$18:$O$25,$A658),"")</f>
        <v/>
      </c>
      <c r="D658">
        <f t="array" ref="D658">IFERROR(INDEX('TRIP MANAGER'!$P$18:$P$25,$A658),"")</f>
        <v/>
      </c>
      <c r="E658">
        <f t="array" ref="E658">IFERROR(INDEX('TRIP MANAGER'!$Q$18:$Q$25,$A658),"")</f>
        <v/>
      </c>
      <c r="F658">
        <f t="array" ref="F658">IFERROR(INDEX('TRIP MANAGER'!$R$18:$R$25,$A658),"")</f>
        <v/>
      </c>
      <c r="G658">
        <f t="array" ref="G658">IFERROR(INDEX('TRIP MANAGER'!$S$18:$S$25,$A658),"")</f>
        <v/>
      </c>
      <c r="H658">
        <f>$B658/150</f>
        <v/>
      </c>
      <c r="I658">
        <f>IF(OR($G658="",$G658=0),"",SIN((1-$H658)*$G658)/SIN($G658))</f>
        <v/>
      </c>
      <c r="J658">
        <f>IF($I658="","",SIN($H658*$G658)/SIN($G658))</f>
        <v/>
      </c>
      <c r="K658">
        <f>IF($I658="","",$I658*COS(RADIANS($C658))*COS(RADIANS($D658))+$J658*COS(RADIANS($E658))*COS(RADIANS($F658)))</f>
        <v/>
      </c>
      <c r="L658">
        <f>IF($I658="","",$I658*COS(RADIANS($C658))*SIN(RADIANS($D658))+$J658*COS(RADIANS($E658))*SIN(RADIANS($F658)))</f>
        <v/>
      </c>
      <c r="M658">
        <f>IF($I658="","",$I658*SIN(RADIANS($C658))+$J658*SIN(RADIANS($E658)))</f>
        <v/>
      </c>
      <c r="N658">
        <f>IF($M658="","",DEGREES(ATAN2(SQRT($K658^2+$L658^2),$M658)))</f>
        <v/>
      </c>
      <c r="O658">
        <f>IF($M658="","",DEGREES(ATAN2($K658,$L658)))</f>
        <v/>
      </c>
      <c r="P658">
        <f t="array" ref="P658">IF($N658="","",IFERROR(IF(INDEX(geo_grid!$B$2:$JU$231,INT(($N658+40)/0.5)+1,INT(($O658+30)/0.5)+1)="","",INDEX(geo_grid!$B$2:$JU$231,INT(($N658+40)/0.5)+1,INT(($O658+30)/0.5)+1)),"OUTSIDE GRID"))</f>
        <v/>
      </c>
      <c r="Q658">
        <f>IF($P658="","",$A658*1000+$B658)</f>
        <v/>
      </c>
    </row>
    <row r="659">
      <c r="A659">
        <f>INT((ROW()-2)/151)+1</f>
        <v/>
      </c>
      <c r="B659">
        <f>MOD(ROW()-2,151)</f>
        <v/>
      </c>
      <c r="C659">
        <f t="array" ref="C659">IFERROR(INDEX('TRIP MANAGER'!$O$18:$O$25,$A659),"")</f>
        <v/>
      </c>
      <c r="D659">
        <f t="array" ref="D659">IFERROR(INDEX('TRIP MANAGER'!$P$18:$P$25,$A659),"")</f>
        <v/>
      </c>
      <c r="E659">
        <f t="array" ref="E659">IFERROR(INDEX('TRIP MANAGER'!$Q$18:$Q$25,$A659),"")</f>
        <v/>
      </c>
      <c r="F659">
        <f t="array" ref="F659">IFERROR(INDEX('TRIP MANAGER'!$R$18:$R$25,$A659),"")</f>
        <v/>
      </c>
      <c r="G659">
        <f t="array" ref="G659">IFERROR(INDEX('TRIP MANAGER'!$S$18:$S$25,$A659),"")</f>
        <v/>
      </c>
      <c r="H659">
        <f>$B659/150</f>
        <v/>
      </c>
      <c r="I659">
        <f>IF(OR($G659="",$G659=0),"",SIN((1-$H659)*$G659)/SIN($G659))</f>
        <v/>
      </c>
      <c r="J659">
        <f>IF($I659="","",SIN($H659*$G659)/SIN($G659))</f>
        <v/>
      </c>
      <c r="K659">
        <f>IF($I659="","",$I659*COS(RADIANS($C659))*COS(RADIANS($D659))+$J659*COS(RADIANS($E659))*COS(RADIANS($F659)))</f>
        <v/>
      </c>
      <c r="L659">
        <f>IF($I659="","",$I659*COS(RADIANS($C659))*SIN(RADIANS($D659))+$J659*COS(RADIANS($E659))*SIN(RADIANS($F659)))</f>
        <v/>
      </c>
      <c r="M659">
        <f>IF($I659="","",$I659*SIN(RADIANS($C659))+$J659*SIN(RADIANS($E659)))</f>
        <v/>
      </c>
      <c r="N659">
        <f>IF($M659="","",DEGREES(ATAN2(SQRT($K659^2+$L659^2),$M659)))</f>
        <v/>
      </c>
      <c r="O659">
        <f>IF($M659="","",DEGREES(ATAN2($K659,$L659)))</f>
        <v/>
      </c>
      <c r="P659">
        <f t="array" ref="P659">IF($N659="","",IFERROR(IF(INDEX(geo_grid!$B$2:$JU$231,INT(($N659+40)/0.5)+1,INT(($O659+30)/0.5)+1)="","",INDEX(geo_grid!$B$2:$JU$231,INT(($N659+40)/0.5)+1,INT(($O659+30)/0.5)+1)),"OUTSIDE GRID"))</f>
        <v/>
      </c>
      <c r="Q659">
        <f>IF($P659="","",$A659*1000+$B659)</f>
        <v/>
      </c>
    </row>
    <row r="660">
      <c r="A660">
        <f>INT((ROW()-2)/151)+1</f>
        <v/>
      </c>
      <c r="B660">
        <f>MOD(ROW()-2,151)</f>
        <v/>
      </c>
      <c r="C660">
        <f t="array" ref="C660">IFERROR(INDEX('TRIP MANAGER'!$O$18:$O$25,$A660),"")</f>
        <v/>
      </c>
      <c r="D660">
        <f t="array" ref="D660">IFERROR(INDEX('TRIP MANAGER'!$P$18:$P$25,$A660),"")</f>
        <v/>
      </c>
      <c r="E660">
        <f t="array" ref="E660">IFERROR(INDEX('TRIP MANAGER'!$Q$18:$Q$25,$A660),"")</f>
        <v/>
      </c>
      <c r="F660">
        <f t="array" ref="F660">IFERROR(INDEX('TRIP MANAGER'!$R$18:$R$25,$A660),"")</f>
        <v/>
      </c>
      <c r="G660">
        <f t="array" ref="G660">IFERROR(INDEX('TRIP MANAGER'!$S$18:$S$25,$A660),"")</f>
        <v/>
      </c>
      <c r="H660">
        <f>$B660/150</f>
        <v/>
      </c>
      <c r="I660">
        <f>IF(OR($G660="",$G660=0),"",SIN((1-$H660)*$G660)/SIN($G660))</f>
        <v/>
      </c>
      <c r="J660">
        <f>IF($I660="","",SIN($H660*$G660)/SIN($G660))</f>
        <v/>
      </c>
      <c r="K660">
        <f>IF($I660="","",$I660*COS(RADIANS($C660))*COS(RADIANS($D660))+$J660*COS(RADIANS($E660))*COS(RADIANS($F660)))</f>
        <v/>
      </c>
      <c r="L660">
        <f>IF($I660="","",$I660*COS(RADIANS($C660))*SIN(RADIANS($D660))+$J660*COS(RADIANS($E660))*SIN(RADIANS($F660)))</f>
        <v/>
      </c>
      <c r="M660">
        <f>IF($I660="","",$I660*SIN(RADIANS($C660))+$J660*SIN(RADIANS($E660)))</f>
        <v/>
      </c>
      <c r="N660">
        <f>IF($M660="","",DEGREES(ATAN2(SQRT($K660^2+$L660^2),$M660)))</f>
        <v/>
      </c>
      <c r="O660">
        <f>IF($M660="","",DEGREES(ATAN2($K660,$L660)))</f>
        <v/>
      </c>
      <c r="P660">
        <f t="array" ref="P660">IF($N660="","",IFERROR(IF(INDEX(geo_grid!$B$2:$JU$231,INT(($N660+40)/0.5)+1,INT(($O660+30)/0.5)+1)="","",INDEX(geo_grid!$B$2:$JU$231,INT(($N660+40)/0.5)+1,INT(($O660+30)/0.5)+1)),"OUTSIDE GRID"))</f>
        <v/>
      </c>
      <c r="Q660">
        <f>IF($P660="","",$A660*1000+$B660)</f>
        <v/>
      </c>
    </row>
    <row r="661">
      <c r="A661">
        <f>INT((ROW()-2)/151)+1</f>
        <v/>
      </c>
      <c r="B661">
        <f>MOD(ROW()-2,151)</f>
        <v/>
      </c>
      <c r="C661">
        <f t="array" ref="C661">IFERROR(INDEX('TRIP MANAGER'!$O$18:$O$25,$A661),"")</f>
        <v/>
      </c>
      <c r="D661">
        <f t="array" ref="D661">IFERROR(INDEX('TRIP MANAGER'!$P$18:$P$25,$A661),"")</f>
        <v/>
      </c>
      <c r="E661">
        <f t="array" ref="E661">IFERROR(INDEX('TRIP MANAGER'!$Q$18:$Q$25,$A661),"")</f>
        <v/>
      </c>
      <c r="F661">
        <f t="array" ref="F661">IFERROR(INDEX('TRIP MANAGER'!$R$18:$R$25,$A661),"")</f>
        <v/>
      </c>
      <c r="G661">
        <f t="array" ref="G661">IFERROR(INDEX('TRIP MANAGER'!$S$18:$S$25,$A661),"")</f>
        <v/>
      </c>
      <c r="H661">
        <f>$B661/150</f>
        <v/>
      </c>
      <c r="I661">
        <f>IF(OR($G661="",$G661=0),"",SIN((1-$H661)*$G661)/SIN($G661))</f>
        <v/>
      </c>
      <c r="J661">
        <f>IF($I661="","",SIN($H661*$G661)/SIN($G661))</f>
        <v/>
      </c>
      <c r="K661">
        <f>IF($I661="","",$I661*COS(RADIANS($C661))*COS(RADIANS($D661))+$J661*COS(RADIANS($E661))*COS(RADIANS($F661)))</f>
        <v/>
      </c>
      <c r="L661">
        <f>IF($I661="","",$I661*COS(RADIANS($C661))*SIN(RADIANS($D661))+$J661*COS(RADIANS($E661))*SIN(RADIANS($F661)))</f>
        <v/>
      </c>
      <c r="M661">
        <f>IF($I661="","",$I661*SIN(RADIANS($C661))+$J661*SIN(RADIANS($E661)))</f>
        <v/>
      </c>
      <c r="N661">
        <f>IF($M661="","",DEGREES(ATAN2(SQRT($K661^2+$L661^2),$M661)))</f>
        <v/>
      </c>
      <c r="O661">
        <f>IF($M661="","",DEGREES(ATAN2($K661,$L661)))</f>
        <v/>
      </c>
      <c r="P661">
        <f t="array" ref="P661">IF($N661="","",IFERROR(IF(INDEX(geo_grid!$B$2:$JU$231,INT(($N661+40)/0.5)+1,INT(($O661+30)/0.5)+1)="","",INDEX(geo_grid!$B$2:$JU$231,INT(($N661+40)/0.5)+1,INT(($O661+30)/0.5)+1)),"OUTSIDE GRID"))</f>
        <v/>
      </c>
      <c r="Q661">
        <f>IF($P661="","",$A661*1000+$B661)</f>
        <v/>
      </c>
    </row>
    <row r="662">
      <c r="A662">
        <f>INT((ROW()-2)/151)+1</f>
        <v/>
      </c>
      <c r="B662">
        <f>MOD(ROW()-2,151)</f>
        <v/>
      </c>
      <c r="C662">
        <f t="array" ref="C662">IFERROR(INDEX('TRIP MANAGER'!$O$18:$O$25,$A662),"")</f>
        <v/>
      </c>
      <c r="D662">
        <f t="array" ref="D662">IFERROR(INDEX('TRIP MANAGER'!$P$18:$P$25,$A662),"")</f>
        <v/>
      </c>
      <c r="E662">
        <f t="array" ref="E662">IFERROR(INDEX('TRIP MANAGER'!$Q$18:$Q$25,$A662),"")</f>
        <v/>
      </c>
      <c r="F662">
        <f t="array" ref="F662">IFERROR(INDEX('TRIP MANAGER'!$R$18:$R$25,$A662),"")</f>
        <v/>
      </c>
      <c r="G662">
        <f t="array" ref="G662">IFERROR(INDEX('TRIP MANAGER'!$S$18:$S$25,$A662),"")</f>
        <v/>
      </c>
      <c r="H662">
        <f>$B662/150</f>
        <v/>
      </c>
      <c r="I662">
        <f>IF(OR($G662="",$G662=0),"",SIN((1-$H662)*$G662)/SIN($G662))</f>
        <v/>
      </c>
      <c r="J662">
        <f>IF($I662="","",SIN($H662*$G662)/SIN($G662))</f>
        <v/>
      </c>
      <c r="K662">
        <f>IF($I662="","",$I662*COS(RADIANS($C662))*COS(RADIANS($D662))+$J662*COS(RADIANS($E662))*COS(RADIANS($F662)))</f>
        <v/>
      </c>
      <c r="L662">
        <f>IF($I662="","",$I662*COS(RADIANS($C662))*SIN(RADIANS($D662))+$J662*COS(RADIANS($E662))*SIN(RADIANS($F662)))</f>
        <v/>
      </c>
      <c r="M662">
        <f>IF($I662="","",$I662*SIN(RADIANS($C662))+$J662*SIN(RADIANS($E662)))</f>
        <v/>
      </c>
      <c r="N662">
        <f>IF($M662="","",DEGREES(ATAN2(SQRT($K662^2+$L662^2),$M662)))</f>
        <v/>
      </c>
      <c r="O662">
        <f>IF($M662="","",DEGREES(ATAN2($K662,$L662)))</f>
        <v/>
      </c>
      <c r="P662">
        <f t="array" ref="P662">IF($N662="","",IFERROR(IF(INDEX(geo_grid!$B$2:$JU$231,INT(($N662+40)/0.5)+1,INT(($O662+30)/0.5)+1)="","",INDEX(geo_grid!$B$2:$JU$231,INT(($N662+40)/0.5)+1,INT(($O662+30)/0.5)+1)),"OUTSIDE GRID"))</f>
        <v/>
      </c>
      <c r="Q662">
        <f>IF($P662="","",$A662*1000+$B662)</f>
        <v/>
      </c>
    </row>
    <row r="663">
      <c r="A663">
        <f>INT((ROW()-2)/151)+1</f>
        <v/>
      </c>
      <c r="B663">
        <f>MOD(ROW()-2,151)</f>
        <v/>
      </c>
      <c r="C663">
        <f t="array" ref="C663">IFERROR(INDEX('TRIP MANAGER'!$O$18:$O$25,$A663),"")</f>
        <v/>
      </c>
      <c r="D663">
        <f t="array" ref="D663">IFERROR(INDEX('TRIP MANAGER'!$P$18:$P$25,$A663),"")</f>
        <v/>
      </c>
      <c r="E663">
        <f t="array" ref="E663">IFERROR(INDEX('TRIP MANAGER'!$Q$18:$Q$25,$A663),"")</f>
        <v/>
      </c>
      <c r="F663">
        <f t="array" ref="F663">IFERROR(INDEX('TRIP MANAGER'!$R$18:$R$25,$A663),"")</f>
        <v/>
      </c>
      <c r="G663">
        <f t="array" ref="G663">IFERROR(INDEX('TRIP MANAGER'!$S$18:$S$25,$A663),"")</f>
        <v/>
      </c>
      <c r="H663">
        <f>$B663/150</f>
        <v/>
      </c>
      <c r="I663">
        <f>IF(OR($G663="",$G663=0),"",SIN((1-$H663)*$G663)/SIN($G663))</f>
        <v/>
      </c>
      <c r="J663">
        <f>IF($I663="","",SIN($H663*$G663)/SIN($G663))</f>
        <v/>
      </c>
      <c r="K663">
        <f>IF($I663="","",$I663*COS(RADIANS($C663))*COS(RADIANS($D663))+$J663*COS(RADIANS($E663))*COS(RADIANS($F663)))</f>
        <v/>
      </c>
      <c r="L663">
        <f>IF($I663="","",$I663*COS(RADIANS($C663))*SIN(RADIANS($D663))+$J663*COS(RADIANS($E663))*SIN(RADIANS($F663)))</f>
        <v/>
      </c>
      <c r="M663">
        <f>IF($I663="","",$I663*SIN(RADIANS($C663))+$J663*SIN(RADIANS($E663)))</f>
        <v/>
      </c>
      <c r="N663">
        <f>IF($M663="","",DEGREES(ATAN2(SQRT($K663^2+$L663^2),$M663)))</f>
        <v/>
      </c>
      <c r="O663">
        <f>IF($M663="","",DEGREES(ATAN2($K663,$L663)))</f>
        <v/>
      </c>
      <c r="P663">
        <f t="array" ref="P663">IF($N663="","",IFERROR(IF(INDEX(geo_grid!$B$2:$JU$231,INT(($N663+40)/0.5)+1,INT(($O663+30)/0.5)+1)="","",INDEX(geo_grid!$B$2:$JU$231,INT(($N663+40)/0.5)+1,INT(($O663+30)/0.5)+1)),"OUTSIDE GRID"))</f>
        <v/>
      </c>
      <c r="Q663">
        <f>IF($P663="","",$A663*1000+$B663)</f>
        <v/>
      </c>
    </row>
    <row r="664">
      <c r="A664">
        <f>INT((ROW()-2)/151)+1</f>
        <v/>
      </c>
      <c r="B664">
        <f>MOD(ROW()-2,151)</f>
        <v/>
      </c>
      <c r="C664">
        <f t="array" ref="C664">IFERROR(INDEX('TRIP MANAGER'!$O$18:$O$25,$A664),"")</f>
        <v/>
      </c>
      <c r="D664">
        <f t="array" ref="D664">IFERROR(INDEX('TRIP MANAGER'!$P$18:$P$25,$A664),"")</f>
        <v/>
      </c>
      <c r="E664">
        <f t="array" ref="E664">IFERROR(INDEX('TRIP MANAGER'!$Q$18:$Q$25,$A664),"")</f>
        <v/>
      </c>
      <c r="F664">
        <f t="array" ref="F664">IFERROR(INDEX('TRIP MANAGER'!$R$18:$R$25,$A664),"")</f>
        <v/>
      </c>
      <c r="G664">
        <f t="array" ref="G664">IFERROR(INDEX('TRIP MANAGER'!$S$18:$S$25,$A664),"")</f>
        <v/>
      </c>
      <c r="H664">
        <f>$B664/150</f>
        <v/>
      </c>
      <c r="I664">
        <f>IF(OR($G664="",$G664=0),"",SIN((1-$H664)*$G664)/SIN($G664))</f>
        <v/>
      </c>
      <c r="J664">
        <f>IF($I664="","",SIN($H664*$G664)/SIN($G664))</f>
        <v/>
      </c>
      <c r="K664">
        <f>IF($I664="","",$I664*COS(RADIANS($C664))*COS(RADIANS($D664))+$J664*COS(RADIANS($E664))*COS(RADIANS($F664)))</f>
        <v/>
      </c>
      <c r="L664">
        <f>IF($I664="","",$I664*COS(RADIANS($C664))*SIN(RADIANS($D664))+$J664*COS(RADIANS($E664))*SIN(RADIANS($F664)))</f>
        <v/>
      </c>
      <c r="M664">
        <f>IF($I664="","",$I664*SIN(RADIANS($C664))+$J664*SIN(RADIANS($E664)))</f>
        <v/>
      </c>
      <c r="N664">
        <f>IF($M664="","",DEGREES(ATAN2(SQRT($K664^2+$L664^2),$M664)))</f>
        <v/>
      </c>
      <c r="O664">
        <f>IF($M664="","",DEGREES(ATAN2($K664,$L664)))</f>
        <v/>
      </c>
      <c r="P664">
        <f t="array" ref="P664">IF($N664="","",IFERROR(IF(INDEX(geo_grid!$B$2:$JU$231,INT(($N664+40)/0.5)+1,INT(($O664+30)/0.5)+1)="","",INDEX(geo_grid!$B$2:$JU$231,INT(($N664+40)/0.5)+1,INT(($O664+30)/0.5)+1)),"OUTSIDE GRID"))</f>
        <v/>
      </c>
      <c r="Q664">
        <f>IF($P664="","",$A664*1000+$B664)</f>
        <v/>
      </c>
    </row>
    <row r="665">
      <c r="A665">
        <f>INT((ROW()-2)/151)+1</f>
        <v/>
      </c>
      <c r="B665">
        <f>MOD(ROW()-2,151)</f>
        <v/>
      </c>
      <c r="C665">
        <f t="array" ref="C665">IFERROR(INDEX('TRIP MANAGER'!$O$18:$O$25,$A665),"")</f>
        <v/>
      </c>
      <c r="D665">
        <f t="array" ref="D665">IFERROR(INDEX('TRIP MANAGER'!$P$18:$P$25,$A665),"")</f>
        <v/>
      </c>
      <c r="E665">
        <f t="array" ref="E665">IFERROR(INDEX('TRIP MANAGER'!$Q$18:$Q$25,$A665),"")</f>
        <v/>
      </c>
      <c r="F665">
        <f t="array" ref="F665">IFERROR(INDEX('TRIP MANAGER'!$R$18:$R$25,$A665),"")</f>
        <v/>
      </c>
      <c r="G665">
        <f t="array" ref="G665">IFERROR(INDEX('TRIP MANAGER'!$S$18:$S$25,$A665),"")</f>
        <v/>
      </c>
      <c r="H665">
        <f>$B665/150</f>
        <v/>
      </c>
      <c r="I665">
        <f>IF(OR($G665="",$G665=0),"",SIN((1-$H665)*$G665)/SIN($G665))</f>
        <v/>
      </c>
      <c r="J665">
        <f>IF($I665="","",SIN($H665*$G665)/SIN($G665))</f>
        <v/>
      </c>
      <c r="K665">
        <f>IF($I665="","",$I665*COS(RADIANS($C665))*COS(RADIANS($D665))+$J665*COS(RADIANS($E665))*COS(RADIANS($F665)))</f>
        <v/>
      </c>
      <c r="L665">
        <f>IF($I665="","",$I665*COS(RADIANS($C665))*SIN(RADIANS($D665))+$J665*COS(RADIANS($E665))*SIN(RADIANS($F665)))</f>
        <v/>
      </c>
      <c r="M665">
        <f>IF($I665="","",$I665*SIN(RADIANS($C665))+$J665*SIN(RADIANS($E665)))</f>
        <v/>
      </c>
      <c r="N665">
        <f>IF($M665="","",DEGREES(ATAN2(SQRT($K665^2+$L665^2),$M665)))</f>
        <v/>
      </c>
      <c r="O665">
        <f>IF($M665="","",DEGREES(ATAN2($K665,$L665)))</f>
        <v/>
      </c>
      <c r="P665">
        <f t="array" ref="P665">IF($N665="","",IFERROR(IF(INDEX(geo_grid!$B$2:$JU$231,INT(($N665+40)/0.5)+1,INT(($O665+30)/0.5)+1)="","",INDEX(geo_grid!$B$2:$JU$231,INT(($N665+40)/0.5)+1,INT(($O665+30)/0.5)+1)),"OUTSIDE GRID"))</f>
        <v/>
      </c>
      <c r="Q665">
        <f>IF($P665="","",$A665*1000+$B665)</f>
        <v/>
      </c>
    </row>
    <row r="666">
      <c r="A666">
        <f>INT((ROW()-2)/151)+1</f>
        <v/>
      </c>
      <c r="B666">
        <f>MOD(ROW()-2,151)</f>
        <v/>
      </c>
      <c r="C666">
        <f t="array" ref="C666">IFERROR(INDEX('TRIP MANAGER'!$O$18:$O$25,$A666),"")</f>
        <v/>
      </c>
      <c r="D666">
        <f t="array" ref="D666">IFERROR(INDEX('TRIP MANAGER'!$P$18:$P$25,$A666),"")</f>
        <v/>
      </c>
      <c r="E666">
        <f t="array" ref="E666">IFERROR(INDEX('TRIP MANAGER'!$Q$18:$Q$25,$A666),"")</f>
        <v/>
      </c>
      <c r="F666">
        <f t="array" ref="F666">IFERROR(INDEX('TRIP MANAGER'!$R$18:$R$25,$A666),"")</f>
        <v/>
      </c>
      <c r="G666">
        <f t="array" ref="G666">IFERROR(INDEX('TRIP MANAGER'!$S$18:$S$25,$A666),"")</f>
        <v/>
      </c>
      <c r="H666">
        <f>$B666/150</f>
        <v/>
      </c>
      <c r="I666">
        <f>IF(OR($G666="",$G666=0),"",SIN((1-$H666)*$G666)/SIN($G666))</f>
        <v/>
      </c>
      <c r="J666">
        <f>IF($I666="","",SIN($H666*$G666)/SIN($G666))</f>
        <v/>
      </c>
      <c r="K666">
        <f>IF($I666="","",$I666*COS(RADIANS($C666))*COS(RADIANS($D666))+$J666*COS(RADIANS($E666))*COS(RADIANS($F666)))</f>
        <v/>
      </c>
      <c r="L666">
        <f>IF($I666="","",$I666*COS(RADIANS($C666))*SIN(RADIANS($D666))+$J666*COS(RADIANS($E666))*SIN(RADIANS($F666)))</f>
        <v/>
      </c>
      <c r="M666">
        <f>IF($I666="","",$I666*SIN(RADIANS($C666))+$J666*SIN(RADIANS($E666)))</f>
        <v/>
      </c>
      <c r="N666">
        <f>IF($M666="","",DEGREES(ATAN2(SQRT($K666^2+$L666^2),$M666)))</f>
        <v/>
      </c>
      <c r="O666">
        <f>IF($M666="","",DEGREES(ATAN2($K666,$L666)))</f>
        <v/>
      </c>
      <c r="P666">
        <f t="array" ref="P666">IF($N666="","",IFERROR(IF(INDEX(geo_grid!$B$2:$JU$231,INT(($N666+40)/0.5)+1,INT(($O666+30)/0.5)+1)="","",INDEX(geo_grid!$B$2:$JU$231,INT(($N666+40)/0.5)+1,INT(($O666+30)/0.5)+1)),"OUTSIDE GRID"))</f>
        <v/>
      </c>
      <c r="Q666">
        <f>IF($P666="","",$A666*1000+$B666)</f>
        <v/>
      </c>
    </row>
    <row r="667">
      <c r="A667">
        <f>INT((ROW()-2)/151)+1</f>
        <v/>
      </c>
      <c r="B667">
        <f>MOD(ROW()-2,151)</f>
        <v/>
      </c>
      <c r="C667">
        <f t="array" ref="C667">IFERROR(INDEX('TRIP MANAGER'!$O$18:$O$25,$A667),"")</f>
        <v/>
      </c>
      <c r="D667">
        <f t="array" ref="D667">IFERROR(INDEX('TRIP MANAGER'!$P$18:$P$25,$A667),"")</f>
        <v/>
      </c>
      <c r="E667">
        <f t="array" ref="E667">IFERROR(INDEX('TRIP MANAGER'!$Q$18:$Q$25,$A667),"")</f>
        <v/>
      </c>
      <c r="F667">
        <f t="array" ref="F667">IFERROR(INDEX('TRIP MANAGER'!$R$18:$R$25,$A667),"")</f>
        <v/>
      </c>
      <c r="G667">
        <f t="array" ref="G667">IFERROR(INDEX('TRIP MANAGER'!$S$18:$S$25,$A667),"")</f>
        <v/>
      </c>
      <c r="H667">
        <f>$B667/150</f>
        <v/>
      </c>
      <c r="I667">
        <f>IF(OR($G667="",$G667=0),"",SIN((1-$H667)*$G667)/SIN($G667))</f>
        <v/>
      </c>
      <c r="J667">
        <f>IF($I667="","",SIN($H667*$G667)/SIN($G667))</f>
        <v/>
      </c>
      <c r="K667">
        <f>IF($I667="","",$I667*COS(RADIANS($C667))*COS(RADIANS($D667))+$J667*COS(RADIANS($E667))*COS(RADIANS($F667)))</f>
        <v/>
      </c>
      <c r="L667">
        <f>IF($I667="","",$I667*COS(RADIANS($C667))*SIN(RADIANS($D667))+$J667*COS(RADIANS($E667))*SIN(RADIANS($F667)))</f>
        <v/>
      </c>
      <c r="M667">
        <f>IF($I667="","",$I667*SIN(RADIANS($C667))+$J667*SIN(RADIANS($E667)))</f>
        <v/>
      </c>
      <c r="N667">
        <f>IF($M667="","",DEGREES(ATAN2(SQRT($K667^2+$L667^2),$M667)))</f>
        <v/>
      </c>
      <c r="O667">
        <f>IF($M667="","",DEGREES(ATAN2($K667,$L667)))</f>
        <v/>
      </c>
      <c r="P667">
        <f t="array" ref="P667">IF($N667="","",IFERROR(IF(INDEX(geo_grid!$B$2:$JU$231,INT(($N667+40)/0.5)+1,INT(($O667+30)/0.5)+1)="","",INDEX(geo_grid!$B$2:$JU$231,INT(($N667+40)/0.5)+1,INT(($O667+30)/0.5)+1)),"OUTSIDE GRID"))</f>
        <v/>
      </c>
      <c r="Q667">
        <f>IF($P667="","",$A667*1000+$B667)</f>
        <v/>
      </c>
    </row>
    <row r="668">
      <c r="A668">
        <f>INT((ROW()-2)/151)+1</f>
        <v/>
      </c>
      <c r="B668">
        <f>MOD(ROW()-2,151)</f>
        <v/>
      </c>
      <c r="C668">
        <f t="array" ref="C668">IFERROR(INDEX('TRIP MANAGER'!$O$18:$O$25,$A668),"")</f>
        <v/>
      </c>
      <c r="D668">
        <f t="array" ref="D668">IFERROR(INDEX('TRIP MANAGER'!$P$18:$P$25,$A668),"")</f>
        <v/>
      </c>
      <c r="E668">
        <f t="array" ref="E668">IFERROR(INDEX('TRIP MANAGER'!$Q$18:$Q$25,$A668),"")</f>
        <v/>
      </c>
      <c r="F668">
        <f t="array" ref="F668">IFERROR(INDEX('TRIP MANAGER'!$R$18:$R$25,$A668),"")</f>
        <v/>
      </c>
      <c r="G668">
        <f t="array" ref="G668">IFERROR(INDEX('TRIP MANAGER'!$S$18:$S$25,$A668),"")</f>
        <v/>
      </c>
      <c r="H668">
        <f>$B668/150</f>
        <v/>
      </c>
      <c r="I668">
        <f>IF(OR($G668="",$G668=0),"",SIN((1-$H668)*$G668)/SIN($G668))</f>
        <v/>
      </c>
      <c r="J668">
        <f>IF($I668="","",SIN($H668*$G668)/SIN($G668))</f>
        <v/>
      </c>
      <c r="K668">
        <f>IF($I668="","",$I668*COS(RADIANS($C668))*COS(RADIANS($D668))+$J668*COS(RADIANS($E668))*COS(RADIANS($F668)))</f>
        <v/>
      </c>
      <c r="L668">
        <f>IF($I668="","",$I668*COS(RADIANS($C668))*SIN(RADIANS($D668))+$J668*COS(RADIANS($E668))*SIN(RADIANS($F668)))</f>
        <v/>
      </c>
      <c r="M668">
        <f>IF($I668="","",$I668*SIN(RADIANS($C668))+$J668*SIN(RADIANS($E668)))</f>
        <v/>
      </c>
      <c r="N668">
        <f>IF($M668="","",DEGREES(ATAN2(SQRT($K668^2+$L668^2),$M668)))</f>
        <v/>
      </c>
      <c r="O668">
        <f>IF($M668="","",DEGREES(ATAN2($K668,$L668)))</f>
        <v/>
      </c>
      <c r="P668">
        <f t="array" ref="P668">IF($N668="","",IFERROR(IF(INDEX(geo_grid!$B$2:$JU$231,INT(($N668+40)/0.5)+1,INT(($O668+30)/0.5)+1)="","",INDEX(geo_grid!$B$2:$JU$231,INT(($N668+40)/0.5)+1,INT(($O668+30)/0.5)+1)),"OUTSIDE GRID"))</f>
        <v/>
      </c>
      <c r="Q668">
        <f>IF($P668="","",$A668*1000+$B668)</f>
        <v/>
      </c>
    </row>
    <row r="669">
      <c r="A669">
        <f>INT((ROW()-2)/151)+1</f>
        <v/>
      </c>
      <c r="B669">
        <f>MOD(ROW()-2,151)</f>
        <v/>
      </c>
      <c r="C669">
        <f t="array" ref="C669">IFERROR(INDEX('TRIP MANAGER'!$O$18:$O$25,$A669),"")</f>
        <v/>
      </c>
      <c r="D669">
        <f t="array" ref="D669">IFERROR(INDEX('TRIP MANAGER'!$P$18:$P$25,$A669),"")</f>
        <v/>
      </c>
      <c r="E669">
        <f t="array" ref="E669">IFERROR(INDEX('TRIP MANAGER'!$Q$18:$Q$25,$A669),"")</f>
        <v/>
      </c>
      <c r="F669">
        <f t="array" ref="F669">IFERROR(INDEX('TRIP MANAGER'!$R$18:$R$25,$A669),"")</f>
        <v/>
      </c>
      <c r="G669">
        <f t="array" ref="G669">IFERROR(INDEX('TRIP MANAGER'!$S$18:$S$25,$A669),"")</f>
        <v/>
      </c>
      <c r="H669">
        <f>$B669/150</f>
        <v/>
      </c>
      <c r="I669">
        <f>IF(OR($G669="",$G669=0),"",SIN((1-$H669)*$G669)/SIN($G669))</f>
        <v/>
      </c>
      <c r="J669">
        <f>IF($I669="","",SIN($H669*$G669)/SIN($G669))</f>
        <v/>
      </c>
      <c r="K669">
        <f>IF($I669="","",$I669*COS(RADIANS($C669))*COS(RADIANS($D669))+$J669*COS(RADIANS($E669))*COS(RADIANS($F669)))</f>
        <v/>
      </c>
      <c r="L669">
        <f>IF($I669="","",$I669*COS(RADIANS($C669))*SIN(RADIANS($D669))+$J669*COS(RADIANS($E669))*SIN(RADIANS($F669)))</f>
        <v/>
      </c>
      <c r="M669">
        <f>IF($I669="","",$I669*SIN(RADIANS($C669))+$J669*SIN(RADIANS($E669)))</f>
        <v/>
      </c>
      <c r="N669">
        <f>IF($M669="","",DEGREES(ATAN2(SQRT($K669^2+$L669^2),$M669)))</f>
        <v/>
      </c>
      <c r="O669">
        <f>IF($M669="","",DEGREES(ATAN2($K669,$L669)))</f>
        <v/>
      </c>
      <c r="P669">
        <f t="array" ref="P669">IF($N669="","",IFERROR(IF(INDEX(geo_grid!$B$2:$JU$231,INT(($N669+40)/0.5)+1,INT(($O669+30)/0.5)+1)="","",INDEX(geo_grid!$B$2:$JU$231,INT(($N669+40)/0.5)+1,INT(($O669+30)/0.5)+1)),"OUTSIDE GRID"))</f>
        <v/>
      </c>
      <c r="Q669">
        <f>IF($P669="","",$A669*1000+$B669)</f>
        <v/>
      </c>
    </row>
    <row r="670">
      <c r="A670">
        <f>INT((ROW()-2)/151)+1</f>
        <v/>
      </c>
      <c r="B670">
        <f>MOD(ROW()-2,151)</f>
        <v/>
      </c>
      <c r="C670">
        <f t="array" ref="C670">IFERROR(INDEX('TRIP MANAGER'!$O$18:$O$25,$A670),"")</f>
        <v/>
      </c>
      <c r="D670">
        <f t="array" ref="D670">IFERROR(INDEX('TRIP MANAGER'!$P$18:$P$25,$A670),"")</f>
        <v/>
      </c>
      <c r="E670">
        <f t="array" ref="E670">IFERROR(INDEX('TRIP MANAGER'!$Q$18:$Q$25,$A670),"")</f>
        <v/>
      </c>
      <c r="F670">
        <f t="array" ref="F670">IFERROR(INDEX('TRIP MANAGER'!$R$18:$R$25,$A670),"")</f>
        <v/>
      </c>
      <c r="G670">
        <f t="array" ref="G670">IFERROR(INDEX('TRIP MANAGER'!$S$18:$S$25,$A670),"")</f>
        <v/>
      </c>
      <c r="H670">
        <f>$B670/150</f>
        <v/>
      </c>
      <c r="I670">
        <f>IF(OR($G670="",$G670=0),"",SIN((1-$H670)*$G670)/SIN($G670))</f>
        <v/>
      </c>
      <c r="J670">
        <f>IF($I670="","",SIN($H670*$G670)/SIN($G670))</f>
        <v/>
      </c>
      <c r="K670">
        <f>IF($I670="","",$I670*COS(RADIANS($C670))*COS(RADIANS($D670))+$J670*COS(RADIANS($E670))*COS(RADIANS($F670)))</f>
        <v/>
      </c>
      <c r="L670">
        <f>IF($I670="","",$I670*COS(RADIANS($C670))*SIN(RADIANS($D670))+$J670*COS(RADIANS($E670))*SIN(RADIANS($F670)))</f>
        <v/>
      </c>
      <c r="M670">
        <f>IF($I670="","",$I670*SIN(RADIANS($C670))+$J670*SIN(RADIANS($E670)))</f>
        <v/>
      </c>
      <c r="N670">
        <f>IF($M670="","",DEGREES(ATAN2(SQRT($K670^2+$L670^2),$M670)))</f>
        <v/>
      </c>
      <c r="O670">
        <f>IF($M670="","",DEGREES(ATAN2($K670,$L670)))</f>
        <v/>
      </c>
      <c r="P670">
        <f t="array" ref="P670">IF($N670="","",IFERROR(IF(INDEX(geo_grid!$B$2:$JU$231,INT(($N670+40)/0.5)+1,INT(($O670+30)/0.5)+1)="","",INDEX(geo_grid!$B$2:$JU$231,INT(($N670+40)/0.5)+1,INT(($O670+30)/0.5)+1)),"OUTSIDE GRID"))</f>
        <v/>
      </c>
      <c r="Q670">
        <f>IF($P670="","",$A670*1000+$B670)</f>
        <v/>
      </c>
    </row>
    <row r="671">
      <c r="A671">
        <f>INT((ROW()-2)/151)+1</f>
        <v/>
      </c>
      <c r="B671">
        <f>MOD(ROW()-2,151)</f>
        <v/>
      </c>
      <c r="C671">
        <f t="array" ref="C671">IFERROR(INDEX('TRIP MANAGER'!$O$18:$O$25,$A671),"")</f>
        <v/>
      </c>
      <c r="D671">
        <f t="array" ref="D671">IFERROR(INDEX('TRIP MANAGER'!$P$18:$P$25,$A671),"")</f>
        <v/>
      </c>
      <c r="E671">
        <f t="array" ref="E671">IFERROR(INDEX('TRIP MANAGER'!$Q$18:$Q$25,$A671),"")</f>
        <v/>
      </c>
      <c r="F671">
        <f t="array" ref="F671">IFERROR(INDEX('TRIP MANAGER'!$R$18:$R$25,$A671),"")</f>
        <v/>
      </c>
      <c r="G671">
        <f t="array" ref="G671">IFERROR(INDEX('TRIP MANAGER'!$S$18:$S$25,$A671),"")</f>
        <v/>
      </c>
      <c r="H671">
        <f>$B671/150</f>
        <v/>
      </c>
      <c r="I671">
        <f>IF(OR($G671="",$G671=0),"",SIN((1-$H671)*$G671)/SIN($G671))</f>
        <v/>
      </c>
      <c r="J671">
        <f>IF($I671="","",SIN($H671*$G671)/SIN($G671))</f>
        <v/>
      </c>
      <c r="K671">
        <f>IF($I671="","",$I671*COS(RADIANS($C671))*COS(RADIANS($D671))+$J671*COS(RADIANS($E671))*COS(RADIANS($F671)))</f>
        <v/>
      </c>
      <c r="L671">
        <f>IF($I671="","",$I671*COS(RADIANS($C671))*SIN(RADIANS($D671))+$J671*COS(RADIANS($E671))*SIN(RADIANS($F671)))</f>
        <v/>
      </c>
      <c r="M671">
        <f>IF($I671="","",$I671*SIN(RADIANS($C671))+$J671*SIN(RADIANS($E671)))</f>
        <v/>
      </c>
      <c r="N671">
        <f>IF($M671="","",DEGREES(ATAN2(SQRT($K671^2+$L671^2),$M671)))</f>
        <v/>
      </c>
      <c r="O671">
        <f>IF($M671="","",DEGREES(ATAN2($K671,$L671)))</f>
        <v/>
      </c>
      <c r="P671">
        <f t="array" ref="P671">IF($N671="","",IFERROR(IF(INDEX(geo_grid!$B$2:$JU$231,INT(($N671+40)/0.5)+1,INT(($O671+30)/0.5)+1)="","",INDEX(geo_grid!$B$2:$JU$231,INT(($N671+40)/0.5)+1,INT(($O671+30)/0.5)+1)),"OUTSIDE GRID"))</f>
        <v/>
      </c>
      <c r="Q671">
        <f>IF($P671="","",$A671*1000+$B671)</f>
        <v/>
      </c>
    </row>
    <row r="672">
      <c r="A672">
        <f>INT((ROW()-2)/151)+1</f>
        <v/>
      </c>
      <c r="B672">
        <f>MOD(ROW()-2,151)</f>
        <v/>
      </c>
      <c r="C672">
        <f t="array" ref="C672">IFERROR(INDEX('TRIP MANAGER'!$O$18:$O$25,$A672),"")</f>
        <v/>
      </c>
      <c r="D672">
        <f t="array" ref="D672">IFERROR(INDEX('TRIP MANAGER'!$P$18:$P$25,$A672),"")</f>
        <v/>
      </c>
      <c r="E672">
        <f t="array" ref="E672">IFERROR(INDEX('TRIP MANAGER'!$Q$18:$Q$25,$A672),"")</f>
        <v/>
      </c>
      <c r="F672">
        <f t="array" ref="F672">IFERROR(INDEX('TRIP MANAGER'!$R$18:$R$25,$A672),"")</f>
        <v/>
      </c>
      <c r="G672">
        <f t="array" ref="G672">IFERROR(INDEX('TRIP MANAGER'!$S$18:$S$25,$A672),"")</f>
        <v/>
      </c>
      <c r="H672">
        <f>$B672/150</f>
        <v/>
      </c>
      <c r="I672">
        <f>IF(OR($G672="",$G672=0),"",SIN((1-$H672)*$G672)/SIN($G672))</f>
        <v/>
      </c>
      <c r="J672">
        <f>IF($I672="","",SIN($H672*$G672)/SIN($G672))</f>
        <v/>
      </c>
      <c r="K672">
        <f>IF($I672="","",$I672*COS(RADIANS($C672))*COS(RADIANS($D672))+$J672*COS(RADIANS($E672))*COS(RADIANS($F672)))</f>
        <v/>
      </c>
      <c r="L672">
        <f>IF($I672="","",$I672*COS(RADIANS($C672))*SIN(RADIANS($D672))+$J672*COS(RADIANS($E672))*SIN(RADIANS($F672)))</f>
        <v/>
      </c>
      <c r="M672">
        <f>IF($I672="","",$I672*SIN(RADIANS($C672))+$J672*SIN(RADIANS($E672)))</f>
        <v/>
      </c>
      <c r="N672">
        <f>IF($M672="","",DEGREES(ATAN2(SQRT($K672^2+$L672^2),$M672)))</f>
        <v/>
      </c>
      <c r="O672">
        <f>IF($M672="","",DEGREES(ATAN2($K672,$L672)))</f>
        <v/>
      </c>
      <c r="P672">
        <f t="array" ref="P672">IF($N672="","",IFERROR(IF(INDEX(geo_grid!$B$2:$JU$231,INT(($N672+40)/0.5)+1,INT(($O672+30)/0.5)+1)="","",INDEX(geo_grid!$B$2:$JU$231,INT(($N672+40)/0.5)+1,INT(($O672+30)/0.5)+1)),"OUTSIDE GRID"))</f>
        <v/>
      </c>
      <c r="Q672">
        <f>IF($P672="","",$A672*1000+$B672)</f>
        <v/>
      </c>
    </row>
    <row r="673">
      <c r="A673">
        <f>INT((ROW()-2)/151)+1</f>
        <v/>
      </c>
      <c r="B673">
        <f>MOD(ROW()-2,151)</f>
        <v/>
      </c>
      <c r="C673">
        <f t="array" ref="C673">IFERROR(INDEX('TRIP MANAGER'!$O$18:$O$25,$A673),"")</f>
        <v/>
      </c>
      <c r="D673">
        <f t="array" ref="D673">IFERROR(INDEX('TRIP MANAGER'!$P$18:$P$25,$A673),"")</f>
        <v/>
      </c>
      <c r="E673">
        <f t="array" ref="E673">IFERROR(INDEX('TRIP MANAGER'!$Q$18:$Q$25,$A673),"")</f>
        <v/>
      </c>
      <c r="F673">
        <f t="array" ref="F673">IFERROR(INDEX('TRIP MANAGER'!$R$18:$R$25,$A673),"")</f>
        <v/>
      </c>
      <c r="G673">
        <f t="array" ref="G673">IFERROR(INDEX('TRIP MANAGER'!$S$18:$S$25,$A673),"")</f>
        <v/>
      </c>
      <c r="H673">
        <f>$B673/150</f>
        <v/>
      </c>
      <c r="I673">
        <f>IF(OR($G673="",$G673=0),"",SIN((1-$H673)*$G673)/SIN($G673))</f>
        <v/>
      </c>
      <c r="J673">
        <f>IF($I673="","",SIN($H673*$G673)/SIN($G673))</f>
        <v/>
      </c>
      <c r="K673">
        <f>IF($I673="","",$I673*COS(RADIANS($C673))*COS(RADIANS($D673))+$J673*COS(RADIANS($E673))*COS(RADIANS($F673)))</f>
        <v/>
      </c>
      <c r="L673">
        <f>IF($I673="","",$I673*COS(RADIANS($C673))*SIN(RADIANS($D673))+$J673*COS(RADIANS($E673))*SIN(RADIANS($F673)))</f>
        <v/>
      </c>
      <c r="M673">
        <f>IF($I673="","",$I673*SIN(RADIANS($C673))+$J673*SIN(RADIANS($E673)))</f>
        <v/>
      </c>
      <c r="N673">
        <f>IF($M673="","",DEGREES(ATAN2(SQRT($K673^2+$L673^2),$M673)))</f>
        <v/>
      </c>
      <c r="O673">
        <f>IF($M673="","",DEGREES(ATAN2($K673,$L673)))</f>
        <v/>
      </c>
      <c r="P673">
        <f t="array" ref="P673">IF($N673="","",IFERROR(IF(INDEX(geo_grid!$B$2:$JU$231,INT(($N673+40)/0.5)+1,INT(($O673+30)/0.5)+1)="","",INDEX(geo_grid!$B$2:$JU$231,INT(($N673+40)/0.5)+1,INT(($O673+30)/0.5)+1)),"OUTSIDE GRID"))</f>
        <v/>
      </c>
      <c r="Q673">
        <f>IF($P673="","",$A673*1000+$B673)</f>
        <v/>
      </c>
    </row>
    <row r="674">
      <c r="A674">
        <f>INT((ROW()-2)/151)+1</f>
        <v/>
      </c>
      <c r="B674">
        <f>MOD(ROW()-2,151)</f>
        <v/>
      </c>
      <c r="C674">
        <f t="array" ref="C674">IFERROR(INDEX('TRIP MANAGER'!$O$18:$O$25,$A674),"")</f>
        <v/>
      </c>
      <c r="D674">
        <f t="array" ref="D674">IFERROR(INDEX('TRIP MANAGER'!$P$18:$P$25,$A674),"")</f>
        <v/>
      </c>
      <c r="E674">
        <f t="array" ref="E674">IFERROR(INDEX('TRIP MANAGER'!$Q$18:$Q$25,$A674),"")</f>
        <v/>
      </c>
      <c r="F674">
        <f t="array" ref="F674">IFERROR(INDEX('TRIP MANAGER'!$R$18:$R$25,$A674),"")</f>
        <v/>
      </c>
      <c r="G674">
        <f t="array" ref="G674">IFERROR(INDEX('TRIP MANAGER'!$S$18:$S$25,$A674),"")</f>
        <v/>
      </c>
      <c r="H674">
        <f>$B674/150</f>
        <v/>
      </c>
      <c r="I674">
        <f>IF(OR($G674="",$G674=0),"",SIN((1-$H674)*$G674)/SIN($G674))</f>
        <v/>
      </c>
      <c r="J674">
        <f>IF($I674="","",SIN($H674*$G674)/SIN($G674))</f>
        <v/>
      </c>
      <c r="K674">
        <f>IF($I674="","",$I674*COS(RADIANS($C674))*COS(RADIANS($D674))+$J674*COS(RADIANS($E674))*COS(RADIANS($F674)))</f>
        <v/>
      </c>
      <c r="L674">
        <f>IF($I674="","",$I674*COS(RADIANS($C674))*SIN(RADIANS($D674))+$J674*COS(RADIANS($E674))*SIN(RADIANS($F674)))</f>
        <v/>
      </c>
      <c r="M674">
        <f>IF($I674="","",$I674*SIN(RADIANS($C674))+$J674*SIN(RADIANS($E674)))</f>
        <v/>
      </c>
      <c r="N674">
        <f>IF($M674="","",DEGREES(ATAN2(SQRT($K674^2+$L674^2),$M674)))</f>
        <v/>
      </c>
      <c r="O674">
        <f>IF($M674="","",DEGREES(ATAN2($K674,$L674)))</f>
        <v/>
      </c>
      <c r="P674">
        <f t="array" ref="P674">IF($N674="","",IFERROR(IF(INDEX(geo_grid!$B$2:$JU$231,INT(($N674+40)/0.5)+1,INT(($O674+30)/0.5)+1)="","",INDEX(geo_grid!$B$2:$JU$231,INT(($N674+40)/0.5)+1,INT(($O674+30)/0.5)+1)),"OUTSIDE GRID"))</f>
        <v/>
      </c>
      <c r="Q674">
        <f>IF($P674="","",$A674*1000+$B674)</f>
        <v/>
      </c>
    </row>
    <row r="675">
      <c r="A675">
        <f>INT((ROW()-2)/151)+1</f>
        <v/>
      </c>
      <c r="B675">
        <f>MOD(ROW()-2,151)</f>
        <v/>
      </c>
      <c r="C675">
        <f t="array" ref="C675">IFERROR(INDEX('TRIP MANAGER'!$O$18:$O$25,$A675),"")</f>
        <v/>
      </c>
      <c r="D675">
        <f t="array" ref="D675">IFERROR(INDEX('TRIP MANAGER'!$P$18:$P$25,$A675),"")</f>
        <v/>
      </c>
      <c r="E675">
        <f t="array" ref="E675">IFERROR(INDEX('TRIP MANAGER'!$Q$18:$Q$25,$A675),"")</f>
        <v/>
      </c>
      <c r="F675">
        <f t="array" ref="F675">IFERROR(INDEX('TRIP MANAGER'!$R$18:$R$25,$A675),"")</f>
        <v/>
      </c>
      <c r="G675">
        <f t="array" ref="G675">IFERROR(INDEX('TRIP MANAGER'!$S$18:$S$25,$A675),"")</f>
        <v/>
      </c>
      <c r="H675">
        <f>$B675/150</f>
        <v/>
      </c>
      <c r="I675">
        <f>IF(OR($G675="",$G675=0),"",SIN((1-$H675)*$G675)/SIN($G675))</f>
        <v/>
      </c>
      <c r="J675">
        <f>IF($I675="","",SIN($H675*$G675)/SIN($G675))</f>
        <v/>
      </c>
      <c r="K675">
        <f>IF($I675="","",$I675*COS(RADIANS($C675))*COS(RADIANS($D675))+$J675*COS(RADIANS($E675))*COS(RADIANS($F675)))</f>
        <v/>
      </c>
      <c r="L675">
        <f>IF($I675="","",$I675*COS(RADIANS($C675))*SIN(RADIANS($D675))+$J675*COS(RADIANS($E675))*SIN(RADIANS($F675)))</f>
        <v/>
      </c>
      <c r="M675">
        <f>IF($I675="","",$I675*SIN(RADIANS($C675))+$J675*SIN(RADIANS($E675)))</f>
        <v/>
      </c>
      <c r="N675">
        <f>IF($M675="","",DEGREES(ATAN2(SQRT($K675^2+$L675^2),$M675)))</f>
        <v/>
      </c>
      <c r="O675">
        <f>IF($M675="","",DEGREES(ATAN2($K675,$L675)))</f>
        <v/>
      </c>
      <c r="P675">
        <f t="array" ref="P675">IF($N675="","",IFERROR(IF(INDEX(geo_grid!$B$2:$JU$231,INT(($N675+40)/0.5)+1,INT(($O675+30)/0.5)+1)="","",INDEX(geo_grid!$B$2:$JU$231,INT(($N675+40)/0.5)+1,INT(($O675+30)/0.5)+1)),"OUTSIDE GRID"))</f>
        <v/>
      </c>
      <c r="Q675">
        <f>IF($P675="","",$A675*1000+$B675)</f>
        <v/>
      </c>
    </row>
    <row r="676">
      <c r="A676">
        <f>INT((ROW()-2)/151)+1</f>
        <v/>
      </c>
      <c r="B676">
        <f>MOD(ROW()-2,151)</f>
        <v/>
      </c>
      <c r="C676">
        <f t="array" ref="C676">IFERROR(INDEX('TRIP MANAGER'!$O$18:$O$25,$A676),"")</f>
        <v/>
      </c>
      <c r="D676">
        <f t="array" ref="D676">IFERROR(INDEX('TRIP MANAGER'!$P$18:$P$25,$A676),"")</f>
        <v/>
      </c>
      <c r="E676">
        <f t="array" ref="E676">IFERROR(INDEX('TRIP MANAGER'!$Q$18:$Q$25,$A676),"")</f>
        <v/>
      </c>
      <c r="F676">
        <f t="array" ref="F676">IFERROR(INDEX('TRIP MANAGER'!$R$18:$R$25,$A676),"")</f>
        <v/>
      </c>
      <c r="G676">
        <f t="array" ref="G676">IFERROR(INDEX('TRIP MANAGER'!$S$18:$S$25,$A676),"")</f>
        <v/>
      </c>
      <c r="H676">
        <f>$B676/150</f>
        <v/>
      </c>
      <c r="I676">
        <f>IF(OR($G676="",$G676=0),"",SIN((1-$H676)*$G676)/SIN($G676))</f>
        <v/>
      </c>
      <c r="J676">
        <f>IF($I676="","",SIN($H676*$G676)/SIN($G676))</f>
        <v/>
      </c>
      <c r="K676">
        <f>IF($I676="","",$I676*COS(RADIANS($C676))*COS(RADIANS($D676))+$J676*COS(RADIANS($E676))*COS(RADIANS($F676)))</f>
        <v/>
      </c>
      <c r="L676">
        <f>IF($I676="","",$I676*COS(RADIANS($C676))*SIN(RADIANS($D676))+$J676*COS(RADIANS($E676))*SIN(RADIANS($F676)))</f>
        <v/>
      </c>
      <c r="M676">
        <f>IF($I676="","",$I676*SIN(RADIANS($C676))+$J676*SIN(RADIANS($E676)))</f>
        <v/>
      </c>
      <c r="N676">
        <f>IF($M676="","",DEGREES(ATAN2(SQRT($K676^2+$L676^2),$M676)))</f>
        <v/>
      </c>
      <c r="O676">
        <f>IF($M676="","",DEGREES(ATAN2($K676,$L676)))</f>
        <v/>
      </c>
      <c r="P676">
        <f t="array" ref="P676">IF($N676="","",IFERROR(IF(INDEX(geo_grid!$B$2:$JU$231,INT(($N676+40)/0.5)+1,INT(($O676+30)/0.5)+1)="","",INDEX(geo_grid!$B$2:$JU$231,INT(($N676+40)/0.5)+1,INT(($O676+30)/0.5)+1)),"OUTSIDE GRID"))</f>
        <v/>
      </c>
      <c r="Q676">
        <f>IF($P676="","",$A676*1000+$B676)</f>
        <v/>
      </c>
    </row>
    <row r="677">
      <c r="A677">
        <f>INT((ROW()-2)/151)+1</f>
        <v/>
      </c>
      <c r="B677">
        <f>MOD(ROW()-2,151)</f>
        <v/>
      </c>
      <c r="C677">
        <f t="array" ref="C677">IFERROR(INDEX('TRIP MANAGER'!$O$18:$O$25,$A677),"")</f>
        <v/>
      </c>
      <c r="D677">
        <f t="array" ref="D677">IFERROR(INDEX('TRIP MANAGER'!$P$18:$P$25,$A677),"")</f>
        <v/>
      </c>
      <c r="E677">
        <f t="array" ref="E677">IFERROR(INDEX('TRIP MANAGER'!$Q$18:$Q$25,$A677),"")</f>
        <v/>
      </c>
      <c r="F677">
        <f t="array" ref="F677">IFERROR(INDEX('TRIP MANAGER'!$R$18:$R$25,$A677),"")</f>
        <v/>
      </c>
      <c r="G677">
        <f t="array" ref="G677">IFERROR(INDEX('TRIP MANAGER'!$S$18:$S$25,$A677),"")</f>
        <v/>
      </c>
      <c r="H677">
        <f>$B677/150</f>
        <v/>
      </c>
      <c r="I677">
        <f>IF(OR($G677="",$G677=0),"",SIN((1-$H677)*$G677)/SIN($G677))</f>
        <v/>
      </c>
      <c r="J677">
        <f>IF($I677="","",SIN($H677*$G677)/SIN($G677))</f>
        <v/>
      </c>
      <c r="K677">
        <f>IF($I677="","",$I677*COS(RADIANS($C677))*COS(RADIANS($D677))+$J677*COS(RADIANS($E677))*COS(RADIANS($F677)))</f>
        <v/>
      </c>
      <c r="L677">
        <f>IF($I677="","",$I677*COS(RADIANS($C677))*SIN(RADIANS($D677))+$J677*COS(RADIANS($E677))*SIN(RADIANS($F677)))</f>
        <v/>
      </c>
      <c r="M677">
        <f>IF($I677="","",$I677*SIN(RADIANS($C677))+$J677*SIN(RADIANS($E677)))</f>
        <v/>
      </c>
      <c r="N677">
        <f>IF($M677="","",DEGREES(ATAN2(SQRT($K677^2+$L677^2),$M677)))</f>
        <v/>
      </c>
      <c r="O677">
        <f>IF($M677="","",DEGREES(ATAN2($K677,$L677)))</f>
        <v/>
      </c>
      <c r="P677">
        <f t="array" ref="P677">IF($N677="","",IFERROR(IF(INDEX(geo_grid!$B$2:$JU$231,INT(($N677+40)/0.5)+1,INT(($O677+30)/0.5)+1)="","",INDEX(geo_grid!$B$2:$JU$231,INT(($N677+40)/0.5)+1,INT(($O677+30)/0.5)+1)),"OUTSIDE GRID"))</f>
        <v/>
      </c>
      <c r="Q677">
        <f>IF($P677="","",$A677*1000+$B677)</f>
        <v/>
      </c>
    </row>
    <row r="678">
      <c r="A678">
        <f>INT((ROW()-2)/151)+1</f>
        <v/>
      </c>
      <c r="B678">
        <f>MOD(ROW()-2,151)</f>
        <v/>
      </c>
      <c r="C678">
        <f t="array" ref="C678">IFERROR(INDEX('TRIP MANAGER'!$O$18:$O$25,$A678),"")</f>
        <v/>
      </c>
      <c r="D678">
        <f t="array" ref="D678">IFERROR(INDEX('TRIP MANAGER'!$P$18:$P$25,$A678),"")</f>
        <v/>
      </c>
      <c r="E678">
        <f t="array" ref="E678">IFERROR(INDEX('TRIP MANAGER'!$Q$18:$Q$25,$A678),"")</f>
        <v/>
      </c>
      <c r="F678">
        <f t="array" ref="F678">IFERROR(INDEX('TRIP MANAGER'!$R$18:$R$25,$A678),"")</f>
        <v/>
      </c>
      <c r="G678">
        <f t="array" ref="G678">IFERROR(INDEX('TRIP MANAGER'!$S$18:$S$25,$A678),"")</f>
        <v/>
      </c>
      <c r="H678">
        <f>$B678/150</f>
        <v/>
      </c>
      <c r="I678">
        <f>IF(OR($G678="",$G678=0),"",SIN((1-$H678)*$G678)/SIN($G678))</f>
        <v/>
      </c>
      <c r="J678">
        <f>IF($I678="","",SIN($H678*$G678)/SIN($G678))</f>
        <v/>
      </c>
      <c r="K678">
        <f>IF($I678="","",$I678*COS(RADIANS($C678))*COS(RADIANS($D678))+$J678*COS(RADIANS($E678))*COS(RADIANS($F678)))</f>
        <v/>
      </c>
      <c r="L678">
        <f>IF($I678="","",$I678*COS(RADIANS($C678))*SIN(RADIANS($D678))+$J678*COS(RADIANS($E678))*SIN(RADIANS($F678)))</f>
        <v/>
      </c>
      <c r="M678">
        <f>IF($I678="","",$I678*SIN(RADIANS($C678))+$J678*SIN(RADIANS($E678)))</f>
        <v/>
      </c>
      <c r="N678">
        <f>IF($M678="","",DEGREES(ATAN2(SQRT($K678^2+$L678^2),$M678)))</f>
        <v/>
      </c>
      <c r="O678">
        <f>IF($M678="","",DEGREES(ATAN2($K678,$L678)))</f>
        <v/>
      </c>
      <c r="P678">
        <f t="array" ref="P678">IF($N678="","",IFERROR(IF(INDEX(geo_grid!$B$2:$JU$231,INT(($N678+40)/0.5)+1,INT(($O678+30)/0.5)+1)="","",INDEX(geo_grid!$B$2:$JU$231,INT(($N678+40)/0.5)+1,INT(($O678+30)/0.5)+1)),"OUTSIDE GRID"))</f>
        <v/>
      </c>
      <c r="Q678">
        <f>IF($P678="","",$A678*1000+$B678)</f>
        <v/>
      </c>
    </row>
    <row r="679">
      <c r="A679">
        <f>INT((ROW()-2)/151)+1</f>
        <v/>
      </c>
      <c r="B679">
        <f>MOD(ROW()-2,151)</f>
        <v/>
      </c>
      <c r="C679">
        <f t="array" ref="C679">IFERROR(INDEX('TRIP MANAGER'!$O$18:$O$25,$A679),"")</f>
        <v/>
      </c>
      <c r="D679">
        <f t="array" ref="D679">IFERROR(INDEX('TRIP MANAGER'!$P$18:$P$25,$A679),"")</f>
        <v/>
      </c>
      <c r="E679">
        <f t="array" ref="E679">IFERROR(INDEX('TRIP MANAGER'!$Q$18:$Q$25,$A679),"")</f>
        <v/>
      </c>
      <c r="F679">
        <f t="array" ref="F679">IFERROR(INDEX('TRIP MANAGER'!$R$18:$R$25,$A679),"")</f>
        <v/>
      </c>
      <c r="G679">
        <f t="array" ref="G679">IFERROR(INDEX('TRIP MANAGER'!$S$18:$S$25,$A679),"")</f>
        <v/>
      </c>
      <c r="H679">
        <f>$B679/150</f>
        <v/>
      </c>
      <c r="I679">
        <f>IF(OR($G679="",$G679=0),"",SIN((1-$H679)*$G679)/SIN($G679))</f>
        <v/>
      </c>
      <c r="J679">
        <f>IF($I679="","",SIN($H679*$G679)/SIN($G679))</f>
        <v/>
      </c>
      <c r="K679">
        <f>IF($I679="","",$I679*COS(RADIANS($C679))*COS(RADIANS($D679))+$J679*COS(RADIANS($E679))*COS(RADIANS($F679)))</f>
        <v/>
      </c>
      <c r="L679">
        <f>IF($I679="","",$I679*COS(RADIANS($C679))*SIN(RADIANS($D679))+$J679*COS(RADIANS($E679))*SIN(RADIANS($F679)))</f>
        <v/>
      </c>
      <c r="M679">
        <f>IF($I679="","",$I679*SIN(RADIANS($C679))+$J679*SIN(RADIANS($E679)))</f>
        <v/>
      </c>
      <c r="N679">
        <f>IF($M679="","",DEGREES(ATAN2(SQRT($K679^2+$L679^2),$M679)))</f>
        <v/>
      </c>
      <c r="O679">
        <f>IF($M679="","",DEGREES(ATAN2($K679,$L679)))</f>
        <v/>
      </c>
      <c r="P679">
        <f t="array" ref="P679">IF($N679="","",IFERROR(IF(INDEX(geo_grid!$B$2:$JU$231,INT(($N679+40)/0.5)+1,INT(($O679+30)/0.5)+1)="","",INDEX(geo_grid!$B$2:$JU$231,INT(($N679+40)/0.5)+1,INT(($O679+30)/0.5)+1)),"OUTSIDE GRID"))</f>
        <v/>
      </c>
      <c r="Q679">
        <f>IF($P679="","",$A679*1000+$B679)</f>
        <v/>
      </c>
    </row>
    <row r="680">
      <c r="A680">
        <f>INT((ROW()-2)/151)+1</f>
        <v/>
      </c>
      <c r="B680">
        <f>MOD(ROW()-2,151)</f>
        <v/>
      </c>
      <c r="C680">
        <f t="array" ref="C680">IFERROR(INDEX('TRIP MANAGER'!$O$18:$O$25,$A680),"")</f>
        <v/>
      </c>
      <c r="D680">
        <f t="array" ref="D680">IFERROR(INDEX('TRIP MANAGER'!$P$18:$P$25,$A680),"")</f>
        <v/>
      </c>
      <c r="E680">
        <f t="array" ref="E680">IFERROR(INDEX('TRIP MANAGER'!$Q$18:$Q$25,$A680),"")</f>
        <v/>
      </c>
      <c r="F680">
        <f t="array" ref="F680">IFERROR(INDEX('TRIP MANAGER'!$R$18:$R$25,$A680),"")</f>
        <v/>
      </c>
      <c r="G680">
        <f t="array" ref="G680">IFERROR(INDEX('TRIP MANAGER'!$S$18:$S$25,$A680),"")</f>
        <v/>
      </c>
      <c r="H680">
        <f>$B680/150</f>
        <v/>
      </c>
      <c r="I680">
        <f>IF(OR($G680="",$G680=0),"",SIN((1-$H680)*$G680)/SIN($G680))</f>
        <v/>
      </c>
      <c r="J680">
        <f>IF($I680="","",SIN($H680*$G680)/SIN($G680))</f>
        <v/>
      </c>
      <c r="K680">
        <f>IF($I680="","",$I680*COS(RADIANS($C680))*COS(RADIANS($D680))+$J680*COS(RADIANS($E680))*COS(RADIANS($F680)))</f>
        <v/>
      </c>
      <c r="L680">
        <f>IF($I680="","",$I680*COS(RADIANS($C680))*SIN(RADIANS($D680))+$J680*COS(RADIANS($E680))*SIN(RADIANS($F680)))</f>
        <v/>
      </c>
      <c r="M680">
        <f>IF($I680="","",$I680*SIN(RADIANS($C680))+$J680*SIN(RADIANS($E680)))</f>
        <v/>
      </c>
      <c r="N680">
        <f>IF($M680="","",DEGREES(ATAN2(SQRT($K680^2+$L680^2),$M680)))</f>
        <v/>
      </c>
      <c r="O680">
        <f>IF($M680="","",DEGREES(ATAN2($K680,$L680)))</f>
        <v/>
      </c>
      <c r="P680">
        <f t="array" ref="P680">IF($N680="","",IFERROR(IF(INDEX(geo_grid!$B$2:$JU$231,INT(($N680+40)/0.5)+1,INT(($O680+30)/0.5)+1)="","",INDEX(geo_grid!$B$2:$JU$231,INT(($N680+40)/0.5)+1,INT(($O680+30)/0.5)+1)),"OUTSIDE GRID"))</f>
        <v/>
      </c>
      <c r="Q680">
        <f>IF($P680="","",$A680*1000+$B680)</f>
        <v/>
      </c>
    </row>
    <row r="681">
      <c r="A681">
        <f>INT((ROW()-2)/151)+1</f>
        <v/>
      </c>
      <c r="B681">
        <f>MOD(ROW()-2,151)</f>
        <v/>
      </c>
      <c r="C681">
        <f t="array" ref="C681">IFERROR(INDEX('TRIP MANAGER'!$O$18:$O$25,$A681),"")</f>
        <v/>
      </c>
      <c r="D681">
        <f t="array" ref="D681">IFERROR(INDEX('TRIP MANAGER'!$P$18:$P$25,$A681),"")</f>
        <v/>
      </c>
      <c r="E681">
        <f t="array" ref="E681">IFERROR(INDEX('TRIP MANAGER'!$Q$18:$Q$25,$A681),"")</f>
        <v/>
      </c>
      <c r="F681">
        <f t="array" ref="F681">IFERROR(INDEX('TRIP MANAGER'!$R$18:$R$25,$A681),"")</f>
        <v/>
      </c>
      <c r="G681">
        <f t="array" ref="G681">IFERROR(INDEX('TRIP MANAGER'!$S$18:$S$25,$A681),"")</f>
        <v/>
      </c>
      <c r="H681">
        <f>$B681/150</f>
        <v/>
      </c>
      <c r="I681">
        <f>IF(OR($G681="",$G681=0),"",SIN((1-$H681)*$G681)/SIN($G681))</f>
        <v/>
      </c>
      <c r="J681">
        <f>IF($I681="","",SIN($H681*$G681)/SIN($G681))</f>
        <v/>
      </c>
      <c r="K681">
        <f>IF($I681="","",$I681*COS(RADIANS($C681))*COS(RADIANS($D681))+$J681*COS(RADIANS($E681))*COS(RADIANS($F681)))</f>
        <v/>
      </c>
      <c r="L681">
        <f>IF($I681="","",$I681*COS(RADIANS($C681))*SIN(RADIANS($D681))+$J681*COS(RADIANS($E681))*SIN(RADIANS($F681)))</f>
        <v/>
      </c>
      <c r="M681">
        <f>IF($I681="","",$I681*SIN(RADIANS($C681))+$J681*SIN(RADIANS($E681)))</f>
        <v/>
      </c>
      <c r="N681">
        <f>IF($M681="","",DEGREES(ATAN2(SQRT($K681^2+$L681^2),$M681)))</f>
        <v/>
      </c>
      <c r="O681">
        <f>IF($M681="","",DEGREES(ATAN2($K681,$L681)))</f>
        <v/>
      </c>
      <c r="P681">
        <f t="array" ref="P681">IF($N681="","",IFERROR(IF(INDEX(geo_grid!$B$2:$JU$231,INT(($N681+40)/0.5)+1,INT(($O681+30)/0.5)+1)="","",INDEX(geo_grid!$B$2:$JU$231,INT(($N681+40)/0.5)+1,INT(($O681+30)/0.5)+1)),"OUTSIDE GRID"))</f>
        <v/>
      </c>
      <c r="Q681">
        <f>IF($P681="","",$A681*1000+$B681)</f>
        <v/>
      </c>
    </row>
    <row r="682">
      <c r="A682">
        <f>INT((ROW()-2)/151)+1</f>
        <v/>
      </c>
      <c r="B682">
        <f>MOD(ROW()-2,151)</f>
        <v/>
      </c>
      <c r="C682">
        <f t="array" ref="C682">IFERROR(INDEX('TRIP MANAGER'!$O$18:$O$25,$A682),"")</f>
        <v/>
      </c>
      <c r="D682">
        <f t="array" ref="D682">IFERROR(INDEX('TRIP MANAGER'!$P$18:$P$25,$A682),"")</f>
        <v/>
      </c>
      <c r="E682">
        <f t="array" ref="E682">IFERROR(INDEX('TRIP MANAGER'!$Q$18:$Q$25,$A682),"")</f>
        <v/>
      </c>
      <c r="F682">
        <f t="array" ref="F682">IFERROR(INDEX('TRIP MANAGER'!$R$18:$R$25,$A682),"")</f>
        <v/>
      </c>
      <c r="G682">
        <f t="array" ref="G682">IFERROR(INDEX('TRIP MANAGER'!$S$18:$S$25,$A682),"")</f>
        <v/>
      </c>
      <c r="H682">
        <f>$B682/150</f>
        <v/>
      </c>
      <c r="I682">
        <f>IF(OR($G682="",$G682=0),"",SIN((1-$H682)*$G682)/SIN($G682))</f>
        <v/>
      </c>
      <c r="J682">
        <f>IF($I682="","",SIN($H682*$G682)/SIN($G682))</f>
        <v/>
      </c>
      <c r="K682">
        <f>IF($I682="","",$I682*COS(RADIANS($C682))*COS(RADIANS($D682))+$J682*COS(RADIANS($E682))*COS(RADIANS($F682)))</f>
        <v/>
      </c>
      <c r="L682">
        <f>IF($I682="","",$I682*COS(RADIANS($C682))*SIN(RADIANS($D682))+$J682*COS(RADIANS($E682))*SIN(RADIANS($F682)))</f>
        <v/>
      </c>
      <c r="M682">
        <f>IF($I682="","",$I682*SIN(RADIANS($C682))+$J682*SIN(RADIANS($E682)))</f>
        <v/>
      </c>
      <c r="N682">
        <f>IF($M682="","",DEGREES(ATAN2(SQRT($K682^2+$L682^2),$M682)))</f>
        <v/>
      </c>
      <c r="O682">
        <f>IF($M682="","",DEGREES(ATAN2($K682,$L682)))</f>
        <v/>
      </c>
      <c r="P682">
        <f t="array" ref="P682">IF($N682="","",IFERROR(IF(INDEX(geo_grid!$B$2:$JU$231,INT(($N682+40)/0.5)+1,INT(($O682+30)/0.5)+1)="","",INDEX(geo_grid!$B$2:$JU$231,INT(($N682+40)/0.5)+1,INT(($O682+30)/0.5)+1)),"OUTSIDE GRID"))</f>
        <v/>
      </c>
      <c r="Q682">
        <f>IF($P682="","",$A682*1000+$B682)</f>
        <v/>
      </c>
    </row>
    <row r="683">
      <c r="A683">
        <f>INT((ROW()-2)/151)+1</f>
        <v/>
      </c>
      <c r="B683">
        <f>MOD(ROW()-2,151)</f>
        <v/>
      </c>
      <c r="C683">
        <f t="array" ref="C683">IFERROR(INDEX('TRIP MANAGER'!$O$18:$O$25,$A683),"")</f>
        <v/>
      </c>
      <c r="D683">
        <f t="array" ref="D683">IFERROR(INDEX('TRIP MANAGER'!$P$18:$P$25,$A683),"")</f>
        <v/>
      </c>
      <c r="E683">
        <f t="array" ref="E683">IFERROR(INDEX('TRIP MANAGER'!$Q$18:$Q$25,$A683),"")</f>
        <v/>
      </c>
      <c r="F683">
        <f t="array" ref="F683">IFERROR(INDEX('TRIP MANAGER'!$R$18:$R$25,$A683),"")</f>
        <v/>
      </c>
      <c r="G683">
        <f t="array" ref="G683">IFERROR(INDEX('TRIP MANAGER'!$S$18:$S$25,$A683),"")</f>
        <v/>
      </c>
      <c r="H683">
        <f>$B683/150</f>
        <v/>
      </c>
      <c r="I683">
        <f>IF(OR($G683="",$G683=0),"",SIN((1-$H683)*$G683)/SIN($G683))</f>
        <v/>
      </c>
      <c r="J683">
        <f>IF($I683="","",SIN($H683*$G683)/SIN($G683))</f>
        <v/>
      </c>
      <c r="K683">
        <f>IF($I683="","",$I683*COS(RADIANS($C683))*COS(RADIANS($D683))+$J683*COS(RADIANS($E683))*COS(RADIANS($F683)))</f>
        <v/>
      </c>
      <c r="L683">
        <f>IF($I683="","",$I683*COS(RADIANS($C683))*SIN(RADIANS($D683))+$J683*COS(RADIANS($E683))*SIN(RADIANS($F683)))</f>
        <v/>
      </c>
      <c r="M683">
        <f>IF($I683="","",$I683*SIN(RADIANS($C683))+$J683*SIN(RADIANS($E683)))</f>
        <v/>
      </c>
      <c r="N683">
        <f>IF($M683="","",DEGREES(ATAN2(SQRT($K683^2+$L683^2),$M683)))</f>
        <v/>
      </c>
      <c r="O683">
        <f>IF($M683="","",DEGREES(ATAN2($K683,$L683)))</f>
        <v/>
      </c>
      <c r="P683">
        <f t="array" ref="P683">IF($N683="","",IFERROR(IF(INDEX(geo_grid!$B$2:$JU$231,INT(($N683+40)/0.5)+1,INT(($O683+30)/0.5)+1)="","",INDEX(geo_grid!$B$2:$JU$231,INT(($N683+40)/0.5)+1,INT(($O683+30)/0.5)+1)),"OUTSIDE GRID"))</f>
        <v/>
      </c>
      <c r="Q683">
        <f>IF($P683="","",$A683*1000+$B683)</f>
        <v/>
      </c>
    </row>
    <row r="684">
      <c r="A684">
        <f>INT((ROW()-2)/151)+1</f>
        <v/>
      </c>
      <c r="B684">
        <f>MOD(ROW()-2,151)</f>
        <v/>
      </c>
      <c r="C684">
        <f t="array" ref="C684">IFERROR(INDEX('TRIP MANAGER'!$O$18:$O$25,$A684),"")</f>
        <v/>
      </c>
      <c r="D684">
        <f t="array" ref="D684">IFERROR(INDEX('TRIP MANAGER'!$P$18:$P$25,$A684),"")</f>
        <v/>
      </c>
      <c r="E684">
        <f t="array" ref="E684">IFERROR(INDEX('TRIP MANAGER'!$Q$18:$Q$25,$A684),"")</f>
        <v/>
      </c>
      <c r="F684">
        <f t="array" ref="F684">IFERROR(INDEX('TRIP MANAGER'!$R$18:$R$25,$A684),"")</f>
        <v/>
      </c>
      <c r="G684">
        <f t="array" ref="G684">IFERROR(INDEX('TRIP MANAGER'!$S$18:$S$25,$A684),"")</f>
        <v/>
      </c>
      <c r="H684">
        <f>$B684/150</f>
        <v/>
      </c>
      <c r="I684">
        <f>IF(OR($G684="",$G684=0),"",SIN((1-$H684)*$G684)/SIN($G684))</f>
        <v/>
      </c>
      <c r="J684">
        <f>IF($I684="","",SIN($H684*$G684)/SIN($G684))</f>
        <v/>
      </c>
      <c r="K684">
        <f>IF($I684="","",$I684*COS(RADIANS($C684))*COS(RADIANS($D684))+$J684*COS(RADIANS($E684))*COS(RADIANS($F684)))</f>
        <v/>
      </c>
      <c r="L684">
        <f>IF($I684="","",$I684*COS(RADIANS($C684))*SIN(RADIANS($D684))+$J684*COS(RADIANS($E684))*SIN(RADIANS($F684)))</f>
        <v/>
      </c>
      <c r="M684">
        <f>IF($I684="","",$I684*SIN(RADIANS($C684))+$J684*SIN(RADIANS($E684)))</f>
        <v/>
      </c>
      <c r="N684">
        <f>IF($M684="","",DEGREES(ATAN2(SQRT($K684^2+$L684^2),$M684)))</f>
        <v/>
      </c>
      <c r="O684">
        <f>IF($M684="","",DEGREES(ATAN2($K684,$L684)))</f>
        <v/>
      </c>
      <c r="P684">
        <f t="array" ref="P684">IF($N684="","",IFERROR(IF(INDEX(geo_grid!$B$2:$JU$231,INT(($N684+40)/0.5)+1,INT(($O684+30)/0.5)+1)="","",INDEX(geo_grid!$B$2:$JU$231,INT(($N684+40)/0.5)+1,INT(($O684+30)/0.5)+1)),"OUTSIDE GRID"))</f>
        <v/>
      </c>
      <c r="Q684">
        <f>IF($P684="","",$A684*1000+$B684)</f>
        <v/>
      </c>
    </row>
    <row r="685">
      <c r="A685">
        <f>INT((ROW()-2)/151)+1</f>
        <v/>
      </c>
      <c r="B685">
        <f>MOD(ROW()-2,151)</f>
        <v/>
      </c>
      <c r="C685">
        <f t="array" ref="C685">IFERROR(INDEX('TRIP MANAGER'!$O$18:$O$25,$A685),"")</f>
        <v/>
      </c>
      <c r="D685">
        <f t="array" ref="D685">IFERROR(INDEX('TRIP MANAGER'!$P$18:$P$25,$A685),"")</f>
        <v/>
      </c>
      <c r="E685">
        <f t="array" ref="E685">IFERROR(INDEX('TRIP MANAGER'!$Q$18:$Q$25,$A685),"")</f>
        <v/>
      </c>
      <c r="F685">
        <f t="array" ref="F685">IFERROR(INDEX('TRIP MANAGER'!$R$18:$R$25,$A685),"")</f>
        <v/>
      </c>
      <c r="G685">
        <f t="array" ref="G685">IFERROR(INDEX('TRIP MANAGER'!$S$18:$S$25,$A685),"")</f>
        <v/>
      </c>
      <c r="H685">
        <f>$B685/150</f>
        <v/>
      </c>
      <c r="I685">
        <f>IF(OR($G685="",$G685=0),"",SIN((1-$H685)*$G685)/SIN($G685))</f>
        <v/>
      </c>
      <c r="J685">
        <f>IF($I685="","",SIN($H685*$G685)/SIN($G685))</f>
        <v/>
      </c>
      <c r="K685">
        <f>IF($I685="","",$I685*COS(RADIANS($C685))*COS(RADIANS($D685))+$J685*COS(RADIANS($E685))*COS(RADIANS($F685)))</f>
        <v/>
      </c>
      <c r="L685">
        <f>IF($I685="","",$I685*COS(RADIANS($C685))*SIN(RADIANS($D685))+$J685*COS(RADIANS($E685))*SIN(RADIANS($F685)))</f>
        <v/>
      </c>
      <c r="M685">
        <f>IF($I685="","",$I685*SIN(RADIANS($C685))+$J685*SIN(RADIANS($E685)))</f>
        <v/>
      </c>
      <c r="N685">
        <f>IF($M685="","",DEGREES(ATAN2(SQRT($K685^2+$L685^2),$M685)))</f>
        <v/>
      </c>
      <c r="O685">
        <f>IF($M685="","",DEGREES(ATAN2($K685,$L685)))</f>
        <v/>
      </c>
      <c r="P685">
        <f t="array" ref="P685">IF($N685="","",IFERROR(IF(INDEX(geo_grid!$B$2:$JU$231,INT(($N685+40)/0.5)+1,INT(($O685+30)/0.5)+1)="","",INDEX(geo_grid!$B$2:$JU$231,INT(($N685+40)/0.5)+1,INT(($O685+30)/0.5)+1)),"OUTSIDE GRID"))</f>
        <v/>
      </c>
      <c r="Q685">
        <f>IF($P685="","",$A685*1000+$B685)</f>
        <v/>
      </c>
    </row>
    <row r="686">
      <c r="A686">
        <f>INT((ROW()-2)/151)+1</f>
        <v/>
      </c>
      <c r="B686">
        <f>MOD(ROW()-2,151)</f>
        <v/>
      </c>
      <c r="C686">
        <f t="array" ref="C686">IFERROR(INDEX('TRIP MANAGER'!$O$18:$O$25,$A686),"")</f>
        <v/>
      </c>
      <c r="D686">
        <f t="array" ref="D686">IFERROR(INDEX('TRIP MANAGER'!$P$18:$P$25,$A686),"")</f>
        <v/>
      </c>
      <c r="E686">
        <f t="array" ref="E686">IFERROR(INDEX('TRIP MANAGER'!$Q$18:$Q$25,$A686),"")</f>
        <v/>
      </c>
      <c r="F686">
        <f t="array" ref="F686">IFERROR(INDEX('TRIP MANAGER'!$R$18:$R$25,$A686),"")</f>
        <v/>
      </c>
      <c r="G686">
        <f t="array" ref="G686">IFERROR(INDEX('TRIP MANAGER'!$S$18:$S$25,$A686),"")</f>
        <v/>
      </c>
      <c r="H686">
        <f>$B686/150</f>
        <v/>
      </c>
      <c r="I686">
        <f>IF(OR($G686="",$G686=0),"",SIN((1-$H686)*$G686)/SIN($G686))</f>
        <v/>
      </c>
      <c r="J686">
        <f>IF($I686="","",SIN($H686*$G686)/SIN($G686))</f>
        <v/>
      </c>
      <c r="K686">
        <f>IF($I686="","",$I686*COS(RADIANS($C686))*COS(RADIANS($D686))+$J686*COS(RADIANS($E686))*COS(RADIANS($F686)))</f>
        <v/>
      </c>
      <c r="L686">
        <f>IF($I686="","",$I686*COS(RADIANS($C686))*SIN(RADIANS($D686))+$J686*COS(RADIANS($E686))*SIN(RADIANS($F686)))</f>
        <v/>
      </c>
      <c r="M686">
        <f>IF($I686="","",$I686*SIN(RADIANS($C686))+$J686*SIN(RADIANS($E686)))</f>
        <v/>
      </c>
      <c r="N686">
        <f>IF($M686="","",DEGREES(ATAN2(SQRT($K686^2+$L686^2),$M686)))</f>
        <v/>
      </c>
      <c r="O686">
        <f>IF($M686="","",DEGREES(ATAN2($K686,$L686)))</f>
        <v/>
      </c>
      <c r="P686">
        <f t="array" ref="P686">IF($N686="","",IFERROR(IF(INDEX(geo_grid!$B$2:$JU$231,INT(($N686+40)/0.5)+1,INT(($O686+30)/0.5)+1)="","",INDEX(geo_grid!$B$2:$JU$231,INT(($N686+40)/0.5)+1,INT(($O686+30)/0.5)+1)),"OUTSIDE GRID"))</f>
        <v/>
      </c>
      <c r="Q686">
        <f>IF($P686="","",$A686*1000+$B686)</f>
        <v/>
      </c>
    </row>
    <row r="687">
      <c r="A687">
        <f>INT((ROW()-2)/151)+1</f>
        <v/>
      </c>
      <c r="B687">
        <f>MOD(ROW()-2,151)</f>
        <v/>
      </c>
      <c r="C687">
        <f t="array" ref="C687">IFERROR(INDEX('TRIP MANAGER'!$O$18:$O$25,$A687),"")</f>
        <v/>
      </c>
      <c r="D687">
        <f t="array" ref="D687">IFERROR(INDEX('TRIP MANAGER'!$P$18:$P$25,$A687),"")</f>
        <v/>
      </c>
      <c r="E687">
        <f t="array" ref="E687">IFERROR(INDEX('TRIP MANAGER'!$Q$18:$Q$25,$A687),"")</f>
        <v/>
      </c>
      <c r="F687">
        <f t="array" ref="F687">IFERROR(INDEX('TRIP MANAGER'!$R$18:$R$25,$A687),"")</f>
        <v/>
      </c>
      <c r="G687">
        <f t="array" ref="G687">IFERROR(INDEX('TRIP MANAGER'!$S$18:$S$25,$A687),"")</f>
        <v/>
      </c>
      <c r="H687">
        <f>$B687/150</f>
        <v/>
      </c>
      <c r="I687">
        <f>IF(OR($G687="",$G687=0),"",SIN((1-$H687)*$G687)/SIN($G687))</f>
        <v/>
      </c>
      <c r="J687">
        <f>IF($I687="","",SIN($H687*$G687)/SIN($G687))</f>
        <v/>
      </c>
      <c r="K687">
        <f>IF($I687="","",$I687*COS(RADIANS($C687))*COS(RADIANS($D687))+$J687*COS(RADIANS($E687))*COS(RADIANS($F687)))</f>
        <v/>
      </c>
      <c r="L687">
        <f>IF($I687="","",$I687*COS(RADIANS($C687))*SIN(RADIANS($D687))+$J687*COS(RADIANS($E687))*SIN(RADIANS($F687)))</f>
        <v/>
      </c>
      <c r="M687">
        <f>IF($I687="","",$I687*SIN(RADIANS($C687))+$J687*SIN(RADIANS($E687)))</f>
        <v/>
      </c>
      <c r="N687">
        <f>IF($M687="","",DEGREES(ATAN2(SQRT($K687^2+$L687^2),$M687)))</f>
        <v/>
      </c>
      <c r="O687">
        <f>IF($M687="","",DEGREES(ATAN2($K687,$L687)))</f>
        <v/>
      </c>
      <c r="P687">
        <f t="array" ref="P687">IF($N687="","",IFERROR(IF(INDEX(geo_grid!$B$2:$JU$231,INT(($N687+40)/0.5)+1,INT(($O687+30)/0.5)+1)="","",INDEX(geo_grid!$B$2:$JU$231,INT(($N687+40)/0.5)+1,INT(($O687+30)/0.5)+1)),"OUTSIDE GRID"))</f>
        <v/>
      </c>
      <c r="Q687">
        <f>IF($P687="","",$A687*1000+$B687)</f>
        <v/>
      </c>
    </row>
    <row r="688">
      <c r="A688">
        <f>INT((ROW()-2)/151)+1</f>
        <v/>
      </c>
      <c r="B688">
        <f>MOD(ROW()-2,151)</f>
        <v/>
      </c>
      <c r="C688">
        <f t="array" ref="C688">IFERROR(INDEX('TRIP MANAGER'!$O$18:$O$25,$A688),"")</f>
        <v/>
      </c>
      <c r="D688">
        <f t="array" ref="D688">IFERROR(INDEX('TRIP MANAGER'!$P$18:$P$25,$A688),"")</f>
        <v/>
      </c>
      <c r="E688">
        <f t="array" ref="E688">IFERROR(INDEX('TRIP MANAGER'!$Q$18:$Q$25,$A688),"")</f>
        <v/>
      </c>
      <c r="F688">
        <f t="array" ref="F688">IFERROR(INDEX('TRIP MANAGER'!$R$18:$R$25,$A688),"")</f>
        <v/>
      </c>
      <c r="G688">
        <f t="array" ref="G688">IFERROR(INDEX('TRIP MANAGER'!$S$18:$S$25,$A688),"")</f>
        <v/>
      </c>
      <c r="H688">
        <f>$B688/150</f>
        <v/>
      </c>
      <c r="I688">
        <f>IF(OR($G688="",$G688=0),"",SIN((1-$H688)*$G688)/SIN($G688))</f>
        <v/>
      </c>
      <c r="J688">
        <f>IF($I688="","",SIN($H688*$G688)/SIN($G688))</f>
        <v/>
      </c>
      <c r="K688">
        <f>IF($I688="","",$I688*COS(RADIANS($C688))*COS(RADIANS($D688))+$J688*COS(RADIANS($E688))*COS(RADIANS($F688)))</f>
        <v/>
      </c>
      <c r="L688">
        <f>IF($I688="","",$I688*COS(RADIANS($C688))*SIN(RADIANS($D688))+$J688*COS(RADIANS($E688))*SIN(RADIANS($F688)))</f>
        <v/>
      </c>
      <c r="M688">
        <f>IF($I688="","",$I688*SIN(RADIANS($C688))+$J688*SIN(RADIANS($E688)))</f>
        <v/>
      </c>
      <c r="N688">
        <f>IF($M688="","",DEGREES(ATAN2(SQRT($K688^2+$L688^2),$M688)))</f>
        <v/>
      </c>
      <c r="O688">
        <f>IF($M688="","",DEGREES(ATAN2($K688,$L688)))</f>
        <v/>
      </c>
      <c r="P688">
        <f t="array" ref="P688">IF($N688="","",IFERROR(IF(INDEX(geo_grid!$B$2:$JU$231,INT(($N688+40)/0.5)+1,INT(($O688+30)/0.5)+1)="","",INDEX(geo_grid!$B$2:$JU$231,INT(($N688+40)/0.5)+1,INT(($O688+30)/0.5)+1)),"OUTSIDE GRID"))</f>
        <v/>
      </c>
      <c r="Q688">
        <f>IF($P688="","",$A688*1000+$B688)</f>
        <v/>
      </c>
    </row>
    <row r="689">
      <c r="A689">
        <f>INT((ROW()-2)/151)+1</f>
        <v/>
      </c>
      <c r="B689">
        <f>MOD(ROW()-2,151)</f>
        <v/>
      </c>
      <c r="C689">
        <f t="array" ref="C689">IFERROR(INDEX('TRIP MANAGER'!$O$18:$O$25,$A689),"")</f>
        <v/>
      </c>
      <c r="D689">
        <f t="array" ref="D689">IFERROR(INDEX('TRIP MANAGER'!$P$18:$P$25,$A689),"")</f>
        <v/>
      </c>
      <c r="E689">
        <f t="array" ref="E689">IFERROR(INDEX('TRIP MANAGER'!$Q$18:$Q$25,$A689),"")</f>
        <v/>
      </c>
      <c r="F689">
        <f t="array" ref="F689">IFERROR(INDEX('TRIP MANAGER'!$R$18:$R$25,$A689),"")</f>
        <v/>
      </c>
      <c r="G689">
        <f t="array" ref="G689">IFERROR(INDEX('TRIP MANAGER'!$S$18:$S$25,$A689),"")</f>
        <v/>
      </c>
      <c r="H689">
        <f>$B689/150</f>
        <v/>
      </c>
      <c r="I689">
        <f>IF(OR($G689="",$G689=0),"",SIN((1-$H689)*$G689)/SIN($G689))</f>
        <v/>
      </c>
      <c r="J689">
        <f>IF($I689="","",SIN($H689*$G689)/SIN($G689))</f>
        <v/>
      </c>
      <c r="K689">
        <f>IF($I689="","",$I689*COS(RADIANS($C689))*COS(RADIANS($D689))+$J689*COS(RADIANS($E689))*COS(RADIANS($F689)))</f>
        <v/>
      </c>
      <c r="L689">
        <f>IF($I689="","",$I689*COS(RADIANS($C689))*SIN(RADIANS($D689))+$J689*COS(RADIANS($E689))*SIN(RADIANS($F689)))</f>
        <v/>
      </c>
      <c r="M689">
        <f>IF($I689="","",$I689*SIN(RADIANS($C689))+$J689*SIN(RADIANS($E689)))</f>
        <v/>
      </c>
      <c r="N689">
        <f>IF($M689="","",DEGREES(ATAN2(SQRT($K689^2+$L689^2),$M689)))</f>
        <v/>
      </c>
      <c r="O689">
        <f>IF($M689="","",DEGREES(ATAN2($K689,$L689)))</f>
        <v/>
      </c>
      <c r="P689">
        <f t="array" ref="P689">IF($N689="","",IFERROR(IF(INDEX(geo_grid!$B$2:$JU$231,INT(($N689+40)/0.5)+1,INT(($O689+30)/0.5)+1)="","",INDEX(geo_grid!$B$2:$JU$231,INT(($N689+40)/0.5)+1,INT(($O689+30)/0.5)+1)),"OUTSIDE GRID"))</f>
        <v/>
      </c>
      <c r="Q689">
        <f>IF($P689="","",$A689*1000+$B689)</f>
        <v/>
      </c>
    </row>
    <row r="690">
      <c r="A690">
        <f>INT((ROW()-2)/151)+1</f>
        <v/>
      </c>
      <c r="B690">
        <f>MOD(ROW()-2,151)</f>
        <v/>
      </c>
      <c r="C690">
        <f t="array" ref="C690">IFERROR(INDEX('TRIP MANAGER'!$O$18:$O$25,$A690),"")</f>
        <v/>
      </c>
      <c r="D690">
        <f t="array" ref="D690">IFERROR(INDEX('TRIP MANAGER'!$P$18:$P$25,$A690),"")</f>
        <v/>
      </c>
      <c r="E690">
        <f t="array" ref="E690">IFERROR(INDEX('TRIP MANAGER'!$Q$18:$Q$25,$A690),"")</f>
        <v/>
      </c>
      <c r="F690">
        <f t="array" ref="F690">IFERROR(INDEX('TRIP MANAGER'!$R$18:$R$25,$A690),"")</f>
        <v/>
      </c>
      <c r="G690">
        <f t="array" ref="G690">IFERROR(INDEX('TRIP MANAGER'!$S$18:$S$25,$A690),"")</f>
        <v/>
      </c>
      <c r="H690">
        <f>$B690/150</f>
        <v/>
      </c>
      <c r="I690">
        <f>IF(OR($G690="",$G690=0),"",SIN((1-$H690)*$G690)/SIN($G690))</f>
        <v/>
      </c>
      <c r="J690">
        <f>IF($I690="","",SIN($H690*$G690)/SIN($G690))</f>
        <v/>
      </c>
      <c r="K690">
        <f>IF($I690="","",$I690*COS(RADIANS($C690))*COS(RADIANS($D690))+$J690*COS(RADIANS($E690))*COS(RADIANS($F690)))</f>
        <v/>
      </c>
      <c r="L690">
        <f>IF($I690="","",$I690*COS(RADIANS($C690))*SIN(RADIANS($D690))+$J690*COS(RADIANS($E690))*SIN(RADIANS($F690)))</f>
        <v/>
      </c>
      <c r="M690">
        <f>IF($I690="","",$I690*SIN(RADIANS($C690))+$J690*SIN(RADIANS($E690)))</f>
        <v/>
      </c>
      <c r="N690">
        <f>IF($M690="","",DEGREES(ATAN2(SQRT($K690^2+$L690^2),$M690)))</f>
        <v/>
      </c>
      <c r="O690">
        <f>IF($M690="","",DEGREES(ATAN2($K690,$L690)))</f>
        <v/>
      </c>
      <c r="P690">
        <f t="array" ref="P690">IF($N690="","",IFERROR(IF(INDEX(geo_grid!$B$2:$JU$231,INT(($N690+40)/0.5)+1,INT(($O690+30)/0.5)+1)="","",INDEX(geo_grid!$B$2:$JU$231,INT(($N690+40)/0.5)+1,INT(($O690+30)/0.5)+1)),"OUTSIDE GRID"))</f>
        <v/>
      </c>
      <c r="Q690">
        <f>IF($P690="","",$A690*1000+$B690)</f>
        <v/>
      </c>
    </row>
    <row r="691">
      <c r="A691">
        <f>INT((ROW()-2)/151)+1</f>
        <v/>
      </c>
      <c r="B691">
        <f>MOD(ROW()-2,151)</f>
        <v/>
      </c>
      <c r="C691">
        <f t="array" ref="C691">IFERROR(INDEX('TRIP MANAGER'!$O$18:$O$25,$A691),"")</f>
        <v/>
      </c>
      <c r="D691">
        <f t="array" ref="D691">IFERROR(INDEX('TRIP MANAGER'!$P$18:$P$25,$A691),"")</f>
        <v/>
      </c>
      <c r="E691">
        <f t="array" ref="E691">IFERROR(INDEX('TRIP MANAGER'!$Q$18:$Q$25,$A691),"")</f>
        <v/>
      </c>
      <c r="F691">
        <f t="array" ref="F691">IFERROR(INDEX('TRIP MANAGER'!$R$18:$R$25,$A691),"")</f>
        <v/>
      </c>
      <c r="G691">
        <f t="array" ref="G691">IFERROR(INDEX('TRIP MANAGER'!$S$18:$S$25,$A691),"")</f>
        <v/>
      </c>
      <c r="H691">
        <f>$B691/150</f>
        <v/>
      </c>
      <c r="I691">
        <f>IF(OR($G691="",$G691=0),"",SIN((1-$H691)*$G691)/SIN($G691))</f>
        <v/>
      </c>
      <c r="J691">
        <f>IF($I691="","",SIN($H691*$G691)/SIN($G691))</f>
        <v/>
      </c>
      <c r="K691">
        <f>IF($I691="","",$I691*COS(RADIANS($C691))*COS(RADIANS($D691))+$J691*COS(RADIANS($E691))*COS(RADIANS($F691)))</f>
        <v/>
      </c>
      <c r="L691">
        <f>IF($I691="","",$I691*COS(RADIANS($C691))*SIN(RADIANS($D691))+$J691*COS(RADIANS($E691))*SIN(RADIANS($F691)))</f>
        <v/>
      </c>
      <c r="M691">
        <f>IF($I691="","",$I691*SIN(RADIANS($C691))+$J691*SIN(RADIANS($E691)))</f>
        <v/>
      </c>
      <c r="N691">
        <f>IF($M691="","",DEGREES(ATAN2(SQRT($K691^2+$L691^2),$M691)))</f>
        <v/>
      </c>
      <c r="O691">
        <f>IF($M691="","",DEGREES(ATAN2($K691,$L691)))</f>
        <v/>
      </c>
      <c r="P691">
        <f t="array" ref="P691">IF($N691="","",IFERROR(IF(INDEX(geo_grid!$B$2:$JU$231,INT(($N691+40)/0.5)+1,INT(($O691+30)/0.5)+1)="","",INDEX(geo_grid!$B$2:$JU$231,INT(($N691+40)/0.5)+1,INT(($O691+30)/0.5)+1)),"OUTSIDE GRID"))</f>
        <v/>
      </c>
      <c r="Q691">
        <f>IF($P691="","",$A691*1000+$B691)</f>
        <v/>
      </c>
    </row>
    <row r="692">
      <c r="A692">
        <f>INT((ROW()-2)/151)+1</f>
        <v/>
      </c>
      <c r="B692">
        <f>MOD(ROW()-2,151)</f>
        <v/>
      </c>
      <c r="C692">
        <f t="array" ref="C692">IFERROR(INDEX('TRIP MANAGER'!$O$18:$O$25,$A692),"")</f>
        <v/>
      </c>
      <c r="D692">
        <f t="array" ref="D692">IFERROR(INDEX('TRIP MANAGER'!$P$18:$P$25,$A692),"")</f>
        <v/>
      </c>
      <c r="E692">
        <f t="array" ref="E692">IFERROR(INDEX('TRIP MANAGER'!$Q$18:$Q$25,$A692),"")</f>
        <v/>
      </c>
      <c r="F692">
        <f t="array" ref="F692">IFERROR(INDEX('TRIP MANAGER'!$R$18:$R$25,$A692),"")</f>
        <v/>
      </c>
      <c r="G692">
        <f t="array" ref="G692">IFERROR(INDEX('TRIP MANAGER'!$S$18:$S$25,$A692),"")</f>
        <v/>
      </c>
      <c r="H692">
        <f>$B692/150</f>
        <v/>
      </c>
      <c r="I692">
        <f>IF(OR($G692="",$G692=0),"",SIN((1-$H692)*$G692)/SIN($G692))</f>
        <v/>
      </c>
      <c r="J692">
        <f>IF($I692="","",SIN($H692*$G692)/SIN($G692))</f>
        <v/>
      </c>
      <c r="K692">
        <f>IF($I692="","",$I692*COS(RADIANS($C692))*COS(RADIANS($D692))+$J692*COS(RADIANS($E692))*COS(RADIANS($F692)))</f>
        <v/>
      </c>
      <c r="L692">
        <f>IF($I692="","",$I692*COS(RADIANS($C692))*SIN(RADIANS($D692))+$J692*COS(RADIANS($E692))*SIN(RADIANS($F692)))</f>
        <v/>
      </c>
      <c r="M692">
        <f>IF($I692="","",$I692*SIN(RADIANS($C692))+$J692*SIN(RADIANS($E692)))</f>
        <v/>
      </c>
      <c r="N692">
        <f>IF($M692="","",DEGREES(ATAN2(SQRT($K692^2+$L692^2),$M692)))</f>
        <v/>
      </c>
      <c r="O692">
        <f>IF($M692="","",DEGREES(ATAN2($K692,$L692)))</f>
        <v/>
      </c>
      <c r="P692">
        <f t="array" ref="P692">IF($N692="","",IFERROR(IF(INDEX(geo_grid!$B$2:$JU$231,INT(($N692+40)/0.5)+1,INT(($O692+30)/0.5)+1)="","",INDEX(geo_grid!$B$2:$JU$231,INT(($N692+40)/0.5)+1,INT(($O692+30)/0.5)+1)),"OUTSIDE GRID"))</f>
        <v/>
      </c>
      <c r="Q692">
        <f>IF($P692="","",$A692*1000+$B692)</f>
        <v/>
      </c>
    </row>
    <row r="693">
      <c r="A693">
        <f>INT((ROW()-2)/151)+1</f>
        <v/>
      </c>
      <c r="B693">
        <f>MOD(ROW()-2,151)</f>
        <v/>
      </c>
      <c r="C693">
        <f t="array" ref="C693">IFERROR(INDEX('TRIP MANAGER'!$O$18:$O$25,$A693),"")</f>
        <v/>
      </c>
      <c r="D693">
        <f t="array" ref="D693">IFERROR(INDEX('TRIP MANAGER'!$P$18:$P$25,$A693),"")</f>
        <v/>
      </c>
      <c r="E693">
        <f t="array" ref="E693">IFERROR(INDEX('TRIP MANAGER'!$Q$18:$Q$25,$A693),"")</f>
        <v/>
      </c>
      <c r="F693">
        <f t="array" ref="F693">IFERROR(INDEX('TRIP MANAGER'!$R$18:$R$25,$A693),"")</f>
        <v/>
      </c>
      <c r="G693">
        <f t="array" ref="G693">IFERROR(INDEX('TRIP MANAGER'!$S$18:$S$25,$A693),"")</f>
        <v/>
      </c>
      <c r="H693">
        <f>$B693/150</f>
        <v/>
      </c>
      <c r="I693">
        <f>IF(OR($G693="",$G693=0),"",SIN((1-$H693)*$G693)/SIN($G693))</f>
        <v/>
      </c>
      <c r="J693">
        <f>IF($I693="","",SIN($H693*$G693)/SIN($G693))</f>
        <v/>
      </c>
      <c r="K693">
        <f>IF($I693="","",$I693*COS(RADIANS($C693))*COS(RADIANS($D693))+$J693*COS(RADIANS($E693))*COS(RADIANS($F693)))</f>
        <v/>
      </c>
      <c r="L693">
        <f>IF($I693="","",$I693*COS(RADIANS($C693))*SIN(RADIANS($D693))+$J693*COS(RADIANS($E693))*SIN(RADIANS($F693)))</f>
        <v/>
      </c>
      <c r="M693">
        <f>IF($I693="","",$I693*SIN(RADIANS($C693))+$J693*SIN(RADIANS($E693)))</f>
        <v/>
      </c>
      <c r="N693">
        <f>IF($M693="","",DEGREES(ATAN2(SQRT($K693^2+$L693^2),$M693)))</f>
        <v/>
      </c>
      <c r="O693">
        <f>IF($M693="","",DEGREES(ATAN2($K693,$L693)))</f>
        <v/>
      </c>
      <c r="P693">
        <f t="array" ref="P693">IF($N693="","",IFERROR(IF(INDEX(geo_grid!$B$2:$JU$231,INT(($N693+40)/0.5)+1,INT(($O693+30)/0.5)+1)="","",INDEX(geo_grid!$B$2:$JU$231,INT(($N693+40)/0.5)+1,INT(($O693+30)/0.5)+1)),"OUTSIDE GRID"))</f>
        <v/>
      </c>
      <c r="Q693">
        <f>IF($P693="","",$A693*1000+$B693)</f>
        <v/>
      </c>
    </row>
    <row r="694">
      <c r="A694">
        <f>INT((ROW()-2)/151)+1</f>
        <v/>
      </c>
      <c r="B694">
        <f>MOD(ROW()-2,151)</f>
        <v/>
      </c>
      <c r="C694">
        <f t="array" ref="C694">IFERROR(INDEX('TRIP MANAGER'!$O$18:$O$25,$A694),"")</f>
        <v/>
      </c>
      <c r="D694">
        <f t="array" ref="D694">IFERROR(INDEX('TRIP MANAGER'!$P$18:$P$25,$A694),"")</f>
        <v/>
      </c>
      <c r="E694">
        <f t="array" ref="E694">IFERROR(INDEX('TRIP MANAGER'!$Q$18:$Q$25,$A694),"")</f>
        <v/>
      </c>
      <c r="F694">
        <f t="array" ref="F694">IFERROR(INDEX('TRIP MANAGER'!$R$18:$R$25,$A694),"")</f>
        <v/>
      </c>
      <c r="G694">
        <f t="array" ref="G694">IFERROR(INDEX('TRIP MANAGER'!$S$18:$S$25,$A694),"")</f>
        <v/>
      </c>
      <c r="H694">
        <f>$B694/150</f>
        <v/>
      </c>
      <c r="I694">
        <f>IF(OR($G694="",$G694=0),"",SIN((1-$H694)*$G694)/SIN($G694))</f>
        <v/>
      </c>
      <c r="J694">
        <f>IF($I694="","",SIN($H694*$G694)/SIN($G694))</f>
        <v/>
      </c>
      <c r="K694">
        <f>IF($I694="","",$I694*COS(RADIANS($C694))*COS(RADIANS($D694))+$J694*COS(RADIANS($E694))*COS(RADIANS($F694)))</f>
        <v/>
      </c>
      <c r="L694">
        <f>IF($I694="","",$I694*COS(RADIANS($C694))*SIN(RADIANS($D694))+$J694*COS(RADIANS($E694))*SIN(RADIANS($F694)))</f>
        <v/>
      </c>
      <c r="M694">
        <f>IF($I694="","",$I694*SIN(RADIANS($C694))+$J694*SIN(RADIANS($E694)))</f>
        <v/>
      </c>
      <c r="N694">
        <f>IF($M694="","",DEGREES(ATAN2(SQRT($K694^2+$L694^2),$M694)))</f>
        <v/>
      </c>
      <c r="O694">
        <f>IF($M694="","",DEGREES(ATAN2($K694,$L694)))</f>
        <v/>
      </c>
      <c r="P694">
        <f t="array" ref="P694">IF($N694="","",IFERROR(IF(INDEX(geo_grid!$B$2:$JU$231,INT(($N694+40)/0.5)+1,INT(($O694+30)/0.5)+1)="","",INDEX(geo_grid!$B$2:$JU$231,INT(($N694+40)/0.5)+1,INT(($O694+30)/0.5)+1)),"OUTSIDE GRID"))</f>
        <v/>
      </c>
      <c r="Q694">
        <f>IF($P694="","",$A694*1000+$B694)</f>
        <v/>
      </c>
    </row>
    <row r="695">
      <c r="A695">
        <f>INT((ROW()-2)/151)+1</f>
        <v/>
      </c>
      <c r="B695">
        <f>MOD(ROW()-2,151)</f>
        <v/>
      </c>
      <c r="C695">
        <f t="array" ref="C695">IFERROR(INDEX('TRIP MANAGER'!$O$18:$O$25,$A695),"")</f>
        <v/>
      </c>
      <c r="D695">
        <f t="array" ref="D695">IFERROR(INDEX('TRIP MANAGER'!$P$18:$P$25,$A695),"")</f>
        <v/>
      </c>
      <c r="E695">
        <f t="array" ref="E695">IFERROR(INDEX('TRIP MANAGER'!$Q$18:$Q$25,$A695),"")</f>
        <v/>
      </c>
      <c r="F695">
        <f t="array" ref="F695">IFERROR(INDEX('TRIP MANAGER'!$R$18:$R$25,$A695),"")</f>
        <v/>
      </c>
      <c r="G695">
        <f t="array" ref="G695">IFERROR(INDEX('TRIP MANAGER'!$S$18:$S$25,$A695),"")</f>
        <v/>
      </c>
      <c r="H695">
        <f>$B695/150</f>
        <v/>
      </c>
      <c r="I695">
        <f>IF(OR($G695="",$G695=0),"",SIN((1-$H695)*$G695)/SIN($G695))</f>
        <v/>
      </c>
      <c r="J695">
        <f>IF($I695="","",SIN($H695*$G695)/SIN($G695))</f>
        <v/>
      </c>
      <c r="K695">
        <f>IF($I695="","",$I695*COS(RADIANS($C695))*COS(RADIANS($D695))+$J695*COS(RADIANS($E695))*COS(RADIANS($F695)))</f>
        <v/>
      </c>
      <c r="L695">
        <f>IF($I695="","",$I695*COS(RADIANS($C695))*SIN(RADIANS($D695))+$J695*COS(RADIANS($E695))*SIN(RADIANS($F695)))</f>
        <v/>
      </c>
      <c r="M695">
        <f>IF($I695="","",$I695*SIN(RADIANS($C695))+$J695*SIN(RADIANS($E695)))</f>
        <v/>
      </c>
      <c r="N695">
        <f>IF($M695="","",DEGREES(ATAN2(SQRT($K695^2+$L695^2),$M695)))</f>
        <v/>
      </c>
      <c r="O695">
        <f>IF($M695="","",DEGREES(ATAN2($K695,$L695)))</f>
        <v/>
      </c>
      <c r="P695">
        <f t="array" ref="P695">IF($N695="","",IFERROR(IF(INDEX(geo_grid!$B$2:$JU$231,INT(($N695+40)/0.5)+1,INT(($O695+30)/0.5)+1)="","",INDEX(geo_grid!$B$2:$JU$231,INT(($N695+40)/0.5)+1,INT(($O695+30)/0.5)+1)),"OUTSIDE GRID"))</f>
        <v/>
      </c>
      <c r="Q695">
        <f>IF($P695="","",$A695*1000+$B695)</f>
        <v/>
      </c>
    </row>
    <row r="696">
      <c r="A696">
        <f>INT((ROW()-2)/151)+1</f>
        <v/>
      </c>
      <c r="B696">
        <f>MOD(ROW()-2,151)</f>
        <v/>
      </c>
      <c r="C696">
        <f t="array" ref="C696">IFERROR(INDEX('TRIP MANAGER'!$O$18:$O$25,$A696),"")</f>
        <v/>
      </c>
      <c r="D696">
        <f t="array" ref="D696">IFERROR(INDEX('TRIP MANAGER'!$P$18:$P$25,$A696),"")</f>
        <v/>
      </c>
      <c r="E696">
        <f t="array" ref="E696">IFERROR(INDEX('TRIP MANAGER'!$Q$18:$Q$25,$A696),"")</f>
        <v/>
      </c>
      <c r="F696">
        <f t="array" ref="F696">IFERROR(INDEX('TRIP MANAGER'!$R$18:$R$25,$A696),"")</f>
        <v/>
      </c>
      <c r="G696">
        <f t="array" ref="G696">IFERROR(INDEX('TRIP MANAGER'!$S$18:$S$25,$A696),"")</f>
        <v/>
      </c>
      <c r="H696">
        <f>$B696/150</f>
        <v/>
      </c>
      <c r="I696">
        <f>IF(OR($G696="",$G696=0),"",SIN((1-$H696)*$G696)/SIN($G696))</f>
        <v/>
      </c>
      <c r="J696">
        <f>IF($I696="","",SIN($H696*$G696)/SIN($G696))</f>
        <v/>
      </c>
      <c r="K696">
        <f>IF($I696="","",$I696*COS(RADIANS($C696))*COS(RADIANS($D696))+$J696*COS(RADIANS($E696))*COS(RADIANS($F696)))</f>
        <v/>
      </c>
      <c r="L696">
        <f>IF($I696="","",$I696*COS(RADIANS($C696))*SIN(RADIANS($D696))+$J696*COS(RADIANS($E696))*SIN(RADIANS($F696)))</f>
        <v/>
      </c>
      <c r="M696">
        <f>IF($I696="","",$I696*SIN(RADIANS($C696))+$J696*SIN(RADIANS($E696)))</f>
        <v/>
      </c>
      <c r="N696">
        <f>IF($M696="","",DEGREES(ATAN2(SQRT($K696^2+$L696^2),$M696)))</f>
        <v/>
      </c>
      <c r="O696">
        <f>IF($M696="","",DEGREES(ATAN2($K696,$L696)))</f>
        <v/>
      </c>
      <c r="P696">
        <f t="array" ref="P696">IF($N696="","",IFERROR(IF(INDEX(geo_grid!$B$2:$JU$231,INT(($N696+40)/0.5)+1,INT(($O696+30)/0.5)+1)="","",INDEX(geo_grid!$B$2:$JU$231,INT(($N696+40)/0.5)+1,INT(($O696+30)/0.5)+1)),"OUTSIDE GRID"))</f>
        <v/>
      </c>
      <c r="Q696">
        <f>IF($P696="","",$A696*1000+$B696)</f>
        <v/>
      </c>
    </row>
    <row r="697">
      <c r="A697">
        <f>INT((ROW()-2)/151)+1</f>
        <v/>
      </c>
      <c r="B697">
        <f>MOD(ROW()-2,151)</f>
        <v/>
      </c>
      <c r="C697">
        <f t="array" ref="C697">IFERROR(INDEX('TRIP MANAGER'!$O$18:$O$25,$A697),"")</f>
        <v/>
      </c>
      <c r="D697">
        <f t="array" ref="D697">IFERROR(INDEX('TRIP MANAGER'!$P$18:$P$25,$A697),"")</f>
        <v/>
      </c>
      <c r="E697">
        <f t="array" ref="E697">IFERROR(INDEX('TRIP MANAGER'!$Q$18:$Q$25,$A697),"")</f>
        <v/>
      </c>
      <c r="F697">
        <f t="array" ref="F697">IFERROR(INDEX('TRIP MANAGER'!$R$18:$R$25,$A697),"")</f>
        <v/>
      </c>
      <c r="G697">
        <f t="array" ref="G697">IFERROR(INDEX('TRIP MANAGER'!$S$18:$S$25,$A697),"")</f>
        <v/>
      </c>
      <c r="H697">
        <f>$B697/150</f>
        <v/>
      </c>
      <c r="I697">
        <f>IF(OR($G697="",$G697=0),"",SIN((1-$H697)*$G697)/SIN($G697))</f>
        <v/>
      </c>
      <c r="J697">
        <f>IF($I697="","",SIN($H697*$G697)/SIN($G697))</f>
        <v/>
      </c>
      <c r="K697">
        <f>IF($I697="","",$I697*COS(RADIANS($C697))*COS(RADIANS($D697))+$J697*COS(RADIANS($E697))*COS(RADIANS($F697)))</f>
        <v/>
      </c>
      <c r="L697">
        <f>IF($I697="","",$I697*COS(RADIANS($C697))*SIN(RADIANS($D697))+$J697*COS(RADIANS($E697))*SIN(RADIANS($F697)))</f>
        <v/>
      </c>
      <c r="M697">
        <f>IF($I697="","",$I697*SIN(RADIANS($C697))+$J697*SIN(RADIANS($E697)))</f>
        <v/>
      </c>
      <c r="N697">
        <f>IF($M697="","",DEGREES(ATAN2(SQRT($K697^2+$L697^2),$M697)))</f>
        <v/>
      </c>
      <c r="O697">
        <f>IF($M697="","",DEGREES(ATAN2($K697,$L697)))</f>
        <v/>
      </c>
      <c r="P697">
        <f t="array" ref="P697">IF($N697="","",IFERROR(IF(INDEX(geo_grid!$B$2:$JU$231,INT(($N697+40)/0.5)+1,INT(($O697+30)/0.5)+1)="","",INDEX(geo_grid!$B$2:$JU$231,INT(($N697+40)/0.5)+1,INT(($O697+30)/0.5)+1)),"OUTSIDE GRID"))</f>
        <v/>
      </c>
      <c r="Q697">
        <f>IF($P697="","",$A697*1000+$B697)</f>
        <v/>
      </c>
    </row>
    <row r="698">
      <c r="A698">
        <f>INT((ROW()-2)/151)+1</f>
        <v/>
      </c>
      <c r="B698">
        <f>MOD(ROW()-2,151)</f>
        <v/>
      </c>
      <c r="C698">
        <f t="array" ref="C698">IFERROR(INDEX('TRIP MANAGER'!$O$18:$O$25,$A698),"")</f>
        <v/>
      </c>
      <c r="D698">
        <f t="array" ref="D698">IFERROR(INDEX('TRIP MANAGER'!$P$18:$P$25,$A698),"")</f>
        <v/>
      </c>
      <c r="E698">
        <f t="array" ref="E698">IFERROR(INDEX('TRIP MANAGER'!$Q$18:$Q$25,$A698),"")</f>
        <v/>
      </c>
      <c r="F698">
        <f t="array" ref="F698">IFERROR(INDEX('TRIP MANAGER'!$R$18:$R$25,$A698),"")</f>
        <v/>
      </c>
      <c r="G698">
        <f t="array" ref="G698">IFERROR(INDEX('TRIP MANAGER'!$S$18:$S$25,$A698),"")</f>
        <v/>
      </c>
      <c r="H698">
        <f>$B698/150</f>
        <v/>
      </c>
      <c r="I698">
        <f>IF(OR($G698="",$G698=0),"",SIN((1-$H698)*$G698)/SIN($G698))</f>
        <v/>
      </c>
      <c r="J698">
        <f>IF($I698="","",SIN($H698*$G698)/SIN($G698))</f>
        <v/>
      </c>
      <c r="K698">
        <f>IF($I698="","",$I698*COS(RADIANS($C698))*COS(RADIANS($D698))+$J698*COS(RADIANS($E698))*COS(RADIANS($F698)))</f>
        <v/>
      </c>
      <c r="L698">
        <f>IF($I698="","",$I698*COS(RADIANS($C698))*SIN(RADIANS($D698))+$J698*COS(RADIANS($E698))*SIN(RADIANS($F698)))</f>
        <v/>
      </c>
      <c r="M698">
        <f>IF($I698="","",$I698*SIN(RADIANS($C698))+$J698*SIN(RADIANS($E698)))</f>
        <v/>
      </c>
      <c r="N698">
        <f>IF($M698="","",DEGREES(ATAN2(SQRT($K698^2+$L698^2),$M698)))</f>
        <v/>
      </c>
      <c r="O698">
        <f>IF($M698="","",DEGREES(ATAN2($K698,$L698)))</f>
        <v/>
      </c>
      <c r="P698">
        <f t="array" ref="P698">IF($N698="","",IFERROR(IF(INDEX(geo_grid!$B$2:$JU$231,INT(($N698+40)/0.5)+1,INT(($O698+30)/0.5)+1)="","",INDEX(geo_grid!$B$2:$JU$231,INT(($N698+40)/0.5)+1,INT(($O698+30)/0.5)+1)),"OUTSIDE GRID"))</f>
        <v/>
      </c>
      <c r="Q698">
        <f>IF($P698="","",$A698*1000+$B698)</f>
        <v/>
      </c>
    </row>
    <row r="699">
      <c r="A699">
        <f>INT((ROW()-2)/151)+1</f>
        <v/>
      </c>
      <c r="B699">
        <f>MOD(ROW()-2,151)</f>
        <v/>
      </c>
      <c r="C699">
        <f t="array" ref="C699">IFERROR(INDEX('TRIP MANAGER'!$O$18:$O$25,$A699),"")</f>
        <v/>
      </c>
      <c r="D699">
        <f t="array" ref="D699">IFERROR(INDEX('TRIP MANAGER'!$P$18:$P$25,$A699),"")</f>
        <v/>
      </c>
      <c r="E699">
        <f t="array" ref="E699">IFERROR(INDEX('TRIP MANAGER'!$Q$18:$Q$25,$A699),"")</f>
        <v/>
      </c>
      <c r="F699">
        <f t="array" ref="F699">IFERROR(INDEX('TRIP MANAGER'!$R$18:$R$25,$A699),"")</f>
        <v/>
      </c>
      <c r="G699">
        <f t="array" ref="G699">IFERROR(INDEX('TRIP MANAGER'!$S$18:$S$25,$A699),"")</f>
        <v/>
      </c>
      <c r="H699">
        <f>$B699/150</f>
        <v/>
      </c>
      <c r="I699">
        <f>IF(OR($G699="",$G699=0),"",SIN((1-$H699)*$G699)/SIN($G699))</f>
        <v/>
      </c>
      <c r="J699">
        <f>IF($I699="","",SIN($H699*$G699)/SIN($G699))</f>
        <v/>
      </c>
      <c r="K699">
        <f>IF($I699="","",$I699*COS(RADIANS($C699))*COS(RADIANS($D699))+$J699*COS(RADIANS($E699))*COS(RADIANS($F699)))</f>
        <v/>
      </c>
      <c r="L699">
        <f>IF($I699="","",$I699*COS(RADIANS($C699))*SIN(RADIANS($D699))+$J699*COS(RADIANS($E699))*SIN(RADIANS($F699)))</f>
        <v/>
      </c>
      <c r="M699">
        <f>IF($I699="","",$I699*SIN(RADIANS($C699))+$J699*SIN(RADIANS($E699)))</f>
        <v/>
      </c>
      <c r="N699">
        <f>IF($M699="","",DEGREES(ATAN2(SQRT($K699^2+$L699^2),$M699)))</f>
        <v/>
      </c>
      <c r="O699">
        <f>IF($M699="","",DEGREES(ATAN2($K699,$L699)))</f>
        <v/>
      </c>
      <c r="P699">
        <f t="array" ref="P699">IF($N699="","",IFERROR(IF(INDEX(geo_grid!$B$2:$JU$231,INT(($N699+40)/0.5)+1,INT(($O699+30)/0.5)+1)="","",INDEX(geo_grid!$B$2:$JU$231,INT(($N699+40)/0.5)+1,INT(($O699+30)/0.5)+1)),"OUTSIDE GRID"))</f>
        <v/>
      </c>
      <c r="Q699">
        <f>IF($P699="","",$A699*1000+$B699)</f>
        <v/>
      </c>
    </row>
    <row r="700">
      <c r="A700">
        <f>INT((ROW()-2)/151)+1</f>
        <v/>
      </c>
      <c r="B700">
        <f>MOD(ROW()-2,151)</f>
        <v/>
      </c>
      <c r="C700">
        <f t="array" ref="C700">IFERROR(INDEX('TRIP MANAGER'!$O$18:$O$25,$A700),"")</f>
        <v/>
      </c>
      <c r="D700">
        <f t="array" ref="D700">IFERROR(INDEX('TRIP MANAGER'!$P$18:$P$25,$A700),"")</f>
        <v/>
      </c>
      <c r="E700">
        <f t="array" ref="E700">IFERROR(INDEX('TRIP MANAGER'!$Q$18:$Q$25,$A700),"")</f>
        <v/>
      </c>
      <c r="F700">
        <f t="array" ref="F700">IFERROR(INDEX('TRIP MANAGER'!$R$18:$R$25,$A700),"")</f>
        <v/>
      </c>
      <c r="G700">
        <f t="array" ref="G700">IFERROR(INDEX('TRIP MANAGER'!$S$18:$S$25,$A700),"")</f>
        <v/>
      </c>
      <c r="H700">
        <f>$B700/150</f>
        <v/>
      </c>
      <c r="I700">
        <f>IF(OR($G700="",$G700=0),"",SIN((1-$H700)*$G700)/SIN($G700))</f>
        <v/>
      </c>
      <c r="J700">
        <f>IF($I700="","",SIN($H700*$G700)/SIN($G700))</f>
        <v/>
      </c>
      <c r="K700">
        <f>IF($I700="","",$I700*COS(RADIANS($C700))*COS(RADIANS($D700))+$J700*COS(RADIANS($E700))*COS(RADIANS($F700)))</f>
        <v/>
      </c>
      <c r="L700">
        <f>IF($I700="","",$I700*COS(RADIANS($C700))*SIN(RADIANS($D700))+$J700*COS(RADIANS($E700))*SIN(RADIANS($F700)))</f>
        <v/>
      </c>
      <c r="M700">
        <f>IF($I700="","",$I700*SIN(RADIANS($C700))+$J700*SIN(RADIANS($E700)))</f>
        <v/>
      </c>
      <c r="N700">
        <f>IF($M700="","",DEGREES(ATAN2(SQRT($K700^2+$L700^2),$M700)))</f>
        <v/>
      </c>
      <c r="O700">
        <f>IF($M700="","",DEGREES(ATAN2($K700,$L700)))</f>
        <v/>
      </c>
      <c r="P700">
        <f t="array" ref="P700">IF($N700="","",IFERROR(IF(INDEX(geo_grid!$B$2:$JU$231,INT(($N700+40)/0.5)+1,INT(($O700+30)/0.5)+1)="","",INDEX(geo_grid!$B$2:$JU$231,INT(($N700+40)/0.5)+1,INT(($O700+30)/0.5)+1)),"OUTSIDE GRID"))</f>
        <v/>
      </c>
      <c r="Q700">
        <f>IF($P700="","",$A700*1000+$B700)</f>
        <v/>
      </c>
    </row>
    <row r="701">
      <c r="A701">
        <f>INT((ROW()-2)/151)+1</f>
        <v/>
      </c>
      <c r="B701">
        <f>MOD(ROW()-2,151)</f>
        <v/>
      </c>
      <c r="C701">
        <f t="array" ref="C701">IFERROR(INDEX('TRIP MANAGER'!$O$18:$O$25,$A701),"")</f>
        <v/>
      </c>
      <c r="D701">
        <f t="array" ref="D701">IFERROR(INDEX('TRIP MANAGER'!$P$18:$P$25,$A701),"")</f>
        <v/>
      </c>
      <c r="E701">
        <f t="array" ref="E701">IFERROR(INDEX('TRIP MANAGER'!$Q$18:$Q$25,$A701),"")</f>
        <v/>
      </c>
      <c r="F701">
        <f t="array" ref="F701">IFERROR(INDEX('TRIP MANAGER'!$R$18:$R$25,$A701),"")</f>
        <v/>
      </c>
      <c r="G701">
        <f t="array" ref="G701">IFERROR(INDEX('TRIP MANAGER'!$S$18:$S$25,$A701),"")</f>
        <v/>
      </c>
      <c r="H701">
        <f>$B701/150</f>
        <v/>
      </c>
      <c r="I701">
        <f>IF(OR($G701="",$G701=0),"",SIN((1-$H701)*$G701)/SIN($G701))</f>
        <v/>
      </c>
      <c r="J701">
        <f>IF($I701="","",SIN($H701*$G701)/SIN($G701))</f>
        <v/>
      </c>
      <c r="K701">
        <f>IF($I701="","",$I701*COS(RADIANS($C701))*COS(RADIANS($D701))+$J701*COS(RADIANS($E701))*COS(RADIANS($F701)))</f>
        <v/>
      </c>
      <c r="L701">
        <f>IF($I701="","",$I701*COS(RADIANS($C701))*SIN(RADIANS($D701))+$J701*COS(RADIANS($E701))*SIN(RADIANS($F701)))</f>
        <v/>
      </c>
      <c r="M701">
        <f>IF($I701="","",$I701*SIN(RADIANS($C701))+$J701*SIN(RADIANS($E701)))</f>
        <v/>
      </c>
      <c r="N701">
        <f>IF($M701="","",DEGREES(ATAN2(SQRT($K701^2+$L701^2),$M701)))</f>
        <v/>
      </c>
      <c r="O701">
        <f>IF($M701="","",DEGREES(ATAN2($K701,$L701)))</f>
        <v/>
      </c>
      <c r="P701">
        <f t="array" ref="P701">IF($N701="","",IFERROR(IF(INDEX(geo_grid!$B$2:$JU$231,INT(($N701+40)/0.5)+1,INT(($O701+30)/0.5)+1)="","",INDEX(geo_grid!$B$2:$JU$231,INT(($N701+40)/0.5)+1,INT(($O701+30)/0.5)+1)),"OUTSIDE GRID"))</f>
        <v/>
      </c>
      <c r="Q701">
        <f>IF($P701="","",$A701*1000+$B701)</f>
        <v/>
      </c>
    </row>
    <row r="702">
      <c r="A702">
        <f>INT((ROW()-2)/151)+1</f>
        <v/>
      </c>
      <c r="B702">
        <f>MOD(ROW()-2,151)</f>
        <v/>
      </c>
      <c r="C702">
        <f t="array" ref="C702">IFERROR(INDEX('TRIP MANAGER'!$O$18:$O$25,$A702),"")</f>
        <v/>
      </c>
      <c r="D702">
        <f t="array" ref="D702">IFERROR(INDEX('TRIP MANAGER'!$P$18:$P$25,$A702),"")</f>
        <v/>
      </c>
      <c r="E702">
        <f t="array" ref="E702">IFERROR(INDEX('TRIP MANAGER'!$Q$18:$Q$25,$A702),"")</f>
        <v/>
      </c>
      <c r="F702">
        <f t="array" ref="F702">IFERROR(INDEX('TRIP MANAGER'!$R$18:$R$25,$A702),"")</f>
        <v/>
      </c>
      <c r="G702">
        <f t="array" ref="G702">IFERROR(INDEX('TRIP MANAGER'!$S$18:$S$25,$A702),"")</f>
        <v/>
      </c>
      <c r="H702">
        <f>$B702/150</f>
        <v/>
      </c>
      <c r="I702">
        <f>IF(OR($G702="",$G702=0),"",SIN((1-$H702)*$G702)/SIN($G702))</f>
        <v/>
      </c>
      <c r="J702">
        <f>IF($I702="","",SIN($H702*$G702)/SIN($G702))</f>
        <v/>
      </c>
      <c r="K702">
        <f>IF($I702="","",$I702*COS(RADIANS($C702))*COS(RADIANS($D702))+$J702*COS(RADIANS($E702))*COS(RADIANS($F702)))</f>
        <v/>
      </c>
      <c r="L702">
        <f>IF($I702="","",$I702*COS(RADIANS($C702))*SIN(RADIANS($D702))+$J702*COS(RADIANS($E702))*SIN(RADIANS($F702)))</f>
        <v/>
      </c>
      <c r="M702">
        <f>IF($I702="","",$I702*SIN(RADIANS($C702))+$J702*SIN(RADIANS($E702)))</f>
        <v/>
      </c>
      <c r="N702">
        <f>IF($M702="","",DEGREES(ATAN2(SQRT($K702^2+$L702^2),$M702)))</f>
        <v/>
      </c>
      <c r="O702">
        <f>IF($M702="","",DEGREES(ATAN2($K702,$L702)))</f>
        <v/>
      </c>
      <c r="P702">
        <f t="array" ref="P702">IF($N702="","",IFERROR(IF(INDEX(geo_grid!$B$2:$JU$231,INT(($N702+40)/0.5)+1,INT(($O702+30)/0.5)+1)="","",INDEX(geo_grid!$B$2:$JU$231,INT(($N702+40)/0.5)+1,INT(($O702+30)/0.5)+1)),"OUTSIDE GRID"))</f>
        <v/>
      </c>
      <c r="Q702">
        <f>IF($P702="","",$A702*1000+$B702)</f>
        <v/>
      </c>
    </row>
    <row r="703">
      <c r="A703">
        <f>INT((ROW()-2)/151)+1</f>
        <v/>
      </c>
      <c r="B703">
        <f>MOD(ROW()-2,151)</f>
        <v/>
      </c>
      <c r="C703">
        <f t="array" ref="C703">IFERROR(INDEX('TRIP MANAGER'!$O$18:$O$25,$A703),"")</f>
        <v/>
      </c>
      <c r="D703">
        <f t="array" ref="D703">IFERROR(INDEX('TRIP MANAGER'!$P$18:$P$25,$A703),"")</f>
        <v/>
      </c>
      <c r="E703">
        <f t="array" ref="E703">IFERROR(INDEX('TRIP MANAGER'!$Q$18:$Q$25,$A703),"")</f>
        <v/>
      </c>
      <c r="F703">
        <f t="array" ref="F703">IFERROR(INDEX('TRIP MANAGER'!$R$18:$R$25,$A703),"")</f>
        <v/>
      </c>
      <c r="G703">
        <f t="array" ref="G703">IFERROR(INDEX('TRIP MANAGER'!$S$18:$S$25,$A703),"")</f>
        <v/>
      </c>
      <c r="H703">
        <f>$B703/150</f>
        <v/>
      </c>
      <c r="I703">
        <f>IF(OR($G703="",$G703=0),"",SIN((1-$H703)*$G703)/SIN($G703))</f>
        <v/>
      </c>
      <c r="J703">
        <f>IF($I703="","",SIN($H703*$G703)/SIN($G703))</f>
        <v/>
      </c>
      <c r="K703">
        <f>IF($I703="","",$I703*COS(RADIANS($C703))*COS(RADIANS($D703))+$J703*COS(RADIANS($E703))*COS(RADIANS($F703)))</f>
        <v/>
      </c>
      <c r="L703">
        <f>IF($I703="","",$I703*COS(RADIANS($C703))*SIN(RADIANS($D703))+$J703*COS(RADIANS($E703))*SIN(RADIANS($F703)))</f>
        <v/>
      </c>
      <c r="M703">
        <f>IF($I703="","",$I703*SIN(RADIANS($C703))+$J703*SIN(RADIANS($E703)))</f>
        <v/>
      </c>
      <c r="N703">
        <f>IF($M703="","",DEGREES(ATAN2(SQRT($K703^2+$L703^2),$M703)))</f>
        <v/>
      </c>
      <c r="O703">
        <f>IF($M703="","",DEGREES(ATAN2($K703,$L703)))</f>
        <v/>
      </c>
      <c r="P703">
        <f t="array" ref="P703">IF($N703="","",IFERROR(IF(INDEX(geo_grid!$B$2:$JU$231,INT(($N703+40)/0.5)+1,INT(($O703+30)/0.5)+1)="","",INDEX(geo_grid!$B$2:$JU$231,INT(($N703+40)/0.5)+1,INT(($O703+30)/0.5)+1)),"OUTSIDE GRID"))</f>
        <v/>
      </c>
      <c r="Q703">
        <f>IF($P703="","",$A703*1000+$B703)</f>
        <v/>
      </c>
    </row>
    <row r="704">
      <c r="A704">
        <f>INT((ROW()-2)/151)+1</f>
        <v/>
      </c>
      <c r="B704">
        <f>MOD(ROW()-2,151)</f>
        <v/>
      </c>
      <c r="C704">
        <f t="array" ref="C704">IFERROR(INDEX('TRIP MANAGER'!$O$18:$O$25,$A704),"")</f>
        <v/>
      </c>
      <c r="D704">
        <f t="array" ref="D704">IFERROR(INDEX('TRIP MANAGER'!$P$18:$P$25,$A704),"")</f>
        <v/>
      </c>
      <c r="E704">
        <f t="array" ref="E704">IFERROR(INDEX('TRIP MANAGER'!$Q$18:$Q$25,$A704),"")</f>
        <v/>
      </c>
      <c r="F704">
        <f t="array" ref="F704">IFERROR(INDEX('TRIP MANAGER'!$R$18:$R$25,$A704),"")</f>
        <v/>
      </c>
      <c r="G704">
        <f t="array" ref="G704">IFERROR(INDEX('TRIP MANAGER'!$S$18:$S$25,$A704),"")</f>
        <v/>
      </c>
      <c r="H704">
        <f>$B704/150</f>
        <v/>
      </c>
      <c r="I704">
        <f>IF(OR($G704="",$G704=0),"",SIN((1-$H704)*$G704)/SIN($G704))</f>
        <v/>
      </c>
      <c r="J704">
        <f>IF($I704="","",SIN($H704*$G704)/SIN($G704))</f>
        <v/>
      </c>
      <c r="K704">
        <f>IF($I704="","",$I704*COS(RADIANS($C704))*COS(RADIANS($D704))+$J704*COS(RADIANS($E704))*COS(RADIANS($F704)))</f>
        <v/>
      </c>
      <c r="L704">
        <f>IF($I704="","",$I704*COS(RADIANS($C704))*SIN(RADIANS($D704))+$J704*COS(RADIANS($E704))*SIN(RADIANS($F704)))</f>
        <v/>
      </c>
      <c r="M704">
        <f>IF($I704="","",$I704*SIN(RADIANS($C704))+$J704*SIN(RADIANS($E704)))</f>
        <v/>
      </c>
      <c r="N704">
        <f>IF($M704="","",DEGREES(ATAN2(SQRT($K704^2+$L704^2),$M704)))</f>
        <v/>
      </c>
      <c r="O704">
        <f>IF($M704="","",DEGREES(ATAN2($K704,$L704)))</f>
        <v/>
      </c>
      <c r="P704">
        <f t="array" ref="P704">IF($N704="","",IFERROR(IF(INDEX(geo_grid!$B$2:$JU$231,INT(($N704+40)/0.5)+1,INT(($O704+30)/0.5)+1)="","",INDEX(geo_grid!$B$2:$JU$231,INT(($N704+40)/0.5)+1,INT(($O704+30)/0.5)+1)),"OUTSIDE GRID"))</f>
        <v/>
      </c>
      <c r="Q704">
        <f>IF($P704="","",$A704*1000+$B704)</f>
        <v/>
      </c>
    </row>
    <row r="705">
      <c r="A705">
        <f>INT((ROW()-2)/151)+1</f>
        <v/>
      </c>
      <c r="B705">
        <f>MOD(ROW()-2,151)</f>
        <v/>
      </c>
      <c r="C705">
        <f t="array" ref="C705">IFERROR(INDEX('TRIP MANAGER'!$O$18:$O$25,$A705),"")</f>
        <v/>
      </c>
      <c r="D705">
        <f t="array" ref="D705">IFERROR(INDEX('TRIP MANAGER'!$P$18:$P$25,$A705),"")</f>
        <v/>
      </c>
      <c r="E705">
        <f t="array" ref="E705">IFERROR(INDEX('TRIP MANAGER'!$Q$18:$Q$25,$A705),"")</f>
        <v/>
      </c>
      <c r="F705">
        <f t="array" ref="F705">IFERROR(INDEX('TRIP MANAGER'!$R$18:$R$25,$A705),"")</f>
        <v/>
      </c>
      <c r="G705">
        <f t="array" ref="G705">IFERROR(INDEX('TRIP MANAGER'!$S$18:$S$25,$A705),"")</f>
        <v/>
      </c>
      <c r="H705">
        <f>$B705/150</f>
        <v/>
      </c>
      <c r="I705">
        <f>IF(OR($G705="",$G705=0),"",SIN((1-$H705)*$G705)/SIN($G705))</f>
        <v/>
      </c>
      <c r="J705">
        <f>IF($I705="","",SIN($H705*$G705)/SIN($G705))</f>
        <v/>
      </c>
      <c r="K705">
        <f>IF($I705="","",$I705*COS(RADIANS($C705))*COS(RADIANS($D705))+$J705*COS(RADIANS($E705))*COS(RADIANS($F705)))</f>
        <v/>
      </c>
      <c r="L705">
        <f>IF($I705="","",$I705*COS(RADIANS($C705))*SIN(RADIANS($D705))+$J705*COS(RADIANS($E705))*SIN(RADIANS($F705)))</f>
        <v/>
      </c>
      <c r="M705">
        <f>IF($I705="","",$I705*SIN(RADIANS($C705))+$J705*SIN(RADIANS($E705)))</f>
        <v/>
      </c>
      <c r="N705">
        <f>IF($M705="","",DEGREES(ATAN2(SQRT($K705^2+$L705^2),$M705)))</f>
        <v/>
      </c>
      <c r="O705">
        <f>IF($M705="","",DEGREES(ATAN2($K705,$L705)))</f>
        <v/>
      </c>
      <c r="P705">
        <f t="array" ref="P705">IF($N705="","",IFERROR(IF(INDEX(geo_grid!$B$2:$JU$231,INT(($N705+40)/0.5)+1,INT(($O705+30)/0.5)+1)="","",INDEX(geo_grid!$B$2:$JU$231,INT(($N705+40)/0.5)+1,INT(($O705+30)/0.5)+1)),"OUTSIDE GRID"))</f>
        <v/>
      </c>
      <c r="Q705">
        <f>IF($P705="","",$A705*1000+$B705)</f>
        <v/>
      </c>
    </row>
    <row r="706">
      <c r="A706">
        <f>INT((ROW()-2)/151)+1</f>
        <v/>
      </c>
      <c r="B706">
        <f>MOD(ROW()-2,151)</f>
        <v/>
      </c>
      <c r="C706">
        <f t="array" ref="C706">IFERROR(INDEX('TRIP MANAGER'!$O$18:$O$25,$A706),"")</f>
        <v/>
      </c>
      <c r="D706">
        <f t="array" ref="D706">IFERROR(INDEX('TRIP MANAGER'!$P$18:$P$25,$A706),"")</f>
        <v/>
      </c>
      <c r="E706">
        <f t="array" ref="E706">IFERROR(INDEX('TRIP MANAGER'!$Q$18:$Q$25,$A706),"")</f>
        <v/>
      </c>
      <c r="F706">
        <f t="array" ref="F706">IFERROR(INDEX('TRIP MANAGER'!$R$18:$R$25,$A706),"")</f>
        <v/>
      </c>
      <c r="G706">
        <f t="array" ref="G706">IFERROR(INDEX('TRIP MANAGER'!$S$18:$S$25,$A706),"")</f>
        <v/>
      </c>
      <c r="H706">
        <f>$B706/150</f>
        <v/>
      </c>
      <c r="I706">
        <f>IF(OR($G706="",$G706=0),"",SIN((1-$H706)*$G706)/SIN($G706))</f>
        <v/>
      </c>
      <c r="J706">
        <f>IF($I706="","",SIN($H706*$G706)/SIN($G706))</f>
        <v/>
      </c>
      <c r="K706">
        <f>IF($I706="","",$I706*COS(RADIANS($C706))*COS(RADIANS($D706))+$J706*COS(RADIANS($E706))*COS(RADIANS($F706)))</f>
        <v/>
      </c>
      <c r="L706">
        <f>IF($I706="","",$I706*COS(RADIANS($C706))*SIN(RADIANS($D706))+$J706*COS(RADIANS($E706))*SIN(RADIANS($F706)))</f>
        <v/>
      </c>
      <c r="M706">
        <f>IF($I706="","",$I706*SIN(RADIANS($C706))+$J706*SIN(RADIANS($E706)))</f>
        <v/>
      </c>
      <c r="N706">
        <f>IF($M706="","",DEGREES(ATAN2(SQRT($K706^2+$L706^2),$M706)))</f>
        <v/>
      </c>
      <c r="O706">
        <f>IF($M706="","",DEGREES(ATAN2($K706,$L706)))</f>
        <v/>
      </c>
      <c r="P706">
        <f t="array" ref="P706">IF($N706="","",IFERROR(IF(INDEX(geo_grid!$B$2:$JU$231,INT(($N706+40)/0.5)+1,INT(($O706+30)/0.5)+1)="","",INDEX(geo_grid!$B$2:$JU$231,INT(($N706+40)/0.5)+1,INT(($O706+30)/0.5)+1)),"OUTSIDE GRID"))</f>
        <v/>
      </c>
      <c r="Q706">
        <f>IF($P706="","",$A706*1000+$B706)</f>
        <v/>
      </c>
    </row>
    <row r="707">
      <c r="A707">
        <f>INT((ROW()-2)/151)+1</f>
        <v/>
      </c>
      <c r="B707">
        <f>MOD(ROW()-2,151)</f>
        <v/>
      </c>
      <c r="C707">
        <f t="array" ref="C707">IFERROR(INDEX('TRIP MANAGER'!$O$18:$O$25,$A707),"")</f>
        <v/>
      </c>
      <c r="D707">
        <f t="array" ref="D707">IFERROR(INDEX('TRIP MANAGER'!$P$18:$P$25,$A707),"")</f>
        <v/>
      </c>
      <c r="E707">
        <f t="array" ref="E707">IFERROR(INDEX('TRIP MANAGER'!$Q$18:$Q$25,$A707),"")</f>
        <v/>
      </c>
      <c r="F707">
        <f t="array" ref="F707">IFERROR(INDEX('TRIP MANAGER'!$R$18:$R$25,$A707),"")</f>
        <v/>
      </c>
      <c r="G707">
        <f t="array" ref="G707">IFERROR(INDEX('TRIP MANAGER'!$S$18:$S$25,$A707),"")</f>
        <v/>
      </c>
      <c r="H707">
        <f>$B707/150</f>
        <v/>
      </c>
      <c r="I707">
        <f>IF(OR($G707="",$G707=0),"",SIN((1-$H707)*$G707)/SIN($G707))</f>
        <v/>
      </c>
      <c r="J707">
        <f>IF($I707="","",SIN($H707*$G707)/SIN($G707))</f>
        <v/>
      </c>
      <c r="K707">
        <f>IF($I707="","",$I707*COS(RADIANS($C707))*COS(RADIANS($D707))+$J707*COS(RADIANS($E707))*COS(RADIANS($F707)))</f>
        <v/>
      </c>
      <c r="L707">
        <f>IF($I707="","",$I707*COS(RADIANS($C707))*SIN(RADIANS($D707))+$J707*COS(RADIANS($E707))*SIN(RADIANS($F707)))</f>
        <v/>
      </c>
      <c r="M707">
        <f>IF($I707="","",$I707*SIN(RADIANS($C707))+$J707*SIN(RADIANS($E707)))</f>
        <v/>
      </c>
      <c r="N707">
        <f>IF($M707="","",DEGREES(ATAN2(SQRT($K707^2+$L707^2),$M707)))</f>
        <v/>
      </c>
      <c r="O707">
        <f>IF($M707="","",DEGREES(ATAN2($K707,$L707)))</f>
        <v/>
      </c>
      <c r="P707">
        <f t="array" ref="P707">IF($N707="","",IFERROR(IF(INDEX(geo_grid!$B$2:$JU$231,INT(($N707+40)/0.5)+1,INT(($O707+30)/0.5)+1)="","",INDEX(geo_grid!$B$2:$JU$231,INT(($N707+40)/0.5)+1,INT(($O707+30)/0.5)+1)),"OUTSIDE GRID"))</f>
        <v/>
      </c>
      <c r="Q707">
        <f>IF($P707="","",$A707*1000+$B707)</f>
        <v/>
      </c>
    </row>
    <row r="708">
      <c r="A708">
        <f>INT((ROW()-2)/151)+1</f>
        <v/>
      </c>
      <c r="B708">
        <f>MOD(ROW()-2,151)</f>
        <v/>
      </c>
      <c r="C708">
        <f t="array" ref="C708">IFERROR(INDEX('TRIP MANAGER'!$O$18:$O$25,$A708),"")</f>
        <v/>
      </c>
      <c r="D708">
        <f t="array" ref="D708">IFERROR(INDEX('TRIP MANAGER'!$P$18:$P$25,$A708),"")</f>
        <v/>
      </c>
      <c r="E708">
        <f t="array" ref="E708">IFERROR(INDEX('TRIP MANAGER'!$Q$18:$Q$25,$A708),"")</f>
        <v/>
      </c>
      <c r="F708">
        <f t="array" ref="F708">IFERROR(INDEX('TRIP MANAGER'!$R$18:$R$25,$A708),"")</f>
        <v/>
      </c>
      <c r="G708">
        <f t="array" ref="G708">IFERROR(INDEX('TRIP MANAGER'!$S$18:$S$25,$A708),"")</f>
        <v/>
      </c>
      <c r="H708">
        <f>$B708/150</f>
        <v/>
      </c>
      <c r="I708">
        <f>IF(OR($G708="",$G708=0),"",SIN((1-$H708)*$G708)/SIN($G708))</f>
        <v/>
      </c>
      <c r="J708">
        <f>IF($I708="","",SIN($H708*$G708)/SIN($G708))</f>
        <v/>
      </c>
      <c r="K708">
        <f>IF($I708="","",$I708*COS(RADIANS($C708))*COS(RADIANS($D708))+$J708*COS(RADIANS($E708))*COS(RADIANS($F708)))</f>
        <v/>
      </c>
      <c r="L708">
        <f>IF($I708="","",$I708*COS(RADIANS($C708))*SIN(RADIANS($D708))+$J708*COS(RADIANS($E708))*SIN(RADIANS($F708)))</f>
        <v/>
      </c>
      <c r="M708">
        <f>IF($I708="","",$I708*SIN(RADIANS($C708))+$J708*SIN(RADIANS($E708)))</f>
        <v/>
      </c>
      <c r="N708">
        <f>IF($M708="","",DEGREES(ATAN2(SQRT($K708^2+$L708^2),$M708)))</f>
        <v/>
      </c>
      <c r="O708">
        <f>IF($M708="","",DEGREES(ATAN2($K708,$L708)))</f>
        <v/>
      </c>
      <c r="P708">
        <f t="array" ref="P708">IF($N708="","",IFERROR(IF(INDEX(geo_grid!$B$2:$JU$231,INT(($N708+40)/0.5)+1,INT(($O708+30)/0.5)+1)="","",INDEX(geo_grid!$B$2:$JU$231,INT(($N708+40)/0.5)+1,INT(($O708+30)/0.5)+1)),"OUTSIDE GRID"))</f>
        <v/>
      </c>
      <c r="Q708">
        <f>IF($P708="","",$A708*1000+$B708)</f>
        <v/>
      </c>
    </row>
    <row r="709">
      <c r="A709">
        <f>INT((ROW()-2)/151)+1</f>
        <v/>
      </c>
      <c r="B709">
        <f>MOD(ROW()-2,151)</f>
        <v/>
      </c>
      <c r="C709">
        <f t="array" ref="C709">IFERROR(INDEX('TRIP MANAGER'!$O$18:$O$25,$A709),"")</f>
        <v/>
      </c>
      <c r="D709">
        <f t="array" ref="D709">IFERROR(INDEX('TRIP MANAGER'!$P$18:$P$25,$A709),"")</f>
        <v/>
      </c>
      <c r="E709">
        <f t="array" ref="E709">IFERROR(INDEX('TRIP MANAGER'!$Q$18:$Q$25,$A709),"")</f>
        <v/>
      </c>
      <c r="F709">
        <f t="array" ref="F709">IFERROR(INDEX('TRIP MANAGER'!$R$18:$R$25,$A709),"")</f>
        <v/>
      </c>
      <c r="G709">
        <f t="array" ref="G709">IFERROR(INDEX('TRIP MANAGER'!$S$18:$S$25,$A709),"")</f>
        <v/>
      </c>
      <c r="H709">
        <f>$B709/150</f>
        <v/>
      </c>
      <c r="I709">
        <f>IF(OR($G709="",$G709=0),"",SIN((1-$H709)*$G709)/SIN($G709))</f>
        <v/>
      </c>
      <c r="J709">
        <f>IF($I709="","",SIN($H709*$G709)/SIN($G709))</f>
        <v/>
      </c>
      <c r="K709">
        <f>IF($I709="","",$I709*COS(RADIANS($C709))*COS(RADIANS($D709))+$J709*COS(RADIANS($E709))*COS(RADIANS($F709)))</f>
        <v/>
      </c>
      <c r="L709">
        <f>IF($I709="","",$I709*COS(RADIANS($C709))*SIN(RADIANS($D709))+$J709*COS(RADIANS($E709))*SIN(RADIANS($F709)))</f>
        <v/>
      </c>
      <c r="M709">
        <f>IF($I709="","",$I709*SIN(RADIANS($C709))+$J709*SIN(RADIANS($E709)))</f>
        <v/>
      </c>
      <c r="N709">
        <f>IF($M709="","",DEGREES(ATAN2(SQRT($K709^2+$L709^2),$M709)))</f>
        <v/>
      </c>
      <c r="O709">
        <f>IF($M709="","",DEGREES(ATAN2($K709,$L709)))</f>
        <v/>
      </c>
      <c r="P709">
        <f t="array" ref="P709">IF($N709="","",IFERROR(IF(INDEX(geo_grid!$B$2:$JU$231,INT(($N709+40)/0.5)+1,INT(($O709+30)/0.5)+1)="","",INDEX(geo_grid!$B$2:$JU$231,INT(($N709+40)/0.5)+1,INT(($O709+30)/0.5)+1)),"OUTSIDE GRID"))</f>
        <v/>
      </c>
      <c r="Q709">
        <f>IF($P709="","",$A709*1000+$B709)</f>
        <v/>
      </c>
    </row>
    <row r="710">
      <c r="A710">
        <f>INT((ROW()-2)/151)+1</f>
        <v/>
      </c>
      <c r="B710">
        <f>MOD(ROW()-2,151)</f>
        <v/>
      </c>
      <c r="C710">
        <f t="array" ref="C710">IFERROR(INDEX('TRIP MANAGER'!$O$18:$O$25,$A710),"")</f>
        <v/>
      </c>
      <c r="D710">
        <f t="array" ref="D710">IFERROR(INDEX('TRIP MANAGER'!$P$18:$P$25,$A710),"")</f>
        <v/>
      </c>
      <c r="E710">
        <f t="array" ref="E710">IFERROR(INDEX('TRIP MANAGER'!$Q$18:$Q$25,$A710),"")</f>
        <v/>
      </c>
      <c r="F710">
        <f t="array" ref="F710">IFERROR(INDEX('TRIP MANAGER'!$R$18:$R$25,$A710),"")</f>
        <v/>
      </c>
      <c r="G710">
        <f t="array" ref="G710">IFERROR(INDEX('TRIP MANAGER'!$S$18:$S$25,$A710),"")</f>
        <v/>
      </c>
      <c r="H710">
        <f>$B710/150</f>
        <v/>
      </c>
      <c r="I710">
        <f>IF(OR($G710="",$G710=0),"",SIN((1-$H710)*$G710)/SIN($G710))</f>
        <v/>
      </c>
      <c r="J710">
        <f>IF($I710="","",SIN($H710*$G710)/SIN($G710))</f>
        <v/>
      </c>
      <c r="K710">
        <f>IF($I710="","",$I710*COS(RADIANS($C710))*COS(RADIANS($D710))+$J710*COS(RADIANS($E710))*COS(RADIANS($F710)))</f>
        <v/>
      </c>
      <c r="L710">
        <f>IF($I710="","",$I710*COS(RADIANS($C710))*SIN(RADIANS($D710))+$J710*COS(RADIANS($E710))*SIN(RADIANS($F710)))</f>
        <v/>
      </c>
      <c r="M710">
        <f>IF($I710="","",$I710*SIN(RADIANS($C710))+$J710*SIN(RADIANS($E710)))</f>
        <v/>
      </c>
      <c r="N710">
        <f>IF($M710="","",DEGREES(ATAN2(SQRT($K710^2+$L710^2),$M710)))</f>
        <v/>
      </c>
      <c r="O710">
        <f>IF($M710="","",DEGREES(ATAN2($K710,$L710)))</f>
        <v/>
      </c>
      <c r="P710">
        <f t="array" ref="P710">IF($N710="","",IFERROR(IF(INDEX(geo_grid!$B$2:$JU$231,INT(($N710+40)/0.5)+1,INT(($O710+30)/0.5)+1)="","",INDEX(geo_grid!$B$2:$JU$231,INT(($N710+40)/0.5)+1,INT(($O710+30)/0.5)+1)),"OUTSIDE GRID"))</f>
        <v/>
      </c>
      <c r="Q710">
        <f>IF($P710="","",$A710*1000+$B710)</f>
        <v/>
      </c>
    </row>
    <row r="711">
      <c r="A711">
        <f>INT((ROW()-2)/151)+1</f>
        <v/>
      </c>
      <c r="B711">
        <f>MOD(ROW()-2,151)</f>
        <v/>
      </c>
      <c r="C711">
        <f t="array" ref="C711">IFERROR(INDEX('TRIP MANAGER'!$O$18:$O$25,$A711),"")</f>
        <v/>
      </c>
      <c r="D711">
        <f t="array" ref="D711">IFERROR(INDEX('TRIP MANAGER'!$P$18:$P$25,$A711),"")</f>
        <v/>
      </c>
      <c r="E711">
        <f t="array" ref="E711">IFERROR(INDEX('TRIP MANAGER'!$Q$18:$Q$25,$A711),"")</f>
        <v/>
      </c>
      <c r="F711">
        <f t="array" ref="F711">IFERROR(INDEX('TRIP MANAGER'!$R$18:$R$25,$A711),"")</f>
        <v/>
      </c>
      <c r="G711">
        <f t="array" ref="G711">IFERROR(INDEX('TRIP MANAGER'!$S$18:$S$25,$A711),"")</f>
        <v/>
      </c>
      <c r="H711">
        <f>$B711/150</f>
        <v/>
      </c>
      <c r="I711">
        <f>IF(OR($G711="",$G711=0),"",SIN((1-$H711)*$G711)/SIN($G711))</f>
        <v/>
      </c>
      <c r="J711">
        <f>IF($I711="","",SIN($H711*$G711)/SIN($G711))</f>
        <v/>
      </c>
      <c r="K711">
        <f>IF($I711="","",$I711*COS(RADIANS($C711))*COS(RADIANS($D711))+$J711*COS(RADIANS($E711))*COS(RADIANS($F711)))</f>
        <v/>
      </c>
      <c r="L711">
        <f>IF($I711="","",$I711*COS(RADIANS($C711))*SIN(RADIANS($D711))+$J711*COS(RADIANS($E711))*SIN(RADIANS($F711)))</f>
        <v/>
      </c>
      <c r="M711">
        <f>IF($I711="","",$I711*SIN(RADIANS($C711))+$J711*SIN(RADIANS($E711)))</f>
        <v/>
      </c>
      <c r="N711">
        <f>IF($M711="","",DEGREES(ATAN2(SQRT($K711^2+$L711^2),$M711)))</f>
        <v/>
      </c>
      <c r="O711">
        <f>IF($M711="","",DEGREES(ATAN2($K711,$L711)))</f>
        <v/>
      </c>
      <c r="P711">
        <f t="array" ref="P711">IF($N711="","",IFERROR(IF(INDEX(geo_grid!$B$2:$JU$231,INT(($N711+40)/0.5)+1,INT(($O711+30)/0.5)+1)="","",INDEX(geo_grid!$B$2:$JU$231,INT(($N711+40)/0.5)+1,INT(($O711+30)/0.5)+1)),"OUTSIDE GRID"))</f>
        <v/>
      </c>
      <c r="Q711">
        <f>IF($P711="","",$A711*1000+$B711)</f>
        <v/>
      </c>
    </row>
    <row r="712">
      <c r="A712">
        <f>INT((ROW()-2)/151)+1</f>
        <v/>
      </c>
      <c r="B712">
        <f>MOD(ROW()-2,151)</f>
        <v/>
      </c>
      <c r="C712">
        <f t="array" ref="C712">IFERROR(INDEX('TRIP MANAGER'!$O$18:$O$25,$A712),"")</f>
        <v/>
      </c>
      <c r="D712">
        <f t="array" ref="D712">IFERROR(INDEX('TRIP MANAGER'!$P$18:$P$25,$A712),"")</f>
        <v/>
      </c>
      <c r="E712">
        <f t="array" ref="E712">IFERROR(INDEX('TRIP MANAGER'!$Q$18:$Q$25,$A712),"")</f>
        <v/>
      </c>
      <c r="F712">
        <f t="array" ref="F712">IFERROR(INDEX('TRIP MANAGER'!$R$18:$R$25,$A712),"")</f>
        <v/>
      </c>
      <c r="G712">
        <f t="array" ref="G712">IFERROR(INDEX('TRIP MANAGER'!$S$18:$S$25,$A712),"")</f>
        <v/>
      </c>
      <c r="H712">
        <f>$B712/150</f>
        <v/>
      </c>
      <c r="I712">
        <f>IF(OR($G712="",$G712=0),"",SIN((1-$H712)*$G712)/SIN($G712))</f>
        <v/>
      </c>
      <c r="J712">
        <f>IF($I712="","",SIN($H712*$G712)/SIN($G712))</f>
        <v/>
      </c>
      <c r="K712">
        <f>IF($I712="","",$I712*COS(RADIANS($C712))*COS(RADIANS($D712))+$J712*COS(RADIANS($E712))*COS(RADIANS($F712)))</f>
        <v/>
      </c>
      <c r="L712">
        <f>IF($I712="","",$I712*COS(RADIANS($C712))*SIN(RADIANS($D712))+$J712*COS(RADIANS($E712))*SIN(RADIANS($F712)))</f>
        <v/>
      </c>
      <c r="M712">
        <f>IF($I712="","",$I712*SIN(RADIANS($C712))+$J712*SIN(RADIANS($E712)))</f>
        <v/>
      </c>
      <c r="N712">
        <f>IF($M712="","",DEGREES(ATAN2(SQRT($K712^2+$L712^2),$M712)))</f>
        <v/>
      </c>
      <c r="O712">
        <f>IF($M712="","",DEGREES(ATAN2($K712,$L712)))</f>
        <v/>
      </c>
      <c r="P712">
        <f t="array" ref="P712">IF($N712="","",IFERROR(IF(INDEX(geo_grid!$B$2:$JU$231,INT(($N712+40)/0.5)+1,INT(($O712+30)/0.5)+1)="","",INDEX(geo_grid!$B$2:$JU$231,INT(($N712+40)/0.5)+1,INT(($O712+30)/0.5)+1)),"OUTSIDE GRID"))</f>
        <v/>
      </c>
      <c r="Q712">
        <f>IF($P712="","",$A712*1000+$B712)</f>
        <v/>
      </c>
    </row>
    <row r="713">
      <c r="A713">
        <f>INT((ROW()-2)/151)+1</f>
        <v/>
      </c>
      <c r="B713">
        <f>MOD(ROW()-2,151)</f>
        <v/>
      </c>
      <c r="C713">
        <f t="array" ref="C713">IFERROR(INDEX('TRIP MANAGER'!$O$18:$O$25,$A713),"")</f>
        <v/>
      </c>
      <c r="D713">
        <f t="array" ref="D713">IFERROR(INDEX('TRIP MANAGER'!$P$18:$P$25,$A713),"")</f>
        <v/>
      </c>
      <c r="E713">
        <f t="array" ref="E713">IFERROR(INDEX('TRIP MANAGER'!$Q$18:$Q$25,$A713),"")</f>
        <v/>
      </c>
      <c r="F713">
        <f t="array" ref="F713">IFERROR(INDEX('TRIP MANAGER'!$R$18:$R$25,$A713),"")</f>
        <v/>
      </c>
      <c r="G713">
        <f t="array" ref="G713">IFERROR(INDEX('TRIP MANAGER'!$S$18:$S$25,$A713),"")</f>
        <v/>
      </c>
      <c r="H713">
        <f>$B713/150</f>
        <v/>
      </c>
      <c r="I713">
        <f>IF(OR($G713="",$G713=0),"",SIN((1-$H713)*$G713)/SIN($G713))</f>
        <v/>
      </c>
      <c r="J713">
        <f>IF($I713="","",SIN($H713*$G713)/SIN($G713))</f>
        <v/>
      </c>
      <c r="K713">
        <f>IF($I713="","",$I713*COS(RADIANS($C713))*COS(RADIANS($D713))+$J713*COS(RADIANS($E713))*COS(RADIANS($F713)))</f>
        <v/>
      </c>
      <c r="L713">
        <f>IF($I713="","",$I713*COS(RADIANS($C713))*SIN(RADIANS($D713))+$J713*COS(RADIANS($E713))*SIN(RADIANS($F713)))</f>
        <v/>
      </c>
      <c r="M713">
        <f>IF($I713="","",$I713*SIN(RADIANS($C713))+$J713*SIN(RADIANS($E713)))</f>
        <v/>
      </c>
      <c r="N713">
        <f>IF($M713="","",DEGREES(ATAN2(SQRT($K713^2+$L713^2),$M713)))</f>
        <v/>
      </c>
      <c r="O713">
        <f>IF($M713="","",DEGREES(ATAN2($K713,$L713)))</f>
        <v/>
      </c>
      <c r="P713">
        <f t="array" ref="P713">IF($N713="","",IFERROR(IF(INDEX(geo_grid!$B$2:$JU$231,INT(($N713+40)/0.5)+1,INT(($O713+30)/0.5)+1)="","",INDEX(geo_grid!$B$2:$JU$231,INT(($N713+40)/0.5)+1,INT(($O713+30)/0.5)+1)),"OUTSIDE GRID"))</f>
        <v/>
      </c>
      <c r="Q713">
        <f>IF($P713="","",$A713*1000+$B713)</f>
        <v/>
      </c>
    </row>
    <row r="714">
      <c r="A714">
        <f>INT((ROW()-2)/151)+1</f>
        <v/>
      </c>
      <c r="B714">
        <f>MOD(ROW()-2,151)</f>
        <v/>
      </c>
      <c r="C714">
        <f t="array" ref="C714">IFERROR(INDEX('TRIP MANAGER'!$O$18:$O$25,$A714),"")</f>
        <v/>
      </c>
      <c r="D714">
        <f t="array" ref="D714">IFERROR(INDEX('TRIP MANAGER'!$P$18:$P$25,$A714),"")</f>
        <v/>
      </c>
      <c r="E714">
        <f t="array" ref="E714">IFERROR(INDEX('TRIP MANAGER'!$Q$18:$Q$25,$A714),"")</f>
        <v/>
      </c>
      <c r="F714">
        <f t="array" ref="F714">IFERROR(INDEX('TRIP MANAGER'!$R$18:$R$25,$A714),"")</f>
        <v/>
      </c>
      <c r="G714">
        <f t="array" ref="G714">IFERROR(INDEX('TRIP MANAGER'!$S$18:$S$25,$A714),"")</f>
        <v/>
      </c>
      <c r="H714">
        <f>$B714/150</f>
        <v/>
      </c>
      <c r="I714">
        <f>IF(OR($G714="",$G714=0),"",SIN((1-$H714)*$G714)/SIN($G714))</f>
        <v/>
      </c>
      <c r="J714">
        <f>IF($I714="","",SIN($H714*$G714)/SIN($G714))</f>
        <v/>
      </c>
      <c r="K714">
        <f>IF($I714="","",$I714*COS(RADIANS($C714))*COS(RADIANS($D714))+$J714*COS(RADIANS($E714))*COS(RADIANS($F714)))</f>
        <v/>
      </c>
      <c r="L714">
        <f>IF($I714="","",$I714*COS(RADIANS($C714))*SIN(RADIANS($D714))+$J714*COS(RADIANS($E714))*SIN(RADIANS($F714)))</f>
        <v/>
      </c>
      <c r="M714">
        <f>IF($I714="","",$I714*SIN(RADIANS($C714))+$J714*SIN(RADIANS($E714)))</f>
        <v/>
      </c>
      <c r="N714">
        <f>IF($M714="","",DEGREES(ATAN2(SQRT($K714^2+$L714^2),$M714)))</f>
        <v/>
      </c>
      <c r="O714">
        <f>IF($M714="","",DEGREES(ATAN2($K714,$L714)))</f>
        <v/>
      </c>
      <c r="P714">
        <f t="array" ref="P714">IF($N714="","",IFERROR(IF(INDEX(geo_grid!$B$2:$JU$231,INT(($N714+40)/0.5)+1,INT(($O714+30)/0.5)+1)="","",INDEX(geo_grid!$B$2:$JU$231,INT(($N714+40)/0.5)+1,INT(($O714+30)/0.5)+1)),"OUTSIDE GRID"))</f>
        <v/>
      </c>
      <c r="Q714">
        <f>IF($P714="","",$A714*1000+$B714)</f>
        <v/>
      </c>
    </row>
    <row r="715">
      <c r="A715">
        <f>INT((ROW()-2)/151)+1</f>
        <v/>
      </c>
      <c r="B715">
        <f>MOD(ROW()-2,151)</f>
        <v/>
      </c>
      <c r="C715">
        <f t="array" ref="C715">IFERROR(INDEX('TRIP MANAGER'!$O$18:$O$25,$A715),"")</f>
        <v/>
      </c>
      <c r="D715">
        <f t="array" ref="D715">IFERROR(INDEX('TRIP MANAGER'!$P$18:$P$25,$A715),"")</f>
        <v/>
      </c>
      <c r="E715">
        <f t="array" ref="E715">IFERROR(INDEX('TRIP MANAGER'!$Q$18:$Q$25,$A715),"")</f>
        <v/>
      </c>
      <c r="F715">
        <f t="array" ref="F715">IFERROR(INDEX('TRIP MANAGER'!$R$18:$R$25,$A715),"")</f>
        <v/>
      </c>
      <c r="G715">
        <f t="array" ref="G715">IFERROR(INDEX('TRIP MANAGER'!$S$18:$S$25,$A715),"")</f>
        <v/>
      </c>
      <c r="H715">
        <f>$B715/150</f>
        <v/>
      </c>
      <c r="I715">
        <f>IF(OR($G715="",$G715=0),"",SIN((1-$H715)*$G715)/SIN($G715))</f>
        <v/>
      </c>
      <c r="J715">
        <f>IF($I715="","",SIN($H715*$G715)/SIN($G715))</f>
        <v/>
      </c>
      <c r="K715">
        <f>IF($I715="","",$I715*COS(RADIANS($C715))*COS(RADIANS($D715))+$J715*COS(RADIANS($E715))*COS(RADIANS($F715)))</f>
        <v/>
      </c>
      <c r="L715">
        <f>IF($I715="","",$I715*COS(RADIANS($C715))*SIN(RADIANS($D715))+$J715*COS(RADIANS($E715))*SIN(RADIANS($F715)))</f>
        <v/>
      </c>
      <c r="M715">
        <f>IF($I715="","",$I715*SIN(RADIANS($C715))+$J715*SIN(RADIANS($E715)))</f>
        <v/>
      </c>
      <c r="N715">
        <f>IF($M715="","",DEGREES(ATAN2(SQRT($K715^2+$L715^2),$M715)))</f>
        <v/>
      </c>
      <c r="O715">
        <f>IF($M715="","",DEGREES(ATAN2($K715,$L715)))</f>
        <v/>
      </c>
      <c r="P715">
        <f t="array" ref="P715">IF($N715="","",IFERROR(IF(INDEX(geo_grid!$B$2:$JU$231,INT(($N715+40)/0.5)+1,INT(($O715+30)/0.5)+1)="","",INDEX(geo_grid!$B$2:$JU$231,INT(($N715+40)/0.5)+1,INT(($O715+30)/0.5)+1)),"OUTSIDE GRID"))</f>
        <v/>
      </c>
      <c r="Q715">
        <f>IF($P715="","",$A715*1000+$B715)</f>
        <v/>
      </c>
    </row>
    <row r="716">
      <c r="A716">
        <f>INT((ROW()-2)/151)+1</f>
        <v/>
      </c>
      <c r="B716">
        <f>MOD(ROW()-2,151)</f>
        <v/>
      </c>
      <c r="C716">
        <f t="array" ref="C716">IFERROR(INDEX('TRIP MANAGER'!$O$18:$O$25,$A716),"")</f>
        <v/>
      </c>
      <c r="D716">
        <f t="array" ref="D716">IFERROR(INDEX('TRIP MANAGER'!$P$18:$P$25,$A716),"")</f>
        <v/>
      </c>
      <c r="E716">
        <f t="array" ref="E716">IFERROR(INDEX('TRIP MANAGER'!$Q$18:$Q$25,$A716),"")</f>
        <v/>
      </c>
      <c r="F716">
        <f t="array" ref="F716">IFERROR(INDEX('TRIP MANAGER'!$R$18:$R$25,$A716),"")</f>
        <v/>
      </c>
      <c r="G716">
        <f t="array" ref="G716">IFERROR(INDEX('TRIP MANAGER'!$S$18:$S$25,$A716),"")</f>
        <v/>
      </c>
      <c r="H716">
        <f>$B716/150</f>
        <v/>
      </c>
      <c r="I716">
        <f>IF(OR($G716="",$G716=0),"",SIN((1-$H716)*$G716)/SIN($G716))</f>
        <v/>
      </c>
      <c r="J716">
        <f>IF($I716="","",SIN($H716*$G716)/SIN($G716))</f>
        <v/>
      </c>
      <c r="K716">
        <f>IF($I716="","",$I716*COS(RADIANS($C716))*COS(RADIANS($D716))+$J716*COS(RADIANS($E716))*COS(RADIANS($F716)))</f>
        <v/>
      </c>
      <c r="L716">
        <f>IF($I716="","",$I716*COS(RADIANS($C716))*SIN(RADIANS($D716))+$J716*COS(RADIANS($E716))*SIN(RADIANS($F716)))</f>
        <v/>
      </c>
      <c r="M716">
        <f>IF($I716="","",$I716*SIN(RADIANS($C716))+$J716*SIN(RADIANS($E716)))</f>
        <v/>
      </c>
      <c r="N716">
        <f>IF($M716="","",DEGREES(ATAN2(SQRT($K716^2+$L716^2),$M716)))</f>
        <v/>
      </c>
      <c r="O716">
        <f>IF($M716="","",DEGREES(ATAN2($K716,$L716)))</f>
        <v/>
      </c>
      <c r="P716">
        <f t="array" ref="P716">IF($N716="","",IFERROR(IF(INDEX(geo_grid!$B$2:$JU$231,INT(($N716+40)/0.5)+1,INT(($O716+30)/0.5)+1)="","",INDEX(geo_grid!$B$2:$JU$231,INT(($N716+40)/0.5)+1,INT(($O716+30)/0.5)+1)),"OUTSIDE GRID"))</f>
        <v/>
      </c>
      <c r="Q716">
        <f>IF($P716="","",$A716*1000+$B716)</f>
        <v/>
      </c>
    </row>
    <row r="717">
      <c r="A717">
        <f>INT((ROW()-2)/151)+1</f>
        <v/>
      </c>
      <c r="B717">
        <f>MOD(ROW()-2,151)</f>
        <v/>
      </c>
      <c r="C717">
        <f t="array" ref="C717">IFERROR(INDEX('TRIP MANAGER'!$O$18:$O$25,$A717),"")</f>
        <v/>
      </c>
      <c r="D717">
        <f t="array" ref="D717">IFERROR(INDEX('TRIP MANAGER'!$P$18:$P$25,$A717),"")</f>
        <v/>
      </c>
      <c r="E717">
        <f t="array" ref="E717">IFERROR(INDEX('TRIP MANAGER'!$Q$18:$Q$25,$A717),"")</f>
        <v/>
      </c>
      <c r="F717">
        <f t="array" ref="F717">IFERROR(INDEX('TRIP MANAGER'!$R$18:$R$25,$A717),"")</f>
        <v/>
      </c>
      <c r="G717">
        <f t="array" ref="G717">IFERROR(INDEX('TRIP MANAGER'!$S$18:$S$25,$A717),"")</f>
        <v/>
      </c>
      <c r="H717">
        <f>$B717/150</f>
        <v/>
      </c>
      <c r="I717">
        <f>IF(OR($G717="",$G717=0),"",SIN((1-$H717)*$G717)/SIN($G717))</f>
        <v/>
      </c>
      <c r="J717">
        <f>IF($I717="","",SIN($H717*$G717)/SIN($G717))</f>
        <v/>
      </c>
      <c r="K717">
        <f>IF($I717="","",$I717*COS(RADIANS($C717))*COS(RADIANS($D717))+$J717*COS(RADIANS($E717))*COS(RADIANS($F717)))</f>
        <v/>
      </c>
      <c r="L717">
        <f>IF($I717="","",$I717*COS(RADIANS($C717))*SIN(RADIANS($D717))+$J717*COS(RADIANS($E717))*SIN(RADIANS($F717)))</f>
        <v/>
      </c>
      <c r="M717">
        <f>IF($I717="","",$I717*SIN(RADIANS($C717))+$J717*SIN(RADIANS($E717)))</f>
        <v/>
      </c>
      <c r="N717">
        <f>IF($M717="","",DEGREES(ATAN2(SQRT($K717^2+$L717^2),$M717)))</f>
        <v/>
      </c>
      <c r="O717">
        <f>IF($M717="","",DEGREES(ATAN2($K717,$L717)))</f>
        <v/>
      </c>
      <c r="P717">
        <f t="array" ref="P717">IF($N717="","",IFERROR(IF(INDEX(geo_grid!$B$2:$JU$231,INT(($N717+40)/0.5)+1,INT(($O717+30)/0.5)+1)="","",INDEX(geo_grid!$B$2:$JU$231,INT(($N717+40)/0.5)+1,INT(($O717+30)/0.5)+1)),"OUTSIDE GRID"))</f>
        <v/>
      </c>
      <c r="Q717">
        <f>IF($P717="","",$A717*1000+$B717)</f>
        <v/>
      </c>
    </row>
    <row r="718">
      <c r="A718">
        <f>INT((ROW()-2)/151)+1</f>
        <v/>
      </c>
      <c r="B718">
        <f>MOD(ROW()-2,151)</f>
        <v/>
      </c>
      <c r="C718">
        <f t="array" ref="C718">IFERROR(INDEX('TRIP MANAGER'!$O$18:$O$25,$A718),"")</f>
        <v/>
      </c>
      <c r="D718">
        <f t="array" ref="D718">IFERROR(INDEX('TRIP MANAGER'!$P$18:$P$25,$A718),"")</f>
        <v/>
      </c>
      <c r="E718">
        <f t="array" ref="E718">IFERROR(INDEX('TRIP MANAGER'!$Q$18:$Q$25,$A718),"")</f>
        <v/>
      </c>
      <c r="F718">
        <f t="array" ref="F718">IFERROR(INDEX('TRIP MANAGER'!$R$18:$R$25,$A718),"")</f>
        <v/>
      </c>
      <c r="G718">
        <f t="array" ref="G718">IFERROR(INDEX('TRIP MANAGER'!$S$18:$S$25,$A718),"")</f>
        <v/>
      </c>
      <c r="H718">
        <f>$B718/150</f>
        <v/>
      </c>
      <c r="I718">
        <f>IF(OR($G718="",$G718=0),"",SIN((1-$H718)*$G718)/SIN($G718))</f>
        <v/>
      </c>
      <c r="J718">
        <f>IF($I718="","",SIN($H718*$G718)/SIN($G718))</f>
        <v/>
      </c>
      <c r="K718">
        <f>IF($I718="","",$I718*COS(RADIANS($C718))*COS(RADIANS($D718))+$J718*COS(RADIANS($E718))*COS(RADIANS($F718)))</f>
        <v/>
      </c>
      <c r="L718">
        <f>IF($I718="","",$I718*COS(RADIANS($C718))*SIN(RADIANS($D718))+$J718*COS(RADIANS($E718))*SIN(RADIANS($F718)))</f>
        <v/>
      </c>
      <c r="M718">
        <f>IF($I718="","",$I718*SIN(RADIANS($C718))+$J718*SIN(RADIANS($E718)))</f>
        <v/>
      </c>
      <c r="N718">
        <f>IF($M718="","",DEGREES(ATAN2(SQRT($K718^2+$L718^2),$M718)))</f>
        <v/>
      </c>
      <c r="O718">
        <f>IF($M718="","",DEGREES(ATAN2($K718,$L718)))</f>
        <v/>
      </c>
      <c r="P718">
        <f t="array" ref="P718">IF($N718="","",IFERROR(IF(INDEX(geo_grid!$B$2:$JU$231,INT(($N718+40)/0.5)+1,INT(($O718+30)/0.5)+1)="","",INDEX(geo_grid!$B$2:$JU$231,INT(($N718+40)/0.5)+1,INT(($O718+30)/0.5)+1)),"OUTSIDE GRID"))</f>
        <v/>
      </c>
      <c r="Q718">
        <f>IF($P718="","",$A718*1000+$B718)</f>
        <v/>
      </c>
    </row>
    <row r="719">
      <c r="A719">
        <f>INT((ROW()-2)/151)+1</f>
        <v/>
      </c>
      <c r="B719">
        <f>MOD(ROW()-2,151)</f>
        <v/>
      </c>
      <c r="C719">
        <f t="array" ref="C719">IFERROR(INDEX('TRIP MANAGER'!$O$18:$O$25,$A719),"")</f>
        <v/>
      </c>
      <c r="D719">
        <f t="array" ref="D719">IFERROR(INDEX('TRIP MANAGER'!$P$18:$P$25,$A719),"")</f>
        <v/>
      </c>
      <c r="E719">
        <f t="array" ref="E719">IFERROR(INDEX('TRIP MANAGER'!$Q$18:$Q$25,$A719),"")</f>
        <v/>
      </c>
      <c r="F719">
        <f t="array" ref="F719">IFERROR(INDEX('TRIP MANAGER'!$R$18:$R$25,$A719),"")</f>
        <v/>
      </c>
      <c r="G719">
        <f t="array" ref="G719">IFERROR(INDEX('TRIP MANAGER'!$S$18:$S$25,$A719),"")</f>
        <v/>
      </c>
      <c r="H719">
        <f>$B719/150</f>
        <v/>
      </c>
      <c r="I719">
        <f>IF(OR($G719="",$G719=0),"",SIN((1-$H719)*$G719)/SIN($G719))</f>
        <v/>
      </c>
      <c r="J719">
        <f>IF($I719="","",SIN($H719*$G719)/SIN($G719))</f>
        <v/>
      </c>
      <c r="K719">
        <f>IF($I719="","",$I719*COS(RADIANS($C719))*COS(RADIANS($D719))+$J719*COS(RADIANS($E719))*COS(RADIANS($F719)))</f>
        <v/>
      </c>
      <c r="L719">
        <f>IF($I719="","",$I719*COS(RADIANS($C719))*SIN(RADIANS($D719))+$J719*COS(RADIANS($E719))*SIN(RADIANS($F719)))</f>
        <v/>
      </c>
      <c r="M719">
        <f>IF($I719="","",$I719*SIN(RADIANS($C719))+$J719*SIN(RADIANS($E719)))</f>
        <v/>
      </c>
      <c r="N719">
        <f>IF($M719="","",DEGREES(ATAN2(SQRT($K719^2+$L719^2),$M719)))</f>
        <v/>
      </c>
      <c r="O719">
        <f>IF($M719="","",DEGREES(ATAN2($K719,$L719)))</f>
        <v/>
      </c>
      <c r="P719">
        <f t="array" ref="P719">IF($N719="","",IFERROR(IF(INDEX(geo_grid!$B$2:$JU$231,INT(($N719+40)/0.5)+1,INT(($O719+30)/0.5)+1)="","",INDEX(geo_grid!$B$2:$JU$231,INT(($N719+40)/0.5)+1,INT(($O719+30)/0.5)+1)),"OUTSIDE GRID"))</f>
        <v/>
      </c>
      <c r="Q719">
        <f>IF($P719="","",$A719*1000+$B719)</f>
        <v/>
      </c>
    </row>
    <row r="720">
      <c r="A720">
        <f>INT((ROW()-2)/151)+1</f>
        <v/>
      </c>
      <c r="B720">
        <f>MOD(ROW()-2,151)</f>
        <v/>
      </c>
      <c r="C720">
        <f t="array" ref="C720">IFERROR(INDEX('TRIP MANAGER'!$O$18:$O$25,$A720),"")</f>
        <v/>
      </c>
      <c r="D720">
        <f t="array" ref="D720">IFERROR(INDEX('TRIP MANAGER'!$P$18:$P$25,$A720),"")</f>
        <v/>
      </c>
      <c r="E720">
        <f t="array" ref="E720">IFERROR(INDEX('TRIP MANAGER'!$Q$18:$Q$25,$A720),"")</f>
        <v/>
      </c>
      <c r="F720">
        <f t="array" ref="F720">IFERROR(INDEX('TRIP MANAGER'!$R$18:$R$25,$A720),"")</f>
        <v/>
      </c>
      <c r="G720">
        <f t="array" ref="G720">IFERROR(INDEX('TRIP MANAGER'!$S$18:$S$25,$A720),"")</f>
        <v/>
      </c>
      <c r="H720">
        <f>$B720/150</f>
        <v/>
      </c>
      <c r="I720">
        <f>IF(OR($G720="",$G720=0),"",SIN((1-$H720)*$G720)/SIN($G720))</f>
        <v/>
      </c>
      <c r="J720">
        <f>IF($I720="","",SIN($H720*$G720)/SIN($G720))</f>
        <v/>
      </c>
      <c r="K720">
        <f>IF($I720="","",$I720*COS(RADIANS($C720))*COS(RADIANS($D720))+$J720*COS(RADIANS($E720))*COS(RADIANS($F720)))</f>
        <v/>
      </c>
      <c r="L720">
        <f>IF($I720="","",$I720*COS(RADIANS($C720))*SIN(RADIANS($D720))+$J720*COS(RADIANS($E720))*SIN(RADIANS($F720)))</f>
        <v/>
      </c>
      <c r="M720">
        <f>IF($I720="","",$I720*SIN(RADIANS($C720))+$J720*SIN(RADIANS($E720)))</f>
        <v/>
      </c>
      <c r="N720">
        <f>IF($M720="","",DEGREES(ATAN2(SQRT($K720^2+$L720^2),$M720)))</f>
        <v/>
      </c>
      <c r="O720">
        <f>IF($M720="","",DEGREES(ATAN2($K720,$L720)))</f>
        <v/>
      </c>
      <c r="P720">
        <f t="array" ref="P720">IF($N720="","",IFERROR(IF(INDEX(geo_grid!$B$2:$JU$231,INT(($N720+40)/0.5)+1,INT(($O720+30)/0.5)+1)="","",INDEX(geo_grid!$B$2:$JU$231,INT(($N720+40)/0.5)+1,INT(($O720+30)/0.5)+1)),"OUTSIDE GRID"))</f>
        <v/>
      </c>
      <c r="Q720">
        <f>IF($P720="","",$A720*1000+$B720)</f>
        <v/>
      </c>
    </row>
    <row r="721">
      <c r="A721">
        <f>INT((ROW()-2)/151)+1</f>
        <v/>
      </c>
      <c r="B721">
        <f>MOD(ROW()-2,151)</f>
        <v/>
      </c>
      <c r="C721">
        <f t="array" ref="C721">IFERROR(INDEX('TRIP MANAGER'!$O$18:$O$25,$A721),"")</f>
        <v/>
      </c>
      <c r="D721">
        <f t="array" ref="D721">IFERROR(INDEX('TRIP MANAGER'!$P$18:$P$25,$A721),"")</f>
        <v/>
      </c>
      <c r="E721">
        <f t="array" ref="E721">IFERROR(INDEX('TRIP MANAGER'!$Q$18:$Q$25,$A721),"")</f>
        <v/>
      </c>
      <c r="F721">
        <f t="array" ref="F721">IFERROR(INDEX('TRIP MANAGER'!$R$18:$R$25,$A721),"")</f>
        <v/>
      </c>
      <c r="G721">
        <f t="array" ref="G721">IFERROR(INDEX('TRIP MANAGER'!$S$18:$S$25,$A721),"")</f>
        <v/>
      </c>
      <c r="H721">
        <f>$B721/150</f>
        <v/>
      </c>
      <c r="I721">
        <f>IF(OR($G721="",$G721=0),"",SIN((1-$H721)*$G721)/SIN($G721))</f>
        <v/>
      </c>
      <c r="J721">
        <f>IF($I721="","",SIN($H721*$G721)/SIN($G721))</f>
        <v/>
      </c>
      <c r="K721">
        <f>IF($I721="","",$I721*COS(RADIANS($C721))*COS(RADIANS($D721))+$J721*COS(RADIANS($E721))*COS(RADIANS($F721)))</f>
        <v/>
      </c>
      <c r="L721">
        <f>IF($I721="","",$I721*COS(RADIANS($C721))*SIN(RADIANS($D721))+$J721*COS(RADIANS($E721))*SIN(RADIANS($F721)))</f>
        <v/>
      </c>
      <c r="M721">
        <f>IF($I721="","",$I721*SIN(RADIANS($C721))+$J721*SIN(RADIANS($E721)))</f>
        <v/>
      </c>
      <c r="N721">
        <f>IF($M721="","",DEGREES(ATAN2(SQRT($K721^2+$L721^2),$M721)))</f>
        <v/>
      </c>
      <c r="O721">
        <f>IF($M721="","",DEGREES(ATAN2($K721,$L721)))</f>
        <v/>
      </c>
      <c r="P721">
        <f t="array" ref="P721">IF($N721="","",IFERROR(IF(INDEX(geo_grid!$B$2:$JU$231,INT(($N721+40)/0.5)+1,INT(($O721+30)/0.5)+1)="","",INDEX(geo_grid!$B$2:$JU$231,INT(($N721+40)/0.5)+1,INT(($O721+30)/0.5)+1)),"OUTSIDE GRID"))</f>
        <v/>
      </c>
      <c r="Q721">
        <f>IF($P721="","",$A721*1000+$B721)</f>
        <v/>
      </c>
    </row>
    <row r="722">
      <c r="A722">
        <f>INT((ROW()-2)/151)+1</f>
        <v/>
      </c>
      <c r="B722">
        <f>MOD(ROW()-2,151)</f>
        <v/>
      </c>
      <c r="C722">
        <f t="array" ref="C722">IFERROR(INDEX('TRIP MANAGER'!$O$18:$O$25,$A722),"")</f>
        <v/>
      </c>
      <c r="D722">
        <f t="array" ref="D722">IFERROR(INDEX('TRIP MANAGER'!$P$18:$P$25,$A722),"")</f>
        <v/>
      </c>
      <c r="E722">
        <f t="array" ref="E722">IFERROR(INDEX('TRIP MANAGER'!$Q$18:$Q$25,$A722),"")</f>
        <v/>
      </c>
      <c r="F722">
        <f t="array" ref="F722">IFERROR(INDEX('TRIP MANAGER'!$R$18:$R$25,$A722),"")</f>
        <v/>
      </c>
      <c r="G722">
        <f t="array" ref="G722">IFERROR(INDEX('TRIP MANAGER'!$S$18:$S$25,$A722),"")</f>
        <v/>
      </c>
      <c r="H722">
        <f>$B722/150</f>
        <v/>
      </c>
      <c r="I722">
        <f>IF(OR($G722="",$G722=0),"",SIN((1-$H722)*$G722)/SIN($G722))</f>
        <v/>
      </c>
      <c r="J722">
        <f>IF($I722="","",SIN($H722*$G722)/SIN($G722))</f>
        <v/>
      </c>
      <c r="K722">
        <f>IF($I722="","",$I722*COS(RADIANS($C722))*COS(RADIANS($D722))+$J722*COS(RADIANS($E722))*COS(RADIANS($F722)))</f>
        <v/>
      </c>
      <c r="L722">
        <f>IF($I722="","",$I722*COS(RADIANS($C722))*SIN(RADIANS($D722))+$J722*COS(RADIANS($E722))*SIN(RADIANS($F722)))</f>
        <v/>
      </c>
      <c r="M722">
        <f>IF($I722="","",$I722*SIN(RADIANS($C722))+$J722*SIN(RADIANS($E722)))</f>
        <v/>
      </c>
      <c r="N722">
        <f>IF($M722="","",DEGREES(ATAN2(SQRT($K722^2+$L722^2),$M722)))</f>
        <v/>
      </c>
      <c r="O722">
        <f>IF($M722="","",DEGREES(ATAN2($K722,$L722)))</f>
        <v/>
      </c>
      <c r="P722">
        <f t="array" ref="P722">IF($N722="","",IFERROR(IF(INDEX(geo_grid!$B$2:$JU$231,INT(($N722+40)/0.5)+1,INT(($O722+30)/0.5)+1)="","",INDEX(geo_grid!$B$2:$JU$231,INT(($N722+40)/0.5)+1,INT(($O722+30)/0.5)+1)),"OUTSIDE GRID"))</f>
        <v/>
      </c>
      <c r="Q722">
        <f>IF($P722="","",$A722*1000+$B722)</f>
        <v/>
      </c>
    </row>
    <row r="723">
      <c r="A723">
        <f>INT((ROW()-2)/151)+1</f>
        <v/>
      </c>
      <c r="B723">
        <f>MOD(ROW()-2,151)</f>
        <v/>
      </c>
      <c r="C723">
        <f t="array" ref="C723">IFERROR(INDEX('TRIP MANAGER'!$O$18:$O$25,$A723),"")</f>
        <v/>
      </c>
      <c r="D723">
        <f t="array" ref="D723">IFERROR(INDEX('TRIP MANAGER'!$P$18:$P$25,$A723),"")</f>
        <v/>
      </c>
      <c r="E723">
        <f t="array" ref="E723">IFERROR(INDEX('TRIP MANAGER'!$Q$18:$Q$25,$A723),"")</f>
        <v/>
      </c>
      <c r="F723">
        <f t="array" ref="F723">IFERROR(INDEX('TRIP MANAGER'!$R$18:$R$25,$A723),"")</f>
        <v/>
      </c>
      <c r="G723">
        <f t="array" ref="G723">IFERROR(INDEX('TRIP MANAGER'!$S$18:$S$25,$A723),"")</f>
        <v/>
      </c>
      <c r="H723">
        <f>$B723/150</f>
        <v/>
      </c>
      <c r="I723">
        <f>IF(OR($G723="",$G723=0),"",SIN((1-$H723)*$G723)/SIN($G723))</f>
        <v/>
      </c>
      <c r="J723">
        <f>IF($I723="","",SIN($H723*$G723)/SIN($G723))</f>
        <v/>
      </c>
      <c r="K723">
        <f>IF($I723="","",$I723*COS(RADIANS($C723))*COS(RADIANS($D723))+$J723*COS(RADIANS($E723))*COS(RADIANS($F723)))</f>
        <v/>
      </c>
      <c r="L723">
        <f>IF($I723="","",$I723*COS(RADIANS($C723))*SIN(RADIANS($D723))+$J723*COS(RADIANS($E723))*SIN(RADIANS($F723)))</f>
        <v/>
      </c>
      <c r="M723">
        <f>IF($I723="","",$I723*SIN(RADIANS($C723))+$J723*SIN(RADIANS($E723)))</f>
        <v/>
      </c>
      <c r="N723">
        <f>IF($M723="","",DEGREES(ATAN2(SQRT($K723^2+$L723^2),$M723)))</f>
        <v/>
      </c>
      <c r="O723">
        <f>IF($M723="","",DEGREES(ATAN2($K723,$L723)))</f>
        <v/>
      </c>
      <c r="P723">
        <f t="array" ref="P723">IF($N723="","",IFERROR(IF(INDEX(geo_grid!$B$2:$JU$231,INT(($N723+40)/0.5)+1,INT(($O723+30)/0.5)+1)="","",INDEX(geo_grid!$B$2:$JU$231,INT(($N723+40)/0.5)+1,INT(($O723+30)/0.5)+1)),"OUTSIDE GRID"))</f>
        <v/>
      </c>
      <c r="Q723">
        <f>IF($P723="","",$A723*1000+$B723)</f>
        <v/>
      </c>
    </row>
    <row r="724">
      <c r="A724">
        <f>INT((ROW()-2)/151)+1</f>
        <v/>
      </c>
      <c r="B724">
        <f>MOD(ROW()-2,151)</f>
        <v/>
      </c>
      <c r="C724">
        <f t="array" ref="C724">IFERROR(INDEX('TRIP MANAGER'!$O$18:$O$25,$A724),"")</f>
        <v/>
      </c>
      <c r="D724">
        <f t="array" ref="D724">IFERROR(INDEX('TRIP MANAGER'!$P$18:$P$25,$A724),"")</f>
        <v/>
      </c>
      <c r="E724">
        <f t="array" ref="E724">IFERROR(INDEX('TRIP MANAGER'!$Q$18:$Q$25,$A724),"")</f>
        <v/>
      </c>
      <c r="F724">
        <f t="array" ref="F724">IFERROR(INDEX('TRIP MANAGER'!$R$18:$R$25,$A724),"")</f>
        <v/>
      </c>
      <c r="G724">
        <f t="array" ref="G724">IFERROR(INDEX('TRIP MANAGER'!$S$18:$S$25,$A724),"")</f>
        <v/>
      </c>
      <c r="H724">
        <f>$B724/150</f>
        <v/>
      </c>
      <c r="I724">
        <f>IF(OR($G724="",$G724=0),"",SIN((1-$H724)*$G724)/SIN($G724))</f>
        <v/>
      </c>
      <c r="J724">
        <f>IF($I724="","",SIN($H724*$G724)/SIN($G724))</f>
        <v/>
      </c>
      <c r="K724">
        <f>IF($I724="","",$I724*COS(RADIANS($C724))*COS(RADIANS($D724))+$J724*COS(RADIANS($E724))*COS(RADIANS($F724)))</f>
        <v/>
      </c>
      <c r="L724">
        <f>IF($I724="","",$I724*COS(RADIANS($C724))*SIN(RADIANS($D724))+$J724*COS(RADIANS($E724))*SIN(RADIANS($F724)))</f>
        <v/>
      </c>
      <c r="M724">
        <f>IF($I724="","",$I724*SIN(RADIANS($C724))+$J724*SIN(RADIANS($E724)))</f>
        <v/>
      </c>
      <c r="N724">
        <f>IF($M724="","",DEGREES(ATAN2(SQRT($K724^2+$L724^2),$M724)))</f>
        <v/>
      </c>
      <c r="O724">
        <f>IF($M724="","",DEGREES(ATAN2($K724,$L724)))</f>
        <v/>
      </c>
      <c r="P724">
        <f t="array" ref="P724">IF($N724="","",IFERROR(IF(INDEX(geo_grid!$B$2:$JU$231,INT(($N724+40)/0.5)+1,INT(($O724+30)/0.5)+1)="","",INDEX(geo_grid!$B$2:$JU$231,INT(($N724+40)/0.5)+1,INT(($O724+30)/0.5)+1)),"OUTSIDE GRID"))</f>
        <v/>
      </c>
      <c r="Q724">
        <f>IF($P724="","",$A724*1000+$B724)</f>
        <v/>
      </c>
    </row>
    <row r="725">
      <c r="A725">
        <f>INT((ROW()-2)/151)+1</f>
        <v/>
      </c>
      <c r="B725">
        <f>MOD(ROW()-2,151)</f>
        <v/>
      </c>
      <c r="C725">
        <f t="array" ref="C725">IFERROR(INDEX('TRIP MANAGER'!$O$18:$O$25,$A725),"")</f>
        <v/>
      </c>
      <c r="D725">
        <f t="array" ref="D725">IFERROR(INDEX('TRIP MANAGER'!$P$18:$P$25,$A725),"")</f>
        <v/>
      </c>
      <c r="E725">
        <f t="array" ref="E725">IFERROR(INDEX('TRIP MANAGER'!$Q$18:$Q$25,$A725),"")</f>
        <v/>
      </c>
      <c r="F725">
        <f t="array" ref="F725">IFERROR(INDEX('TRIP MANAGER'!$R$18:$R$25,$A725),"")</f>
        <v/>
      </c>
      <c r="G725">
        <f t="array" ref="G725">IFERROR(INDEX('TRIP MANAGER'!$S$18:$S$25,$A725),"")</f>
        <v/>
      </c>
      <c r="H725">
        <f>$B725/150</f>
        <v/>
      </c>
      <c r="I725">
        <f>IF(OR($G725="",$G725=0),"",SIN((1-$H725)*$G725)/SIN($G725))</f>
        <v/>
      </c>
      <c r="J725">
        <f>IF($I725="","",SIN($H725*$G725)/SIN($G725))</f>
        <v/>
      </c>
      <c r="K725">
        <f>IF($I725="","",$I725*COS(RADIANS($C725))*COS(RADIANS($D725))+$J725*COS(RADIANS($E725))*COS(RADIANS($F725)))</f>
        <v/>
      </c>
      <c r="L725">
        <f>IF($I725="","",$I725*COS(RADIANS($C725))*SIN(RADIANS($D725))+$J725*COS(RADIANS($E725))*SIN(RADIANS($F725)))</f>
        <v/>
      </c>
      <c r="M725">
        <f>IF($I725="","",$I725*SIN(RADIANS($C725))+$J725*SIN(RADIANS($E725)))</f>
        <v/>
      </c>
      <c r="N725">
        <f>IF($M725="","",DEGREES(ATAN2(SQRT($K725^2+$L725^2),$M725)))</f>
        <v/>
      </c>
      <c r="O725">
        <f>IF($M725="","",DEGREES(ATAN2($K725,$L725)))</f>
        <v/>
      </c>
      <c r="P725">
        <f t="array" ref="P725">IF($N725="","",IFERROR(IF(INDEX(geo_grid!$B$2:$JU$231,INT(($N725+40)/0.5)+1,INT(($O725+30)/0.5)+1)="","",INDEX(geo_grid!$B$2:$JU$231,INT(($N725+40)/0.5)+1,INT(($O725+30)/0.5)+1)),"OUTSIDE GRID"))</f>
        <v/>
      </c>
      <c r="Q725">
        <f>IF($P725="","",$A725*1000+$B725)</f>
        <v/>
      </c>
    </row>
    <row r="726">
      <c r="A726">
        <f>INT((ROW()-2)/151)+1</f>
        <v/>
      </c>
      <c r="B726">
        <f>MOD(ROW()-2,151)</f>
        <v/>
      </c>
      <c r="C726">
        <f t="array" ref="C726">IFERROR(INDEX('TRIP MANAGER'!$O$18:$O$25,$A726),"")</f>
        <v/>
      </c>
      <c r="D726">
        <f t="array" ref="D726">IFERROR(INDEX('TRIP MANAGER'!$P$18:$P$25,$A726),"")</f>
        <v/>
      </c>
      <c r="E726">
        <f t="array" ref="E726">IFERROR(INDEX('TRIP MANAGER'!$Q$18:$Q$25,$A726),"")</f>
        <v/>
      </c>
      <c r="F726">
        <f t="array" ref="F726">IFERROR(INDEX('TRIP MANAGER'!$R$18:$R$25,$A726),"")</f>
        <v/>
      </c>
      <c r="G726">
        <f t="array" ref="G726">IFERROR(INDEX('TRIP MANAGER'!$S$18:$S$25,$A726),"")</f>
        <v/>
      </c>
      <c r="H726">
        <f>$B726/150</f>
        <v/>
      </c>
      <c r="I726">
        <f>IF(OR($G726="",$G726=0),"",SIN((1-$H726)*$G726)/SIN($G726))</f>
        <v/>
      </c>
      <c r="J726">
        <f>IF($I726="","",SIN($H726*$G726)/SIN($G726))</f>
        <v/>
      </c>
      <c r="K726">
        <f>IF($I726="","",$I726*COS(RADIANS($C726))*COS(RADIANS($D726))+$J726*COS(RADIANS($E726))*COS(RADIANS($F726)))</f>
        <v/>
      </c>
      <c r="L726">
        <f>IF($I726="","",$I726*COS(RADIANS($C726))*SIN(RADIANS($D726))+$J726*COS(RADIANS($E726))*SIN(RADIANS($F726)))</f>
        <v/>
      </c>
      <c r="M726">
        <f>IF($I726="","",$I726*SIN(RADIANS($C726))+$J726*SIN(RADIANS($E726)))</f>
        <v/>
      </c>
      <c r="N726">
        <f>IF($M726="","",DEGREES(ATAN2(SQRT($K726^2+$L726^2),$M726)))</f>
        <v/>
      </c>
      <c r="O726">
        <f>IF($M726="","",DEGREES(ATAN2($K726,$L726)))</f>
        <v/>
      </c>
      <c r="P726">
        <f t="array" ref="P726">IF($N726="","",IFERROR(IF(INDEX(geo_grid!$B$2:$JU$231,INT(($N726+40)/0.5)+1,INT(($O726+30)/0.5)+1)="","",INDEX(geo_grid!$B$2:$JU$231,INT(($N726+40)/0.5)+1,INT(($O726+30)/0.5)+1)),"OUTSIDE GRID"))</f>
        <v/>
      </c>
      <c r="Q726">
        <f>IF($P726="","",$A726*1000+$B726)</f>
        <v/>
      </c>
    </row>
    <row r="727">
      <c r="A727">
        <f>INT((ROW()-2)/151)+1</f>
        <v/>
      </c>
      <c r="B727">
        <f>MOD(ROW()-2,151)</f>
        <v/>
      </c>
      <c r="C727">
        <f t="array" ref="C727">IFERROR(INDEX('TRIP MANAGER'!$O$18:$O$25,$A727),"")</f>
        <v/>
      </c>
      <c r="D727">
        <f t="array" ref="D727">IFERROR(INDEX('TRIP MANAGER'!$P$18:$P$25,$A727),"")</f>
        <v/>
      </c>
      <c r="E727">
        <f t="array" ref="E727">IFERROR(INDEX('TRIP MANAGER'!$Q$18:$Q$25,$A727),"")</f>
        <v/>
      </c>
      <c r="F727">
        <f t="array" ref="F727">IFERROR(INDEX('TRIP MANAGER'!$R$18:$R$25,$A727),"")</f>
        <v/>
      </c>
      <c r="G727">
        <f t="array" ref="G727">IFERROR(INDEX('TRIP MANAGER'!$S$18:$S$25,$A727),"")</f>
        <v/>
      </c>
      <c r="H727">
        <f>$B727/150</f>
        <v/>
      </c>
      <c r="I727">
        <f>IF(OR($G727="",$G727=0),"",SIN((1-$H727)*$G727)/SIN($G727))</f>
        <v/>
      </c>
      <c r="J727">
        <f>IF($I727="","",SIN($H727*$G727)/SIN($G727))</f>
        <v/>
      </c>
      <c r="K727">
        <f>IF($I727="","",$I727*COS(RADIANS($C727))*COS(RADIANS($D727))+$J727*COS(RADIANS($E727))*COS(RADIANS($F727)))</f>
        <v/>
      </c>
      <c r="L727">
        <f>IF($I727="","",$I727*COS(RADIANS($C727))*SIN(RADIANS($D727))+$J727*COS(RADIANS($E727))*SIN(RADIANS($F727)))</f>
        <v/>
      </c>
      <c r="M727">
        <f>IF($I727="","",$I727*SIN(RADIANS($C727))+$J727*SIN(RADIANS($E727)))</f>
        <v/>
      </c>
      <c r="N727">
        <f>IF($M727="","",DEGREES(ATAN2(SQRT($K727^2+$L727^2),$M727)))</f>
        <v/>
      </c>
      <c r="O727">
        <f>IF($M727="","",DEGREES(ATAN2($K727,$L727)))</f>
        <v/>
      </c>
      <c r="P727">
        <f t="array" ref="P727">IF($N727="","",IFERROR(IF(INDEX(geo_grid!$B$2:$JU$231,INT(($N727+40)/0.5)+1,INT(($O727+30)/0.5)+1)="","",INDEX(geo_grid!$B$2:$JU$231,INT(($N727+40)/0.5)+1,INT(($O727+30)/0.5)+1)),"OUTSIDE GRID"))</f>
        <v/>
      </c>
      <c r="Q727">
        <f>IF($P727="","",$A727*1000+$B727)</f>
        <v/>
      </c>
    </row>
    <row r="728">
      <c r="A728">
        <f>INT((ROW()-2)/151)+1</f>
        <v/>
      </c>
      <c r="B728">
        <f>MOD(ROW()-2,151)</f>
        <v/>
      </c>
      <c r="C728">
        <f t="array" ref="C728">IFERROR(INDEX('TRIP MANAGER'!$O$18:$O$25,$A728),"")</f>
        <v/>
      </c>
      <c r="D728">
        <f t="array" ref="D728">IFERROR(INDEX('TRIP MANAGER'!$P$18:$P$25,$A728),"")</f>
        <v/>
      </c>
      <c r="E728">
        <f t="array" ref="E728">IFERROR(INDEX('TRIP MANAGER'!$Q$18:$Q$25,$A728),"")</f>
        <v/>
      </c>
      <c r="F728">
        <f t="array" ref="F728">IFERROR(INDEX('TRIP MANAGER'!$R$18:$R$25,$A728),"")</f>
        <v/>
      </c>
      <c r="G728">
        <f t="array" ref="G728">IFERROR(INDEX('TRIP MANAGER'!$S$18:$S$25,$A728),"")</f>
        <v/>
      </c>
      <c r="H728">
        <f>$B728/150</f>
        <v/>
      </c>
      <c r="I728">
        <f>IF(OR($G728="",$G728=0),"",SIN((1-$H728)*$G728)/SIN($G728))</f>
        <v/>
      </c>
      <c r="J728">
        <f>IF($I728="","",SIN($H728*$G728)/SIN($G728))</f>
        <v/>
      </c>
      <c r="K728">
        <f>IF($I728="","",$I728*COS(RADIANS($C728))*COS(RADIANS($D728))+$J728*COS(RADIANS($E728))*COS(RADIANS($F728)))</f>
        <v/>
      </c>
      <c r="L728">
        <f>IF($I728="","",$I728*COS(RADIANS($C728))*SIN(RADIANS($D728))+$J728*COS(RADIANS($E728))*SIN(RADIANS($F728)))</f>
        <v/>
      </c>
      <c r="M728">
        <f>IF($I728="","",$I728*SIN(RADIANS($C728))+$J728*SIN(RADIANS($E728)))</f>
        <v/>
      </c>
      <c r="N728">
        <f>IF($M728="","",DEGREES(ATAN2(SQRT($K728^2+$L728^2),$M728)))</f>
        <v/>
      </c>
      <c r="O728">
        <f>IF($M728="","",DEGREES(ATAN2($K728,$L728)))</f>
        <v/>
      </c>
      <c r="P728">
        <f t="array" ref="P728">IF($N728="","",IFERROR(IF(INDEX(geo_grid!$B$2:$JU$231,INT(($N728+40)/0.5)+1,INT(($O728+30)/0.5)+1)="","",INDEX(geo_grid!$B$2:$JU$231,INT(($N728+40)/0.5)+1,INT(($O728+30)/0.5)+1)),"OUTSIDE GRID"))</f>
        <v/>
      </c>
      <c r="Q728">
        <f>IF($P728="","",$A728*1000+$B728)</f>
        <v/>
      </c>
    </row>
    <row r="729">
      <c r="A729">
        <f>INT((ROW()-2)/151)+1</f>
        <v/>
      </c>
      <c r="B729">
        <f>MOD(ROW()-2,151)</f>
        <v/>
      </c>
      <c r="C729">
        <f t="array" ref="C729">IFERROR(INDEX('TRIP MANAGER'!$O$18:$O$25,$A729),"")</f>
        <v/>
      </c>
      <c r="D729">
        <f t="array" ref="D729">IFERROR(INDEX('TRIP MANAGER'!$P$18:$P$25,$A729),"")</f>
        <v/>
      </c>
      <c r="E729">
        <f t="array" ref="E729">IFERROR(INDEX('TRIP MANAGER'!$Q$18:$Q$25,$A729),"")</f>
        <v/>
      </c>
      <c r="F729">
        <f t="array" ref="F729">IFERROR(INDEX('TRIP MANAGER'!$R$18:$R$25,$A729),"")</f>
        <v/>
      </c>
      <c r="G729">
        <f t="array" ref="G729">IFERROR(INDEX('TRIP MANAGER'!$S$18:$S$25,$A729),"")</f>
        <v/>
      </c>
      <c r="H729">
        <f>$B729/150</f>
        <v/>
      </c>
      <c r="I729">
        <f>IF(OR($G729="",$G729=0),"",SIN((1-$H729)*$G729)/SIN($G729))</f>
        <v/>
      </c>
      <c r="J729">
        <f>IF($I729="","",SIN($H729*$G729)/SIN($G729))</f>
        <v/>
      </c>
      <c r="K729">
        <f>IF($I729="","",$I729*COS(RADIANS($C729))*COS(RADIANS($D729))+$J729*COS(RADIANS($E729))*COS(RADIANS($F729)))</f>
        <v/>
      </c>
      <c r="L729">
        <f>IF($I729="","",$I729*COS(RADIANS($C729))*SIN(RADIANS($D729))+$J729*COS(RADIANS($E729))*SIN(RADIANS($F729)))</f>
        <v/>
      </c>
      <c r="M729">
        <f>IF($I729="","",$I729*SIN(RADIANS($C729))+$J729*SIN(RADIANS($E729)))</f>
        <v/>
      </c>
      <c r="N729">
        <f>IF($M729="","",DEGREES(ATAN2(SQRT($K729^2+$L729^2),$M729)))</f>
        <v/>
      </c>
      <c r="O729">
        <f>IF($M729="","",DEGREES(ATAN2($K729,$L729)))</f>
        <v/>
      </c>
      <c r="P729">
        <f t="array" ref="P729">IF($N729="","",IFERROR(IF(INDEX(geo_grid!$B$2:$JU$231,INT(($N729+40)/0.5)+1,INT(($O729+30)/0.5)+1)="","",INDEX(geo_grid!$B$2:$JU$231,INT(($N729+40)/0.5)+1,INT(($O729+30)/0.5)+1)),"OUTSIDE GRID"))</f>
        <v/>
      </c>
      <c r="Q729">
        <f>IF($P729="","",$A729*1000+$B729)</f>
        <v/>
      </c>
    </row>
    <row r="730">
      <c r="A730">
        <f>INT((ROW()-2)/151)+1</f>
        <v/>
      </c>
      <c r="B730">
        <f>MOD(ROW()-2,151)</f>
        <v/>
      </c>
      <c r="C730">
        <f t="array" ref="C730">IFERROR(INDEX('TRIP MANAGER'!$O$18:$O$25,$A730),"")</f>
        <v/>
      </c>
      <c r="D730">
        <f t="array" ref="D730">IFERROR(INDEX('TRIP MANAGER'!$P$18:$P$25,$A730),"")</f>
        <v/>
      </c>
      <c r="E730">
        <f t="array" ref="E730">IFERROR(INDEX('TRIP MANAGER'!$Q$18:$Q$25,$A730),"")</f>
        <v/>
      </c>
      <c r="F730">
        <f t="array" ref="F730">IFERROR(INDEX('TRIP MANAGER'!$R$18:$R$25,$A730),"")</f>
        <v/>
      </c>
      <c r="G730">
        <f t="array" ref="G730">IFERROR(INDEX('TRIP MANAGER'!$S$18:$S$25,$A730),"")</f>
        <v/>
      </c>
      <c r="H730">
        <f>$B730/150</f>
        <v/>
      </c>
      <c r="I730">
        <f>IF(OR($G730="",$G730=0),"",SIN((1-$H730)*$G730)/SIN($G730))</f>
        <v/>
      </c>
      <c r="J730">
        <f>IF($I730="","",SIN($H730*$G730)/SIN($G730))</f>
        <v/>
      </c>
      <c r="K730">
        <f>IF($I730="","",$I730*COS(RADIANS($C730))*COS(RADIANS($D730))+$J730*COS(RADIANS($E730))*COS(RADIANS($F730)))</f>
        <v/>
      </c>
      <c r="L730">
        <f>IF($I730="","",$I730*COS(RADIANS($C730))*SIN(RADIANS($D730))+$J730*COS(RADIANS($E730))*SIN(RADIANS($F730)))</f>
        <v/>
      </c>
      <c r="M730">
        <f>IF($I730="","",$I730*SIN(RADIANS($C730))+$J730*SIN(RADIANS($E730)))</f>
        <v/>
      </c>
      <c r="N730">
        <f>IF($M730="","",DEGREES(ATAN2(SQRT($K730^2+$L730^2),$M730)))</f>
        <v/>
      </c>
      <c r="O730">
        <f>IF($M730="","",DEGREES(ATAN2($K730,$L730)))</f>
        <v/>
      </c>
      <c r="P730">
        <f t="array" ref="P730">IF($N730="","",IFERROR(IF(INDEX(geo_grid!$B$2:$JU$231,INT(($N730+40)/0.5)+1,INT(($O730+30)/0.5)+1)="","",INDEX(geo_grid!$B$2:$JU$231,INT(($N730+40)/0.5)+1,INT(($O730+30)/0.5)+1)),"OUTSIDE GRID"))</f>
        <v/>
      </c>
      <c r="Q730">
        <f>IF($P730="","",$A730*1000+$B730)</f>
        <v/>
      </c>
    </row>
    <row r="731">
      <c r="A731">
        <f>INT((ROW()-2)/151)+1</f>
        <v/>
      </c>
      <c r="B731">
        <f>MOD(ROW()-2,151)</f>
        <v/>
      </c>
      <c r="C731">
        <f t="array" ref="C731">IFERROR(INDEX('TRIP MANAGER'!$O$18:$O$25,$A731),"")</f>
        <v/>
      </c>
      <c r="D731">
        <f t="array" ref="D731">IFERROR(INDEX('TRIP MANAGER'!$P$18:$P$25,$A731),"")</f>
        <v/>
      </c>
      <c r="E731">
        <f t="array" ref="E731">IFERROR(INDEX('TRIP MANAGER'!$Q$18:$Q$25,$A731),"")</f>
        <v/>
      </c>
      <c r="F731">
        <f t="array" ref="F731">IFERROR(INDEX('TRIP MANAGER'!$R$18:$R$25,$A731),"")</f>
        <v/>
      </c>
      <c r="G731">
        <f t="array" ref="G731">IFERROR(INDEX('TRIP MANAGER'!$S$18:$S$25,$A731),"")</f>
        <v/>
      </c>
      <c r="H731">
        <f>$B731/150</f>
        <v/>
      </c>
      <c r="I731">
        <f>IF(OR($G731="",$G731=0),"",SIN((1-$H731)*$G731)/SIN($G731))</f>
        <v/>
      </c>
      <c r="J731">
        <f>IF($I731="","",SIN($H731*$G731)/SIN($G731))</f>
        <v/>
      </c>
      <c r="K731">
        <f>IF($I731="","",$I731*COS(RADIANS($C731))*COS(RADIANS($D731))+$J731*COS(RADIANS($E731))*COS(RADIANS($F731)))</f>
        <v/>
      </c>
      <c r="L731">
        <f>IF($I731="","",$I731*COS(RADIANS($C731))*SIN(RADIANS($D731))+$J731*COS(RADIANS($E731))*SIN(RADIANS($F731)))</f>
        <v/>
      </c>
      <c r="M731">
        <f>IF($I731="","",$I731*SIN(RADIANS($C731))+$J731*SIN(RADIANS($E731)))</f>
        <v/>
      </c>
      <c r="N731">
        <f>IF($M731="","",DEGREES(ATAN2(SQRT($K731^2+$L731^2),$M731)))</f>
        <v/>
      </c>
      <c r="O731">
        <f>IF($M731="","",DEGREES(ATAN2($K731,$L731)))</f>
        <v/>
      </c>
      <c r="P731">
        <f t="array" ref="P731">IF($N731="","",IFERROR(IF(INDEX(geo_grid!$B$2:$JU$231,INT(($N731+40)/0.5)+1,INT(($O731+30)/0.5)+1)="","",INDEX(geo_grid!$B$2:$JU$231,INT(($N731+40)/0.5)+1,INT(($O731+30)/0.5)+1)),"OUTSIDE GRID"))</f>
        <v/>
      </c>
      <c r="Q731">
        <f>IF($P731="","",$A731*1000+$B731)</f>
        <v/>
      </c>
    </row>
    <row r="732">
      <c r="A732">
        <f>INT((ROW()-2)/151)+1</f>
        <v/>
      </c>
      <c r="B732">
        <f>MOD(ROW()-2,151)</f>
        <v/>
      </c>
      <c r="C732">
        <f t="array" ref="C732">IFERROR(INDEX('TRIP MANAGER'!$O$18:$O$25,$A732),"")</f>
        <v/>
      </c>
      <c r="D732">
        <f t="array" ref="D732">IFERROR(INDEX('TRIP MANAGER'!$P$18:$P$25,$A732),"")</f>
        <v/>
      </c>
      <c r="E732">
        <f t="array" ref="E732">IFERROR(INDEX('TRIP MANAGER'!$Q$18:$Q$25,$A732),"")</f>
        <v/>
      </c>
      <c r="F732">
        <f t="array" ref="F732">IFERROR(INDEX('TRIP MANAGER'!$R$18:$R$25,$A732),"")</f>
        <v/>
      </c>
      <c r="G732">
        <f t="array" ref="G732">IFERROR(INDEX('TRIP MANAGER'!$S$18:$S$25,$A732),"")</f>
        <v/>
      </c>
      <c r="H732">
        <f>$B732/150</f>
        <v/>
      </c>
      <c r="I732">
        <f>IF(OR($G732="",$G732=0),"",SIN((1-$H732)*$G732)/SIN($G732))</f>
        <v/>
      </c>
      <c r="J732">
        <f>IF($I732="","",SIN($H732*$G732)/SIN($G732))</f>
        <v/>
      </c>
      <c r="K732">
        <f>IF($I732="","",$I732*COS(RADIANS($C732))*COS(RADIANS($D732))+$J732*COS(RADIANS($E732))*COS(RADIANS($F732)))</f>
        <v/>
      </c>
      <c r="L732">
        <f>IF($I732="","",$I732*COS(RADIANS($C732))*SIN(RADIANS($D732))+$J732*COS(RADIANS($E732))*SIN(RADIANS($F732)))</f>
        <v/>
      </c>
      <c r="M732">
        <f>IF($I732="","",$I732*SIN(RADIANS($C732))+$J732*SIN(RADIANS($E732)))</f>
        <v/>
      </c>
      <c r="N732">
        <f>IF($M732="","",DEGREES(ATAN2(SQRT($K732^2+$L732^2),$M732)))</f>
        <v/>
      </c>
      <c r="O732">
        <f>IF($M732="","",DEGREES(ATAN2($K732,$L732)))</f>
        <v/>
      </c>
      <c r="P732">
        <f t="array" ref="P732">IF($N732="","",IFERROR(IF(INDEX(geo_grid!$B$2:$JU$231,INT(($N732+40)/0.5)+1,INT(($O732+30)/0.5)+1)="","",INDEX(geo_grid!$B$2:$JU$231,INT(($N732+40)/0.5)+1,INT(($O732+30)/0.5)+1)),"OUTSIDE GRID"))</f>
        <v/>
      </c>
      <c r="Q732">
        <f>IF($P732="","",$A732*1000+$B732)</f>
        <v/>
      </c>
    </row>
    <row r="733">
      <c r="A733">
        <f>INT((ROW()-2)/151)+1</f>
        <v/>
      </c>
      <c r="B733">
        <f>MOD(ROW()-2,151)</f>
        <v/>
      </c>
      <c r="C733">
        <f t="array" ref="C733">IFERROR(INDEX('TRIP MANAGER'!$O$18:$O$25,$A733),"")</f>
        <v/>
      </c>
      <c r="D733">
        <f t="array" ref="D733">IFERROR(INDEX('TRIP MANAGER'!$P$18:$P$25,$A733),"")</f>
        <v/>
      </c>
      <c r="E733">
        <f t="array" ref="E733">IFERROR(INDEX('TRIP MANAGER'!$Q$18:$Q$25,$A733),"")</f>
        <v/>
      </c>
      <c r="F733">
        <f t="array" ref="F733">IFERROR(INDEX('TRIP MANAGER'!$R$18:$R$25,$A733),"")</f>
        <v/>
      </c>
      <c r="G733">
        <f t="array" ref="G733">IFERROR(INDEX('TRIP MANAGER'!$S$18:$S$25,$A733),"")</f>
        <v/>
      </c>
      <c r="H733">
        <f>$B733/150</f>
        <v/>
      </c>
      <c r="I733">
        <f>IF(OR($G733="",$G733=0),"",SIN((1-$H733)*$G733)/SIN($G733))</f>
        <v/>
      </c>
      <c r="J733">
        <f>IF($I733="","",SIN($H733*$G733)/SIN($G733))</f>
        <v/>
      </c>
      <c r="K733">
        <f>IF($I733="","",$I733*COS(RADIANS($C733))*COS(RADIANS($D733))+$J733*COS(RADIANS($E733))*COS(RADIANS($F733)))</f>
        <v/>
      </c>
      <c r="L733">
        <f>IF($I733="","",$I733*COS(RADIANS($C733))*SIN(RADIANS($D733))+$J733*COS(RADIANS($E733))*SIN(RADIANS($F733)))</f>
        <v/>
      </c>
      <c r="M733">
        <f>IF($I733="","",$I733*SIN(RADIANS($C733))+$J733*SIN(RADIANS($E733)))</f>
        <v/>
      </c>
      <c r="N733">
        <f>IF($M733="","",DEGREES(ATAN2(SQRT($K733^2+$L733^2),$M733)))</f>
        <v/>
      </c>
      <c r="O733">
        <f>IF($M733="","",DEGREES(ATAN2($K733,$L733)))</f>
        <v/>
      </c>
      <c r="P733">
        <f t="array" ref="P733">IF($N733="","",IFERROR(IF(INDEX(geo_grid!$B$2:$JU$231,INT(($N733+40)/0.5)+1,INT(($O733+30)/0.5)+1)="","",INDEX(geo_grid!$B$2:$JU$231,INT(($N733+40)/0.5)+1,INT(($O733+30)/0.5)+1)),"OUTSIDE GRID"))</f>
        <v/>
      </c>
      <c r="Q733">
        <f>IF($P733="","",$A733*1000+$B733)</f>
        <v/>
      </c>
    </row>
    <row r="734">
      <c r="A734">
        <f>INT((ROW()-2)/151)+1</f>
        <v/>
      </c>
      <c r="B734">
        <f>MOD(ROW()-2,151)</f>
        <v/>
      </c>
      <c r="C734">
        <f t="array" ref="C734">IFERROR(INDEX('TRIP MANAGER'!$O$18:$O$25,$A734),"")</f>
        <v/>
      </c>
      <c r="D734">
        <f t="array" ref="D734">IFERROR(INDEX('TRIP MANAGER'!$P$18:$P$25,$A734),"")</f>
        <v/>
      </c>
      <c r="E734">
        <f t="array" ref="E734">IFERROR(INDEX('TRIP MANAGER'!$Q$18:$Q$25,$A734),"")</f>
        <v/>
      </c>
      <c r="F734">
        <f t="array" ref="F734">IFERROR(INDEX('TRIP MANAGER'!$R$18:$R$25,$A734),"")</f>
        <v/>
      </c>
      <c r="G734">
        <f t="array" ref="G734">IFERROR(INDEX('TRIP MANAGER'!$S$18:$S$25,$A734),"")</f>
        <v/>
      </c>
      <c r="H734">
        <f>$B734/150</f>
        <v/>
      </c>
      <c r="I734">
        <f>IF(OR($G734="",$G734=0),"",SIN((1-$H734)*$G734)/SIN($G734))</f>
        <v/>
      </c>
      <c r="J734">
        <f>IF($I734="","",SIN($H734*$G734)/SIN($G734))</f>
        <v/>
      </c>
      <c r="K734">
        <f>IF($I734="","",$I734*COS(RADIANS($C734))*COS(RADIANS($D734))+$J734*COS(RADIANS($E734))*COS(RADIANS($F734)))</f>
        <v/>
      </c>
      <c r="L734">
        <f>IF($I734="","",$I734*COS(RADIANS($C734))*SIN(RADIANS($D734))+$J734*COS(RADIANS($E734))*SIN(RADIANS($F734)))</f>
        <v/>
      </c>
      <c r="M734">
        <f>IF($I734="","",$I734*SIN(RADIANS($C734))+$J734*SIN(RADIANS($E734)))</f>
        <v/>
      </c>
      <c r="N734">
        <f>IF($M734="","",DEGREES(ATAN2(SQRT($K734^2+$L734^2),$M734)))</f>
        <v/>
      </c>
      <c r="O734">
        <f>IF($M734="","",DEGREES(ATAN2($K734,$L734)))</f>
        <v/>
      </c>
      <c r="P734">
        <f t="array" ref="P734">IF($N734="","",IFERROR(IF(INDEX(geo_grid!$B$2:$JU$231,INT(($N734+40)/0.5)+1,INT(($O734+30)/0.5)+1)="","",INDEX(geo_grid!$B$2:$JU$231,INT(($N734+40)/0.5)+1,INT(($O734+30)/0.5)+1)),"OUTSIDE GRID"))</f>
        <v/>
      </c>
      <c r="Q734">
        <f>IF($P734="","",$A734*1000+$B734)</f>
        <v/>
      </c>
    </row>
    <row r="735">
      <c r="A735">
        <f>INT((ROW()-2)/151)+1</f>
        <v/>
      </c>
      <c r="B735">
        <f>MOD(ROW()-2,151)</f>
        <v/>
      </c>
      <c r="C735">
        <f t="array" ref="C735">IFERROR(INDEX('TRIP MANAGER'!$O$18:$O$25,$A735),"")</f>
        <v/>
      </c>
      <c r="D735">
        <f t="array" ref="D735">IFERROR(INDEX('TRIP MANAGER'!$P$18:$P$25,$A735),"")</f>
        <v/>
      </c>
      <c r="E735">
        <f t="array" ref="E735">IFERROR(INDEX('TRIP MANAGER'!$Q$18:$Q$25,$A735),"")</f>
        <v/>
      </c>
      <c r="F735">
        <f t="array" ref="F735">IFERROR(INDEX('TRIP MANAGER'!$R$18:$R$25,$A735),"")</f>
        <v/>
      </c>
      <c r="G735">
        <f t="array" ref="G735">IFERROR(INDEX('TRIP MANAGER'!$S$18:$S$25,$A735),"")</f>
        <v/>
      </c>
      <c r="H735">
        <f>$B735/150</f>
        <v/>
      </c>
      <c r="I735">
        <f>IF(OR($G735="",$G735=0),"",SIN((1-$H735)*$G735)/SIN($G735))</f>
        <v/>
      </c>
      <c r="J735">
        <f>IF($I735="","",SIN($H735*$G735)/SIN($G735))</f>
        <v/>
      </c>
      <c r="K735">
        <f>IF($I735="","",$I735*COS(RADIANS($C735))*COS(RADIANS($D735))+$J735*COS(RADIANS($E735))*COS(RADIANS($F735)))</f>
        <v/>
      </c>
      <c r="L735">
        <f>IF($I735="","",$I735*COS(RADIANS($C735))*SIN(RADIANS($D735))+$J735*COS(RADIANS($E735))*SIN(RADIANS($F735)))</f>
        <v/>
      </c>
      <c r="M735">
        <f>IF($I735="","",$I735*SIN(RADIANS($C735))+$J735*SIN(RADIANS($E735)))</f>
        <v/>
      </c>
      <c r="N735">
        <f>IF($M735="","",DEGREES(ATAN2(SQRT($K735^2+$L735^2),$M735)))</f>
        <v/>
      </c>
      <c r="O735">
        <f>IF($M735="","",DEGREES(ATAN2($K735,$L735)))</f>
        <v/>
      </c>
      <c r="P735">
        <f t="array" ref="P735">IF($N735="","",IFERROR(IF(INDEX(geo_grid!$B$2:$JU$231,INT(($N735+40)/0.5)+1,INT(($O735+30)/0.5)+1)="","",INDEX(geo_grid!$B$2:$JU$231,INT(($N735+40)/0.5)+1,INT(($O735+30)/0.5)+1)),"OUTSIDE GRID"))</f>
        <v/>
      </c>
      <c r="Q735">
        <f>IF($P735="","",$A735*1000+$B735)</f>
        <v/>
      </c>
    </row>
    <row r="736">
      <c r="A736">
        <f>INT((ROW()-2)/151)+1</f>
        <v/>
      </c>
      <c r="B736">
        <f>MOD(ROW()-2,151)</f>
        <v/>
      </c>
      <c r="C736">
        <f t="array" ref="C736">IFERROR(INDEX('TRIP MANAGER'!$O$18:$O$25,$A736),"")</f>
        <v/>
      </c>
      <c r="D736">
        <f t="array" ref="D736">IFERROR(INDEX('TRIP MANAGER'!$P$18:$P$25,$A736),"")</f>
        <v/>
      </c>
      <c r="E736">
        <f t="array" ref="E736">IFERROR(INDEX('TRIP MANAGER'!$Q$18:$Q$25,$A736),"")</f>
        <v/>
      </c>
      <c r="F736">
        <f t="array" ref="F736">IFERROR(INDEX('TRIP MANAGER'!$R$18:$R$25,$A736),"")</f>
        <v/>
      </c>
      <c r="G736">
        <f t="array" ref="G736">IFERROR(INDEX('TRIP MANAGER'!$S$18:$S$25,$A736),"")</f>
        <v/>
      </c>
      <c r="H736">
        <f>$B736/150</f>
        <v/>
      </c>
      <c r="I736">
        <f>IF(OR($G736="",$G736=0),"",SIN((1-$H736)*$G736)/SIN($G736))</f>
        <v/>
      </c>
      <c r="J736">
        <f>IF($I736="","",SIN($H736*$G736)/SIN($G736))</f>
        <v/>
      </c>
      <c r="K736">
        <f>IF($I736="","",$I736*COS(RADIANS($C736))*COS(RADIANS($D736))+$J736*COS(RADIANS($E736))*COS(RADIANS($F736)))</f>
        <v/>
      </c>
      <c r="L736">
        <f>IF($I736="","",$I736*COS(RADIANS($C736))*SIN(RADIANS($D736))+$J736*COS(RADIANS($E736))*SIN(RADIANS($F736)))</f>
        <v/>
      </c>
      <c r="M736">
        <f>IF($I736="","",$I736*SIN(RADIANS($C736))+$J736*SIN(RADIANS($E736)))</f>
        <v/>
      </c>
      <c r="N736">
        <f>IF($M736="","",DEGREES(ATAN2(SQRT($K736^2+$L736^2),$M736)))</f>
        <v/>
      </c>
      <c r="O736">
        <f>IF($M736="","",DEGREES(ATAN2($K736,$L736)))</f>
        <v/>
      </c>
      <c r="P736">
        <f t="array" ref="P736">IF($N736="","",IFERROR(IF(INDEX(geo_grid!$B$2:$JU$231,INT(($N736+40)/0.5)+1,INT(($O736+30)/0.5)+1)="","",INDEX(geo_grid!$B$2:$JU$231,INT(($N736+40)/0.5)+1,INT(($O736+30)/0.5)+1)),"OUTSIDE GRID"))</f>
        <v/>
      </c>
      <c r="Q736">
        <f>IF($P736="","",$A736*1000+$B736)</f>
        <v/>
      </c>
    </row>
    <row r="737">
      <c r="A737">
        <f>INT((ROW()-2)/151)+1</f>
        <v/>
      </c>
      <c r="B737">
        <f>MOD(ROW()-2,151)</f>
        <v/>
      </c>
      <c r="C737">
        <f t="array" ref="C737">IFERROR(INDEX('TRIP MANAGER'!$O$18:$O$25,$A737),"")</f>
        <v/>
      </c>
      <c r="D737">
        <f t="array" ref="D737">IFERROR(INDEX('TRIP MANAGER'!$P$18:$P$25,$A737),"")</f>
        <v/>
      </c>
      <c r="E737">
        <f t="array" ref="E737">IFERROR(INDEX('TRIP MANAGER'!$Q$18:$Q$25,$A737),"")</f>
        <v/>
      </c>
      <c r="F737">
        <f t="array" ref="F737">IFERROR(INDEX('TRIP MANAGER'!$R$18:$R$25,$A737),"")</f>
        <v/>
      </c>
      <c r="G737">
        <f t="array" ref="G737">IFERROR(INDEX('TRIP MANAGER'!$S$18:$S$25,$A737),"")</f>
        <v/>
      </c>
      <c r="H737">
        <f>$B737/150</f>
        <v/>
      </c>
      <c r="I737">
        <f>IF(OR($G737="",$G737=0),"",SIN((1-$H737)*$G737)/SIN($G737))</f>
        <v/>
      </c>
      <c r="J737">
        <f>IF($I737="","",SIN($H737*$G737)/SIN($G737))</f>
        <v/>
      </c>
      <c r="K737">
        <f>IF($I737="","",$I737*COS(RADIANS($C737))*COS(RADIANS($D737))+$J737*COS(RADIANS($E737))*COS(RADIANS($F737)))</f>
        <v/>
      </c>
      <c r="L737">
        <f>IF($I737="","",$I737*COS(RADIANS($C737))*SIN(RADIANS($D737))+$J737*COS(RADIANS($E737))*SIN(RADIANS($F737)))</f>
        <v/>
      </c>
      <c r="M737">
        <f>IF($I737="","",$I737*SIN(RADIANS($C737))+$J737*SIN(RADIANS($E737)))</f>
        <v/>
      </c>
      <c r="N737">
        <f>IF($M737="","",DEGREES(ATAN2(SQRT($K737^2+$L737^2),$M737)))</f>
        <v/>
      </c>
      <c r="O737">
        <f>IF($M737="","",DEGREES(ATAN2($K737,$L737)))</f>
        <v/>
      </c>
      <c r="P737">
        <f t="array" ref="P737">IF($N737="","",IFERROR(IF(INDEX(geo_grid!$B$2:$JU$231,INT(($N737+40)/0.5)+1,INT(($O737+30)/0.5)+1)="","",INDEX(geo_grid!$B$2:$JU$231,INT(($N737+40)/0.5)+1,INT(($O737+30)/0.5)+1)),"OUTSIDE GRID"))</f>
        <v/>
      </c>
      <c r="Q737">
        <f>IF($P737="","",$A737*1000+$B737)</f>
        <v/>
      </c>
    </row>
    <row r="738">
      <c r="A738">
        <f>INT((ROW()-2)/151)+1</f>
        <v/>
      </c>
      <c r="B738">
        <f>MOD(ROW()-2,151)</f>
        <v/>
      </c>
      <c r="C738">
        <f t="array" ref="C738">IFERROR(INDEX('TRIP MANAGER'!$O$18:$O$25,$A738),"")</f>
        <v/>
      </c>
      <c r="D738">
        <f t="array" ref="D738">IFERROR(INDEX('TRIP MANAGER'!$P$18:$P$25,$A738),"")</f>
        <v/>
      </c>
      <c r="E738">
        <f t="array" ref="E738">IFERROR(INDEX('TRIP MANAGER'!$Q$18:$Q$25,$A738),"")</f>
        <v/>
      </c>
      <c r="F738">
        <f t="array" ref="F738">IFERROR(INDEX('TRIP MANAGER'!$R$18:$R$25,$A738),"")</f>
        <v/>
      </c>
      <c r="G738">
        <f t="array" ref="G738">IFERROR(INDEX('TRIP MANAGER'!$S$18:$S$25,$A738),"")</f>
        <v/>
      </c>
      <c r="H738">
        <f>$B738/150</f>
        <v/>
      </c>
      <c r="I738">
        <f>IF(OR($G738="",$G738=0),"",SIN((1-$H738)*$G738)/SIN($G738))</f>
        <v/>
      </c>
      <c r="J738">
        <f>IF($I738="","",SIN($H738*$G738)/SIN($G738))</f>
        <v/>
      </c>
      <c r="K738">
        <f>IF($I738="","",$I738*COS(RADIANS($C738))*COS(RADIANS($D738))+$J738*COS(RADIANS($E738))*COS(RADIANS($F738)))</f>
        <v/>
      </c>
      <c r="L738">
        <f>IF($I738="","",$I738*COS(RADIANS($C738))*SIN(RADIANS($D738))+$J738*COS(RADIANS($E738))*SIN(RADIANS($F738)))</f>
        <v/>
      </c>
      <c r="M738">
        <f>IF($I738="","",$I738*SIN(RADIANS($C738))+$J738*SIN(RADIANS($E738)))</f>
        <v/>
      </c>
      <c r="N738">
        <f>IF($M738="","",DEGREES(ATAN2(SQRT($K738^2+$L738^2),$M738)))</f>
        <v/>
      </c>
      <c r="O738">
        <f>IF($M738="","",DEGREES(ATAN2($K738,$L738)))</f>
        <v/>
      </c>
      <c r="P738">
        <f t="array" ref="P738">IF($N738="","",IFERROR(IF(INDEX(geo_grid!$B$2:$JU$231,INT(($N738+40)/0.5)+1,INT(($O738+30)/0.5)+1)="","",INDEX(geo_grid!$B$2:$JU$231,INT(($N738+40)/0.5)+1,INT(($O738+30)/0.5)+1)),"OUTSIDE GRID"))</f>
        <v/>
      </c>
      <c r="Q738">
        <f>IF($P738="","",$A738*1000+$B738)</f>
        <v/>
      </c>
    </row>
    <row r="739">
      <c r="A739">
        <f>INT((ROW()-2)/151)+1</f>
        <v/>
      </c>
      <c r="B739">
        <f>MOD(ROW()-2,151)</f>
        <v/>
      </c>
      <c r="C739">
        <f t="array" ref="C739">IFERROR(INDEX('TRIP MANAGER'!$O$18:$O$25,$A739),"")</f>
        <v/>
      </c>
      <c r="D739">
        <f t="array" ref="D739">IFERROR(INDEX('TRIP MANAGER'!$P$18:$P$25,$A739),"")</f>
        <v/>
      </c>
      <c r="E739">
        <f t="array" ref="E739">IFERROR(INDEX('TRIP MANAGER'!$Q$18:$Q$25,$A739),"")</f>
        <v/>
      </c>
      <c r="F739">
        <f t="array" ref="F739">IFERROR(INDEX('TRIP MANAGER'!$R$18:$R$25,$A739),"")</f>
        <v/>
      </c>
      <c r="G739">
        <f t="array" ref="G739">IFERROR(INDEX('TRIP MANAGER'!$S$18:$S$25,$A739),"")</f>
        <v/>
      </c>
      <c r="H739">
        <f>$B739/150</f>
        <v/>
      </c>
      <c r="I739">
        <f>IF(OR($G739="",$G739=0),"",SIN((1-$H739)*$G739)/SIN($G739))</f>
        <v/>
      </c>
      <c r="J739">
        <f>IF($I739="","",SIN($H739*$G739)/SIN($G739))</f>
        <v/>
      </c>
      <c r="K739">
        <f>IF($I739="","",$I739*COS(RADIANS($C739))*COS(RADIANS($D739))+$J739*COS(RADIANS($E739))*COS(RADIANS($F739)))</f>
        <v/>
      </c>
      <c r="L739">
        <f>IF($I739="","",$I739*COS(RADIANS($C739))*SIN(RADIANS($D739))+$J739*COS(RADIANS($E739))*SIN(RADIANS($F739)))</f>
        <v/>
      </c>
      <c r="M739">
        <f>IF($I739="","",$I739*SIN(RADIANS($C739))+$J739*SIN(RADIANS($E739)))</f>
        <v/>
      </c>
      <c r="N739">
        <f>IF($M739="","",DEGREES(ATAN2(SQRT($K739^2+$L739^2),$M739)))</f>
        <v/>
      </c>
      <c r="O739">
        <f>IF($M739="","",DEGREES(ATAN2($K739,$L739)))</f>
        <v/>
      </c>
      <c r="P739">
        <f t="array" ref="P739">IF($N739="","",IFERROR(IF(INDEX(geo_grid!$B$2:$JU$231,INT(($N739+40)/0.5)+1,INT(($O739+30)/0.5)+1)="","",INDEX(geo_grid!$B$2:$JU$231,INT(($N739+40)/0.5)+1,INT(($O739+30)/0.5)+1)),"OUTSIDE GRID"))</f>
        <v/>
      </c>
      <c r="Q739">
        <f>IF($P739="","",$A739*1000+$B739)</f>
        <v/>
      </c>
    </row>
    <row r="740">
      <c r="A740">
        <f>INT((ROW()-2)/151)+1</f>
        <v/>
      </c>
      <c r="B740">
        <f>MOD(ROW()-2,151)</f>
        <v/>
      </c>
      <c r="C740">
        <f t="array" ref="C740">IFERROR(INDEX('TRIP MANAGER'!$O$18:$O$25,$A740),"")</f>
        <v/>
      </c>
      <c r="D740">
        <f t="array" ref="D740">IFERROR(INDEX('TRIP MANAGER'!$P$18:$P$25,$A740),"")</f>
        <v/>
      </c>
      <c r="E740">
        <f t="array" ref="E740">IFERROR(INDEX('TRIP MANAGER'!$Q$18:$Q$25,$A740),"")</f>
        <v/>
      </c>
      <c r="F740">
        <f t="array" ref="F740">IFERROR(INDEX('TRIP MANAGER'!$R$18:$R$25,$A740),"")</f>
        <v/>
      </c>
      <c r="G740">
        <f t="array" ref="G740">IFERROR(INDEX('TRIP MANAGER'!$S$18:$S$25,$A740),"")</f>
        <v/>
      </c>
      <c r="H740">
        <f>$B740/150</f>
        <v/>
      </c>
      <c r="I740">
        <f>IF(OR($G740="",$G740=0),"",SIN((1-$H740)*$G740)/SIN($G740))</f>
        <v/>
      </c>
      <c r="J740">
        <f>IF($I740="","",SIN($H740*$G740)/SIN($G740))</f>
        <v/>
      </c>
      <c r="K740">
        <f>IF($I740="","",$I740*COS(RADIANS($C740))*COS(RADIANS($D740))+$J740*COS(RADIANS($E740))*COS(RADIANS($F740)))</f>
        <v/>
      </c>
      <c r="L740">
        <f>IF($I740="","",$I740*COS(RADIANS($C740))*SIN(RADIANS($D740))+$J740*COS(RADIANS($E740))*SIN(RADIANS($F740)))</f>
        <v/>
      </c>
      <c r="M740">
        <f>IF($I740="","",$I740*SIN(RADIANS($C740))+$J740*SIN(RADIANS($E740)))</f>
        <v/>
      </c>
      <c r="N740">
        <f>IF($M740="","",DEGREES(ATAN2(SQRT($K740^2+$L740^2),$M740)))</f>
        <v/>
      </c>
      <c r="O740">
        <f>IF($M740="","",DEGREES(ATAN2($K740,$L740)))</f>
        <v/>
      </c>
      <c r="P740">
        <f t="array" ref="P740">IF($N740="","",IFERROR(IF(INDEX(geo_grid!$B$2:$JU$231,INT(($N740+40)/0.5)+1,INT(($O740+30)/0.5)+1)="","",INDEX(geo_grid!$B$2:$JU$231,INT(($N740+40)/0.5)+1,INT(($O740+30)/0.5)+1)),"OUTSIDE GRID"))</f>
        <v/>
      </c>
      <c r="Q740">
        <f>IF($P740="","",$A740*1000+$B740)</f>
        <v/>
      </c>
    </row>
    <row r="741">
      <c r="A741">
        <f>INT((ROW()-2)/151)+1</f>
        <v/>
      </c>
      <c r="B741">
        <f>MOD(ROW()-2,151)</f>
        <v/>
      </c>
      <c r="C741">
        <f t="array" ref="C741">IFERROR(INDEX('TRIP MANAGER'!$O$18:$O$25,$A741),"")</f>
        <v/>
      </c>
      <c r="D741">
        <f t="array" ref="D741">IFERROR(INDEX('TRIP MANAGER'!$P$18:$P$25,$A741),"")</f>
        <v/>
      </c>
      <c r="E741">
        <f t="array" ref="E741">IFERROR(INDEX('TRIP MANAGER'!$Q$18:$Q$25,$A741),"")</f>
        <v/>
      </c>
      <c r="F741">
        <f t="array" ref="F741">IFERROR(INDEX('TRIP MANAGER'!$R$18:$R$25,$A741),"")</f>
        <v/>
      </c>
      <c r="G741">
        <f t="array" ref="G741">IFERROR(INDEX('TRIP MANAGER'!$S$18:$S$25,$A741),"")</f>
        <v/>
      </c>
      <c r="H741">
        <f>$B741/150</f>
        <v/>
      </c>
      <c r="I741">
        <f>IF(OR($G741="",$G741=0),"",SIN((1-$H741)*$G741)/SIN($G741))</f>
        <v/>
      </c>
      <c r="J741">
        <f>IF($I741="","",SIN($H741*$G741)/SIN($G741))</f>
        <v/>
      </c>
      <c r="K741">
        <f>IF($I741="","",$I741*COS(RADIANS($C741))*COS(RADIANS($D741))+$J741*COS(RADIANS($E741))*COS(RADIANS($F741)))</f>
        <v/>
      </c>
      <c r="L741">
        <f>IF($I741="","",$I741*COS(RADIANS($C741))*SIN(RADIANS($D741))+$J741*COS(RADIANS($E741))*SIN(RADIANS($F741)))</f>
        <v/>
      </c>
      <c r="M741">
        <f>IF($I741="","",$I741*SIN(RADIANS($C741))+$J741*SIN(RADIANS($E741)))</f>
        <v/>
      </c>
      <c r="N741">
        <f>IF($M741="","",DEGREES(ATAN2(SQRT($K741^2+$L741^2),$M741)))</f>
        <v/>
      </c>
      <c r="O741">
        <f>IF($M741="","",DEGREES(ATAN2($K741,$L741)))</f>
        <v/>
      </c>
      <c r="P741">
        <f t="array" ref="P741">IF($N741="","",IFERROR(IF(INDEX(geo_grid!$B$2:$JU$231,INT(($N741+40)/0.5)+1,INT(($O741+30)/0.5)+1)="","",INDEX(geo_grid!$B$2:$JU$231,INT(($N741+40)/0.5)+1,INT(($O741+30)/0.5)+1)),"OUTSIDE GRID"))</f>
        <v/>
      </c>
      <c r="Q741">
        <f>IF($P741="","",$A741*1000+$B741)</f>
        <v/>
      </c>
    </row>
    <row r="742">
      <c r="A742">
        <f>INT((ROW()-2)/151)+1</f>
        <v/>
      </c>
      <c r="B742">
        <f>MOD(ROW()-2,151)</f>
        <v/>
      </c>
      <c r="C742">
        <f t="array" ref="C742">IFERROR(INDEX('TRIP MANAGER'!$O$18:$O$25,$A742),"")</f>
        <v/>
      </c>
      <c r="D742">
        <f t="array" ref="D742">IFERROR(INDEX('TRIP MANAGER'!$P$18:$P$25,$A742),"")</f>
        <v/>
      </c>
      <c r="E742">
        <f t="array" ref="E742">IFERROR(INDEX('TRIP MANAGER'!$Q$18:$Q$25,$A742),"")</f>
        <v/>
      </c>
      <c r="F742">
        <f t="array" ref="F742">IFERROR(INDEX('TRIP MANAGER'!$R$18:$R$25,$A742),"")</f>
        <v/>
      </c>
      <c r="G742">
        <f t="array" ref="G742">IFERROR(INDEX('TRIP MANAGER'!$S$18:$S$25,$A742),"")</f>
        <v/>
      </c>
      <c r="H742">
        <f>$B742/150</f>
        <v/>
      </c>
      <c r="I742">
        <f>IF(OR($G742="",$G742=0),"",SIN((1-$H742)*$G742)/SIN($G742))</f>
        <v/>
      </c>
      <c r="J742">
        <f>IF($I742="","",SIN($H742*$G742)/SIN($G742))</f>
        <v/>
      </c>
      <c r="K742">
        <f>IF($I742="","",$I742*COS(RADIANS($C742))*COS(RADIANS($D742))+$J742*COS(RADIANS($E742))*COS(RADIANS($F742)))</f>
        <v/>
      </c>
      <c r="L742">
        <f>IF($I742="","",$I742*COS(RADIANS($C742))*SIN(RADIANS($D742))+$J742*COS(RADIANS($E742))*SIN(RADIANS($F742)))</f>
        <v/>
      </c>
      <c r="M742">
        <f>IF($I742="","",$I742*SIN(RADIANS($C742))+$J742*SIN(RADIANS($E742)))</f>
        <v/>
      </c>
      <c r="N742">
        <f>IF($M742="","",DEGREES(ATAN2(SQRT($K742^2+$L742^2),$M742)))</f>
        <v/>
      </c>
      <c r="O742">
        <f>IF($M742="","",DEGREES(ATAN2($K742,$L742)))</f>
        <v/>
      </c>
      <c r="P742">
        <f t="array" ref="P742">IF($N742="","",IFERROR(IF(INDEX(geo_grid!$B$2:$JU$231,INT(($N742+40)/0.5)+1,INT(($O742+30)/0.5)+1)="","",INDEX(geo_grid!$B$2:$JU$231,INT(($N742+40)/0.5)+1,INT(($O742+30)/0.5)+1)),"OUTSIDE GRID"))</f>
        <v/>
      </c>
      <c r="Q742">
        <f>IF($P742="","",$A742*1000+$B742)</f>
        <v/>
      </c>
    </row>
    <row r="743">
      <c r="A743">
        <f>INT((ROW()-2)/151)+1</f>
        <v/>
      </c>
      <c r="B743">
        <f>MOD(ROW()-2,151)</f>
        <v/>
      </c>
      <c r="C743">
        <f t="array" ref="C743">IFERROR(INDEX('TRIP MANAGER'!$O$18:$O$25,$A743),"")</f>
        <v/>
      </c>
      <c r="D743">
        <f t="array" ref="D743">IFERROR(INDEX('TRIP MANAGER'!$P$18:$P$25,$A743),"")</f>
        <v/>
      </c>
      <c r="E743">
        <f t="array" ref="E743">IFERROR(INDEX('TRIP MANAGER'!$Q$18:$Q$25,$A743),"")</f>
        <v/>
      </c>
      <c r="F743">
        <f t="array" ref="F743">IFERROR(INDEX('TRIP MANAGER'!$R$18:$R$25,$A743),"")</f>
        <v/>
      </c>
      <c r="G743">
        <f t="array" ref="G743">IFERROR(INDEX('TRIP MANAGER'!$S$18:$S$25,$A743),"")</f>
        <v/>
      </c>
      <c r="H743">
        <f>$B743/150</f>
        <v/>
      </c>
      <c r="I743">
        <f>IF(OR($G743="",$G743=0),"",SIN((1-$H743)*$G743)/SIN($G743))</f>
        <v/>
      </c>
      <c r="J743">
        <f>IF($I743="","",SIN($H743*$G743)/SIN($G743))</f>
        <v/>
      </c>
      <c r="K743">
        <f>IF($I743="","",$I743*COS(RADIANS($C743))*COS(RADIANS($D743))+$J743*COS(RADIANS($E743))*COS(RADIANS($F743)))</f>
        <v/>
      </c>
      <c r="L743">
        <f>IF($I743="","",$I743*COS(RADIANS($C743))*SIN(RADIANS($D743))+$J743*COS(RADIANS($E743))*SIN(RADIANS($F743)))</f>
        <v/>
      </c>
      <c r="M743">
        <f>IF($I743="","",$I743*SIN(RADIANS($C743))+$J743*SIN(RADIANS($E743)))</f>
        <v/>
      </c>
      <c r="N743">
        <f>IF($M743="","",DEGREES(ATAN2(SQRT($K743^2+$L743^2),$M743)))</f>
        <v/>
      </c>
      <c r="O743">
        <f>IF($M743="","",DEGREES(ATAN2($K743,$L743)))</f>
        <v/>
      </c>
      <c r="P743">
        <f t="array" ref="P743">IF($N743="","",IFERROR(IF(INDEX(geo_grid!$B$2:$JU$231,INT(($N743+40)/0.5)+1,INT(($O743+30)/0.5)+1)="","",INDEX(geo_grid!$B$2:$JU$231,INT(($N743+40)/0.5)+1,INT(($O743+30)/0.5)+1)),"OUTSIDE GRID"))</f>
        <v/>
      </c>
      <c r="Q743">
        <f>IF($P743="","",$A743*1000+$B743)</f>
        <v/>
      </c>
    </row>
    <row r="744">
      <c r="A744">
        <f>INT((ROW()-2)/151)+1</f>
        <v/>
      </c>
      <c r="B744">
        <f>MOD(ROW()-2,151)</f>
        <v/>
      </c>
      <c r="C744">
        <f t="array" ref="C744">IFERROR(INDEX('TRIP MANAGER'!$O$18:$O$25,$A744),"")</f>
        <v/>
      </c>
      <c r="D744">
        <f t="array" ref="D744">IFERROR(INDEX('TRIP MANAGER'!$P$18:$P$25,$A744),"")</f>
        <v/>
      </c>
      <c r="E744">
        <f t="array" ref="E744">IFERROR(INDEX('TRIP MANAGER'!$Q$18:$Q$25,$A744),"")</f>
        <v/>
      </c>
      <c r="F744">
        <f t="array" ref="F744">IFERROR(INDEX('TRIP MANAGER'!$R$18:$R$25,$A744),"")</f>
        <v/>
      </c>
      <c r="G744">
        <f t="array" ref="G744">IFERROR(INDEX('TRIP MANAGER'!$S$18:$S$25,$A744),"")</f>
        <v/>
      </c>
      <c r="H744">
        <f>$B744/150</f>
        <v/>
      </c>
      <c r="I744">
        <f>IF(OR($G744="",$G744=0),"",SIN((1-$H744)*$G744)/SIN($G744))</f>
        <v/>
      </c>
      <c r="J744">
        <f>IF($I744="","",SIN($H744*$G744)/SIN($G744))</f>
        <v/>
      </c>
      <c r="K744">
        <f>IF($I744="","",$I744*COS(RADIANS($C744))*COS(RADIANS($D744))+$J744*COS(RADIANS($E744))*COS(RADIANS($F744)))</f>
        <v/>
      </c>
      <c r="L744">
        <f>IF($I744="","",$I744*COS(RADIANS($C744))*SIN(RADIANS($D744))+$J744*COS(RADIANS($E744))*SIN(RADIANS($F744)))</f>
        <v/>
      </c>
      <c r="M744">
        <f>IF($I744="","",$I744*SIN(RADIANS($C744))+$J744*SIN(RADIANS($E744)))</f>
        <v/>
      </c>
      <c r="N744">
        <f>IF($M744="","",DEGREES(ATAN2(SQRT($K744^2+$L744^2),$M744)))</f>
        <v/>
      </c>
      <c r="O744">
        <f>IF($M744="","",DEGREES(ATAN2($K744,$L744)))</f>
        <v/>
      </c>
      <c r="P744">
        <f t="array" ref="P744">IF($N744="","",IFERROR(IF(INDEX(geo_grid!$B$2:$JU$231,INT(($N744+40)/0.5)+1,INT(($O744+30)/0.5)+1)="","",INDEX(geo_grid!$B$2:$JU$231,INT(($N744+40)/0.5)+1,INT(($O744+30)/0.5)+1)),"OUTSIDE GRID"))</f>
        <v/>
      </c>
      <c r="Q744">
        <f>IF($P744="","",$A744*1000+$B744)</f>
        <v/>
      </c>
    </row>
    <row r="745">
      <c r="A745">
        <f>INT((ROW()-2)/151)+1</f>
        <v/>
      </c>
      <c r="B745">
        <f>MOD(ROW()-2,151)</f>
        <v/>
      </c>
      <c r="C745">
        <f t="array" ref="C745">IFERROR(INDEX('TRIP MANAGER'!$O$18:$O$25,$A745),"")</f>
        <v/>
      </c>
      <c r="D745">
        <f t="array" ref="D745">IFERROR(INDEX('TRIP MANAGER'!$P$18:$P$25,$A745),"")</f>
        <v/>
      </c>
      <c r="E745">
        <f t="array" ref="E745">IFERROR(INDEX('TRIP MANAGER'!$Q$18:$Q$25,$A745),"")</f>
        <v/>
      </c>
      <c r="F745">
        <f t="array" ref="F745">IFERROR(INDEX('TRIP MANAGER'!$R$18:$R$25,$A745),"")</f>
        <v/>
      </c>
      <c r="G745">
        <f t="array" ref="G745">IFERROR(INDEX('TRIP MANAGER'!$S$18:$S$25,$A745),"")</f>
        <v/>
      </c>
      <c r="H745">
        <f>$B745/150</f>
        <v/>
      </c>
      <c r="I745">
        <f>IF(OR($G745="",$G745=0),"",SIN((1-$H745)*$G745)/SIN($G745))</f>
        <v/>
      </c>
      <c r="J745">
        <f>IF($I745="","",SIN($H745*$G745)/SIN($G745))</f>
        <v/>
      </c>
      <c r="K745">
        <f>IF($I745="","",$I745*COS(RADIANS($C745))*COS(RADIANS($D745))+$J745*COS(RADIANS($E745))*COS(RADIANS($F745)))</f>
        <v/>
      </c>
      <c r="L745">
        <f>IF($I745="","",$I745*COS(RADIANS($C745))*SIN(RADIANS($D745))+$J745*COS(RADIANS($E745))*SIN(RADIANS($F745)))</f>
        <v/>
      </c>
      <c r="M745">
        <f>IF($I745="","",$I745*SIN(RADIANS($C745))+$J745*SIN(RADIANS($E745)))</f>
        <v/>
      </c>
      <c r="N745">
        <f>IF($M745="","",DEGREES(ATAN2(SQRT($K745^2+$L745^2),$M745)))</f>
        <v/>
      </c>
      <c r="O745">
        <f>IF($M745="","",DEGREES(ATAN2($K745,$L745)))</f>
        <v/>
      </c>
      <c r="P745">
        <f t="array" ref="P745">IF($N745="","",IFERROR(IF(INDEX(geo_grid!$B$2:$JU$231,INT(($N745+40)/0.5)+1,INT(($O745+30)/0.5)+1)="","",INDEX(geo_grid!$B$2:$JU$231,INT(($N745+40)/0.5)+1,INT(($O745+30)/0.5)+1)),"OUTSIDE GRID"))</f>
        <v/>
      </c>
      <c r="Q745">
        <f>IF($P745="","",$A745*1000+$B745)</f>
        <v/>
      </c>
    </row>
    <row r="746">
      <c r="A746">
        <f>INT((ROW()-2)/151)+1</f>
        <v/>
      </c>
      <c r="B746">
        <f>MOD(ROW()-2,151)</f>
        <v/>
      </c>
      <c r="C746">
        <f t="array" ref="C746">IFERROR(INDEX('TRIP MANAGER'!$O$18:$O$25,$A746),"")</f>
        <v/>
      </c>
      <c r="D746">
        <f t="array" ref="D746">IFERROR(INDEX('TRIP MANAGER'!$P$18:$P$25,$A746),"")</f>
        <v/>
      </c>
      <c r="E746">
        <f t="array" ref="E746">IFERROR(INDEX('TRIP MANAGER'!$Q$18:$Q$25,$A746),"")</f>
        <v/>
      </c>
      <c r="F746">
        <f t="array" ref="F746">IFERROR(INDEX('TRIP MANAGER'!$R$18:$R$25,$A746),"")</f>
        <v/>
      </c>
      <c r="G746">
        <f t="array" ref="G746">IFERROR(INDEX('TRIP MANAGER'!$S$18:$S$25,$A746),"")</f>
        <v/>
      </c>
      <c r="H746">
        <f>$B746/150</f>
        <v/>
      </c>
      <c r="I746">
        <f>IF(OR($G746="",$G746=0),"",SIN((1-$H746)*$G746)/SIN($G746))</f>
        <v/>
      </c>
      <c r="J746">
        <f>IF($I746="","",SIN($H746*$G746)/SIN($G746))</f>
        <v/>
      </c>
      <c r="K746">
        <f>IF($I746="","",$I746*COS(RADIANS($C746))*COS(RADIANS($D746))+$J746*COS(RADIANS($E746))*COS(RADIANS($F746)))</f>
        <v/>
      </c>
      <c r="L746">
        <f>IF($I746="","",$I746*COS(RADIANS($C746))*SIN(RADIANS($D746))+$J746*COS(RADIANS($E746))*SIN(RADIANS($F746)))</f>
        <v/>
      </c>
      <c r="M746">
        <f>IF($I746="","",$I746*SIN(RADIANS($C746))+$J746*SIN(RADIANS($E746)))</f>
        <v/>
      </c>
      <c r="N746">
        <f>IF($M746="","",DEGREES(ATAN2(SQRT($K746^2+$L746^2),$M746)))</f>
        <v/>
      </c>
      <c r="O746">
        <f>IF($M746="","",DEGREES(ATAN2($K746,$L746)))</f>
        <v/>
      </c>
      <c r="P746">
        <f t="array" ref="P746">IF($N746="","",IFERROR(IF(INDEX(geo_grid!$B$2:$JU$231,INT(($N746+40)/0.5)+1,INT(($O746+30)/0.5)+1)="","",INDEX(geo_grid!$B$2:$JU$231,INT(($N746+40)/0.5)+1,INT(($O746+30)/0.5)+1)),"OUTSIDE GRID"))</f>
        <v/>
      </c>
      <c r="Q746">
        <f>IF($P746="","",$A746*1000+$B746)</f>
        <v/>
      </c>
    </row>
    <row r="747">
      <c r="A747">
        <f>INT((ROW()-2)/151)+1</f>
        <v/>
      </c>
      <c r="B747">
        <f>MOD(ROW()-2,151)</f>
        <v/>
      </c>
      <c r="C747">
        <f t="array" ref="C747">IFERROR(INDEX('TRIP MANAGER'!$O$18:$O$25,$A747),"")</f>
        <v/>
      </c>
      <c r="D747">
        <f t="array" ref="D747">IFERROR(INDEX('TRIP MANAGER'!$P$18:$P$25,$A747),"")</f>
        <v/>
      </c>
      <c r="E747">
        <f t="array" ref="E747">IFERROR(INDEX('TRIP MANAGER'!$Q$18:$Q$25,$A747),"")</f>
        <v/>
      </c>
      <c r="F747">
        <f t="array" ref="F747">IFERROR(INDEX('TRIP MANAGER'!$R$18:$R$25,$A747),"")</f>
        <v/>
      </c>
      <c r="G747">
        <f t="array" ref="G747">IFERROR(INDEX('TRIP MANAGER'!$S$18:$S$25,$A747),"")</f>
        <v/>
      </c>
      <c r="H747">
        <f>$B747/150</f>
        <v/>
      </c>
      <c r="I747">
        <f>IF(OR($G747="",$G747=0),"",SIN((1-$H747)*$G747)/SIN($G747))</f>
        <v/>
      </c>
      <c r="J747">
        <f>IF($I747="","",SIN($H747*$G747)/SIN($G747))</f>
        <v/>
      </c>
      <c r="K747">
        <f>IF($I747="","",$I747*COS(RADIANS($C747))*COS(RADIANS($D747))+$J747*COS(RADIANS($E747))*COS(RADIANS($F747)))</f>
        <v/>
      </c>
      <c r="L747">
        <f>IF($I747="","",$I747*COS(RADIANS($C747))*SIN(RADIANS($D747))+$J747*COS(RADIANS($E747))*SIN(RADIANS($F747)))</f>
        <v/>
      </c>
      <c r="M747">
        <f>IF($I747="","",$I747*SIN(RADIANS($C747))+$J747*SIN(RADIANS($E747)))</f>
        <v/>
      </c>
      <c r="N747">
        <f>IF($M747="","",DEGREES(ATAN2(SQRT($K747^2+$L747^2),$M747)))</f>
        <v/>
      </c>
      <c r="O747">
        <f>IF($M747="","",DEGREES(ATAN2($K747,$L747)))</f>
        <v/>
      </c>
      <c r="P747">
        <f t="array" ref="P747">IF($N747="","",IFERROR(IF(INDEX(geo_grid!$B$2:$JU$231,INT(($N747+40)/0.5)+1,INT(($O747+30)/0.5)+1)="","",INDEX(geo_grid!$B$2:$JU$231,INT(($N747+40)/0.5)+1,INT(($O747+30)/0.5)+1)),"OUTSIDE GRID"))</f>
        <v/>
      </c>
      <c r="Q747">
        <f>IF($P747="","",$A747*1000+$B747)</f>
        <v/>
      </c>
    </row>
    <row r="748">
      <c r="A748">
        <f>INT((ROW()-2)/151)+1</f>
        <v/>
      </c>
      <c r="B748">
        <f>MOD(ROW()-2,151)</f>
        <v/>
      </c>
      <c r="C748">
        <f t="array" ref="C748">IFERROR(INDEX('TRIP MANAGER'!$O$18:$O$25,$A748),"")</f>
        <v/>
      </c>
      <c r="D748">
        <f t="array" ref="D748">IFERROR(INDEX('TRIP MANAGER'!$P$18:$P$25,$A748),"")</f>
        <v/>
      </c>
      <c r="E748">
        <f t="array" ref="E748">IFERROR(INDEX('TRIP MANAGER'!$Q$18:$Q$25,$A748),"")</f>
        <v/>
      </c>
      <c r="F748">
        <f t="array" ref="F748">IFERROR(INDEX('TRIP MANAGER'!$R$18:$R$25,$A748),"")</f>
        <v/>
      </c>
      <c r="G748">
        <f t="array" ref="G748">IFERROR(INDEX('TRIP MANAGER'!$S$18:$S$25,$A748),"")</f>
        <v/>
      </c>
      <c r="H748">
        <f>$B748/150</f>
        <v/>
      </c>
      <c r="I748">
        <f>IF(OR($G748="",$G748=0),"",SIN((1-$H748)*$G748)/SIN($G748))</f>
        <v/>
      </c>
      <c r="J748">
        <f>IF($I748="","",SIN($H748*$G748)/SIN($G748))</f>
        <v/>
      </c>
      <c r="K748">
        <f>IF($I748="","",$I748*COS(RADIANS($C748))*COS(RADIANS($D748))+$J748*COS(RADIANS($E748))*COS(RADIANS($F748)))</f>
        <v/>
      </c>
      <c r="L748">
        <f>IF($I748="","",$I748*COS(RADIANS($C748))*SIN(RADIANS($D748))+$J748*COS(RADIANS($E748))*SIN(RADIANS($F748)))</f>
        <v/>
      </c>
      <c r="M748">
        <f>IF($I748="","",$I748*SIN(RADIANS($C748))+$J748*SIN(RADIANS($E748)))</f>
        <v/>
      </c>
      <c r="N748">
        <f>IF($M748="","",DEGREES(ATAN2(SQRT($K748^2+$L748^2),$M748)))</f>
        <v/>
      </c>
      <c r="O748">
        <f>IF($M748="","",DEGREES(ATAN2($K748,$L748)))</f>
        <v/>
      </c>
      <c r="P748">
        <f t="array" ref="P748">IF($N748="","",IFERROR(IF(INDEX(geo_grid!$B$2:$JU$231,INT(($N748+40)/0.5)+1,INT(($O748+30)/0.5)+1)="","",INDEX(geo_grid!$B$2:$JU$231,INT(($N748+40)/0.5)+1,INT(($O748+30)/0.5)+1)),"OUTSIDE GRID"))</f>
        <v/>
      </c>
      <c r="Q748">
        <f>IF($P748="","",$A748*1000+$B748)</f>
        <v/>
      </c>
    </row>
    <row r="749">
      <c r="A749">
        <f>INT((ROW()-2)/151)+1</f>
        <v/>
      </c>
      <c r="B749">
        <f>MOD(ROW()-2,151)</f>
        <v/>
      </c>
      <c r="C749">
        <f t="array" ref="C749">IFERROR(INDEX('TRIP MANAGER'!$O$18:$O$25,$A749),"")</f>
        <v/>
      </c>
      <c r="D749">
        <f t="array" ref="D749">IFERROR(INDEX('TRIP MANAGER'!$P$18:$P$25,$A749),"")</f>
        <v/>
      </c>
      <c r="E749">
        <f t="array" ref="E749">IFERROR(INDEX('TRIP MANAGER'!$Q$18:$Q$25,$A749),"")</f>
        <v/>
      </c>
      <c r="F749">
        <f t="array" ref="F749">IFERROR(INDEX('TRIP MANAGER'!$R$18:$R$25,$A749),"")</f>
        <v/>
      </c>
      <c r="G749">
        <f t="array" ref="G749">IFERROR(INDEX('TRIP MANAGER'!$S$18:$S$25,$A749),"")</f>
        <v/>
      </c>
      <c r="H749">
        <f>$B749/150</f>
        <v/>
      </c>
      <c r="I749">
        <f>IF(OR($G749="",$G749=0),"",SIN((1-$H749)*$G749)/SIN($G749))</f>
        <v/>
      </c>
      <c r="J749">
        <f>IF($I749="","",SIN($H749*$G749)/SIN($G749))</f>
        <v/>
      </c>
      <c r="K749">
        <f>IF($I749="","",$I749*COS(RADIANS($C749))*COS(RADIANS($D749))+$J749*COS(RADIANS($E749))*COS(RADIANS($F749)))</f>
        <v/>
      </c>
      <c r="L749">
        <f>IF($I749="","",$I749*COS(RADIANS($C749))*SIN(RADIANS($D749))+$J749*COS(RADIANS($E749))*SIN(RADIANS($F749)))</f>
        <v/>
      </c>
      <c r="M749">
        <f>IF($I749="","",$I749*SIN(RADIANS($C749))+$J749*SIN(RADIANS($E749)))</f>
        <v/>
      </c>
      <c r="N749">
        <f>IF($M749="","",DEGREES(ATAN2(SQRT($K749^2+$L749^2),$M749)))</f>
        <v/>
      </c>
      <c r="O749">
        <f>IF($M749="","",DEGREES(ATAN2($K749,$L749)))</f>
        <v/>
      </c>
      <c r="P749">
        <f t="array" ref="P749">IF($N749="","",IFERROR(IF(INDEX(geo_grid!$B$2:$JU$231,INT(($N749+40)/0.5)+1,INT(($O749+30)/0.5)+1)="","",INDEX(geo_grid!$B$2:$JU$231,INT(($N749+40)/0.5)+1,INT(($O749+30)/0.5)+1)),"OUTSIDE GRID"))</f>
        <v/>
      </c>
      <c r="Q749">
        <f>IF($P749="","",$A749*1000+$B749)</f>
        <v/>
      </c>
    </row>
    <row r="750">
      <c r="A750">
        <f>INT((ROW()-2)/151)+1</f>
        <v/>
      </c>
      <c r="B750">
        <f>MOD(ROW()-2,151)</f>
        <v/>
      </c>
      <c r="C750">
        <f t="array" ref="C750">IFERROR(INDEX('TRIP MANAGER'!$O$18:$O$25,$A750),"")</f>
        <v/>
      </c>
      <c r="D750">
        <f t="array" ref="D750">IFERROR(INDEX('TRIP MANAGER'!$P$18:$P$25,$A750),"")</f>
        <v/>
      </c>
      <c r="E750">
        <f t="array" ref="E750">IFERROR(INDEX('TRIP MANAGER'!$Q$18:$Q$25,$A750),"")</f>
        <v/>
      </c>
      <c r="F750">
        <f t="array" ref="F750">IFERROR(INDEX('TRIP MANAGER'!$R$18:$R$25,$A750),"")</f>
        <v/>
      </c>
      <c r="G750">
        <f t="array" ref="G750">IFERROR(INDEX('TRIP MANAGER'!$S$18:$S$25,$A750),"")</f>
        <v/>
      </c>
      <c r="H750">
        <f>$B750/150</f>
        <v/>
      </c>
      <c r="I750">
        <f>IF(OR($G750="",$G750=0),"",SIN((1-$H750)*$G750)/SIN($G750))</f>
        <v/>
      </c>
      <c r="J750">
        <f>IF($I750="","",SIN($H750*$G750)/SIN($G750))</f>
        <v/>
      </c>
      <c r="K750">
        <f>IF($I750="","",$I750*COS(RADIANS($C750))*COS(RADIANS($D750))+$J750*COS(RADIANS($E750))*COS(RADIANS($F750)))</f>
        <v/>
      </c>
      <c r="L750">
        <f>IF($I750="","",$I750*COS(RADIANS($C750))*SIN(RADIANS($D750))+$J750*COS(RADIANS($E750))*SIN(RADIANS($F750)))</f>
        <v/>
      </c>
      <c r="M750">
        <f>IF($I750="","",$I750*SIN(RADIANS($C750))+$J750*SIN(RADIANS($E750)))</f>
        <v/>
      </c>
      <c r="N750">
        <f>IF($M750="","",DEGREES(ATAN2(SQRT($K750^2+$L750^2),$M750)))</f>
        <v/>
      </c>
      <c r="O750">
        <f>IF($M750="","",DEGREES(ATAN2($K750,$L750)))</f>
        <v/>
      </c>
      <c r="P750">
        <f t="array" ref="P750">IF($N750="","",IFERROR(IF(INDEX(geo_grid!$B$2:$JU$231,INT(($N750+40)/0.5)+1,INT(($O750+30)/0.5)+1)="","",INDEX(geo_grid!$B$2:$JU$231,INT(($N750+40)/0.5)+1,INT(($O750+30)/0.5)+1)),"OUTSIDE GRID"))</f>
        <v/>
      </c>
      <c r="Q750">
        <f>IF($P750="","",$A750*1000+$B750)</f>
        <v/>
      </c>
    </row>
    <row r="751">
      <c r="A751">
        <f>INT((ROW()-2)/151)+1</f>
        <v/>
      </c>
      <c r="B751">
        <f>MOD(ROW()-2,151)</f>
        <v/>
      </c>
      <c r="C751">
        <f t="array" ref="C751">IFERROR(INDEX('TRIP MANAGER'!$O$18:$O$25,$A751),"")</f>
        <v/>
      </c>
      <c r="D751">
        <f t="array" ref="D751">IFERROR(INDEX('TRIP MANAGER'!$P$18:$P$25,$A751),"")</f>
        <v/>
      </c>
      <c r="E751">
        <f t="array" ref="E751">IFERROR(INDEX('TRIP MANAGER'!$Q$18:$Q$25,$A751),"")</f>
        <v/>
      </c>
      <c r="F751">
        <f t="array" ref="F751">IFERROR(INDEX('TRIP MANAGER'!$R$18:$R$25,$A751),"")</f>
        <v/>
      </c>
      <c r="G751">
        <f t="array" ref="G751">IFERROR(INDEX('TRIP MANAGER'!$S$18:$S$25,$A751),"")</f>
        <v/>
      </c>
      <c r="H751">
        <f>$B751/150</f>
        <v/>
      </c>
      <c r="I751">
        <f>IF(OR($G751="",$G751=0),"",SIN((1-$H751)*$G751)/SIN($G751))</f>
        <v/>
      </c>
      <c r="J751">
        <f>IF($I751="","",SIN($H751*$G751)/SIN($G751))</f>
        <v/>
      </c>
      <c r="K751">
        <f>IF($I751="","",$I751*COS(RADIANS($C751))*COS(RADIANS($D751))+$J751*COS(RADIANS($E751))*COS(RADIANS($F751)))</f>
        <v/>
      </c>
      <c r="L751">
        <f>IF($I751="","",$I751*COS(RADIANS($C751))*SIN(RADIANS($D751))+$J751*COS(RADIANS($E751))*SIN(RADIANS($F751)))</f>
        <v/>
      </c>
      <c r="M751">
        <f>IF($I751="","",$I751*SIN(RADIANS($C751))+$J751*SIN(RADIANS($E751)))</f>
        <v/>
      </c>
      <c r="N751">
        <f>IF($M751="","",DEGREES(ATAN2(SQRT($K751^2+$L751^2),$M751)))</f>
        <v/>
      </c>
      <c r="O751">
        <f>IF($M751="","",DEGREES(ATAN2($K751,$L751)))</f>
        <v/>
      </c>
      <c r="P751">
        <f t="array" ref="P751">IF($N751="","",IFERROR(IF(INDEX(geo_grid!$B$2:$JU$231,INT(($N751+40)/0.5)+1,INT(($O751+30)/0.5)+1)="","",INDEX(geo_grid!$B$2:$JU$231,INT(($N751+40)/0.5)+1,INT(($O751+30)/0.5)+1)),"OUTSIDE GRID"))</f>
        <v/>
      </c>
      <c r="Q751">
        <f>IF($P751="","",$A751*1000+$B751)</f>
        <v/>
      </c>
    </row>
    <row r="752">
      <c r="A752">
        <f>INT((ROW()-2)/151)+1</f>
        <v/>
      </c>
      <c r="B752">
        <f>MOD(ROW()-2,151)</f>
        <v/>
      </c>
      <c r="C752">
        <f t="array" ref="C752">IFERROR(INDEX('TRIP MANAGER'!$O$18:$O$25,$A752),"")</f>
        <v/>
      </c>
      <c r="D752">
        <f t="array" ref="D752">IFERROR(INDEX('TRIP MANAGER'!$P$18:$P$25,$A752),"")</f>
        <v/>
      </c>
      <c r="E752">
        <f t="array" ref="E752">IFERROR(INDEX('TRIP MANAGER'!$Q$18:$Q$25,$A752),"")</f>
        <v/>
      </c>
      <c r="F752">
        <f t="array" ref="F752">IFERROR(INDEX('TRIP MANAGER'!$R$18:$R$25,$A752),"")</f>
        <v/>
      </c>
      <c r="G752">
        <f t="array" ref="G752">IFERROR(INDEX('TRIP MANAGER'!$S$18:$S$25,$A752),"")</f>
        <v/>
      </c>
      <c r="H752">
        <f>$B752/150</f>
        <v/>
      </c>
      <c r="I752">
        <f>IF(OR($G752="",$G752=0),"",SIN((1-$H752)*$G752)/SIN($G752))</f>
        <v/>
      </c>
      <c r="J752">
        <f>IF($I752="","",SIN($H752*$G752)/SIN($G752))</f>
        <v/>
      </c>
      <c r="K752">
        <f>IF($I752="","",$I752*COS(RADIANS($C752))*COS(RADIANS($D752))+$J752*COS(RADIANS($E752))*COS(RADIANS($F752)))</f>
        <v/>
      </c>
      <c r="L752">
        <f>IF($I752="","",$I752*COS(RADIANS($C752))*SIN(RADIANS($D752))+$J752*COS(RADIANS($E752))*SIN(RADIANS($F752)))</f>
        <v/>
      </c>
      <c r="M752">
        <f>IF($I752="","",$I752*SIN(RADIANS($C752))+$J752*SIN(RADIANS($E752)))</f>
        <v/>
      </c>
      <c r="N752">
        <f>IF($M752="","",DEGREES(ATAN2(SQRT($K752^2+$L752^2),$M752)))</f>
        <v/>
      </c>
      <c r="O752">
        <f>IF($M752="","",DEGREES(ATAN2($K752,$L752)))</f>
        <v/>
      </c>
      <c r="P752">
        <f t="array" ref="P752">IF($N752="","",IFERROR(IF(INDEX(geo_grid!$B$2:$JU$231,INT(($N752+40)/0.5)+1,INT(($O752+30)/0.5)+1)="","",INDEX(geo_grid!$B$2:$JU$231,INT(($N752+40)/0.5)+1,INT(($O752+30)/0.5)+1)),"OUTSIDE GRID"))</f>
        <v/>
      </c>
      <c r="Q752">
        <f>IF($P752="","",$A752*1000+$B752)</f>
        <v/>
      </c>
    </row>
    <row r="753">
      <c r="A753">
        <f>INT((ROW()-2)/151)+1</f>
        <v/>
      </c>
      <c r="B753">
        <f>MOD(ROW()-2,151)</f>
        <v/>
      </c>
      <c r="C753">
        <f t="array" ref="C753">IFERROR(INDEX('TRIP MANAGER'!$O$18:$O$25,$A753),"")</f>
        <v/>
      </c>
      <c r="D753">
        <f t="array" ref="D753">IFERROR(INDEX('TRIP MANAGER'!$P$18:$P$25,$A753),"")</f>
        <v/>
      </c>
      <c r="E753">
        <f t="array" ref="E753">IFERROR(INDEX('TRIP MANAGER'!$Q$18:$Q$25,$A753),"")</f>
        <v/>
      </c>
      <c r="F753">
        <f t="array" ref="F753">IFERROR(INDEX('TRIP MANAGER'!$R$18:$R$25,$A753),"")</f>
        <v/>
      </c>
      <c r="G753">
        <f t="array" ref="G753">IFERROR(INDEX('TRIP MANAGER'!$S$18:$S$25,$A753),"")</f>
        <v/>
      </c>
      <c r="H753">
        <f>$B753/150</f>
        <v/>
      </c>
      <c r="I753">
        <f>IF(OR($G753="",$G753=0),"",SIN((1-$H753)*$G753)/SIN($G753))</f>
        <v/>
      </c>
      <c r="J753">
        <f>IF($I753="","",SIN($H753*$G753)/SIN($G753))</f>
        <v/>
      </c>
      <c r="K753">
        <f>IF($I753="","",$I753*COS(RADIANS($C753))*COS(RADIANS($D753))+$J753*COS(RADIANS($E753))*COS(RADIANS($F753)))</f>
        <v/>
      </c>
      <c r="L753">
        <f>IF($I753="","",$I753*COS(RADIANS($C753))*SIN(RADIANS($D753))+$J753*COS(RADIANS($E753))*SIN(RADIANS($F753)))</f>
        <v/>
      </c>
      <c r="M753">
        <f>IF($I753="","",$I753*SIN(RADIANS($C753))+$J753*SIN(RADIANS($E753)))</f>
        <v/>
      </c>
      <c r="N753">
        <f>IF($M753="","",DEGREES(ATAN2(SQRT($K753^2+$L753^2),$M753)))</f>
        <v/>
      </c>
      <c r="O753">
        <f>IF($M753="","",DEGREES(ATAN2($K753,$L753)))</f>
        <v/>
      </c>
      <c r="P753">
        <f t="array" ref="P753">IF($N753="","",IFERROR(IF(INDEX(geo_grid!$B$2:$JU$231,INT(($N753+40)/0.5)+1,INT(($O753+30)/0.5)+1)="","",INDEX(geo_grid!$B$2:$JU$231,INT(($N753+40)/0.5)+1,INT(($O753+30)/0.5)+1)),"OUTSIDE GRID"))</f>
        <v/>
      </c>
      <c r="Q753">
        <f>IF($P753="","",$A753*1000+$B753)</f>
        <v/>
      </c>
    </row>
    <row r="754">
      <c r="A754">
        <f>INT((ROW()-2)/151)+1</f>
        <v/>
      </c>
      <c r="B754">
        <f>MOD(ROW()-2,151)</f>
        <v/>
      </c>
      <c r="C754">
        <f t="array" ref="C754">IFERROR(INDEX('TRIP MANAGER'!$O$18:$O$25,$A754),"")</f>
        <v/>
      </c>
      <c r="D754">
        <f t="array" ref="D754">IFERROR(INDEX('TRIP MANAGER'!$P$18:$P$25,$A754),"")</f>
        <v/>
      </c>
      <c r="E754">
        <f t="array" ref="E754">IFERROR(INDEX('TRIP MANAGER'!$Q$18:$Q$25,$A754),"")</f>
        <v/>
      </c>
      <c r="F754">
        <f t="array" ref="F754">IFERROR(INDEX('TRIP MANAGER'!$R$18:$R$25,$A754),"")</f>
        <v/>
      </c>
      <c r="G754">
        <f t="array" ref="G754">IFERROR(INDEX('TRIP MANAGER'!$S$18:$S$25,$A754),"")</f>
        <v/>
      </c>
      <c r="H754">
        <f>$B754/150</f>
        <v/>
      </c>
      <c r="I754">
        <f>IF(OR($G754="",$G754=0),"",SIN((1-$H754)*$G754)/SIN($G754))</f>
        <v/>
      </c>
      <c r="J754">
        <f>IF($I754="","",SIN($H754*$G754)/SIN($G754))</f>
        <v/>
      </c>
      <c r="K754">
        <f>IF($I754="","",$I754*COS(RADIANS($C754))*COS(RADIANS($D754))+$J754*COS(RADIANS($E754))*COS(RADIANS($F754)))</f>
        <v/>
      </c>
      <c r="L754">
        <f>IF($I754="","",$I754*COS(RADIANS($C754))*SIN(RADIANS($D754))+$J754*COS(RADIANS($E754))*SIN(RADIANS($F754)))</f>
        <v/>
      </c>
      <c r="M754">
        <f>IF($I754="","",$I754*SIN(RADIANS($C754))+$J754*SIN(RADIANS($E754)))</f>
        <v/>
      </c>
      <c r="N754">
        <f>IF($M754="","",DEGREES(ATAN2(SQRT($K754^2+$L754^2),$M754)))</f>
        <v/>
      </c>
      <c r="O754">
        <f>IF($M754="","",DEGREES(ATAN2($K754,$L754)))</f>
        <v/>
      </c>
      <c r="P754">
        <f t="array" ref="P754">IF($N754="","",IFERROR(IF(INDEX(geo_grid!$B$2:$JU$231,INT(($N754+40)/0.5)+1,INT(($O754+30)/0.5)+1)="","",INDEX(geo_grid!$B$2:$JU$231,INT(($N754+40)/0.5)+1,INT(($O754+30)/0.5)+1)),"OUTSIDE GRID"))</f>
        <v/>
      </c>
      <c r="Q754">
        <f>IF($P754="","",$A754*1000+$B754)</f>
        <v/>
      </c>
    </row>
    <row r="755">
      <c r="A755">
        <f>INT((ROW()-2)/151)+1</f>
        <v/>
      </c>
      <c r="B755">
        <f>MOD(ROW()-2,151)</f>
        <v/>
      </c>
      <c r="C755">
        <f t="array" ref="C755">IFERROR(INDEX('TRIP MANAGER'!$O$18:$O$25,$A755),"")</f>
        <v/>
      </c>
      <c r="D755">
        <f t="array" ref="D755">IFERROR(INDEX('TRIP MANAGER'!$P$18:$P$25,$A755),"")</f>
        <v/>
      </c>
      <c r="E755">
        <f t="array" ref="E755">IFERROR(INDEX('TRIP MANAGER'!$Q$18:$Q$25,$A755),"")</f>
        <v/>
      </c>
      <c r="F755">
        <f t="array" ref="F755">IFERROR(INDEX('TRIP MANAGER'!$R$18:$R$25,$A755),"")</f>
        <v/>
      </c>
      <c r="G755">
        <f t="array" ref="G755">IFERROR(INDEX('TRIP MANAGER'!$S$18:$S$25,$A755),"")</f>
        <v/>
      </c>
      <c r="H755">
        <f>$B755/150</f>
        <v/>
      </c>
      <c r="I755">
        <f>IF(OR($G755="",$G755=0),"",SIN((1-$H755)*$G755)/SIN($G755))</f>
        <v/>
      </c>
      <c r="J755">
        <f>IF($I755="","",SIN($H755*$G755)/SIN($G755))</f>
        <v/>
      </c>
      <c r="K755">
        <f>IF($I755="","",$I755*COS(RADIANS($C755))*COS(RADIANS($D755))+$J755*COS(RADIANS($E755))*COS(RADIANS($F755)))</f>
        <v/>
      </c>
      <c r="L755">
        <f>IF($I755="","",$I755*COS(RADIANS($C755))*SIN(RADIANS($D755))+$J755*COS(RADIANS($E755))*SIN(RADIANS($F755)))</f>
        <v/>
      </c>
      <c r="M755">
        <f>IF($I755="","",$I755*SIN(RADIANS($C755))+$J755*SIN(RADIANS($E755)))</f>
        <v/>
      </c>
      <c r="N755">
        <f>IF($M755="","",DEGREES(ATAN2(SQRT($K755^2+$L755^2),$M755)))</f>
        <v/>
      </c>
      <c r="O755">
        <f>IF($M755="","",DEGREES(ATAN2($K755,$L755)))</f>
        <v/>
      </c>
      <c r="P755">
        <f t="array" ref="P755">IF($N755="","",IFERROR(IF(INDEX(geo_grid!$B$2:$JU$231,INT(($N755+40)/0.5)+1,INT(($O755+30)/0.5)+1)="","",INDEX(geo_grid!$B$2:$JU$231,INT(($N755+40)/0.5)+1,INT(($O755+30)/0.5)+1)),"OUTSIDE GRID"))</f>
        <v/>
      </c>
      <c r="Q755">
        <f>IF($P755="","",$A755*1000+$B755)</f>
        <v/>
      </c>
    </row>
    <row r="756">
      <c r="A756">
        <f>INT((ROW()-2)/151)+1</f>
        <v/>
      </c>
      <c r="B756">
        <f>MOD(ROW()-2,151)</f>
        <v/>
      </c>
      <c r="C756">
        <f t="array" ref="C756">IFERROR(INDEX('TRIP MANAGER'!$O$18:$O$25,$A756),"")</f>
        <v/>
      </c>
      <c r="D756">
        <f t="array" ref="D756">IFERROR(INDEX('TRIP MANAGER'!$P$18:$P$25,$A756),"")</f>
        <v/>
      </c>
      <c r="E756">
        <f t="array" ref="E756">IFERROR(INDEX('TRIP MANAGER'!$Q$18:$Q$25,$A756),"")</f>
        <v/>
      </c>
      <c r="F756">
        <f t="array" ref="F756">IFERROR(INDEX('TRIP MANAGER'!$R$18:$R$25,$A756),"")</f>
        <v/>
      </c>
      <c r="G756">
        <f t="array" ref="G756">IFERROR(INDEX('TRIP MANAGER'!$S$18:$S$25,$A756),"")</f>
        <v/>
      </c>
      <c r="H756">
        <f>$B756/150</f>
        <v/>
      </c>
      <c r="I756">
        <f>IF(OR($G756="",$G756=0),"",SIN((1-$H756)*$G756)/SIN($G756))</f>
        <v/>
      </c>
      <c r="J756">
        <f>IF($I756="","",SIN($H756*$G756)/SIN($G756))</f>
        <v/>
      </c>
      <c r="K756">
        <f>IF($I756="","",$I756*COS(RADIANS($C756))*COS(RADIANS($D756))+$J756*COS(RADIANS($E756))*COS(RADIANS($F756)))</f>
        <v/>
      </c>
      <c r="L756">
        <f>IF($I756="","",$I756*COS(RADIANS($C756))*SIN(RADIANS($D756))+$J756*COS(RADIANS($E756))*SIN(RADIANS($F756)))</f>
        <v/>
      </c>
      <c r="M756">
        <f>IF($I756="","",$I756*SIN(RADIANS($C756))+$J756*SIN(RADIANS($E756)))</f>
        <v/>
      </c>
      <c r="N756">
        <f>IF($M756="","",DEGREES(ATAN2(SQRT($K756^2+$L756^2),$M756)))</f>
        <v/>
      </c>
      <c r="O756">
        <f>IF($M756="","",DEGREES(ATAN2($K756,$L756)))</f>
        <v/>
      </c>
      <c r="P756">
        <f t="array" ref="P756">IF($N756="","",IFERROR(IF(INDEX(geo_grid!$B$2:$JU$231,INT(($N756+40)/0.5)+1,INT(($O756+30)/0.5)+1)="","",INDEX(geo_grid!$B$2:$JU$231,INT(($N756+40)/0.5)+1,INT(($O756+30)/0.5)+1)),"OUTSIDE GRID"))</f>
        <v/>
      </c>
      <c r="Q756">
        <f>IF($P756="","",$A756*1000+$B756)</f>
        <v/>
      </c>
    </row>
    <row r="757">
      <c r="A757">
        <f>INT((ROW()-2)/151)+1</f>
        <v/>
      </c>
      <c r="B757">
        <f>MOD(ROW()-2,151)</f>
        <v/>
      </c>
      <c r="C757">
        <f t="array" ref="C757">IFERROR(INDEX('TRIP MANAGER'!$O$18:$O$25,$A757),"")</f>
        <v/>
      </c>
      <c r="D757">
        <f t="array" ref="D757">IFERROR(INDEX('TRIP MANAGER'!$P$18:$P$25,$A757),"")</f>
        <v/>
      </c>
      <c r="E757">
        <f t="array" ref="E757">IFERROR(INDEX('TRIP MANAGER'!$Q$18:$Q$25,$A757),"")</f>
        <v/>
      </c>
      <c r="F757">
        <f t="array" ref="F757">IFERROR(INDEX('TRIP MANAGER'!$R$18:$R$25,$A757),"")</f>
        <v/>
      </c>
      <c r="G757">
        <f t="array" ref="G757">IFERROR(INDEX('TRIP MANAGER'!$S$18:$S$25,$A757),"")</f>
        <v/>
      </c>
      <c r="H757">
        <f>$B757/150</f>
        <v/>
      </c>
      <c r="I757">
        <f>IF(OR($G757="",$G757=0),"",SIN((1-$H757)*$G757)/SIN($G757))</f>
        <v/>
      </c>
      <c r="J757">
        <f>IF($I757="","",SIN($H757*$G757)/SIN($G757))</f>
        <v/>
      </c>
      <c r="K757">
        <f>IF($I757="","",$I757*COS(RADIANS($C757))*COS(RADIANS($D757))+$J757*COS(RADIANS($E757))*COS(RADIANS($F757)))</f>
        <v/>
      </c>
      <c r="L757">
        <f>IF($I757="","",$I757*COS(RADIANS($C757))*SIN(RADIANS($D757))+$J757*COS(RADIANS($E757))*SIN(RADIANS($F757)))</f>
        <v/>
      </c>
      <c r="M757">
        <f>IF($I757="","",$I757*SIN(RADIANS($C757))+$J757*SIN(RADIANS($E757)))</f>
        <v/>
      </c>
      <c r="N757">
        <f>IF($M757="","",DEGREES(ATAN2(SQRT($K757^2+$L757^2),$M757)))</f>
        <v/>
      </c>
      <c r="O757">
        <f>IF($M757="","",DEGREES(ATAN2($K757,$L757)))</f>
        <v/>
      </c>
      <c r="P757">
        <f t="array" ref="P757">IF($N757="","",IFERROR(IF(INDEX(geo_grid!$B$2:$JU$231,INT(($N757+40)/0.5)+1,INT(($O757+30)/0.5)+1)="","",INDEX(geo_grid!$B$2:$JU$231,INT(($N757+40)/0.5)+1,INT(($O757+30)/0.5)+1)),"OUTSIDE GRID"))</f>
        <v/>
      </c>
      <c r="Q757">
        <f>IF($P757="","",$A757*1000+$B757)</f>
        <v/>
      </c>
    </row>
    <row r="758">
      <c r="A758">
        <f>INT((ROW()-2)/151)+1</f>
        <v/>
      </c>
      <c r="B758">
        <f>MOD(ROW()-2,151)</f>
        <v/>
      </c>
      <c r="C758">
        <f t="array" ref="C758">IFERROR(INDEX('TRIP MANAGER'!$O$18:$O$25,$A758),"")</f>
        <v/>
      </c>
      <c r="D758">
        <f t="array" ref="D758">IFERROR(INDEX('TRIP MANAGER'!$P$18:$P$25,$A758),"")</f>
        <v/>
      </c>
      <c r="E758">
        <f t="array" ref="E758">IFERROR(INDEX('TRIP MANAGER'!$Q$18:$Q$25,$A758),"")</f>
        <v/>
      </c>
      <c r="F758">
        <f t="array" ref="F758">IFERROR(INDEX('TRIP MANAGER'!$R$18:$R$25,$A758),"")</f>
        <v/>
      </c>
      <c r="G758">
        <f t="array" ref="G758">IFERROR(INDEX('TRIP MANAGER'!$S$18:$S$25,$A758),"")</f>
        <v/>
      </c>
      <c r="H758">
        <f>$B758/150</f>
        <v/>
      </c>
      <c r="I758">
        <f>IF(OR($G758="",$G758=0),"",SIN((1-$H758)*$G758)/SIN($G758))</f>
        <v/>
      </c>
      <c r="J758">
        <f>IF($I758="","",SIN($H758*$G758)/SIN($G758))</f>
        <v/>
      </c>
      <c r="K758">
        <f>IF($I758="","",$I758*COS(RADIANS($C758))*COS(RADIANS($D758))+$J758*COS(RADIANS($E758))*COS(RADIANS($F758)))</f>
        <v/>
      </c>
      <c r="L758">
        <f>IF($I758="","",$I758*COS(RADIANS($C758))*SIN(RADIANS($D758))+$J758*COS(RADIANS($E758))*SIN(RADIANS($F758)))</f>
        <v/>
      </c>
      <c r="M758">
        <f>IF($I758="","",$I758*SIN(RADIANS($C758))+$J758*SIN(RADIANS($E758)))</f>
        <v/>
      </c>
      <c r="N758">
        <f>IF($M758="","",DEGREES(ATAN2(SQRT($K758^2+$L758^2),$M758)))</f>
        <v/>
      </c>
      <c r="O758">
        <f>IF($M758="","",DEGREES(ATAN2($K758,$L758)))</f>
        <v/>
      </c>
      <c r="P758">
        <f t="array" ref="P758">IF($N758="","",IFERROR(IF(INDEX(geo_grid!$B$2:$JU$231,INT(($N758+40)/0.5)+1,INT(($O758+30)/0.5)+1)="","",INDEX(geo_grid!$B$2:$JU$231,INT(($N758+40)/0.5)+1,INT(($O758+30)/0.5)+1)),"OUTSIDE GRID"))</f>
        <v/>
      </c>
      <c r="Q758">
        <f>IF($P758="","",$A758*1000+$B758)</f>
        <v/>
      </c>
    </row>
    <row r="759">
      <c r="A759">
        <f>INT((ROW()-2)/151)+1</f>
        <v/>
      </c>
      <c r="B759">
        <f>MOD(ROW()-2,151)</f>
        <v/>
      </c>
      <c r="C759">
        <f t="array" ref="C759">IFERROR(INDEX('TRIP MANAGER'!$O$18:$O$25,$A759),"")</f>
        <v/>
      </c>
      <c r="D759">
        <f t="array" ref="D759">IFERROR(INDEX('TRIP MANAGER'!$P$18:$P$25,$A759),"")</f>
        <v/>
      </c>
      <c r="E759">
        <f t="array" ref="E759">IFERROR(INDEX('TRIP MANAGER'!$Q$18:$Q$25,$A759),"")</f>
        <v/>
      </c>
      <c r="F759">
        <f t="array" ref="F759">IFERROR(INDEX('TRIP MANAGER'!$R$18:$R$25,$A759),"")</f>
        <v/>
      </c>
      <c r="G759">
        <f t="array" ref="G759">IFERROR(INDEX('TRIP MANAGER'!$S$18:$S$25,$A759),"")</f>
        <v/>
      </c>
      <c r="H759">
        <f>$B759/150</f>
        <v/>
      </c>
      <c r="I759">
        <f>IF(OR($G759="",$G759=0),"",SIN((1-$H759)*$G759)/SIN($G759))</f>
        <v/>
      </c>
      <c r="J759">
        <f>IF($I759="","",SIN($H759*$G759)/SIN($G759))</f>
        <v/>
      </c>
      <c r="K759">
        <f>IF($I759="","",$I759*COS(RADIANS($C759))*COS(RADIANS($D759))+$J759*COS(RADIANS($E759))*COS(RADIANS($F759)))</f>
        <v/>
      </c>
      <c r="L759">
        <f>IF($I759="","",$I759*COS(RADIANS($C759))*SIN(RADIANS($D759))+$J759*COS(RADIANS($E759))*SIN(RADIANS($F759)))</f>
        <v/>
      </c>
      <c r="M759">
        <f>IF($I759="","",$I759*SIN(RADIANS($C759))+$J759*SIN(RADIANS($E759)))</f>
        <v/>
      </c>
      <c r="N759">
        <f>IF($M759="","",DEGREES(ATAN2(SQRT($K759^2+$L759^2),$M759)))</f>
        <v/>
      </c>
      <c r="O759">
        <f>IF($M759="","",DEGREES(ATAN2($K759,$L759)))</f>
        <v/>
      </c>
      <c r="P759">
        <f t="array" ref="P759">IF($N759="","",IFERROR(IF(INDEX(geo_grid!$B$2:$JU$231,INT(($N759+40)/0.5)+1,INT(($O759+30)/0.5)+1)="","",INDEX(geo_grid!$B$2:$JU$231,INT(($N759+40)/0.5)+1,INT(($O759+30)/0.5)+1)),"OUTSIDE GRID"))</f>
        <v/>
      </c>
      <c r="Q759">
        <f>IF($P759="","",$A759*1000+$B759)</f>
        <v/>
      </c>
    </row>
    <row r="760">
      <c r="A760">
        <f>INT((ROW()-2)/151)+1</f>
        <v/>
      </c>
      <c r="B760">
        <f>MOD(ROW()-2,151)</f>
        <v/>
      </c>
      <c r="C760">
        <f t="array" ref="C760">IFERROR(INDEX('TRIP MANAGER'!$O$18:$O$25,$A760),"")</f>
        <v/>
      </c>
      <c r="D760">
        <f t="array" ref="D760">IFERROR(INDEX('TRIP MANAGER'!$P$18:$P$25,$A760),"")</f>
        <v/>
      </c>
      <c r="E760">
        <f t="array" ref="E760">IFERROR(INDEX('TRIP MANAGER'!$Q$18:$Q$25,$A760),"")</f>
        <v/>
      </c>
      <c r="F760">
        <f t="array" ref="F760">IFERROR(INDEX('TRIP MANAGER'!$R$18:$R$25,$A760),"")</f>
        <v/>
      </c>
      <c r="G760">
        <f t="array" ref="G760">IFERROR(INDEX('TRIP MANAGER'!$S$18:$S$25,$A760),"")</f>
        <v/>
      </c>
      <c r="H760">
        <f>$B760/150</f>
        <v/>
      </c>
      <c r="I760">
        <f>IF(OR($G760="",$G760=0),"",SIN((1-$H760)*$G760)/SIN($G760))</f>
        <v/>
      </c>
      <c r="J760">
        <f>IF($I760="","",SIN($H760*$G760)/SIN($G760))</f>
        <v/>
      </c>
      <c r="K760">
        <f>IF($I760="","",$I760*COS(RADIANS($C760))*COS(RADIANS($D760))+$J760*COS(RADIANS($E760))*COS(RADIANS($F760)))</f>
        <v/>
      </c>
      <c r="L760">
        <f>IF($I760="","",$I760*COS(RADIANS($C760))*SIN(RADIANS($D760))+$J760*COS(RADIANS($E760))*SIN(RADIANS($F760)))</f>
        <v/>
      </c>
      <c r="M760">
        <f>IF($I760="","",$I760*SIN(RADIANS($C760))+$J760*SIN(RADIANS($E760)))</f>
        <v/>
      </c>
      <c r="N760">
        <f>IF($M760="","",DEGREES(ATAN2(SQRT($K760^2+$L760^2),$M760)))</f>
        <v/>
      </c>
      <c r="O760">
        <f>IF($M760="","",DEGREES(ATAN2($K760,$L760)))</f>
        <v/>
      </c>
      <c r="P760">
        <f t="array" ref="P760">IF($N760="","",IFERROR(IF(INDEX(geo_grid!$B$2:$JU$231,INT(($N760+40)/0.5)+1,INT(($O760+30)/0.5)+1)="","",INDEX(geo_grid!$B$2:$JU$231,INT(($N760+40)/0.5)+1,INT(($O760+30)/0.5)+1)),"OUTSIDE GRID"))</f>
        <v/>
      </c>
      <c r="Q760">
        <f>IF($P760="","",$A760*1000+$B760)</f>
        <v/>
      </c>
    </row>
    <row r="761">
      <c r="A761">
        <f>INT((ROW()-2)/151)+1</f>
        <v/>
      </c>
      <c r="B761">
        <f>MOD(ROW()-2,151)</f>
        <v/>
      </c>
      <c r="C761">
        <f t="array" ref="C761">IFERROR(INDEX('TRIP MANAGER'!$O$18:$O$25,$A761),"")</f>
        <v/>
      </c>
      <c r="D761">
        <f t="array" ref="D761">IFERROR(INDEX('TRIP MANAGER'!$P$18:$P$25,$A761),"")</f>
        <v/>
      </c>
      <c r="E761">
        <f t="array" ref="E761">IFERROR(INDEX('TRIP MANAGER'!$Q$18:$Q$25,$A761),"")</f>
        <v/>
      </c>
      <c r="F761">
        <f t="array" ref="F761">IFERROR(INDEX('TRIP MANAGER'!$R$18:$R$25,$A761),"")</f>
        <v/>
      </c>
      <c r="G761">
        <f t="array" ref="G761">IFERROR(INDEX('TRIP MANAGER'!$S$18:$S$25,$A761),"")</f>
        <v/>
      </c>
      <c r="H761">
        <f>$B761/150</f>
        <v/>
      </c>
      <c r="I761">
        <f>IF(OR($G761="",$G761=0),"",SIN((1-$H761)*$G761)/SIN($G761))</f>
        <v/>
      </c>
      <c r="J761">
        <f>IF($I761="","",SIN($H761*$G761)/SIN($G761))</f>
        <v/>
      </c>
      <c r="K761">
        <f>IF($I761="","",$I761*COS(RADIANS($C761))*COS(RADIANS($D761))+$J761*COS(RADIANS($E761))*COS(RADIANS($F761)))</f>
        <v/>
      </c>
      <c r="L761">
        <f>IF($I761="","",$I761*COS(RADIANS($C761))*SIN(RADIANS($D761))+$J761*COS(RADIANS($E761))*SIN(RADIANS($F761)))</f>
        <v/>
      </c>
      <c r="M761">
        <f>IF($I761="","",$I761*SIN(RADIANS($C761))+$J761*SIN(RADIANS($E761)))</f>
        <v/>
      </c>
      <c r="N761">
        <f>IF($M761="","",DEGREES(ATAN2(SQRT($K761^2+$L761^2),$M761)))</f>
        <v/>
      </c>
      <c r="O761">
        <f>IF($M761="","",DEGREES(ATAN2($K761,$L761)))</f>
        <v/>
      </c>
      <c r="P761">
        <f t="array" ref="P761">IF($N761="","",IFERROR(IF(INDEX(geo_grid!$B$2:$JU$231,INT(($N761+40)/0.5)+1,INT(($O761+30)/0.5)+1)="","",INDEX(geo_grid!$B$2:$JU$231,INT(($N761+40)/0.5)+1,INT(($O761+30)/0.5)+1)),"OUTSIDE GRID"))</f>
        <v/>
      </c>
      <c r="Q761">
        <f>IF($P761="","",$A761*1000+$B761)</f>
        <v/>
      </c>
    </row>
    <row r="762">
      <c r="A762">
        <f>INT((ROW()-2)/151)+1</f>
        <v/>
      </c>
      <c r="B762">
        <f>MOD(ROW()-2,151)</f>
        <v/>
      </c>
      <c r="C762">
        <f t="array" ref="C762">IFERROR(INDEX('TRIP MANAGER'!$O$18:$O$25,$A762),"")</f>
        <v/>
      </c>
      <c r="D762">
        <f t="array" ref="D762">IFERROR(INDEX('TRIP MANAGER'!$P$18:$P$25,$A762),"")</f>
        <v/>
      </c>
      <c r="E762">
        <f t="array" ref="E762">IFERROR(INDEX('TRIP MANAGER'!$Q$18:$Q$25,$A762),"")</f>
        <v/>
      </c>
      <c r="F762">
        <f t="array" ref="F762">IFERROR(INDEX('TRIP MANAGER'!$R$18:$R$25,$A762),"")</f>
        <v/>
      </c>
      <c r="G762">
        <f t="array" ref="G762">IFERROR(INDEX('TRIP MANAGER'!$S$18:$S$25,$A762),"")</f>
        <v/>
      </c>
      <c r="H762">
        <f>$B762/150</f>
        <v/>
      </c>
      <c r="I762">
        <f>IF(OR($G762="",$G762=0),"",SIN((1-$H762)*$G762)/SIN($G762))</f>
        <v/>
      </c>
      <c r="J762">
        <f>IF($I762="","",SIN($H762*$G762)/SIN($G762))</f>
        <v/>
      </c>
      <c r="K762">
        <f>IF($I762="","",$I762*COS(RADIANS($C762))*COS(RADIANS($D762))+$J762*COS(RADIANS($E762))*COS(RADIANS($F762)))</f>
        <v/>
      </c>
      <c r="L762">
        <f>IF($I762="","",$I762*COS(RADIANS($C762))*SIN(RADIANS($D762))+$J762*COS(RADIANS($E762))*SIN(RADIANS($F762)))</f>
        <v/>
      </c>
      <c r="M762">
        <f>IF($I762="","",$I762*SIN(RADIANS($C762))+$J762*SIN(RADIANS($E762)))</f>
        <v/>
      </c>
      <c r="N762">
        <f>IF($M762="","",DEGREES(ATAN2(SQRT($K762^2+$L762^2),$M762)))</f>
        <v/>
      </c>
      <c r="O762">
        <f>IF($M762="","",DEGREES(ATAN2($K762,$L762)))</f>
        <v/>
      </c>
      <c r="P762">
        <f t="array" ref="P762">IF($N762="","",IFERROR(IF(INDEX(geo_grid!$B$2:$JU$231,INT(($N762+40)/0.5)+1,INT(($O762+30)/0.5)+1)="","",INDEX(geo_grid!$B$2:$JU$231,INT(($N762+40)/0.5)+1,INT(($O762+30)/0.5)+1)),"OUTSIDE GRID"))</f>
        <v/>
      </c>
      <c r="Q762">
        <f>IF($P762="","",$A762*1000+$B762)</f>
        <v/>
      </c>
    </row>
    <row r="763">
      <c r="A763">
        <f>INT((ROW()-2)/151)+1</f>
        <v/>
      </c>
      <c r="B763">
        <f>MOD(ROW()-2,151)</f>
        <v/>
      </c>
      <c r="C763">
        <f t="array" ref="C763">IFERROR(INDEX('TRIP MANAGER'!$O$18:$O$25,$A763),"")</f>
        <v/>
      </c>
      <c r="D763">
        <f t="array" ref="D763">IFERROR(INDEX('TRIP MANAGER'!$P$18:$P$25,$A763),"")</f>
        <v/>
      </c>
      <c r="E763">
        <f t="array" ref="E763">IFERROR(INDEX('TRIP MANAGER'!$Q$18:$Q$25,$A763),"")</f>
        <v/>
      </c>
      <c r="F763">
        <f t="array" ref="F763">IFERROR(INDEX('TRIP MANAGER'!$R$18:$R$25,$A763),"")</f>
        <v/>
      </c>
      <c r="G763">
        <f t="array" ref="G763">IFERROR(INDEX('TRIP MANAGER'!$S$18:$S$25,$A763),"")</f>
        <v/>
      </c>
      <c r="H763">
        <f>$B763/150</f>
        <v/>
      </c>
      <c r="I763">
        <f>IF(OR($G763="",$G763=0),"",SIN((1-$H763)*$G763)/SIN($G763))</f>
        <v/>
      </c>
      <c r="J763">
        <f>IF($I763="","",SIN($H763*$G763)/SIN($G763))</f>
        <v/>
      </c>
      <c r="K763">
        <f>IF($I763="","",$I763*COS(RADIANS($C763))*COS(RADIANS($D763))+$J763*COS(RADIANS($E763))*COS(RADIANS($F763)))</f>
        <v/>
      </c>
      <c r="L763">
        <f>IF($I763="","",$I763*COS(RADIANS($C763))*SIN(RADIANS($D763))+$J763*COS(RADIANS($E763))*SIN(RADIANS($F763)))</f>
        <v/>
      </c>
      <c r="M763">
        <f>IF($I763="","",$I763*SIN(RADIANS($C763))+$J763*SIN(RADIANS($E763)))</f>
        <v/>
      </c>
      <c r="N763">
        <f>IF($M763="","",DEGREES(ATAN2(SQRT($K763^2+$L763^2),$M763)))</f>
        <v/>
      </c>
      <c r="O763">
        <f>IF($M763="","",DEGREES(ATAN2($K763,$L763)))</f>
        <v/>
      </c>
      <c r="P763">
        <f t="array" ref="P763">IF($N763="","",IFERROR(IF(INDEX(geo_grid!$B$2:$JU$231,INT(($N763+40)/0.5)+1,INT(($O763+30)/0.5)+1)="","",INDEX(geo_grid!$B$2:$JU$231,INT(($N763+40)/0.5)+1,INT(($O763+30)/0.5)+1)),"OUTSIDE GRID"))</f>
        <v/>
      </c>
      <c r="Q763">
        <f>IF($P763="","",$A763*1000+$B763)</f>
        <v/>
      </c>
    </row>
    <row r="764">
      <c r="A764">
        <f>INT((ROW()-2)/151)+1</f>
        <v/>
      </c>
      <c r="B764">
        <f>MOD(ROW()-2,151)</f>
        <v/>
      </c>
      <c r="C764">
        <f t="array" ref="C764">IFERROR(INDEX('TRIP MANAGER'!$O$18:$O$25,$A764),"")</f>
        <v/>
      </c>
      <c r="D764">
        <f t="array" ref="D764">IFERROR(INDEX('TRIP MANAGER'!$P$18:$P$25,$A764),"")</f>
        <v/>
      </c>
      <c r="E764">
        <f t="array" ref="E764">IFERROR(INDEX('TRIP MANAGER'!$Q$18:$Q$25,$A764),"")</f>
        <v/>
      </c>
      <c r="F764">
        <f t="array" ref="F764">IFERROR(INDEX('TRIP MANAGER'!$R$18:$R$25,$A764),"")</f>
        <v/>
      </c>
      <c r="G764">
        <f t="array" ref="G764">IFERROR(INDEX('TRIP MANAGER'!$S$18:$S$25,$A764),"")</f>
        <v/>
      </c>
      <c r="H764">
        <f>$B764/150</f>
        <v/>
      </c>
      <c r="I764">
        <f>IF(OR($G764="",$G764=0),"",SIN((1-$H764)*$G764)/SIN($G764))</f>
        <v/>
      </c>
      <c r="J764">
        <f>IF($I764="","",SIN($H764*$G764)/SIN($G764))</f>
        <v/>
      </c>
      <c r="K764">
        <f>IF($I764="","",$I764*COS(RADIANS($C764))*COS(RADIANS($D764))+$J764*COS(RADIANS($E764))*COS(RADIANS($F764)))</f>
        <v/>
      </c>
      <c r="L764">
        <f>IF($I764="","",$I764*COS(RADIANS($C764))*SIN(RADIANS($D764))+$J764*COS(RADIANS($E764))*SIN(RADIANS($F764)))</f>
        <v/>
      </c>
      <c r="M764">
        <f>IF($I764="","",$I764*SIN(RADIANS($C764))+$J764*SIN(RADIANS($E764)))</f>
        <v/>
      </c>
      <c r="N764">
        <f>IF($M764="","",DEGREES(ATAN2(SQRT($K764^2+$L764^2),$M764)))</f>
        <v/>
      </c>
      <c r="O764">
        <f>IF($M764="","",DEGREES(ATAN2($K764,$L764)))</f>
        <v/>
      </c>
      <c r="P764">
        <f t="array" ref="P764">IF($N764="","",IFERROR(IF(INDEX(geo_grid!$B$2:$JU$231,INT(($N764+40)/0.5)+1,INT(($O764+30)/0.5)+1)="","",INDEX(geo_grid!$B$2:$JU$231,INT(($N764+40)/0.5)+1,INT(($O764+30)/0.5)+1)),"OUTSIDE GRID"))</f>
        <v/>
      </c>
      <c r="Q764">
        <f>IF($P764="","",$A764*1000+$B764)</f>
        <v/>
      </c>
    </row>
    <row r="765">
      <c r="A765">
        <f>INT((ROW()-2)/151)+1</f>
        <v/>
      </c>
      <c r="B765">
        <f>MOD(ROW()-2,151)</f>
        <v/>
      </c>
      <c r="C765">
        <f t="array" ref="C765">IFERROR(INDEX('TRIP MANAGER'!$O$18:$O$25,$A765),"")</f>
        <v/>
      </c>
      <c r="D765">
        <f t="array" ref="D765">IFERROR(INDEX('TRIP MANAGER'!$P$18:$P$25,$A765),"")</f>
        <v/>
      </c>
      <c r="E765">
        <f t="array" ref="E765">IFERROR(INDEX('TRIP MANAGER'!$Q$18:$Q$25,$A765),"")</f>
        <v/>
      </c>
      <c r="F765">
        <f t="array" ref="F765">IFERROR(INDEX('TRIP MANAGER'!$R$18:$R$25,$A765),"")</f>
        <v/>
      </c>
      <c r="G765">
        <f t="array" ref="G765">IFERROR(INDEX('TRIP MANAGER'!$S$18:$S$25,$A765),"")</f>
        <v/>
      </c>
      <c r="H765">
        <f>$B765/150</f>
        <v/>
      </c>
      <c r="I765">
        <f>IF(OR($G765="",$G765=0),"",SIN((1-$H765)*$G765)/SIN($G765))</f>
        <v/>
      </c>
      <c r="J765">
        <f>IF($I765="","",SIN($H765*$G765)/SIN($G765))</f>
        <v/>
      </c>
      <c r="K765">
        <f>IF($I765="","",$I765*COS(RADIANS($C765))*COS(RADIANS($D765))+$J765*COS(RADIANS($E765))*COS(RADIANS($F765)))</f>
        <v/>
      </c>
      <c r="L765">
        <f>IF($I765="","",$I765*COS(RADIANS($C765))*SIN(RADIANS($D765))+$J765*COS(RADIANS($E765))*SIN(RADIANS($F765)))</f>
        <v/>
      </c>
      <c r="M765">
        <f>IF($I765="","",$I765*SIN(RADIANS($C765))+$J765*SIN(RADIANS($E765)))</f>
        <v/>
      </c>
      <c r="N765">
        <f>IF($M765="","",DEGREES(ATAN2(SQRT($K765^2+$L765^2),$M765)))</f>
        <v/>
      </c>
      <c r="O765">
        <f>IF($M765="","",DEGREES(ATAN2($K765,$L765)))</f>
        <v/>
      </c>
      <c r="P765">
        <f t="array" ref="P765">IF($N765="","",IFERROR(IF(INDEX(geo_grid!$B$2:$JU$231,INT(($N765+40)/0.5)+1,INT(($O765+30)/0.5)+1)="","",INDEX(geo_grid!$B$2:$JU$231,INT(($N765+40)/0.5)+1,INT(($O765+30)/0.5)+1)),"OUTSIDE GRID"))</f>
        <v/>
      </c>
      <c r="Q765">
        <f>IF($P765="","",$A765*1000+$B765)</f>
        <v/>
      </c>
    </row>
    <row r="766">
      <c r="A766">
        <f>INT((ROW()-2)/151)+1</f>
        <v/>
      </c>
      <c r="B766">
        <f>MOD(ROW()-2,151)</f>
        <v/>
      </c>
      <c r="C766">
        <f t="array" ref="C766">IFERROR(INDEX('TRIP MANAGER'!$O$18:$O$25,$A766),"")</f>
        <v/>
      </c>
      <c r="D766">
        <f t="array" ref="D766">IFERROR(INDEX('TRIP MANAGER'!$P$18:$P$25,$A766),"")</f>
        <v/>
      </c>
      <c r="E766">
        <f t="array" ref="E766">IFERROR(INDEX('TRIP MANAGER'!$Q$18:$Q$25,$A766),"")</f>
        <v/>
      </c>
      <c r="F766">
        <f t="array" ref="F766">IFERROR(INDEX('TRIP MANAGER'!$R$18:$R$25,$A766),"")</f>
        <v/>
      </c>
      <c r="G766">
        <f t="array" ref="G766">IFERROR(INDEX('TRIP MANAGER'!$S$18:$S$25,$A766),"")</f>
        <v/>
      </c>
      <c r="H766">
        <f>$B766/150</f>
        <v/>
      </c>
      <c r="I766">
        <f>IF(OR($G766="",$G766=0),"",SIN((1-$H766)*$G766)/SIN($G766))</f>
        <v/>
      </c>
      <c r="J766">
        <f>IF($I766="","",SIN($H766*$G766)/SIN($G766))</f>
        <v/>
      </c>
      <c r="K766">
        <f>IF($I766="","",$I766*COS(RADIANS($C766))*COS(RADIANS($D766))+$J766*COS(RADIANS($E766))*COS(RADIANS($F766)))</f>
        <v/>
      </c>
      <c r="L766">
        <f>IF($I766="","",$I766*COS(RADIANS($C766))*SIN(RADIANS($D766))+$J766*COS(RADIANS($E766))*SIN(RADIANS($F766)))</f>
        <v/>
      </c>
      <c r="M766">
        <f>IF($I766="","",$I766*SIN(RADIANS($C766))+$J766*SIN(RADIANS($E766)))</f>
        <v/>
      </c>
      <c r="N766">
        <f>IF($M766="","",DEGREES(ATAN2(SQRT($K766^2+$L766^2),$M766)))</f>
        <v/>
      </c>
      <c r="O766">
        <f>IF($M766="","",DEGREES(ATAN2($K766,$L766)))</f>
        <v/>
      </c>
      <c r="P766">
        <f t="array" ref="P766">IF($N766="","",IFERROR(IF(INDEX(geo_grid!$B$2:$JU$231,INT(($N766+40)/0.5)+1,INT(($O766+30)/0.5)+1)="","",INDEX(geo_grid!$B$2:$JU$231,INT(($N766+40)/0.5)+1,INT(($O766+30)/0.5)+1)),"OUTSIDE GRID"))</f>
        <v/>
      </c>
      <c r="Q766">
        <f>IF($P766="","",$A766*1000+$B766)</f>
        <v/>
      </c>
    </row>
    <row r="767">
      <c r="A767">
        <f>INT((ROW()-2)/151)+1</f>
        <v/>
      </c>
      <c r="B767">
        <f>MOD(ROW()-2,151)</f>
        <v/>
      </c>
      <c r="C767">
        <f t="array" ref="C767">IFERROR(INDEX('TRIP MANAGER'!$O$18:$O$25,$A767),"")</f>
        <v/>
      </c>
      <c r="D767">
        <f t="array" ref="D767">IFERROR(INDEX('TRIP MANAGER'!$P$18:$P$25,$A767),"")</f>
        <v/>
      </c>
      <c r="E767">
        <f t="array" ref="E767">IFERROR(INDEX('TRIP MANAGER'!$Q$18:$Q$25,$A767),"")</f>
        <v/>
      </c>
      <c r="F767">
        <f t="array" ref="F767">IFERROR(INDEX('TRIP MANAGER'!$R$18:$R$25,$A767),"")</f>
        <v/>
      </c>
      <c r="G767">
        <f t="array" ref="G767">IFERROR(INDEX('TRIP MANAGER'!$S$18:$S$25,$A767),"")</f>
        <v/>
      </c>
      <c r="H767">
        <f>$B767/150</f>
        <v/>
      </c>
      <c r="I767">
        <f>IF(OR($G767="",$G767=0),"",SIN((1-$H767)*$G767)/SIN($G767))</f>
        <v/>
      </c>
      <c r="J767">
        <f>IF($I767="","",SIN($H767*$G767)/SIN($G767))</f>
        <v/>
      </c>
      <c r="K767">
        <f>IF($I767="","",$I767*COS(RADIANS($C767))*COS(RADIANS($D767))+$J767*COS(RADIANS($E767))*COS(RADIANS($F767)))</f>
        <v/>
      </c>
      <c r="L767">
        <f>IF($I767="","",$I767*COS(RADIANS($C767))*SIN(RADIANS($D767))+$J767*COS(RADIANS($E767))*SIN(RADIANS($F767)))</f>
        <v/>
      </c>
      <c r="M767">
        <f>IF($I767="","",$I767*SIN(RADIANS($C767))+$J767*SIN(RADIANS($E767)))</f>
        <v/>
      </c>
      <c r="N767">
        <f>IF($M767="","",DEGREES(ATAN2(SQRT($K767^2+$L767^2),$M767)))</f>
        <v/>
      </c>
      <c r="O767">
        <f>IF($M767="","",DEGREES(ATAN2($K767,$L767)))</f>
        <v/>
      </c>
      <c r="P767">
        <f t="array" ref="P767">IF($N767="","",IFERROR(IF(INDEX(geo_grid!$B$2:$JU$231,INT(($N767+40)/0.5)+1,INT(($O767+30)/0.5)+1)="","",INDEX(geo_grid!$B$2:$JU$231,INT(($N767+40)/0.5)+1,INT(($O767+30)/0.5)+1)),"OUTSIDE GRID"))</f>
        <v/>
      </c>
      <c r="Q767">
        <f>IF($P767="","",$A767*1000+$B767)</f>
        <v/>
      </c>
    </row>
    <row r="768">
      <c r="A768">
        <f>INT((ROW()-2)/151)+1</f>
        <v/>
      </c>
      <c r="B768">
        <f>MOD(ROW()-2,151)</f>
        <v/>
      </c>
      <c r="C768">
        <f t="array" ref="C768">IFERROR(INDEX('TRIP MANAGER'!$O$18:$O$25,$A768),"")</f>
        <v/>
      </c>
      <c r="D768">
        <f t="array" ref="D768">IFERROR(INDEX('TRIP MANAGER'!$P$18:$P$25,$A768),"")</f>
        <v/>
      </c>
      <c r="E768">
        <f t="array" ref="E768">IFERROR(INDEX('TRIP MANAGER'!$Q$18:$Q$25,$A768),"")</f>
        <v/>
      </c>
      <c r="F768">
        <f t="array" ref="F768">IFERROR(INDEX('TRIP MANAGER'!$R$18:$R$25,$A768),"")</f>
        <v/>
      </c>
      <c r="G768">
        <f t="array" ref="G768">IFERROR(INDEX('TRIP MANAGER'!$S$18:$S$25,$A768),"")</f>
        <v/>
      </c>
      <c r="H768">
        <f>$B768/150</f>
        <v/>
      </c>
      <c r="I768">
        <f>IF(OR($G768="",$G768=0),"",SIN((1-$H768)*$G768)/SIN($G768))</f>
        <v/>
      </c>
      <c r="J768">
        <f>IF($I768="","",SIN($H768*$G768)/SIN($G768))</f>
        <v/>
      </c>
      <c r="K768">
        <f>IF($I768="","",$I768*COS(RADIANS($C768))*COS(RADIANS($D768))+$J768*COS(RADIANS($E768))*COS(RADIANS($F768)))</f>
        <v/>
      </c>
      <c r="L768">
        <f>IF($I768="","",$I768*COS(RADIANS($C768))*SIN(RADIANS($D768))+$J768*COS(RADIANS($E768))*SIN(RADIANS($F768)))</f>
        <v/>
      </c>
      <c r="M768">
        <f>IF($I768="","",$I768*SIN(RADIANS($C768))+$J768*SIN(RADIANS($E768)))</f>
        <v/>
      </c>
      <c r="N768">
        <f>IF($M768="","",DEGREES(ATAN2(SQRT($K768^2+$L768^2),$M768)))</f>
        <v/>
      </c>
      <c r="O768">
        <f>IF($M768="","",DEGREES(ATAN2($K768,$L768)))</f>
        <v/>
      </c>
      <c r="P768">
        <f t="array" ref="P768">IF($N768="","",IFERROR(IF(INDEX(geo_grid!$B$2:$JU$231,INT(($N768+40)/0.5)+1,INT(($O768+30)/0.5)+1)="","",INDEX(geo_grid!$B$2:$JU$231,INT(($N768+40)/0.5)+1,INT(($O768+30)/0.5)+1)),"OUTSIDE GRID"))</f>
        <v/>
      </c>
      <c r="Q768">
        <f>IF($P768="","",$A768*1000+$B768)</f>
        <v/>
      </c>
    </row>
    <row r="769">
      <c r="A769">
        <f>INT((ROW()-2)/151)+1</f>
        <v/>
      </c>
      <c r="B769">
        <f>MOD(ROW()-2,151)</f>
        <v/>
      </c>
      <c r="C769">
        <f t="array" ref="C769">IFERROR(INDEX('TRIP MANAGER'!$O$18:$O$25,$A769),"")</f>
        <v/>
      </c>
      <c r="D769">
        <f t="array" ref="D769">IFERROR(INDEX('TRIP MANAGER'!$P$18:$P$25,$A769),"")</f>
        <v/>
      </c>
      <c r="E769">
        <f t="array" ref="E769">IFERROR(INDEX('TRIP MANAGER'!$Q$18:$Q$25,$A769),"")</f>
        <v/>
      </c>
      <c r="F769">
        <f t="array" ref="F769">IFERROR(INDEX('TRIP MANAGER'!$R$18:$R$25,$A769),"")</f>
        <v/>
      </c>
      <c r="G769">
        <f t="array" ref="G769">IFERROR(INDEX('TRIP MANAGER'!$S$18:$S$25,$A769),"")</f>
        <v/>
      </c>
      <c r="H769">
        <f>$B769/150</f>
        <v/>
      </c>
      <c r="I769">
        <f>IF(OR($G769="",$G769=0),"",SIN((1-$H769)*$G769)/SIN($G769))</f>
        <v/>
      </c>
      <c r="J769">
        <f>IF($I769="","",SIN($H769*$G769)/SIN($G769))</f>
        <v/>
      </c>
      <c r="K769">
        <f>IF($I769="","",$I769*COS(RADIANS($C769))*COS(RADIANS($D769))+$J769*COS(RADIANS($E769))*COS(RADIANS($F769)))</f>
        <v/>
      </c>
      <c r="L769">
        <f>IF($I769="","",$I769*COS(RADIANS($C769))*SIN(RADIANS($D769))+$J769*COS(RADIANS($E769))*SIN(RADIANS($F769)))</f>
        <v/>
      </c>
      <c r="M769">
        <f>IF($I769="","",$I769*SIN(RADIANS($C769))+$J769*SIN(RADIANS($E769)))</f>
        <v/>
      </c>
      <c r="N769">
        <f>IF($M769="","",DEGREES(ATAN2(SQRT($K769^2+$L769^2),$M769)))</f>
        <v/>
      </c>
      <c r="O769">
        <f>IF($M769="","",DEGREES(ATAN2($K769,$L769)))</f>
        <v/>
      </c>
      <c r="P769">
        <f t="array" ref="P769">IF($N769="","",IFERROR(IF(INDEX(geo_grid!$B$2:$JU$231,INT(($N769+40)/0.5)+1,INT(($O769+30)/0.5)+1)="","",INDEX(geo_grid!$B$2:$JU$231,INT(($N769+40)/0.5)+1,INT(($O769+30)/0.5)+1)),"OUTSIDE GRID"))</f>
        <v/>
      </c>
      <c r="Q769">
        <f>IF($P769="","",$A769*1000+$B769)</f>
        <v/>
      </c>
    </row>
    <row r="770">
      <c r="A770">
        <f>INT((ROW()-2)/151)+1</f>
        <v/>
      </c>
      <c r="B770">
        <f>MOD(ROW()-2,151)</f>
        <v/>
      </c>
      <c r="C770">
        <f t="array" ref="C770">IFERROR(INDEX('TRIP MANAGER'!$O$18:$O$25,$A770),"")</f>
        <v/>
      </c>
      <c r="D770">
        <f t="array" ref="D770">IFERROR(INDEX('TRIP MANAGER'!$P$18:$P$25,$A770),"")</f>
        <v/>
      </c>
      <c r="E770">
        <f t="array" ref="E770">IFERROR(INDEX('TRIP MANAGER'!$Q$18:$Q$25,$A770),"")</f>
        <v/>
      </c>
      <c r="F770">
        <f t="array" ref="F770">IFERROR(INDEX('TRIP MANAGER'!$R$18:$R$25,$A770),"")</f>
        <v/>
      </c>
      <c r="G770">
        <f t="array" ref="G770">IFERROR(INDEX('TRIP MANAGER'!$S$18:$S$25,$A770),"")</f>
        <v/>
      </c>
      <c r="H770">
        <f>$B770/150</f>
        <v/>
      </c>
      <c r="I770">
        <f>IF(OR($G770="",$G770=0),"",SIN((1-$H770)*$G770)/SIN($G770))</f>
        <v/>
      </c>
      <c r="J770">
        <f>IF($I770="","",SIN($H770*$G770)/SIN($G770))</f>
        <v/>
      </c>
      <c r="K770">
        <f>IF($I770="","",$I770*COS(RADIANS($C770))*COS(RADIANS($D770))+$J770*COS(RADIANS($E770))*COS(RADIANS($F770)))</f>
        <v/>
      </c>
      <c r="L770">
        <f>IF($I770="","",$I770*COS(RADIANS($C770))*SIN(RADIANS($D770))+$J770*COS(RADIANS($E770))*SIN(RADIANS($F770)))</f>
        <v/>
      </c>
      <c r="M770">
        <f>IF($I770="","",$I770*SIN(RADIANS($C770))+$J770*SIN(RADIANS($E770)))</f>
        <v/>
      </c>
      <c r="N770">
        <f>IF($M770="","",DEGREES(ATAN2(SQRT($K770^2+$L770^2),$M770)))</f>
        <v/>
      </c>
      <c r="O770">
        <f>IF($M770="","",DEGREES(ATAN2($K770,$L770)))</f>
        <v/>
      </c>
      <c r="P770">
        <f t="array" ref="P770">IF($N770="","",IFERROR(IF(INDEX(geo_grid!$B$2:$JU$231,INT(($N770+40)/0.5)+1,INT(($O770+30)/0.5)+1)="","",INDEX(geo_grid!$B$2:$JU$231,INT(($N770+40)/0.5)+1,INT(($O770+30)/0.5)+1)),"OUTSIDE GRID"))</f>
        <v/>
      </c>
      <c r="Q770">
        <f>IF($P770="","",$A770*1000+$B770)</f>
        <v/>
      </c>
    </row>
    <row r="771">
      <c r="A771">
        <f>INT((ROW()-2)/151)+1</f>
        <v/>
      </c>
      <c r="B771">
        <f>MOD(ROW()-2,151)</f>
        <v/>
      </c>
      <c r="C771">
        <f t="array" ref="C771">IFERROR(INDEX('TRIP MANAGER'!$O$18:$O$25,$A771),"")</f>
        <v/>
      </c>
      <c r="D771">
        <f t="array" ref="D771">IFERROR(INDEX('TRIP MANAGER'!$P$18:$P$25,$A771),"")</f>
        <v/>
      </c>
      <c r="E771">
        <f t="array" ref="E771">IFERROR(INDEX('TRIP MANAGER'!$Q$18:$Q$25,$A771),"")</f>
        <v/>
      </c>
      <c r="F771">
        <f t="array" ref="F771">IFERROR(INDEX('TRIP MANAGER'!$R$18:$R$25,$A771),"")</f>
        <v/>
      </c>
      <c r="G771">
        <f t="array" ref="G771">IFERROR(INDEX('TRIP MANAGER'!$S$18:$S$25,$A771),"")</f>
        <v/>
      </c>
      <c r="H771">
        <f>$B771/150</f>
        <v/>
      </c>
      <c r="I771">
        <f>IF(OR($G771="",$G771=0),"",SIN((1-$H771)*$G771)/SIN($G771))</f>
        <v/>
      </c>
      <c r="J771">
        <f>IF($I771="","",SIN($H771*$G771)/SIN($G771))</f>
        <v/>
      </c>
      <c r="K771">
        <f>IF($I771="","",$I771*COS(RADIANS($C771))*COS(RADIANS($D771))+$J771*COS(RADIANS($E771))*COS(RADIANS($F771)))</f>
        <v/>
      </c>
      <c r="L771">
        <f>IF($I771="","",$I771*COS(RADIANS($C771))*SIN(RADIANS($D771))+$J771*COS(RADIANS($E771))*SIN(RADIANS($F771)))</f>
        <v/>
      </c>
      <c r="M771">
        <f>IF($I771="","",$I771*SIN(RADIANS($C771))+$J771*SIN(RADIANS($E771)))</f>
        <v/>
      </c>
      <c r="N771">
        <f>IF($M771="","",DEGREES(ATAN2(SQRT($K771^2+$L771^2),$M771)))</f>
        <v/>
      </c>
      <c r="O771">
        <f>IF($M771="","",DEGREES(ATAN2($K771,$L771)))</f>
        <v/>
      </c>
      <c r="P771">
        <f t="array" ref="P771">IF($N771="","",IFERROR(IF(INDEX(geo_grid!$B$2:$JU$231,INT(($N771+40)/0.5)+1,INT(($O771+30)/0.5)+1)="","",INDEX(geo_grid!$B$2:$JU$231,INT(($N771+40)/0.5)+1,INT(($O771+30)/0.5)+1)),"OUTSIDE GRID"))</f>
        <v/>
      </c>
      <c r="Q771">
        <f>IF($P771="","",$A771*1000+$B771)</f>
        <v/>
      </c>
    </row>
    <row r="772">
      <c r="A772">
        <f>INT((ROW()-2)/151)+1</f>
        <v/>
      </c>
      <c r="B772">
        <f>MOD(ROW()-2,151)</f>
        <v/>
      </c>
      <c r="C772">
        <f t="array" ref="C772">IFERROR(INDEX('TRIP MANAGER'!$O$18:$O$25,$A772),"")</f>
        <v/>
      </c>
      <c r="D772">
        <f t="array" ref="D772">IFERROR(INDEX('TRIP MANAGER'!$P$18:$P$25,$A772),"")</f>
        <v/>
      </c>
      <c r="E772">
        <f t="array" ref="E772">IFERROR(INDEX('TRIP MANAGER'!$Q$18:$Q$25,$A772),"")</f>
        <v/>
      </c>
      <c r="F772">
        <f t="array" ref="F772">IFERROR(INDEX('TRIP MANAGER'!$R$18:$R$25,$A772),"")</f>
        <v/>
      </c>
      <c r="G772">
        <f t="array" ref="G772">IFERROR(INDEX('TRIP MANAGER'!$S$18:$S$25,$A772),"")</f>
        <v/>
      </c>
      <c r="H772">
        <f>$B772/150</f>
        <v/>
      </c>
      <c r="I772">
        <f>IF(OR($G772="",$G772=0),"",SIN((1-$H772)*$G772)/SIN($G772))</f>
        <v/>
      </c>
      <c r="J772">
        <f>IF($I772="","",SIN($H772*$G772)/SIN($G772))</f>
        <v/>
      </c>
      <c r="K772">
        <f>IF($I772="","",$I772*COS(RADIANS($C772))*COS(RADIANS($D772))+$J772*COS(RADIANS($E772))*COS(RADIANS($F772)))</f>
        <v/>
      </c>
      <c r="L772">
        <f>IF($I772="","",$I772*COS(RADIANS($C772))*SIN(RADIANS($D772))+$J772*COS(RADIANS($E772))*SIN(RADIANS($F772)))</f>
        <v/>
      </c>
      <c r="M772">
        <f>IF($I772="","",$I772*SIN(RADIANS($C772))+$J772*SIN(RADIANS($E772)))</f>
        <v/>
      </c>
      <c r="N772">
        <f>IF($M772="","",DEGREES(ATAN2(SQRT($K772^2+$L772^2),$M772)))</f>
        <v/>
      </c>
      <c r="O772">
        <f>IF($M772="","",DEGREES(ATAN2($K772,$L772)))</f>
        <v/>
      </c>
      <c r="P772">
        <f t="array" ref="P772">IF($N772="","",IFERROR(IF(INDEX(geo_grid!$B$2:$JU$231,INT(($N772+40)/0.5)+1,INT(($O772+30)/0.5)+1)="","",INDEX(geo_grid!$B$2:$JU$231,INT(($N772+40)/0.5)+1,INT(($O772+30)/0.5)+1)),"OUTSIDE GRID"))</f>
        <v/>
      </c>
      <c r="Q772">
        <f>IF($P772="","",$A772*1000+$B772)</f>
        <v/>
      </c>
    </row>
    <row r="773">
      <c r="A773">
        <f>INT((ROW()-2)/151)+1</f>
        <v/>
      </c>
      <c r="B773">
        <f>MOD(ROW()-2,151)</f>
        <v/>
      </c>
      <c r="C773">
        <f t="array" ref="C773">IFERROR(INDEX('TRIP MANAGER'!$O$18:$O$25,$A773),"")</f>
        <v/>
      </c>
      <c r="D773">
        <f t="array" ref="D773">IFERROR(INDEX('TRIP MANAGER'!$P$18:$P$25,$A773),"")</f>
        <v/>
      </c>
      <c r="E773">
        <f t="array" ref="E773">IFERROR(INDEX('TRIP MANAGER'!$Q$18:$Q$25,$A773),"")</f>
        <v/>
      </c>
      <c r="F773">
        <f t="array" ref="F773">IFERROR(INDEX('TRIP MANAGER'!$R$18:$R$25,$A773),"")</f>
        <v/>
      </c>
      <c r="G773">
        <f t="array" ref="G773">IFERROR(INDEX('TRIP MANAGER'!$S$18:$S$25,$A773),"")</f>
        <v/>
      </c>
      <c r="H773">
        <f>$B773/150</f>
        <v/>
      </c>
      <c r="I773">
        <f>IF(OR($G773="",$G773=0),"",SIN((1-$H773)*$G773)/SIN($G773))</f>
        <v/>
      </c>
      <c r="J773">
        <f>IF($I773="","",SIN($H773*$G773)/SIN($G773))</f>
        <v/>
      </c>
      <c r="K773">
        <f>IF($I773="","",$I773*COS(RADIANS($C773))*COS(RADIANS($D773))+$J773*COS(RADIANS($E773))*COS(RADIANS($F773)))</f>
        <v/>
      </c>
      <c r="L773">
        <f>IF($I773="","",$I773*COS(RADIANS($C773))*SIN(RADIANS($D773))+$J773*COS(RADIANS($E773))*SIN(RADIANS($F773)))</f>
        <v/>
      </c>
      <c r="M773">
        <f>IF($I773="","",$I773*SIN(RADIANS($C773))+$J773*SIN(RADIANS($E773)))</f>
        <v/>
      </c>
      <c r="N773">
        <f>IF($M773="","",DEGREES(ATAN2(SQRT($K773^2+$L773^2),$M773)))</f>
        <v/>
      </c>
      <c r="O773">
        <f>IF($M773="","",DEGREES(ATAN2($K773,$L773)))</f>
        <v/>
      </c>
      <c r="P773">
        <f t="array" ref="P773">IF($N773="","",IFERROR(IF(INDEX(geo_grid!$B$2:$JU$231,INT(($N773+40)/0.5)+1,INT(($O773+30)/0.5)+1)="","",INDEX(geo_grid!$B$2:$JU$231,INT(($N773+40)/0.5)+1,INT(($O773+30)/0.5)+1)),"OUTSIDE GRID"))</f>
        <v/>
      </c>
      <c r="Q773">
        <f>IF($P773="","",$A773*1000+$B773)</f>
        <v/>
      </c>
    </row>
    <row r="774">
      <c r="A774">
        <f>INT((ROW()-2)/151)+1</f>
        <v/>
      </c>
      <c r="B774">
        <f>MOD(ROW()-2,151)</f>
        <v/>
      </c>
      <c r="C774">
        <f t="array" ref="C774">IFERROR(INDEX('TRIP MANAGER'!$O$18:$O$25,$A774),"")</f>
        <v/>
      </c>
      <c r="D774">
        <f t="array" ref="D774">IFERROR(INDEX('TRIP MANAGER'!$P$18:$P$25,$A774),"")</f>
        <v/>
      </c>
      <c r="E774">
        <f t="array" ref="E774">IFERROR(INDEX('TRIP MANAGER'!$Q$18:$Q$25,$A774),"")</f>
        <v/>
      </c>
      <c r="F774">
        <f t="array" ref="F774">IFERROR(INDEX('TRIP MANAGER'!$R$18:$R$25,$A774),"")</f>
        <v/>
      </c>
      <c r="G774">
        <f t="array" ref="G774">IFERROR(INDEX('TRIP MANAGER'!$S$18:$S$25,$A774),"")</f>
        <v/>
      </c>
      <c r="H774">
        <f>$B774/150</f>
        <v/>
      </c>
      <c r="I774">
        <f>IF(OR($G774="",$G774=0),"",SIN((1-$H774)*$G774)/SIN($G774))</f>
        <v/>
      </c>
      <c r="J774">
        <f>IF($I774="","",SIN($H774*$G774)/SIN($G774))</f>
        <v/>
      </c>
      <c r="K774">
        <f>IF($I774="","",$I774*COS(RADIANS($C774))*COS(RADIANS($D774))+$J774*COS(RADIANS($E774))*COS(RADIANS($F774)))</f>
        <v/>
      </c>
      <c r="L774">
        <f>IF($I774="","",$I774*COS(RADIANS($C774))*SIN(RADIANS($D774))+$J774*COS(RADIANS($E774))*SIN(RADIANS($F774)))</f>
        <v/>
      </c>
      <c r="M774">
        <f>IF($I774="","",$I774*SIN(RADIANS($C774))+$J774*SIN(RADIANS($E774)))</f>
        <v/>
      </c>
      <c r="N774">
        <f>IF($M774="","",DEGREES(ATAN2(SQRT($K774^2+$L774^2),$M774)))</f>
        <v/>
      </c>
      <c r="O774">
        <f>IF($M774="","",DEGREES(ATAN2($K774,$L774)))</f>
        <v/>
      </c>
      <c r="P774">
        <f t="array" ref="P774">IF($N774="","",IFERROR(IF(INDEX(geo_grid!$B$2:$JU$231,INT(($N774+40)/0.5)+1,INT(($O774+30)/0.5)+1)="","",INDEX(geo_grid!$B$2:$JU$231,INT(($N774+40)/0.5)+1,INT(($O774+30)/0.5)+1)),"OUTSIDE GRID"))</f>
        <v/>
      </c>
      <c r="Q774">
        <f>IF($P774="","",$A774*1000+$B774)</f>
        <v/>
      </c>
    </row>
    <row r="775">
      <c r="A775">
        <f>INT((ROW()-2)/151)+1</f>
        <v/>
      </c>
      <c r="B775">
        <f>MOD(ROW()-2,151)</f>
        <v/>
      </c>
      <c r="C775">
        <f t="array" ref="C775">IFERROR(INDEX('TRIP MANAGER'!$O$18:$O$25,$A775),"")</f>
        <v/>
      </c>
      <c r="D775">
        <f t="array" ref="D775">IFERROR(INDEX('TRIP MANAGER'!$P$18:$P$25,$A775),"")</f>
        <v/>
      </c>
      <c r="E775">
        <f t="array" ref="E775">IFERROR(INDEX('TRIP MANAGER'!$Q$18:$Q$25,$A775),"")</f>
        <v/>
      </c>
      <c r="F775">
        <f t="array" ref="F775">IFERROR(INDEX('TRIP MANAGER'!$R$18:$R$25,$A775),"")</f>
        <v/>
      </c>
      <c r="G775">
        <f t="array" ref="G775">IFERROR(INDEX('TRIP MANAGER'!$S$18:$S$25,$A775),"")</f>
        <v/>
      </c>
      <c r="H775">
        <f>$B775/150</f>
        <v/>
      </c>
      <c r="I775">
        <f>IF(OR($G775="",$G775=0),"",SIN((1-$H775)*$G775)/SIN($G775))</f>
        <v/>
      </c>
      <c r="J775">
        <f>IF($I775="","",SIN($H775*$G775)/SIN($G775))</f>
        <v/>
      </c>
      <c r="K775">
        <f>IF($I775="","",$I775*COS(RADIANS($C775))*COS(RADIANS($D775))+$J775*COS(RADIANS($E775))*COS(RADIANS($F775)))</f>
        <v/>
      </c>
      <c r="L775">
        <f>IF($I775="","",$I775*COS(RADIANS($C775))*SIN(RADIANS($D775))+$J775*COS(RADIANS($E775))*SIN(RADIANS($F775)))</f>
        <v/>
      </c>
      <c r="M775">
        <f>IF($I775="","",$I775*SIN(RADIANS($C775))+$J775*SIN(RADIANS($E775)))</f>
        <v/>
      </c>
      <c r="N775">
        <f>IF($M775="","",DEGREES(ATAN2(SQRT($K775^2+$L775^2),$M775)))</f>
        <v/>
      </c>
      <c r="O775">
        <f>IF($M775="","",DEGREES(ATAN2($K775,$L775)))</f>
        <v/>
      </c>
      <c r="P775">
        <f t="array" ref="P775">IF($N775="","",IFERROR(IF(INDEX(geo_grid!$B$2:$JU$231,INT(($N775+40)/0.5)+1,INT(($O775+30)/0.5)+1)="","",INDEX(geo_grid!$B$2:$JU$231,INT(($N775+40)/0.5)+1,INT(($O775+30)/0.5)+1)),"OUTSIDE GRID"))</f>
        <v/>
      </c>
      <c r="Q775">
        <f>IF($P775="","",$A775*1000+$B775)</f>
        <v/>
      </c>
    </row>
    <row r="776">
      <c r="A776">
        <f>INT((ROW()-2)/151)+1</f>
        <v/>
      </c>
      <c r="B776">
        <f>MOD(ROW()-2,151)</f>
        <v/>
      </c>
      <c r="C776">
        <f t="array" ref="C776">IFERROR(INDEX('TRIP MANAGER'!$O$18:$O$25,$A776),"")</f>
        <v/>
      </c>
      <c r="D776">
        <f t="array" ref="D776">IFERROR(INDEX('TRIP MANAGER'!$P$18:$P$25,$A776),"")</f>
        <v/>
      </c>
      <c r="E776">
        <f t="array" ref="E776">IFERROR(INDEX('TRIP MANAGER'!$Q$18:$Q$25,$A776),"")</f>
        <v/>
      </c>
      <c r="F776">
        <f t="array" ref="F776">IFERROR(INDEX('TRIP MANAGER'!$R$18:$R$25,$A776),"")</f>
        <v/>
      </c>
      <c r="G776">
        <f t="array" ref="G776">IFERROR(INDEX('TRIP MANAGER'!$S$18:$S$25,$A776),"")</f>
        <v/>
      </c>
      <c r="H776">
        <f>$B776/150</f>
        <v/>
      </c>
      <c r="I776">
        <f>IF(OR($G776="",$G776=0),"",SIN((1-$H776)*$G776)/SIN($G776))</f>
        <v/>
      </c>
      <c r="J776">
        <f>IF($I776="","",SIN($H776*$G776)/SIN($G776))</f>
        <v/>
      </c>
      <c r="K776">
        <f>IF($I776="","",$I776*COS(RADIANS($C776))*COS(RADIANS($D776))+$J776*COS(RADIANS($E776))*COS(RADIANS($F776)))</f>
        <v/>
      </c>
      <c r="L776">
        <f>IF($I776="","",$I776*COS(RADIANS($C776))*SIN(RADIANS($D776))+$J776*COS(RADIANS($E776))*SIN(RADIANS($F776)))</f>
        <v/>
      </c>
      <c r="M776">
        <f>IF($I776="","",$I776*SIN(RADIANS($C776))+$J776*SIN(RADIANS($E776)))</f>
        <v/>
      </c>
      <c r="N776">
        <f>IF($M776="","",DEGREES(ATAN2(SQRT($K776^2+$L776^2),$M776)))</f>
        <v/>
      </c>
      <c r="O776">
        <f>IF($M776="","",DEGREES(ATAN2($K776,$L776)))</f>
        <v/>
      </c>
      <c r="P776">
        <f t="array" ref="P776">IF($N776="","",IFERROR(IF(INDEX(geo_grid!$B$2:$JU$231,INT(($N776+40)/0.5)+1,INT(($O776+30)/0.5)+1)="","",INDEX(geo_grid!$B$2:$JU$231,INT(($N776+40)/0.5)+1,INT(($O776+30)/0.5)+1)),"OUTSIDE GRID"))</f>
        <v/>
      </c>
      <c r="Q776">
        <f>IF($P776="","",$A776*1000+$B776)</f>
        <v/>
      </c>
    </row>
    <row r="777">
      <c r="A777">
        <f>INT((ROW()-2)/151)+1</f>
        <v/>
      </c>
      <c r="B777">
        <f>MOD(ROW()-2,151)</f>
        <v/>
      </c>
      <c r="C777">
        <f t="array" ref="C777">IFERROR(INDEX('TRIP MANAGER'!$O$18:$O$25,$A777),"")</f>
        <v/>
      </c>
      <c r="D777">
        <f t="array" ref="D777">IFERROR(INDEX('TRIP MANAGER'!$P$18:$P$25,$A777),"")</f>
        <v/>
      </c>
      <c r="E777">
        <f t="array" ref="E777">IFERROR(INDEX('TRIP MANAGER'!$Q$18:$Q$25,$A777),"")</f>
        <v/>
      </c>
      <c r="F777">
        <f t="array" ref="F777">IFERROR(INDEX('TRIP MANAGER'!$R$18:$R$25,$A777),"")</f>
        <v/>
      </c>
      <c r="G777">
        <f t="array" ref="G777">IFERROR(INDEX('TRIP MANAGER'!$S$18:$S$25,$A777),"")</f>
        <v/>
      </c>
      <c r="H777">
        <f>$B777/150</f>
        <v/>
      </c>
      <c r="I777">
        <f>IF(OR($G777="",$G777=0),"",SIN((1-$H777)*$G777)/SIN($G777))</f>
        <v/>
      </c>
      <c r="J777">
        <f>IF($I777="","",SIN($H777*$G777)/SIN($G777))</f>
        <v/>
      </c>
      <c r="K777">
        <f>IF($I777="","",$I777*COS(RADIANS($C777))*COS(RADIANS($D777))+$J777*COS(RADIANS($E777))*COS(RADIANS($F777)))</f>
        <v/>
      </c>
      <c r="L777">
        <f>IF($I777="","",$I777*COS(RADIANS($C777))*SIN(RADIANS($D777))+$J777*COS(RADIANS($E777))*SIN(RADIANS($F777)))</f>
        <v/>
      </c>
      <c r="M777">
        <f>IF($I777="","",$I777*SIN(RADIANS($C777))+$J777*SIN(RADIANS($E777)))</f>
        <v/>
      </c>
      <c r="N777">
        <f>IF($M777="","",DEGREES(ATAN2(SQRT($K777^2+$L777^2),$M777)))</f>
        <v/>
      </c>
      <c r="O777">
        <f>IF($M777="","",DEGREES(ATAN2($K777,$L777)))</f>
        <v/>
      </c>
      <c r="P777">
        <f t="array" ref="P777">IF($N777="","",IFERROR(IF(INDEX(geo_grid!$B$2:$JU$231,INT(($N777+40)/0.5)+1,INT(($O777+30)/0.5)+1)="","",INDEX(geo_grid!$B$2:$JU$231,INT(($N777+40)/0.5)+1,INT(($O777+30)/0.5)+1)),"OUTSIDE GRID"))</f>
        <v/>
      </c>
      <c r="Q777">
        <f>IF($P777="","",$A777*1000+$B777)</f>
        <v/>
      </c>
    </row>
    <row r="778">
      <c r="A778">
        <f>INT((ROW()-2)/151)+1</f>
        <v/>
      </c>
      <c r="B778">
        <f>MOD(ROW()-2,151)</f>
        <v/>
      </c>
      <c r="C778">
        <f t="array" ref="C778">IFERROR(INDEX('TRIP MANAGER'!$O$18:$O$25,$A778),"")</f>
        <v/>
      </c>
      <c r="D778">
        <f t="array" ref="D778">IFERROR(INDEX('TRIP MANAGER'!$P$18:$P$25,$A778),"")</f>
        <v/>
      </c>
      <c r="E778">
        <f t="array" ref="E778">IFERROR(INDEX('TRIP MANAGER'!$Q$18:$Q$25,$A778),"")</f>
        <v/>
      </c>
      <c r="F778">
        <f t="array" ref="F778">IFERROR(INDEX('TRIP MANAGER'!$R$18:$R$25,$A778),"")</f>
        <v/>
      </c>
      <c r="G778">
        <f t="array" ref="G778">IFERROR(INDEX('TRIP MANAGER'!$S$18:$S$25,$A778),"")</f>
        <v/>
      </c>
      <c r="H778">
        <f>$B778/150</f>
        <v/>
      </c>
      <c r="I778">
        <f>IF(OR($G778="",$G778=0),"",SIN((1-$H778)*$G778)/SIN($G778))</f>
        <v/>
      </c>
      <c r="J778">
        <f>IF($I778="","",SIN($H778*$G778)/SIN($G778))</f>
        <v/>
      </c>
      <c r="K778">
        <f>IF($I778="","",$I778*COS(RADIANS($C778))*COS(RADIANS($D778))+$J778*COS(RADIANS($E778))*COS(RADIANS($F778)))</f>
        <v/>
      </c>
      <c r="L778">
        <f>IF($I778="","",$I778*COS(RADIANS($C778))*SIN(RADIANS($D778))+$J778*COS(RADIANS($E778))*SIN(RADIANS($F778)))</f>
        <v/>
      </c>
      <c r="M778">
        <f>IF($I778="","",$I778*SIN(RADIANS($C778))+$J778*SIN(RADIANS($E778)))</f>
        <v/>
      </c>
      <c r="N778">
        <f>IF($M778="","",DEGREES(ATAN2(SQRT($K778^2+$L778^2),$M778)))</f>
        <v/>
      </c>
      <c r="O778">
        <f>IF($M778="","",DEGREES(ATAN2($K778,$L778)))</f>
        <v/>
      </c>
      <c r="P778">
        <f t="array" ref="P778">IF($N778="","",IFERROR(IF(INDEX(geo_grid!$B$2:$JU$231,INT(($N778+40)/0.5)+1,INT(($O778+30)/0.5)+1)="","",INDEX(geo_grid!$B$2:$JU$231,INT(($N778+40)/0.5)+1,INT(($O778+30)/0.5)+1)),"OUTSIDE GRID"))</f>
        <v/>
      </c>
      <c r="Q778">
        <f>IF($P778="","",$A778*1000+$B778)</f>
        <v/>
      </c>
    </row>
    <row r="779">
      <c r="A779">
        <f>INT((ROW()-2)/151)+1</f>
        <v/>
      </c>
      <c r="B779">
        <f>MOD(ROW()-2,151)</f>
        <v/>
      </c>
      <c r="C779">
        <f t="array" ref="C779">IFERROR(INDEX('TRIP MANAGER'!$O$18:$O$25,$A779),"")</f>
        <v/>
      </c>
      <c r="D779">
        <f t="array" ref="D779">IFERROR(INDEX('TRIP MANAGER'!$P$18:$P$25,$A779),"")</f>
        <v/>
      </c>
      <c r="E779">
        <f t="array" ref="E779">IFERROR(INDEX('TRIP MANAGER'!$Q$18:$Q$25,$A779),"")</f>
        <v/>
      </c>
      <c r="F779">
        <f t="array" ref="F779">IFERROR(INDEX('TRIP MANAGER'!$R$18:$R$25,$A779),"")</f>
        <v/>
      </c>
      <c r="G779">
        <f t="array" ref="G779">IFERROR(INDEX('TRIP MANAGER'!$S$18:$S$25,$A779),"")</f>
        <v/>
      </c>
      <c r="H779">
        <f>$B779/150</f>
        <v/>
      </c>
      <c r="I779">
        <f>IF(OR($G779="",$G779=0),"",SIN((1-$H779)*$G779)/SIN($G779))</f>
        <v/>
      </c>
      <c r="J779">
        <f>IF($I779="","",SIN($H779*$G779)/SIN($G779))</f>
        <v/>
      </c>
      <c r="K779">
        <f>IF($I779="","",$I779*COS(RADIANS($C779))*COS(RADIANS($D779))+$J779*COS(RADIANS($E779))*COS(RADIANS($F779)))</f>
        <v/>
      </c>
      <c r="L779">
        <f>IF($I779="","",$I779*COS(RADIANS($C779))*SIN(RADIANS($D779))+$J779*COS(RADIANS($E779))*SIN(RADIANS($F779)))</f>
        <v/>
      </c>
      <c r="M779">
        <f>IF($I779="","",$I779*SIN(RADIANS($C779))+$J779*SIN(RADIANS($E779)))</f>
        <v/>
      </c>
      <c r="N779">
        <f>IF($M779="","",DEGREES(ATAN2(SQRT($K779^2+$L779^2),$M779)))</f>
        <v/>
      </c>
      <c r="O779">
        <f>IF($M779="","",DEGREES(ATAN2($K779,$L779)))</f>
        <v/>
      </c>
      <c r="P779">
        <f t="array" ref="P779">IF($N779="","",IFERROR(IF(INDEX(geo_grid!$B$2:$JU$231,INT(($N779+40)/0.5)+1,INT(($O779+30)/0.5)+1)="","",INDEX(geo_grid!$B$2:$JU$231,INT(($N779+40)/0.5)+1,INT(($O779+30)/0.5)+1)),"OUTSIDE GRID"))</f>
        <v/>
      </c>
      <c r="Q779">
        <f>IF($P779="","",$A779*1000+$B779)</f>
        <v/>
      </c>
    </row>
    <row r="780">
      <c r="A780">
        <f>INT((ROW()-2)/151)+1</f>
        <v/>
      </c>
      <c r="B780">
        <f>MOD(ROW()-2,151)</f>
        <v/>
      </c>
      <c r="C780">
        <f t="array" ref="C780">IFERROR(INDEX('TRIP MANAGER'!$O$18:$O$25,$A780),"")</f>
        <v/>
      </c>
      <c r="D780">
        <f t="array" ref="D780">IFERROR(INDEX('TRIP MANAGER'!$P$18:$P$25,$A780),"")</f>
        <v/>
      </c>
      <c r="E780">
        <f t="array" ref="E780">IFERROR(INDEX('TRIP MANAGER'!$Q$18:$Q$25,$A780),"")</f>
        <v/>
      </c>
      <c r="F780">
        <f t="array" ref="F780">IFERROR(INDEX('TRIP MANAGER'!$R$18:$R$25,$A780),"")</f>
        <v/>
      </c>
      <c r="G780">
        <f t="array" ref="G780">IFERROR(INDEX('TRIP MANAGER'!$S$18:$S$25,$A780),"")</f>
        <v/>
      </c>
      <c r="H780">
        <f>$B780/150</f>
        <v/>
      </c>
      <c r="I780">
        <f>IF(OR($G780="",$G780=0),"",SIN((1-$H780)*$G780)/SIN($G780))</f>
        <v/>
      </c>
      <c r="J780">
        <f>IF($I780="","",SIN($H780*$G780)/SIN($G780))</f>
        <v/>
      </c>
      <c r="K780">
        <f>IF($I780="","",$I780*COS(RADIANS($C780))*COS(RADIANS($D780))+$J780*COS(RADIANS($E780))*COS(RADIANS($F780)))</f>
        <v/>
      </c>
      <c r="L780">
        <f>IF($I780="","",$I780*COS(RADIANS($C780))*SIN(RADIANS($D780))+$J780*COS(RADIANS($E780))*SIN(RADIANS($F780)))</f>
        <v/>
      </c>
      <c r="M780">
        <f>IF($I780="","",$I780*SIN(RADIANS($C780))+$J780*SIN(RADIANS($E780)))</f>
        <v/>
      </c>
      <c r="N780">
        <f>IF($M780="","",DEGREES(ATAN2(SQRT($K780^2+$L780^2),$M780)))</f>
        <v/>
      </c>
      <c r="O780">
        <f>IF($M780="","",DEGREES(ATAN2($K780,$L780)))</f>
        <v/>
      </c>
      <c r="P780">
        <f t="array" ref="P780">IF($N780="","",IFERROR(IF(INDEX(geo_grid!$B$2:$JU$231,INT(($N780+40)/0.5)+1,INT(($O780+30)/0.5)+1)="","",INDEX(geo_grid!$B$2:$JU$231,INT(($N780+40)/0.5)+1,INT(($O780+30)/0.5)+1)),"OUTSIDE GRID"))</f>
        <v/>
      </c>
      <c r="Q780">
        <f>IF($P780="","",$A780*1000+$B780)</f>
        <v/>
      </c>
    </row>
    <row r="781">
      <c r="A781">
        <f>INT((ROW()-2)/151)+1</f>
        <v/>
      </c>
      <c r="B781">
        <f>MOD(ROW()-2,151)</f>
        <v/>
      </c>
      <c r="C781">
        <f t="array" ref="C781">IFERROR(INDEX('TRIP MANAGER'!$O$18:$O$25,$A781),"")</f>
        <v/>
      </c>
      <c r="D781">
        <f t="array" ref="D781">IFERROR(INDEX('TRIP MANAGER'!$P$18:$P$25,$A781),"")</f>
        <v/>
      </c>
      <c r="E781">
        <f t="array" ref="E781">IFERROR(INDEX('TRIP MANAGER'!$Q$18:$Q$25,$A781),"")</f>
        <v/>
      </c>
      <c r="F781">
        <f t="array" ref="F781">IFERROR(INDEX('TRIP MANAGER'!$R$18:$R$25,$A781),"")</f>
        <v/>
      </c>
      <c r="G781">
        <f t="array" ref="G781">IFERROR(INDEX('TRIP MANAGER'!$S$18:$S$25,$A781),"")</f>
        <v/>
      </c>
      <c r="H781">
        <f>$B781/150</f>
        <v/>
      </c>
      <c r="I781">
        <f>IF(OR($G781="",$G781=0),"",SIN((1-$H781)*$G781)/SIN($G781))</f>
        <v/>
      </c>
      <c r="J781">
        <f>IF($I781="","",SIN($H781*$G781)/SIN($G781))</f>
        <v/>
      </c>
      <c r="K781">
        <f>IF($I781="","",$I781*COS(RADIANS($C781))*COS(RADIANS($D781))+$J781*COS(RADIANS($E781))*COS(RADIANS($F781)))</f>
        <v/>
      </c>
      <c r="L781">
        <f>IF($I781="","",$I781*COS(RADIANS($C781))*SIN(RADIANS($D781))+$J781*COS(RADIANS($E781))*SIN(RADIANS($F781)))</f>
        <v/>
      </c>
      <c r="M781">
        <f>IF($I781="","",$I781*SIN(RADIANS($C781))+$J781*SIN(RADIANS($E781)))</f>
        <v/>
      </c>
      <c r="N781">
        <f>IF($M781="","",DEGREES(ATAN2(SQRT($K781^2+$L781^2),$M781)))</f>
        <v/>
      </c>
      <c r="O781">
        <f>IF($M781="","",DEGREES(ATAN2($K781,$L781)))</f>
        <v/>
      </c>
      <c r="P781">
        <f t="array" ref="P781">IF($N781="","",IFERROR(IF(INDEX(geo_grid!$B$2:$JU$231,INT(($N781+40)/0.5)+1,INT(($O781+30)/0.5)+1)="","",INDEX(geo_grid!$B$2:$JU$231,INT(($N781+40)/0.5)+1,INT(($O781+30)/0.5)+1)),"OUTSIDE GRID"))</f>
        <v/>
      </c>
      <c r="Q781">
        <f>IF($P781="","",$A781*1000+$B781)</f>
        <v/>
      </c>
    </row>
    <row r="782">
      <c r="A782">
        <f>INT((ROW()-2)/151)+1</f>
        <v/>
      </c>
      <c r="B782">
        <f>MOD(ROW()-2,151)</f>
        <v/>
      </c>
      <c r="C782">
        <f t="array" ref="C782">IFERROR(INDEX('TRIP MANAGER'!$O$18:$O$25,$A782),"")</f>
        <v/>
      </c>
      <c r="D782">
        <f t="array" ref="D782">IFERROR(INDEX('TRIP MANAGER'!$P$18:$P$25,$A782),"")</f>
        <v/>
      </c>
      <c r="E782">
        <f t="array" ref="E782">IFERROR(INDEX('TRIP MANAGER'!$Q$18:$Q$25,$A782),"")</f>
        <v/>
      </c>
      <c r="F782">
        <f t="array" ref="F782">IFERROR(INDEX('TRIP MANAGER'!$R$18:$R$25,$A782),"")</f>
        <v/>
      </c>
      <c r="G782">
        <f t="array" ref="G782">IFERROR(INDEX('TRIP MANAGER'!$S$18:$S$25,$A782),"")</f>
        <v/>
      </c>
      <c r="H782">
        <f>$B782/150</f>
        <v/>
      </c>
      <c r="I782">
        <f>IF(OR($G782="",$G782=0),"",SIN((1-$H782)*$G782)/SIN($G782))</f>
        <v/>
      </c>
      <c r="J782">
        <f>IF($I782="","",SIN($H782*$G782)/SIN($G782))</f>
        <v/>
      </c>
      <c r="K782">
        <f>IF($I782="","",$I782*COS(RADIANS($C782))*COS(RADIANS($D782))+$J782*COS(RADIANS($E782))*COS(RADIANS($F782)))</f>
        <v/>
      </c>
      <c r="L782">
        <f>IF($I782="","",$I782*COS(RADIANS($C782))*SIN(RADIANS($D782))+$J782*COS(RADIANS($E782))*SIN(RADIANS($F782)))</f>
        <v/>
      </c>
      <c r="M782">
        <f>IF($I782="","",$I782*SIN(RADIANS($C782))+$J782*SIN(RADIANS($E782)))</f>
        <v/>
      </c>
      <c r="N782">
        <f>IF($M782="","",DEGREES(ATAN2(SQRT($K782^2+$L782^2),$M782)))</f>
        <v/>
      </c>
      <c r="O782">
        <f>IF($M782="","",DEGREES(ATAN2($K782,$L782)))</f>
        <v/>
      </c>
      <c r="P782">
        <f t="array" ref="P782">IF($N782="","",IFERROR(IF(INDEX(geo_grid!$B$2:$JU$231,INT(($N782+40)/0.5)+1,INT(($O782+30)/0.5)+1)="","",INDEX(geo_grid!$B$2:$JU$231,INT(($N782+40)/0.5)+1,INT(($O782+30)/0.5)+1)),"OUTSIDE GRID"))</f>
        <v/>
      </c>
      <c r="Q782">
        <f>IF($P782="","",$A782*1000+$B782)</f>
        <v/>
      </c>
    </row>
    <row r="783">
      <c r="A783">
        <f>INT((ROW()-2)/151)+1</f>
        <v/>
      </c>
      <c r="B783">
        <f>MOD(ROW()-2,151)</f>
        <v/>
      </c>
      <c r="C783">
        <f t="array" ref="C783">IFERROR(INDEX('TRIP MANAGER'!$O$18:$O$25,$A783),"")</f>
        <v/>
      </c>
      <c r="D783">
        <f t="array" ref="D783">IFERROR(INDEX('TRIP MANAGER'!$P$18:$P$25,$A783),"")</f>
        <v/>
      </c>
      <c r="E783">
        <f t="array" ref="E783">IFERROR(INDEX('TRIP MANAGER'!$Q$18:$Q$25,$A783),"")</f>
        <v/>
      </c>
      <c r="F783">
        <f t="array" ref="F783">IFERROR(INDEX('TRIP MANAGER'!$R$18:$R$25,$A783),"")</f>
        <v/>
      </c>
      <c r="G783">
        <f t="array" ref="G783">IFERROR(INDEX('TRIP MANAGER'!$S$18:$S$25,$A783),"")</f>
        <v/>
      </c>
      <c r="H783">
        <f>$B783/150</f>
        <v/>
      </c>
      <c r="I783">
        <f>IF(OR($G783="",$G783=0),"",SIN((1-$H783)*$G783)/SIN($G783))</f>
        <v/>
      </c>
      <c r="J783">
        <f>IF($I783="","",SIN($H783*$G783)/SIN($G783))</f>
        <v/>
      </c>
      <c r="K783">
        <f>IF($I783="","",$I783*COS(RADIANS($C783))*COS(RADIANS($D783))+$J783*COS(RADIANS($E783))*COS(RADIANS($F783)))</f>
        <v/>
      </c>
      <c r="L783">
        <f>IF($I783="","",$I783*COS(RADIANS($C783))*SIN(RADIANS($D783))+$J783*COS(RADIANS($E783))*SIN(RADIANS($F783)))</f>
        <v/>
      </c>
      <c r="M783">
        <f>IF($I783="","",$I783*SIN(RADIANS($C783))+$J783*SIN(RADIANS($E783)))</f>
        <v/>
      </c>
      <c r="N783">
        <f>IF($M783="","",DEGREES(ATAN2(SQRT($K783^2+$L783^2),$M783)))</f>
        <v/>
      </c>
      <c r="O783">
        <f>IF($M783="","",DEGREES(ATAN2($K783,$L783)))</f>
        <v/>
      </c>
      <c r="P783">
        <f t="array" ref="P783">IF($N783="","",IFERROR(IF(INDEX(geo_grid!$B$2:$JU$231,INT(($N783+40)/0.5)+1,INT(($O783+30)/0.5)+1)="","",INDEX(geo_grid!$B$2:$JU$231,INT(($N783+40)/0.5)+1,INT(($O783+30)/0.5)+1)),"OUTSIDE GRID"))</f>
        <v/>
      </c>
      <c r="Q783">
        <f>IF($P783="","",$A783*1000+$B783)</f>
        <v/>
      </c>
    </row>
    <row r="784">
      <c r="A784">
        <f>INT((ROW()-2)/151)+1</f>
        <v/>
      </c>
      <c r="B784">
        <f>MOD(ROW()-2,151)</f>
        <v/>
      </c>
      <c r="C784">
        <f t="array" ref="C784">IFERROR(INDEX('TRIP MANAGER'!$O$18:$O$25,$A784),"")</f>
        <v/>
      </c>
      <c r="D784">
        <f t="array" ref="D784">IFERROR(INDEX('TRIP MANAGER'!$P$18:$P$25,$A784),"")</f>
        <v/>
      </c>
      <c r="E784">
        <f t="array" ref="E784">IFERROR(INDEX('TRIP MANAGER'!$Q$18:$Q$25,$A784),"")</f>
        <v/>
      </c>
      <c r="F784">
        <f t="array" ref="F784">IFERROR(INDEX('TRIP MANAGER'!$R$18:$R$25,$A784),"")</f>
        <v/>
      </c>
      <c r="G784">
        <f t="array" ref="G784">IFERROR(INDEX('TRIP MANAGER'!$S$18:$S$25,$A784),"")</f>
        <v/>
      </c>
      <c r="H784">
        <f>$B784/150</f>
        <v/>
      </c>
      <c r="I784">
        <f>IF(OR($G784="",$G784=0),"",SIN((1-$H784)*$G784)/SIN($G784))</f>
        <v/>
      </c>
      <c r="J784">
        <f>IF($I784="","",SIN($H784*$G784)/SIN($G784))</f>
        <v/>
      </c>
      <c r="K784">
        <f>IF($I784="","",$I784*COS(RADIANS($C784))*COS(RADIANS($D784))+$J784*COS(RADIANS($E784))*COS(RADIANS($F784)))</f>
        <v/>
      </c>
      <c r="L784">
        <f>IF($I784="","",$I784*COS(RADIANS($C784))*SIN(RADIANS($D784))+$J784*COS(RADIANS($E784))*SIN(RADIANS($F784)))</f>
        <v/>
      </c>
      <c r="M784">
        <f>IF($I784="","",$I784*SIN(RADIANS($C784))+$J784*SIN(RADIANS($E784)))</f>
        <v/>
      </c>
      <c r="N784">
        <f>IF($M784="","",DEGREES(ATAN2(SQRT($K784^2+$L784^2),$M784)))</f>
        <v/>
      </c>
      <c r="O784">
        <f>IF($M784="","",DEGREES(ATAN2($K784,$L784)))</f>
        <v/>
      </c>
      <c r="P784">
        <f t="array" ref="P784">IF($N784="","",IFERROR(IF(INDEX(geo_grid!$B$2:$JU$231,INT(($N784+40)/0.5)+1,INT(($O784+30)/0.5)+1)="","",INDEX(geo_grid!$B$2:$JU$231,INT(($N784+40)/0.5)+1,INT(($O784+30)/0.5)+1)),"OUTSIDE GRID"))</f>
        <v/>
      </c>
      <c r="Q784">
        <f>IF($P784="","",$A784*1000+$B784)</f>
        <v/>
      </c>
    </row>
    <row r="785">
      <c r="A785">
        <f>INT((ROW()-2)/151)+1</f>
        <v/>
      </c>
      <c r="B785">
        <f>MOD(ROW()-2,151)</f>
        <v/>
      </c>
      <c r="C785">
        <f t="array" ref="C785">IFERROR(INDEX('TRIP MANAGER'!$O$18:$O$25,$A785),"")</f>
        <v/>
      </c>
      <c r="D785">
        <f t="array" ref="D785">IFERROR(INDEX('TRIP MANAGER'!$P$18:$P$25,$A785),"")</f>
        <v/>
      </c>
      <c r="E785">
        <f t="array" ref="E785">IFERROR(INDEX('TRIP MANAGER'!$Q$18:$Q$25,$A785),"")</f>
        <v/>
      </c>
      <c r="F785">
        <f t="array" ref="F785">IFERROR(INDEX('TRIP MANAGER'!$R$18:$R$25,$A785),"")</f>
        <v/>
      </c>
      <c r="G785">
        <f t="array" ref="G785">IFERROR(INDEX('TRIP MANAGER'!$S$18:$S$25,$A785),"")</f>
        <v/>
      </c>
      <c r="H785">
        <f>$B785/150</f>
        <v/>
      </c>
      <c r="I785">
        <f>IF(OR($G785="",$G785=0),"",SIN((1-$H785)*$G785)/SIN($G785))</f>
        <v/>
      </c>
      <c r="J785">
        <f>IF($I785="","",SIN($H785*$G785)/SIN($G785))</f>
        <v/>
      </c>
      <c r="K785">
        <f>IF($I785="","",$I785*COS(RADIANS($C785))*COS(RADIANS($D785))+$J785*COS(RADIANS($E785))*COS(RADIANS($F785)))</f>
        <v/>
      </c>
      <c r="L785">
        <f>IF($I785="","",$I785*COS(RADIANS($C785))*SIN(RADIANS($D785))+$J785*COS(RADIANS($E785))*SIN(RADIANS($F785)))</f>
        <v/>
      </c>
      <c r="M785">
        <f>IF($I785="","",$I785*SIN(RADIANS($C785))+$J785*SIN(RADIANS($E785)))</f>
        <v/>
      </c>
      <c r="N785">
        <f>IF($M785="","",DEGREES(ATAN2(SQRT($K785^2+$L785^2),$M785)))</f>
        <v/>
      </c>
      <c r="O785">
        <f>IF($M785="","",DEGREES(ATAN2($K785,$L785)))</f>
        <v/>
      </c>
      <c r="P785">
        <f t="array" ref="P785">IF($N785="","",IFERROR(IF(INDEX(geo_grid!$B$2:$JU$231,INT(($N785+40)/0.5)+1,INT(($O785+30)/0.5)+1)="","",INDEX(geo_grid!$B$2:$JU$231,INT(($N785+40)/0.5)+1,INT(($O785+30)/0.5)+1)),"OUTSIDE GRID"))</f>
        <v/>
      </c>
      <c r="Q785">
        <f>IF($P785="","",$A785*1000+$B785)</f>
        <v/>
      </c>
    </row>
    <row r="786">
      <c r="A786">
        <f>INT((ROW()-2)/151)+1</f>
        <v/>
      </c>
      <c r="B786">
        <f>MOD(ROW()-2,151)</f>
        <v/>
      </c>
      <c r="C786">
        <f t="array" ref="C786">IFERROR(INDEX('TRIP MANAGER'!$O$18:$O$25,$A786),"")</f>
        <v/>
      </c>
      <c r="D786">
        <f t="array" ref="D786">IFERROR(INDEX('TRIP MANAGER'!$P$18:$P$25,$A786),"")</f>
        <v/>
      </c>
      <c r="E786">
        <f t="array" ref="E786">IFERROR(INDEX('TRIP MANAGER'!$Q$18:$Q$25,$A786),"")</f>
        <v/>
      </c>
      <c r="F786">
        <f t="array" ref="F786">IFERROR(INDEX('TRIP MANAGER'!$R$18:$R$25,$A786),"")</f>
        <v/>
      </c>
      <c r="G786">
        <f t="array" ref="G786">IFERROR(INDEX('TRIP MANAGER'!$S$18:$S$25,$A786),"")</f>
        <v/>
      </c>
      <c r="H786">
        <f>$B786/150</f>
        <v/>
      </c>
      <c r="I786">
        <f>IF(OR($G786="",$G786=0),"",SIN((1-$H786)*$G786)/SIN($G786))</f>
        <v/>
      </c>
      <c r="J786">
        <f>IF($I786="","",SIN($H786*$G786)/SIN($G786))</f>
        <v/>
      </c>
      <c r="K786">
        <f>IF($I786="","",$I786*COS(RADIANS($C786))*COS(RADIANS($D786))+$J786*COS(RADIANS($E786))*COS(RADIANS($F786)))</f>
        <v/>
      </c>
      <c r="L786">
        <f>IF($I786="","",$I786*COS(RADIANS($C786))*SIN(RADIANS($D786))+$J786*COS(RADIANS($E786))*SIN(RADIANS($F786)))</f>
        <v/>
      </c>
      <c r="M786">
        <f>IF($I786="","",$I786*SIN(RADIANS($C786))+$J786*SIN(RADIANS($E786)))</f>
        <v/>
      </c>
      <c r="N786">
        <f>IF($M786="","",DEGREES(ATAN2(SQRT($K786^2+$L786^2),$M786)))</f>
        <v/>
      </c>
      <c r="O786">
        <f>IF($M786="","",DEGREES(ATAN2($K786,$L786)))</f>
        <v/>
      </c>
      <c r="P786">
        <f t="array" ref="P786">IF($N786="","",IFERROR(IF(INDEX(geo_grid!$B$2:$JU$231,INT(($N786+40)/0.5)+1,INT(($O786+30)/0.5)+1)="","",INDEX(geo_grid!$B$2:$JU$231,INT(($N786+40)/0.5)+1,INT(($O786+30)/0.5)+1)),"OUTSIDE GRID"))</f>
        <v/>
      </c>
      <c r="Q786">
        <f>IF($P786="","",$A786*1000+$B786)</f>
        <v/>
      </c>
    </row>
    <row r="787">
      <c r="A787">
        <f>INT((ROW()-2)/151)+1</f>
        <v/>
      </c>
      <c r="B787">
        <f>MOD(ROW()-2,151)</f>
        <v/>
      </c>
      <c r="C787">
        <f t="array" ref="C787">IFERROR(INDEX('TRIP MANAGER'!$O$18:$O$25,$A787),"")</f>
        <v/>
      </c>
      <c r="D787">
        <f t="array" ref="D787">IFERROR(INDEX('TRIP MANAGER'!$P$18:$P$25,$A787),"")</f>
        <v/>
      </c>
      <c r="E787">
        <f t="array" ref="E787">IFERROR(INDEX('TRIP MANAGER'!$Q$18:$Q$25,$A787),"")</f>
        <v/>
      </c>
      <c r="F787">
        <f t="array" ref="F787">IFERROR(INDEX('TRIP MANAGER'!$R$18:$R$25,$A787),"")</f>
        <v/>
      </c>
      <c r="G787">
        <f t="array" ref="G787">IFERROR(INDEX('TRIP MANAGER'!$S$18:$S$25,$A787),"")</f>
        <v/>
      </c>
      <c r="H787">
        <f>$B787/150</f>
        <v/>
      </c>
      <c r="I787">
        <f>IF(OR($G787="",$G787=0),"",SIN((1-$H787)*$G787)/SIN($G787))</f>
        <v/>
      </c>
      <c r="J787">
        <f>IF($I787="","",SIN($H787*$G787)/SIN($G787))</f>
        <v/>
      </c>
      <c r="K787">
        <f>IF($I787="","",$I787*COS(RADIANS($C787))*COS(RADIANS($D787))+$J787*COS(RADIANS($E787))*COS(RADIANS($F787)))</f>
        <v/>
      </c>
      <c r="L787">
        <f>IF($I787="","",$I787*COS(RADIANS($C787))*SIN(RADIANS($D787))+$J787*COS(RADIANS($E787))*SIN(RADIANS($F787)))</f>
        <v/>
      </c>
      <c r="M787">
        <f>IF($I787="","",$I787*SIN(RADIANS($C787))+$J787*SIN(RADIANS($E787)))</f>
        <v/>
      </c>
      <c r="N787">
        <f>IF($M787="","",DEGREES(ATAN2(SQRT($K787^2+$L787^2),$M787)))</f>
        <v/>
      </c>
      <c r="O787">
        <f>IF($M787="","",DEGREES(ATAN2($K787,$L787)))</f>
        <v/>
      </c>
      <c r="P787">
        <f t="array" ref="P787">IF($N787="","",IFERROR(IF(INDEX(geo_grid!$B$2:$JU$231,INT(($N787+40)/0.5)+1,INT(($O787+30)/0.5)+1)="","",INDEX(geo_grid!$B$2:$JU$231,INT(($N787+40)/0.5)+1,INT(($O787+30)/0.5)+1)),"OUTSIDE GRID"))</f>
        <v/>
      </c>
      <c r="Q787">
        <f>IF($P787="","",$A787*1000+$B787)</f>
        <v/>
      </c>
    </row>
    <row r="788">
      <c r="A788">
        <f>INT((ROW()-2)/151)+1</f>
        <v/>
      </c>
      <c r="B788">
        <f>MOD(ROW()-2,151)</f>
        <v/>
      </c>
      <c r="C788">
        <f t="array" ref="C788">IFERROR(INDEX('TRIP MANAGER'!$O$18:$O$25,$A788),"")</f>
        <v/>
      </c>
      <c r="D788">
        <f t="array" ref="D788">IFERROR(INDEX('TRIP MANAGER'!$P$18:$P$25,$A788),"")</f>
        <v/>
      </c>
      <c r="E788">
        <f t="array" ref="E788">IFERROR(INDEX('TRIP MANAGER'!$Q$18:$Q$25,$A788),"")</f>
        <v/>
      </c>
      <c r="F788">
        <f t="array" ref="F788">IFERROR(INDEX('TRIP MANAGER'!$R$18:$R$25,$A788),"")</f>
        <v/>
      </c>
      <c r="G788">
        <f t="array" ref="G788">IFERROR(INDEX('TRIP MANAGER'!$S$18:$S$25,$A788),"")</f>
        <v/>
      </c>
      <c r="H788">
        <f>$B788/150</f>
        <v/>
      </c>
      <c r="I788">
        <f>IF(OR($G788="",$G788=0),"",SIN((1-$H788)*$G788)/SIN($G788))</f>
        <v/>
      </c>
      <c r="J788">
        <f>IF($I788="","",SIN($H788*$G788)/SIN($G788))</f>
        <v/>
      </c>
      <c r="K788">
        <f>IF($I788="","",$I788*COS(RADIANS($C788))*COS(RADIANS($D788))+$J788*COS(RADIANS($E788))*COS(RADIANS($F788)))</f>
        <v/>
      </c>
      <c r="L788">
        <f>IF($I788="","",$I788*COS(RADIANS($C788))*SIN(RADIANS($D788))+$J788*COS(RADIANS($E788))*SIN(RADIANS($F788)))</f>
        <v/>
      </c>
      <c r="M788">
        <f>IF($I788="","",$I788*SIN(RADIANS($C788))+$J788*SIN(RADIANS($E788)))</f>
        <v/>
      </c>
      <c r="N788">
        <f>IF($M788="","",DEGREES(ATAN2(SQRT($K788^2+$L788^2),$M788)))</f>
        <v/>
      </c>
      <c r="O788">
        <f>IF($M788="","",DEGREES(ATAN2($K788,$L788)))</f>
        <v/>
      </c>
      <c r="P788">
        <f t="array" ref="P788">IF($N788="","",IFERROR(IF(INDEX(geo_grid!$B$2:$JU$231,INT(($N788+40)/0.5)+1,INT(($O788+30)/0.5)+1)="","",INDEX(geo_grid!$B$2:$JU$231,INT(($N788+40)/0.5)+1,INT(($O788+30)/0.5)+1)),"OUTSIDE GRID"))</f>
        <v/>
      </c>
      <c r="Q788">
        <f>IF($P788="","",$A788*1000+$B788)</f>
        <v/>
      </c>
    </row>
    <row r="789">
      <c r="A789">
        <f>INT((ROW()-2)/151)+1</f>
        <v/>
      </c>
      <c r="B789">
        <f>MOD(ROW()-2,151)</f>
        <v/>
      </c>
      <c r="C789">
        <f t="array" ref="C789">IFERROR(INDEX('TRIP MANAGER'!$O$18:$O$25,$A789),"")</f>
        <v/>
      </c>
      <c r="D789">
        <f t="array" ref="D789">IFERROR(INDEX('TRIP MANAGER'!$P$18:$P$25,$A789),"")</f>
        <v/>
      </c>
      <c r="E789">
        <f t="array" ref="E789">IFERROR(INDEX('TRIP MANAGER'!$Q$18:$Q$25,$A789),"")</f>
        <v/>
      </c>
      <c r="F789">
        <f t="array" ref="F789">IFERROR(INDEX('TRIP MANAGER'!$R$18:$R$25,$A789),"")</f>
        <v/>
      </c>
      <c r="G789">
        <f t="array" ref="G789">IFERROR(INDEX('TRIP MANAGER'!$S$18:$S$25,$A789),"")</f>
        <v/>
      </c>
      <c r="H789">
        <f>$B789/150</f>
        <v/>
      </c>
      <c r="I789">
        <f>IF(OR($G789="",$G789=0),"",SIN((1-$H789)*$G789)/SIN($G789))</f>
        <v/>
      </c>
      <c r="J789">
        <f>IF($I789="","",SIN($H789*$G789)/SIN($G789))</f>
        <v/>
      </c>
      <c r="K789">
        <f>IF($I789="","",$I789*COS(RADIANS($C789))*COS(RADIANS($D789))+$J789*COS(RADIANS($E789))*COS(RADIANS($F789)))</f>
        <v/>
      </c>
      <c r="L789">
        <f>IF($I789="","",$I789*COS(RADIANS($C789))*SIN(RADIANS($D789))+$J789*COS(RADIANS($E789))*SIN(RADIANS($F789)))</f>
        <v/>
      </c>
      <c r="M789">
        <f>IF($I789="","",$I789*SIN(RADIANS($C789))+$J789*SIN(RADIANS($E789)))</f>
        <v/>
      </c>
      <c r="N789">
        <f>IF($M789="","",DEGREES(ATAN2(SQRT($K789^2+$L789^2),$M789)))</f>
        <v/>
      </c>
      <c r="O789">
        <f>IF($M789="","",DEGREES(ATAN2($K789,$L789)))</f>
        <v/>
      </c>
      <c r="P789">
        <f t="array" ref="P789">IF($N789="","",IFERROR(IF(INDEX(geo_grid!$B$2:$JU$231,INT(($N789+40)/0.5)+1,INT(($O789+30)/0.5)+1)="","",INDEX(geo_grid!$B$2:$JU$231,INT(($N789+40)/0.5)+1,INT(($O789+30)/0.5)+1)),"OUTSIDE GRID"))</f>
        <v/>
      </c>
      <c r="Q789">
        <f>IF($P789="","",$A789*1000+$B789)</f>
        <v/>
      </c>
    </row>
    <row r="790">
      <c r="A790">
        <f>INT((ROW()-2)/151)+1</f>
        <v/>
      </c>
      <c r="B790">
        <f>MOD(ROW()-2,151)</f>
        <v/>
      </c>
      <c r="C790">
        <f t="array" ref="C790">IFERROR(INDEX('TRIP MANAGER'!$O$18:$O$25,$A790),"")</f>
        <v/>
      </c>
      <c r="D790">
        <f t="array" ref="D790">IFERROR(INDEX('TRIP MANAGER'!$P$18:$P$25,$A790),"")</f>
        <v/>
      </c>
      <c r="E790">
        <f t="array" ref="E790">IFERROR(INDEX('TRIP MANAGER'!$Q$18:$Q$25,$A790),"")</f>
        <v/>
      </c>
      <c r="F790">
        <f t="array" ref="F790">IFERROR(INDEX('TRIP MANAGER'!$R$18:$R$25,$A790),"")</f>
        <v/>
      </c>
      <c r="G790">
        <f t="array" ref="G790">IFERROR(INDEX('TRIP MANAGER'!$S$18:$S$25,$A790),"")</f>
        <v/>
      </c>
      <c r="H790">
        <f>$B790/150</f>
        <v/>
      </c>
      <c r="I790">
        <f>IF(OR($G790="",$G790=0),"",SIN((1-$H790)*$G790)/SIN($G790))</f>
        <v/>
      </c>
      <c r="J790">
        <f>IF($I790="","",SIN($H790*$G790)/SIN($G790))</f>
        <v/>
      </c>
      <c r="K790">
        <f>IF($I790="","",$I790*COS(RADIANS($C790))*COS(RADIANS($D790))+$J790*COS(RADIANS($E790))*COS(RADIANS($F790)))</f>
        <v/>
      </c>
      <c r="L790">
        <f>IF($I790="","",$I790*COS(RADIANS($C790))*SIN(RADIANS($D790))+$J790*COS(RADIANS($E790))*SIN(RADIANS($F790)))</f>
        <v/>
      </c>
      <c r="M790">
        <f>IF($I790="","",$I790*SIN(RADIANS($C790))+$J790*SIN(RADIANS($E790)))</f>
        <v/>
      </c>
      <c r="N790">
        <f>IF($M790="","",DEGREES(ATAN2(SQRT($K790^2+$L790^2),$M790)))</f>
        <v/>
      </c>
      <c r="O790">
        <f>IF($M790="","",DEGREES(ATAN2($K790,$L790)))</f>
        <v/>
      </c>
      <c r="P790">
        <f t="array" ref="P790">IF($N790="","",IFERROR(IF(INDEX(geo_grid!$B$2:$JU$231,INT(($N790+40)/0.5)+1,INT(($O790+30)/0.5)+1)="","",INDEX(geo_grid!$B$2:$JU$231,INT(($N790+40)/0.5)+1,INT(($O790+30)/0.5)+1)),"OUTSIDE GRID"))</f>
        <v/>
      </c>
      <c r="Q790">
        <f>IF($P790="","",$A790*1000+$B790)</f>
        <v/>
      </c>
    </row>
    <row r="791">
      <c r="A791">
        <f>INT((ROW()-2)/151)+1</f>
        <v/>
      </c>
      <c r="B791">
        <f>MOD(ROW()-2,151)</f>
        <v/>
      </c>
      <c r="C791">
        <f t="array" ref="C791">IFERROR(INDEX('TRIP MANAGER'!$O$18:$O$25,$A791),"")</f>
        <v/>
      </c>
      <c r="D791">
        <f t="array" ref="D791">IFERROR(INDEX('TRIP MANAGER'!$P$18:$P$25,$A791),"")</f>
        <v/>
      </c>
      <c r="E791">
        <f t="array" ref="E791">IFERROR(INDEX('TRIP MANAGER'!$Q$18:$Q$25,$A791),"")</f>
        <v/>
      </c>
      <c r="F791">
        <f t="array" ref="F791">IFERROR(INDEX('TRIP MANAGER'!$R$18:$R$25,$A791),"")</f>
        <v/>
      </c>
      <c r="G791">
        <f t="array" ref="G791">IFERROR(INDEX('TRIP MANAGER'!$S$18:$S$25,$A791),"")</f>
        <v/>
      </c>
      <c r="H791">
        <f>$B791/150</f>
        <v/>
      </c>
      <c r="I791">
        <f>IF(OR($G791="",$G791=0),"",SIN((1-$H791)*$G791)/SIN($G791))</f>
        <v/>
      </c>
      <c r="J791">
        <f>IF($I791="","",SIN($H791*$G791)/SIN($G791))</f>
        <v/>
      </c>
      <c r="K791">
        <f>IF($I791="","",$I791*COS(RADIANS($C791))*COS(RADIANS($D791))+$J791*COS(RADIANS($E791))*COS(RADIANS($F791)))</f>
        <v/>
      </c>
      <c r="L791">
        <f>IF($I791="","",$I791*COS(RADIANS($C791))*SIN(RADIANS($D791))+$J791*COS(RADIANS($E791))*SIN(RADIANS($F791)))</f>
        <v/>
      </c>
      <c r="M791">
        <f>IF($I791="","",$I791*SIN(RADIANS($C791))+$J791*SIN(RADIANS($E791)))</f>
        <v/>
      </c>
      <c r="N791">
        <f>IF($M791="","",DEGREES(ATAN2(SQRT($K791^2+$L791^2),$M791)))</f>
        <v/>
      </c>
      <c r="O791">
        <f>IF($M791="","",DEGREES(ATAN2($K791,$L791)))</f>
        <v/>
      </c>
      <c r="P791">
        <f t="array" ref="P791">IF($N791="","",IFERROR(IF(INDEX(geo_grid!$B$2:$JU$231,INT(($N791+40)/0.5)+1,INT(($O791+30)/0.5)+1)="","",INDEX(geo_grid!$B$2:$JU$231,INT(($N791+40)/0.5)+1,INT(($O791+30)/0.5)+1)),"OUTSIDE GRID"))</f>
        <v/>
      </c>
      <c r="Q791">
        <f>IF($P791="","",$A791*1000+$B791)</f>
        <v/>
      </c>
    </row>
    <row r="792">
      <c r="A792">
        <f>INT((ROW()-2)/151)+1</f>
        <v/>
      </c>
      <c r="B792">
        <f>MOD(ROW()-2,151)</f>
        <v/>
      </c>
      <c r="C792">
        <f t="array" ref="C792">IFERROR(INDEX('TRIP MANAGER'!$O$18:$O$25,$A792),"")</f>
        <v/>
      </c>
      <c r="D792">
        <f t="array" ref="D792">IFERROR(INDEX('TRIP MANAGER'!$P$18:$P$25,$A792),"")</f>
        <v/>
      </c>
      <c r="E792">
        <f t="array" ref="E792">IFERROR(INDEX('TRIP MANAGER'!$Q$18:$Q$25,$A792),"")</f>
        <v/>
      </c>
      <c r="F792">
        <f t="array" ref="F792">IFERROR(INDEX('TRIP MANAGER'!$R$18:$R$25,$A792),"")</f>
        <v/>
      </c>
      <c r="G792">
        <f t="array" ref="G792">IFERROR(INDEX('TRIP MANAGER'!$S$18:$S$25,$A792),"")</f>
        <v/>
      </c>
      <c r="H792">
        <f>$B792/150</f>
        <v/>
      </c>
      <c r="I792">
        <f>IF(OR($G792="",$G792=0),"",SIN((1-$H792)*$G792)/SIN($G792))</f>
        <v/>
      </c>
      <c r="J792">
        <f>IF($I792="","",SIN($H792*$G792)/SIN($G792))</f>
        <v/>
      </c>
      <c r="K792">
        <f>IF($I792="","",$I792*COS(RADIANS($C792))*COS(RADIANS($D792))+$J792*COS(RADIANS($E792))*COS(RADIANS($F792)))</f>
        <v/>
      </c>
      <c r="L792">
        <f>IF($I792="","",$I792*COS(RADIANS($C792))*SIN(RADIANS($D792))+$J792*COS(RADIANS($E792))*SIN(RADIANS($F792)))</f>
        <v/>
      </c>
      <c r="M792">
        <f>IF($I792="","",$I792*SIN(RADIANS($C792))+$J792*SIN(RADIANS($E792)))</f>
        <v/>
      </c>
      <c r="N792">
        <f>IF($M792="","",DEGREES(ATAN2(SQRT($K792^2+$L792^2),$M792)))</f>
        <v/>
      </c>
      <c r="O792">
        <f>IF($M792="","",DEGREES(ATAN2($K792,$L792)))</f>
        <v/>
      </c>
      <c r="P792">
        <f t="array" ref="P792">IF($N792="","",IFERROR(IF(INDEX(geo_grid!$B$2:$JU$231,INT(($N792+40)/0.5)+1,INT(($O792+30)/0.5)+1)="","",INDEX(geo_grid!$B$2:$JU$231,INT(($N792+40)/0.5)+1,INT(($O792+30)/0.5)+1)),"OUTSIDE GRID"))</f>
        <v/>
      </c>
      <c r="Q792">
        <f>IF($P792="","",$A792*1000+$B792)</f>
        <v/>
      </c>
    </row>
    <row r="793">
      <c r="A793">
        <f>INT((ROW()-2)/151)+1</f>
        <v/>
      </c>
      <c r="B793">
        <f>MOD(ROW()-2,151)</f>
        <v/>
      </c>
      <c r="C793">
        <f t="array" ref="C793">IFERROR(INDEX('TRIP MANAGER'!$O$18:$O$25,$A793),"")</f>
        <v/>
      </c>
      <c r="D793">
        <f t="array" ref="D793">IFERROR(INDEX('TRIP MANAGER'!$P$18:$P$25,$A793),"")</f>
        <v/>
      </c>
      <c r="E793">
        <f t="array" ref="E793">IFERROR(INDEX('TRIP MANAGER'!$Q$18:$Q$25,$A793),"")</f>
        <v/>
      </c>
      <c r="F793">
        <f t="array" ref="F793">IFERROR(INDEX('TRIP MANAGER'!$R$18:$R$25,$A793),"")</f>
        <v/>
      </c>
      <c r="G793">
        <f t="array" ref="G793">IFERROR(INDEX('TRIP MANAGER'!$S$18:$S$25,$A793),"")</f>
        <v/>
      </c>
      <c r="H793">
        <f>$B793/150</f>
        <v/>
      </c>
      <c r="I793">
        <f>IF(OR($G793="",$G793=0),"",SIN((1-$H793)*$G793)/SIN($G793))</f>
        <v/>
      </c>
      <c r="J793">
        <f>IF($I793="","",SIN($H793*$G793)/SIN($G793))</f>
        <v/>
      </c>
      <c r="K793">
        <f>IF($I793="","",$I793*COS(RADIANS($C793))*COS(RADIANS($D793))+$J793*COS(RADIANS($E793))*COS(RADIANS($F793)))</f>
        <v/>
      </c>
      <c r="L793">
        <f>IF($I793="","",$I793*COS(RADIANS($C793))*SIN(RADIANS($D793))+$J793*COS(RADIANS($E793))*SIN(RADIANS($F793)))</f>
        <v/>
      </c>
      <c r="M793">
        <f>IF($I793="","",$I793*SIN(RADIANS($C793))+$J793*SIN(RADIANS($E793)))</f>
        <v/>
      </c>
      <c r="N793">
        <f>IF($M793="","",DEGREES(ATAN2(SQRT($K793^2+$L793^2),$M793)))</f>
        <v/>
      </c>
      <c r="O793">
        <f>IF($M793="","",DEGREES(ATAN2($K793,$L793)))</f>
        <v/>
      </c>
      <c r="P793">
        <f t="array" ref="P793">IF($N793="","",IFERROR(IF(INDEX(geo_grid!$B$2:$JU$231,INT(($N793+40)/0.5)+1,INT(($O793+30)/0.5)+1)="","",INDEX(geo_grid!$B$2:$JU$231,INT(($N793+40)/0.5)+1,INT(($O793+30)/0.5)+1)),"OUTSIDE GRID"))</f>
        <v/>
      </c>
      <c r="Q793">
        <f>IF($P793="","",$A793*1000+$B793)</f>
        <v/>
      </c>
    </row>
    <row r="794">
      <c r="A794">
        <f>INT((ROW()-2)/151)+1</f>
        <v/>
      </c>
      <c r="B794">
        <f>MOD(ROW()-2,151)</f>
        <v/>
      </c>
      <c r="C794">
        <f t="array" ref="C794">IFERROR(INDEX('TRIP MANAGER'!$O$18:$O$25,$A794),"")</f>
        <v/>
      </c>
      <c r="D794">
        <f t="array" ref="D794">IFERROR(INDEX('TRIP MANAGER'!$P$18:$P$25,$A794),"")</f>
        <v/>
      </c>
      <c r="E794">
        <f t="array" ref="E794">IFERROR(INDEX('TRIP MANAGER'!$Q$18:$Q$25,$A794),"")</f>
        <v/>
      </c>
      <c r="F794">
        <f t="array" ref="F794">IFERROR(INDEX('TRIP MANAGER'!$R$18:$R$25,$A794),"")</f>
        <v/>
      </c>
      <c r="G794">
        <f t="array" ref="G794">IFERROR(INDEX('TRIP MANAGER'!$S$18:$S$25,$A794),"")</f>
        <v/>
      </c>
      <c r="H794">
        <f>$B794/150</f>
        <v/>
      </c>
      <c r="I794">
        <f>IF(OR($G794="",$G794=0),"",SIN((1-$H794)*$G794)/SIN($G794))</f>
        <v/>
      </c>
      <c r="J794">
        <f>IF($I794="","",SIN($H794*$G794)/SIN($G794))</f>
        <v/>
      </c>
      <c r="K794">
        <f>IF($I794="","",$I794*COS(RADIANS($C794))*COS(RADIANS($D794))+$J794*COS(RADIANS($E794))*COS(RADIANS($F794)))</f>
        <v/>
      </c>
      <c r="L794">
        <f>IF($I794="","",$I794*COS(RADIANS($C794))*SIN(RADIANS($D794))+$J794*COS(RADIANS($E794))*SIN(RADIANS($F794)))</f>
        <v/>
      </c>
      <c r="M794">
        <f>IF($I794="","",$I794*SIN(RADIANS($C794))+$J794*SIN(RADIANS($E794)))</f>
        <v/>
      </c>
      <c r="N794">
        <f>IF($M794="","",DEGREES(ATAN2(SQRT($K794^2+$L794^2),$M794)))</f>
        <v/>
      </c>
      <c r="O794">
        <f>IF($M794="","",DEGREES(ATAN2($K794,$L794)))</f>
        <v/>
      </c>
      <c r="P794">
        <f t="array" ref="P794">IF($N794="","",IFERROR(IF(INDEX(geo_grid!$B$2:$JU$231,INT(($N794+40)/0.5)+1,INT(($O794+30)/0.5)+1)="","",INDEX(geo_grid!$B$2:$JU$231,INT(($N794+40)/0.5)+1,INT(($O794+30)/0.5)+1)),"OUTSIDE GRID"))</f>
        <v/>
      </c>
      <c r="Q794">
        <f>IF($P794="","",$A794*1000+$B794)</f>
        <v/>
      </c>
    </row>
    <row r="795">
      <c r="A795">
        <f>INT((ROW()-2)/151)+1</f>
        <v/>
      </c>
      <c r="B795">
        <f>MOD(ROW()-2,151)</f>
        <v/>
      </c>
      <c r="C795">
        <f t="array" ref="C795">IFERROR(INDEX('TRIP MANAGER'!$O$18:$O$25,$A795),"")</f>
        <v/>
      </c>
      <c r="D795">
        <f t="array" ref="D795">IFERROR(INDEX('TRIP MANAGER'!$P$18:$P$25,$A795),"")</f>
        <v/>
      </c>
      <c r="E795">
        <f t="array" ref="E795">IFERROR(INDEX('TRIP MANAGER'!$Q$18:$Q$25,$A795),"")</f>
        <v/>
      </c>
      <c r="F795">
        <f t="array" ref="F795">IFERROR(INDEX('TRIP MANAGER'!$R$18:$R$25,$A795),"")</f>
        <v/>
      </c>
      <c r="G795">
        <f t="array" ref="G795">IFERROR(INDEX('TRIP MANAGER'!$S$18:$S$25,$A795),"")</f>
        <v/>
      </c>
      <c r="H795">
        <f>$B795/150</f>
        <v/>
      </c>
      <c r="I795">
        <f>IF(OR($G795="",$G795=0),"",SIN((1-$H795)*$G795)/SIN($G795))</f>
        <v/>
      </c>
      <c r="J795">
        <f>IF($I795="","",SIN($H795*$G795)/SIN($G795))</f>
        <v/>
      </c>
      <c r="K795">
        <f>IF($I795="","",$I795*COS(RADIANS($C795))*COS(RADIANS($D795))+$J795*COS(RADIANS($E795))*COS(RADIANS($F795)))</f>
        <v/>
      </c>
      <c r="L795">
        <f>IF($I795="","",$I795*COS(RADIANS($C795))*SIN(RADIANS($D795))+$J795*COS(RADIANS($E795))*SIN(RADIANS($F795)))</f>
        <v/>
      </c>
      <c r="M795">
        <f>IF($I795="","",$I795*SIN(RADIANS($C795))+$J795*SIN(RADIANS($E795)))</f>
        <v/>
      </c>
      <c r="N795">
        <f>IF($M795="","",DEGREES(ATAN2(SQRT($K795^2+$L795^2),$M795)))</f>
        <v/>
      </c>
      <c r="O795">
        <f>IF($M795="","",DEGREES(ATAN2($K795,$L795)))</f>
        <v/>
      </c>
      <c r="P795">
        <f t="array" ref="P795">IF($N795="","",IFERROR(IF(INDEX(geo_grid!$B$2:$JU$231,INT(($N795+40)/0.5)+1,INT(($O795+30)/0.5)+1)="","",INDEX(geo_grid!$B$2:$JU$231,INT(($N795+40)/0.5)+1,INT(($O795+30)/0.5)+1)),"OUTSIDE GRID"))</f>
        <v/>
      </c>
      <c r="Q795">
        <f>IF($P795="","",$A795*1000+$B795)</f>
        <v/>
      </c>
    </row>
    <row r="796">
      <c r="A796">
        <f>INT((ROW()-2)/151)+1</f>
        <v/>
      </c>
      <c r="B796">
        <f>MOD(ROW()-2,151)</f>
        <v/>
      </c>
      <c r="C796">
        <f t="array" ref="C796">IFERROR(INDEX('TRIP MANAGER'!$O$18:$O$25,$A796),"")</f>
        <v/>
      </c>
      <c r="D796">
        <f t="array" ref="D796">IFERROR(INDEX('TRIP MANAGER'!$P$18:$P$25,$A796),"")</f>
        <v/>
      </c>
      <c r="E796">
        <f t="array" ref="E796">IFERROR(INDEX('TRIP MANAGER'!$Q$18:$Q$25,$A796),"")</f>
        <v/>
      </c>
      <c r="F796">
        <f t="array" ref="F796">IFERROR(INDEX('TRIP MANAGER'!$R$18:$R$25,$A796),"")</f>
        <v/>
      </c>
      <c r="G796">
        <f t="array" ref="G796">IFERROR(INDEX('TRIP MANAGER'!$S$18:$S$25,$A796),"")</f>
        <v/>
      </c>
      <c r="H796">
        <f>$B796/150</f>
        <v/>
      </c>
      <c r="I796">
        <f>IF(OR($G796="",$G796=0),"",SIN((1-$H796)*$G796)/SIN($G796))</f>
        <v/>
      </c>
      <c r="J796">
        <f>IF($I796="","",SIN($H796*$G796)/SIN($G796))</f>
        <v/>
      </c>
      <c r="K796">
        <f>IF($I796="","",$I796*COS(RADIANS($C796))*COS(RADIANS($D796))+$J796*COS(RADIANS($E796))*COS(RADIANS($F796)))</f>
        <v/>
      </c>
      <c r="L796">
        <f>IF($I796="","",$I796*COS(RADIANS($C796))*SIN(RADIANS($D796))+$J796*COS(RADIANS($E796))*SIN(RADIANS($F796)))</f>
        <v/>
      </c>
      <c r="M796">
        <f>IF($I796="","",$I796*SIN(RADIANS($C796))+$J796*SIN(RADIANS($E796)))</f>
        <v/>
      </c>
      <c r="N796">
        <f>IF($M796="","",DEGREES(ATAN2(SQRT($K796^2+$L796^2),$M796)))</f>
        <v/>
      </c>
      <c r="O796">
        <f>IF($M796="","",DEGREES(ATAN2($K796,$L796)))</f>
        <v/>
      </c>
      <c r="P796">
        <f t="array" ref="P796">IF($N796="","",IFERROR(IF(INDEX(geo_grid!$B$2:$JU$231,INT(($N796+40)/0.5)+1,INT(($O796+30)/0.5)+1)="","",INDEX(geo_grid!$B$2:$JU$231,INT(($N796+40)/0.5)+1,INT(($O796+30)/0.5)+1)),"OUTSIDE GRID"))</f>
        <v/>
      </c>
      <c r="Q796">
        <f>IF($P796="","",$A796*1000+$B796)</f>
        <v/>
      </c>
    </row>
    <row r="797">
      <c r="A797">
        <f>INT((ROW()-2)/151)+1</f>
        <v/>
      </c>
      <c r="B797">
        <f>MOD(ROW()-2,151)</f>
        <v/>
      </c>
      <c r="C797">
        <f t="array" ref="C797">IFERROR(INDEX('TRIP MANAGER'!$O$18:$O$25,$A797),"")</f>
        <v/>
      </c>
      <c r="D797">
        <f t="array" ref="D797">IFERROR(INDEX('TRIP MANAGER'!$P$18:$P$25,$A797),"")</f>
        <v/>
      </c>
      <c r="E797">
        <f t="array" ref="E797">IFERROR(INDEX('TRIP MANAGER'!$Q$18:$Q$25,$A797),"")</f>
        <v/>
      </c>
      <c r="F797">
        <f t="array" ref="F797">IFERROR(INDEX('TRIP MANAGER'!$R$18:$R$25,$A797),"")</f>
        <v/>
      </c>
      <c r="G797">
        <f t="array" ref="G797">IFERROR(INDEX('TRIP MANAGER'!$S$18:$S$25,$A797),"")</f>
        <v/>
      </c>
      <c r="H797">
        <f>$B797/150</f>
        <v/>
      </c>
      <c r="I797">
        <f>IF(OR($G797="",$G797=0),"",SIN((1-$H797)*$G797)/SIN($G797))</f>
        <v/>
      </c>
      <c r="J797">
        <f>IF($I797="","",SIN($H797*$G797)/SIN($G797))</f>
        <v/>
      </c>
      <c r="K797">
        <f>IF($I797="","",$I797*COS(RADIANS($C797))*COS(RADIANS($D797))+$J797*COS(RADIANS($E797))*COS(RADIANS($F797)))</f>
        <v/>
      </c>
      <c r="L797">
        <f>IF($I797="","",$I797*COS(RADIANS($C797))*SIN(RADIANS($D797))+$J797*COS(RADIANS($E797))*SIN(RADIANS($F797)))</f>
        <v/>
      </c>
      <c r="M797">
        <f>IF($I797="","",$I797*SIN(RADIANS($C797))+$J797*SIN(RADIANS($E797)))</f>
        <v/>
      </c>
      <c r="N797">
        <f>IF($M797="","",DEGREES(ATAN2(SQRT($K797^2+$L797^2),$M797)))</f>
        <v/>
      </c>
      <c r="O797">
        <f>IF($M797="","",DEGREES(ATAN2($K797,$L797)))</f>
        <v/>
      </c>
      <c r="P797">
        <f t="array" ref="P797">IF($N797="","",IFERROR(IF(INDEX(geo_grid!$B$2:$JU$231,INT(($N797+40)/0.5)+1,INT(($O797+30)/0.5)+1)="","",INDEX(geo_grid!$B$2:$JU$231,INT(($N797+40)/0.5)+1,INT(($O797+30)/0.5)+1)),"OUTSIDE GRID"))</f>
        <v/>
      </c>
      <c r="Q797">
        <f>IF($P797="","",$A797*1000+$B797)</f>
        <v/>
      </c>
    </row>
    <row r="798">
      <c r="A798">
        <f>INT((ROW()-2)/151)+1</f>
        <v/>
      </c>
      <c r="B798">
        <f>MOD(ROW()-2,151)</f>
        <v/>
      </c>
      <c r="C798">
        <f t="array" ref="C798">IFERROR(INDEX('TRIP MANAGER'!$O$18:$O$25,$A798),"")</f>
        <v/>
      </c>
      <c r="D798">
        <f t="array" ref="D798">IFERROR(INDEX('TRIP MANAGER'!$P$18:$P$25,$A798),"")</f>
        <v/>
      </c>
      <c r="E798">
        <f t="array" ref="E798">IFERROR(INDEX('TRIP MANAGER'!$Q$18:$Q$25,$A798),"")</f>
        <v/>
      </c>
      <c r="F798">
        <f t="array" ref="F798">IFERROR(INDEX('TRIP MANAGER'!$R$18:$R$25,$A798),"")</f>
        <v/>
      </c>
      <c r="G798">
        <f t="array" ref="G798">IFERROR(INDEX('TRIP MANAGER'!$S$18:$S$25,$A798),"")</f>
        <v/>
      </c>
      <c r="H798">
        <f>$B798/150</f>
        <v/>
      </c>
      <c r="I798">
        <f>IF(OR($G798="",$G798=0),"",SIN((1-$H798)*$G798)/SIN($G798))</f>
        <v/>
      </c>
      <c r="J798">
        <f>IF($I798="","",SIN($H798*$G798)/SIN($G798))</f>
        <v/>
      </c>
      <c r="K798">
        <f>IF($I798="","",$I798*COS(RADIANS($C798))*COS(RADIANS($D798))+$J798*COS(RADIANS($E798))*COS(RADIANS($F798)))</f>
        <v/>
      </c>
      <c r="L798">
        <f>IF($I798="","",$I798*COS(RADIANS($C798))*SIN(RADIANS($D798))+$J798*COS(RADIANS($E798))*SIN(RADIANS($F798)))</f>
        <v/>
      </c>
      <c r="M798">
        <f>IF($I798="","",$I798*SIN(RADIANS($C798))+$J798*SIN(RADIANS($E798)))</f>
        <v/>
      </c>
      <c r="N798">
        <f>IF($M798="","",DEGREES(ATAN2(SQRT($K798^2+$L798^2),$M798)))</f>
        <v/>
      </c>
      <c r="O798">
        <f>IF($M798="","",DEGREES(ATAN2($K798,$L798)))</f>
        <v/>
      </c>
      <c r="P798">
        <f t="array" ref="P798">IF($N798="","",IFERROR(IF(INDEX(geo_grid!$B$2:$JU$231,INT(($N798+40)/0.5)+1,INT(($O798+30)/0.5)+1)="","",INDEX(geo_grid!$B$2:$JU$231,INT(($N798+40)/0.5)+1,INT(($O798+30)/0.5)+1)),"OUTSIDE GRID"))</f>
        <v/>
      </c>
      <c r="Q798">
        <f>IF($P798="","",$A798*1000+$B798)</f>
        <v/>
      </c>
    </row>
    <row r="799">
      <c r="A799">
        <f>INT((ROW()-2)/151)+1</f>
        <v/>
      </c>
      <c r="B799">
        <f>MOD(ROW()-2,151)</f>
        <v/>
      </c>
      <c r="C799">
        <f t="array" ref="C799">IFERROR(INDEX('TRIP MANAGER'!$O$18:$O$25,$A799),"")</f>
        <v/>
      </c>
      <c r="D799">
        <f t="array" ref="D799">IFERROR(INDEX('TRIP MANAGER'!$P$18:$P$25,$A799),"")</f>
        <v/>
      </c>
      <c r="E799">
        <f t="array" ref="E799">IFERROR(INDEX('TRIP MANAGER'!$Q$18:$Q$25,$A799),"")</f>
        <v/>
      </c>
      <c r="F799">
        <f t="array" ref="F799">IFERROR(INDEX('TRIP MANAGER'!$R$18:$R$25,$A799),"")</f>
        <v/>
      </c>
      <c r="G799">
        <f t="array" ref="G799">IFERROR(INDEX('TRIP MANAGER'!$S$18:$S$25,$A799),"")</f>
        <v/>
      </c>
      <c r="H799">
        <f>$B799/150</f>
        <v/>
      </c>
      <c r="I799">
        <f>IF(OR($G799="",$G799=0),"",SIN((1-$H799)*$G799)/SIN($G799))</f>
        <v/>
      </c>
      <c r="J799">
        <f>IF($I799="","",SIN($H799*$G799)/SIN($G799))</f>
        <v/>
      </c>
      <c r="K799">
        <f>IF($I799="","",$I799*COS(RADIANS($C799))*COS(RADIANS($D799))+$J799*COS(RADIANS($E799))*COS(RADIANS($F799)))</f>
        <v/>
      </c>
      <c r="L799">
        <f>IF($I799="","",$I799*COS(RADIANS($C799))*SIN(RADIANS($D799))+$J799*COS(RADIANS($E799))*SIN(RADIANS($F799)))</f>
        <v/>
      </c>
      <c r="M799">
        <f>IF($I799="","",$I799*SIN(RADIANS($C799))+$J799*SIN(RADIANS($E799)))</f>
        <v/>
      </c>
      <c r="N799">
        <f>IF($M799="","",DEGREES(ATAN2(SQRT($K799^2+$L799^2),$M799)))</f>
        <v/>
      </c>
      <c r="O799">
        <f>IF($M799="","",DEGREES(ATAN2($K799,$L799)))</f>
        <v/>
      </c>
      <c r="P799">
        <f t="array" ref="P799">IF($N799="","",IFERROR(IF(INDEX(geo_grid!$B$2:$JU$231,INT(($N799+40)/0.5)+1,INT(($O799+30)/0.5)+1)="","",INDEX(geo_grid!$B$2:$JU$231,INT(($N799+40)/0.5)+1,INT(($O799+30)/0.5)+1)),"OUTSIDE GRID"))</f>
        <v/>
      </c>
      <c r="Q799">
        <f>IF($P799="","",$A799*1000+$B799)</f>
        <v/>
      </c>
    </row>
    <row r="800">
      <c r="A800">
        <f>INT((ROW()-2)/151)+1</f>
        <v/>
      </c>
      <c r="B800">
        <f>MOD(ROW()-2,151)</f>
        <v/>
      </c>
      <c r="C800">
        <f t="array" ref="C800">IFERROR(INDEX('TRIP MANAGER'!$O$18:$O$25,$A800),"")</f>
        <v/>
      </c>
      <c r="D800">
        <f t="array" ref="D800">IFERROR(INDEX('TRIP MANAGER'!$P$18:$P$25,$A800),"")</f>
        <v/>
      </c>
      <c r="E800">
        <f t="array" ref="E800">IFERROR(INDEX('TRIP MANAGER'!$Q$18:$Q$25,$A800),"")</f>
        <v/>
      </c>
      <c r="F800">
        <f t="array" ref="F800">IFERROR(INDEX('TRIP MANAGER'!$R$18:$R$25,$A800),"")</f>
        <v/>
      </c>
      <c r="G800">
        <f t="array" ref="G800">IFERROR(INDEX('TRIP MANAGER'!$S$18:$S$25,$A800),"")</f>
        <v/>
      </c>
      <c r="H800">
        <f>$B800/150</f>
        <v/>
      </c>
      <c r="I800">
        <f>IF(OR($G800="",$G800=0),"",SIN((1-$H800)*$G800)/SIN($G800))</f>
        <v/>
      </c>
      <c r="J800">
        <f>IF($I800="","",SIN($H800*$G800)/SIN($G800))</f>
        <v/>
      </c>
      <c r="K800">
        <f>IF($I800="","",$I800*COS(RADIANS($C800))*COS(RADIANS($D800))+$J800*COS(RADIANS($E800))*COS(RADIANS($F800)))</f>
        <v/>
      </c>
      <c r="L800">
        <f>IF($I800="","",$I800*COS(RADIANS($C800))*SIN(RADIANS($D800))+$J800*COS(RADIANS($E800))*SIN(RADIANS($F800)))</f>
        <v/>
      </c>
      <c r="M800">
        <f>IF($I800="","",$I800*SIN(RADIANS($C800))+$J800*SIN(RADIANS($E800)))</f>
        <v/>
      </c>
      <c r="N800">
        <f>IF($M800="","",DEGREES(ATAN2(SQRT($K800^2+$L800^2),$M800)))</f>
        <v/>
      </c>
      <c r="O800">
        <f>IF($M800="","",DEGREES(ATAN2($K800,$L800)))</f>
        <v/>
      </c>
      <c r="P800">
        <f t="array" ref="P800">IF($N800="","",IFERROR(IF(INDEX(geo_grid!$B$2:$JU$231,INT(($N800+40)/0.5)+1,INT(($O800+30)/0.5)+1)="","",INDEX(geo_grid!$B$2:$JU$231,INT(($N800+40)/0.5)+1,INT(($O800+30)/0.5)+1)),"OUTSIDE GRID"))</f>
        <v/>
      </c>
      <c r="Q800">
        <f>IF($P800="","",$A800*1000+$B800)</f>
        <v/>
      </c>
    </row>
    <row r="801">
      <c r="A801">
        <f>INT((ROW()-2)/151)+1</f>
        <v/>
      </c>
      <c r="B801">
        <f>MOD(ROW()-2,151)</f>
        <v/>
      </c>
      <c r="C801">
        <f t="array" ref="C801">IFERROR(INDEX('TRIP MANAGER'!$O$18:$O$25,$A801),"")</f>
        <v/>
      </c>
      <c r="D801">
        <f t="array" ref="D801">IFERROR(INDEX('TRIP MANAGER'!$P$18:$P$25,$A801),"")</f>
        <v/>
      </c>
      <c r="E801">
        <f t="array" ref="E801">IFERROR(INDEX('TRIP MANAGER'!$Q$18:$Q$25,$A801),"")</f>
        <v/>
      </c>
      <c r="F801">
        <f t="array" ref="F801">IFERROR(INDEX('TRIP MANAGER'!$R$18:$R$25,$A801),"")</f>
        <v/>
      </c>
      <c r="G801">
        <f t="array" ref="G801">IFERROR(INDEX('TRIP MANAGER'!$S$18:$S$25,$A801),"")</f>
        <v/>
      </c>
      <c r="H801">
        <f>$B801/150</f>
        <v/>
      </c>
      <c r="I801">
        <f>IF(OR($G801="",$G801=0),"",SIN((1-$H801)*$G801)/SIN($G801))</f>
        <v/>
      </c>
      <c r="J801">
        <f>IF($I801="","",SIN($H801*$G801)/SIN($G801))</f>
        <v/>
      </c>
      <c r="K801">
        <f>IF($I801="","",$I801*COS(RADIANS($C801))*COS(RADIANS($D801))+$J801*COS(RADIANS($E801))*COS(RADIANS($F801)))</f>
        <v/>
      </c>
      <c r="L801">
        <f>IF($I801="","",$I801*COS(RADIANS($C801))*SIN(RADIANS($D801))+$J801*COS(RADIANS($E801))*SIN(RADIANS($F801)))</f>
        <v/>
      </c>
      <c r="M801">
        <f>IF($I801="","",$I801*SIN(RADIANS($C801))+$J801*SIN(RADIANS($E801)))</f>
        <v/>
      </c>
      <c r="N801">
        <f>IF($M801="","",DEGREES(ATAN2(SQRT($K801^2+$L801^2),$M801)))</f>
        <v/>
      </c>
      <c r="O801">
        <f>IF($M801="","",DEGREES(ATAN2($K801,$L801)))</f>
        <v/>
      </c>
      <c r="P801">
        <f t="array" ref="P801">IF($N801="","",IFERROR(IF(INDEX(geo_grid!$B$2:$JU$231,INT(($N801+40)/0.5)+1,INT(($O801+30)/0.5)+1)="","",INDEX(geo_grid!$B$2:$JU$231,INT(($N801+40)/0.5)+1,INT(($O801+30)/0.5)+1)),"OUTSIDE GRID"))</f>
        <v/>
      </c>
      <c r="Q801">
        <f>IF($P801="","",$A801*1000+$B801)</f>
        <v/>
      </c>
    </row>
    <row r="802">
      <c r="A802">
        <f>INT((ROW()-2)/151)+1</f>
        <v/>
      </c>
      <c r="B802">
        <f>MOD(ROW()-2,151)</f>
        <v/>
      </c>
      <c r="C802">
        <f t="array" ref="C802">IFERROR(INDEX('TRIP MANAGER'!$O$18:$O$25,$A802),"")</f>
        <v/>
      </c>
      <c r="D802">
        <f t="array" ref="D802">IFERROR(INDEX('TRIP MANAGER'!$P$18:$P$25,$A802),"")</f>
        <v/>
      </c>
      <c r="E802">
        <f t="array" ref="E802">IFERROR(INDEX('TRIP MANAGER'!$Q$18:$Q$25,$A802),"")</f>
        <v/>
      </c>
      <c r="F802">
        <f t="array" ref="F802">IFERROR(INDEX('TRIP MANAGER'!$R$18:$R$25,$A802),"")</f>
        <v/>
      </c>
      <c r="G802">
        <f t="array" ref="G802">IFERROR(INDEX('TRIP MANAGER'!$S$18:$S$25,$A802),"")</f>
        <v/>
      </c>
      <c r="H802">
        <f>$B802/150</f>
        <v/>
      </c>
      <c r="I802">
        <f>IF(OR($G802="",$G802=0),"",SIN((1-$H802)*$G802)/SIN($G802))</f>
        <v/>
      </c>
      <c r="J802">
        <f>IF($I802="","",SIN($H802*$G802)/SIN($G802))</f>
        <v/>
      </c>
      <c r="K802">
        <f>IF($I802="","",$I802*COS(RADIANS($C802))*COS(RADIANS($D802))+$J802*COS(RADIANS($E802))*COS(RADIANS($F802)))</f>
        <v/>
      </c>
      <c r="L802">
        <f>IF($I802="","",$I802*COS(RADIANS($C802))*SIN(RADIANS($D802))+$J802*COS(RADIANS($E802))*SIN(RADIANS($F802)))</f>
        <v/>
      </c>
      <c r="M802">
        <f>IF($I802="","",$I802*SIN(RADIANS($C802))+$J802*SIN(RADIANS($E802)))</f>
        <v/>
      </c>
      <c r="N802">
        <f>IF($M802="","",DEGREES(ATAN2(SQRT($K802^2+$L802^2),$M802)))</f>
        <v/>
      </c>
      <c r="O802">
        <f>IF($M802="","",DEGREES(ATAN2($K802,$L802)))</f>
        <v/>
      </c>
      <c r="P802">
        <f t="array" ref="P802">IF($N802="","",IFERROR(IF(INDEX(geo_grid!$B$2:$JU$231,INT(($N802+40)/0.5)+1,INT(($O802+30)/0.5)+1)="","",INDEX(geo_grid!$B$2:$JU$231,INT(($N802+40)/0.5)+1,INT(($O802+30)/0.5)+1)),"OUTSIDE GRID"))</f>
        <v/>
      </c>
      <c r="Q802">
        <f>IF($P802="","",$A802*1000+$B802)</f>
        <v/>
      </c>
    </row>
    <row r="803">
      <c r="A803">
        <f>INT((ROW()-2)/151)+1</f>
        <v/>
      </c>
      <c r="B803">
        <f>MOD(ROW()-2,151)</f>
        <v/>
      </c>
      <c r="C803">
        <f t="array" ref="C803">IFERROR(INDEX('TRIP MANAGER'!$O$18:$O$25,$A803),"")</f>
        <v/>
      </c>
      <c r="D803">
        <f t="array" ref="D803">IFERROR(INDEX('TRIP MANAGER'!$P$18:$P$25,$A803),"")</f>
        <v/>
      </c>
      <c r="E803">
        <f t="array" ref="E803">IFERROR(INDEX('TRIP MANAGER'!$Q$18:$Q$25,$A803),"")</f>
        <v/>
      </c>
      <c r="F803">
        <f t="array" ref="F803">IFERROR(INDEX('TRIP MANAGER'!$R$18:$R$25,$A803),"")</f>
        <v/>
      </c>
      <c r="G803">
        <f t="array" ref="G803">IFERROR(INDEX('TRIP MANAGER'!$S$18:$S$25,$A803),"")</f>
        <v/>
      </c>
      <c r="H803">
        <f>$B803/150</f>
        <v/>
      </c>
      <c r="I803">
        <f>IF(OR($G803="",$G803=0),"",SIN((1-$H803)*$G803)/SIN($G803))</f>
        <v/>
      </c>
      <c r="J803">
        <f>IF($I803="","",SIN($H803*$G803)/SIN($G803))</f>
        <v/>
      </c>
      <c r="K803">
        <f>IF($I803="","",$I803*COS(RADIANS($C803))*COS(RADIANS($D803))+$J803*COS(RADIANS($E803))*COS(RADIANS($F803)))</f>
        <v/>
      </c>
      <c r="L803">
        <f>IF($I803="","",$I803*COS(RADIANS($C803))*SIN(RADIANS($D803))+$J803*COS(RADIANS($E803))*SIN(RADIANS($F803)))</f>
        <v/>
      </c>
      <c r="M803">
        <f>IF($I803="","",$I803*SIN(RADIANS($C803))+$J803*SIN(RADIANS($E803)))</f>
        <v/>
      </c>
      <c r="N803">
        <f>IF($M803="","",DEGREES(ATAN2(SQRT($K803^2+$L803^2),$M803)))</f>
        <v/>
      </c>
      <c r="O803">
        <f>IF($M803="","",DEGREES(ATAN2($K803,$L803)))</f>
        <v/>
      </c>
      <c r="P803">
        <f t="array" ref="P803">IF($N803="","",IFERROR(IF(INDEX(geo_grid!$B$2:$JU$231,INT(($N803+40)/0.5)+1,INT(($O803+30)/0.5)+1)="","",INDEX(geo_grid!$B$2:$JU$231,INT(($N803+40)/0.5)+1,INT(($O803+30)/0.5)+1)),"OUTSIDE GRID"))</f>
        <v/>
      </c>
      <c r="Q803">
        <f>IF($P803="","",$A803*1000+$B803)</f>
        <v/>
      </c>
    </row>
    <row r="804">
      <c r="A804">
        <f>INT((ROW()-2)/151)+1</f>
        <v/>
      </c>
      <c r="B804">
        <f>MOD(ROW()-2,151)</f>
        <v/>
      </c>
      <c r="C804">
        <f t="array" ref="C804">IFERROR(INDEX('TRIP MANAGER'!$O$18:$O$25,$A804),"")</f>
        <v/>
      </c>
      <c r="D804">
        <f t="array" ref="D804">IFERROR(INDEX('TRIP MANAGER'!$P$18:$P$25,$A804),"")</f>
        <v/>
      </c>
      <c r="E804">
        <f t="array" ref="E804">IFERROR(INDEX('TRIP MANAGER'!$Q$18:$Q$25,$A804),"")</f>
        <v/>
      </c>
      <c r="F804">
        <f t="array" ref="F804">IFERROR(INDEX('TRIP MANAGER'!$R$18:$R$25,$A804),"")</f>
        <v/>
      </c>
      <c r="G804">
        <f t="array" ref="G804">IFERROR(INDEX('TRIP MANAGER'!$S$18:$S$25,$A804),"")</f>
        <v/>
      </c>
      <c r="H804">
        <f>$B804/150</f>
        <v/>
      </c>
      <c r="I804">
        <f>IF(OR($G804="",$G804=0),"",SIN((1-$H804)*$G804)/SIN($G804))</f>
        <v/>
      </c>
      <c r="J804">
        <f>IF($I804="","",SIN($H804*$G804)/SIN($G804))</f>
        <v/>
      </c>
      <c r="K804">
        <f>IF($I804="","",$I804*COS(RADIANS($C804))*COS(RADIANS($D804))+$J804*COS(RADIANS($E804))*COS(RADIANS($F804)))</f>
        <v/>
      </c>
      <c r="L804">
        <f>IF($I804="","",$I804*COS(RADIANS($C804))*SIN(RADIANS($D804))+$J804*COS(RADIANS($E804))*SIN(RADIANS($F804)))</f>
        <v/>
      </c>
      <c r="M804">
        <f>IF($I804="","",$I804*SIN(RADIANS($C804))+$J804*SIN(RADIANS($E804)))</f>
        <v/>
      </c>
      <c r="N804">
        <f>IF($M804="","",DEGREES(ATAN2(SQRT($K804^2+$L804^2),$M804)))</f>
        <v/>
      </c>
      <c r="O804">
        <f>IF($M804="","",DEGREES(ATAN2($K804,$L804)))</f>
        <v/>
      </c>
      <c r="P804">
        <f t="array" ref="P804">IF($N804="","",IFERROR(IF(INDEX(geo_grid!$B$2:$JU$231,INT(($N804+40)/0.5)+1,INT(($O804+30)/0.5)+1)="","",INDEX(geo_grid!$B$2:$JU$231,INT(($N804+40)/0.5)+1,INT(($O804+30)/0.5)+1)),"OUTSIDE GRID"))</f>
        <v/>
      </c>
      <c r="Q804">
        <f>IF($P804="","",$A804*1000+$B804)</f>
        <v/>
      </c>
    </row>
    <row r="805">
      <c r="A805">
        <f>INT((ROW()-2)/151)+1</f>
        <v/>
      </c>
      <c r="B805">
        <f>MOD(ROW()-2,151)</f>
        <v/>
      </c>
      <c r="C805">
        <f t="array" ref="C805">IFERROR(INDEX('TRIP MANAGER'!$O$18:$O$25,$A805),"")</f>
        <v/>
      </c>
      <c r="D805">
        <f t="array" ref="D805">IFERROR(INDEX('TRIP MANAGER'!$P$18:$P$25,$A805),"")</f>
        <v/>
      </c>
      <c r="E805">
        <f t="array" ref="E805">IFERROR(INDEX('TRIP MANAGER'!$Q$18:$Q$25,$A805),"")</f>
        <v/>
      </c>
      <c r="F805">
        <f t="array" ref="F805">IFERROR(INDEX('TRIP MANAGER'!$R$18:$R$25,$A805),"")</f>
        <v/>
      </c>
      <c r="G805">
        <f t="array" ref="G805">IFERROR(INDEX('TRIP MANAGER'!$S$18:$S$25,$A805),"")</f>
        <v/>
      </c>
      <c r="H805">
        <f>$B805/150</f>
        <v/>
      </c>
      <c r="I805">
        <f>IF(OR($G805="",$G805=0),"",SIN((1-$H805)*$G805)/SIN($G805))</f>
        <v/>
      </c>
      <c r="J805">
        <f>IF($I805="","",SIN($H805*$G805)/SIN($G805))</f>
        <v/>
      </c>
      <c r="K805">
        <f>IF($I805="","",$I805*COS(RADIANS($C805))*COS(RADIANS($D805))+$J805*COS(RADIANS($E805))*COS(RADIANS($F805)))</f>
        <v/>
      </c>
      <c r="L805">
        <f>IF($I805="","",$I805*COS(RADIANS($C805))*SIN(RADIANS($D805))+$J805*COS(RADIANS($E805))*SIN(RADIANS($F805)))</f>
        <v/>
      </c>
      <c r="M805">
        <f>IF($I805="","",$I805*SIN(RADIANS($C805))+$J805*SIN(RADIANS($E805)))</f>
        <v/>
      </c>
      <c r="N805">
        <f>IF($M805="","",DEGREES(ATAN2(SQRT($K805^2+$L805^2),$M805)))</f>
        <v/>
      </c>
      <c r="O805">
        <f>IF($M805="","",DEGREES(ATAN2($K805,$L805)))</f>
        <v/>
      </c>
      <c r="P805">
        <f t="array" ref="P805">IF($N805="","",IFERROR(IF(INDEX(geo_grid!$B$2:$JU$231,INT(($N805+40)/0.5)+1,INT(($O805+30)/0.5)+1)="","",INDEX(geo_grid!$B$2:$JU$231,INT(($N805+40)/0.5)+1,INT(($O805+30)/0.5)+1)),"OUTSIDE GRID"))</f>
        <v/>
      </c>
      <c r="Q805">
        <f>IF($P805="","",$A805*1000+$B805)</f>
        <v/>
      </c>
    </row>
    <row r="806">
      <c r="A806">
        <f>INT((ROW()-2)/151)+1</f>
        <v/>
      </c>
      <c r="B806">
        <f>MOD(ROW()-2,151)</f>
        <v/>
      </c>
      <c r="C806">
        <f t="array" ref="C806">IFERROR(INDEX('TRIP MANAGER'!$O$18:$O$25,$A806),"")</f>
        <v/>
      </c>
      <c r="D806">
        <f t="array" ref="D806">IFERROR(INDEX('TRIP MANAGER'!$P$18:$P$25,$A806),"")</f>
        <v/>
      </c>
      <c r="E806">
        <f t="array" ref="E806">IFERROR(INDEX('TRIP MANAGER'!$Q$18:$Q$25,$A806),"")</f>
        <v/>
      </c>
      <c r="F806">
        <f t="array" ref="F806">IFERROR(INDEX('TRIP MANAGER'!$R$18:$R$25,$A806),"")</f>
        <v/>
      </c>
      <c r="G806">
        <f t="array" ref="G806">IFERROR(INDEX('TRIP MANAGER'!$S$18:$S$25,$A806),"")</f>
        <v/>
      </c>
      <c r="H806">
        <f>$B806/150</f>
        <v/>
      </c>
      <c r="I806">
        <f>IF(OR($G806="",$G806=0),"",SIN((1-$H806)*$G806)/SIN($G806))</f>
        <v/>
      </c>
      <c r="J806">
        <f>IF($I806="","",SIN($H806*$G806)/SIN($G806))</f>
        <v/>
      </c>
      <c r="K806">
        <f>IF($I806="","",$I806*COS(RADIANS($C806))*COS(RADIANS($D806))+$J806*COS(RADIANS($E806))*COS(RADIANS($F806)))</f>
        <v/>
      </c>
      <c r="L806">
        <f>IF($I806="","",$I806*COS(RADIANS($C806))*SIN(RADIANS($D806))+$J806*COS(RADIANS($E806))*SIN(RADIANS($F806)))</f>
        <v/>
      </c>
      <c r="M806">
        <f>IF($I806="","",$I806*SIN(RADIANS($C806))+$J806*SIN(RADIANS($E806)))</f>
        <v/>
      </c>
      <c r="N806">
        <f>IF($M806="","",DEGREES(ATAN2(SQRT($K806^2+$L806^2),$M806)))</f>
        <v/>
      </c>
      <c r="O806">
        <f>IF($M806="","",DEGREES(ATAN2($K806,$L806)))</f>
        <v/>
      </c>
      <c r="P806">
        <f t="array" ref="P806">IF($N806="","",IFERROR(IF(INDEX(geo_grid!$B$2:$JU$231,INT(($N806+40)/0.5)+1,INT(($O806+30)/0.5)+1)="","",INDEX(geo_grid!$B$2:$JU$231,INT(($N806+40)/0.5)+1,INT(($O806+30)/0.5)+1)),"OUTSIDE GRID"))</f>
        <v/>
      </c>
      <c r="Q806">
        <f>IF($P806="","",$A806*1000+$B806)</f>
        <v/>
      </c>
    </row>
    <row r="807">
      <c r="A807">
        <f>INT((ROW()-2)/151)+1</f>
        <v/>
      </c>
      <c r="B807">
        <f>MOD(ROW()-2,151)</f>
        <v/>
      </c>
      <c r="C807">
        <f t="array" ref="C807">IFERROR(INDEX('TRIP MANAGER'!$O$18:$O$25,$A807),"")</f>
        <v/>
      </c>
      <c r="D807">
        <f t="array" ref="D807">IFERROR(INDEX('TRIP MANAGER'!$P$18:$P$25,$A807),"")</f>
        <v/>
      </c>
      <c r="E807">
        <f t="array" ref="E807">IFERROR(INDEX('TRIP MANAGER'!$Q$18:$Q$25,$A807),"")</f>
        <v/>
      </c>
      <c r="F807">
        <f t="array" ref="F807">IFERROR(INDEX('TRIP MANAGER'!$R$18:$R$25,$A807),"")</f>
        <v/>
      </c>
      <c r="G807">
        <f t="array" ref="G807">IFERROR(INDEX('TRIP MANAGER'!$S$18:$S$25,$A807),"")</f>
        <v/>
      </c>
      <c r="H807">
        <f>$B807/150</f>
        <v/>
      </c>
      <c r="I807">
        <f>IF(OR($G807="",$G807=0),"",SIN((1-$H807)*$G807)/SIN($G807))</f>
        <v/>
      </c>
      <c r="J807">
        <f>IF($I807="","",SIN($H807*$G807)/SIN($G807))</f>
        <v/>
      </c>
      <c r="K807">
        <f>IF($I807="","",$I807*COS(RADIANS($C807))*COS(RADIANS($D807))+$J807*COS(RADIANS($E807))*COS(RADIANS($F807)))</f>
        <v/>
      </c>
      <c r="L807">
        <f>IF($I807="","",$I807*COS(RADIANS($C807))*SIN(RADIANS($D807))+$J807*COS(RADIANS($E807))*SIN(RADIANS($F807)))</f>
        <v/>
      </c>
      <c r="M807">
        <f>IF($I807="","",$I807*SIN(RADIANS($C807))+$J807*SIN(RADIANS($E807)))</f>
        <v/>
      </c>
      <c r="N807">
        <f>IF($M807="","",DEGREES(ATAN2(SQRT($K807^2+$L807^2),$M807)))</f>
        <v/>
      </c>
      <c r="O807">
        <f>IF($M807="","",DEGREES(ATAN2($K807,$L807)))</f>
        <v/>
      </c>
      <c r="P807">
        <f t="array" ref="P807">IF($N807="","",IFERROR(IF(INDEX(geo_grid!$B$2:$JU$231,INT(($N807+40)/0.5)+1,INT(($O807+30)/0.5)+1)="","",INDEX(geo_grid!$B$2:$JU$231,INT(($N807+40)/0.5)+1,INT(($O807+30)/0.5)+1)),"OUTSIDE GRID"))</f>
        <v/>
      </c>
      <c r="Q807">
        <f>IF($P807="","",$A807*1000+$B807)</f>
        <v/>
      </c>
    </row>
    <row r="808">
      <c r="A808">
        <f>INT((ROW()-2)/151)+1</f>
        <v/>
      </c>
      <c r="B808">
        <f>MOD(ROW()-2,151)</f>
        <v/>
      </c>
      <c r="C808">
        <f t="array" ref="C808">IFERROR(INDEX('TRIP MANAGER'!$O$18:$O$25,$A808),"")</f>
        <v/>
      </c>
      <c r="D808">
        <f t="array" ref="D808">IFERROR(INDEX('TRIP MANAGER'!$P$18:$P$25,$A808),"")</f>
        <v/>
      </c>
      <c r="E808">
        <f t="array" ref="E808">IFERROR(INDEX('TRIP MANAGER'!$Q$18:$Q$25,$A808),"")</f>
        <v/>
      </c>
      <c r="F808">
        <f t="array" ref="F808">IFERROR(INDEX('TRIP MANAGER'!$R$18:$R$25,$A808),"")</f>
        <v/>
      </c>
      <c r="G808">
        <f t="array" ref="G808">IFERROR(INDEX('TRIP MANAGER'!$S$18:$S$25,$A808),"")</f>
        <v/>
      </c>
      <c r="H808">
        <f>$B808/150</f>
        <v/>
      </c>
      <c r="I808">
        <f>IF(OR($G808="",$G808=0),"",SIN((1-$H808)*$G808)/SIN($G808))</f>
        <v/>
      </c>
      <c r="J808">
        <f>IF($I808="","",SIN($H808*$G808)/SIN($G808))</f>
        <v/>
      </c>
      <c r="K808">
        <f>IF($I808="","",$I808*COS(RADIANS($C808))*COS(RADIANS($D808))+$J808*COS(RADIANS($E808))*COS(RADIANS($F808)))</f>
        <v/>
      </c>
      <c r="L808">
        <f>IF($I808="","",$I808*COS(RADIANS($C808))*SIN(RADIANS($D808))+$J808*COS(RADIANS($E808))*SIN(RADIANS($F808)))</f>
        <v/>
      </c>
      <c r="M808">
        <f>IF($I808="","",$I808*SIN(RADIANS($C808))+$J808*SIN(RADIANS($E808)))</f>
        <v/>
      </c>
      <c r="N808">
        <f>IF($M808="","",DEGREES(ATAN2(SQRT($K808^2+$L808^2),$M808)))</f>
        <v/>
      </c>
      <c r="O808">
        <f>IF($M808="","",DEGREES(ATAN2($K808,$L808)))</f>
        <v/>
      </c>
      <c r="P808">
        <f t="array" ref="P808">IF($N808="","",IFERROR(IF(INDEX(geo_grid!$B$2:$JU$231,INT(($N808+40)/0.5)+1,INT(($O808+30)/0.5)+1)="","",INDEX(geo_grid!$B$2:$JU$231,INT(($N808+40)/0.5)+1,INT(($O808+30)/0.5)+1)),"OUTSIDE GRID"))</f>
        <v/>
      </c>
      <c r="Q808">
        <f>IF($P808="","",$A808*1000+$B808)</f>
        <v/>
      </c>
    </row>
    <row r="809">
      <c r="A809">
        <f>INT((ROW()-2)/151)+1</f>
        <v/>
      </c>
      <c r="B809">
        <f>MOD(ROW()-2,151)</f>
        <v/>
      </c>
      <c r="C809">
        <f t="array" ref="C809">IFERROR(INDEX('TRIP MANAGER'!$O$18:$O$25,$A809),"")</f>
        <v/>
      </c>
      <c r="D809">
        <f t="array" ref="D809">IFERROR(INDEX('TRIP MANAGER'!$P$18:$P$25,$A809),"")</f>
        <v/>
      </c>
      <c r="E809">
        <f t="array" ref="E809">IFERROR(INDEX('TRIP MANAGER'!$Q$18:$Q$25,$A809),"")</f>
        <v/>
      </c>
      <c r="F809">
        <f t="array" ref="F809">IFERROR(INDEX('TRIP MANAGER'!$R$18:$R$25,$A809),"")</f>
        <v/>
      </c>
      <c r="G809">
        <f t="array" ref="G809">IFERROR(INDEX('TRIP MANAGER'!$S$18:$S$25,$A809),"")</f>
        <v/>
      </c>
      <c r="H809">
        <f>$B809/150</f>
        <v/>
      </c>
      <c r="I809">
        <f>IF(OR($G809="",$G809=0),"",SIN((1-$H809)*$G809)/SIN($G809))</f>
        <v/>
      </c>
      <c r="J809">
        <f>IF($I809="","",SIN($H809*$G809)/SIN($G809))</f>
        <v/>
      </c>
      <c r="K809">
        <f>IF($I809="","",$I809*COS(RADIANS($C809))*COS(RADIANS($D809))+$J809*COS(RADIANS($E809))*COS(RADIANS($F809)))</f>
        <v/>
      </c>
      <c r="L809">
        <f>IF($I809="","",$I809*COS(RADIANS($C809))*SIN(RADIANS($D809))+$J809*COS(RADIANS($E809))*SIN(RADIANS($F809)))</f>
        <v/>
      </c>
      <c r="M809">
        <f>IF($I809="","",$I809*SIN(RADIANS($C809))+$J809*SIN(RADIANS($E809)))</f>
        <v/>
      </c>
      <c r="N809">
        <f>IF($M809="","",DEGREES(ATAN2(SQRT($K809^2+$L809^2),$M809)))</f>
        <v/>
      </c>
      <c r="O809">
        <f>IF($M809="","",DEGREES(ATAN2($K809,$L809)))</f>
        <v/>
      </c>
      <c r="P809">
        <f t="array" ref="P809">IF($N809="","",IFERROR(IF(INDEX(geo_grid!$B$2:$JU$231,INT(($N809+40)/0.5)+1,INT(($O809+30)/0.5)+1)="","",INDEX(geo_grid!$B$2:$JU$231,INT(($N809+40)/0.5)+1,INT(($O809+30)/0.5)+1)),"OUTSIDE GRID"))</f>
        <v/>
      </c>
      <c r="Q809">
        <f>IF($P809="","",$A809*1000+$B809)</f>
        <v/>
      </c>
    </row>
    <row r="810">
      <c r="A810">
        <f>INT((ROW()-2)/151)+1</f>
        <v/>
      </c>
      <c r="B810">
        <f>MOD(ROW()-2,151)</f>
        <v/>
      </c>
      <c r="C810">
        <f t="array" ref="C810">IFERROR(INDEX('TRIP MANAGER'!$O$18:$O$25,$A810),"")</f>
        <v/>
      </c>
      <c r="D810">
        <f t="array" ref="D810">IFERROR(INDEX('TRIP MANAGER'!$P$18:$P$25,$A810),"")</f>
        <v/>
      </c>
      <c r="E810">
        <f t="array" ref="E810">IFERROR(INDEX('TRIP MANAGER'!$Q$18:$Q$25,$A810),"")</f>
        <v/>
      </c>
      <c r="F810">
        <f t="array" ref="F810">IFERROR(INDEX('TRIP MANAGER'!$R$18:$R$25,$A810),"")</f>
        <v/>
      </c>
      <c r="G810">
        <f t="array" ref="G810">IFERROR(INDEX('TRIP MANAGER'!$S$18:$S$25,$A810),"")</f>
        <v/>
      </c>
      <c r="H810">
        <f>$B810/150</f>
        <v/>
      </c>
      <c r="I810">
        <f>IF(OR($G810="",$G810=0),"",SIN((1-$H810)*$G810)/SIN($G810))</f>
        <v/>
      </c>
      <c r="J810">
        <f>IF($I810="","",SIN($H810*$G810)/SIN($G810))</f>
        <v/>
      </c>
      <c r="K810">
        <f>IF($I810="","",$I810*COS(RADIANS($C810))*COS(RADIANS($D810))+$J810*COS(RADIANS($E810))*COS(RADIANS($F810)))</f>
        <v/>
      </c>
      <c r="L810">
        <f>IF($I810="","",$I810*COS(RADIANS($C810))*SIN(RADIANS($D810))+$J810*COS(RADIANS($E810))*SIN(RADIANS($F810)))</f>
        <v/>
      </c>
      <c r="M810">
        <f>IF($I810="","",$I810*SIN(RADIANS($C810))+$J810*SIN(RADIANS($E810)))</f>
        <v/>
      </c>
      <c r="N810">
        <f>IF($M810="","",DEGREES(ATAN2(SQRT($K810^2+$L810^2),$M810)))</f>
        <v/>
      </c>
      <c r="O810">
        <f>IF($M810="","",DEGREES(ATAN2($K810,$L810)))</f>
        <v/>
      </c>
      <c r="P810">
        <f t="array" ref="P810">IF($N810="","",IFERROR(IF(INDEX(geo_grid!$B$2:$JU$231,INT(($N810+40)/0.5)+1,INT(($O810+30)/0.5)+1)="","",INDEX(geo_grid!$B$2:$JU$231,INT(($N810+40)/0.5)+1,INT(($O810+30)/0.5)+1)),"OUTSIDE GRID"))</f>
        <v/>
      </c>
      <c r="Q810">
        <f>IF($P810="","",$A810*1000+$B810)</f>
        <v/>
      </c>
    </row>
    <row r="811">
      <c r="A811">
        <f>INT((ROW()-2)/151)+1</f>
        <v/>
      </c>
      <c r="B811">
        <f>MOD(ROW()-2,151)</f>
        <v/>
      </c>
      <c r="C811">
        <f t="array" ref="C811">IFERROR(INDEX('TRIP MANAGER'!$O$18:$O$25,$A811),"")</f>
        <v/>
      </c>
      <c r="D811">
        <f t="array" ref="D811">IFERROR(INDEX('TRIP MANAGER'!$P$18:$P$25,$A811),"")</f>
        <v/>
      </c>
      <c r="E811">
        <f t="array" ref="E811">IFERROR(INDEX('TRIP MANAGER'!$Q$18:$Q$25,$A811),"")</f>
        <v/>
      </c>
      <c r="F811">
        <f t="array" ref="F811">IFERROR(INDEX('TRIP MANAGER'!$R$18:$R$25,$A811),"")</f>
        <v/>
      </c>
      <c r="G811">
        <f t="array" ref="G811">IFERROR(INDEX('TRIP MANAGER'!$S$18:$S$25,$A811),"")</f>
        <v/>
      </c>
      <c r="H811">
        <f>$B811/150</f>
        <v/>
      </c>
      <c r="I811">
        <f>IF(OR($G811="",$G811=0),"",SIN((1-$H811)*$G811)/SIN($G811))</f>
        <v/>
      </c>
      <c r="J811">
        <f>IF($I811="","",SIN($H811*$G811)/SIN($G811))</f>
        <v/>
      </c>
      <c r="K811">
        <f>IF($I811="","",$I811*COS(RADIANS($C811))*COS(RADIANS($D811))+$J811*COS(RADIANS($E811))*COS(RADIANS($F811)))</f>
        <v/>
      </c>
      <c r="L811">
        <f>IF($I811="","",$I811*COS(RADIANS($C811))*SIN(RADIANS($D811))+$J811*COS(RADIANS($E811))*SIN(RADIANS($F811)))</f>
        <v/>
      </c>
      <c r="M811">
        <f>IF($I811="","",$I811*SIN(RADIANS($C811))+$J811*SIN(RADIANS($E811)))</f>
        <v/>
      </c>
      <c r="N811">
        <f>IF($M811="","",DEGREES(ATAN2(SQRT($K811^2+$L811^2),$M811)))</f>
        <v/>
      </c>
      <c r="O811">
        <f>IF($M811="","",DEGREES(ATAN2($K811,$L811)))</f>
        <v/>
      </c>
      <c r="P811">
        <f t="array" ref="P811">IF($N811="","",IFERROR(IF(INDEX(geo_grid!$B$2:$JU$231,INT(($N811+40)/0.5)+1,INT(($O811+30)/0.5)+1)="","",INDEX(geo_grid!$B$2:$JU$231,INT(($N811+40)/0.5)+1,INT(($O811+30)/0.5)+1)),"OUTSIDE GRID"))</f>
        <v/>
      </c>
      <c r="Q811">
        <f>IF($P811="","",$A811*1000+$B811)</f>
        <v/>
      </c>
    </row>
    <row r="812">
      <c r="A812">
        <f>INT((ROW()-2)/151)+1</f>
        <v/>
      </c>
      <c r="B812">
        <f>MOD(ROW()-2,151)</f>
        <v/>
      </c>
      <c r="C812">
        <f t="array" ref="C812">IFERROR(INDEX('TRIP MANAGER'!$O$18:$O$25,$A812),"")</f>
        <v/>
      </c>
      <c r="D812">
        <f t="array" ref="D812">IFERROR(INDEX('TRIP MANAGER'!$P$18:$P$25,$A812),"")</f>
        <v/>
      </c>
      <c r="E812">
        <f t="array" ref="E812">IFERROR(INDEX('TRIP MANAGER'!$Q$18:$Q$25,$A812),"")</f>
        <v/>
      </c>
      <c r="F812">
        <f t="array" ref="F812">IFERROR(INDEX('TRIP MANAGER'!$R$18:$R$25,$A812),"")</f>
        <v/>
      </c>
      <c r="G812">
        <f t="array" ref="G812">IFERROR(INDEX('TRIP MANAGER'!$S$18:$S$25,$A812),"")</f>
        <v/>
      </c>
      <c r="H812">
        <f>$B812/150</f>
        <v/>
      </c>
      <c r="I812">
        <f>IF(OR($G812="",$G812=0),"",SIN((1-$H812)*$G812)/SIN($G812))</f>
        <v/>
      </c>
      <c r="J812">
        <f>IF($I812="","",SIN($H812*$G812)/SIN($G812))</f>
        <v/>
      </c>
      <c r="K812">
        <f>IF($I812="","",$I812*COS(RADIANS($C812))*COS(RADIANS($D812))+$J812*COS(RADIANS($E812))*COS(RADIANS($F812)))</f>
        <v/>
      </c>
      <c r="L812">
        <f>IF($I812="","",$I812*COS(RADIANS($C812))*SIN(RADIANS($D812))+$J812*COS(RADIANS($E812))*SIN(RADIANS($F812)))</f>
        <v/>
      </c>
      <c r="M812">
        <f>IF($I812="","",$I812*SIN(RADIANS($C812))+$J812*SIN(RADIANS($E812)))</f>
        <v/>
      </c>
      <c r="N812">
        <f>IF($M812="","",DEGREES(ATAN2(SQRT($K812^2+$L812^2),$M812)))</f>
        <v/>
      </c>
      <c r="O812">
        <f>IF($M812="","",DEGREES(ATAN2($K812,$L812)))</f>
        <v/>
      </c>
      <c r="P812">
        <f t="array" ref="P812">IF($N812="","",IFERROR(IF(INDEX(geo_grid!$B$2:$JU$231,INT(($N812+40)/0.5)+1,INT(($O812+30)/0.5)+1)="","",INDEX(geo_grid!$B$2:$JU$231,INT(($N812+40)/0.5)+1,INT(($O812+30)/0.5)+1)),"OUTSIDE GRID"))</f>
        <v/>
      </c>
      <c r="Q812">
        <f>IF($P812="","",$A812*1000+$B812)</f>
        <v/>
      </c>
    </row>
    <row r="813">
      <c r="A813">
        <f>INT((ROW()-2)/151)+1</f>
        <v/>
      </c>
      <c r="B813">
        <f>MOD(ROW()-2,151)</f>
        <v/>
      </c>
      <c r="C813">
        <f t="array" ref="C813">IFERROR(INDEX('TRIP MANAGER'!$O$18:$O$25,$A813),"")</f>
        <v/>
      </c>
      <c r="D813">
        <f t="array" ref="D813">IFERROR(INDEX('TRIP MANAGER'!$P$18:$P$25,$A813),"")</f>
        <v/>
      </c>
      <c r="E813">
        <f t="array" ref="E813">IFERROR(INDEX('TRIP MANAGER'!$Q$18:$Q$25,$A813),"")</f>
        <v/>
      </c>
      <c r="F813">
        <f t="array" ref="F813">IFERROR(INDEX('TRIP MANAGER'!$R$18:$R$25,$A813),"")</f>
        <v/>
      </c>
      <c r="G813">
        <f t="array" ref="G813">IFERROR(INDEX('TRIP MANAGER'!$S$18:$S$25,$A813),"")</f>
        <v/>
      </c>
      <c r="H813">
        <f>$B813/150</f>
        <v/>
      </c>
      <c r="I813">
        <f>IF(OR($G813="",$G813=0),"",SIN((1-$H813)*$G813)/SIN($G813))</f>
        <v/>
      </c>
      <c r="J813">
        <f>IF($I813="","",SIN($H813*$G813)/SIN($G813))</f>
        <v/>
      </c>
      <c r="K813">
        <f>IF($I813="","",$I813*COS(RADIANS($C813))*COS(RADIANS($D813))+$J813*COS(RADIANS($E813))*COS(RADIANS($F813)))</f>
        <v/>
      </c>
      <c r="L813">
        <f>IF($I813="","",$I813*COS(RADIANS($C813))*SIN(RADIANS($D813))+$J813*COS(RADIANS($E813))*SIN(RADIANS($F813)))</f>
        <v/>
      </c>
      <c r="M813">
        <f>IF($I813="","",$I813*SIN(RADIANS($C813))+$J813*SIN(RADIANS($E813)))</f>
        <v/>
      </c>
      <c r="N813">
        <f>IF($M813="","",DEGREES(ATAN2(SQRT($K813^2+$L813^2),$M813)))</f>
        <v/>
      </c>
      <c r="O813">
        <f>IF($M813="","",DEGREES(ATAN2($K813,$L813)))</f>
        <v/>
      </c>
      <c r="P813">
        <f t="array" ref="P813">IF($N813="","",IFERROR(IF(INDEX(geo_grid!$B$2:$JU$231,INT(($N813+40)/0.5)+1,INT(($O813+30)/0.5)+1)="","",INDEX(geo_grid!$B$2:$JU$231,INT(($N813+40)/0.5)+1,INT(($O813+30)/0.5)+1)),"OUTSIDE GRID"))</f>
        <v/>
      </c>
      <c r="Q813">
        <f>IF($P813="","",$A813*1000+$B813)</f>
        <v/>
      </c>
    </row>
    <row r="814">
      <c r="A814">
        <f>INT((ROW()-2)/151)+1</f>
        <v/>
      </c>
      <c r="B814">
        <f>MOD(ROW()-2,151)</f>
        <v/>
      </c>
      <c r="C814">
        <f t="array" ref="C814">IFERROR(INDEX('TRIP MANAGER'!$O$18:$O$25,$A814),"")</f>
        <v/>
      </c>
      <c r="D814">
        <f t="array" ref="D814">IFERROR(INDEX('TRIP MANAGER'!$P$18:$P$25,$A814),"")</f>
        <v/>
      </c>
      <c r="E814">
        <f t="array" ref="E814">IFERROR(INDEX('TRIP MANAGER'!$Q$18:$Q$25,$A814),"")</f>
        <v/>
      </c>
      <c r="F814">
        <f t="array" ref="F814">IFERROR(INDEX('TRIP MANAGER'!$R$18:$R$25,$A814),"")</f>
        <v/>
      </c>
      <c r="G814">
        <f t="array" ref="G814">IFERROR(INDEX('TRIP MANAGER'!$S$18:$S$25,$A814),"")</f>
        <v/>
      </c>
      <c r="H814">
        <f>$B814/150</f>
        <v/>
      </c>
      <c r="I814">
        <f>IF(OR($G814="",$G814=0),"",SIN((1-$H814)*$G814)/SIN($G814))</f>
        <v/>
      </c>
      <c r="J814">
        <f>IF($I814="","",SIN($H814*$G814)/SIN($G814))</f>
        <v/>
      </c>
      <c r="K814">
        <f>IF($I814="","",$I814*COS(RADIANS($C814))*COS(RADIANS($D814))+$J814*COS(RADIANS($E814))*COS(RADIANS($F814)))</f>
        <v/>
      </c>
      <c r="L814">
        <f>IF($I814="","",$I814*COS(RADIANS($C814))*SIN(RADIANS($D814))+$J814*COS(RADIANS($E814))*SIN(RADIANS($F814)))</f>
        <v/>
      </c>
      <c r="M814">
        <f>IF($I814="","",$I814*SIN(RADIANS($C814))+$J814*SIN(RADIANS($E814)))</f>
        <v/>
      </c>
      <c r="N814">
        <f>IF($M814="","",DEGREES(ATAN2(SQRT($K814^2+$L814^2),$M814)))</f>
        <v/>
      </c>
      <c r="O814">
        <f>IF($M814="","",DEGREES(ATAN2($K814,$L814)))</f>
        <v/>
      </c>
      <c r="P814">
        <f t="array" ref="P814">IF($N814="","",IFERROR(IF(INDEX(geo_grid!$B$2:$JU$231,INT(($N814+40)/0.5)+1,INT(($O814+30)/0.5)+1)="","",INDEX(geo_grid!$B$2:$JU$231,INT(($N814+40)/0.5)+1,INT(($O814+30)/0.5)+1)),"OUTSIDE GRID"))</f>
        <v/>
      </c>
      <c r="Q814">
        <f>IF($P814="","",$A814*1000+$B814)</f>
        <v/>
      </c>
    </row>
    <row r="815">
      <c r="A815">
        <f>INT((ROW()-2)/151)+1</f>
        <v/>
      </c>
      <c r="B815">
        <f>MOD(ROW()-2,151)</f>
        <v/>
      </c>
      <c r="C815">
        <f t="array" ref="C815">IFERROR(INDEX('TRIP MANAGER'!$O$18:$O$25,$A815),"")</f>
        <v/>
      </c>
      <c r="D815">
        <f t="array" ref="D815">IFERROR(INDEX('TRIP MANAGER'!$P$18:$P$25,$A815),"")</f>
        <v/>
      </c>
      <c r="E815">
        <f t="array" ref="E815">IFERROR(INDEX('TRIP MANAGER'!$Q$18:$Q$25,$A815),"")</f>
        <v/>
      </c>
      <c r="F815">
        <f t="array" ref="F815">IFERROR(INDEX('TRIP MANAGER'!$R$18:$R$25,$A815),"")</f>
        <v/>
      </c>
      <c r="G815">
        <f t="array" ref="G815">IFERROR(INDEX('TRIP MANAGER'!$S$18:$S$25,$A815),"")</f>
        <v/>
      </c>
      <c r="H815">
        <f>$B815/150</f>
        <v/>
      </c>
      <c r="I815">
        <f>IF(OR($G815="",$G815=0),"",SIN((1-$H815)*$G815)/SIN($G815))</f>
        <v/>
      </c>
      <c r="J815">
        <f>IF($I815="","",SIN($H815*$G815)/SIN($G815))</f>
        <v/>
      </c>
      <c r="K815">
        <f>IF($I815="","",$I815*COS(RADIANS($C815))*COS(RADIANS($D815))+$J815*COS(RADIANS($E815))*COS(RADIANS($F815)))</f>
        <v/>
      </c>
      <c r="L815">
        <f>IF($I815="","",$I815*COS(RADIANS($C815))*SIN(RADIANS($D815))+$J815*COS(RADIANS($E815))*SIN(RADIANS($F815)))</f>
        <v/>
      </c>
      <c r="M815">
        <f>IF($I815="","",$I815*SIN(RADIANS($C815))+$J815*SIN(RADIANS($E815)))</f>
        <v/>
      </c>
      <c r="N815">
        <f>IF($M815="","",DEGREES(ATAN2(SQRT($K815^2+$L815^2),$M815)))</f>
        <v/>
      </c>
      <c r="O815">
        <f>IF($M815="","",DEGREES(ATAN2($K815,$L815)))</f>
        <v/>
      </c>
      <c r="P815">
        <f t="array" ref="P815">IF($N815="","",IFERROR(IF(INDEX(geo_grid!$B$2:$JU$231,INT(($N815+40)/0.5)+1,INT(($O815+30)/0.5)+1)="","",INDEX(geo_grid!$B$2:$JU$231,INT(($N815+40)/0.5)+1,INT(($O815+30)/0.5)+1)),"OUTSIDE GRID"))</f>
        <v/>
      </c>
      <c r="Q815">
        <f>IF($P815="","",$A815*1000+$B815)</f>
        <v/>
      </c>
    </row>
    <row r="816">
      <c r="A816">
        <f>INT((ROW()-2)/151)+1</f>
        <v/>
      </c>
      <c r="B816">
        <f>MOD(ROW()-2,151)</f>
        <v/>
      </c>
      <c r="C816">
        <f t="array" ref="C816">IFERROR(INDEX('TRIP MANAGER'!$O$18:$O$25,$A816),"")</f>
        <v/>
      </c>
      <c r="D816">
        <f t="array" ref="D816">IFERROR(INDEX('TRIP MANAGER'!$P$18:$P$25,$A816),"")</f>
        <v/>
      </c>
      <c r="E816">
        <f t="array" ref="E816">IFERROR(INDEX('TRIP MANAGER'!$Q$18:$Q$25,$A816),"")</f>
        <v/>
      </c>
      <c r="F816">
        <f t="array" ref="F816">IFERROR(INDEX('TRIP MANAGER'!$R$18:$R$25,$A816),"")</f>
        <v/>
      </c>
      <c r="G816">
        <f t="array" ref="G816">IFERROR(INDEX('TRIP MANAGER'!$S$18:$S$25,$A816),"")</f>
        <v/>
      </c>
      <c r="H816">
        <f>$B816/150</f>
        <v/>
      </c>
      <c r="I816">
        <f>IF(OR($G816="",$G816=0),"",SIN((1-$H816)*$G816)/SIN($G816))</f>
        <v/>
      </c>
      <c r="J816">
        <f>IF($I816="","",SIN($H816*$G816)/SIN($G816))</f>
        <v/>
      </c>
      <c r="K816">
        <f>IF($I816="","",$I816*COS(RADIANS($C816))*COS(RADIANS($D816))+$J816*COS(RADIANS($E816))*COS(RADIANS($F816)))</f>
        <v/>
      </c>
      <c r="L816">
        <f>IF($I816="","",$I816*COS(RADIANS($C816))*SIN(RADIANS($D816))+$J816*COS(RADIANS($E816))*SIN(RADIANS($F816)))</f>
        <v/>
      </c>
      <c r="M816">
        <f>IF($I816="","",$I816*SIN(RADIANS($C816))+$J816*SIN(RADIANS($E816)))</f>
        <v/>
      </c>
      <c r="N816">
        <f>IF($M816="","",DEGREES(ATAN2(SQRT($K816^2+$L816^2),$M816)))</f>
        <v/>
      </c>
      <c r="O816">
        <f>IF($M816="","",DEGREES(ATAN2($K816,$L816)))</f>
        <v/>
      </c>
      <c r="P816">
        <f t="array" ref="P816">IF($N816="","",IFERROR(IF(INDEX(geo_grid!$B$2:$JU$231,INT(($N816+40)/0.5)+1,INT(($O816+30)/0.5)+1)="","",INDEX(geo_grid!$B$2:$JU$231,INT(($N816+40)/0.5)+1,INT(($O816+30)/0.5)+1)),"OUTSIDE GRID"))</f>
        <v/>
      </c>
      <c r="Q816">
        <f>IF($P816="","",$A816*1000+$B816)</f>
        <v/>
      </c>
    </row>
    <row r="817">
      <c r="A817">
        <f>INT((ROW()-2)/151)+1</f>
        <v/>
      </c>
      <c r="B817">
        <f>MOD(ROW()-2,151)</f>
        <v/>
      </c>
      <c r="C817">
        <f t="array" ref="C817">IFERROR(INDEX('TRIP MANAGER'!$O$18:$O$25,$A817),"")</f>
        <v/>
      </c>
      <c r="D817">
        <f t="array" ref="D817">IFERROR(INDEX('TRIP MANAGER'!$P$18:$P$25,$A817),"")</f>
        <v/>
      </c>
      <c r="E817">
        <f t="array" ref="E817">IFERROR(INDEX('TRIP MANAGER'!$Q$18:$Q$25,$A817),"")</f>
        <v/>
      </c>
      <c r="F817">
        <f t="array" ref="F817">IFERROR(INDEX('TRIP MANAGER'!$R$18:$R$25,$A817),"")</f>
        <v/>
      </c>
      <c r="G817">
        <f t="array" ref="G817">IFERROR(INDEX('TRIP MANAGER'!$S$18:$S$25,$A817),"")</f>
        <v/>
      </c>
      <c r="H817">
        <f>$B817/150</f>
        <v/>
      </c>
      <c r="I817">
        <f>IF(OR($G817="",$G817=0),"",SIN((1-$H817)*$G817)/SIN($G817))</f>
        <v/>
      </c>
      <c r="J817">
        <f>IF($I817="","",SIN($H817*$G817)/SIN($G817))</f>
        <v/>
      </c>
      <c r="K817">
        <f>IF($I817="","",$I817*COS(RADIANS($C817))*COS(RADIANS($D817))+$J817*COS(RADIANS($E817))*COS(RADIANS($F817)))</f>
        <v/>
      </c>
      <c r="L817">
        <f>IF($I817="","",$I817*COS(RADIANS($C817))*SIN(RADIANS($D817))+$J817*COS(RADIANS($E817))*SIN(RADIANS($F817)))</f>
        <v/>
      </c>
      <c r="M817">
        <f>IF($I817="","",$I817*SIN(RADIANS($C817))+$J817*SIN(RADIANS($E817)))</f>
        <v/>
      </c>
      <c r="N817">
        <f>IF($M817="","",DEGREES(ATAN2(SQRT($K817^2+$L817^2),$M817)))</f>
        <v/>
      </c>
      <c r="O817">
        <f>IF($M817="","",DEGREES(ATAN2($K817,$L817)))</f>
        <v/>
      </c>
      <c r="P817">
        <f t="array" ref="P817">IF($N817="","",IFERROR(IF(INDEX(geo_grid!$B$2:$JU$231,INT(($N817+40)/0.5)+1,INT(($O817+30)/0.5)+1)="","",INDEX(geo_grid!$B$2:$JU$231,INT(($N817+40)/0.5)+1,INT(($O817+30)/0.5)+1)),"OUTSIDE GRID"))</f>
        <v/>
      </c>
      <c r="Q817">
        <f>IF($P817="","",$A817*1000+$B817)</f>
        <v/>
      </c>
    </row>
    <row r="818">
      <c r="A818">
        <f>INT((ROW()-2)/151)+1</f>
        <v/>
      </c>
      <c r="B818">
        <f>MOD(ROW()-2,151)</f>
        <v/>
      </c>
      <c r="C818">
        <f t="array" ref="C818">IFERROR(INDEX('TRIP MANAGER'!$O$18:$O$25,$A818),"")</f>
        <v/>
      </c>
      <c r="D818">
        <f t="array" ref="D818">IFERROR(INDEX('TRIP MANAGER'!$P$18:$P$25,$A818),"")</f>
        <v/>
      </c>
      <c r="E818">
        <f t="array" ref="E818">IFERROR(INDEX('TRIP MANAGER'!$Q$18:$Q$25,$A818),"")</f>
        <v/>
      </c>
      <c r="F818">
        <f t="array" ref="F818">IFERROR(INDEX('TRIP MANAGER'!$R$18:$R$25,$A818),"")</f>
        <v/>
      </c>
      <c r="G818">
        <f t="array" ref="G818">IFERROR(INDEX('TRIP MANAGER'!$S$18:$S$25,$A818),"")</f>
        <v/>
      </c>
      <c r="H818">
        <f>$B818/150</f>
        <v/>
      </c>
      <c r="I818">
        <f>IF(OR($G818="",$G818=0),"",SIN((1-$H818)*$G818)/SIN($G818))</f>
        <v/>
      </c>
      <c r="J818">
        <f>IF($I818="","",SIN($H818*$G818)/SIN($G818))</f>
        <v/>
      </c>
      <c r="K818">
        <f>IF($I818="","",$I818*COS(RADIANS($C818))*COS(RADIANS($D818))+$J818*COS(RADIANS($E818))*COS(RADIANS($F818)))</f>
        <v/>
      </c>
      <c r="L818">
        <f>IF($I818="","",$I818*COS(RADIANS($C818))*SIN(RADIANS($D818))+$J818*COS(RADIANS($E818))*SIN(RADIANS($F818)))</f>
        <v/>
      </c>
      <c r="M818">
        <f>IF($I818="","",$I818*SIN(RADIANS($C818))+$J818*SIN(RADIANS($E818)))</f>
        <v/>
      </c>
      <c r="N818">
        <f>IF($M818="","",DEGREES(ATAN2(SQRT($K818^2+$L818^2),$M818)))</f>
        <v/>
      </c>
      <c r="O818">
        <f>IF($M818="","",DEGREES(ATAN2($K818,$L818)))</f>
        <v/>
      </c>
      <c r="P818">
        <f t="array" ref="P818">IF($N818="","",IFERROR(IF(INDEX(geo_grid!$B$2:$JU$231,INT(($N818+40)/0.5)+1,INT(($O818+30)/0.5)+1)="","",INDEX(geo_grid!$B$2:$JU$231,INT(($N818+40)/0.5)+1,INT(($O818+30)/0.5)+1)),"OUTSIDE GRID"))</f>
        <v/>
      </c>
      <c r="Q818">
        <f>IF($P818="","",$A818*1000+$B818)</f>
        <v/>
      </c>
    </row>
    <row r="819">
      <c r="A819">
        <f>INT((ROW()-2)/151)+1</f>
        <v/>
      </c>
      <c r="B819">
        <f>MOD(ROW()-2,151)</f>
        <v/>
      </c>
      <c r="C819">
        <f t="array" ref="C819">IFERROR(INDEX('TRIP MANAGER'!$O$18:$O$25,$A819),"")</f>
        <v/>
      </c>
      <c r="D819">
        <f t="array" ref="D819">IFERROR(INDEX('TRIP MANAGER'!$P$18:$P$25,$A819),"")</f>
        <v/>
      </c>
      <c r="E819">
        <f t="array" ref="E819">IFERROR(INDEX('TRIP MANAGER'!$Q$18:$Q$25,$A819),"")</f>
        <v/>
      </c>
      <c r="F819">
        <f t="array" ref="F819">IFERROR(INDEX('TRIP MANAGER'!$R$18:$R$25,$A819),"")</f>
        <v/>
      </c>
      <c r="G819">
        <f t="array" ref="G819">IFERROR(INDEX('TRIP MANAGER'!$S$18:$S$25,$A819),"")</f>
        <v/>
      </c>
      <c r="H819">
        <f>$B819/150</f>
        <v/>
      </c>
      <c r="I819">
        <f>IF(OR($G819="",$G819=0),"",SIN((1-$H819)*$G819)/SIN($G819))</f>
        <v/>
      </c>
      <c r="J819">
        <f>IF($I819="","",SIN($H819*$G819)/SIN($G819))</f>
        <v/>
      </c>
      <c r="K819">
        <f>IF($I819="","",$I819*COS(RADIANS($C819))*COS(RADIANS($D819))+$J819*COS(RADIANS($E819))*COS(RADIANS($F819)))</f>
        <v/>
      </c>
      <c r="L819">
        <f>IF($I819="","",$I819*COS(RADIANS($C819))*SIN(RADIANS($D819))+$J819*COS(RADIANS($E819))*SIN(RADIANS($F819)))</f>
        <v/>
      </c>
      <c r="M819">
        <f>IF($I819="","",$I819*SIN(RADIANS($C819))+$J819*SIN(RADIANS($E819)))</f>
        <v/>
      </c>
      <c r="N819">
        <f>IF($M819="","",DEGREES(ATAN2(SQRT($K819^2+$L819^2),$M819)))</f>
        <v/>
      </c>
      <c r="O819">
        <f>IF($M819="","",DEGREES(ATAN2($K819,$L819)))</f>
        <v/>
      </c>
      <c r="P819">
        <f t="array" ref="P819">IF($N819="","",IFERROR(IF(INDEX(geo_grid!$B$2:$JU$231,INT(($N819+40)/0.5)+1,INT(($O819+30)/0.5)+1)="","",INDEX(geo_grid!$B$2:$JU$231,INT(($N819+40)/0.5)+1,INT(($O819+30)/0.5)+1)),"OUTSIDE GRID"))</f>
        <v/>
      </c>
      <c r="Q819">
        <f>IF($P819="","",$A819*1000+$B819)</f>
        <v/>
      </c>
    </row>
    <row r="820">
      <c r="A820">
        <f>INT((ROW()-2)/151)+1</f>
        <v/>
      </c>
      <c r="B820">
        <f>MOD(ROW()-2,151)</f>
        <v/>
      </c>
      <c r="C820">
        <f t="array" ref="C820">IFERROR(INDEX('TRIP MANAGER'!$O$18:$O$25,$A820),"")</f>
        <v/>
      </c>
      <c r="D820">
        <f t="array" ref="D820">IFERROR(INDEX('TRIP MANAGER'!$P$18:$P$25,$A820),"")</f>
        <v/>
      </c>
      <c r="E820">
        <f t="array" ref="E820">IFERROR(INDEX('TRIP MANAGER'!$Q$18:$Q$25,$A820),"")</f>
        <v/>
      </c>
      <c r="F820">
        <f t="array" ref="F820">IFERROR(INDEX('TRIP MANAGER'!$R$18:$R$25,$A820),"")</f>
        <v/>
      </c>
      <c r="G820">
        <f t="array" ref="G820">IFERROR(INDEX('TRIP MANAGER'!$S$18:$S$25,$A820),"")</f>
        <v/>
      </c>
      <c r="H820">
        <f>$B820/150</f>
        <v/>
      </c>
      <c r="I820">
        <f>IF(OR($G820="",$G820=0),"",SIN((1-$H820)*$G820)/SIN($G820))</f>
        <v/>
      </c>
      <c r="J820">
        <f>IF($I820="","",SIN($H820*$G820)/SIN($G820))</f>
        <v/>
      </c>
      <c r="K820">
        <f>IF($I820="","",$I820*COS(RADIANS($C820))*COS(RADIANS($D820))+$J820*COS(RADIANS($E820))*COS(RADIANS($F820)))</f>
        <v/>
      </c>
      <c r="L820">
        <f>IF($I820="","",$I820*COS(RADIANS($C820))*SIN(RADIANS($D820))+$J820*COS(RADIANS($E820))*SIN(RADIANS($F820)))</f>
        <v/>
      </c>
      <c r="M820">
        <f>IF($I820="","",$I820*SIN(RADIANS($C820))+$J820*SIN(RADIANS($E820)))</f>
        <v/>
      </c>
      <c r="N820">
        <f>IF($M820="","",DEGREES(ATAN2(SQRT($K820^2+$L820^2),$M820)))</f>
        <v/>
      </c>
      <c r="O820">
        <f>IF($M820="","",DEGREES(ATAN2($K820,$L820)))</f>
        <v/>
      </c>
      <c r="P820">
        <f t="array" ref="P820">IF($N820="","",IFERROR(IF(INDEX(geo_grid!$B$2:$JU$231,INT(($N820+40)/0.5)+1,INT(($O820+30)/0.5)+1)="","",INDEX(geo_grid!$B$2:$JU$231,INT(($N820+40)/0.5)+1,INT(($O820+30)/0.5)+1)),"OUTSIDE GRID"))</f>
        <v/>
      </c>
      <c r="Q820">
        <f>IF($P820="","",$A820*1000+$B820)</f>
        <v/>
      </c>
    </row>
    <row r="821">
      <c r="A821">
        <f>INT((ROW()-2)/151)+1</f>
        <v/>
      </c>
      <c r="B821">
        <f>MOD(ROW()-2,151)</f>
        <v/>
      </c>
      <c r="C821">
        <f t="array" ref="C821">IFERROR(INDEX('TRIP MANAGER'!$O$18:$O$25,$A821),"")</f>
        <v/>
      </c>
      <c r="D821">
        <f t="array" ref="D821">IFERROR(INDEX('TRIP MANAGER'!$P$18:$P$25,$A821),"")</f>
        <v/>
      </c>
      <c r="E821">
        <f t="array" ref="E821">IFERROR(INDEX('TRIP MANAGER'!$Q$18:$Q$25,$A821),"")</f>
        <v/>
      </c>
      <c r="F821">
        <f t="array" ref="F821">IFERROR(INDEX('TRIP MANAGER'!$R$18:$R$25,$A821),"")</f>
        <v/>
      </c>
      <c r="G821">
        <f t="array" ref="G821">IFERROR(INDEX('TRIP MANAGER'!$S$18:$S$25,$A821),"")</f>
        <v/>
      </c>
      <c r="H821">
        <f>$B821/150</f>
        <v/>
      </c>
      <c r="I821">
        <f>IF(OR($G821="",$G821=0),"",SIN((1-$H821)*$G821)/SIN($G821))</f>
        <v/>
      </c>
      <c r="J821">
        <f>IF($I821="","",SIN($H821*$G821)/SIN($G821))</f>
        <v/>
      </c>
      <c r="K821">
        <f>IF($I821="","",$I821*COS(RADIANS($C821))*COS(RADIANS($D821))+$J821*COS(RADIANS($E821))*COS(RADIANS($F821)))</f>
        <v/>
      </c>
      <c r="L821">
        <f>IF($I821="","",$I821*COS(RADIANS($C821))*SIN(RADIANS($D821))+$J821*COS(RADIANS($E821))*SIN(RADIANS($F821)))</f>
        <v/>
      </c>
      <c r="M821">
        <f>IF($I821="","",$I821*SIN(RADIANS($C821))+$J821*SIN(RADIANS($E821)))</f>
        <v/>
      </c>
      <c r="N821">
        <f>IF($M821="","",DEGREES(ATAN2(SQRT($K821^2+$L821^2),$M821)))</f>
        <v/>
      </c>
      <c r="O821">
        <f>IF($M821="","",DEGREES(ATAN2($K821,$L821)))</f>
        <v/>
      </c>
      <c r="P821">
        <f t="array" ref="P821">IF($N821="","",IFERROR(IF(INDEX(geo_grid!$B$2:$JU$231,INT(($N821+40)/0.5)+1,INT(($O821+30)/0.5)+1)="","",INDEX(geo_grid!$B$2:$JU$231,INT(($N821+40)/0.5)+1,INT(($O821+30)/0.5)+1)),"OUTSIDE GRID"))</f>
        <v/>
      </c>
      <c r="Q821">
        <f>IF($P821="","",$A821*1000+$B821)</f>
        <v/>
      </c>
    </row>
    <row r="822">
      <c r="A822">
        <f>INT((ROW()-2)/151)+1</f>
        <v/>
      </c>
      <c r="B822">
        <f>MOD(ROW()-2,151)</f>
        <v/>
      </c>
      <c r="C822">
        <f t="array" ref="C822">IFERROR(INDEX('TRIP MANAGER'!$O$18:$O$25,$A822),"")</f>
        <v/>
      </c>
      <c r="D822">
        <f t="array" ref="D822">IFERROR(INDEX('TRIP MANAGER'!$P$18:$P$25,$A822),"")</f>
        <v/>
      </c>
      <c r="E822">
        <f t="array" ref="E822">IFERROR(INDEX('TRIP MANAGER'!$Q$18:$Q$25,$A822),"")</f>
        <v/>
      </c>
      <c r="F822">
        <f t="array" ref="F822">IFERROR(INDEX('TRIP MANAGER'!$R$18:$R$25,$A822),"")</f>
        <v/>
      </c>
      <c r="G822">
        <f t="array" ref="G822">IFERROR(INDEX('TRIP MANAGER'!$S$18:$S$25,$A822),"")</f>
        <v/>
      </c>
      <c r="H822">
        <f>$B822/150</f>
        <v/>
      </c>
      <c r="I822">
        <f>IF(OR($G822="",$G822=0),"",SIN((1-$H822)*$G822)/SIN($G822))</f>
        <v/>
      </c>
      <c r="J822">
        <f>IF($I822="","",SIN($H822*$G822)/SIN($G822))</f>
        <v/>
      </c>
      <c r="K822">
        <f>IF($I822="","",$I822*COS(RADIANS($C822))*COS(RADIANS($D822))+$J822*COS(RADIANS($E822))*COS(RADIANS($F822)))</f>
        <v/>
      </c>
      <c r="L822">
        <f>IF($I822="","",$I822*COS(RADIANS($C822))*SIN(RADIANS($D822))+$J822*COS(RADIANS($E822))*SIN(RADIANS($F822)))</f>
        <v/>
      </c>
      <c r="M822">
        <f>IF($I822="","",$I822*SIN(RADIANS($C822))+$J822*SIN(RADIANS($E822)))</f>
        <v/>
      </c>
      <c r="N822">
        <f>IF($M822="","",DEGREES(ATAN2(SQRT($K822^2+$L822^2),$M822)))</f>
        <v/>
      </c>
      <c r="O822">
        <f>IF($M822="","",DEGREES(ATAN2($K822,$L822)))</f>
        <v/>
      </c>
      <c r="P822">
        <f t="array" ref="P822">IF($N822="","",IFERROR(IF(INDEX(geo_grid!$B$2:$JU$231,INT(($N822+40)/0.5)+1,INT(($O822+30)/0.5)+1)="","",INDEX(geo_grid!$B$2:$JU$231,INT(($N822+40)/0.5)+1,INT(($O822+30)/0.5)+1)),"OUTSIDE GRID"))</f>
        <v/>
      </c>
      <c r="Q822">
        <f>IF($P822="","",$A822*1000+$B822)</f>
        <v/>
      </c>
    </row>
    <row r="823">
      <c r="A823">
        <f>INT((ROW()-2)/151)+1</f>
        <v/>
      </c>
      <c r="B823">
        <f>MOD(ROW()-2,151)</f>
        <v/>
      </c>
      <c r="C823">
        <f t="array" ref="C823">IFERROR(INDEX('TRIP MANAGER'!$O$18:$O$25,$A823),"")</f>
        <v/>
      </c>
      <c r="D823">
        <f t="array" ref="D823">IFERROR(INDEX('TRIP MANAGER'!$P$18:$P$25,$A823),"")</f>
        <v/>
      </c>
      <c r="E823">
        <f t="array" ref="E823">IFERROR(INDEX('TRIP MANAGER'!$Q$18:$Q$25,$A823),"")</f>
        <v/>
      </c>
      <c r="F823">
        <f t="array" ref="F823">IFERROR(INDEX('TRIP MANAGER'!$R$18:$R$25,$A823),"")</f>
        <v/>
      </c>
      <c r="G823">
        <f t="array" ref="G823">IFERROR(INDEX('TRIP MANAGER'!$S$18:$S$25,$A823),"")</f>
        <v/>
      </c>
      <c r="H823">
        <f>$B823/150</f>
        <v/>
      </c>
      <c r="I823">
        <f>IF(OR($G823="",$G823=0),"",SIN((1-$H823)*$G823)/SIN($G823))</f>
        <v/>
      </c>
      <c r="J823">
        <f>IF($I823="","",SIN($H823*$G823)/SIN($G823))</f>
        <v/>
      </c>
      <c r="K823">
        <f>IF($I823="","",$I823*COS(RADIANS($C823))*COS(RADIANS($D823))+$J823*COS(RADIANS($E823))*COS(RADIANS($F823)))</f>
        <v/>
      </c>
      <c r="L823">
        <f>IF($I823="","",$I823*COS(RADIANS($C823))*SIN(RADIANS($D823))+$J823*COS(RADIANS($E823))*SIN(RADIANS($F823)))</f>
        <v/>
      </c>
      <c r="M823">
        <f>IF($I823="","",$I823*SIN(RADIANS($C823))+$J823*SIN(RADIANS($E823)))</f>
        <v/>
      </c>
      <c r="N823">
        <f>IF($M823="","",DEGREES(ATAN2(SQRT($K823^2+$L823^2),$M823)))</f>
        <v/>
      </c>
      <c r="O823">
        <f>IF($M823="","",DEGREES(ATAN2($K823,$L823)))</f>
        <v/>
      </c>
      <c r="P823">
        <f t="array" ref="P823">IF($N823="","",IFERROR(IF(INDEX(geo_grid!$B$2:$JU$231,INT(($N823+40)/0.5)+1,INT(($O823+30)/0.5)+1)="","",INDEX(geo_grid!$B$2:$JU$231,INT(($N823+40)/0.5)+1,INT(($O823+30)/0.5)+1)),"OUTSIDE GRID"))</f>
        <v/>
      </c>
      <c r="Q823">
        <f>IF($P823="","",$A823*1000+$B823)</f>
        <v/>
      </c>
    </row>
    <row r="824">
      <c r="A824">
        <f>INT((ROW()-2)/151)+1</f>
        <v/>
      </c>
      <c r="B824">
        <f>MOD(ROW()-2,151)</f>
        <v/>
      </c>
      <c r="C824">
        <f t="array" ref="C824">IFERROR(INDEX('TRIP MANAGER'!$O$18:$O$25,$A824),"")</f>
        <v/>
      </c>
      <c r="D824">
        <f t="array" ref="D824">IFERROR(INDEX('TRIP MANAGER'!$P$18:$P$25,$A824),"")</f>
        <v/>
      </c>
      <c r="E824">
        <f t="array" ref="E824">IFERROR(INDEX('TRIP MANAGER'!$Q$18:$Q$25,$A824),"")</f>
        <v/>
      </c>
      <c r="F824">
        <f t="array" ref="F824">IFERROR(INDEX('TRIP MANAGER'!$R$18:$R$25,$A824),"")</f>
        <v/>
      </c>
      <c r="G824">
        <f t="array" ref="G824">IFERROR(INDEX('TRIP MANAGER'!$S$18:$S$25,$A824),"")</f>
        <v/>
      </c>
      <c r="H824">
        <f>$B824/150</f>
        <v/>
      </c>
      <c r="I824">
        <f>IF(OR($G824="",$G824=0),"",SIN((1-$H824)*$G824)/SIN($G824))</f>
        <v/>
      </c>
      <c r="J824">
        <f>IF($I824="","",SIN($H824*$G824)/SIN($G824))</f>
        <v/>
      </c>
      <c r="K824">
        <f>IF($I824="","",$I824*COS(RADIANS($C824))*COS(RADIANS($D824))+$J824*COS(RADIANS($E824))*COS(RADIANS($F824)))</f>
        <v/>
      </c>
      <c r="L824">
        <f>IF($I824="","",$I824*COS(RADIANS($C824))*SIN(RADIANS($D824))+$J824*COS(RADIANS($E824))*SIN(RADIANS($F824)))</f>
        <v/>
      </c>
      <c r="M824">
        <f>IF($I824="","",$I824*SIN(RADIANS($C824))+$J824*SIN(RADIANS($E824)))</f>
        <v/>
      </c>
      <c r="N824">
        <f>IF($M824="","",DEGREES(ATAN2(SQRT($K824^2+$L824^2),$M824)))</f>
        <v/>
      </c>
      <c r="O824">
        <f>IF($M824="","",DEGREES(ATAN2($K824,$L824)))</f>
        <v/>
      </c>
      <c r="P824">
        <f t="array" ref="P824">IF($N824="","",IFERROR(IF(INDEX(geo_grid!$B$2:$JU$231,INT(($N824+40)/0.5)+1,INT(($O824+30)/0.5)+1)="","",INDEX(geo_grid!$B$2:$JU$231,INT(($N824+40)/0.5)+1,INT(($O824+30)/0.5)+1)),"OUTSIDE GRID"))</f>
        <v/>
      </c>
      <c r="Q824">
        <f>IF($P824="","",$A824*1000+$B824)</f>
        <v/>
      </c>
    </row>
    <row r="825">
      <c r="A825">
        <f>INT((ROW()-2)/151)+1</f>
        <v/>
      </c>
      <c r="B825">
        <f>MOD(ROW()-2,151)</f>
        <v/>
      </c>
      <c r="C825">
        <f t="array" ref="C825">IFERROR(INDEX('TRIP MANAGER'!$O$18:$O$25,$A825),"")</f>
        <v/>
      </c>
      <c r="D825">
        <f t="array" ref="D825">IFERROR(INDEX('TRIP MANAGER'!$P$18:$P$25,$A825),"")</f>
        <v/>
      </c>
      <c r="E825">
        <f t="array" ref="E825">IFERROR(INDEX('TRIP MANAGER'!$Q$18:$Q$25,$A825),"")</f>
        <v/>
      </c>
      <c r="F825">
        <f t="array" ref="F825">IFERROR(INDEX('TRIP MANAGER'!$R$18:$R$25,$A825),"")</f>
        <v/>
      </c>
      <c r="G825">
        <f t="array" ref="G825">IFERROR(INDEX('TRIP MANAGER'!$S$18:$S$25,$A825),"")</f>
        <v/>
      </c>
      <c r="H825">
        <f>$B825/150</f>
        <v/>
      </c>
      <c r="I825">
        <f>IF(OR($G825="",$G825=0),"",SIN((1-$H825)*$G825)/SIN($G825))</f>
        <v/>
      </c>
      <c r="J825">
        <f>IF($I825="","",SIN($H825*$G825)/SIN($G825))</f>
        <v/>
      </c>
      <c r="K825">
        <f>IF($I825="","",$I825*COS(RADIANS($C825))*COS(RADIANS($D825))+$J825*COS(RADIANS($E825))*COS(RADIANS($F825)))</f>
        <v/>
      </c>
      <c r="L825">
        <f>IF($I825="","",$I825*COS(RADIANS($C825))*SIN(RADIANS($D825))+$J825*COS(RADIANS($E825))*SIN(RADIANS($F825)))</f>
        <v/>
      </c>
      <c r="M825">
        <f>IF($I825="","",$I825*SIN(RADIANS($C825))+$J825*SIN(RADIANS($E825)))</f>
        <v/>
      </c>
      <c r="N825">
        <f>IF($M825="","",DEGREES(ATAN2(SQRT($K825^2+$L825^2),$M825)))</f>
        <v/>
      </c>
      <c r="O825">
        <f>IF($M825="","",DEGREES(ATAN2($K825,$L825)))</f>
        <v/>
      </c>
      <c r="P825">
        <f t="array" ref="P825">IF($N825="","",IFERROR(IF(INDEX(geo_grid!$B$2:$JU$231,INT(($N825+40)/0.5)+1,INT(($O825+30)/0.5)+1)="","",INDEX(geo_grid!$B$2:$JU$231,INT(($N825+40)/0.5)+1,INT(($O825+30)/0.5)+1)),"OUTSIDE GRID"))</f>
        <v/>
      </c>
      <c r="Q825">
        <f>IF($P825="","",$A825*1000+$B825)</f>
        <v/>
      </c>
    </row>
    <row r="826">
      <c r="A826">
        <f>INT((ROW()-2)/151)+1</f>
        <v/>
      </c>
      <c r="B826">
        <f>MOD(ROW()-2,151)</f>
        <v/>
      </c>
      <c r="C826">
        <f t="array" ref="C826">IFERROR(INDEX('TRIP MANAGER'!$O$18:$O$25,$A826),"")</f>
        <v/>
      </c>
      <c r="D826">
        <f t="array" ref="D826">IFERROR(INDEX('TRIP MANAGER'!$P$18:$P$25,$A826),"")</f>
        <v/>
      </c>
      <c r="E826">
        <f t="array" ref="E826">IFERROR(INDEX('TRIP MANAGER'!$Q$18:$Q$25,$A826),"")</f>
        <v/>
      </c>
      <c r="F826">
        <f t="array" ref="F826">IFERROR(INDEX('TRIP MANAGER'!$R$18:$R$25,$A826),"")</f>
        <v/>
      </c>
      <c r="G826">
        <f t="array" ref="G826">IFERROR(INDEX('TRIP MANAGER'!$S$18:$S$25,$A826),"")</f>
        <v/>
      </c>
      <c r="H826">
        <f>$B826/150</f>
        <v/>
      </c>
      <c r="I826">
        <f>IF(OR($G826="",$G826=0),"",SIN((1-$H826)*$G826)/SIN($G826))</f>
        <v/>
      </c>
      <c r="J826">
        <f>IF($I826="","",SIN($H826*$G826)/SIN($G826))</f>
        <v/>
      </c>
      <c r="K826">
        <f>IF($I826="","",$I826*COS(RADIANS($C826))*COS(RADIANS($D826))+$J826*COS(RADIANS($E826))*COS(RADIANS($F826)))</f>
        <v/>
      </c>
      <c r="L826">
        <f>IF($I826="","",$I826*COS(RADIANS($C826))*SIN(RADIANS($D826))+$J826*COS(RADIANS($E826))*SIN(RADIANS($F826)))</f>
        <v/>
      </c>
      <c r="M826">
        <f>IF($I826="","",$I826*SIN(RADIANS($C826))+$J826*SIN(RADIANS($E826)))</f>
        <v/>
      </c>
      <c r="N826">
        <f>IF($M826="","",DEGREES(ATAN2(SQRT($K826^2+$L826^2),$M826)))</f>
        <v/>
      </c>
      <c r="O826">
        <f>IF($M826="","",DEGREES(ATAN2($K826,$L826)))</f>
        <v/>
      </c>
      <c r="P826">
        <f t="array" ref="P826">IF($N826="","",IFERROR(IF(INDEX(geo_grid!$B$2:$JU$231,INT(($N826+40)/0.5)+1,INT(($O826+30)/0.5)+1)="","",INDEX(geo_grid!$B$2:$JU$231,INT(($N826+40)/0.5)+1,INT(($O826+30)/0.5)+1)),"OUTSIDE GRID"))</f>
        <v/>
      </c>
      <c r="Q826">
        <f>IF($P826="","",$A826*1000+$B826)</f>
        <v/>
      </c>
    </row>
    <row r="827">
      <c r="A827">
        <f>INT((ROW()-2)/151)+1</f>
        <v/>
      </c>
      <c r="B827">
        <f>MOD(ROW()-2,151)</f>
        <v/>
      </c>
      <c r="C827">
        <f t="array" ref="C827">IFERROR(INDEX('TRIP MANAGER'!$O$18:$O$25,$A827),"")</f>
        <v/>
      </c>
      <c r="D827">
        <f t="array" ref="D827">IFERROR(INDEX('TRIP MANAGER'!$P$18:$P$25,$A827),"")</f>
        <v/>
      </c>
      <c r="E827">
        <f t="array" ref="E827">IFERROR(INDEX('TRIP MANAGER'!$Q$18:$Q$25,$A827),"")</f>
        <v/>
      </c>
      <c r="F827">
        <f t="array" ref="F827">IFERROR(INDEX('TRIP MANAGER'!$R$18:$R$25,$A827),"")</f>
        <v/>
      </c>
      <c r="G827">
        <f t="array" ref="G827">IFERROR(INDEX('TRIP MANAGER'!$S$18:$S$25,$A827),"")</f>
        <v/>
      </c>
      <c r="H827">
        <f>$B827/150</f>
        <v/>
      </c>
      <c r="I827">
        <f>IF(OR($G827="",$G827=0),"",SIN((1-$H827)*$G827)/SIN($G827))</f>
        <v/>
      </c>
      <c r="J827">
        <f>IF($I827="","",SIN($H827*$G827)/SIN($G827))</f>
        <v/>
      </c>
      <c r="K827">
        <f>IF($I827="","",$I827*COS(RADIANS($C827))*COS(RADIANS($D827))+$J827*COS(RADIANS($E827))*COS(RADIANS($F827)))</f>
        <v/>
      </c>
      <c r="L827">
        <f>IF($I827="","",$I827*COS(RADIANS($C827))*SIN(RADIANS($D827))+$J827*COS(RADIANS($E827))*SIN(RADIANS($F827)))</f>
        <v/>
      </c>
      <c r="M827">
        <f>IF($I827="","",$I827*SIN(RADIANS($C827))+$J827*SIN(RADIANS($E827)))</f>
        <v/>
      </c>
      <c r="N827">
        <f>IF($M827="","",DEGREES(ATAN2(SQRT($K827^2+$L827^2),$M827)))</f>
        <v/>
      </c>
      <c r="O827">
        <f>IF($M827="","",DEGREES(ATAN2($K827,$L827)))</f>
        <v/>
      </c>
      <c r="P827">
        <f t="array" ref="P827">IF($N827="","",IFERROR(IF(INDEX(geo_grid!$B$2:$JU$231,INT(($N827+40)/0.5)+1,INT(($O827+30)/0.5)+1)="","",INDEX(geo_grid!$B$2:$JU$231,INT(($N827+40)/0.5)+1,INT(($O827+30)/0.5)+1)),"OUTSIDE GRID"))</f>
        <v/>
      </c>
      <c r="Q827">
        <f>IF($P827="","",$A827*1000+$B827)</f>
        <v/>
      </c>
    </row>
    <row r="828">
      <c r="A828">
        <f>INT((ROW()-2)/151)+1</f>
        <v/>
      </c>
      <c r="B828">
        <f>MOD(ROW()-2,151)</f>
        <v/>
      </c>
      <c r="C828">
        <f t="array" ref="C828">IFERROR(INDEX('TRIP MANAGER'!$O$18:$O$25,$A828),"")</f>
        <v/>
      </c>
      <c r="D828">
        <f t="array" ref="D828">IFERROR(INDEX('TRIP MANAGER'!$P$18:$P$25,$A828),"")</f>
        <v/>
      </c>
      <c r="E828">
        <f t="array" ref="E828">IFERROR(INDEX('TRIP MANAGER'!$Q$18:$Q$25,$A828),"")</f>
        <v/>
      </c>
      <c r="F828">
        <f t="array" ref="F828">IFERROR(INDEX('TRIP MANAGER'!$R$18:$R$25,$A828),"")</f>
        <v/>
      </c>
      <c r="G828">
        <f t="array" ref="G828">IFERROR(INDEX('TRIP MANAGER'!$S$18:$S$25,$A828),"")</f>
        <v/>
      </c>
      <c r="H828">
        <f>$B828/150</f>
        <v/>
      </c>
      <c r="I828">
        <f>IF(OR($G828="",$G828=0),"",SIN((1-$H828)*$G828)/SIN($G828))</f>
        <v/>
      </c>
      <c r="J828">
        <f>IF($I828="","",SIN($H828*$G828)/SIN($G828))</f>
        <v/>
      </c>
      <c r="K828">
        <f>IF($I828="","",$I828*COS(RADIANS($C828))*COS(RADIANS($D828))+$J828*COS(RADIANS($E828))*COS(RADIANS($F828)))</f>
        <v/>
      </c>
      <c r="L828">
        <f>IF($I828="","",$I828*COS(RADIANS($C828))*SIN(RADIANS($D828))+$J828*COS(RADIANS($E828))*SIN(RADIANS($F828)))</f>
        <v/>
      </c>
      <c r="M828">
        <f>IF($I828="","",$I828*SIN(RADIANS($C828))+$J828*SIN(RADIANS($E828)))</f>
        <v/>
      </c>
      <c r="N828">
        <f>IF($M828="","",DEGREES(ATAN2(SQRT($K828^2+$L828^2),$M828)))</f>
        <v/>
      </c>
      <c r="O828">
        <f>IF($M828="","",DEGREES(ATAN2($K828,$L828)))</f>
        <v/>
      </c>
      <c r="P828">
        <f t="array" ref="P828">IF($N828="","",IFERROR(IF(INDEX(geo_grid!$B$2:$JU$231,INT(($N828+40)/0.5)+1,INT(($O828+30)/0.5)+1)="","",INDEX(geo_grid!$B$2:$JU$231,INT(($N828+40)/0.5)+1,INT(($O828+30)/0.5)+1)),"OUTSIDE GRID"))</f>
        <v/>
      </c>
      <c r="Q828">
        <f>IF($P828="","",$A828*1000+$B828)</f>
        <v/>
      </c>
    </row>
    <row r="829">
      <c r="A829">
        <f>INT((ROW()-2)/151)+1</f>
        <v/>
      </c>
      <c r="B829">
        <f>MOD(ROW()-2,151)</f>
        <v/>
      </c>
      <c r="C829">
        <f t="array" ref="C829">IFERROR(INDEX('TRIP MANAGER'!$O$18:$O$25,$A829),"")</f>
        <v/>
      </c>
      <c r="D829">
        <f t="array" ref="D829">IFERROR(INDEX('TRIP MANAGER'!$P$18:$P$25,$A829),"")</f>
        <v/>
      </c>
      <c r="E829">
        <f t="array" ref="E829">IFERROR(INDEX('TRIP MANAGER'!$Q$18:$Q$25,$A829),"")</f>
        <v/>
      </c>
      <c r="F829">
        <f t="array" ref="F829">IFERROR(INDEX('TRIP MANAGER'!$R$18:$R$25,$A829),"")</f>
        <v/>
      </c>
      <c r="G829">
        <f t="array" ref="G829">IFERROR(INDEX('TRIP MANAGER'!$S$18:$S$25,$A829),"")</f>
        <v/>
      </c>
      <c r="H829">
        <f>$B829/150</f>
        <v/>
      </c>
      <c r="I829">
        <f>IF(OR($G829="",$G829=0),"",SIN((1-$H829)*$G829)/SIN($G829))</f>
        <v/>
      </c>
      <c r="J829">
        <f>IF($I829="","",SIN($H829*$G829)/SIN($G829))</f>
        <v/>
      </c>
      <c r="K829">
        <f>IF($I829="","",$I829*COS(RADIANS($C829))*COS(RADIANS($D829))+$J829*COS(RADIANS($E829))*COS(RADIANS($F829)))</f>
        <v/>
      </c>
      <c r="L829">
        <f>IF($I829="","",$I829*COS(RADIANS($C829))*SIN(RADIANS($D829))+$J829*COS(RADIANS($E829))*SIN(RADIANS($F829)))</f>
        <v/>
      </c>
      <c r="M829">
        <f>IF($I829="","",$I829*SIN(RADIANS($C829))+$J829*SIN(RADIANS($E829)))</f>
        <v/>
      </c>
      <c r="N829">
        <f>IF($M829="","",DEGREES(ATAN2(SQRT($K829^2+$L829^2),$M829)))</f>
        <v/>
      </c>
      <c r="O829">
        <f>IF($M829="","",DEGREES(ATAN2($K829,$L829)))</f>
        <v/>
      </c>
      <c r="P829">
        <f t="array" ref="P829">IF($N829="","",IFERROR(IF(INDEX(geo_grid!$B$2:$JU$231,INT(($N829+40)/0.5)+1,INT(($O829+30)/0.5)+1)="","",INDEX(geo_grid!$B$2:$JU$231,INT(($N829+40)/0.5)+1,INT(($O829+30)/0.5)+1)),"OUTSIDE GRID"))</f>
        <v/>
      </c>
      <c r="Q829">
        <f>IF($P829="","",$A829*1000+$B829)</f>
        <v/>
      </c>
    </row>
    <row r="830">
      <c r="A830">
        <f>INT((ROW()-2)/151)+1</f>
        <v/>
      </c>
      <c r="B830">
        <f>MOD(ROW()-2,151)</f>
        <v/>
      </c>
      <c r="C830">
        <f t="array" ref="C830">IFERROR(INDEX('TRIP MANAGER'!$O$18:$O$25,$A830),"")</f>
        <v/>
      </c>
      <c r="D830">
        <f t="array" ref="D830">IFERROR(INDEX('TRIP MANAGER'!$P$18:$P$25,$A830),"")</f>
        <v/>
      </c>
      <c r="E830">
        <f t="array" ref="E830">IFERROR(INDEX('TRIP MANAGER'!$Q$18:$Q$25,$A830),"")</f>
        <v/>
      </c>
      <c r="F830">
        <f t="array" ref="F830">IFERROR(INDEX('TRIP MANAGER'!$R$18:$R$25,$A830),"")</f>
        <v/>
      </c>
      <c r="G830">
        <f t="array" ref="G830">IFERROR(INDEX('TRIP MANAGER'!$S$18:$S$25,$A830),"")</f>
        <v/>
      </c>
      <c r="H830">
        <f>$B830/150</f>
        <v/>
      </c>
      <c r="I830">
        <f>IF(OR($G830="",$G830=0),"",SIN((1-$H830)*$G830)/SIN($G830))</f>
        <v/>
      </c>
      <c r="J830">
        <f>IF($I830="","",SIN($H830*$G830)/SIN($G830))</f>
        <v/>
      </c>
      <c r="K830">
        <f>IF($I830="","",$I830*COS(RADIANS($C830))*COS(RADIANS($D830))+$J830*COS(RADIANS($E830))*COS(RADIANS($F830)))</f>
        <v/>
      </c>
      <c r="L830">
        <f>IF($I830="","",$I830*COS(RADIANS($C830))*SIN(RADIANS($D830))+$J830*COS(RADIANS($E830))*SIN(RADIANS($F830)))</f>
        <v/>
      </c>
      <c r="M830">
        <f>IF($I830="","",$I830*SIN(RADIANS($C830))+$J830*SIN(RADIANS($E830)))</f>
        <v/>
      </c>
      <c r="N830">
        <f>IF($M830="","",DEGREES(ATAN2(SQRT($K830^2+$L830^2),$M830)))</f>
        <v/>
      </c>
      <c r="O830">
        <f>IF($M830="","",DEGREES(ATAN2($K830,$L830)))</f>
        <v/>
      </c>
      <c r="P830">
        <f t="array" ref="P830">IF($N830="","",IFERROR(IF(INDEX(geo_grid!$B$2:$JU$231,INT(($N830+40)/0.5)+1,INT(($O830+30)/0.5)+1)="","",INDEX(geo_grid!$B$2:$JU$231,INT(($N830+40)/0.5)+1,INT(($O830+30)/0.5)+1)),"OUTSIDE GRID"))</f>
        <v/>
      </c>
      <c r="Q830">
        <f>IF($P830="","",$A830*1000+$B830)</f>
        <v/>
      </c>
    </row>
    <row r="831">
      <c r="A831">
        <f>INT((ROW()-2)/151)+1</f>
        <v/>
      </c>
      <c r="B831">
        <f>MOD(ROW()-2,151)</f>
        <v/>
      </c>
      <c r="C831">
        <f t="array" ref="C831">IFERROR(INDEX('TRIP MANAGER'!$O$18:$O$25,$A831),"")</f>
        <v/>
      </c>
      <c r="D831">
        <f t="array" ref="D831">IFERROR(INDEX('TRIP MANAGER'!$P$18:$P$25,$A831),"")</f>
        <v/>
      </c>
      <c r="E831">
        <f t="array" ref="E831">IFERROR(INDEX('TRIP MANAGER'!$Q$18:$Q$25,$A831),"")</f>
        <v/>
      </c>
      <c r="F831">
        <f t="array" ref="F831">IFERROR(INDEX('TRIP MANAGER'!$R$18:$R$25,$A831),"")</f>
        <v/>
      </c>
      <c r="G831">
        <f t="array" ref="G831">IFERROR(INDEX('TRIP MANAGER'!$S$18:$S$25,$A831),"")</f>
        <v/>
      </c>
      <c r="H831">
        <f>$B831/150</f>
        <v/>
      </c>
      <c r="I831">
        <f>IF(OR($G831="",$G831=0),"",SIN((1-$H831)*$G831)/SIN($G831))</f>
        <v/>
      </c>
      <c r="J831">
        <f>IF($I831="","",SIN($H831*$G831)/SIN($G831))</f>
        <v/>
      </c>
      <c r="K831">
        <f>IF($I831="","",$I831*COS(RADIANS($C831))*COS(RADIANS($D831))+$J831*COS(RADIANS($E831))*COS(RADIANS($F831)))</f>
        <v/>
      </c>
      <c r="L831">
        <f>IF($I831="","",$I831*COS(RADIANS($C831))*SIN(RADIANS($D831))+$J831*COS(RADIANS($E831))*SIN(RADIANS($F831)))</f>
        <v/>
      </c>
      <c r="M831">
        <f>IF($I831="","",$I831*SIN(RADIANS($C831))+$J831*SIN(RADIANS($E831)))</f>
        <v/>
      </c>
      <c r="N831">
        <f>IF($M831="","",DEGREES(ATAN2(SQRT($K831^2+$L831^2),$M831)))</f>
        <v/>
      </c>
      <c r="O831">
        <f>IF($M831="","",DEGREES(ATAN2($K831,$L831)))</f>
        <v/>
      </c>
      <c r="P831">
        <f t="array" ref="P831">IF($N831="","",IFERROR(IF(INDEX(geo_grid!$B$2:$JU$231,INT(($N831+40)/0.5)+1,INT(($O831+30)/0.5)+1)="","",INDEX(geo_grid!$B$2:$JU$231,INT(($N831+40)/0.5)+1,INT(($O831+30)/0.5)+1)),"OUTSIDE GRID"))</f>
        <v/>
      </c>
      <c r="Q831">
        <f>IF($P831="","",$A831*1000+$B831)</f>
        <v/>
      </c>
    </row>
    <row r="832">
      <c r="A832">
        <f>INT((ROW()-2)/151)+1</f>
        <v/>
      </c>
      <c r="B832">
        <f>MOD(ROW()-2,151)</f>
        <v/>
      </c>
      <c r="C832">
        <f t="array" ref="C832">IFERROR(INDEX('TRIP MANAGER'!$O$18:$O$25,$A832),"")</f>
        <v/>
      </c>
      <c r="D832">
        <f t="array" ref="D832">IFERROR(INDEX('TRIP MANAGER'!$P$18:$P$25,$A832),"")</f>
        <v/>
      </c>
      <c r="E832">
        <f t="array" ref="E832">IFERROR(INDEX('TRIP MANAGER'!$Q$18:$Q$25,$A832),"")</f>
        <v/>
      </c>
      <c r="F832">
        <f t="array" ref="F832">IFERROR(INDEX('TRIP MANAGER'!$R$18:$R$25,$A832),"")</f>
        <v/>
      </c>
      <c r="G832">
        <f t="array" ref="G832">IFERROR(INDEX('TRIP MANAGER'!$S$18:$S$25,$A832),"")</f>
        <v/>
      </c>
      <c r="H832">
        <f>$B832/150</f>
        <v/>
      </c>
      <c r="I832">
        <f>IF(OR($G832="",$G832=0),"",SIN((1-$H832)*$G832)/SIN($G832))</f>
        <v/>
      </c>
      <c r="J832">
        <f>IF($I832="","",SIN($H832*$G832)/SIN($G832))</f>
        <v/>
      </c>
      <c r="K832">
        <f>IF($I832="","",$I832*COS(RADIANS($C832))*COS(RADIANS($D832))+$J832*COS(RADIANS($E832))*COS(RADIANS($F832)))</f>
        <v/>
      </c>
      <c r="L832">
        <f>IF($I832="","",$I832*COS(RADIANS($C832))*SIN(RADIANS($D832))+$J832*COS(RADIANS($E832))*SIN(RADIANS($F832)))</f>
        <v/>
      </c>
      <c r="M832">
        <f>IF($I832="","",$I832*SIN(RADIANS($C832))+$J832*SIN(RADIANS($E832)))</f>
        <v/>
      </c>
      <c r="N832">
        <f>IF($M832="","",DEGREES(ATAN2(SQRT($K832^2+$L832^2),$M832)))</f>
        <v/>
      </c>
      <c r="O832">
        <f>IF($M832="","",DEGREES(ATAN2($K832,$L832)))</f>
        <v/>
      </c>
      <c r="P832">
        <f t="array" ref="P832">IF($N832="","",IFERROR(IF(INDEX(geo_grid!$B$2:$JU$231,INT(($N832+40)/0.5)+1,INT(($O832+30)/0.5)+1)="","",INDEX(geo_grid!$B$2:$JU$231,INT(($N832+40)/0.5)+1,INT(($O832+30)/0.5)+1)),"OUTSIDE GRID"))</f>
        <v/>
      </c>
      <c r="Q832">
        <f>IF($P832="","",$A832*1000+$B832)</f>
        <v/>
      </c>
    </row>
    <row r="833">
      <c r="A833">
        <f>INT((ROW()-2)/151)+1</f>
        <v/>
      </c>
      <c r="B833">
        <f>MOD(ROW()-2,151)</f>
        <v/>
      </c>
      <c r="C833">
        <f t="array" ref="C833">IFERROR(INDEX('TRIP MANAGER'!$O$18:$O$25,$A833),"")</f>
        <v/>
      </c>
      <c r="D833">
        <f t="array" ref="D833">IFERROR(INDEX('TRIP MANAGER'!$P$18:$P$25,$A833),"")</f>
        <v/>
      </c>
      <c r="E833">
        <f t="array" ref="E833">IFERROR(INDEX('TRIP MANAGER'!$Q$18:$Q$25,$A833),"")</f>
        <v/>
      </c>
      <c r="F833">
        <f t="array" ref="F833">IFERROR(INDEX('TRIP MANAGER'!$R$18:$R$25,$A833),"")</f>
        <v/>
      </c>
      <c r="G833">
        <f t="array" ref="G833">IFERROR(INDEX('TRIP MANAGER'!$S$18:$S$25,$A833),"")</f>
        <v/>
      </c>
      <c r="H833">
        <f>$B833/150</f>
        <v/>
      </c>
      <c r="I833">
        <f>IF(OR($G833="",$G833=0),"",SIN((1-$H833)*$G833)/SIN($G833))</f>
        <v/>
      </c>
      <c r="J833">
        <f>IF($I833="","",SIN($H833*$G833)/SIN($G833))</f>
        <v/>
      </c>
      <c r="K833">
        <f>IF($I833="","",$I833*COS(RADIANS($C833))*COS(RADIANS($D833))+$J833*COS(RADIANS($E833))*COS(RADIANS($F833)))</f>
        <v/>
      </c>
      <c r="L833">
        <f>IF($I833="","",$I833*COS(RADIANS($C833))*SIN(RADIANS($D833))+$J833*COS(RADIANS($E833))*SIN(RADIANS($F833)))</f>
        <v/>
      </c>
      <c r="M833">
        <f>IF($I833="","",$I833*SIN(RADIANS($C833))+$J833*SIN(RADIANS($E833)))</f>
        <v/>
      </c>
      <c r="N833">
        <f>IF($M833="","",DEGREES(ATAN2(SQRT($K833^2+$L833^2),$M833)))</f>
        <v/>
      </c>
      <c r="O833">
        <f>IF($M833="","",DEGREES(ATAN2($K833,$L833)))</f>
        <v/>
      </c>
      <c r="P833">
        <f t="array" ref="P833">IF($N833="","",IFERROR(IF(INDEX(geo_grid!$B$2:$JU$231,INT(($N833+40)/0.5)+1,INT(($O833+30)/0.5)+1)="","",INDEX(geo_grid!$B$2:$JU$231,INT(($N833+40)/0.5)+1,INT(($O833+30)/0.5)+1)),"OUTSIDE GRID"))</f>
        <v/>
      </c>
      <c r="Q833">
        <f>IF($P833="","",$A833*1000+$B833)</f>
        <v/>
      </c>
    </row>
    <row r="834">
      <c r="A834">
        <f>INT((ROW()-2)/151)+1</f>
        <v/>
      </c>
      <c r="B834">
        <f>MOD(ROW()-2,151)</f>
        <v/>
      </c>
      <c r="C834">
        <f t="array" ref="C834">IFERROR(INDEX('TRIP MANAGER'!$O$18:$O$25,$A834),"")</f>
        <v/>
      </c>
      <c r="D834">
        <f t="array" ref="D834">IFERROR(INDEX('TRIP MANAGER'!$P$18:$P$25,$A834),"")</f>
        <v/>
      </c>
      <c r="E834">
        <f t="array" ref="E834">IFERROR(INDEX('TRIP MANAGER'!$Q$18:$Q$25,$A834),"")</f>
        <v/>
      </c>
      <c r="F834">
        <f t="array" ref="F834">IFERROR(INDEX('TRIP MANAGER'!$R$18:$R$25,$A834),"")</f>
        <v/>
      </c>
      <c r="G834">
        <f t="array" ref="G834">IFERROR(INDEX('TRIP MANAGER'!$S$18:$S$25,$A834),"")</f>
        <v/>
      </c>
      <c r="H834">
        <f>$B834/150</f>
        <v/>
      </c>
      <c r="I834">
        <f>IF(OR($G834="",$G834=0),"",SIN((1-$H834)*$G834)/SIN($G834))</f>
        <v/>
      </c>
      <c r="J834">
        <f>IF($I834="","",SIN($H834*$G834)/SIN($G834))</f>
        <v/>
      </c>
      <c r="K834">
        <f>IF($I834="","",$I834*COS(RADIANS($C834))*COS(RADIANS($D834))+$J834*COS(RADIANS($E834))*COS(RADIANS($F834)))</f>
        <v/>
      </c>
      <c r="L834">
        <f>IF($I834="","",$I834*COS(RADIANS($C834))*SIN(RADIANS($D834))+$J834*COS(RADIANS($E834))*SIN(RADIANS($F834)))</f>
        <v/>
      </c>
      <c r="M834">
        <f>IF($I834="","",$I834*SIN(RADIANS($C834))+$J834*SIN(RADIANS($E834)))</f>
        <v/>
      </c>
      <c r="N834">
        <f>IF($M834="","",DEGREES(ATAN2(SQRT($K834^2+$L834^2),$M834)))</f>
        <v/>
      </c>
      <c r="O834">
        <f>IF($M834="","",DEGREES(ATAN2($K834,$L834)))</f>
        <v/>
      </c>
      <c r="P834">
        <f t="array" ref="P834">IF($N834="","",IFERROR(IF(INDEX(geo_grid!$B$2:$JU$231,INT(($N834+40)/0.5)+1,INT(($O834+30)/0.5)+1)="","",INDEX(geo_grid!$B$2:$JU$231,INT(($N834+40)/0.5)+1,INT(($O834+30)/0.5)+1)),"OUTSIDE GRID"))</f>
        <v/>
      </c>
      <c r="Q834">
        <f>IF($P834="","",$A834*1000+$B834)</f>
        <v/>
      </c>
    </row>
    <row r="835">
      <c r="A835">
        <f>INT((ROW()-2)/151)+1</f>
        <v/>
      </c>
      <c r="B835">
        <f>MOD(ROW()-2,151)</f>
        <v/>
      </c>
      <c r="C835">
        <f t="array" ref="C835">IFERROR(INDEX('TRIP MANAGER'!$O$18:$O$25,$A835),"")</f>
        <v/>
      </c>
      <c r="D835">
        <f t="array" ref="D835">IFERROR(INDEX('TRIP MANAGER'!$P$18:$P$25,$A835),"")</f>
        <v/>
      </c>
      <c r="E835">
        <f t="array" ref="E835">IFERROR(INDEX('TRIP MANAGER'!$Q$18:$Q$25,$A835),"")</f>
        <v/>
      </c>
      <c r="F835">
        <f t="array" ref="F835">IFERROR(INDEX('TRIP MANAGER'!$R$18:$R$25,$A835),"")</f>
        <v/>
      </c>
      <c r="G835">
        <f t="array" ref="G835">IFERROR(INDEX('TRIP MANAGER'!$S$18:$S$25,$A835),"")</f>
        <v/>
      </c>
      <c r="H835">
        <f>$B835/150</f>
        <v/>
      </c>
      <c r="I835">
        <f>IF(OR($G835="",$G835=0),"",SIN((1-$H835)*$G835)/SIN($G835))</f>
        <v/>
      </c>
      <c r="J835">
        <f>IF($I835="","",SIN($H835*$G835)/SIN($G835))</f>
        <v/>
      </c>
      <c r="K835">
        <f>IF($I835="","",$I835*COS(RADIANS($C835))*COS(RADIANS($D835))+$J835*COS(RADIANS($E835))*COS(RADIANS($F835)))</f>
        <v/>
      </c>
      <c r="L835">
        <f>IF($I835="","",$I835*COS(RADIANS($C835))*SIN(RADIANS($D835))+$J835*COS(RADIANS($E835))*SIN(RADIANS($F835)))</f>
        <v/>
      </c>
      <c r="M835">
        <f>IF($I835="","",$I835*SIN(RADIANS($C835))+$J835*SIN(RADIANS($E835)))</f>
        <v/>
      </c>
      <c r="N835">
        <f>IF($M835="","",DEGREES(ATAN2(SQRT($K835^2+$L835^2),$M835)))</f>
        <v/>
      </c>
      <c r="O835">
        <f>IF($M835="","",DEGREES(ATAN2($K835,$L835)))</f>
        <v/>
      </c>
      <c r="P835">
        <f t="array" ref="P835">IF($N835="","",IFERROR(IF(INDEX(geo_grid!$B$2:$JU$231,INT(($N835+40)/0.5)+1,INT(($O835+30)/0.5)+1)="","",INDEX(geo_grid!$B$2:$JU$231,INT(($N835+40)/0.5)+1,INT(($O835+30)/0.5)+1)),"OUTSIDE GRID"))</f>
        <v/>
      </c>
      <c r="Q835">
        <f>IF($P835="","",$A835*1000+$B835)</f>
        <v/>
      </c>
    </row>
    <row r="836">
      <c r="A836">
        <f>INT((ROW()-2)/151)+1</f>
        <v/>
      </c>
      <c r="B836">
        <f>MOD(ROW()-2,151)</f>
        <v/>
      </c>
      <c r="C836">
        <f t="array" ref="C836">IFERROR(INDEX('TRIP MANAGER'!$O$18:$O$25,$A836),"")</f>
        <v/>
      </c>
      <c r="D836">
        <f t="array" ref="D836">IFERROR(INDEX('TRIP MANAGER'!$P$18:$P$25,$A836),"")</f>
        <v/>
      </c>
      <c r="E836">
        <f t="array" ref="E836">IFERROR(INDEX('TRIP MANAGER'!$Q$18:$Q$25,$A836),"")</f>
        <v/>
      </c>
      <c r="F836">
        <f t="array" ref="F836">IFERROR(INDEX('TRIP MANAGER'!$R$18:$R$25,$A836),"")</f>
        <v/>
      </c>
      <c r="G836">
        <f t="array" ref="G836">IFERROR(INDEX('TRIP MANAGER'!$S$18:$S$25,$A836),"")</f>
        <v/>
      </c>
      <c r="H836">
        <f>$B836/150</f>
        <v/>
      </c>
      <c r="I836">
        <f>IF(OR($G836="",$G836=0),"",SIN((1-$H836)*$G836)/SIN($G836))</f>
        <v/>
      </c>
      <c r="J836">
        <f>IF($I836="","",SIN($H836*$G836)/SIN($G836))</f>
        <v/>
      </c>
      <c r="K836">
        <f>IF($I836="","",$I836*COS(RADIANS($C836))*COS(RADIANS($D836))+$J836*COS(RADIANS($E836))*COS(RADIANS($F836)))</f>
        <v/>
      </c>
      <c r="L836">
        <f>IF($I836="","",$I836*COS(RADIANS($C836))*SIN(RADIANS($D836))+$J836*COS(RADIANS($E836))*SIN(RADIANS($F836)))</f>
        <v/>
      </c>
      <c r="M836">
        <f>IF($I836="","",$I836*SIN(RADIANS($C836))+$J836*SIN(RADIANS($E836)))</f>
        <v/>
      </c>
      <c r="N836">
        <f>IF($M836="","",DEGREES(ATAN2(SQRT($K836^2+$L836^2),$M836)))</f>
        <v/>
      </c>
      <c r="O836">
        <f>IF($M836="","",DEGREES(ATAN2($K836,$L836)))</f>
        <v/>
      </c>
      <c r="P836">
        <f t="array" ref="P836">IF($N836="","",IFERROR(IF(INDEX(geo_grid!$B$2:$JU$231,INT(($N836+40)/0.5)+1,INT(($O836+30)/0.5)+1)="","",INDEX(geo_grid!$B$2:$JU$231,INT(($N836+40)/0.5)+1,INT(($O836+30)/0.5)+1)),"OUTSIDE GRID"))</f>
        <v/>
      </c>
      <c r="Q836">
        <f>IF($P836="","",$A836*1000+$B836)</f>
        <v/>
      </c>
    </row>
    <row r="837">
      <c r="A837">
        <f>INT((ROW()-2)/151)+1</f>
        <v/>
      </c>
      <c r="B837">
        <f>MOD(ROW()-2,151)</f>
        <v/>
      </c>
      <c r="C837">
        <f t="array" ref="C837">IFERROR(INDEX('TRIP MANAGER'!$O$18:$O$25,$A837),"")</f>
        <v/>
      </c>
      <c r="D837">
        <f t="array" ref="D837">IFERROR(INDEX('TRIP MANAGER'!$P$18:$P$25,$A837),"")</f>
        <v/>
      </c>
      <c r="E837">
        <f t="array" ref="E837">IFERROR(INDEX('TRIP MANAGER'!$Q$18:$Q$25,$A837),"")</f>
        <v/>
      </c>
      <c r="F837">
        <f t="array" ref="F837">IFERROR(INDEX('TRIP MANAGER'!$R$18:$R$25,$A837),"")</f>
        <v/>
      </c>
      <c r="G837">
        <f t="array" ref="G837">IFERROR(INDEX('TRIP MANAGER'!$S$18:$S$25,$A837),"")</f>
        <v/>
      </c>
      <c r="H837">
        <f>$B837/150</f>
        <v/>
      </c>
      <c r="I837">
        <f>IF(OR($G837="",$G837=0),"",SIN((1-$H837)*$G837)/SIN($G837))</f>
        <v/>
      </c>
      <c r="J837">
        <f>IF($I837="","",SIN($H837*$G837)/SIN($G837))</f>
        <v/>
      </c>
      <c r="K837">
        <f>IF($I837="","",$I837*COS(RADIANS($C837))*COS(RADIANS($D837))+$J837*COS(RADIANS($E837))*COS(RADIANS($F837)))</f>
        <v/>
      </c>
      <c r="L837">
        <f>IF($I837="","",$I837*COS(RADIANS($C837))*SIN(RADIANS($D837))+$J837*COS(RADIANS($E837))*SIN(RADIANS($F837)))</f>
        <v/>
      </c>
      <c r="M837">
        <f>IF($I837="","",$I837*SIN(RADIANS($C837))+$J837*SIN(RADIANS($E837)))</f>
        <v/>
      </c>
      <c r="N837">
        <f>IF($M837="","",DEGREES(ATAN2(SQRT($K837^2+$L837^2),$M837)))</f>
        <v/>
      </c>
      <c r="O837">
        <f>IF($M837="","",DEGREES(ATAN2($K837,$L837)))</f>
        <v/>
      </c>
      <c r="P837">
        <f t="array" ref="P837">IF($N837="","",IFERROR(IF(INDEX(geo_grid!$B$2:$JU$231,INT(($N837+40)/0.5)+1,INT(($O837+30)/0.5)+1)="","",INDEX(geo_grid!$B$2:$JU$231,INT(($N837+40)/0.5)+1,INT(($O837+30)/0.5)+1)),"OUTSIDE GRID"))</f>
        <v/>
      </c>
      <c r="Q837">
        <f>IF($P837="","",$A837*1000+$B837)</f>
        <v/>
      </c>
    </row>
    <row r="838">
      <c r="A838">
        <f>INT((ROW()-2)/151)+1</f>
        <v/>
      </c>
      <c r="B838">
        <f>MOD(ROW()-2,151)</f>
        <v/>
      </c>
      <c r="C838">
        <f t="array" ref="C838">IFERROR(INDEX('TRIP MANAGER'!$O$18:$O$25,$A838),"")</f>
        <v/>
      </c>
      <c r="D838">
        <f t="array" ref="D838">IFERROR(INDEX('TRIP MANAGER'!$P$18:$P$25,$A838),"")</f>
        <v/>
      </c>
      <c r="E838">
        <f t="array" ref="E838">IFERROR(INDEX('TRIP MANAGER'!$Q$18:$Q$25,$A838),"")</f>
        <v/>
      </c>
      <c r="F838">
        <f t="array" ref="F838">IFERROR(INDEX('TRIP MANAGER'!$R$18:$R$25,$A838),"")</f>
        <v/>
      </c>
      <c r="G838">
        <f t="array" ref="G838">IFERROR(INDEX('TRIP MANAGER'!$S$18:$S$25,$A838),"")</f>
        <v/>
      </c>
      <c r="H838">
        <f>$B838/150</f>
        <v/>
      </c>
      <c r="I838">
        <f>IF(OR($G838="",$G838=0),"",SIN((1-$H838)*$G838)/SIN($G838))</f>
        <v/>
      </c>
      <c r="J838">
        <f>IF($I838="","",SIN($H838*$G838)/SIN($G838))</f>
        <v/>
      </c>
      <c r="K838">
        <f>IF($I838="","",$I838*COS(RADIANS($C838))*COS(RADIANS($D838))+$J838*COS(RADIANS($E838))*COS(RADIANS($F838)))</f>
        <v/>
      </c>
      <c r="L838">
        <f>IF($I838="","",$I838*COS(RADIANS($C838))*SIN(RADIANS($D838))+$J838*COS(RADIANS($E838))*SIN(RADIANS($F838)))</f>
        <v/>
      </c>
      <c r="M838">
        <f>IF($I838="","",$I838*SIN(RADIANS($C838))+$J838*SIN(RADIANS($E838)))</f>
        <v/>
      </c>
      <c r="N838">
        <f>IF($M838="","",DEGREES(ATAN2(SQRT($K838^2+$L838^2),$M838)))</f>
        <v/>
      </c>
      <c r="O838">
        <f>IF($M838="","",DEGREES(ATAN2($K838,$L838)))</f>
        <v/>
      </c>
      <c r="P838">
        <f t="array" ref="P838">IF($N838="","",IFERROR(IF(INDEX(geo_grid!$B$2:$JU$231,INT(($N838+40)/0.5)+1,INT(($O838+30)/0.5)+1)="","",INDEX(geo_grid!$B$2:$JU$231,INT(($N838+40)/0.5)+1,INT(($O838+30)/0.5)+1)),"OUTSIDE GRID"))</f>
        <v/>
      </c>
      <c r="Q838">
        <f>IF($P838="","",$A838*1000+$B838)</f>
        <v/>
      </c>
    </row>
    <row r="839">
      <c r="A839">
        <f>INT((ROW()-2)/151)+1</f>
        <v/>
      </c>
      <c r="B839">
        <f>MOD(ROW()-2,151)</f>
        <v/>
      </c>
      <c r="C839">
        <f t="array" ref="C839">IFERROR(INDEX('TRIP MANAGER'!$O$18:$O$25,$A839),"")</f>
        <v/>
      </c>
      <c r="D839">
        <f t="array" ref="D839">IFERROR(INDEX('TRIP MANAGER'!$P$18:$P$25,$A839),"")</f>
        <v/>
      </c>
      <c r="E839">
        <f t="array" ref="E839">IFERROR(INDEX('TRIP MANAGER'!$Q$18:$Q$25,$A839),"")</f>
        <v/>
      </c>
      <c r="F839">
        <f t="array" ref="F839">IFERROR(INDEX('TRIP MANAGER'!$R$18:$R$25,$A839),"")</f>
        <v/>
      </c>
      <c r="G839">
        <f t="array" ref="G839">IFERROR(INDEX('TRIP MANAGER'!$S$18:$S$25,$A839),"")</f>
        <v/>
      </c>
      <c r="H839">
        <f>$B839/150</f>
        <v/>
      </c>
      <c r="I839">
        <f>IF(OR($G839="",$G839=0),"",SIN((1-$H839)*$G839)/SIN($G839))</f>
        <v/>
      </c>
      <c r="J839">
        <f>IF($I839="","",SIN($H839*$G839)/SIN($G839))</f>
        <v/>
      </c>
      <c r="K839">
        <f>IF($I839="","",$I839*COS(RADIANS($C839))*COS(RADIANS($D839))+$J839*COS(RADIANS($E839))*COS(RADIANS($F839)))</f>
        <v/>
      </c>
      <c r="L839">
        <f>IF($I839="","",$I839*COS(RADIANS($C839))*SIN(RADIANS($D839))+$J839*COS(RADIANS($E839))*SIN(RADIANS($F839)))</f>
        <v/>
      </c>
      <c r="M839">
        <f>IF($I839="","",$I839*SIN(RADIANS($C839))+$J839*SIN(RADIANS($E839)))</f>
        <v/>
      </c>
      <c r="N839">
        <f>IF($M839="","",DEGREES(ATAN2(SQRT($K839^2+$L839^2),$M839)))</f>
        <v/>
      </c>
      <c r="O839">
        <f>IF($M839="","",DEGREES(ATAN2($K839,$L839)))</f>
        <v/>
      </c>
      <c r="P839">
        <f t="array" ref="P839">IF($N839="","",IFERROR(IF(INDEX(geo_grid!$B$2:$JU$231,INT(($N839+40)/0.5)+1,INT(($O839+30)/0.5)+1)="","",INDEX(geo_grid!$B$2:$JU$231,INT(($N839+40)/0.5)+1,INT(($O839+30)/0.5)+1)),"OUTSIDE GRID"))</f>
        <v/>
      </c>
      <c r="Q839">
        <f>IF($P839="","",$A839*1000+$B839)</f>
        <v/>
      </c>
    </row>
    <row r="840">
      <c r="A840">
        <f>INT((ROW()-2)/151)+1</f>
        <v/>
      </c>
      <c r="B840">
        <f>MOD(ROW()-2,151)</f>
        <v/>
      </c>
      <c r="C840">
        <f t="array" ref="C840">IFERROR(INDEX('TRIP MANAGER'!$O$18:$O$25,$A840),"")</f>
        <v/>
      </c>
      <c r="D840">
        <f t="array" ref="D840">IFERROR(INDEX('TRIP MANAGER'!$P$18:$P$25,$A840),"")</f>
        <v/>
      </c>
      <c r="E840">
        <f t="array" ref="E840">IFERROR(INDEX('TRIP MANAGER'!$Q$18:$Q$25,$A840),"")</f>
        <v/>
      </c>
      <c r="F840">
        <f t="array" ref="F840">IFERROR(INDEX('TRIP MANAGER'!$R$18:$R$25,$A840),"")</f>
        <v/>
      </c>
      <c r="G840">
        <f t="array" ref="G840">IFERROR(INDEX('TRIP MANAGER'!$S$18:$S$25,$A840),"")</f>
        <v/>
      </c>
      <c r="H840">
        <f>$B840/150</f>
        <v/>
      </c>
      <c r="I840">
        <f>IF(OR($G840="",$G840=0),"",SIN((1-$H840)*$G840)/SIN($G840))</f>
        <v/>
      </c>
      <c r="J840">
        <f>IF($I840="","",SIN($H840*$G840)/SIN($G840))</f>
        <v/>
      </c>
      <c r="K840">
        <f>IF($I840="","",$I840*COS(RADIANS($C840))*COS(RADIANS($D840))+$J840*COS(RADIANS($E840))*COS(RADIANS($F840)))</f>
        <v/>
      </c>
      <c r="L840">
        <f>IF($I840="","",$I840*COS(RADIANS($C840))*SIN(RADIANS($D840))+$J840*COS(RADIANS($E840))*SIN(RADIANS($F840)))</f>
        <v/>
      </c>
      <c r="M840">
        <f>IF($I840="","",$I840*SIN(RADIANS($C840))+$J840*SIN(RADIANS($E840)))</f>
        <v/>
      </c>
      <c r="N840">
        <f>IF($M840="","",DEGREES(ATAN2(SQRT($K840^2+$L840^2),$M840)))</f>
        <v/>
      </c>
      <c r="O840">
        <f>IF($M840="","",DEGREES(ATAN2($K840,$L840)))</f>
        <v/>
      </c>
      <c r="P840">
        <f t="array" ref="P840">IF($N840="","",IFERROR(IF(INDEX(geo_grid!$B$2:$JU$231,INT(($N840+40)/0.5)+1,INT(($O840+30)/0.5)+1)="","",INDEX(geo_grid!$B$2:$JU$231,INT(($N840+40)/0.5)+1,INT(($O840+30)/0.5)+1)),"OUTSIDE GRID"))</f>
        <v/>
      </c>
      <c r="Q840">
        <f>IF($P840="","",$A840*1000+$B840)</f>
        <v/>
      </c>
    </row>
    <row r="841">
      <c r="A841">
        <f>INT((ROW()-2)/151)+1</f>
        <v/>
      </c>
      <c r="B841">
        <f>MOD(ROW()-2,151)</f>
        <v/>
      </c>
      <c r="C841">
        <f t="array" ref="C841">IFERROR(INDEX('TRIP MANAGER'!$O$18:$O$25,$A841),"")</f>
        <v/>
      </c>
      <c r="D841">
        <f t="array" ref="D841">IFERROR(INDEX('TRIP MANAGER'!$P$18:$P$25,$A841),"")</f>
        <v/>
      </c>
      <c r="E841">
        <f t="array" ref="E841">IFERROR(INDEX('TRIP MANAGER'!$Q$18:$Q$25,$A841),"")</f>
        <v/>
      </c>
      <c r="F841">
        <f t="array" ref="F841">IFERROR(INDEX('TRIP MANAGER'!$R$18:$R$25,$A841),"")</f>
        <v/>
      </c>
      <c r="G841">
        <f t="array" ref="G841">IFERROR(INDEX('TRIP MANAGER'!$S$18:$S$25,$A841),"")</f>
        <v/>
      </c>
      <c r="H841">
        <f>$B841/150</f>
        <v/>
      </c>
      <c r="I841">
        <f>IF(OR($G841="",$G841=0),"",SIN((1-$H841)*$G841)/SIN($G841))</f>
        <v/>
      </c>
      <c r="J841">
        <f>IF($I841="","",SIN($H841*$G841)/SIN($G841))</f>
        <v/>
      </c>
      <c r="K841">
        <f>IF($I841="","",$I841*COS(RADIANS($C841))*COS(RADIANS($D841))+$J841*COS(RADIANS($E841))*COS(RADIANS($F841)))</f>
        <v/>
      </c>
      <c r="L841">
        <f>IF($I841="","",$I841*COS(RADIANS($C841))*SIN(RADIANS($D841))+$J841*COS(RADIANS($E841))*SIN(RADIANS($F841)))</f>
        <v/>
      </c>
      <c r="M841">
        <f>IF($I841="","",$I841*SIN(RADIANS($C841))+$J841*SIN(RADIANS($E841)))</f>
        <v/>
      </c>
      <c r="N841">
        <f>IF($M841="","",DEGREES(ATAN2(SQRT($K841^2+$L841^2),$M841)))</f>
        <v/>
      </c>
      <c r="O841">
        <f>IF($M841="","",DEGREES(ATAN2($K841,$L841)))</f>
        <v/>
      </c>
      <c r="P841">
        <f t="array" ref="P841">IF($N841="","",IFERROR(IF(INDEX(geo_grid!$B$2:$JU$231,INT(($N841+40)/0.5)+1,INT(($O841+30)/0.5)+1)="","",INDEX(geo_grid!$B$2:$JU$231,INT(($N841+40)/0.5)+1,INT(($O841+30)/0.5)+1)),"OUTSIDE GRID"))</f>
        <v/>
      </c>
      <c r="Q841">
        <f>IF($P841="","",$A841*1000+$B841)</f>
        <v/>
      </c>
    </row>
    <row r="842">
      <c r="A842">
        <f>INT((ROW()-2)/151)+1</f>
        <v/>
      </c>
      <c r="B842">
        <f>MOD(ROW()-2,151)</f>
        <v/>
      </c>
      <c r="C842">
        <f t="array" ref="C842">IFERROR(INDEX('TRIP MANAGER'!$O$18:$O$25,$A842),"")</f>
        <v/>
      </c>
      <c r="D842">
        <f t="array" ref="D842">IFERROR(INDEX('TRIP MANAGER'!$P$18:$P$25,$A842),"")</f>
        <v/>
      </c>
      <c r="E842">
        <f t="array" ref="E842">IFERROR(INDEX('TRIP MANAGER'!$Q$18:$Q$25,$A842),"")</f>
        <v/>
      </c>
      <c r="F842">
        <f t="array" ref="F842">IFERROR(INDEX('TRIP MANAGER'!$R$18:$R$25,$A842),"")</f>
        <v/>
      </c>
      <c r="G842">
        <f t="array" ref="G842">IFERROR(INDEX('TRIP MANAGER'!$S$18:$S$25,$A842),"")</f>
        <v/>
      </c>
      <c r="H842">
        <f>$B842/150</f>
        <v/>
      </c>
      <c r="I842">
        <f>IF(OR($G842="",$G842=0),"",SIN((1-$H842)*$G842)/SIN($G842))</f>
        <v/>
      </c>
      <c r="J842">
        <f>IF($I842="","",SIN($H842*$G842)/SIN($G842))</f>
        <v/>
      </c>
      <c r="K842">
        <f>IF($I842="","",$I842*COS(RADIANS($C842))*COS(RADIANS($D842))+$J842*COS(RADIANS($E842))*COS(RADIANS($F842)))</f>
        <v/>
      </c>
      <c r="L842">
        <f>IF($I842="","",$I842*COS(RADIANS($C842))*SIN(RADIANS($D842))+$J842*COS(RADIANS($E842))*SIN(RADIANS($F842)))</f>
        <v/>
      </c>
      <c r="M842">
        <f>IF($I842="","",$I842*SIN(RADIANS($C842))+$J842*SIN(RADIANS($E842)))</f>
        <v/>
      </c>
      <c r="N842">
        <f>IF($M842="","",DEGREES(ATAN2(SQRT($K842^2+$L842^2),$M842)))</f>
        <v/>
      </c>
      <c r="O842">
        <f>IF($M842="","",DEGREES(ATAN2($K842,$L842)))</f>
        <v/>
      </c>
      <c r="P842">
        <f t="array" ref="P842">IF($N842="","",IFERROR(IF(INDEX(geo_grid!$B$2:$JU$231,INT(($N842+40)/0.5)+1,INT(($O842+30)/0.5)+1)="","",INDEX(geo_grid!$B$2:$JU$231,INT(($N842+40)/0.5)+1,INT(($O842+30)/0.5)+1)),"OUTSIDE GRID"))</f>
        <v/>
      </c>
      <c r="Q842">
        <f>IF($P842="","",$A842*1000+$B842)</f>
        <v/>
      </c>
    </row>
    <row r="843">
      <c r="A843">
        <f>INT((ROW()-2)/151)+1</f>
        <v/>
      </c>
      <c r="B843">
        <f>MOD(ROW()-2,151)</f>
        <v/>
      </c>
      <c r="C843">
        <f t="array" ref="C843">IFERROR(INDEX('TRIP MANAGER'!$O$18:$O$25,$A843),"")</f>
        <v/>
      </c>
      <c r="D843">
        <f t="array" ref="D843">IFERROR(INDEX('TRIP MANAGER'!$P$18:$P$25,$A843),"")</f>
        <v/>
      </c>
      <c r="E843">
        <f t="array" ref="E843">IFERROR(INDEX('TRIP MANAGER'!$Q$18:$Q$25,$A843),"")</f>
        <v/>
      </c>
      <c r="F843">
        <f t="array" ref="F843">IFERROR(INDEX('TRIP MANAGER'!$R$18:$R$25,$A843),"")</f>
        <v/>
      </c>
      <c r="G843">
        <f t="array" ref="G843">IFERROR(INDEX('TRIP MANAGER'!$S$18:$S$25,$A843),"")</f>
        <v/>
      </c>
      <c r="H843">
        <f>$B843/150</f>
        <v/>
      </c>
      <c r="I843">
        <f>IF(OR($G843="",$G843=0),"",SIN((1-$H843)*$G843)/SIN($G843))</f>
        <v/>
      </c>
      <c r="J843">
        <f>IF($I843="","",SIN($H843*$G843)/SIN($G843))</f>
        <v/>
      </c>
      <c r="K843">
        <f>IF($I843="","",$I843*COS(RADIANS($C843))*COS(RADIANS($D843))+$J843*COS(RADIANS($E843))*COS(RADIANS($F843)))</f>
        <v/>
      </c>
      <c r="L843">
        <f>IF($I843="","",$I843*COS(RADIANS($C843))*SIN(RADIANS($D843))+$J843*COS(RADIANS($E843))*SIN(RADIANS($F843)))</f>
        <v/>
      </c>
      <c r="M843">
        <f>IF($I843="","",$I843*SIN(RADIANS($C843))+$J843*SIN(RADIANS($E843)))</f>
        <v/>
      </c>
      <c r="N843">
        <f>IF($M843="","",DEGREES(ATAN2(SQRT($K843^2+$L843^2),$M843)))</f>
        <v/>
      </c>
      <c r="O843">
        <f>IF($M843="","",DEGREES(ATAN2($K843,$L843)))</f>
        <v/>
      </c>
      <c r="P843">
        <f t="array" ref="P843">IF($N843="","",IFERROR(IF(INDEX(geo_grid!$B$2:$JU$231,INT(($N843+40)/0.5)+1,INT(($O843+30)/0.5)+1)="","",INDEX(geo_grid!$B$2:$JU$231,INT(($N843+40)/0.5)+1,INT(($O843+30)/0.5)+1)),"OUTSIDE GRID"))</f>
        <v/>
      </c>
      <c r="Q843">
        <f>IF($P843="","",$A843*1000+$B843)</f>
        <v/>
      </c>
    </row>
    <row r="844">
      <c r="A844">
        <f>INT((ROW()-2)/151)+1</f>
        <v/>
      </c>
      <c r="B844">
        <f>MOD(ROW()-2,151)</f>
        <v/>
      </c>
      <c r="C844">
        <f t="array" ref="C844">IFERROR(INDEX('TRIP MANAGER'!$O$18:$O$25,$A844),"")</f>
        <v/>
      </c>
      <c r="D844">
        <f t="array" ref="D844">IFERROR(INDEX('TRIP MANAGER'!$P$18:$P$25,$A844),"")</f>
        <v/>
      </c>
      <c r="E844">
        <f t="array" ref="E844">IFERROR(INDEX('TRIP MANAGER'!$Q$18:$Q$25,$A844),"")</f>
        <v/>
      </c>
      <c r="F844">
        <f t="array" ref="F844">IFERROR(INDEX('TRIP MANAGER'!$R$18:$R$25,$A844),"")</f>
        <v/>
      </c>
      <c r="G844">
        <f t="array" ref="G844">IFERROR(INDEX('TRIP MANAGER'!$S$18:$S$25,$A844),"")</f>
        <v/>
      </c>
      <c r="H844">
        <f>$B844/150</f>
        <v/>
      </c>
      <c r="I844">
        <f>IF(OR($G844="",$G844=0),"",SIN((1-$H844)*$G844)/SIN($G844))</f>
        <v/>
      </c>
      <c r="J844">
        <f>IF($I844="","",SIN($H844*$G844)/SIN($G844))</f>
        <v/>
      </c>
      <c r="K844">
        <f>IF($I844="","",$I844*COS(RADIANS($C844))*COS(RADIANS($D844))+$J844*COS(RADIANS($E844))*COS(RADIANS($F844)))</f>
        <v/>
      </c>
      <c r="L844">
        <f>IF($I844="","",$I844*COS(RADIANS($C844))*SIN(RADIANS($D844))+$J844*COS(RADIANS($E844))*SIN(RADIANS($F844)))</f>
        <v/>
      </c>
      <c r="M844">
        <f>IF($I844="","",$I844*SIN(RADIANS($C844))+$J844*SIN(RADIANS($E844)))</f>
        <v/>
      </c>
      <c r="N844">
        <f>IF($M844="","",DEGREES(ATAN2(SQRT($K844^2+$L844^2),$M844)))</f>
        <v/>
      </c>
      <c r="O844">
        <f>IF($M844="","",DEGREES(ATAN2($K844,$L844)))</f>
        <v/>
      </c>
      <c r="P844">
        <f t="array" ref="P844">IF($N844="","",IFERROR(IF(INDEX(geo_grid!$B$2:$JU$231,INT(($N844+40)/0.5)+1,INT(($O844+30)/0.5)+1)="","",INDEX(geo_grid!$B$2:$JU$231,INT(($N844+40)/0.5)+1,INT(($O844+30)/0.5)+1)),"OUTSIDE GRID"))</f>
        <v/>
      </c>
      <c r="Q844">
        <f>IF($P844="","",$A844*1000+$B844)</f>
        <v/>
      </c>
    </row>
    <row r="845">
      <c r="A845">
        <f>INT((ROW()-2)/151)+1</f>
        <v/>
      </c>
      <c r="B845">
        <f>MOD(ROW()-2,151)</f>
        <v/>
      </c>
      <c r="C845">
        <f t="array" ref="C845">IFERROR(INDEX('TRIP MANAGER'!$O$18:$O$25,$A845),"")</f>
        <v/>
      </c>
      <c r="D845">
        <f t="array" ref="D845">IFERROR(INDEX('TRIP MANAGER'!$P$18:$P$25,$A845),"")</f>
        <v/>
      </c>
      <c r="E845">
        <f t="array" ref="E845">IFERROR(INDEX('TRIP MANAGER'!$Q$18:$Q$25,$A845),"")</f>
        <v/>
      </c>
      <c r="F845">
        <f t="array" ref="F845">IFERROR(INDEX('TRIP MANAGER'!$R$18:$R$25,$A845),"")</f>
        <v/>
      </c>
      <c r="G845">
        <f t="array" ref="G845">IFERROR(INDEX('TRIP MANAGER'!$S$18:$S$25,$A845),"")</f>
        <v/>
      </c>
      <c r="H845">
        <f>$B845/150</f>
        <v/>
      </c>
      <c r="I845">
        <f>IF(OR($G845="",$G845=0),"",SIN((1-$H845)*$G845)/SIN($G845))</f>
        <v/>
      </c>
      <c r="J845">
        <f>IF($I845="","",SIN($H845*$G845)/SIN($G845))</f>
        <v/>
      </c>
      <c r="K845">
        <f>IF($I845="","",$I845*COS(RADIANS($C845))*COS(RADIANS($D845))+$J845*COS(RADIANS($E845))*COS(RADIANS($F845)))</f>
        <v/>
      </c>
      <c r="L845">
        <f>IF($I845="","",$I845*COS(RADIANS($C845))*SIN(RADIANS($D845))+$J845*COS(RADIANS($E845))*SIN(RADIANS($F845)))</f>
        <v/>
      </c>
      <c r="M845">
        <f>IF($I845="","",$I845*SIN(RADIANS($C845))+$J845*SIN(RADIANS($E845)))</f>
        <v/>
      </c>
      <c r="N845">
        <f>IF($M845="","",DEGREES(ATAN2(SQRT($K845^2+$L845^2),$M845)))</f>
        <v/>
      </c>
      <c r="O845">
        <f>IF($M845="","",DEGREES(ATAN2($K845,$L845)))</f>
        <v/>
      </c>
      <c r="P845">
        <f t="array" ref="P845">IF($N845="","",IFERROR(IF(INDEX(geo_grid!$B$2:$JU$231,INT(($N845+40)/0.5)+1,INT(($O845+30)/0.5)+1)="","",INDEX(geo_grid!$B$2:$JU$231,INT(($N845+40)/0.5)+1,INT(($O845+30)/0.5)+1)),"OUTSIDE GRID"))</f>
        <v/>
      </c>
      <c r="Q845">
        <f>IF($P845="","",$A845*1000+$B845)</f>
        <v/>
      </c>
    </row>
    <row r="846">
      <c r="A846">
        <f>INT((ROW()-2)/151)+1</f>
        <v/>
      </c>
      <c r="B846">
        <f>MOD(ROW()-2,151)</f>
        <v/>
      </c>
      <c r="C846">
        <f t="array" ref="C846">IFERROR(INDEX('TRIP MANAGER'!$O$18:$O$25,$A846),"")</f>
        <v/>
      </c>
      <c r="D846">
        <f t="array" ref="D846">IFERROR(INDEX('TRIP MANAGER'!$P$18:$P$25,$A846),"")</f>
        <v/>
      </c>
      <c r="E846">
        <f t="array" ref="E846">IFERROR(INDEX('TRIP MANAGER'!$Q$18:$Q$25,$A846),"")</f>
        <v/>
      </c>
      <c r="F846">
        <f t="array" ref="F846">IFERROR(INDEX('TRIP MANAGER'!$R$18:$R$25,$A846),"")</f>
        <v/>
      </c>
      <c r="G846">
        <f t="array" ref="G846">IFERROR(INDEX('TRIP MANAGER'!$S$18:$S$25,$A846),"")</f>
        <v/>
      </c>
      <c r="H846">
        <f>$B846/150</f>
        <v/>
      </c>
      <c r="I846">
        <f>IF(OR($G846="",$G846=0),"",SIN((1-$H846)*$G846)/SIN($G846))</f>
        <v/>
      </c>
      <c r="J846">
        <f>IF($I846="","",SIN($H846*$G846)/SIN($G846))</f>
        <v/>
      </c>
      <c r="K846">
        <f>IF($I846="","",$I846*COS(RADIANS($C846))*COS(RADIANS($D846))+$J846*COS(RADIANS($E846))*COS(RADIANS($F846)))</f>
        <v/>
      </c>
      <c r="L846">
        <f>IF($I846="","",$I846*COS(RADIANS($C846))*SIN(RADIANS($D846))+$J846*COS(RADIANS($E846))*SIN(RADIANS($F846)))</f>
        <v/>
      </c>
      <c r="M846">
        <f>IF($I846="","",$I846*SIN(RADIANS($C846))+$J846*SIN(RADIANS($E846)))</f>
        <v/>
      </c>
      <c r="N846">
        <f>IF($M846="","",DEGREES(ATAN2(SQRT($K846^2+$L846^2),$M846)))</f>
        <v/>
      </c>
      <c r="O846">
        <f>IF($M846="","",DEGREES(ATAN2($K846,$L846)))</f>
        <v/>
      </c>
      <c r="P846">
        <f t="array" ref="P846">IF($N846="","",IFERROR(IF(INDEX(geo_grid!$B$2:$JU$231,INT(($N846+40)/0.5)+1,INT(($O846+30)/0.5)+1)="","",INDEX(geo_grid!$B$2:$JU$231,INT(($N846+40)/0.5)+1,INT(($O846+30)/0.5)+1)),"OUTSIDE GRID"))</f>
        <v/>
      </c>
      <c r="Q846">
        <f>IF($P846="","",$A846*1000+$B846)</f>
        <v/>
      </c>
    </row>
    <row r="847">
      <c r="A847">
        <f>INT((ROW()-2)/151)+1</f>
        <v/>
      </c>
      <c r="B847">
        <f>MOD(ROW()-2,151)</f>
        <v/>
      </c>
      <c r="C847">
        <f t="array" ref="C847">IFERROR(INDEX('TRIP MANAGER'!$O$18:$O$25,$A847),"")</f>
        <v/>
      </c>
      <c r="D847">
        <f t="array" ref="D847">IFERROR(INDEX('TRIP MANAGER'!$P$18:$P$25,$A847),"")</f>
        <v/>
      </c>
      <c r="E847">
        <f t="array" ref="E847">IFERROR(INDEX('TRIP MANAGER'!$Q$18:$Q$25,$A847),"")</f>
        <v/>
      </c>
      <c r="F847">
        <f t="array" ref="F847">IFERROR(INDEX('TRIP MANAGER'!$R$18:$R$25,$A847),"")</f>
        <v/>
      </c>
      <c r="G847">
        <f t="array" ref="G847">IFERROR(INDEX('TRIP MANAGER'!$S$18:$S$25,$A847),"")</f>
        <v/>
      </c>
      <c r="H847">
        <f>$B847/150</f>
        <v/>
      </c>
      <c r="I847">
        <f>IF(OR($G847="",$G847=0),"",SIN((1-$H847)*$G847)/SIN($G847))</f>
        <v/>
      </c>
      <c r="J847">
        <f>IF($I847="","",SIN($H847*$G847)/SIN($G847))</f>
        <v/>
      </c>
      <c r="K847">
        <f>IF($I847="","",$I847*COS(RADIANS($C847))*COS(RADIANS($D847))+$J847*COS(RADIANS($E847))*COS(RADIANS($F847)))</f>
        <v/>
      </c>
      <c r="L847">
        <f>IF($I847="","",$I847*COS(RADIANS($C847))*SIN(RADIANS($D847))+$J847*COS(RADIANS($E847))*SIN(RADIANS($F847)))</f>
        <v/>
      </c>
      <c r="M847">
        <f>IF($I847="","",$I847*SIN(RADIANS($C847))+$J847*SIN(RADIANS($E847)))</f>
        <v/>
      </c>
      <c r="N847">
        <f>IF($M847="","",DEGREES(ATAN2(SQRT($K847^2+$L847^2),$M847)))</f>
        <v/>
      </c>
      <c r="O847">
        <f>IF($M847="","",DEGREES(ATAN2($K847,$L847)))</f>
        <v/>
      </c>
      <c r="P847">
        <f t="array" ref="P847">IF($N847="","",IFERROR(IF(INDEX(geo_grid!$B$2:$JU$231,INT(($N847+40)/0.5)+1,INT(($O847+30)/0.5)+1)="","",INDEX(geo_grid!$B$2:$JU$231,INT(($N847+40)/0.5)+1,INT(($O847+30)/0.5)+1)),"OUTSIDE GRID"))</f>
        <v/>
      </c>
      <c r="Q847">
        <f>IF($P847="","",$A847*1000+$B847)</f>
        <v/>
      </c>
    </row>
    <row r="848">
      <c r="A848">
        <f>INT((ROW()-2)/151)+1</f>
        <v/>
      </c>
      <c r="B848">
        <f>MOD(ROW()-2,151)</f>
        <v/>
      </c>
      <c r="C848">
        <f t="array" ref="C848">IFERROR(INDEX('TRIP MANAGER'!$O$18:$O$25,$A848),"")</f>
        <v/>
      </c>
      <c r="D848">
        <f t="array" ref="D848">IFERROR(INDEX('TRIP MANAGER'!$P$18:$P$25,$A848),"")</f>
        <v/>
      </c>
      <c r="E848">
        <f t="array" ref="E848">IFERROR(INDEX('TRIP MANAGER'!$Q$18:$Q$25,$A848),"")</f>
        <v/>
      </c>
      <c r="F848">
        <f t="array" ref="F848">IFERROR(INDEX('TRIP MANAGER'!$R$18:$R$25,$A848),"")</f>
        <v/>
      </c>
      <c r="G848">
        <f t="array" ref="G848">IFERROR(INDEX('TRIP MANAGER'!$S$18:$S$25,$A848),"")</f>
        <v/>
      </c>
      <c r="H848">
        <f>$B848/150</f>
        <v/>
      </c>
      <c r="I848">
        <f>IF(OR($G848="",$G848=0),"",SIN((1-$H848)*$G848)/SIN($G848))</f>
        <v/>
      </c>
      <c r="J848">
        <f>IF($I848="","",SIN($H848*$G848)/SIN($G848))</f>
        <v/>
      </c>
      <c r="K848">
        <f>IF($I848="","",$I848*COS(RADIANS($C848))*COS(RADIANS($D848))+$J848*COS(RADIANS($E848))*COS(RADIANS($F848)))</f>
        <v/>
      </c>
      <c r="L848">
        <f>IF($I848="","",$I848*COS(RADIANS($C848))*SIN(RADIANS($D848))+$J848*COS(RADIANS($E848))*SIN(RADIANS($F848)))</f>
        <v/>
      </c>
      <c r="M848">
        <f>IF($I848="","",$I848*SIN(RADIANS($C848))+$J848*SIN(RADIANS($E848)))</f>
        <v/>
      </c>
      <c r="N848">
        <f>IF($M848="","",DEGREES(ATAN2(SQRT($K848^2+$L848^2),$M848)))</f>
        <v/>
      </c>
      <c r="O848">
        <f>IF($M848="","",DEGREES(ATAN2($K848,$L848)))</f>
        <v/>
      </c>
      <c r="P848">
        <f t="array" ref="P848">IF($N848="","",IFERROR(IF(INDEX(geo_grid!$B$2:$JU$231,INT(($N848+40)/0.5)+1,INT(($O848+30)/0.5)+1)="","",INDEX(geo_grid!$B$2:$JU$231,INT(($N848+40)/0.5)+1,INT(($O848+30)/0.5)+1)),"OUTSIDE GRID"))</f>
        <v/>
      </c>
      <c r="Q848">
        <f>IF($P848="","",$A848*1000+$B848)</f>
        <v/>
      </c>
    </row>
    <row r="849">
      <c r="A849">
        <f>INT((ROW()-2)/151)+1</f>
        <v/>
      </c>
      <c r="B849">
        <f>MOD(ROW()-2,151)</f>
        <v/>
      </c>
      <c r="C849">
        <f t="array" ref="C849">IFERROR(INDEX('TRIP MANAGER'!$O$18:$O$25,$A849),"")</f>
        <v/>
      </c>
      <c r="D849">
        <f t="array" ref="D849">IFERROR(INDEX('TRIP MANAGER'!$P$18:$P$25,$A849),"")</f>
        <v/>
      </c>
      <c r="E849">
        <f t="array" ref="E849">IFERROR(INDEX('TRIP MANAGER'!$Q$18:$Q$25,$A849),"")</f>
        <v/>
      </c>
      <c r="F849">
        <f t="array" ref="F849">IFERROR(INDEX('TRIP MANAGER'!$R$18:$R$25,$A849),"")</f>
        <v/>
      </c>
      <c r="G849">
        <f t="array" ref="G849">IFERROR(INDEX('TRIP MANAGER'!$S$18:$S$25,$A849),"")</f>
        <v/>
      </c>
      <c r="H849">
        <f>$B849/150</f>
        <v/>
      </c>
      <c r="I849">
        <f>IF(OR($G849="",$G849=0),"",SIN((1-$H849)*$G849)/SIN($G849))</f>
        <v/>
      </c>
      <c r="J849">
        <f>IF($I849="","",SIN($H849*$G849)/SIN($G849))</f>
        <v/>
      </c>
      <c r="K849">
        <f>IF($I849="","",$I849*COS(RADIANS($C849))*COS(RADIANS($D849))+$J849*COS(RADIANS($E849))*COS(RADIANS($F849)))</f>
        <v/>
      </c>
      <c r="L849">
        <f>IF($I849="","",$I849*COS(RADIANS($C849))*SIN(RADIANS($D849))+$J849*COS(RADIANS($E849))*SIN(RADIANS($F849)))</f>
        <v/>
      </c>
      <c r="M849">
        <f>IF($I849="","",$I849*SIN(RADIANS($C849))+$J849*SIN(RADIANS($E849)))</f>
        <v/>
      </c>
      <c r="N849">
        <f>IF($M849="","",DEGREES(ATAN2(SQRT($K849^2+$L849^2),$M849)))</f>
        <v/>
      </c>
      <c r="O849">
        <f>IF($M849="","",DEGREES(ATAN2($K849,$L849)))</f>
        <v/>
      </c>
      <c r="P849">
        <f t="array" ref="P849">IF($N849="","",IFERROR(IF(INDEX(geo_grid!$B$2:$JU$231,INT(($N849+40)/0.5)+1,INT(($O849+30)/0.5)+1)="","",INDEX(geo_grid!$B$2:$JU$231,INT(($N849+40)/0.5)+1,INT(($O849+30)/0.5)+1)),"OUTSIDE GRID"))</f>
        <v/>
      </c>
      <c r="Q849">
        <f>IF($P849="","",$A849*1000+$B849)</f>
        <v/>
      </c>
    </row>
    <row r="850">
      <c r="A850">
        <f>INT((ROW()-2)/151)+1</f>
        <v/>
      </c>
      <c r="B850">
        <f>MOD(ROW()-2,151)</f>
        <v/>
      </c>
      <c r="C850">
        <f t="array" ref="C850">IFERROR(INDEX('TRIP MANAGER'!$O$18:$O$25,$A850),"")</f>
        <v/>
      </c>
      <c r="D850">
        <f t="array" ref="D850">IFERROR(INDEX('TRIP MANAGER'!$P$18:$P$25,$A850),"")</f>
        <v/>
      </c>
      <c r="E850">
        <f t="array" ref="E850">IFERROR(INDEX('TRIP MANAGER'!$Q$18:$Q$25,$A850),"")</f>
        <v/>
      </c>
      <c r="F850">
        <f t="array" ref="F850">IFERROR(INDEX('TRIP MANAGER'!$R$18:$R$25,$A850),"")</f>
        <v/>
      </c>
      <c r="G850">
        <f t="array" ref="G850">IFERROR(INDEX('TRIP MANAGER'!$S$18:$S$25,$A850),"")</f>
        <v/>
      </c>
      <c r="H850">
        <f>$B850/150</f>
        <v/>
      </c>
      <c r="I850">
        <f>IF(OR($G850="",$G850=0),"",SIN((1-$H850)*$G850)/SIN($G850))</f>
        <v/>
      </c>
      <c r="J850">
        <f>IF($I850="","",SIN($H850*$G850)/SIN($G850))</f>
        <v/>
      </c>
      <c r="K850">
        <f>IF($I850="","",$I850*COS(RADIANS($C850))*COS(RADIANS($D850))+$J850*COS(RADIANS($E850))*COS(RADIANS($F850)))</f>
        <v/>
      </c>
      <c r="L850">
        <f>IF($I850="","",$I850*COS(RADIANS($C850))*SIN(RADIANS($D850))+$J850*COS(RADIANS($E850))*SIN(RADIANS($F850)))</f>
        <v/>
      </c>
      <c r="M850">
        <f>IF($I850="","",$I850*SIN(RADIANS($C850))+$J850*SIN(RADIANS($E850)))</f>
        <v/>
      </c>
      <c r="N850">
        <f>IF($M850="","",DEGREES(ATAN2(SQRT($K850^2+$L850^2),$M850)))</f>
        <v/>
      </c>
      <c r="O850">
        <f>IF($M850="","",DEGREES(ATAN2($K850,$L850)))</f>
        <v/>
      </c>
      <c r="P850">
        <f t="array" ref="P850">IF($N850="","",IFERROR(IF(INDEX(geo_grid!$B$2:$JU$231,INT(($N850+40)/0.5)+1,INT(($O850+30)/0.5)+1)="","",INDEX(geo_grid!$B$2:$JU$231,INT(($N850+40)/0.5)+1,INT(($O850+30)/0.5)+1)),"OUTSIDE GRID"))</f>
        <v/>
      </c>
      <c r="Q850">
        <f>IF($P850="","",$A850*1000+$B850)</f>
        <v/>
      </c>
    </row>
    <row r="851">
      <c r="A851">
        <f>INT((ROW()-2)/151)+1</f>
        <v/>
      </c>
      <c r="B851">
        <f>MOD(ROW()-2,151)</f>
        <v/>
      </c>
      <c r="C851">
        <f t="array" ref="C851">IFERROR(INDEX('TRIP MANAGER'!$O$18:$O$25,$A851),"")</f>
        <v/>
      </c>
      <c r="D851">
        <f t="array" ref="D851">IFERROR(INDEX('TRIP MANAGER'!$P$18:$P$25,$A851),"")</f>
        <v/>
      </c>
      <c r="E851">
        <f t="array" ref="E851">IFERROR(INDEX('TRIP MANAGER'!$Q$18:$Q$25,$A851),"")</f>
        <v/>
      </c>
      <c r="F851">
        <f t="array" ref="F851">IFERROR(INDEX('TRIP MANAGER'!$R$18:$R$25,$A851),"")</f>
        <v/>
      </c>
      <c r="G851">
        <f t="array" ref="G851">IFERROR(INDEX('TRIP MANAGER'!$S$18:$S$25,$A851),"")</f>
        <v/>
      </c>
      <c r="H851">
        <f>$B851/150</f>
        <v/>
      </c>
      <c r="I851">
        <f>IF(OR($G851="",$G851=0),"",SIN((1-$H851)*$G851)/SIN($G851))</f>
        <v/>
      </c>
      <c r="J851">
        <f>IF($I851="","",SIN($H851*$G851)/SIN($G851))</f>
        <v/>
      </c>
      <c r="K851">
        <f>IF($I851="","",$I851*COS(RADIANS($C851))*COS(RADIANS($D851))+$J851*COS(RADIANS($E851))*COS(RADIANS($F851)))</f>
        <v/>
      </c>
      <c r="L851">
        <f>IF($I851="","",$I851*COS(RADIANS($C851))*SIN(RADIANS($D851))+$J851*COS(RADIANS($E851))*SIN(RADIANS($F851)))</f>
        <v/>
      </c>
      <c r="M851">
        <f>IF($I851="","",$I851*SIN(RADIANS($C851))+$J851*SIN(RADIANS($E851)))</f>
        <v/>
      </c>
      <c r="N851">
        <f>IF($M851="","",DEGREES(ATAN2(SQRT($K851^2+$L851^2),$M851)))</f>
        <v/>
      </c>
      <c r="O851">
        <f>IF($M851="","",DEGREES(ATAN2($K851,$L851)))</f>
        <v/>
      </c>
      <c r="P851">
        <f t="array" ref="P851">IF($N851="","",IFERROR(IF(INDEX(geo_grid!$B$2:$JU$231,INT(($N851+40)/0.5)+1,INT(($O851+30)/0.5)+1)="","",INDEX(geo_grid!$B$2:$JU$231,INT(($N851+40)/0.5)+1,INT(($O851+30)/0.5)+1)),"OUTSIDE GRID"))</f>
        <v/>
      </c>
      <c r="Q851">
        <f>IF($P851="","",$A851*1000+$B851)</f>
        <v/>
      </c>
    </row>
    <row r="852">
      <c r="A852">
        <f>INT((ROW()-2)/151)+1</f>
        <v/>
      </c>
      <c r="B852">
        <f>MOD(ROW()-2,151)</f>
        <v/>
      </c>
      <c r="C852">
        <f t="array" ref="C852">IFERROR(INDEX('TRIP MANAGER'!$O$18:$O$25,$A852),"")</f>
        <v/>
      </c>
      <c r="D852">
        <f t="array" ref="D852">IFERROR(INDEX('TRIP MANAGER'!$P$18:$P$25,$A852),"")</f>
        <v/>
      </c>
      <c r="E852">
        <f t="array" ref="E852">IFERROR(INDEX('TRIP MANAGER'!$Q$18:$Q$25,$A852),"")</f>
        <v/>
      </c>
      <c r="F852">
        <f t="array" ref="F852">IFERROR(INDEX('TRIP MANAGER'!$R$18:$R$25,$A852),"")</f>
        <v/>
      </c>
      <c r="G852">
        <f t="array" ref="G852">IFERROR(INDEX('TRIP MANAGER'!$S$18:$S$25,$A852),"")</f>
        <v/>
      </c>
      <c r="H852">
        <f>$B852/150</f>
        <v/>
      </c>
      <c r="I852">
        <f>IF(OR($G852="",$G852=0),"",SIN((1-$H852)*$G852)/SIN($G852))</f>
        <v/>
      </c>
      <c r="J852">
        <f>IF($I852="","",SIN($H852*$G852)/SIN($G852))</f>
        <v/>
      </c>
      <c r="K852">
        <f>IF($I852="","",$I852*COS(RADIANS($C852))*COS(RADIANS($D852))+$J852*COS(RADIANS($E852))*COS(RADIANS($F852)))</f>
        <v/>
      </c>
      <c r="L852">
        <f>IF($I852="","",$I852*COS(RADIANS($C852))*SIN(RADIANS($D852))+$J852*COS(RADIANS($E852))*SIN(RADIANS($F852)))</f>
        <v/>
      </c>
      <c r="M852">
        <f>IF($I852="","",$I852*SIN(RADIANS($C852))+$J852*SIN(RADIANS($E852)))</f>
        <v/>
      </c>
      <c r="N852">
        <f>IF($M852="","",DEGREES(ATAN2(SQRT($K852^2+$L852^2),$M852)))</f>
        <v/>
      </c>
      <c r="O852">
        <f>IF($M852="","",DEGREES(ATAN2($K852,$L852)))</f>
        <v/>
      </c>
      <c r="P852">
        <f t="array" ref="P852">IF($N852="","",IFERROR(IF(INDEX(geo_grid!$B$2:$JU$231,INT(($N852+40)/0.5)+1,INT(($O852+30)/0.5)+1)="","",INDEX(geo_grid!$B$2:$JU$231,INT(($N852+40)/0.5)+1,INT(($O852+30)/0.5)+1)),"OUTSIDE GRID"))</f>
        <v/>
      </c>
      <c r="Q852">
        <f>IF($P852="","",$A852*1000+$B852)</f>
        <v/>
      </c>
    </row>
    <row r="853">
      <c r="A853">
        <f>INT((ROW()-2)/151)+1</f>
        <v/>
      </c>
      <c r="B853">
        <f>MOD(ROW()-2,151)</f>
        <v/>
      </c>
      <c r="C853">
        <f t="array" ref="C853">IFERROR(INDEX('TRIP MANAGER'!$O$18:$O$25,$A853),"")</f>
        <v/>
      </c>
      <c r="D853">
        <f t="array" ref="D853">IFERROR(INDEX('TRIP MANAGER'!$P$18:$P$25,$A853),"")</f>
        <v/>
      </c>
      <c r="E853">
        <f t="array" ref="E853">IFERROR(INDEX('TRIP MANAGER'!$Q$18:$Q$25,$A853),"")</f>
        <v/>
      </c>
      <c r="F853">
        <f t="array" ref="F853">IFERROR(INDEX('TRIP MANAGER'!$R$18:$R$25,$A853),"")</f>
        <v/>
      </c>
      <c r="G853">
        <f t="array" ref="G853">IFERROR(INDEX('TRIP MANAGER'!$S$18:$S$25,$A853),"")</f>
        <v/>
      </c>
      <c r="H853">
        <f>$B853/150</f>
        <v/>
      </c>
      <c r="I853">
        <f>IF(OR($G853="",$G853=0),"",SIN((1-$H853)*$G853)/SIN($G853))</f>
        <v/>
      </c>
      <c r="J853">
        <f>IF($I853="","",SIN($H853*$G853)/SIN($G853))</f>
        <v/>
      </c>
      <c r="K853">
        <f>IF($I853="","",$I853*COS(RADIANS($C853))*COS(RADIANS($D853))+$J853*COS(RADIANS($E853))*COS(RADIANS($F853)))</f>
        <v/>
      </c>
      <c r="L853">
        <f>IF($I853="","",$I853*COS(RADIANS($C853))*SIN(RADIANS($D853))+$J853*COS(RADIANS($E853))*SIN(RADIANS($F853)))</f>
        <v/>
      </c>
      <c r="M853">
        <f>IF($I853="","",$I853*SIN(RADIANS($C853))+$J853*SIN(RADIANS($E853)))</f>
        <v/>
      </c>
      <c r="N853">
        <f>IF($M853="","",DEGREES(ATAN2(SQRT($K853^2+$L853^2),$M853)))</f>
        <v/>
      </c>
      <c r="O853">
        <f>IF($M853="","",DEGREES(ATAN2($K853,$L853)))</f>
        <v/>
      </c>
      <c r="P853">
        <f t="array" ref="P853">IF($N853="","",IFERROR(IF(INDEX(geo_grid!$B$2:$JU$231,INT(($N853+40)/0.5)+1,INT(($O853+30)/0.5)+1)="","",INDEX(geo_grid!$B$2:$JU$231,INT(($N853+40)/0.5)+1,INT(($O853+30)/0.5)+1)),"OUTSIDE GRID"))</f>
        <v/>
      </c>
      <c r="Q853">
        <f>IF($P853="","",$A853*1000+$B853)</f>
        <v/>
      </c>
    </row>
    <row r="854">
      <c r="A854">
        <f>INT((ROW()-2)/151)+1</f>
        <v/>
      </c>
      <c r="B854">
        <f>MOD(ROW()-2,151)</f>
        <v/>
      </c>
      <c r="C854">
        <f t="array" ref="C854">IFERROR(INDEX('TRIP MANAGER'!$O$18:$O$25,$A854),"")</f>
        <v/>
      </c>
      <c r="D854">
        <f t="array" ref="D854">IFERROR(INDEX('TRIP MANAGER'!$P$18:$P$25,$A854),"")</f>
        <v/>
      </c>
      <c r="E854">
        <f t="array" ref="E854">IFERROR(INDEX('TRIP MANAGER'!$Q$18:$Q$25,$A854),"")</f>
        <v/>
      </c>
      <c r="F854">
        <f t="array" ref="F854">IFERROR(INDEX('TRIP MANAGER'!$R$18:$R$25,$A854),"")</f>
        <v/>
      </c>
      <c r="G854">
        <f t="array" ref="G854">IFERROR(INDEX('TRIP MANAGER'!$S$18:$S$25,$A854),"")</f>
        <v/>
      </c>
      <c r="H854">
        <f>$B854/150</f>
        <v/>
      </c>
      <c r="I854">
        <f>IF(OR($G854="",$G854=0),"",SIN((1-$H854)*$G854)/SIN($G854))</f>
        <v/>
      </c>
      <c r="J854">
        <f>IF($I854="","",SIN($H854*$G854)/SIN($G854))</f>
        <v/>
      </c>
      <c r="K854">
        <f>IF($I854="","",$I854*COS(RADIANS($C854))*COS(RADIANS($D854))+$J854*COS(RADIANS($E854))*COS(RADIANS($F854)))</f>
        <v/>
      </c>
      <c r="L854">
        <f>IF($I854="","",$I854*COS(RADIANS($C854))*SIN(RADIANS($D854))+$J854*COS(RADIANS($E854))*SIN(RADIANS($F854)))</f>
        <v/>
      </c>
      <c r="M854">
        <f>IF($I854="","",$I854*SIN(RADIANS($C854))+$J854*SIN(RADIANS($E854)))</f>
        <v/>
      </c>
      <c r="N854">
        <f>IF($M854="","",DEGREES(ATAN2(SQRT($K854^2+$L854^2),$M854)))</f>
        <v/>
      </c>
      <c r="O854">
        <f>IF($M854="","",DEGREES(ATAN2($K854,$L854)))</f>
        <v/>
      </c>
      <c r="P854">
        <f t="array" ref="P854">IF($N854="","",IFERROR(IF(INDEX(geo_grid!$B$2:$JU$231,INT(($N854+40)/0.5)+1,INT(($O854+30)/0.5)+1)="","",INDEX(geo_grid!$B$2:$JU$231,INT(($N854+40)/0.5)+1,INT(($O854+30)/0.5)+1)),"OUTSIDE GRID"))</f>
        <v/>
      </c>
      <c r="Q854">
        <f>IF($P854="","",$A854*1000+$B854)</f>
        <v/>
      </c>
    </row>
    <row r="855">
      <c r="A855">
        <f>INT((ROW()-2)/151)+1</f>
        <v/>
      </c>
      <c r="B855">
        <f>MOD(ROW()-2,151)</f>
        <v/>
      </c>
      <c r="C855">
        <f t="array" ref="C855">IFERROR(INDEX('TRIP MANAGER'!$O$18:$O$25,$A855),"")</f>
        <v/>
      </c>
      <c r="D855">
        <f t="array" ref="D855">IFERROR(INDEX('TRIP MANAGER'!$P$18:$P$25,$A855),"")</f>
        <v/>
      </c>
      <c r="E855">
        <f t="array" ref="E855">IFERROR(INDEX('TRIP MANAGER'!$Q$18:$Q$25,$A855),"")</f>
        <v/>
      </c>
      <c r="F855">
        <f t="array" ref="F855">IFERROR(INDEX('TRIP MANAGER'!$R$18:$R$25,$A855),"")</f>
        <v/>
      </c>
      <c r="G855">
        <f t="array" ref="G855">IFERROR(INDEX('TRIP MANAGER'!$S$18:$S$25,$A855),"")</f>
        <v/>
      </c>
      <c r="H855">
        <f>$B855/150</f>
        <v/>
      </c>
      <c r="I855">
        <f>IF(OR($G855="",$G855=0),"",SIN((1-$H855)*$G855)/SIN($G855))</f>
        <v/>
      </c>
      <c r="J855">
        <f>IF($I855="","",SIN($H855*$G855)/SIN($G855))</f>
        <v/>
      </c>
      <c r="K855">
        <f>IF($I855="","",$I855*COS(RADIANS($C855))*COS(RADIANS($D855))+$J855*COS(RADIANS($E855))*COS(RADIANS($F855)))</f>
        <v/>
      </c>
      <c r="L855">
        <f>IF($I855="","",$I855*COS(RADIANS($C855))*SIN(RADIANS($D855))+$J855*COS(RADIANS($E855))*SIN(RADIANS($F855)))</f>
        <v/>
      </c>
      <c r="M855">
        <f>IF($I855="","",$I855*SIN(RADIANS($C855))+$J855*SIN(RADIANS($E855)))</f>
        <v/>
      </c>
      <c r="N855">
        <f>IF($M855="","",DEGREES(ATAN2(SQRT($K855^2+$L855^2),$M855)))</f>
        <v/>
      </c>
      <c r="O855">
        <f>IF($M855="","",DEGREES(ATAN2($K855,$L855)))</f>
        <v/>
      </c>
      <c r="P855">
        <f t="array" ref="P855">IF($N855="","",IFERROR(IF(INDEX(geo_grid!$B$2:$JU$231,INT(($N855+40)/0.5)+1,INT(($O855+30)/0.5)+1)="","",INDEX(geo_grid!$B$2:$JU$231,INT(($N855+40)/0.5)+1,INT(($O855+30)/0.5)+1)),"OUTSIDE GRID"))</f>
        <v/>
      </c>
      <c r="Q855">
        <f>IF($P855="","",$A855*1000+$B855)</f>
        <v/>
      </c>
    </row>
    <row r="856">
      <c r="A856">
        <f>INT((ROW()-2)/151)+1</f>
        <v/>
      </c>
      <c r="B856">
        <f>MOD(ROW()-2,151)</f>
        <v/>
      </c>
      <c r="C856">
        <f t="array" ref="C856">IFERROR(INDEX('TRIP MANAGER'!$O$18:$O$25,$A856),"")</f>
        <v/>
      </c>
      <c r="D856">
        <f t="array" ref="D856">IFERROR(INDEX('TRIP MANAGER'!$P$18:$P$25,$A856),"")</f>
        <v/>
      </c>
      <c r="E856">
        <f t="array" ref="E856">IFERROR(INDEX('TRIP MANAGER'!$Q$18:$Q$25,$A856),"")</f>
        <v/>
      </c>
      <c r="F856">
        <f t="array" ref="F856">IFERROR(INDEX('TRIP MANAGER'!$R$18:$R$25,$A856),"")</f>
        <v/>
      </c>
      <c r="G856">
        <f t="array" ref="G856">IFERROR(INDEX('TRIP MANAGER'!$S$18:$S$25,$A856),"")</f>
        <v/>
      </c>
      <c r="H856">
        <f>$B856/150</f>
        <v/>
      </c>
      <c r="I856">
        <f>IF(OR($G856="",$G856=0),"",SIN((1-$H856)*$G856)/SIN($G856))</f>
        <v/>
      </c>
      <c r="J856">
        <f>IF($I856="","",SIN($H856*$G856)/SIN($G856))</f>
        <v/>
      </c>
      <c r="K856">
        <f>IF($I856="","",$I856*COS(RADIANS($C856))*COS(RADIANS($D856))+$J856*COS(RADIANS($E856))*COS(RADIANS($F856)))</f>
        <v/>
      </c>
      <c r="L856">
        <f>IF($I856="","",$I856*COS(RADIANS($C856))*SIN(RADIANS($D856))+$J856*COS(RADIANS($E856))*SIN(RADIANS($F856)))</f>
        <v/>
      </c>
      <c r="M856">
        <f>IF($I856="","",$I856*SIN(RADIANS($C856))+$J856*SIN(RADIANS($E856)))</f>
        <v/>
      </c>
      <c r="N856">
        <f>IF($M856="","",DEGREES(ATAN2(SQRT($K856^2+$L856^2),$M856)))</f>
        <v/>
      </c>
      <c r="O856">
        <f>IF($M856="","",DEGREES(ATAN2($K856,$L856)))</f>
        <v/>
      </c>
      <c r="P856">
        <f t="array" ref="P856">IF($N856="","",IFERROR(IF(INDEX(geo_grid!$B$2:$JU$231,INT(($N856+40)/0.5)+1,INT(($O856+30)/0.5)+1)="","",INDEX(geo_grid!$B$2:$JU$231,INT(($N856+40)/0.5)+1,INT(($O856+30)/0.5)+1)),"OUTSIDE GRID"))</f>
        <v/>
      </c>
      <c r="Q856">
        <f>IF($P856="","",$A856*1000+$B856)</f>
        <v/>
      </c>
    </row>
    <row r="857">
      <c r="A857">
        <f>INT((ROW()-2)/151)+1</f>
        <v/>
      </c>
      <c r="B857">
        <f>MOD(ROW()-2,151)</f>
        <v/>
      </c>
      <c r="C857">
        <f t="array" ref="C857">IFERROR(INDEX('TRIP MANAGER'!$O$18:$O$25,$A857),"")</f>
        <v/>
      </c>
      <c r="D857">
        <f t="array" ref="D857">IFERROR(INDEX('TRIP MANAGER'!$P$18:$P$25,$A857),"")</f>
        <v/>
      </c>
      <c r="E857">
        <f t="array" ref="E857">IFERROR(INDEX('TRIP MANAGER'!$Q$18:$Q$25,$A857),"")</f>
        <v/>
      </c>
      <c r="F857">
        <f t="array" ref="F857">IFERROR(INDEX('TRIP MANAGER'!$R$18:$R$25,$A857),"")</f>
        <v/>
      </c>
      <c r="G857">
        <f t="array" ref="G857">IFERROR(INDEX('TRIP MANAGER'!$S$18:$S$25,$A857),"")</f>
        <v/>
      </c>
      <c r="H857">
        <f>$B857/150</f>
        <v/>
      </c>
      <c r="I857">
        <f>IF(OR($G857="",$G857=0),"",SIN((1-$H857)*$G857)/SIN($G857))</f>
        <v/>
      </c>
      <c r="J857">
        <f>IF($I857="","",SIN($H857*$G857)/SIN($G857))</f>
        <v/>
      </c>
      <c r="K857">
        <f>IF($I857="","",$I857*COS(RADIANS($C857))*COS(RADIANS($D857))+$J857*COS(RADIANS($E857))*COS(RADIANS($F857)))</f>
        <v/>
      </c>
      <c r="L857">
        <f>IF($I857="","",$I857*COS(RADIANS($C857))*SIN(RADIANS($D857))+$J857*COS(RADIANS($E857))*SIN(RADIANS($F857)))</f>
        <v/>
      </c>
      <c r="M857">
        <f>IF($I857="","",$I857*SIN(RADIANS($C857))+$J857*SIN(RADIANS($E857)))</f>
        <v/>
      </c>
      <c r="N857">
        <f>IF($M857="","",DEGREES(ATAN2(SQRT($K857^2+$L857^2),$M857)))</f>
        <v/>
      </c>
      <c r="O857">
        <f>IF($M857="","",DEGREES(ATAN2($K857,$L857)))</f>
        <v/>
      </c>
      <c r="P857">
        <f t="array" ref="P857">IF($N857="","",IFERROR(IF(INDEX(geo_grid!$B$2:$JU$231,INT(($N857+40)/0.5)+1,INT(($O857+30)/0.5)+1)="","",INDEX(geo_grid!$B$2:$JU$231,INT(($N857+40)/0.5)+1,INT(($O857+30)/0.5)+1)),"OUTSIDE GRID"))</f>
        <v/>
      </c>
      <c r="Q857">
        <f>IF($P857="","",$A857*1000+$B857)</f>
        <v/>
      </c>
    </row>
    <row r="858">
      <c r="A858">
        <f>INT((ROW()-2)/151)+1</f>
        <v/>
      </c>
      <c r="B858">
        <f>MOD(ROW()-2,151)</f>
        <v/>
      </c>
      <c r="C858">
        <f t="array" ref="C858">IFERROR(INDEX('TRIP MANAGER'!$O$18:$O$25,$A858),"")</f>
        <v/>
      </c>
      <c r="D858">
        <f t="array" ref="D858">IFERROR(INDEX('TRIP MANAGER'!$P$18:$P$25,$A858),"")</f>
        <v/>
      </c>
      <c r="E858">
        <f t="array" ref="E858">IFERROR(INDEX('TRIP MANAGER'!$Q$18:$Q$25,$A858),"")</f>
        <v/>
      </c>
      <c r="F858">
        <f t="array" ref="F858">IFERROR(INDEX('TRIP MANAGER'!$R$18:$R$25,$A858),"")</f>
        <v/>
      </c>
      <c r="G858">
        <f t="array" ref="G858">IFERROR(INDEX('TRIP MANAGER'!$S$18:$S$25,$A858),"")</f>
        <v/>
      </c>
      <c r="H858">
        <f>$B858/150</f>
        <v/>
      </c>
      <c r="I858">
        <f>IF(OR($G858="",$G858=0),"",SIN((1-$H858)*$G858)/SIN($G858))</f>
        <v/>
      </c>
      <c r="J858">
        <f>IF($I858="","",SIN($H858*$G858)/SIN($G858))</f>
        <v/>
      </c>
      <c r="K858">
        <f>IF($I858="","",$I858*COS(RADIANS($C858))*COS(RADIANS($D858))+$J858*COS(RADIANS($E858))*COS(RADIANS($F858)))</f>
        <v/>
      </c>
      <c r="L858">
        <f>IF($I858="","",$I858*COS(RADIANS($C858))*SIN(RADIANS($D858))+$J858*COS(RADIANS($E858))*SIN(RADIANS($F858)))</f>
        <v/>
      </c>
      <c r="M858">
        <f>IF($I858="","",$I858*SIN(RADIANS($C858))+$J858*SIN(RADIANS($E858)))</f>
        <v/>
      </c>
      <c r="N858">
        <f>IF($M858="","",DEGREES(ATAN2(SQRT($K858^2+$L858^2),$M858)))</f>
        <v/>
      </c>
      <c r="O858">
        <f>IF($M858="","",DEGREES(ATAN2($K858,$L858)))</f>
        <v/>
      </c>
      <c r="P858">
        <f t="array" ref="P858">IF($N858="","",IFERROR(IF(INDEX(geo_grid!$B$2:$JU$231,INT(($N858+40)/0.5)+1,INT(($O858+30)/0.5)+1)="","",INDEX(geo_grid!$B$2:$JU$231,INT(($N858+40)/0.5)+1,INT(($O858+30)/0.5)+1)),"OUTSIDE GRID"))</f>
        <v/>
      </c>
      <c r="Q858">
        <f>IF($P858="","",$A858*1000+$B858)</f>
        <v/>
      </c>
    </row>
    <row r="859">
      <c r="A859">
        <f>INT((ROW()-2)/151)+1</f>
        <v/>
      </c>
      <c r="B859">
        <f>MOD(ROW()-2,151)</f>
        <v/>
      </c>
      <c r="C859">
        <f t="array" ref="C859">IFERROR(INDEX('TRIP MANAGER'!$O$18:$O$25,$A859),"")</f>
        <v/>
      </c>
      <c r="D859">
        <f t="array" ref="D859">IFERROR(INDEX('TRIP MANAGER'!$P$18:$P$25,$A859),"")</f>
        <v/>
      </c>
      <c r="E859">
        <f t="array" ref="E859">IFERROR(INDEX('TRIP MANAGER'!$Q$18:$Q$25,$A859),"")</f>
        <v/>
      </c>
      <c r="F859">
        <f t="array" ref="F859">IFERROR(INDEX('TRIP MANAGER'!$R$18:$R$25,$A859),"")</f>
        <v/>
      </c>
      <c r="G859">
        <f t="array" ref="G859">IFERROR(INDEX('TRIP MANAGER'!$S$18:$S$25,$A859),"")</f>
        <v/>
      </c>
      <c r="H859">
        <f>$B859/150</f>
        <v/>
      </c>
      <c r="I859">
        <f>IF(OR($G859="",$G859=0),"",SIN((1-$H859)*$G859)/SIN($G859))</f>
        <v/>
      </c>
      <c r="J859">
        <f>IF($I859="","",SIN($H859*$G859)/SIN($G859))</f>
        <v/>
      </c>
      <c r="K859">
        <f>IF($I859="","",$I859*COS(RADIANS($C859))*COS(RADIANS($D859))+$J859*COS(RADIANS($E859))*COS(RADIANS($F859)))</f>
        <v/>
      </c>
      <c r="L859">
        <f>IF($I859="","",$I859*COS(RADIANS($C859))*SIN(RADIANS($D859))+$J859*COS(RADIANS($E859))*SIN(RADIANS($F859)))</f>
        <v/>
      </c>
      <c r="M859">
        <f>IF($I859="","",$I859*SIN(RADIANS($C859))+$J859*SIN(RADIANS($E859)))</f>
        <v/>
      </c>
      <c r="N859">
        <f>IF($M859="","",DEGREES(ATAN2(SQRT($K859^2+$L859^2),$M859)))</f>
        <v/>
      </c>
      <c r="O859">
        <f>IF($M859="","",DEGREES(ATAN2($K859,$L859)))</f>
        <v/>
      </c>
      <c r="P859">
        <f t="array" ref="P859">IF($N859="","",IFERROR(IF(INDEX(geo_grid!$B$2:$JU$231,INT(($N859+40)/0.5)+1,INT(($O859+30)/0.5)+1)="","",INDEX(geo_grid!$B$2:$JU$231,INT(($N859+40)/0.5)+1,INT(($O859+30)/0.5)+1)),"OUTSIDE GRID"))</f>
        <v/>
      </c>
      <c r="Q859">
        <f>IF($P859="","",$A859*1000+$B859)</f>
        <v/>
      </c>
    </row>
    <row r="860">
      <c r="A860">
        <f>INT((ROW()-2)/151)+1</f>
        <v/>
      </c>
      <c r="B860">
        <f>MOD(ROW()-2,151)</f>
        <v/>
      </c>
      <c r="C860">
        <f t="array" ref="C860">IFERROR(INDEX('TRIP MANAGER'!$O$18:$O$25,$A860),"")</f>
        <v/>
      </c>
      <c r="D860">
        <f t="array" ref="D860">IFERROR(INDEX('TRIP MANAGER'!$P$18:$P$25,$A860),"")</f>
        <v/>
      </c>
      <c r="E860">
        <f t="array" ref="E860">IFERROR(INDEX('TRIP MANAGER'!$Q$18:$Q$25,$A860),"")</f>
        <v/>
      </c>
      <c r="F860">
        <f t="array" ref="F860">IFERROR(INDEX('TRIP MANAGER'!$R$18:$R$25,$A860),"")</f>
        <v/>
      </c>
      <c r="G860">
        <f t="array" ref="G860">IFERROR(INDEX('TRIP MANAGER'!$S$18:$S$25,$A860),"")</f>
        <v/>
      </c>
      <c r="H860">
        <f>$B860/150</f>
        <v/>
      </c>
      <c r="I860">
        <f>IF(OR($G860="",$G860=0),"",SIN((1-$H860)*$G860)/SIN($G860))</f>
        <v/>
      </c>
      <c r="J860">
        <f>IF($I860="","",SIN($H860*$G860)/SIN($G860))</f>
        <v/>
      </c>
      <c r="K860">
        <f>IF($I860="","",$I860*COS(RADIANS($C860))*COS(RADIANS($D860))+$J860*COS(RADIANS($E860))*COS(RADIANS($F860)))</f>
        <v/>
      </c>
      <c r="L860">
        <f>IF($I860="","",$I860*COS(RADIANS($C860))*SIN(RADIANS($D860))+$J860*COS(RADIANS($E860))*SIN(RADIANS($F860)))</f>
        <v/>
      </c>
      <c r="M860">
        <f>IF($I860="","",$I860*SIN(RADIANS($C860))+$J860*SIN(RADIANS($E860)))</f>
        <v/>
      </c>
      <c r="N860">
        <f>IF($M860="","",DEGREES(ATAN2(SQRT($K860^2+$L860^2),$M860)))</f>
        <v/>
      </c>
      <c r="O860">
        <f>IF($M860="","",DEGREES(ATAN2($K860,$L860)))</f>
        <v/>
      </c>
      <c r="P860">
        <f t="array" ref="P860">IF($N860="","",IFERROR(IF(INDEX(geo_grid!$B$2:$JU$231,INT(($N860+40)/0.5)+1,INT(($O860+30)/0.5)+1)="","",INDEX(geo_grid!$B$2:$JU$231,INT(($N860+40)/0.5)+1,INT(($O860+30)/0.5)+1)),"OUTSIDE GRID"))</f>
        <v/>
      </c>
      <c r="Q860">
        <f>IF($P860="","",$A860*1000+$B860)</f>
        <v/>
      </c>
    </row>
    <row r="861">
      <c r="A861">
        <f>INT((ROW()-2)/151)+1</f>
        <v/>
      </c>
      <c r="B861">
        <f>MOD(ROW()-2,151)</f>
        <v/>
      </c>
      <c r="C861">
        <f t="array" ref="C861">IFERROR(INDEX('TRIP MANAGER'!$O$18:$O$25,$A861),"")</f>
        <v/>
      </c>
      <c r="D861">
        <f t="array" ref="D861">IFERROR(INDEX('TRIP MANAGER'!$P$18:$P$25,$A861),"")</f>
        <v/>
      </c>
      <c r="E861">
        <f t="array" ref="E861">IFERROR(INDEX('TRIP MANAGER'!$Q$18:$Q$25,$A861),"")</f>
        <v/>
      </c>
      <c r="F861">
        <f t="array" ref="F861">IFERROR(INDEX('TRIP MANAGER'!$R$18:$R$25,$A861),"")</f>
        <v/>
      </c>
      <c r="G861">
        <f t="array" ref="G861">IFERROR(INDEX('TRIP MANAGER'!$S$18:$S$25,$A861),"")</f>
        <v/>
      </c>
      <c r="H861">
        <f>$B861/150</f>
        <v/>
      </c>
      <c r="I861">
        <f>IF(OR($G861="",$G861=0),"",SIN((1-$H861)*$G861)/SIN($G861))</f>
        <v/>
      </c>
      <c r="J861">
        <f>IF($I861="","",SIN($H861*$G861)/SIN($G861))</f>
        <v/>
      </c>
      <c r="K861">
        <f>IF($I861="","",$I861*COS(RADIANS($C861))*COS(RADIANS($D861))+$J861*COS(RADIANS($E861))*COS(RADIANS($F861)))</f>
        <v/>
      </c>
      <c r="L861">
        <f>IF($I861="","",$I861*COS(RADIANS($C861))*SIN(RADIANS($D861))+$J861*COS(RADIANS($E861))*SIN(RADIANS($F861)))</f>
        <v/>
      </c>
      <c r="M861">
        <f>IF($I861="","",$I861*SIN(RADIANS($C861))+$J861*SIN(RADIANS($E861)))</f>
        <v/>
      </c>
      <c r="N861">
        <f>IF($M861="","",DEGREES(ATAN2(SQRT($K861^2+$L861^2),$M861)))</f>
        <v/>
      </c>
      <c r="O861">
        <f>IF($M861="","",DEGREES(ATAN2($K861,$L861)))</f>
        <v/>
      </c>
      <c r="P861">
        <f t="array" ref="P861">IF($N861="","",IFERROR(IF(INDEX(geo_grid!$B$2:$JU$231,INT(($N861+40)/0.5)+1,INT(($O861+30)/0.5)+1)="","",INDEX(geo_grid!$B$2:$JU$231,INT(($N861+40)/0.5)+1,INT(($O861+30)/0.5)+1)),"OUTSIDE GRID"))</f>
        <v/>
      </c>
      <c r="Q861">
        <f>IF($P861="","",$A861*1000+$B861)</f>
        <v/>
      </c>
    </row>
    <row r="862">
      <c r="A862">
        <f>INT((ROW()-2)/151)+1</f>
        <v/>
      </c>
      <c r="B862">
        <f>MOD(ROW()-2,151)</f>
        <v/>
      </c>
      <c r="C862">
        <f t="array" ref="C862">IFERROR(INDEX('TRIP MANAGER'!$O$18:$O$25,$A862),"")</f>
        <v/>
      </c>
      <c r="D862">
        <f t="array" ref="D862">IFERROR(INDEX('TRIP MANAGER'!$P$18:$P$25,$A862),"")</f>
        <v/>
      </c>
      <c r="E862">
        <f t="array" ref="E862">IFERROR(INDEX('TRIP MANAGER'!$Q$18:$Q$25,$A862),"")</f>
        <v/>
      </c>
      <c r="F862">
        <f t="array" ref="F862">IFERROR(INDEX('TRIP MANAGER'!$R$18:$R$25,$A862),"")</f>
        <v/>
      </c>
      <c r="G862">
        <f t="array" ref="G862">IFERROR(INDEX('TRIP MANAGER'!$S$18:$S$25,$A862),"")</f>
        <v/>
      </c>
      <c r="H862">
        <f>$B862/150</f>
        <v/>
      </c>
      <c r="I862">
        <f>IF(OR($G862="",$G862=0),"",SIN((1-$H862)*$G862)/SIN($G862))</f>
        <v/>
      </c>
      <c r="J862">
        <f>IF($I862="","",SIN($H862*$G862)/SIN($G862))</f>
        <v/>
      </c>
      <c r="K862">
        <f>IF($I862="","",$I862*COS(RADIANS($C862))*COS(RADIANS($D862))+$J862*COS(RADIANS($E862))*COS(RADIANS($F862)))</f>
        <v/>
      </c>
      <c r="L862">
        <f>IF($I862="","",$I862*COS(RADIANS($C862))*SIN(RADIANS($D862))+$J862*COS(RADIANS($E862))*SIN(RADIANS($F862)))</f>
        <v/>
      </c>
      <c r="M862">
        <f>IF($I862="","",$I862*SIN(RADIANS($C862))+$J862*SIN(RADIANS($E862)))</f>
        <v/>
      </c>
      <c r="N862">
        <f>IF($M862="","",DEGREES(ATAN2(SQRT($K862^2+$L862^2),$M862)))</f>
        <v/>
      </c>
      <c r="O862">
        <f>IF($M862="","",DEGREES(ATAN2($K862,$L862)))</f>
        <v/>
      </c>
      <c r="P862">
        <f t="array" ref="P862">IF($N862="","",IFERROR(IF(INDEX(geo_grid!$B$2:$JU$231,INT(($N862+40)/0.5)+1,INT(($O862+30)/0.5)+1)="","",INDEX(geo_grid!$B$2:$JU$231,INT(($N862+40)/0.5)+1,INT(($O862+30)/0.5)+1)),"OUTSIDE GRID"))</f>
        <v/>
      </c>
      <c r="Q862">
        <f>IF($P862="","",$A862*1000+$B862)</f>
        <v/>
      </c>
    </row>
    <row r="863">
      <c r="A863">
        <f>INT((ROW()-2)/151)+1</f>
        <v/>
      </c>
      <c r="B863">
        <f>MOD(ROW()-2,151)</f>
        <v/>
      </c>
      <c r="C863">
        <f t="array" ref="C863">IFERROR(INDEX('TRIP MANAGER'!$O$18:$O$25,$A863),"")</f>
        <v/>
      </c>
      <c r="D863">
        <f t="array" ref="D863">IFERROR(INDEX('TRIP MANAGER'!$P$18:$P$25,$A863),"")</f>
        <v/>
      </c>
      <c r="E863">
        <f t="array" ref="E863">IFERROR(INDEX('TRIP MANAGER'!$Q$18:$Q$25,$A863),"")</f>
        <v/>
      </c>
      <c r="F863">
        <f t="array" ref="F863">IFERROR(INDEX('TRIP MANAGER'!$R$18:$R$25,$A863),"")</f>
        <v/>
      </c>
      <c r="G863">
        <f t="array" ref="G863">IFERROR(INDEX('TRIP MANAGER'!$S$18:$S$25,$A863),"")</f>
        <v/>
      </c>
      <c r="H863">
        <f>$B863/150</f>
        <v/>
      </c>
      <c r="I863">
        <f>IF(OR($G863="",$G863=0),"",SIN((1-$H863)*$G863)/SIN($G863))</f>
        <v/>
      </c>
      <c r="J863">
        <f>IF($I863="","",SIN($H863*$G863)/SIN($G863))</f>
        <v/>
      </c>
      <c r="K863">
        <f>IF($I863="","",$I863*COS(RADIANS($C863))*COS(RADIANS($D863))+$J863*COS(RADIANS($E863))*COS(RADIANS($F863)))</f>
        <v/>
      </c>
      <c r="L863">
        <f>IF($I863="","",$I863*COS(RADIANS($C863))*SIN(RADIANS($D863))+$J863*COS(RADIANS($E863))*SIN(RADIANS($F863)))</f>
        <v/>
      </c>
      <c r="M863">
        <f>IF($I863="","",$I863*SIN(RADIANS($C863))+$J863*SIN(RADIANS($E863)))</f>
        <v/>
      </c>
      <c r="N863">
        <f>IF($M863="","",DEGREES(ATAN2(SQRT($K863^2+$L863^2),$M863)))</f>
        <v/>
      </c>
      <c r="O863">
        <f>IF($M863="","",DEGREES(ATAN2($K863,$L863)))</f>
        <v/>
      </c>
      <c r="P863">
        <f t="array" ref="P863">IF($N863="","",IFERROR(IF(INDEX(geo_grid!$B$2:$JU$231,INT(($N863+40)/0.5)+1,INT(($O863+30)/0.5)+1)="","",INDEX(geo_grid!$B$2:$JU$231,INT(($N863+40)/0.5)+1,INT(($O863+30)/0.5)+1)),"OUTSIDE GRID"))</f>
        <v/>
      </c>
      <c r="Q863">
        <f>IF($P863="","",$A863*1000+$B863)</f>
        <v/>
      </c>
    </row>
    <row r="864">
      <c r="A864">
        <f>INT((ROW()-2)/151)+1</f>
        <v/>
      </c>
      <c r="B864">
        <f>MOD(ROW()-2,151)</f>
        <v/>
      </c>
      <c r="C864">
        <f t="array" ref="C864">IFERROR(INDEX('TRIP MANAGER'!$O$18:$O$25,$A864),"")</f>
        <v/>
      </c>
      <c r="D864">
        <f t="array" ref="D864">IFERROR(INDEX('TRIP MANAGER'!$P$18:$P$25,$A864),"")</f>
        <v/>
      </c>
      <c r="E864">
        <f t="array" ref="E864">IFERROR(INDEX('TRIP MANAGER'!$Q$18:$Q$25,$A864),"")</f>
        <v/>
      </c>
      <c r="F864">
        <f t="array" ref="F864">IFERROR(INDEX('TRIP MANAGER'!$R$18:$R$25,$A864),"")</f>
        <v/>
      </c>
      <c r="G864">
        <f t="array" ref="G864">IFERROR(INDEX('TRIP MANAGER'!$S$18:$S$25,$A864),"")</f>
        <v/>
      </c>
      <c r="H864">
        <f>$B864/150</f>
        <v/>
      </c>
      <c r="I864">
        <f>IF(OR($G864="",$G864=0),"",SIN((1-$H864)*$G864)/SIN($G864))</f>
        <v/>
      </c>
      <c r="J864">
        <f>IF($I864="","",SIN($H864*$G864)/SIN($G864))</f>
        <v/>
      </c>
      <c r="K864">
        <f>IF($I864="","",$I864*COS(RADIANS($C864))*COS(RADIANS($D864))+$J864*COS(RADIANS($E864))*COS(RADIANS($F864)))</f>
        <v/>
      </c>
      <c r="L864">
        <f>IF($I864="","",$I864*COS(RADIANS($C864))*SIN(RADIANS($D864))+$J864*COS(RADIANS($E864))*SIN(RADIANS($F864)))</f>
        <v/>
      </c>
      <c r="M864">
        <f>IF($I864="","",$I864*SIN(RADIANS($C864))+$J864*SIN(RADIANS($E864)))</f>
        <v/>
      </c>
      <c r="N864">
        <f>IF($M864="","",DEGREES(ATAN2(SQRT($K864^2+$L864^2),$M864)))</f>
        <v/>
      </c>
      <c r="O864">
        <f>IF($M864="","",DEGREES(ATAN2($K864,$L864)))</f>
        <v/>
      </c>
      <c r="P864">
        <f t="array" ref="P864">IF($N864="","",IFERROR(IF(INDEX(geo_grid!$B$2:$JU$231,INT(($N864+40)/0.5)+1,INT(($O864+30)/0.5)+1)="","",INDEX(geo_grid!$B$2:$JU$231,INT(($N864+40)/0.5)+1,INT(($O864+30)/0.5)+1)),"OUTSIDE GRID"))</f>
        <v/>
      </c>
      <c r="Q864">
        <f>IF($P864="","",$A864*1000+$B864)</f>
        <v/>
      </c>
    </row>
    <row r="865">
      <c r="A865">
        <f>INT((ROW()-2)/151)+1</f>
        <v/>
      </c>
      <c r="B865">
        <f>MOD(ROW()-2,151)</f>
        <v/>
      </c>
      <c r="C865">
        <f t="array" ref="C865">IFERROR(INDEX('TRIP MANAGER'!$O$18:$O$25,$A865),"")</f>
        <v/>
      </c>
      <c r="D865">
        <f t="array" ref="D865">IFERROR(INDEX('TRIP MANAGER'!$P$18:$P$25,$A865),"")</f>
        <v/>
      </c>
      <c r="E865">
        <f t="array" ref="E865">IFERROR(INDEX('TRIP MANAGER'!$Q$18:$Q$25,$A865),"")</f>
        <v/>
      </c>
      <c r="F865">
        <f t="array" ref="F865">IFERROR(INDEX('TRIP MANAGER'!$R$18:$R$25,$A865),"")</f>
        <v/>
      </c>
      <c r="G865">
        <f t="array" ref="G865">IFERROR(INDEX('TRIP MANAGER'!$S$18:$S$25,$A865),"")</f>
        <v/>
      </c>
      <c r="H865">
        <f>$B865/150</f>
        <v/>
      </c>
      <c r="I865">
        <f>IF(OR($G865="",$G865=0),"",SIN((1-$H865)*$G865)/SIN($G865))</f>
        <v/>
      </c>
      <c r="J865">
        <f>IF($I865="","",SIN($H865*$G865)/SIN($G865))</f>
        <v/>
      </c>
      <c r="K865">
        <f>IF($I865="","",$I865*COS(RADIANS($C865))*COS(RADIANS($D865))+$J865*COS(RADIANS($E865))*COS(RADIANS($F865)))</f>
        <v/>
      </c>
      <c r="L865">
        <f>IF($I865="","",$I865*COS(RADIANS($C865))*SIN(RADIANS($D865))+$J865*COS(RADIANS($E865))*SIN(RADIANS($F865)))</f>
        <v/>
      </c>
      <c r="M865">
        <f>IF($I865="","",$I865*SIN(RADIANS($C865))+$J865*SIN(RADIANS($E865)))</f>
        <v/>
      </c>
      <c r="N865">
        <f>IF($M865="","",DEGREES(ATAN2(SQRT($K865^2+$L865^2),$M865)))</f>
        <v/>
      </c>
      <c r="O865">
        <f>IF($M865="","",DEGREES(ATAN2($K865,$L865)))</f>
        <v/>
      </c>
      <c r="P865">
        <f t="array" ref="P865">IF($N865="","",IFERROR(IF(INDEX(geo_grid!$B$2:$JU$231,INT(($N865+40)/0.5)+1,INT(($O865+30)/0.5)+1)="","",INDEX(geo_grid!$B$2:$JU$231,INT(($N865+40)/0.5)+1,INT(($O865+30)/0.5)+1)),"OUTSIDE GRID"))</f>
        <v/>
      </c>
      <c r="Q865">
        <f>IF($P865="","",$A865*1000+$B865)</f>
        <v/>
      </c>
    </row>
    <row r="866">
      <c r="A866">
        <f>INT((ROW()-2)/151)+1</f>
        <v/>
      </c>
      <c r="B866">
        <f>MOD(ROW()-2,151)</f>
        <v/>
      </c>
      <c r="C866">
        <f t="array" ref="C866">IFERROR(INDEX('TRIP MANAGER'!$O$18:$O$25,$A866),"")</f>
        <v/>
      </c>
      <c r="D866">
        <f t="array" ref="D866">IFERROR(INDEX('TRIP MANAGER'!$P$18:$P$25,$A866),"")</f>
        <v/>
      </c>
      <c r="E866">
        <f t="array" ref="E866">IFERROR(INDEX('TRIP MANAGER'!$Q$18:$Q$25,$A866),"")</f>
        <v/>
      </c>
      <c r="F866">
        <f t="array" ref="F866">IFERROR(INDEX('TRIP MANAGER'!$R$18:$R$25,$A866),"")</f>
        <v/>
      </c>
      <c r="G866">
        <f t="array" ref="G866">IFERROR(INDEX('TRIP MANAGER'!$S$18:$S$25,$A866),"")</f>
        <v/>
      </c>
      <c r="H866">
        <f>$B866/150</f>
        <v/>
      </c>
      <c r="I866">
        <f>IF(OR($G866="",$G866=0),"",SIN((1-$H866)*$G866)/SIN($G866))</f>
        <v/>
      </c>
      <c r="J866">
        <f>IF($I866="","",SIN($H866*$G866)/SIN($G866))</f>
        <v/>
      </c>
      <c r="K866">
        <f>IF($I866="","",$I866*COS(RADIANS($C866))*COS(RADIANS($D866))+$J866*COS(RADIANS($E866))*COS(RADIANS($F866)))</f>
        <v/>
      </c>
      <c r="L866">
        <f>IF($I866="","",$I866*COS(RADIANS($C866))*SIN(RADIANS($D866))+$J866*COS(RADIANS($E866))*SIN(RADIANS($F866)))</f>
        <v/>
      </c>
      <c r="M866">
        <f>IF($I866="","",$I866*SIN(RADIANS($C866))+$J866*SIN(RADIANS($E866)))</f>
        <v/>
      </c>
      <c r="N866">
        <f>IF($M866="","",DEGREES(ATAN2(SQRT($K866^2+$L866^2),$M866)))</f>
        <v/>
      </c>
      <c r="O866">
        <f>IF($M866="","",DEGREES(ATAN2($K866,$L866)))</f>
        <v/>
      </c>
      <c r="P866">
        <f t="array" ref="P866">IF($N866="","",IFERROR(IF(INDEX(geo_grid!$B$2:$JU$231,INT(($N866+40)/0.5)+1,INT(($O866+30)/0.5)+1)="","",INDEX(geo_grid!$B$2:$JU$231,INT(($N866+40)/0.5)+1,INT(($O866+30)/0.5)+1)),"OUTSIDE GRID"))</f>
        <v/>
      </c>
      <c r="Q866">
        <f>IF($P866="","",$A866*1000+$B866)</f>
        <v/>
      </c>
    </row>
    <row r="867">
      <c r="A867">
        <f>INT((ROW()-2)/151)+1</f>
        <v/>
      </c>
      <c r="B867">
        <f>MOD(ROW()-2,151)</f>
        <v/>
      </c>
      <c r="C867">
        <f t="array" ref="C867">IFERROR(INDEX('TRIP MANAGER'!$O$18:$O$25,$A867),"")</f>
        <v/>
      </c>
      <c r="D867">
        <f t="array" ref="D867">IFERROR(INDEX('TRIP MANAGER'!$P$18:$P$25,$A867),"")</f>
        <v/>
      </c>
      <c r="E867">
        <f t="array" ref="E867">IFERROR(INDEX('TRIP MANAGER'!$Q$18:$Q$25,$A867),"")</f>
        <v/>
      </c>
      <c r="F867">
        <f t="array" ref="F867">IFERROR(INDEX('TRIP MANAGER'!$R$18:$R$25,$A867),"")</f>
        <v/>
      </c>
      <c r="G867">
        <f t="array" ref="G867">IFERROR(INDEX('TRIP MANAGER'!$S$18:$S$25,$A867),"")</f>
        <v/>
      </c>
      <c r="H867">
        <f>$B867/150</f>
        <v/>
      </c>
      <c r="I867">
        <f>IF(OR($G867="",$G867=0),"",SIN((1-$H867)*$G867)/SIN($G867))</f>
        <v/>
      </c>
      <c r="J867">
        <f>IF($I867="","",SIN($H867*$G867)/SIN($G867))</f>
        <v/>
      </c>
      <c r="K867">
        <f>IF($I867="","",$I867*COS(RADIANS($C867))*COS(RADIANS($D867))+$J867*COS(RADIANS($E867))*COS(RADIANS($F867)))</f>
        <v/>
      </c>
      <c r="L867">
        <f>IF($I867="","",$I867*COS(RADIANS($C867))*SIN(RADIANS($D867))+$J867*COS(RADIANS($E867))*SIN(RADIANS($F867)))</f>
        <v/>
      </c>
      <c r="M867">
        <f>IF($I867="","",$I867*SIN(RADIANS($C867))+$J867*SIN(RADIANS($E867)))</f>
        <v/>
      </c>
      <c r="N867">
        <f>IF($M867="","",DEGREES(ATAN2(SQRT($K867^2+$L867^2),$M867)))</f>
        <v/>
      </c>
      <c r="O867">
        <f>IF($M867="","",DEGREES(ATAN2($K867,$L867)))</f>
        <v/>
      </c>
      <c r="P867">
        <f t="array" ref="P867">IF($N867="","",IFERROR(IF(INDEX(geo_grid!$B$2:$JU$231,INT(($N867+40)/0.5)+1,INT(($O867+30)/0.5)+1)="","",INDEX(geo_grid!$B$2:$JU$231,INT(($N867+40)/0.5)+1,INT(($O867+30)/0.5)+1)),"OUTSIDE GRID"))</f>
        <v/>
      </c>
      <c r="Q867">
        <f>IF($P867="","",$A867*1000+$B867)</f>
        <v/>
      </c>
    </row>
    <row r="868">
      <c r="A868">
        <f>INT((ROW()-2)/151)+1</f>
        <v/>
      </c>
      <c r="B868">
        <f>MOD(ROW()-2,151)</f>
        <v/>
      </c>
      <c r="C868">
        <f t="array" ref="C868">IFERROR(INDEX('TRIP MANAGER'!$O$18:$O$25,$A868),"")</f>
        <v/>
      </c>
      <c r="D868">
        <f t="array" ref="D868">IFERROR(INDEX('TRIP MANAGER'!$P$18:$P$25,$A868),"")</f>
        <v/>
      </c>
      <c r="E868">
        <f t="array" ref="E868">IFERROR(INDEX('TRIP MANAGER'!$Q$18:$Q$25,$A868),"")</f>
        <v/>
      </c>
      <c r="F868">
        <f t="array" ref="F868">IFERROR(INDEX('TRIP MANAGER'!$R$18:$R$25,$A868),"")</f>
        <v/>
      </c>
      <c r="G868">
        <f t="array" ref="G868">IFERROR(INDEX('TRIP MANAGER'!$S$18:$S$25,$A868),"")</f>
        <v/>
      </c>
      <c r="H868">
        <f>$B868/150</f>
        <v/>
      </c>
      <c r="I868">
        <f>IF(OR($G868="",$G868=0),"",SIN((1-$H868)*$G868)/SIN($G868))</f>
        <v/>
      </c>
      <c r="J868">
        <f>IF($I868="","",SIN($H868*$G868)/SIN($G868))</f>
        <v/>
      </c>
      <c r="K868">
        <f>IF($I868="","",$I868*COS(RADIANS($C868))*COS(RADIANS($D868))+$J868*COS(RADIANS($E868))*COS(RADIANS($F868)))</f>
        <v/>
      </c>
      <c r="L868">
        <f>IF($I868="","",$I868*COS(RADIANS($C868))*SIN(RADIANS($D868))+$J868*COS(RADIANS($E868))*SIN(RADIANS($F868)))</f>
        <v/>
      </c>
      <c r="M868">
        <f>IF($I868="","",$I868*SIN(RADIANS($C868))+$J868*SIN(RADIANS($E868)))</f>
        <v/>
      </c>
      <c r="N868">
        <f>IF($M868="","",DEGREES(ATAN2(SQRT($K868^2+$L868^2),$M868)))</f>
        <v/>
      </c>
      <c r="O868">
        <f>IF($M868="","",DEGREES(ATAN2($K868,$L868)))</f>
        <v/>
      </c>
      <c r="P868">
        <f t="array" ref="P868">IF($N868="","",IFERROR(IF(INDEX(geo_grid!$B$2:$JU$231,INT(($N868+40)/0.5)+1,INT(($O868+30)/0.5)+1)="","",INDEX(geo_grid!$B$2:$JU$231,INT(($N868+40)/0.5)+1,INT(($O868+30)/0.5)+1)),"OUTSIDE GRID"))</f>
        <v/>
      </c>
      <c r="Q868">
        <f>IF($P868="","",$A868*1000+$B868)</f>
        <v/>
      </c>
    </row>
    <row r="869">
      <c r="A869">
        <f>INT((ROW()-2)/151)+1</f>
        <v/>
      </c>
      <c r="B869">
        <f>MOD(ROW()-2,151)</f>
        <v/>
      </c>
      <c r="C869">
        <f t="array" ref="C869">IFERROR(INDEX('TRIP MANAGER'!$O$18:$O$25,$A869),"")</f>
        <v/>
      </c>
      <c r="D869">
        <f t="array" ref="D869">IFERROR(INDEX('TRIP MANAGER'!$P$18:$P$25,$A869),"")</f>
        <v/>
      </c>
      <c r="E869">
        <f t="array" ref="E869">IFERROR(INDEX('TRIP MANAGER'!$Q$18:$Q$25,$A869),"")</f>
        <v/>
      </c>
      <c r="F869">
        <f t="array" ref="F869">IFERROR(INDEX('TRIP MANAGER'!$R$18:$R$25,$A869),"")</f>
        <v/>
      </c>
      <c r="G869">
        <f t="array" ref="G869">IFERROR(INDEX('TRIP MANAGER'!$S$18:$S$25,$A869),"")</f>
        <v/>
      </c>
      <c r="H869">
        <f>$B869/150</f>
        <v/>
      </c>
      <c r="I869">
        <f>IF(OR($G869="",$G869=0),"",SIN((1-$H869)*$G869)/SIN($G869))</f>
        <v/>
      </c>
      <c r="J869">
        <f>IF($I869="","",SIN($H869*$G869)/SIN($G869))</f>
        <v/>
      </c>
      <c r="K869">
        <f>IF($I869="","",$I869*COS(RADIANS($C869))*COS(RADIANS($D869))+$J869*COS(RADIANS($E869))*COS(RADIANS($F869)))</f>
        <v/>
      </c>
      <c r="L869">
        <f>IF($I869="","",$I869*COS(RADIANS($C869))*SIN(RADIANS($D869))+$J869*COS(RADIANS($E869))*SIN(RADIANS($F869)))</f>
        <v/>
      </c>
      <c r="M869">
        <f>IF($I869="","",$I869*SIN(RADIANS($C869))+$J869*SIN(RADIANS($E869)))</f>
        <v/>
      </c>
      <c r="N869">
        <f>IF($M869="","",DEGREES(ATAN2(SQRT($K869^2+$L869^2),$M869)))</f>
        <v/>
      </c>
      <c r="O869">
        <f>IF($M869="","",DEGREES(ATAN2($K869,$L869)))</f>
        <v/>
      </c>
      <c r="P869">
        <f t="array" ref="P869">IF($N869="","",IFERROR(IF(INDEX(geo_grid!$B$2:$JU$231,INT(($N869+40)/0.5)+1,INT(($O869+30)/0.5)+1)="","",INDEX(geo_grid!$B$2:$JU$231,INT(($N869+40)/0.5)+1,INT(($O869+30)/0.5)+1)),"OUTSIDE GRID"))</f>
        <v/>
      </c>
      <c r="Q869">
        <f>IF($P869="","",$A869*1000+$B869)</f>
        <v/>
      </c>
    </row>
    <row r="870">
      <c r="A870">
        <f>INT((ROW()-2)/151)+1</f>
        <v/>
      </c>
      <c r="B870">
        <f>MOD(ROW()-2,151)</f>
        <v/>
      </c>
      <c r="C870">
        <f t="array" ref="C870">IFERROR(INDEX('TRIP MANAGER'!$O$18:$O$25,$A870),"")</f>
        <v/>
      </c>
      <c r="D870">
        <f t="array" ref="D870">IFERROR(INDEX('TRIP MANAGER'!$P$18:$P$25,$A870),"")</f>
        <v/>
      </c>
      <c r="E870">
        <f t="array" ref="E870">IFERROR(INDEX('TRIP MANAGER'!$Q$18:$Q$25,$A870),"")</f>
        <v/>
      </c>
      <c r="F870">
        <f t="array" ref="F870">IFERROR(INDEX('TRIP MANAGER'!$R$18:$R$25,$A870),"")</f>
        <v/>
      </c>
      <c r="G870">
        <f t="array" ref="G870">IFERROR(INDEX('TRIP MANAGER'!$S$18:$S$25,$A870),"")</f>
        <v/>
      </c>
      <c r="H870">
        <f>$B870/150</f>
        <v/>
      </c>
      <c r="I870">
        <f>IF(OR($G870="",$G870=0),"",SIN((1-$H870)*$G870)/SIN($G870))</f>
        <v/>
      </c>
      <c r="J870">
        <f>IF($I870="","",SIN($H870*$G870)/SIN($G870))</f>
        <v/>
      </c>
      <c r="K870">
        <f>IF($I870="","",$I870*COS(RADIANS($C870))*COS(RADIANS($D870))+$J870*COS(RADIANS($E870))*COS(RADIANS($F870)))</f>
        <v/>
      </c>
      <c r="L870">
        <f>IF($I870="","",$I870*COS(RADIANS($C870))*SIN(RADIANS($D870))+$J870*COS(RADIANS($E870))*SIN(RADIANS($F870)))</f>
        <v/>
      </c>
      <c r="M870">
        <f>IF($I870="","",$I870*SIN(RADIANS($C870))+$J870*SIN(RADIANS($E870)))</f>
        <v/>
      </c>
      <c r="N870">
        <f>IF($M870="","",DEGREES(ATAN2(SQRT($K870^2+$L870^2),$M870)))</f>
        <v/>
      </c>
      <c r="O870">
        <f>IF($M870="","",DEGREES(ATAN2($K870,$L870)))</f>
        <v/>
      </c>
      <c r="P870">
        <f t="array" ref="P870">IF($N870="","",IFERROR(IF(INDEX(geo_grid!$B$2:$JU$231,INT(($N870+40)/0.5)+1,INT(($O870+30)/0.5)+1)="","",INDEX(geo_grid!$B$2:$JU$231,INT(($N870+40)/0.5)+1,INT(($O870+30)/0.5)+1)),"OUTSIDE GRID"))</f>
        <v/>
      </c>
      <c r="Q870">
        <f>IF($P870="","",$A870*1000+$B870)</f>
        <v/>
      </c>
    </row>
    <row r="871">
      <c r="A871">
        <f>INT((ROW()-2)/151)+1</f>
        <v/>
      </c>
      <c r="B871">
        <f>MOD(ROW()-2,151)</f>
        <v/>
      </c>
      <c r="C871">
        <f t="array" ref="C871">IFERROR(INDEX('TRIP MANAGER'!$O$18:$O$25,$A871),"")</f>
        <v/>
      </c>
      <c r="D871">
        <f t="array" ref="D871">IFERROR(INDEX('TRIP MANAGER'!$P$18:$P$25,$A871),"")</f>
        <v/>
      </c>
      <c r="E871">
        <f t="array" ref="E871">IFERROR(INDEX('TRIP MANAGER'!$Q$18:$Q$25,$A871),"")</f>
        <v/>
      </c>
      <c r="F871">
        <f t="array" ref="F871">IFERROR(INDEX('TRIP MANAGER'!$R$18:$R$25,$A871),"")</f>
        <v/>
      </c>
      <c r="G871">
        <f t="array" ref="G871">IFERROR(INDEX('TRIP MANAGER'!$S$18:$S$25,$A871),"")</f>
        <v/>
      </c>
      <c r="H871">
        <f>$B871/150</f>
        <v/>
      </c>
      <c r="I871">
        <f>IF(OR($G871="",$G871=0),"",SIN((1-$H871)*$G871)/SIN($G871))</f>
        <v/>
      </c>
      <c r="J871">
        <f>IF($I871="","",SIN($H871*$G871)/SIN($G871))</f>
        <v/>
      </c>
      <c r="K871">
        <f>IF($I871="","",$I871*COS(RADIANS($C871))*COS(RADIANS($D871))+$J871*COS(RADIANS($E871))*COS(RADIANS($F871)))</f>
        <v/>
      </c>
      <c r="L871">
        <f>IF($I871="","",$I871*COS(RADIANS($C871))*SIN(RADIANS($D871))+$J871*COS(RADIANS($E871))*SIN(RADIANS($F871)))</f>
        <v/>
      </c>
      <c r="M871">
        <f>IF($I871="","",$I871*SIN(RADIANS($C871))+$J871*SIN(RADIANS($E871)))</f>
        <v/>
      </c>
      <c r="N871">
        <f>IF($M871="","",DEGREES(ATAN2(SQRT($K871^2+$L871^2),$M871)))</f>
        <v/>
      </c>
      <c r="O871">
        <f>IF($M871="","",DEGREES(ATAN2($K871,$L871)))</f>
        <v/>
      </c>
      <c r="P871">
        <f t="array" ref="P871">IF($N871="","",IFERROR(IF(INDEX(geo_grid!$B$2:$JU$231,INT(($N871+40)/0.5)+1,INT(($O871+30)/0.5)+1)="","",INDEX(geo_grid!$B$2:$JU$231,INT(($N871+40)/0.5)+1,INT(($O871+30)/0.5)+1)),"OUTSIDE GRID"))</f>
        <v/>
      </c>
      <c r="Q871">
        <f>IF($P871="","",$A871*1000+$B871)</f>
        <v/>
      </c>
    </row>
    <row r="872">
      <c r="A872">
        <f>INT((ROW()-2)/151)+1</f>
        <v/>
      </c>
      <c r="B872">
        <f>MOD(ROW()-2,151)</f>
        <v/>
      </c>
      <c r="C872">
        <f t="array" ref="C872">IFERROR(INDEX('TRIP MANAGER'!$O$18:$O$25,$A872),"")</f>
        <v/>
      </c>
      <c r="D872">
        <f t="array" ref="D872">IFERROR(INDEX('TRIP MANAGER'!$P$18:$P$25,$A872),"")</f>
        <v/>
      </c>
      <c r="E872">
        <f t="array" ref="E872">IFERROR(INDEX('TRIP MANAGER'!$Q$18:$Q$25,$A872),"")</f>
        <v/>
      </c>
      <c r="F872">
        <f t="array" ref="F872">IFERROR(INDEX('TRIP MANAGER'!$R$18:$R$25,$A872),"")</f>
        <v/>
      </c>
      <c r="G872">
        <f t="array" ref="G872">IFERROR(INDEX('TRIP MANAGER'!$S$18:$S$25,$A872),"")</f>
        <v/>
      </c>
      <c r="H872">
        <f>$B872/150</f>
        <v/>
      </c>
      <c r="I872">
        <f>IF(OR($G872="",$G872=0),"",SIN((1-$H872)*$G872)/SIN($G872))</f>
        <v/>
      </c>
      <c r="J872">
        <f>IF($I872="","",SIN($H872*$G872)/SIN($G872))</f>
        <v/>
      </c>
      <c r="K872">
        <f>IF($I872="","",$I872*COS(RADIANS($C872))*COS(RADIANS($D872))+$J872*COS(RADIANS($E872))*COS(RADIANS($F872)))</f>
        <v/>
      </c>
      <c r="L872">
        <f>IF($I872="","",$I872*COS(RADIANS($C872))*SIN(RADIANS($D872))+$J872*COS(RADIANS($E872))*SIN(RADIANS($F872)))</f>
        <v/>
      </c>
      <c r="M872">
        <f>IF($I872="","",$I872*SIN(RADIANS($C872))+$J872*SIN(RADIANS($E872)))</f>
        <v/>
      </c>
      <c r="N872">
        <f>IF($M872="","",DEGREES(ATAN2(SQRT($K872^2+$L872^2),$M872)))</f>
        <v/>
      </c>
      <c r="O872">
        <f>IF($M872="","",DEGREES(ATAN2($K872,$L872)))</f>
        <v/>
      </c>
      <c r="P872">
        <f t="array" ref="P872">IF($N872="","",IFERROR(IF(INDEX(geo_grid!$B$2:$JU$231,INT(($N872+40)/0.5)+1,INT(($O872+30)/0.5)+1)="","",INDEX(geo_grid!$B$2:$JU$231,INT(($N872+40)/0.5)+1,INT(($O872+30)/0.5)+1)),"OUTSIDE GRID"))</f>
        <v/>
      </c>
      <c r="Q872">
        <f>IF($P872="","",$A872*1000+$B872)</f>
        <v/>
      </c>
    </row>
    <row r="873">
      <c r="A873">
        <f>INT((ROW()-2)/151)+1</f>
        <v/>
      </c>
      <c r="B873">
        <f>MOD(ROW()-2,151)</f>
        <v/>
      </c>
      <c r="C873">
        <f t="array" ref="C873">IFERROR(INDEX('TRIP MANAGER'!$O$18:$O$25,$A873),"")</f>
        <v/>
      </c>
      <c r="D873">
        <f t="array" ref="D873">IFERROR(INDEX('TRIP MANAGER'!$P$18:$P$25,$A873),"")</f>
        <v/>
      </c>
      <c r="E873">
        <f t="array" ref="E873">IFERROR(INDEX('TRIP MANAGER'!$Q$18:$Q$25,$A873),"")</f>
        <v/>
      </c>
      <c r="F873">
        <f t="array" ref="F873">IFERROR(INDEX('TRIP MANAGER'!$R$18:$R$25,$A873),"")</f>
        <v/>
      </c>
      <c r="G873">
        <f t="array" ref="G873">IFERROR(INDEX('TRIP MANAGER'!$S$18:$S$25,$A873),"")</f>
        <v/>
      </c>
      <c r="H873">
        <f>$B873/150</f>
        <v/>
      </c>
      <c r="I873">
        <f>IF(OR($G873="",$G873=0),"",SIN((1-$H873)*$G873)/SIN($G873))</f>
        <v/>
      </c>
      <c r="J873">
        <f>IF($I873="","",SIN($H873*$G873)/SIN($G873))</f>
        <v/>
      </c>
      <c r="K873">
        <f>IF($I873="","",$I873*COS(RADIANS($C873))*COS(RADIANS($D873))+$J873*COS(RADIANS($E873))*COS(RADIANS($F873)))</f>
        <v/>
      </c>
      <c r="L873">
        <f>IF($I873="","",$I873*COS(RADIANS($C873))*SIN(RADIANS($D873))+$J873*COS(RADIANS($E873))*SIN(RADIANS($F873)))</f>
        <v/>
      </c>
      <c r="M873">
        <f>IF($I873="","",$I873*SIN(RADIANS($C873))+$J873*SIN(RADIANS($E873)))</f>
        <v/>
      </c>
      <c r="N873">
        <f>IF($M873="","",DEGREES(ATAN2(SQRT($K873^2+$L873^2),$M873)))</f>
        <v/>
      </c>
      <c r="O873">
        <f>IF($M873="","",DEGREES(ATAN2($K873,$L873)))</f>
        <v/>
      </c>
      <c r="P873">
        <f t="array" ref="P873">IF($N873="","",IFERROR(IF(INDEX(geo_grid!$B$2:$JU$231,INT(($N873+40)/0.5)+1,INT(($O873+30)/0.5)+1)="","",INDEX(geo_grid!$B$2:$JU$231,INT(($N873+40)/0.5)+1,INT(($O873+30)/0.5)+1)),"OUTSIDE GRID"))</f>
        <v/>
      </c>
      <c r="Q873">
        <f>IF($P873="","",$A873*1000+$B873)</f>
        <v/>
      </c>
    </row>
    <row r="874">
      <c r="A874">
        <f>INT((ROW()-2)/151)+1</f>
        <v/>
      </c>
      <c r="B874">
        <f>MOD(ROW()-2,151)</f>
        <v/>
      </c>
      <c r="C874">
        <f t="array" ref="C874">IFERROR(INDEX('TRIP MANAGER'!$O$18:$O$25,$A874),"")</f>
        <v/>
      </c>
      <c r="D874">
        <f t="array" ref="D874">IFERROR(INDEX('TRIP MANAGER'!$P$18:$P$25,$A874),"")</f>
        <v/>
      </c>
      <c r="E874">
        <f t="array" ref="E874">IFERROR(INDEX('TRIP MANAGER'!$Q$18:$Q$25,$A874),"")</f>
        <v/>
      </c>
      <c r="F874">
        <f t="array" ref="F874">IFERROR(INDEX('TRIP MANAGER'!$R$18:$R$25,$A874),"")</f>
        <v/>
      </c>
      <c r="G874">
        <f t="array" ref="G874">IFERROR(INDEX('TRIP MANAGER'!$S$18:$S$25,$A874),"")</f>
        <v/>
      </c>
      <c r="H874">
        <f>$B874/150</f>
        <v/>
      </c>
      <c r="I874">
        <f>IF(OR($G874="",$G874=0),"",SIN((1-$H874)*$G874)/SIN($G874))</f>
        <v/>
      </c>
      <c r="J874">
        <f>IF($I874="","",SIN($H874*$G874)/SIN($G874))</f>
        <v/>
      </c>
      <c r="K874">
        <f>IF($I874="","",$I874*COS(RADIANS($C874))*COS(RADIANS($D874))+$J874*COS(RADIANS($E874))*COS(RADIANS($F874)))</f>
        <v/>
      </c>
      <c r="L874">
        <f>IF($I874="","",$I874*COS(RADIANS($C874))*SIN(RADIANS($D874))+$J874*COS(RADIANS($E874))*SIN(RADIANS($F874)))</f>
        <v/>
      </c>
      <c r="M874">
        <f>IF($I874="","",$I874*SIN(RADIANS($C874))+$J874*SIN(RADIANS($E874)))</f>
        <v/>
      </c>
      <c r="N874">
        <f>IF($M874="","",DEGREES(ATAN2(SQRT($K874^2+$L874^2),$M874)))</f>
        <v/>
      </c>
      <c r="O874">
        <f>IF($M874="","",DEGREES(ATAN2($K874,$L874)))</f>
        <v/>
      </c>
      <c r="P874">
        <f t="array" ref="P874">IF($N874="","",IFERROR(IF(INDEX(geo_grid!$B$2:$JU$231,INT(($N874+40)/0.5)+1,INT(($O874+30)/0.5)+1)="","",INDEX(geo_grid!$B$2:$JU$231,INT(($N874+40)/0.5)+1,INT(($O874+30)/0.5)+1)),"OUTSIDE GRID"))</f>
        <v/>
      </c>
      <c r="Q874">
        <f>IF($P874="","",$A874*1000+$B874)</f>
        <v/>
      </c>
    </row>
    <row r="875">
      <c r="A875">
        <f>INT((ROW()-2)/151)+1</f>
        <v/>
      </c>
      <c r="B875">
        <f>MOD(ROW()-2,151)</f>
        <v/>
      </c>
      <c r="C875">
        <f t="array" ref="C875">IFERROR(INDEX('TRIP MANAGER'!$O$18:$O$25,$A875),"")</f>
        <v/>
      </c>
      <c r="D875">
        <f t="array" ref="D875">IFERROR(INDEX('TRIP MANAGER'!$P$18:$P$25,$A875),"")</f>
        <v/>
      </c>
      <c r="E875">
        <f t="array" ref="E875">IFERROR(INDEX('TRIP MANAGER'!$Q$18:$Q$25,$A875),"")</f>
        <v/>
      </c>
      <c r="F875">
        <f t="array" ref="F875">IFERROR(INDEX('TRIP MANAGER'!$R$18:$R$25,$A875),"")</f>
        <v/>
      </c>
      <c r="G875">
        <f t="array" ref="G875">IFERROR(INDEX('TRIP MANAGER'!$S$18:$S$25,$A875),"")</f>
        <v/>
      </c>
      <c r="H875">
        <f>$B875/150</f>
        <v/>
      </c>
      <c r="I875">
        <f>IF(OR($G875="",$G875=0),"",SIN((1-$H875)*$G875)/SIN($G875))</f>
        <v/>
      </c>
      <c r="J875">
        <f>IF($I875="","",SIN($H875*$G875)/SIN($G875))</f>
        <v/>
      </c>
      <c r="K875">
        <f>IF($I875="","",$I875*COS(RADIANS($C875))*COS(RADIANS($D875))+$J875*COS(RADIANS($E875))*COS(RADIANS($F875)))</f>
        <v/>
      </c>
      <c r="L875">
        <f>IF($I875="","",$I875*COS(RADIANS($C875))*SIN(RADIANS($D875))+$J875*COS(RADIANS($E875))*SIN(RADIANS($F875)))</f>
        <v/>
      </c>
      <c r="M875">
        <f>IF($I875="","",$I875*SIN(RADIANS($C875))+$J875*SIN(RADIANS($E875)))</f>
        <v/>
      </c>
      <c r="N875">
        <f>IF($M875="","",DEGREES(ATAN2(SQRT($K875^2+$L875^2),$M875)))</f>
        <v/>
      </c>
      <c r="O875">
        <f>IF($M875="","",DEGREES(ATAN2($K875,$L875)))</f>
        <v/>
      </c>
      <c r="P875">
        <f t="array" ref="P875">IF($N875="","",IFERROR(IF(INDEX(geo_grid!$B$2:$JU$231,INT(($N875+40)/0.5)+1,INT(($O875+30)/0.5)+1)="","",INDEX(geo_grid!$B$2:$JU$231,INT(($N875+40)/0.5)+1,INT(($O875+30)/0.5)+1)),"OUTSIDE GRID"))</f>
        <v/>
      </c>
      <c r="Q875">
        <f>IF($P875="","",$A875*1000+$B875)</f>
        <v/>
      </c>
    </row>
    <row r="876">
      <c r="A876">
        <f>INT((ROW()-2)/151)+1</f>
        <v/>
      </c>
      <c r="B876">
        <f>MOD(ROW()-2,151)</f>
        <v/>
      </c>
      <c r="C876">
        <f t="array" ref="C876">IFERROR(INDEX('TRIP MANAGER'!$O$18:$O$25,$A876),"")</f>
        <v/>
      </c>
      <c r="D876">
        <f t="array" ref="D876">IFERROR(INDEX('TRIP MANAGER'!$P$18:$P$25,$A876),"")</f>
        <v/>
      </c>
      <c r="E876">
        <f t="array" ref="E876">IFERROR(INDEX('TRIP MANAGER'!$Q$18:$Q$25,$A876),"")</f>
        <v/>
      </c>
      <c r="F876">
        <f t="array" ref="F876">IFERROR(INDEX('TRIP MANAGER'!$R$18:$R$25,$A876),"")</f>
        <v/>
      </c>
      <c r="G876">
        <f t="array" ref="G876">IFERROR(INDEX('TRIP MANAGER'!$S$18:$S$25,$A876),"")</f>
        <v/>
      </c>
      <c r="H876">
        <f>$B876/150</f>
        <v/>
      </c>
      <c r="I876">
        <f>IF(OR($G876="",$G876=0),"",SIN((1-$H876)*$G876)/SIN($G876))</f>
        <v/>
      </c>
      <c r="J876">
        <f>IF($I876="","",SIN($H876*$G876)/SIN($G876))</f>
        <v/>
      </c>
      <c r="K876">
        <f>IF($I876="","",$I876*COS(RADIANS($C876))*COS(RADIANS($D876))+$J876*COS(RADIANS($E876))*COS(RADIANS($F876)))</f>
        <v/>
      </c>
      <c r="L876">
        <f>IF($I876="","",$I876*COS(RADIANS($C876))*SIN(RADIANS($D876))+$J876*COS(RADIANS($E876))*SIN(RADIANS($F876)))</f>
        <v/>
      </c>
      <c r="M876">
        <f>IF($I876="","",$I876*SIN(RADIANS($C876))+$J876*SIN(RADIANS($E876)))</f>
        <v/>
      </c>
      <c r="N876">
        <f>IF($M876="","",DEGREES(ATAN2(SQRT($K876^2+$L876^2),$M876)))</f>
        <v/>
      </c>
      <c r="O876">
        <f>IF($M876="","",DEGREES(ATAN2($K876,$L876)))</f>
        <v/>
      </c>
      <c r="P876">
        <f t="array" ref="P876">IF($N876="","",IFERROR(IF(INDEX(geo_grid!$B$2:$JU$231,INT(($N876+40)/0.5)+1,INT(($O876+30)/0.5)+1)="","",INDEX(geo_grid!$B$2:$JU$231,INT(($N876+40)/0.5)+1,INT(($O876+30)/0.5)+1)),"OUTSIDE GRID"))</f>
        <v/>
      </c>
      <c r="Q876">
        <f>IF($P876="","",$A876*1000+$B876)</f>
        <v/>
      </c>
    </row>
    <row r="877">
      <c r="A877">
        <f>INT((ROW()-2)/151)+1</f>
        <v/>
      </c>
      <c r="B877">
        <f>MOD(ROW()-2,151)</f>
        <v/>
      </c>
      <c r="C877">
        <f t="array" ref="C877">IFERROR(INDEX('TRIP MANAGER'!$O$18:$O$25,$A877),"")</f>
        <v/>
      </c>
      <c r="D877">
        <f t="array" ref="D877">IFERROR(INDEX('TRIP MANAGER'!$P$18:$P$25,$A877),"")</f>
        <v/>
      </c>
      <c r="E877">
        <f t="array" ref="E877">IFERROR(INDEX('TRIP MANAGER'!$Q$18:$Q$25,$A877),"")</f>
        <v/>
      </c>
      <c r="F877">
        <f t="array" ref="F877">IFERROR(INDEX('TRIP MANAGER'!$R$18:$R$25,$A877),"")</f>
        <v/>
      </c>
      <c r="G877">
        <f t="array" ref="G877">IFERROR(INDEX('TRIP MANAGER'!$S$18:$S$25,$A877),"")</f>
        <v/>
      </c>
      <c r="H877">
        <f>$B877/150</f>
        <v/>
      </c>
      <c r="I877">
        <f>IF(OR($G877="",$G877=0),"",SIN((1-$H877)*$G877)/SIN($G877))</f>
        <v/>
      </c>
      <c r="J877">
        <f>IF($I877="","",SIN($H877*$G877)/SIN($G877))</f>
        <v/>
      </c>
      <c r="K877">
        <f>IF($I877="","",$I877*COS(RADIANS($C877))*COS(RADIANS($D877))+$J877*COS(RADIANS($E877))*COS(RADIANS($F877)))</f>
        <v/>
      </c>
      <c r="L877">
        <f>IF($I877="","",$I877*COS(RADIANS($C877))*SIN(RADIANS($D877))+$J877*COS(RADIANS($E877))*SIN(RADIANS($F877)))</f>
        <v/>
      </c>
      <c r="M877">
        <f>IF($I877="","",$I877*SIN(RADIANS($C877))+$J877*SIN(RADIANS($E877)))</f>
        <v/>
      </c>
      <c r="N877">
        <f>IF($M877="","",DEGREES(ATAN2(SQRT($K877^2+$L877^2),$M877)))</f>
        <v/>
      </c>
      <c r="O877">
        <f>IF($M877="","",DEGREES(ATAN2($K877,$L877)))</f>
        <v/>
      </c>
      <c r="P877">
        <f t="array" ref="P877">IF($N877="","",IFERROR(IF(INDEX(geo_grid!$B$2:$JU$231,INT(($N877+40)/0.5)+1,INT(($O877+30)/0.5)+1)="","",INDEX(geo_grid!$B$2:$JU$231,INT(($N877+40)/0.5)+1,INT(($O877+30)/0.5)+1)),"OUTSIDE GRID"))</f>
        <v/>
      </c>
      <c r="Q877">
        <f>IF($P877="","",$A877*1000+$B877)</f>
        <v/>
      </c>
    </row>
    <row r="878">
      <c r="A878">
        <f>INT((ROW()-2)/151)+1</f>
        <v/>
      </c>
      <c r="B878">
        <f>MOD(ROW()-2,151)</f>
        <v/>
      </c>
      <c r="C878">
        <f t="array" ref="C878">IFERROR(INDEX('TRIP MANAGER'!$O$18:$O$25,$A878),"")</f>
        <v/>
      </c>
      <c r="D878">
        <f t="array" ref="D878">IFERROR(INDEX('TRIP MANAGER'!$P$18:$P$25,$A878),"")</f>
        <v/>
      </c>
      <c r="E878">
        <f t="array" ref="E878">IFERROR(INDEX('TRIP MANAGER'!$Q$18:$Q$25,$A878),"")</f>
        <v/>
      </c>
      <c r="F878">
        <f t="array" ref="F878">IFERROR(INDEX('TRIP MANAGER'!$R$18:$R$25,$A878),"")</f>
        <v/>
      </c>
      <c r="G878">
        <f t="array" ref="G878">IFERROR(INDEX('TRIP MANAGER'!$S$18:$S$25,$A878),"")</f>
        <v/>
      </c>
      <c r="H878">
        <f>$B878/150</f>
        <v/>
      </c>
      <c r="I878">
        <f>IF(OR($G878="",$G878=0),"",SIN((1-$H878)*$G878)/SIN($G878))</f>
        <v/>
      </c>
      <c r="J878">
        <f>IF($I878="","",SIN($H878*$G878)/SIN($G878))</f>
        <v/>
      </c>
      <c r="K878">
        <f>IF($I878="","",$I878*COS(RADIANS($C878))*COS(RADIANS($D878))+$J878*COS(RADIANS($E878))*COS(RADIANS($F878)))</f>
        <v/>
      </c>
      <c r="L878">
        <f>IF($I878="","",$I878*COS(RADIANS($C878))*SIN(RADIANS($D878))+$J878*COS(RADIANS($E878))*SIN(RADIANS($F878)))</f>
        <v/>
      </c>
      <c r="M878">
        <f>IF($I878="","",$I878*SIN(RADIANS($C878))+$J878*SIN(RADIANS($E878)))</f>
        <v/>
      </c>
      <c r="N878">
        <f>IF($M878="","",DEGREES(ATAN2(SQRT($K878^2+$L878^2),$M878)))</f>
        <v/>
      </c>
      <c r="O878">
        <f>IF($M878="","",DEGREES(ATAN2($K878,$L878)))</f>
        <v/>
      </c>
      <c r="P878">
        <f t="array" ref="P878">IF($N878="","",IFERROR(IF(INDEX(geo_grid!$B$2:$JU$231,INT(($N878+40)/0.5)+1,INT(($O878+30)/0.5)+1)="","",INDEX(geo_grid!$B$2:$JU$231,INT(($N878+40)/0.5)+1,INT(($O878+30)/0.5)+1)),"OUTSIDE GRID"))</f>
        <v/>
      </c>
      <c r="Q878">
        <f>IF($P878="","",$A878*1000+$B878)</f>
        <v/>
      </c>
    </row>
    <row r="879">
      <c r="A879">
        <f>INT((ROW()-2)/151)+1</f>
        <v/>
      </c>
      <c r="B879">
        <f>MOD(ROW()-2,151)</f>
        <v/>
      </c>
      <c r="C879">
        <f t="array" ref="C879">IFERROR(INDEX('TRIP MANAGER'!$O$18:$O$25,$A879),"")</f>
        <v/>
      </c>
      <c r="D879">
        <f t="array" ref="D879">IFERROR(INDEX('TRIP MANAGER'!$P$18:$P$25,$A879),"")</f>
        <v/>
      </c>
      <c r="E879">
        <f t="array" ref="E879">IFERROR(INDEX('TRIP MANAGER'!$Q$18:$Q$25,$A879),"")</f>
        <v/>
      </c>
      <c r="F879">
        <f t="array" ref="F879">IFERROR(INDEX('TRIP MANAGER'!$R$18:$R$25,$A879),"")</f>
        <v/>
      </c>
      <c r="G879">
        <f t="array" ref="G879">IFERROR(INDEX('TRIP MANAGER'!$S$18:$S$25,$A879),"")</f>
        <v/>
      </c>
      <c r="H879">
        <f>$B879/150</f>
        <v/>
      </c>
      <c r="I879">
        <f>IF(OR($G879="",$G879=0),"",SIN((1-$H879)*$G879)/SIN($G879))</f>
        <v/>
      </c>
      <c r="J879">
        <f>IF($I879="","",SIN($H879*$G879)/SIN($G879))</f>
        <v/>
      </c>
      <c r="K879">
        <f>IF($I879="","",$I879*COS(RADIANS($C879))*COS(RADIANS($D879))+$J879*COS(RADIANS($E879))*COS(RADIANS($F879)))</f>
        <v/>
      </c>
      <c r="L879">
        <f>IF($I879="","",$I879*COS(RADIANS($C879))*SIN(RADIANS($D879))+$J879*COS(RADIANS($E879))*SIN(RADIANS($F879)))</f>
        <v/>
      </c>
      <c r="M879">
        <f>IF($I879="","",$I879*SIN(RADIANS($C879))+$J879*SIN(RADIANS($E879)))</f>
        <v/>
      </c>
      <c r="N879">
        <f>IF($M879="","",DEGREES(ATAN2(SQRT($K879^2+$L879^2),$M879)))</f>
        <v/>
      </c>
      <c r="O879">
        <f>IF($M879="","",DEGREES(ATAN2($K879,$L879)))</f>
        <v/>
      </c>
      <c r="P879">
        <f t="array" ref="P879">IF($N879="","",IFERROR(IF(INDEX(geo_grid!$B$2:$JU$231,INT(($N879+40)/0.5)+1,INT(($O879+30)/0.5)+1)="","",INDEX(geo_grid!$B$2:$JU$231,INT(($N879+40)/0.5)+1,INT(($O879+30)/0.5)+1)),"OUTSIDE GRID"))</f>
        <v/>
      </c>
      <c r="Q879">
        <f>IF($P879="","",$A879*1000+$B879)</f>
        <v/>
      </c>
    </row>
    <row r="880">
      <c r="A880">
        <f>INT((ROW()-2)/151)+1</f>
        <v/>
      </c>
      <c r="B880">
        <f>MOD(ROW()-2,151)</f>
        <v/>
      </c>
      <c r="C880">
        <f t="array" ref="C880">IFERROR(INDEX('TRIP MANAGER'!$O$18:$O$25,$A880),"")</f>
        <v/>
      </c>
      <c r="D880">
        <f t="array" ref="D880">IFERROR(INDEX('TRIP MANAGER'!$P$18:$P$25,$A880),"")</f>
        <v/>
      </c>
      <c r="E880">
        <f t="array" ref="E880">IFERROR(INDEX('TRIP MANAGER'!$Q$18:$Q$25,$A880),"")</f>
        <v/>
      </c>
      <c r="F880">
        <f t="array" ref="F880">IFERROR(INDEX('TRIP MANAGER'!$R$18:$R$25,$A880),"")</f>
        <v/>
      </c>
      <c r="G880">
        <f t="array" ref="G880">IFERROR(INDEX('TRIP MANAGER'!$S$18:$S$25,$A880),"")</f>
        <v/>
      </c>
      <c r="H880">
        <f>$B880/150</f>
        <v/>
      </c>
      <c r="I880">
        <f>IF(OR($G880="",$G880=0),"",SIN((1-$H880)*$G880)/SIN($G880))</f>
        <v/>
      </c>
      <c r="J880">
        <f>IF($I880="","",SIN($H880*$G880)/SIN($G880))</f>
        <v/>
      </c>
      <c r="K880">
        <f>IF($I880="","",$I880*COS(RADIANS($C880))*COS(RADIANS($D880))+$J880*COS(RADIANS($E880))*COS(RADIANS($F880)))</f>
        <v/>
      </c>
      <c r="L880">
        <f>IF($I880="","",$I880*COS(RADIANS($C880))*SIN(RADIANS($D880))+$J880*COS(RADIANS($E880))*SIN(RADIANS($F880)))</f>
        <v/>
      </c>
      <c r="M880">
        <f>IF($I880="","",$I880*SIN(RADIANS($C880))+$J880*SIN(RADIANS($E880)))</f>
        <v/>
      </c>
      <c r="N880">
        <f>IF($M880="","",DEGREES(ATAN2(SQRT($K880^2+$L880^2),$M880)))</f>
        <v/>
      </c>
      <c r="O880">
        <f>IF($M880="","",DEGREES(ATAN2($K880,$L880)))</f>
        <v/>
      </c>
      <c r="P880">
        <f t="array" ref="P880">IF($N880="","",IFERROR(IF(INDEX(geo_grid!$B$2:$JU$231,INT(($N880+40)/0.5)+1,INT(($O880+30)/0.5)+1)="","",INDEX(geo_grid!$B$2:$JU$231,INT(($N880+40)/0.5)+1,INT(($O880+30)/0.5)+1)),"OUTSIDE GRID"))</f>
        <v/>
      </c>
      <c r="Q880">
        <f>IF($P880="","",$A880*1000+$B880)</f>
        <v/>
      </c>
    </row>
    <row r="881">
      <c r="A881">
        <f>INT((ROW()-2)/151)+1</f>
        <v/>
      </c>
      <c r="B881">
        <f>MOD(ROW()-2,151)</f>
        <v/>
      </c>
      <c r="C881">
        <f t="array" ref="C881">IFERROR(INDEX('TRIP MANAGER'!$O$18:$O$25,$A881),"")</f>
        <v/>
      </c>
      <c r="D881">
        <f t="array" ref="D881">IFERROR(INDEX('TRIP MANAGER'!$P$18:$P$25,$A881),"")</f>
        <v/>
      </c>
      <c r="E881">
        <f t="array" ref="E881">IFERROR(INDEX('TRIP MANAGER'!$Q$18:$Q$25,$A881),"")</f>
        <v/>
      </c>
      <c r="F881">
        <f t="array" ref="F881">IFERROR(INDEX('TRIP MANAGER'!$R$18:$R$25,$A881),"")</f>
        <v/>
      </c>
      <c r="G881">
        <f t="array" ref="G881">IFERROR(INDEX('TRIP MANAGER'!$S$18:$S$25,$A881),"")</f>
        <v/>
      </c>
      <c r="H881">
        <f>$B881/150</f>
        <v/>
      </c>
      <c r="I881">
        <f>IF(OR($G881="",$G881=0),"",SIN((1-$H881)*$G881)/SIN($G881))</f>
        <v/>
      </c>
      <c r="J881">
        <f>IF($I881="","",SIN($H881*$G881)/SIN($G881))</f>
        <v/>
      </c>
      <c r="K881">
        <f>IF($I881="","",$I881*COS(RADIANS($C881))*COS(RADIANS($D881))+$J881*COS(RADIANS($E881))*COS(RADIANS($F881)))</f>
        <v/>
      </c>
      <c r="L881">
        <f>IF($I881="","",$I881*COS(RADIANS($C881))*SIN(RADIANS($D881))+$J881*COS(RADIANS($E881))*SIN(RADIANS($F881)))</f>
        <v/>
      </c>
      <c r="M881">
        <f>IF($I881="","",$I881*SIN(RADIANS($C881))+$J881*SIN(RADIANS($E881)))</f>
        <v/>
      </c>
      <c r="N881">
        <f>IF($M881="","",DEGREES(ATAN2(SQRT($K881^2+$L881^2),$M881)))</f>
        <v/>
      </c>
      <c r="O881">
        <f>IF($M881="","",DEGREES(ATAN2($K881,$L881)))</f>
        <v/>
      </c>
      <c r="P881">
        <f t="array" ref="P881">IF($N881="","",IFERROR(IF(INDEX(geo_grid!$B$2:$JU$231,INT(($N881+40)/0.5)+1,INT(($O881+30)/0.5)+1)="","",INDEX(geo_grid!$B$2:$JU$231,INT(($N881+40)/0.5)+1,INT(($O881+30)/0.5)+1)),"OUTSIDE GRID"))</f>
        <v/>
      </c>
      <c r="Q881">
        <f>IF($P881="","",$A881*1000+$B881)</f>
        <v/>
      </c>
    </row>
    <row r="882">
      <c r="A882">
        <f>INT((ROW()-2)/151)+1</f>
        <v/>
      </c>
      <c r="B882">
        <f>MOD(ROW()-2,151)</f>
        <v/>
      </c>
      <c r="C882">
        <f t="array" ref="C882">IFERROR(INDEX('TRIP MANAGER'!$O$18:$O$25,$A882),"")</f>
        <v/>
      </c>
      <c r="D882">
        <f t="array" ref="D882">IFERROR(INDEX('TRIP MANAGER'!$P$18:$P$25,$A882),"")</f>
        <v/>
      </c>
      <c r="E882">
        <f t="array" ref="E882">IFERROR(INDEX('TRIP MANAGER'!$Q$18:$Q$25,$A882),"")</f>
        <v/>
      </c>
      <c r="F882">
        <f t="array" ref="F882">IFERROR(INDEX('TRIP MANAGER'!$R$18:$R$25,$A882),"")</f>
        <v/>
      </c>
      <c r="G882">
        <f t="array" ref="G882">IFERROR(INDEX('TRIP MANAGER'!$S$18:$S$25,$A882),"")</f>
        <v/>
      </c>
      <c r="H882">
        <f>$B882/150</f>
        <v/>
      </c>
      <c r="I882">
        <f>IF(OR($G882="",$G882=0),"",SIN((1-$H882)*$G882)/SIN($G882))</f>
        <v/>
      </c>
      <c r="J882">
        <f>IF($I882="","",SIN($H882*$G882)/SIN($G882))</f>
        <v/>
      </c>
      <c r="K882">
        <f>IF($I882="","",$I882*COS(RADIANS($C882))*COS(RADIANS($D882))+$J882*COS(RADIANS($E882))*COS(RADIANS($F882)))</f>
        <v/>
      </c>
      <c r="L882">
        <f>IF($I882="","",$I882*COS(RADIANS($C882))*SIN(RADIANS($D882))+$J882*COS(RADIANS($E882))*SIN(RADIANS($F882)))</f>
        <v/>
      </c>
      <c r="M882">
        <f>IF($I882="","",$I882*SIN(RADIANS($C882))+$J882*SIN(RADIANS($E882)))</f>
        <v/>
      </c>
      <c r="N882">
        <f>IF($M882="","",DEGREES(ATAN2(SQRT($K882^2+$L882^2),$M882)))</f>
        <v/>
      </c>
      <c r="O882">
        <f>IF($M882="","",DEGREES(ATAN2($K882,$L882)))</f>
        <v/>
      </c>
      <c r="P882">
        <f t="array" ref="P882">IF($N882="","",IFERROR(IF(INDEX(geo_grid!$B$2:$JU$231,INT(($N882+40)/0.5)+1,INT(($O882+30)/0.5)+1)="","",INDEX(geo_grid!$B$2:$JU$231,INT(($N882+40)/0.5)+1,INT(($O882+30)/0.5)+1)),"OUTSIDE GRID"))</f>
        <v/>
      </c>
      <c r="Q882">
        <f>IF($P882="","",$A882*1000+$B882)</f>
        <v/>
      </c>
    </row>
    <row r="883">
      <c r="A883">
        <f>INT((ROW()-2)/151)+1</f>
        <v/>
      </c>
      <c r="B883">
        <f>MOD(ROW()-2,151)</f>
        <v/>
      </c>
      <c r="C883">
        <f t="array" ref="C883">IFERROR(INDEX('TRIP MANAGER'!$O$18:$O$25,$A883),"")</f>
        <v/>
      </c>
      <c r="D883">
        <f t="array" ref="D883">IFERROR(INDEX('TRIP MANAGER'!$P$18:$P$25,$A883),"")</f>
        <v/>
      </c>
      <c r="E883">
        <f t="array" ref="E883">IFERROR(INDEX('TRIP MANAGER'!$Q$18:$Q$25,$A883),"")</f>
        <v/>
      </c>
      <c r="F883">
        <f t="array" ref="F883">IFERROR(INDEX('TRIP MANAGER'!$R$18:$R$25,$A883),"")</f>
        <v/>
      </c>
      <c r="G883">
        <f t="array" ref="G883">IFERROR(INDEX('TRIP MANAGER'!$S$18:$S$25,$A883),"")</f>
        <v/>
      </c>
      <c r="H883">
        <f>$B883/150</f>
        <v/>
      </c>
      <c r="I883">
        <f>IF(OR($G883="",$G883=0),"",SIN((1-$H883)*$G883)/SIN($G883))</f>
        <v/>
      </c>
      <c r="J883">
        <f>IF($I883="","",SIN($H883*$G883)/SIN($G883))</f>
        <v/>
      </c>
      <c r="K883">
        <f>IF($I883="","",$I883*COS(RADIANS($C883))*COS(RADIANS($D883))+$J883*COS(RADIANS($E883))*COS(RADIANS($F883)))</f>
        <v/>
      </c>
      <c r="L883">
        <f>IF($I883="","",$I883*COS(RADIANS($C883))*SIN(RADIANS($D883))+$J883*COS(RADIANS($E883))*SIN(RADIANS($F883)))</f>
        <v/>
      </c>
      <c r="M883">
        <f>IF($I883="","",$I883*SIN(RADIANS($C883))+$J883*SIN(RADIANS($E883)))</f>
        <v/>
      </c>
      <c r="N883">
        <f>IF($M883="","",DEGREES(ATAN2(SQRT($K883^2+$L883^2),$M883)))</f>
        <v/>
      </c>
      <c r="O883">
        <f>IF($M883="","",DEGREES(ATAN2($K883,$L883)))</f>
        <v/>
      </c>
      <c r="P883">
        <f t="array" ref="P883">IF($N883="","",IFERROR(IF(INDEX(geo_grid!$B$2:$JU$231,INT(($N883+40)/0.5)+1,INT(($O883+30)/0.5)+1)="","",INDEX(geo_grid!$B$2:$JU$231,INT(($N883+40)/0.5)+1,INT(($O883+30)/0.5)+1)),"OUTSIDE GRID"))</f>
        <v/>
      </c>
      <c r="Q883">
        <f>IF($P883="","",$A883*1000+$B883)</f>
        <v/>
      </c>
    </row>
    <row r="884">
      <c r="A884">
        <f>INT((ROW()-2)/151)+1</f>
        <v/>
      </c>
      <c r="B884">
        <f>MOD(ROW()-2,151)</f>
        <v/>
      </c>
      <c r="C884">
        <f t="array" ref="C884">IFERROR(INDEX('TRIP MANAGER'!$O$18:$O$25,$A884),"")</f>
        <v/>
      </c>
      <c r="D884">
        <f t="array" ref="D884">IFERROR(INDEX('TRIP MANAGER'!$P$18:$P$25,$A884),"")</f>
        <v/>
      </c>
      <c r="E884">
        <f t="array" ref="E884">IFERROR(INDEX('TRIP MANAGER'!$Q$18:$Q$25,$A884),"")</f>
        <v/>
      </c>
      <c r="F884">
        <f t="array" ref="F884">IFERROR(INDEX('TRIP MANAGER'!$R$18:$R$25,$A884),"")</f>
        <v/>
      </c>
      <c r="G884">
        <f t="array" ref="G884">IFERROR(INDEX('TRIP MANAGER'!$S$18:$S$25,$A884),"")</f>
        <v/>
      </c>
      <c r="H884">
        <f>$B884/150</f>
        <v/>
      </c>
      <c r="I884">
        <f>IF(OR($G884="",$G884=0),"",SIN((1-$H884)*$G884)/SIN($G884))</f>
        <v/>
      </c>
      <c r="J884">
        <f>IF($I884="","",SIN($H884*$G884)/SIN($G884))</f>
        <v/>
      </c>
      <c r="K884">
        <f>IF($I884="","",$I884*COS(RADIANS($C884))*COS(RADIANS($D884))+$J884*COS(RADIANS($E884))*COS(RADIANS($F884)))</f>
        <v/>
      </c>
      <c r="L884">
        <f>IF($I884="","",$I884*COS(RADIANS($C884))*SIN(RADIANS($D884))+$J884*COS(RADIANS($E884))*SIN(RADIANS($F884)))</f>
        <v/>
      </c>
      <c r="M884">
        <f>IF($I884="","",$I884*SIN(RADIANS($C884))+$J884*SIN(RADIANS($E884)))</f>
        <v/>
      </c>
      <c r="N884">
        <f>IF($M884="","",DEGREES(ATAN2(SQRT($K884^2+$L884^2),$M884)))</f>
        <v/>
      </c>
      <c r="O884">
        <f>IF($M884="","",DEGREES(ATAN2($K884,$L884)))</f>
        <v/>
      </c>
      <c r="P884">
        <f t="array" ref="P884">IF($N884="","",IFERROR(IF(INDEX(geo_grid!$B$2:$JU$231,INT(($N884+40)/0.5)+1,INT(($O884+30)/0.5)+1)="","",INDEX(geo_grid!$B$2:$JU$231,INT(($N884+40)/0.5)+1,INT(($O884+30)/0.5)+1)),"OUTSIDE GRID"))</f>
        <v/>
      </c>
      <c r="Q884">
        <f>IF($P884="","",$A884*1000+$B884)</f>
        <v/>
      </c>
    </row>
    <row r="885">
      <c r="A885">
        <f>INT((ROW()-2)/151)+1</f>
        <v/>
      </c>
      <c r="B885">
        <f>MOD(ROW()-2,151)</f>
        <v/>
      </c>
      <c r="C885">
        <f t="array" ref="C885">IFERROR(INDEX('TRIP MANAGER'!$O$18:$O$25,$A885),"")</f>
        <v/>
      </c>
      <c r="D885">
        <f t="array" ref="D885">IFERROR(INDEX('TRIP MANAGER'!$P$18:$P$25,$A885),"")</f>
        <v/>
      </c>
      <c r="E885">
        <f t="array" ref="E885">IFERROR(INDEX('TRIP MANAGER'!$Q$18:$Q$25,$A885),"")</f>
        <v/>
      </c>
      <c r="F885">
        <f t="array" ref="F885">IFERROR(INDEX('TRIP MANAGER'!$R$18:$R$25,$A885),"")</f>
        <v/>
      </c>
      <c r="G885">
        <f t="array" ref="G885">IFERROR(INDEX('TRIP MANAGER'!$S$18:$S$25,$A885),"")</f>
        <v/>
      </c>
      <c r="H885">
        <f>$B885/150</f>
        <v/>
      </c>
      <c r="I885">
        <f>IF(OR($G885="",$G885=0),"",SIN((1-$H885)*$G885)/SIN($G885))</f>
        <v/>
      </c>
      <c r="J885">
        <f>IF($I885="","",SIN($H885*$G885)/SIN($G885))</f>
        <v/>
      </c>
      <c r="K885">
        <f>IF($I885="","",$I885*COS(RADIANS($C885))*COS(RADIANS($D885))+$J885*COS(RADIANS($E885))*COS(RADIANS($F885)))</f>
        <v/>
      </c>
      <c r="L885">
        <f>IF($I885="","",$I885*COS(RADIANS($C885))*SIN(RADIANS($D885))+$J885*COS(RADIANS($E885))*SIN(RADIANS($F885)))</f>
        <v/>
      </c>
      <c r="M885">
        <f>IF($I885="","",$I885*SIN(RADIANS($C885))+$J885*SIN(RADIANS($E885)))</f>
        <v/>
      </c>
      <c r="N885">
        <f>IF($M885="","",DEGREES(ATAN2(SQRT($K885^2+$L885^2),$M885)))</f>
        <v/>
      </c>
      <c r="O885">
        <f>IF($M885="","",DEGREES(ATAN2($K885,$L885)))</f>
        <v/>
      </c>
      <c r="P885">
        <f t="array" ref="P885">IF($N885="","",IFERROR(IF(INDEX(geo_grid!$B$2:$JU$231,INT(($N885+40)/0.5)+1,INT(($O885+30)/0.5)+1)="","",INDEX(geo_grid!$B$2:$JU$231,INT(($N885+40)/0.5)+1,INT(($O885+30)/0.5)+1)),"OUTSIDE GRID"))</f>
        <v/>
      </c>
      <c r="Q885">
        <f>IF($P885="","",$A885*1000+$B885)</f>
        <v/>
      </c>
    </row>
    <row r="886">
      <c r="A886">
        <f>INT((ROW()-2)/151)+1</f>
        <v/>
      </c>
      <c r="B886">
        <f>MOD(ROW()-2,151)</f>
        <v/>
      </c>
      <c r="C886">
        <f t="array" ref="C886">IFERROR(INDEX('TRIP MANAGER'!$O$18:$O$25,$A886),"")</f>
        <v/>
      </c>
      <c r="D886">
        <f t="array" ref="D886">IFERROR(INDEX('TRIP MANAGER'!$P$18:$P$25,$A886),"")</f>
        <v/>
      </c>
      <c r="E886">
        <f t="array" ref="E886">IFERROR(INDEX('TRIP MANAGER'!$Q$18:$Q$25,$A886),"")</f>
        <v/>
      </c>
      <c r="F886">
        <f t="array" ref="F886">IFERROR(INDEX('TRIP MANAGER'!$R$18:$R$25,$A886),"")</f>
        <v/>
      </c>
      <c r="G886">
        <f t="array" ref="G886">IFERROR(INDEX('TRIP MANAGER'!$S$18:$S$25,$A886),"")</f>
        <v/>
      </c>
      <c r="H886">
        <f>$B886/150</f>
        <v/>
      </c>
      <c r="I886">
        <f>IF(OR($G886="",$G886=0),"",SIN((1-$H886)*$G886)/SIN($G886))</f>
        <v/>
      </c>
      <c r="J886">
        <f>IF($I886="","",SIN($H886*$G886)/SIN($G886))</f>
        <v/>
      </c>
      <c r="K886">
        <f>IF($I886="","",$I886*COS(RADIANS($C886))*COS(RADIANS($D886))+$J886*COS(RADIANS($E886))*COS(RADIANS($F886)))</f>
        <v/>
      </c>
      <c r="L886">
        <f>IF($I886="","",$I886*COS(RADIANS($C886))*SIN(RADIANS($D886))+$J886*COS(RADIANS($E886))*SIN(RADIANS($F886)))</f>
        <v/>
      </c>
      <c r="M886">
        <f>IF($I886="","",$I886*SIN(RADIANS($C886))+$J886*SIN(RADIANS($E886)))</f>
        <v/>
      </c>
      <c r="N886">
        <f>IF($M886="","",DEGREES(ATAN2(SQRT($K886^2+$L886^2),$M886)))</f>
        <v/>
      </c>
      <c r="O886">
        <f>IF($M886="","",DEGREES(ATAN2($K886,$L886)))</f>
        <v/>
      </c>
      <c r="P886">
        <f t="array" ref="P886">IF($N886="","",IFERROR(IF(INDEX(geo_grid!$B$2:$JU$231,INT(($N886+40)/0.5)+1,INT(($O886+30)/0.5)+1)="","",INDEX(geo_grid!$B$2:$JU$231,INT(($N886+40)/0.5)+1,INT(($O886+30)/0.5)+1)),"OUTSIDE GRID"))</f>
        <v/>
      </c>
      <c r="Q886">
        <f>IF($P886="","",$A886*1000+$B886)</f>
        <v/>
      </c>
    </row>
    <row r="887">
      <c r="A887">
        <f>INT((ROW()-2)/151)+1</f>
        <v/>
      </c>
      <c r="B887">
        <f>MOD(ROW()-2,151)</f>
        <v/>
      </c>
      <c r="C887">
        <f t="array" ref="C887">IFERROR(INDEX('TRIP MANAGER'!$O$18:$O$25,$A887),"")</f>
        <v/>
      </c>
      <c r="D887">
        <f t="array" ref="D887">IFERROR(INDEX('TRIP MANAGER'!$P$18:$P$25,$A887),"")</f>
        <v/>
      </c>
      <c r="E887">
        <f t="array" ref="E887">IFERROR(INDEX('TRIP MANAGER'!$Q$18:$Q$25,$A887),"")</f>
        <v/>
      </c>
      <c r="F887">
        <f t="array" ref="F887">IFERROR(INDEX('TRIP MANAGER'!$R$18:$R$25,$A887),"")</f>
        <v/>
      </c>
      <c r="G887">
        <f t="array" ref="G887">IFERROR(INDEX('TRIP MANAGER'!$S$18:$S$25,$A887),"")</f>
        <v/>
      </c>
      <c r="H887">
        <f>$B887/150</f>
        <v/>
      </c>
      <c r="I887">
        <f>IF(OR($G887="",$G887=0),"",SIN((1-$H887)*$G887)/SIN($G887))</f>
        <v/>
      </c>
      <c r="J887">
        <f>IF($I887="","",SIN($H887*$G887)/SIN($G887))</f>
        <v/>
      </c>
      <c r="K887">
        <f>IF($I887="","",$I887*COS(RADIANS($C887))*COS(RADIANS($D887))+$J887*COS(RADIANS($E887))*COS(RADIANS($F887)))</f>
        <v/>
      </c>
      <c r="L887">
        <f>IF($I887="","",$I887*COS(RADIANS($C887))*SIN(RADIANS($D887))+$J887*COS(RADIANS($E887))*SIN(RADIANS($F887)))</f>
        <v/>
      </c>
      <c r="M887">
        <f>IF($I887="","",$I887*SIN(RADIANS($C887))+$J887*SIN(RADIANS($E887)))</f>
        <v/>
      </c>
      <c r="N887">
        <f>IF($M887="","",DEGREES(ATAN2(SQRT($K887^2+$L887^2),$M887)))</f>
        <v/>
      </c>
      <c r="O887">
        <f>IF($M887="","",DEGREES(ATAN2($K887,$L887)))</f>
        <v/>
      </c>
      <c r="P887">
        <f t="array" ref="P887">IF($N887="","",IFERROR(IF(INDEX(geo_grid!$B$2:$JU$231,INT(($N887+40)/0.5)+1,INT(($O887+30)/0.5)+1)="","",INDEX(geo_grid!$B$2:$JU$231,INT(($N887+40)/0.5)+1,INT(($O887+30)/0.5)+1)),"OUTSIDE GRID"))</f>
        <v/>
      </c>
      <c r="Q887">
        <f>IF($P887="","",$A887*1000+$B887)</f>
        <v/>
      </c>
    </row>
    <row r="888">
      <c r="A888">
        <f>INT((ROW()-2)/151)+1</f>
        <v/>
      </c>
      <c r="B888">
        <f>MOD(ROW()-2,151)</f>
        <v/>
      </c>
      <c r="C888">
        <f t="array" ref="C888">IFERROR(INDEX('TRIP MANAGER'!$O$18:$O$25,$A888),"")</f>
        <v/>
      </c>
      <c r="D888">
        <f t="array" ref="D888">IFERROR(INDEX('TRIP MANAGER'!$P$18:$P$25,$A888),"")</f>
        <v/>
      </c>
      <c r="E888">
        <f t="array" ref="E888">IFERROR(INDEX('TRIP MANAGER'!$Q$18:$Q$25,$A888),"")</f>
        <v/>
      </c>
      <c r="F888">
        <f t="array" ref="F888">IFERROR(INDEX('TRIP MANAGER'!$R$18:$R$25,$A888),"")</f>
        <v/>
      </c>
      <c r="G888">
        <f t="array" ref="G888">IFERROR(INDEX('TRIP MANAGER'!$S$18:$S$25,$A888),"")</f>
        <v/>
      </c>
      <c r="H888">
        <f>$B888/150</f>
        <v/>
      </c>
      <c r="I888">
        <f>IF(OR($G888="",$G888=0),"",SIN((1-$H888)*$G888)/SIN($G888))</f>
        <v/>
      </c>
      <c r="J888">
        <f>IF($I888="","",SIN($H888*$G888)/SIN($G888))</f>
        <v/>
      </c>
      <c r="K888">
        <f>IF($I888="","",$I888*COS(RADIANS($C888))*COS(RADIANS($D888))+$J888*COS(RADIANS($E888))*COS(RADIANS($F888)))</f>
        <v/>
      </c>
      <c r="L888">
        <f>IF($I888="","",$I888*COS(RADIANS($C888))*SIN(RADIANS($D888))+$J888*COS(RADIANS($E888))*SIN(RADIANS($F888)))</f>
        <v/>
      </c>
      <c r="M888">
        <f>IF($I888="","",$I888*SIN(RADIANS($C888))+$J888*SIN(RADIANS($E888)))</f>
        <v/>
      </c>
      <c r="N888">
        <f>IF($M888="","",DEGREES(ATAN2(SQRT($K888^2+$L888^2),$M888)))</f>
        <v/>
      </c>
      <c r="O888">
        <f>IF($M888="","",DEGREES(ATAN2($K888,$L888)))</f>
        <v/>
      </c>
      <c r="P888">
        <f t="array" ref="P888">IF($N888="","",IFERROR(IF(INDEX(geo_grid!$B$2:$JU$231,INT(($N888+40)/0.5)+1,INT(($O888+30)/0.5)+1)="","",INDEX(geo_grid!$B$2:$JU$231,INT(($N888+40)/0.5)+1,INT(($O888+30)/0.5)+1)),"OUTSIDE GRID"))</f>
        <v/>
      </c>
      <c r="Q888">
        <f>IF($P888="","",$A888*1000+$B888)</f>
        <v/>
      </c>
    </row>
    <row r="889">
      <c r="A889">
        <f>INT((ROW()-2)/151)+1</f>
        <v/>
      </c>
      <c r="B889">
        <f>MOD(ROW()-2,151)</f>
        <v/>
      </c>
      <c r="C889">
        <f t="array" ref="C889">IFERROR(INDEX('TRIP MANAGER'!$O$18:$O$25,$A889),"")</f>
        <v/>
      </c>
      <c r="D889">
        <f t="array" ref="D889">IFERROR(INDEX('TRIP MANAGER'!$P$18:$P$25,$A889),"")</f>
        <v/>
      </c>
      <c r="E889">
        <f t="array" ref="E889">IFERROR(INDEX('TRIP MANAGER'!$Q$18:$Q$25,$A889),"")</f>
        <v/>
      </c>
      <c r="F889">
        <f t="array" ref="F889">IFERROR(INDEX('TRIP MANAGER'!$R$18:$R$25,$A889),"")</f>
        <v/>
      </c>
      <c r="G889">
        <f t="array" ref="G889">IFERROR(INDEX('TRIP MANAGER'!$S$18:$S$25,$A889),"")</f>
        <v/>
      </c>
      <c r="H889">
        <f>$B889/150</f>
        <v/>
      </c>
      <c r="I889">
        <f>IF(OR($G889="",$G889=0),"",SIN((1-$H889)*$G889)/SIN($G889))</f>
        <v/>
      </c>
      <c r="J889">
        <f>IF($I889="","",SIN($H889*$G889)/SIN($G889))</f>
        <v/>
      </c>
      <c r="K889">
        <f>IF($I889="","",$I889*COS(RADIANS($C889))*COS(RADIANS($D889))+$J889*COS(RADIANS($E889))*COS(RADIANS($F889)))</f>
        <v/>
      </c>
      <c r="L889">
        <f>IF($I889="","",$I889*COS(RADIANS($C889))*SIN(RADIANS($D889))+$J889*COS(RADIANS($E889))*SIN(RADIANS($F889)))</f>
        <v/>
      </c>
      <c r="M889">
        <f>IF($I889="","",$I889*SIN(RADIANS($C889))+$J889*SIN(RADIANS($E889)))</f>
        <v/>
      </c>
      <c r="N889">
        <f>IF($M889="","",DEGREES(ATAN2(SQRT($K889^2+$L889^2),$M889)))</f>
        <v/>
      </c>
      <c r="O889">
        <f>IF($M889="","",DEGREES(ATAN2($K889,$L889)))</f>
        <v/>
      </c>
      <c r="P889">
        <f t="array" ref="P889">IF($N889="","",IFERROR(IF(INDEX(geo_grid!$B$2:$JU$231,INT(($N889+40)/0.5)+1,INT(($O889+30)/0.5)+1)="","",INDEX(geo_grid!$B$2:$JU$231,INT(($N889+40)/0.5)+1,INT(($O889+30)/0.5)+1)),"OUTSIDE GRID"))</f>
        <v/>
      </c>
      <c r="Q889">
        <f>IF($P889="","",$A889*1000+$B889)</f>
        <v/>
      </c>
    </row>
    <row r="890">
      <c r="A890">
        <f>INT((ROW()-2)/151)+1</f>
        <v/>
      </c>
      <c r="B890">
        <f>MOD(ROW()-2,151)</f>
        <v/>
      </c>
      <c r="C890">
        <f t="array" ref="C890">IFERROR(INDEX('TRIP MANAGER'!$O$18:$O$25,$A890),"")</f>
        <v/>
      </c>
      <c r="D890">
        <f t="array" ref="D890">IFERROR(INDEX('TRIP MANAGER'!$P$18:$P$25,$A890),"")</f>
        <v/>
      </c>
      <c r="E890">
        <f t="array" ref="E890">IFERROR(INDEX('TRIP MANAGER'!$Q$18:$Q$25,$A890),"")</f>
        <v/>
      </c>
      <c r="F890">
        <f t="array" ref="F890">IFERROR(INDEX('TRIP MANAGER'!$R$18:$R$25,$A890),"")</f>
        <v/>
      </c>
      <c r="G890">
        <f t="array" ref="G890">IFERROR(INDEX('TRIP MANAGER'!$S$18:$S$25,$A890),"")</f>
        <v/>
      </c>
      <c r="H890">
        <f>$B890/150</f>
        <v/>
      </c>
      <c r="I890">
        <f>IF(OR($G890="",$G890=0),"",SIN((1-$H890)*$G890)/SIN($G890))</f>
        <v/>
      </c>
      <c r="J890">
        <f>IF($I890="","",SIN($H890*$G890)/SIN($G890))</f>
        <v/>
      </c>
      <c r="K890">
        <f>IF($I890="","",$I890*COS(RADIANS($C890))*COS(RADIANS($D890))+$J890*COS(RADIANS($E890))*COS(RADIANS($F890)))</f>
        <v/>
      </c>
      <c r="L890">
        <f>IF($I890="","",$I890*COS(RADIANS($C890))*SIN(RADIANS($D890))+$J890*COS(RADIANS($E890))*SIN(RADIANS($F890)))</f>
        <v/>
      </c>
      <c r="M890">
        <f>IF($I890="","",$I890*SIN(RADIANS($C890))+$J890*SIN(RADIANS($E890)))</f>
        <v/>
      </c>
      <c r="N890">
        <f>IF($M890="","",DEGREES(ATAN2(SQRT($K890^2+$L890^2),$M890)))</f>
        <v/>
      </c>
      <c r="O890">
        <f>IF($M890="","",DEGREES(ATAN2($K890,$L890)))</f>
        <v/>
      </c>
      <c r="P890">
        <f t="array" ref="P890">IF($N890="","",IFERROR(IF(INDEX(geo_grid!$B$2:$JU$231,INT(($N890+40)/0.5)+1,INT(($O890+30)/0.5)+1)="","",INDEX(geo_grid!$B$2:$JU$231,INT(($N890+40)/0.5)+1,INT(($O890+30)/0.5)+1)),"OUTSIDE GRID"))</f>
        <v/>
      </c>
      <c r="Q890">
        <f>IF($P890="","",$A890*1000+$B890)</f>
        <v/>
      </c>
    </row>
    <row r="891">
      <c r="A891">
        <f>INT((ROW()-2)/151)+1</f>
        <v/>
      </c>
      <c r="B891">
        <f>MOD(ROW()-2,151)</f>
        <v/>
      </c>
      <c r="C891">
        <f t="array" ref="C891">IFERROR(INDEX('TRIP MANAGER'!$O$18:$O$25,$A891),"")</f>
        <v/>
      </c>
      <c r="D891">
        <f t="array" ref="D891">IFERROR(INDEX('TRIP MANAGER'!$P$18:$P$25,$A891),"")</f>
        <v/>
      </c>
      <c r="E891">
        <f t="array" ref="E891">IFERROR(INDEX('TRIP MANAGER'!$Q$18:$Q$25,$A891),"")</f>
        <v/>
      </c>
      <c r="F891">
        <f t="array" ref="F891">IFERROR(INDEX('TRIP MANAGER'!$R$18:$R$25,$A891),"")</f>
        <v/>
      </c>
      <c r="G891">
        <f t="array" ref="G891">IFERROR(INDEX('TRIP MANAGER'!$S$18:$S$25,$A891),"")</f>
        <v/>
      </c>
      <c r="H891">
        <f>$B891/150</f>
        <v/>
      </c>
      <c r="I891">
        <f>IF(OR($G891="",$G891=0),"",SIN((1-$H891)*$G891)/SIN($G891))</f>
        <v/>
      </c>
      <c r="J891">
        <f>IF($I891="","",SIN($H891*$G891)/SIN($G891))</f>
        <v/>
      </c>
      <c r="K891">
        <f>IF($I891="","",$I891*COS(RADIANS($C891))*COS(RADIANS($D891))+$J891*COS(RADIANS($E891))*COS(RADIANS($F891)))</f>
        <v/>
      </c>
      <c r="L891">
        <f>IF($I891="","",$I891*COS(RADIANS($C891))*SIN(RADIANS($D891))+$J891*COS(RADIANS($E891))*SIN(RADIANS($F891)))</f>
        <v/>
      </c>
      <c r="M891">
        <f>IF($I891="","",$I891*SIN(RADIANS($C891))+$J891*SIN(RADIANS($E891)))</f>
        <v/>
      </c>
      <c r="N891">
        <f>IF($M891="","",DEGREES(ATAN2(SQRT($K891^2+$L891^2),$M891)))</f>
        <v/>
      </c>
      <c r="O891">
        <f>IF($M891="","",DEGREES(ATAN2($K891,$L891)))</f>
        <v/>
      </c>
      <c r="P891">
        <f t="array" ref="P891">IF($N891="","",IFERROR(IF(INDEX(geo_grid!$B$2:$JU$231,INT(($N891+40)/0.5)+1,INT(($O891+30)/0.5)+1)="","",INDEX(geo_grid!$B$2:$JU$231,INT(($N891+40)/0.5)+1,INT(($O891+30)/0.5)+1)),"OUTSIDE GRID"))</f>
        <v/>
      </c>
      <c r="Q891">
        <f>IF($P891="","",$A891*1000+$B891)</f>
        <v/>
      </c>
    </row>
    <row r="892">
      <c r="A892">
        <f>INT((ROW()-2)/151)+1</f>
        <v/>
      </c>
      <c r="B892">
        <f>MOD(ROW()-2,151)</f>
        <v/>
      </c>
      <c r="C892">
        <f t="array" ref="C892">IFERROR(INDEX('TRIP MANAGER'!$O$18:$O$25,$A892),"")</f>
        <v/>
      </c>
      <c r="D892">
        <f t="array" ref="D892">IFERROR(INDEX('TRIP MANAGER'!$P$18:$P$25,$A892),"")</f>
        <v/>
      </c>
      <c r="E892">
        <f t="array" ref="E892">IFERROR(INDEX('TRIP MANAGER'!$Q$18:$Q$25,$A892),"")</f>
        <v/>
      </c>
      <c r="F892">
        <f t="array" ref="F892">IFERROR(INDEX('TRIP MANAGER'!$R$18:$R$25,$A892),"")</f>
        <v/>
      </c>
      <c r="G892">
        <f t="array" ref="G892">IFERROR(INDEX('TRIP MANAGER'!$S$18:$S$25,$A892),"")</f>
        <v/>
      </c>
      <c r="H892">
        <f>$B892/150</f>
        <v/>
      </c>
      <c r="I892">
        <f>IF(OR($G892="",$G892=0),"",SIN((1-$H892)*$G892)/SIN($G892))</f>
        <v/>
      </c>
      <c r="J892">
        <f>IF($I892="","",SIN($H892*$G892)/SIN($G892))</f>
        <v/>
      </c>
      <c r="K892">
        <f>IF($I892="","",$I892*COS(RADIANS($C892))*COS(RADIANS($D892))+$J892*COS(RADIANS($E892))*COS(RADIANS($F892)))</f>
        <v/>
      </c>
      <c r="L892">
        <f>IF($I892="","",$I892*COS(RADIANS($C892))*SIN(RADIANS($D892))+$J892*COS(RADIANS($E892))*SIN(RADIANS($F892)))</f>
        <v/>
      </c>
      <c r="M892">
        <f>IF($I892="","",$I892*SIN(RADIANS($C892))+$J892*SIN(RADIANS($E892)))</f>
        <v/>
      </c>
      <c r="N892">
        <f>IF($M892="","",DEGREES(ATAN2(SQRT($K892^2+$L892^2),$M892)))</f>
        <v/>
      </c>
      <c r="O892">
        <f>IF($M892="","",DEGREES(ATAN2($K892,$L892)))</f>
        <v/>
      </c>
      <c r="P892">
        <f t="array" ref="P892">IF($N892="","",IFERROR(IF(INDEX(geo_grid!$B$2:$JU$231,INT(($N892+40)/0.5)+1,INT(($O892+30)/0.5)+1)="","",INDEX(geo_grid!$B$2:$JU$231,INT(($N892+40)/0.5)+1,INT(($O892+30)/0.5)+1)),"OUTSIDE GRID"))</f>
        <v/>
      </c>
      <c r="Q892">
        <f>IF($P892="","",$A892*1000+$B892)</f>
        <v/>
      </c>
    </row>
    <row r="893">
      <c r="A893">
        <f>INT((ROW()-2)/151)+1</f>
        <v/>
      </c>
      <c r="B893">
        <f>MOD(ROW()-2,151)</f>
        <v/>
      </c>
      <c r="C893">
        <f t="array" ref="C893">IFERROR(INDEX('TRIP MANAGER'!$O$18:$O$25,$A893),"")</f>
        <v/>
      </c>
      <c r="D893">
        <f t="array" ref="D893">IFERROR(INDEX('TRIP MANAGER'!$P$18:$P$25,$A893),"")</f>
        <v/>
      </c>
      <c r="E893">
        <f t="array" ref="E893">IFERROR(INDEX('TRIP MANAGER'!$Q$18:$Q$25,$A893),"")</f>
        <v/>
      </c>
      <c r="F893">
        <f t="array" ref="F893">IFERROR(INDEX('TRIP MANAGER'!$R$18:$R$25,$A893),"")</f>
        <v/>
      </c>
      <c r="G893">
        <f t="array" ref="G893">IFERROR(INDEX('TRIP MANAGER'!$S$18:$S$25,$A893),"")</f>
        <v/>
      </c>
      <c r="H893">
        <f>$B893/150</f>
        <v/>
      </c>
      <c r="I893">
        <f>IF(OR($G893="",$G893=0),"",SIN((1-$H893)*$G893)/SIN($G893))</f>
        <v/>
      </c>
      <c r="J893">
        <f>IF($I893="","",SIN($H893*$G893)/SIN($G893))</f>
        <v/>
      </c>
      <c r="K893">
        <f>IF($I893="","",$I893*COS(RADIANS($C893))*COS(RADIANS($D893))+$J893*COS(RADIANS($E893))*COS(RADIANS($F893)))</f>
        <v/>
      </c>
      <c r="L893">
        <f>IF($I893="","",$I893*COS(RADIANS($C893))*SIN(RADIANS($D893))+$J893*COS(RADIANS($E893))*SIN(RADIANS($F893)))</f>
        <v/>
      </c>
      <c r="M893">
        <f>IF($I893="","",$I893*SIN(RADIANS($C893))+$J893*SIN(RADIANS($E893)))</f>
        <v/>
      </c>
      <c r="N893">
        <f>IF($M893="","",DEGREES(ATAN2(SQRT($K893^2+$L893^2),$M893)))</f>
        <v/>
      </c>
      <c r="O893">
        <f>IF($M893="","",DEGREES(ATAN2($K893,$L893)))</f>
        <v/>
      </c>
      <c r="P893">
        <f t="array" ref="P893">IF($N893="","",IFERROR(IF(INDEX(geo_grid!$B$2:$JU$231,INT(($N893+40)/0.5)+1,INT(($O893+30)/0.5)+1)="","",INDEX(geo_grid!$B$2:$JU$231,INT(($N893+40)/0.5)+1,INT(($O893+30)/0.5)+1)),"OUTSIDE GRID"))</f>
        <v/>
      </c>
      <c r="Q893">
        <f>IF($P893="","",$A893*1000+$B893)</f>
        <v/>
      </c>
    </row>
    <row r="894">
      <c r="A894">
        <f>INT((ROW()-2)/151)+1</f>
        <v/>
      </c>
      <c r="B894">
        <f>MOD(ROW()-2,151)</f>
        <v/>
      </c>
      <c r="C894">
        <f t="array" ref="C894">IFERROR(INDEX('TRIP MANAGER'!$O$18:$O$25,$A894),"")</f>
        <v/>
      </c>
      <c r="D894">
        <f t="array" ref="D894">IFERROR(INDEX('TRIP MANAGER'!$P$18:$P$25,$A894),"")</f>
        <v/>
      </c>
      <c r="E894">
        <f t="array" ref="E894">IFERROR(INDEX('TRIP MANAGER'!$Q$18:$Q$25,$A894),"")</f>
        <v/>
      </c>
      <c r="F894">
        <f t="array" ref="F894">IFERROR(INDEX('TRIP MANAGER'!$R$18:$R$25,$A894),"")</f>
        <v/>
      </c>
      <c r="G894">
        <f t="array" ref="G894">IFERROR(INDEX('TRIP MANAGER'!$S$18:$S$25,$A894),"")</f>
        <v/>
      </c>
      <c r="H894">
        <f>$B894/150</f>
        <v/>
      </c>
      <c r="I894">
        <f>IF(OR($G894="",$G894=0),"",SIN((1-$H894)*$G894)/SIN($G894))</f>
        <v/>
      </c>
      <c r="J894">
        <f>IF($I894="","",SIN($H894*$G894)/SIN($G894))</f>
        <v/>
      </c>
      <c r="K894">
        <f>IF($I894="","",$I894*COS(RADIANS($C894))*COS(RADIANS($D894))+$J894*COS(RADIANS($E894))*COS(RADIANS($F894)))</f>
        <v/>
      </c>
      <c r="L894">
        <f>IF($I894="","",$I894*COS(RADIANS($C894))*SIN(RADIANS($D894))+$J894*COS(RADIANS($E894))*SIN(RADIANS($F894)))</f>
        <v/>
      </c>
      <c r="M894">
        <f>IF($I894="","",$I894*SIN(RADIANS($C894))+$J894*SIN(RADIANS($E894)))</f>
        <v/>
      </c>
      <c r="N894">
        <f>IF($M894="","",DEGREES(ATAN2(SQRT($K894^2+$L894^2),$M894)))</f>
        <v/>
      </c>
      <c r="O894">
        <f>IF($M894="","",DEGREES(ATAN2($K894,$L894)))</f>
        <v/>
      </c>
      <c r="P894">
        <f t="array" ref="P894">IF($N894="","",IFERROR(IF(INDEX(geo_grid!$B$2:$JU$231,INT(($N894+40)/0.5)+1,INT(($O894+30)/0.5)+1)="","",INDEX(geo_grid!$B$2:$JU$231,INT(($N894+40)/0.5)+1,INT(($O894+30)/0.5)+1)),"OUTSIDE GRID"))</f>
        <v/>
      </c>
      <c r="Q894">
        <f>IF($P894="","",$A894*1000+$B894)</f>
        <v/>
      </c>
    </row>
    <row r="895">
      <c r="A895">
        <f>INT((ROW()-2)/151)+1</f>
        <v/>
      </c>
      <c r="B895">
        <f>MOD(ROW()-2,151)</f>
        <v/>
      </c>
      <c r="C895">
        <f t="array" ref="C895">IFERROR(INDEX('TRIP MANAGER'!$O$18:$O$25,$A895),"")</f>
        <v/>
      </c>
      <c r="D895">
        <f t="array" ref="D895">IFERROR(INDEX('TRIP MANAGER'!$P$18:$P$25,$A895),"")</f>
        <v/>
      </c>
      <c r="E895">
        <f t="array" ref="E895">IFERROR(INDEX('TRIP MANAGER'!$Q$18:$Q$25,$A895),"")</f>
        <v/>
      </c>
      <c r="F895">
        <f t="array" ref="F895">IFERROR(INDEX('TRIP MANAGER'!$R$18:$R$25,$A895),"")</f>
        <v/>
      </c>
      <c r="G895">
        <f t="array" ref="G895">IFERROR(INDEX('TRIP MANAGER'!$S$18:$S$25,$A895),"")</f>
        <v/>
      </c>
      <c r="H895">
        <f>$B895/150</f>
        <v/>
      </c>
      <c r="I895">
        <f>IF(OR($G895="",$G895=0),"",SIN((1-$H895)*$G895)/SIN($G895))</f>
        <v/>
      </c>
      <c r="J895">
        <f>IF($I895="","",SIN($H895*$G895)/SIN($G895))</f>
        <v/>
      </c>
      <c r="K895">
        <f>IF($I895="","",$I895*COS(RADIANS($C895))*COS(RADIANS($D895))+$J895*COS(RADIANS($E895))*COS(RADIANS($F895)))</f>
        <v/>
      </c>
      <c r="L895">
        <f>IF($I895="","",$I895*COS(RADIANS($C895))*SIN(RADIANS($D895))+$J895*COS(RADIANS($E895))*SIN(RADIANS($F895)))</f>
        <v/>
      </c>
      <c r="M895">
        <f>IF($I895="","",$I895*SIN(RADIANS($C895))+$J895*SIN(RADIANS($E895)))</f>
        <v/>
      </c>
      <c r="N895">
        <f>IF($M895="","",DEGREES(ATAN2(SQRT($K895^2+$L895^2),$M895)))</f>
        <v/>
      </c>
      <c r="O895">
        <f>IF($M895="","",DEGREES(ATAN2($K895,$L895)))</f>
        <v/>
      </c>
      <c r="P895">
        <f t="array" ref="P895">IF($N895="","",IFERROR(IF(INDEX(geo_grid!$B$2:$JU$231,INT(($N895+40)/0.5)+1,INT(($O895+30)/0.5)+1)="","",INDEX(geo_grid!$B$2:$JU$231,INT(($N895+40)/0.5)+1,INT(($O895+30)/0.5)+1)),"OUTSIDE GRID"))</f>
        <v/>
      </c>
      <c r="Q895">
        <f>IF($P895="","",$A895*1000+$B895)</f>
        <v/>
      </c>
    </row>
    <row r="896">
      <c r="A896">
        <f>INT((ROW()-2)/151)+1</f>
        <v/>
      </c>
      <c r="B896">
        <f>MOD(ROW()-2,151)</f>
        <v/>
      </c>
      <c r="C896">
        <f t="array" ref="C896">IFERROR(INDEX('TRIP MANAGER'!$O$18:$O$25,$A896),"")</f>
        <v/>
      </c>
      <c r="D896">
        <f t="array" ref="D896">IFERROR(INDEX('TRIP MANAGER'!$P$18:$P$25,$A896),"")</f>
        <v/>
      </c>
      <c r="E896">
        <f t="array" ref="E896">IFERROR(INDEX('TRIP MANAGER'!$Q$18:$Q$25,$A896),"")</f>
        <v/>
      </c>
      <c r="F896">
        <f t="array" ref="F896">IFERROR(INDEX('TRIP MANAGER'!$R$18:$R$25,$A896),"")</f>
        <v/>
      </c>
      <c r="G896">
        <f t="array" ref="G896">IFERROR(INDEX('TRIP MANAGER'!$S$18:$S$25,$A896),"")</f>
        <v/>
      </c>
      <c r="H896">
        <f>$B896/150</f>
        <v/>
      </c>
      <c r="I896">
        <f>IF(OR($G896="",$G896=0),"",SIN((1-$H896)*$G896)/SIN($G896))</f>
        <v/>
      </c>
      <c r="J896">
        <f>IF($I896="","",SIN($H896*$G896)/SIN($G896))</f>
        <v/>
      </c>
      <c r="K896">
        <f>IF($I896="","",$I896*COS(RADIANS($C896))*COS(RADIANS($D896))+$J896*COS(RADIANS($E896))*COS(RADIANS($F896)))</f>
        <v/>
      </c>
      <c r="L896">
        <f>IF($I896="","",$I896*COS(RADIANS($C896))*SIN(RADIANS($D896))+$J896*COS(RADIANS($E896))*SIN(RADIANS($F896)))</f>
        <v/>
      </c>
      <c r="M896">
        <f>IF($I896="","",$I896*SIN(RADIANS($C896))+$J896*SIN(RADIANS($E896)))</f>
        <v/>
      </c>
      <c r="N896">
        <f>IF($M896="","",DEGREES(ATAN2(SQRT($K896^2+$L896^2),$M896)))</f>
        <v/>
      </c>
      <c r="O896">
        <f>IF($M896="","",DEGREES(ATAN2($K896,$L896)))</f>
        <v/>
      </c>
      <c r="P896">
        <f t="array" ref="P896">IF($N896="","",IFERROR(IF(INDEX(geo_grid!$B$2:$JU$231,INT(($N896+40)/0.5)+1,INT(($O896+30)/0.5)+1)="","",INDEX(geo_grid!$B$2:$JU$231,INT(($N896+40)/0.5)+1,INT(($O896+30)/0.5)+1)),"OUTSIDE GRID"))</f>
        <v/>
      </c>
      <c r="Q896">
        <f>IF($P896="","",$A896*1000+$B896)</f>
        <v/>
      </c>
    </row>
    <row r="897">
      <c r="A897">
        <f>INT((ROW()-2)/151)+1</f>
        <v/>
      </c>
      <c r="B897">
        <f>MOD(ROW()-2,151)</f>
        <v/>
      </c>
      <c r="C897">
        <f t="array" ref="C897">IFERROR(INDEX('TRIP MANAGER'!$O$18:$O$25,$A897),"")</f>
        <v/>
      </c>
      <c r="D897">
        <f t="array" ref="D897">IFERROR(INDEX('TRIP MANAGER'!$P$18:$P$25,$A897),"")</f>
        <v/>
      </c>
      <c r="E897">
        <f t="array" ref="E897">IFERROR(INDEX('TRIP MANAGER'!$Q$18:$Q$25,$A897),"")</f>
        <v/>
      </c>
      <c r="F897">
        <f t="array" ref="F897">IFERROR(INDEX('TRIP MANAGER'!$R$18:$R$25,$A897),"")</f>
        <v/>
      </c>
      <c r="G897">
        <f t="array" ref="G897">IFERROR(INDEX('TRIP MANAGER'!$S$18:$S$25,$A897),"")</f>
        <v/>
      </c>
      <c r="H897">
        <f>$B897/150</f>
        <v/>
      </c>
      <c r="I897">
        <f>IF(OR($G897="",$G897=0),"",SIN((1-$H897)*$G897)/SIN($G897))</f>
        <v/>
      </c>
      <c r="J897">
        <f>IF($I897="","",SIN($H897*$G897)/SIN($G897))</f>
        <v/>
      </c>
      <c r="K897">
        <f>IF($I897="","",$I897*COS(RADIANS($C897))*COS(RADIANS($D897))+$J897*COS(RADIANS($E897))*COS(RADIANS($F897)))</f>
        <v/>
      </c>
      <c r="L897">
        <f>IF($I897="","",$I897*COS(RADIANS($C897))*SIN(RADIANS($D897))+$J897*COS(RADIANS($E897))*SIN(RADIANS($F897)))</f>
        <v/>
      </c>
      <c r="M897">
        <f>IF($I897="","",$I897*SIN(RADIANS($C897))+$J897*SIN(RADIANS($E897)))</f>
        <v/>
      </c>
      <c r="N897">
        <f>IF($M897="","",DEGREES(ATAN2(SQRT($K897^2+$L897^2),$M897)))</f>
        <v/>
      </c>
      <c r="O897">
        <f>IF($M897="","",DEGREES(ATAN2($K897,$L897)))</f>
        <v/>
      </c>
      <c r="P897">
        <f t="array" ref="P897">IF($N897="","",IFERROR(IF(INDEX(geo_grid!$B$2:$JU$231,INT(($N897+40)/0.5)+1,INT(($O897+30)/0.5)+1)="","",INDEX(geo_grid!$B$2:$JU$231,INT(($N897+40)/0.5)+1,INT(($O897+30)/0.5)+1)),"OUTSIDE GRID"))</f>
        <v/>
      </c>
      <c r="Q897">
        <f>IF($P897="","",$A897*1000+$B897)</f>
        <v/>
      </c>
    </row>
    <row r="898">
      <c r="A898">
        <f>INT((ROW()-2)/151)+1</f>
        <v/>
      </c>
      <c r="B898">
        <f>MOD(ROW()-2,151)</f>
        <v/>
      </c>
      <c r="C898">
        <f t="array" ref="C898">IFERROR(INDEX('TRIP MANAGER'!$O$18:$O$25,$A898),"")</f>
        <v/>
      </c>
      <c r="D898">
        <f t="array" ref="D898">IFERROR(INDEX('TRIP MANAGER'!$P$18:$P$25,$A898),"")</f>
        <v/>
      </c>
      <c r="E898">
        <f t="array" ref="E898">IFERROR(INDEX('TRIP MANAGER'!$Q$18:$Q$25,$A898),"")</f>
        <v/>
      </c>
      <c r="F898">
        <f t="array" ref="F898">IFERROR(INDEX('TRIP MANAGER'!$R$18:$R$25,$A898),"")</f>
        <v/>
      </c>
      <c r="G898">
        <f t="array" ref="G898">IFERROR(INDEX('TRIP MANAGER'!$S$18:$S$25,$A898),"")</f>
        <v/>
      </c>
      <c r="H898">
        <f>$B898/150</f>
        <v/>
      </c>
      <c r="I898">
        <f>IF(OR($G898="",$G898=0),"",SIN((1-$H898)*$G898)/SIN($G898))</f>
        <v/>
      </c>
      <c r="J898">
        <f>IF($I898="","",SIN($H898*$G898)/SIN($G898))</f>
        <v/>
      </c>
      <c r="K898">
        <f>IF($I898="","",$I898*COS(RADIANS($C898))*COS(RADIANS($D898))+$J898*COS(RADIANS($E898))*COS(RADIANS($F898)))</f>
        <v/>
      </c>
      <c r="L898">
        <f>IF($I898="","",$I898*COS(RADIANS($C898))*SIN(RADIANS($D898))+$J898*COS(RADIANS($E898))*SIN(RADIANS($F898)))</f>
        <v/>
      </c>
      <c r="M898">
        <f>IF($I898="","",$I898*SIN(RADIANS($C898))+$J898*SIN(RADIANS($E898)))</f>
        <v/>
      </c>
      <c r="N898">
        <f>IF($M898="","",DEGREES(ATAN2(SQRT($K898^2+$L898^2),$M898)))</f>
        <v/>
      </c>
      <c r="O898">
        <f>IF($M898="","",DEGREES(ATAN2($K898,$L898)))</f>
        <v/>
      </c>
      <c r="P898">
        <f t="array" ref="P898">IF($N898="","",IFERROR(IF(INDEX(geo_grid!$B$2:$JU$231,INT(($N898+40)/0.5)+1,INT(($O898+30)/0.5)+1)="","",INDEX(geo_grid!$B$2:$JU$231,INT(($N898+40)/0.5)+1,INT(($O898+30)/0.5)+1)),"OUTSIDE GRID"))</f>
        <v/>
      </c>
      <c r="Q898">
        <f>IF($P898="","",$A898*1000+$B898)</f>
        <v/>
      </c>
    </row>
    <row r="899">
      <c r="A899">
        <f>INT((ROW()-2)/151)+1</f>
        <v/>
      </c>
      <c r="B899">
        <f>MOD(ROW()-2,151)</f>
        <v/>
      </c>
      <c r="C899">
        <f t="array" ref="C899">IFERROR(INDEX('TRIP MANAGER'!$O$18:$O$25,$A899),"")</f>
        <v/>
      </c>
      <c r="D899">
        <f t="array" ref="D899">IFERROR(INDEX('TRIP MANAGER'!$P$18:$P$25,$A899),"")</f>
        <v/>
      </c>
      <c r="E899">
        <f t="array" ref="E899">IFERROR(INDEX('TRIP MANAGER'!$Q$18:$Q$25,$A899),"")</f>
        <v/>
      </c>
      <c r="F899">
        <f t="array" ref="F899">IFERROR(INDEX('TRIP MANAGER'!$R$18:$R$25,$A899),"")</f>
        <v/>
      </c>
      <c r="G899">
        <f t="array" ref="G899">IFERROR(INDEX('TRIP MANAGER'!$S$18:$S$25,$A899),"")</f>
        <v/>
      </c>
      <c r="H899">
        <f>$B899/150</f>
        <v/>
      </c>
      <c r="I899">
        <f>IF(OR($G899="",$G899=0),"",SIN((1-$H899)*$G899)/SIN($G899))</f>
        <v/>
      </c>
      <c r="J899">
        <f>IF($I899="","",SIN($H899*$G899)/SIN($G899))</f>
        <v/>
      </c>
      <c r="K899">
        <f>IF($I899="","",$I899*COS(RADIANS($C899))*COS(RADIANS($D899))+$J899*COS(RADIANS($E899))*COS(RADIANS($F899)))</f>
        <v/>
      </c>
      <c r="L899">
        <f>IF($I899="","",$I899*COS(RADIANS($C899))*SIN(RADIANS($D899))+$J899*COS(RADIANS($E899))*SIN(RADIANS($F899)))</f>
        <v/>
      </c>
      <c r="M899">
        <f>IF($I899="","",$I899*SIN(RADIANS($C899))+$J899*SIN(RADIANS($E899)))</f>
        <v/>
      </c>
      <c r="N899">
        <f>IF($M899="","",DEGREES(ATAN2(SQRT($K899^2+$L899^2),$M899)))</f>
        <v/>
      </c>
      <c r="O899">
        <f>IF($M899="","",DEGREES(ATAN2($K899,$L899)))</f>
        <v/>
      </c>
      <c r="P899">
        <f t="array" ref="P899">IF($N899="","",IFERROR(IF(INDEX(geo_grid!$B$2:$JU$231,INT(($N899+40)/0.5)+1,INT(($O899+30)/0.5)+1)="","",INDEX(geo_grid!$B$2:$JU$231,INT(($N899+40)/0.5)+1,INT(($O899+30)/0.5)+1)),"OUTSIDE GRID"))</f>
        <v/>
      </c>
      <c r="Q899">
        <f>IF($P899="","",$A899*1000+$B899)</f>
        <v/>
      </c>
    </row>
    <row r="900">
      <c r="A900">
        <f>INT((ROW()-2)/151)+1</f>
        <v/>
      </c>
      <c r="B900">
        <f>MOD(ROW()-2,151)</f>
        <v/>
      </c>
      <c r="C900">
        <f t="array" ref="C900">IFERROR(INDEX('TRIP MANAGER'!$O$18:$O$25,$A900),"")</f>
        <v/>
      </c>
      <c r="D900">
        <f t="array" ref="D900">IFERROR(INDEX('TRIP MANAGER'!$P$18:$P$25,$A900),"")</f>
        <v/>
      </c>
      <c r="E900">
        <f t="array" ref="E900">IFERROR(INDEX('TRIP MANAGER'!$Q$18:$Q$25,$A900),"")</f>
        <v/>
      </c>
      <c r="F900">
        <f t="array" ref="F900">IFERROR(INDEX('TRIP MANAGER'!$R$18:$R$25,$A900),"")</f>
        <v/>
      </c>
      <c r="G900">
        <f t="array" ref="G900">IFERROR(INDEX('TRIP MANAGER'!$S$18:$S$25,$A900),"")</f>
        <v/>
      </c>
      <c r="H900">
        <f>$B900/150</f>
        <v/>
      </c>
      <c r="I900">
        <f>IF(OR($G900="",$G900=0),"",SIN((1-$H900)*$G900)/SIN($G900))</f>
        <v/>
      </c>
      <c r="J900">
        <f>IF($I900="","",SIN($H900*$G900)/SIN($G900))</f>
        <v/>
      </c>
      <c r="K900">
        <f>IF($I900="","",$I900*COS(RADIANS($C900))*COS(RADIANS($D900))+$J900*COS(RADIANS($E900))*COS(RADIANS($F900)))</f>
        <v/>
      </c>
      <c r="L900">
        <f>IF($I900="","",$I900*COS(RADIANS($C900))*SIN(RADIANS($D900))+$J900*COS(RADIANS($E900))*SIN(RADIANS($F900)))</f>
        <v/>
      </c>
      <c r="M900">
        <f>IF($I900="","",$I900*SIN(RADIANS($C900))+$J900*SIN(RADIANS($E900)))</f>
        <v/>
      </c>
      <c r="N900">
        <f>IF($M900="","",DEGREES(ATAN2(SQRT($K900^2+$L900^2),$M900)))</f>
        <v/>
      </c>
      <c r="O900">
        <f>IF($M900="","",DEGREES(ATAN2($K900,$L900)))</f>
        <v/>
      </c>
      <c r="P900">
        <f t="array" ref="P900">IF($N900="","",IFERROR(IF(INDEX(geo_grid!$B$2:$JU$231,INT(($N900+40)/0.5)+1,INT(($O900+30)/0.5)+1)="","",INDEX(geo_grid!$B$2:$JU$231,INT(($N900+40)/0.5)+1,INT(($O900+30)/0.5)+1)),"OUTSIDE GRID"))</f>
        <v/>
      </c>
      <c r="Q900">
        <f>IF($P900="","",$A900*1000+$B900)</f>
        <v/>
      </c>
    </row>
    <row r="901">
      <c r="A901">
        <f>INT((ROW()-2)/151)+1</f>
        <v/>
      </c>
      <c r="B901">
        <f>MOD(ROW()-2,151)</f>
        <v/>
      </c>
      <c r="C901">
        <f t="array" ref="C901">IFERROR(INDEX('TRIP MANAGER'!$O$18:$O$25,$A901),"")</f>
        <v/>
      </c>
      <c r="D901">
        <f t="array" ref="D901">IFERROR(INDEX('TRIP MANAGER'!$P$18:$P$25,$A901),"")</f>
        <v/>
      </c>
      <c r="E901">
        <f t="array" ref="E901">IFERROR(INDEX('TRIP MANAGER'!$Q$18:$Q$25,$A901),"")</f>
        <v/>
      </c>
      <c r="F901">
        <f t="array" ref="F901">IFERROR(INDEX('TRIP MANAGER'!$R$18:$R$25,$A901),"")</f>
        <v/>
      </c>
      <c r="G901">
        <f t="array" ref="G901">IFERROR(INDEX('TRIP MANAGER'!$S$18:$S$25,$A901),"")</f>
        <v/>
      </c>
      <c r="H901">
        <f>$B901/150</f>
        <v/>
      </c>
      <c r="I901">
        <f>IF(OR($G901="",$G901=0),"",SIN((1-$H901)*$G901)/SIN($G901))</f>
        <v/>
      </c>
      <c r="J901">
        <f>IF($I901="","",SIN($H901*$G901)/SIN($G901))</f>
        <v/>
      </c>
      <c r="K901">
        <f>IF($I901="","",$I901*COS(RADIANS($C901))*COS(RADIANS($D901))+$J901*COS(RADIANS($E901))*COS(RADIANS($F901)))</f>
        <v/>
      </c>
      <c r="L901">
        <f>IF($I901="","",$I901*COS(RADIANS($C901))*SIN(RADIANS($D901))+$J901*COS(RADIANS($E901))*SIN(RADIANS($F901)))</f>
        <v/>
      </c>
      <c r="M901">
        <f>IF($I901="","",$I901*SIN(RADIANS($C901))+$J901*SIN(RADIANS($E901)))</f>
        <v/>
      </c>
      <c r="N901">
        <f>IF($M901="","",DEGREES(ATAN2(SQRT($K901^2+$L901^2),$M901)))</f>
        <v/>
      </c>
      <c r="O901">
        <f>IF($M901="","",DEGREES(ATAN2($K901,$L901)))</f>
        <v/>
      </c>
      <c r="P901">
        <f t="array" ref="P901">IF($N901="","",IFERROR(IF(INDEX(geo_grid!$B$2:$JU$231,INT(($N901+40)/0.5)+1,INT(($O901+30)/0.5)+1)="","",INDEX(geo_grid!$B$2:$JU$231,INT(($N901+40)/0.5)+1,INT(($O901+30)/0.5)+1)),"OUTSIDE GRID"))</f>
        <v/>
      </c>
      <c r="Q901">
        <f>IF($P901="","",$A901*1000+$B901)</f>
        <v/>
      </c>
    </row>
    <row r="902">
      <c r="A902">
        <f>INT((ROW()-2)/151)+1</f>
        <v/>
      </c>
      <c r="B902">
        <f>MOD(ROW()-2,151)</f>
        <v/>
      </c>
      <c r="C902">
        <f t="array" ref="C902">IFERROR(INDEX('TRIP MANAGER'!$O$18:$O$25,$A902),"")</f>
        <v/>
      </c>
      <c r="D902">
        <f t="array" ref="D902">IFERROR(INDEX('TRIP MANAGER'!$P$18:$P$25,$A902),"")</f>
        <v/>
      </c>
      <c r="E902">
        <f t="array" ref="E902">IFERROR(INDEX('TRIP MANAGER'!$Q$18:$Q$25,$A902),"")</f>
        <v/>
      </c>
      <c r="F902">
        <f t="array" ref="F902">IFERROR(INDEX('TRIP MANAGER'!$R$18:$R$25,$A902),"")</f>
        <v/>
      </c>
      <c r="G902">
        <f t="array" ref="G902">IFERROR(INDEX('TRIP MANAGER'!$S$18:$S$25,$A902),"")</f>
        <v/>
      </c>
      <c r="H902">
        <f>$B902/150</f>
        <v/>
      </c>
      <c r="I902">
        <f>IF(OR($G902="",$G902=0),"",SIN((1-$H902)*$G902)/SIN($G902))</f>
        <v/>
      </c>
      <c r="J902">
        <f>IF($I902="","",SIN($H902*$G902)/SIN($G902))</f>
        <v/>
      </c>
      <c r="K902">
        <f>IF($I902="","",$I902*COS(RADIANS($C902))*COS(RADIANS($D902))+$J902*COS(RADIANS($E902))*COS(RADIANS($F902)))</f>
        <v/>
      </c>
      <c r="L902">
        <f>IF($I902="","",$I902*COS(RADIANS($C902))*SIN(RADIANS($D902))+$J902*COS(RADIANS($E902))*SIN(RADIANS($F902)))</f>
        <v/>
      </c>
      <c r="M902">
        <f>IF($I902="","",$I902*SIN(RADIANS($C902))+$J902*SIN(RADIANS($E902)))</f>
        <v/>
      </c>
      <c r="N902">
        <f>IF($M902="","",DEGREES(ATAN2(SQRT($K902^2+$L902^2),$M902)))</f>
        <v/>
      </c>
      <c r="O902">
        <f>IF($M902="","",DEGREES(ATAN2($K902,$L902)))</f>
        <v/>
      </c>
      <c r="P902">
        <f t="array" ref="P902">IF($N902="","",IFERROR(IF(INDEX(geo_grid!$B$2:$JU$231,INT(($N902+40)/0.5)+1,INT(($O902+30)/0.5)+1)="","",INDEX(geo_grid!$B$2:$JU$231,INT(($N902+40)/0.5)+1,INT(($O902+30)/0.5)+1)),"OUTSIDE GRID"))</f>
        <v/>
      </c>
      <c r="Q902">
        <f>IF($P902="","",$A902*1000+$B902)</f>
        <v/>
      </c>
    </row>
    <row r="903">
      <c r="A903">
        <f>INT((ROW()-2)/151)+1</f>
        <v/>
      </c>
      <c r="B903">
        <f>MOD(ROW()-2,151)</f>
        <v/>
      </c>
      <c r="C903">
        <f t="array" ref="C903">IFERROR(INDEX('TRIP MANAGER'!$O$18:$O$25,$A903),"")</f>
        <v/>
      </c>
      <c r="D903">
        <f t="array" ref="D903">IFERROR(INDEX('TRIP MANAGER'!$P$18:$P$25,$A903),"")</f>
        <v/>
      </c>
      <c r="E903">
        <f t="array" ref="E903">IFERROR(INDEX('TRIP MANAGER'!$Q$18:$Q$25,$A903),"")</f>
        <v/>
      </c>
      <c r="F903">
        <f t="array" ref="F903">IFERROR(INDEX('TRIP MANAGER'!$R$18:$R$25,$A903),"")</f>
        <v/>
      </c>
      <c r="G903">
        <f t="array" ref="G903">IFERROR(INDEX('TRIP MANAGER'!$S$18:$S$25,$A903),"")</f>
        <v/>
      </c>
      <c r="H903">
        <f>$B903/150</f>
        <v/>
      </c>
      <c r="I903">
        <f>IF(OR($G903="",$G903=0),"",SIN((1-$H903)*$G903)/SIN($G903))</f>
        <v/>
      </c>
      <c r="J903">
        <f>IF($I903="","",SIN($H903*$G903)/SIN($G903))</f>
        <v/>
      </c>
      <c r="K903">
        <f>IF($I903="","",$I903*COS(RADIANS($C903))*COS(RADIANS($D903))+$J903*COS(RADIANS($E903))*COS(RADIANS($F903)))</f>
        <v/>
      </c>
      <c r="L903">
        <f>IF($I903="","",$I903*COS(RADIANS($C903))*SIN(RADIANS($D903))+$J903*COS(RADIANS($E903))*SIN(RADIANS($F903)))</f>
        <v/>
      </c>
      <c r="M903">
        <f>IF($I903="","",$I903*SIN(RADIANS($C903))+$J903*SIN(RADIANS($E903)))</f>
        <v/>
      </c>
      <c r="N903">
        <f>IF($M903="","",DEGREES(ATAN2(SQRT($K903^2+$L903^2),$M903)))</f>
        <v/>
      </c>
      <c r="O903">
        <f>IF($M903="","",DEGREES(ATAN2($K903,$L903)))</f>
        <v/>
      </c>
      <c r="P903">
        <f t="array" ref="P903">IF($N903="","",IFERROR(IF(INDEX(geo_grid!$B$2:$JU$231,INT(($N903+40)/0.5)+1,INT(($O903+30)/0.5)+1)="","",INDEX(geo_grid!$B$2:$JU$231,INT(($N903+40)/0.5)+1,INT(($O903+30)/0.5)+1)),"OUTSIDE GRID"))</f>
        <v/>
      </c>
      <c r="Q903">
        <f>IF($P903="","",$A903*1000+$B903)</f>
        <v/>
      </c>
    </row>
    <row r="904">
      <c r="A904">
        <f>INT((ROW()-2)/151)+1</f>
        <v/>
      </c>
      <c r="B904">
        <f>MOD(ROW()-2,151)</f>
        <v/>
      </c>
      <c r="C904">
        <f t="array" ref="C904">IFERROR(INDEX('TRIP MANAGER'!$O$18:$O$25,$A904),"")</f>
        <v/>
      </c>
      <c r="D904">
        <f t="array" ref="D904">IFERROR(INDEX('TRIP MANAGER'!$P$18:$P$25,$A904),"")</f>
        <v/>
      </c>
      <c r="E904">
        <f t="array" ref="E904">IFERROR(INDEX('TRIP MANAGER'!$Q$18:$Q$25,$A904),"")</f>
        <v/>
      </c>
      <c r="F904">
        <f t="array" ref="F904">IFERROR(INDEX('TRIP MANAGER'!$R$18:$R$25,$A904),"")</f>
        <v/>
      </c>
      <c r="G904">
        <f t="array" ref="G904">IFERROR(INDEX('TRIP MANAGER'!$S$18:$S$25,$A904),"")</f>
        <v/>
      </c>
      <c r="H904">
        <f>$B904/150</f>
        <v/>
      </c>
      <c r="I904">
        <f>IF(OR($G904="",$G904=0),"",SIN((1-$H904)*$G904)/SIN($G904))</f>
        <v/>
      </c>
      <c r="J904">
        <f>IF($I904="","",SIN($H904*$G904)/SIN($G904))</f>
        <v/>
      </c>
      <c r="K904">
        <f>IF($I904="","",$I904*COS(RADIANS($C904))*COS(RADIANS($D904))+$J904*COS(RADIANS($E904))*COS(RADIANS($F904)))</f>
        <v/>
      </c>
      <c r="L904">
        <f>IF($I904="","",$I904*COS(RADIANS($C904))*SIN(RADIANS($D904))+$J904*COS(RADIANS($E904))*SIN(RADIANS($F904)))</f>
        <v/>
      </c>
      <c r="M904">
        <f>IF($I904="","",$I904*SIN(RADIANS($C904))+$J904*SIN(RADIANS($E904)))</f>
        <v/>
      </c>
      <c r="N904">
        <f>IF($M904="","",DEGREES(ATAN2(SQRT($K904^2+$L904^2),$M904)))</f>
        <v/>
      </c>
      <c r="O904">
        <f>IF($M904="","",DEGREES(ATAN2($K904,$L904)))</f>
        <v/>
      </c>
      <c r="P904">
        <f t="array" ref="P904">IF($N904="","",IFERROR(IF(INDEX(geo_grid!$B$2:$JU$231,INT(($N904+40)/0.5)+1,INT(($O904+30)/0.5)+1)="","",INDEX(geo_grid!$B$2:$JU$231,INT(($N904+40)/0.5)+1,INT(($O904+30)/0.5)+1)),"OUTSIDE GRID"))</f>
        <v/>
      </c>
      <c r="Q904">
        <f>IF($P904="","",$A904*1000+$B904)</f>
        <v/>
      </c>
    </row>
    <row r="905">
      <c r="A905">
        <f>INT((ROW()-2)/151)+1</f>
        <v/>
      </c>
      <c r="B905">
        <f>MOD(ROW()-2,151)</f>
        <v/>
      </c>
      <c r="C905">
        <f t="array" ref="C905">IFERROR(INDEX('TRIP MANAGER'!$O$18:$O$25,$A905),"")</f>
        <v/>
      </c>
      <c r="D905">
        <f t="array" ref="D905">IFERROR(INDEX('TRIP MANAGER'!$P$18:$P$25,$A905),"")</f>
        <v/>
      </c>
      <c r="E905">
        <f t="array" ref="E905">IFERROR(INDEX('TRIP MANAGER'!$Q$18:$Q$25,$A905),"")</f>
        <v/>
      </c>
      <c r="F905">
        <f t="array" ref="F905">IFERROR(INDEX('TRIP MANAGER'!$R$18:$R$25,$A905),"")</f>
        <v/>
      </c>
      <c r="G905">
        <f t="array" ref="G905">IFERROR(INDEX('TRIP MANAGER'!$S$18:$S$25,$A905),"")</f>
        <v/>
      </c>
      <c r="H905">
        <f>$B905/150</f>
        <v/>
      </c>
      <c r="I905">
        <f>IF(OR($G905="",$G905=0),"",SIN((1-$H905)*$G905)/SIN($G905))</f>
        <v/>
      </c>
      <c r="J905">
        <f>IF($I905="","",SIN($H905*$G905)/SIN($G905))</f>
        <v/>
      </c>
      <c r="K905">
        <f>IF($I905="","",$I905*COS(RADIANS($C905))*COS(RADIANS($D905))+$J905*COS(RADIANS($E905))*COS(RADIANS($F905)))</f>
        <v/>
      </c>
      <c r="L905">
        <f>IF($I905="","",$I905*COS(RADIANS($C905))*SIN(RADIANS($D905))+$J905*COS(RADIANS($E905))*SIN(RADIANS($F905)))</f>
        <v/>
      </c>
      <c r="M905">
        <f>IF($I905="","",$I905*SIN(RADIANS($C905))+$J905*SIN(RADIANS($E905)))</f>
        <v/>
      </c>
      <c r="N905">
        <f>IF($M905="","",DEGREES(ATAN2(SQRT($K905^2+$L905^2),$M905)))</f>
        <v/>
      </c>
      <c r="O905">
        <f>IF($M905="","",DEGREES(ATAN2($K905,$L905)))</f>
        <v/>
      </c>
      <c r="P905">
        <f t="array" ref="P905">IF($N905="","",IFERROR(IF(INDEX(geo_grid!$B$2:$JU$231,INT(($N905+40)/0.5)+1,INT(($O905+30)/0.5)+1)="","",INDEX(geo_grid!$B$2:$JU$231,INT(($N905+40)/0.5)+1,INT(($O905+30)/0.5)+1)),"OUTSIDE GRID"))</f>
        <v/>
      </c>
      <c r="Q905">
        <f>IF($P905="","",$A905*1000+$B905)</f>
        <v/>
      </c>
    </row>
    <row r="906">
      <c r="A906">
        <f>INT((ROW()-2)/151)+1</f>
        <v/>
      </c>
      <c r="B906">
        <f>MOD(ROW()-2,151)</f>
        <v/>
      </c>
      <c r="C906">
        <f t="array" ref="C906">IFERROR(INDEX('TRIP MANAGER'!$O$18:$O$25,$A906),"")</f>
        <v/>
      </c>
      <c r="D906">
        <f t="array" ref="D906">IFERROR(INDEX('TRIP MANAGER'!$P$18:$P$25,$A906),"")</f>
        <v/>
      </c>
      <c r="E906">
        <f t="array" ref="E906">IFERROR(INDEX('TRIP MANAGER'!$Q$18:$Q$25,$A906),"")</f>
        <v/>
      </c>
      <c r="F906">
        <f t="array" ref="F906">IFERROR(INDEX('TRIP MANAGER'!$R$18:$R$25,$A906),"")</f>
        <v/>
      </c>
      <c r="G906">
        <f t="array" ref="G906">IFERROR(INDEX('TRIP MANAGER'!$S$18:$S$25,$A906),"")</f>
        <v/>
      </c>
      <c r="H906">
        <f>$B906/150</f>
        <v/>
      </c>
      <c r="I906">
        <f>IF(OR($G906="",$G906=0),"",SIN((1-$H906)*$G906)/SIN($G906))</f>
        <v/>
      </c>
      <c r="J906">
        <f>IF($I906="","",SIN($H906*$G906)/SIN($G906))</f>
        <v/>
      </c>
      <c r="K906">
        <f>IF($I906="","",$I906*COS(RADIANS($C906))*COS(RADIANS($D906))+$J906*COS(RADIANS($E906))*COS(RADIANS($F906)))</f>
        <v/>
      </c>
      <c r="L906">
        <f>IF($I906="","",$I906*COS(RADIANS($C906))*SIN(RADIANS($D906))+$J906*COS(RADIANS($E906))*SIN(RADIANS($F906)))</f>
        <v/>
      </c>
      <c r="M906">
        <f>IF($I906="","",$I906*SIN(RADIANS($C906))+$J906*SIN(RADIANS($E906)))</f>
        <v/>
      </c>
      <c r="N906">
        <f>IF($M906="","",DEGREES(ATAN2(SQRT($K906^2+$L906^2),$M906)))</f>
        <v/>
      </c>
      <c r="O906">
        <f>IF($M906="","",DEGREES(ATAN2($K906,$L906)))</f>
        <v/>
      </c>
      <c r="P906">
        <f t="array" ref="P906">IF($N906="","",IFERROR(IF(INDEX(geo_grid!$B$2:$JU$231,INT(($N906+40)/0.5)+1,INT(($O906+30)/0.5)+1)="","",INDEX(geo_grid!$B$2:$JU$231,INT(($N906+40)/0.5)+1,INT(($O906+30)/0.5)+1)),"OUTSIDE GRID"))</f>
        <v/>
      </c>
      <c r="Q906">
        <f>IF($P906="","",$A906*1000+$B906)</f>
        <v/>
      </c>
    </row>
    <row r="907">
      <c r="A907">
        <f>INT((ROW()-2)/151)+1</f>
        <v/>
      </c>
      <c r="B907">
        <f>MOD(ROW()-2,151)</f>
        <v/>
      </c>
      <c r="C907">
        <f t="array" ref="C907">IFERROR(INDEX('TRIP MANAGER'!$O$18:$O$25,$A907),"")</f>
        <v/>
      </c>
      <c r="D907">
        <f t="array" ref="D907">IFERROR(INDEX('TRIP MANAGER'!$P$18:$P$25,$A907),"")</f>
        <v/>
      </c>
      <c r="E907">
        <f t="array" ref="E907">IFERROR(INDEX('TRIP MANAGER'!$Q$18:$Q$25,$A907),"")</f>
        <v/>
      </c>
      <c r="F907">
        <f t="array" ref="F907">IFERROR(INDEX('TRIP MANAGER'!$R$18:$R$25,$A907),"")</f>
        <v/>
      </c>
      <c r="G907">
        <f t="array" ref="G907">IFERROR(INDEX('TRIP MANAGER'!$S$18:$S$25,$A907),"")</f>
        <v/>
      </c>
      <c r="H907">
        <f>$B907/150</f>
        <v/>
      </c>
      <c r="I907">
        <f>IF(OR($G907="",$G907=0),"",SIN((1-$H907)*$G907)/SIN($G907))</f>
        <v/>
      </c>
      <c r="J907">
        <f>IF($I907="","",SIN($H907*$G907)/SIN($G907))</f>
        <v/>
      </c>
      <c r="K907">
        <f>IF($I907="","",$I907*COS(RADIANS($C907))*COS(RADIANS($D907))+$J907*COS(RADIANS($E907))*COS(RADIANS($F907)))</f>
        <v/>
      </c>
      <c r="L907">
        <f>IF($I907="","",$I907*COS(RADIANS($C907))*SIN(RADIANS($D907))+$J907*COS(RADIANS($E907))*SIN(RADIANS($F907)))</f>
        <v/>
      </c>
      <c r="M907">
        <f>IF($I907="","",$I907*SIN(RADIANS($C907))+$J907*SIN(RADIANS($E907)))</f>
        <v/>
      </c>
      <c r="N907">
        <f>IF($M907="","",DEGREES(ATAN2(SQRT($K907^2+$L907^2),$M907)))</f>
        <v/>
      </c>
      <c r="O907">
        <f>IF($M907="","",DEGREES(ATAN2($K907,$L907)))</f>
        <v/>
      </c>
      <c r="P907">
        <f t="array" ref="P907">IF($N907="","",IFERROR(IF(INDEX(geo_grid!$B$2:$JU$231,INT(($N907+40)/0.5)+1,INT(($O907+30)/0.5)+1)="","",INDEX(geo_grid!$B$2:$JU$231,INT(($N907+40)/0.5)+1,INT(($O907+30)/0.5)+1)),"OUTSIDE GRID"))</f>
        <v/>
      </c>
      <c r="Q907">
        <f>IF($P907="","",$A907*1000+$B907)</f>
        <v/>
      </c>
    </row>
    <row r="908">
      <c r="A908">
        <f>INT((ROW()-2)/151)+1</f>
        <v/>
      </c>
      <c r="B908">
        <f>MOD(ROW()-2,151)</f>
        <v/>
      </c>
      <c r="C908">
        <f t="array" ref="C908">IFERROR(INDEX('TRIP MANAGER'!$O$18:$O$25,$A908),"")</f>
        <v/>
      </c>
      <c r="D908">
        <f t="array" ref="D908">IFERROR(INDEX('TRIP MANAGER'!$P$18:$P$25,$A908),"")</f>
        <v/>
      </c>
      <c r="E908">
        <f t="array" ref="E908">IFERROR(INDEX('TRIP MANAGER'!$Q$18:$Q$25,$A908),"")</f>
        <v/>
      </c>
      <c r="F908">
        <f t="array" ref="F908">IFERROR(INDEX('TRIP MANAGER'!$R$18:$R$25,$A908),"")</f>
        <v/>
      </c>
      <c r="G908">
        <f t="array" ref="G908">IFERROR(INDEX('TRIP MANAGER'!$S$18:$S$25,$A908),"")</f>
        <v/>
      </c>
      <c r="H908">
        <f>$B908/150</f>
        <v/>
      </c>
      <c r="I908">
        <f>IF(OR($G908="",$G908=0),"",SIN((1-$H908)*$G908)/SIN($G908))</f>
        <v/>
      </c>
      <c r="J908">
        <f>IF($I908="","",SIN($H908*$G908)/SIN($G908))</f>
        <v/>
      </c>
      <c r="K908">
        <f>IF($I908="","",$I908*COS(RADIANS($C908))*COS(RADIANS($D908))+$J908*COS(RADIANS($E908))*COS(RADIANS($F908)))</f>
        <v/>
      </c>
      <c r="L908">
        <f>IF($I908="","",$I908*COS(RADIANS($C908))*SIN(RADIANS($D908))+$J908*COS(RADIANS($E908))*SIN(RADIANS($F908)))</f>
        <v/>
      </c>
      <c r="M908">
        <f>IF($I908="","",$I908*SIN(RADIANS($C908))+$J908*SIN(RADIANS($E908)))</f>
        <v/>
      </c>
      <c r="N908">
        <f>IF($M908="","",DEGREES(ATAN2(SQRT($K908^2+$L908^2),$M908)))</f>
        <v/>
      </c>
      <c r="O908">
        <f>IF($M908="","",DEGREES(ATAN2($K908,$L908)))</f>
        <v/>
      </c>
      <c r="P908">
        <f t="array" ref="P908">IF($N908="","",IFERROR(IF(INDEX(geo_grid!$B$2:$JU$231,INT(($N908+40)/0.5)+1,INT(($O908+30)/0.5)+1)="","",INDEX(geo_grid!$B$2:$JU$231,INT(($N908+40)/0.5)+1,INT(($O908+30)/0.5)+1)),"OUTSIDE GRID"))</f>
        <v/>
      </c>
      <c r="Q908">
        <f>IF($P908="","",$A908*1000+$B908)</f>
        <v/>
      </c>
    </row>
    <row r="909">
      <c r="A909">
        <f>INT((ROW()-2)/151)+1</f>
        <v/>
      </c>
      <c r="B909">
        <f>MOD(ROW()-2,151)</f>
        <v/>
      </c>
      <c r="C909">
        <f t="array" ref="C909">IFERROR(INDEX('TRIP MANAGER'!$O$18:$O$25,$A909),"")</f>
        <v/>
      </c>
      <c r="D909">
        <f t="array" ref="D909">IFERROR(INDEX('TRIP MANAGER'!$P$18:$P$25,$A909),"")</f>
        <v/>
      </c>
      <c r="E909">
        <f t="array" ref="E909">IFERROR(INDEX('TRIP MANAGER'!$Q$18:$Q$25,$A909),"")</f>
        <v/>
      </c>
      <c r="F909">
        <f t="array" ref="F909">IFERROR(INDEX('TRIP MANAGER'!$R$18:$R$25,$A909),"")</f>
        <v/>
      </c>
      <c r="G909">
        <f t="array" ref="G909">IFERROR(INDEX('TRIP MANAGER'!$S$18:$S$25,$A909),"")</f>
        <v/>
      </c>
      <c r="H909">
        <f>$B909/150</f>
        <v/>
      </c>
      <c r="I909">
        <f>IF(OR($G909="",$G909=0),"",SIN((1-$H909)*$G909)/SIN($G909))</f>
        <v/>
      </c>
      <c r="J909">
        <f>IF($I909="","",SIN($H909*$G909)/SIN($G909))</f>
        <v/>
      </c>
      <c r="K909">
        <f>IF($I909="","",$I909*COS(RADIANS($C909))*COS(RADIANS($D909))+$J909*COS(RADIANS($E909))*COS(RADIANS($F909)))</f>
        <v/>
      </c>
      <c r="L909">
        <f>IF($I909="","",$I909*COS(RADIANS($C909))*SIN(RADIANS($D909))+$J909*COS(RADIANS($E909))*SIN(RADIANS($F909)))</f>
        <v/>
      </c>
      <c r="M909">
        <f>IF($I909="","",$I909*SIN(RADIANS($C909))+$J909*SIN(RADIANS($E909)))</f>
        <v/>
      </c>
      <c r="N909">
        <f>IF($M909="","",DEGREES(ATAN2(SQRT($K909^2+$L909^2),$M909)))</f>
        <v/>
      </c>
      <c r="O909">
        <f>IF($M909="","",DEGREES(ATAN2($K909,$L909)))</f>
        <v/>
      </c>
      <c r="P909">
        <f t="array" ref="P909">IF($N909="","",IFERROR(IF(INDEX(geo_grid!$B$2:$JU$231,INT(($N909+40)/0.5)+1,INT(($O909+30)/0.5)+1)="","",INDEX(geo_grid!$B$2:$JU$231,INT(($N909+40)/0.5)+1,INT(($O909+30)/0.5)+1)),"OUTSIDE GRID"))</f>
        <v/>
      </c>
      <c r="Q909">
        <f>IF($P909="","",$A909*1000+$B909)</f>
        <v/>
      </c>
    </row>
    <row r="910">
      <c r="A910">
        <f>INT((ROW()-2)/151)+1</f>
        <v/>
      </c>
      <c r="B910">
        <f>MOD(ROW()-2,151)</f>
        <v/>
      </c>
      <c r="C910">
        <f t="array" ref="C910">IFERROR(INDEX('TRIP MANAGER'!$O$18:$O$25,$A910),"")</f>
        <v/>
      </c>
      <c r="D910">
        <f t="array" ref="D910">IFERROR(INDEX('TRIP MANAGER'!$P$18:$P$25,$A910),"")</f>
        <v/>
      </c>
      <c r="E910">
        <f t="array" ref="E910">IFERROR(INDEX('TRIP MANAGER'!$Q$18:$Q$25,$A910),"")</f>
        <v/>
      </c>
      <c r="F910">
        <f t="array" ref="F910">IFERROR(INDEX('TRIP MANAGER'!$R$18:$R$25,$A910),"")</f>
        <v/>
      </c>
      <c r="G910">
        <f t="array" ref="G910">IFERROR(INDEX('TRIP MANAGER'!$S$18:$S$25,$A910),"")</f>
        <v/>
      </c>
      <c r="H910">
        <f>$B910/150</f>
        <v/>
      </c>
      <c r="I910">
        <f>IF(OR($G910="",$G910=0),"",SIN((1-$H910)*$G910)/SIN($G910))</f>
        <v/>
      </c>
      <c r="J910">
        <f>IF($I910="","",SIN($H910*$G910)/SIN($G910))</f>
        <v/>
      </c>
      <c r="K910">
        <f>IF($I910="","",$I910*COS(RADIANS($C910))*COS(RADIANS($D910))+$J910*COS(RADIANS($E910))*COS(RADIANS($F910)))</f>
        <v/>
      </c>
      <c r="L910">
        <f>IF($I910="","",$I910*COS(RADIANS($C910))*SIN(RADIANS($D910))+$J910*COS(RADIANS($E910))*SIN(RADIANS($F910)))</f>
        <v/>
      </c>
      <c r="M910">
        <f>IF($I910="","",$I910*SIN(RADIANS($C910))+$J910*SIN(RADIANS($E910)))</f>
        <v/>
      </c>
      <c r="N910">
        <f>IF($M910="","",DEGREES(ATAN2(SQRT($K910^2+$L910^2),$M910)))</f>
        <v/>
      </c>
      <c r="O910">
        <f>IF($M910="","",DEGREES(ATAN2($K910,$L910)))</f>
        <v/>
      </c>
      <c r="P910">
        <f t="array" ref="P910">IF($N910="","",IFERROR(IF(INDEX(geo_grid!$B$2:$JU$231,INT(($N910+40)/0.5)+1,INT(($O910+30)/0.5)+1)="","",INDEX(geo_grid!$B$2:$JU$231,INT(($N910+40)/0.5)+1,INT(($O910+30)/0.5)+1)),"OUTSIDE GRID"))</f>
        <v/>
      </c>
      <c r="Q910">
        <f>IF($P910="","",$A910*1000+$B910)</f>
        <v/>
      </c>
    </row>
    <row r="911">
      <c r="A911">
        <f>INT((ROW()-2)/151)+1</f>
        <v/>
      </c>
      <c r="B911">
        <f>MOD(ROW()-2,151)</f>
        <v/>
      </c>
      <c r="C911">
        <f t="array" ref="C911">IFERROR(INDEX('TRIP MANAGER'!$O$18:$O$25,$A911),"")</f>
        <v/>
      </c>
      <c r="D911">
        <f t="array" ref="D911">IFERROR(INDEX('TRIP MANAGER'!$P$18:$P$25,$A911),"")</f>
        <v/>
      </c>
      <c r="E911">
        <f t="array" ref="E911">IFERROR(INDEX('TRIP MANAGER'!$Q$18:$Q$25,$A911),"")</f>
        <v/>
      </c>
      <c r="F911">
        <f t="array" ref="F911">IFERROR(INDEX('TRIP MANAGER'!$R$18:$R$25,$A911),"")</f>
        <v/>
      </c>
      <c r="G911">
        <f t="array" ref="G911">IFERROR(INDEX('TRIP MANAGER'!$S$18:$S$25,$A911),"")</f>
        <v/>
      </c>
      <c r="H911">
        <f>$B911/150</f>
        <v/>
      </c>
      <c r="I911">
        <f>IF(OR($G911="",$G911=0),"",SIN((1-$H911)*$G911)/SIN($G911))</f>
        <v/>
      </c>
      <c r="J911">
        <f>IF($I911="","",SIN($H911*$G911)/SIN($G911))</f>
        <v/>
      </c>
      <c r="K911">
        <f>IF($I911="","",$I911*COS(RADIANS($C911))*COS(RADIANS($D911))+$J911*COS(RADIANS($E911))*COS(RADIANS($F911)))</f>
        <v/>
      </c>
      <c r="L911">
        <f>IF($I911="","",$I911*COS(RADIANS($C911))*SIN(RADIANS($D911))+$J911*COS(RADIANS($E911))*SIN(RADIANS($F911)))</f>
        <v/>
      </c>
      <c r="M911">
        <f>IF($I911="","",$I911*SIN(RADIANS($C911))+$J911*SIN(RADIANS($E911)))</f>
        <v/>
      </c>
      <c r="N911">
        <f>IF($M911="","",DEGREES(ATAN2(SQRT($K911^2+$L911^2),$M911)))</f>
        <v/>
      </c>
      <c r="O911">
        <f>IF($M911="","",DEGREES(ATAN2($K911,$L911)))</f>
        <v/>
      </c>
      <c r="P911">
        <f t="array" ref="P911">IF($N911="","",IFERROR(IF(INDEX(geo_grid!$B$2:$JU$231,INT(($N911+40)/0.5)+1,INT(($O911+30)/0.5)+1)="","",INDEX(geo_grid!$B$2:$JU$231,INT(($N911+40)/0.5)+1,INT(($O911+30)/0.5)+1)),"OUTSIDE GRID"))</f>
        <v/>
      </c>
      <c r="Q911">
        <f>IF($P911="","",$A911*1000+$B911)</f>
        <v/>
      </c>
    </row>
    <row r="912">
      <c r="A912">
        <f>INT((ROW()-2)/151)+1</f>
        <v/>
      </c>
      <c r="B912">
        <f>MOD(ROW()-2,151)</f>
        <v/>
      </c>
      <c r="C912">
        <f t="array" ref="C912">IFERROR(INDEX('TRIP MANAGER'!$O$18:$O$25,$A912),"")</f>
        <v/>
      </c>
      <c r="D912">
        <f t="array" ref="D912">IFERROR(INDEX('TRIP MANAGER'!$P$18:$P$25,$A912),"")</f>
        <v/>
      </c>
      <c r="E912">
        <f t="array" ref="E912">IFERROR(INDEX('TRIP MANAGER'!$Q$18:$Q$25,$A912),"")</f>
        <v/>
      </c>
      <c r="F912">
        <f t="array" ref="F912">IFERROR(INDEX('TRIP MANAGER'!$R$18:$R$25,$A912),"")</f>
        <v/>
      </c>
      <c r="G912">
        <f t="array" ref="G912">IFERROR(INDEX('TRIP MANAGER'!$S$18:$S$25,$A912),"")</f>
        <v/>
      </c>
      <c r="H912">
        <f>$B912/150</f>
        <v/>
      </c>
      <c r="I912">
        <f>IF(OR($G912="",$G912=0),"",SIN((1-$H912)*$G912)/SIN($G912))</f>
        <v/>
      </c>
      <c r="J912">
        <f>IF($I912="","",SIN($H912*$G912)/SIN($G912))</f>
        <v/>
      </c>
      <c r="K912">
        <f>IF($I912="","",$I912*COS(RADIANS($C912))*COS(RADIANS($D912))+$J912*COS(RADIANS($E912))*COS(RADIANS($F912)))</f>
        <v/>
      </c>
      <c r="L912">
        <f>IF($I912="","",$I912*COS(RADIANS($C912))*SIN(RADIANS($D912))+$J912*COS(RADIANS($E912))*SIN(RADIANS($F912)))</f>
        <v/>
      </c>
      <c r="M912">
        <f>IF($I912="","",$I912*SIN(RADIANS($C912))+$J912*SIN(RADIANS($E912)))</f>
        <v/>
      </c>
      <c r="N912">
        <f>IF($M912="","",DEGREES(ATAN2(SQRT($K912^2+$L912^2),$M912)))</f>
        <v/>
      </c>
      <c r="O912">
        <f>IF($M912="","",DEGREES(ATAN2($K912,$L912)))</f>
        <v/>
      </c>
      <c r="P912">
        <f t="array" ref="P912">IF($N912="","",IFERROR(IF(INDEX(geo_grid!$B$2:$JU$231,INT(($N912+40)/0.5)+1,INT(($O912+30)/0.5)+1)="","",INDEX(geo_grid!$B$2:$JU$231,INT(($N912+40)/0.5)+1,INT(($O912+30)/0.5)+1)),"OUTSIDE GRID"))</f>
        <v/>
      </c>
      <c r="Q912">
        <f>IF($P912="","",$A912*1000+$B912)</f>
        <v/>
      </c>
    </row>
    <row r="913">
      <c r="A913">
        <f>INT((ROW()-2)/151)+1</f>
        <v/>
      </c>
      <c r="B913">
        <f>MOD(ROW()-2,151)</f>
        <v/>
      </c>
      <c r="C913">
        <f t="array" ref="C913">IFERROR(INDEX('TRIP MANAGER'!$O$18:$O$25,$A913),"")</f>
        <v/>
      </c>
      <c r="D913">
        <f t="array" ref="D913">IFERROR(INDEX('TRIP MANAGER'!$P$18:$P$25,$A913),"")</f>
        <v/>
      </c>
      <c r="E913">
        <f t="array" ref="E913">IFERROR(INDEX('TRIP MANAGER'!$Q$18:$Q$25,$A913),"")</f>
        <v/>
      </c>
      <c r="F913">
        <f t="array" ref="F913">IFERROR(INDEX('TRIP MANAGER'!$R$18:$R$25,$A913),"")</f>
        <v/>
      </c>
      <c r="G913">
        <f t="array" ref="G913">IFERROR(INDEX('TRIP MANAGER'!$S$18:$S$25,$A913),"")</f>
        <v/>
      </c>
      <c r="H913">
        <f>$B913/150</f>
        <v/>
      </c>
      <c r="I913">
        <f>IF(OR($G913="",$G913=0),"",SIN((1-$H913)*$G913)/SIN($G913))</f>
        <v/>
      </c>
      <c r="J913">
        <f>IF($I913="","",SIN($H913*$G913)/SIN($G913))</f>
        <v/>
      </c>
      <c r="K913">
        <f>IF($I913="","",$I913*COS(RADIANS($C913))*COS(RADIANS($D913))+$J913*COS(RADIANS($E913))*COS(RADIANS($F913)))</f>
        <v/>
      </c>
      <c r="L913">
        <f>IF($I913="","",$I913*COS(RADIANS($C913))*SIN(RADIANS($D913))+$J913*COS(RADIANS($E913))*SIN(RADIANS($F913)))</f>
        <v/>
      </c>
      <c r="M913">
        <f>IF($I913="","",$I913*SIN(RADIANS($C913))+$J913*SIN(RADIANS($E913)))</f>
        <v/>
      </c>
      <c r="N913">
        <f>IF($M913="","",DEGREES(ATAN2(SQRT($K913^2+$L913^2),$M913)))</f>
        <v/>
      </c>
      <c r="O913">
        <f>IF($M913="","",DEGREES(ATAN2($K913,$L913)))</f>
        <v/>
      </c>
      <c r="P913">
        <f t="array" ref="P913">IF($N913="","",IFERROR(IF(INDEX(geo_grid!$B$2:$JU$231,INT(($N913+40)/0.5)+1,INT(($O913+30)/0.5)+1)="","",INDEX(geo_grid!$B$2:$JU$231,INT(($N913+40)/0.5)+1,INT(($O913+30)/0.5)+1)),"OUTSIDE GRID"))</f>
        <v/>
      </c>
      <c r="Q913">
        <f>IF($P913="","",$A913*1000+$B913)</f>
        <v/>
      </c>
    </row>
    <row r="914">
      <c r="A914">
        <f>INT((ROW()-2)/151)+1</f>
        <v/>
      </c>
      <c r="B914">
        <f>MOD(ROW()-2,151)</f>
        <v/>
      </c>
      <c r="C914">
        <f t="array" ref="C914">IFERROR(INDEX('TRIP MANAGER'!$O$18:$O$25,$A914),"")</f>
        <v/>
      </c>
      <c r="D914">
        <f t="array" ref="D914">IFERROR(INDEX('TRIP MANAGER'!$P$18:$P$25,$A914),"")</f>
        <v/>
      </c>
      <c r="E914">
        <f t="array" ref="E914">IFERROR(INDEX('TRIP MANAGER'!$Q$18:$Q$25,$A914),"")</f>
        <v/>
      </c>
      <c r="F914">
        <f t="array" ref="F914">IFERROR(INDEX('TRIP MANAGER'!$R$18:$R$25,$A914),"")</f>
        <v/>
      </c>
      <c r="G914">
        <f t="array" ref="G914">IFERROR(INDEX('TRIP MANAGER'!$S$18:$S$25,$A914),"")</f>
        <v/>
      </c>
      <c r="H914">
        <f>$B914/150</f>
        <v/>
      </c>
      <c r="I914">
        <f>IF(OR($G914="",$G914=0),"",SIN((1-$H914)*$G914)/SIN($G914))</f>
        <v/>
      </c>
      <c r="J914">
        <f>IF($I914="","",SIN($H914*$G914)/SIN($G914))</f>
        <v/>
      </c>
      <c r="K914">
        <f>IF($I914="","",$I914*COS(RADIANS($C914))*COS(RADIANS($D914))+$J914*COS(RADIANS($E914))*COS(RADIANS($F914)))</f>
        <v/>
      </c>
      <c r="L914">
        <f>IF($I914="","",$I914*COS(RADIANS($C914))*SIN(RADIANS($D914))+$J914*COS(RADIANS($E914))*SIN(RADIANS($F914)))</f>
        <v/>
      </c>
      <c r="M914">
        <f>IF($I914="","",$I914*SIN(RADIANS($C914))+$J914*SIN(RADIANS($E914)))</f>
        <v/>
      </c>
      <c r="N914">
        <f>IF($M914="","",DEGREES(ATAN2(SQRT($K914^2+$L914^2),$M914)))</f>
        <v/>
      </c>
      <c r="O914">
        <f>IF($M914="","",DEGREES(ATAN2($K914,$L914)))</f>
        <v/>
      </c>
      <c r="P914">
        <f t="array" ref="P914">IF($N914="","",IFERROR(IF(INDEX(geo_grid!$B$2:$JU$231,INT(($N914+40)/0.5)+1,INT(($O914+30)/0.5)+1)="","",INDEX(geo_grid!$B$2:$JU$231,INT(($N914+40)/0.5)+1,INT(($O914+30)/0.5)+1)),"OUTSIDE GRID"))</f>
        <v/>
      </c>
      <c r="Q914">
        <f>IF($P914="","",$A914*1000+$B914)</f>
        <v/>
      </c>
    </row>
    <row r="915">
      <c r="A915">
        <f>INT((ROW()-2)/151)+1</f>
        <v/>
      </c>
      <c r="B915">
        <f>MOD(ROW()-2,151)</f>
        <v/>
      </c>
      <c r="C915">
        <f t="array" ref="C915">IFERROR(INDEX('TRIP MANAGER'!$O$18:$O$25,$A915),"")</f>
        <v/>
      </c>
      <c r="D915">
        <f t="array" ref="D915">IFERROR(INDEX('TRIP MANAGER'!$P$18:$P$25,$A915),"")</f>
        <v/>
      </c>
      <c r="E915">
        <f t="array" ref="E915">IFERROR(INDEX('TRIP MANAGER'!$Q$18:$Q$25,$A915),"")</f>
        <v/>
      </c>
      <c r="F915">
        <f t="array" ref="F915">IFERROR(INDEX('TRIP MANAGER'!$R$18:$R$25,$A915),"")</f>
        <v/>
      </c>
      <c r="G915">
        <f t="array" ref="G915">IFERROR(INDEX('TRIP MANAGER'!$S$18:$S$25,$A915),"")</f>
        <v/>
      </c>
      <c r="H915">
        <f>$B915/150</f>
        <v/>
      </c>
      <c r="I915">
        <f>IF(OR($G915="",$G915=0),"",SIN((1-$H915)*$G915)/SIN($G915))</f>
        <v/>
      </c>
      <c r="J915">
        <f>IF($I915="","",SIN($H915*$G915)/SIN($G915))</f>
        <v/>
      </c>
      <c r="K915">
        <f>IF($I915="","",$I915*COS(RADIANS($C915))*COS(RADIANS($D915))+$J915*COS(RADIANS($E915))*COS(RADIANS($F915)))</f>
        <v/>
      </c>
      <c r="L915">
        <f>IF($I915="","",$I915*COS(RADIANS($C915))*SIN(RADIANS($D915))+$J915*COS(RADIANS($E915))*SIN(RADIANS($F915)))</f>
        <v/>
      </c>
      <c r="M915">
        <f>IF($I915="","",$I915*SIN(RADIANS($C915))+$J915*SIN(RADIANS($E915)))</f>
        <v/>
      </c>
      <c r="N915">
        <f>IF($M915="","",DEGREES(ATAN2(SQRT($K915^2+$L915^2),$M915)))</f>
        <v/>
      </c>
      <c r="O915">
        <f>IF($M915="","",DEGREES(ATAN2($K915,$L915)))</f>
        <v/>
      </c>
      <c r="P915">
        <f t="array" ref="P915">IF($N915="","",IFERROR(IF(INDEX(geo_grid!$B$2:$JU$231,INT(($N915+40)/0.5)+1,INT(($O915+30)/0.5)+1)="","",INDEX(geo_grid!$B$2:$JU$231,INT(($N915+40)/0.5)+1,INT(($O915+30)/0.5)+1)),"OUTSIDE GRID"))</f>
        <v/>
      </c>
      <c r="Q915">
        <f>IF($P915="","",$A915*1000+$B915)</f>
        <v/>
      </c>
    </row>
    <row r="916">
      <c r="A916">
        <f>INT((ROW()-2)/151)+1</f>
        <v/>
      </c>
      <c r="B916">
        <f>MOD(ROW()-2,151)</f>
        <v/>
      </c>
      <c r="C916">
        <f t="array" ref="C916">IFERROR(INDEX('TRIP MANAGER'!$O$18:$O$25,$A916),"")</f>
        <v/>
      </c>
      <c r="D916">
        <f t="array" ref="D916">IFERROR(INDEX('TRIP MANAGER'!$P$18:$P$25,$A916),"")</f>
        <v/>
      </c>
      <c r="E916">
        <f t="array" ref="E916">IFERROR(INDEX('TRIP MANAGER'!$Q$18:$Q$25,$A916),"")</f>
        <v/>
      </c>
      <c r="F916">
        <f t="array" ref="F916">IFERROR(INDEX('TRIP MANAGER'!$R$18:$R$25,$A916),"")</f>
        <v/>
      </c>
      <c r="G916">
        <f t="array" ref="G916">IFERROR(INDEX('TRIP MANAGER'!$S$18:$S$25,$A916),"")</f>
        <v/>
      </c>
      <c r="H916">
        <f>$B916/150</f>
        <v/>
      </c>
      <c r="I916">
        <f>IF(OR($G916="",$G916=0),"",SIN((1-$H916)*$G916)/SIN($G916))</f>
        <v/>
      </c>
      <c r="J916">
        <f>IF($I916="","",SIN($H916*$G916)/SIN($G916))</f>
        <v/>
      </c>
      <c r="K916">
        <f>IF($I916="","",$I916*COS(RADIANS($C916))*COS(RADIANS($D916))+$J916*COS(RADIANS($E916))*COS(RADIANS($F916)))</f>
        <v/>
      </c>
      <c r="L916">
        <f>IF($I916="","",$I916*COS(RADIANS($C916))*SIN(RADIANS($D916))+$J916*COS(RADIANS($E916))*SIN(RADIANS($F916)))</f>
        <v/>
      </c>
      <c r="M916">
        <f>IF($I916="","",$I916*SIN(RADIANS($C916))+$J916*SIN(RADIANS($E916)))</f>
        <v/>
      </c>
      <c r="N916">
        <f>IF($M916="","",DEGREES(ATAN2(SQRT($K916^2+$L916^2),$M916)))</f>
        <v/>
      </c>
      <c r="O916">
        <f>IF($M916="","",DEGREES(ATAN2($K916,$L916)))</f>
        <v/>
      </c>
      <c r="P916">
        <f t="array" ref="P916">IF($N916="","",IFERROR(IF(INDEX(geo_grid!$B$2:$JU$231,INT(($N916+40)/0.5)+1,INT(($O916+30)/0.5)+1)="","",INDEX(geo_grid!$B$2:$JU$231,INT(($N916+40)/0.5)+1,INT(($O916+30)/0.5)+1)),"OUTSIDE GRID"))</f>
        <v/>
      </c>
      <c r="Q916">
        <f>IF($P916="","",$A916*1000+$B916)</f>
        <v/>
      </c>
    </row>
    <row r="917">
      <c r="A917">
        <f>INT((ROW()-2)/151)+1</f>
        <v/>
      </c>
      <c r="B917">
        <f>MOD(ROW()-2,151)</f>
        <v/>
      </c>
      <c r="C917">
        <f t="array" ref="C917">IFERROR(INDEX('TRIP MANAGER'!$O$18:$O$25,$A917),"")</f>
        <v/>
      </c>
      <c r="D917">
        <f t="array" ref="D917">IFERROR(INDEX('TRIP MANAGER'!$P$18:$P$25,$A917),"")</f>
        <v/>
      </c>
      <c r="E917">
        <f t="array" ref="E917">IFERROR(INDEX('TRIP MANAGER'!$Q$18:$Q$25,$A917),"")</f>
        <v/>
      </c>
      <c r="F917">
        <f t="array" ref="F917">IFERROR(INDEX('TRIP MANAGER'!$R$18:$R$25,$A917),"")</f>
        <v/>
      </c>
      <c r="G917">
        <f t="array" ref="G917">IFERROR(INDEX('TRIP MANAGER'!$S$18:$S$25,$A917),"")</f>
        <v/>
      </c>
      <c r="H917">
        <f>$B917/150</f>
        <v/>
      </c>
      <c r="I917">
        <f>IF(OR($G917="",$G917=0),"",SIN((1-$H917)*$G917)/SIN($G917))</f>
        <v/>
      </c>
      <c r="J917">
        <f>IF($I917="","",SIN($H917*$G917)/SIN($G917))</f>
        <v/>
      </c>
      <c r="K917">
        <f>IF($I917="","",$I917*COS(RADIANS($C917))*COS(RADIANS($D917))+$J917*COS(RADIANS($E917))*COS(RADIANS($F917)))</f>
        <v/>
      </c>
      <c r="L917">
        <f>IF($I917="","",$I917*COS(RADIANS($C917))*SIN(RADIANS($D917))+$J917*COS(RADIANS($E917))*SIN(RADIANS($F917)))</f>
        <v/>
      </c>
      <c r="M917">
        <f>IF($I917="","",$I917*SIN(RADIANS($C917))+$J917*SIN(RADIANS($E917)))</f>
        <v/>
      </c>
      <c r="N917">
        <f>IF($M917="","",DEGREES(ATAN2(SQRT($K917^2+$L917^2),$M917)))</f>
        <v/>
      </c>
      <c r="O917">
        <f>IF($M917="","",DEGREES(ATAN2($K917,$L917)))</f>
        <v/>
      </c>
      <c r="P917">
        <f t="array" ref="P917">IF($N917="","",IFERROR(IF(INDEX(geo_grid!$B$2:$JU$231,INT(($N917+40)/0.5)+1,INT(($O917+30)/0.5)+1)="","",INDEX(geo_grid!$B$2:$JU$231,INT(($N917+40)/0.5)+1,INT(($O917+30)/0.5)+1)),"OUTSIDE GRID"))</f>
        <v/>
      </c>
      <c r="Q917">
        <f>IF($P917="","",$A917*1000+$B917)</f>
        <v/>
      </c>
    </row>
    <row r="918">
      <c r="A918">
        <f>INT((ROW()-2)/151)+1</f>
        <v/>
      </c>
      <c r="B918">
        <f>MOD(ROW()-2,151)</f>
        <v/>
      </c>
      <c r="C918">
        <f t="array" ref="C918">IFERROR(INDEX('TRIP MANAGER'!$O$18:$O$25,$A918),"")</f>
        <v/>
      </c>
      <c r="D918">
        <f t="array" ref="D918">IFERROR(INDEX('TRIP MANAGER'!$P$18:$P$25,$A918),"")</f>
        <v/>
      </c>
      <c r="E918">
        <f t="array" ref="E918">IFERROR(INDEX('TRIP MANAGER'!$Q$18:$Q$25,$A918),"")</f>
        <v/>
      </c>
      <c r="F918">
        <f t="array" ref="F918">IFERROR(INDEX('TRIP MANAGER'!$R$18:$R$25,$A918),"")</f>
        <v/>
      </c>
      <c r="G918">
        <f t="array" ref="G918">IFERROR(INDEX('TRIP MANAGER'!$S$18:$S$25,$A918),"")</f>
        <v/>
      </c>
      <c r="H918">
        <f>$B918/150</f>
        <v/>
      </c>
      <c r="I918">
        <f>IF(OR($G918="",$G918=0),"",SIN((1-$H918)*$G918)/SIN($G918))</f>
        <v/>
      </c>
      <c r="J918">
        <f>IF($I918="","",SIN($H918*$G918)/SIN($G918))</f>
        <v/>
      </c>
      <c r="K918">
        <f>IF($I918="","",$I918*COS(RADIANS($C918))*COS(RADIANS($D918))+$J918*COS(RADIANS($E918))*COS(RADIANS($F918)))</f>
        <v/>
      </c>
      <c r="L918">
        <f>IF($I918="","",$I918*COS(RADIANS($C918))*SIN(RADIANS($D918))+$J918*COS(RADIANS($E918))*SIN(RADIANS($F918)))</f>
        <v/>
      </c>
      <c r="M918">
        <f>IF($I918="","",$I918*SIN(RADIANS($C918))+$J918*SIN(RADIANS($E918)))</f>
        <v/>
      </c>
      <c r="N918">
        <f>IF($M918="","",DEGREES(ATAN2(SQRT($K918^2+$L918^2),$M918)))</f>
        <v/>
      </c>
      <c r="O918">
        <f>IF($M918="","",DEGREES(ATAN2($K918,$L918)))</f>
        <v/>
      </c>
      <c r="P918">
        <f t="array" ref="P918">IF($N918="","",IFERROR(IF(INDEX(geo_grid!$B$2:$JU$231,INT(($N918+40)/0.5)+1,INT(($O918+30)/0.5)+1)="","",INDEX(geo_grid!$B$2:$JU$231,INT(($N918+40)/0.5)+1,INT(($O918+30)/0.5)+1)),"OUTSIDE GRID"))</f>
        <v/>
      </c>
      <c r="Q918">
        <f>IF($P918="","",$A918*1000+$B918)</f>
        <v/>
      </c>
    </row>
    <row r="919">
      <c r="A919">
        <f>INT((ROW()-2)/151)+1</f>
        <v/>
      </c>
      <c r="B919">
        <f>MOD(ROW()-2,151)</f>
        <v/>
      </c>
      <c r="C919">
        <f t="array" ref="C919">IFERROR(INDEX('TRIP MANAGER'!$O$18:$O$25,$A919),"")</f>
        <v/>
      </c>
      <c r="D919">
        <f t="array" ref="D919">IFERROR(INDEX('TRIP MANAGER'!$P$18:$P$25,$A919),"")</f>
        <v/>
      </c>
      <c r="E919">
        <f t="array" ref="E919">IFERROR(INDEX('TRIP MANAGER'!$Q$18:$Q$25,$A919),"")</f>
        <v/>
      </c>
      <c r="F919">
        <f t="array" ref="F919">IFERROR(INDEX('TRIP MANAGER'!$R$18:$R$25,$A919),"")</f>
        <v/>
      </c>
      <c r="G919">
        <f t="array" ref="G919">IFERROR(INDEX('TRIP MANAGER'!$S$18:$S$25,$A919),"")</f>
        <v/>
      </c>
      <c r="H919">
        <f>$B919/150</f>
        <v/>
      </c>
      <c r="I919">
        <f>IF(OR($G919="",$G919=0),"",SIN((1-$H919)*$G919)/SIN($G919))</f>
        <v/>
      </c>
      <c r="J919">
        <f>IF($I919="","",SIN($H919*$G919)/SIN($G919))</f>
        <v/>
      </c>
      <c r="K919">
        <f>IF($I919="","",$I919*COS(RADIANS($C919))*COS(RADIANS($D919))+$J919*COS(RADIANS($E919))*COS(RADIANS($F919)))</f>
        <v/>
      </c>
      <c r="L919">
        <f>IF($I919="","",$I919*COS(RADIANS($C919))*SIN(RADIANS($D919))+$J919*COS(RADIANS($E919))*SIN(RADIANS($F919)))</f>
        <v/>
      </c>
      <c r="M919">
        <f>IF($I919="","",$I919*SIN(RADIANS($C919))+$J919*SIN(RADIANS($E919)))</f>
        <v/>
      </c>
      <c r="N919">
        <f>IF($M919="","",DEGREES(ATAN2(SQRT($K919^2+$L919^2),$M919)))</f>
        <v/>
      </c>
      <c r="O919">
        <f>IF($M919="","",DEGREES(ATAN2($K919,$L919)))</f>
        <v/>
      </c>
      <c r="P919">
        <f t="array" ref="P919">IF($N919="","",IFERROR(IF(INDEX(geo_grid!$B$2:$JU$231,INT(($N919+40)/0.5)+1,INT(($O919+30)/0.5)+1)="","",INDEX(geo_grid!$B$2:$JU$231,INT(($N919+40)/0.5)+1,INT(($O919+30)/0.5)+1)),"OUTSIDE GRID"))</f>
        <v/>
      </c>
      <c r="Q919">
        <f>IF($P919="","",$A919*1000+$B919)</f>
        <v/>
      </c>
    </row>
    <row r="920">
      <c r="A920">
        <f>INT((ROW()-2)/151)+1</f>
        <v/>
      </c>
      <c r="B920">
        <f>MOD(ROW()-2,151)</f>
        <v/>
      </c>
      <c r="C920">
        <f t="array" ref="C920">IFERROR(INDEX('TRIP MANAGER'!$O$18:$O$25,$A920),"")</f>
        <v/>
      </c>
      <c r="D920">
        <f t="array" ref="D920">IFERROR(INDEX('TRIP MANAGER'!$P$18:$P$25,$A920),"")</f>
        <v/>
      </c>
      <c r="E920">
        <f t="array" ref="E920">IFERROR(INDEX('TRIP MANAGER'!$Q$18:$Q$25,$A920),"")</f>
        <v/>
      </c>
      <c r="F920">
        <f t="array" ref="F920">IFERROR(INDEX('TRIP MANAGER'!$R$18:$R$25,$A920),"")</f>
        <v/>
      </c>
      <c r="G920">
        <f t="array" ref="G920">IFERROR(INDEX('TRIP MANAGER'!$S$18:$S$25,$A920),"")</f>
        <v/>
      </c>
      <c r="H920">
        <f>$B920/150</f>
        <v/>
      </c>
      <c r="I920">
        <f>IF(OR($G920="",$G920=0),"",SIN((1-$H920)*$G920)/SIN($G920))</f>
        <v/>
      </c>
      <c r="J920">
        <f>IF($I920="","",SIN($H920*$G920)/SIN($G920))</f>
        <v/>
      </c>
      <c r="K920">
        <f>IF($I920="","",$I920*COS(RADIANS($C920))*COS(RADIANS($D920))+$J920*COS(RADIANS($E920))*COS(RADIANS($F920)))</f>
        <v/>
      </c>
      <c r="L920">
        <f>IF($I920="","",$I920*COS(RADIANS($C920))*SIN(RADIANS($D920))+$J920*COS(RADIANS($E920))*SIN(RADIANS($F920)))</f>
        <v/>
      </c>
      <c r="M920">
        <f>IF($I920="","",$I920*SIN(RADIANS($C920))+$J920*SIN(RADIANS($E920)))</f>
        <v/>
      </c>
      <c r="N920">
        <f>IF($M920="","",DEGREES(ATAN2(SQRT($K920^2+$L920^2),$M920)))</f>
        <v/>
      </c>
      <c r="O920">
        <f>IF($M920="","",DEGREES(ATAN2($K920,$L920)))</f>
        <v/>
      </c>
      <c r="P920">
        <f t="array" ref="P920">IF($N920="","",IFERROR(IF(INDEX(geo_grid!$B$2:$JU$231,INT(($N920+40)/0.5)+1,INT(($O920+30)/0.5)+1)="","",INDEX(geo_grid!$B$2:$JU$231,INT(($N920+40)/0.5)+1,INT(($O920+30)/0.5)+1)),"OUTSIDE GRID"))</f>
        <v/>
      </c>
      <c r="Q920">
        <f>IF($P920="","",$A920*1000+$B920)</f>
        <v/>
      </c>
    </row>
    <row r="921">
      <c r="A921">
        <f>INT((ROW()-2)/151)+1</f>
        <v/>
      </c>
      <c r="B921">
        <f>MOD(ROW()-2,151)</f>
        <v/>
      </c>
      <c r="C921">
        <f t="array" ref="C921">IFERROR(INDEX('TRIP MANAGER'!$O$18:$O$25,$A921),"")</f>
        <v/>
      </c>
      <c r="D921">
        <f t="array" ref="D921">IFERROR(INDEX('TRIP MANAGER'!$P$18:$P$25,$A921),"")</f>
        <v/>
      </c>
      <c r="E921">
        <f t="array" ref="E921">IFERROR(INDEX('TRIP MANAGER'!$Q$18:$Q$25,$A921),"")</f>
        <v/>
      </c>
      <c r="F921">
        <f t="array" ref="F921">IFERROR(INDEX('TRIP MANAGER'!$R$18:$R$25,$A921),"")</f>
        <v/>
      </c>
      <c r="G921">
        <f t="array" ref="G921">IFERROR(INDEX('TRIP MANAGER'!$S$18:$S$25,$A921),"")</f>
        <v/>
      </c>
      <c r="H921">
        <f>$B921/150</f>
        <v/>
      </c>
      <c r="I921">
        <f>IF(OR($G921="",$G921=0),"",SIN((1-$H921)*$G921)/SIN($G921))</f>
        <v/>
      </c>
      <c r="J921">
        <f>IF($I921="","",SIN($H921*$G921)/SIN($G921))</f>
        <v/>
      </c>
      <c r="K921">
        <f>IF($I921="","",$I921*COS(RADIANS($C921))*COS(RADIANS($D921))+$J921*COS(RADIANS($E921))*COS(RADIANS($F921)))</f>
        <v/>
      </c>
      <c r="L921">
        <f>IF($I921="","",$I921*COS(RADIANS($C921))*SIN(RADIANS($D921))+$J921*COS(RADIANS($E921))*SIN(RADIANS($F921)))</f>
        <v/>
      </c>
      <c r="M921">
        <f>IF($I921="","",$I921*SIN(RADIANS($C921))+$J921*SIN(RADIANS($E921)))</f>
        <v/>
      </c>
      <c r="N921">
        <f>IF($M921="","",DEGREES(ATAN2(SQRT($K921^2+$L921^2),$M921)))</f>
        <v/>
      </c>
      <c r="O921">
        <f>IF($M921="","",DEGREES(ATAN2($K921,$L921)))</f>
        <v/>
      </c>
      <c r="P921">
        <f t="array" ref="P921">IF($N921="","",IFERROR(IF(INDEX(geo_grid!$B$2:$JU$231,INT(($N921+40)/0.5)+1,INT(($O921+30)/0.5)+1)="","",INDEX(geo_grid!$B$2:$JU$231,INT(($N921+40)/0.5)+1,INT(($O921+30)/0.5)+1)),"OUTSIDE GRID"))</f>
        <v/>
      </c>
      <c r="Q921">
        <f>IF($P921="","",$A921*1000+$B921)</f>
        <v/>
      </c>
    </row>
    <row r="922">
      <c r="A922">
        <f>INT((ROW()-2)/151)+1</f>
        <v/>
      </c>
      <c r="B922">
        <f>MOD(ROW()-2,151)</f>
        <v/>
      </c>
      <c r="C922">
        <f t="array" ref="C922">IFERROR(INDEX('TRIP MANAGER'!$O$18:$O$25,$A922),"")</f>
        <v/>
      </c>
      <c r="D922">
        <f t="array" ref="D922">IFERROR(INDEX('TRIP MANAGER'!$P$18:$P$25,$A922),"")</f>
        <v/>
      </c>
      <c r="E922">
        <f t="array" ref="E922">IFERROR(INDEX('TRIP MANAGER'!$Q$18:$Q$25,$A922),"")</f>
        <v/>
      </c>
      <c r="F922">
        <f t="array" ref="F922">IFERROR(INDEX('TRIP MANAGER'!$R$18:$R$25,$A922),"")</f>
        <v/>
      </c>
      <c r="G922">
        <f t="array" ref="G922">IFERROR(INDEX('TRIP MANAGER'!$S$18:$S$25,$A922),"")</f>
        <v/>
      </c>
      <c r="H922">
        <f>$B922/150</f>
        <v/>
      </c>
      <c r="I922">
        <f>IF(OR($G922="",$G922=0),"",SIN((1-$H922)*$G922)/SIN($G922))</f>
        <v/>
      </c>
      <c r="J922">
        <f>IF($I922="","",SIN($H922*$G922)/SIN($G922))</f>
        <v/>
      </c>
      <c r="K922">
        <f>IF($I922="","",$I922*COS(RADIANS($C922))*COS(RADIANS($D922))+$J922*COS(RADIANS($E922))*COS(RADIANS($F922)))</f>
        <v/>
      </c>
      <c r="L922">
        <f>IF($I922="","",$I922*COS(RADIANS($C922))*SIN(RADIANS($D922))+$J922*COS(RADIANS($E922))*SIN(RADIANS($F922)))</f>
        <v/>
      </c>
      <c r="M922">
        <f>IF($I922="","",$I922*SIN(RADIANS($C922))+$J922*SIN(RADIANS($E922)))</f>
        <v/>
      </c>
      <c r="N922">
        <f>IF($M922="","",DEGREES(ATAN2(SQRT($K922^2+$L922^2),$M922)))</f>
        <v/>
      </c>
      <c r="O922">
        <f>IF($M922="","",DEGREES(ATAN2($K922,$L922)))</f>
        <v/>
      </c>
      <c r="P922">
        <f t="array" ref="P922">IF($N922="","",IFERROR(IF(INDEX(geo_grid!$B$2:$JU$231,INT(($N922+40)/0.5)+1,INT(($O922+30)/0.5)+1)="","",INDEX(geo_grid!$B$2:$JU$231,INT(($N922+40)/0.5)+1,INT(($O922+30)/0.5)+1)),"OUTSIDE GRID"))</f>
        <v/>
      </c>
      <c r="Q922">
        <f>IF($P922="","",$A922*1000+$B922)</f>
        <v/>
      </c>
    </row>
    <row r="923">
      <c r="A923">
        <f>INT((ROW()-2)/151)+1</f>
        <v/>
      </c>
      <c r="B923">
        <f>MOD(ROW()-2,151)</f>
        <v/>
      </c>
      <c r="C923">
        <f t="array" ref="C923">IFERROR(INDEX('TRIP MANAGER'!$O$18:$O$25,$A923),"")</f>
        <v/>
      </c>
      <c r="D923">
        <f t="array" ref="D923">IFERROR(INDEX('TRIP MANAGER'!$P$18:$P$25,$A923),"")</f>
        <v/>
      </c>
      <c r="E923">
        <f t="array" ref="E923">IFERROR(INDEX('TRIP MANAGER'!$Q$18:$Q$25,$A923),"")</f>
        <v/>
      </c>
      <c r="F923">
        <f t="array" ref="F923">IFERROR(INDEX('TRIP MANAGER'!$R$18:$R$25,$A923),"")</f>
        <v/>
      </c>
      <c r="G923">
        <f t="array" ref="G923">IFERROR(INDEX('TRIP MANAGER'!$S$18:$S$25,$A923),"")</f>
        <v/>
      </c>
      <c r="H923">
        <f>$B923/150</f>
        <v/>
      </c>
      <c r="I923">
        <f>IF(OR($G923="",$G923=0),"",SIN((1-$H923)*$G923)/SIN($G923))</f>
        <v/>
      </c>
      <c r="J923">
        <f>IF($I923="","",SIN($H923*$G923)/SIN($G923))</f>
        <v/>
      </c>
      <c r="K923">
        <f>IF($I923="","",$I923*COS(RADIANS($C923))*COS(RADIANS($D923))+$J923*COS(RADIANS($E923))*COS(RADIANS($F923)))</f>
        <v/>
      </c>
      <c r="L923">
        <f>IF($I923="","",$I923*COS(RADIANS($C923))*SIN(RADIANS($D923))+$J923*COS(RADIANS($E923))*SIN(RADIANS($F923)))</f>
        <v/>
      </c>
      <c r="M923">
        <f>IF($I923="","",$I923*SIN(RADIANS($C923))+$J923*SIN(RADIANS($E923)))</f>
        <v/>
      </c>
      <c r="N923">
        <f>IF($M923="","",DEGREES(ATAN2(SQRT($K923^2+$L923^2),$M923)))</f>
        <v/>
      </c>
      <c r="O923">
        <f>IF($M923="","",DEGREES(ATAN2($K923,$L923)))</f>
        <v/>
      </c>
      <c r="P923">
        <f t="array" ref="P923">IF($N923="","",IFERROR(IF(INDEX(geo_grid!$B$2:$JU$231,INT(($N923+40)/0.5)+1,INT(($O923+30)/0.5)+1)="","",INDEX(geo_grid!$B$2:$JU$231,INT(($N923+40)/0.5)+1,INT(($O923+30)/0.5)+1)),"OUTSIDE GRID"))</f>
        <v/>
      </c>
      <c r="Q923">
        <f>IF($P923="","",$A923*1000+$B923)</f>
        <v/>
      </c>
    </row>
    <row r="924">
      <c r="A924">
        <f>INT((ROW()-2)/151)+1</f>
        <v/>
      </c>
      <c r="B924">
        <f>MOD(ROW()-2,151)</f>
        <v/>
      </c>
      <c r="C924">
        <f t="array" ref="C924">IFERROR(INDEX('TRIP MANAGER'!$O$18:$O$25,$A924),"")</f>
        <v/>
      </c>
      <c r="D924">
        <f t="array" ref="D924">IFERROR(INDEX('TRIP MANAGER'!$P$18:$P$25,$A924),"")</f>
        <v/>
      </c>
      <c r="E924">
        <f t="array" ref="E924">IFERROR(INDEX('TRIP MANAGER'!$Q$18:$Q$25,$A924),"")</f>
        <v/>
      </c>
      <c r="F924">
        <f t="array" ref="F924">IFERROR(INDEX('TRIP MANAGER'!$R$18:$R$25,$A924),"")</f>
        <v/>
      </c>
      <c r="G924">
        <f t="array" ref="G924">IFERROR(INDEX('TRIP MANAGER'!$S$18:$S$25,$A924),"")</f>
        <v/>
      </c>
      <c r="H924">
        <f>$B924/150</f>
        <v/>
      </c>
      <c r="I924">
        <f>IF(OR($G924="",$G924=0),"",SIN((1-$H924)*$G924)/SIN($G924))</f>
        <v/>
      </c>
      <c r="J924">
        <f>IF($I924="","",SIN($H924*$G924)/SIN($G924))</f>
        <v/>
      </c>
      <c r="K924">
        <f>IF($I924="","",$I924*COS(RADIANS($C924))*COS(RADIANS($D924))+$J924*COS(RADIANS($E924))*COS(RADIANS($F924)))</f>
        <v/>
      </c>
      <c r="L924">
        <f>IF($I924="","",$I924*COS(RADIANS($C924))*SIN(RADIANS($D924))+$J924*COS(RADIANS($E924))*SIN(RADIANS($F924)))</f>
        <v/>
      </c>
      <c r="M924">
        <f>IF($I924="","",$I924*SIN(RADIANS($C924))+$J924*SIN(RADIANS($E924)))</f>
        <v/>
      </c>
      <c r="N924">
        <f>IF($M924="","",DEGREES(ATAN2(SQRT($K924^2+$L924^2),$M924)))</f>
        <v/>
      </c>
      <c r="O924">
        <f>IF($M924="","",DEGREES(ATAN2($K924,$L924)))</f>
        <v/>
      </c>
      <c r="P924">
        <f t="array" ref="P924">IF($N924="","",IFERROR(IF(INDEX(geo_grid!$B$2:$JU$231,INT(($N924+40)/0.5)+1,INT(($O924+30)/0.5)+1)="","",INDEX(geo_grid!$B$2:$JU$231,INT(($N924+40)/0.5)+1,INT(($O924+30)/0.5)+1)),"OUTSIDE GRID"))</f>
        <v/>
      </c>
      <c r="Q924">
        <f>IF($P924="","",$A924*1000+$B924)</f>
        <v/>
      </c>
    </row>
    <row r="925">
      <c r="A925">
        <f>INT((ROW()-2)/151)+1</f>
        <v/>
      </c>
      <c r="B925">
        <f>MOD(ROW()-2,151)</f>
        <v/>
      </c>
      <c r="C925">
        <f t="array" ref="C925">IFERROR(INDEX('TRIP MANAGER'!$O$18:$O$25,$A925),"")</f>
        <v/>
      </c>
      <c r="D925">
        <f t="array" ref="D925">IFERROR(INDEX('TRIP MANAGER'!$P$18:$P$25,$A925),"")</f>
        <v/>
      </c>
      <c r="E925">
        <f t="array" ref="E925">IFERROR(INDEX('TRIP MANAGER'!$Q$18:$Q$25,$A925),"")</f>
        <v/>
      </c>
      <c r="F925">
        <f t="array" ref="F925">IFERROR(INDEX('TRIP MANAGER'!$R$18:$R$25,$A925),"")</f>
        <v/>
      </c>
      <c r="G925">
        <f t="array" ref="G925">IFERROR(INDEX('TRIP MANAGER'!$S$18:$S$25,$A925),"")</f>
        <v/>
      </c>
      <c r="H925">
        <f>$B925/150</f>
        <v/>
      </c>
      <c r="I925">
        <f>IF(OR($G925="",$G925=0),"",SIN((1-$H925)*$G925)/SIN($G925))</f>
        <v/>
      </c>
      <c r="J925">
        <f>IF($I925="","",SIN($H925*$G925)/SIN($G925))</f>
        <v/>
      </c>
      <c r="K925">
        <f>IF($I925="","",$I925*COS(RADIANS($C925))*COS(RADIANS($D925))+$J925*COS(RADIANS($E925))*COS(RADIANS($F925)))</f>
        <v/>
      </c>
      <c r="L925">
        <f>IF($I925="","",$I925*COS(RADIANS($C925))*SIN(RADIANS($D925))+$J925*COS(RADIANS($E925))*SIN(RADIANS($F925)))</f>
        <v/>
      </c>
      <c r="M925">
        <f>IF($I925="","",$I925*SIN(RADIANS($C925))+$J925*SIN(RADIANS($E925)))</f>
        <v/>
      </c>
      <c r="N925">
        <f>IF($M925="","",DEGREES(ATAN2(SQRT($K925^2+$L925^2),$M925)))</f>
        <v/>
      </c>
      <c r="O925">
        <f>IF($M925="","",DEGREES(ATAN2($K925,$L925)))</f>
        <v/>
      </c>
      <c r="P925">
        <f t="array" ref="P925">IF($N925="","",IFERROR(IF(INDEX(geo_grid!$B$2:$JU$231,INT(($N925+40)/0.5)+1,INT(($O925+30)/0.5)+1)="","",INDEX(geo_grid!$B$2:$JU$231,INT(($N925+40)/0.5)+1,INT(($O925+30)/0.5)+1)),"OUTSIDE GRID"))</f>
        <v/>
      </c>
      <c r="Q925">
        <f>IF($P925="","",$A925*1000+$B925)</f>
        <v/>
      </c>
    </row>
    <row r="926">
      <c r="A926">
        <f>INT((ROW()-2)/151)+1</f>
        <v/>
      </c>
      <c r="B926">
        <f>MOD(ROW()-2,151)</f>
        <v/>
      </c>
      <c r="C926">
        <f t="array" ref="C926">IFERROR(INDEX('TRIP MANAGER'!$O$18:$O$25,$A926),"")</f>
        <v/>
      </c>
      <c r="D926">
        <f t="array" ref="D926">IFERROR(INDEX('TRIP MANAGER'!$P$18:$P$25,$A926),"")</f>
        <v/>
      </c>
      <c r="E926">
        <f t="array" ref="E926">IFERROR(INDEX('TRIP MANAGER'!$Q$18:$Q$25,$A926),"")</f>
        <v/>
      </c>
      <c r="F926">
        <f t="array" ref="F926">IFERROR(INDEX('TRIP MANAGER'!$R$18:$R$25,$A926),"")</f>
        <v/>
      </c>
      <c r="G926">
        <f t="array" ref="G926">IFERROR(INDEX('TRIP MANAGER'!$S$18:$S$25,$A926),"")</f>
        <v/>
      </c>
      <c r="H926">
        <f>$B926/150</f>
        <v/>
      </c>
      <c r="I926">
        <f>IF(OR($G926="",$G926=0),"",SIN((1-$H926)*$G926)/SIN($G926))</f>
        <v/>
      </c>
      <c r="J926">
        <f>IF($I926="","",SIN($H926*$G926)/SIN($G926))</f>
        <v/>
      </c>
      <c r="K926">
        <f>IF($I926="","",$I926*COS(RADIANS($C926))*COS(RADIANS($D926))+$J926*COS(RADIANS($E926))*COS(RADIANS($F926)))</f>
        <v/>
      </c>
      <c r="L926">
        <f>IF($I926="","",$I926*COS(RADIANS($C926))*SIN(RADIANS($D926))+$J926*COS(RADIANS($E926))*SIN(RADIANS($F926)))</f>
        <v/>
      </c>
      <c r="M926">
        <f>IF($I926="","",$I926*SIN(RADIANS($C926))+$J926*SIN(RADIANS($E926)))</f>
        <v/>
      </c>
      <c r="N926">
        <f>IF($M926="","",DEGREES(ATAN2(SQRT($K926^2+$L926^2),$M926)))</f>
        <v/>
      </c>
      <c r="O926">
        <f>IF($M926="","",DEGREES(ATAN2($K926,$L926)))</f>
        <v/>
      </c>
      <c r="P926">
        <f t="array" ref="P926">IF($N926="","",IFERROR(IF(INDEX(geo_grid!$B$2:$JU$231,INT(($N926+40)/0.5)+1,INT(($O926+30)/0.5)+1)="","",INDEX(geo_grid!$B$2:$JU$231,INT(($N926+40)/0.5)+1,INT(($O926+30)/0.5)+1)),"OUTSIDE GRID"))</f>
        <v/>
      </c>
      <c r="Q926">
        <f>IF($P926="","",$A926*1000+$B926)</f>
        <v/>
      </c>
    </row>
    <row r="927">
      <c r="A927">
        <f>INT((ROW()-2)/151)+1</f>
        <v/>
      </c>
      <c r="B927">
        <f>MOD(ROW()-2,151)</f>
        <v/>
      </c>
      <c r="C927">
        <f t="array" ref="C927">IFERROR(INDEX('TRIP MANAGER'!$O$18:$O$25,$A927),"")</f>
        <v/>
      </c>
      <c r="D927">
        <f t="array" ref="D927">IFERROR(INDEX('TRIP MANAGER'!$P$18:$P$25,$A927),"")</f>
        <v/>
      </c>
      <c r="E927">
        <f t="array" ref="E927">IFERROR(INDEX('TRIP MANAGER'!$Q$18:$Q$25,$A927),"")</f>
        <v/>
      </c>
      <c r="F927">
        <f t="array" ref="F927">IFERROR(INDEX('TRIP MANAGER'!$R$18:$R$25,$A927),"")</f>
        <v/>
      </c>
      <c r="G927">
        <f t="array" ref="G927">IFERROR(INDEX('TRIP MANAGER'!$S$18:$S$25,$A927),"")</f>
        <v/>
      </c>
      <c r="H927">
        <f>$B927/150</f>
        <v/>
      </c>
      <c r="I927">
        <f>IF(OR($G927="",$G927=0),"",SIN((1-$H927)*$G927)/SIN($G927))</f>
        <v/>
      </c>
      <c r="J927">
        <f>IF($I927="","",SIN($H927*$G927)/SIN($G927))</f>
        <v/>
      </c>
      <c r="K927">
        <f>IF($I927="","",$I927*COS(RADIANS($C927))*COS(RADIANS($D927))+$J927*COS(RADIANS($E927))*COS(RADIANS($F927)))</f>
        <v/>
      </c>
      <c r="L927">
        <f>IF($I927="","",$I927*COS(RADIANS($C927))*SIN(RADIANS($D927))+$J927*COS(RADIANS($E927))*SIN(RADIANS($F927)))</f>
        <v/>
      </c>
      <c r="M927">
        <f>IF($I927="","",$I927*SIN(RADIANS($C927))+$J927*SIN(RADIANS($E927)))</f>
        <v/>
      </c>
      <c r="N927">
        <f>IF($M927="","",DEGREES(ATAN2(SQRT($K927^2+$L927^2),$M927)))</f>
        <v/>
      </c>
      <c r="O927">
        <f>IF($M927="","",DEGREES(ATAN2($K927,$L927)))</f>
        <v/>
      </c>
      <c r="P927">
        <f t="array" ref="P927">IF($N927="","",IFERROR(IF(INDEX(geo_grid!$B$2:$JU$231,INT(($N927+40)/0.5)+1,INT(($O927+30)/0.5)+1)="","",INDEX(geo_grid!$B$2:$JU$231,INT(($N927+40)/0.5)+1,INT(($O927+30)/0.5)+1)),"OUTSIDE GRID"))</f>
        <v/>
      </c>
      <c r="Q927">
        <f>IF($P927="","",$A927*1000+$B927)</f>
        <v/>
      </c>
    </row>
    <row r="928">
      <c r="A928">
        <f>INT((ROW()-2)/151)+1</f>
        <v/>
      </c>
      <c r="B928">
        <f>MOD(ROW()-2,151)</f>
        <v/>
      </c>
      <c r="C928">
        <f t="array" ref="C928">IFERROR(INDEX('TRIP MANAGER'!$O$18:$O$25,$A928),"")</f>
        <v/>
      </c>
      <c r="D928">
        <f t="array" ref="D928">IFERROR(INDEX('TRIP MANAGER'!$P$18:$P$25,$A928),"")</f>
        <v/>
      </c>
      <c r="E928">
        <f t="array" ref="E928">IFERROR(INDEX('TRIP MANAGER'!$Q$18:$Q$25,$A928),"")</f>
        <v/>
      </c>
      <c r="F928">
        <f t="array" ref="F928">IFERROR(INDEX('TRIP MANAGER'!$R$18:$R$25,$A928),"")</f>
        <v/>
      </c>
      <c r="G928">
        <f t="array" ref="G928">IFERROR(INDEX('TRIP MANAGER'!$S$18:$S$25,$A928),"")</f>
        <v/>
      </c>
      <c r="H928">
        <f>$B928/150</f>
        <v/>
      </c>
      <c r="I928">
        <f>IF(OR($G928="",$G928=0),"",SIN((1-$H928)*$G928)/SIN($G928))</f>
        <v/>
      </c>
      <c r="J928">
        <f>IF($I928="","",SIN($H928*$G928)/SIN($G928))</f>
        <v/>
      </c>
      <c r="K928">
        <f>IF($I928="","",$I928*COS(RADIANS($C928))*COS(RADIANS($D928))+$J928*COS(RADIANS($E928))*COS(RADIANS($F928)))</f>
        <v/>
      </c>
      <c r="L928">
        <f>IF($I928="","",$I928*COS(RADIANS($C928))*SIN(RADIANS($D928))+$J928*COS(RADIANS($E928))*SIN(RADIANS($F928)))</f>
        <v/>
      </c>
      <c r="M928">
        <f>IF($I928="","",$I928*SIN(RADIANS($C928))+$J928*SIN(RADIANS($E928)))</f>
        <v/>
      </c>
      <c r="N928">
        <f>IF($M928="","",DEGREES(ATAN2(SQRT($K928^2+$L928^2),$M928)))</f>
        <v/>
      </c>
      <c r="O928">
        <f>IF($M928="","",DEGREES(ATAN2($K928,$L928)))</f>
        <v/>
      </c>
      <c r="P928">
        <f t="array" ref="P928">IF($N928="","",IFERROR(IF(INDEX(geo_grid!$B$2:$JU$231,INT(($N928+40)/0.5)+1,INT(($O928+30)/0.5)+1)="","",INDEX(geo_grid!$B$2:$JU$231,INT(($N928+40)/0.5)+1,INT(($O928+30)/0.5)+1)),"OUTSIDE GRID"))</f>
        <v/>
      </c>
      <c r="Q928">
        <f>IF($P928="","",$A928*1000+$B928)</f>
        <v/>
      </c>
    </row>
    <row r="929">
      <c r="A929">
        <f>INT((ROW()-2)/151)+1</f>
        <v/>
      </c>
      <c r="B929">
        <f>MOD(ROW()-2,151)</f>
        <v/>
      </c>
      <c r="C929">
        <f t="array" ref="C929">IFERROR(INDEX('TRIP MANAGER'!$O$18:$O$25,$A929),"")</f>
        <v/>
      </c>
      <c r="D929">
        <f t="array" ref="D929">IFERROR(INDEX('TRIP MANAGER'!$P$18:$P$25,$A929),"")</f>
        <v/>
      </c>
      <c r="E929">
        <f t="array" ref="E929">IFERROR(INDEX('TRIP MANAGER'!$Q$18:$Q$25,$A929),"")</f>
        <v/>
      </c>
      <c r="F929">
        <f t="array" ref="F929">IFERROR(INDEX('TRIP MANAGER'!$R$18:$R$25,$A929),"")</f>
        <v/>
      </c>
      <c r="G929">
        <f t="array" ref="G929">IFERROR(INDEX('TRIP MANAGER'!$S$18:$S$25,$A929),"")</f>
        <v/>
      </c>
      <c r="H929">
        <f>$B929/150</f>
        <v/>
      </c>
      <c r="I929">
        <f>IF(OR($G929="",$G929=0),"",SIN((1-$H929)*$G929)/SIN($G929))</f>
        <v/>
      </c>
      <c r="J929">
        <f>IF($I929="","",SIN($H929*$G929)/SIN($G929))</f>
        <v/>
      </c>
      <c r="K929">
        <f>IF($I929="","",$I929*COS(RADIANS($C929))*COS(RADIANS($D929))+$J929*COS(RADIANS($E929))*COS(RADIANS($F929)))</f>
        <v/>
      </c>
      <c r="L929">
        <f>IF($I929="","",$I929*COS(RADIANS($C929))*SIN(RADIANS($D929))+$J929*COS(RADIANS($E929))*SIN(RADIANS($F929)))</f>
        <v/>
      </c>
      <c r="M929">
        <f>IF($I929="","",$I929*SIN(RADIANS($C929))+$J929*SIN(RADIANS($E929)))</f>
        <v/>
      </c>
      <c r="N929">
        <f>IF($M929="","",DEGREES(ATAN2(SQRT($K929^2+$L929^2),$M929)))</f>
        <v/>
      </c>
      <c r="O929">
        <f>IF($M929="","",DEGREES(ATAN2($K929,$L929)))</f>
        <v/>
      </c>
      <c r="P929">
        <f t="array" ref="P929">IF($N929="","",IFERROR(IF(INDEX(geo_grid!$B$2:$JU$231,INT(($N929+40)/0.5)+1,INT(($O929+30)/0.5)+1)="","",INDEX(geo_grid!$B$2:$JU$231,INT(($N929+40)/0.5)+1,INT(($O929+30)/0.5)+1)),"OUTSIDE GRID"))</f>
        <v/>
      </c>
      <c r="Q929">
        <f>IF($P929="","",$A929*1000+$B929)</f>
        <v/>
      </c>
    </row>
    <row r="930">
      <c r="A930">
        <f>INT((ROW()-2)/151)+1</f>
        <v/>
      </c>
      <c r="B930">
        <f>MOD(ROW()-2,151)</f>
        <v/>
      </c>
      <c r="C930">
        <f t="array" ref="C930">IFERROR(INDEX('TRIP MANAGER'!$O$18:$O$25,$A930),"")</f>
        <v/>
      </c>
      <c r="D930">
        <f t="array" ref="D930">IFERROR(INDEX('TRIP MANAGER'!$P$18:$P$25,$A930),"")</f>
        <v/>
      </c>
      <c r="E930">
        <f t="array" ref="E930">IFERROR(INDEX('TRIP MANAGER'!$Q$18:$Q$25,$A930),"")</f>
        <v/>
      </c>
      <c r="F930">
        <f t="array" ref="F930">IFERROR(INDEX('TRIP MANAGER'!$R$18:$R$25,$A930),"")</f>
        <v/>
      </c>
      <c r="G930">
        <f t="array" ref="G930">IFERROR(INDEX('TRIP MANAGER'!$S$18:$S$25,$A930),"")</f>
        <v/>
      </c>
      <c r="H930">
        <f>$B930/150</f>
        <v/>
      </c>
      <c r="I930">
        <f>IF(OR($G930="",$G930=0),"",SIN((1-$H930)*$G930)/SIN($G930))</f>
        <v/>
      </c>
      <c r="J930">
        <f>IF($I930="","",SIN($H930*$G930)/SIN($G930))</f>
        <v/>
      </c>
      <c r="K930">
        <f>IF($I930="","",$I930*COS(RADIANS($C930))*COS(RADIANS($D930))+$J930*COS(RADIANS($E930))*COS(RADIANS($F930)))</f>
        <v/>
      </c>
      <c r="L930">
        <f>IF($I930="","",$I930*COS(RADIANS($C930))*SIN(RADIANS($D930))+$J930*COS(RADIANS($E930))*SIN(RADIANS($F930)))</f>
        <v/>
      </c>
      <c r="M930">
        <f>IF($I930="","",$I930*SIN(RADIANS($C930))+$J930*SIN(RADIANS($E930)))</f>
        <v/>
      </c>
      <c r="N930">
        <f>IF($M930="","",DEGREES(ATAN2(SQRT($K930^2+$L930^2),$M930)))</f>
        <v/>
      </c>
      <c r="O930">
        <f>IF($M930="","",DEGREES(ATAN2($K930,$L930)))</f>
        <v/>
      </c>
      <c r="P930">
        <f t="array" ref="P930">IF($N930="","",IFERROR(IF(INDEX(geo_grid!$B$2:$JU$231,INT(($N930+40)/0.5)+1,INT(($O930+30)/0.5)+1)="","",INDEX(geo_grid!$B$2:$JU$231,INT(($N930+40)/0.5)+1,INT(($O930+30)/0.5)+1)),"OUTSIDE GRID"))</f>
        <v/>
      </c>
      <c r="Q930">
        <f>IF($P930="","",$A930*1000+$B930)</f>
        <v/>
      </c>
    </row>
    <row r="931">
      <c r="A931">
        <f>INT((ROW()-2)/151)+1</f>
        <v/>
      </c>
      <c r="B931">
        <f>MOD(ROW()-2,151)</f>
        <v/>
      </c>
      <c r="C931">
        <f t="array" ref="C931">IFERROR(INDEX('TRIP MANAGER'!$O$18:$O$25,$A931),"")</f>
        <v/>
      </c>
      <c r="D931">
        <f t="array" ref="D931">IFERROR(INDEX('TRIP MANAGER'!$P$18:$P$25,$A931),"")</f>
        <v/>
      </c>
      <c r="E931">
        <f t="array" ref="E931">IFERROR(INDEX('TRIP MANAGER'!$Q$18:$Q$25,$A931),"")</f>
        <v/>
      </c>
      <c r="F931">
        <f t="array" ref="F931">IFERROR(INDEX('TRIP MANAGER'!$R$18:$R$25,$A931),"")</f>
        <v/>
      </c>
      <c r="G931">
        <f t="array" ref="G931">IFERROR(INDEX('TRIP MANAGER'!$S$18:$S$25,$A931),"")</f>
        <v/>
      </c>
      <c r="H931">
        <f>$B931/150</f>
        <v/>
      </c>
      <c r="I931">
        <f>IF(OR($G931="",$G931=0),"",SIN((1-$H931)*$G931)/SIN($G931))</f>
        <v/>
      </c>
      <c r="J931">
        <f>IF($I931="","",SIN($H931*$G931)/SIN($G931))</f>
        <v/>
      </c>
      <c r="K931">
        <f>IF($I931="","",$I931*COS(RADIANS($C931))*COS(RADIANS($D931))+$J931*COS(RADIANS($E931))*COS(RADIANS($F931)))</f>
        <v/>
      </c>
      <c r="L931">
        <f>IF($I931="","",$I931*COS(RADIANS($C931))*SIN(RADIANS($D931))+$J931*COS(RADIANS($E931))*SIN(RADIANS($F931)))</f>
        <v/>
      </c>
      <c r="M931">
        <f>IF($I931="","",$I931*SIN(RADIANS($C931))+$J931*SIN(RADIANS($E931)))</f>
        <v/>
      </c>
      <c r="N931">
        <f>IF($M931="","",DEGREES(ATAN2(SQRT($K931^2+$L931^2),$M931)))</f>
        <v/>
      </c>
      <c r="O931">
        <f>IF($M931="","",DEGREES(ATAN2($K931,$L931)))</f>
        <v/>
      </c>
      <c r="P931">
        <f t="array" ref="P931">IF($N931="","",IFERROR(IF(INDEX(geo_grid!$B$2:$JU$231,INT(($N931+40)/0.5)+1,INT(($O931+30)/0.5)+1)="","",INDEX(geo_grid!$B$2:$JU$231,INT(($N931+40)/0.5)+1,INT(($O931+30)/0.5)+1)),"OUTSIDE GRID"))</f>
        <v/>
      </c>
      <c r="Q931">
        <f>IF($P931="","",$A931*1000+$B931)</f>
        <v/>
      </c>
    </row>
    <row r="932">
      <c r="A932">
        <f>INT((ROW()-2)/151)+1</f>
        <v/>
      </c>
      <c r="B932">
        <f>MOD(ROW()-2,151)</f>
        <v/>
      </c>
      <c r="C932">
        <f t="array" ref="C932">IFERROR(INDEX('TRIP MANAGER'!$O$18:$O$25,$A932),"")</f>
        <v/>
      </c>
      <c r="D932">
        <f t="array" ref="D932">IFERROR(INDEX('TRIP MANAGER'!$P$18:$P$25,$A932),"")</f>
        <v/>
      </c>
      <c r="E932">
        <f t="array" ref="E932">IFERROR(INDEX('TRIP MANAGER'!$Q$18:$Q$25,$A932),"")</f>
        <v/>
      </c>
      <c r="F932">
        <f t="array" ref="F932">IFERROR(INDEX('TRIP MANAGER'!$R$18:$R$25,$A932),"")</f>
        <v/>
      </c>
      <c r="G932">
        <f t="array" ref="G932">IFERROR(INDEX('TRIP MANAGER'!$S$18:$S$25,$A932),"")</f>
        <v/>
      </c>
      <c r="H932">
        <f>$B932/150</f>
        <v/>
      </c>
      <c r="I932">
        <f>IF(OR($G932="",$G932=0),"",SIN((1-$H932)*$G932)/SIN($G932))</f>
        <v/>
      </c>
      <c r="J932">
        <f>IF($I932="","",SIN($H932*$G932)/SIN($G932))</f>
        <v/>
      </c>
      <c r="K932">
        <f>IF($I932="","",$I932*COS(RADIANS($C932))*COS(RADIANS($D932))+$J932*COS(RADIANS($E932))*COS(RADIANS($F932)))</f>
        <v/>
      </c>
      <c r="L932">
        <f>IF($I932="","",$I932*COS(RADIANS($C932))*SIN(RADIANS($D932))+$J932*COS(RADIANS($E932))*SIN(RADIANS($F932)))</f>
        <v/>
      </c>
      <c r="M932">
        <f>IF($I932="","",$I932*SIN(RADIANS($C932))+$J932*SIN(RADIANS($E932)))</f>
        <v/>
      </c>
      <c r="N932">
        <f>IF($M932="","",DEGREES(ATAN2(SQRT($K932^2+$L932^2),$M932)))</f>
        <v/>
      </c>
      <c r="O932">
        <f>IF($M932="","",DEGREES(ATAN2($K932,$L932)))</f>
        <v/>
      </c>
      <c r="P932">
        <f t="array" ref="P932">IF($N932="","",IFERROR(IF(INDEX(geo_grid!$B$2:$JU$231,INT(($N932+40)/0.5)+1,INT(($O932+30)/0.5)+1)="","",INDEX(geo_grid!$B$2:$JU$231,INT(($N932+40)/0.5)+1,INT(($O932+30)/0.5)+1)),"OUTSIDE GRID"))</f>
        <v/>
      </c>
      <c r="Q932">
        <f>IF($P932="","",$A932*1000+$B932)</f>
        <v/>
      </c>
    </row>
    <row r="933">
      <c r="A933">
        <f>INT((ROW()-2)/151)+1</f>
        <v/>
      </c>
      <c r="B933">
        <f>MOD(ROW()-2,151)</f>
        <v/>
      </c>
      <c r="C933">
        <f t="array" ref="C933">IFERROR(INDEX('TRIP MANAGER'!$O$18:$O$25,$A933),"")</f>
        <v/>
      </c>
      <c r="D933">
        <f t="array" ref="D933">IFERROR(INDEX('TRIP MANAGER'!$P$18:$P$25,$A933),"")</f>
        <v/>
      </c>
      <c r="E933">
        <f t="array" ref="E933">IFERROR(INDEX('TRIP MANAGER'!$Q$18:$Q$25,$A933),"")</f>
        <v/>
      </c>
      <c r="F933">
        <f t="array" ref="F933">IFERROR(INDEX('TRIP MANAGER'!$R$18:$R$25,$A933),"")</f>
        <v/>
      </c>
      <c r="G933">
        <f t="array" ref="G933">IFERROR(INDEX('TRIP MANAGER'!$S$18:$S$25,$A933),"")</f>
        <v/>
      </c>
      <c r="H933">
        <f>$B933/150</f>
        <v/>
      </c>
      <c r="I933">
        <f>IF(OR($G933="",$G933=0),"",SIN((1-$H933)*$G933)/SIN($G933))</f>
        <v/>
      </c>
      <c r="J933">
        <f>IF($I933="","",SIN($H933*$G933)/SIN($G933))</f>
        <v/>
      </c>
      <c r="K933">
        <f>IF($I933="","",$I933*COS(RADIANS($C933))*COS(RADIANS($D933))+$J933*COS(RADIANS($E933))*COS(RADIANS($F933)))</f>
        <v/>
      </c>
      <c r="L933">
        <f>IF($I933="","",$I933*COS(RADIANS($C933))*SIN(RADIANS($D933))+$J933*COS(RADIANS($E933))*SIN(RADIANS($F933)))</f>
        <v/>
      </c>
      <c r="M933">
        <f>IF($I933="","",$I933*SIN(RADIANS($C933))+$J933*SIN(RADIANS($E933)))</f>
        <v/>
      </c>
      <c r="N933">
        <f>IF($M933="","",DEGREES(ATAN2(SQRT($K933^2+$L933^2),$M933)))</f>
        <v/>
      </c>
      <c r="O933">
        <f>IF($M933="","",DEGREES(ATAN2($K933,$L933)))</f>
        <v/>
      </c>
      <c r="P933">
        <f t="array" ref="P933">IF($N933="","",IFERROR(IF(INDEX(geo_grid!$B$2:$JU$231,INT(($N933+40)/0.5)+1,INT(($O933+30)/0.5)+1)="","",INDEX(geo_grid!$B$2:$JU$231,INT(($N933+40)/0.5)+1,INT(($O933+30)/0.5)+1)),"OUTSIDE GRID"))</f>
        <v/>
      </c>
      <c r="Q933">
        <f>IF($P933="","",$A933*1000+$B933)</f>
        <v/>
      </c>
    </row>
    <row r="934">
      <c r="A934">
        <f>INT((ROW()-2)/151)+1</f>
        <v/>
      </c>
      <c r="B934">
        <f>MOD(ROW()-2,151)</f>
        <v/>
      </c>
      <c r="C934">
        <f t="array" ref="C934">IFERROR(INDEX('TRIP MANAGER'!$O$18:$O$25,$A934),"")</f>
        <v/>
      </c>
      <c r="D934">
        <f t="array" ref="D934">IFERROR(INDEX('TRIP MANAGER'!$P$18:$P$25,$A934),"")</f>
        <v/>
      </c>
      <c r="E934">
        <f t="array" ref="E934">IFERROR(INDEX('TRIP MANAGER'!$Q$18:$Q$25,$A934),"")</f>
        <v/>
      </c>
      <c r="F934">
        <f t="array" ref="F934">IFERROR(INDEX('TRIP MANAGER'!$R$18:$R$25,$A934),"")</f>
        <v/>
      </c>
      <c r="G934">
        <f t="array" ref="G934">IFERROR(INDEX('TRIP MANAGER'!$S$18:$S$25,$A934),"")</f>
        <v/>
      </c>
      <c r="H934">
        <f>$B934/150</f>
        <v/>
      </c>
      <c r="I934">
        <f>IF(OR($G934="",$G934=0),"",SIN((1-$H934)*$G934)/SIN($G934))</f>
        <v/>
      </c>
      <c r="J934">
        <f>IF($I934="","",SIN($H934*$G934)/SIN($G934))</f>
        <v/>
      </c>
      <c r="K934">
        <f>IF($I934="","",$I934*COS(RADIANS($C934))*COS(RADIANS($D934))+$J934*COS(RADIANS($E934))*COS(RADIANS($F934)))</f>
        <v/>
      </c>
      <c r="L934">
        <f>IF($I934="","",$I934*COS(RADIANS($C934))*SIN(RADIANS($D934))+$J934*COS(RADIANS($E934))*SIN(RADIANS($F934)))</f>
        <v/>
      </c>
      <c r="M934">
        <f>IF($I934="","",$I934*SIN(RADIANS($C934))+$J934*SIN(RADIANS($E934)))</f>
        <v/>
      </c>
      <c r="N934">
        <f>IF($M934="","",DEGREES(ATAN2(SQRT($K934^2+$L934^2),$M934)))</f>
        <v/>
      </c>
      <c r="O934">
        <f>IF($M934="","",DEGREES(ATAN2($K934,$L934)))</f>
        <v/>
      </c>
      <c r="P934">
        <f t="array" ref="P934">IF($N934="","",IFERROR(IF(INDEX(geo_grid!$B$2:$JU$231,INT(($N934+40)/0.5)+1,INT(($O934+30)/0.5)+1)="","",INDEX(geo_grid!$B$2:$JU$231,INT(($N934+40)/0.5)+1,INT(($O934+30)/0.5)+1)),"OUTSIDE GRID"))</f>
        <v/>
      </c>
      <c r="Q934">
        <f>IF($P934="","",$A934*1000+$B934)</f>
        <v/>
      </c>
    </row>
    <row r="935">
      <c r="A935">
        <f>INT((ROW()-2)/151)+1</f>
        <v/>
      </c>
      <c r="B935">
        <f>MOD(ROW()-2,151)</f>
        <v/>
      </c>
      <c r="C935">
        <f t="array" ref="C935">IFERROR(INDEX('TRIP MANAGER'!$O$18:$O$25,$A935),"")</f>
        <v/>
      </c>
      <c r="D935">
        <f t="array" ref="D935">IFERROR(INDEX('TRIP MANAGER'!$P$18:$P$25,$A935),"")</f>
        <v/>
      </c>
      <c r="E935">
        <f t="array" ref="E935">IFERROR(INDEX('TRIP MANAGER'!$Q$18:$Q$25,$A935),"")</f>
        <v/>
      </c>
      <c r="F935">
        <f t="array" ref="F935">IFERROR(INDEX('TRIP MANAGER'!$R$18:$R$25,$A935),"")</f>
        <v/>
      </c>
      <c r="G935">
        <f t="array" ref="G935">IFERROR(INDEX('TRIP MANAGER'!$S$18:$S$25,$A935),"")</f>
        <v/>
      </c>
      <c r="H935">
        <f>$B935/150</f>
        <v/>
      </c>
      <c r="I935">
        <f>IF(OR($G935="",$G935=0),"",SIN((1-$H935)*$G935)/SIN($G935))</f>
        <v/>
      </c>
      <c r="J935">
        <f>IF($I935="","",SIN($H935*$G935)/SIN($G935))</f>
        <v/>
      </c>
      <c r="K935">
        <f>IF($I935="","",$I935*COS(RADIANS($C935))*COS(RADIANS($D935))+$J935*COS(RADIANS($E935))*COS(RADIANS($F935)))</f>
        <v/>
      </c>
      <c r="L935">
        <f>IF($I935="","",$I935*COS(RADIANS($C935))*SIN(RADIANS($D935))+$J935*COS(RADIANS($E935))*SIN(RADIANS($F935)))</f>
        <v/>
      </c>
      <c r="M935">
        <f>IF($I935="","",$I935*SIN(RADIANS($C935))+$J935*SIN(RADIANS($E935)))</f>
        <v/>
      </c>
      <c r="N935">
        <f>IF($M935="","",DEGREES(ATAN2(SQRT($K935^2+$L935^2),$M935)))</f>
        <v/>
      </c>
      <c r="O935">
        <f>IF($M935="","",DEGREES(ATAN2($K935,$L935)))</f>
        <v/>
      </c>
      <c r="P935">
        <f t="array" ref="P935">IF($N935="","",IFERROR(IF(INDEX(geo_grid!$B$2:$JU$231,INT(($N935+40)/0.5)+1,INT(($O935+30)/0.5)+1)="","",INDEX(geo_grid!$B$2:$JU$231,INT(($N935+40)/0.5)+1,INT(($O935+30)/0.5)+1)),"OUTSIDE GRID"))</f>
        <v/>
      </c>
      <c r="Q935">
        <f>IF($P935="","",$A935*1000+$B935)</f>
        <v/>
      </c>
    </row>
    <row r="936">
      <c r="A936">
        <f>INT((ROW()-2)/151)+1</f>
        <v/>
      </c>
      <c r="B936">
        <f>MOD(ROW()-2,151)</f>
        <v/>
      </c>
      <c r="C936">
        <f t="array" ref="C936">IFERROR(INDEX('TRIP MANAGER'!$O$18:$O$25,$A936),"")</f>
        <v/>
      </c>
      <c r="D936">
        <f t="array" ref="D936">IFERROR(INDEX('TRIP MANAGER'!$P$18:$P$25,$A936),"")</f>
        <v/>
      </c>
      <c r="E936">
        <f t="array" ref="E936">IFERROR(INDEX('TRIP MANAGER'!$Q$18:$Q$25,$A936),"")</f>
        <v/>
      </c>
      <c r="F936">
        <f t="array" ref="F936">IFERROR(INDEX('TRIP MANAGER'!$R$18:$R$25,$A936),"")</f>
        <v/>
      </c>
      <c r="G936">
        <f t="array" ref="G936">IFERROR(INDEX('TRIP MANAGER'!$S$18:$S$25,$A936),"")</f>
        <v/>
      </c>
      <c r="H936">
        <f>$B936/150</f>
        <v/>
      </c>
      <c r="I936">
        <f>IF(OR($G936="",$G936=0),"",SIN((1-$H936)*$G936)/SIN($G936))</f>
        <v/>
      </c>
      <c r="J936">
        <f>IF($I936="","",SIN($H936*$G936)/SIN($G936))</f>
        <v/>
      </c>
      <c r="K936">
        <f>IF($I936="","",$I936*COS(RADIANS($C936))*COS(RADIANS($D936))+$J936*COS(RADIANS($E936))*COS(RADIANS($F936)))</f>
        <v/>
      </c>
      <c r="L936">
        <f>IF($I936="","",$I936*COS(RADIANS($C936))*SIN(RADIANS($D936))+$J936*COS(RADIANS($E936))*SIN(RADIANS($F936)))</f>
        <v/>
      </c>
      <c r="M936">
        <f>IF($I936="","",$I936*SIN(RADIANS($C936))+$J936*SIN(RADIANS($E936)))</f>
        <v/>
      </c>
      <c r="N936">
        <f>IF($M936="","",DEGREES(ATAN2(SQRT($K936^2+$L936^2),$M936)))</f>
        <v/>
      </c>
      <c r="O936">
        <f>IF($M936="","",DEGREES(ATAN2($K936,$L936)))</f>
        <v/>
      </c>
      <c r="P936">
        <f t="array" ref="P936">IF($N936="","",IFERROR(IF(INDEX(geo_grid!$B$2:$JU$231,INT(($N936+40)/0.5)+1,INT(($O936+30)/0.5)+1)="","",INDEX(geo_grid!$B$2:$JU$231,INT(($N936+40)/0.5)+1,INT(($O936+30)/0.5)+1)),"OUTSIDE GRID"))</f>
        <v/>
      </c>
      <c r="Q936">
        <f>IF($P936="","",$A936*1000+$B936)</f>
        <v/>
      </c>
    </row>
    <row r="937">
      <c r="A937">
        <f>INT((ROW()-2)/151)+1</f>
        <v/>
      </c>
      <c r="B937">
        <f>MOD(ROW()-2,151)</f>
        <v/>
      </c>
      <c r="C937">
        <f t="array" ref="C937">IFERROR(INDEX('TRIP MANAGER'!$O$18:$O$25,$A937),"")</f>
        <v/>
      </c>
      <c r="D937">
        <f t="array" ref="D937">IFERROR(INDEX('TRIP MANAGER'!$P$18:$P$25,$A937),"")</f>
        <v/>
      </c>
      <c r="E937">
        <f t="array" ref="E937">IFERROR(INDEX('TRIP MANAGER'!$Q$18:$Q$25,$A937),"")</f>
        <v/>
      </c>
      <c r="F937">
        <f t="array" ref="F937">IFERROR(INDEX('TRIP MANAGER'!$R$18:$R$25,$A937),"")</f>
        <v/>
      </c>
      <c r="G937">
        <f t="array" ref="G937">IFERROR(INDEX('TRIP MANAGER'!$S$18:$S$25,$A937),"")</f>
        <v/>
      </c>
      <c r="H937">
        <f>$B937/150</f>
        <v/>
      </c>
      <c r="I937">
        <f>IF(OR($G937="",$G937=0),"",SIN((1-$H937)*$G937)/SIN($G937))</f>
        <v/>
      </c>
      <c r="J937">
        <f>IF($I937="","",SIN($H937*$G937)/SIN($G937))</f>
        <v/>
      </c>
      <c r="K937">
        <f>IF($I937="","",$I937*COS(RADIANS($C937))*COS(RADIANS($D937))+$J937*COS(RADIANS($E937))*COS(RADIANS($F937)))</f>
        <v/>
      </c>
      <c r="L937">
        <f>IF($I937="","",$I937*COS(RADIANS($C937))*SIN(RADIANS($D937))+$J937*COS(RADIANS($E937))*SIN(RADIANS($F937)))</f>
        <v/>
      </c>
      <c r="M937">
        <f>IF($I937="","",$I937*SIN(RADIANS($C937))+$J937*SIN(RADIANS($E937)))</f>
        <v/>
      </c>
      <c r="N937">
        <f>IF($M937="","",DEGREES(ATAN2(SQRT($K937^2+$L937^2),$M937)))</f>
        <v/>
      </c>
      <c r="O937">
        <f>IF($M937="","",DEGREES(ATAN2($K937,$L937)))</f>
        <v/>
      </c>
      <c r="P937">
        <f t="array" ref="P937">IF($N937="","",IFERROR(IF(INDEX(geo_grid!$B$2:$JU$231,INT(($N937+40)/0.5)+1,INT(($O937+30)/0.5)+1)="","",INDEX(geo_grid!$B$2:$JU$231,INT(($N937+40)/0.5)+1,INT(($O937+30)/0.5)+1)),"OUTSIDE GRID"))</f>
        <v/>
      </c>
      <c r="Q937">
        <f>IF($P937="","",$A937*1000+$B937)</f>
        <v/>
      </c>
    </row>
    <row r="938">
      <c r="A938">
        <f>INT((ROW()-2)/151)+1</f>
        <v/>
      </c>
      <c r="B938">
        <f>MOD(ROW()-2,151)</f>
        <v/>
      </c>
      <c r="C938">
        <f t="array" ref="C938">IFERROR(INDEX('TRIP MANAGER'!$O$18:$O$25,$A938),"")</f>
        <v/>
      </c>
      <c r="D938">
        <f t="array" ref="D938">IFERROR(INDEX('TRIP MANAGER'!$P$18:$P$25,$A938),"")</f>
        <v/>
      </c>
      <c r="E938">
        <f t="array" ref="E938">IFERROR(INDEX('TRIP MANAGER'!$Q$18:$Q$25,$A938),"")</f>
        <v/>
      </c>
      <c r="F938">
        <f t="array" ref="F938">IFERROR(INDEX('TRIP MANAGER'!$R$18:$R$25,$A938),"")</f>
        <v/>
      </c>
      <c r="G938">
        <f t="array" ref="G938">IFERROR(INDEX('TRIP MANAGER'!$S$18:$S$25,$A938),"")</f>
        <v/>
      </c>
      <c r="H938">
        <f>$B938/150</f>
        <v/>
      </c>
      <c r="I938">
        <f>IF(OR($G938="",$G938=0),"",SIN((1-$H938)*$G938)/SIN($G938))</f>
        <v/>
      </c>
      <c r="J938">
        <f>IF($I938="","",SIN($H938*$G938)/SIN($G938))</f>
        <v/>
      </c>
      <c r="K938">
        <f>IF($I938="","",$I938*COS(RADIANS($C938))*COS(RADIANS($D938))+$J938*COS(RADIANS($E938))*COS(RADIANS($F938)))</f>
        <v/>
      </c>
      <c r="L938">
        <f>IF($I938="","",$I938*COS(RADIANS($C938))*SIN(RADIANS($D938))+$J938*COS(RADIANS($E938))*SIN(RADIANS($F938)))</f>
        <v/>
      </c>
      <c r="M938">
        <f>IF($I938="","",$I938*SIN(RADIANS($C938))+$J938*SIN(RADIANS($E938)))</f>
        <v/>
      </c>
      <c r="N938">
        <f>IF($M938="","",DEGREES(ATAN2(SQRT($K938^2+$L938^2),$M938)))</f>
        <v/>
      </c>
      <c r="O938">
        <f>IF($M938="","",DEGREES(ATAN2($K938,$L938)))</f>
        <v/>
      </c>
      <c r="P938">
        <f t="array" ref="P938">IF($N938="","",IFERROR(IF(INDEX(geo_grid!$B$2:$JU$231,INT(($N938+40)/0.5)+1,INT(($O938+30)/0.5)+1)="","",INDEX(geo_grid!$B$2:$JU$231,INT(($N938+40)/0.5)+1,INT(($O938+30)/0.5)+1)),"OUTSIDE GRID"))</f>
        <v/>
      </c>
      <c r="Q938">
        <f>IF($P938="","",$A938*1000+$B938)</f>
        <v/>
      </c>
    </row>
    <row r="939">
      <c r="A939">
        <f>INT((ROW()-2)/151)+1</f>
        <v/>
      </c>
      <c r="B939">
        <f>MOD(ROW()-2,151)</f>
        <v/>
      </c>
      <c r="C939">
        <f t="array" ref="C939">IFERROR(INDEX('TRIP MANAGER'!$O$18:$O$25,$A939),"")</f>
        <v/>
      </c>
      <c r="D939">
        <f t="array" ref="D939">IFERROR(INDEX('TRIP MANAGER'!$P$18:$P$25,$A939),"")</f>
        <v/>
      </c>
      <c r="E939">
        <f t="array" ref="E939">IFERROR(INDEX('TRIP MANAGER'!$Q$18:$Q$25,$A939),"")</f>
        <v/>
      </c>
      <c r="F939">
        <f t="array" ref="F939">IFERROR(INDEX('TRIP MANAGER'!$R$18:$R$25,$A939),"")</f>
        <v/>
      </c>
      <c r="G939">
        <f t="array" ref="G939">IFERROR(INDEX('TRIP MANAGER'!$S$18:$S$25,$A939),"")</f>
        <v/>
      </c>
      <c r="H939">
        <f>$B939/150</f>
        <v/>
      </c>
      <c r="I939">
        <f>IF(OR($G939="",$G939=0),"",SIN((1-$H939)*$G939)/SIN($G939))</f>
        <v/>
      </c>
      <c r="J939">
        <f>IF($I939="","",SIN($H939*$G939)/SIN($G939))</f>
        <v/>
      </c>
      <c r="K939">
        <f>IF($I939="","",$I939*COS(RADIANS($C939))*COS(RADIANS($D939))+$J939*COS(RADIANS($E939))*COS(RADIANS($F939)))</f>
        <v/>
      </c>
      <c r="L939">
        <f>IF($I939="","",$I939*COS(RADIANS($C939))*SIN(RADIANS($D939))+$J939*COS(RADIANS($E939))*SIN(RADIANS($F939)))</f>
        <v/>
      </c>
      <c r="M939">
        <f>IF($I939="","",$I939*SIN(RADIANS($C939))+$J939*SIN(RADIANS($E939)))</f>
        <v/>
      </c>
      <c r="N939">
        <f>IF($M939="","",DEGREES(ATAN2(SQRT($K939^2+$L939^2),$M939)))</f>
        <v/>
      </c>
      <c r="O939">
        <f>IF($M939="","",DEGREES(ATAN2($K939,$L939)))</f>
        <v/>
      </c>
      <c r="P939">
        <f t="array" ref="P939">IF($N939="","",IFERROR(IF(INDEX(geo_grid!$B$2:$JU$231,INT(($N939+40)/0.5)+1,INT(($O939+30)/0.5)+1)="","",INDEX(geo_grid!$B$2:$JU$231,INT(($N939+40)/0.5)+1,INT(($O939+30)/0.5)+1)),"OUTSIDE GRID"))</f>
        <v/>
      </c>
      <c r="Q939">
        <f>IF($P939="","",$A939*1000+$B939)</f>
        <v/>
      </c>
    </row>
    <row r="940">
      <c r="A940">
        <f>INT((ROW()-2)/151)+1</f>
        <v/>
      </c>
      <c r="B940">
        <f>MOD(ROW()-2,151)</f>
        <v/>
      </c>
      <c r="C940">
        <f t="array" ref="C940">IFERROR(INDEX('TRIP MANAGER'!$O$18:$O$25,$A940),"")</f>
        <v/>
      </c>
      <c r="D940">
        <f t="array" ref="D940">IFERROR(INDEX('TRIP MANAGER'!$P$18:$P$25,$A940),"")</f>
        <v/>
      </c>
      <c r="E940">
        <f t="array" ref="E940">IFERROR(INDEX('TRIP MANAGER'!$Q$18:$Q$25,$A940),"")</f>
        <v/>
      </c>
      <c r="F940">
        <f t="array" ref="F940">IFERROR(INDEX('TRIP MANAGER'!$R$18:$R$25,$A940),"")</f>
        <v/>
      </c>
      <c r="G940">
        <f t="array" ref="G940">IFERROR(INDEX('TRIP MANAGER'!$S$18:$S$25,$A940),"")</f>
        <v/>
      </c>
      <c r="H940">
        <f>$B940/150</f>
        <v/>
      </c>
      <c r="I940">
        <f>IF(OR($G940="",$G940=0),"",SIN((1-$H940)*$G940)/SIN($G940))</f>
        <v/>
      </c>
      <c r="J940">
        <f>IF($I940="","",SIN($H940*$G940)/SIN($G940))</f>
        <v/>
      </c>
      <c r="K940">
        <f>IF($I940="","",$I940*COS(RADIANS($C940))*COS(RADIANS($D940))+$J940*COS(RADIANS($E940))*COS(RADIANS($F940)))</f>
        <v/>
      </c>
      <c r="L940">
        <f>IF($I940="","",$I940*COS(RADIANS($C940))*SIN(RADIANS($D940))+$J940*COS(RADIANS($E940))*SIN(RADIANS($F940)))</f>
        <v/>
      </c>
      <c r="M940">
        <f>IF($I940="","",$I940*SIN(RADIANS($C940))+$J940*SIN(RADIANS($E940)))</f>
        <v/>
      </c>
      <c r="N940">
        <f>IF($M940="","",DEGREES(ATAN2(SQRT($K940^2+$L940^2),$M940)))</f>
        <v/>
      </c>
      <c r="O940">
        <f>IF($M940="","",DEGREES(ATAN2($K940,$L940)))</f>
        <v/>
      </c>
      <c r="P940">
        <f t="array" ref="P940">IF($N940="","",IFERROR(IF(INDEX(geo_grid!$B$2:$JU$231,INT(($N940+40)/0.5)+1,INT(($O940+30)/0.5)+1)="","",INDEX(geo_grid!$B$2:$JU$231,INT(($N940+40)/0.5)+1,INT(($O940+30)/0.5)+1)),"OUTSIDE GRID"))</f>
        <v/>
      </c>
      <c r="Q940">
        <f>IF($P940="","",$A940*1000+$B940)</f>
        <v/>
      </c>
    </row>
    <row r="941">
      <c r="A941">
        <f>INT((ROW()-2)/151)+1</f>
        <v/>
      </c>
      <c r="B941">
        <f>MOD(ROW()-2,151)</f>
        <v/>
      </c>
      <c r="C941">
        <f t="array" ref="C941">IFERROR(INDEX('TRIP MANAGER'!$O$18:$O$25,$A941),"")</f>
        <v/>
      </c>
      <c r="D941">
        <f t="array" ref="D941">IFERROR(INDEX('TRIP MANAGER'!$P$18:$P$25,$A941),"")</f>
        <v/>
      </c>
      <c r="E941">
        <f t="array" ref="E941">IFERROR(INDEX('TRIP MANAGER'!$Q$18:$Q$25,$A941),"")</f>
        <v/>
      </c>
      <c r="F941">
        <f t="array" ref="F941">IFERROR(INDEX('TRIP MANAGER'!$R$18:$R$25,$A941),"")</f>
        <v/>
      </c>
      <c r="G941">
        <f t="array" ref="G941">IFERROR(INDEX('TRIP MANAGER'!$S$18:$S$25,$A941),"")</f>
        <v/>
      </c>
      <c r="H941">
        <f>$B941/150</f>
        <v/>
      </c>
      <c r="I941">
        <f>IF(OR($G941="",$G941=0),"",SIN((1-$H941)*$G941)/SIN($G941))</f>
        <v/>
      </c>
      <c r="J941">
        <f>IF($I941="","",SIN($H941*$G941)/SIN($G941))</f>
        <v/>
      </c>
      <c r="K941">
        <f>IF($I941="","",$I941*COS(RADIANS($C941))*COS(RADIANS($D941))+$J941*COS(RADIANS($E941))*COS(RADIANS($F941)))</f>
        <v/>
      </c>
      <c r="L941">
        <f>IF($I941="","",$I941*COS(RADIANS($C941))*SIN(RADIANS($D941))+$J941*COS(RADIANS($E941))*SIN(RADIANS($F941)))</f>
        <v/>
      </c>
      <c r="M941">
        <f>IF($I941="","",$I941*SIN(RADIANS($C941))+$J941*SIN(RADIANS($E941)))</f>
        <v/>
      </c>
      <c r="N941">
        <f>IF($M941="","",DEGREES(ATAN2(SQRT($K941^2+$L941^2),$M941)))</f>
        <v/>
      </c>
      <c r="O941">
        <f>IF($M941="","",DEGREES(ATAN2($K941,$L941)))</f>
        <v/>
      </c>
      <c r="P941">
        <f t="array" ref="P941">IF($N941="","",IFERROR(IF(INDEX(geo_grid!$B$2:$JU$231,INT(($N941+40)/0.5)+1,INT(($O941+30)/0.5)+1)="","",INDEX(geo_grid!$B$2:$JU$231,INT(($N941+40)/0.5)+1,INT(($O941+30)/0.5)+1)),"OUTSIDE GRID"))</f>
        <v/>
      </c>
      <c r="Q941">
        <f>IF($P941="","",$A941*1000+$B941)</f>
        <v/>
      </c>
    </row>
    <row r="942">
      <c r="A942">
        <f>INT((ROW()-2)/151)+1</f>
        <v/>
      </c>
      <c r="B942">
        <f>MOD(ROW()-2,151)</f>
        <v/>
      </c>
      <c r="C942">
        <f t="array" ref="C942">IFERROR(INDEX('TRIP MANAGER'!$O$18:$O$25,$A942),"")</f>
        <v/>
      </c>
      <c r="D942">
        <f t="array" ref="D942">IFERROR(INDEX('TRIP MANAGER'!$P$18:$P$25,$A942),"")</f>
        <v/>
      </c>
      <c r="E942">
        <f t="array" ref="E942">IFERROR(INDEX('TRIP MANAGER'!$Q$18:$Q$25,$A942),"")</f>
        <v/>
      </c>
      <c r="F942">
        <f t="array" ref="F942">IFERROR(INDEX('TRIP MANAGER'!$R$18:$R$25,$A942),"")</f>
        <v/>
      </c>
      <c r="G942">
        <f t="array" ref="G942">IFERROR(INDEX('TRIP MANAGER'!$S$18:$S$25,$A942),"")</f>
        <v/>
      </c>
      <c r="H942">
        <f>$B942/150</f>
        <v/>
      </c>
      <c r="I942">
        <f>IF(OR($G942="",$G942=0),"",SIN((1-$H942)*$G942)/SIN($G942))</f>
        <v/>
      </c>
      <c r="J942">
        <f>IF($I942="","",SIN($H942*$G942)/SIN($G942))</f>
        <v/>
      </c>
      <c r="K942">
        <f>IF($I942="","",$I942*COS(RADIANS($C942))*COS(RADIANS($D942))+$J942*COS(RADIANS($E942))*COS(RADIANS($F942)))</f>
        <v/>
      </c>
      <c r="L942">
        <f>IF($I942="","",$I942*COS(RADIANS($C942))*SIN(RADIANS($D942))+$J942*COS(RADIANS($E942))*SIN(RADIANS($F942)))</f>
        <v/>
      </c>
      <c r="M942">
        <f>IF($I942="","",$I942*SIN(RADIANS($C942))+$J942*SIN(RADIANS($E942)))</f>
        <v/>
      </c>
      <c r="N942">
        <f>IF($M942="","",DEGREES(ATAN2(SQRT($K942^2+$L942^2),$M942)))</f>
        <v/>
      </c>
      <c r="O942">
        <f>IF($M942="","",DEGREES(ATAN2($K942,$L942)))</f>
        <v/>
      </c>
      <c r="P942">
        <f t="array" ref="P942">IF($N942="","",IFERROR(IF(INDEX(geo_grid!$B$2:$JU$231,INT(($N942+40)/0.5)+1,INT(($O942+30)/0.5)+1)="","",INDEX(geo_grid!$B$2:$JU$231,INT(($N942+40)/0.5)+1,INT(($O942+30)/0.5)+1)),"OUTSIDE GRID"))</f>
        <v/>
      </c>
      <c r="Q942">
        <f>IF($P942="","",$A942*1000+$B942)</f>
        <v/>
      </c>
    </row>
    <row r="943">
      <c r="A943">
        <f>INT((ROW()-2)/151)+1</f>
        <v/>
      </c>
      <c r="B943">
        <f>MOD(ROW()-2,151)</f>
        <v/>
      </c>
      <c r="C943">
        <f t="array" ref="C943">IFERROR(INDEX('TRIP MANAGER'!$O$18:$O$25,$A943),"")</f>
        <v/>
      </c>
      <c r="D943">
        <f t="array" ref="D943">IFERROR(INDEX('TRIP MANAGER'!$P$18:$P$25,$A943),"")</f>
        <v/>
      </c>
      <c r="E943">
        <f t="array" ref="E943">IFERROR(INDEX('TRIP MANAGER'!$Q$18:$Q$25,$A943),"")</f>
        <v/>
      </c>
      <c r="F943">
        <f t="array" ref="F943">IFERROR(INDEX('TRIP MANAGER'!$R$18:$R$25,$A943),"")</f>
        <v/>
      </c>
      <c r="G943">
        <f t="array" ref="G943">IFERROR(INDEX('TRIP MANAGER'!$S$18:$S$25,$A943),"")</f>
        <v/>
      </c>
      <c r="H943">
        <f>$B943/150</f>
        <v/>
      </c>
      <c r="I943">
        <f>IF(OR($G943="",$G943=0),"",SIN((1-$H943)*$G943)/SIN($G943))</f>
        <v/>
      </c>
      <c r="J943">
        <f>IF($I943="","",SIN($H943*$G943)/SIN($G943))</f>
        <v/>
      </c>
      <c r="K943">
        <f>IF($I943="","",$I943*COS(RADIANS($C943))*COS(RADIANS($D943))+$J943*COS(RADIANS($E943))*COS(RADIANS($F943)))</f>
        <v/>
      </c>
      <c r="L943">
        <f>IF($I943="","",$I943*COS(RADIANS($C943))*SIN(RADIANS($D943))+$J943*COS(RADIANS($E943))*SIN(RADIANS($F943)))</f>
        <v/>
      </c>
      <c r="M943">
        <f>IF($I943="","",$I943*SIN(RADIANS($C943))+$J943*SIN(RADIANS($E943)))</f>
        <v/>
      </c>
      <c r="N943">
        <f>IF($M943="","",DEGREES(ATAN2(SQRT($K943^2+$L943^2),$M943)))</f>
        <v/>
      </c>
      <c r="O943">
        <f>IF($M943="","",DEGREES(ATAN2($K943,$L943)))</f>
        <v/>
      </c>
      <c r="P943">
        <f t="array" ref="P943">IF($N943="","",IFERROR(IF(INDEX(geo_grid!$B$2:$JU$231,INT(($N943+40)/0.5)+1,INT(($O943+30)/0.5)+1)="","",INDEX(geo_grid!$B$2:$JU$231,INT(($N943+40)/0.5)+1,INT(($O943+30)/0.5)+1)),"OUTSIDE GRID"))</f>
        <v/>
      </c>
      <c r="Q943">
        <f>IF($P943="","",$A943*1000+$B943)</f>
        <v/>
      </c>
    </row>
    <row r="944">
      <c r="A944">
        <f>INT((ROW()-2)/151)+1</f>
        <v/>
      </c>
      <c r="B944">
        <f>MOD(ROW()-2,151)</f>
        <v/>
      </c>
      <c r="C944">
        <f t="array" ref="C944">IFERROR(INDEX('TRIP MANAGER'!$O$18:$O$25,$A944),"")</f>
        <v/>
      </c>
      <c r="D944">
        <f t="array" ref="D944">IFERROR(INDEX('TRIP MANAGER'!$P$18:$P$25,$A944),"")</f>
        <v/>
      </c>
      <c r="E944">
        <f t="array" ref="E944">IFERROR(INDEX('TRIP MANAGER'!$Q$18:$Q$25,$A944),"")</f>
        <v/>
      </c>
      <c r="F944">
        <f t="array" ref="F944">IFERROR(INDEX('TRIP MANAGER'!$R$18:$R$25,$A944),"")</f>
        <v/>
      </c>
      <c r="G944">
        <f t="array" ref="G944">IFERROR(INDEX('TRIP MANAGER'!$S$18:$S$25,$A944),"")</f>
        <v/>
      </c>
      <c r="H944">
        <f>$B944/150</f>
        <v/>
      </c>
      <c r="I944">
        <f>IF(OR($G944="",$G944=0),"",SIN((1-$H944)*$G944)/SIN($G944))</f>
        <v/>
      </c>
      <c r="J944">
        <f>IF($I944="","",SIN($H944*$G944)/SIN($G944))</f>
        <v/>
      </c>
      <c r="K944">
        <f>IF($I944="","",$I944*COS(RADIANS($C944))*COS(RADIANS($D944))+$J944*COS(RADIANS($E944))*COS(RADIANS($F944)))</f>
        <v/>
      </c>
      <c r="L944">
        <f>IF($I944="","",$I944*COS(RADIANS($C944))*SIN(RADIANS($D944))+$J944*COS(RADIANS($E944))*SIN(RADIANS($F944)))</f>
        <v/>
      </c>
      <c r="M944">
        <f>IF($I944="","",$I944*SIN(RADIANS($C944))+$J944*SIN(RADIANS($E944)))</f>
        <v/>
      </c>
      <c r="N944">
        <f>IF($M944="","",DEGREES(ATAN2(SQRT($K944^2+$L944^2),$M944)))</f>
        <v/>
      </c>
      <c r="O944">
        <f>IF($M944="","",DEGREES(ATAN2($K944,$L944)))</f>
        <v/>
      </c>
      <c r="P944">
        <f t="array" ref="P944">IF($N944="","",IFERROR(IF(INDEX(geo_grid!$B$2:$JU$231,INT(($N944+40)/0.5)+1,INT(($O944+30)/0.5)+1)="","",INDEX(geo_grid!$B$2:$JU$231,INT(($N944+40)/0.5)+1,INT(($O944+30)/0.5)+1)),"OUTSIDE GRID"))</f>
        <v/>
      </c>
      <c r="Q944">
        <f>IF($P944="","",$A944*1000+$B944)</f>
        <v/>
      </c>
    </row>
    <row r="945">
      <c r="A945">
        <f>INT((ROW()-2)/151)+1</f>
        <v/>
      </c>
      <c r="B945">
        <f>MOD(ROW()-2,151)</f>
        <v/>
      </c>
      <c r="C945">
        <f t="array" ref="C945">IFERROR(INDEX('TRIP MANAGER'!$O$18:$O$25,$A945),"")</f>
        <v/>
      </c>
      <c r="D945">
        <f t="array" ref="D945">IFERROR(INDEX('TRIP MANAGER'!$P$18:$P$25,$A945),"")</f>
        <v/>
      </c>
      <c r="E945">
        <f t="array" ref="E945">IFERROR(INDEX('TRIP MANAGER'!$Q$18:$Q$25,$A945),"")</f>
        <v/>
      </c>
      <c r="F945">
        <f t="array" ref="F945">IFERROR(INDEX('TRIP MANAGER'!$R$18:$R$25,$A945),"")</f>
        <v/>
      </c>
      <c r="G945">
        <f t="array" ref="G945">IFERROR(INDEX('TRIP MANAGER'!$S$18:$S$25,$A945),"")</f>
        <v/>
      </c>
      <c r="H945">
        <f>$B945/150</f>
        <v/>
      </c>
      <c r="I945">
        <f>IF(OR($G945="",$G945=0),"",SIN((1-$H945)*$G945)/SIN($G945))</f>
        <v/>
      </c>
      <c r="J945">
        <f>IF($I945="","",SIN($H945*$G945)/SIN($G945))</f>
        <v/>
      </c>
      <c r="K945">
        <f>IF($I945="","",$I945*COS(RADIANS($C945))*COS(RADIANS($D945))+$J945*COS(RADIANS($E945))*COS(RADIANS($F945)))</f>
        <v/>
      </c>
      <c r="L945">
        <f>IF($I945="","",$I945*COS(RADIANS($C945))*SIN(RADIANS($D945))+$J945*COS(RADIANS($E945))*SIN(RADIANS($F945)))</f>
        <v/>
      </c>
      <c r="M945">
        <f>IF($I945="","",$I945*SIN(RADIANS($C945))+$J945*SIN(RADIANS($E945)))</f>
        <v/>
      </c>
      <c r="N945">
        <f>IF($M945="","",DEGREES(ATAN2(SQRT($K945^2+$L945^2),$M945)))</f>
        <v/>
      </c>
      <c r="O945">
        <f>IF($M945="","",DEGREES(ATAN2($K945,$L945)))</f>
        <v/>
      </c>
      <c r="P945">
        <f t="array" ref="P945">IF($N945="","",IFERROR(IF(INDEX(geo_grid!$B$2:$JU$231,INT(($N945+40)/0.5)+1,INT(($O945+30)/0.5)+1)="","",INDEX(geo_grid!$B$2:$JU$231,INT(($N945+40)/0.5)+1,INT(($O945+30)/0.5)+1)),"OUTSIDE GRID"))</f>
        <v/>
      </c>
      <c r="Q945">
        <f>IF($P945="","",$A945*1000+$B945)</f>
        <v/>
      </c>
    </row>
    <row r="946">
      <c r="A946">
        <f>INT((ROW()-2)/151)+1</f>
        <v/>
      </c>
      <c r="B946">
        <f>MOD(ROW()-2,151)</f>
        <v/>
      </c>
      <c r="C946">
        <f t="array" ref="C946">IFERROR(INDEX('TRIP MANAGER'!$O$18:$O$25,$A946),"")</f>
        <v/>
      </c>
      <c r="D946">
        <f t="array" ref="D946">IFERROR(INDEX('TRIP MANAGER'!$P$18:$P$25,$A946),"")</f>
        <v/>
      </c>
      <c r="E946">
        <f t="array" ref="E946">IFERROR(INDEX('TRIP MANAGER'!$Q$18:$Q$25,$A946),"")</f>
        <v/>
      </c>
      <c r="F946">
        <f t="array" ref="F946">IFERROR(INDEX('TRIP MANAGER'!$R$18:$R$25,$A946),"")</f>
        <v/>
      </c>
      <c r="G946">
        <f t="array" ref="G946">IFERROR(INDEX('TRIP MANAGER'!$S$18:$S$25,$A946),"")</f>
        <v/>
      </c>
      <c r="H946">
        <f>$B946/150</f>
        <v/>
      </c>
      <c r="I946">
        <f>IF(OR($G946="",$G946=0),"",SIN((1-$H946)*$G946)/SIN($G946))</f>
        <v/>
      </c>
      <c r="J946">
        <f>IF($I946="","",SIN($H946*$G946)/SIN($G946))</f>
        <v/>
      </c>
      <c r="K946">
        <f>IF($I946="","",$I946*COS(RADIANS($C946))*COS(RADIANS($D946))+$J946*COS(RADIANS($E946))*COS(RADIANS($F946)))</f>
        <v/>
      </c>
      <c r="L946">
        <f>IF($I946="","",$I946*COS(RADIANS($C946))*SIN(RADIANS($D946))+$J946*COS(RADIANS($E946))*SIN(RADIANS($F946)))</f>
        <v/>
      </c>
      <c r="M946">
        <f>IF($I946="","",$I946*SIN(RADIANS($C946))+$J946*SIN(RADIANS($E946)))</f>
        <v/>
      </c>
      <c r="N946">
        <f>IF($M946="","",DEGREES(ATAN2(SQRT($K946^2+$L946^2),$M946)))</f>
        <v/>
      </c>
      <c r="O946">
        <f>IF($M946="","",DEGREES(ATAN2($K946,$L946)))</f>
        <v/>
      </c>
      <c r="P946">
        <f t="array" ref="P946">IF($N946="","",IFERROR(IF(INDEX(geo_grid!$B$2:$JU$231,INT(($N946+40)/0.5)+1,INT(($O946+30)/0.5)+1)="","",INDEX(geo_grid!$B$2:$JU$231,INT(($N946+40)/0.5)+1,INT(($O946+30)/0.5)+1)),"OUTSIDE GRID"))</f>
        <v/>
      </c>
      <c r="Q946">
        <f>IF($P946="","",$A946*1000+$B946)</f>
        <v/>
      </c>
    </row>
    <row r="947">
      <c r="A947">
        <f>INT((ROW()-2)/151)+1</f>
        <v/>
      </c>
      <c r="B947">
        <f>MOD(ROW()-2,151)</f>
        <v/>
      </c>
      <c r="C947">
        <f t="array" ref="C947">IFERROR(INDEX('TRIP MANAGER'!$O$18:$O$25,$A947),"")</f>
        <v/>
      </c>
      <c r="D947">
        <f t="array" ref="D947">IFERROR(INDEX('TRIP MANAGER'!$P$18:$P$25,$A947),"")</f>
        <v/>
      </c>
      <c r="E947">
        <f t="array" ref="E947">IFERROR(INDEX('TRIP MANAGER'!$Q$18:$Q$25,$A947),"")</f>
        <v/>
      </c>
      <c r="F947">
        <f t="array" ref="F947">IFERROR(INDEX('TRIP MANAGER'!$R$18:$R$25,$A947),"")</f>
        <v/>
      </c>
      <c r="G947">
        <f t="array" ref="G947">IFERROR(INDEX('TRIP MANAGER'!$S$18:$S$25,$A947),"")</f>
        <v/>
      </c>
      <c r="H947">
        <f>$B947/150</f>
        <v/>
      </c>
      <c r="I947">
        <f>IF(OR($G947="",$G947=0),"",SIN((1-$H947)*$G947)/SIN($G947))</f>
        <v/>
      </c>
      <c r="J947">
        <f>IF($I947="","",SIN($H947*$G947)/SIN($G947))</f>
        <v/>
      </c>
      <c r="K947">
        <f>IF($I947="","",$I947*COS(RADIANS($C947))*COS(RADIANS($D947))+$J947*COS(RADIANS($E947))*COS(RADIANS($F947)))</f>
        <v/>
      </c>
      <c r="L947">
        <f>IF($I947="","",$I947*COS(RADIANS($C947))*SIN(RADIANS($D947))+$J947*COS(RADIANS($E947))*SIN(RADIANS($F947)))</f>
        <v/>
      </c>
      <c r="M947">
        <f>IF($I947="","",$I947*SIN(RADIANS($C947))+$J947*SIN(RADIANS($E947)))</f>
        <v/>
      </c>
      <c r="N947">
        <f>IF($M947="","",DEGREES(ATAN2(SQRT($K947^2+$L947^2),$M947)))</f>
        <v/>
      </c>
      <c r="O947">
        <f>IF($M947="","",DEGREES(ATAN2($K947,$L947)))</f>
        <v/>
      </c>
      <c r="P947">
        <f t="array" ref="P947">IF($N947="","",IFERROR(IF(INDEX(geo_grid!$B$2:$JU$231,INT(($N947+40)/0.5)+1,INT(($O947+30)/0.5)+1)="","",INDEX(geo_grid!$B$2:$JU$231,INT(($N947+40)/0.5)+1,INT(($O947+30)/0.5)+1)),"OUTSIDE GRID"))</f>
        <v/>
      </c>
      <c r="Q947">
        <f>IF($P947="","",$A947*1000+$B947)</f>
        <v/>
      </c>
    </row>
    <row r="948">
      <c r="A948">
        <f>INT((ROW()-2)/151)+1</f>
        <v/>
      </c>
      <c r="B948">
        <f>MOD(ROW()-2,151)</f>
        <v/>
      </c>
      <c r="C948">
        <f t="array" ref="C948">IFERROR(INDEX('TRIP MANAGER'!$O$18:$O$25,$A948),"")</f>
        <v/>
      </c>
      <c r="D948">
        <f t="array" ref="D948">IFERROR(INDEX('TRIP MANAGER'!$P$18:$P$25,$A948),"")</f>
        <v/>
      </c>
      <c r="E948">
        <f t="array" ref="E948">IFERROR(INDEX('TRIP MANAGER'!$Q$18:$Q$25,$A948),"")</f>
        <v/>
      </c>
      <c r="F948">
        <f t="array" ref="F948">IFERROR(INDEX('TRIP MANAGER'!$R$18:$R$25,$A948),"")</f>
        <v/>
      </c>
      <c r="G948">
        <f t="array" ref="G948">IFERROR(INDEX('TRIP MANAGER'!$S$18:$S$25,$A948),"")</f>
        <v/>
      </c>
      <c r="H948">
        <f>$B948/150</f>
        <v/>
      </c>
      <c r="I948">
        <f>IF(OR($G948="",$G948=0),"",SIN((1-$H948)*$G948)/SIN($G948))</f>
        <v/>
      </c>
      <c r="J948">
        <f>IF($I948="","",SIN($H948*$G948)/SIN($G948))</f>
        <v/>
      </c>
      <c r="K948">
        <f>IF($I948="","",$I948*COS(RADIANS($C948))*COS(RADIANS($D948))+$J948*COS(RADIANS($E948))*COS(RADIANS($F948)))</f>
        <v/>
      </c>
      <c r="L948">
        <f>IF($I948="","",$I948*COS(RADIANS($C948))*SIN(RADIANS($D948))+$J948*COS(RADIANS($E948))*SIN(RADIANS($F948)))</f>
        <v/>
      </c>
      <c r="M948">
        <f>IF($I948="","",$I948*SIN(RADIANS($C948))+$J948*SIN(RADIANS($E948)))</f>
        <v/>
      </c>
      <c r="N948">
        <f>IF($M948="","",DEGREES(ATAN2(SQRT($K948^2+$L948^2),$M948)))</f>
        <v/>
      </c>
      <c r="O948">
        <f>IF($M948="","",DEGREES(ATAN2($K948,$L948)))</f>
        <v/>
      </c>
      <c r="P948">
        <f t="array" ref="P948">IF($N948="","",IFERROR(IF(INDEX(geo_grid!$B$2:$JU$231,INT(($N948+40)/0.5)+1,INT(($O948+30)/0.5)+1)="","",INDEX(geo_grid!$B$2:$JU$231,INT(($N948+40)/0.5)+1,INT(($O948+30)/0.5)+1)),"OUTSIDE GRID"))</f>
        <v/>
      </c>
      <c r="Q948">
        <f>IF($P948="","",$A948*1000+$B948)</f>
        <v/>
      </c>
    </row>
    <row r="949">
      <c r="A949">
        <f>INT((ROW()-2)/151)+1</f>
        <v/>
      </c>
      <c r="B949">
        <f>MOD(ROW()-2,151)</f>
        <v/>
      </c>
      <c r="C949">
        <f t="array" ref="C949">IFERROR(INDEX('TRIP MANAGER'!$O$18:$O$25,$A949),"")</f>
        <v/>
      </c>
      <c r="D949">
        <f t="array" ref="D949">IFERROR(INDEX('TRIP MANAGER'!$P$18:$P$25,$A949),"")</f>
        <v/>
      </c>
      <c r="E949">
        <f t="array" ref="E949">IFERROR(INDEX('TRIP MANAGER'!$Q$18:$Q$25,$A949),"")</f>
        <v/>
      </c>
      <c r="F949">
        <f t="array" ref="F949">IFERROR(INDEX('TRIP MANAGER'!$R$18:$R$25,$A949),"")</f>
        <v/>
      </c>
      <c r="G949">
        <f t="array" ref="G949">IFERROR(INDEX('TRIP MANAGER'!$S$18:$S$25,$A949),"")</f>
        <v/>
      </c>
      <c r="H949">
        <f>$B949/150</f>
        <v/>
      </c>
      <c r="I949">
        <f>IF(OR($G949="",$G949=0),"",SIN((1-$H949)*$G949)/SIN($G949))</f>
        <v/>
      </c>
      <c r="J949">
        <f>IF($I949="","",SIN($H949*$G949)/SIN($G949))</f>
        <v/>
      </c>
      <c r="K949">
        <f>IF($I949="","",$I949*COS(RADIANS($C949))*COS(RADIANS($D949))+$J949*COS(RADIANS($E949))*COS(RADIANS($F949)))</f>
        <v/>
      </c>
      <c r="L949">
        <f>IF($I949="","",$I949*COS(RADIANS($C949))*SIN(RADIANS($D949))+$J949*COS(RADIANS($E949))*SIN(RADIANS($F949)))</f>
        <v/>
      </c>
      <c r="M949">
        <f>IF($I949="","",$I949*SIN(RADIANS($C949))+$J949*SIN(RADIANS($E949)))</f>
        <v/>
      </c>
      <c r="N949">
        <f>IF($M949="","",DEGREES(ATAN2(SQRT($K949^2+$L949^2),$M949)))</f>
        <v/>
      </c>
      <c r="O949">
        <f>IF($M949="","",DEGREES(ATAN2($K949,$L949)))</f>
        <v/>
      </c>
      <c r="P949">
        <f t="array" ref="P949">IF($N949="","",IFERROR(IF(INDEX(geo_grid!$B$2:$JU$231,INT(($N949+40)/0.5)+1,INT(($O949+30)/0.5)+1)="","",INDEX(geo_grid!$B$2:$JU$231,INT(($N949+40)/0.5)+1,INT(($O949+30)/0.5)+1)),"OUTSIDE GRID"))</f>
        <v/>
      </c>
      <c r="Q949">
        <f>IF($P949="","",$A949*1000+$B949)</f>
        <v/>
      </c>
    </row>
    <row r="950">
      <c r="A950">
        <f>INT((ROW()-2)/151)+1</f>
        <v/>
      </c>
      <c r="B950">
        <f>MOD(ROW()-2,151)</f>
        <v/>
      </c>
      <c r="C950">
        <f t="array" ref="C950">IFERROR(INDEX('TRIP MANAGER'!$O$18:$O$25,$A950),"")</f>
        <v/>
      </c>
      <c r="D950">
        <f t="array" ref="D950">IFERROR(INDEX('TRIP MANAGER'!$P$18:$P$25,$A950),"")</f>
        <v/>
      </c>
      <c r="E950">
        <f t="array" ref="E950">IFERROR(INDEX('TRIP MANAGER'!$Q$18:$Q$25,$A950),"")</f>
        <v/>
      </c>
      <c r="F950">
        <f t="array" ref="F950">IFERROR(INDEX('TRIP MANAGER'!$R$18:$R$25,$A950),"")</f>
        <v/>
      </c>
      <c r="G950">
        <f t="array" ref="G950">IFERROR(INDEX('TRIP MANAGER'!$S$18:$S$25,$A950),"")</f>
        <v/>
      </c>
      <c r="H950">
        <f>$B950/150</f>
        <v/>
      </c>
      <c r="I950">
        <f>IF(OR($G950="",$G950=0),"",SIN((1-$H950)*$G950)/SIN($G950))</f>
        <v/>
      </c>
      <c r="J950">
        <f>IF($I950="","",SIN($H950*$G950)/SIN($G950))</f>
        <v/>
      </c>
      <c r="K950">
        <f>IF($I950="","",$I950*COS(RADIANS($C950))*COS(RADIANS($D950))+$J950*COS(RADIANS($E950))*COS(RADIANS($F950)))</f>
        <v/>
      </c>
      <c r="L950">
        <f>IF($I950="","",$I950*COS(RADIANS($C950))*SIN(RADIANS($D950))+$J950*COS(RADIANS($E950))*SIN(RADIANS($F950)))</f>
        <v/>
      </c>
      <c r="M950">
        <f>IF($I950="","",$I950*SIN(RADIANS($C950))+$J950*SIN(RADIANS($E950)))</f>
        <v/>
      </c>
      <c r="N950">
        <f>IF($M950="","",DEGREES(ATAN2(SQRT($K950^2+$L950^2),$M950)))</f>
        <v/>
      </c>
      <c r="O950">
        <f>IF($M950="","",DEGREES(ATAN2($K950,$L950)))</f>
        <v/>
      </c>
      <c r="P950">
        <f t="array" ref="P950">IF($N950="","",IFERROR(IF(INDEX(geo_grid!$B$2:$JU$231,INT(($N950+40)/0.5)+1,INT(($O950+30)/0.5)+1)="","",INDEX(geo_grid!$B$2:$JU$231,INT(($N950+40)/0.5)+1,INT(($O950+30)/0.5)+1)),"OUTSIDE GRID"))</f>
        <v/>
      </c>
      <c r="Q950">
        <f>IF($P950="","",$A950*1000+$B950)</f>
        <v/>
      </c>
    </row>
    <row r="951">
      <c r="A951">
        <f>INT((ROW()-2)/151)+1</f>
        <v/>
      </c>
      <c r="B951">
        <f>MOD(ROW()-2,151)</f>
        <v/>
      </c>
      <c r="C951">
        <f t="array" ref="C951">IFERROR(INDEX('TRIP MANAGER'!$O$18:$O$25,$A951),"")</f>
        <v/>
      </c>
      <c r="D951">
        <f t="array" ref="D951">IFERROR(INDEX('TRIP MANAGER'!$P$18:$P$25,$A951),"")</f>
        <v/>
      </c>
      <c r="E951">
        <f t="array" ref="E951">IFERROR(INDEX('TRIP MANAGER'!$Q$18:$Q$25,$A951),"")</f>
        <v/>
      </c>
      <c r="F951">
        <f t="array" ref="F951">IFERROR(INDEX('TRIP MANAGER'!$R$18:$R$25,$A951),"")</f>
        <v/>
      </c>
      <c r="G951">
        <f t="array" ref="G951">IFERROR(INDEX('TRIP MANAGER'!$S$18:$S$25,$A951),"")</f>
        <v/>
      </c>
      <c r="H951">
        <f>$B951/150</f>
        <v/>
      </c>
      <c r="I951">
        <f>IF(OR($G951="",$G951=0),"",SIN((1-$H951)*$G951)/SIN($G951))</f>
        <v/>
      </c>
      <c r="J951">
        <f>IF($I951="","",SIN($H951*$G951)/SIN($G951))</f>
        <v/>
      </c>
      <c r="K951">
        <f>IF($I951="","",$I951*COS(RADIANS($C951))*COS(RADIANS($D951))+$J951*COS(RADIANS($E951))*COS(RADIANS($F951)))</f>
        <v/>
      </c>
      <c r="L951">
        <f>IF($I951="","",$I951*COS(RADIANS($C951))*SIN(RADIANS($D951))+$J951*COS(RADIANS($E951))*SIN(RADIANS($F951)))</f>
        <v/>
      </c>
      <c r="M951">
        <f>IF($I951="","",$I951*SIN(RADIANS($C951))+$J951*SIN(RADIANS($E951)))</f>
        <v/>
      </c>
      <c r="N951">
        <f>IF($M951="","",DEGREES(ATAN2(SQRT($K951^2+$L951^2),$M951)))</f>
        <v/>
      </c>
      <c r="O951">
        <f>IF($M951="","",DEGREES(ATAN2($K951,$L951)))</f>
        <v/>
      </c>
      <c r="P951">
        <f t="array" ref="P951">IF($N951="","",IFERROR(IF(INDEX(geo_grid!$B$2:$JU$231,INT(($N951+40)/0.5)+1,INT(($O951+30)/0.5)+1)="","",INDEX(geo_grid!$B$2:$JU$231,INT(($N951+40)/0.5)+1,INT(($O951+30)/0.5)+1)),"OUTSIDE GRID"))</f>
        <v/>
      </c>
      <c r="Q951">
        <f>IF($P951="","",$A951*1000+$B951)</f>
        <v/>
      </c>
    </row>
    <row r="952">
      <c r="A952">
        <f>INT((ROW()-2)/151)+1</f>
        <v/>
      </c>
      <c r="B952">
        <f>MOD(ROW()-2,151)</f>
        <v/>
      </c>
      <c r="C952">
        <f t="array" ref="C952">IFERROR(INDEX('TRIP MANAGER'!$O$18:$O$25,$A952),"")</f>
        <v/>
      </c>
      <c r="D952">
        <f t="array" ref="D952">IFERROR(INDEX('TRIP MANAGER'!$P$18:$P$25,$A952),"")</f>
        <v/>
      </c>
      <c r="E952">
        <f t="array" ref="E952">IFERROR(INDEX('TRIP MANAGER'!$Q$18:$Q$25,$A952),"")</f>
        <v/>
      </c>
      <c r="F952">
        <f t="array" ref="F952">IFERROR(INDEX('TRIP MANAGER'!$R$18:$R$25,$A952),"")</f>
        <v/>
      </c>
      <c r="G952">
        <f t="array" ref="G952">IFERROR(INDEX('TRIP MANAGER'!$S$18:$S$25,$A952),"")</f>
        <v/>
      </c>
      <c r="H952">
        <f>$B952/150</f>
        <v/>
      </c>
      <c r="I952">
        <f>IF(OR($G952="",$G952=0),"",SIN((1-$H952)*$G952)/SIN($G952))</f>
        <v/>
      </c>
      <c r="J952">
        <f>IF($I952="","",SIN($H952*$G952)/SIN($G952))</f>
        <v/>
      </c>
      <c r="K952">
        <f>IF($I952="","",$I952*COS(RADIANS($C952))*COS(RADIANS($D952))+$J952*COS(RADIANS($E952))*COS(RADIANS($F952)))</f>
        <v/>
      </c>
      <c r="L952">
        <f>IF($I952="","",$I952*COS(RADIANS($C952))*SIN(RADIANS($D952))+$J952*COS(RADIANS($E952))*SIN(RADIANS($F952)))</f>
        <v/>
      </c>
      <c r="M952">
        <f>IF($I952="","",$I952*SIN(RADIANS($C952))+$J952*SIN(RADIANS($E952)))</f>
        <v/>
      </c>
      <c r="N952">
        <f>IF($M952="","",DEGREES(ATAN2(SQRT($K952^2+$L952^2),$M952)))</f>
        <v/>
      </c>
      <c r="O952">
        <f>IF($M952="","",DEGREES(ATAN2($K952,$L952)))</f>
        <v/>
      </c>
      <c r="P952">
        <f t="array" ref="P952">IF($N952="","",IFERROR(IF(INDEX(geo_grid!$B$2:$JU$231,INT(($N952+40)/0.5)+1,INT(($O952+30)/0.5)+1)="","",INDEX(geo_grid!$B$2:$JU$231,INT(($N952+40)/0.5)+1,INT(($O952+30)/0.5)+1)),"OUTSIDE GRID"))</f>
        <v/>
      </c>
      <c r="Q952">
        <f>IF($P952="","",$A952*1000+$B952)</f>
        <v/>
      </c>
    </row>
    <row r="953">
      <c r="A953">
        <f>INT((ROW()-2)/151)+1</f>
        <v/>
      </c>
      <c r="B953">
        <f>MOD(ROW()-2,151)</f>
        <v/>
      </c>
      <c r="C953">
        <f t="array" ref="C953">IFERROR(INDEX('TRIP MANAGER'!$O$18:$O$25,$A953),"")</f>
        <v/>
      </c>
      <c r="D953">
        <f t="array" ref="D953">IFERROR(INDEX('TRIP MANAGER'!$P$18:$P$25,$A953),"")</f>
        <v/>
      </c>
      <c r="E953">
        <f t="array" ref="E953">IFERROR(INDEX('TRIP MANAGER'!$Q$18:$Q$25,$A953),"")</f>
        <v/>
      </c>
      <c r="F953">
        <f t="array" ref="F953">IFERROR(INDEX('TRIP MANAGER'!$R$18:$R$25,$A953),"")</f>
        <v/>
      </c>
      <c r="G953">
        <f t="array" ref="G953">IFERROR(INDEX('TRIP MANAGER'!$S$18:$S$25,$A953),"")</f>
        <v/>
      </c>
      <c r="H953">
        <f>$B953/150</f>
        <v/>
      </c>
      <c r="I953">
        <f>IF(OR($G953="",$G953=0),"",SIN((1-$H953)*$G953)/SIN($G953))</f>
        <v/>
      </c>
      <c r="J953">
        <f>IF($I953="","",SIN($H953*$G953)/SIN($G953))</f>
        <v/>
      </c>
      <c r="K953">
        <f>IF($I953="","",$I953*COS(RADIANS($C953))*COS(RADIANS($D953))+$J953*COS(RADIANS($E953))*COS(RADIANS($F953)))</f>
        <v/>
      </c>
      <c r="L953">
        <f>IF($I953="","",$I953*COS(RADIANS($C953))*SIN(RADIANS($D953))+$J953*COS(RADIANS($E953))*SIN(RADIANS($F953)))</f>
        <v/>
      </c>
      <c r="M953">
        <f>IF($I953="","",$I953*SIN(RADIANS($C953))+$J953*SIN(RADIANS($E953)))</f>
        <v/>
      </c>
      <c r="N953">
        <f>IF($M953="","",DEGREES(ATAN2(SQRT($K953^2+$L953^2),$M953)))</f>
        <v/>
      </c>
      <c r="O953">
        <f>IF($M953="","",DEGREES(ATAN2($K953,$L953)))</f>
        <v/>
      </c>
      <c r="P953">
        <f t="array" ref="P953">IF($N953="","",IFERROR(IF(INDEX(geo_grid!$B$2:$JU$231,INT(($N953+40)/0.5)+1,INT(($O953+30)/0.5)+1)="","",INDEX(geo_grid!$B$2:$JU$231,INT(($N953+40)/0.5)+1,INT(($O953+30)/0.5)+1)),"OUTSIDE GRID"))</f>
        <v/>
      </c>
      <c r="Q953">
        <f>IF($P953="","",$A953*1000+$B953)</f>
        <v/>
      </c>
    </row>
    <row r="954">
      <c r="A954">
        <f>INT((ROW()-2)/151)+1</f>
        <v/>
      </c>
      <c r="B954">
        <f>MOD(ROW()-2,151)</f>
        <v/>
      </c>
      <c r="C954">
        <f t="array" ref="C954">IFERROR(INDEX('TRIP MANAGER'!$O$18:$O$25,$A954),"")</f>
        <v/>
      </c>
      <c r="D954">
        <f t="array" ref="D954">IFERROR(INDEX('TRIP MANAGER'!$P$18:$P$25,$A954),"")</f>
        <v/>
      </c>
      <c r="E954">
        <f t="array" ref="E954">IFERROR(INDEX('TRIP MANAGER'!$Q$18:$Q$25,$A954),"")</f>
        <v/>
      </c>
      <c r="F954">
        <f t="array" ref="F954">IFERROR(INDEX('TRIP MANAGER'!$R$18:$R$25,$A954),"")</f>
        <v/>
      </c>
      <c r="G954">
        <f t="array" ref="G954">IFERROR(INDEX('TRIP MANAGER'!$S$18:$S$25,$A954),"")</f>
        <v/>
      </c>
      <c r="H954">
        <f>$B954/150</f>
        <v/>
      </c>
      <c r="I954">
        <f>IF(OR($G954="",$G954=0),"",SIN((1-$H954)*$G954)/SIN($G954))</f>
        <v/>
      </c>
      <c r="J954">
        <f>IF($I954="","",SIN($H954*$G954)/SIN($G954))</f>
        <v/>
      </c>
      <c r="K954">
        <f>IF($I954="","",$I954*COS(RADIANS($C954))*COS(RADIANS($D954))+$J954*COS(RADIANS($E954))*COS(RADIANS($F954)))</f>
        <v/>
      </c>
      <c r="L954">
        <f>IF($I954="","",$I954*COS(RADIANS($C954))*SIN(RADIANS($D954))+$J954*COS(RADIANS($E954))*SIN(RADIANS($F954)))</f>
        <v/>
      </c>
      <c r="M954">
        <f>IF($I954="","",$I954*SIN(RADIANS($C954))+$J954*SIN(RADIANS($E954)))</f>
        <v/>
      </c>
      <c r="N954">
        <f>IF($M954="","",DEGREES(ATAN2(SQRT($K954^2+$L954^2),$M954)))</f>
        <v/>
      </c>
      <c r="O954">
        <f>IF($M954="","",DEGREES(ATAN2($K954,$L954)))</f>
        <v/>
      </c>
      <c r="P954">
        <f t="array" ref="P954">IF($N954="","",IFERROR(IF(INDEX(geo_grid!$B$2:$JU$231,INT(($N954+40)/0.5)+1,INT(($O954+30)/0.5)+1)="","",INDEX(geo_grid!$B$2:$JU$231,INT(($N954+40)/0.5)+1,INT(($O954+30)/0.5)+1)),"OUTSIDE GRID"))</f>
        <v/>
      </c>
      <c r="Q954">
        <f>IF($P954="","",$A954*1000+$B954)</f>
        <v/>
      </c>
    </row>
    <row r="955">
      <c r="A955">
        <f>INT((ROW()-2)/151)+1</f>
        <v/>
      </c>
      <c r="B955">
        <f>MOD(ROW()-2,151)</f>
        <v/>
      </c>
      <c r="C955">
        <f t="array" ref="C955">IFERROR(INDEX('TRIP MANAGER'!$O$18:$O$25,$A955),"")</f>
        <v/>
      </c>
      <c r="D955">
        <f t="array" ref="D955">IFERROR(INDEX('TRIP MANAGER'!$P$18:$P$25,$A955),"")</f>
        <v/>
      </c>
      <c r="E955">
        <f t="array" ref="E955">IFERROR(INDEX('TRIP MANAGER'!$Q$18:$Q$25,$A955),"")</f>
        <v/>
      </c>
      <c r="F955">
        <f t="array" ref="F955">IFERROR(INDEX('TRIP MANAGER'!$R$18:$R$25,$A955),"")</f>
        <v/>
      </c>
      <c r="G955">
        <f t="array" ref="G955">IFERROR(INDEX('TRIP MANAGER'!$S$18:$S$25,$A955),"")</f>
        <v/>
      </c>
      <c r="H955">
        <f>$B955/150</f>
        <v/>
      </c>
      <c r="I955">
        <f>IF(OR($G955="",$G955=0),"",SIN((1-$H955)*$G955)/SIN($G955))</f>
        <v/>
      </c>
      <c r="J955">
        <f>IF($I955="","",SIN($H955*$G955)/SIN($G955))</f>
        <v/>
      </c>
      <c r="K955">
        <f>IF($I955="","",$I955*COS(RADIANS($C955))*COS(RADIANS($D955))+$J955*COS(RADIANS($E955))*COS(RADIANS($F955)))</f>
        <v/>
      </c>
      <c r="L955">
        <f>IF($I955="","",$I955*COS(RADIANS($C955))*SIN(RADIANS($D955))+$J955*COS(RADIANS($E955))*SIN(RADIANS($F955)))</f>
        <v/>
      </c>
      <c r="M955">
        <f>IF($I955="","",$I955*SIN(RADIANS($C955))+$J955*SIN(RADIANS($E955)))</f>
        <v/>
      </c>
      <c r="N955">
        <f>IF($M955="","",DEGREES(ATAN2(SQRT($K955^2+$L955^2),$M955)))</f>
        <v/>
      </c>
      <c r="O955">
        <f>IF($M955="","",DEGREES(ATAN2($K955,$L955)))</f>
        <v/>
      </c>
      <c r="P955">
        <f t="array" ref="P955">IF($N955="","",IFERROR(IF(INDEX(geo_grid!$B$2:$JU$231,INT(($N955+40)/0.5)+1,INT(($O955+30)/0.5)+1)="","",INDEX(geo_grid!$B$2:$JU$231,INT(($N955+40)/0.5)+1,INT(($O955+30)/0.5)+1)),"OUTSIDE GRID"))</f>
        <v/>
      </c>
      <c r="Q955">
        <f>IF($P955="","",$A955*1000+$B955)</f>
        <v/>
      </c>
    </row>
    <row r="956">
      <c r="A956">
        <f>INT((ROW()-2)/151)+1</f>
        <v/>
      </c>
      <c r="B956">
        <f>MOD(ROW()-2,151)</f>
        <v/>
      </c>
      <c r="C956">
        <f t="array" ref="C956">IFERROR(INDEX('TRIP MANAGER'!$O$18:$O$25,$A956),"")</f>
        <v/>
      </c>
      <c r="D956">
        <f t="array" ref="D956">IFERROR(INDEX('TRIP MANAGER'!$P$18:$P$25,$A956),"")</f>
        <v/>
      </c>
      <c r="E956">
        <f t="array" ref="E956">IFERROR(INDEX('TRIP MANAGER'!$Q$18:$Q$25,$A956),"")</f>
        <v/>
      </c>
      <c r="F956">
        <f t="array" ref="F956">IFERROR(INDEX('TRIP MANAGER'!$R$18:$R$25,$A956),"")</f>
        <v/>
      </c>
      <c r="G956">
        <f t="array" ref="G956">IFERROR(INDEX('TRIP MANAGER'!$S$18:$S$25,$A956),"")</f>
        <v/>
      </c>
      <c r="H956">
        <f>$B956/150</f>
        <v/>
      </c>
      <c r="I956">
        <f>IF(OR($G956="",$G956=0),"",SIN((1-$H956)*$G956)/SIN($G956))</f>
        <v/>
      </c>
      <c r="J956">
        <f>IF($I956="","",SIN($H956*$G956)/SIN($G956))</f>
        <v/>
      </c>
      <c r="K956">
        <f>IF($I956="","",$I956*COS(RADIANS($C956))*COS(RADIANS($D956))+$J956*COS(RADIANS($E956))*COS(RADIANS($F956)))</f>
        <v/>
      </c>
      <c r="L956">
        <f>IF($I956="","",$I956*COS(RADIANS($C956))*SIN(RADIANS($D956))+$J956*COS(RADIANS($E956))*SIN(RADIANS($F956)))</f>
        <v/>
      </c>
      <c r="M956">
        <f>IF($I956="","",$I956*SIN(RADIANS($C956))+$J956*SIN(RADIANS($E956)))</f>
        <v/>
      </c>
      <c r="N956">
        <f>IF($M956="","",DEGREES(ATAN2(SQRT($K956^2+$L956^2),$M956)))</f>
        <v/>
      </c>
      <c r="O956">
        <f>IF($M956="","",DEGREES(ATAN2($K956,$L956)))</f>
        <v/>
      </c>
      <c r="P956">
        <f t="array" ref="P956">IF($N956="","",IFERROR(IF(INDEX(geo_grid!$B$2:$JU$231,INT(($N956+40)/0.5)+1,INT(($O956+30)/0.5)+1)="","",INDEX(geo_grid!$B$2:$JU$231,INT(($N956+40)/0.5)+1,INT(($O956+30)/0.5)+1)),"OUTSIDE GRID"))</f>
        <v/>
      </c>
      <c r="Q956">
        <f>IF($P956="","",$A956*1000+$B956)</f>
        <v/>
      </c>
    </row>
    <row r="957">
      <c r="A957">
        <f>INT((ROW()-2)/151)+1</f>
        <v/>
      </c>
      <c r="B957">
        <f>MOD(ROW()-2,151)</f>
        <v/>
      </c>
      <c r="C957">
        <f t="array" ref="C957">IFERROR(INDEX('TRIP MANAGER'!$O$18:$O$25,$A957),"")</f>
        <v/>
      </c>
      <c r="D957">
        <f t="array" ref="D957">IFERROR(INDEX('TRIP MANAGER'!$P$18:$P$25,$A957),"")</f>
        <v/>
      </c>
      <c r="E957">
        <f t="array" ref="E957">IFERROR(INDEX('TRIP MANAGER'!$Q$18:$Q$25,$A957),"")</f>
        <v/>
      </c>
      <c r="F957">
        <f t="array" ref="F957">IFERROR(INDEX('TRIP MANAGER'!$R$18:$R$25,$A957),"")</f>
        <v/>
      </c>
      <c r="G957">
        <f t="array" ref="G957">IFERROR(INDEX('TRIP MANAGER'!$S$18:$S$25,$A957),"")</f>
        <v/>
      </c>
      <c r="H957">
        <f>$B957/150</f>
        <v/>
      </c>
      <c r="I957">
        <f>IF(OR($G957="",$G957=0),"",SIN((1-$H957)*$G957)/SIN($G957))</f>
        <v/>
      </c>
      <c r="J957">
        <f>IF($I957="","",SIN($H957*$G957)/SIN($G957))</f>
        <v/>
      </c>
      <c r="K957">
        <f>IF($I957="","",$I957*COS(RADIANS($C957))*COS(RADIANS($D957))+$J957*COS(RADIANS($E957))*COS(RADIANS($F957)))</f>
        <v/>
      </c>
      <c r="L957">
        <f>IF($I957="","",$I957*COS(RADIANS($C957))*SIN(RADIANS($D957))+$J957*COS(RADIANS($E957))*SIN(RADIANS($F957)))</f>
        <v/>
      </c>
      <c r="M957">
        <f>IF($I957="","",$I957*SIN(RADIANS($C957))+$J957*SIN(RADIANS($E957)))</f>
        <v/>
      </c>
      <c r="N957">
        <f>IF($M957="","",DEGREES(ATAN2(SQRT($K957^2+$L957^2),$M957)))</f>
        <v/>
      </c>
      <c r="O957">
        <f>IF($M957="","",DEGREES(ATAN2($K957,$L957)))</f>
        <v/>
      </c>
      <c r="P957">
        <f t="array" ref="P957">IF($N957="","",IFERROR(IF(INDEX(geo_grid!$B$2:$JU$231,INT(($N957+40)/0.5)+1,INT(($O957+30)/0.5)+1)="","",INDEX(geo_grid!$B$2:$JU$231,INT(($N957+40)/0.5)+1,INT(($O957+30)/0.5)+1)),"OUTSIDE GRID"))</f>
        <v/>
      </c>
      <c r="Q957">
        <f>IF($P957="","",$A957*1000+$B957)</f>
        <v/>
      </c>
    </row>
    <row r="958">
      <c r="A958">
        <f>INT((ROW()-2)/151)+1</f>
        <v/>
      </c>
      <c r="B958">
        <f>MOD(ROW()-2,151)</f>
        <v/>
      </c>
      <c r="C958">
        <f t="array" ref="C958">IFERROR(INDEX('TRIP MANAGER'!$O$18:$O$25,$A958),"")</f>
        <v/>
      </c>
      <c r="D958">
        <f t="array" ref="D958">IFERROR(INDEX('TRIP MANAGER'!$P$18:$P$25,$A958),"")</f>
        <v/>
      </c>
      <c r="E958">
        <f t="array" ref="E958">IFERROR(INDEX('TRIP MANAGER'!$Q$18:$Q$25,$A958),"")</f>
        <v/>
      </c>
      <c r="F958">
        <f t="array" ref="F958">IFERROR(INDEX('TRIP MANAGER'!$R$18:$R$25,$A958),"")</f>
        <v/>
      </c>
      <c r="G958">
        <f t="array" ref="G958">IFERROR(INDEX('TRIP MANAGER'!$S$18:$S$25,$A958),"")</f>
        <v/>
      </c>
      <c r="H958">
        <f>$B958/150</f>
        <v/>
      </c>
      <c r="I958">
        <f>IF(OR($G958="",$G958=0),"",SIN((1-$H958)*$G958)/SIN($G958))</f>
        <v/>
      </c>
      <c r="J958">
        <f>IF($I958="","",SIN($H958*$G958)/SIN($G958))</f>
        <v/>
      </c>
      <c r="K958">
        <f>IF($I958="","",$I958*COS(RADIANS($C958))*COS(RADIANS($D958))+$J958*COS(RADIANS($E958))*COS(RADIANS($F958)))</f>
        <v/>
      </c>
      <c r="L958">
        <f>IF($I958="","",$I958*COS(RADIANS($C958))*SIN(RADIANS($D958))+$J958*COS(RADIANS($E958))*SIN(RADIANS($F958)))</f>
        <v/>
      </c>
      <c r="M958">
        <f>IF($I958="","",$I958*SIN(RADIANS($C958))+$J958*SIN(RADIANS($E958)))</f>
        <v/>
      </c>
      <c r="N958">
        <f>IF($M958="","",DEGREES(ATAN2(SQRT($K958^2+$L958^2),$M958)))</f>
        <v/>
      </c>
      <c r="O958">
        <f>IF($M958="","",DEGREES(ATAN2($K958,$L958)))</f>
        <v/>
      </c>
      <c r="P958">
        <f t="array" ref="P958">IF($N958="","",IFERROR(IF(INDEX(geo_grid!$B$2:$JU$231,INT(($N958+40)/0.5)+1,INT(($O958+30)/0.5)+1)="","",INDEX(geo_grid!$B$2:$JU$231,INT(($N958+40)/0.5)+1,INT(($O958+30)/0.5)+1)),"OUTSIDE GRID"))</f>
        <v/>
      </c>
      <c r="Q958">
        <f>IF($P958="","",$A958*1000+$B958)</f>
        <v/>
      </c>
    </row>
    <row r="959">
      <c r="A959">
        <f>INT((ROW()-2)/151)+1</f>
        <v/>
      </c>
      <c r="B959">
        <f>MOD(ROW()-2,151)</f>
        <v/>
      </c>
      <c r="C959">
        <f t="array" ref="C959">IFERROR(INDEX('TRIP MANAGER'!$O$18:$O$25,$A959),"")</f>
        <v/>
      </c>
      <c r="D959">
        <f t="array" ref="D959">IFERROR(INDEX('TRIP MANAGER'!$P$18:$P$25,$A959),"")</f>
        <v/>
      </c>
      <c r="E959">
        <f t="array" ref="E959">IFERROR(INDEX('TRIP MANAGER'!$Q$18:$Q$25,$A959),"")</f>
        <v/>
      </c>
      <c r="F959">
        <f t="array" ref="F959">IFERROR(INDEX('TRIP MANAGER'!$R$18:$R$25,$A959),"")</f>
        <v/>
      </c>
      <c r="G959">
        <f t="array" ref="G959">IFERROR(INDEX('TRIP MANAGER'!$S$18:$S$25,$A959),"")</f>
        <v/>
      </c>
      <c r="H959">
        <f>$B959/150</f>
        <v/>
      </c>
      <c r="I959">
        <f>IF(OR($G959="",$G959=0),"",SIN((1-$H959)*$G959)/SIN($G959))</f>
        <v/>
      </c>
      <c r="J959">
        <f>IF($I959="","",SIN($H959*$G959)/SIN($G959))</f>
        <v/>
      </c>
      <c r="K959">
        <f>IF($I959="","",$I959*COS(RADIANS($C959))*COS(RADIANS($D959))+$J959*COS(RADIANS($E959))*COS(RADIANS($F959)))</f>
        <v/>
      </c>
      <c r="L959">
        <f>IF($I959="","",$I959*COS(RADIANS($C959))*SIN(RADIANS($D959))+$J959*COS(RADIANS($E959))*SIN(RADIANS($F959)))</f>
        <v/>
      </c>
      <c r="M959">
        <f>IF($I959="","",$I959*SIN(RADIANS($C959))+$J959*SIN(RADIANS($E959)))</f>
        <v/>
      </c>
      <c r="N959">
        <f>IF($M959="","",DEGREES(ATAN2(SQRT($K959^2+$L959^2),$M959)))</f>
        <v/>
      </c>
      <c r="O959">
        <f>IF($M959="","",DEGREES(ATAN2($K959,$L959)))</f>
        <v/>
      </c>
      <c r="P959">
        <f t="array" ref="P959">IF($N959="","",IFERROR(IF(INDEX(geo_grid!$B$2:$JU$231,INT(($N959+40)/0.5)+1,INT(($O959+30)/0.5)+1)="","",INDEX(geo_grid!$B$2:$JU$231,INT(($N959+40)/0.5)+1,INT(($O959+30)/0.5)+1)),"OUTSIDE GRID"))</f>
        <v/>
      </c>
      <c r="Q959">
        <f>IF($P959="","",$A959*1000+$B959)</f>
        <v/>
      </c>
    </row>
    <row r="960">
      <c r="A960">
        <f>INT((ROW()-2)/151)+1</f>
        <v/>
      </c>
      <c r="B960">
        <f>MOD(ROW()-2,151)</f>
        <v/>
      </c>
      <c r="C960">
        <f t="array" ref="C960">IFERROR(INDEX('TRIP MANAGER'!$O$18:$O$25,$A960),"")</f>
        <v/>
      </c>
      <c r="D960">
        <f t="array" ref="D960">IFERROR(INDEX('TRIP MANAGER'!$P$18:$P$25,$A960),"")</f>
        <v/>
      </c>
      <c r="E960">
        <f t="array" ref="E960">IFERROR(INDEX('TRIP MANAGER'!$Q$18:$Q$25,$A960),"")</f>
        <v/>
      </c>
      <c r="F960">
        <f t="array" ref="F960">IFERROR(INDEX('TRIP MANAGER'!$R$18:$R$25,$A960),"")</f>
        <v/>
      </c>
      <c r="G960">
        <f t="array" ref="G960">IFERROR(INDEX('TRIP MANAGER'!$S$18:$S$25,$A960),"")</f>
        <v/>
      </c>
      <c r="H960">
        <f>$B960/150</f>
        <v/>
      </c>
      <c r="I960">
        <f>IF(OR($G960="",$G960=0),"",SIN((1-$H960)*$G960)/SIN($G960))</f>
        <v/>
      </c>
      <c r="J960">
        <f>IF($I960="","",SIN($H960*$G960)/SIN($G960))</f>
        <v/>
      </c>
      <c r="K960">
        <f>IF($I960="","",$I960*COS(RADIANS($C960))*COS(RADIANS($D960))+$J960*COS(RADIANS($E960))*COS(RADIANS($F960)))</f>
        <v/>
      </c>
      <c r="L960">
        <f>IF($I960="","",$I960*COS(RADIANS($C960))*SIN(RADIANS($D960))+$J960*COS(RADIANS($E960))*SIN(RADIANS($F960)))</f>
        <v/>
      </c>
      <c r="M960">
        <f>IF($I960="","",$I960*SIN(RADIANS($C960))+$J960*SIN(RADIANS($E960)))</f>
        <v/>
      </c>
      <c r="N960">
        <f>IF($M960="","",DEGREES(ATAN2(SQRT($K960^2+$L960^2),$M960)))</f>
        <v/>
      </c>
      <c r="O960">
        <f>IF($M960="","",DEGREES(ATAN2($K960,$L960)))</f>
        <v/>
      </c>
      <c r="P960">
        <f t="array" ref="P960">IF($N960="","",IFERROR(IF(INDEX(geo_grid!$B$2:$JU$231,INT(($N960+40)/0.5)+1,INT(($O960+30)/0.5)+1)="","",INDEX(geo_grid!$B$2:$JU$231,INT(($N960+40)/0.5)+1,INT(($O960+30)/0.5)+1)),"OUTSIDE GRID"))</f>
        <v/>
      </c>
      <c r="Q960">
        <f>IF($P960="","",$A960*1000+$B960)</f>
        <v/>
      </c>
    </row>
    <row r="961">
      <c r="A961">
        <f>INT((ROW()-2)/151)+1</f>
        <v/>
      </c>
      <c r="B961">
        <f>MOD(ROW()-2,151)</f>
        <v/>
      </c>
      <c r="C961">
        <f t="array" ref="C961">IFERROR(INDEX('TRIP MANAGER'!$O$18:$O$25,$A961),"")</f>
        <v/>
      </c>
      <c r="D961">
        <f t="array" ref="D961">IFERROR(INDEX('TRIP MANAGER'!$P$18:$P$25,$A961),"")</f>
        <v/>
      </c>
      <c r="E961">
        <f t="array" ref="E961">IFERROR(INDEX('TRIP MANAGER'!$Q$18:$Q$25,$A961),"")</f>
        <v/>
      </c>
      <c r="F961">
        <f t="array" ref="F961">IFERROR(INDEX('TRIP MANAGER'!$R$18:$R$25,$A961),"")</f>
        <v/>
      </c>
      <c r="G961">
        <f t="array" ref="G961">IFERROR(INDEX('TRIP MANAGER'!$S$18:$S$25,$A961),"")</f>
        <v/>
      </c>
      <c r="H961">
        <f>$B961/150</f>
        <v/>
      </c>
      <c r="I961">
        <f>IF(OR($G961="",$G961=0),"",SIN((1-$H961)*$G961)/SIN($G961))</f>
        <v/>
      </c>
      <c r="J961">
        <f>IF($I961="","",SIN($H961*$G961)/SIN($G961))</f>
        <v/>
      </c>
      <c r="K961">
        <f>IF($I961="","",$I961*COS(RADIANS($C961))*COS(RADIANS($D961))+$J961*COS(RADIANS($E961))*COS(RADIANS($F961)))</f>
        <v/>
      </c>
      <c r="L961">
        <f>IF($I961="","",$I961*COS(RADIANS($C961))*SIN(RADIANS($D961))+$J961*COS(RADIANS($E961))*SIN(RADIANS($F961)))</f>
        <v/>
      </c>
      <c r="M961">
        <f>IF($I961="","",$I961*SIN(RADIANS($C961))+$J961*SIN(RADIANS($E961)))</f>
        <v/>
      </c>
      <c r="N961">
        <f>IF($M961="","",DEGREES(ATAN2(SQRT($K961^2+$L961^2),$M961)))</f>
        <v/>
      </c>
      <c r="O961">
        <f>IF($M961="","",DEGREES(ATAN2($K961,$L961)))</f>
        <v/>
      </c>
      <c r="P961">
        <f t="array" ref="P961">IF($N961="","",IFERROR(IF(INDEX(geo_grid!$B$2:$JU$231,INT(($N961+40)/0.5)+1,INT(($O961+30)/0.5)+1)="","",INDEX(geo_grid!$B$2:$JU$231,INT(($N961+40)/0.5)+1,INT(($O961+30)/0.5)+1)),"OUTSIDE GRID"))</f>
        <v/>
      </c>
      <c r="Q961">
        <f>IF($P961="","",$A961*1000+$B961)</f>
        <v/>
      </c>
    </row>
    <row r="962">
      <c r="A962">
        <f>INT((ROW()-2)/151)+1</f>
        <v/>
      </c>
      <c r="B962">
        <f>MOD(ROW()-2,151)</f>
        <v/>
      </c>
      <c r="C962">
        <f t="array" ref="C962">IFERROR(INDEX('TRIP MANAGER'!$O$18:$O$25,$A962),"")</f>
        <v/>
      </c>
      <c r="D962">
        <f t="array" ref="D962">IFERROR(INDEX('TRIP MANAGER'!$P$18:$P$25,$A962),"")</f>
        <v/>
      </c>
      <c r="E962">
        <f t="array" ref="E962">IFERROR(INDEX('TRIP MANAGER'!$Q$18:$Q$25,$A962),"")</f>
        <v/>
      </c>
      <c r="F962">
        <f t="array" ref="F962">IFERROR(INDEX('TRIP MANAGER'!$R$18:$R$25,$A962),"")</f>
        <v/>
      </c>
      <c r="G962">
        <f t="array" ref="G962">IFERROR(INDEX('TRIP MANAGER'!$S$18:$S$25,$A962),"")</f>
        <v/>
      </c>
      <c r="H962">
        <f>$B962/150</f>
        <v/>
      </c>
      <c r="I962">
        <f>IF(OR($G962="",$G962=0),"",SIN((1-$H962)*$G962)/SIN($G962))</f>
        <v/>
      </c>
      <c r="J962">
        <f>IF($I962="","",SIN($H962*$G962)/SIN($G962))</f>
        <v/>
      </c>
      <c r="K962">
        <f>IF($I962="","",$I962*COS(RADIANS($C962))*COS(RADIANS($D962))+$J962*COS(RADIANS($E962))*COS(RADIANS($F962)))</f>
        <v/>
      </c>
      <c r="L962">
        <f>IF($I962="","",$I962*COS(RADIANS($C962))*SIN(RADIANS($D962))+$J962*COS(RADIANS($E962))*SIN(RADIANS($F962)))</f>
        <v/>
      </c>
      <c r="M962">
        <f>IF($I962="","",$I962*SIN(RADIANS($C962))+$J962*SIN(RADIANS($E962)))</f>
        <v/>
      </c>
      <c r="N962">
        <f>IF($M962="","",DEGREES(ATAN2(SQRT($K962^2+$L962^2),$M962)))</f>
        <v/>
      </c>
      <c r="O962">
        <f>IF($M962="","",DEGREES(ATAN2($K962,$L962)))</f>
        <v/>
      </c>
      <c r="P962">
        <f t="array" ref="P962">IF($N962="","",IFERROR(IF(INDEX(geo_grid!$B$2:$JU$231,INT(($N962+40)/0.5)+1,INT(($O962+30)/0.5)+1)="","",INDEX(geo_grid!$B$2:$JU$231,INT(($N962+40)/0.5)+1,INT(($O962+30)/0.5)+1)),"OUTSIDE GRID"))</f>
        <v/>
      </c>
      <c r="Q962">
        <f>IF($P962="","",$A962*1000+$B962)</f>
        <v/>
      </c>
    </row>
    <row r="963">
      <c r="A963">
        <f>INT((ROW()-2)/151)+1</f>
        <v/>
      </c>
      <c r="B963">
        <f>MOD(ROW()-2,151)</f>
        <v/>
      </c>
      <c r="C963">
        <f t="array" ref="C963">IFERROR(INDEX('TRIP MANAGER'!$O$18:$O$25,$A963),"")</f>
        <v/>
      </c>
      <c r="D963">
        <f t="array" ref="D963">IFERROR(INDEX('TRIP MANAGER'!$P$18:$P$25,$A963),"")</f>
        <v/>
      </c>
      <c r="E963">
        <f t="array" ref="E963">IFERROR(INDEX('TRIP MANAGER'!$Q$18:$Q$25,$A963),"")</f>
        <v/>
      </c>
      <c r="F963">
        <f t="array" ref="F963">IFERROR(INDEX('TRIP MANAGER'!$R$18:$R$25,$A963),"")</f>
        <v/>
      </c>
      <c r="G963">
        <f t="array" ref="G963">IFERROR(INDEX('TRIP MANAGER'!$S$18:$S$25,$A963),"")</f>
        <v/>
      </c>
      <c r="H963">
        <f>$B963/150</f>
        <v/>
      </c>
      <c r="I963">
        <f>IF(OR($G963="",$G963=0),"",SIN((1-$H963)*$G963)/SIN($G963))</f>
        <v/>
      </c>
      <c r="J963">
        <f>IF($I963="","",SIN($H963*$G963)/SIN($G963))</f>
        <v/>
      </c>
      <c r="K963">
        <f>IF($I963="","",$I963*COS(RADIANS($C963))*COS(RADIANS($D963))+$J963*COS(RADIANS($E963))*COS(RADIANS($F963)))</f>
        <v/>
      </c>
      <c r="L963">
        <f>IF($I963="","",$I963*COS(RADIANS($C963))*SIN(RADIANS($D963))+$J963*COS(RADIANS($E963))*SIN(RADIANS($F963)))</f>
        <v/>
      </c>
      <c r="M963">
        <f>IF($I963="","",$I963*SIN(RADIANS($C963))+$J963*SIN(RADIANS($E963)))</f>
        <v/>
      </c>
      <c r="N963">
        <f>IF($M963="","",DEGREES(ATAN2(SQRT($K963^2+$L963^2),$M963)))</f>
        <v/>
      </c>
      <c r="O963">
        <f>IF($M963="","",DEGREES(ATAN2($K963,$L963)))</f>
        <v/>
      </c>
      <c r="P963">
        <f t="array" ref="P963">IF($N963="","",IFERROR(IF(INDEX(geo_grid!$B$2:$JU$231,INT(($N963+40)/0.5)+1,INT(($O963+30)/0.5)+1)="","",INDEX(geo_grid!$B$2:$JU$231,INT(($N963+40)/0.5)+1,INT(($O963+30)/0.5)+1)),"OUTSIDE GRID"))</f>
        <v/>
      </c>
      <c r="Q963">
        <f>IF($P963="","",$A963*1000+$B963)</f>
        <v/>
      </c>
    </row>
    <row r="964">
      <c r="A964">
        <f>INT((ROW()-2)/151)+1</f>
        <v/>
      </c>
      <c r="B964">
        <f>MOD(ROW()-2,151)</f>
        <v/>
      </c>
      <c r="C964">
        <f t="array" ref="C964">IFERROR(INDEX('TRIP MANAGER'!$O$18:$O$25,$A964),"")</f>
        <v/>
      </c>
      <c r="D964">
        <f t="array" ref="D964">IFERROR(INDEX('TRIP MANAGER'!$P$18:$P$25,$A964),"")</f>
        <v/>
      </c>
      <c r="E964">
        <f t="array" ref="E964">IFERROR(INDEX('TRIP MANAGER'!$Q$18:$Q$25,$A964),"")</f>
        <v/>
      </c>
      <c r="F964">
        <f t="array" ref="F964">IFERROR(INDEX('TRIP MANAGER'!$R$18:$R$25,$A964),"")</f>
        <v/>
      </c>
      <c r="G964">
        <f t="array" ref="G964">IFERROR(INDEX('TRIP MANAGER'!$S$18:$S$25,$A964),"")</f>
        <v/>
      </c>
      <c r="H964">
        <f>$B964/150</f>
        <v/>
      </c>
      <c r="I964">
        <f>IF(OR($G964="",$G964=0),"",SIN((1-$H964)*$G964)/SIN($G964))</f>
        <v/>
      </c>
      <c r="J964">
        <f>IF($I964="","",SIN($H964*$G964)/SIN($G964))</f>
        <v/>
      </c>
      <c r="K964">
        <f>IF($I964="","",$I964*COS(RADIANS($C964))*COS(RADIANS($D964))+$J964*COS(RADIANS($E964))*COS(RADIANS($F964)))</f>
        <v/>
      </c>
      <c r="L964">
        <f>IF($I964="","",$I964*COS(RADIANS($C964))*SIN(RADIANS($D964))+$J964*COS(RADIANS($E964))*SIN(RADIANS($F964)))</f>
        <v/>
      </c>
      <c r="M964">
        <f>IF($I964="","",$I964*SIN(RADIANS($C964))+$J964*SIN(RADIANS($E964)))</f>
        <v/>
      </c>
      <c r="N964">
        <f>IF($M964="","",DEGREES(ATAN2(SQRT($K964^2+$L964^2),$M964)))</f>
        <v/>
      </c>
      <c r="O964">
        <f>IF($M964="","",DEGREES(ATAN2($K964,$L964)))</f>
        <v/>
      </c>
      <c r="P964">
        <f t="array" ref="P964">IF($N964="","",IFERROR(IF(INDEX(geo_grid!$B$2:$JU$231,INT(($N964+40)/0.5)+1,INT(($O964+30)/0.5)+1)="","",INDEX(geo_grid!$B$2:$JU$231,INT(($N964+40)/0.5)+1,INT(($O964+30)/0.5)+1)),"OUTSIDE GRID"))</f>
        <v/>
      </c>
      <c r="Q964">
        <f>IF($P964="","",$A964*1000+$B964)</f>
        <v/>
      </c>
    </row>
    <row r="965">
      <c r="A965">
        <f>INT((ROW()-2)/151)+1</f>
        <v/>
      </c>
      <c r="B965">
        <f>MOD(ROW()-2,151)</f>
        <v/>
      </c>
      <c r="C965">
        <f t="array" ref="C965">IFERROR(INDEX('TRIP MANAGER'!$O$18:$O$25,$A965),"")</f>
        <v/>
      </c>
      <c r="D965">
        <f t="array" ref="D965">IFERROR(INDEX('TRIP MANAGER'!$P$18:$P$25,$A965),"")</f>
        <v/>
      </c>
      <c r="E965">
        <f t="array" ref="E965">IFERROR(INDEX('TRIP MANAGER'!$Q$18:$Q$25,$A965),"")</f>
        <v/>
      </c>
      <c r="F965">
        <f t="array" ref="F965">IFERROR(INDEX('TRIP MANAGER'!$R$18:$R$25,$A965),"")</f>
        <v/>
      </c>
      <c r="G965">
        <f t="array" ref="G965">IFERROR(INDEX('TRIP MANAGER'!$S$18:$S$25,$A965),"")</f>
        <v/>
      </c>
      <c r="H965">
        <f>$B965/150</f>
        <v/>
      </c>
      <c r="I965">
        <f>IF(OR($G965="",$G965=0),"",SIN((1-$H965)*$G965)/SIN($G965))</f>
        <v/>
      </c>
      <c r="J965">
        <f>IF($I965="","",SIN($H965*$G965)/SIN($G965))</f>
        <v/>
      </c>
      <c r="K965">
        <f>IF($I965="","",$I965*COS(RADIANS($C965))*COS(RADIANS($D965))+$J965*COS(RADIANS($E965))*COS(RADIANS($F965)))</f>
        <v/>
      </c>
      <c r="L965">
        <f>IF($I965="","",$I965*COS(RADIANS($C965))*SIN(RADIANS($D965))+$J965*COS(RADIANS($E965))*SIN(RADIANS($F965)))</f>
        <v/>
      </c>
      <c r="M965">
        <f>IF($I965="","",$I965*SIN(RADIANS($C965))+$J965*SIN(RADIANS($E965)))</f>
        <v/>
      </c>
      <c r="N965">
        <f>IF($M965="","",DEGREES(ATAN2(SQRT($K965^2+$L965^2),$M965)))</f>
        <v/>
      </c>
      <c r="O965">
        <f>IF($M965="","",DEGREES(ATAN2($K965,$L965)))</f>
        <v/>
      </c>
      <c r="P965">
        <f t="array" ref="P965">IF($N965="","",IFERROR(IF(INDEX(geo_grid!$B$2:$JU$231,INT(($N965+40)/0.5)+1,INT(($O965+30)/0.5)+1)="","",INDEX(geo_grid!$B$2:$JU$231,INT(($N965+40)/0.5)+1,INT(($O965+30)/0.5)+1)),"OUTSIDE GRID"))</f>
        <v/>
      </c>
      <c r="Q965">
        <f>IF($P965="","",$A965*1000+$B965)</f>
        <v/>
      </c>
    </row>
    <row r="966">
      <c r="A966">
        <f>INT((ROW()-2)/151)+1</f>
        <v/>
      </c>
      <c r="B966">
        <f>MOD(ROW()-2,151)</f>
        <v/>
      </c>
      <c r="C966">
        <f t="array" ref="C966">IFERROR(INDEX('TRIP MANAGER'!$O$18:$O$25,$A966),"")</f>
        <v/>
      </c>
      <c r="D966">
        <f t="array" ref="D966">IFERROR(INDEX('TRIP MANAGER'!$P$18:$P$25,$A966),"")</f>
        <v/>
      </c>
      <c r="E966">
        <f t="array" ref="E966">IFERROR(INDEX('TRIP MANAGER'!$Q$18:$Q$25,$A966),"")</f>
        <v/>
      </c>
      <c r="F966">
        <f t="array" ref="F966">IFERROR(INDEX('TRIP MANAGER'!$R$18:$R$25,$A966),"")</f>
        <v/>
      </c>
      <c r="G966">
        <f t="array" ref="G966">IFERROR(INDEX('TRIP MANAGER'!$S$18:$S$25,$A966),"")</f>
        <v/>
      </c>
      <c r="H966">
        <f>$B966/150</f>
        <v/>
      </c>
      <c r="I966">
        <f>IF(OR($G966="",$G966=0),"",SIN((1-$H966)*$G966)/SIN($G966))</f>
        <v/>
      </c>
      <c r="J966">
        <f>IF($I966="","",SIN($H966*$G966)/SIN($G966))</f>
        <v/>
      </c>
      <c r="K966">
        <f>IF($I966="","",$I966*COS(RADIANS($C966))*COS(RADIANS($D966))+$J966*COS(RADIANS($E966))*COS(RADIANS($F966)))</f>
        <v/>
      </c>
      <c r="L966">
        <f>IF($I966="","",$I966*COS(RADIANS($C966))*SIN(RADIANS($D966))+$J966*COS(RADIANS($E966))*SIN(RADIANS($F966)))</f>
        <v/>
      </c>
      <c r="M966">
        <f>IF($I966="","",$I966*SIN(RADIANS($C966))+$J966*SIN(RADIANS($E966)))</f>
        <v/>
      </c>
      <c r="N966">
        <f>IF($M966="","",DEGREES(ATAN2(SQRT($K966^2+$L966^2),$M966)))</f>
        <v/>
      </c>
      <c r="O966">
        <f>IF($M966="","",DEGREES(ATAN2($K966,$L966)))</f>
        <v/>
      </c>
      <c r="P966">
        <f t="array" ref="P966">IF($N966="","",IFERROR(IF(INDEX(geo_grid!$B$2:$JU$231,INT(($N966+40)/0.5)+1,INT(($O966+30)/0.5)+1)="","",INDEX(geo_grid!$B$2:$JU$231,INT(($N966+40)/0.5)+1,INT(($O966+30)/0.5)+1)),"OUTSIDE GRID"))</f>
        <v/>
      </c>
      <c r="Q966">
        <f>IF($P966="","",$A966*1000+$B966)</f>
        <v/>
      </c>
    </row>
    <row r="967">
      <c r="A967">
        <f>INT((ROW()-2)/151)+1</f>
        <v/>
      </c>
      <c r="B967">
        <f>MOD(ROW()-2,151)</f>
        <v/>
      </c>
      <c r="C967">
        <f t="array" ref="C967">IFERROR(INDEX('TRIP MANAGER'!$O$18:$O$25,$A967),"")</f>
        <v/>
      </c>
      <c r="D967">
        <f t="array" ref="D967">IFERROR(INDEX('TRIP MANAGER'!$P$18:$P$25,$A967),"")</f>
        <v/>
      </c>
      <c r="E967">
        <f t="array" ref="E967">IFERROR(INDEX('TRIP MANAGER'!$Q$18:$Q$25,$A967),"")</f>
        <v/>
      </c>
      <c r="F967">
        <f t="array" ref="F967">IFERROR(INDEX('TRIP MANAGER'!$R$18:$R$25,$A967),"")</f>
        <v/>
      </c>
      <c r="G967">
        <f t="array" ref="G967">IFERROR(INDEX('TRIP MANAGER'!$S$18:$S$25,$A967),"")</f>
        <v/>
      </c>
      <c r="H967">
        <f>$B967/150</f>
        <v/>
      </c>
      <c r="I967">
        <f>IF(OR($G967="",$G967=0),"",SIN((1-$H967)*$G967)/SIN($G967))</f>
        <v/>
      </c>
      <c r="J967">
        <f>IF($I967="","",SIN($H967*$G967)/SIN($G967))</f>
        <v/>
      </c>
      <c r="K967">
        <f>IF($I967="","",$I967*COS(RADIANS($C967))*COS(RADIANS($D967))+$J967*COS(RADIANS($E967))*COS(RADIANS($F967)))</f>
        <v/>
      </c>
      <c r="L967">
        <f>IF($I967="","",$I967*COS(RADIANS($C967))*SIN(RADIANS($D967))+$J967*COS(RADIANS($E967))*SIN(RADIANS($F967)))</f>
        <v/>
      </c>
      <c r="M967">
        <f>IF($I967="","",$I967*SIN(RADIANS($C967))+$J967*SIN(RADIANS($E967)))</f>
        <v/>
      </c>
      <c r="N967">
        <f>IF($M967="","",DEGREES(ATAN2(SQRT($K967^2+$L967^2),$M967)))</f>
        <v/>
      </c>
      <c r="O967">
        <f>IF($M967="","",DEGREES(ATAN2($K967,$L967)))</f>
        <v/>
      </c>
      <c r="P967">
        <f t="array" ref="P967">IF($N967="","",IFERROR(IF(INDEX(geo_grid!$B$2:$JU$231,INT(($N967+40)/0.5)+1,INT(($O967+30)/0.5)+1)="","",INDEX(geo_grid!$B$2:$JU$231,INT(($N967+40)/0.5)+1,INT(($O967+30)/0.5)+1)),"OUTSIDE GRID"))</f>
        <v/>
      </c>
      <c r="Q967">
        <f>IF($P967="","",$A967*1000+$B967)</f>
        <v/>
      </c>
    </row>
    <row r="968">
      <c r="A968">
        <f>INT((ROW()-2)/151)+1</f>
        <v/>
      </c>
      <c r="B968">
        <f>MOD(ROW()-2,151)</f>
        <v/>
      </c>
      <c r="C968">
        <f t="array" ref="C968">IFERROR(INDEX('TRIP MANAGER'!$O$18:$O$25,$A968),"")</f>
        <v/>
      </c>
      <c r="D968">
        <f t="array" ref="D968">IFERROR(INDEX('TRIP MANAGER'!$P$18:$P$25,$A968),"")</f>
        <v/>
      </c>
      <c r="E968">
        <f t="array" ref="E968">IFERROR(INDEX('TRIP MANAGER'!$Q$18:$Q$25,$A968),"")</f>
        <v/>
      </c>
      <c r="F968">
        <f t="array" ref="F968">IFERROR(INDEX('TRIP MANAGER'!$R$18:$R$25,$A968),"")</f>
        <v/>
      </c>
      <c r="G968">
        <f t="array" ref="G968">IFERROR(INDEX('TRIP MANAGER'!$S$18:$S$25,$A968),"")</f>
        <v/>
      </c>
      <c r="H968">
        <f>$B968/150</f>
        <v/>
      </c>
      <c r="I968">
        <f>IF(OR($G968="",$G968=0),"",SIN((1-$H968)*$G968)/SIN($G968))</f>
        <v/>
      </c>
      <c r="J968">
        <f>IF($I968="","",SIN($H968*$G968)/SIN($G968))</f>
        <v/>
      </c>
      <c r="K968">
        <f>IF($I968="","",$I968*COS(RADIANS($C968))*COS(RADIANS($D968))+$J968*COS(RADIANS($E968))*COS(RADIANS($F968)))</f>
        <v/>
      </c>
      <c r="L968">
        <f>IF($I968="","",$I968*COS(RADIANS($C968))*SIN(RADIANS($D968))+$J968*COS(RADIANS($E968))*SIN(RADIANS($F968)))</f>
        <v/>
      </c>
      <c r="M968">
        <f>IF($I968="","",$I968*SIN(RADIANS($C968))+$J968*SIN(RADIANS($E968)))</f>
        <v/>
      </c>
      <c r="N968">
        <f>IF($M968="","",DEGREES(ATAN2(SQRT($K968^2+$L968^2),$M968)))</f>
        <v/>
      </c>
      <c r="O968">
        <f>IF($M968="","",DEGREES(ATAN2($K968,$L968)))</f>
        <v/>
      </c>
      <c r="P968">
        <f t="array" ref="P968">IF($N968="","",IFERROR(IF(INDEX(geo_grid!$B$2:$JU$231,INT(($N968+40)/0.5)+1,INT(($O968+30)/0.5)+1)="","",INDEX(geo_grid!$B$2:$JU$231,INT(($N968+40)/0.5)+1,INT(($O968+30)/0.5)+1)),"OUTSIDE GRID"))</f>
        <v/>
      </c>
      <c r="Q968">
        <f>IF($P968="","",$A968*1000+$B968)</f>
        <v/>
      </c>
    </row>
    <row r="969">
      <c r="A969">
        <f>INT((ROW()-2)/151)+1</f>
        <v/>
      </c>
      <c r="B969">
        <f>MOD(ROW()-2,151)</f>
        <v/>
      </c>
      <c r="C969">
        <f t="array" ref="C969">IFERROR(INDEX('TRIP MANAGER'!$O$18:$O$25,$A969),"")</f>
        <v/>
      </c>
      <c r="D969">
        <f t="array" ref="D969">IFERROR(INDEX('TRIP MANAGER'!$P$18:$P$25,$A969),"")</f>
        <v/>
      </c>
      <c r="E969">
        <f t="array" ref="E969">IFERROR(INDEX('TRIP MANAGER'!$Q$18:$Q$25,$A969),"")</f>
        <v/>
      </c>
      <c r="F969">
        <f t="array" ref="F969">IFERROR(INDEX('TRIP MANAGER'!$R$18:$R$25,$A969),"")</f>
        <v/>
      </c>
      <c r="G969">
        <f t="array" ref="G969">IFERROR(INDEX('TRIP MANAGER'!$S$18:$S$25,$A969),"")</f>
        <v/>
      </c>
      <c r="H969">
        <f>$B969/150</f>
        <v/>
      </c>
      <c r="I969">
        <f>IF(OR($G969="",$G969=0),"",SIN((1-$H969)*$G969)/SIN($G969))</f>
        <v/>
      </c>
      <c r="J969">
        <f>IF($I969="","",SIN($H969*$G969)/SIN($G969))</f>
        <v/>
      </c>
      <c r="K969">
        <f>IF($I969="","",$I969*COS(RADIANS($C969))*COS(RADIANS($D969))+$J969*COS(RADIANS($E969))*COS(RADIANS($F969)))</f>
        <v/>
      </c>
      <c r="L969">
        <f>IF($I969="","",$I969*COS(RADIANS($C969))*SIN(RADIANS($D969))+$J969*COS(RADIANS($E969))*SIN(RADIANS($F969)))</f>
        <v/>
      </c>
      <c r="M969">
        <f>IF($I969="","",$I969*SIN(RADIANS($C969))+$J969*SIN(RADIANS($E969)))</f>
        <v/>
      </c>
      <c r="N969">
        <f>IF($M969="","",DEGREES(ATAN2(SQRT($K969^2+$L969^2),$M969)))</f>
        <v/>
      </c>
      <c r="O969">
        <f>IF($M969="","",DEGREES(ATAN2($K969,$L969)))</f>
        <v/>
      </c>
      <c r="P969">
        <f t="array" ref="P969">IF($N969="","",IFERROR(IF(INDEX(geo_grid!$B$2:$JU$231,INT(($N969+40)/0.5)+1,INT(($O969+30)/0.5)+1)="","",INDEX(geo_grid!$B$2:$JU$231,INT(($N969+40)/0.5)+1,INT(($O969+30)/0.5)+1)),"OUTSIDE GRID"))</f>
        <v/>
      </c>
      <c r="Q969">
        <f>IF($P969="","",$A969*1000+$B969)</f>
        <v/>
      </c>
    </row>
    <row r="970">
      <c r="A970">
        <f>INT((ROW()-2)/151)+1</f>
        <v/>
      </c>
      <c r="B970">
        <f>MOD(ROW()-2,151)</f>
        <v/>
      </c>
      <c r="C970">
        <f t="array" ref="C970">IFERROR(INDEX('TRIP MANAGER'!$O$18:$O$25,$A970),"")</f>
        <v/>
      </c>
      <c r="D970">
        <f t="array" ref="D970">IFERROR(INDEX('TRIP MANAGER'!$P$18:$P$25,$A970),"")</f>
        <v/>
      </c>
      <c r="E970">
        <f t="array" ref="E970">IFERROR(INDEX('TRIP MANAGER'!$Q$18:$Q$25,$A970),"")</f>
        <v/>
      </c>
      <c r="F970">
        <f t="array" ref="F970">IFERROR(INDEX('TRIP MANAGER'!$R$18:$R$25,$A970),"")</f>
        <v/>
      </c>
      <c r="G970">
        <f t="array" ref="G970">IFERROR(INDEX('TRIP MANAGER'!$S$18:$S$25,$A970),"")</f>
        <v/>
      </c>
      <c r="H970">
        <f>$B970/150</f>
        <v/>
      </c>
      <c r="I970">
        <f>IF(OR($G970="",$G970=0),"",SIN((1-$H970)*$G970)/SIN($G970))</f>
        <v/>
      </c>
      <c r="J970">
        <f>IF($I970="","",SIN($H970*$G970)/SIN($G970))</f>
        <v/>
      </c>
      <c r="K970">
        <f>IF($I970="","",$I970*COS(RADIANS($C970))*COS(RADIANS($D970))+$J970*COS(RADIANS($E970))*COS(RADIANS($F970)))</f>
        <v/>
      </c>
      <c r="L970">
        <f>IF($I970="","",$I970*COS(RADIANS($C970))*SIN(RADIANS($D970))+$J970*COS(RADIANS($E970))*SIN(RADIANS($F970)))</f>
        <v/>
      </c>
      <c r="M970">
        <f>IF($I970="","",$I970*SIN(RADIANS($C970))+$J970*SIN(RADIANS($E970)))</f>
        <v/>
      </c>
      <c r="N970">
        <f>IF($M970="","",DEGREES(ATAN2(SQRT($K970^2+$L970^2),$M970)))</f>
        <v/>
      </c>
      <c r="O970">
        <f>IF($M970="","",DEGREES(ATAN2($K970,$L970)))</f>
        <v/>
      </c>
      <c r="P970">
        <f t="array" ref="P970">IF($N970="","",IFERROR(IF(INDEX(geo_grid!$B$2:$JU$231,INT(($N970+40)/0.5)+1,INT(($O970+30)/0.5)+1)="","",INDEX(geo_grid!$B$2:$JU$231,INT(($N970+40)/0.5)+1,INT(($O970+30)/0.5)+1)),"OUTSIDE GRID"))</f>
        <v/>
      </c>
      <c r="Q970">
        <f>IF($P970="","",$A970*1000+$B970)</f>
        <v/>
      </c>
    </row>
    <row r="971">
      <c r="A971">
        <f>INT((ROW()-2)/151)+1</f>
        <v/>
      </c>
      <c r="B971">
        <f>MOD(ROW()-2,151)</f>
        <v/>
      </c>
      <c r="C971">
        <f t="array" ref="C971">IFERROR(INDEX('TRIP MANAGER'!$O$18:$O$25,$A971),"")</f>
        <v/>
      </c>
      <c r="D971">
        <f t="array" ref="D971">IFERROR(INDEX('TRIP MANAGER'!$P$18:$P$25,$A971),"")</f>
        <v/>
      </c>
      <c r="E971">
        <f t="array" ref="E971">IFERROR(INDEX('TRIP MANAGER'!$Q$18:$Q$25,$A971),"")</f>
        <v/>
      </c>
      <c r="F971">
        <f t="array" ref="F971">IFERROR(INDEX('TRIP MANAGER'!$R$18:$R$25,$A971),"")</f>
        <v/>
      </c>
      <c r="G971">
        <f t="array" ref="G971">IFERROR(INDEX('TRIP MANAGER'!$S$18:$S$25,$A971),"")</f>
        <v/>
      </c>
      <c r="H971">
        <f>$B971/150</f>
        <v/>
      </c>
      <c r="I971">
        <f>IF(OR($G971="",$G971=0),"",SIN((1-$H971)*$G971)/SIN($G971))</f>
        <v/>
      </c>
      <c r="J971">
        <f>IF($I971="","",SIN($H971*$G971)/SIN($G971))</f>
        <v/>
      </c>
      <c r="K971">
        <f>IF($I971="","",$I971*COS(RADIANS($C971))*COS(RADIANS($D971))+$J971*COS(RADIANS($E971))*COS(RADIANS($F971)))</f>
        <v/>
      </c>
      <c r="L971">
        <f>IF($I971="","",$I971*COS(RADIANS($C971))*SIN(RADIANS($D971))+$J971*COS(RADIANS($E971))*SIN(RADIANS($F971)))</f>
        <v/>
      </c>
      <c r="M971">
        <f>IF($I971="","",$I971*SIN(RADIANS($C971))+$J971*SIN(RADIANS($E971)))</f>
        <v/>
      </c>
      <c r="N971">
        <f>IF($M971="","",DEGREES(ATAN2(SQRT($K971^2+$L971^2),$M971)))</f>
        <v/>
      </c>
      <c r="O971">
        <f>IF($M971="","",DEGREES(ATAN2($K971,$L971)))</f>
        <v/>
      </c>
      <c r="P971">
        <f t="array" ref="P971">IF($N971="","",IFERROR(IF(INDEX(geo_grid!$B$2:$JU$231,INT(($N971+40)/0.5)+1,INT(($O971+30)/0.5)+1)="","",INDEX(geo_grid!$B$2:$JU$231,INT(($N971+40)/0.5)+1,INT(($O971+30)/0.5)+1)),"OUTSIDE GRID"))</f>
        <v/>
      </c>
      <c r="Q971">
        <f>IF($P971="","",$A971*1000+$B971)</f>
        <v/>
      </c>
    </row>
    <row r="972">
      <c r="A972">
        <f>INT((ROW()-2)/151)+1</f>
        <v/>
      </c>
      <c r="B972">
        <f>MOD(ROW()-2,151)</f>
        <v/>
      </c>
      <c r="C972">
        <f t="array" ref="C972">IFERROR(INDEX('TRIP MANAGER'!$O$18:$O$25,$A972),"")</f>
        <v/>
      </c>
      <c r="D972">
        <f t="array" ref="D972">IFERROR(INDEX('TRIP MANAGER'!$P$18:$P$25,$A972),"")</f>
        <v/>
      </c>
      <c r="E972">
        <f t="array" ref="E972">IFERROR(INDEX('TRIP MANAGER'!$Q$18:$Q$25,$A972),"")</f>
        <v/>
      </c>
      <c r="F972">
        <f t="array" ref="F972">IFERROR(INDEX('TRIP MANAGER'!$R$18:$R$25,$A972),"")</f>
        <v/>
      </c>
      <c r="G972">
        <f t="array" ref="G972">IFERROR(INDEX('TRIP MANAGER'!$S$18:$S$25,$A972),"")</f>
        <v/>
      </c>
      <c r="H972">
        <f>$B972/150</f>
        <v/>
      </c>
      <c r="I972">
        <f>IF(OR($G972="",$G972=0),"",SIN((1-$H972)*$G972)/SIN($G972))</f>
        <v/>
      </c>
      <c r="J972">
        <f>IF($I972="","",SIN($H972*$G972)/SIN($G972))</f>
        <v/>
      </c>
      <c r="K972">
        <f>IF($I972="","",$I972*COS(RADIANS($C972))*COS(RADIANS($D972))+$J972*COS(RADIANS($E972))*COS(RADIANS($F972)))</f>
        <v/>
      </c>
      <c r="L972">
        <f>IF($I972="","",$I972*COS(RADIANS($C972))*SIN(RADIANS($D972))+$J972*COS(RADIANS($E972))*SIN(RADIANS($F972)))</f>
        <v/>
      </c>
      <c r="M972">
        <f>IF($I972="","",$I972*SIN(RADIANS($C972))+$J972*SIN(RADIANS($E972)))</f>
        <v/>
      </c>
      <c r="N972">
        <f>IF($M972="","",DEGREES(ATAN2(SQRT($K972^2+$L972^2),$M972)))</f>
        <v/>
      </c>
      <c r="O972">
        <f>IF($M972="","",DEGREES(ATAN2($K972,$L972)))</f>
        <v/>
      </c>
      <c r="P972">
        <f t="array" ref="P972">IF($N972="","",IFERROR(IF(INDEX(geo_grid!$B$2:$JU$231,INT(($N972+40)/0.5)+1,INT(($O972+30)/0.5)+1)="","",INDEX(geo_grid!$B$2:$JU$231,INT(($N972+40)/0.5)+1,INT(($O972+30)/0.5)+1)),"OUTSIDE GRID"))</f>
        <v/>
      </c>
      <c r="Q972">
        <f>IF($P972="","",$A972*1000+$B972)</f>
        <v/>
      </c>
    </row>
    <row r="973">
      <c r="A973">
        <f>INT((ROW()-2)/151)+1</f>
        <v/>
      </c>
      <c r="B973">
        <f>MOD(ROW()-2,151)</f>
        <v/>
      </c>
      <c r="C973">
        <f t="array" ref="C973">IFERROR(INDEX('TRIP MANAGER'!$O$18:$O$25,$A973),"")</f>
        <v/>
      </c>
      <c r="D973">
        <f t="array" ref="D973">IFERROR(INDEX('TRIP MANAGER'!$P$18:$P$25,$A973),"")</f>
        <v/>
      </c>
      <c r="E973">
        <f t="array" ref="E973">IFERROR(INDEX('TRIP MANAGER'!$Q$18:$Q$25,$A973),"")</f>
        <v/>
      </c>
      <c r="F973">
        <f t="array" ref="F973">IFERROR(INDEX('TRIP MANAGER'!$R$18:$R$25,$A973),"")</f>
        <v/>
      </c>
      <c r="G973">
        <f t="array" ref="G973">IFERROR(INDEX('TRIP MANAGER'!$S$18:$S$25,$A973),"")</f>
        <v/>
      </c>
      <c r="H973">
        <f>$B973/150</f>
        <v/>
      </c>
      <c r="I973">
        <f>IF(OR($G973="",$G973=0),"",SIN((1-$H973)*$G973)/SIN($G973))</f>
        <v/>
      </c>
      <c r="J973">
        <f>IF($I973="","",SIN($H973*$G973)/SIN($G973))</f>
        <v/>
      </c>
      <c r="K973">
        <f>IF($I973="","",$I973*COS(RADIANS($C973))*COS(RADIANS($D973))+$J973*COS(RADIANS($E973))*COS(RADIANS($F973)))</f>
        <v/>
      </c>
      <c r="L973">
        <f>IF($I973="","",$I973*COS(RADIANS($C973))*SIN(RADIANS($D973))+$J973*COS(RADIANS($E973))*SIN(RADIANS($F973)))</f>
        <v/>
      </c>
      <c r="M973">
        <f>IF($I973="","",$I973*SIN(RADIANS($C973))+$J973*SIN(RADIANS($E973)))</f>
        <v/>
      </c>
      <c r="N973">
        <f>IF($M973="","",DEGREES(ATAN2(SQRT($K973^2+$L973^2),$M973)))</f>
        <v/>
      </c>
      <c r="O973">
        <f>IF($M973="","",DEGREES(ATAN2($K973,$L973)))</f>
        <v/>
      </c>
      <c r="P973">
        <f t="array" ref="P973">IF($N973="","",IFERROR(IF(INDEX(geo_grid!$B$2:$JU$231,INT(($N973+40)/0.5)+1,INT(($O973+30)/0.5)+1)="","",INDEX(geo_grid!$B$2:$JU$231,INT(($N973+40)/0.5)+1,INT(($O973+30)/0.5)+1)),"OUTSIDE GRID"))</f>
        <v/>
      </c>
      <c r="Q973">
        <f>IF($P973="","",$A973*1000+$B973)</f>
        <v/>
      </c>
    </row>
    <row r="974">
      <c r="A974">
        <f>INT((ROW()-2)/151)+1</f>
        <v/>
      </c>
      <c r="B974">
        <f>MOD(ROW()-2,151)</f>
        <v/>
      </c>
      <c r="C974">
        <f t="array" ref="C974">IFERROR(INDEX('TRIP MANAGER'!$O$18:$O$25,$A974),"")</f>
        <v/>
      </c>
      <c r="D974">
        <f t="array" ref="D974">IFERROR(INDEX('TRIP MANAGER'!$P$18:$P$25,$A974),"")</f>
        <v/>
      </c>
      <c r="E974">
        <f t="array" ref="E974">IFERROR(INDEX('TRIP MANAGER'!$Q$18:$Q$25,$A974),"")</f>
        <v/>
      </c>
      <c r="F974">
        <f t="array" ref="F974">IFERROR(INDEX('TRIP MANAGER'!$R$18:$R$25,$A974),"")</f>
        <v/>
      </c>
      <c r="G974">
        <f t="array" ref="G974">IFERROR(INDEX('TRIP MANAGER'!$S$18:$S$25,$A974),"")</f>
        <v/>
      </c>
      <c r="H974">
        <f>$B974/150</f>
        <v/>
      </c>
      <c r="I974">
        <f>IF(OR($G974="",$G974=0),"",SIN((1-$H974)*$G974)/SIN($G974))</f>
        <v/>
      </c>
      <c r="J974">
        <f>IF($I974="","",SIN($H974*$G974)/SIN($G974))</f>
        <v/>
      </c>
      <c r="K974">
        <f>IF($I974="","",$I974*COS(RADIANS($C974))*COS(RADIANS($D974))+$J974*COS(RADIANS($E974))*COS(RADIANS($F974)))</f>
        <v/>
      </c>
      <c r="L974">
        <f>IF($I974="","",$I974*COS(RADIANS($C974))*SIN(RADIANS($D974))+$J974*COS(RADIANS($E974))*SIN(RADIANS($F974)))</f>
        <v/>
      </c>
      <c r="M974">
        <f>IF($I974="","",$I974*SIN(RADIANS($C974))+$J974*SIN(RADIANS($E974)))</f>
        <v/>
      </c>
      <c r="N974">
        <f>IF($M974="","",DEGREES(ATAN2(SQRT($K974^2+$L974^2),$M974)))</f>
        <v/>
      </c>
      <c r="O974">
        <f>IF($M974="","",DEGREES(ATAN2($K974,$L974)))</f>
        <v/>
      </c>
      <c r="P974">
        <f t="array" ref="P974">IF($N974="","",IFERROR(IF(INDEX(geo_grid!$B$2:$JU$231,INT(($N974+40)/0.5)+1,INT(($O974+30)/0.5)+1)="","",INDEX(geo_grid!$B$2:$JU$231,INT(($N974+40)/0.5)+1,INT(($O974+30)/0.5)+1)),"OUTSIDE GRID"))</f>
        <v/>
      </c>
      <c r="Q974">
        <f>IF($P974="","",$A974*1000+$B974)</f>
        <v/>
      </c>
    </row>
    <row r="975">
      <c r="A975">
        <f>INT((ROW()-2)/151)+1</f>
        <v/>
      </c>
      <c r="B975">
        <f>MOD(ROW()-2,151)</f>
        <v/>
      </c>
      <c r="C975">
        <f t="array" ref="C975">IFERROR(INDEX('TRIP MANAGER'!$O$18:$O$25,$A975),"")</f>
        <v/>
      </c>
      <c r="D975">
        <f t="array" ref="D975">IFERROR(INDEX('TRIP MANAGER'!$P$18:$P$25,$A975),"")</f>
        <v/>
      </c>
      <c r="E975">
        <f t="array" ref="E975">IFERROR(INDEX('TRIP MANAGER'!$Q$18:$Q$25,$A975),"")</f>
        <v/>
      </c>
      <c r="F975">
        <f t="array" ref="F975">IFERROR(INDEX('TRIP MANAGER'!$R$18:$R$25,$A975),"")</f>
        <v/>
      </c>
      <c r="G975">
        <f t="array" ref="G975">IFERROR(INDEX('TRIP MANAGER'!$S$18:$S$25,$A975),"")</f>
        <v/>
      </c>
      <c r="H975">
        <f>$B975/150</f>
        <v/>
      </c>
      <c r="I975">
        <f>IF(OR($G975="",$G975=0),"",SIN((1-$H975)*$G975)/SIN($G975))</f>
        <v/>
      </c>
      <c r="J975">
        <f>IF($I975="","",SIN($H975*$G975)/SIN($G975))</f>
        <v/>
      </c>
      <c r="K975">
        <f>IF($I975="","",$I975*COS(RADIANS($C975))*COS(RADIANS($D975))+$J975*COS(RADIANS($E975))*COS(RADIANS($F975)))</f>
        <v/>
      </c>
      <c r="L975">
        <f>IF($I975="","",$I975*COS(RADIANS($C975))*SIN(RADIANS($D975))+$J975*COS(RADIANS($E975))*SIN(RADIANS($F975)))</f>
        <v/>
      </c>
      <c r="M975">
        <f>IF($I975="","",$I975*SIN(RADIANS($C975))+$J975*SIN(RADIANS($E975)))</f>
        <v/>
      </c>
      <c r="N975">
        <f>IF($M975="","",DEGREES(ATAN2(SQRT($K975^2+$L975^2),$M975)))</f>
        <v/>
      </c>
      <c r="O975">
        <f>IF($M975="","",DEGREES(ATAN2($K975,$L975)))</f>
        <v/>
      </c>
      <c r="P975">
        <f t="array" ref="P975">IF($N975="","",IFERROR(IF(INDEX(geo_grid!$B$2:$JU$231,INT(($N975+40)/0.5)+1,INT(($O975+30)/0.5)+1)="","",INDEX(geo_grid!$B$2:$JU$231,INT(($N975+40)/0.5)+1,INT(($O975+30)/0.5)+1)),"OUTSIDE GRID"))</f>
        <v/>
      </c>
      <c r="Q975">
        <f>IF($P975="","",$A975*1000+$B975)</f>
        <v/>
      </c>
    </row>
    <row r="976">
      <c r="A976">
        <f>INT((ROW()-2)/151)+1</f>
        <v/>
      </c>
      <c r="B976">
        <f>MOD(ROW()-2,151)</f>
        <v/>
      </c>
      <c r="C976">
        <f t="array" ref="C976">IFERROR(INDEX('TRIP MANAGER'!$O$18:$O$25,$A976),"")</f>
        <v/>
      </c>
      <c r="D976">
        <f t="array" ref="D976">IFERROR(INDEX('TRIP MANAGER'!$P$18:$P$25,$A976),"")</f>
        <v/>
      </c>
      <c r="E976">
        <f t="array" ref="E976">IFERROR(INDEX('TRIP MANAGER'!$Q$18:$Q$25,$A976),"")</f>
        <v/>
      </c>
      <c r="F976">
        <f t="array" ref="F976">IFERROR(INDEX('TRIP MANAGER'!$R$18:$R$25,$A976),"")</f>
        <v/>
      </c>
      <c r="G976">
        <f t="array" ref="G976">IFERROR(INDEX('TRIP MANAGER'!$S$18:$S$25,$A976),"")</f>
        <v/>
      </c>
      <c r="H976">
        <f>$B976/150</f>
        <v/>
      </c>
      <c r="I976">
        <f>IF(OR($G976="",$G976=0),"",SIN((1-$H976)*$G976)/SIN($G976))</f>
        <v/>
      </c>
      <c r="J976">
        <f>IF($I976="","",SIN($H976*$G976)/SIN($G976))</f>
        <v/>
      </c>
      <c r="K976">
        <f>IF($I976="","",$I976*COS(RADIANS($C976))*COS(RADIANS($D976))+$J976*COS(RADIANS($E976))*COS(RADIANS($F976)))</f>
        <v/>
      </c>
      <c r="L976">
        <f>IF($I976="","",$I976*COS(RADIANS($C976))*SIN(RADIANS($D976))+$J976*COS(RADIANS($E976))*SIN(RADIANS($F976)))</f>
        <v/>
      </c>
      <c r="M976">
        <f>IF($I976="","",$I976*SIN(RADIANS($C976))+$J976*SIN(RADIANS($E976)))</f>
        <v/>
      </c>
      <c r="N976">
        <f>IF($M976="","",DEGREES(ATAN2(SQRT($K976^2+$L976^2),$M976)))</f>
        <v/>
      </c>
      <c r="O976">
        <f>IF($M976="","",DEGREES(ATAN2($K976,$L976)))</f>
        <v/>
      </c>
      <c r="P976">
        <f t="array" ref="P976">IF($N976="","",IFERROR(IF(INDEX(geo_grid!$B$2:$JU$231,INT(($N976+40)/0.5)+1,INT(($O976+30)/0.5)+1)="","",INDEX(geo_grid!$B$2:$JU$231,INT(($N976+40)/0.5)+1,INT(($O976+30)/0.5)+1)),"OUTSIDE GRID"))</f>
        <v/>
      </c>
      <c r="Q976">
        <f>IF($P976="","",$A976*1000+$B976)</f>
        <v/>
      </c>
    </row>
    <row r="977">
      <c r="A977">
        <f>INT((ROW()-2)/151)+1</f>
        <v/>
      </c>
      <c r="B977">
        <f>MOD(ROW()-2,151)</f>
        <v/>
      </c>
      <c r="C977">
        <f t="array" ref="C977">IFERROR(INDEX('TRIP MANAGER'!$O$18:$O$25,$A977),"")</f>
        <v/>
      </c>
      <c r="D977">
        <f t="array" ref="D977">IFERROR(INDEX('TRIP MANAGER'!$P$18:$P$25,$A977),"")</f>
        <v/>
      </c>
      <c r="E977">
        <f t="array" ref="E977">IFERROR(INDEX('TRIP MANAGER'!$Q$18:$Q$25,$A977),"")</f>
        <v/>
      </c>
      <c r="F977">
        <f t="array" ref="F977">IFERROR(INDEX('TRIP MANAGER'!$R$18:$R$25,$A977),"")</f>
        <v/>
      </c>
      <c r="G977">
        <f t="array" ref="G977">IFERROR(INDEX('TRIP MANAGER'!$S$18:$S$25,$A977),"")</f>
        <v/>
      </c>
      <c r="H977">
        <f>$B977/150</f>
        <v/>
      </c>
      <c r="I977">
        <f>IF(OR($G977="",$G977=0),"",SIN((1-$H977)*$G977)/SIN($G977))</f>
        <v/>
      </c>
      <c r="J977">
        <f>IF($I977="","",SIN($H977*$G977)/SIN($G977))</f>
        <v/>
      </c>
      <c r="K977">
        <f>IF($I977="","",$I977*COS(RADIANS($C977))*COS(RADIANS($D977))+$J977*COS(RADIANS($E977))*COS(RADIANS($F977)))</f>
        <v/>
      </c>
      <c r="L977">
        <f>IF($I977="","",$I977*COS(RADIANS($C977))*SIN(RADIANS($D977))+$J977*COS(RADIANS($E977))*SIN(RADIANS($F977)))</f>
        <v/>
      </c>
      <c r="M977">
        <f>IF($I977="","",$I977*SIN(RADIANS($C977))+$J977*SIN(RADIANS($E977)))</f>
        <v/>
      </c>
      <c r="N977">
        <f>IF($M977="","",DEGREES(ATAN2(SQRT($K977^2+$L977^2),$M977)))</f>
        <v/>
      </c>
      <c r="O977">
        <f>IF($M977="","",DEGREES(ATAN2($K977,$L977)))</f>
        <v/>
      </c>
      <c r="P977">
        <f t="array" ref="P977">IF($N977="","",IFERROR(IF(INDEX(geo_grid!$B$2:$JU$231,INT(($N977+40)/0.5)+1,INT(($O977+30)/0.5)+1)="","",INDEX(geo_grid!$B$2:$JU$231,INT(($N977+40)/0.5)+1,INT(($O977+30)/0.5)+1)),"OUTSIDE GRID"))</f>
        <v/>
      </c>
      <c r="Q977">
        <f>IF($P977="","",$A977*1000+$B977)</f>
        <v/>
      </c>
    </row>
    <row r="978">
      <c r="A978">
        <f>INT((ROW()-2)/151)+1</f>
        <v/>
      </c>
      <c r="B978">
        <f>MOD(ROW()-2,151)</f>
        <v/>
      </c>
      <c r="C978">
        <f t="array" ref="C978">IFERROR(INDEX('TRIP MANAGER'!$O$18:$O$25,$A978),"")</f>
        <v/>
      </c>
      <c r="D978">
        <f t="array" ref="D978">IFERROR(INDEX('TRIP MANAGER'!$P$18:$P$25,$A978),"")</f>
        <v/>
      </c>
      <c r="E978">
        <f t="array" ref="E978">IFERROR(INDEX('TRIP MANAGER'!$Q$18:$Q$25,$A978),"")</f>
        <v/>
      </c>
      <c r="F978">
        <f t="array" ref="F978">IFERROR(INDEX('TRIP MANAGER'!$R$18:$R$25,$A978),"")</f>
        <v/>
      </c>
      <c r="G978">
        <f t="array" ref="G978">IFERROR(INDEX('TRIP MANAGER'!$S$18:$S$25,$A978),"")</f>
        <v/>
      </c>
      <c r="H978">
        <f>$B978/150</f>
        <v/>
      </c>
      <c r="I978">
        <f>IF(OR($G978="",$G978=0),"",SIN((1-$H978)*$G978)/SIN($G978))</f>
        <v/>
      </c>
      <c r="J978">
        <f>IF($I978="","",SIN($H978*$G978)/SIN($G978))</f>
        <v/>
      </c>
      <c r="K978">
        <f>IF($I978="","",$I978*COS(RADIANS($C978))*COS(RADIANS($D978))+$J978*COS(RADIANS($E978))*COS(RADIANS($F978)))</f>
        <v/>
      </c>
      <c r="L978">
        <f>IF($I978="","",$I978*COS(RADIANS($C978))*SIN(RADIANS($D978))+$J978*COS(RADIANS($E978))*SIN(RADIANS($F978)))</f>
        <v/>
      </c>
      <c r="M978">
        <f>IF($I978="","",$I978*SIN(RADIANS($C978))+$J978*SIN(RADIANS($E978)))</f>
        <v/>
      </c>
      <c r="N978">
        <f>IF($M978="","",DEGREES(ATAN2(SQRT($K978^2+$L978^2),$M978)))</f>
        <v/>
      </c>
      <c r="O978">
        <f>IF($M978="","",DEGREES(ATAN2($K978,$L978)))</f>
        <v/>
      </c>
      <c r="P978">
        <f t="array" ref="P978">IF($N978="","",IFERROR(IF(INDEX(geo_grid!$B$2:$JU$231,INT(($N978+40)/0.5)+1,INT(($O978+30)/0.5)+1)="","",INDEX(geo_grid!$B$2:$JU$231,INT(($N978+40)/0.5)+1,INT(($O978+30)/0.5)+1)),"OUTSIDE GRID"))</f>
        <v/>
      </c>
      <c r="Q978">
        <f>IF($P978="","",$A978*1000+$B978)</f>
        <v/>
      </c>
    </row>
    <row r="979">
      <c r="A979">
        <f>INT((ROW()-2)/151)+1</f>
        <v/>
      </c>
      <c r="B979">
        <f>MOD(ROW()-2,151)</f>
        <v/>
      </c>
      <c r="C979">
        <f t="array" ref="C979">IFERROR(INDEX('TRIP MANAGER'!$O$18:$O$25,$A979),"")</f>
        <v/>
      </c>
      <c r="D979">
        <f t="array" ref="D979">IFERROR(INDEX('TRIP MANAGER'!$P$18:$P$25,$A979),"")</f>
        <v/>
      </c>
      <c r="E979">
        <f t="array" ref="E979">IFERROR(INDEX('TRIP MANAGER'!$Q$18:$Q$25,$A979),"")</f>
        <v/>
      </c>
      <c r="F979">
        <f t="array" ref="F979">IFERROR(INDEX('TRIP MANAGER'!$R$18:$R$25,$A979),"")</f>
        <v/>
      </c>
      <c r="G979">
        <f t="array" ref="G979">IFERROR(INDEX('TRIP MANAGER'!$S$18:$S$25,$A979),"")</f>
        <v/>
      </c>
      <c r="H979">
        <f>$B979/150</f>
        <v/>
      </c>
      <c r="I979">
        <f>IF(OR($G979="",$G979=0),"",SIN((1-$H979)*$G979)/SIN($G979))</f>
        <v/>
      </c>
      <c r="J979">
        <f>IF($I979="","",SIN($H979*$G979)/SIN($G979))</f>
        <v/>
      </c>
      <c r="K979">
        <f>IF($I979="","",$I979*COS(RADIANS($C979))*COS(RADIANS($D979))+$J979*COS(RADIANS($E979))*COS(RADIANS($F979)))</f>
        <v/>
      </c>
      <c r="L979">
        <f>IF($I979="","",$I979*COS(RADIANS($C979))*SIN(RADIANS($D979))+$J979*COS(RADIANS($E979))*SIN(RADIANS($F979)))</f>
        <v/>
      </c>
      <c r="M979">
        <f>IF($I979="","",$I979*SIN(RADIANS($C979))+$J979*SIN(RADIANS($E979)))</f>
        <v/>
      </c>
      <c r="N979">
        <f>IF($M979="","",DEGREES(ATAN2(SQRT($K979^2+$L979^2),$M979)))</f>
        <v/>
      </c>
      <c r="O979">
        <f>IF($M979="","",DEGREES(ATAN2($K979,$L979)))</f>
        <v/>
      </c>
      <c r="P979">
        <f t="array" ref="P979">IF($N979="","",IFERROR(IF(INDEX(geo_grid!$B$2:$JU$231,INT(($N979+40)/0.5)+1,INT(($O979+30)/0.5)+1)="","",INDEX(geo_grid!$B$2:$JU$231,INT(($N979+40)/0.5)+1,INT(($O979+30)/0.5)+1)),"OUTSIDE GRID"))</f>
        <v/>
      </c>
      <c r="Q979">
        <f>IF($P979="","",$A979*1000+$B979)</f>
        <v/>
      </c>
    </row>
    <row r="980">
      <c r="A980">
        <f>INT((ROW()-2)/151)+1</f>
        <v/>
      </c>
      <c r="B980">
        <f>MOD(ROW()-2,151)</f>
        <v/>
      </c>
      <c r="C980">
        <f t="array" ref="C980">IFERROR(INDEX('TRIP MANAGER'!$O$18:$O$25,$A980),"")</f>
        <v/>
      </c>
      <c r="D980">
        <f t="array" ref="D980">IFERROR(INDEX('TRIP MANAGER'!$P$18:$P$25,$A980),"")</f>
        <v/>
      </c>
      <c r="E980">
        <f t="array" ref="E980">IFERROR(INDEX('TRIP MANAGER'!$Q$18:$Q$25,$A980),"")</f>
        <v/>
      </c>
      <c r="F980">
        <f t="array" ref="F980">IFERROR(INDEX('TRIP MANAGER'!$R$18:$R$25,$A980),"")</f>
        <v/>
      </c>
      <c r="G980">
        <f t="array" ref="G980">IFERROR(INDEX('TRIP MANAGER'!$S$18:$S$25,$A980),"")</f>
        <v/>
      </c>
      <c r="H980">
        <f>$B980/150</f>
        <v/>
      </c>
      <c r="I980">
        <f>IF(OR($G980="",$G980=0),"",SIN((1-$H980)*$G980)/SIN($G980))</f>
        <v/>
      </c>
      <c r="J980">
        <f>IF($I980="","",SIN($H980*$G980)/SIN($G980))</f>
        <v/>
      </c>
      <c r="K980">
        <f>IF($I980="","",$I980*COS(RADIANS($C980))*COS(RADIANS($D980))+$J980*COS(RADIANS($E980))*COS(RADIANS($F980)))</f>
        <v/>
      </c>
      <c r="L980">
        <f>IF($I980="","",$I980*COS(RADIANS($C980))*SIN(RADIANS($D980))+$J980*COS(RADIANS($E980))*SIN(RADIANS($F980)))</f>
        <v/>
      </c>
      <c r="M980">
        <f>IF($I980="","",$I980*SIN(RADIANS($C980))+$J980*SIN(RADIANS($E980)))</f>
        <v/>
      </c>
      <c r="N980">
        <f>IF($M980="","",DEGREES(ATAN2(SQRT($K980^2+$L980^2),$M980)))</f>
        <v/>
      </c>
      <c r="O980">
        <f>IF($M980="","",DEGREES(ATAN2($K980,$L980)))</f>
        <v/>
      </c>
      <c r="P980">
        <f t="array" ref="P980">IF($N980="","",IFERROR(IF(INDEX(geo_grid!$B$2:$JU$231,INT(($N980+40)/0.5)+1,INT(($O980+30)/0.5)+1)="","",INDEX(geo_grid!$B$2:$JU$231,INT(($N980+40)/0.5)+1,INT(($O980+30)/0.5)+1)),"OUTSIDE GRID"))</f>
        <v/>
      </c>
      <c r="Q980">
        <f>IF($P980="","",$A980*1000+$B980)</f>
        <v/>
      </c>
    </row>
    <row r="981">
      <c r="A981">
        <f>INT((ROW()-2)/151)+1</f>
        <v/>
      </c>
      <c r="B981">
        <f>MOD(ROW()-2,151)</f>
        <v/>
      </c>
      <c r="C981">
        <f t="array" ref="C981">IFERROR(INDEX('TRIP MANAGER'!$O$18:$O$25,$A981),"")</f>
        <v/>
      </c>
      <c r="D981">
        <f t="array" ref="D981">IFERROR(INDEX('TRIP MANAGER'!$P$18:$P$25,$A981),"")</f>
        <v/>
      </c>
      <c r="E981">
        <f t="array" ref="E981">IFERROR(INDEX('TRIP MANAGER'!$Q$18:$Q$25,$A981),"")</f>
        <v/>
      </c>
      <c r="F981">
        <f t="array" ref="F981">IFERROR(INDEX('TRIP MANAGER'!$R$18:$R$25,$A981),"")</f>
        <v/>
      </c>
      <c r="G981">
        <f t="array" ref="G981">IFERROR(INDEX('TRIP MANAGER'!$S$18:$S$25,$A981),"")</f>
        <v/>
      </c>
      <c r="H981">
        <f>$B981/150</f>
        <v/>
      </c>
      <c r="I981">
        <f>IF(OR($G981="",$G981=0),"",SIN((1-$H981)*$G981)/SIN($G981))</f>
        <v/>
      </c>
      <c r="J981">
        <f>IF($I981="","",SIN($H981*$G981)/SIN($G981))</f>
        <v/>
      </c>
      <c r="K981">
        <f>IF($I981="","",$I981*COS(RADIANS($C981))*COS(RADIANS($D981))+$J981*COS(RADIANS($E981))*COS(RADIANS($F981)))</f>
        <v/>
      </c>
      <c r="L981">
        <f>IF($I981="","",$I981*COS(RADIANS($C981))*SIN(RADIANS($D981))+$J981*COS(RADIANS($E981))*SIN(RADIANS($F981)))</f>
        <v/>
      </c>
      <c r="M981">
        <f>IF($I981="","",$I981*SIN(RADIANS($C981))+$J981*SIN(RADIANS($E981)))</f>
        <v/>
      </c>
      <c r="N981">
        <f>IF($M981="","",DEGREES(ATAN2(SQRT($K981^2+$L981^2),$M981)))</f>
        <v/>
      </c>
      <c r="O981">
        <f>IF($M981="","",DEGREES(ATAN2($K981,$L981)))</f>
        <v/>
      </c>
      <c r="P981">
        <f t="array" ref="P981">IF($N981="","",IFERROR(IF(INDEX(geo_grid!$B$2:$JU$231,INT(($N981+40)/0.5)+1,INT(($O981+30)/0.5)+1)="","",INDEX(geo_grid!$B$2:$JU$231,INT(($N981+40)/0.5)+1,INT(($O981+30)/0.5)+1)),"OUTSIDE GRID"))</f>
        <v/>
      </c>
      <c r="Q981">
        <f>IF($P981="","",$A981*1000+$B981)</f>
        <v/>
      </c>
    </row>
    <row r="982">
      <c r="A982">
        <f>INT((ROW()-2)/151)+1</f>
        <v/>
      </c>
      <c r="B982">
        <f>MOD(ROW()-2,151)</f>
        <v/>
      </c>
      <c r="C982">
        <f t="array" ref="C982">IFERROR(INDEX('TRIP MANAGER'!$O$18:$O$25,$A982),"")</f>
        <v/>
      </c>
      <c r="D982">
        <f t="array" ref="D982">IFERROR(INDEX('TRIP MANAGER'!$P$18:$P$25,$A982),"")</f>
        <v/>
      </c>
      <c r="E982">
        <f t="array" ref="E982">IFERROR(INDEX('TRIP MANAGER'!$Q$18:$Q$25,$A982),"")</f>
        <v/>
      </c>
      <c r="F982">
        <f t="array" ref="F982">IFERROR(INDEX('TRIP MANAGER'!$R$18:$R$25,$A982),"")</f>
        <v/>
      </c>
      <c r="G982">
        <f t="array" ref="G982">IFERROR(INDEX('TRIP MANAGER'!$S$18:$S$25,$A982),"")</f>
        <v/>
      </c>
      <c r="H982">
        <f>$B982/150</f>
        <v/>
      </c>
      <c r="I982">
        <f>IF(OR($G982="",$G982=0),"",SIN((1-$H982)*$G982)/SIN($G982))</f>
        <v/>
      </c>
      <c r="J982">
        <f>IF($I982="","",SIN($H982*$G982)/SIN($G982))</f>
        <v/>
      </c>
      <c r="K982">
        <f>IF($I982="","",$I982*COS(RADIANS($C982))*COS(RADIANS($D982))+$J982*COS(RADIANS($E982))*COS(RADIANS($F982)))</f>
        <v/>
      </c>
      <c r="L982">
        <f>IF($I982="","",$I982*COS(RADIANS($C982))*SIN(RADIANS($D982))+$J982*COS(RADIANS($E982))*SIN(RADIANS($F982)))</f>
        <v/>
      </c>
      <c r="M982">
        <f>IF($I982="","",$I982*SIN(RADIANS($C982))+$J982*SIN(RADIANS($E982)))</f>
        <v/>
      </c>
      <c r="N982">
        <f>IF($M982="","",DEGREES(ATAN2(SQRT($K982^2+$L982^2),$M982)))</f>
        <v/>
      </c>
      <c r="O982">
        <f>IF($M982="","",DEGREES(ATAN2($K982,$L982)))</f>
        <v/>
      </c>
      <c r="P982">
        <f t="array" ref="P982">IF($N982="","",IFERROR(IF(INDEX(geo_grid!$B$2:$JU$231,INT(($N982+40)/0.5)+1,INT(($O982+30)/0.5)+1)="","",INDEX(geo_grid!$B$2:$JU$231,INT(($N982+40)/0.5)+1,INT(($O982+30)/0.5)+1)),"OUTSIDE GRID"))</f>
        <v/>
      </c>
      <c r="Q982">
        <f>IF($P982="","",$A982*1000+$B982)</f>
        <v/>
      </c>
    </row>
    <row r="983">
      <c r="A983">
        <f>INT((ROW()-2)/151)+1</f>
        <v/>
      </c>
      <c r="B983">
        <f>MOD(ROW()-2,151)</f>
        <v/>
      </c>
      <c r="C983">
        <f t="array" ref="C983">IFERROR(INDEX('TRIP MANAGER'!$O$18:$O$25,$A983),"")</f>
        <v/>
      </c>
      <c r="D983">
        <f t="array" ref="D983">IFERROR(INDEX('TRIP MANAGER'!$P$18:$P$25,$A983),"")</f>
        <v/>
      </c>
      <c r="E983">
        <f t="array" ref="E983">IFERROR(INDEX('TRIP MANAGER'!$Q$18:$Q$25,$A983),"")</f>
        <v/>
      </c>
      <c r="F983">
        <f t="array" ref="F983">IFERROR(INDEX('TRIP MANAGER'!$R$18:$R$25,$A983),"")</f>
        <v/>
      </c>
      <c r="G983">
        <f t="array" ref="G983">IFERROR(INDEX('TRIP MANAGER'!$S$18:$S$25,$A983),"")</f>
        <v/>
      </c>
      <c r="H983">
        <f>$B983/150</f>
        <v/>
      </c>
      <c r="I983">
        <f>IF(OR($G983="",$G983=0),"",SIN((1-$H983)*$G983)/SIN($G983))</f>
        <v/>
      </c>
      <c r="J983">
        <f>IF($I983="","",SIN($H983*$G983)/SIN($G983))</f>
        <v/>
      </c>
      <c r="K983">
        <f>IF($I983="","",$I983*COS(RADIANS($C983))*COS(RADIANS($D983))+$J983*COS(RADIANS($E983))*COS(RADIANS($F983)))</f>
        <v/>
      </c>
      <c r="L983">
        <f>IF($I983="","",$I983*COS(RADIANS($C983))*SIN(RADIANS($D983))+$J983*COS(RADIANS($E983))*SIN(RADIANS($F983)))</f>
        <v/>
      </c>
      <c r="M983">
        <f>IF($I983="","",$I983*SIN(RADIANS($C983))+$J983*SIN(RADIANS($E983)))</f>
        <v/>
      </c>
      <c r="N983">
        <f>IF($M983="","",DEGREES(ATAN2(SQRT($K983^2+$L983^2),$M983)))</f>
        <v/>
      </c>
      <c r="O983">
        <f>IF($M983="","",DEGREES(ATAN2($K983,$L983)))</f>
        <v/>
      </c>
      <c r="P983">
        <f t="array" ref="P983">IF($N983="","",IFERROR(IF(INDEX(geo_grid!$B$2:$JU$231,INT(($N983+40)/0.5)+1,INT(($O983+30)/0.5)+1)="","",INDEX(geo_grid!$B$2:$JU$231,INT(($N983+40)/0.5)+1,INT(($O983+30)/0.5)+1)),"OUTSIDE GRID"))</f>
        <v/>
      </c>
      <c r="Q983">
        <f>IF($P983="","",$A983*1000+$B983)</f>
        <v/>
      </c>
    </row>
    <row r="984">
      <c r="A984">
        <f>INT((ROW()-2)/151)+1</f>
        <v/>
      </c>
      <c r="B984">
        <f>MOD(ROW()-2,151)</f>
        <v/>
      </c>
      <c r="C984">
        <f t="array" ref="C984">IFERROR(INDEX('TRIP MANAGER'!$O$18:$O$25,$A984),"")</f>
        <v/>
      </c>
      <c r="D984">
        <f t="array" ref="D984">IFERROR(INDEX('TRIP MANAGER'!$P$18:$P$25,$A984),"")</f>
        <v/>
      </c>
      <c r="E984">
        <f t="array" ref="E984">IFERROR(INDEX('TRIP MANAGER'!$Q$18:$Q$25,$A984),"")</f>
        <v/>
      </c>
      <c r="F984">
        <f t="array" ref="F984">IFERROR(INDEX('TRIP MANAGER'!$R$18:$R$25,$A984),"")</f>
        <v/>
      </c>
      <c r="G984">
        <f t="array" ref="G984">IFERROR(INDEX('TRIP MANAGER'!$S$18:$S$25,$A984),"")</f>
        <v/>
      </c>
      <c r="H984">
        <f>$B984/150</f>
        <v/>
      </c>
      <c r="I984">
        <f>IF(OR($G984="",$G984=0),"",SIN((1-$H984)*$G984)/SIN($G984))</f>
        <v/>
      </c>
      <c r="J984">
        <f>IF($I984="","",SIN($H984*$G984)/SIN($G984))</f>
        <v/>
      </c>
      <c r="K984">
        <f>IF($I984="","",$I984*COS(RADIANS($C984))*COS(RADIANS($D984))+$J984*COS(RADIANS($E984))*COS(RADIANS($F984)))</f>
        <v/>
      </c>
      <c r="L984">
        <f>IF($I984="","",$I984*COS(RADIANS($C984))*SIN(RADIANS($D984))+$J984*COS(RADIANS($E984))*SIN(RADIANS($F984)))</f>
        <v/>
      </c>
      <c r="M984">
        <f>IF($I984="","",$I984*SIN(RADIANS($C984))+$J984*SIN(RADIANS($E984)))</f>
        <v/>
      </c>
      <c r="N984">
        <f>IF($M984="","",DEGREES(ATAN2(SQRT($K984^2+$L984^2),$M984)))</f>
        <v/>
      </c>
      <c r="O984">
        <f>IF($M984="","",DEGREES(ATAN2($K984,$L984)))</f>
        <v/>
      </c>
      <c r="P984">
        <f t="array" ref="P984">IF($N984="","",IFERROR(IF(INDEX(geo_grid!$B$2:$JU$231,INT(($N984+40)/0.5)+1,INT(($O984+30)/0.5)+1)="","",INDEX(geo_grid!$B$2:$JU$231,INT(($N984+40)/0.5)+1,INT(($O984+30)/0.5)+1)),"OUTSIDE GRID"))</f>
        <v/>
      </c>
      <c r="Q984">
        <f>IF($P984="","",$A984*1000+$B984)</f>
        <v/>
      </c>
    </row>
    <row r="985">
      <c r="A985">
        <f>INT((ROW()-2)/151)+1</f>
        <v/>
      </c>
      <c r="B985">
        <f>MOD(ROW()-2,151)</f>
        <v/>
      </c>
      <c r="C985">
        <f t="array" ref="C985">IFERROR(INDEX('TRIP MANAGER'!$O$18:$O$25,$A985),"")</f>
        <v/>
      </c>
      <c r="D985">
        <f t="array" ref="D985">IFERROR(INDEX('TRIP MANAGER'!$P$18:$P$25,$A985),"")</f>
        <v/>
      </c>
      <c r="E985">
        <f t="array" ref="E985">IFERROR(INDEX('TRIP MANAGER'!$Q$18:$Q$25,$A985),"")</f>
        <v/>
      </c>
      <c r="F985">
        <f t="array" ref="F985">IFERROR(INDEX('TRIP MANAGER'!$R$18:$R$25,$A985),"")</f>
        <v/>
      </c>
      <c r="G985">
        <f t="array" ref="G985">IFERROR(INDEX('TRIP MANAGER'!$S$18:$S$25,$A985),"")</f>
        <v/>
      </c>
      <c r="H985">
        <f>$B985/150</f>
        <v/>
      </c>
      <c r="I985">
        <f>IF(OR($G985="",$G985=0),"",SIN((1-$H985)*$G985)/SIN($G985))</f>
        <v/>
      </c>
      <c r="J985">
        <f>IF($I985="","",SIN($H985*$G985)/SIN($G985))</f>
        <v/>
      </c>
      <c r="K985">
        <f>IF($I985="","",$I985*COS(RADIANS($C985))*COS(RADIANS($D985))+$J985*COS(RADIANS($E985))*COS(RADIANS($F985)))</f>
        <v/>
      </c>
      <c r="L985">
        <f>IF($I985="","",$I985*COS(RADIANS($C985))*SIN(RADIANS($D985))+$J985*COS(RADIANS($E985))*SIN(RADIANS($F985)))</f>
        <v/>
      </c>
      <c r="M985">
        <f>IF($I985="","",$I985*SIN(RADIANS($C985))+$J985*SIN(RADIANS($E985)))</f>
        <v/>
      </c>
      <c r="N985">
        <f>IF($M985="","",DEGREES(ATAN2(SQRT($K985^2+$L985^2),$M985)))</f>
        <v/>
      </c>
      <c r="O985">
        <f>IF($M985="","",DEGREES(ATAN2($K985,$L985)))</f>
        <v/>
      </c>
      <c r="P985">
        <f t="array" ref="P985">IF($N985="","",IFERROR(IF(INDEX(geo_grid!$B$2:$JU$231,INT(($N985+40)/0.5)+1,INT(($O985+30)/0.5)+1)="","",INDEX(geo_grid!$B$2:$JU$231,INT(($N985+40)/0.5)+1,INT(($O985+30)/0.5)+1)),"OUTSIDE GRID"))</f>
        <v/>
      </c>
      <c r="Q985">
        <f>IF($P985="","",$A985*1000+$B985)</f>
        <v/>
      </c>
    </row>
    <row r="986">
      <c r="A986">
        <f>INT((ROW()-2)/151)+1</f>
        <v/>
      </c>
      <c r="B986">
        <f>MOD(ROW()-2,151)</f>
        <v/>
      </c>
      <c r="C986">
        <f t="array" ref="C986">IFERROR(INDEX('TRIP MANAGER'!$O$18:$O$25,$A986),"")</f>
        <v/>
      </c>
      <c r="D986">
        <f t="array" ref="D986">IFERROR(INDEX('TRIP MANAGER'!$P$18:$P$25,$A986),"")</f>
        <v/>
      </c>
      <c r="E986">
        <f t="array" ref="E986">IFERROR(INDEX('TRIP MANAGER'!$Q$18:$Q$25,$A986),"")</f>
        <v/>
      </c>
      <c r="F986">
        <f t="array" ref="F986">IFERROR(INDEX('TRIP MANAGER'!$R$18:$R$25,$A986),"")</f>
        <v/>
      </c>
      <c r="G986">
        <f t="array" ref="G986">IFERROR(INDEX('TRIP MANAGER'!$S$18:$S$25,$A986),"")</f>
        <v/>
      </c>
      <c r="H986">
        <f>$B986/150</f>
        <v/>
      </c>
      <c r="I986">
        <f>IF(OR($G986="",$G986=0),"",SIN((1-$H986)*$G986)/SIN($G986))</f>
        <v/>
      </c>
      <c r="J986">
        <f>IF($I986="","",SIN($H986*$G986)/SIN($G986))</f>
        <v/>
      </c>
      <c r="K986">
        <f>IF($I986="","",$I986*COS(RADIANS($C986))*COS(RADIANS($D986))+$J986*COS(RADIANS($E986))*COS(RADIANS($F986)))</f>
        <v/>
      </c>
      <c r="L986">
        <f>IF($I986="","",$I986*COS(RADIANS($C986))*SIN(RADIANS($D986))+$J986*COS(RADIANS($E986))*SIN(RADIANS($F986)))</f>
        <v/>
      </c>
      <c r="M986">
        <f>IF($I986="","",$I986*SIN(RADIANS($C986))+$J986*SIN(RADIANS($E986)))</f>
        <v/>
      </c>
      <c r="N986">
        <f>IF($M986="","",DEGREES(ATAN2(SQRT($K986^2+$L986^2),$M986)))</f>
        <v/>
      </c>
      <c r="O986">
        <f>IF($M986="","",DEGREES(ATAN2($K986,$L986)))</f>
        <v/>
      </c>
      <c r="P986">
        <f t="array" ref="P986">IF($N986="","",IFERROR(IF(INDEX(geo_grid!$B$2:$JU$231,INT(($N986+40)/0.5)+1,INT(($O986+30)/0.5)+1)="","",INDEX(geo_grid!$B$2:$JU$231,INT(($N986+40)/0.5)+1,INT(($O986+30)/0.5)+1)),"OUTSIDE GRID"))</f>
        <v/>
      </c>
      <c r="Q986">
        <f>IF($P986="","",$A986*1000+$B986)</f>
        <v/>
      </c>
    </row>
    <row r="987">
      <c r="A987">
        <f>INT((ROW()-2)/151)+1</f>
        <v/>
      </c>
      <c r="B987">
        <f>MOD(ROW()-2,151)</f>
        <v/>
      </c>
      <c r="C987">
        <f t="array" ref="C987">IFERROR(INDEX('TRIP MANAGER'!$O$18:$O$25,$A987),"")</f>
        <v/>
      </c>
      <c r="D987">
        <f t="array" ref="D987">IFERROR(INDEX('TRIP MANAGER'!$P$18:$P$25,$A987),"")</f>
        <v/>
      </c>
      <c r="E987">
        <f t="array" ref="E987">IFERROR(INDEX('TRIP MANAGER'!$Q$18:$Q$25,$A987),"")</f>
        <v/>
      </c>
      <c r="F987">
        <f t="array" ref="F987">IFERROR(INDEX('TRIP MANAGER'!$R$18:$R$25,$A987),"")</f>
        <v/>
      </c>
      <c r="G987">
        <f t="array" ref="G987">IFERROR(INDEX('TRIP MANAGER'!$S$18:$S$25,$A987),"")</f>
        <v/>
      </c>
      <c r="H987">
        <f>$B987/150</f>
        <v/>
      </c>
      <c r="I987">
        <f>IF(OR($G987="",$G987=0),"",SIN((1-$H987)*$G987)/SIN($G987))</f>
        <v/>
      </c>
      <c r="J987">
        <f>IF($I987="","",SIN($H987*$G987)/SIN($G987))</f>
        <v/>
      </c>
      <c r="K987">
        <f>IF($I987="","",$I987*COS(RADIANS($C987))*COS(RADIANS($D987))+$J987*COS(RADIANS($E987))*COS(RADIANS($F987)))</f>
        <v/>
      </c>
      <c r="L987">
        <f>IF($I987="","",$I987*COS(RADIANS($C987))*SIN(RADIANS($D987))+$J987*COS(RADIANS($E987))*SIN(RADIANS($F987)))</f>
        <v/>
      </c>
      <c r="M987">
        <f>IF($I987="","",$I987*SIN(RADIANS($C987))+$J987*SIN(RADIANS($E987)))</f>
        <v/>
      </c>
      <c r="N987">
        <f>IF($M987="","",DEGREES(ATAN2(SQRT($K987^2+$L987^2),$M987)))</f>
        <v/>
      </c>
      <c r="O987">
        <f>IF($M987="","",DEGREES(ATAN2($K987,$L987)))</f>
        <v/>
      </c>
      <c r="P987">
        <f t="array" ref="P987">IF($N987="","",IFERROR(IF(INDEX(geo_grid!$B$2:$JU$231,INT(($N987+40)/0.5)+1,INT(($O987+30)/0.5)+1)="","",INDEX(geo_grid!$B$2:$JU$231,INT(($N987+40)/0.5)+1,INT(($O987+30)/0.5)+1)),"OUTSIDE GRID"))</f>
        <v/>
      </c>
      <c r="Q987">
        <f>IF($P987="","",$A987*1000+$B987)</f>
        <v/>
      </c>
    </row>
    <row r="988">
      <c r="A988">
        <f>INT((ROW()-2)/151)+1</f>
        <v/>
      </c>
      <c r="B988">
        <f>MOD(ROW()-2,151)</f>
        <v/>
      </c>
      <c r="C988">
        <f t="array" ref="C988">IFERROR(INDEX('TRIP MANAGER'!$O$18:$O$25,$A988),"")</f>
        <v/>
      </c>
      <c r="D988">
        <f t="array" ref="D988">IFERROR(INDEX('TRIP MANAGER'!$P$18:$P$25,$A988),"")</f>
        <v/>
      </c>
      <c r="E988">
        <f t="array" ref="E988">IFERROR(INDEX('TRIP MANAGER'!$Q$18:$Q$25,$A988),"")</f>
        <v/>
      </c>
      <c r="F988">
        <f t="array" ref="F988">IFERROR(INDEX('TRIP MANAGER'!$R$18:$R$25,$A988),"")</f>
        <v/>
      </c>
      <c r="G988">
        <f t="array" ref="G988">IFERROR(INDEX('TRIP MANAGER'!$S$18:$S$25,$A988),"")</f>
        <v/>
      </c>
      <c r="H988">
        <f>$B988/150</f>
        <v/>
      </c>
      <c r="I988">
        <f>IF(OR($G988="",$G988=0),"",SIN((1-$H988)*$G988)/SIN($G988))</f>
        <v/>
      </c>
      <c r="J988">
        <f>IF($I988="","",SIN($H988*$G988)/SIN($G988))</f>
        <v/>
      </c>
      <c r="K988">
        <f>IF($I988="","",$I988*COS(RADIANS($C988))*COS(RADIANS($D988))+$J988*COS(RADIANS($E988))*COS(RADIANS($F988)))</f>
        <v/>
      </c>
      <c r="L988">
        <f>IF($I988="","",$I988*COS(RADIANS($C988))*SIN(RADIANS($D988))+$J988*COS(RADIANS($E988))*SIN(RADIANS($F988)))</f>
        <v/>
      </c>
      <c r="M988">
        <f>IF($I988="","",$I988*SIN(RADIANS($C988))+$J988*SIN(RADIANS($E988)))</f>
        <v/>
      </c>
      <c r="N988">
        <f>IF($M988="","",DEGREES(ATAN2(SQRT($K988^2+$L988^2),$M988)))</f>
        <v/>
      </c>
      <c r="O988">
        <f>IF($M988="","",DEGREES(ATAN2($K988,$L988)))</f>
        <v/>
      </c>
      <c r="P988">
        <f t="array" ref="P988">IF($N988="","",IFERROR(IF(INDEX(geo_grid!$B$2:$JU$231,INT(($N988+40)/0.5)+1,INT(($O988+30)/0.5)+1)="","",INDEX(geo_grid!$B$2:$JU$231,INT(($N988+40)/0.5)+1,INT(($O988+30)/0.5)+1)),"OUTSIDE GRID"))</f>
        <v/>
      </c>
      <c r="Q988">
        <f>IF($P988="","",$A988*1000+$B988)</f>
        <v/>
      </c>
    </row>
    <row r="989">
      <c r="A989">
        <f>INT((ROW()-2)/151)+1</f>
        <v/>
      </c>
      <c r="B989">
        <f>MOD(ROW()-2,151)</f>
        <v/>
      </c>
      <c r="C989">
        <f t="array" ref="C989">IFERROR(INDEX('TRIP MANAGER'!$O$18:$O$25,$A989),"")</f>
        <v/>
      </c>
      <c r="D989">
        <f t="array" ref="D989">IFERROR(INDEX('TRIP MANAGER'!$P$18:$P$25,$A989),"")</f>
        <v/>
      </c>
      <c r="E989">
        <f t="array" ref="E989">IFERROR(INDEX('TRIP MANAGER'!$Q$18:$Q$25,$A989),"")</f>
        <v/>
      </c>
      <c r="F989">
        <f t="array" ref="F989">IFERROR(INDEX('TRIP MANAGER'!$R$18:$R$25,$A989),"")</f>
        <v/>
      </c>
      <c r="G989">
        <f t="array" ref="G989">IFERROR(INDEX('TRIP MANAGER'!$S$18:$S$25,$A989),"")</f>
        <v/>
      </c>
      <c r="H989">
        <f>$B989/150</f>
        <v/>
      </c>
      <c r="I989">
        <f>IF(OR($G989="",$G989=0),"",SIN((1-$H989)*$G989)/SIN($G989))</f>
        <v/>
      </c>
      <c r="J989">
        <f>IF($I989="","",SIN($H989*$G989)/SIN($G989))</f>
        <v/>
      </c>
      <c r="K989">
        <f>IF($I989="","",$I989*COS(RADIANS($C989))*COS(RADIANS($D989))+$J989*COS(RADIANS($E989))*COS(RADIANS($F989)))</f>
        <v/>
      </c>
      <c r="L989">
        <f>IF($I989="","",$I989*COS(RADIANS($C989))*SIN(RADIANS($D989))+$J989*COS(RADIANS($E989))*SIN(RADIANS($F989)))</f>
        <v/>
      </c>
      <c r="M989">
        <f>IF($I989="","",$I989*SIN(RADIANS($C989))+$J989*SIN(RADIANS($E989)))</f>
        <v/>
      </c>
      <c r="N989">
        <f>IF($M989="","",DEGREES(ATAN2(SQRT($K989^2+$L989^2),$M989)))</f>
        <v/>
      </c>
      <c r="O989">
        <f>IF($M989="","",DEGREES(ATAN2($K989,$L989)))</f>
        <v/>
      </c>
      <c r="P989">
        <f t="array" ref="P989">IF($N989="","",IFERROR(IF(INDEX(geo_grid!$B$2:$JU$231,INT(($N989+40)/0.5)+1,INT(($O989+30)/0.5)+1)="","",INDEX(geo_grid!$B$2:$JU$231,INT(($N989+40)/0.5)+1,INT(($O989+30)/0.5)+1)),"OUTSIDE GRID"))</f>
        <v/>
      </c>
      <c r="Q989">
        <f>IF($P989="","",$A989*1000+$B989)</f>
        <v/>
      </c>
    </row>
    <row r="990">
      <c r="A990">
        <f>INT((ROW()-2)/151)+1</f>
        <v/>
      </c>
      <c r="B990">
        <f>MOD(ROW()-2,151)</f>
        <v/>
      </c>
      <c r="C990">
        <f t="array" ref="C990">IFERROR(INDEX('TRIP MANAGER'!$O$18:$O$25,$A990),"")</f>
        <v/>
      </c>
      <c r="D990">
        <f t="array" ref="D990">IFERROR(INDEX('TRIP MANAGER'!$P$18:$P$25,$A990),"")</f>
        <v/>
      </c>
      <c r="E990">
        <f t="array" ref="E990">IFERROR(INDEX('TRIP MANAGER'!$Q$18:$Q$25,$A990),"")</f>
        <v/>
      </c>
      <c r="F990">
        <f t="array" ref="F990">IFERROR(INDEX('TRIP MANAGER'!$R$18:$R$25,$A990),"")</f>
        <v/>
      </c>
      <c r="G990">
        <f t="array" ref="G990">IFERROR(INDEX('TRIP MANAGER'!$S$18:$S$25,$A990),"")</f>
        <v/>
      </c>
      <c r="H990">
        <f>$B990/150</f>
        <v/>
      </c>
      <c r="I990">
        <f>IF(OR($G990="",$G990=0),"",SIN((1-$H990)*$G990)/SIN($G990))</f>
        <v/>
      </c>
      <c r="J990">
        <f>IF($I990="","",SIN($H990*$G990)/SIN($G990))</f>
        <v/>
      </c>
      <c r="K990">
        <f>IF($I990="","",$I990*COS(RADIANS($C990))*COS(RADIANS($D990))+$J990*COS(RADIANS($E990))*COS(RADIANS($F990)))</f>
        <v/>
      </c>
      <c r="L990">
        <f>IF($I990="","",$I990*COS(RADIANS($C990))*SIN(RADIANS($D990))+$J990*COS(RADIANS($E990))*SIN(RADIANS($F990)))</f>
        <v/>
      </c>
      <c r="M990">
        <f>IF($I990="","",$I990*SIN(RADIANS($C990))+$J990*SIN(RADIANS($E990)))</f>
        <v/>
      </c>
      <c r="N990">
        <f>IF($M990="","",DEGREES(ATAN2(SQRT($K990^2+$L990^2),$M990)))</f>
        <v/>
      </c>
      <c r="O990">
        <f>IF($M990="","",DEGREES(ATAN2($K990,$L990)))</f>
        <v/>
      </c>
      <c r="P990">
        <f t="array" ref="P990">IF($N990="","",IFERROR(IF(INDEX(geo_grid!$B$2:$JU$231,INT(($N990+40)/0.5)+1,INT(($O990+30)/0.5)+1)="","",INDEX(geo_grid!$B$2:$JU$231,INT(($N990+40)/0.5)+1,INT(($O990+30)/0.5)+1)),"OUTSIDE GRID"))</f>
        <v/>
      </c>
      <c r="Q990">
        <f>IF($P990="","",$A990*1000+$B990)</f>
        <v/>
      </c>
    </row>
    <row r="991">
      <c r="A991">
        <f>INT((ROW()-2)/151)+1</f>
        <v/>
      </c>
      <c r="B991">
        <f>MOD(ROW()-2,151)</f>
        <v/>
      </c>
      <c r="C991">
        <f t="array" ref="C991">IFERROR(INDEX('TRIP MANAGER'!$O$18:$O$25,$A991),"")</f>
        <v/>
      </c>
      <c r="D991">
        <f t="array" ref="D991">IFERROR(INDEX('TRIP MANAGER'!$P$18:$P$25,$A991),"")</f>
        <v/>
      </c>
      <c r="E991">
        <f t="array" ref="E991">IFERROR(INDEX('TRIP MANAGER'!$Q$18:$Q$25,$A991),"")</f>
        <v/>
      </c>
      <c r="F991">
        <f t="array" ref="F991">IFERROR(INDEX('TRIP MANAGER'!$R$18:$R$25,$A991),"")</f>
        <v/>
      </c>
      <c r="G991">
        <f t="array" ref="G991">IFERROR(INDEX('TRIP MANAGER'!$S$18:$S$25,$A991),"")</f>
        <v/>
      </c>
      <c r="H991">
        <f>$B991/150</f>
        <v/>
      </c>
      <c r="I991">
        <f>IF(OR($G991="",$G991=0),"",SIN((1-$H991)*$G991)/SIN($G991))</f>
        <v/>
      </c>
      <c r="J991">
        <f>IF($I991="","",SIN($H991*$G991)/SIN($G991))</f>
        <v/>
      </c>
      <c r="K991">
        <f>IF($I991="","",$I991*COS(RADIANS($C991))*COS(RADIANS($D991))+$J991*COS(RADIANS($E991))*COS(RADIANS($F991)))</f>
        <v/>
      </c>
      <c r="L991">
        <f>IF($I991="","",$I991*COS(RADIANS($C991))*SIN(RADIANS($D991))+$J991*COS(RADIANS($E991))*SIN(RADIANS($F991)))</f>
        <v/>
      </c>
      <c r="M991">
        <f>IF($I991="","",$I991*SIN(RADIANS($C991))+$J991*SIN(RADIANS($E991)))</f>
        <v/>
      </c>
      <c r="N991">
        <f>IF($M991="","",DEGREES(ATAN2(SQRT($K991^2+$L991^2),$M991)))</f>
        <v/>
      </c>
      <c r="O991">
        <f>IF($M991="","",DEGREES(ATAN2($K991,$L991)))</f>
        <v/>
      </c>
      <c r="P991">
        <f t="array" ref="P991">IF($N991="","",IFERROR(IF(INDEX(geo_grid!$B$2:$JU$231,INT(($N991+40)/0.5)+1,INT(($O991+30)/0.5)+1)="","",INDEX(geo_grid!$B$2:$JU$231,INT(($N991+40)/0.5)+1,INT(($O991+30)/0.5)+1)),"OUTSIDE GRID"))</f>
        <v/>
      </c>
      <c r="Q991">
        <f>IF($P991="","",$A991*1000+$B991)</f>
        <v/>
      </c>
    </row>
    <row r="992">
      <c r="A992">
        <f>INT((ROW()-2)/151)+1</f>
        <v/>
      </c>
      <c r="B992">
        <f>MOD(ROW()-2,151)</f>
        <v/>
      </c>
      <c r="C992">
        <f t="array" ref="C992">IFERROR(INDEX('TRIP MANAGER'!$O$18:$O$25,$A992),"")</f>
        <v/>
      </c>
      <c r="D992">
        <f t="array" ref="D992">IFERROR(INDEX('TRIP MANAGER'!$P$18:$P$25,$A992),"")</f>
        <v/>
      </c>
      <c r="E992">
        <f t="array" ref="E992">IFERROR(INDEX('TRIP MANAGER'!$Q$18:$Q$25,$A992),"")</f>
        <v/>
      </c>
      <c r="F992">
        <f t="array" ref="F992">IFERROR(INDEX('TRIP MANAGER'!$R$18:$R$25,$A992),"")</f>
        <v/>
      </c>
      <c r="G992">
        <f t="array" ref="G992">IFERROR(INDEX('TRIP MANAGER'!$S$18:$S$25,$A992),"")</f>
        <v/>
      </c>
      <c r="H992">
        <f>$B992/150</f>
        <v/>
      </c>
      <c r="I992">
        <f>IF(OR($G992="",$G992=0),"",SIN((1-$H992)*$G992)/SIN($G992))</f>
        <v/>
      </c>
      <c r="J992">
        <f>IF($I992="","",SIN($H992*$G992)/SIN($G992))</f>
        <v/>
      </c>
      <c r="K992">
        <f>IF($I992="","",$I992*COS(RADIANS($C992))*COS(RADIANS($D992))+$J992*COS(RADIANS($E992))*COS(RADIANS($F992)))</f>
        <v/>
      </c>
      <c r="L992">
        <f>IF($I992="","",$I992*COS(RADIANS($C992))*SIN(RADIANS($D992))+$J992*COS(RADIANS($E992))*SIN(RADIANS($F992)))</f>
        <v/>
      </c>
      <c r="M992">
        <f>IF($I992="","",$I992*SIN(RADIANS($C992))+$J992*SIN(RADIANS($E992)))</f>
        <v/>
      </c>
      <c r="N992">
        <f>IF($M992="","",DEGREES(ATAN2(SQRT($K992^2+$L992^2),$M992)))</f>
        <v/>
      </c>
      <c r="O992">
        <f>IF($M992="","",DEGREES(ATAN2($K992,$L992)))</f>
        <v/>
      </c>
      <c r="P992">
        <f t="array" ref="P992">IF($N992="","",IFERROR(IF(INDEX(geo_grid!$B$2:$JU$231,INT(($N992+40)/0.5)+1,INT(($O992+30)/0.5)+1)="","",INDEX(geo_grid!$B$2:$JU$231,INT(($N992+40)/0.5)+1,INT(($O992+30)/0.5)+1)),"OUTSIDE GRID"))</f>
        <v/>
      </c>
      <c r="Q992">
        <f>IF($P992="","",$A992*1000+$B992)</f>
        <v/>
      </c>
    </row>
    <row r="993">
      <c r="A993">
        <f>INT((ROW()-2)/151)+1</f>
        <v/>
      </c>
      <c r="B993">
        <f>MOD(ROW()-2,151)</f>
        <v/>
      </c>
      <c r="C993">
        <f t="array" ref="C993">IFERROR(INDEX('TRIP MANAGER'!$O$18:$O$25,$A993),"")</f>
        <v/>
      </c>
      <c r="D993">
        <f t="array" ref="D993">IFERROR(INDEX('TRIP MANAGER'!$P$18:$P$25,$A993),"")</f>
        <v/>
      </c>
      <c r="E993">
        <f t="array" ref="E993">IFERROR(INDEX('TRIP MANAGER'!$Q$18:$Q$25,$A993),"")</f>
        <v/>
      </c>
      <c r="F993">
        <f t="array" ref="F993">IFERROR(INDEX('TRIP MANAGER'!$R$18:$R$25,$A993),"")</f>
        <v/>
      </c>
      <c r="G993">
        <f t="array" ref="G993">IFERROR(INDEX('TRIP MANAGER'!$S$18:$S$25,$A993),"")</f>
        <v/>
      </c>
      <c r="H993">
        <f>$B993/150</f>
        <v/>
      </c>
      <c r="I993">
        <f>IF(OR($G993="",$G993=0),"",SIN((1-$H993)*$G993)/SIN($G993))</f>
        <v/>
      </c>
      <c r="J993">
        <f>IF($I993="","",SIN($H993*$G993)/SIN($G993))</f>
        <v/>
      </c>
      <c r="K993">
        <f>IF($I993="","",$I993*COS(RADIANS($C993))*COS(RADIANS($D993))+$J993*COS(RADIANS($E993))*COS(RADIANS($F993)))</f>
        <v/>
      </c>
      <c r="L993">
        <f>IF($I993="","",$I993*COS(RADIANS($C993))*SIN(RADIANS($D993))+$J993*COS(RADIANS($E993))*SIN(RADIANS($F993)))</f>
        <v/>
      </c>
      <c r="M993">
        <f>IF($I993="","",$I993*SIN(RADIANS($C993))+$J993*SIN(RADIANS($E993)))</f>
        <v/>
      </c>
      <c r="N993">
        <f>IF($M993="","",DEGREES(ATAN2(SQRT($K993^2+$L993^2),$M993)))</f>
        <v/>
      </c>
      <c r="O993">
        <f>IF($M993="","",DEGREES(ATAN2($K993,$L993)))</f>
        <v/>
      </c>
      <c r="P993">
        <f t="array" ref="P993">IF($N993="","",IFERROR(IF(INDEX(geo_grid!$B$2:$JU$231,INT(($N993+40)/0.5)+1,INT(($O993+30)/0.5)+1)="","",INDEX(geo_grid!$B$2:$JU$231,INT(($N993+40)/0.5)+1,INT(($O993+30)/0.5)+1)),"OUTSIDE GRID"))</f>
        <v/>
      </c>
      <c r="Q993">
        <f>IF($P993="","",$A993*1000+$B993)</f>
        <v/>
      </c>
    </row>
    <row r="994">
      <c r="A994">
        <f>INT((ROW()-2)/151)+1</f>
        <v/>
      </c>
      <c r="B994">
        <f>MOD(ROW()-2,151)</f>
        <v/>
      </c>
      <c r="C994">
        <f t="array" ref="C994">IFERROR(INDEX('TRIP MANAGER'!$O$18:$O$25,$A994),"")</f>
        <v/>
      </c>
      <c r="D994">
        <f t="array" ref="D994">IFERROR(INDEX('TRIP MANAGER'!$P$18:$P$25,$A994),"")</f>
        <v/>
      </c>
      <c r="E994">
        <f t="array" ref="E994">IFERROR(INDEX('TRIP MANAGER'!$Q$18:$Q$25,$A994),"")</f>
        <v/>
      </c>
      <c r="F994">
        <f t="array" ref="F994">IFERROR(INDEX('TRIP MANAGER'!$R$18:$R$25,$A994),"")</f>
        <v/>
      </c>
      <c r="G994">
        <f t="array" ref="G994">IFERROR(INDEX('TRIP MANAGER'!$S$18:$S$25,$A994),"")</f>
        <v/>
      </c>
      <c r="H994">
        <f>$B994/150</f>
        <v/>
      </c>
      <c r="I994">
        <f>IF(OR($G994="",$G994=0),"",SIN((1-$H994)*$G994)/SIN($G994))</f>
        <v/>
      </c>
      <c r="J994">
        <f>IF($I994="","",SIN($H994*$G994)/SIN($G994))</f>
        <v/>
      </c>
      <c r="K994">
        <f>IF($I994="","",$I994*COS(RADIANS($C994))*COS(RADIANS($D994))+$J994*COS(RADIANS($E994))*COS(RADIANS($F994)))</f>
        <v/>
      </c>
      <c r="L994">
        <f>IF($I994="","",$I994*COS(RADIANS($C994))*SIN(RADIANS($D994))+$J994*COS(RADIANS($E994))*SIN(RADIANS($F994)))</f>
        <v/>
      </c>
      <c r="M994">
        <f>IF($I994="","",$I994*SIN(RADIANS($C994))+$J994*SIN(RADIANS($E994)))</f>
        <v/>
      </c>
      <c r="N994">
        <f>IF($M994="","",DEGREES(ATAN2(SQRT($K994^2+$L994^2),$M994)))</f>
        <v/>
      </c>
      <c r="O994">
        <f>IF($M994="","",DEGREES(ATAN2($K994,$L994)))</f>
        <v/>
      </c>
      <c r="P994">
        <f t="array" ref="P994">IF($N994="","",IFERROR(IF(INDEX(geo_grid!$B$2:$JU$231,INT(($N994+40)/0.5)+1,INT(($O994+30)/0.5)+1)="","",INDEX(geo_grid!$B$2:$JU$231,INT(($N994+40)/0.5)+1,INT(($O994+30)/0.5)+1)),"OUTSIDE GRID"))</f>
        <v/>
      </c>
      <c r="Q994">
        <f>IF($P994="","",$A994*1000+$B994)</f>
        <v/>
      </c>
    </row>
    <row r="995">
      <c r="A995">
        <f>INT((ROW()-2)/151)+1</f>
        <v/>
      </c>
      <c r="B995">
        <f>MOD(ROW()-2,151)</f>
        <v/>
      </c>
      <c r="C995">
        <f t="array" ref="C995">IFERROR(INDEX('TRIP MANAGER'!$O$18:$O$25,$A995),"")</f>
        <v/>
      </c>
      <c r="D995">
        <f t="array" ref="D995">IFERROR(INDEX('TRIP MANAGER'!$P$18:$P$25,$A995),"")</f>
        <v/>
      </c>
      <c r="E995">
        <f t="array" ref="E995">IFERROR(INDEX('TRIP MANAGER'!$Q$18:$Q$25,$A995),"")</f>
        <v/>
      </c>
      <c r="F995">
        <f t="array" ref="F995">IFERROR(INDEX('TRIP MANAGER'!$R$18:$R$25,$A995),"")</f>
        <v/>
      </c>
      <c r="G995">
        <f t="array" ref="G995">IFERROR(INDEX('TRIP MANAGER'!$S$18:$S$25,$A995),"")</f>
        <v/>
      </c>
      <c r="H995">
        <f>$B995/150</f>
        <v/>
      </c>
      <c r="I995">
        <f>IF(OR($G995="",$G995=0),"",SIN((1-$H995)*$G995)/SIN($G995))</f>
        <v/>
      </c>
      <c r="J995">
        <f>IF($I995="","",SIN($H995*$G995)/SIN($G995))</f>
        <v/>
      </c>
      <c r="K995">
        <f>IF($I995="","",$I995*COS(RADIANS($C995))*COS(RADIANS($D995))+$J995*COS(RADIANS($E995))*COS(RADIANS($F995)))</f>
        <v/>
      </c>
      <c r="L995">
        <f>IF($I995="","",$I995*COS(RADIANS($C995))*SIN(RADIANS($D995))+$J995*COS(RADIANS($E995))*SIN(RADIANS($F995)))</f>
        <v/>
      </c>
      <c r="M995">
        <f>IF($I995="","",$I995*SIN(RADIANS($C995))+$J995*SIN(RADIANS($E995)))</f>
        <v/>
      </c>
      <c r="N995">
        <f>IF($M995="","",DEGREES(ATAN2(SQRT($K995^2+$L995^2),$M995)))</f>
        <v/>
      </c>
      <c r="O995">
        <f>IF($M995="","",DEGREES(ATAN2($K995,$L995)))</f>
        <v/>
      </c>
      <c r="P995">
        <f t="array" ref="P995">IF($N995="","",IFERROR(IF(INDEX(geo_grid!$B$2:$JU$231,INT(($N995+40)/0.5)+1,INT(($O995+30)/0.5)+1)="","",INDEX(geo_grid!$B$2:$JU$231,INT(($N995+40)/0.5)+1,INT(($O995+30)/0.5)+1)),"OUTSIDE GRID"))</f>
        <v/>
      </c>
      <c r="Q995">
        <f>IF($P995="","",$A995*1000+$B995)</f>
        <v/>
      </c>
    </row>
    <row r="996">
      <c r="A996">
        <f>INT((ROW()-2)/151)+1</f>
        <v/>
      </c>
      <c r="B996">
        <f>MOD(ROW()-2,151)</f>
        <v/>
      </c>
      <c r="C996">
        <f t="array" ref="C996">IFERROR(INDEX('TRIP MANAGER'!$O$18:$O$25,$A996),"")</f>
        <v/>
      </c>
      <c r="D996">
        <f t="array" ref="D996">IFERROR(INDEX('TRIP MANAGER'!$P$18:$P$25,$A996),"")</f>
        <v/>
      </c>
      <c r="E996">
        <f t="array" ref="E996">IFERROR(INDEX('TRIP MANAGER'!$Q$18:$Q$25,$A996),"")</f>
        <v/>
      </c>
      <c r="F996">
        <f t="array" ref="F996">IFERROR(INDEX('TRIP MANAGER'!$R$18:$R$25,$A996),"")</f>
        <v/>
      </c>
      <c r="G996">
        <f t="array" ref="G996">IFERROR(INDEX('TRIP MANAGER'!$S$18:$S$25,$A996),"")</f>
        <v/>
      </c>
      <c r="H996">
        <f>$B996/150</f>
        <v/>
      </c>
      <c r="I996">
        <f>IF(OR($G996="",$G996=0),"",SIN((1-$H996)*$G996)/SIN($G996))</f>
        <v/>
      </c>
      <c r="J996">
        <f>IF($I996="","",SIN($H996*$G996)/SIN($G996))</f>
        <v/>
      </c>
      <c r="K996">
        <f>IF($I996="","",$I996*COS(RADIANS($C996))*COS(RADIANS($D996))+$J996*COS(RADIANS($E996))*COS(RADIANS($F996)))</f>
        <v/>
      </c>
      <c r="L996">
        <f>IF($I996="","",$I996*COS(RADIANS($C996))*SIN(RADIANS($D996))+$J996*COS(RADIANS($E996))*SIN(RADIANS($F996)))</f>
        <v/>
      </c>
      <c r="M996">
        <f>IF($I996="","",$I996*SIN(RADIANS($C996))+$J996*SIN(RADIANS($E996)))</f>
        <v/>
      </c>
      <c r="N996">
        <f>IF($M996="","",DEGREES(ATAN2(SQRT($K996^2+$L996^2),$M996)))</f>
        <v/>
      </c>
      <c r="O996">
        <f>IF($M996="","",DEGREES(ATAN2($K996,$L996)))</f>
        <v/>
      </c>
      <c r="P996">
        <f t="array" ref="P996">IF($N996="","",IFERROR(IF(INDEX(geo_grid!$B$2:$JU$231,INT(($N996+40)/0.5)+1,INT(($O996+30)/0.5)+1)="","",INDEX(geo_grid!$B$2:$JU$231,INT(($N996+40)/0.5)+1,INT(($O996+30)/0.5)+1)),"OUTSIDE GRID"))</f>
        <v/>
      </c>
      <c r="Q996">
        <f>IF($P996="","",$A996*1000+$B996)</f>
        <v/>
      </c>
    </row>
    <row r="997">
      <c r="A997">
        <f>INT((ROW()-2)/151)+1</f>
        <v/>
      </c>
      <c r="B997">
        <f>MOD(ROW()-2,151)</f>
        <v/>
      </c>
      <c r="C997">
        <f t="array" ref="C997">IFERROR(INDEX('TRIP MANAGER'!$O$18:$O$25,$A997),"")</f>
        <v/>
      </c>
      <c r="D997">
        <f t="array" ref="D997">IFERROR(INDEX('TRIP MANAGER'!$P$18:$P$25,$A997),"")</f>
        <v/>
      </c>
      <c r="E997">
        <f t="array" ref="E997">IFERROR(INDEX('TRIP MANAGER'!$Q$18:$Q$25,$A997),"")</f>
        <v/>
      </c>
      <c r="F997">
        <f t="array" ref="F997">IFERROR(INDEX('TRIP MANAGER'!$R$18:$R$25,$A997),"")</f>
        <v/>
      </c>
      <c r="G997">
        <f t="array" ref="G997">IFERROR(INDEX('TRIP MANAGER'!$S$18:$S$25,$A997),"")</f>
        <v/>
      </c>
      <c r="H997">
        <f>$B997/150</f>
        <v/>
      </c>
      <c r="I997">
        <f>IF(OR($G997="",$G997=0),"",SIN((1-$H997)*$G997)/SIN($G997))</f>
        <v/>
      </c>
      <c r="J997">
        <f>IF($I997="","",SIN($H997*$G997)/SIN($G997))</f>
        <v/>
      </c>
      <c r="K997">
        <f>IF($I997="","",$I997*COS(RADIANS($C997))*COS(RADIANS($D997))+$J997*COS(RADIANS($E997))*COS(RADIANS($F997)))</f>
        <v/>
      </c>
      <c r="L997">
        <f>IF($I997="","",$I997*COS(RADIANS($C997))*SIN(RADIANS($D997))+$J997*COS(RADIANS($E997))*SIN(RADIANS($F997)))</f>
        <v/>
      </c>
      <c r="M997">
        <f>IF($I997="","",$I997*SIN(RADIANS($C997))+$J997*SIN(RADIANS($E997)))</f>
        <v/>
      </c>
      <c r="N997">
        <f>IF($M997="","",DEGREES(ATAN2(SQRT($K997^2+$L997^2),$M997)))</f>
        <v/>
      </c>
      <c r="O997">
        <f>IF($M997="","",DEGREES(ATAN2($K997,$L997)))</f>
        <v/>
      </c>
      <c r="P997">
        <f t="array" ref="P997">IF($N997="","",IFERROR(IF(INDEX(geo_grid!$B$2:$JU$231,INT(($N997+40)/0.5)+1,INT(($O997+30)/0.5)+1)="","",INDEX(geo_grid!$B$2:$JU$231,INT(($N997+40)/0.5)+1,INT(($O997+30)/0.5)+1)),"OUTSIDE GRID"))</f>
        <v/>
      </c>
      <c r="Q997">
        <f>IF($P997="","",$A997*1000+$B997)</f>
        <v/>
      </c>
    </row>
    <row r="998">
      <c r="A998">
        <f>INT((ROW()-2)/151)+1</f>
        <v/>
      </c>
      <c r="B998">
        <f>MOD(ROW()-2,151)</f>
        <v/>
      </c>
      <c r="C998">
        <f t="array" ref="C998">IFERROR(INDEX('TRIP MANAGER'!$O$18:$O$25,$A998),"")</f>
        <v/>
      </c>
      <c r="D998">
        <f t="array" ref="D998">IFERROR(INDEX('TRIP MANAGER'!$P$18:$P$25,$A998),"")</f>
        <v/>
      </c>
      <c r="E998">
        <f t="array" ref="E998">IFERROR(INDEX('TRIP MANAGER'!$Q$18:$Q$25,$A998),"")</f>
        <v/>
      </c>
      <c r="F998">
        <f t="array" ref="F998">IFERROR(INDEX('TRIP MANAGER'!$R$18:$R$25,$A998),"")</f>
        <v/>
      </c>
      <c r="G998">
        <f t="array" ref="G998">IFERROR(INDEX('TRIP MANAGER'!$S$18:$S$25,$A998),"")</f>
        <v/>
      </c>
      <c r="H998">
        <f>$B998/150</f>
        <v/>
      </c>
      <c r="I998">
        <f>IF(OR($G998="",$G998=0),"",SIN((1-$H998)*$G998)/SIN($G998))</f>
        <v/>
      </c>
      <c r="J998">
        <f>IF($I998="","",SIN($H998*$G998)/SIN($G998))</f>
        <v/>
      </c>
      <c r="K998">
        <f>IF($I998="","",$I998*COS(RADIANS($C998))*COS(RADIANS($D998))+$J998*COS(RADIANS($E998))*COS(RADIANS($F998)))</f>
        <v/>
      </c>
      <c r="L998">
        <f>IF($I998="","",$I998*COS(RADIANS($C998))*SIN(RADIANS($D998))+$J998*COS(RADIANS($E998))*SIN(RADIANS($F998)))</f>
        <v/>
      </c>
      <c r="M998">
        <f>IF($I998="","",$I998*SIN(RADIANS($C998))+$J998*SIN(RADIANS($E998)))</f>
        <v/>
      </c>
      <c r="N998">
        <f>IF($M998="","",DEGREES(ATAN2(SQRT($K998^2+$L998^2),$M998)))</f>
        <v/>
      </c>
      <c r="O998">
        <f>IF($M998="","",DEGREES(ATAN2($K998,$L998)))</f>
        <v/>
      </c>
      <c r="P998">
        <f t="array" ref="P998">IF($N998="","",IFERROR(IF(INDEX(geo_grid!$B$2:$JU$231,INT(($N998+40)/0.5)+1,INT(($O998+30)/0.5)+1)="","",INDEX(geo_grid!$B$2:$JU$231,INT(($N998+40)/0.5)+1,INT(($O998+30)/0.5)+1)),"OUTSIDE GRID"))</f>
        <v/>
      </c>
      <c r="Q998">
        <f>IF($P998="","",$A998*1000+$B998)</f>
        <v/>
      </c>
    </row>
    <row r="999">
      <c r="A999">
        <f>INT((ROW()-2)/151)+1</f>
        <v/>
      </c>
      <c r="B999">
        <f>MOD(ROW()-2,151)</f>
        <v/>
      </c>
      <c r="C999">
        <f t="array" ref="C999">IFERROR(INDEX('TRIP MANAGER'!$O$18:$O$25,$A999),"")</f>
        <v/>
      </c>
      <c r="D999">
        <f t="array" ref="D999">IFERROR(INDEX('TRIP MANAGER'!$P$18:$P$25,$A999),"")</f>
        <v/>
      </c>
      <c r="E999">
        <f t="array" ref="E999">IFERROR(INDEX('TRIP MANAGER'!$Q$18:$Q$25,$A999),"")</f>
        <v/>
      </c>
      <c r="F999">
        <f t="array" ref="F999">IFERROR(INDEX('TRIP MANAGER'!$R$18:$R$25,$A999),"")</f>
        <v/>
      </c>
      <c r="G999">
        <f t="array" ref="G999">IFERROR(INDEX('TRIP MANAGER'!$S$18:$S$25,$A999),"")</f>
        <v/>
      </c>
      <c r="H999">
        <f>$B999/150</f>
        <v/>
      </c>
      <c r="I999">
        <f>IF(OR($G999="",$G999=0),"",SIN((1-$H999)*$G999)/SIN($G999))</f>
        <v/>
      </c>
      <c r="J999">
        <f>IF($I999="","",SIN($H999*$G999)/SIN($G999))</f>
        <v/>
      </c>
      <c r="K999">
        <f>IF($I999="","",$I999*COS(RADIANS($C999))*COS(RADIANS($D999))+$J999*COS(RADIANS($E999))*COS(RADIANS($F999)))</f>
        <v/>
      </c>
      <c r="L999">
        <f>IF($I999="","",$I999*COS(RADIANS($C999))*SIN(RADIANS($D999))+$J999*COS(RADIANS($E999))*SIN(RADIANS($F999)))</f>
        <v/>
      </c>
      <c r="M999">
        <f>IF($I999="","",$I999*SIN(RADIANS($C999))+$J999*SIN(RADIANS($E999)))</f>
        <v/>
      </c>
      <c r="N999">
        <f>IF($M999="","",DEGREES(ATAN2(SQRT($K999^2+$L999^2),$M999)))</f>
        <v/>
      </c>
      <c r="O999">
        <f>IF($M999="","",DEGREES(ATAN2($K999,$L999)))</f>
        <v/>
      </c>
      <c r="P999">
        <f t="array" ref="P999">IF($N999="","",IFERROR(IF(INDEX(geo_grid!$B$2:$JU$231,INT(($N999+40)/0.5)+1,INT(($O999+30)/0.5)+1)="","",INDEX(geo_grid!$B$2:$JU$231,INT(($N999+40)/0.5)+1,INT(($O999+30)/0.5)+1)),"OUTSIDE GRID"))</f>
        <v/>
      </c>
      <c r="Q999">
        <f>IF($P999="","",$A999*1000+$B999)</f>
        <v/>
      </c>
    </row>
    <row r="1000">
      <c r="A1000">
        <f>INT((ROW()-2)/151)+1</f>
        <v/>
      </c>
      <c r="B1000">
        <f>MOD(ROW()-2,151)</f>
        <v/>
      </c>
      <c r="C1000">
        <f t="array" ref="C1000">IFERROR(INDEX('TRIP MANAGER'!$O$18:$O$25,$A1000),"")</f>
        <v/>
      </c>
      <c r="D1000">
        <f t="array" ref="D1000">IFERROR(INDEX('TRIP MANAGER'!$P$18:$P$25,$A1000),"")</f>
        <v/>
      </c>
      <c r="E1000">
        <f t="array" ref="E1000">IFERROR(INDEX('TRIP MANAGER'!$Q$18:$Q$25,$A1000),"")</f>
        <v/>
      </c>
      <c r="F1000">
        <f t="array" ref="F1000">IFERROR(INDEX('TRIP MANAGER'!$R$18:$R$25,$A1000),"")</f>
        <v/>
      </c>
      <c r="G1000">
        <f t="array" ref="G1000">IFERROR(INDEX('TRIP MANAGER'!$S$18:$S$25,$A1000),"")</f>
        <v/>
      </c>
      <c r="H1000">
        <f>$B1000/150</f>
        <v/>
      </c>
      <c r="I1000">
        <f>IF(OR($G1000="",$G1000=0),"",SIN((1-$H1000)*$G1000)/SIN($G1000))</f>
        <v/>
      </c>
      <c r="J1000">
        <f>IF($I1000="","",SIN($H1000*$G1000)/SIN($G1000))</f>
        <v/>
      </c>
      <c r="K1000">
        <f>IF($I1000="","",$I1000*COS(RADIANS($C1000))*COS(RADIANS($D1000))+$J1000*COS(RADIANS($E1000))*COS(RADIANS($F1000)))</f>
        <v/>
      </c>
      <c r="L1000">
        <f>IF($I1000="","",$I1000*COS(RADIANS($C1000))*SIN(RADIANS($D1000))+$J1000*COS(RADIANS($E1000))*SIN(RADIANS($F1000)))</f>
        <v/>
      </c>
      <c r="M1000">
        <f>IF($I1000="","",$I1000*SIN(RADIANS($C1000))+$J1000*SIN(RADIANS($E1000)))</f>
        <v/>
      </c>
      <c r="N1000">
        <f>IF($M1000="","",DEGREES(ATAN2(SQRT($K1000^2+$L1000^2),$M1000)))</f>
        <v/>
      </c>
      <c r="O1000">
        <f>IF($M1000="","",DEGREES(ATAN2($K1000,$L1000)))</f>
        <v/>
      </c>
      <c r="P1000">
        <f t="array" ref="P1000">IF($N1000="","",IFERROR(IF(INDEX(geo_grid!$B$2:$JU$231,INT(($N1000+40)/0.5)+1,INT(($O1000+30)/0.5)+1)="","",INDEX(geo_grid!$B$2:$JU$231,INT(($N1000+40)/0.5)+1,INT(($O1000+30)/0.5)+1)),"OUTSIDE GRID"))</f>
        <v/>
      </c>
      <c r="Q1000">
        <f>IF($P1000="","",$A1000*1000+$B1000)</f>
        <v/>
      </c>
    </row>
    <row r="1001">
      <c r="A1001">
        <f>INT((ROW()-2)/151)+1</f>
        <v/>
      </c>
      <c r="B1001">
        <f>MOD(ROW()-2,151)</f>
        <v/>
      </c>
      <c r="C1001">
        <f t="array" ref="C1001">IFERROR(INDEX('TRIP MANAGER'!$O$18:$O$25,$A1001),"")</f>
        <v/>
      </c>
      <c r="D1001">
        <f t="array" ref="D1001">IFERROR(INDEX('TRIP MANAGER'!$P$18:$P$25,$A1001),"")</f>
        <v/>
      </c>
      <c r="E1001">
        <f t="array" ref="E1001">IFERROR(INDEX('TRIP MANAGER'!$Q$18:$Q$25,$A1001),"")</f>
        <v/>
      </c>
      <c r="F1001">
        <f t="array" ref="F1001">IFERROR(INDEX('TRIP MANAGER'!$R$18:$R$25,$A1001),"")</f>
        <v/>
      </c>
      <c r="G1001">
        <f t="array" ref="G1001">IFERROR(INDEX('TRIP MANAGER'!$S$18:$S$25,$A1001),"")</f>
        <v/>
      </c>
      <c r="H1001">
        <f>$B1001/150</f>
        <v/>
      </c>
      <c r="I1001">
        <f>IF(OR($G1001="",$G1001=0),"",SIN((1-$H1001)*$G1001)/SIN($G1001))</f>
        <v/>
      </c>
      <c r="J1001">
        <f>IF($I1001="","",SIN($H1001*$G1001)/SIN($G1001))</f>
        <v/>
      </c>
      <c r="K1001">
        <f>IF($I1001="","",$I1001*COS(RADIANS($C1001))*COS(RADIANS($D1001))+$J1001*COS(RADIANS($E1001))*COS(RADIANS($F1001)))</f>
        <v/>
      </c>
      <c r="L1001">
        <f>IF($I1001="","",$I1001*COS(RADIANS($C1001))*SIN(RADIANS($D1001))+$J1001*COS(RADIANS($E1001))*SIN(RADIANS($F1001)))</f>
        <v/>
      </c>
      <c r="M1001">
        <f>IF($I1001="","",$I1001*SIN(RADIANS($C1001))+$J1001*SIN(RADIANS($E1001)))</f>
        <v/>
      </c>
      <c r="N1001">
        <f>IF($M1001="","",DEGREES(ATAN2(SQRT($K1001^2+$L1001^2),$M1001)))</f>
        <v/>
      </c>
      <c r="O1001">
        <f>IF($M1001="","",DEGREES(ATAN2($K1001,$L1001)))</f>
        <v/>
      </c>
      <c r="P1001">
        <f t="array" ref="P1001">IF($N1001="","",IFERROR(IF(INDEX(geo_grid!$B$2:$JU$231,INT(($N1001+40)/0.5)+1,INT(($O1001+30)/0.5)+1)="","",INDEX(geo_grid!$B$2:$JU$231,INT(($N1001+40)/0.5)+1,INT(($O1001+30)/0.5)+1)),"OUTSIDE GRID"))</f>
        <v/>
      </c>
      <c r="Q1001">
        <f>IF($P1001="","",$A1001*1000+$B1001)</f>
        <v/>
      </c>
    </row>
    <row r="1002">
      <c r="A1002">
        <f>INT((ROW()-2)/151)+1</f>
        <v/>
      </c>
      <c r="B1002">
        <f>MOD(ROW()-2,151)</f>
        <v/>
      </c>
      <c r="C1002">
        <f t="array" ref="C1002">IFERROR(INDEX('TRIP MANAGER'!$O$18:$O$25,$A1002),"")</f>
        <v/>
      </c>
      <c r="D1002">
        <f t="array" ref="D1002">IFERROR(INDEX('TRIP MANAGER'!$P$18:$P$25,$A1002),"")</f>
        <v/>
      </c>
      <c r="E1002">
        <f t="array" ref="E1002">IFERROR(INDEX('TRIP MANAGER'!$Q$18:$Q$25,$A1002),"")</f>
        <v/>
      </c>
      <c r="F1002">
        <f t="array" ref="F1002">IFERROR(INDEX('TRIP MANAGER'!$R$18:$R$25,$A1002),"")</f>
        <v/>
      </c>
      <c r="G1002">
        <f t="array" ref="G1002">IFERROR(INDEX('TRIP MANAGER'!$S$18:$S$25,$A1002),"")</f>
        <v/>
      </c>
      <c r="H1002">
        <f>$B1002/150</f>
        <v/>
      </c>
      <c r="I1002">
        <f>IF(OR($G1002="",$G1002=0),"",SIN((1-$H1002)*$G1002)/SIN($G1002))</f>
        <v/>
      </c>
      <c r="J1002">
        <f>IF($I1002="","",SIN($H1002*$G1002)/SIN($G1002))</f>
        <v/>
      </c>
      <c r="K1002">
        <f>IF($I1002="","",$I1002*COS(RADIANS($C1002))*COS(RADIANS($D1002))+$J1002*COS(RADIANS($E1002))*COS(RADIANS($F1002)))</f>
        <v/>
      </c>
      <c r="L1002">
        <f>IF($I1002="","",$I1002*COS(RADIANS($C1002))*SIN(RADIANS($D1002))+$J1002*COS(RADIANS($E1002))*SIN(RADIANS($F1002)))</f>
        <v/>
      </c>
      <c r="M1002">
        <f>IF($I1002="","",$I1002*SIN(RADIANS($C1002))+$J1002*SIN(RADIANS($E1002)))</f>
        <v/>
      </c>
      <c r="N1002">
        <f>IF($M1002="","",DEGREES(ATAN2(SQRT($K1002^2+$L1002^2),$M1002)))</f>
        <v/>
      </c>
      <c r="O1002">
        <f>IF($M1002="","",DEGREES(ATAN2($K1002,$L1002)))</f>
        <v/>
      </c>
      <c r="P1002">
        <f t="array" ref="P1002">IF($N1002="","",IFERROR(IF(INDEX(geo_grid!$B$2:$JU$231,INT(($N1002+40)/0.5)+1,INT(($O1002+30)/0.5)+1)="","",INDEX(geo_grid!$B$2:$JU$231,INT(($N1002+40)/0.5)+1,INT(($O1002+30)/0.5)+1)),"OUTSIDE GRID"))</f>
        <v/>
      </c>
      <c r="Q1002">
        <f>IF($P1002="","",$A1002*1000+$B1002)</f>
        <v/>
      </c>
    </row>
    <row r="1003">
      <c r="A1003">
        <f>INT((ROW()-2)/151)+1</f>
        <v/>
      </c>
      <c r="B1003">
        <f>MOD(ROW()-2,151)</f>
        <v/>
      </c>
      <c r="C1003">
        <f t="array" ref="C1003">IFERROR(INDEX('TRIP MANAGER'!$O$18:$O$25,$A1003),"")</f>
        <v/>
      </c>
      <c r="D1003">
        <f t="array" ref="D1003">IFERROR(INDEX('TRIP MANAGER'!$P$18:$P$25,$A1003),"")</f>
        <v/>
      </c>
      <c r="E1003">
        <f t="array" ref="E1003">IFERROR(INDEX('TRIP MANAGER'!$Q$18:$Q$25,$A1003),"")</f>
        <v/>
      </c>
      <c r="F1003">
        <f t="array" ref="F1003">IFERROR(INDEX('TRIP MANAGER'!$R$18:$R$25,$A1003),"")</f>
        <v/>
      </c>
      <c r="G1003">
        <f t="array" ref="G1003">IFERROR(INDEX('TRIP MANAGER'!$S$18:$S$25,$A1003),"")</f>
        <v/>
      </c>
      <c r="H1003">
        <f>$B1003/150</f>
        <v/>
      </c>
      <c r="I1003">
        <f>IF(OR($G1003="",$G1003=0),"",SIN((1-$H1003)*$G1003)/SIN($G1003))</f>
        <v/>
      </c>
      <c r="J1003">
        <f>IF($I1003="","",SIN($H1003*$G1003)/SIN($G1003))</f>
        <v/>
      </c>
      <c r="K1003">
        <f>IF($I1003="","",$I1003*COS(RADIANS($C1003))*COS(RADIANS($D1003))+$J1003*COS(RADIANS($E1003))*COS(RADIANS($F1003)))</f>
        <v/>
      </c>
      <c r="L1003">
        <f>IF($I1003="","",$I1003*COS(RADIANS($C1003))*SIN(RADIANS($D1003))+$J1003*COS(RADIANS($E1003))*SIN(RADIANS($F1003)))</f>
        <v/>
      </c>
      <c r="M1003">
        <f>IF($I1003="","",$I1003*SIN(RADIANS($C1003))+$J1003*SIN(RADIANS($E1003)))</f>
        <v/>
      </c>
      <c r="N1003">
        <f>IF($M1003="","",DEGREES(ATAN2(SQRT($K1003^2+$L1003^2),$M1003)))</f>
        <v/>
      </c>
      <c r="O1003">
        <f>IF($M1003="","",DEGREES(ATAN2($K1003,$L1003)))</f>
        <v/>
      </c>
      <c r="P1003">
        <f t="array" ref="P1003">IF($N1003="","",IFERROR(IF(INDEX(geo_grid!$B$2:$JU$231,INT(($N1003+40)/0.5)+1,INT(($O1003+30)/0.5)+1)="","",INDEX(geo_grid!$B$2:$JU$231,INT(($N1003+40)/0.5)+1,INT(($O1003+30)/0.5)+1)),"OUTSIDE GRID"))</f>
        <v/>
      </c>
      <c r="Q1003">
        <f>IF($P1003="","",$A1003*1000+$B1003)</f>
        <v/>
      </c>
    </row>
    <row r="1004">
      <c r="A1004">
        <f>INT((ROW()-2)/151)+1</f>
        <v/>
      </c>
      <c r="B1004">
        <f>MOD(ROW()-2,151)</f>
        <v/>
      </c>
      <c r="C1004">
        <f t="array" ref="C1004">IFERROR(INDEX('TRIP MANAGER'!$O$18:$O$25,$A1004),"")</f>
        <v/>
      </c>
      <c r="D1004">
        <f t="array" ref="D1004">IFERROR(INDEX('TRIP MANAGER'!$P$18:$P$25,$A1004),"")</f>
        <v/>
      </c>
      <c r="E1004">
        <f t="array" ref="E1004">IFERROR(INDEX('TRIP MANAGER'!$Q$18:$Q$25,$A1004),"")</f>
        <v/>
      </c>
      <c r="F1004">
        <f t="array" ref="F1004">IFERROR(INDEX('TRIP MANAGER'!$R$18:$R$25,$A1004),"")</f>
        <v/>
      </c>
      <c r="G1004">
        <f t="array" ref="G1004">IFERROR(INDEX('TRIP MANAGER'!$S$18:$S$25,$A1004),"")</f>
        <v/>
      </c>
      <c r="H1004">
        <f>$B1004/150</f>
        <v/>
      </c>
      <c r="I1004">
        <f>IF(OR($G1004="",$G1004=0),"",SIN((1-$H1004)*$G1004)/SIN($G1004))</f>
        <v/>
      </c>
      <c r="J1004">
        <f>IF($I1004="","",SIN($H1004*$G1004)/SIN($G1004))</f>
        <v/>
      </c>
      <c r="K1004">
        <f>IF($I1004="","",$I1004*COS(RADIANS($C1004))*COS(RADIANS($D1004))+$J1004*COS(RADIANS($E1004))*COS(RADIANS($F1004)))</f>
        <v/>
      </c>
      <c r="L1004">
        <f>IF($I1004="","",$I1004*COS(RADIANS($C1004))*SIN(RADIANS($D1004))+$J1004*COS(RADIANS($E1004))*SIN(RADIANS($F1004)))</f>
        <v/>
      </c>
      <c r="M1004">
        <f>IF($I1004="","",$I1004*SIN(RADIANS($C1004))+$J1004*SIN(RADIANS($E1004)))</f>
        <v/>
      </c>
      <c r="N1004">
        <f>IF($M1004="","",DEGREES(ATAN2(SQRT($K1004^2+$L1004^2),$M1004)))</f>
        <v/>
      </c>
      <c r="O1004">
        <f>IF($M1004="","",DEGREES(ATAN2($K1004,$L1004)))</f>
        <v/>
      </c>
      <c r="P1004">
        <f t="array" ref="P1004">IF($N1004="","",IFERROR(IF(INDEX(geo_grid!$B$2:$JU$231,INT(($N1004+40)/0.5)+1,INT(($O1004+30)/0.5)+1)="","",INDEX(geo_grid!$B$2:$JU$231,INT(($N1004+40)/0.5)+1,INT(($O1004+30)/0.5)+1)),"OUTSIDE GRID"))</f>
        <v/>
      </c>
      <c r="Q1004">
        <f>IF($P1004="","",$A1004*1000+$B1004)</f>
        <v/>
      </c>
    </row>
    <row r="1005">
      <c r="A1005">
        <f>INT((ROW()-2)/151)+1</f>
        <v/>
      </c>
      <c r="B1005">
        <f>MOD(ROW()-2,151)</f>
        <v/>
      </c>
      <c r="C1005">
        <f t="array" ref="C1005">IFERROR(INDEX('TRIP MANAGER'!$O$18:$O$25,$A1005),"")</f>
        <v/>
      </c>
      <c r="D1005">
        <f t="array" ref="D1005">IFERROR(INDEX('TRIP MANAGER'!$P$18:$P$25,$A1005),"")</f>
        <v/>
      </c>
      <c r="E1005">
        <f t="array" ref="E1005">IFERROR(INDEX('TRIP MANAGER'!$Q$18:$Q$25,$A1005),"")</f>
        <v/>
      </c>
      <c r="F1005">
        <f t="array" ref="F1005">IFERROR(INDEX('TRIP MANAGER'!$R$18:$R$25,$A1005),"")</f>
        <v/>
      </c>
      <c r="G1005">
        <f t="array" ref="G1005">IFERROR(INDEX('TRIP MANAGER'!$S$18:$S$25,$A1005),"")</f>
        <v/>
      </c>
      <c r="H1005">
        <f>$B1005/150</f>
        <v/>
      </c>
      <c r="I1005">
        <f>IF(OR($G1005="",$G1005=0),"",SIN((1-$H1005)*$G1005)/SIN($G1005))</f>
        <v/>
      </c>
      <c r="J1005">
        <f>IF($I1005="","",SIN($H1005*$G1005)/SIN($G1005))</f>
        <v/>
      </c>
      <c r="K1005">
        <f>IF($I1005="","",$I1005*COS(RADIANS($C1005))*COS(RADIANS($D1005))+$J1005*COS(RADIANS($E1005))*COS(RADIANS($F1005)))</f>
        <v/>
      </c>
      <c r="L1005">
        <f>IF($I1005="","",$I1005*COS(RADIANS($C1005))*SIN(RADIANS($D1005))+$J1005*COS(RADIANS($E1005))*SIN(RADIANS($F1005)))</f>
        <v/>
      </c>
      <c r="M1005">
        <f>IF($I1005="","",$I1005*SIN(RADIANS($C1005))+$J1005*SIN(RADIANS($E1005)))</f>
        <v/>
      </c>
      <c r="N1005">
        <f>IF($M1005="","",DEGREES(ATAN2(SQRT($K1005^2+$L1005^2),$M1005)))</f>
        <v/>
      </c>
      <c r="O1005">
        <f>IF($M1005="","",DEGREES(ATAN2($K1005,$L1005)))</f>
        <v/>
      </c>
      <c r="P1005">
        <f t="array" ref="P1005">IF($N1005="","",IFERROR(IF(INDEX(geo_grid!$B$2:$JU$231,INT(($N1005+40)/0.5)+1,INT(($O1005+30)/0.5)+1)="","",INDEX(geo_grid!$B$2:$JU$231,INT(($N1005+40)/0.5)+1,INT(($O1005+30)/0.5)+1)),"OUTSIDE GRID"))</f>
        <v/>
      </c>
      <c r="Q1005">
        <f>IF($P1005="","",$A1005*1000+$B1005)</f>
        <v/>
      </c>
    </row>
    <row r="1006">
      <c r="A1006">
        <f>INT((ROW()-2)/151)+1</f>
        <v/>
      </c>
      <c r="B1006">
        <f>MOD(ROW()-2,151)</f>
        <v/>
      </c>
      <c r="C1006">
        <f t="array" ref="C1006">IFERROR(INDEX('TRIP MANAGER'!$O$18:$O$25,$A1006),"")</f>
        <v/>
      </c>
      <c r="D1006">
        <f t="array" ref="D1006">IFERROR(INDEX('TRIP MANAGER'!$P$18:$P$25,$A1006),"")</f>
        <v/>
      </c>
      <c r="E1006">
        <f t="array" ref="E1006">IFERROR(INDEX('TRIP MANAGER'!$Q$18:$Q$25,$A1006),"")</f>
        <v/>
      </c>
      <c r="F1006">
        <f t="array" ref="F1006">IFERROR(INDEX('TRIP MANAGER'!$R$18:$R$25,$A1006),"")</f>
        <v/>
      </c>
      <c r="G1006">
        <f t="array" ref="G1006">IFERROR(INDEX('TRIP MANAGER'!$S$18:$S$25,$A1006),"")</f>
        <v/>
      </c>
      <c r="H1006">
        <f>$B1006/150</f>
        <v/>
      </c>
      <c r="I1006">
        <f>IF(OR($G1006="",$G1006=0),"",SIN((1-$H1006)*$G1006)/SIN($G1006))</f>
        <v/>
      </c>
      <c r="J1006">
        <f>IF($I1006="","",SIN($H1006*$G1006)/SIN($G1006))</f>
        <v/>
      </c>
      <c r="K1006">
        <f>IF($I1006="","",$I1006*COS(RADIANS($C1006))*COS(RADIANS($D1006))+$J1006*COS(RADIANS($E1006))*COS(RADIANS($F1006)))</f>
        <v/>
      </c>
      <c r="L1006">
        <f>IF($I1006="","",$I1006*COS(RADIANS($C1006))*SIN(RADIANS($D1006))+$J1006*COS(RADIANS($E1006))*SIN(RADIANS($F1006)))</f>
        <v/>
      </c>
      <c r="M1006">
        <f>IF($I1006="","",$I1006*SIN(RADIANS($C1006))+$J1006*SIN(RADIANS($E1006)))</f>
        <v/>
      </c>
      <c r="N1006">
        <f>IF($M1006="","",DEGREES(ATAN2(SQRT($K1006^2+$L1006^2),$M1006)))</f>
        <v/>
      </c>
      <c r="O1006">
        <f>IF($M1006="","",DEGREES(ATAN2($K1006,$L1006)))</f>
        <v/>
      </c>
      <c r="P1006">
        <f t="array" ref="P1006">IF($N1006="","",IFERROR(IF(INDEX(geo_grid!$B$2:$JU$231,INT(($N1006+40)/0.5)+1,INT(($O1006+30)/0.5)+1)="","",INDEX(geo_grid!$B$2:$JU$231,INT(($N1006+40)/0.5)+1,INT(($O1006+30)/0.5)+1)),"OUTSIDE GRID"))</f>
        <v/>
      </c>
      <c r="Q1006">
        <f>IF($P1006="","",$A1006*1000+$B1006)</f>
        <v/>
      </c>
    </row>
    <row r="1007">
      <c r="A1007">
        <f>INT((ROW()-2)/151)+1</f>
        <v/>
      </c>
      <c r="B1007">
        <f>MOD(ROW()-2,151)</f>
        <v/>
      </c>
      <c r="C1007">
        <f t="array" ref="C1007">IFERROR(INDEX('TRIP MANAGER'!$O$18:$O$25,$A1007),"")</f>
        <v/>
      </c>
      <c r="D1007">
        <f t="array" ref="D1007">IFERROR(INDEX('TRIP MANAGER'!$P$18:$P$25,$A1007),"")</f>
        <v/>
      </c>
      <c r="E1007">
        <f t="array" ref="E1007">IFERROR(INDEX('TRIP MANAGER'!$Q$18:$Q$25,$A1007),"")</f>
        <v/>
      </c>
      <c r="F1007">
        <f t="array" ref="F1007">IFERROR(INDEX('TRIP MANAGER'!$R$18:$R$25,$A1007),"")</f>
        <v/>
      </c>
      <c r="G1007">
        <f t="array" ref="G1007">IFERROR(INDEX('TRIP MANAGER'!$S$18:$S$25,$A1007),"")</f>
        <v/>
      </c>
      <c r="H1007">
        <f>$B1007/150</f>
        <v/>
      </c>
      <c r="I1007">
        <f>IF(OR($G1007="",$G1007=0),"",SIN((1-$H1007)*$G1007)/SIN($G1007))</f>
        <v/>
      </c>
      <c r="J1007">
        <f>IF($I1007="","",SIN($H1007*$G1007)/SIN($G1007))</f>
        <v/>
      </c>
      <c r="K1007">
        <f>IF($I1007="","",$I1007*COS(RADIANS($C1007))*COS(RADIANS($D1007))+$J1007*COS(RADIANS($E1007))*COS(RADIANS($F1007)))</f>
        <v/>
      </c>
      <c r="L1007">
        <f>IF($I1007="","",$I1007*COS(RADIANS($C1007))*SIN(RADIANS($D1007))+$J1007*COS(RADIANS($E1007))*SIN(RADIANS($F1007)))</f>
        <v/>
      </c>
      <c r="M1007">
        <f>IF($I1007="","",$I1007*SIN(RADIANS($C1007))+$J1007*SIN(RADIANS($E1007)))</f>
        <v/>
      </c>
      <c r="N1007">
        <f>IF($M1007="","",DEGREES(ATAN2(SQRT($K1007^2+$L1007^2),$M1007)))</f>
        <v/>
      </c>
      <c r="O1007">
        <f>IF($M1007="","",DEGREES(ATAN2($K1007,$L1007)))</f>
        <v/>
      </c>
      <c r="P1007">
        <f t="array" ref="P1007">IF($N1007="","",IFERROR(IF(INDEX(geo_grid!$B$2:$JU$231,INT(($N1007+40)/0.5)+1,INT(($O1007+30)/0.5)+1)="","",INDEX(geo_grid!$B$2:$JU$231,INT(($N1007+40)/0.5)+1,INT(($O1007+30)/0.5)+1)),"OUTSIDE GRID"))</f>
        <v/>
      </c>
      <c r="Q1007">
        <f>IF($P1007="","",$A1007*1000+$B1007)</f>
        <v/>
      </c>
    </row>
    <row r="1008">
      <c r="A1008">
        <f>INT((ROW()-2)/151)+1</f>
        <v/>
      </c>
      <c r="B1008">
        <f>MOD(ROW()-2,151)</f>
        <v/>
      </c>
      <c r="C1008">
        <f t="array" ref="C1008">IFERROR(INDEX('TRIP MANAGER'!$O$18:$O$25,$A1008),"")</f>
        <v/>
      </c>
      <c r="D1008">
        <f t="array" ref="D1008">IFERROR(INDEX('TRIP MANAGER'!$P$18:$P$25,$A1008),"")</f>
        <v/>
      </c>
      <c r="E1008">
        <f t="array" ref="E1008">IFERROR(INDEX('TRIP MANAGER'!$Q$18:$Q$25,$A1008),"")</f>
        <v/>
      </c>
      <c r="F1008">
        <f t="array" ref="F1008">IFERROR(INDEX('TRIP MANAGER'!$R$18:$R$25,$A1008),"")</f>
        <v/>
      </c>
      <c r="G1008">
        <f t="array" ref="G1008">IFERROR(INDEX('TRIP MANAGER'!$S$18:$S$25,$A1008),"")</f>
        <v/>
      </c>
      <c r="H1008">
        <f>$B1008/150</f>
        <v/>
      </c>
      <c r="I1008">
        <f>IF(OR($G1008="",$G1008=0),"",SIN((1-$H1008)*$G1008)/SIN($G1008))</f>
        <v/>
      </c>
      <c r="J1008">
        <f>IF($I1008="","",SIN($H1008*$G1008)/SIN($G1008))</f>
        <v/>
      </c>
      <c r="K1008">
        <f>IF($I1008="","",$I1008*COS(RADIANS($C1008))*COS(RADIANS($D1008))+$J1008*COS(RADIANS($E1008))*COS(RADIANS($F1008)))</f>
        <v/>
      </c>
      <c r="L1008">
        <f>IF($I1008="","",$I1008*COS(RADIANS($C1008))*SIN(RADIANS($D1008))+$J1008*COS(RADIANS($E1008))*SIN(RADIANS($F1008)))</f>
        <v/>
      </c>
      <c r="M1008">
        <f>IF($I1008="","",$I1008*SIN(RADIANS($C1008))+$J1008*SIN(RADIANS($E1008)))</f>
        <v/>
      </c>
      <c r="N1008">
        <f>IF($M1008="","",DEGREES(ATAN2(SQRT($K1008^2+$L1008^2),$M1008)))</f>
        <v/>
      </c>
      <c r="O1008">
        <f>IF($M1008="","",DEGREES(ATAN2($K1008,$L1008)))</f>
        <v/>
      </c>
      <c r="P1008">
        <f t="array" ref="P1008">IF($N1008="","",IFERROR(IF(INDEX(geo_grid!$B$2:$JU$231,INT(($N1008+40)/0.5)+1,INT(($O1008+30)/0.5)+1)="","",INDEX(geo_grid!$B$2:$JU$231,INT(($N1008+40)/0.5)+1,INT(($O1008+30)/0.5)+1)),"OUTSIDE GRID"))</f>
        <v/>
      </c>
      <c r="Q1008">
        <f>IF($P1008="","",$A1008*1000+$B1008)</f>
        <v/>
      </c>
    </row>
    <row r="1009">
      <c r="A1009">
        <f>INT((ROW()-2)/151)+1</f>
        <v/>
      </c>
      <c r="B1009">
        <f>MOD(ROW()-2,151)</f>
        <v/>
      </c>
      <c r="C1009">
        <f t="array" ref="C1009">IFERROR(INDEX('TRIP MANAGER'!$O$18:$O$25,$A1009),"")</f>
        <v/>
      </c>
      <c r="D1009">
        <f t="array" ref="D1009">IFERROR(INDEX('TRIP MANAGER'!$P$18:$P$25,$A1009),"")</f>
        <v/>
      </c>
      <c r="E1009">
        <f t="array" ref="E1009">IFERROR(INDEX('TRIP MANAGER'!$Q$18:$Q$25,$A1009),"")</f>
        <v/>
      </c>
      <c r="F1009">
        <f t="array" ref="F1009">IFERROR(INDEX('TRIP MANAGER'!$R$18:$R$25,$A1009),"")</f>
        <v/>
      </c>
      <c r="G1009">
        <f t="array" ref="G1009">IFERROR(INDEX('TRIP MANAGER'!$S$18:$S$25,$A1009),"")</f>
        <v/>
      </c>
      <c r="H1009">
        <f>$B1009/150</f>
        <v/>
      </c>
      <c r="I1009">
        <f>IF(OR($G1009="",$G1009=0),"",SIN((1-$H1009)*$G1009)/SIN($G1009))</f>
        <v/>
      </c>
      <c r="J1009">
        <f>IF($I1009="","",SIN($H1009*$G1009)/SIN($G1009))</f>
        <v/>
      </c>
      <c r="K1009">
        <f>IF($I1009="","",$I1009*COS(RADIANS($C1009))*COS(RADIANS($D1009))+$J1009*COS(RADIANS($E1009))*COS(RADIANS($F1009)))</f>
        <v/>
      </c>
      <c r="L1009">
        <f>IF($I1009="","",$I1009*COS(RADIANS($C1009))*SIN(RADIANS($D1009))+$J1009*COS(RADIANS($E1009))*SIN(RADIANS($F1009)))</f>
        <v/>
      </c>
      <c r="M1009">
        <f>IF($I1009="","",$I1009*SIN(RADIANS($C1009))+$J1009*SIN(RADIANS($E1009)))</f>
        <v/>
      </c>
      <c r="N1009">
        <f>IF($M1009="","",DEGREES(ATAN2(SQRT($K1009^2+$L1009^2),$M1009)))</f>
        <v/>
      </c>
      <c r="O1009">
        <f>IF($M1009="","",DEGREES(ATAN2($K1009,$L1009)))</f>
        <v/>
      </c>
      <c r="P1009">
        <f t="array" ref="P1009">IF($N1009="","",IFERROR(IF(INDEX(geo_grid!$B$2:$JU$231,INT(($N1009+40)/0.5)+1,INT(($O1009+30)/0.5)+1)="","",INDEX(geo_grid!$B$2:$JU$231,INT(($N1009+40)/0.5)+1,INT(($O1009+30)/0.5)+1)),"OUTSIDE GRID"))</f>
        <v/>
      </c>
      <c r="Q1009">
        <f>IF($P1009="","",$A1009*1000+$B1009)</f>
        <v/>
      </c>
    </row>
    <row r="1010">
      <c r="A1010">
        <f>INT((ROW()-2)/151)+1</f>
        <v/>
      </c>
      <c r="B1010">
        <f>MOD(ROW()-2,151)</f>
        <v/>
      </c>
      <c r="C1010">
        <f t="array" ref="C1010">IFERROR(INDEX('TRIP MANAGER'!$O$18:$O$25,$A1010),"")</f>
        <v/>
      </c>
      <c r="D1010">
        <f t="array" ref="D1010">IFERROR(INDEX('TRIP MANAGER'!$P$18:$P$25,$A1010),"")</f>
        <v/>
      </c>
      <c r="E1010">
        <f t="array" ref="E1010">IFERROR(INDEX('TRIP MANAGER'!$Q$18:$Q$25,$A1010),"")</f>
        <v/>
      </c>
      <c r="F1010">
        <f t="array" ref="F1010">IFERROR(INDEX('TRIP MANAGER'!$R$18:$R$25,$A1010),"")</f>
        <v/>
      </c>
      <c r="G1010">
        <f t="array" ref="G1010">IFERROR(INDEX('TRIP MANAGER'!$S$18:$S$25,$A1010),"")</f>
        <v/>
      </c>
      <c r="H1010">
        <f>$B1010/150</f>
        <v/>
      </c>
      <c r="I1010">
        <f>IF(OR($G1010="",$G1010=0),"",SIN((1-$H1010)*$G1010)/SIN($G1010))</f>
        <v/>
      </c>
      <c r="J1010">
        <f>IF($I1010="","",SIN($H1010*$G1010)/SIN($G1010))</f>
        <v/>
      </c>
      <c r="K1010">
        <f>IF($I1010="","",$I1010*COS(RADIANS($C1010))*COS(RADIANS($D1010))+$J1010*COS(RADIANS($E1010))*COS(RADIANS($F1010)))</f>
        <v/>
      </c>
      <c r="L1010">
        <f>IF($I1010="","",$I1010*COS(RADIANS($C1010))*SIN(RADIANS($D1010))+$J1010*COS(RADIANS($E1010))*SIN(RADIANS($F1010)))</f>
        <v/>
      </c>
      <c r="M1010">
        <f>IF($I1010="","",$I1010*SIN(RADIANS($C1010))+$J1010*SIN(RADIANS($E1010)))</f>
        <v/>
      </c>
      <c r="N1010">
        <f>IF($M1010="","",DEGREES(ATAN2(SQRT($K1010^2+$L1010^2),$M1010)))</f>
        <v/>
      </c>
      <c r="O1010">
        <f>IF($M1010="","",DEGREES(ATAN2($K1010,$L1010)))</f>
        <v/>
      </c>
      <c r="P1010">
        <f t="array" ref="P1010">IF($N1010="","",IFERROR(IF(INDEX(geo_grid!$B$2:$JU$231,INT(($N1010+40)/0.5)+1,INT(($O1010+30)/0.5)+1)="","",INDEX(geo_grid!$B$2:$JU$231,INT(($N1010+40)/0.5)+1,INT(($O1010+30)/0.5)+1)),"OUTSIDE GRID"))</f>
        <v/>
      </c>
      <c r="Q1010">
        <f>IF($P1010="","",$A1010*1000+$B1010)</f>
        <v/>
      </c>
    </row>
    <row r="1011">
      <c r="A1011">
        <f>INT((ROW()-2)/151)+1</f>
        <v/>
      </c>
      <c r="B1011">
        <f>MOD(ROW()-2,151)</f>
        <v/>
      </c>
      <c r="C1011">
        <f t="array" ref="C1011">IFERROR(INDEX('TRIP MANAGER'!$O$18:$O$25,$A1011),"")</f>
        <v/>
      </c>
      <c r="D1011">
        <f t="array" ref="D1011">IFERROR(INDEX('TRIP MANAGER'!$P$18:$P$25,$A1011),"")</f>
        <v/>
      </c>
      <c r="E1011">
        <f t="array" ref="E1011">IFERROR(INDEX('TRIP MANAGER'!$Q$18:$Q$25,$A1011),"")</f>
        <v/>
      </c>
      <c r="F1011">
        <f t="array" ref="F1011">IFERROR(INDEX('TRIP MANAGER'!$R$18:$R$25,$A1011),"")</f>
        <v/>
      </c>
      <c r="G1011">
        <f t="array" ref="G1011">IFERROR(INDEX('TRIP MANAGER'!$S$18:$S$25,$A1011),"")</f>
        <v/>
      </c>
      <c r="H1011">
        <f>$B1011/150</f>
        <v/>
      </c>
      <c r="I1011">
        <f>IF(OR($G1011="",$G1011=0),"",SIN((1-$H1011)*$G1011)/SIN($G1011))</f>
        <v/>
      </c>
      <c r="J1011">
        <f>IF($I1011="","",SIN($H1011*$G1011)/SIN($G1011))</f>
        <v/>
      </c>
      <c r="K1011">
        <f>IF($I1011="","",$I1011*COS(RADIANS($C1011))*COS(RADIANS($D1011))+$J1011*COS(RADIANS($E1011))*COS(RADIANS($F1011)))</f>
        <v/>
      </c>
      <c r="L1011">
        <f>IF($I1011="","",$I1011*COS(RADIANS($C1011))*SIN(RADIANS($D1011))+$J1011*COS(RADIANS($E1011))*SIN(RADIANS($F1011)))</f>
        <v/>
      </c>
      <c r="M1011">
        <f>IF($I1011="","",$I1011*SIN(RADIANS($C1011))+$J1011*SIN(RADIANS($E1011)))</f>
        <v/>
      </c>
      <c r="N1011">
        <f>IF($M1011="","",DEGREES(ATAN2(SQRT($K1011^2+$L1011^2),$M1011)))</f>
        <v/>
      </c>
      <c r="O1011">
        <f>IF($M1011="","",DEGREES(ATAN2($K1011,$L1011)))</f>
        <v/>
      </c>
      <c r="P1011">
        <f t="array" ref="P1011">IF($N1011="","",IFERROR(IF(INDEX(geo_grid!$B$2:$JU$231,INT(($N1011+40)/0.5)+1,INT(($O1011+30)/0.5)+1)="","",INDEX(geo_grid!$B$2:$JU$231,INT(($N1011+40)/0.5)+1,INT(($O1011+30)/0.5)+1)),"OUTSIDE GRID"))</f>
        <v/>
      </c>
      <c r="Q1011">
        <f>IF($P1011="","",$A1011*1000+$B1011)</f>
        <v/>
      </c>
    </row>
    <row r="1012">
      <c r="A1012">
        <f>INT((ROW()-2)/151)+1</f>
        <v/>
      </c>
      <c r="B1012">
        <f>MOD(ROW()-2,151)</f>
        <v/>
      </c>
      <c r="C1012">
        <f t="array" ref="C1012">IFERROR(INDEX('TRIP MANAGER'!$O$18:$O$25,$A1012),"")</f>
        <v/>
      </c>
      <c r="D1012">
        <f t="array" ref="D1012">IFERROR(INDEX('TRIP MANAGER'!$P$18:$P$25,$A1012),"")</f>
        <v/>
      </c>
      <c r="E1012">
        <f t="array" ref="E1012">IFERROR(INDEX('TRIP MANAGER'!$Q$18:$Q$25,$A1012),"")</f>
        <v/>
      </c>
      <c r="F1012">
        <f t="array" ref="F1012">IFERROR(INDEX('TRIP MANAGER'!$R$18:$R$25,$A1012),"")</f>
        <v/>
      </c>
      <c r="G1012">
        <f t="array" ref="G1012">IFERROR(INDEX('TRIP MANAGER'!$S$18:$S$25,$A1012),"")</f>
        <v/>
      </c>
      <c r="H1012">
        <f>$B1012/150</f>
        <v/>
      </c>
      <c r="I1012">
        <f>IF(OR($G1012="",$G1012=0),"",SIN((1-$H1012)*$G1012)/SIN($G1012))</f>
        <v/>
      </c>
      <c r="J1012">
        <f>IF($I1012="","",SIN($H1012*$G1012)/SIN($G1012))</f>
        <v/>
      </c>
      <c r="K1012">
        <f>IF($I1012="","",$I1012*COS(RADIANS($C1012))*COS(RADIANS($D1012))+$J1012*COS(RADIANS($E1012))*COS(RADIANS($F1012)))</f>
        <v/>
      </c>
      <c r="L1012">
        <f>IF($I1012="","",$I1012*COS(RADIANS($C1012))*SIN(RADIANS($D1012))+$J1012*COS(RADIANS($E1012))*SIN(RADIANS($F1012)))</f>
        <v/>
      </c>
      <c r="M1012">
        <f>IF($I1012="","",$I1012*SIN(RADIANS($C1012))+$J1012*SIN(RADIANS($E1012)))</f>
        <v/>
      </c>
      <c r="N1012">
        <f>IF($M1012="","",DEGREES(ATAN2(SQRT($K1012^2+$L1012^2),$M1012)))</f>
        <v/>
      </c>
      <c r="O1012">
        <f>IF($M1012="","",DEGREES(ATAN2($K1012,$L1012)))</f>
        <v/>
      </c>
      <c r="P1012">
        <f t="array" ref="P1012">IF($N1012="","",IFERROR(IF(INDEX(geo_grid!$B$2:$JU$231,INT(($N1012+40)/0.5)+1,INT(($O1012+30)/0.5)+1)="","",INDEX(geo_grid!$B$2:$JU$231,INT(($N1012+40)/0.5)+1,INT(($O1012+30)/0.5)+1)),"OUTSIDE GRID"))</f>
        <v/>
      </c>
      <c r="Q1012">
        <f>IF($P1012="","",$A1012*1000+$B1012)</f>
        <v/>
      </c>
    </row>
    <row r="1013">
      <c r="A1013">
        <f>INT((ROW()-2)/151)+1</f>
        <v/>
      </c>
      <c r="B1013">
        <f>MOD(ROW()-2,151)</f>
        <v/>
      </c>
      <c r="C1013">
        <f t="array" ref="C1013">IFERROR(INDEX('TRIP MANAGER'!$O$18:$O$25,$A1013),"")</f>
        <v/>
      </c>
      <c r="D1013">
        <f t="array" ref="D1013">IFERROR(INDEX('TRIP MANAGER'!$P$18:$P$25,$A1013),"")</f>
        <v/>
      </c>
      <c r="E1013">
        <f t="array" ref="E1013">IFERROR(INDEX('TRIP MANAGER'!$Q$18:$Q$25,$A1013),"")</f>
        <v/>
      </c>
      <c r="F1013">
        <f t="array" ref="F1013">IFERROR(INDEX('TRIP MANAGER'!$R$18:$R$25,$A1013),"")</f>
        <v/>
      </c>
      <c r="G1013">
        <f t="array" ref="G1013">IFERROR(INDEX('TRIP MANAGER'!$S$18:$S$25,$A1013),"")</f>
        <v/>
      </c>
      <c r="H1013">
        <f>$B1013/150</f>
        <v/>
      </c>
      <c r="I1013">
        <f>IF(OR($G1013="",$G1013=0),"",SIN((1-$H1013)*$G1013)/SIN($G1013))</f>
        <v/>
      </c>
      <c r="J1013">
        <f>IF($I1013="","",SIN($H1013*$G1013)/SIN($G1013))</f>
        <v/>
      </c>
      <c r="K1013">
        <f>IF($I1013="","",$I1013*COS(RADIANS($C1013))*COS(RADIANS($D1013))+$J1013*COS(RADIANS($E1013))*COS(RADIANS($F1013)))</f>
        <v/>
      </c>
      <c r="L1013">
        <f>IF($I1013="","",$I1013*COS(RADIANS($C1013))*SIN(RADIANS($D1013))+$J1013*COS(RADIANS($E1013))*SIN(RADIANS($F1013)))</f>
        <v/>
      </c>
      <c r="M1013">
        <f>IF($I1013="","",$I1013*SIN(RADIANS($C1013))+$J1013*SIN(RADIANS($E1013)))</f>
        <v/>
      </c>
      <c r="N1013">
        <f>IF($M1013="","",DEGREES(ATAN2(SQRT($K1013^2+$L1013^2),$M1013)))</f>
        <v/>
      </c>
      <c r="O1013">
        <f>IF($M1013="","",DEGREES(ATAN2($K1013,$L1013)))</f>
        <v/>
      </c>
      <c r="P1013">
        <f t="array" ref="P1013">IF($N1013="","",IFERROR(IF(INDEX(geo_grid!$B$2:$JU$231,INT(($N1013+40)/0.5)+1,INT(($O1013+30)/0.5)+1)="","",INDEX(geo_grid!$B$2:$JU$231,INT(($N1013+40)/0.5)+1,INT(($O1013+30)/0.5)+1)),"OUTSIDE GRID"))</f>
        <v/>
      </c>
      <c r="Q1013">
        <f>IF($P1013="","",$A1013*1000+$B1013)</f>
        <v/>
      </c>
    </row>
    <row r="1014">
      <c r="A1014">
        <f>INT((ROW()-2)/151)+1</f>
        <v/>
      </c>
      <c r="B1014">
        <f>MOD(ROW()-2,151)</f>
        <v/>
      </c>
      <c r="C1014">
        <f t="array" ref="C1014">IFERROR(INDEX('TRIP MANAGER'!$O$18:$O$25,$A1014),"")</f>
        <v/>
      </c>
      <c r="D1014">
        <f t="array" ref="D1014">IFERROR(INDEX('TRIP MANAGER'!$P$18:$P$25,$A1014),"")</f>
        <v/>
      </c>
      <c r="E1014">
        <f t="array" ref="E1014">IFERROR(INDEX('TRIP MANAGER'!$Q$18:$Q$25,$A1014),"")</f>
        <v/>
      </c>
      <c r="F1014">
        <f t="array" ref="F1014">IFERROR(INDEX('TRIP MANAGER'!$R$18:$R$25,$A1014),"")</f>
        <v/>
      </c>
      <c r="G1014">
        <f t="array" ref="G1014">IFERROR(INDEX('TRIP MANAGER'!$S$18:$S$25,$A1014),"")</f>
        <v/>
      </c>
      <c r="H1014">
        <f>$B1014/150</f>
        <v/>
      </c>
      <c r="I1014">
        <f>IF(OR($G1014="",$G1014=0),"",SIN((1-$H1014)*$G1014)/SIN($G1014))</f>
        <v/>
      </c>
      <c r="J1014">
        <f>IF($I1014="","",SIN($H1014*$G1014)/SIN($G1014))</f>
        <v/>
      </c>
      <c r="K1014">
        <f>IF($I1014="","",$I1014*COS(RADIANS($C1014))*COS(RADIANS($D1014))+$J1014*COS(RADIANS($E1014))*COS(RADIANS($F1014)))</f>
        <v/>
      </c>
      <c r="L1014">
        <f>IF($I1014="","",$I1014*COS(RADIANS($C1014))*SIN(RADIANS($D1014))+$J1014*COS(RADIANS($E1014))*SIN(RADIANS($F1014)))</f>
        <v/>
      </c>
      <c r="M1014">
        <f>IF($I1014="","",$I1014*SIN(RADIANS($C1014))+$J1014*SIN(RADIANS($E1014)))</f>
        <v/>
      </c>
      <c r="N1014">
        <f>IF($M1014="","",DEGREES(ATAN2(SQRT($K1014^2+$L1014^2),$M1014)))</f>
        <v/>
      </c>
      <c r="O1014">
        <f>IF($M1014="","",DEGREES(ATAN2($K1014,$L1014)))</f>
        <v/>
      </c>
      <c r="P1014">
        <f t="array" ref="P1014">IF($N1014="","",IFERROR(IF(INDEX(geo_grid!$B$2:$JU$231,INT(($N1014+40)/0.5)+1,INT(($O1014+30)/0.5)+1)="","",INDEX(geo_grid!$B$2:$JU$231,INT(($N1014+40)/0.5)+1,INT(($O1014+30)/0.5)+1)),"OUTSIDE GRID"))</f>
        <v/>
      </c>
      <c r="Q1014">
        <f>IF($P1014="","",$A1014*1000+$B1014)</f>
        <v/>
      </c>
    </row>
    <row r="1015">
      <c r="A1015">
        <f>INT((ROW()-2)/151)+1</f>
        <v/>
      </c>
      <c r="B1015">
        <f>MOD(ROW()-2,151)</f>
        <v/>
      </c>
      <c r="C1015">
        <f t="array" ref="C1015">IFERROR(INDEX('TRIP MANAGER'!$O$18:$O$25,$A1015),"")</f>
        <v/>
      </c>
      <c r="D1015">
        <f t="array" ref="D1015">IFERROR(INDEX('TRIP MANAGER'!$P$18:$P$25,$A1015),"")</f>
        <v/>
      </c>
      <c r="E1015">
        <f t="array" ref="E1015">IFERROR(INDEX('TRIP MANAGER'!$Q$18:$Q$25,$A1015),"")</f>
        <v/>
      </c>
      <c r="F1015">
        <f t="array" ref="F1015">IFERROR(INDEX('TRIP MANAGER'!$R$18:$R$25,$A1015),"")</f>
        <v/>
      </c>
      <c r="G1015">
        <f t="array" ref="G1015">IFERROR(INDEX('TRIP MANAGER'!$S$18:$S$25,$A1015),"")</f>
        <v/>
      </c>
      <c r="H1015">
        <f>$B1015/150</f>
        <v/>
      </c>
      <c r="I1015">
        <f>IF(OR($G1015="",$G1015=0),"",SIN((1-$H1015)*$G1015)/SIN($G1015))</f>
        <v/>
      </c>
      <c r="J1015">
        <f>IF($I1015="","",SIN($H1015*$G1015)/SIN($G1015))</f>
        <v/>
      </c>
      <c r="K1015">
        <f>IF($I1015="","",$I1015*COS(RADIANS($C1015))*COS(RADIANS($D1015))+$J1015*COS(RADIANS($E1015))*COS(RADIANS($F1015)))</f>
        <v/>
      </c>
      <c r="L1015">
        <f>IF($I1015="","",$I1015*COS(RADIANS($C1015))*SIN(RADIANS($D1015))+$J1015*COS(RADIANS($E1015))*SIN(RADIANS($F1015)))</f>
        <v/>
      </c>
      <c r="M1015">
        <f>IF($I1015="","",$I1015*SIN(RADIANS($C1015))+$J1015*SIN(RADIANS($E1015)))</f>
        <v/>
      </c>
      <c r="N1015">
        <f>IF($M1015="","",DEGREES(ATAN2(SQRT($K1015^2+$L1015^2),$M1015)))</f>
        <v/>
      </c>
      <c r="O1015">
        <f>IF($M1015="","",DEGREES(ATAN2($K1015,$L1015)))</f>
        <v/>
      </c>
      <c r="P1015">
        <f t="array" ref="P1015">IF($N1015="","",IFERROR(IF(INDEX(geo_grid!$B$2:$JU$231,INT(($N1015+40)/0.5)+1,INT(($O1015+30)/0.5)+1)="","",INDEX(geo_grid!$B$2:$JU$231,INT(($N1015+40)/0.5)+1,INT(($O1015+30)/0.5)+1)),"OUTSIDE GRID"))</f>
        <v/>
      </c>
      <c r="Q1015">
        <f>IF($P1015="","",$A1015*1000+$B1015)</f>
        <v/>
      </c>
    </row>
    <row r="1016">
      <c r="A1016">
        <f>INT((ROW()-2)/151)+1</f>
        <v/>
      </c>
      <c r="B1016">
        <f>MOD(ROW()-2,151)</f>
        <v/>
      </c>
      <c r="C1016">
        <f t="array" ref="C1016">IFERROR(INDEX('TRIP MANAGER'!$O$18:$O$25,$A1016),"")</f>
        <v/>
      </c>
      <c r="D1016">
        <f t="array" ref="D1016">IFERROR(INDEX('TRIP MANAGER'!$P$18:$P$25,$A1016),"")</f>
        <v/>
      </c>
      <c r="E1016">
        <f t="array" ref="E1016">IFERROR(INDEX('TRIP MANAGER'!$Q$18:$Q$25,$A1016),"")</f>
        <v/>
      </c>
      <c r="F1016">
        <f t="array" ref="F1016">IFERROR(INDEX('TRIP MANAGER'!$R$18:$R$25,$A1016),"")</f>
        <v/>
      </c>
      <c r="G1016">
        <f t="array" ref="G1016">IFERROR(INDEX('TRIP MANAGER'!$S$18:$S$25,$A1016),"")</f>
        <v/>
      </c>
      <c r="H1016">
        <f>$B1016/150</f>
        <v/>
      </c>
      <c r="I1016">
        <f>IF(OR($G1016="",$G1016=0),"",SIN((1-$H1016)*$G1016)/SIN($G1016))</f>
        <v/>
      </c>
      <c r="J1016">
        <f>IF($I1016="","",SIN($H1016*$G1016)/SIN($G1016))</f>
        <v/>
      </c>
      <c r="K1016">
        <f>IF($I1016="","",$I1016*COS(RADIANS($C1016))*COS(RADIANS($D1016))+$J1016*COS(RADIANS($E1016))*COS(RADIANS($F1016)))</f>
        <v/>
      </c>
      <c r="L1016">
        <f>IF($I1016="","",$I1016*COS(RADIANS($C1016))*SIN(RADIANS($D1016))+$J1016*COS(RADIANS($E1016))*SIN(RADIANS($F1016)))</f>
        <v/>
      </c>
      <c r="M1016">
        <f>IF($I1016="","",$I1016*SIN(RADIANS($C1016))+$J1016*SIN(RADIANS($E1016)))</f>
        <v/>
      </c>
      <c r="N1016">
        <f>IF($M1016="","",DEGREES(ATAN2(SQRT($K1016^2+$L1016^2),$M1016)))</f>
        <v/>
      </c>
      <c r="O1016">
        <f>IF($M1016="","",DEGREES(ATAN2($K1016,$L1016)))</f>
        <v/>
      </c>
      <c r="P1016">
        <f t="array" ref="P1016">IF($N1016="","",IFERROR(IF(INDEX(geo_grid!$B$2:$JU$231,INT(($N1016+40)/0.5)+1,INT(($O1016+30)/0.5)+1)="","",INDEX(geo_grid!$B$2:$JU$231,INT(($N1016+40)/0.5)+1,INT(($O1016+30)/0.5)+1)),"OUTSIDE GRID"))</f>
        <v/>
      </c>
      <c r="Q1016">
        <f>IF($P1016="","",$A1016*1000+$B1016)</f>
        <v/>
      </c>
    </row>
    <row r="1017">
      <c r="A1017">
        <f>INT((ROW()-2)/151)+1</f>
        <v/>
      </c>
      <c r="B1017">
        <f>MOD(ROW()-2,151)</f>
        <v/>
      </c>
      <c r="C1017">
        <f t="array" ref="C1017">IFERROR(INDEX('TRIP MANAGER'!$O$18:$O$25,$A1017),"")</f>
        <v/>
      </c>
      <c r="D1017">
        <f t="array" ref="D1017">IFERROR(INDEX('TRIP MANAGER'!$P$18:$P$25,$A1017),"")</f>
        <v/>
      </c>
      <c r="E1017">
        <f t="array" ref="E1017">IFERROR(INDEX('TRIP MANAGER'!$Q$18:$Q$25,$A1017),"")</f>
        <v/>
      </c>
      <c r="F1017">
        <f t="array" ref="F1017">IFERROR(INDEX('TRIP MANAGER'!$R$18:$R$25,$A1017),"")</f>
        <v/>
      </c>
      <c r="G1017">
        <f t="array" ref="G1017">IFERROR(INDEX('TRIP MANAGER'!$S$18:$S$25,$A1017),"")</f>
        <v/>
      </c>
      <c r="H1017">
        <f>$B1017/150</f>
        <v/>
      </c>
      <c r="I1017">
        <f>IF(OR($G1017="",$G1017=0),"",SIN((1-$H1017)*$G1017)/SIN($G1017))</f>
        <v/>
      </c>
      <c r="J1017">
        <f>IF($I1017="","",SIN($H1017*$G1017)/SIN($G1017))</f>
        <v/>
      </c>
      <c r="K1017">
        <f>IF($I1017="","",$I1017*COS(RADIANS($C1017))*COS(RADIANS($D1017))+$J1017*COS(RADIANS($E1017))*COS(RADIANS($F1017)))</f>
        <v/>
      </c>
      <c r="L1017">
        <f>IF($I1017="","",$I1017*COS(RADIANS($C1017))*SIN(RADIANS($D1017))+$J1017*COS(RADIANS($E1017))*SIN(RADIANS($F1017)))</f>
        <v/>
      </c>
      <c r="M1017">
        <f>IF($I1017="","",$I1017*SIN(RADIANS($C1017))+$J1017*SIN(RADIANS($E1017)))</f>
        <v/>
      </c>
      <c r="N1017">
        <f>IF($M1017="","",DEGREES(ATAN2(SQRT($K1017^2+$L1017^2),$M1017)))</f>
        <v/>
      </c>
      <c r="O1017">
        <f>IF($M1017="","",DEGREES(ATAN2($K1017,$L1017)))</f>
        <v/>
      </c>
      <c r="P1017">
        <f t="array" ref="P1017">IF($N1017="","",IFERROR(IF(INDEX(geo_grid!$B$2:$JU$231,INT(($N1017+40)/0.5)+1,INT(($O1017+30)/0.5)+1)="","",INDEX(geo_grid!$B$2:$JU$231,INT(($N1017+40)/0.5)+1,INT(($O1017+30)/0.5)+1)),"OUTSIDE GRID"))</f>
        <v/>
      </c>
      <c r="Q1017">
        <f>IF($P1017="","",$A1017*1000+$B1017)</f>
        <v/>
      </c>
    </row>
    <row r="1018">
      <c r="A1018">
        <f>INT((ROW()-2)/151)+1</f>
        <v/>
      </c>
      <c r="B1018">
        <f>MOD(ROW()-2,151)</f>
        <v/>
      </c>
      <c r="C1018">
        <f t="array" ref="C1018">IFERROR(INDEX('TRIP MANAGER'!$O$18:$O$25,$A1018),"")</f>
        <v/>
      </c>
      <c r="D1018">
        <f t="array" ref="D1018">IFERROR(INDEX('TRIP MANAGER'!$P$18:$P$25,$A1018),"")</f>
        <v/>
      </c>
      <c r="E1018">
        <f t="array" ref="E1018">IFERROR(INDEX('TRIP MANAGER'!$Q$18:$Q$25,$A1018),"")</f>
        <v/>
      </c>
      <c r="F1018">
        <f t="array" ref="F1018">IFERROR(INDEX('TRIP MANAGER'!$R$18:$R$25,$A1018),"")</f>
        <v/>
      </c>
      <c r="G1018">
        <f t="array" ref="G1018">IFERROR(INDEX('TRIP MANAGER'!$S$18:$S$25,$A1018),"")</f>
        <v/>
      </c>
      <c r="H1018">
        <f>$B1018/150</f>
        <v/>
      </c>
      <c r="I1018">
        <f>IF(OR($G1018="",$G1018=0),"",SIN((1-$H1018)*$G1018)/SIN($G1018))</f>
        <v/>
      </c>
      <c r="J1018">
        <f>IF($I1018="","",SIN($H1018*$G1018)/SIN($G1018))</f>
        <v/>
      </c>
      <c r="K1018">
        <f>IF($I1018="","",$I1018*COS(RADIANS($C1018))*COS(RADIANS($D1018))+$J1018*COS(RADIANS($E1018))*COS(RADIANS($F1018)))</f>
        <v/>
      </c>
      <c r="L1018">
        <f>IF($I1018="","",$I1018*COS(RADIANS($C1018))*SIN(RADIANS($D1018))+$J1018*COS(RADIANS($E1018))*SIN(RADIANS($F1018)))</f>
        <v/>
      </c>
      <c r="M1018">
        <f>IF($I1018="","",$I1018*SIN(RADIANS($C1018))+$J1018*SIN(RADIANS($E1018)))</f>
        <v/>
      </c>
      <c r="N1018">
        <f>IF($M1018="","",DEGREES(ATAN2(SQRT($K1018^2+$L1018^2),$M1018)))</f>
        <v/>
      </c>
      <c r="O1018">
        <f>IF($M1018="","",DEGREES(ATAN2($K1018,$L1018)))</f>
        <v/>
      </c>
      <c r="P1018">
        <f t="array" ref="P1018">IF($N1018="","",IFERROR(IF(INDEX(geo_grid!$B$2:$JU$231,INT(($N1018+40)/0.5)+1,INT(($O1018+30)/0.5)+1)="","",INDEX(geo_grid!$B$2:$JU$231,INT(($N1018+40)/0.5)+1,INT(($O1018+30)/0.5)+1)),"OUTSIDE GRID"))</f>
        <v/>
      </c>
      <c r="Q1018">
        <f>IF($P1018="","",$A1018*1000+$B1018)</f>
        <v/>
      </c>
    </row>
    <row r="1019">
      <c r="A1019">
        <f>INT((ROW()-2)/151)+1</f>
        <v/>
      </c>
      <c r="B1019">
        <f>MOD(ROW()-2,151)</f>
        <v/>
      </c>
      <c r="C1019">
        <f t="array" ref="C1019">IFERROR(INDEX('TRIP MANAGER'!$O$18:$O$25,$A1019),"")</f>
        <v/>
      </c>
      <c r="D1019">
        <f t="array" ref="D1019">IFERROR(INDEX('TRIP MANAGER'!$P$18:$P$25,$A1019),"")</f>
        <v/>
      </c>
      <c r="E1019">
        <f t="array" ref="E1019">IFERROR(INDEX('TRIP MANAGER'!$Q$18:$Q$25,$A1019),"")</f>
        <v/>
      </c>
      <c r="F1019">
        <f t="array" ref="F1019">IFERROR(INDEX('TRIP MANAGER'!$R$18:$R$25,$A1019),"")</f>
        <v/>
      </c>
      <c r="G1019">
        <f t="array" ref="G1019">IFERROR(INDEX('TRIP MANAGER'!$S$18:$S$25,$A1019),"")</f>
        <v/>
      </c>
      <c r="H1019">
        <f>$B1019/150</f>
        <v/>
      </c>
      <c r="I1019">
        <f>IF(OR($G1019="",$G1019=0),"",SIN((1-$H1019)*$G1019)/SIN($G1019))</f>
        <v/>
      </c>
      <c r="J1019">
        <f>IF($I1019="","",SIN($H1019*$G1019)/SIN($G1019))</f>
        <v/>
      </c>
      <c r="K1019">
        <f>IF($I1019="","",$I1019*COS(RADIANS($C1019))*COS(RADIANS($D1019))+$J1019*COS(RADIANS($E1019))*COS(RADIANS($F1019)))</f>
        <v/>
      </c>
      <c r="L1019">
        <f>IF($I1019="","",$I1019*COS(RADIANS($C1019))*SIN(RADIANS($D1019))+$J1019*COS(RADIANS($E1019))*SIN(RADIANS($F1019)))</f>
        <v/>
      </c>
      <c r="M1019">
        <f>IF($I1019="","",$I1019*SIN(RADIANS($C1019))+$J1019*SIN(RADIANS($E1019)))</f>
        <v/>
      </c>
      <c r="N1019">
        <f>IF($M1019="","",DEGREES(ATAN2(SQRT($K1019^2+$L1019^2),$M1019)))</f>
        <v/>
      </c>
      <c r="O1019">
        <f>IF($M1019="","",DEGREES(ATAN2($K1019,$L1019)))</f>
        <v/>
      </c>
      <c r="P1019">
        <f t="array" ref="P1019">IF($N1019="","",IFERROR(IF(INDEX(geo_grid!$B$2:$JU$231,INT(($N1019+40)/0.5)+1,INT(($O1019+30)/0.5)+1)="","",INDEX(geo_grid!$B$2:$JU$231,INT(($N1019+40)/0.5)+1,INT(($O1019+30)/0.5)+1)),"OUTSIDE GRID"))</f>
        <v/>
      </c>
      <c r="Q1019">
        <f>IF($P1019="","",$A1019*1000+$B1019)</f>
        <v/>
      </c>
    </row>
    <row r="1020">
      <c r="A1020">
        <f>INT((ROW()-2)/151)+1</f>
        <v/>
      </c>
      <c r="B1020">
        <f>MOD(ROW()-2,151)</f>
        <v/>
      </c>
      <c r="C1020">
        <f t="array" ref="C1020">IFERROR(INDEX('TRIP MANAGER'!$O$18:$O$25,$A1020),"")</f>
        <v/>
      </c>
      <c r="D1020">
        <f t="array" ref="D1020">IFERROR(INDEX('TRIP MANAGER'!$P$18:$P$25,$A1020),"")</f>
        <v/>
      </c>
      <c r="E1020">
        <f t="array" ref="E1020">IFERROR(INDEX('TRIP MANAGER'!$Q$18:$Q$25,$A1020),"")</f>
        <v/>
      </c>
      <c r="F1020">
        <f t="array" ref="F1020">IFERROR(INDEX('TRIP MANAGER'!$R$18:$R$25,$A1020),"")</f>
        <v/>
      </c>
      <c r="G1020">
        <f t="array" ref="G1020">IFERROR(INDEX('TRIP MANAGER'!$S$18:$S$25,$A1020),"")</f>
        <v/>
      </c>
      <c r="H1020">
        <f>$B1020/150</f>
        <v/>
      </c>
      <c r="I1020">
        <f>IF(OR($G1020="",$G1020=0),"",SIN((1-$H1020)*$G1020)/SIN($G1020))</f>
        <v/>
      </c>
      <c r="J1020">
        <f>IF($I1020="","",SIN($H1020*$G1020)/SIN($G1020))</f>
        <v/>
      </c>
      <c r="K1020">
        <f>IF($I1020="","",$I1020*COS(RADIANS($C1020))*COS(RADIANS($D1020))+$J1020*COS(RADIANS($E1020))*COS(RADIANS($F1020)))</f>
        <v/>
      </c>
      <c r="L1020">
        <f>IF($I1020="","",$I1020*COS(RADIANS($C1020))*SIN(RADIANS($D1020))+$J1020*COS(RADIANS($E1020))*SIN(RADIANS($F1020)))</f>
        <v/>
      </c>
      <c r="M1020">
        <f>IF($I1020="","",$I1020*SIN(RADIANS($C1020))+$J1020*SIN(RADIANS($E1020)))</f>
        <v/>
      </c>
      <c r="N1020">
        <f>IF($M1020="","",DEGREES(ATAN2(SQRT($K1020^2+$L1020^2),$M1020)))</f>
        <v/>
      </c>
      <c r="O1020">
        <f>IF($M1020="","",DEGREES(ATAN2($K1020,$L1020)))</f>
        <v/>
      </c>
      <c r="P1020">
        <f t="array" ref="P1020">IF($N1020="","",IFERROR(IF(INDEX(geo_grid!$B$2:$JU$231,INT(($N1020+40)/0.5)+1,INT(($O1020+30)/0.5)+1)="","",INDEX(geo_grid!$B$2:$JU$231,INT(($N1020+40)/0.5)+1,INT(($O1020+30)/0.5)+1)),"OUTSIDE GRID"))</f>
        <v/>
      </c>
      <c r="Q1020">
        <f>IF($P1020="","",$A1020*1000+$B1020)</f>
        <v/>
      </c>
    </row>
    <row r="1021">
      <c r="A1021">
        <f>INT((ROW()-2)/151)+1</f>
        <v/>
      </c>
      <c r="B1021">
        <f>MOD(ROW()-2,151)</f>
        <v/>
      </c>
      <c r="C1021">
        <f t="array" ref="C1021">IFERROR(INDEX('TRIP MANAGER'!$O$18:$O$25,$A1021),"")</f>
        <v/>
      </c>
      <c r="D1021">
        <f t="array" ref="D1021">IFERROR(INDEX('TRIP MANAGER'!$P$18:$P$25,$A1021),"")</f>
        <v/>
      </c>
      <c r="E1021">
        <f t="array" ref="E1021">IFERROR(INDEX('TRIP MANAGER'!$Q$18:$Q$25,$A1021),"")</f>
        <v/>
      </c>
      <c r="F1021">
        <f t="array" ref="F1021">IFERROR(INDEX('TRIP MANAGER'!$R$18:$R$25,$A1021),"")</f>
        <v/>
      </c>
      <c r="G1021">
        <f t="array" ref="G1021">IFERROR(INDEX('TRIP MANAGER'!$S$18:$S$25,$A1021),"")</f>
        <v/>
      </c>
      <c r="H1021">
        <f>$B1021/150</f>
        <v/>
      </c>
      <c r="I1021">
        <f>IF(OR($G1021="",$G1021=0),"",SIN((1-$H1021)*$G1021)/SIN($G1021))</f>
        <v/>
      </c>
      <c r="J1021">
        <f>IF($I1021="","",SIN($H1021*$G1021)/SIN($G1021))</f>
        <v/>
      </c>
      <c r="K1021">
        <f>IF($I1021="","",$I1021*COS(RADIANS($C1021))*COS(RADIANS($D1021))+$J1021*COS(RADIANS($E1021))*COS(RADIANS($F1021)))</f>
        <v/>
      </c>
      <c r="L1021">
        <f>IF($I1021="","",$I1021*COS(RADIANS($C1021))*SIN(RADIANS($D1021))+$J1021*COS(RADIANS($E1021))*SIN(RADIANS($F1021)))</f>
        <v/>
      </c>
      <c r="M1021">
        <f>IF($I1021="","",$I1021*SIN(RADIANS($C1021))+$J1021*SIN(RADIANS($E1021)))</f>
        <v/>
      </c>
      <c r="N1021">
        <f>IF($M1021="","",DEGREES(ATAN2(SQRT($K1021^2+$L1021^2),$M1021)))</f>
        <v/>
      </c>
      <c r="O1021">
        <f>IF($M1021="","",DEGREES(ATAN2($K1021,$L1021)))</f>
        <v/>
      </c>
      <c r="P1021">
        <f t="array" ref="P1021">IF($N1021="","",IFERROR(IF(INDEX(geo_grid!$B$2:$JU$231,INT(($N1021+40)/0.5)+1,INT(($O1021+30)/0.5)+1)="","",INDEX(geo_grid!$B$2:$JU$231,INT(($N1021+40)/0.5)+1,INT(($O1021+30)/0.5)+1)),"OUTSIDE GRID"))</f>
        <v/>
      </c>
      <c r="Q1021">
        <f>IF($P1021="","",$A1021*1000+$B1021)</f>
        <v/>
      </c>
    </row>
    <row r="1022">
      <c r="A1022">
        <f>INT((ROW()-2)/151)+1</f>
        <v/>
      </c>
      <c r="B1022">
        <f>MOD(ROW()-2,151)</f>
        <v/>
      </c>
      <c r="C1022">
        <f t="array" ref="C1022">IFERROR(INDEX('TRIP MANAGER'!$O$18:$O$25,$A1022),"")</f>
        <v/>
      </c>
      <c r="D1022">
        <f t="array" ref="D1022">IFERROR(INDEX('TRIP MANAGER'!$P$18:$P$25,$A1022),"")</f>
        <v/>
      </c>
      <c r="E1022">
        <f t="array" ref="E1022">IFERROR(INDEX('TRIP MANAGER'!$Q$18:$Q$25,$A1022),"")</f>
        <v/>
      </c>
      <c r="F1022">
        <f t="array" ref="F1022">IFERROR(INDEX('TRIP MANAGER'!$R$18:$R$25,$A1022),"")</f>
        <v/>
      </c>
      <c r="G1022">
        <f t="array" ref="G1022">IFERROR(INDEX('TRIP MANAGER'!$S$18:$S$25,$A1022),"")</f>
        <v/>
      </c>
      <c r="H1022">
        <f>$B1022/150</f>
        <v/>
      </c>
      <c r="I1022">
        <f>IF(OR($G1022="",$G1022=0),"",SIN((1-$H1022)*$G1022)/SIN($G1022))</f>
        <v/>
      </c>
      <c r="J1022">
        <f>IF($I1022="","",SIN($H1022*$G1022)/SIN($G1022))</f>
        <v/>
      </c>
      <c r="K1022">
        <f>IF($I1022="","",$I1022*COS(RADIANS($C1022))*COS(RADIANS($D1022))+$J1022*COS(RADIANS($E1022))*COS(RADIANS($F1022)))</f>
        <v/>
      </c>
      <c r="L1022">
        <f>IF($I1022="","",$I1022*COS(RADIANS($C1022))*SIN(RADIANS($D1022))+$J1022*COS(RADIANS($E1022))*SIN(RADIANS($F1022)))</f>
        <v/>
      </c>
      <c r="M1022">
        <f>IF($I1022="","",$I1022*SIN(RADIANS($C1022))+$J1022*SIN(RADIANS($E1022)))</f>
        <v/>
      </c>
      <c r="N1022">
        <f>IF($M1022="","",DEGREES(ATAN2(SQRT($K1022^2+$L1022^2),$M1022)))</f>
        <v/>
      </c>
      <c r="O1022">
        <f>IF($M1022="","",DEGREES(ATAN2($K1022,$L1022)))</f>
        <v/>
      </c>
      <c r="P1022">
        <f t="array" ref="P1022">IF($N1022="","",IFERROR(IF(INDEX(geo_grid!$B$2:$JU$231,INT(($N1022+40)/0.5)+1,INT(($O1022+30)/0.5)+1)="","",INDEX(geo_grid!$B$2:$JU$231,INT(($N1022+40)/0.5)+1,INT(($O1022+30)/0.5)+1)),"OUTSIDE GRID"))</f>
        <v/>
      </c>
      <c r="Q1022">
        <f>IF($P1022="","",$A1022*1000+$B1022)</f>
        <v/>
      </c>
    </row>
    <row r="1023">
      <c r="A1023">
        <f>INT((ROW()-2)/151)+1</f>
        <v/>
      </c>
      <c r="B1023">
        <f>MOD(ROW()-2,151)</f>
        <v/>
      </c>
      <c r="C1023">
        <f t="array" ref="C1023">IFERROR(INDEX('TRIP MANAGER'!$O$18:$O$25,$A1023),"")</f>
        <v/>
      </c>
      <c r="D1023">
        <f t="array" ref="D1023">IFERROR(INDEX('TRIP MANAGER'!$P$18:$P$25,$A1023),"")</f>
        <v/>
      </c>
      <c r="E1023">
        <f t="array" ref="E1023">IFERROR(INDEX('TRIP MANAGER'!$Q$18:$Q$25,$A1023),"")</f>
        <v/>
      </c>
      <c r="F1023">
        <f t="array" ref="F1023">IFERROR(INDEX('TRIP MANAGER'!$R$18:$R$25,$A1023),"")</f>
        <v/>
      </c>
      <c r="G1023">
        <f t="array" ref="G1023">IFERROR(INDEX('TRIP MANAGER'!$S$18:$S$25,$A1023),"")</f>
        <v/>
      </c>
      <c r="H1023">
        <f>$B1023/150</f>
        <v/>
      </c>
      <c r="I1023">
        <f>IF(OR($G1023="",$G1023=0),"",SIN((1-$H1023)*$G1023)/SIN($G1023))</f>
        <v/>
      </c>
      <c r="J1023">
        <f>IF($I1023="","",SIN($H1023*$G1023)/SIN($G1023))</f>
        <v/>
      </c>
      <c r="K1023">
        <f>IF($I1023="","",$I1023*COS(RADIANS($C1023))*COS(RADIANS($D1023))+$J1023*COS(RADIANS($E1023))*COS(RADIANS($F1023)))</f>
        <v/>
      </c>
      <c r="L1023">
        <f>IF($I1023="","",$I1023*COS(RADIANS($C1023))*SIN(RADIANS($D1023))+$J1023*COS(RADIANS($E1023))*SIN(RADIANS($F1023)))</f>
        <v/>
      </c>
      <c r="M1023">
        <f>IF($I1023="","",$I1023*SIN(RADIANS($C1023))+$J1023*SIN(RADIANS($E1023)))</f>
        <v/>
      </c>
      <c r="N1023">
        <f>IF($M1023="","",DEGREES(ATAN2(SQRT($K1023^2+$L1023^2),$M1023)))</f>
        <v/>
      </c>
      <c r="O1023">
        <f>IF($M1023="","",DEGREES(ATAN2($K1023,$L1023)))</f>
        <v/>
      </c>
      <c r="P1023">
        <f t="array" ref="P1023">IF($N1023="","",IFERROR(IF(INDEX(geo_grid!$B$2:$JU$231,INT(($N1023+40)/0.5)+1,INT(($O1023+30)/0.5)+1)="","",INDEX(geo_grid!$B$2:$JU$231,INT(($N1023+40)/0.5)+1,INT(($O1023+30)/0.5)+1)),"OUTSIDE GRID"))</f>
        <v/>
      </c>
      <c r="Q1023">
        <f>IF($P1023="","",$A1023*1000+$B1023)</f>
        <v/>
      </c>
    </row>
    <row r="1024">
      <c r="A1024">
        <f>INT((ROW()-2)/151)+1</f>
        <v/>
      </c>
      <c r="B1024">
        <f>MOD(ROW()-2,151)</f>
        <v/>
      </c>
      <c r="C1024">
        <f t="array" ref="C1024">IFERROR(INDEX('TRIP MANAGER'!$O$18:$O$25,$A1024),"")</f>
        <v/>
      </c>
      <c r="D1024">
        <f t="array" ref="D1024">IFERROR(INDEX('TRIP MANAGER'!$P$18:$P$25,$A1024),"")</f>
        <v/>
      </c>
      <c r="E1024">
        <f t="array" ref="E1024">IFERROR(INDEX('TRIP MANAGER'!$Q$18:$Q$25,$A1024),"")</f>
        <v/>
      </c>
      <c r="F1024">
        <f t="array" ref="F1024">IFERROR(INDEX('TRIP MANAGER'!$R$18:$R$25,$A1024),"")</f>
        <v/>
      </c>
      <c r="G1024">
        <f t="array" ref="G1024">IFERROR(INDEX('TRIP MANAGER'!$S$18:$S$25,$A1024),"")</f>
        <v/>
      </c>
      <c r="H1024">
        <f>$B1024/150</f>
        <v/>
      </c>
      <c r="I1024">
        <f>IF(OR($G1024="",$G1024=0),"",SIN((1-$H1024)*$G1024)/SIN($G1024))</f>
        <v/>
      </c>
      <c r="J1024">
        <f>IF($I1024="","",SIN($H1024*$G1024)/SIN($G1024))</f>
        <v/>
      </c>
      <c r="K1024">
        <f>IF($I1024="","",$I1024*COS(RADIANS($C1024))*COS(RADIANS($D1024))+$J1024*COS(RADIANS($E1024))*COS(RADIANS($F1024)))</f>
        <v/>
      </c>
      <c r="L1024">
        <f>IF($I1024="","",$I1024*COS(RADIANS($C1024))*SIN(RADIANS($D1024))+$J1024*COS(RADIANS($E1024))*SIN(RADIANS($F1024)))</f>
        <v/>
      </c>
      <c r="M1024">
        <f>IF($I1024="","",$I1024*SIN(RADIANS($C1024))+$J1024*SIN(RADIANS($E1024)))</f>
        <v/>
      </c>
      <c r="N1024">
        <f>IF($M1024="","",DEGREES(ATAN2(SQRT($K1024^2+$L1024^2),$M1024)))</f>
        <v/>
      </c>
      <c r="O1024">
        <f>IF($M1024="","",DEGREES(ATAN2($K1024,$L1024)))</f>
        <v/>
      </c>
      <c r="P1024">
        <f t="array" ref="P1024">IF($N1024="","",IFERROR(IF(INDEX(geo_grid!$B$2:$JU$231,INT(($N1024+40)/0.5)+1,INT(($O1024+30)/0.5)+1)="","",INDEX(geo_grid!$B$2:$JU$231,INT(($N1024+40)/0.5)+1,INT(($O1024+30)/0.5)+1)),"OUTSIDE GRID"))</f>
        <v/>
      </c>
      <c r="Q1024">
        <f>IF($P1024="","",$A1024*1000+$B1024)</f>
        <v/>
      </c>
    </row>
    <row r="1025">
      <c r="A1025">
        <f>INT((ROW()-2)/151)+1</f>
        <v/>
      </c>
      <c r="B1025">
        <f>MOD(ROW()-2,151)</f>
        <v/>
      </c>
      <c r="C1025">
        <f t="array" ref="C1025">IFERROR(INDEX('TRIP MANAGER'!$O$18:$O$25,$A1025),"")</f>
        <v/>
      </c>
      <c r="D1025">
        <f t="array" ref="D1025">IFERROR(INDEX('TRIP MANAGER'!$P$18:$P$25,$A1025),"")</f>
        <v/>
      </c>
      <c r="E1025">
        <f t="array" ref="E1025">IFERROR(INDEX('TRIP MANAGER'!$Q$18:$Q$25,$A1025),"")</f>
        <v/>
      </c>
      <c r="F1025">
        <f t="array" ref="F1025">IFERROR(INDEX('TRIP MANAGER'!$R$18:$R$25,$A1025),"")</f>
        <v/>
      </c>
      <c r="G1025">
        <f t="array" ref="G1025">IFERROR(INDEX('TRIP MANAGER'!$S$18:$S$25,$A1025),"")</f>
        <v/>
      </c>
      <c r="H1025">
        <f>$B1025/150</f>
        <v/>
      </c>
      <c r="I1025">
        <f>IF(OR($G1025="",$G1025=0),"",SIN((1-$H1025)*$G1025)/SIN($G1025))</f>
        <v/>
      </c>
      <c r="J1025">
        <f>IF($I1025="","",SIN($H1025*$G1025)/SIN($G1025))</f>
        <v/>
      </c>
      <c r="K1025">
        <f>IF($I1025="","",$I1025*COS(RADIANS($C1025))*COS(RADIANS($D1025))+$J1025*COS(RADIANS($E1025))*COS(RADIANS($F1025)))</f>
        <v/>
      </c>
      <c r="L1025">
        <f>IF($I1025="","",$I1025*COS(RADIANS($C1025))*SIN(RADIANS($D1025))+$J1025*COS(RADIANS($E1025))*SIN(RADIANS($F1025)))</f>
        <v/>
      </c>
      <c r="M1025">
        <f>IF($I1025="","",$I1025*SIN(RADIANS($C1025))+$J1025*SIN(RADIANS($E1025)))</f>
        <v/>
      </c>
      <c r="N1025">
        <f>IF($M1025="","",DEGREES(ATAN2(SQRT($K1025^2+$L1025^2),$M1025)))</f>
        <v/>
      </c>
      <c r="O1025">
        <f>IF($M1025="","",DEGREES(ATAN2($K1025,$L1025)))</f>
        <v/>
      </c>
      <c r="P1025">
        <f t="array" ref="P1025">IF($N1025="","",IFERROR(IF(INDEX(geo_grid!$B$2:$JU$231,INT(($N1025+40)/0.5)+1,INT(($O1025+30)/0.5)+1)="","",INDEX(geo_grid!$B$2:$JU$231,INT(($N1025+40)/0.5)+1,INT(($O1025+30)/0.5)+1)),"OUTSIDE GRID"))</f>
        <v/>
      </c>
      <c r="Q1025">
        <f>IF($P1025="","",$A1025*1000+$B1025)</f>
        <v/>
      </c>
    </row>
    <row r="1026">
      <c r="A1026">
        <f>INT((ROW()-2)/151)+1</f>
        <v/>
      </c>
      <c r="B1026">
        <f>MOD(ROW()-2,151)</f>
        <v/>
      </c>
      <c r="C1026">
        <f t="array" ref="C1026">IFERROR(INDEX('TRIP MANAGER'!$O$18:$O$25,$A1026),"")</f>
        <v/>
      </c>
      <c r="D1026">
        <f t="array" ref="D1026">IFERROR(INDEX('TRIP MANAGER'!$P$18:$P$25,$A1026),"")</f>
        <v/>
      </c>
      <c r="E1026">
        <f t="array" ref="E1026">IFERROR(INDEX('TRIP MANAGER'!$Q$18:$Q$25,$A1026),"")</f>
        <v/>
      </c>
      <c r="F1026">
        <f t="array" ref="F1026">IFERROR(INDEX('TRIP MANAGER'!$R$18:$R$25,$A1026),"")</f>
        <v/>
      </c>
      <c r="G1026">
        <f t="array" ref="G1026">IFERROR(INDEX('TRIP MANAGER'!$S$18:$S$25,$A1026),"")</f>
        <v/>
      </c>
      <c r="H1026">
        <f>$B1026/150</f>
        <v/>
      </c>
      <c r="I1026">
        <f>IF(OR($G1026="",$G1026=0),"",SIN((1-$H1026)*$G1026)/SIN($G1026))</f>
        <v/>
      </c>
      <c r="J1026">
        <f>IF($I1026="","",SIN($H1026*$G1026)/SIN($G1026))</f>
        <v/>
      </c>
      <c r="K1026">
        <f>IF($I1026="","",$I1026*COS(RADIANS($C1026))*COS(RADIANS($D1026))+$J1026*COS(RADIANS($E1026))*COS(RADIANS($F1026)))</f>
        <v/>
      </c>
      <c r="L1026">
        <f>IF($I1026="","",$I1026*COS(RADIANS($C1026))*SIN(RADIANS($D1026))+$J1026*COS(RADIANS($E1026))*SIN(RADIANS($F1026)))</f>
        <v/>
      </c>
      <c r="M1026">
        <f>IF($I1026="","",$I1026*SIN(RADIANS($C1026))+$J1026*SIN(RADIANS($E1026)))</f>
        <v/>
      </c>
      <c r="N1026">
        <f>IF($M1026="","",DEGREES(ATAN2(SQRT($K1026^2+$L1026^2),$M1026)))</f>
        <v/>
      </c>
      <c r="O1026">
        <f>IF($M1026="","",DEGREES(ATAN2($K1026,$L1026)))</f>
        <v/>
      </c>
      <c r="P1026">
        <f t="array" ref="P1026">IF($N1026="","",IFERROR(IF(INDEX(geo_grid!$B$2:$JU$231,INT(($N1026+40)/0.5)+1,INT(($O1026+30)/0.5)+1)="","",INDEX(geo_grid!$B$2:$JU$231,INT(($N1026+40)/0.5)+1,INT(($O1026+30)/0.5)+1)),"OUTSIDE GRID"))</f>
        <v/>
      </c>
      <c r="Q1026">
        <f>IF($P1026="","",$A1026*1000+$B1026)</f>
        <v/>
      </c>
    </row>
    <row r="1027">
      <c r="A1027">
        <f>INT((ROW()-2)/151)+1</f>
        <v/>
      </c>
      <c r="B1027">
        <f>MOD(ROW()-2,151)</f>
        <v/>
      </c>
      <c r="C1027">
        <f t="array" ref="C1027">IFERROR(INDEX('TRIP MANAGER'!$O$18:$O$25,$A1027),"")</f>
        <v/>
      </c>
      <c r="D1027">
        <f t="array" ref="D1027">IFERROR(INDEX('TRIP MANAGER'!$P$18:$P$25,$A1027),"")</f>
        <v/>
      </c>
      <c r="E1027">
        <f t="array" ref="E1027">IFERROR(INDEX('TRIP MANAGER'!$Q$18:$Q$25,$A1027),"")</f>
        <v/>
      </c>
      <c r="F1027">
        <f t="array" ref="F1027">IFERROR(INDEX('TRIP MANAGER'!$R$18:$R$25,$A1027),"")</f>
        <v/>
      </c>
      <c r="G1027">
        <f t="array" ref="G1027">IFERROR(INDEX('TRIP MANAGER'!$S$18:$S$25,$A1027),"")</f>
        <v/>
      </c>
      <c r="H1027">
        <f>$B1027/150</f>
        <v/>
      </c>
      <c r="I1027">
        <f>IF(OR($G1027="",$G1027=0),"",SIN((1-$H1027)*$G1027)/SIN($G1027))</f>
        <v/>
      </c>
      <c r="J1027">
        <f>IF($I1027="","",SIN($H1027*$G1027)/SIN($G1027))</f>
        <v/>
      </c>
      <c r="K1027">
        <f>IF($I1027="","",$I1027*COS(RADIANS($C1027))*COS(RADIANS($D1027))+$J1027*COS(RADIANS($E1027))*COS(RADIANS($F1027)))</f>
        <v/>
      </c>
      <c r="L1027">
        <f>IF($I1027="","",$I1027*COS(RADIANS($C1027))*SIN(RADIANS($D1027))+$J1027*COS(RADIANS($E1027))*SIN(RADIANS($F1027)))</f>
        <v/>
      </c>
      <c r="M1027">
        <f>IF($I1027="","",$I1027*SIN(RADIANS($C1027))+$J1027*SIN(RADIANS($E1027)))</f>
        <v/>
      </c>
      <c r="N1027">
        <f>IF($M1027="","",DEGREES(ATAN2(SQRT($K1027^2+$L1027^2),$M1027)))</f>
        <v/>
      </c>
      <c r="O1027">
        <f>IF($M1027="","",DEGREES(ATAN2($K1027,$L1027)))</f>
        <v/>
      </c>
      <c r="P1027">
        <f t="array" ref="P1027">IF($N1027="","",IFERROR(IF(INDEX(geo_grid!$B$2:$JU$231,INT(($N1027+40)/0.5)+1,INT(($O1027+30)/0.5)+1)="","",INDEX(geo_grid!$B$2:$JU$231,INT(($N1027+40)/0.5)+1,INT(($O1027+30)/0.5)+1)),"OUTSIDE GRID"))</f>
        <v/>
      </c>
      <c r="Q1027">
        <f>IF($P1027="","",$A1027*1000+$B1027)</f>
        <v/>
      </c>
    </row>
    <row r="1028">
      <c r="A1028">
        <f>INT((ROW()-2)/151)+1</f>
        <v/>
      </c>
      <c r="B1028">
        <f>MOD(ROW()-2,151)</f>
        <v/>
      </c>
      <c r="C1028">
        <f t="array" ref="C1028">IFERROR(INDEX('TRIP MANAGER'!$O$18:$O$25,$A1028),"")</f>
        <v/>
      </c>
      <c r="D1028">
        <f t="array" ref="D1028">IFERROR(INDEX('TRIP MANAGER'!$P$18:$P$25,$A1028),"")</f>
        <v/>
      </c>
      <c r="E1028">
        <f t="array" ref="E1028">IFERROR(INDEX('TRIP MANAGER'!$Q$18:$Q$25,$A1028),"")</f>
        <v/>
      </c>
      <c r="F1028">
        <f t="array" ref="F1028">IFERROR(INDEX('TRIP MANAGER'!$R$18:$R$25,$A1028),"")</f>
        <v/>
      </c>
      <c r="G1028">
        <f t="array" ref="G1028">IFERROR(INDEX('TRIP MANAGER'!$S$18:$S$25,$A1028),"")</f>
        <v/>
      </c>
      <c r="H1028">
        <f>$B1028/150</f>
        <v/>
      </c>
      <c r="I1028">
        <f>IF(OR($G1028="",$G1028=0),"",SIN((1-$H1028)*$G1028)/SIN($G1028))</f>
        <v/>
      </c>
      <c r="J1028">
        <f>IF($I1028="","",SIN($H1028*$G1028)/SIN($G1028))</f>
        <v/>
      </c>
      <c r="K1028">
        <f>IF($I1028="","",$I1028*COS(RADIANS($C1028))*COS(RADIANS($D1028))+$J1028*COS(RADIANS($E1028))*COS(RADIANS($F1028)))</f>
        <v/>
      </c>
      <c r="L1028">
        <f>IF($I1028="","",$I1028*COS(RADIANS($C1028))*SIN(RADIANS($D1028))+$J1028*COS(RADIANS($E1028))*SIN(RADIANS($F1028)))</f>
        <v/>
      </c>
      <c r="M1028">
        <f>IF($I1028="","",$I1028*SIN(RADIANS($C1028))+$J1028*SIN(RADIANS($E1028)))</f>
        <v/>
      </c>
      <c r="N1028">
        <f>IF($M1028="","",DEGREES(ATAN2(SQRT($K1028^2+$L1028^2),$M1028)))</f>
        <v/>
      </c>
      <c r="O1028">
        <f>IF($M1028="","",DEGREES(ATAN2($K1028,$L1028)))</f>
        <v/>
      </c>
      <c r="P1028">
        <f t="array" ref="P1028">IF($N1028="","",IFERROR(IF(INDEX(geo_grid!$B$2:$JU$231,INT(($N1028+40)/0.5)+1,INT(($O1028+30)/0.5)+1)="","",INDEX(geo_grid!$B$2:$JU$231,INT(($N1028+40)/0.5)+1,INT(($O1028+30)/0.5)+1)),"OUTSIDE GRID"))</f>
        <v/>
      </c>
      <c r="Q1028">
        <f>IF($P1028="","",$A1028*1000+$B1028)</f>
        <v/>
      </c>
    </row>
    <row r="1029">
      <c r="A1029">
        <f>INT((ROW()-2)/151)+1</f>
        <v/>
      </c>
      <c r="B1029">
        <f>MOD(ROW()-2,151)</f>
        <v/>
      </c>
      <c r="C1029">
        <f t="array" ref="C1029">IFERROR(INDEX('TRIP MANAGER'!$O$18:$O$25,$A1029),"")</f>
        <v/>
      </c>
      <c r="D1029">
        <f t="array" ref="D1029">IFERROR(INDEX('TRIP MANAGER'!$P$18:$P$25,$A1029),"")</f>
        <v/>
      </c>
      <c r="E1029">
        <f t="array" ref="E1029">IFERROR(INDEX('TRIP MANAGER'!$Q$18:$Q$25,$A1029),"")</f>
        <v/>
      </c>
      <c r="F1029">
        <f t="array" ref="F1029">IFERROR(INDEX('TRIP MANAGER'!$R$18:$R$25,$A1029),"")</f>
        <v/>
      </c>
      <c r="G1029">
        <f t="array" ref="G1029">IFERROR(INDEX('TRIP MANAGER'!$S$18:$S$25,$A1029),"")</f>
        <v/>
      </c>
      <c r="H1029">
        <f>$B1029/150</f>
        <v/>
      </c>
      <c r="I1029">
        <f>IF(OR($G1029="",$G1029=0),"",SIN((1-$H1029)*$G1029)/SIN($G1029))</f>
        <v/>
      </c>
      <c r="J1029">
        <f>IF($I1029="","",SIN($H1029*$G1029)/SIN($G1029))</f>
        <v/>
      </c>
      <c r="K1029">
        <f>IF($I1029="","",$I1029*COS(RADIANS($C1029))*COS(RADIANS($D1029))+$J1029*COS(RADIANS($E1029))*COS(RADIANS($F1029)))</f>
        <v/>
      </c>
      <c r="L1029">
        <f>IF($I1029="","",$I1029*COS(RADIANS($C1029))*SIN(RADIANS($D1029))+$J1029*COS(RADIANS($E1029))*SIN(RADIANS($F1029)))</f>
        <v/>
      </c>
      <c r="M1029">
        <f>IF($I1029="","",$I1029*SIN(RADIANS($C1029))+$J1029*SIN(RADIANS($E1029)))</f>
        <v/>
      </c>
      <c r="N1029">
        <f>IF($M1029="","",DEGREES(ATAN2(SQRT($K1029^2+$L1029^2),$M1029)))</f>
        <v/>
      </c>
      <c r="O1029">
        <f>IF($M1029="","",DEGREES(ATAN2($K1029,$L1029)))</f>
        <v/>
      </c>
      <c r="P1029">
        <f t="array" ref="P1029">IF($N1029="","",IFERROR(IF(INDEX(geo_grid!$B$2:$JU$231,INT(($N1029+40)/0.5)+1,INT(($O1029+30)/0.5)+1)="","",INDEX(geo_grid!$B$2:$JU$231,INT(($N1029+40)/0.5)+1,INT(($O1029+30)/0.5)+1)),"OUTSIDE GRID"))</f>
        <v/>
      </c>
      <c r="Q1029">
        <f>IF($P1029="","",$A1029*1000+$B1029)</f>
        <v/>
      </c>
    </row>
    <row r="1030">
      <c r="A1030">
        <f>INT((ROW()-2)/151)+1</f>
        <v/>
      </c>
      <c r="B1030">
        <f>MOD(ROW()-2,151)</f>
        <v/>
      </c>
      <c r="C1030">
        <f t="array" ref="C1030">IFERROR(INDEX('TRIP MANAGER'!$O$18:$O$25,$A1030),"")</f>
        <v/>
      </c>
      <c r="D1030">
        <f t="array" ref="D1030">IFERROR(INDEX('TRIP MANAGER'!$P$18:$P$25,$A1030),"")</f>
        <v/>
      </c>
      <c r="E1030">
        <f t="array" ref="E1030">IFERROR(INDEX('TRIP MANAGER'!$Q$18:$Q$25,$A1030),"")</f>
        <v/>
      </c>
      <c r="F1030">
        <f t="array" ref="F1030">IFERROR(INDEX('TRIP MANAGER'!$R$18:$R$25,$A1030),"")</f>
        <v/>
      </c>
      <c r="G1030">
        <f t="array" ref="G1030">IFERROR(INDEX('TRIP MANAGER'!$S$18:$S$25,$A1030),"")</f>
        <v/>
      </c>
      <c r="H1030">
        <f>$B1030/150</f>
        <v/>
      </c>
      <c r="I1030">
        <f>IF(OR($G1030="",$G1030=0),"",SIN((1-$H1030)*$G1030)/SIN($G1030))</f>
        <v/>
      </c>
      <c r="J1030">
        <f>IF($I1030="","",SIN($H1030*$G1030)/SIN($G1030))</f>
        <v/>
      </c>
      <c r="K1030">
        <f>IF($I1030="","",$I1030*COS(RADIANS($C1030))*COS(RADIANS($D1030))+$J1030*COS(RADIANS($E1030))*COS(RADIANS($F1030)))</f>
        <v/>
      </c>
      <c r="L1030">
        <f>IF($I1030="","",$I1030*COS(RADIANS($C1030))*SIN(RADIANS($D1030))+$J1030*COS(RADIANS($E1030))*SIN(RADIANS($F1030)))</f>
        <v/>
      </c>
      <c r="M1030">
        <f>IF($I1030="","",$I1030*SIN(RADIANS($C1030))+$J1030*SIN(RADIANS($E1030)))</f>
        <v/>
      </c>
      <c r="N1030">
        <f>IF($M1030="","",DEGREES(ATAN2(SQRT($K1030^2+$L1030^2),$M1030)))</f>
        <v/>
      </c>
      <c r="O1030">
        <f>IF($M1030="","",DEGREES(ATAN2($K1030,$L1030)))</f>
        <v/>
      </c>
      <c r="P1030">
        <f t="array" ref="P1030">IF($N1030="","",IFERROR(IF(INDEX(geo_grid!$B$2:$JU$231,INT(($N1030+40)/0.5)+1,INT(($O1030+30)/0.5)+1)="","",INDEX(geo_grid!$B$2:$JU$231,INT(($N1030+40)/0.5)+1,INT(($O1030+30)/0.5)+1)),"OUTSIDE GRID"))</f>
        <v/>
      </c>
      <c r="Q1030">
        <f>IF($P1030="","",$A1030*1000+$B1030)</f>
        <v/>
      </c>
    </row>
    <row r="1031">
      <c r="A1031">
        <f>INT((ROW()-2)/151)+1</f>
        <v/>
      </c>
      <c r="B1031">
        <f>MOD(ROW()-2,151)</f>
        <v/>
      </c>
      <c r="C1031">
        <f t="array" ref="C1031">IFERROR(INDEX('TRIP MANAGER'!$O$18:$O$25,$A1031),"")</f>
        <v/>
      </c>
      <c r="D1031">
        <f t="array" ref="D1031">IFERROR(INDEX('TRIP MANAGER'!$P$18:$P$25,$A1031),"")</f>
        <v/>
      </c>
      <c r="E1031">
        <f t="array" ref="E1031">IFERROR(INDEX('TRIP MANAGER'!$Q$18:$Q$25,$A1031),"")</f>
        <v/>
      </c>
      <c r="F1031">
        <f t="array" ref="F1031">IFERROR(INDEX('TRIP MANAGER'!$R$18:$R$25,$A1031),"")</f>
        <v/>
      </c>
      <c r="G1031">
        <f t="array" ref="G1031">IFERROR(INDEX('TRIP MANAGER'!$S$18:$S$25,$A1031),"")</f>
        <v/>
      </c>
      <c r="H1031">
        <f>$B1031/150</f>
        <v/>
      </c>
      <c r="I1031">
        <f>IF(OR($G1031="",$G1031=0),"",SIN((1-$H1031)*$G1031)/SIN($G1031))</f>
        <v/>
      </c>
      <c r="J1031">
        <f>IF($I1031="","",SIN($H1031*$G1031)/SIN($G1031))</f>
        <v/>
      </c>
      <c r="K1031">
        <f>IF($I1031="","",$I1031*COS(RADIANS($C1031))*COS(RADIANS($D1031))+$J1031*COS(RADIANS($E1031))*COS(RADIANS($F1031)))</f>
        <v/>
      </c>
      <c r="L1031">
        <f>IF($I1031="","",$I1031*COS(RADIANS($C1031))*SIN(RADIANS($D1031))+$J1031*COS(RADIANS($E1031))*SIN(RADIANS($F1031)))</f>
        <v/>
      </c>
      <c r="M1031">
        <f>IF($I1031="","",$I1031*SIN(RADIANS($C1031))+$J1031*SIN(RADIANS($E1031)))</f>
        <v/>
      </c>
      <c r="N1031">
        <f>IF($M1031="","",DEGREES(ATAN2(SQRT($K1031^2+$L1031^2),$M1031)))</f>
        <v/>
      </c>
      <c r="O1031">
        <f>IF($M1031="","",DEGREES(ATAN2($K1031,$L1031)))</f>
        <v/>
      </c>
      <c r="P1031">
        <f t="array" ref="P1031">IF($N1031="","",IFERROR(IF(INDEX(geo_grid!$B$2:$JU$231,INT(($N1031+40)/0.5)+1,INT(($O1031+30)/0.5)+1)="","",INDEX(geo_grid!$B$2:$JU$231,INT(($N1031+40)/0.5)+1,INT(($O1031+30)/0.5)+1)),"OUTSIDE GRID"))</f>
        <v/>
      </c>
      <c r="Q1031">
        <f>IF($P1031="","",$A1031*1000+$B1031)</f>
        <v/>
      </c>
    </row>
    <row r="1032">
      <c r="A1032">
        <f>INT((ROW()-2)/151)+1</f>
        <v/>
      </c>
      <c r="B1032">
        <f>MOD(ROW()-2,151)</f>
        <v/>
      </c>
      <c r="C1032">
        <f t="array" ref="C1032">IFERROR(INDEX('TRIP MANAGER'!$O$18:$O$25,$A1032),"")</f>
        <v/>
      </c>
      <c r="D1032">
        <f t="array" ref="D1032">IFERROR(INDEX('TRIP MANAGER'!$P$18:$P$25,$A1032),"")</f>
        <v/>
      </c>
      <c r="E1032">
        <f t="array" ref="E1032">IFERROR(INDEX('TRIP MANAGER'!$Q$18:$Q$25,$A1032),"")</f>
        <v/>
      </c>
      <c r="F1032">
        <f t="array" ref="F1032">IFERROR(INDEX('TRIP MANAGER'!$R$18:$R$25,$A1032),"")</f>
        <v/>
      </c>
      <c r="G1032">
        <f t="array" ref="G1032">IFERROR(INDEX('TRIP MANAGER'!$S$18:$S$25,$A1032),"")</f>
        <v/>
      </c>
      <c r="H1032">
        <f>$B1032/150</f>
        <v/>
      </c>
      <c r="I1032">
        <f>IF(OR($G1032="",$G1032=0),"",SIN((1-$H1032)*$G1032)/SIN($G1032))</f>
        <v/>
      </c>
      <c r="J1032">
        <f>IF($I1032="","",SIN($H1032*$G1032)/SIN($G1032))</f>
        <v/>
      </c>
      <c r="K1032">
        <f>IF($I1032="","",$I1032*COS(RADIANS($C1032))*COS(RADIANS($D1032))+$J1032*COS(RADIANS($E1032))*COS(RADIANS($F1032)))</f>
        <v/>
      </c>
      <c r="L1032">
        <f>IF($I1032="","",$I1032*COS(RADIANS($C1032))*SIN(RADIANS($D1032))+$J1032*COS(RADIANS($E1032))*SIN(RADIANS($F1032)))</f>
        <v/>
      </c>
      <c r="M1032">
        <f>IF($I1032="","",$I1032*SIN(RADIANS($C1032))+$J1032*SIN(RADIANS($E1032)))</f>
        <v/>
      </c>
      <c r="N1032">
        <f>IF($M1032="","",DEGREES(ATAN2(SQRT($K1032^2+$L1032^2),$M1032)))</f>
        <v/>
      </c>
      <c r="O1032">
        <f>IF($M1032="","",DEGREES(ATAN2($K1032,$L1032)))</f>
        <v/>
      </c>
      <c r="P1032">
        <f t="array" ref="P1032">IF($N1032="","",IFERROR(IF(INDEX(geo_grid!$B$2:$JU$231,INT(($N1032+40)/0.5)+1,INT(($O1032+30)/0.5)+1)="","",INDEX(geo_grid!$B$2:$JU$231,INT(($N1032+40)/0.5)+1,INT(($O1032+30)/0.5)+1)),"OUTSIDE GRID"))</f>
        <v/>
      </c>
      <c r="Q1032">
        <f>IF($P1032="","",$A1032*1000+$B1032)</f>
        <v/>
      </c>
    </row>
    <row r="1033">
      <c r="A1033">
        <f>INT((ROW()-2)/151)+1</f>
        <v/>
      </c>
      <c r="B1033">
        <f>MOD(ROW()-2,151)</f>
        <v/>
      </c>
      <c r="C1033">
        <f t="array" ref="C1033">IFERROR(INDEX('TRIP MANAGER'!$O$18:$O$25,$A1033),"")</f>
        <v/>
      </c>
      <c r="D1033">
        <f t="array" ref="D1033">IFERROR(INDEX('TRIP MANAGER'!$P$18:$P$25,$A1033),"")</f>
        <v/>
      </c>
      <c r="E1033">
        <f t="array" ref="E1033">IFERROR(INDEX('TRIP MANAGER'!$Q$18:$Q$25,$A1033),"")</f>
        <v/>
      </c>
      <c r="F1033">
        <f t="array" ref="F1033">IFERROR(INDEX('TRIP MANAGER'!$R$18:$R$25,$A1033),"")</f>
        <v/>
      </c>
      <c r="G1033">
        <f t="array" ref="G1033">IFERROR(INDEX('TRIP MANAGER'!$S$18:$S$25,$A1033),"")</f>
        <v/>
      </c>
      <c r="H1033">
        <f>$B1033/150</f>
        <v/>
      </c>
      <c r="I1033">
        <f>IF(OR($G1033="",$G1033=0),"",SIN((1-$H1033)*$G1033)/SIN($G1033))</f>
        <v/>
      </c>
      <c r="J1033">
        <f>IF($I1033="","",SIN($H1033*$G1033)/SIN($G1033))</f>
        <v/>
      </c>
      <c r="K1033">
        <f>IF($I1033="","",$I1033*COS(RADIANS($C1033))*COS(RADIANS($D1033))+$J1033*COS(RADIANS($E1033))*COS(RADIANS($F1033)))</f>
        <v/>
      </c>
      <c r="L1033">
        <f>IF($I1033="","",$I1033*COS(RADIANS($C1033))*SIN(RADIANS($D1033))+$J1033*COS(RADIANS($E1033))*SIN(RADIANS($F1033)))</f>
        <v/>
      </c>
      <c r="M1033">
        <f>IF($I1033="","",$I1033*SIN(RADIANS($C1033))+$J1033*SIN(RADIANS($E1033)))</f>
        <v/>
      </c>
      <c r="N1033">
        <f>IF($M1033="","",DEGREES(ATAN2(SQRT($K1033^2+$L1033^2),$M1033)))</f>
        <v/>
      </c>
      <c r="O1033">
        <f>IF($M1033="","",DEGREES(ATAN2($K1033,$L1033)))</f>
        <v/>
      </c>
      <c r="P1033">
        <f t="array" ref="P1033">IF($N1033="","",IFERROR(IF(INDEX(geo_grid!$B$2:$JU$231,INT(($N1033+40)/0.5)+1,INT(($O1033+30)/0.5)+1)="","",INDEX(geo_grid!$B$2:$JU$231,INT(($N1033+40)/0.5)+1,INT(($O1033+30)/0.5)+1)),"OUTSIDE GRID"))</f>
        <v/>
      </c>
      <c r="Q1033">
        <f>IF($P1033="","",$A1033*1000+$B1033)</f>
        <v/>
      </c>
    </row>
    <row r="1034">
      <c r="A1034">
        <f>INT((ROW()-2)/151)+1</f>
        <v/>
      </c>
      <c r="B1034">
        <f>MOD(ROW()-2,151)</f>
        <v/>
      </c>
      <c r="C1034">
        <f t="array" ref="C1034">IFERROR(INDEX('TRIP MANAGER'!$O$18:$O$25,$A1034),"")</f>
        <v/>
      </c>
      <c r="D1034">
        <f t="array" ref="D1034">IFERROR(INDEX('TRIP MANAGER'!$P$18:$P$25,$A1034),"")</f>
        <v/>
      </c>
      <c r="E1034">
        <f t="array" ref="E1034">IFERROR(INDEX('TRIP MANAGER'!$Q$18:$Q$25,$A1034),"")</f>
        <v/>
      </c>
      <c r="F1034">
        <f t="array" ref="F1034">IFERROR(INDEX('TRIP MANAGER'!$R$18:$R$25,$A1034),"")</f>
        <v/>
      </c>
      <c r="G1034">
        <f t="array" ref="G1034">IFERROR(INDEX('TRIP MANAGER'!$S$18:$S$25,$A1034),"")</f>
        <v/>
      </c>
      <c r="H1034">
        <f>$B1034/150</f>
        <v/>
      </c>
      <c r="I1034">
        <f>IF(OR($G1034="",$G1034=0),"",SIN((1-$H1034)*$G1034)/SIN($G1034))</f>
        <v/>
      </c>
      <c r="J1034">
        <f>IF($I1034="","",SIN($H1034*$G1034)/SIN($G1034))</f>
        <v/>
      </c>
      <c r="K1034">
        <f>IF($I1034="","",$I1034*COS(RADIANS($C1034))*COS(RADIANS($D1034))+$J1034*COS(RADIANS($E1034))*COS(RADIANS($F1034)))</f>
        <v/>
      </c>
      <c r="L1034">
        <f>IF($I1034="","",$I1034*COS(RADIANS($C1034))*SIN(RADIANS($D1034))+$J1034*COS(RADIANS($E1034))*SIN(RADIANS($F1034)))</f>
        <v/>
      </c>
      <c r="M1034">
        <f>IF($I1034="","",$I1034*SIN(RADIANS($C1034))+$J1034*SIN(RADIANS($E1034)))</f>
        <v/>
      </c>
      <c r="N1034">
        <f>IF($M1034="","",DEGREES(ATAN2(SQRT($K1034^2+$L1034^2),$M1034)))</f>
        <v/>
      </c>
      <c r="O1034">
        <f>IF($M1034="","",DEGREES(ATAN2($K1034,$L1034)))</f>
        <v/>
      </c>
      <c r="P1034">
        <f t="array" ref="P1034">IF($N1034="","",IFERROR(IF(INDEX(geo_grid!$B$2:$JU$231,INT(($N1034+40)/0.5)+1,INT(($O1034+30)/0.5)+1)="","",INDEX(geo_grid!$B$2:$JU$231,INT(($N1034+40)/0.5)+1,INT(($O1034+30)/0.5)+1)),"OUTSIDE GRID"))</f>
        <v/>
      </c>
      <c r="Q1034">
        <f>IF($P1034="","",$A1034*1000+$B1034)</f>
        <v/>
      </c>
    </row>
    <row r="1035">
      <c r="A1035">
        <f>INT((ROW()-2)/151)+1</f>
        <v/>
      </c>
      <c r="B1035">
        <f>MOD(ROW()-2,151)</f>
        <v/>
      </c>
      <c r="C1035">
        <f t="array" ref="C1035">IFERROR(INDEX('TRIP MANAGER'!$O$18:$O$25,$A1035),"")</f>
        <v/>
      </c>
      <c r="D1035">
        <f t="array" ref="D1035">IFERROR(INDEX('TRIP MANAGER'!$P$18:$P$25,$A1035),"")</f>
        <v/>
      </c>
      <c r="E1035">
        <f t="array" ref="E1035">IFERROR(INDEX('TRIP MANAGER'!$Q$18:$Q$25,$A1035),"")</f>
        <v/>
      </c>
      <c r="F1035">
        <f t="array" ref="F1035">IFERROR(INDEX('TRIP MANAGER'!$R$18:$R$25,$A1035),"")</f>
        <v/>
      </c>
      <c r="G1035">
        <f t="array" ref="G1035">IFERROR(INDEX('TRIP MANAGER'!$S$18:$S$25,$A1035),"")</f>
        <v/>
      </c>
      <c r="H1035">
        <f>$B1035/150</f>
        <v/>
      </c>
      <c r="I1035">
        <f>IF(OR($G1035="",$G1035=0),"",SIN((1-$H1035)*$G1035)/SIN($G1035))</f>
        <v/>
      </c>
      <c r="J1035">
        <f>IF($I1035="","",SIN($H1035*$G1035)/SIN($G1035))</f>
        <v/>
      </c>
      <c r="K1035">
        <f>IF($I1035="","",$I1035*COS(RADIANS($C1035))*COS(RADIANS($D1035))+$J1035*COS(RADIANS($E1035))*COS(RADIANS($F1035)))</f>
        <v/>
      </c>
      <c r="L1035">
        <f>IF($I1035="","",$I1035*COS(RADIANS($C1035))*SIN(RADIANS($D1035))+$J1035*COS(RADIANS($E1035))*SIN(RADIANS($F1035)))</f>
        <v/>
      </c>
      <c r="M1035">
        <f>IF($I1035="","",$I1035*SIN(RADIANS($C1035))+$J1035*SIN(RADIANS($E1035)))</f>
        <v/>
      </c>
      <c r="N1035">
        <f>IF($M1035="","",DEGREES(ATAN2(SQRT($K1035^2+$L1035^2),$M1035)))</f>
        <v/>
      </c>
      <c r="O1035">
        <f>IF($M1035="","",DEGREES(ATAN2($K1035,$L1035)))</f>
        <v/>
      </c>
      <c r="P1035">
        <f t="array" ref="P1035">IF($N1035="","",IFERROR(IF(INDEX(geo_grid!$B$2:$JU$231,INT(($N1035+40)/0.5)+1,INT(($O1035+30)/0.5)+1)="","",INDEX(geo_grid!$B$2:$JU$231,INT(($N1035+40)/0.5)+1,INT(($O1035+30)/0.5)+1)),"OUTSIDE GRID"))</f>
        <v/>
      </c>
      <c r="Q1035">
        <f>IF($P1035="","",$A1035*1000+$B1035)</f>
        <v/>
      </c>
    </row>
    <row r="1036">
      <c r="A1036">
        <f>INT((ROW()-2)/151)+1</f>
        <v/>
      </c>
      <c r="B1036">
        <f>MOD(ROW()-2,151)</f>
        <v/>
      </c>
      <c r="C1036">
        <f t="array" ref="C1036">IFERROR(INDEX('TRIP MANAGER'!$O$18:$O$25,$A1036),"")</f>
        <v/>
      </c>
      <c r="D1036">
        <f t="array" ref="D1036">IFERROR(INDEX('TRIP MANAGER'!$P$18:$P$25,$A1036),"")</f>
        <v/>
      </c>
      <c r="E1036">
        <f t="array" ref="E1036">IFERROR(INDEX('TRIP MANAGER'!$Q$18:$Q$25,$A1036),"")</f>
        <v/>
      </c>
      <c r="F1036">
        <f t="array" ref="F1036">IFERROR(INDEX('TRIP MANAGER'!$R$18:$R$25,$A1036),"")</f>
        <v/>
      </c>
      <c r="G1036">
        <f t="array" ref="G1036">IFERROR(INDEX('TRIP MANAGER'!$S$18:$S$25,$A1036),"")</f>
        <v/>
      </c>
      <c r="H1036">
        <f>$B1036/150</f>
        <v/>
      </c>
      <c r="I1036">
        <f>IF(OR($G1036="",$G1036=0),"",SIN((1-$H1036)*$G1036)/SIN($G1036))</f>
        <v/>
      </c>
      <c r="J1036">
        <f>IF($I1036="","",SIN($H1036*$G1036)/SIN($G1036))</f>
        <v/>
      </c>
      <c r="K1036">
        <f>IF($I1036="","",$I1036*COS(RADIANS($C1036))*COS(RADIANS($D1036))+$J1036*COS(RADIANS($E1036))*COS(RADIANS($F1036)))</f>
        <v/>
      </c>
      <c r="L1036">
        <f>IF($I1036="","",$I1036*COS(RADIANS($C1036))*SIN(RADIANS($D1036))+$J1036*COS(RADIANS($E1036))*SIN(RADIANS($F1036)))</f>
        <v/>
      </c>
      <c r="M1036">
        <f>IF($I1036="","",$I1036*SIN(RADIANS($C1036))+$J1036*SIN(RADIANS($E1036)))</f>
        <v/>
      </c>
      <c r="N1036">
        <f>IF($M1036="","",DEGREES(ATAN2(SQRT($K1036^2+$L1036^2),$M1036)))</f>
        <v/>
      </c>
      <c r="O1036">
        <f>IF($M1036="","",DEGREES(ATAN2($K1036,$L1036)))</f>
        <v/>
      </c>
      <c r="P1036">
        <f t="array" ref="P1036">IF($N1036="","",IFERROR(IF(INDEX(geo_grid!$B$2:$JU$231,INT(($N1036+40)/0.5)+1,INT(($O1036+30)/0.5)+1)="","",INDEX(geo_grid!$B$2:$JU$231,INT(($N1036+40)/0.5)+1,INT(($O1036+30)/0.5)+1)),"OUTSIDE GRID"))</f>
        <v/>
      </c>
      <c r="Q1036">
        <f>IF($P1036="","",$A1036*1000+$B1036)</f>
        <v/>
      </c>
    </row>
    <row r="1037">
      <c r="A1037">
        <f>INT((ROW()-2)/151)+1</f>
        <v/>
      </c>
      <c r="B1037">
        <f>MOD(ROW()-2,151)</f>
        <v/>
      </c>
      <c r="C1037">
        <f t="array" ref="C1037">IFERROR(INDEX('TRIP MANAGER'!$O$18:$O$25,$A1037),"")</f>
        <v/>
      </c>
      <c r="D1037">
        <f t="array" ref="D1037">IFERROR(INDEX('TRIP MANAGER'!$P$18:$P$25,$A1037),"")</f>
        <v/>
      </c>
      <c r="E1037">
        <f t="array" ref="E1037">IFERROR(INDEX('TRIP MANAGER'!$Q$18:$Q$25,$A1037),"")</f>
        <v/>
      </c>
      <c r="F1037">
        <f t="array" ref="F1037">IFERROR(INDEX('TRIP MANAGER'!$R$18:$R$25,$A1037),"")</f>
        <v/>
      </c>
      <c r="G1037">
        <f t="array" ref="G1037">IFERROR(INDEX('TRIP MANAGER'!$S$18:$S$25,$A1037),"")</f>
        <v/>
      </c>
      <c r="H1037">
        <f>$B1037/150</f>
        <v/>
      </c>
      <c r="I1037">
        <f>IF(OR($G1037="",$G1037=0),"",SIN((1-$H1037)*$G1037)/SIN($G1037))</f>
        <v/>
      </c>
      <c r="J1037">
        <f>IF($I1037="","",SIN($H1037*$G1037)/SIN($G1037))</f>
        <v/>
      </c>
      <c r="K1037">
        <f>IF($I1037="","",$I1037*COS(RADIANS($C1037))*COS(RADIANS($D1037))+$J1037*COS(RADIANS($E1037))*COS(RADIANS($F1037)))</f>
        <v/>
      </c>
      <c r="L1037">
        <f>IF($I1037="","",$I1037*COS(RADIANS($C1037))*SIN(RADIANS($D1037))+$J1037*COS(RADIANS($E1037))*SIN(RADIANS($F1037)))</f>
        <v/>
      </c>
      <c r="M1037">
        <f>IF($I1037="","",$I1037*SIN(RADIANS($C1037))+$J1037*SIN(RADIANS($E1037)))</f>
        <v/>
      </c>
      <c r="N1037">
        <f>IF($M1037="","",DEGREES(ATAN2(SQRT($K1037^2+$L1037^2),$M1037)))</f>
        <v/>
      </c>
      <c r="O1037">
        <f>IF($M1037="","",DEGREES(ATAN2($K1037,$L1037)))</f>
        <v/>
      </c>
      <c r="P1037">
        <f t="array" ref="P1037">IF($N1037="","",IFERROR(IF(INDEX(geo_grid!$B$2:$JU$231,INT(($N1037+40)/0.5)+1,INT(($O1037+30)/0.5)+1)="","",INDEX(geo_grid!$B$2:$JU$231,INT(($N1037+40)/0.5)+1,INT(($O1037+30)/0.5)+1)),"OUTSIDE GRID"))</f>
        <v/>
      </c>
      <c r="Q1037">
        <f>IF($P1037="","",$A1037*1000+$B1037)</f>
        <v/>
      </c>
    </row>
    <row r="1038">
      <c r="A1038">
        <f>INT((ROW()-2)/151)+1</f>
        <v/>
      </c>
      <c r="B1038">
        <f>MOD(ROW()-2,151)</f>
        <v/>
      </c>
      <c r="C1038">
        <f t="array" ref="C1038">IFERROR(INDEX('TRIP MANAGER'!$O$18:$O$25,$A1038),"")</f>
        <v/>
      </c>
      <c r="D1038">
        <f t="array" ref="D1038">IFERROR(INDEX('TRIP MANAGER'!$P$18:$P$25,$A1038),"")</f>
        <v/>
      </c>
      <c r="E1038">
        <f t="array" ref="E1038">IFERROR(INDEX('TRIP MANAGER'!$Q$18:$Q$25,$A1038),"")</f>
        <v/>
      </c>
      <c r="F1038">
        <f t="array" ref="F1038">IFERROR(INDEX('TRIP MANAGER'!$R$18:$R$25,$A1038),"")</f>
        <v/>
      </c>
      <c r="G1038">
        <f t="array" ref="G1038">IFERROR(INDEX('TRIP MANAGER'!$S$18:$S$25,$A1038),"")</f>
        <v/>
      </c>
      <c r="H1038">
        <f>$B1038/150</f>
        <v/>
      </c>
      <c r="I1038">
        <f>IF(OR($G1038="",$G1038=0),"",SIN((1-$H1038)*$G1038)/SIN($G1038))</f>
        <v/>
      </c>
      <c r="J1038">
        <f>IF($I1038="","",SIN($H1038*$G1038)/SIN($G1038))</f>
        <v/>
      </c>
      <c r="K1038">
        <f>IF($I1038="","",$I1038*COS(RADIANS($C1038))*COS(RADIANS($D1038))+$J1038*COS(RADIANS($E1038))*COS(RADIANS($F1038)))</f>
        <v/>
      </c>
      <c r="L1038">
        <f>IF($I1038="","",$I1038*COS(RADIANS($C1038))*SIN(RADIANS($D1038))+$J1038*COS(RADIANS($E1038))*SIN(RADIANS($F1038)))</f>
        <v/>
      </c>
      <c r="M1038">
        <f>IF($I1038="","",$I1038*SIN(RADIANS($C1038))+$J1038*SIN(RADIANS($E1038)))</f>
        <v/>
      </c>
      <c r="N1038">
        <f>IF($M1038="","",DEGREES(ATAN2(SQRT($K1038^2+$L1038^2),$M1038)))</f>
        <v/>
      </c>
      <c r="O1038">
        <f>IF($M1038="","",DEGREES(ATAN2($K1038,$L1038)))</f>
        <v/>
      </c>
      <c r="P1038">
        <f t="array" ref="P1038">IF($N1038="","",IFERROR(IF(INDEX(geo_grid!$B$2:$JU$231,INT(($N1038+40)/0.5)+1,INT(($O1038+30)/0.5)+1)="","",INDEX(geo_grid!$B$2:$JU$231,INT(($N1038+40)/0.5)+1,INT(($O1038+30)/0.5)+1)),"OUTSIDE GRID"))</f>
        <v/>
      </c>
      <c r="Q1038">
        <f>IF($P1038="","",$A1038*1000+$B1038)</f>
        <v/>
      </c>
    </row>
    <row r="1039">
      <c r="A1039">
        <f>INT((ROW()-2)/151)+1</f>
        <v/>
      </c>
      <c r="B1039">
        <f>MOD(ROW()-2,151)</f>
        <v/>
      </c>
      <c r="C1039">
        <f t="array" ref="C1039">IFERROR(INDEX('TRIP MANAGER'!$O$18:$O$25,$A1039),"")</f>
        <v/>
      </c>
      <c r="D1039">
        <f t="array" ref="D1039">IFERROR(INDEX('TRIP MANAGER'!$P$18:$P$25,$A1039),"")</f>
        <v/>
      </c>
      <c r="E1039">
        <f t="array" ref="E1039">IFERROR(INDEX('TRIP MANAGER'!$Q$18:$Q$25,$A1039),"")</f>
        <v/>
      </c>
      <c r="F1039">
        <f t="array" ref="F1039">IFERROR(INDEX('TRIP MANAGER'!$R$18:$R$25,$A1039),"")</f>
        <v/>
      </c>
      <c r="G1039">
        <f t="array" ref="G1039">IFERROR(INDEX('TRIP MANAGER'!$S$18:$S$25,$A1039),"")</f>
        <v/>
      </c>
      <c r="H1039">
        <f>$B1039/150</f>
        <v/>
      </c>
      <c r="I1039">
        <f>IF(OR($G1039="",$G1039=0),"",SIN((1-$H1039)*$G1039)/SIN($G1039))</f>
        <v/>
      </c>
      <c r="J1039">
        <f>IF($I1039="","",SIN($H1039*$G1039)/SIN($G1039))</f>
        <v/>
      </c>
      <c r="K1039">
        <f>IF($I1039="","",$I1039*COS(RADIANS($C1039))*COS(RADIANS($D1039))+$J1039*COS(RADIANS($E1039))*COS(RADIANS($F1039)))</f>
        <v/>
      </c>
      <c r="L1039">
        <f>IF($I1039="","",$I1039*COS(RADIANS($C1039))*SIN(RADIANS($D1039))+$J1039*COS(RADIANS($E1039))*SIN(RADIANS($F1039)))</f>
        <v/>
      </c>
      <c r="M1039">
        <f>IF($I1039="","",$I1039*SIN(RADIANS($C1039))+$J1039*SIN(RADIANS($E1039)))</f>
        <v/>
      </c>
      <c r="N1039">
        <f>IF($M1039="","",DEGREES(ATAN2(SQRT($K1039^2+$L1039^2),$M1039)))</f>
        <v/>
      </c>
      <c r="O1039">
        <f>IF($M1039="","",DEGREES(ATAN2($K1039,$L1039)))</f>
        <v/>
      </c>
      <c r="P1039">
        <f t="array" ref="P1039">IF($N1039="","",IFERROR(IF(INDEX(geo_grid!$B$2:$JU$231,INT(($N1039+40)/0.5)+1,INT(($O1039+30)/0.5)+1)="","",INDEX(geo_grid!$B$2:$JU$231,INT(($N1039+40)/0.5)+1,INT(($O1039+30)/0.5)+1)),"OUTSIDE GRID"))</f>
        <v/>
      </c>
      <c r="Q1039">
        <f>IF($P1039="","",$A1039*1000+$B1039)</f>
        <v/>
      </c>
    </row>
    <row r="1040">
      <c r="A1040">
        <f>INT((ROW()-2)/151)+1</f>
        <v/>
      </c>
      <c r="B1040">
        <f>MOD(ROW()-2,151)</f>
        <v/>
      </c>
      <c r="C1040">
        <f t="array" ref="C1040">IFERROR(INDEX('TRIP MANAGER'!$O$18:$O$25,$A1040),"")</f>
        <v/>
      </c>
      <c r="D1040">
        <f t="array" ref="D1040">IFERROR(INDEX('TRIP MANAGER'!$P$18:$P$25,$A1040),"")</f>
        <v/>
      </c>
      <c r="E1040">
        <f t="array" ref="E1040">IFERROR(INDEX('TRIP MANAGER'!$Q$18:$Q$25,$A1040),"")</f>
        <v/>
      </c>
      <c r="F1040">
        <f t="array" ref="F1040">IFERROR(INDEX('TRIP MANAGER'!$R$18:$R$25,$A1040),"")</f>
        <v/>
      </c>
      <c r="G1040">
        <f t="array" ref="G1040">IFERROR(INDEX('TRIP MANAGER'!$S$18:$S$25,$A1040),"")</f>
        <v/>
      </c>
      <c r="H1040">
        <f>$B1040/150</f>
        <v/>
      </c>
      <c r="I1040">
        <f>IF(OR($G1040="",$G1040=0),"",SIN((1-$H1040)*$G1040)/SIN($G1040))</f>
        <v/>
      </c>
      <c r="J1040">
        <f>IF($I1040="","",SIN($H1040*$G1040)/SIN($G1040))</f>
        <v/>
      </c>
      <c r="K1040">
        <f>IF($I1040="","",$I1040*COS(RADIANS($C1040))*COS(RADIANS($D1040))+$J1040*COS(RADIANS($E1040))*COS(RADIANS($F1040)))</f>
        <v/>
      </c>
      <c r="L1040">
        <f>IF($I1040="","",$I1040*COS(RADIANS($C1040))*SIN(RADIANS($D1040))+$J1040*COS(RADIANS($E1040))*SIN(RADIANS($F1040)))</f>
        <v/>
      </c>
      <c r="M1040">
        <f>IF($I1040="","",$I1040*SIN(RADIANS($C1040))+$J1040*SIN(RADIANS($E1040)))</f>
        <v/>
      </c>
      <c r="N1040">
        <f>IF($M1040="","",DEGREES(ATAN2(SQRT($K1040^2+$L1040^2),$M1040)))</f>
        <v/>
      </c>
      <c r="O1040">
        <f>IF($M1040="","",DEGREES(ATAN2($K1040,$L1040)))</f>
        <v/>
      </c>
      <c r="P1040">
        <f t="array" ref="P1040">IF($N1040="","",IFERROR(IF(INDEX(geo_grid!$B$2:$JU$231,INT(($N1040+40)/0.5)+1,INT(($O1040+30)/0.5)+1)="","",INDEX(geo_grid!$B$2:$JU$231,INT(($N1040+40)/0.5)+1,INT(($O1040+30)/0.5)+1)),"OUTSIDE GRID"))</f>
        <v/>
      </c>
      <c r="Q1040">
        <f>IF($P1040="","",$A1040*1000+$B1040)</f>
        <v/>
      </c>
    </row>
    <row r="1041">
      <c r="A1041">
        <f>INT((ROW()-2)/151)+1</f>
        <v/>
      </c>
      <c r="B1041">
        <f>MOD(ROW()-2,151)</f>
        <v/>
      </c>
      <c r="C1041">
        <f t="array" ref="C1041">IFERROR(INDEX('TRIP MANAGER'!$O$18:$O$25,$A1041),"")</f>
        <v/>
      </c>
      <c r="D1041">
        <f t="array" ref="D1041">IFERROR(INDEX('TRIP MANAGER'!$P$18:$P$25,$A1041),"")</f>
        <v/>
      </c>
      <c r="E1041">
        <f t="array" ref="E1041">IFERROR(INDEX('TRIP MANAGER'!$Q$18:$Q$25,$A1041),"")</f>
        <v/>
      </c>
      <c r="F1041">
        <f t="array" ref="F1041">IFERROR(INDEX('TRIP MANAGER'!$R$18:$R$25,$A1041),"")</f>
        <v/>
      </c>
      <c r="G1041">
        <f t="array" ref="G1041">IFERROR(INDEX('TRIP MANAGER'!$S$18:$S$25,$A1041),"")</f>
        <v/>
      </c>
      <c r="H1041">
        <f>$B1041/150</f>
        <v/>
      </c>
      <c r="I1041">
        <f>IF(OR($G1041="",$G1041=0),"",SIN((1-$H1041)*$G1041)/SIN($G1041))</f>
        <v/>
      </c>
      <c r="J1041">
        <f>IF($I1041="","",SIN($H1041*$G1041)/SIN($G1041))</f>
        <v/>
      </c>
      <c r="K1041">
        <f>IF($I1041="","",$I1041*COS(RADIANS($C1041))*COS(RADIANS($D1041))+$J1041*COS(RADIANS($E1041))*COS(RADIANS($F1041)))</f>
        <v/>
      </c>
      <c r="L1041">
        <f>IF($I1041="","",$I1041*COS(RADIANS($C1041))*SIN(RADIANS($D1041))+$J1041*COS(RADIANS($E1041))*SIN(RADIANS($F1041)))</f>
        <v/>
      </c>
      <c r="M1041">
        <f>IF($I1041="","",$I1041*SIN(RADIANS($C1041))+$J1041*SIN(RADIANS($E1041)))</f>
        <v/>
      </c>
      <c r="N1041">
        <f>IF($M1041="","",DEGREES(ATAN2(SQRT($K1041^2+$L1041^2),$M1041)))</f>
        <v/>
      </c>
      <c r="O1041">
        <f>IF($M1041="","",DEGREES(ATAN2($K1041,$L1041)))</f>
        <v/>
      </c>
      <c r="P1041">
        <f t="array" ref="P1041">IF($N1041="","",IFERROR(IF(INDEX(geo_grid!$B$2:$JU$231,INT(($N1041+40)/0.5)+1,INT(($O1041+30)/0.5)+1)="","",INDEX(geo_grid!$B$2:$JU$231,INT(($N1041+40)/0.5)+1,INT(($O1041+30)/0.5)+1)),"OUTSIDE GRID"))</f>
        <v/>
      </c>
      <c r="Q1041">
        <f>IF($P1041="","",$A1041*1000+$B1041)</f>
        <v/>
      </c>
    </row>
    <row r="1042">
      <c r="A1042">
        <f>INT((ROW()-2)/151)+1</f>
        <v/>
      </c>
      <c r="B1042">
        <f>MOD(ROW()-2,151)</f>
        <v/>
      </c>
      <c r="C1042">
        <f t="array" ref="C1042">IFERROR(INDEX('TRIP MANAGER'!$O$18:$O$25,$A1042),"")</f>
        <v/>
      </c>
      <c r="D1042">
        <f t="array" ref="D1042">IFERROR(INDEX('TRIP MANAGER'!$P$18:$P$25,$A1042),"")</f>
        <v/>
      </c>
      <c r="E1042">
        <f t="array" ref="E1042">IFERROR(INDEX('TRIP MANAGER'!$Q$18:$Q$25,$A1042),"")</f>
        <v/>
      </c>
      <c r="F1042">
        <f t="array" ref="F1042">IFERROR(INDEX('TRIP MANAGER'!$R$18:$R$25,$A1042),"")</f>
        <v/>
      </c>
      <c r="G1042">
        <f t="array" ref="G1042">IFERROR(INDEX('TRIP MANAGER'!$S$18:$S$25,$A1042),"")</f>
        <v/>
      </c>
      <c r="H1042">
        <f>$B1042/150</f>
        <v/>
      </c>
      <c r="I1042">
        <f>IF(OR($G1042="",$G1042=0),"",SIN((1-$H1042)*$G1042)/SIN($G1042))</f>
        <v/>
      </c>
      <c r="J1042">
        <f>IF($I1042="","",SIN($H1042*$G1042)/SIN($G1042))</f>
        <v/>
      </c>
      <c r="K1042">
        <f>IF($I1042="","",$I1042*COS(RADIANS($C1042))*COS(RADIANS($D1042))+$J1042*COS(RADIANS($E1042))*COS(RADIANS($F1042)))</f>
        <v/>
      </c>
      <c r="L1042">
        <f>IF($I1042="","",$I1042*COS(RADIANS($C1042))*SIN(RADIANS($D1042))+$J1042*COS(RADIANS($E1042))*SIN(RADIANS($F1042)))</f>
        <v/>
      </c>
      <c r="M1042">
        <f>IF($I1042="","",$I1042*SIN(RADIANS($C1042))+$J1042*SIN(RADIANS($E1042)))</f>
        <v/>
      </c>
      <c r="N1042">
        <f>IF($M1042="","",DEGREES(ATAN2(SQRT($K1042^2+$L1042^2),$M1042)))</f>
        <v/>
      </c>
      <c r="O1042">
        <f>IF($M1042="","",DEGREES(ATAN2($K1042,$L1042)))</f>
        <v/>
      </c>
      <c r="P1042">
        <f t="array" ref="P1042">IF($N1042="","",IFERROR(IF(INDEX(geo_grid!$B$2:$JU$231,INT(($N1042+40)/0.5)+1,INT(($O1042+30)/0.5)+1)="","",INDEX(geo_grid!$B$2:$JU$231,INT(($N1042+40)/0.5)+1,INT(($O1042+30)/0.5)+1)),"OUTSIDE GRID"))</f>
        <v/>
      </c>
      <c r="Q1042">
        <f>IF($P1042="","",$A1042*1000+$B1042)</f>
        <v/>
      </c>
    </row>
    <row r="1043">
      <c r="A1043">
        <f>INT((ROW()-2)/151)+1</f>
        <v/>
      </c>
      <c r="B1043">
        <f>MOD(ROW()-2,151)</f>
        <v/>
      </c>
      <c r="C1043">
        <f t="array" ref="C1043">IFERROR(INDEX('TRIP MANAGER'!$O$18:$O$25,$A1043),"")</f>
        <v/>
      </c>
      <c r="D1043">
        <f t="array" ref="D1043">IFERROR(INDEX('TRIP MANAGER'!$P$18:$P$25,$A1043),"")</f>
        <v/>
      </c>
      <c r="E1043">
        <f t="array" ref="E1043">IFERROR(INDEX('TRIP MANAGER'!$Q$18:$Q$25,$A1043),"")</f>
        <v/>
      </c>
      <c r="F1043">
        <f t="array" ref="F1043">IFERROR(INDEX('TRIP MANAGER'!$R$18:$R$25,$A1043),"")</f>
        <v/>
      </c>
      <c r="G1043">
        <f t="array" ref="G1043">IFERROR(INDEX('TRIP MANAGER'!$S$18:$S$25,$A1043),"")</f>
        <v/>
      </c>
      <c r="H1043">
        <f>$B1043/150</f>
        <v/>
      </c>
      <c r="I1043">
        <f>IF(OR($G1043="",$G1043=0),"",SIN((1-$H1043)*$G1043)/SIN($G1043))</f>
        <v/>
      </c>
      <c r="J1043">
        <f>IF($I1043="","",SIN($H1043*$G1043)/SIN($G1043))</f>
        <v/>
      </c>
      <c r="K1043">
        <f>IF($I1043="","",$I1043*COS(RADIANS($C1043))*COS(RADIANS($D1043))+$J1043*COS(RADIANS($E1043))*COS(RADIANS($F1043)))</f>
        <v/>
      </c>
      <c r="L1043">
        <f>IF($I1043="","",$I1043*COS(RADIANS($C1043))*SIN(RADIANS($D1043))+$J1043*COS(RADIANS($E1043))*SIN(RADIANS($F1043)))</f>
        <v/>
      </c>
      <c r="M1043">
        <f>IF($I1043="","",$I1043*SIN(RADIANS($C1043))+$J1043*SIN(RADIANS($E1043)))</f>
        <v/>
      </c>
      <c r="N1043">
        <f>IF($M1043="","",DEGREES(ATAN2(SQRT($K1043^2+$L1043^2),$M1043)))</f>
        <v/>
      </c>
      <c r="O1043">
        <f>IF($M1043="","",DEGREES(ATAN2($K1043,$L1043)))</f>
        <v/>
      </c>
      <c r="P1043">
        <f t="array" ref="P1043">IF($N1043="","",IFERROR(IF(INDEX(geo_grid!$B$2:$JU$231,INT(($N1043+40)/0.5)+1,INT(($O1043+30)/0.5)+1)="","",INDEX(geo_grid!$B$2:$JU$231,INT(($N1043+40)/0.5)+1,INT(($O1043+30)/0.5)+1)),"OUTSIDE GRID"))</f>
        <v/>
      </c>
      <c r="Q1043">
        <f>IF($P1043="","",$A1043*1000+$B1043)</f>
        <v/>
      </c>
    </row>
    <row r="1044">
      <c r="A1044">
        <f>INT((ROW()-2)/151)+1</f>
        <v/>
      </c>
      <c r="B1044">
        <f>MOD(ROW()-2,151)</f>
        <v/>
      </c>
      <c r="C1044">
        <f t="array" ref="C1044">IFERROR(INDEX('TRIP MANAGER'!$O$18:$O$25,$A1044),"")</f>
        <v/>
      </c>
      <c r="D1044">
        <f t="array" ref="D1044">IFERROR(INDEX('TRIP MANAGER'!$P$18:$P$25,$A1044),"")</f>
        <v/>
      </c>
      <c r="E1044">
        <f t="array" ref="E1044">IFERROR(INDEX('TRIP MANAGER'!$Q$18:$Q$25,$A1044),"")</f>
        <v/>
      </c>
      <c r="F1044">
        <f t="array" ref="F1044">IFERROR(INDEX('TRIP MANAGER'!$R$18:$R$25,$A1044),"")</f>
        <v/>
      </c>
      <c r="G1044">
        <f t="array" ref="G1044">IFERROR(INDEX('TRIP MANAGER'!$S$18:$S$25,$A1044),"")</f>
        <v/>
      </c>
      <c r="H1044">
        <f>$B1044/150</f>
        <v/>
      </c>
      <c r="I1044">
        <f>IF(OR($G1044="",$G1044=0),"",SIN((1-$H1044)*$G1044)/SIN($G1044))</f>
        <v/>
      </c>
      <c r="J1044">
        <f>IF($I1044="","",SIN($H1044*$G1044)/SIN($G1044))</f>
        <v/>
      </c>
      <c r="K1044">
        <f>IF($I1044="","",$I1044*COS(RADIANS($C1044))*COS(RADIANS($D1044))+$J1044*COS(RADIANS($E1044))*COS(RADIANS($F1044)))</f>
        <v/>
      </c>
      <c r="L1044">
        <f>IF($I1044="","",$I1044*COS(RADIANS($C1044))*SIN(RADIANS($D1044))+$J1044*COS(RADIANS($E1044))*SIN(RADIANS($F1044)))</f>
        <v/>
      </c>
      <c r="M1044">
        <f>IF($I1044="","",$I1044*SIN(RADIANS($C1044))+$J1044*SIN(RADIANS($E1044)))</f>
        <v/>
      </c>
      <c r="N1044">
        <f>IF($M1044="","",DEGREES(ATAN2(SQRT($K1044^2+$L1044^2),$M1044)))</f>
        <v/>
      </c>
      <c r="O1044">
        <f>IF($M1044="","",DEGREES(ATAN2($K1044,$L1044)))</f>
        <v/>
      </c>
      <c r="P1044">
        <f t="array" ref="P1044">IF($N1044="","",IFERROR(IF(INDEX(geo_grid!$B$2:$JU$231,INT(($N1044+40)/0.5)+1,INT(($O1044+30)/0.5)+1)="","",INDEX(geo_grid!$B$2:$JU$231,INT(($N1044+40)/0.5)+1,INT(($O1044+30)/0.5)+1)),"OUTSIDE GRID"))</f>
        <v/>
      </c>
      <c r="Q1044">
        <f>IF($P1044="","",$A1044*1000+$B1044)</f>
        <v/>
      </c>
    </row>
    <row r="1045">
      <c r="A1045">
        <f>INT((ROW()-2)/151)+1</f>
        <v/>
      </c>
      <c r="B1045">
        <f>MOD(ROW()-2,151)</f>
        <v/>
      </c>
      <c r="C1045">
        <f t="array" ref="C1045">IFERROR(INDEX('TRIP MANAGER'!$O$18:$O$25,$A1045),"")</f>
        <v/>
      </c>
      <c r="D1045">
        <f t="array" ref="D1045">IFERROR(INDEX('TRIP MANAGER'!$P$18:$P$25,$A1045),"")</f>
        <v/>
      </c>
      <c r="E1045">
        <f t="array" ref="E1045">IFERROR(INDEX('TRIP MANAGER'!$Q$18:$Q$25,$A1045),"")</f>
        <v/>
      </c>
      <c r="F1045">
        <f t="array" ref="F1045">IFERROR(INDEX('TRIP MANAGER'!$R$18:$R$25,$A1045),"")</f>
        <v/>
      </c>
      <c r="G1045">
        <f t="array" ref="G1045">IFERROR(INDEX('TRIP MANAGER'!$S$18:$S$25,$A1045),"")</f>
        <v/>
      </c>
      <c r="H1045">
        <f>$B1045/150</f>
        <v/>
      </c>
      <c r="I1045">
        <f>IF(OR($G1045="",$G1045=0),"",SIN((1-$H1045)*$G1045)/SIN($G1045))</f>
        <v/>
      </c>
      <c r="J1045">
        <f>IF($I1045="","",SIN($H1045*$G1045)/SIN($G1045))</f>
        <v/>
      </c>
      <c r="K1045">
        <f>IF($I1045="","",$I1045*COS(RADIANS($C1045))*COS(RADIANS($D1045))+$J1045*COS(RADIANS($E1045))*COS(RADIANS($F1045)))</f>
        <v/>
      </c>
      <c r="L1045">
        <f>IF($I1045="","",$I1045*COS(RADIANS($C1045))*SIN(RADIANS($D1045))+$J1045*COS(RADIANS($E1045))*SIN(RADIANS($F1045)))</f>
        <v/>
      </c>
      <c r="M1045">
        <f>IF($I1045="","",$I1045*SIN(RADIANS($C1045))+$J1045*SIN(RADIANS($E1045)))</f>
        <v/>
      </c>
      <c r="N1045">
        <f>IF($M1045="","",DEGREES(ATAN2(SQRT($K1045^2+$L1045^2),$M1045)))</f>
        <v/>
      </c>
      <c r="O1045">
        <f>IF($M1045="","",DEGREES(ATAN2($K1045,$L1045)))</f>
        <v/>
      </c>
      <c r="P1045">
        <f t="array" ref="P1045">IF($N1045="","",IFERROR(IF(INDEX(geo_grid!$B$2:$JU$231,INT(($N1045+40)/0.5)+1,INT(($O1045+30)/0.5)+1)="","",INDEX(geo_grid!$B$2:$JU$231,INT(($N1045+40)/0.5)+1,INT(($O1045+30)/0.5)+1)),"OUTSIDE GRID"))</f>
        <v/>
      </c>
      <c r="Q1045">
        <f>IF($P1045="","",$A1045*1000+$B1045)</f>
        <v/>
      </c>
    </row>
    <row r="1046">
      <c r="A1046">
        <f>INT((ROW()-2)/151)+1</f>
        <v/>
      </c>
      <c r="B1046">
        <f>MOD(ROW()-2,151)</f>
        <v/>
      </c>
      <c r="C1046">
        <f t="array" ref="C1046">IFERROR(INDEX('TRIP MANAGER'!$O$18:$O$25,$A1046),"")</f>
        <v/>
      </c>
      <c r="D1046">
        <f t="array" ref="D1046">IFERROR(INDEX('TRIP MANAGER'!$P$18:$P$25,$A1046),"")</f>
        <v/>
      </c>
      <c r="E1046">
        <f t="array" ref="E1046">IFERROR(INDEX('TRIP MANAGER'!$Q$18:$Q$25,$A1046),"")</f>
        <v/>
      </c>
      <c r="F1046">
        <f t="array" ref="F1046">IFERROR(INDEX('TRIP MANAGER'!$R$18:$R$25,$A1046),"")</f>
        <v/>
      </c>
      <c r="G1046">
        <f t="array" ref="G1046">IFERROR(INDEX('TRIP MANAGER'!$S$18:$S$25,$A1046),"")</f>
        <v/>
      </c>
      <c r="H1046">
        <f>$B1046/150</f>
        <v/>
      </c>
      <c r="I1046">
        <f>IF(OR($G1046="",$G1046=0),"",SIN((1-$H1046)*$G1046)/SIN($G1046))</f>
        <v/>
      </c>
      <c r="J1046">
        <f>IF($I1046="","",SIN($H1046*$G1046)/SIN($G1046))</f>
        <v/>
      </c>
      <c r="K1046">
        <f>IF($I1046="","",$I1046*COS(RADIANS($C1046))*COS(RADIANS($D1046))+$J1046*COS(RADIANS($E1046))*COS(RADIANS($F1046)))</f>
        <v/>
      </c>
      <c r="L1046">
        <f>IF($I1046="","",$I1046*COS(RADIANS($C1046))*SIN(RADIANS($D1046))+$J1046*COS(RADIANS($E1046))*SIN(RADIANS($F1046)))</f>
        <v/>
      </c>
      <c r="M1046">
        <f>IF($I1046="","",$I1046*SIN(RADIANS($C1046))+$J1046*SIN(RADIANS($E1046)))</f>
        <v/>
      </c>
      <c r="N1046">
        <f>IF($M1046="","",DEGREES(ATAN2(SQRT($K1046^2+$L1046^2),$M1046)))</f>
        <v/>
      </c>
      <c r="O1046">
        <f>IF($M1046="","",DEGREES(ATAN2($K1046,$L1046)))</f>
        <v/>
      </c>
      <c r="P1046">
        <f t="array" ref="P1046">IF($N1046="","",IFERROR(IF(INDEX(geo_grid!$B$2:$JU$231,INT(($N1046+40)/0.5)+1,INT(($O1046+30)/0.5)+1)="","",INDEX(geo_grid!$B$2:$JU$231,INT(($N1046+40)/0.5)+1,INT(($O1046+30)/0.5)+1)),"OUTSIDE GRID"))</f>
        <v/>
      </c>
      <c r="Q1046">
        <f>IF($P1046="","",$A1046*1000+$B1046)</f>
        <v/>
      </c>
    </row>
    <row r="1047">
      <c r="A1047">
        <f>INT((ROW()-2)/151)+1</f>
        <v/>
      </c>
      <c r="B1047">
        <f>MOD(ROW()-2,151)</f>
        <v/>
      </c>
      <c r="C1047">
        <f t="array" ref="C1047">IFERROR(INDEX('TRIP MANAGER'!$O$18:$O$25,$A1047),"")</f>
        <v/>
      </c>
      <c r="D1047">
        <f t="array" ref="D1047">IFERROR(INDEX('TRIP MANAGER'!$P$18:$P$25,$A1047),"")</f>
        <v/>
      </c>
      <c r="E1047">
        <f t="array" ref="E1047">IFERROR(INDEX('TRIP MANAGER'!$Q$18:$Q$25,$A1047),"")</f>
        <v/>
      </c>
      <c r="F1047">
        <f t="array" ref="F1047">IFERROR(INDEX('TRIP MANAGER'!$R$18:$R$25,$A1047),"")</f>
        <v/>
      </c>
      <c r="G1047">
        <f t="array" ref="G1047">IFERROR(INDEX('TRIP MANAGER'!$S$18:$S$25,$A1047),"")</f>
        <v/>
      </c>
      <c r="H1047">
        <f>$B1047/150</f>
        <v/>
      </c>
      <c r="I1047">
        <f>IF(OR($G1047="",$G1047=0),"",SIN((1-$H1047)*$G1047)/SIN($G1047))</f>
        <v/>
      </c>
      <c r="J1047">
        <f>IF($I1047="","",SIN($H1047*$G1047)/SIN($G1047))</f>
        <v/>
      </c>
      <c r="K1047">
        <f>IF($I1047="","",$I1047*COS(RADIANS($C1047))*COS(RADIANS($D1047))+$J1047*COS(RADIANS($E1047))*COS(RADIANS($F1047)))</f>
        <v/>
      </c>
      <c r="L1047">
        <f>IF($I1047="","",$I1047*COS(RADIANS($C1047))*SIN(RADIANS($D1047))+$J1047*COS(RADIANS($E1047))*SIN(RADIANS($F1047)))</f>
        <v/>
      </c>
      <c r="M1047">
        <f>IF($I1047="","",$I1047*SIN(RADIANS($C1047))+$J1047*SIN(RADIANS($E1047)))</f>
        <v/>
      </c>
      <c r="N1047">
        <f>IF($M1047="","",DEGREES(ATAN2(SQRT($K1047^2+$L1047^2),$M1047)))</f>
        <v/>
      </c>
      <c r="O1047">
        <f>IF($M1047="","",DEGREES(ATAN2($K1047,$L1047)))</f>
        <v/>
      </c>
      <c r="P1047">
        <f t="array" ref="P1047">IF($N1047="","",IFERROR(IF(INDEX(geo_grid!$B$2:$JU$231,INT(($N1047+40)/0.5)+1,INT(($O1047+30)/0.5)+1)="","",INDEX(geo_grid!$B$2:$JU$231,INT(($N1047+40)/0.5)+1,INT(($O1047+30)/0.5)+1)),"OUTSIDE GRID"))</f>
        <v/>
      </c>
      <c r="Q1047">
        <f>IF($P1047="","",$A1047*1000+$B1047)</f>
        <v/>
      </c>
    </row>
    <row r="1048">
      <c r="A1048">
        <f>INT((ROW()-2)/151)+1</f>
        <v/>
      </c>
      <c r="B1048">
        <f>MOD(ROW()-2,151)</f>
        <v/>
      </c>
      <c r="C1048">
        <f t="array" ref="C1048">IFERROR(INDEX('TRIP MANAGER'!$O$18:$O$25,$A1048),"")</f>
        <v/>
      </c>
      <c r="D1048">
        <f t="array" ref="D1048">IFERROR(INDEX('TRIP MANAGER'!$P$18:$P$25,$A1048),"")</f>
        <v/>
      </c>
      <c r="E1048">
        <f t="array" ref="E1048">IFERROR(INDEX('TRIP MANAGER'!$Q$18:$Q$25,$A1048),"")</f>
        <v/>
      </c>
      <c r="F1048">
        <f t="array" ref="F1048">IFERROR(INDEX('TRIP MANAGER'!$R$18:$R$25,$A1048),"")</f>
        <v/>
      </c>
      <c r="G1048">
        <f t="array" ref="G1048">IFERROR(INDEX('TRIP MANAGER'!$S$18:$S$25,$A1048),"")</f>
        <v/>
      </c>
      <c r="H1048">
        <f>$B1048/150</f>
        <v/>
      </c>
      <c r="I1048">
        <f>IF(OR($G1048="",$G1048=0),"",SIN((1-$H1048)*$G1048)/SIN($G1048))</f>
        <v/>
      </c>
      <c r="J1048">
        <f>IF($I1048="","",SIN($H1048*$G1048)/SIN($G1048))</f>
        <v/>
      </c>
      <c r="K1048">
        <f>IF($I1048="","",$I1048*COS(RADIANS($C1048))*COS(RADIANS($D1048))+$J1048*COS(RADIANS($E1048))*COS(RADIANS($F1048)))</f>
        <v/>
      </c>
      <c r="L1048">
        <f>IF($I1048="","",$I1048*COS(RADIANS($C1048))*SIN(RADIANS($D1048))+$J1048*COS(RADIANS($E1048))*SIN(RADIANS($F1048)))</f>
        <v/>
      </c>
      <c r="M1048">
        <f>IF($I1048="","",$I1048*SIN(RADIANS($C1048))+$J1048*SIN(RADIANS($E1048)))</f>
        <v/>
      </c>
      <c r="N1048">
        <f>IF($M1048="","",DEGREES(ATAN2(SQRT($K1048^2+$L1048^2),$M1048)))</f>
        <v/>
      </c>
      <c r="O1048">
        <f>IF($M1048="","",DEGREES(ATAN2($K1048,$L1048)))</f>
        <v/>
      </c>
      <c r="P1048">
        <f t="array" ref="P1048">IF($N1048="","",IFERROR(IF(INDEX(geo_grid!$B$2:$JU$231,INT(($N1048+40)/0.5)+1,INT(($O1048+30)/0.5)+1)="","",INDEX(geo_grid!$B$2:$JU$231,INT(($N1048+40)/0.5)+1,INT(($O1048+30)/0.5)+1)),"OUTSIDE GRID"))</f>
        <v/>
      </c>
      <c r="Q1048">
        <f>IF($P1048="","",$A1048*1000+$B1048)</f>
        <v/>
      </c>
    </row>
    <row r="1049">
      <c r="A1049">
        <f>INT((ROW()-2)/151)+1</f>
        <v/>
      </c>
      <c r="B1049">
        <f>MOD(ROW()-2,151)</f>
        <v/>
      </c>
      <c r="C1049">
        <f t="array" ref="C1049">IFERROR(INDEX('TRIP MANAGER'!$O$18:$O$25,$A1049),"")</f>
        <v/>
      </c>
      <c r="D1049">
        <f t="array" ref="D1049">IFERROR(INDEX('TRIP MANAGER'!$P$18:$P$25,$A1049),"")</f>
        <v/>
      </c>
      <c r="E1049">
        <f t="array" ref="E1049">IFERROR(INDEX('TRIP MANAGER'!$Q$18:$Q$25,$A1049),"")</f>
        <v/>
      </c>
      <c r="F1049">
        <f t="array" ref="F1049">IFERROR(INDEX('TRIP MANAGER'!$R$18:$R$25,$A1049),"")</f>
        <v/>
      </c>
      <c r="G1049">
        <f t="array" ref="G1049">IFERROR(INDEX('TRIP MANAGER'!$S$18:$S$25,$A1049),"")</f>
        <v/>
      </c>
      <c r="H1049">
        <f>$B1049/150</f>
        <v/>
      </c>
      <c r="I1049">
        <f>IF(OR($G1049="",$G1049=0),"",SIN((1-$H1049)*$G1049)/SIN($G1049))</f>
        <v/>
      </c>
      <c r="J1049">
        <f>IF($I1049="","",SIN($H1049*$G1049)/SIN($G1049))</f>
        <v/>
      </c>
      <c r="K1049">
        <f>IF($I1049="","",$I1049*COS(RADIANS($C1049))*COS(RADIANS($D1049))+$J1049*COS(RADIANS($E1049))*COS(RADIANS($F1049)))</f>
        <v/>
      </c>
      <c r="L1049">
        <f>IF($I1049="","",$I1049*COS(RADIANS($C1049))*SIN(RADIANS($D1049))+$J1049*COS(RADIANS($E1049))*SIN(RADIANS($F1049)))</f>
        <v/>
      </c>
      <c r="M1049">
        <f>IF($I1049="","",$I1049*SIN(RADIANS($C1049))+$J1049*SIN(RADIANS($E1049)))</f>
        <v/>
      </c>
      <c r="N1049">
        <f>IF($M1049="","",DEGREES(ATAN2(SQRT($K1049^2+$L1049^2),$M1049)))</f>
        <v/>
      </c>
      <c r="O1049">
        <f>IF($M1049="","",DEGREES(ATAN2($K1049,$L1049)))</f>
        <v/>
      </c>
      <c r="P1049">
        <f t="array" ref="P1049">IF($N1049="","",IFERROR(IF(INDEX(geo_grid!$B$2:$JU$231,INT(($N1049+40)/0.5)+1,INT(($O1049+30)/0.5)+1)="","",INDEX(geo_grid!$B$2:$JU$231,INT(($N1049+40)/0.5)+1,INT(($O1049+30)/0.5)+1)),"OUTSIDE GRID"))</f>
        <v/>
      </c>
      <c r="Q1049">
        <f>IF($P1049="","",$A1049*1000+$B1049)</f>
        <v/>
      </c>
    </row>
    <row r="1050">
      <c r="A1050">
        <f>INT((ROW()-2)/151)+1</f>
        <v/>
      </c>
      <c r="B1050">
        <f>MOD(ROW()-2,151)</f>
        <v/>
      </c>
      <c r="C1050">
        <f t="array" ref="C1050">IFERROR(INDEX('TRIP MANAGER'!$O$18:$O$25,$A1050),"")</f>
        <v/>
      </c>
      <c r="D1050">
        <f t="array" ref="D1050">IFERROR(INDEX('TRIP MANAGER'!$P$18:$P$25,$A1050),"")</f>
        <v/>
      </c>
      <c r="E1050">
        <f t="array" ref="E1050">IFERROR(INDEX('TRIP MANAGER'!$Q$18:$Q$25,$A1050),"")</f>
        <v/>
      </c>
      <c r="F1050">
        <f t="array" ref="F1050">IFERROR(INDEX('TRIP MANAGER'!$R$18:$R$25,$A1050),"")</f>
        <v/>
      </c>
      <c r="G1050">
        <f t="array" ref="G1050">IFERROR(INDEX('TRIP MANAGER'!$S$18:$S$25,$A1050),"")</f>
        <v/>
      </c>
      <c r="H1050">
        <f>$B1050/150</f>
        <v/>
      </c>
      <c r="I1050">
        <f>IF(OR($G1050="",$G1050=0),"",SIN((1-$H1050)*$G1050)/SIN($G1050))</f>
        <v/>
      </c>
      <c r="J1050">
        <f>IF($I1050="","",SIN($H1050*$G1050)/SIN($G1050))</f>
        <v/>
      </c>
      <c r="K1050">
        <f>IF($I1050="","",$I1050*COS(RADIANS($C1050))*COS(RADIANS($D1050))+$J1050*COS(RADIANS($E1050))*COS(RADIANS($F1050)))</f>
        <v/>
      </c>
      <c r="L1050">
        <f>IF($I1050="","",$I1050*COS(RADIANS($C1050))*SIN(RADIANS($D1050))+$J1050*COS(RADIANS($E1050))*SIN(RADIANS($F1050)))</f>
        <v/>
      </c>
      <c r="M1050">
        <f>IF($I1050="","",$I1050*SIN(RADIANS($C1050))+$J1050*SIN(RADIANS($E1050)))</f>
        <v/>
      </c>
      <c r="N1050">
        <f>IF($M1050="","",DEGREES(ATAN2(SQRT($K1050^2+$L1050^2),$M1050)))</f>
        <v/>
      </c>
      <c r="O1050">
        <f>IF($M1050="","",DEGREES(ATAN2($K1050,$L1050)))</f>
        <v/>
      </c>
      <c r="P1050">
        <f t="array" ref="P1050">IF($N1050="","",IFERROR(IF(INDEX(geo_grid!$B$2:$JU$231,INT(($N1050+40)/0.5)+1,INT(($O1050+30)/0.5)+1)="","",INDEX(geo_grid!$B$2:$JU$231,INT(($N1050+40)/0.5)+1,INT(($O1050+30)/0.5)+1)),"OUTSIDE GRID"))</f>
        <v/>
      </c>
      <c r="Q1050">
        <f>IF($P1050="","",$A1050*1000+$B1050)</f>
        <v/>
      </c>
    </row>
    <row r="1051">
      <c r="A1051">
        <f>INT((ROW()-2)/151)+1</f>
        <v/>
      </c>
      <c r="B1051">
        <f>MOD(ROW()-2,151)</f>
        <v/>
      </c>
      <c r="C1051">
        <f t="array" ref="C1051">IFERROR(INDEX('TRIP MANAGER'!$O$18:$O$25,$A1051),"")</f>
        <v/>
      </c>
      <c r="D1051">
        <f t="array" ref="D1051">IFERROR(INDEX('TRIP MANAGER'!$P$18:$P$25,$A1051),"")</f>
        <v/>
      </c>
      <c r="E1051">
        <f t="array" ref="E1051">IFERROR(INDEX('TRIP MANAGER'!$Q$18:$Q$25,$A1051),"")</f>
        <v/>
      </c>
      <c r="F1051">
        <f t="array" ref="F1051">IFERROR(INDEX('TRIP MANAGER'!$R$18:$R$25,$A1051),"")</f>
        <v/>
      </c>
      <c r="G1051">
        <f t="array" ref="G1051">IFERROR(INDEX('TRIP MANAGER'!$S$18:$S$25,$A1051),"")</f>
        <v/>
      </c>
      <c r="H1051">
        <f>$B1051/150</f>
        <v/>
      </c>
      <c r="I1051">
        <f>IF(OR($G1051="",$G1051=0),"",SIN((1-$H1051)*$G1051)/SIN($G1051))</f>
        <v/>
      </c>
      <c r="J1051">
        <f>IF($I1051="","",SIN($H1051*$G1051)/SIN($G1051))</f>
        <v/>
      </c>
      <c r="K1051">
        <f>IF($I1051="","",$I1051*COS(RADIANS($C1051))*COS(RADIANS($D1051))+$J1051*COS(RADIANS($E1051))*COS(RADIANS($F1051)))</f>
        <v/>
      </c>
      <c r="L1051">
        <f>IF($I1051="","",$I1051*COS(RADIANS($C1051))*SIN(RADIANS($D1051))+$J1051*COS(RADIANS($E1051))*SIN(RADIANS($F1051)))</f>
        <v/>
      </c>
      <c r="M1051">
        <f>IF($I1051="","",$I1051*SIN(RADIANS($C1051))+$J1051*SIN(RADIANS($E1051)))</f>
        <v/>
      </c>
      <c r="N1051">
        <f>IF($M1051="","",DEGREES(ATAN2(SQRT($K1051^2+$L1051^2),$M1051)))</f>
        <v/>
      </c>
      <c r="O1051">
        <f>IF($M1051="","",DEGREES(ATAN2($K1051,$L1051)))</f>
        <v/>
      </c>
      <c r="P1051">
        <f t="array" ref="P1051">IF($N1051="","",IFERROR(IF(INDEX(geo_grid!$B$2:$JU$231,INT(($N1051+40)/0.5)+1,INT(($O1051+30)/0.5)+1)="","",INDEX(geo_grid!$B$2:$JU$231,INT(($N1051+40)/0.5)+1,INT(($O1051+30)/0.5)+1)),"OUTSIDE GRID"))</f>
        <v/>
      </c>
      <c r="Q1051">
        <f>IF($P1051="","",$A1051*1000+$B1051)</f>
        <v/>
      </c>
    </row>
    <row r="1052">
      <c r="A1052">
        <f>INT((ROW()-2)/151)+1</f>
        <v/>
      </c>
      <c r="B1052">
        <f>MOD(ROW()-2,151)</f>
        <v/>
      </c>
      <c r="C1052">
        <f t="array" ref="C1052">IFERROR(INDEX('TRIP MANAGER'!$O$18:$O$25,$A1052),"")</f>
        <v/>
      </c>
      <c r="D1052">
        <f t="array" ref="D1052">IFERROR(INDEX('TRIP MANAGER'!$P$18:$P$25,$A1052),"")</f>
        <v/>
      </c>
      <c r="E1052">
        <f t="array" ref="E1052">IFERROR(INDEX('TRIP MANAGER'!$Q$18:$Q$25,$A1052),"")</f>
        <v/>
      </c>
      <c r="F1052">
        <f t="array" ref="F1052">IFERROR(INDEX('TRIP MANAGER'!$R$18:$R$25,$A1052),"")</f>
        <v/>
      </c>
      <c r="G1052">
        <f t="array" ref="G1052">IFERROR(INDEX('TRIP MANAGER'!$S$18:$S$25,$A1052),"")</f>
        <v/>
      </c>
      <c r="H1052">
        <f>$B1052/150</f>
        <v/>
      </c>
      <c r="I1052">
        <f>IF(OR($G1052="",$G1052=0),"",SIN((1-$H1052)*$G1052)/SIN($G1052))</f>
        <v/>
      </c>
      <c r="J1052">
        <f>IF($I1052="","",SIN($H1052*$G1052)/SIN($G1052))</f>
        <v/>
      </c>
      <c r="K1052">
        <f>IF($I1052="","",$I1052*COS(RADIANS($C1052))*COS(RADIANS($D1052))+$J1052*COS(RADIANS($E1052))*COS(RADIANS($F1052)))</f>
        <v/>
      </c>
      <c r="L1052">
        <f>IF($I1052="","",$I1052*COS(RADIANS($C1052))*SIN(RADIANS($D1052))+$J1052*COS(RADIANS($E1052))*SIN(RADIANS($F1052)))</f>
        <v/>
      </c>
      <c r="M1052">
        <f>IF($I1052="","",$I1052*SIN(RADIANS($C1052))+$J1052*SIN(RADIANS($E1052)))</f>
        <v/>
      </c>
      <c r="N1052">
        <f>IF($M1052="","",DEGREES(ATAN2(SQRT($K1052^2+$L1052^2),$M1052)))</f>
        <v/>
      </c>
      <c r="O1052">
        <f>IF($M1052="","",DEGREES(ATAN2($K1052,$L1052)))</f>
        <v/>
      </c>
      <c r="P1052">
        <f t="array" ref="P1052">IF($N1052="","",IFERROR(IF(INDEX(geo_grid!$B$2:$JU$231,INT(($N1052+40)/0.5)+1,INT(($O1052+30)/0.5)+1)="","",INDEX(geo_grid!$B$2:$JU$231,INT(($N1052+40)/0.5)+1,INT(($O1052+30)/0.5)+1)),"OUTSIDE GRID"))</f>
        <v/>
      </c>
      <c r="Q1052">
        <f>IF($P1052="","",$A1052*1000+$B1052)</f>
        <v/>
      </c>
    </row>
    <row r="1053">
      <c r="A1053">
        <f>INT((ROW()-2)/151)+1</f>
        <v/>
      </c>
      <c r="B1053">
        <f>MOD(ROW()-2,151)</f>
        <v/>
      </c>
      <c r="C1053">
        <f t="array" ref="C1053">IFERROR(INDEX('TRIP MANAGER'!$O$18:$O$25,$A1053),"")</f>
        <v/>
      </c>
      <c r="D1053">
        <f t="array" ref="D1053">IFERROR(INDEX('TRIP MANAGER'!$P$18:$P$25,$A1053),"")</f>
        <v/>
      </c>
      <c r="E1053">
        <f t="array" ref="E1053">IFERROR(INDEX('TRIP MANAGER'!$Q$18:$Q$25,$A1053),"")</f>
        <v/>
      </c>
      <c r="F1053">
        <f t="array" ref="F1053">IFERROR(INDEX('TRIP MANAGER'!$R$18:$R$25,$A1053),"")</f>
        <v/>
      </c>
      <c r="G1053">
        <f t="array" ref="G1053">IFERROR(INDEX('TRIP MANAGER'!$S$18:$S$25,$A1053),"")</f>
        <v/>
      </c>
      <c r="H1053">
        <f>$B1053/150</f>
        <v/>
      </c>
      <c r="I1053">
        <f>IF(OR($G1053="",$G1053=0),"",SIN((1-$H1053)*$G1053)/SIN($G1053))</f>
        <v/>
      </c>
      <c r="J1053">
        <f>IF($I1053="","",SIN($H1053*$G1053)/SIN($G1053))</f>
        <v/>
      </c>
      <c r="K1053">
        <f>IF($I1053="","",$I1053*COS(RADIANS($C1053))*COS(RADIANS($D1053))+$J1053*COS(RADIANS($E1053))*COS(RADIANS($F1053)))</f>
        <v/>
      </c>
      <c r="L1053">
        <f>IF($I1053="","",$I1053*COS(RADIANS($C1053))*SIN(RADIANS($D1053))+$J1053*COS(RADIANS($E1053))*SIN(RADIANS($F1053)))</f>
        <v/>
      </c>
      <c r="M1053">
        <f>IF($I1053="","",$I1053*SIN(RADIANS($C1053))+$J1053*SIN(RADIANS($E1053)))</f>
        <v/>
      </c>
      <c r="N1053">
        <f>IF($M1053="","",DEGREES(ATAN2(SQRT($K1053^2+$L1053^2),$M1053)))</f>
        <v/>
      </c>
      <c r="O1053">
        <f>IF($M1053="","",DEGREES(ATAN2($K1053,$L1053)))</f>
        <v/>
      </c>
      <c r="P1053">
        <f t="array" ref="P1053">IF($N1053="","",IFERROR(IF(INDEX(geo_grid!$B$2:$JU$231,INT(($N1053+40)/0.5)+1,INT(($O1053+30)/0.5)+1)="","",INDEX(geo_grid!$B$2:$JU$231,INT(($N1053+40)/0.5)+1,INT(($O1053+30)/0.5)+1)),"OUTSIDE GRID"))</f>
        <v/>
      </c>
      <c r="Q1053">
        <f>IF($P1053="","",$A1053*1000+$B1053)</f>
        <v/>
      </c>
    </row>
    <row r="1054">
      <c r="A1054">
        <f>INT((ROW()-2)/151)+1</f>
        <v/>
      </c>
      <c r="B1054">
        <f>MOD(ROW()-2,151)</f>
        <v/>
      </c>
      <c r="C1054">
        <f t="array" ref="C1054">IFERROR(INDEX('TRIP MANAGER'!$O$18:$O$25,$A1054),"")</f>
        <v/>
      </c>
      <c r="D1054">
        <f t="array" ref="D1054">IFERROR(INDEX('TRIP MANAGER'!$P$18:$P$25,$A1054),"")</f>
        <v/>
      </c>
      <c r="E1054">
        <f t="array" ref="E1054">IFERROR(INDEX('TRIP MANAGER'!$Q$18:$Q$25,$A1054),"")</f>
        <v/>
      </c>
      <c r="F1054">
        <f t="array" ref="F1054">IFERROR(INDEX('TRIP MANAGER'!$R$18:$R$25,$A1054),"")</f>
        <v/>
      </c>
      <c r="G1054">
        <f t="array" ref="G1054">IFERROR(INDEX('TRIP MANAGER'!$S$18:$S$25,$A1054),"")</f>
        <v/>
      </c>
      <c r="H1054">
        <f>$B1054/150</f>
        <v/>
      </c>
      <c r="I1054">
        <f>IF(OR($G1054="",$G1054=0),"",SIN((1-$H1054)*$G1054)/SIN($G1054))</f>
        <v/>
      </c>
      <c r="J1054">
        <f>IF($I1054="","",SIN($H1054*$G1054)/SIN($G1054))</f>
        <v/>
      </c>
      <c r="K1054">
        <f>IF($I1054="","",$I1054*COS(RADIANS($C1054))*COS(RADIANS($D1054))+$J1054*COS(RADIANS($E1054))*COS(RADIANS($F1054)))</f>
        <v/>
      </c>
      <c r="L1054">
        <f>IF($I1054="","",$I1054*COS(RADIANS($C1054))*SIN(RADIANS($D1054))+$J1054*COS(RADIANS($E1054))*SIN(RADIANS($F1054)))</f>
        <v/>
      </c>
      <c r="M1054">
        <f>IF($I1054="","",$I1054*SIN(RADIANS($C1054))+$J1054*SIN(RADIANS($E1054)))</f>
        <v/>
      </c>
      <c r="N1054">
        <f>IF($M1054="","",DEGREES(ATAN2(SQRT($K1054^2+$L1054^2),$M1054)))</f>
        <v/>
      </c>
      <c r="O1054">
        <f>IF($M1054="","",DEGREES(ATAN2($K1054,$L1054)))</f>
        <v/>
      </c>
      <c r="P1054">
        <f t="array" ref="P1054">IF($N1054="","",IFERROR(IF(INDEX(geo_grid!$B$2:$JU$231,INT(($N1054+40)/0.5)+1,INT(($O1054+30)/0.5)+1)="","",INDEX(geo_grid!$B$2:$JU$231,INT(($N1054+40)/0.5)+1,INT(($O1054+30)/0.5)+1)),"OUTSIDE GRID"))</f>
        <v/>
      </c>
      <c r="Q1054">
        <f>IF($P1054="","",$A1054*1000+$B1054)</f>
        <v/>
      </c>
    </row>
    <row r="1055">
      <c r="A1055">
        <f>INT((ROW()-2)/151)+1</f>
        <v/>
      </c>
      <c r="B1055">
        <f>MOD(ROW()-2,151)</f>
        <v/>
      </c>
      <c r="C1055">
        <f t="array" ref="C1055">IFERROR(INDEX('TRIP MANAGER'!$O$18:$O$25,$A1055),"")</f>
        <v/>
      </c>
      <c r="D1055">
        <f t="array" ref="D1055">IFERROR(INDEX('TRIP MANAGER'!$P$18:$P$25,$A1055),"")</f>
        <v/>
      </c>
      <c r="E1055">
        <f t="array" ref="E1055">IFERROR(INDEX('TRIP MANAGER'!$Q$18:$Q$25,$A1055),"")</f>
        <v/>
      </c>
      <c r="F1055">
        <f t="array" ref="F1055">IFERROR(INDEX('TRIP MANAGER'!$R$18:$R$25,$A1055),"")</f>
        <v/>
      </c>
      <c r="G1055">
        <f t="array" ref="G1055">IFERROR(INDEX('TRIP MANAGER'!$S$18:$S$25,$A1055),"")</f>
        <v/>
      </c>
      <c r="H1055">
        <f>$B1055/150</f>
        <v/>
      </c>
      <c r="I1055">
        <f>IF(OR($G1055="",$G1055=0),"",SIN((1-$H1055)*$G1055)/SIN($G1055))</f>
        <v/>
      </c>
      <c r="J1055">
        <f>IF($I1055="","",SIN($H1055*$G1055)/SIN($G1055))</f>
        <v/>
      </c>
      <c r="K1055">
        <f>IF($I1055="","",$I1055*COS(RADIANS($C1055))*COS(RADIANS($D1055))+$J1055*COS(RADIANS($E1055))*COS(RADIANS($F1055)))</f>
        <v/>
      </c>
      <c r="L1055">
        <f>IF($I1055="","",$I1055*COS(RADIANS($C1055))*SIN(RADIANS($D1055))+$J1055*COS(RADIANS($E1055))*SIN(RADIANS($F1055)))</f>
        <v/>
      </c>
      <c r="M1055">
        <f>IF($I1055="","",$I1055*SIN(RADIANS($C1055))+$J1055*SIN(RADIANS($E1055)))</f>
        <v/>
      </c>
      <c r="N1055">
        <f>IF($M1055="","",DEGREES(ATAN2(SQRT($K1055^2+$L1055^2),$M1055)))</f>
        <v/>
      </c>
      <c r="O1055">
        <f>IF($M1055="","",DEGREES(ATAN2($K1055,$L1055)))</f>
        <v/>
      </c>
      <c r="P1055">
        <f t="array" ref="P1055">IF($N1055="","",IFERROR(IF(INDEX(geo_grid!$B$2:$JU$231,INT(($N1055+40)/0.5)+1,INT(($O1055+30)/0.5)+1)="","",INDEX(geo_grid!$B$2:$JU$231,INT(($N1055+40)/0.5)+1,INT(($O1055+30)/0.5)+1)),"OUTSIDE GRID"))</f>
        <v/>
      </c>
      <c r="Q1055">
        <f>IF($P1055="","",$A1055*1000+$B1055)</f>
        <v/>
      </c>
    </row>
    <row r="1056">
      <c r="A1056">
        <f>INT((ROW()-2)/151)+1</f>
        <v/>
      </c>
      <c r="B1056">
        <f>MOD(ROW()-2,151)</f>
        <v/>
      </c>
      <c r="C1056">
        <f t="array" ref="C1056">IFERROR(INDEX('TRIP MANAGER'!$O$18:$O$25,$A1056),"")</f>
        <v/>
      </c>
      <c r="D1056">
        <f t="array" ref="D1056">IFERROR(INDEX('TRIP MANAGER'!$P$18:$P$25,$A1056),"")</f>
        <v/>
      </c>
      <c r="E1056">
        <f t="array" ref="E1056">IFERROR(INDEX('TRIP MANAGER'!$Q$18:$Q$25,$A1056),"")</f>
        <v/>
      </c>
      <c r="F1056">
        <f t="array" ref="F1056">IFERROR(INDEX('TRIP MANAGER'!$R$18:$R$25,$A1056),"")</f>
        <v/>
      </c>
      <c r="G1056">
        <f t="array" ref="G1056">IFERROR(INDEX('TRIP MANAGER'!$S$18:$S$25,$A1056),"")</f>
        <v/>
      </c>
      <c r="H1056">
        <f>$B1056/150</f>
        <v/>
      </c>
      <c r="I1056">
        <f>IF(OR($G1056="",$G1056=0),"",SIN((1-$H1056)*$G1056)/SIN($G1056))</f>
        <v/>
      </c>
      <c r="J1056">
        <f>IF($I1056="","",SIN($H1056*$G1056)/SIN($G1056))</f>
        <v/>
      </c>
      <c r="K1056">
        <f>IF($I1056="","",$I1056*COS(RADIANS($C1056))*COS(RADIANS($D1056))+$J1056*COS(RADIANS($E1056))*COS(RADIANS($F1056)))</f>
        <v/>
      </c>
      <c r="L1056">
        <f>IF($I1056="","",$I1056*COS(RADIANS($C1056))*SIN(RADIANS($D1056))+$J1056*COS(RADIANS($E1056))*SIN(RADIANS($F1056)))</f>
        <v/>
      </c>
      <c r="M1056">
        <f>IF($I1056="","",$I1056*SIN(RADIANS($C1056))+$J1056*SIN(RADIANS($E1056)))</f>
        <v/>
      </c>
      <c r="N1056">
        <f>IF($M1056="","",DEGREES(ATAN2(SQRT($K1056^2+$L1056^2),$M1056)))</f>
        <v/>
      </c>
      <c r="O1056">
        <f>IF($M1056="","",DEGREES(ATAN2($K1056,$L1056)))</f>
        <v/>
      </c>
      <c r="P1056">
        <f t="array" ref="P1056">IF($N1056="","",IFERROR(IF(INDEX(geo_grid!$B$2:$JU$231,INT(($N1056+40)/0.5)+1,INT(($O1056+30)/0.5)+1)="","",INDEX(geo_grid!$B$2:$JU$231,INT(($N1056+40)/0.5)+1,INT(($O1056+30)/0.5)+1)),"OUTSIDE GRID"))</f>
        <v/>
      </c>
      <c r="Q1056">
        <f>IF($P1056="","",$A1056*1000+$B1056)</f>
        <v/>
      </c>
    </row>
    <row r="1057">
      <c r="A1057">
        <f>INT((ROW()-2)/151)+1</f>
        <v/>
      </c>
      <c r="B1057">
        <f>MOD(ROW()-2,151)</f>
        <v/>
      </c>
      <c r="C1057">
        <f t="array" ref="C1057">IFERROR(INDEX('TRIP MANAGER'!$O$18:$O$25,$A1057),"")</f>
        <v/>
      </c>
      <c r="D1057">
        <f t="array" ref="D1057">IFERROR(INDEX('TRIP MANAGER'!$P$18:$P$25,$A1057),"")</f>
        <v/>
      </c>
      <c r="E1057">
        <f t="array" ref="E1057">IFERROR(INDEX('TRIP MANAGER'!$Q$18:$Q$25,$A1057),"")</f>
        <v/>
      </c>
      <c r="F1057">
        <f t="array" ref="F1057">IFERROR(INDEX('TRIP MANAGER'!$R$18:$R$25,$A1057),"")</f>
        <v/>
      </c>
      <c r="G1057">
        <f t="array" ref="G1057">IFERROR(INDEX('TRIP MANAGER'!$S$18:$S$25,$A1057),"")</f>
        <v/>
      </c>
      <c r="H1057">
        <f>$B1057/150</f>
        <v/>
      </c>
      <c r="I1057">
        <f>IF(OR($G1057="",$G1057=0),"",SIN((1-$H1057)*$G1057)/SIN($G1057))</f>
        <v/>
      </c>
      <c r="J1057">
        <f>IF($I1057="","",SIN($H1057*$G1057)/SIN($G1057))</f>
        <v/>
      </c>
      <c r="K1057">
        <f>IF($I1057="","",$I1057*COS(RADIANS($C1057))*COS(RADIANS($D1057))+$J1057*COS(RADIANS($E1057))*COS(RADIANS($F1057)))</f>
        <v/>
      </c>
      <c r="L1057">
        <f>IF($I1057="","",$I1057*COS(RADIANS($C1057))*SIN(RADIANS($D1057))+$J1057*COS(RADIANS($E1057))*SIN(RADIANS($F1057)))</f>
        <v/>
      </c>
      <c r="M1057">
        <f>IF($I1057="","",$I1057*SIN(RADIANS($C1057))+$J1057*SIN(RADIANS($E1057)))</f>
        <v/>
      </c>
      <c r="N1057">
        <f>IF($M1057="","",DEGREES(ATAN2(SQRT($K1057^2+$L1057^2),$M1057)))</f>
        <v/>
      </c>
      <c r="O1057">
        <f>IF($M1057="","",DEGREES(ATAN2($K1057,$L1057)))</f>
        <v/>
      </c>
      <c r="P1057">
        <f t="array" ref="P1057">IF($N1057="","",IFERROR(IF(INDEX(geo_grid!$B$2:$JU$231,INT(($N1057+40)/0.5)+1,INT(($O1057+30)/0.5)+1)="","",INDEX(geo_grid!$B$2:$JU$231,INT(($N1057+40)/0.5)+1,INT(($O1057+30)/0.5)+1)),"OUTSIDE GRID"))</f>
        <v/>
      </c>
      <c r="Q1057">
        <f>IF($P1057="","",$A1057*1000+$B1057)</f>
        <v/>
      </c>
    </row>
    <row r="1058">
      <c r="A1058">
        <f>INT((ROW()-2)/151)+1</f>
        <v/>
      </c>
      <c r="B1058">
        <f>MOD(ROW()-2,151)</f>
        <v/>
      </c>
      <c r="C1058">
        <f t="array" ref="C1058">IFERROR(INDEX('TRIP MANAGER'!$O$18:$O$25,$A1058),"")</f>
        <v/>
      </c>
      <c r="D1058">
        <f t="array" ref="D1058">IFERROR(INDEX('TRIP MANAGER'!$P$18:$P$25,$A1058),"")</f>
        <v/>
      </c>
      <c r="E1058">
        <f t="array" ref="E1058">IFERROR(INDEX('TRIP MANAGER'!$Q$18:$Q$25,$A1058),"")</f>
        <v/>
      </c>
      <c r="F1058">
        <f t="array" ref="F1058">IFERROR(INDEX('TRIP MANAGER'!$R$18:$R$25,$A1058),"")</f>
        <v/>
      </c>
      <c r="G1058">
        <f t="array" ref="G1058">IFERROR(INDEX('TRIP MANAGER'!$S$18:$S$25,$A1058),"")</f>
        <v/>
      </c>
      <c r="H1058">
        <f>$B1058/150</f>
        <v/>
      </c>
      <c r="I1058">
        <f>IF(OR($G1058="",$G1058=0),"",SIN((1-$H1058)*$G1058)/SIN($G1058))</f>
        <v/>
      </c>
      <c r="J1058">
        <f>IF($I1058="","",SIN($H1058*$G1058)/SIN($G1058))</f>
        <v/>
      </c>
      <c r="K1058">
        <f>IF($I1058="","",$I1058*COS(RADIANS($C1058))*COS(RADIANS($D1058))+$J1058*COS(RADIANS($E1058))*COS(RADIANS($F1058)))</f>
        <v/>
      </c>
      <c r="L1058">
        <f>IF($I1058="","",$I1058*COS(RADIANS($C1058))*SIN(RADIANS($D1058))+$J1058*COS(RADIANS($E1058))*SIN(RADIANS($F1058)))</f>
        <v/>
      </c>
      <c r="M1058">
        <f>IF($I1058="","",$I1058*SIN(RADIANS($C1058))+$J1058*SIN(RADIANS($E1058)))</f>
        <v/>
      </c>
      <c r="N1058">
        <f>IF($M1058="","",DEGREES(ATAN2(SQRT($K1058^2+$L1058^2),$M1058)))</f>
        <v/>
      </c>
      <c r="O1058">
        <f>IF($M1058="","",DEGREES(ATAN2($K1058,$L1058)))</f>
        <v/>
      </c>
      <c r="P1058">
        <f t="array" ref="P1058">IF($N1058="","",IFERROR(IF(INDEX(geo_grid!$B$2:$JU$231,INT(($N1058+40)/0.5)+1,INT(($O1058+30)/0.5)+1)="","",INDEX(geo_grid!$B$2:$JU$231,INT(($N1058+40)/0.5)+1,INT(($O1058+30)/0.5)+1)),"OUTSIDE GRID"))</f>
        <v/>
      </c>
      <c r="Q1058">
        <f>IF($P1058="","",$A1058*1000+$B1058)</f>
        <v/>
      </c>
    </row>
    <row r="1059">
      <c r="A1059">
        <f>INT((ROW()-2)/151)+1</f>
        <v/>
      </c>
      <c r="B1059">
        <f>MOD(ROW()-2,151)</f>
        <v/>
      </c>
      <c r="C1059">
        <f t="array" ref="C1059">IFERROR(INDEX('TRIP MANAGER'!$O$18:$O$25,$A1059),"")</f>
        <v/>
      </c>
      <c r="D1059">
        <f t="array" ref="D1059">IFERROR(INDEX('TRIP MANAGER'!$P$18:$P$25,$A1059),"")</f>
        <v/>
      </c>
      <c r="E1059">
        <f t="array" ref="E1059">IFERROR(INDEX('TRIP MANAGER'!$Q$18:$Q$25,$A1059),"")</f>
        <v/>
      </c>
      <c r="F1059">
        <f t="array" ref="F1059">IFERROR(INDEX('TRIP MANAGER'!$R$18:$R$25,$A1059),"")</f>
        <v/>
      </c>
      <c r="G1059">
        <f t="array" ref="G1059">IFERROR(INDEX('TRIP MANAGER'!$S$18:$S$25,$A1059),"")</f>
        <v/>
      </c>
      <c r="H1059">
        <f>$B1059/150</f>
        <v/>
      </c>
      <c r="I1059">
        <f>IF(OR($G1059="",$G1059=0),"",SIN((1-$H1059)*$G1059)/SIN($G1059))</f>
        <v/>
      </c>
      <c r="J1059">
        <f>IF($I1059="","",SIN($H1059*$G1059)/SIN($G1059))</f>
        <v/>
      </c>
      <c r="K1059">
        <f>IF($I1059="","",$I1059*COS(RADIANS($C1059))*COS(RADIANS($D1059))+$J1059*COS(RADIANS($E1059))*COS(RADIANS($F1059)))</f>
        <v/>
      </c>
      <c r="L1059">
        <f>IF($I1059="","",$I1059*COS(RADIANS($C1059))*SIN(RADIANS($D1059))+$J1059*COS(RADIANS($E1059))*SIN(RADIANS($F1059)))</f>
        <v/>
      </c>
      <c r="M1059">
        <f>IF($I1059="","",$I1059*SIN(RADIANS($C1059))+$J1059*SIN(RADIANS($E1059)))</f>
        <v/>
      </c>
      <c r="N1059">
        <f>IF($M1059="","",DEGREES(ATAN2(SQRT($K1059^2+$L1059^2),$M1059)))</f>
        <v/>
      </c>
      <c r="O1059">
        <f>IF($M1059="","",DEGREES(ATAN2($K1059,$L1059)))</f>
        <v/>
      </c>
      <c r="P1059">
        <f t="array" ref="P1059">IF($N1059="","",IFERROR(IF(INDEX(geo_grid!$B$2:$JU$231,INT(($N1059+40)/0.5)+1,INT(($O1059+30)/0.5)+1)="","",INDEX(geo_grid!$B$2:$JU$231,INT(($N1059+40)/0.5)+1,INT(($O1059+30)/0.5)+1)),"OUTSIDE GRID"))</f>
        <v/>
      </c>
      <c r="Q1059">
        <f>IF($P1059="","",$A1059*1000+$B1059)</f>
        <v/>
      </c>
    </row>
    <row r="1060">
      <c r="A1060">
        <f>INT((ROW()-2)/151)+1</f>
        <v/>
      </c>
      <c r="B1060">
        <f>MOD(ROW()-2,151)</f>
        <v/>
      </c>
      <c r="C1060">
        <f t="array" ref="C1060">IFERROR(INDEX('TRIP MANAGER'!$O$18:$O$25,$A1060),"")</f>
        <v/>
      </c>
      <c r="D1060">
        <f t="array" ref="D1060">IFERROR(INDEX('TRIP MANAGER'!$P$18:$P$25,$A1060),"")</f>
        <v/>
      </c>
      <c r="E1060">
        <f t="array" ref="E1060">IFERROR(INDEX('TRIP MANAGER'!$Q$18:$Q$25,$A1060),"")</f>
        <v/>
      </c>
      <c r="F1060">
        <f t="array" ref="F1060">IFERROR(INDEX('TRIP MANAGER'!$R$18:$R$25,$A1060),"")</f>
        <v/>
      </c>
      <c r="G1060">
        <f t="array" ref="G1060">IFERROR(INDEX('TRIP MANAGER'!$S$18:$S$25,$A1060),"")</f>
        <v/>
      </c>
      <c r="H1060">
        <f>$B1060/150</f>
        <v/>
      </c>
      <c r="I1060">
        <f>IF(OR($G1060="",$G1060=0),"",SIN((1-$H1060)*$G1060)/SIN($G1060))</f>
        <v/>
      </c>
      <c r="J1060">
        <f>IF($I1060="","",SIN($H1060*$G1060)/SIN($G1060))</f>
        <v/>
      </c>
      <c r="K1060">
        <f>IF($I1060="","",$I1060*COS(RADIANS($C1060))*COS(RADIANS($D1060))+$J1060*COS(RADIANS($E1060))*COS(RADIANS($F1060)))</f>
        <v/>
      </c>
      <c r="L1060">
        <f>IF($I1060="","",$I1060*COS(RADIANS($C1060))*SIN(RADIANS($D1060))+$J1060*COS(RADIANS($E1060))*SIN(RADIANS($F1060)))</f>
        <v/>
      </c>
      <c r="M1060">
        <f>IF($I1060="","",$I1060*SIN(RADIANS($C1060))+$J1060*SIN(RADIANS($E1060)))</f>
        <v/>
      </c>
      <c r="N1060">
        <f>IF($M1060="","",DEGREES(ATAN2(SQRT($K1060^2+$L1060^2),$M1060)))</f>
        <v/>
      </c>
      <c r="O1060">
        <f>IF($M1060="","",DEGREES(ATAN2($K1060,$L1060)))</f>
        <v/>
      </c>
      <c r="P1060">
        <f t="array" ref="P1060">IF($N1060="","",IFERROR(IF(INDEX(geo_grid!$B$2:$JU$231,INT(($N1060+40)/0.5)+1,INT(($O1060+30)/0.5)+1)="","",INDEX(geo_grid!$B$2:$JU$231,INT(($N1060+40)/0.5)+1,INT(($O1060+30)/0.5)+1)),"OUTSIDE GRID"))</f>
        <v/>
      </c>
      <c r="Q1060">
        <f>IF($P1060="","",$A1060*1000+$B1060)</f>
        <v/>
      </c>
    </row>
    <row r="1061">
      <c r="A1061">
        <f>INT((ROW()-2)/151)+1</f>
        <v/>
      </c>
      <c r="B1061">
        <f>MOD(ROW()-2,151)</f>
        <v/>
      </c>
      <c r="C1061">
        <f t="array" ref="C1061">IFERROR(INDEX('TRIP MANAGER'!$O$18:$O$25,$A1061),"")</f>
        <v/>
      </c>
      <c r="D1061">
        <f t="array" ref="D1061">IFERROR(INDEX('TRIP MANAGER'!$P$18:$P$25,$A1061),"")</f>
        <v/>
      </c>
      <c r="E1061">
        <f t="array" ref="E1061">IFERROR(INDEX('TRIP MANAGER'!$Q$18:$Q$25,$A1061),"")</f>
        <v/>
      </c>
      <c r="F1061">
        <f t="array" ref="F1061">IFERROR(INDEX('TRIP MANAGER'!$R$18:$R$25,$A1061),"")</f>
        <v/>
      </c>
      <c r="G1061">
        <f t="array" ref="G1061">IFERROR(INDEX('TRIP MANAGER'!$S$18:$S$25,$A1061),"")</f>
        <v/>
      </c>
      <c r="H1061">
        <f>$B1061/150</f>
        <v/>
      </c>
      <c r="I1061">
        <f>IF(OR($G1061="",$G1061=0),"",SIN((1-$H1061)*$G1061)/SIN($G1061))</f>
        <v/>
      </c>
      <c r="J1061">
        <f>IF($I1061="","",SIN($H1061*$G1061)/SIN($G1061))</f>
        <v/>
      </c>
      <c r="K1061">
        <f>IF($I1061="","",$I1061*COS(RADIANS($C1061))*COS(RADIANS($D1061))+$J1061*COS(RADIANS($E1061))*COS(RADIANS($F1061)))</f>
        <v/>
      </c>
      <c r="L1061">
        <f>IF($I1061="","",$I1061*COS(RADIANS($C1061))*SIN(RADIANS($D1061))+$J1061*COS(RADIANS($E1061))*SIN(RADIANS($F1061)))</f>
        <v/>
      </c>
      <c r="M1061">
        <f>IF($I1061="","",$I1061*SIN(RADIANS($C1061))+$J1061*SIN(RADIANS($E1061)))</f>
        <v/>
      </c>
      <c r="N1061">
        <f>IF($M1061="","",DEGREES(ATAN2(SQRT($K1061^2+$L1061^2),$M1061)))</f>
        <v/>
      </c>
      <c r="O1061">
        <f>IF($M1061="","",DEGREES(ATAN2($K1061,$L1061)))</f>
        <v/>
      </c>
      <c r="P1061">
        <f t="array" ref="P1061">IF($N1061="","",IFERROR(IF(INDEX(geo_grid!$B$2:$JU$231,INT(($N1061+40)/0.5)+1,INT(($O1061+30)/0.5)+1)="","",INDEX(geo_grid!$B$2:$JU$231,INT(($N1061+40)/0.5)+1,INT(($O1061+30)/0.5)+1)),"OUTSIDE GRID"))</f>
        <v/>
      </c>
      <c r="Q1061">
        <f>IF($P1061="","",$A1061*1000+$B1061)</f>
        <v/>
      </c>
    </row>
    <row r="1062">
      <c r="A1062">
        <f>INT((ROW()-2)/151)+1</f>
        <v/>
      </c>
      <c r="B1062">
        <f>MOD(ROW()-2,151)</f>
        <v/>
      </c>
      <c r="C1062">
        <f t="array" ref="C1062">IFERROR(INDEX('TRIP MANAGER'!$O$18:$O$25,$A1062),"")</f>
        <v/>
      </c>
      <c r="D1062">
        <f t="array" ref="D1062">IFERROR(INDEX('TRIP MANAGER'!$P$18:$P$25,$A1062),"")</f>
        <v/>
      </c>
      <c r="E1062">
        <f t="array" ref="E1062">IFERROR(INDEX('TRIP MANAGER'!$Q$18:$Q$25,$A1062),"")</f>
        <v/>
      </c>
      <c r="F1062">
        <f t="array" ref="F1062">IFERROR(INDEX('TRIP MANAGER'!$R$18:$R$25,$A1062),"")</f>
        <v/>
      </c>
      <c r="G1062">
        <f t="array" ref="G1062">IFERROR(INDEX('TRIP MANAGER'!$S$18:$S$25,$A1062),"")</f>
        <v/>
      </c>
      <c r="H1062">
        <f>$B1062/150</f>
        <v/>
      </c>
      <c r="I1062">
        <f>IF(OR($G1062="",$G1062=0),"",SIN((1-$H1062)*$G1062)/SIN($G1062))</f>
        <v/>
      </c>
      <c r="J1062">
        <f>IF($I1062="","",SIN($H1062*$G1062)/SIN($G1062))</f>
        <v/>
      </c>
      <c r="K1062">
        <f>IF($I1062="","",$I1062*COS(RADIANS($C1062))*COS(RADIANS($D1062))+$J1062*COS(RADIANS($E1062))*COS(RADIANS($F1062)))</f>
        <v/>
      </c>
      <c r="L1062">
        <f>IF($I1062="","",$I1062*COS(RADIANS($C1062))*SIN(RADIANS($D1062))+$J1062*COS(RADIANS($E1062))*SIN(RADIANS($F1062)))</f>
        <v/>
      </c>
      <c r="M1062">
        <f>IF($I1062="","",$I1062*SIN(RADIANS($C1062))+$J1062*SIN(RADIANS($E1062)))</f>
        <v/>
      </c>
      <c r="N1062">
        <f>IF($M1062="","",DEGREES(ATAN2(SQRT($K1062^2+$L1062^2),$M1062)))</f>
        <v/>
      </c>
      <c r="O1062">
        <f>IF($M1062="","",DEGREES(ATAN2($K1062,$L1062)))</f>
        <v/>
      </c>
      <c r="P1062">
        <f t="array" ref="P1062">IF($N1062="","",IFERROR(IF(INDEX(geo_grid!$B$2:$JU$231,INT(($N1062+40)/0.5)+1,INT(($O1062+30)/0.5)+1)="","",INDEX(geo_grid!$B$2:$JU$231,INT(($N1062+40)/0.5)+1,INT(($O1062+30)/0.5)+1)),"OUTSIDE GRID"))</f>
        <v/>
      </c>
      <c r="Q1062">
        <f>IF($P1062="","",$A1062*1000+$B1062)</f>
        <v/>
      </c>
    </row>
    <row r="1063">
      <c r="A1063">
        <f>INT((ROW()-2)/151)+1</f>
        <v/>
      </c>
      <c r="B1063">
        <f>MOD(ROW()-2,151)</f>
        <v/>
      </c>
      <c r="C1063">
        <f t="array" ref="C1063">IFERROR(INDEX('TRIP MANAGER'!$O$18:$O$25,$A1063),"")</f>
        <v/>
      </c>
      <c r="D1063">
        <f t="array" ref="D1063">IFERROR(INDEX('TRIP MANAGER'!$P$18:$P$25,$A1063),"")</f>
        <v/>
      </c>
      <c r="E1063">
        <f t="array" ref="E1063">IFERROR(INDEX('TRIP MANAGER'!$Q$18:$Q$25,$A1063),"")</f>
        <v/>
      </c>
      <c r="F1063">
        <f t="array" ref="F1063">IFERROR(INDEX('TRIP MANAGER'!$R$18:$R$25,$A1063),"")</f>
        <v/>
      </c>
      <c r="G1063">
        <f t="array" ref="G1063">IFERROR(INDEX('TRIP MANAGER'!$S$18:$S$25,$A1063),"")</f>
        <v/>
      </c>
      <c r="H1063">
        <f>$B1063/150</f>
        <v/>
      </c>
      <c r="I1063">
        <f>IF(OR($G1063="",$G1063=0),"",SIN((1-$H1063)*$G1063)/SIN($G1063))</f>
        <v/>
      </c>
      <c r="J1063">
        <f>IF($I1063="","",SIN($H1063*$G1063)/SIN($G1063))</f>
        <v/>
      </c>
      <c r="K1063">
        <f>IF($I1063="","",$I1063*COS(RADIANS($C1063))*COS(RADIANS($D1063))+$J1063*COS(RADIANS($E1063))*COS(RADIANS($F1063)))</f>
        <v/>
      </c>
      <c r="L1063">
        <f>IF($I1063="","",$I1063*COS(RADIANS($C1063))*SIN(RADIANS($D1063))+$J1063*COS(RADIANS($E1063))*SIN(RADIANS($F1063)))</f>
        <v/>
      </c>
      <c r="M1063">
        <f>IF($I1063="","",$I1063*SIN(RADIANS($C1063))+$J1063*SIN(RADIANS($E1063)))</f>
        <v/>
      </c>
      <c r="N1063">
        <f>IF($M1063="","",DEGREES(ATAN2(SQRT($K1063^2+$L1063^2),$M1063)))</f>
        <v/>
      </c>
      <c r="O1063">
        <f>IF($M1063="","",DEGREES(ATAN2($K1063,$L1063)))</f>
        <v/>
      </c>
      <c r="P1063">
        <f t="array" ref="P1063">IF($N1063="","",IFERROR(IF(INDEX(geo_grid!$B$2:$JU$231,INT(($N1063+40)/0.5)+1,INT(($O1063+30)/0.5)+1)="","",INDEX(geo_grid!$B$2:$JU$231,INT(($N1063+40)/0.5)+1,INT(($O1063+30)/0.5)+1)),"OUTSIDE GRID"))</f>
        <v/>
      </c>
      <c r="Q1063">
        <f>IF($P1063="","",$A1063*1000+$B1063)</f>
        <v/>
      </c>
    </row>
    <row r="1064">
      <c r="A1064">
        <f>INT((ROW()-2)/151)+1</f>
        <v/>
      </c>
      <c r="B1064">
        <f>MOD(ROW()-2,151)</f>
        <v/>
      </c>
      <c r="C1064">
        <f t="array" ref="C1064">IFERROR(INDEX('TRIP MANAGER'!$O$18:$O$25,$A1064),"")</f>
        <v/>
      </c>
      <c r="D1064">
        <f t="array" ref="D1064">IFERROR(INDEX('TRIP MANAGER'!$P$18:$P$25,$A1064),"")</f>
        <v/>
      </c>
      <c r="E1064">
        <f t="array" ref="E1064">IFERROR(INDEX('TRIP MANAGER'!$Q$18:$Q$25,$A1064),"")</f>
        <v/>
      </c>
      <c r="F1064">
        <f t="array" ref="F1064">IFERROR(INDEX('TRIP MANAGER'!$R$18:$R$25,$A1064),"")</f>
        <v/>
      </c>
      <c r="G1064">
        <f t="array" ref="G1064">IFERROR(INDEX('TRIP MANAGER'!$S$18:$S$25,$A1064),"")</f>
        <v/>
      </c>
      <c r="H1064">
        <f>$B1064/150</f>
        <v/>
      </c>
      <c r="I1064">
        <f>IF(OR($G1064="",$G1064=0),"",SIN((1-$H1064)*$G1064)/SIN($G1064))</f>
        <v/>
      </c>
      <c r="J1064">
        <f>IF($I1064="","",SIN($H1064*$G1064)/SIN($G1064))</f>
        <v/>
      </c>
      <c r="K1064">
        <f>IF($I1064="","",$I1064*COS(RADIANS($C1064))*COS(RADIANS($D1064))+$J1064*COS(RADIANS($E1064))*COS(RADIANS($F1064)))</f>
        <v/>
      </c>
      <c r="L1064">
        <f>IF($I1064="","",$I1064*COS(RADIANS($C1064))*SIN(RADIANS($D1064))+$J1064*COS(RADIANS($E1064))*SIN(RADIANS($F1064)))</f>
        <v/>
      </c>
      <c r="M1064">
        <f>IF($I1064="","",$I1064*SIN(RADIANS($C1064))+$J1064*SIN(RADIANS($E1064)))</f>
        <v/>
      </c>
      <c r="N1064">
        <f>IF($M1064="","",DEGREES(ATAN2(SQRT($K1064^2+$L1064^2),$M1064)))</f>
        <v/>
      </c>
      <c r="O1064">
        <f>IF($M1064="","",DEGREES(ATAN2($K1064,$L1064)))</f>
        <v/>
      </c>
      <c r="P1064">
        <f t="array" ref="P1064">IF($N1064="","",IFERROR(IF(INDEX(geo_grid!$B$2:$JU$231,INT(($N1064+40)/0.5)+1,INT(($O1064+30)/0.5)+1)="","",INDEX(geo_grid!$B$2:$JU$231,INT(($N1064+40)/0.5)+1,INT(($O1064+30)/0.5)+1)),"OUTSIDE GRID"))</f>
        <v/>
      </c>
      <c r="Q1064">
        <f>IF($P1064="","",$A1064*1000+$B1064)</f>
        <v/>
      </c>
    </row>
    <row r="1065">
      <c r="A1065">
        <f>INT((ROW()-2)/151)+1</f>
        <v/>
      </c>
      <c r="B1065">
        <f>MOD(ROW()-2,151)</f>
        <v/>
      </c>
      <c r="C1065">
        <f t="array" ref="C1065">IFERROR(INDEX('TRIP MANAGER'!$O$18:$O$25,$A1065),"")</f>
        <v/>
      </c>
      <c r="D1065">
        <f t="array" ref="D1065">IFERROR(INDEX('TRIP MANAGER'!$P$18:$P$25,$A1065),"")</f>
        <v/>
      </c>
      <c r="E1065">
        <f t="array" ref="E1065">IFERROR(INDEX('TRIP MANAGER'!$Q$18:$Q$25,$A1065),"")</f>
        <v/>
      </c>
      <c r="F1065">
        <f t="array" ref="F1065">IFERROR(INDEX('TRIP MANAGER'!$R$18:$R$25,$A1065),"")</f>
        <v/>
      </c>
      <c r="G1065">
        <f t="array" ref="G1065">IFERROR(INDEX('TRIP MANAGER'!$S$18:$S$25,$A1065),"")</f>
        <v/>
      </c>
      <c r="H1065">
        <f>$B1065/150</f>
        <v/>
      </c>
      <c r="I1065">
        <f>IF(OR($G1065="",$G1065=0),"",SIN((1-$H1065)*$G1065)/SIN($G1065))</f>
        <v/>
      </c>
      <c r="J1065">
        <f>IF($I1065="","",SIN($H1065*$G1065)/SIN($G1065))</f>
        <v/>
      </c>
      <c r="K1065">
        <f>IF($I1065="","",$I1065*COS(RADIANS($C1065))*COS(RADIANS($D1065))+$J1065*COS(RADIANS($E1065))*COS(RADIANS($F1065)))</f>
        <v/>
      </c>
      <c r="L1065">
        <f>IF($I1065="","",$I1065*COS(RADIANS($C1065))*SIN(RADIANS($D1065))+$J1065*COS(RADIANS($E1065))*SIN(RADIANS($F1065)))</f>
        <v/>
      </c>
      <c r="M1065">
        <f>IF($I1065="","",$I1065*SIN(RADIANS($C1065))+$J1065*SIN(RADIANS($E1065)))</f>
        <v/>
      </c>
      <c r="N1065">
        <f>IF($M1065="","",DEGREES(ATAN2(SQRT($K1065^2+$L1065^2),$M1065)))</f>
        <v/>
      </c>
      <c r="O1065">
        <f>IF($M1065="","",DEGREES(ATAN2($K1065,$L1065)))</f>
        <v/>
      </c>
      <c r="P1065">
        <f t="array" ref="P1065">IF($N1065="","",IFERROR(IF(INDEX(geo_grid!$B$2:$JU$231,INT(($N1065+40)/0.5)+1,INT(($O1065+30)/0.5)+1)="","",INDEX(geo_grid!$B$2:$JU$231,INT(($N1065+40)/0.5)+1,INT(($O1065+30)/0.5)+1)),"OUTSIDE GRID"))</f>
        <v/>
      </c>
      <c r="Q1065">
        <f>IF($P1065="","",$A1065*1000+$B1065)</f>
        <v/>
      </c>
    </row>
    <row r="1066">
      <c r="A1066">
        <f>INT((ROW()-2)/151)+1</f>
        <v/>
      </c>
      <c r="B1066">
        <f>MOD(ROW()-2,151)</f>
        <v/>
      </c>
      <c r="C1066">
        <f t="array" ref="C1066">IFERROR(INDEX('TRIP MANAGER'!$O$18:$O$25,$A1066),"")</f>
        <v/>
      </c>
      <c r="D1066">
        <f t="array" ref="D1066">IFERROR(INDEX('TRIP MANAGER'!$P$18:$P$25,$A1066),"")</f>
        <v/>
      </c>
      <c r="E1066">
        <f t="array" ref="E1066">IFERROR(INDEX('TRIP MANAGER'!$Q$18:$Q$25,$A1066),"")</f>
        <v/>
      </c>
      <c r="F1066">
        <f t="array" ref="F1066">IFERROR(INDEX('TRIP MANAGER'!$R$18:$R$25,$A1066),"")</f>
        <v/>
      </c>
      <c r="G1066">
        <f t="array" ref="G1066">IFERROR(INDEX('TRIP MANAGER'!$S$18:$S$25,$A1066),"")</f>
        <v/>
      </c>
      <c r="H1066">
        <f>$B1066/150</f>
        <v/>
      </c>
      <c r="I1066">
        <f>IF(OR($G1066="",$G1066=0),"",SIN((1-$H1066)*$G1066)/SIN($G1066))</f>
        <v/>
      </c>
      <c r="J1066">
        <f>IF($I1066="","",SIN($H1066*$G1066)/SIN($G1066))</f>
        <v/>
      </c>
      <c r="K1066">
        <f>IF($I1066="","",$I1066*COS(RADIANS($C1066))*COS(RADIANS($D1066))+$J1066*COS(RADIANS($E1066))*COS(RADIANS($F1066)))</f>
        <v/>
      </c>
      <c r="L1066">
        <f>IF($I1066="","",$I1066*COS(RADIANS($C1066))*SIN(RADIANS($D1066))+$J1066*COS(RADIANS($E1066))*SIN(RADIANS($F1066)))</f>
        <v/>
      </c>
      <c r="M1066">
        <f>IF($I1066="","",$I1066*SIN(RADIANS($C1066))+$J1066*SIN(RADIANS($E1066)))</f>
        <v/>
      </c>
      <c r="N1066">
        <f>IF($M1066="","",DEGREES(ATAN2(SQRT($K1066^2+$L1066^2),$M1066)))</f>
        <v/>
      </c>
      <c r="O1066">
        <f>IF($M1066="","",DEGREES(ATAN2($K1066,$L1066)))</f>
        <v/>
      </c>
      <c r="P1066">
        <f t="array" ref="P1066">IF($N1066="","",IFERROR(IF(INDEX(geo_grid!$B$2:$JU$231,INT(($N1066+40)/0.5)+1,INT(($O1066+30)/0.5)+1)="","",INDEX(geo_grid!$B$2:$JU$231,INT(($N1066+40)/0.5)+1,INT(($O1066+30)/0.5)+1)),"OUTSIDE GRID"))</f>
        <v/>
      </c>
      <c r="Q1066">
        <f>IF($P1066="","",$A1066*1000+$B1066)</f>
        <v/>
      </c>
    </row>
    <row r="1067">
      <c r="A1067">
        <f>INT((ROW()-2)/151)+1</f>
        <v/>
      </c>
      <c r="B1067">
        <f>MOD(ROW()-2,151)</f>
        <v/>
      </c>
      <c r="C1067">
        <f t="array" ref="C1067">IFERROR(INDEX('TRIP MANAGER'!$O$18:$O$25,$A1067),"")</f>
        <v/>
      </c>
      <c r="D1067">
        <f t="array" ref="D1067">IFERROR(INDEX('TRIP MANAGER'!$P$18:$P$25,$A1067),"")</f>
        <v/>
      </c>
      <c r="E1067">
        <f t="array" ref="E1067">IFERROR(INDEX('TRIP MANAGER'!$Q$18:$Q$25,$A1067),"")</f>
        <v/>
      </c>
      <c r="F1067">
        <f t="array" ref="F1067">IFERROR(INDEX('TRIP MANAGER'!$R$18:$R$25,$A1067),"")</f>
        <v/>
      </c>
      <c r="G1067">
        <f t="array" ref="G1067">IFERROR(INDEX('TRIP MANAGER'!$S$18:$S$25,$A1067),"")</f>
        <v/>
      </c>
      <c r="H1067">
        <f>$B1067/150</f>
        <v/>
      </c>
      <c r="I1067">
        <f>IF(OR($G1067="",$G1067=0),"",SIN((1-$H1067)*$G1067)/SIN($G1067))</f>
        <v/>
      </c>
      <c r="J1067">
        <f>IF($I1067="","",SIN($H1067*$G1067)/SIN($G1067))</f>
        <v/>
      </c>
      <c r="K1067">
        <f>IF($I1067="","",$I1067*COS(RADIANS($C1067))*COS(RADIANS($D1067))+$J1067*COS(RADIANS($E1067))*COS(RADIANS($F1067)))</f>
        <v/>
      </c>
      <c r="L1067">
        <f>IF($I1067="","",$I1067*COS(RADIANS($C1067))*SIN(RADIANS($D1067))+$J1067*COS(RADIANS($E1067))*SIN(RADIANS($F1067)))</f>
        <v/>
      </c>
      <c r="M1067">
        <f>IF($I1067="","",$I1067*SIN(RADIANS($C1067))+$J1067*SIN(RADIANS($E1067)))</f>
        <v/>
      </c>
      <c r="N1067">
        <f>IF($M1067="","",DEGREES(ATAN2(SQRT($K1067^2+$L1067^2),$M1067)))</f>
        <v/>
      </c>
      <c r="O1067">
        <f>IF($M1067="","",DEGREES(ATAN2($K1067,$L1067)))</f>
        <v/>
      </c>
      <c r="P1067">
        <f t="array" ref="P1067">IF($N1067="","",IFERROR(IF(INDEX(geo_grid!$B$2:$JU$231,INT(($N1067+40)/0.5)+1,INT(($O1067+30)/0.5)+1)="","",INDEX(geo_grid!$B$2:$JU$231,INT(($N1067+40)/0.5)+1,INT(($O1067+30)/0.5)+1)),"OUTSIDE GRID"))</f>
        <v/>
      </c>
      <c r="Q1067">
        <f>IF($P1067="","",$A1067*1000+$B1067)</f>
        <v/>
      </c>
    </row>
    <row r="1068">
      <c r="A1068">
        <f>INT((ROW()-2)/151)+1</f>
        <v/>
      </c>
      <c r="B1068">
        <f>MOD(ROW()-2,151)</f>
        <v/>
      </c>
      <c r="C1068">
        <f t="array" ref="C1068">IFERROR(INDEX('TRIP MANAGER'!$O$18:$O$25,$A1068),"")</f>
        <v/>
      </c>
      <c r="D1068">
        <f t="array" ref="D1068">IFERROR(INDEX('TRIP MANAGER'!$P$18:$P$25,$A1068),"")</f>
        <v/>
      </c>
      <c r="E1068">
        <f t="array" ref="E1068">IFERROR(INDEX('TRIP MANAGER'!$Q$18:$Q$25,$A1068),"")</f>
        <v/>
      </c>
      <c r="F1068">
        <f t="array" ref="F1068">IFERROR(INDEX('TRIP MANAGER'!$R$18:$R$25,$A1068),"")</f>
        <v/>
      </c>
      <c r="G1068">
        <f t="array" ref="G1068">IFERROR(INDEX('TRIP MANAGER'!$S$18:$S$25,$A1068),"")</f>
        <v/>
      </c>
      <c r="H1068">
        <f>$B1068/150</f>
        <v/>
      </c>
      <c r="I1068">
        <f>IF(OR($G1068="",$G1068=0),"",SIN((1-$H1068)*$G1068)/SIN($G1068))</f>
        <v/>
      </c>
      <c r="J1068">
        <f>IF($I1068="","",SIN($H1068*$G1068)/SIN($G1068))</f>
        <v/>
      </c>
      <c r="K1068">
        <f>IF($I1068="","",$I1068*COS(RADIANS($C1068))*COS(RADIANS($D1068))+$J1068*COS(RADIANS($E1068))*COS(RADIANS($F1068)))</f>
        <v/>
      </c>
      <c r="L1068">
        <f>IF($I1068="","",$I1068*COS(RADIANS($C1068))*SIN(RADIANS($D1068))+$J1068*COS(RADIANS($E1068))*SIN(RADIANS($F1068)))</f>
        <v/>
      </c>
      <c r="M1068">
        <f>IF($I1068="","",$I1068*SIN(RADIANS($C1068))+$J1068*SIN(RADIANS($E1068)))</f>
        <v/>
      </c>
      <c r="N1068">
        <f>IF($M1068="","",DEGREES(ATAN2(SQRT($K1068^2+$L1068^2),$M1068)))</f>
        <v/>
      </c>
      <c r="O1068">
        <f>IF($M1068="","",DEGREES(ATAN2($K1068,$L1068)))</f>
        <v/>
      </c>
      <c r="P1068">
        <f t="array" ref="P1068">IF($N1068="","",IFERROR(IF(INDEX(geo_grid!$B$2:$JU$231,INT(($N1068+40)/0.5)+1,INT(($O1068+30)/0.5)+1)="","",INDEX(geo_grid!$B$2:$JU$231,INT(($N1068+40)/0.5)+1,INT(($O1068+30)/0.5)+1)),"OUTSIDE GRID"))</f>
        <v/>
      </c>
      <c r="Q1068">
        <f>IF($P1068="","",$A1068*1000+$B1068)</f>
        <v/>
      </c>
    </row>
    <row r="1069">
      <c r="A1069">
        <f>INT((ROW()-2)/151)+1</f>
        <v/>
      </c>
      <c r="B1069">
        <f>MOD(ROW()-2,151)</f>
        <v/>
      </c>
      <c r="C1069">
        <f t="array" ref="C1069">IFERROR(INDEX('TRIP MANAGER'!$O$18:$O$25,$A1069),"")</f>
        <v/>
      </c>
      <c r="D1069">
        <f t="array" ref="D1069">IFERROR(INDEX('TRIP MANAGER'!$P$18:$P$25,$A1069),"")</f>
        <v/>
      </c>
      <c r="E1069">
        <f t="array" ref="E1069">IFERROR(INDEX('TRIP MANAGER'!$Q$18:$Q$25,$A1069),"")</f>
        <v/>
      </c>
      <c r="F1069">
        <f t="array" ref="F1069">IFERROR(INDEX('TRIP MANAGER'!$R$18:$R$25,$A1069),"")</f>
        <v/>
      </c>
      <c r="G1069">
        <f t="array" ref="G1069">IFERROR(INDEX('TRIP MANAGER'!$S$18:$S$25,$A1069),"")</f>
        <v/>
      </c>
      <c r="H1069">
        <f>$B1069/150</f>
        <v/>
      </c>
      <c r="I1069">
        <f>IF(OR($G1069="",$G1069=0),"",SIN((1-$H1069)*$G1069)/SIN($G1069))</f>
        <v/>
      </c>
      <c r="J1069">
        <f>IF($I1069="","",SIN($H1069*$G1069)/SIN($G1069))</f>
        <v/>
      </c>
      <c r="K1069">
        <f>IF($I1069="","",$I1069*COS(RADIANS($C1069))*COS(RADIANS($D1069))+$J1069*COS(RADIANS($E1069))*COS(RADIANS($F1069)))</f>
        <v/>
      </c>
      <c r="L1069">
        <f>IF($I1069="","",$I1069*COS(RADIANS($C1069))*SIN(RADIANS($D1069))+$J1069*COS(RADIANS($E1069))*SIN(RADIANS($F1069)))</f>
        <v/>
      </c>
      <c r="M1069">
        <f>IF($I1069="","",$I1069*SIN(RADIANS($C1069))+$J1069*SIN(RADIANS($E1069)))</f>
        <v/>
      </c>
      <c r="N1069">
        <f>IF($M1069="","",DEGREES(ATAN2(SQRT($K1069^2+$L1069^2),$M1069)))</f>
        <v/>
      </c>
      <c r="O1069">
        <f>IF($M1069="","",DEGREES(ATAN2($K1069,$L1069)))</f>
        <v/>
      </c>
      <c r="P1069">
        <f t="array" ref="P1069">IF($N1069="","",IFERROR(IF(INDEX(geo_grid!$B$2:$JU$231,INT(($N1069+40)/0.5)+1,INT(($O1069+30)/0.5)+1)="","",INDEX(geo_grid!$B$2:$JU$231,INT(($N1069+40)/0.5)+1,INT(($O1069+30)/0.5)+1)),"OUTSIDE GRID"))</f>
        <v/>
      </c>
      <c r="Q1069">
        <f>IF($P1069="","",$A1069*1000+$B1069)</f>
        <v/>
      </c>
    </row>
    <row r="1070">
      <c r="A1070">
        <f>INT((ROW()-2)/151)+1</f>
        <v/>
      </c>
      <c r="B1070">
        <f>MOD(ROW()-2,151)</f>
        <v/>
      </c>
      <c r="C1070">
        <f t="array" ref="C1070">IFERROR(INDEX('TRIP MANAGER'!$O$18:$O$25,$A1070),"")</f>
        <v/>
      </c>
      <c r="D1070">
        <f t="array" ref="D1070">IFERROR(INDEX('TRIP MANAGER'!$P$18:$P$25,$A1070),"")</f>
        <v/>
      </c>
      <c r="E1070">
        <f t="array" ref="E1070">IFERROR(INDEX('TRIP MANAGER'!$Q$18:$Q$25,$A1070),"")</f>
        <v/>
      </c>
      <c r="F1070">
        <f t="array" ref="F1070">IFERROR(INDEX('TRIP MANAGER'!$R$18:$R$25,$A1070),"")</f>
        <v/>
      </c>
      <c r="G1070">
        <f t="array" ref="G1070">IFERROR(INDEX('TRIP MANAGER'!$S$18:$S$25,$A1070),"")</f>
        <v/>
      </c>
      <c r="H1070">
        <f>$B1070/150</f>
        <v/>
      </c>
      <c r="I1070">
        <f>IF(OR($G1070="",$G1070=0),"",SIN((1-$H1070)*$G1070)/SIN($G1070))</f>
        <v/>
      </c>
      <c r="J1070">
        <f>IF($I1070="","",SIN($H1070*$G1070)/SIN($G1070))</f>
        <v/>
      </c>
      <c r="K1070">
        <f>IF($I1070="","",$I1070*COS(RADIANS($C1070))*COS(RADIANS($D1070))+$J1070*COS(RADIANS($E1070))*COS(RADIANS($F1070)))</f>
        <v/>
      </c>
      <c r="L1070">
        <f>IF($I1070="","",$I1070*COS(RADIANS($C1070))*SIN(RADIANS($D1070))+$J1070*COS(RADIANS($E1070))*SIN(RADIANS($F1070)))</f>
        <v/>
      </c>
      <c r="M1070">
        <f>IF($I1070="","",$I1070*SIN(RADIANS($C1070))+$J1070*SIN(RADIANS($E1070)))</f>
        <v/>
      </c>
      <c r="N1070">
        <f>IF($M1070="","",DEGREES(ATAN2(SQRT($K1070^2+$L1070^2),$M1070)))</f>
        <v/>
      </c>
      <c r="O1070">
        <f>IF($M1070="","",DEGREES(ATAN2($K1070,$L1070)))</f>
        <v/>
      </c>
      <c r="P1070">
        <f t="array" ref="P1070">IF($N1070="","",IFERROR(IF(INDEX(geo_grid!$B$2:$JU$231,INT(($N1070+40)/0.5)+1,INT(($O1070+30)/0.5)+1)="","",INDEX(geo_grid!$B$2:$JU$231,INT(($N1070+40)/0.5)+1,INT(($O1070+30)/0.5)+1)),"OUTSIDE GRID"))</f>
        <v/>
      </c>
      <c r="Q1070">
        <f>IF($P1070="","",$A1070*1000+$B1070)</f>
        <v/>
      </c>
    </row>
    <row r="1071">
      <c r="A1071">
        <f>INT((ROW()-2)/151)+1</f>
        <v/>
      </c>
      <c r="B1071">
        <f>MOD(ROW()-2,151)</f>
        <v/>
      </c>
      <c r="C1071">
        <f t="array" ref="C1071">IFERROR(INDEX('TRIP MANAGER'!$O$18:$O$25,$A1071),"")</f>
        <v/>
      </c>
      <c r="D1071">
        <f t="array" ref="D1071">IFERROR(INDEX('TRIP MANAGER'!$P$18:$P$25,$A1071),"")</f>
        <v/>
      </c>
      <c r="E1071">
        <f t="array" ref="E1071">IFERROR(INDEX('TRIP MANAGER'!$Q$18:$Q$25,$A1071),"")</f>
        <v/>
      </c>
      <c r="F1071">
        <f t="array" ref="F1071">IFERROR(INDEX('TRIP MANAGER'!$R$18:$R$25,$A1071),"")</f>
        <v/>
      </c>
      <c r="G1071">
        <f t="array" ref="G1071">IFERROR(INDEX('TRIP MANAGER'!$S$18:$S$25,$A1071),"")</f>
        <v/>
      </c>
      <c r="H1071">
        <f>$B1071/150</f>
        <v/>
      </c>
      <c r="I1071">
        <f>IF(OR($G1071="",$G1071=0),"",SIN((1-$H1071)*$G1071)/SIN($G1071))</f>
        <v/>
      </c>
      <c r="J1071">
        <f>IF($I1071="","",SIN($H1071*$G1071)/SIN($G1071))</f>
        <v/>
      </c>
      <c r="K1071">
        <f>IF($I1071="","",$I1071*COS(RADIANS($C1071))*COS(RADIANS($D1071))+$J1071*COS(RADIANS($E1071))*COS(RADIANS($F1071)))</f>
        <v/>
      </c>
      <c r="L1071">
        <f>IF($I1071="","",$I1071*COS(RADIANS($C1071))*SIN(RADIANS($D1071))+$J1071*COS(RADIANS($E1071))*SIN(RADIANS($F1071)))</f>
        <v/>
      </c>
      <c r="M1071">
        <f>IF($I1071="","",$I1071*SIN(RADIANS($C1071))+$J1071*SIN(RADIANS($E1071)))</f>
        <v/>
      </c>
      <c r="N1071">
        <f>IF($M1071="","",DEGREES(ATAN2(SQRT($K1071^2+$L1071^2),$M1071)))</f>
        <v/>
      </c>
      <c r="O1071">
        <f>IF($M1071="","",DEGREES(ATAN2($K1071,$L1071)))</f>
        <v/>
      </c>
      <c r="P1071">
        <f t="array" ref="P1071">IF($N1071="","",IFERROR(IF(INDEX(geo_grid!$B$2:$JU$231,INT(($N1071+40)/0.5)+1,INT(($O1071+30)/0.5)+1)="","",INDEX(geo_grid!$B$2:$JU$231,INT(($N1071+40)/0.5)+1,INT(($O1071+30)/0.5)+1)),"OUTSIDE GRID"))</f>
        <v/>
      </c>
      <c r="Q1071">
        <f>IF($P1071="","",$A1071*1000+$B1071)</f>
        <v/>
      </c>
    </row>
    <row r="1072">
      <c r="A1072">
        <f>INT((ROW()-2)/151)+1</f>
        <v/>
      </c>
      <c r="B1072">
        <f>MOD(ROW()-2,151)</f>
        <v/>
      </c>
      <c r="C1072">
        <f t="array" ref="C1072">IFERROR(INDEX('TRIP MANAGER'!$O$18:$O$25,$A1072),"")</f>
        <v/>
      </c>
      <c r="D1072">
        <f t="array" ref="D1072">IFERROR(INDEX('TRIP MANAGER'!$P$18:$P$25,$A1072),"")</f>
        <v/>
      </c>
      <c r="E1072">
        <f t="array" ref="E1072">IFERROR(INDEX('TRIP MANAGER'!$Q$18:$Q$25,$A1072),"")</f>
        <v/>
      </c>
      <c r="F1072">
        <f t="array" ref="F1072">IFERROR(INDEX('TRIP MANAGER'!$R$18:$R$25,$A1072),"")</f>
        <v/>
      </c>
      <c r="G1072">
        <f t="array" ref="G1072">IFERROR(INDEX('TRIP MANAGER'!$S$18:$S$25,$A1072),"")</f>
        <v/>
      </c>
      <c r="H1072">
        <f>$B1072/150</f>
        <v/>
      </c>
      <c r="I1072">
        <f>IF(OR($G1072="",$G1072=0),"",SIN((1-$H1072)*$G1072)/SIN($G1072))</f>
        <v/>
      </c>
      <c r="J1072">
        <f>IF($I1072="","",SIN($H1072*$G1072)/SIN($G1072))</f>
        <v/>
      </c>
      <c r="K1072">
        <f>IF($I1072="","",$I1072*COS(RADIANS($C1072))*COS(RADIANS($D1072))+$J1072*COS(RADIANS($E1072))*COS(RADIANS($F1072)))</f>
        <v/>
      </c>
      <c r="L1072">
        <f>IF($I1072="","",$I1072*COS(RADIANS($C1072))*SIN(RADIANS($D1072))+$J1072*COS(RADIANS($E1072))*SIN(RADIANS($F1072)))</f>
        <v/>
      </c>
      <c r="M1072">
        <f>IF($I1072="","",$I1072*SIN(RADIANS($C1072))+$J1072*SIN(RADIANS($E1072)))</f>
        <v/>
      </c>
      <c r="N1072">
        <f>IF($M1072="","",DEGREES(ATAN2(SQRT($K1072^2+$L1072^2),$M1072)))</f>
        <v/>
      </c>
      <c r="O1072">
        <f>IF($M1072="","",DEGREES(ATAN2($K1072,$L1072)))</f>
        <v/>
      </c>
      <c r="P1072">
        <f t="array" ref="P1072">IF($N1072="","",IFERROR(IF(INDEX(geo_grid!$B$2:$JU$231,INT(($N1072+40)/0.5)+1,INT(($O1072+30)/0.5)+1)="","",INDEX(geo_grid!$B$2:$JU$231,INT(($N1072+40)/0.5)+1,INT(($O1072+30)/0.5)+1)),"OUTSIDE GRID"))</f>
        <v/>
      </c>
      <c r="Q1072">
        <f>IF($P1072="","",$A1072*1000+$B1072)</f>
        <v/>
      </c>
    </row>
    <row r="1073">
      <c r="A1073">
        <f>INT((ROW()-2)/151)+1</f>
        <v/>
      </c>
      <c r="B1073">
        <f>MOD(ROW()-2,151)</f>
        <v/>
      </c>
      <c r="C1073">
        <f t="array" ref="C1073">IFERROR(INDEX('TRIP MANAGER'!$O$18:$O$25,$A1073),"")</f>
        <v/>
      </c>
      <c r="D1073">
        <f t="array" ref="D1073">IFERROR(INDEX('TRIP MANAGER'!$P$18:$P$25,$A1073),"")</f>
        <v/>
      </c>
      <c r="E1073">
        <f t="array" ref="E1073">IFERROR(INDEX('TRIP MANAGER'!$Q$18:$Q$25,$A1073),"")</f>
        <v/>
      </c>
      <c r="F1073">
        <f t="array" ref="F1073">IFERROR(INDEX('TRIP MANAGER'!$R$18:$R$25,$A1073),"")</f>
        <v/>
      </c>
      <c r="G1073">
        <f t="array" ref="G1073">IFERROR(INDEX('TRIP MANAGER'!$S$18:$S$25,$A1073),"")</f>
        <v/>
      </c>
      <c r="H1073">
        <f>$B1073/150</f>
        <v/>
      </c>
      <c r="I1073">
        <f>IF(OR($G1073="",$G1073=0),"",SIN((1-$H1073)*$G1073)/SIN($G1073))</f>
        <v/>
      </c>
      <c r="J1073">
        <f>IF($I1073="","",SIN($H1073*$G1073)/SIN($G1073))</f>
        <v/>
      </c>
      <c r="K1073">
        <f>IF($I1073="","",$I1073*COS(RADIANS($C1073))*COS(RADIANS($D1073))+$J1073*COS(RADIANS($E1073))*COS(RADIANS($F1073)))</f>
        <v/>
      </c>
      <c r="L1073">
        <f>IF($I1073="","",$I1073*COS(RADIANS($C1073))*SIN(RADIANS($D1073))+$J1073*COS(RADIANS($E1073))*SIN(RADIANS($F1073)))</f>
        <v/>
      </c>
      <c r="M1073">
        <f>IF($I1073="","",$I1073*SIN(RADIANS($C1073))+$J1073*SIN(RADIANS($E1073)))</f>
        <v/>
      </c>
      <c r="N1073">
        <f>IF($M1073="","",DEGREES(ATAN2(SQRT($K1073^2+$L1073^2),$M1073)))</f>
        <v/>
      </c>
      <c r="O1073">
        <f>IF($M1073="","",DEGREES(ATAN2($K1073,$L1073)))</f>
        <v/>
      </c>
      <c r="P1073">
        <f t="array" ref="P1073">IF($N1073="","",IFERROR(IF(INDEX(geo_grid!$B$2:$JU$231,INT(($N1073+40)/0.5)+1,INT(($O1073+30)/0.5)+1)="","",INDEX(geo_grid!$B$2:$JU$231,INT(($N1073+40)/0.5)+1,INT(($O1073+30)/0.5)+1)),"OUTSIDE GRID"))</f>
        <v/>
      </c>
      <c r="Q1073">
        <f>IF($P1073="","",$A1073*1000+$B1073)</f>
        <v/>
      </c>
    </row>
    <row r="1074">
      <c r="A1074">
        <f>INT((ROW()-2)/151)+1</f>
        <v/>
      </c>
      <c r="B1074">
        <f>MOD(ROW()-2,151)</f>
        <v/>
      </c>
      <c r="C1074">
        <f t="array" ref="C1074">IFERROR(INDEX('TRIP MANAGER'!$O$18:$O$25,$A1074),"")</f>
        <v/>
      </c>
      <c r="D1074">
        <f t="array" ref="D1074">IFERROR(INDEX('TRIP MANAGER'!$P$18:$P$25,$A1074),"")</f>
        <v/>
      </c>
      <c r="E1074">
        <f t="array" ref="E1074">IFERROR(INDEX('TRIP MANAGER'!$Q$18:$Q$25,$A1074),"")</f>
        <v/>
      </c>
      <c r="F1074">
        <f t="array" ref="F1074">IFERROR(INDEX('TRIP MANAGER'!$R$18:$R$25,$A1074),"")</f>
        <v/>
      </c>
      <c r="G1074">
        <f t="array" ref="G1074">IFERROR(INDEX('TRIP MANAGER'!$S$18:$S$25,$A1074),"")</f>
        <v/>
      </c>
      <c r="H1074">
        <f>$B1074/150</f>
        <v/>
      </c>
      <c r="I1074">
        <f>IF(OR($G1074="",$G1074=0),"",SIN((1-$H1074)*$G1074)/SIN($G1074))</f>
        <v/>
      </c>
      <c r="J1074">
        <f>IF($I1074="","",SIN($H1074*$G1074)/SIN($G1074))</f>
        <v/>
      </c>
      <c r="K1074">
        <f>IF($I1074="","",$I1074*COS(RADIANS($C1074))*COS(RADIANS($D1074))+$J1074*COS(RADIANS($E1074))*COS(RADIANS($F1074)))</f>
        <v/>
      </c>
      <c r="L1074">
        <f>IF($I1074="","",$I1074*COS(RADIANS($C1074))*SIN(RADIANS($D1074))+$J1074*COS(RADIANS($E1074))*SIN(RADIANS($F1074)))</f>
        <v/>
      </c>
      <c r="M1074">
        <f>IF($I1074="","",$I1074*SIN(RADIANS($C1074))+$J1074*SIN(RADIANS($E1074)))</f>
        <v/>
      </c>
      <c r="N1074">
        <f>IF($M1074="","",DEGREES(ATAN2(SQRT($K1074^2+$L1074^2),$M1074)))</f>
        <v/>
      </c>
      <c r="O1074">
        <f>IF($M1074="","",DEGREES(ATAN2($K1074,$L1074)))</f>
        <v/>
      </c>
      <c r="P1074">
        <f t="array" ref="P1074">IF($N1074="","",IFERROR(IF(INDEX(geo_grid!$B$2:$JU$231,INT(($N1074+40)/0.5)+1,INT(($O1074+30)/0.5)+1)="","",INDEX(geo_grid!$B$2:$JU$231,INT(($N1074+40)/0.5)+1,INT(($O1074+30)/0.5)+1)),"OUTSIDE GRID"))</f>
        <v/>
      </c>
      <c r="Q1074">
        <f>IF($P1074="","",$A1074*1000+$B1074)</f>
        <v/>
      </c>
    </row>
    <row r="1075">
      <c r="A1075">
        <f>INT((ROW()-2)/151)+1</f>
        <v/>
      </c>
      <c r="B1075">
        <f>MOD(ROW()-2,151)</f>
        <v/>
      </c>
      <c r="C1075">
        <f t="array" ref="C1075">IFERROR(INDEX('TRIP MANAGER'!$O$18:$O$25,$A1075),"")</f>
        <v/>
      </c>
      <c r="D1075">
        <f t="array" ref="D1075">IFERROR(INDEX('TRIP MANAGER'!$P$18:$P$25,$A1075),"")</f>
        <v/>
      </c>
      <c r="E1075">
        <f t="array" ref="E1075">IFERROR(INDEX('TRIP MANAGER'!$Q$18:$Q$25,$A1075),"")</f>
        <v/>
      </c>
      <c r="F1075">
        <f t="array" ref="F1075">IFERROR(INDEX('TRIP MANAGER'!$R$18:$R$25,$A1075),"")</f>
        <v/>
      </c>
      <c r="G1075">
        <f t="array" ref="G1075">IFERROR(INDEX('TRIP MANAGER'!$S$18:$S$25,$A1075),"")</f>
        <v/>
      </c>
      <c r="H1075">
        <f>$B1075/150</f>
        <v/>
      </c>
      <c r="I1075">
        <f>IF(OR($G1075="",$G1075=0),"",SIN((1-$H1075)*$G1075)/SIN($G1075))</f>
        <v/>
      </c>
      <c r="J1075">
        <f>IF($I1075="","",SIN($H1075*$G1075)/SIN($G1075))</f>
        <v/>
      </c>
      <c r="K1075">
        <f>IF($I1075="","",$I1075*COS(RADIANS($C1075))*COS(RADIANS($D1075))+$J1075*COS(RADIANS($E1075))*COS(RADIANS($F1075)))</f>
        <v/>
      </c>
      <c r="L1075">
        <f>IF($I1075="","",$I1075*COS(RADIANS($C1075))*SIN(RADIANS($D1075))+$J1075*COS(RADIANS($E1075))*SIN(RADIANS($F1075)))</f>
        <v/>
      </c>
      <c r="M1075">
        <f>IF($I1075="","",$I1075*SIN(RADIANS($C1075))+$J1075*SIN(RADIANS($E1075)))</f>
        <v/>
      </c>
      <c r="N1075">
        <f>IF($M1075="","",DEGREES(ATAN2(SQRT($K1075^2+$L1075^2),$M1075)))</f>
        <v/>
      </c>
      <c r="O1075">
        <f>IF($M1075="","",DEGREES(ATAN2($K1075,$L1075)))</f>
        <v/>
      </c>
      <c r="P1075">
        <f t="array" ref="P1075">IF($N1075="","",IFERROR(IF(INDEX(geo_grid!$B$2:$JU$231,INT(($N1075+40)/0.5)+1,INT(($O1075+30)/0.5)+1)="","",INDEX(geo_grid!$B$2:$JU$231,INT(($N1075+40)/0.5)+1,INT(($O1075+30)/0.5)+1)),"OUTSIDE GRID"))</f>
        <v/>
      </c>
      <c r="Q1075">
        <f>IF($P1075="","",$A1075*1000+$B1075)</f>
        <v/>
      </c>
    </row>
    <row r="1076">
      <c r="A1076">
        <f>INT((ROW()-2)/151)+1</f>
        <v/>
      </c>
      <c r="B1076">
        <f>MOD(ROW()-2,151)</f>
        <v/>
      </c>
      <c r="C1076">
        <f t="array" ref="C1076">IFERROR(INDEX('TRIP MANAGER'!$O$18:$O$25,$A1076),"")</f>
        <v/>
      </c>
      <c r="D1076">
        <f t="array" ref="D1076">IFERROR(INDEX('TRIP MANAGER'!$P$18:$P$25,$A1076),"")</f>
        <v/>
      </c>
      <c r="E1076">
        <f t="array" ref="E1076">IFERROR(INDEX('TRIP MANAGER'!$Q$18:$Q$25,$A1076),"")</f>
        <v/>
      </c>
      <c r="F1076">
        <f t="array" ref="F1076">IFERROR(INDEX('TRIP MANAGER'!$R$18:$R$25,$A1076),"")</f>
        <v/>
      </c>
      <c r="G1076">
        <f t="array" ref="G1076">IFERROR(INDEX('TRIP MANAGER'!$S$18:$S$25,$A1076),"")</f>
        <v/>
      </c>
      <c r="H1076">
        <f>$B1076/150</f>
        <v/>
      </c>
      <c r="I1076">
        <f>IF(OR($G1076="",$G1076=0),"",SIN((1-$H1076)*$G1076)/SIN($G1076))</f>
        <v/>
      </c>
      <c r="J1076">
        <f>IF($I1076="","",SIN($H1076*$G1076)/SIN($G1076))</f>
        <v/>
      </c>
      <c r="K1076">
        <f>IF($I1076="","",$I1076*COS(RADIANS($C1076))*COS(RADIANS($D1076))+$J1076*COS(RADIANS($E1076))*COS(RADIANS($F1076)))</f>
        <v/>
      </c>
      <c r="L1076">
        <f>IF($I1076="","",$I1076*COS(RADIANS($C1076))*SIN(RADIANS($D1076))+$J1076*COS(RADIANS($E1076))*SIN(RADIANS($F1076)))</f>
        <v/>
      </c>
      <c r="M1076">
        <f>IF($I1076="","",$I1076*SIN(RADIANS($C1076))+$J1076*SIN(RADIANS($E1076)))</f>
        <v/>
      </c>
      <c r="N1076">
        <f>IF($M1076="","",DEGREES(ATAN2(SQRT($K1076^2+$L1076^2),$M1076)))</f>
        <v/>
      </c>
      <c r="O1076">
        <f>IF($M1076="","",DEGREES(ATAN2($K1076,$L1076)))</f>
        <v/>
      </c>
      <c r="P1076">
        <f t="array" ref="P1076">IF($N1076="","",IFERROR(IF(INDEX(geo_grid!$B$2:$JU$231,INT(($N1076+40)/0.5)+1,INT(($O1076+30)/0.5)+1)="","",INDEX(geo_grid!$B$2:$JU$231,INT(($N1076+40)/0.5)+1,INT(($O1076+30)/0.5)+1)),"OUTSIDE GRID"))</f>
        <v/>
      </c>
      <c r="Q1076">
        <f>IF($P1076="","",$A1076*1000+$B1076)</f>
        <v/>
      </c>
    </row>
    <row r="1077">
      <c r="A1077">
        <f>INT((ROW()-2)/151)+1</f>
        <v/>
      </c>
      <c r="B1077">
        <f>MOD(ROW()-2,151)</f>
        <v/>
      </c>
      <c r="C1077">
        <f t="array" ref="C1077">IFERROR(INDEX('TRIP MANAGER'!$O$18:$O$25,$A1077),"")</f>
        <v/>
      </c>
      <c r="D1077">
        <f t="array" ref="D1077">IFERROR(INDEX('TRIP MANAGER'!$P$18:$P$25,$A1077),"")</f>
        <v/>
      </c>
      <c r="E1077">
        <f t="array" ref="E1077">IFERROR(INDEX('TRIP MANAGER'!$Q$18:$Q$25,$A1077),"")</f>
        <v/>
      </c>
      <c r="F1077">
        <f t="array" ref="F1077">IFERROR(INDEX('TRIP MANAGER'!$R$18:$R$25,$A1077),"")</f>
        <v/>
      </c>
      <c r="G1077">
        <f t="array" ref="G1077">IFERROR(INDEX('TRIP MANAGER'!$S$18:$S$25,$A1077),"")</f>
        <v/>
      </c>
      <c r="H1077">
        <f>$B1077/150</f>
        <v/>
      </c>
      <c r="I1077">
        <f>IF(OR($G1077="",$G1077=0),"",SIN((1-$H1077)*$G1077)/SIN($G1077))</f>
        <v/>
      </c>
      <c r="J1077">
        <f>IF($I1077="","",SIN($H1077*$G1077)/SIN($G1077))</f>
        <v/>
      </c>
      <c r="K1077">
        <f>IF($I1077="","",$I1077*COS(RADIANS($C1077))*COS(RADIANS($D1077))+$J1077*COS(RADIANS($E1077))*COS(RADIANS($F1077)))</f>
        <v/>
      </c>
      <c r="L1077">
        <f>IF($I1077="","",$I1077*COS(RADIANS($C1077))*SIN(RADIANS($D1077))+$J1077*COS(RADIANS($E1077))*SIN(RADIANS($F1077)))</f>
        <v/>
      </c>
      <c r="M1077">
        <f>IF($I1077="","",$I1077*SIN(RADIANS($C1077))+$J1077*SIN(RADIANS($E1077)))</f>
        <v/>
      </c>
      <c r="N1077">
        <f>IF($M1077="","",DEGREES(ATAN2(SQRT($K1077^2+$L1077^2),$M1077)))</f>
        <v/>
      </c>
      <c r="O1077">
        <f>IF($M1077="","",DEGREES(ATAN2($K1077,$L1077)))</f>
        <v/>
      </c>
      <c r="P1077">
        <f t="array" ref="P1077">IF($N1077="","",IFERROR(IF(INDEX(geo_grid!$B$2:$JU$231,INT(($N1077+40)/0.5)+1,INT(($O1077+30)/0.5)+1)="","",INDEX(geo_grid!$B$2:$JU$231,INT(($N1077+40)/0.5)+1,INT(($O1077+30)/0.5)+1)),"OUTSIDE GRID"))</f>
        <v/>
      </c>
      <c r="Q1077">
        <f>IF($P1077="","",$A1077*1000+$B1077)</f>
        <v/>
      </c>
    </row>
    <row r="1078">
      <c r="A1078">
        <f>INT((ROW()-2)/151)+1</f>
        <v/>
      </c>
      <c r="B1078">
        <f>MOD(ROW()-2,151)</f>
        <v/>
      </c>
      <c r="C1078">
        <f t="array" ref="C1078">IFERROR(INDEX('TRIP MANAGER'!$O$18:$O$25,$A1078),"")</f>
        <v/>
      </c>
      <c r="D1078">
        <f t="array" ref="D1078">IFERROR(INDEX('TRIP MANAGER'!$P$18:$P$25,$A1078),"")</f>
        <v/>
      </c>
      <c r="E1078">
        <f t="array" ref="E1078">IFERROR(INDEX('TRIP MANAGER'!$Q$18:$Q$25,$A1078),"")</f>
        <v/>
      </c>
      <c r="F1078">
        <f t="array" ref="F1078">IFERROR(INDEX('TRIP MANAGER'!$R$18:$R$25,$A1078),"")</f>
        <v/>
      </c>
      <c r="G1078">
        <f t="array" ref="G1078">IFERROR(INDEX('TRIP MANAGER'!$S$18:$S$25,$A1078),"")</f>
        <v/>
      </c>
      <c r="H1078">
        <f>$B1078/150</f>
        <v/>
      </c>
      <c r="I1078">
        <f>IF(OR($G1078="",$G1078=0),"",SIN((1-$H1078)*$G1078)/SIN($G1078))</f>
        <v/>
      </c>
      <c r="J1078">
        <f>IF($I1078="","",SIN($H1078*$G1078)/SIN($G1078))</f>
        <v/>
      </c>
      <c r="K1078">
        <f>IF($I1078="","",$I1078*COS(RADIANS($C1078))*COS(RADIANS($D1078))+$J1078*COS(RADIANS($E1078))*COS(RADIANS($F1078)))</f>
        <v/>
      </c>
      <c r="L1078">
        <f>IF($I1078="","",$I1078*COS(RADIANS($C1078))*SIN(RADIANS($D1078))+$J1078*COS(RADIANS($E1078))*SIN(RADIANS($F1078)))</f>
        <v/>
      </c>
      <c r="M1078">
        <f>IF($I1078="","",$I1078*SIN(RADIANS($C1078))+$J1078*SIN(RADIANS($E1078)))</f>
        <v/>
      </c>
      <c r="N1078">
        <f>IF($M1078="","",DEGREES(ATAN2(SQRT($K1078^2+$L1078^2),$M1078)))</f>
        <v/>
      </c>
      <c r="O1078">
        <f>IF($M1078="","",DEGREES(ATAN2($K1078,$L1078)))</f>
        <v/>
      </c>
      <c r="P1078">
        <f t="array" ref="P1078">IF($N1078="","",IFERROR(IF(INDEX(geo_grid!$B$2:$JU$231,INT(($N1078+40)/0.5)+1,INT(($O1078+30)/0.5)+1)="","",INDEX(geo_grid!$B$2:$JU$231,INT(($N1078+40)/0.5)+1,INT(($O1078+30)/0.5)+1)),"OUTSIDE GRID"))</f>
        <v/>
      </c>
      <c r="Q1078">
        <f>IF($P1078="","",$A1078*1000+$B1078)</f>
        <v/>
      </c>
    </row>
    <row r="1079">
      <c r="A1079">
        <f>INT((ROW()-2)/151)+1</f>
        <v/>
      </c>
      <c r="B1079">
        <f>MOD(ROW()-2,151)</f>
        <v/>
      </c>
      <c r="C1079">
        <f t="array" ref="C1079">IFERROR(INDEX('TRIP MANAGER'!$O$18:$O$25,$A1079),"")</f>
        <v/>
      </c>
      <c r="D1079">
        <f t="array" ref="D1079">IFERROR(INDEX('TRIP MANAGER'!$P$18:$P$25,$A1079),"")</f>
        <v/>
      </c>
      <c r="E1079">
        <f t="array" ref="E1079">IFERROR(INDEX('TRIP MANAGER'!$Q$18:$Q$25,$A1079),"")</f>
        <v/>
      </c>
      <c r="F1079">
        <f t="array" ref="F1079">IFERROR(INDEX('TRIP MANAGER'!$R$18:$R$25,$A1079),"")</f>
        <v/>
      </c>
      <c r="G1079">
        <f t="array" ref="G1079">IFERROR(INDEX('TRIP MANAGER'!$S$18:$S$25,$A1079),"")</f>
        <v/>
      </c>
      <c r="H1079">
        <f>$B1079/150</f>
        <v/>
      </c>
      <c r="I1079">
        <f>IF(OR($G1079="",$G1079=0),"",SIN((1-$H1079)*$G1079)/SIN($G1079))</f>
        <v/>
      </c>
      <c r="J1079">
        <f>IF($I1079="","",SIN($H1079*$G1079)/SIN($G1079))</f>
        <v/>
      </c>
      <c r="K1079">
        <f>IF($I1079="","",$I1079*COS(RADIANS($C1079))*COS(RADIANS($D1079))+$J1079*COS(RADIANS($E1079))*COS(RADIANS($F1079)))</f>
        <v/>
      </c>
      <c r="L1079">
        <f>IF($I1079="","",$I1079*COS(RADIANS($C1079))*SIN(RADIANS($D1079))+$J1079*COS(RADIANS($E1079))*SIN(RADIANS($F1079)))</f>
        <v/>
      </c>
      <c r="M1079">
        <f>IF($I1079="","",$I1079*SIN(RADIANS($C1079))+$J1079*SIN(RADIANS($E1079)))</f>
        <v/>
      </c>
      <c r="N1079">
        <f>IF($M1079="","",DEGREES(ATAN2(SQRT($K1079^2+$L1079^2),$M1079)))</f>
        <v/>
      </c>
      <c r="O1079">
        <f>IF($M1079="","",DEGREES(ATAN2($K1079,$L1079)))</f>
        <v/>
      </c>
      <c r="P1079">
        <f t="array" ref="P1079">IF($N1079="","",IFERROR(IF(INDEX(geo_grid!$B$2:$JU$231,INT(($N1079+40)/0.5)+1,INT(($O1079+30)/0.5)+1)="","",INDEX(geo_grid!$B$2:$JU$231,INT(($N1079+40)/0.5)+1,INT(($O1079+30)/0.5)+1)),"OUTSIDE GRID"))</f>
        <v/>
      </c>
      <c r="Q1079">
        <f>IF($P1079="","",$A1079*1000+$B1079)</f>
        <v/>
      </c>
    </row>
    <row r="1080">
      <c r="A1080">
        <f>INT((ROW()-2)/151)+1</f>
        <v/>
      </c>
      <c r="B1080">
        <f>MOD(ROW()-2,151)</f>
        <v/>
      </c>
      <c r="C1080">
        <f t="array" ref="C1080">IFERROR(INDEX('TRIP MANAGER'!$O$18:$O$25,$A1080),"")</f>
        <v/>
      </c>
      <c r="D1080">
        <f t="array" ref="D1080">IFERROR(INDEX('TRIP MANAGER'!$P$18:$P$25,$A1080),"")</f>
        <v/>
      </c>
      <c r="E1080">
        <f t="array" ref="E1080">IFERROR(INDEX('TRIP MANAGER'!$Q$18:$Q$25,$A1080),"")</f>
        <v/>
      </c>
      <c r="F1080">
        <f t="array" ref="F1080">IFERROR(INDEX('TRIP MANAGER'!$R$18:$R$25,$A1080),"")</f>
        <v/>
      </c>
      <c r="G1080">
        <f t="array" ref="G1080">IFERROR(INDEX('TRIP MANAGER'!$S$18:$S$25,$A1080),"")</f>
        <v/>
      </c>
      <c r="H1080">
        <f>$B1080/150</f>
        <v/>
      </c>
      <c r="I1080">
        <f>IF(OR($G1080="",$G1080=0),"",SIN((1-$H1080)*$G1080)/SIN($G1080))</f>
        <v/>
      </c>
      <c r="J1080">
        <f>IF($I1080="","",SIN($H1080*$G1080)/SIN($G1080))</f>
        <v/>
      </c>
      <c r="K1080">
        <f>IF($I1080="","",$I1080*COS(RADIANS($C1080))*COS(RADIANS($D1080))+$J1080*COS(RADIANS($E1080))*COS(RADIANS($F1080)))</f>
        <v/>
      </c>
      <c r="L1080">
        <f>IF($I1080="","",$I1080*COS(RADIANS($C1080))*SIN(RADIANS($D1080))+$J1080*COS(RADIANS($E1080))*SIN(RADIANS($F1080)))</f>
        <v/>
      </c>
      <c r="M1080">
        <f>IF($I1080="","",$I1080*SIN(RADIANS($C1080))+$J1080*SIN(RADIANS($E1080)))</f>
        <v/>
      </c>
      <c r="N1080">
        <f>IF($M1080="","",DEGREES(ATAN2(SQRT($K1080^2+$L1080^2),$M1080)))</f>
        <v/>
      </c>
      <c r="O1080">
        <f>IF($M1080="","",DEGREES(ATAN2($K1080,$L1080)))</f>
        <v/>
      </c>
      <c r="P1080">
        <f t="array" ref="P1080">IF($N1080="","",IFERROR(IF(INDEX(geo_grid!$B$2:$JU$231,INT(($N1080+40)/0.5)+1,INT(($O1080+30)/0.5)+1)="","",INDEX(geo_grid!$B$2:$JU$231,INT(($N1080+40)/0.5)+1,INT(($O1080+30)/0.5)+1)),"OUTSIDE GRID"))</f>
        <v/>
      </c>
      <c r="Q1080">
        <f>IF($P1080="","",$A1080*1000+$B1080)</f>
        <v/>
      </c>
    </row>
    <row r="1081">
      <c r="A1081">
        <f>INT((ROW()-2)/151)+1</f>
        <v/>
      </c>
      <c r="B1081">
        <f>MOD(ROW()-2,151)</f>
        <v/>
      </c>
      <c r="C1081">
        <f t="array" ref="C1081">IFERROR(INDEX('TRIP MANAGER'!$O$18:$O$25,$A1081),"")</f>
        <v/>
      </c>
      <c r="D1081">
        <f t="array" ref="D1081">IFERROR(INDEX('TRIP MANAGER'!$P$18:$P$25,$A1081),"")</f>
        <v/>
      </c>
      <c r="E1081">
        <f t="array" ref="E1081">IFERROR(INDEX('TRIP MANAGER'!$Q$18:$Q$25,$A1081),"")</f>
        <v/>
      </c>
      <c r="F1081">
        <f t="array" ref="F1081">IFERROR(INDEX('TRIP MANAGER'!$R$18:$R$25,$A1081),"")</f>
        <v/>
      </c>
      <c r="G1081">
        <f t="array" ref="G1081">IFERROR(INDEX('TRIP MANAGER'!$S$18:$S$25,$A1081),"")</f>
        <v/>
      </c>
      <c r="H1081">
        <f>$B1081/150</f>
        <v/>
      </c>
      <c r="I1081">
        <f>IF(OR($G1081="",$G1081=0),"",SIN((1-$H1081)*$G1081)/SIN($G1081))</f>
        <v/>
      </c>
      <c r="J1081">
        <f>IF($I1081="","",SIN($H1081*$G1081)/SIN($G1081))</f>
        <v/>
      </c>
      <c r="K1081">
        <f>IF($I1081="","",$I1081*COS(RADIANS($C1081))*COS(RADIANS($D1081))+$J1081*COS(RADIANS($E1081))*COS(RADIANS($F1081)))</f>
        <v/>
      </c>
      <c r="L1081">
        <f>IF($I1081="","",$I1081*COS(RADIANS($C1081))*SIN(RADIANS($D1081))+$J1081*COS(RADIANS($E1081))*SIN(RADIANS($F1081)))</f>
        <v/>
      </c>
      <c r="M1081">
        <f>IF($I1081="","",$I1081*SIN(RADIANS($C1081))+$J1081*SIN(RADIANS($E1081)))</f>
        <v/>
      </c>
      <c r="N1081">
        <f>IF($M1081="","",DEGREES(ATAN2(SQRT($K1081^2+$L1081^2),$M1081)))</f>
        <v/>
      </c>
      <c r="O1081">
        <f>IF($M1081="","",DEGREES(ATAN2($K1081,$L1081)))</f>
        <v/>
      </c>
      <c r="P1081">
        <f t="array" ref="P1081">IF($N1081="","",IFERROR(IF(INDEX(geo_grid!$B$2:$JU$231,INT(($N1081+40)/0.5)+1,INT(($O1081+30)/0.5)+1)="","",INDEX(geo_grid!$B$2:$JU$231,INT(($N1081+40)/0.5)+1,INT(($O1081+30)/0.5)+1)),"OUTSIDE GRID"))</f>
        <v/>
      </c>
      <c r="Q1081">
        <f>IF($P1081="","",$A1081*1000+$B1081)</f>
        <v/>
      </c>
    </row>
    <row r="1082">
      <c r="A1082">
        <f>INT((ROW()-2)/151)+1</f>
        <v/>
      </c>
      <c r="B1082">
        <f>MOD(ROW()-2,151)</f>
        <v/>
      </c>
      <c r="C1082">
        <f t="array" ref="C1082">IFERROR(INDEX('TRIP MANAGER'!$O$18:$O$25,$A1082),"")</f>
        <v/>
      </c>
      <c r="D1082">
        <f t="array" ref="D1082">IFERROR(INDEX('TRIP MANAGER'!$P$18:$P$25,$A1082),"")</f>
        <v/>
      </c>
      <c r="E1082">
        <f t="array" ref="E1082">IFERROR(INDEX('TRIP MANAGER'!$Q$18:$Q$25,$A1082),"")</f>
        <v/>
      </c>
      <c r="F1082">
        <f t="array" ref="F1082">IFERROR(INDEX('TRIP MANAGER'!$R$18:$R$25,$A1082),"")</f>
        <v/>
      </c>
      <c r="G1082">
        <f t="array" ref="G1082">IFERROR(INDEX('TRIP MANAGER'!$S$18:$S$25,$A1082),"")</f>
        <v/>
      </c>
      <c r="H1082">
        <f>$B1082/150</f>
        <v/>
      </c>
      <c r="I1082">
        <f>IF(OR($G1082="",$G1082=0),"",SIN((1-$H1082)*$G1082)/SIN($G1082))</f>
        <v/>
      </c>
      <c r="J1082">
        <f>IF($I1082="","",SIN($H1082*$G1082)/SIN($G1082))</f>
        <v/>
      </c>
      <c r="K1082">
        <f>IF($I1082="","",$I1082*COS(RADIANS($C1082))*COS(RADIANS($D1082))+$J1082*COS(RADIANS($E1082))*COS(RADIANS($F1082)))</f>
        <v/>
      </c>
      <c r="L1082">
        <f>IF($I1082="","",$I1082*COS(RADIANS($C1082))*SIN(RADIANS($D1082))+$J1082*COS(RADIANS($E1082))*SIN(RADIANS($F1082)))</f>
        <v/>
      </c>
      <c r="M1082">
        <f>IF($I1082="","",$I1082*SIN(RADIANS($C1082))+$J1082*SIN(RADIANS($E1082)))</f>
        <v/>
      </c>
      <c r="N1082">
        <f>IF($M1082="","",DEGREES(ATAN2(SQRT($K1082^2+$L1082^2),$M1082)))</f>
        <v/>
      </c>
      <c r="O1082">
        <f>IF($M1082="","",DEGREES(ATAN2($K1082,$L1082)))</f>
        <v/>
      </c>
      <c r="P1082">
        <f t="array" ref="P1082">IF($N1082="","",IFERROR(IF(INDEX(geo_grid!$B$2:$JU$231,INT(($N1082+40)/0.5)+1,INT(($O1082+30)/0.5)+1)="","",INDEX(geo_grid!$B$2:$JU$231,INT(($N1082+40)/0.5)+1,INT(($O1082+30)/0.5)+1)),"OUTSIDE GRID"))</f>
        <v/>
      </c>
      <c r="Q1082">
        <f>IF($P1082="","",$A1082*1000+$B1082)</f>
        <v/>
      </c>
    </row>
    <row r="1083">
      <c r="A1083">
        <f>INT((ROW()-2)/151)+1</f>
        <v/>
      </c>
      <c r="B1083">
        <f>MOD(ROW()-2,151)</f>
        <v/>
      </c>
      <c r="C1083">
        <f t="array" ref="C1083">IFERROR(INDEX('TRIP MANAGER'!$O$18:$O$25,$A1083),"")</f>
        <v/>
      </c>
      <c r="D1083">
        <f t="array" ref="D1083">IFERROR(INDEX('TRIP MANAGER'!$P$18:$P$25,$A1083),"")</f>
        <v/>
      </c>
      <c r="E1083">
        <f t="array" ref="E1083">IFERROR(INDEX('TRIP MANAGER'!$Q$18:$Q$25,$A1083),"")</f>
        <v/>
      </c>
      <c r="F1083">
        <f t="array" ref="F1083">IFERROR(INDEX('TRIP MANAGER'!$R$18:$R$25,$A1083),"")</f>
        <v/>
      </c>
      <c r="G1083">
        <f t="array" ref="G1083">IFERROR(INDEX('TRIP MANAGER'!$S$18:$S$25,$A1083),"")</f>
        <v/>
      </c>
      <c r="H1083">
        <f>$B1083/150</f>
        <v/>
      </c>
      <c r="I1083">
        <f>IF(OR($G1083="",$G1083=0),"",SIN((1-$H1083)*$G1083)/SIN($G1083))</f>
        <v/>
      </c>
      <c r="J1083">
        <f>IF($I1083="","",SIN($H1083*$G1083)/SIN($G1083))</f>
        <v/>
      </c>
      <c r="K1083">
        <f>IF($I1083="","",$I1083*COS(RADIANS($C1083))*COS(RADIANS($D1083))+$J1083*COS(RADIANS($E1083))*COS(RADIANS($F1083)))</f>
        <v/>
      </c>
      <c r="L1083">
        <f>IF($I1083="","",$I1083*COS(RADIANS($C1083))*SIN(RADIANS($D1083))+$J1083*COS(RADIANS($E1083))*SIN(RADIANS($F1083)))</f>
        <v/>
      </c>
      <c r="M1083">
        <f>IF($I1083="","",$I1083*SIN(RADIANS($C1083))+$J1083*SIN(RADIANS($E1083)))</f>
        <v/>
      </c>
      <c r="N1083">
        <f>IF($M1083="","",DEGREES(ATAN2(SQRT($K1083^2+$L1083^2),$M1083)))</f>
        <v/>
      </c>
      <c r="O1083">
        <f>IF($M1083="","",DEGREES(ATAN2($K1083,$L1083)))</f>
        <v/>
      </c>
      <c r="P1083">
        <f t="array" ref="P1083">IF($N1083="","",IFERROR(IF(INDEX(geo_grid!$B$2:$JU$231,INT(($N1083+40)/0.5)+1,INT(($O1083+30)/0.5)+1)="","",INDEX(geo_grid!$B$2:$JU$231,INT(($N1083+40)/0.5)+1,INT(($O1083+30)/0.5)+1)),"OUTSIDE GRID"))</f>
        <v/>
      </c>
      <c r="Q1083">
        <f>IF($P1083="","",$A1083*1000+$B1083)</f>
        <v/>
      </c>
    </row>
    <row r="1084">
      <c r="A1084">
        <f>INT((ROW()-2)/151)+1</f>
        <v/>
      </c>
      <c r="B1084">
        <f>MOD(ROW()-2,151)</f>
        <v/>
      </c>
      <c r="C1084">
        <f t="array" ref="C1084">IFERROR(INDEX('TRIP MANAGER'!$O$18:$O$25,$A1084),"")</f>
        <v/>
      </c>
      <c r="D1084">
        <f t="array" ref="D1084">IFERROR(INDEX('TRIP MANAGER'!$P$18:$P$25,$A1084),"")</f>
        <v/>
      </c>
      <c r="E1084">
        <f t="array" ref="E1084">IFERROR(INDEX('TRIP MANAGER'!$Q$18:$Q$25,$A1084),"")</f>
        <v/>
      </c>
      <c r="F1084">
        <f t="array" ref="F1084">IFERROR(INDEX('TRIP MANAGER'!$R$18:$R$25,$A1084),"")</f>
        <v/>
      </c>
      <c r="G1084">
        <f t="array" ref="G1084">IFERROR(INDEX('TRIP MANAGER'!$S$18:$S$25,$A1084),"")</f>
        <v/>
      </c>
      <c r="H1084">
        <f>$B1084/150</f>
        <v/>
      </c>
      <c r="I1084">
        <f>IF(OR($G1084="",$G1084=0),"",SIN((1-$H1084)*$G1084)/SIN($G1084))</f>
        <v/>
      </c>
      <c r="J1084">
        <f>IF($I1084="","",SIN($H1084*$G1084)/SIN($G1084))</f>
        <v/>
      </c>
      <c r="K1084">
        <f>IF($I1084="","",$I1084*COS(RADIANS($C1084))*COS(RADIANS($D1084))+$J1084*COS(RADIANS($E1084))*COS(RADIANS($F1084)))</f>
        <v/>
      </c>
      <c r="L1084">
        <f>IF($I1084="","",$I1084*COS(RADIANS($C1084))*SIN(RADIANS($D1084))+$J1084*COS(RADIANS($E1084))*SIN(RADIANS($F1084)))</f>
        <v/>
      </c>
      <c r="M1084">
        <f>IF($I1084="","",$I1084*SIN(RADIANS($C1084))+$J1084*SIN(RADIANS($E1084)))</f>
        <v/>
      </c>
      <c r="N1084">
        <f>IF($M1084="","",DEGREES(ATAN2(SQRT($K1084^2+$L1084^2),$M1084)))</f>
        <v/>
      </c>
      <c r="O1084">
        <f>IF($M1084="","",DEGREES(ATAN2($K1084,$L1084)))</f>
        <v/>
      </c>
      <c r="P1084">
        <f t="array" ref="P1084">IF($N1084="","",IFERROR(IF(INDEX(geo_grid!$B$2:$JU$231,INT(($N1084+40)/0.5)+1,INT(($O1084+30)/0.5)+1)="","",INDEX(geo_grid!$B$2:$JU$231,INT(($N1084+40)/0.5)+1,INT(($O1084+30)/0.5)+1)),"OUTSIDE GRID"))</f>
        <v/>
      </c>
      <c r="Q1084">
        <f>IF($P1084="","",$A1084*1000+$B1084)</f>
        <v/>
      </c>
    </row>
    <row r="1085">
      <c r="A1085">
        <f>INT((ROW()-2)/151)+1</f>
        <v/>
      </c>
      <c r="B1085">
        <f>MOD(ROW()-2,151)</f>
        <v/>
      </c>
      <c r="C1085">
        <f t="array" ref="C1085">IFERROR(INDEX('TRIP MANAGER'!$O$18:$O$25,$A1085),"")</f>
        <v/>
      </c>
      <c r="D1085">
        <f t="array" ref="D1085">IFERROR(INDEX('TRIP MANAGER'!$P$18:$P$25,$A1085),"")</f>
        <v/>
      </c>
      <c r="E1085">
        <f t="array" ref="E1085">IFERROR(INDEX('TRIP MANAGER'!$Q$18:$Q$25,$A1085),"")</f>
        <v/>
      </c>
      <c r="F1085">
        <f t="array" ref="F1085">IFERROR(INDEX('TRIP MANAGER'!$R$18:$R$25,$A1085),"")</f>
        <v/>
      </c>
      <c r="G1085">
        <f t="array" ref="G1085">IFERROR(INDEX('TRIP MANAGER'!$S$18:$S$25,$A1085),"")</f>
        <v/>
      </c>
      <c r="H1085">
        <f>$B1085/150</f>
        <v/>
      </c>
      <c r="I1085">
        <f>IF(OR($G1085="",$G1085=0),"",SIN((1-$H1085)*$G1085)/SIN($G1085))</f>
        <v/>
      </c>
      <c r="J1085">
        <f>IF($I1085="","",SIN($H1085*$G1085)/SIN($G1085))</f>
        <v/>
      </c>
      <c r="K1085">
        <f>IF($I1085="","",$I1085*COS(RADIANS($C1085))*COS(RADIANS($D1085))+$J1085*COS(RADIANS($E1085))*COS(RADIANS($F1085)))</f>
        <v/>
      </c>
      <c r="L1085">
        <f>IF($I1085="","",$I1085*COS(RADIANS($C1085))*SIN(RADIANS($D1085))+$J1085*COS(RADIANS($E1085))*SIN(RADIANS($F1085)))</f>
        <v/>
      </c>
      <c r="M1085">
        <f>IF($I1085="","",$I1085*SIN(RADIANS($C1085))+$J1085*SIN(RADIANS($E1085)))</f>
        <v/>
      </c>
      <c r="N1085">
        <f>IF($M1085="","",DEGREES(ATAN2(SQRT($K1085^2+$L1085^2),$M1085)))</f>
        <v/>
      </c>
      <c r="O1085">
        <f>IF($M1085="","",DEGREES(ATAN2($K1085,$L1085)))</f>
        <v/>
      </c>
      <c r="P1085">
        <f t="array" ref="P1085">IF($N1085="","",IFERROR(IF(INDEX(geo_grid!$B$2:$JU$231,INT(($N1085+40)/0.5)+1,INT(($O1085+30)/0.5)+1)="","",INDEX(geo_grid!$B$2:$JU$231,INT(($N1085+40)/0.5)+1,INT(($O1085+30)/0.5)+1)),"OUTSIDE GRID"))</f>
        <v/>
      </c>
      <c r="Q1085">
        <f>IF($P1085="","",$A1085*1000+$B1085)</f>
        <v/>
      </c>
    </row>
    <row r="1086">
      <c r="A1086">
        <f>INT((ROW()-2)/151)+1</f>
        <v/>
      </c>
      <c r="B1086">
        <f>MOD(ROW()-2,151)</f>
        <v/>
      </c>
      <c r="C1086">
        <f t="array" ref="C1086">IFERROR(INDEX('TRIP MANAGER'!$O$18:$O$25,$A1086),"")</f>
        <v/>
      </c>
      <c r="D1086">
        <f t="array" ref="D1086">IFERROR(INDEX('TRIP MANAGER'!$P$18:$P$25,$A1086),"")</f>
        <v/>
      </c>
      <c r="E1086">
        <f t="array" ref="E1086">IFERROR(INDEX('TRIP MANAGER'!$Q$18:$Q$25,$A1086),"")</f>
        <v/>
      </c>
      <c r="F1086">
        <f t="array" ref="F1086">IFERROR(INDEX('TRIP MANAGER'!$R$18:$R$25,$A1086),"")</f>
        <v/>
      </c>
      <c r="G1086">
        <f t="array" ref="G1086">IFERROR(INDEX('TRIP MANAGER'!$S$18:$S$25,$A1086),"")</f>
        <v/>
      </c>
      <c r="H1086">
        <f>$B1086/150</f>
        <v/>
      </c>
      <c r="I1086">
        <f>IF(OR($G1086="",$G1086=0),"",SIN((1-$H1086)*$G1086)/SIN($G1086))</f>
        <v/>
      </c>
      <c r="J1086">
        <f>IF($I1086="","",SIN($H1086*$G1086)/SIN($G1086))</f>
        <v/>
      </c>
      <c r="K1086">
        <f>IF($I1086="","",$I1086*COS(RADIANS($C1086))*COS(RADIANS($D1086))+$J1086*COS(RADIANS($E1086))*COS(RADIANS($F1086)))</f>
        <v/>
      </c>
      <c r="L1086">
        <f>IF($I1086="","",$I1086*COS(RADIANS($C1086))*SIN(RADIANS($D1086))+$J1086*COS(RADIANS($E1086))*SIN(RADIANS($F1086)))</f>
        <v/>
      </c>
      <c r="M1086">
        <f>IF($I1086="","",$I1086*SIN(RADIANS($C1086))+$J1086*SIN(RADIANS($E1086)))</f>
        <v/>
      </c>
      <c r="N1086">
        <f>IF($M1086="","",DEGREES(ATAN2(SQRT($K1086^2+$L1086^2),$M1086)))</f>
        <v/>
      </c>
      <c r="O1086">
        <f>IF($M1086="","",DEGREES(ATAN2($K1086,$L1086)))</f>
        <v/>
      </c>
      <c r="P1086">
        <f t="array" ref="P1086">IF($N1086="","",IFERROR(IF(INDEX(geo_grid!$B$2:$JU$231,INT(($N1086+40)/0.5)+1,INT(($O1086+30)/0.5)+1)="","",INDEX(geo_grid!$B$2:$JU$231,INT(($N1086+40)/0.5)+1,INT(($O1086+30)/0.5)+1)),"OUTSIDE GRID"))</f>
        <v/>
      </c>
      <c r="Q1086">
        <f>IF($P1086="","",$A1086*1000+$B1086)</f>
        <v/>
      </c>
    </row>
    <row r="1087">
      <c r="A1087">
        <f>INT((ROW()-2)/151)+1</f>
        <v/>
      </c>
      <c r="B1087">
        <f>MOD(ROW()-2,151)</f>
        <v/>
      </c>
      <c r="C1087">
        <f t="array" ref="C1087">IFERROR(INDEX('TRIP MANAGER'!$O$18:$O$25,$A1087),"")</f>
        <v/>
      </c>
      <c r="D1087">
        <f t="array" ref="D1087">IFERROR(INDEX('TRIP MANAGER'!$P$18:$P$25,$A1087),"")</f>
        <v/>
      </c>
      <c r="E1087">
        <f t="array" ref="E1087">IFERROR(INDEX('TRIP MANAGER'!$Q$18:$Q$25,$A1087),"")</f>
        <v/>
      </c>
      <c r="F1087">
        <f t="array" ref="F1087">IFERROR(INDEX('TRIP MANAGER'!$R$18:$R$25,$A1087),"")</f>
        <v/>
      </c>
      <c r="G1087">
        <f t="array" ref="G1087">IFERROR(INDEX('TRIP MANAGER'!$S$18:$S$25,$A1087),"")</f>
        <v/>
      </c>
      <c r="H1087">
        <f>$B1087/150</f>
        <v/>
      </c>
      <c r="I1087">
        <f>IF(OR($G1087="",$G1087=0),"",SIN((1-$H1087)*$G1087)/SIN($G1087))</f>
        <v/>
      </c>
      <c r="J1087">
        <f>IF($I1087="","",SIN($H1087*$G1087)/SIN($G1087))</f>
        <v/>
      </c>
      <c r="K1087">
        <f>IF($I1087="","",$I1087*COS(RADIANS($C1087))*COS(RADIANS($D1087))+$J1087*COS(RADIANS($E1087))*COS(RADIANS($F1087)))</f>
        <v/>
      </c>
      <c r="L1087">
        <f>IF($I1087="","",$I1087*COS(RADIANS($C1087))*SIN(RADIANS($D1087))+$J1087*COS(RADIANS($E1087))*SIN(RADIANS($F1087)))</f>
        <v/>
      </c>
      <c r="M1087">
        <f>IF($I1087="","",$I1087*SIN(RADIANS($C1087))+$J1087*SIN(RADIANS($E1087)))</f>
        <v/>
      </c>
      <c r="N1087">
        <f>IF($M1087="","",DEGREES(ATAN2(SQRT($K1087^2+$L1087^2),$M1087)))</f>
        <v/>
      </c>
      <c r="O1087">
        <f>IF($M1087="","",DEGREES(ATAN2($K1087,$L1087)))</f>
        <v/>
      </c>
      <c r="P1087">
        <f t="array" ref="P1087">IF($N1087="","",IFERROR(IF(INDEX(geo_grid!$B$2:$JU$231,INT(($N1087+40)/0.5)+1,INT(($O1087+30)/0.5)+1)="","",INDEX(geo_grid!$B$2:$JU$231,INT(($N1087+40)/0.5)+1,INT(($O1087+30)/0.5)+1)),"OUTSIDE GRID"))</f>
        <v/>
      </c>
      <c r="Q1087">
        <f>IF($P1087="","",$A1087*1000+$B1087)</f>
        <v/>
      </c>
    </row>
    <row r="1088">
      <c r="A1088">
        <f>INT((ROW()-2)/151)+1</f>
        <v/>
      </c>
      <c r="B1088">
        <f>MOD(ROW()-2,151)</f>
        <v/>
      </c>
      <c r="C1088">
        <f t="array" ref="C1088">IFERROR(INDEX('TRIP MANAGER'!$O$18:$O$25,$A1088),"")</f>
        <v/>
      </c>
      <c r="D1088">
        <f t="array" ref="D1088">IFERROR(INDEX('TRIP MANAGER'!$P$18:$P$25,$A1088),"")</f>
        <v/>
      </c>
      <c r="E1088">
        <f t="array" ref="E1088">IFERROR(INDEX('TRIP MANAGER'!$Q$18:$Q$25,$A1088),"")</f>
        <v/>
      </c>
      <c r="F1088">
        <f t="array" ref="F1088">IFERROR(INDEX('TRIP MANAGER'!$R$18:$R$25,$A1088),"")</f>
        <v/>
      </c>
      <c r="G1088">
        <f t="array" ref="G1088">IFERROR(INDEX('TRIP MANAGER'!$S$18:$S$25,$A1088),"")</f>
        <v/>
      </c>
      <c r="H1088">
        <f>$B1088/150</f>
        <v/>
      </c>
      <c r="I1088">
        <f>IF(OR($G1088="",$G1088=0),"",SIN((1-$H1088)*$G1088)/SIN($G1088))</f>
        <v/>
      </c>
      <c r="J1088">
        <f>IF($I1088="","",SIN($H1088*$G1088)/SIN($G1088))</f>
        <v/>
      </c>
      <c r="K1088">
        <f>IF($I1088="","",$I1088*COS(RADIANS($C1088))*COS(RADIANS($D1088))+$J1088*COS(RADIANS($E1088))*COS(RADIANS($F1088)))</f>
        <v/>
      </c>
      <c r="L1088">
        <f>IF($I1088="","",$I1088*COS(RADIANS($C1088))*SIN(RADIANS($D1088))+$J1088*COS(RADIANS($E1088))*SIN(RADIANS($F1088)))</f>
        <v/>
      </c>
      <c r="M1088">
        <f>IF($I1088="","",$I1088*SIN(RADIANS($C1088))+$J1088*SIN(RADIANS($E1088)))</f>
        <v/>
      </c>
      <c r="N1088">
        <f>IF($M1088="","",DEGREES(ATAN2(SQRT($K1088^2+$L1088^2),$M1088)))</f>
        <v/>
      </c>
      <c r="O1088">
        <f>IF($M1088="","",DEGREES(ATAN2($K1088,$L1088)))</f>
        <v/>
      </c>
      <c r="P1088">
        <f t="array" ref="P1088">IF($N1088="","",IFERROR(IF(INDEX(geo_grid!$B$2:$JU$231,INT(($N1088+40)/0.5)+1,INT(($O1088+30)/0.5)+1)="","",INDEX(geo_grid!$B$2:$JU$231,INT(($N1088+40)/0.5)+1,INT(($O1088+30)/0.5)+1)),"OUTSIDE GRID"))</f>
        <v/>
      </c>
      <c r="Q1088">
        <f>IF($P1088="","",$A1088*1000+$B1088)</f>
        <v/>
      </c>
    </row>
    <row r="1089">
      <c r="A1089">
        <f>INT((ROW()-2)/151)+1</f>
        <v/>
      </c>
      <c r="B1089">
        <f>MOD(ROW()-2,151)</f>
        <v/>
      </c>
      <c r="C1089">
        <f t="array" ref="C1089">IFERROR(INDEX('TRIP MANAGER'!$O$18:$O$25,$A1089),"")</f>
        <v/>
      </c>
      <c r="D1089">
        <f t="array" ref="D1089">IFERROR(INDEX('TRIP MANAGER'!$P$18:$P$25,$A1089),"")</f>
        <v/>
      </c>
      <c r="E1089">
        <f t="array" ref="E1089">IFERROR(INDEX('TRIP MANAGER'!$Q$18:$Q$25,$A1089),"")</f>
        <v/>
      </c>
      <c r="F1089">
        <f t="array" ref="F1089">IFERROR(INDEX('TRIP MANAGER'!$R$18:$R$25,$A1089),"")</f>
        <v/>
      </c>
      <c r="G1089">
        <f t="array" ref="G1089">IFERROR(INDEX('TRIP MANAGER'!$S$18:$S$25,$A1089),"")</f>
        <v/>
      </c>
      <c r="H1089">
        <f>$B1089/150</f>
        <v/>
      </c>
      <c r="I1089">
        <f>IF(OR($G1089="",$G1089=0),"",SIN((1-$H1089)*$G1089)/SIN($G1089))</f>
        <v/>
      </c>
      <c r="J1089">
        <f>IF($I1089="","",SIN($H1089*$G1089)/SIN($G1089))</f>
        <v/>
      </c>
      <c r="K1089">
        <f>IF($I1089="","",$I1089*COS(RADIANS($C1089))*COS(RADIANS($D1089))+$J1089*COS(RADIANS($E1089))*COS(RADIANS($F1089)))</f>
        <v/>
      </c>
      <c r="L1089">
        <f>IF($I1089="","",$I1089*COS(RADIANS($C1089))*SIN(RADIANS($D1089))+$J1089*COS(RADIANS($E1089))*SIN(RADIANS($F1089)))</f>
        <v/>
      </c>
      <c r="M1089">
        <f>IF($I1089="","",$I1089*SIN(RADIANS($C1089))+$J1089*SIN(RADIANS($E1089)))</f>
        <v/>
      </c>
      <c r="N1089">
        <f>IF($M1089="","",DEGREES(ATAN2(SQRT($K1089^2+$L1089^2),$M1089)))</f>
        <v/>
      </c>
      <c r="O1089">
        <f>IF($M1089="","",DEGREES(ATAN2($K1089,$L1089)))</f>
        <v/>
      </c>
      <c r="P1089">
        <f t="array" ref="P1089">IF($N1089="","",IFERROR(IF(INDEX(geo_grid!$B$2:$JU$231,INT(($N1089+40)/0.5)+1,INT(($O1089+30)/0.5)+1)="","",INDEX(geo_grid!$B$2:$JU$231,INT(($N1089+40)/0.5)+1,INT(($O1089+30)/0.5)+1)),"OUTSIDE GRID"))</f>
        <v/>
      </c>
      <c r="Q1089">
        <f>IF($P1089="","",$A1089*1000+$B1089)</f>
        <v/>
      </c>
    </row>
    <row r="1090">
      <c r="A1090">
        <f>INT((ROW()-2)/151)+1</f>
        <v/>
      </c>
      <c r="B1090">
        <f>MOD(ROW()-2,151)</f>
        <v/>
      </c>
      <c r="C1090">
        <f t="array" ref="C1090">IFERROR(INDEX('TRIP MANAGER'!$O$18:$O$25,$A1090),"")</f>
        <v/>
      </c>
      <c r="D1090">
        <f t="array" ref="D1090">IFERROR(INDEX('TRIP MANAGER'!$P$18:$P$25,$A1090),"")</f>
        <v/>
      </c>
      <c r="E1090">
        <f t="array" ref="E1090">IFERROR(INDEX('TRIP MANAGER'!$Q$18:$Q$25,$A1090),"")</f>
        <v/>
      </c>
      <c r="F1090">
        <f t="array" ref="F1090">IFERROR(INDEX('TRIP MANAGER'!$R$18:$R$25,$A1090),"")</f>
        <v/>
      </c>
      <c r="G1090">
        <f t="array" ref="G1090">IFERROR(INDEX('TRIP MANAGER'!$S$18:$S$25,$A1090),"")</f>
        <v/>
      </c>
      <c r="H1090">
        <f>$B1090/150</f>
        <v/>
      </c>
      <c r="I1090">
        <f>IF(OR($G1090="",$G1090=0),"",SIN((1-$H1090)*$G1090)/SIN($G1090))</f>
        <v/>
      </c>
      <c r="J1090">
        <f>IF($I1090="","",SIN($H1090*$G1090)/SIN($G1090))</f>
        <v/>
      </c>
      <c r="K1090">
        <f>IF($I1090="","",$I1090*COS(RADIANS($C1090))*COS(RADIANS($D1090))+$J1090*COS(RADIANS($E1090))*COS(RADIANS($F1090)))</f>
        <v/>
      </c>
      <c r="L1090">
        <f>IF($I1090="","",$I1090*COS(RADIANS($C1090))*SIN(RADIANS($D1090))+$J1090*COS(RADIANS($E1090))*SIN(RADIANS($F1090)))</f>
        <v/>
      </c>
      <c r="M1090">
        <f>IF($I1090="","",$I1090*SIN(RADIANS($C1090))+$J1090*SIN(RADIANS($E1090)))</f>
        <v/>
      </c>
      <c r="N1090">
        <f>IF($M1090="","",DEGREES(ATAN2(SQRT($K1090^2+$L1090^2),$M1090)))</f>
        <v/>
      </c>
      <c r="O1090">
        <f>IF($M1090="","",DEGREES(ATAN2($K1090,$L1090)))</f>
        <v/>
      </c>
      <c r="P1090">
        <f t="array" ref="P1090">IF($N1090="","",IFERROR(IF(INDEX(geo_grid!$B$2:$JU$231,INT(($N1090+40)/0.5)+1,INT(($O1090+30)/0.5)+1)="","",INDEX(geo_grid!$B$2:$JU$231,INT(($N1090+40)/0.5)+1,INT(($O1090+30)/0.5)+1)),"OUTSIDE GRID"))</f>
        <v/>
      </c>
      <c r="Q1090">
        <f>IF($P1090="","",$A1090*1000+$B1090)</f>
        <v/>
      </c>
    </row>
    <row r="1091">
      <c r="A1091">
        <f>INT((ROW()-2)/151)+1</f>
        <v/>
      </c>
      <c r="B1091">
        <f>MOD(ROW()-2,151)</f>
        <v/>
      </c>
      <c r="C1091">
        <f t="array" ref="C1091">IFERROR(INDEX('TRIP MANAGER'!$O$18:$O$25,$A1091),"")</f>
        <v/>
      </c>
      <c r="D1091">
        <f t="array" ref="D1091">IFERROR(INDEX('TRIP MANAGER'!$P$18:$P$25,$A1091),"")</f>
        <v/>
      </c>
      <c r="E1091">
        <f t="array" ref="E1091">IFERROR(INDEX('TRIP MANAGER'!$Q$18:$Q$25,$A1091),"")</f>
        <v/>
      </c>
      <c r="F1091">
        <f t="array" ref="F1091">IFERROR(INDEX('TRIP MANAGER'!$R$18:$R$25,$A1091),"")</f>
        <v/>
      </c>
      <c r="G1091">
        <f t="array" ref="G1091">IFERROR(INDEX('TRIP MANAGER'!$S$18:$S$25,$A1091),"")</f>
        <v/>
      </c>
      <c r="H1091">
        <f>$B1091/150</f>
        <v/>
      </c>
      <c r="I1091">
        <f>IF(OR($G1091="",$G1091=0),"",SIN((1-$H1091)*$G1091)/SIN($G1091))</f>
        <v/>
      </c>
      <c r="J1091">
        <f>IF($I1091="","",SIN($H1091*$G1091)/SIN($G1091))</f>
        <v/>
      </c>
      <c r="K1091">
        <f>IF($I1091="","",$I1091*COS(RADIANS($C1091))*COS(RADIANS($D1091))+$J1091*COS(RADIANS($E1091))*COS(RADIANS($F1091)))</f>
        <v/>
      </c>
      <c r="L1091">
        <f>IF($I1091="","",$I1091*COS(RADIANS($C1091))*SIN(RADIANS($D1091))+$J1091*COS(RADIANS($E1091))*SIN(RADIANS($F1091)))</f>
        <v/>
      </c>
      <c r="M1091">
        <f>IF($I1091="","",$I1091*SIN(RADIANS($C1091))+$J1091*SIN(RADIANS($E1091)))</f>
        <v/>
      </c>
      <c r="N1091">
        <f>IF($M1091="","",DEGREES(ATAN2(SQRT($K1091^2+$L1091^2),$M1091)))</f>
        <v/>
      </c>
      <c r="O1091">
        <f>IF($M1091="","",DEGREES(ATAN2($K1091,$L1091)))</f>
        <v/>
      </c>
      <c r="P1091">
        <f t="array" ref="P1091">IF($N1091="","",IFERROR(IF(INDEX(geo_grid!$B$2:$JU$231,INT(($N1091+40)/0.5)+1,INT(($O1091+30)/0.5)+1)="","",INDEX(geo_grid!$B$2:$JU$231,INT(($N1091+40)/0.5)+1,INT(($O1091+30)/0.5)+1)),"OUTSIDE GRID"))</f>
        <v/>
      </c>
      <c r="Q1091">
        <f>IF($P1091="","",$A1091*1000+$B1091)</f>
        <v/>
      </c>
    </row>
    <row r="1092">
      <c r="A1092">
        <f>INT((ROW()-2)/151)+1</f>
        <v/>
      </c>
      <c r="B1092">
        <f>MOD(ROW()-2,151)</f>
        <v/>
      </c>
      <c r="C1092">
        <f t="array" ref="C1092">IFERROR(INDEX('TRIP MANAGER'!$O$18:$O$25,$A1092),"")</f>
        <v/>
      </c>
      <c r="D1092">
        <f t="array" ref="D1092">IFERROR(INDEX('TRIP MANAGER'!$P$18:$P$25,$A1092),"")</f>
        <v/>
      </c>
      <c r="E1092">
        <f t="array" ref="E1092">IFERROR(INDEX('TRIP MANAGER'!$Q$18:$Q$25,$A1092),"")</f>
        <v/>
      </c>
      <c r="F1092">
        <f t="array" ref="F1092">IFERROR(INDEX('TRIP MANAGER'!$R$18:$R$25,$A1092),"")</f>
        <v/>
      </c>
      <c r="G1092">
        <f t="array" ref="G1092">IFERROR(INDEX('TRIP MANAGER'!$S$18:$S$25,$A1092),"")</f>
        <v/>
      </c>
      <c r="H1092">
        <f>$B1092/150</f>
        <v/>
      </c>
      <c r="I1092">
        <f>IF(OR($G1092="",$G1092=0),"",SIN((1-$H1092)*$G1092)/SIN($G1092))</f>
        <v/>
      </c>
      <c r="J1092">
        <f>IF($I1092="","",SIN($H1092*$G1092)/SIN($G1092))</f>
        <v/>
      </c>
      <c r="K1092">
        <f>IF($I1092="","",$I1092*COS(RADIANS($C1092))*COS(RADIANS($D1092))+$J1092*COS(RADIANS($E1092))*COS(RADIANS($F1092)))</f>
        <v/>
      </c>
      <c r="L1092">
        <f>IF($I1092="","",$I1092*COS(RADIANS($C1092))*SIN(RADIANS($D1092))+$J1092*COS(RADIANS($E1092))*SIN(RADIANS($F1092)))</f>
        <v/>
      </c>
      <c r="M1092">
        <f>IF($I1092="","",$I1092*SIN(RADIANS($C1092))+$J1092*SIN(RADIANS($E1092)))</f>
        <v/>
      </c>
      <c r="N1092">
        <f>IF($M1092="","",DEGREES(ATAN2(SQRT($K1092^2+$L1092^2),$M1092)))</f>
        <v/>
      </c>
      <c r="O1092">
        <f>IF($M1092="","",DEGREES(ATAN2($K1092,$L1092)))</f>
        <v/>
      </c>
      <c r="P1092">
        <f t="array" ref="P1092">IF($N1092="","",IFERROR(IF(INDEX(geo_grid!$B$2:$JU$231,INT(($N1092+40)/0.5)+1,INT(($O1092+30)/0.5)+1)="","",INDEX(geo_grid!$B$2:$JU$231,INT(($N1092+40)/0.5)+1,INT(($O1092+30)/0.5)+1)),"OUTSIDE GRID"))</f>
        <v/>
      </c>
      <c r="Q1092">
        <f>IF($P1092="","",$A1092*1000+$B1092)</f>
        <v/>
      </c>
    </row>
    <row r="1093">
      <c r="A1093">
        <f>INT((ROW()-2)/151)+1</f>
        <v/>
      </c>
      <c r="B1093">
        <f>MOD(ROW()-2,151)</f>
        <v/>
      </c>
      <c r="C1093">
        <f t="array" ref="C1093">IFERROR(INDEX('TRIP MANAGER'!$O$18:$O$25,$A1093),"")</f>
        <v/>
      </c>
      <c r="D1093">
        <f t="array" ref="D1093">IFERROR(INDEX('TRIP MANAGER'!$P$18:$P$25,$A1093),"")</f>
        <v/>
      </c>
      <c r="E1093">
        <f t="array" ref="E1093">IFERROR(INDEX('TRIP MANAGER'!$Q$18:$Q$25,$A1093),"")</f>
        <v/>
      </c>
      <c r="F1093">
        <f t="array" ref="F1093">IFERROR(INDEX('TRIP MANAGER'!$R$18:$R$25,$A1093),"")</f>
        <v/>
      </c>
      <c r="G1093">
        <f t="array" ref="G1093">IFERROR(INDEX('TRIP MANAGER'!$S$18:$S$25,$A1093),"")</f>
        <v/>
      </c>
      <c r="H1093">
        <f>$B1093/150</f>
        <v/>
      </c>
      <c r="I1093">
        <f>IF(OR($G1093="",$G1093=0),"",SIN((1-$H1093)*$G1093)/SIN($G1093))</f>
        <v/>
      </c>
      <c r="J1093">
        <f>IF($I1093="","",SIN($H1093*$G1093)/SIN($G1093))</f>
        <v/>
      </c>
      <c r="K1093">
        <f>IF($I1093="","",$I1093*COS(RADIANS($C1093))*COS(RADIANS($D1093))+$J1093*COS(RADIANS($E1093))*COS(RADIANS($F1093)))</f>
        <v/>
      </c>
      <c r="L1093">
        <f>IF($I1093="","",$I1093*COS(RADIANS($C1093))*SIN(RADIANS($D1093))+$J1093*COS(RADIANS($E1093))*SIN(RADIANS($F1093)))</f>
        <v/>
      </c>
      <c r="M1093">
        <f>IF($I1093="","",$I1093*SIN(RADIANS($C1093))+$J1093*SIN(RADIANS($E1093)))</f>
        <v/>
      </c>
      <c r="N1093">
        <f>IF($M1093="","",DEGREES(ATAN2(SQRT($K1093^2+$L1093^2),$M1093)))</f>
        <v/>
      </c>
      <c r="O1093">
        <f>IF($M1093="","",DEGREES(ATAN2($K1093,$L1093)))</f>
        <v/>
      </c>
      <c r="P1093">
        <f t="array" ref="P1093">IF($N1093="","",IFERROR(IF(INDEX(geo_grid!$B$2:$JU$231,INT(($N1093+40)/0.5)+1,INT(($O1093+30)/0.5)+1)="","",INDEX(geo_grid!$B$2:$JU$231,INT(($N1093+40)/0.5)+1,INT(($O1093+30)/0.5)+1)),"OUTSIDE GRID"))</f>
        <v/>
      </c>
      <c r="Q1093">
        <f>IF($P1093="","",$A1093*1000+$B1093)</f>
        <v/>
      </c>
    </row>
    <row r="1094">
      <c r="A1094">
        <f>INT((ROW()-2)/151)+1</f>
        <v/>
      </c>
      <c r="B1094">
        <f>MOD(ROW()-2,151)</f>
        <v/>
      </c>
      <c r="C1094">
        <f t="array" ref="C1094">IFERROR(INDEX('TRIP MANAGER'!$O$18:$O$25,$A1094),"")</f>
        <v/>
      </c>
      <c r="D1094">
        <f t="array" ref="D1094">IFERROR(INDEX('TRIP MANAGER'!$P$18:$P$25,$A1094),"")</f>
        <v/>
      </c>
      <c r="E1094">
        <f t="array" ref="E1094">IFERROR(INDEX('TRIP MANAGER'!$Q$18:$Q$25,$A1094),"")</f>
        <v/>
      </c>
      <c r="F1094">
        <f t="array" ref="F1094">IFERROR(INDEX('TRIP MANAGER'!$R$18:$R$25,$A1094),"")</f>
        <v/>
      </c>
      <c r="G1094">
        <f t="array" ref="G1094">IFERROR(INDEX('TRIP MANAGER'!$S$18:$S$25,$A1094),"")</f>
        <v/>
      </c>
      <c r="H1094">
        <f>$B1094/150</f>
        <v/>
      </c>
      <c r="I1094">
        <f>IF(OR($G1094="",$G1094=0),"",SIN((1-$H1094)*$G1094)/SIN($G1094))</f>
        <v/>
      </c>
      <c r="J1094">
        <f>IF($I1094="","",SIN($H1094*$G1094)/SIN($G1094))</f>
        <v/>
      </c>
      <c r="K1094">
        <f>IF($I1094="","",$I1094*COS(RADIANS($C1094))*COS(RADIANS($D1094))+$J1094*COS(RADIANS($E1094))*COS(RADIANS($F1094)))</f>
        <v/>
      </c>
      <c r="L1094">
        <f>IF($I1094="","",$I1094*COS(RADIANS($C1094))*SIN(RADIANS($D1094))+$J1094*COS(RADIANS($E1094))*SIN(RADIANS($F1094)))</f>
        <v/>
      </c>
      <c r="M1094">
        <f>IF($I1094="","",$I1094*SIN(RADIANS($C1094))+$J1094*SIN(RADIANS($E1094)))</f>
        <v/>
      </c>
      <c r="N1094">
        <f>IF($M1094="","",DEGREES(ATAN2(SQRT($K1094^2+$L1094^2),$M1094)))</f>
        <v/>
      </c>
      <c r="O1094">
        <f>IF($M1094="","",DEGREES(ATAN2($K1094,$L1094)))</f>
        <v/>
      </c>
      <c r="P1094">
        <f t="array" ref="P1094">IF($N1094="","",IFERROR(IF(INDEX(geo_grid!$B$2:$JU$231,INT(($N1094+40)/0.5)+1,INT(($O1094+30)/0.5)+1)="","",INDEX(geo_grid!$B$2:$JU$231,INT(($N1094+40)/0.5)+1,INT(($O1094+30)/0.5)+1)),"OUTSIDE GRID"))</f>
        <v/>
      </c>
      <c r="Q1094">
        <f>IF($P1094="","",$A1094*1000+$B1094)</f>
        <v/>
      </c>
    </row>
    <row r="1095">
      <c r="A1095">
        <f>INT((ROW()-2)/151)+1</f>
        <v/>
      </c>
      <c r="B1095">
        <f>MOD(ROW()-2,151)</f>
        <v/>
      </c>
      <c r="C1095">
        <f t="array" ref="C1095">IFERROR(INDEX('TRIP MANAGER'!$O$18:$O$25,$A1095),"")</f>
        <v/>
      </c>
      <c r="D1095">
        <f t="array" ref="D1095">IFERROR(INDEX('TRIP MANAGER'!$P$18:$P$25,$A1095),"")</f>
        <v/>
      </c>
      <c r="E1095">
        <f t="array" ref="E1095">IFERROR(INDEX('TRIP MANAGER'!$Q$18:$Q$25,$A1095),"")</f>
        <v/>
      </c>
      <c r="F1095">
        <f t="array" ref="F1095">IFERROR(INDEX('TRIP MANAGER'!$R$18:$R$25,$A1095),"")</f>
        <v/>
      </c>
      <c r="G1095">
        <f t="array" ref="G1095">IFERROR(INDEX('TRIP MANAGER'!$S$18:$S$25,$A1095),"")</f>
        <v/>
      </c>
      <c r="H1095">
        <f>$B1095/150</f>
        <v/>
      </c>
      <c r="I1095">
        <f>IF(OR($G1095="",$G1095=0),"",SIN((1-$H1095)*$G1095)/SIN($G1095))</f>
        <v/>
      </c>
      <c r="J1095">
        <f>IF($I1095="","",SIN($H1095*$G1095)/SIN($G1095))</f>
        <v/>
      </c>
      <c r="K1095">
        <f>IF($I1095="","",$I1095*COS(RADIANS($C1095))*COS(RADIANS($D1095))+$J1095*COS(RADIANS($E1095))*COS(RADIANS($F1095)))</f>
        <v/>
      </c>
      <c r="L1095">
        <f>IF($I1095="","",$I1095*COS(RADIANS($C1095))*SIN(RADIANS($D1095))+$J1095*COS(RADIANS($E1095))*SIN(RADIANS($F1095)))</f>
        <v/>
      </c>
      <c r="M1095">
        <f>IF($I1095="","",$I1095*SIN(RADIANS($C1095))+$J1095*SIN(RADIANS($E1095)))</f>
        <v/>
      </c>
      <c r="N1095">
        <f>IF($M1095="","",DEGREES(ATAN2(SQRT($K1095^2+$L1095^2),$M1095)))</f>
        <v/>
      </c>
      <c r="O1095">
        <f>IF($M1095="","",DEGREES(ATAN2($K1095,$L1095)))</f>
        <v/>
      </c>
      <c r="P1095">
        <f t="array" ref="P1095">IF($N1095="","",IFERROR(IF(INDEX(geo_grid!$B$2:$JU$231,INT(($N1095+40)/0.5)+1,INT(($O1095+30)/0.5)+1)="","",INDEX(geo_grid!$B$2:$JU$231,INT(($N1095+40)/0.5)+1,INT(($O1095+30)/0.5)+1)),"OUTSIDE GRID"))</f>
        <v/>
      </c>
      <c r="Q1095">
        <f>IF($P1095="","",$A1095*1000+$B1095)</f>
        <v/>
      </c>
    </row>
    <row r="1096">
      <c r="A1096">
        <f>INT((ROW()-2)/151)+1</f>
        <v/>
      </c>
      <c r="B1096">
        <f>MOD(ROW()-2,151)</f>
        <v/>
      </c>
      <c r="C1096">
        <f t="array" ref="C1096">IFERROR(INDEX('TRIP MANAGER'!$O$18:$O$25,$A1096),"")</f>
        <v/>
      </c>
      <c r="D1096">
        <f t="array" ref="D1096">IFERROR(INDEX('TRIP MANAGER'!$P$18:$P$25,$A1096),"")</f>
        <v/>
      </c>
      <c r="E1096">
        <f t="array" ref="E1096">IFERROR(INDEX('TRIP MANAGER'!$Q$18:$Q$25,$A1096),"")</f>
        <v/>
      </c>
      <c r="F1096">
        <f t="array" ref="F1096">IFERROR(INDEX('TRIP MANAGER'!$R$18:$R$25,$A1096),"")</f>
        <v/>
      </c>
      <c r="G1096">
        <f t="array" ref="G1096">IFERROR(INDEX('TRIP MANAGER'!$S$18:$S$25,$A1096),"")</f>
        <v/>
      </c>
      <c r="H1096">
        <f>$B1096/150</f>
        <v/>
      </c>
      <c r="I1096">
        <f>IF(OR($G1096="",$G1096=0),"",SIN((1-$H1096)*$G1096)/SIN($G1096))</f>
        <v/>
      </c>
      <c r="J1096">
        <f>IF($I1096="","",SIN($H1096*$G1096)/SIN($G1096))</f>
        <v/>
      </c>
      <c r="K1096">
        <f>IF($I1096="","",$I1096*COS(RADIANS($C1096))*COS(RADIANS($D1096))+$J1096*COS(RADIANS($E1096))*COS(RADIANS($F1096)))</f>
        <v/>
      </c>
      <c r="L1096">
        <f>IF($I1096="","",$I1096*COS(RADIANS($C1096))*SIN(RADIANS($D1096))+$J1096*COS(RADIANS($E1096))*SIN(RADIANS($F1096)))</f>
        <v/>
      </c>
      <c r="M1096">
        <f>IF($I1096="","",$I1096*SIN(RADIANS($C1096))+$J1096*SIN(RADIANS($E1096)))</f>
        <v/>
      </c>
      <c r="N1096">
        <f>IF($M1096="","",DEGREES(ATAN2(SQRT($K1096^2+$L1096^2),$M1096)))</f>
        <v/>
      </c>
      <c r="O1096">
        <f>IF($M1096="","",DEGREES(ATAN2($K1096,$L1096)))</f>
        <v/>
      </c>
      <c r="P1096">
        <f t="array" ref="P1096">IF($N1096="","",IFERROR(IF(INDEX(geo_grid!$B$2:$JU$231,INT(($N1096+40)/0.5)+1,INT(($O1096+30)/0.5)+1)="","",INDEX(geo_grid!$B$2:$JU$231,INT(($N1096+40)/0.5)+1,INT(($O1096+30)/0.5)+1)),"OUTSIDE GRID"))</f>
        <v/>
      </c>
      <c r="Q1096">
        <f>IF($P1096="","",$A1096*1000+$B1096)</f>
        <v/>
      </c>
    </row>
    <row r="1097">
      <c r="A1097">
        <f>INT((ROW()-2)/151)+1</f>
        <v/>
      </c>
      <c r="B1097">
        <f>MOD(ROW()-2,151)</f>
        <v/>
      </c>
      <c r="C1097">
        <f t="array" ref="C1097">IFERROR(INDEX('TRIP MANAGER'!$O$18:$O$25,$A1097),"")</f>
        <v/>
      </c>
      <c r="D1097">
        <f t="array" ref="D1097">IFERROR(INDEX('TRIP MANAGER'!$P$18:$P$25,$A1097),"")</f>
        <v/>
      </c>
      <c r="E1097">
        <f t="array" ref="E1097">IFERROR(INDEX('TRIP MANAGER'!$Q$18:$Q$25,$A1097),"")</f>
        <v/>
      </c>
      <c r="F1097">
        <f t="array" ref="F1097">IFERROR(INDEX('TRIP MANAGER'!$R$18:$R$25,$A1097),"")</f>
        <v/>
      </c>
      <c r="G1097">
        <f t="array" ref="G1097">IFERROR(INDEX('TRIP MANAGER'!$S$18:$S$25,$A1097),"")</f>
        <v/>
      </c>
      <c r="H1097">
        <f>$B1097/150</f>
        <v/>
      </c>
      <c r="I1097">
        <f>IF(OR($G1097="",$G1097=0),"",SIN((1-$H1097)*$G1097)/SIN($G1097))</f>
        <v/>
      </c>
      <c r="J1097">
        <f>IF($I1097="","",SIN($H1097*$G1097)/SIN($G1097))</f>
        <v/>
      </c>
      <c r="K1097">
        <f>IF($I1097="","",$I1097*COS(RADIANS($C1097))*COS(RADIANS($D1097))+$J1097*COS(RADIANS($E1097))*COS(RADIANS($F1097)))</f>
        <v/>
      </c>
      <c r="L1097">
        <f>IF($I1097="","",$I1097*COS(RADIANS($C1097))*SIN(RADIANS($D1097))+$J1097*COS(RADIANS($E1097))*SIN(RADIANS($F1097)))</f>
        <v/>
      </c>
      <c r="M1097">
        <f>IF($I1097="","",$I1097*SIN(RADIANS($C1097))+$J1097*SIN(RADIANS($E1097)))</f>
        <v/>
      </c>
      <c r="N1097">
        <f>IF($M1097="","",DEGREES(ATAN2(SQRT($K1097^2+$L1097^2),$M1097)))</f>
        <v/>
      </c>
      <c r="O1097">
        <f>IF($M1097="","",DEGREES(ATAN2($K1097,$L1097)))</f>
        <v/>
      </c>
      <c r="P1097">
        <f t="array" ref="P1097">IF($N1097="","",IFERROR(IF(INDEX(geo_grid!$B$2:$JU$231,INT(($N1097+40)/0.5)+1,INT(($O1097+30)/0.5)+1)="","",INDEX(geo_grid!$B$2:$JU$231,INT(($N1097+40)/0.5)+1,INT(($O1097+30)/0.5)+1)),"OUTSIDE GRID"))</f>
        <v/>
      </c>
      <c r="Q1097">
        <f>IF($P1097="","",$A1097*1000+$B1097)</f>
        <v/>
      </c>
    </row>
    <row r="1098">
      <c r="A1098">
        <f>INT((ROW()-2)/151)+1</f>
        <v/>
      </c>
      <c r="B1098">
        <f>MOD(ROW()-2,151)</f>
        <v/>
      </c>
      <c r="C1098">
        <f t="array" ref="C1098">IFERROR(INDEX('TRIP MANAGER'!$O$18:$O$25,$A1098),"")</f>
        <v/>
      </c>
      <c r="D1098">
        <f t="array" ref="D1098">IFERROR(INDEX('TRIP MANAGER'!$P$18:$P$25,$A1098),"")</f>
        <v/>
      </c>
      <c r="E1098">
        <f t="array" ref="E1098">IFERROR(INDEX('TRIP MANAGER'!$Q$18:$Q$25,$A1098),"")</f>
        <v/>
      </c>
      <c r="F1098">
        <f t="array" ref="F1098">IFERROR(INDEX('TRIP MANAGER'!$R$18:$R$25,$A1098),"")</f>
        <v/>
      </c>
      <c r="G1098">
        <f t="array" ref="G1098">IFERROR(INDEX('TRIP MANAGER'!$S$18:$S$25,$A1098),"")</f>
        <v/>
      </c>
      <c r="H1098">
        <f>$B1098/150</f>
        <v/>
      </c>
      <c r="I1098">
        <f>IF(OR($G1098="",$G1098=0),"",SIN((1-$H1098)*$G1098)/SIN($G1098))</f>
        <v/>
      </c>
      <c r="J1098">
        <f>IF($I1098="","",SIN($H1098*$G1098)/SIN($G1098))</f>
        <v/>
      </c>
      <c r="K1098">
        <f>IF($I1098="","",$I1098*COS(RADIANS($C1098))*COS(RADIANS($D1098))+$J1098*COS(RADIANS($E1098))*COS(RADIANS($F1098)))</f>
        <v/>
      </c>
      <c r="L1098">
        <f>IF($I1098="","",$I1098*COS(RADIANS($C1098))*SIN(RADIANS($D1098))+$J1098*COS(RADIANS($E1098))*SIN(RADIANS($F1098)))</f>
        <v/>
      </c>
      <c r="M1098">
        <f>IF($I1098="","",$I1098*SIN(RADIANS($C1098))+$J1098*SIN(RADIANS($E1098)))</f>
        <v/>
      </c>
      <c r="N1098">
        <f>IF($M1098="","",DEGREES(ATAN2(SQRT($K1098^2+$L1098^2),$M1098)))</f>
        <v/>
      </c>
      <c r="O1098">
        <f>IF($M1098="","",DEGREES(ATAN2($K1098,$L1098)))</f>
        <v/>
      </c>
      <c r="P1098">
        <f t="array" ref="P1098">IF($N1098="","",IFERROR(IF(INDEX(geo_grid!$B$2:$JU$231,INT(($N1098+40)/0.5)+1,INT(($O1098+30)/0.5)+1)="","",INDEX(geo_grid!$B$2:$JU$231,INT(($N1098+40)/0.5)+1,INT(($O1098+30)/0.5)+1)),"OUTSIDE GRID"))</f>
        <v/>
      </c>
      <c r="Q1098">
        <f>IF($P1098="","",$A1098*1000+$B1098)</f>
        <v/>
      </c>
    </row>
    <row r="1099">
      <c r="A1099">
        <f>INT((ROW()-2)/151)+1</f>
        <v/>
      </c>
      <c r="B1099">
        <f>MOD(ROW()-2,151)</f>
        <v/>
      </c>
      <c r="C1099">
        <f t="array" ref="C1099">IFERROR(INDEX('TRIP MANAGER'!$O$18:$O$25,$A1099),"")</f>
        <v/>
      </c>
      <c r="D1099">
        <f t="array" ref="D1099">IFERROR(INDEX('TRIP MANAGER'!$P$18:$P$25,$A1099),"")</f>
        <v/>
      </c>
      <c r="E1099">
        <f t="array" ref="E1099">IFERROR(INDEX('TRIP MANAGER'!$Q$18:$Q$25,$A1099),"")</f>
        <v/>
      </c>
      <c r="F1099">
        <f t="array" ref="F1099">IFERROR(INDEX('TRIP MANAGER'!$R$18:$R$25,$A1099),"")</f>
        <v/>
      </c>
      <c r="G1099">
        <f t="array" ref="G1099">IFERROR(INDEX('TRIP MANAGER'!$S$18:$S$25,$A1099),"")</f>
        <v/>
      </c>
      <c r="H1099">
        <f>$B1099/150</f>
        <v/>
      </c>
      <c r="I1099">
        <f>IF(OR($G1099="",$G1099=0),"",SIN((1-$H1099)*$G1099)/SIN($G1099))</f>
        <v/>
      </c>
      <c r="J1099">
        <f>IF($I1099="","",SIN($H1099*$G1099)/SIN($G1099))</f>
        <v/>
      </c>
      <c r="K1099">
        <f>IF($I1099="","",$I1099*COS(RADIANS($C1099))*COS(RADIANS($D1099))+$J1099*COS(RADIANS($E1099))*COS(RADIANS($F1099)))</f>
        <v/>
      </c>
      <c r="L1099">
        <f>IF($I1099="","",$I1099*COS(RADIANS($C1099))*SIN(RADIANS($D1099))+$J1099*COS(RADIANS($E1099))*SIN(RADIANS($F1099)))</f>
        <v/>
      </c>
      <c r="M1099">
        <f>IF($I1099="","",$I1099*SIN(RADIANS($C1099))+$J1099*SIN(RADIANS($E1099)))</f>
        <v/>
      </c>
      <c r="N1099">
        <f>IF($M1099="","",DEGREES(ATAN2(SQRT($K1099^2+$L1099^2),$M1099)))</f>
        <v/>
      </c>
      <c r="O1099">
        <f>IF($M1099="","",DEGREES(ATAN2($K1099,$L1099)))</f>
        <v/>
      </c>
      <c r="P1099">
        <f t="array" ref="P1099">IF($N1099="","",IFERROR(IF(INDEX(geo_grid!$B$2:$JU$231,INT(($N1099+40)/0.5)+1,INT(($O1099+30)/0.5)+1)="","",INDEX(geo_grid!$B$2:$JU$231,INT(($N1099+40)/0.5)+1,INT(($O1099+30)/0.5)+1)),"OUTSIDE GRID"))</f>
        <v/>
      </c>
      <c r="Q1099">
        <f>IF($P1099="","",$A1099*1000+$B1099)</f>
        <v/>
      </c>
    </row>
    <row r="1100">
      <c r="A1100">
        <f>INT((ROW()-2)/151)+1</f>
        <v/>
      </c>
      <c r="B1100">
        <f>MOD(ROW()-2,151)</f>
        <v/>
      </c>
      <c r="C1100">
        <f t="array" ref="C1100">IFERROR(INDEX('TRIP MANAGER'!$O$18:$O$25,$A1100),"")</f>
        <v/>
      </c>
      <c r="D1100">
        <f t="array" ref="D1100">IFERROR(INDEX('TRIP MANAGER'!$P$18:$P$25,$A1100),"")</f>
        <v/>
      </c>
      <c r="E1100">
        <f t="array" ref="E1100">IFERROR(INDEX('TRIP MANAGER'!$Q$18:$Q$25,$A1100),"")</f>
        <v/>
      </c>
      <c r="F1100">
        <f t="array" ref="F1100">IFERROR(INDEX('TRIP MANAGER'!$R$18:$R$25,$A1100),"")</f>
        <v/>
      </c>
      <c r="G1100">
        <f t="array" ref="G1100">IFERROR(INDEX('TRIP MANAGER'!$S$18:$S$25,$A1100),"")</f>
        <v/>
      </c>
      <c r="H1100">
        <f>$B1100/150</f>
        <v/>
      </c>
      <c r="I1100">
        <f>IF(OR($G1100="",$G1100=0),"",SIN((1-$H1100)*$G1100)/SIN($G1100))</f>
        <v/>
      </c>
      <c r="J1100">
        <f>IF($I1100="","",SIN($H1100*$G1100)/SIN($G1100))</f>
        <v/>
      </c>
      <c r="K1100">
        <f>IF($I1100="","",$I1100*COS(RADIANS($C1100))*COS(RADIANS($D1100))+$J1100*COS(RADIANS($E1100))*COS(RADIANS($F1100)))</f>
        <v/>
      </c>
      <c r="L1100">
        <f>IF($I1100="","",$I1100*COS(RADIANS($C1100))*SIN(RADIANS($D1100))+$J1100*COS(RADIANS($E1100))*SIN(RADIANS($F1100)))</f>
        <v/>
      </c>
      <c r="M1100">
        <f>IF($I1100="","",$I1100*SIN(RADIANS($C1100))+$J1100*SIN(RADIANS($E1100)))</f>
        <v/>
      </c>
      <c r="N1100">
        <f>IF($M1100="","",DEGREES(ATAN2(SQRT($K1100^2+$L1100^2),$M1100)))</f>
        <v/>
      </c>
      <c r="O1100">
        <f>IF($M1100="","",DEGREES(ATAN2($K1100,$L1100)))</f>
        <v/>
      </c>
      <c r="P1100">
        <f t="array" ref="P1100">IF($N1100="","",IFERROR(IF(INDEX(geo_grid!$B$2:$JU$231,INT(($N1100+40)/0.5)+1,INT(($O1100+30)/0.5)+1)="","",INDEX(geo_grid!$B$2:$JU$231,INT(($N1100+40)/0.5)+1,INT(($O1100+30)/0.5)+1)),"OUTSIDE GRID"))</f>
        <v/>
      </c>
      <c r="Q1100">
        <f>IF($P1100="","",$A1100*1000+$B1100)</f>
        <v/>
      </c>
    </row>
    <row r="1101">
      <c r="A1101">
        <f>INT((ROW()-2)/151)+1</f>
        <v/>
      </c>
      <c r="B1101">
        <f>MOD(ROW()-2,151)</f>
        <v/>
      </c>
      <c r="C1101">
        <f t="array" ref="C1101">IFERROR(INDEX('TRIP MANAGER'!$O$18:$O$25,$A1101),"")</f>
        <v/>
      </c>
      <c r="D1101">
        <f t="array" ref="D1101">IFERROR(INDEX('TRIP MANAGER'!$P$18:$P$25,$A1101),"")</f>
        <v/>
      </c>
      <c r="E1101">
        <f t="array" ref="E1101">IFERROR(INDEX('TRIP MANAGER'!$Q$18:$Q$25,$A1101),"")</f>
        <v/>
      </c>
      <c r="F1101">
        <f t="array" ref="F1101">IFERROR(INDEX('TRIP MANAGER'!$R$18:$R$25,$A1101),"")</f>
        <v/>
      </c>
      <c r="G1101">
        <f t="array" ref="G1101">IFERROR(INDEX('TRIP MANAGER'!$S$18:$S$25,$A1101),"")</f>
        <v/>
      </c>
      <c r="H1101">
        <f>$B1101/150</f>
        <v/>
      </c>
      <c r="I1101">
        <f>IF(OR($G1101="",$G1101=0),"",SIN((1-$H1101)*$G1101)/SIN($G1101))</f>
        <v/>
      </c>
      <c r="J1101">
        <f>IF($I1101="","",SIN($H1101*$G1101)/SIN($G1101))</f>
        <v/>
      </c>
      <c r="K1101">
        <f>IF($I1101="","",$I1101*COS(RADIANS($C1101))*COS(RADIANS($D1101))+$J1101*COS(RADIANS($E1101))*COS(RADIANS($F1101)))</f>
        <v/>
      </c>
      <c r="L1101">
        <f>IF($I1101="","",$I1101*COS(RADIANS($C1101))*SIN(RADIANS($D1101))+$J1101*COS(RADIANS($E1101))*SIN(RADIANS($F1101)))</f>
        <v/>
      </c>
      <c r="M1101">
        <f>IF($I1101="","",$I1101*SIN(RADIANS($C1101))+$J1101*SIN(RADIANS($E1101)))</f>
        <v/>
      </c>
      <c r="N1101">
        <f>IF($M1101="","",DEGREES(ATAN2(SQRT($K1101^2+$L1101^2),$M1101)))</f>
        <v/>
      </c>
      <c r="O1101">
        <f>IF($M1101="","",DEGREES(ATAN2($K1101,$L1101)))</f>
        <v/>
      </c>
      <c r="P1101">
        <f t="array" ref="P1101">IF($N1101="","",IFERROR(IF(INDEX(geo_grid!$B$2:$JU$231,INT(($N1101+40)/0.5)+1,INT(($O1101+30)/0.5)+1)="","",INDEX(geo_grid!$B$2:$JU$231,INT(($N1101+40)/0.5)+1,INT(($O1101+30)/0.5)+1)),"OUTSIDE GRID"))</f>
        <v/>
      </c>
      <c r="Q1101">
        <f>IF($P1101="","",$A1101*1000+$B1101)</f>
        <v/>
      </c>
    </row>
    <row r="1102">
      <c r="A1102">
        <f>INT((ROW()-2)/151)+1</f>
        <v/>
      </c>
      <c r="B1102">
        <f>MOD(ROW()-2,151)</f>
        <v/>
      </c>
      <c r="C1102">
        <f t="array" ref="C1102">IFERROR(INDEX('TRIP MANAGER'!$O$18:$O$25,$A1102),"")</f>
        <v/>
      </c>
      <c r="D1102">
        <f t="array" ref="D1102">IFERROR(INDEX('TRIP MANAGER'!$P$18:$P$25,$A1102),"")</f>
        <v/>
      </c>
      <c r="E1102">
        <f t="array" ref="E1102">IFERROR(INDEX('TRIP MANAGER'!$Q$18:$Q$25,$A1102),"")</f>
        <v/>
      </c>
      <c r="F1102">
        <f t="array" ref="F1102">IFERROR(INDEX('TRIP MANAGER'!$R$18:$R$25,$A1102),"")</f>
        <v/>
      </c>
      <c r="G1102">
        <f t="array" ref="G1102">IFERROR(INDEX('TRIP MANAGER'!$S$18:$S$25,$A1102),"")</f>
        <v/>
      </c>
      <c r="H1102">
        <f>$B1102/150</f>
        <v/>
      </c>
      <c r="I1102">
        <f>IF(OR($G1102="",$G1102=0),"",SIN((1-$H1102)*$G1102)/SIN($G1102))</f>
        <v/>
      </c>
      <c r="J1102">
        <f>IF($I1102="","",SIN($H1102*$G1102)/SIN($G1102))</f>
        <v/>
      </c>
      <c r="K1102">
        <f>IF($I1102="","",$I1102*COS(RADIANS($C1102))*COS(RADIANS($D1102))+$J1102*COS(RADIANS($E1102))*COS(RADIANS($F1102)))</f>
        <v/>
      </c>
      <c r="L1102">
        <f>IF($I1102="","",$I1102*COS(RADIANS($C1102))*SIN(RADIANS($D1102))+$J1102*COS(RADIANS($E1102))*SIN(RADIANS($F1102)))</f>
        <v/>
      </c>
      <c r="M1102">
        <f>IF($I1102="","",$I1102*SIN(RADIANS($C1102))+$J1102*SIN(RADIANS($E1102)))</f>
        <v/>
      </c>
      <c r="N1102">
        <f>IF($M1102="","",DEGREES(ATAN2(SQRT($K1102^2+$L1102^2),$M1102)))</f>
        <v/>
      </c>
      <c r="O1102">
        <f>IF($M1102="","",DEGREES(ATAN2($K1102,$L1102)))</f>
        <v/>
      </c>
      <c r="P1102">
        <f t="array" ref="P1102">IF($N1102="","",IFERROR(IF(INDEX(geo_grid!$B$2:$JU$231,INT(($N1102+40)/0.5)+1,INT(($O1102+30)/0.5)+1)="","",INDEX(geo_grid!$B$2:$JU$231,INT(($N1102+40)/0.5)+1,INT(($O1102+30)/0.5)+1)),"OUTSIDE GRID"))</f>
        <v/>
      </c>
      <c r="Q1102">
        <f>IF($P1102="","",$A1102*1000+$B1102)</f>
        <v/>
      </c>
    </row>
    <row r="1103">
      <c r="A1103">
        <f>INT((ROW()-2)/151)+1</f>
        <v/>
      </c>
      <c r="B1103">
        <f>MOD(ROW()-2,151)</f>
        <v/>
      </c>
      <c r="C1103">
        <f t="array" ref="C1103">IFERROR(INDEX('TRIP MANAGER'!$O$18:$O$25,$A1103),"")</f>
        <v/>
      </c>
      <c r="D1103">
        <f t="array" ref="D1103">IFERROR(INDEX('TRIP MANAGER'!$P$18:$P$25,$A1103),"")</f>
        <v/>
      </c>
      <c r="E1103">
        <f t="array" ref="E1103">IFERROR(INDEX('TRIP MANAGER'!$Q$18:$Q$25,$A1103),"")</f>
        <v/>
      </c>
      <c r="F1103">
        <f t="array" ref="F1103">IFERROR(INDEX('TRIP MANAGER'!$R$18:$R$25,$A1103),"")</f>
        <v/>
      </c>
      <c r="G1103">
        <f t="array" ref="G1103">IFERROR(INDEX('TRIP MANAGER'!$S$18:$S$25,$A1103),"")</f>
        <v/>
      </c>
      <c r="H1103">
        <f>$B1103/150</f>
        <v/>
      </c>
      <c r="I1103">
        <f>IF(OR($G1103="",$G1103=0),"",SIN((1-$H1103)*$G1103)/SIN($G1103))</f>
        <v/>
      </c>
      <c r="J1103">
        <f>IF($I1103="","",SIN($H1103*$G1103)/SIN($G1103))</f>
        <v/>
      </c>
      <c r="K1103">
        <f>IF($I1103="","",$I1103*COS(RADIANS($C1103))*COS(RADIANS($D1103))+$J1103*COS(RADIANS($E1103))*COS(RADIANS($F1103)))</f>
        <v/>
      </c>
      <c r="L1103">
        <f>IF($I1103="","",$I1103*COS(RADIANS($C1103))*SIN(RADIANS($D1103))+$J1103*COS(RADIANS($E1103))*SIN(RADIANS($F1103)))</f>
        <v/>
      </c>
      <c r="M1103">
        <f>IF($I1103="","",$I1103*SIN(RADIANS($C1103))+$J1103*SIN(RADIANS($E1103)))</f>
        <v/>
      </c>
      <c r="N1103">
        <f>IF($M1103="","",DEGREES(ATAN2(SQRT($K1103^2+$L1103^2),$M1103)))</f>
        <v/>
      </c>
      <c r="O1103">
        <f>IF($M1103="","",DEGREES(ATAN2($K1103,$L1103)))</f>
        <v/>
      </c>
      <c r="P1103">
        <f t="array" ref="P1103">IF($N1103="","",IFERROR(IF(INDEX(geo_grid!$B$2:$JU$231,INT(($N1103+40)/0.5)+1,INT(($O1103+30)/0.5)+1)="","",INDEX(geo_grid!$B$2:$JU$231,INT(($N1103+40)/0.5)+1,INT(($O1103+30)/0.5)+1)),"OUTSIDE GRID"))</f>
        <v/>
      </c>
      <c r="Q1103">
        <f>IF($P1103="","",$A1103*1000+$B1103)</f>
        <v/>
      </c>
    </row>
    <row r="1104">
      <c r="A1104">
        <f>INT((ROW()-2)/151)+1</f>
        <v/>
      </c>
      <c r="B1104">
        <f>MOD(ROW()-2,151)</f>
        <v/>
      </c>
      <c r="C1104">
        <f t="array" ref="C1104">IFERROR(INDEX('TRIP MANAGER'!$O$18:$O$25,$A1104),"")</f>
        <v/>
      </c>
      <c r="D1104">
        <f t="array" ref="D1104">IFERROR(INDEX('TRIP MANAGER'!$P$18:$P$25,$A1104),"")</f>
        <v/>
      </c>
      <c r="E1104">
        <f t="array" ref="E1104">IFERROR(INDEX('TRIP MANAGER'!$Q$18:$Q$25,$A1104),"")</f>
        <v/>
      </c>
      <c r="F1104">
        <f t="array" ref="F1104">IFERROR(INDEX('TRIP MANAGER'!$R$18:$R$25,$A1104),"")</f>
        <v/>
      </c>
      <c r="G1104">
        <f t="array" ref="G1104">IFERROR(INDEX('TRIP MANAGER'!$S$18:$S$25,$A1104),"")</f>
        <v/>
      </c>
      <c r="H1104">
        <f>$B1104/150</f>
        <v/>
      </c>
      <c r="I1104">
        <f>IF(OR($G1104="",$G1104=0),"",SIN((1-$H1104)*$G1104)/SIN($G1104))</f>
        <v/>
      </c>
      <c r="J1104">
        <f>IF($I1104="","",SIN($H1104*$G1104)/SIN($G1104))</f>
        <v/>
      </c>
      <c r="K1104">
        <f>IF($I1104="","",$I1104*COS(RADIANS($C1104))*COS(RADIANS($D1104))+$J1104*COS(RADIANS($E1104))*COS(RADIANS($F1104)))</f>
        <v/>
      </c>
      <c r="L1104">
        <f>IF($I1104="","",$I1104*COS(RADIANS($C1104))*SIN(RADIANS($D1104))+$J1104*COS(RADIANS($E1104))*SIN(RADIANS($F1104)))</f>
        <v/>
      </c>
      <c r="M1104">
        <f>IF($I1104="","",$I1104*SIN(RADIANS($C1104))+$J1104*SIN(RADIANS($E1104)))</f>
        <v/>
      </c>
      <c r="N1104">
        <f>IF($M1104="","",DEGREES(ATAN2(SQRT($K1104^2+$L1104^2),$M1104)))</f>
        <v/>
      </c>
      <c r="O1104">
        <f>IF($M1104="","",DEGREES(ATAN2($K1104,$L1104)))</f>
        <v/>
      </c>
      <c r="P1104">
        <f t="array" ref="P1104">IF($N1104="","",IFERROR(IF(INDEX(geo_grid!$B$2:$JU$231,INT(($N1104+40)/0.5)+1,INT(($O1104+30)/0.5)+1)="","",INDEX(geo_grid!$B$2:$JU$231,INT(($N1104+40)/0.5)+1,INT(($O1104+30)/0.5)+1)),"OUTSIDE GRID"))</f>
        <v/>
      </c>
      <c r="Q1104">
        <f>IF($P1104="","",$A1104*1000+$B1104)</f>
        <v/>
      </c>
    </row>
    <row r="1105">
      <c r="A1105">
        <f>INT((ROW()-2)/151)+1</f>
        <v/>
      </c>
      <c r="B1105">
        <f>MOD(ROW()-2,151)</f>
        <v/>
      </c>
      <c r="C1105">
        <f t="array" ref="C1105">IFERROR(INDEX('TRIP MANAGER'!$O$18:$O$25,$A1105),"")</f>
        <v/>
      </c>
      <c r="D1105">
        <f t="array" ref="D1105">IFERROR(INDEX('TRIP MANAGER'!$P$18:$P$25,$A1105),"")</f>
        <v/>
      </c>
      <c r="E1105">
        <f t="array" ref="E1105">IFERROR(INDEX('TRIP MANAGER'!$Q$18:$Q$25,$A1105),"")</f>
        <v/>
      </c>
      <c r="F1105">
        <f t="array" ref="F1105">IFERROR(INDEX('TRIP MANAGER'!$R$18:$R$25,$A1105),"")</f>
        <v/>
      </c>
      <c r="G1105">
        <f t="array" ref="G1105">IFERROR(INDEX('TRIP MANAGER'!$S$18:$S$25,$A1105),"")</f>
        <v/>
      </c>
      <c r="H1105">
        <f>$B1105/150</f>
        <v/>
      </c>
      <c r="I1105">
        <f>IF(OR($G1105="",$G1105=0),"",SIN((1-$H1105)*$G1105)/SIN($G1105))</f>
        <v/>
      </c>
      <c r="J1105">
        <f>IF($I1105="","",SIN($H1105*$G1105)/SIN($G1105))</f>
        <v/>
      </c>
      <c r="K1105">
        <f>IF($I1105="","",$I1105*COS(RADIANS($C1105))*COS(RADIANS($D1105))+$J1105*COS(RADIANS($E1105))*COS(RADIANS($F1105)))</f>
        <v/>
      </c>
      <c r="L1105">
        <f>IF($I1105="","",$I1105*COS(RADIANS($C1105))*SIN(RADIANS($D1105))+$J1105*COS(RADIANS($E1105))*SIN(RADIANS($F1105)))</f>
        <v/>
      </c>
      <c r="M1105">
        <f>IF($I1105="","",$I1105*SIN(RADIANS($C1105))+$J1105*SIN(RADIANS($E1105)))</f>
        <v/>
      </c>
      <c r="N1105">
        <f>IF($M1105="","",DEGREES(ATAN2(SQRT($K1105^2+$L1105^2),$M1105)))</f>
        <v/>
      </c>
      <c r="O1105">
        <f>IF($M1105="","",DEGREES(ATAN2($K1105,$L1105)))</f>
        <v/>
      </c>
      <c r="P1105">
        <f t="array" ref="P1105">IF($N1105="","",IFERROR(IF(INDEX(geo_grid!$B$2:$JU$231,INT(($N1105+40)/0.5)+1,INT(($O1105+30)/0.5)+1)="","",INDEX(geo_grid!$B$2:$JU$231,INT(($N1105+40)/0.5)+1,INT(($O1105+30)/0.5)+1)),"OUTSIDE GRID"))</f>
        <v/>
      </c>
      <c r="Q1105">
        <f>IF($P1105="","",$A1105*1000+$B1105)</f>
        <v/>
      </c>
    </row>
    <row r="1106">
      <c r="A1106">
        <f>INT((ROW()-2)/151)+1</f>
        <v/>
      </c>
      <c r="B1106">
        <f>MOD(ROW()-2,151)</f>
        <v/>
      </c>
      <c r="C1106">
        <f t="array" ref="C1106">IFERROR(INDEX('TRIP MANAGER'!$O$18:$O$25,$A1106),"")</f>
        <v/>
      </c>
      <c r="D1106">
        <f t="array" ref="D1106">IFERROR(INDEX('TRIP MANAGER'!$P$18:$P$25,$A1106),"")</f>
        <v/>
      </c>
      <c r="E1106">
        <f t="array" ref="E1106">IFERROR(INDEX('TRIP MANAGER'!$Q$18:$Q$25,$A1106),"")</f>
        <v/>
      </c>
      <c r="F1106">
        <f t="array" ref="F1106">IFERROR(INDEX('TRIP MANAGER'!$R$18:$R$25,$A1106),"")</f>
        <v/>
      </c>
      <c r="G1106">
        <f t="array" ref="G1106">IFERROR(INDEX('TRIP MANAGER'!$S$18:$S$25,$A1106),"")</f>
        <v/>
      </c>
      <c r="H1106">
        <f>$B1106/150</f>
        <v/>
      </c>
      <c r="I1106">
        <f>IF(OR($G1106="",$G1106=0),"",SIN((1-$H1106)*$G1106)/SIN($G1106))</f>
        <v/>
      </c>
      <c r="J1106">
        <f>IF($I1106="","",SIN($H1106*$G1106)/SIN($G1106))</f>
        <v/>
      </c>
      <c r="K1106">
        <f>IF($I1106="","",$I1106*COS(RADIANS($C1106))*COS(RADIANS($D1106))+$J1106*COS(RADIANS($E1106))*COS(RADIANS($F1106)))</f>
        <v/>
      </c>
      <c r="L1106">
        <f>IF($I1106="","",$I1106*COS(RADIANS($C1106))*SIN(RADIANS($D1106))+$J1106*COS(RADIANS($E1106))*SIN(RADIANS($F1106)))</f>
        <v/>
      </c>
      <c r="M1106">
        <f>IF($I1106="","",$I1106*SIN(RADIANS($C1106))+$J1106*SIN(RADIANS($E1106)))</f>
        <v/>
      </c>
      <c r="N1106">
        <f>IF($M1106="","",DEGREES(ATAN2(SQRT($K1106^2+$L1106^2),$M1106)))</f>
        <v/>
      </c>
      <c r="O1106">
        <f>IF($M1106="","",DEGREES(ATAN2($K1106,$L1106)))</f>
        <v/>
      </c>
      <c r="P1106">
        <f t="array" ref="P1106">IF($N1106="","",IFERROR(IF(INDEX(geo_grid!$B$2:$JU$231,INT(($N1106+40)/0.5)+1,INT(($O1106+30)/0.5)+1)="","",INDEX(geo_grid!$B$2:$JU$231,INT(($N1106+40)/0.5)+1,INT(($O1106+30)/0.5)+1)),"OUTSIDE GRID"))</f>
        <v/>
      </c>
      <c r="Q1106">
        <f>IF($P1106="","",$A1106*1000+$B1106)</f>
        <v/>
      </c>
    </row>
    <row r="1107">
      <c r="A1107">
        <f>INT((ROW()-2)/151)+1</f>
        <v/>
      </c>
      <c r="B1107">
        <f>MOD(ROW()-2,151)</f>
        <v/>
      </c>
      <c r="C1107">
        <f t="array" ref="C1107">IFERROR(INDEX('TRIP MANAGER'!$O$18:$O$25,$A1107),"")</f>
        <v/>
      </c>
      <c r="D1107">
        <f t="array" ref="D1107">IFERROR(INDEX('TRIP MANAGER'!$P$18:$P$25,$A1107),"")</f>
        <v/>
      </c>
      <c r="E1107">
        <f t="array" ref="E1107">IFERROR(INDEX('TRIP MANAGER'!$Q$18:$Q$25,$A1107),"")</f>
        <v/>
      </c>
      <c r="F1107">
        <f t="array" ref="F1107">IFERROR(INDEX('TRIP MANAGER'!$R$18:$R$25,$A1107),"")</f>
        <v/>
      </c>
      <c r="G1107">
        <f t="array" ref="G1107">IFERROR(INDEX('TRIP MANAGER'!$S$18:$S$25,$A1107),"")</f>
        <v/>
      </c>
      <c r="H1107">
        <f>$B1107/150</f>
        <v/>
      </c>
      <c r="I1107">
        <f>IF(OR($G1107="",$G1107=0),"",SIN((1-$H1107)*$G1107)/SIN($G1107))</f>
        <v/>
      </c>
      <c r="J1107">
        <f>IF($I1107="","",SIN($H1107*$G1107)/SIN($G1107))</f>
        <v/>
      </c>
      <c r="K1107">
        <f>IF($I1107="","",$I1107*COS(RADIANS($C1107))*COS(RADIANS($D1107))+$J1107*COS(RADIANS($E1107))*COS(RADIANS($F1107)))</f>
        <v/>
      </c>
      <c r="L1107">
        <f>IF($I1107="","",$I1107*COS(RADIANS($C1107))*SIN(RADIANS($D1107))+$J1107*COS(RADIANS($E1107))*SIN(RADIANS($F1107)))</f>
        <v/>
      </c>
      <c r="M1107">
        <f>IF($I1107="","",$I1107*SIN(RADIANS($C1107))+$J1107*SIN(RADIANS($E1107)))</f>
        <v/>
      </c>
      <c r="N1107">
        <f>IF($M1107="","",DEGREES(ATAN2(SQRT($K1107^2+$L1107^2),$M1107)))</f>
        <v/>
      </c>
      <c r="O1107">
        <f>IF($M1107="","",DEGREES(ATAN2($K1107,$L1107)))</f>
        <v/>
      </c>
      <c r="P1107">
        <f t="array" ref="P1107">IF($N1107="","",IFERROR(IF(INDEX(geo_grid!$B$2:$JU$231,INT(($N1107+40)/0.5)+1,INT(($O1107+30)/0.5)+1)="","",INDEX(geo_grid!$B$2:$JU$231,INT(($N1107+40)/0.5)+1,INT(($O1107+30)/0.5)+1)),"OUTSIDE GRID"))</f>
        <v/>
      </c>
      <c r="Q1107">
        <f>IF($P1107="","",$A1107*1000+$B1107)</f>
        <v/>
      </c>
    </row>
    <row r="1108">
      <c r="A1108">
        <f>INT((ROW()-2)/151)+1</f>
        <v/>
      </c>
      <c r="B1108">
        <f>MOD(ROW()-2,151)</f>
        <v/>
      </c>
      <c r="C1108">
        <f t="array" ref="C1108">IFERROR(INDEX('TRIP MANAGER'!$O$18:$O$25,$A1108),"")</f>
        <v/>
      </c>
      <c r="D1108">
        <f t="array" ref="D1108">IFERROR(INDEX('TRIP MANAGER'!$P$18:$P$25,$A1108),"")</f>
        <v/>
      </c>
      <c r="E1108">
        <f t="array" ref="E1108">IFERROR(INDEX('TRIP MANAGER'!$Q$18:$Q$25,$A1108),"")</f>
        <v/>
      </c>
      <c r="F1108">
        <f t="array" ref="F1108">IFERROR(INDEX('TRIP MANAGER'!$R$18:$R$25,$A1108),"")</f>
        <v/>
      </c>
      <c r="G1108">
        <f t="array" ref="G1108">IFERROR(INDEX('TRIP MANAGER'!$S$18:$S$25,$A1108),"")</f>
        <v/>
      </c>
      <c r="H1108">
        <f>$B1108/150</f>
        <v/>
      </c>
      <c r="I1108">
        <f>IF(OR($G1108="",$G1108=0),"",SIN((1-$H1108)*$G1108)/SIN($G1108))</f>
        <v/>
      </c>
      <c r="J1108">
        <f>IF($I1108="","",SIN($H1108*$G1108)/SIN($G1108))</f>
        <v/>
      </c>
      <c r="K1108">
        <f>IF($I1108="","",$I1108*COS(RADIANS($C1108))*COS(RADIANS($D1108))+$J1108*COS(RADIANS($E1108))*COS(RADIANS($F1108)))</f>
        <v/>
      </c>
      <c r="L1108">
        <f>IF($I1108="","",$I1108*COS(RADIANS($C1108))*SIN(RADIANS($D1108))+$J1108*COS(RADIANS($E1108))*SIN(RADIANS($F1108)))</f>
        <v/>
      </c>
      <c r="M1108">
        <f>IF($I1108="","",$I1108*SIN(RADIANS($C1108))+$J1108*SIN(RADIANS($E1108)))</f>
        <v/>
      </c>
      <c r="N1108">
        <f>IF($M1108="","",DEGREES(ATAN2(SQRT($K1108^2+$L1108^2),$M1108)))</f>
        <v/>
      </c>
      <c r="O1108">
        <f>IF($M1108="","",DEGREES(ATAN2($K1108,$L1108)))</f>
        <v/>
      </c>
      <c r="P1108">
        <f t="array" ref="P1108">IF($N1108="","",IFERROR(IF(INDEX(geo_grid!$B$2:$JU$231,INT(($N1108+40)/0.5)+1,INT(($O1108+30)/0.5)+1)="","",INDEX(geo_grid!$B$2:$JU$231,INT(($N1108+40)/0.5)+1,INT(($O1108+30)/0.5)+1)),"OUTSIDE GRID"))</f>
        <v/>
      </c>
      <c r="Q1108">
        <f>IF($P1108="","",$A1108*1000+$B1108)</f>
        <v/>
      </c>
    </row>
    <row r="1109">
      <c r="A1109">
        <f>INT((ROW()-2)/151)+1</f>
        <v/>
      </c>
      <c r="B1109">
        <f>MOD(ROW()-2,151)</f>
        <v/>
      </c>
      <c r="C1109">
        <f t="array" ref="C1109">IFERROR(INDEX('TRIP MANAGER'!$O$18:$O$25,$A1109),"")</f>
        <v/>
      </c>
      <c r="D1109">
        <f t="array" ref="D1109">IFERROR(INDEX('TRIP MANAGER'!$P$18:$P$25,$A1109),"")</f>
        <v/>
      </c>
      <c r="E1109">
        <f t="array" ref="E1109">IFERROR(INDEX('TRIP MANAGER'!$Q$18:$Q$25,$A1109),"")</f>
        <v/>
      </c>
      <c r="F1109">
        <f t="array" ref="F1109">IFERROR(INDEX('TRIP MANAGER'!$R$18:$R$25,$A1109),"")</f>
        <v/>
      </c>
      <c r="G1109">
        <f t="array" ref="G1109">IFERROR(INDEX('TRIP MANAGER'!$S$18:$S$25,$A1109),"")</f>
        <v/>
      </c>
      <c r="H1109">
        <f>$B1109/150</f>
        <v/>
      </c>
      <c r="I1109">
        <f>IF(OR($G1109="",$G1109=0),"",SIN((1-$H1109)*$G1109)/SIN($G1109))</f>
        <v/>
      </c>
      <c r="J1109">
        <f>IF($I1109="","",SIN($H1109*$G1109)/SIN($G1109))</f>
        <v/>
      </c>
      <c r="K1109">
        <f>IF($I1109="","",$I1109*COS(RADIANS($C1109))*COS(RADIANS($D1109))+$J1109*COS(RADIANS($E1109))*COS(RADIANS($F1109)))</f>
        <v/>
      </c>
      <c r="L1109">
        <f>IF($I1109="","",$I1109*COS(RADIANS($C1109))*SIN(RADIANS($D1109))+$J1109*COS(RADIANS($E1109))*SIN(RADIANS($F1109)))</f>
        <v/>
      </c>
      <c r="M1109">
        <f>IF($I1109="","",$I1109*SIN(RADIANS($C1109))+$J1109*SIN(RADIANS($E1109)))</f>
        <v/>
      </c>
      <c r="N1109">
        <f>IF($M1109="","",DEGREES(ATAN2(SQRT($K1109^2+$L1109^2),$M1109)))</f>
        <v/>
      </c>
      <c r="O1109">
        <f>IF($M1109="","",DEGREES(ATAN2($K1109,$L1109)))</f>
        <v/>
      </c>
      <c r="P1109">
        <f t="array" ref="P1109">IF($N1109="","",IFERROR(IF(INDEX(geo_grid!$B$2:$JU$231,INT(($N1109+40)/0.5)+1,INT(($O1109+30)/0.5)+1)="","",INDEX(geo_grid!$B$2:$JU$231,INT(($N1109+40)/0.5)+1,INT(($O1109+30)/0.5)+1)),"OUTSIDE GRID"))</f>
        <v/>
      </c>
      <c r="Q1109">
        <f>IF($P1109="","",$A1109*1000+$B1109)</f>
        <v/>
      </c>
    </row>
    <row r="1110">
      <c r="A1110">
        <f>INT((ROW()-2)/151)+1</f>
        <v/>
      </c>
      <c r="B1110">
        <f>MOD(ROW()-2,151)</f>
        <v/>
      </c>
      <c r="C1110">
        <f t="array" ref="C1110">IFERROR(INDEX('TRIP MANAGER'!$O$18:$O$25,$A1110),"")</f>
        <v/>
      </c>
      <c r="D1110">
        <f t="array" ref="D1110">IFERROR(INDEX('TRIP MANAGER'!$P$18:$P$25,$A1110),"")</f>
        <v/>
      </c>
      <c r="E1110">
        <f t="array" ref="E1110">IFERROR(INDEX('TRIP MANAGER'!$Q$18:$Q$25,$A1110),"")</f>
        <v/>
      </c>
      <c r="F1110">
        <f t="array" ref="F1110">IFERROR(INDEX('TRIP MANAGER'!$R$18:$R$25,$A1110),"")</f>
        <v/>
      </c>
      <c r="G1110">
        <f t="array" ref="G1110">IFERROR(INDEX('TRIP MANAGER'!$S$18:$S$25,$A1110),"")</f>
        <v/>
      </c>
      <c r="H1110">
        <f>$B1110/150</f>
        <v/>
      </c>
      <c r="I1110">
        <f>IF(OR($G1110="",$G1110=0),"",SIN((1-$H1110)*$G1110)/SIN($G1110))</f>
        <v/>
      </c>
      <c r="J1110">
        <f>IF($I1110="","",SIN($H1110*$G1110)/SIN($G1110))</f>
        <v/>
      </c>
      <c r="K1110">
        <f>IF($I1110="","",$I1110*COS(RADIANS($C1110))*COS(RADIANS($D1110))+$J1110*COS(RADIANS($E1110))*COS(RADIANS($F1110)))</f>
        <v/>
      </c>
      <c r="L1110">
        <f>IF($I1110="","",$I1110*COS(RADIANS($C1110))*SIN(RADIANS($D1110))+$J1110*COS(RADIANS($E1110))*SIN(RADIANS($F1110)))</f>
        <v/>
      </c>
      <c r="M1110">
        <f>IF($I1110="","",$I1110*SIN(RADIANS($C1110))+$J1110*SIN(RADIANS($E1110)))</f>
        <v/>
      </c>
      <c r="N1110">
        <f>IF($M1110="","",DEGREES(ATAN2(SQRT($K1110^2+$L1110^2),$M1110)))</f>
        <v/>
      </c>
      <c r="O1110">
        <f>IF($M1110="","",DEGREES(ATAN2($K1110,$L1110)))</f>
        <v/>
      </c>
      <c r="P1110">
        <f t="array" ref="P1110">IF($N1110="","",IFERROR(IF(INDEX(geo_grid!$B$2:$JU$231,INT(($N1110+40)/0.5)+1,INT(($O1110+30)/0.5)+1)="","",INDEX(geo_grid!$B$2:$JU$231,INT(($N1110+40)/0.5)+1,INT(($O1110+30)/0.5)+1)),"OUTSIDE GRID"))</f>
        <v/>
      </c>
      <c r="Q1110">
        <f>IF($P1110="","",$A1110*1000+$B1110)</f>
        <v/>
      </c>
    </row>
    <row r="1111">
      <c r="A1111">
        <f>INT((ROW()-2)/151)+1</f>
        <v/>
      </c>
      <c r="B1111">
        <f>MOD(ROW()-2,151)</f>
        <v/>
      </c>
      <c r="C1111">
        <f t="array" ref="C1111">IFERROR(INDEX('TRIP MANAGER'!$O$18:$O$25,$A1111),"")</f>
        <v/>
      </c>
      <c r="D1111">
        <f t="array" ref="D1111">IFERROR(INDEX('TRIP MANAGER'!$P$18:$P$25,$A1111),"")</f>
        <v/>
      </c>
      <c r="E1111">
        <f t="array" ref="E1111">IFERROR(INDEX('TRIP MANAGER'!$Q$18:$Q$25,$A1111),"")</f>
        <v/>
      </c>
      <c r="F1111">
        <f t="array" ref="F1111">IFERROR(INDEX('TRIP MANAGER'!$R$18:$R$25,$A1111),"")</f>
        <v/>
      </c>
      <c r="G1111">
        <f t="array" ref="G1111">IFERROR(INDEX('TRIP MANAGER'!$S$18:$S$25,$A1111),"")</f>
        <v/>
      </c>
      <c r="H1111">
        <f>$B1111/150</f>
        <v/>
      </c>
      <c r="I1111">
        <f>IF(OR($G1111="",$G1111=0),"",SIN((1-$H1111)*$G1111)/SIN($G1111))</f>
        <v/>
      </c>
      <c r="J1111">
        <f>IF($I1111="","",SIN($H1111*$G1111)/SIN($G1111))</f>
        <v/>
      </c>
      <c r="K1111">
        <f>IF($I1111="","",$I1111*COS(RADIANS($C1111))*COS(RADIANS($D1111))+$J1111*COS(RADIANS($E1111))*COS(RADIANS($F1111)))</f>
        <v/>
      </c>
      <c r="L1111">
        <f>IF($I1111="","",$I1111*COS(RADIANS($C1111))*SIN(RADIANS($D1111))+$J1111*COS(RADIANS($E1111))*SIN(RADIANS($F1111)))</f>
        <v/>
      </c>
      <c r="M1111">
        <f>IF($I1111="","",$I1111*SIN(RADIANS($C1111))+$J1111*SIN(RADIANS($E1111)))</f>
        <v/>
      </c>
      <c r="N1111">
        <f>IF($M1111="","",DEGREES(ATAN2(SQRT($K1111^2+$L1111^2),$M1111)))</f>
        <v/>
      </c>
      <c r="O1111">
        <f>IF($M1111="","",DEGREES(ATAN2($K1111,$L1111)))</f>
        <v/>
      </c>
      <c r="P1111">
        <f t="array" ref="P1111">IF($N1111="","",IFERROR(IF(INDEX(geo_grid!$B$2:$JU$231,INT(($N1111+40)/0.5)+1,INT(($O1111+30)/0.5)+1)="","",INDEX(geo_grid!$B$2:$JU$231,INT(($N1111+40)/0.5)+1,INT(($O1111+30)/0.5)+1)),"OUTSIDE GRID"))</f>
        <v/>
      </c>
      <c r="Q1111">
        <f>IF($P1111="","",$A1111*1000+$B1111)</f>
        <v/>
      </c>
    </row>
    <row r="1112">
      <c r="A1112">
        <f>INT((ROW()-2)/151)+1</f>
        <v/>
      </c>
      <c r="B1112">
        <f>MOD(ROW()-2,151)</f>
        <v/>
      </c>
      <c r="C1112">
        <f t="array" ref="C1112">IFERROR(INDEX('TRIP MANAGER'!$O$18:$O$25,$A1112),"")</f>
        <v/>
      </c>
      <c r="D1112">
        <f t="array" ref="D1112">IFERROR(INDEX('TRIP MANAGER'!$P$18:$P$25,$A1112),"")</f>
        <v/>
      </c>
      <c r="E1112">
        <f t="array" ref="E1112">IFERROR(INDEX('TRIP MANAGER'!$Q$18:$Q$25,$A1112),"")</f>
        <v/>
      </c>
      <c r="F1112">
        <f t="array" ref="F1112">IFERROR(INDEX('TRIP MANAGER'!$R$18:$R$25,$A1112),"")</f>
        <v/>
      </c>
      <c r="G1112">
        <f t="array" ref="G1112">IFERROR(INDEX('TRIP MANAGER'!$S$18:$S$25,$A1112),"")</f>
        <v/>
      </c>
      <c r="H1112">
        <f>$B1112/150</f>
        <v/>
      </c>
      <c r="I1112">
        <f>IF(OR($G1112="",$G1112=0),"",SIN((1-$H1112)*$G1112)/SIN($G1112))</f>
        <v/>
      </c>
      <c r="J1112">
        <f>IF($I1112="","",SIN($H1112*$G1112)/SIN($G1112))</f>
        <v/>
      </c>
      <c r="K1112">
        <f>IF($I1112="","",$I1112*COS(RADIANS($C1112))*COS(RADIANS($D1112))+$J1112*COS(RADIANS($E1112))*COS(RADIANS($F1112)))</f>
        <v/>
      </c>
      <c r="L1112">
        <f>IF($I1112="","",$I1112*COS(RADIANS($C1112))*SIN(RADIANS($D1112))+$J1112*COS(RADIANS($E1112))*SIN(RADIANS($F1112)))</f>
        <v/>
      </c>
      <c r="M1112">
        <f>IF($I1112="","",$I1112*SIN(RADIANS($C1112))+$J1112*SIN(RADIANS($E1112)))</f>
        <v/>
      </c>
      <c r="N1112">
        <f>IF($M1112="","",DEGREES(ATAN2(SQRT($K1112^2+$L1112^2),$M1112)))</f>
        <v/>
      </c>
      <c r="O1112">
        <f>IF($M1112="","",DEGREES(ATAN2($K1112,$L1112)))</f>
        <v/>
      </c>
      <c r="P1112">
        <f t="array" ref="P1112">IF($N1112="","",IFERROR(IF(INDEX(geo_grid!$B$2:$JU$231,INT(($N1112+40)/0.5)+1,INT(($O1112+30)/0.5)+1)="","",INDEX(geo_grid!$B$2:$JU$231,INT(($N1112+40)/0.5)+1,INT(($O1112+30)/0.5)+1)),"OUTSIDE GRID"))</f>
        <v/>
      </c>
      <c r="Q1112">
        <f>IF($P1112="","",$A1112*1000+$B1112)</f>
        <v/>
      </c>
    </row>
    <row r="1113">
      <c r="A1113">
        <f>INT((ROW()-2)/151)+1</f>
        <v/>
      </c>
      <c r="B1113">
        <f>MOD(ROW()-2,151)</f>
        <v/>
      </c>
      <c r="C1113">
        <f t="array" ref="C1113">IFERROR(INDEX('TRIP MANAGER'!$O$18:$O$25,$A1113),"")</f>
        <v/>
      </c>
      <c r="D1113">
        <f t="array" ref="D1113">IFERROR(INDEX('TRIP MANAGER'!$P$18:$P$25,$A1113),"")</f>
        <v/>
      </c>
      <c r="E1113">
        <f t="array" ref="E1113">IFERROR(INDEX('TRIP MANAGER'!$Q$18:$Q$25,$A1113),"")</f>
        <v/>
      </c>
      <c r="F1113">
        <f t="array" ref="F1113">IFERROR(INDEX('TRIP MANAGER'!$R$18:$R$25,$A1113),"")</f>
        <v/>
      </c>
      <c r="G1113">
        <f t="array" ref="G1113">IFERROR(INDEX('TRIP MANAGER'!$S$18:$S$25,$A1113),"")</f>
        <v/>
      </c>
      <c r="H1113">
        <f>$B1113/150</f>
        <v/>
      </c>
      <c r="I1113">
        <f>IF(OR($G1113="",$G1113=0),"",SIN((1-$H1113)*$G1113)/SIN($G1113))</f>
        <v/>
      </c>
      <c r="J1113">
        <f>IF($I1113="","",SIN($H1113*$G1113)/SIN($G1113))</f>
        <v/>
      </c>
      <c r="K1113">
        <f>IF($I1113="","",$I1113*COS(RADIANS($C1113))*COS(RADIANS($D1113))+$J1113*COS(RADIANS($E1113))*COS(RADIANS($F1113)))</f>
        <v/>
      </c>
      <c r="L1113">
        <f>IF($I1113="","",$I1113*COS(RADIANS($C1113))*SIN(RADIANS($D1113))+$J1113*COS(RADIANS($E1113))*SIN(RADIANS($F1113)))</f>
        <v/>
      </c>
      <c r="M1113">
        <f>IF($I1113="","",$I1113*SIN(RADIANS($C1113))+$J1113*SIN(RADIANS($E1113)))</f>
        <v/>
      </c>
      <c r="N1113">
        <f>IF($M1113="","",DEGREES(ATAN2(SQRT($K1113^2+$L1113^2),$M1113)))</f>
        <v/>
      </c>
      <c r="O1113">
        <f>IF($M1113="","",DEGREES(ATAN2($K1113,$L1113)))</f>
        <v/>
      </c>
      <c r="P1113">
        <f t="array" ref="P1113">IF($N1113="","",IFERROR(IF(INDEX(geo_grid!$B$2:$JU$231,INT(($N1113+40)/0.5)+1,INT(($O1113+30)/0.5)+1)="","",INDEX(geo_grid!$B$2:$JU$231,INT(($N1113+40)/0.5)+1,INT(($O1113+30)/0.5)+1)),"OUTSIDE GRID"))</f>
        <v/>
      </c>
      <c r="Q1113">
        <f>IF($P1113="","",$A1113*1000+$B1113)</f>
        <v/>
      </c>
    </row>
    <row r="1114">
      <c r="A1114">
        <f>INT((ROW()-2)/151)+1</f>
        <v/>
      </c>
      <c r="B1114">
        <f>MOD(ROW()-2,151)</f>
        <v/>
      </c>
      <c r="C1114">
        <f t="array" ref="C1114">IFERROR(INDEX('TRIP MANAGER'!$O$18:$O$25,$A1114),"")</f>
        <v/>
      </c>
      <c r="D1114">
        <f t="array" ref="D1114">IFERROR(INDEX('TRIP MANAGER'!$P$18:$P$25,$A1114),"")</f>
        <v/>
      </c>
      <c r="E1114">
        <f t="array" ref="E1114">IFERROR(INDEX('TRIP MANAGER'!$Q$18:$Q$25,$A1114),"")</f>
        <v/>
      </c>
      <c r="F1114">
        <f t="array" ref="F1114">IFERROR(INDEX('TRIP MANAGER'!$R$18:$R$25,$A1114),"")</f>
        <v/>
      </c>
      <c r="G1114">
        <f t="array" ref="G1114">IFERROR(INDEX('TRIP MANAGER'!$S$18:$S$25,$A1114),"")</f>
        <v/>
      </c>
      <c r="H1114">
        <f>$B1114/150</f>
        <v/>
      </c>
      <c r="I1114">
        <f>IF(OR($G1114="",$G1114=0),"",SIN((1-$H1114)*$G1114)/SIN($G1114))</f>
        <v/>
      </c>
      <c r="J1114">
        <f>IF($I1114="","",SIN($H1114*$G1114)/SIN($G1114))</f>
        <v/>
      </c>
      <c r="K1114">
        <f>IF($I1114="","",$I1114*COS(RADIANS($C1114))*COS(RADIANS($D1114))+$J1114*COS(RADIANS($E1114))*COS(RADIANS($F1114)))</f>
        <v/>
      </c>
      <c r="L1114">
        <f>IF($I1114="","",$I1114*COS(RADIANS($C1114))*SIN(RADIANS($D1114))+$J1114*COS(RADIANS($E1114))*SIN(RADIANS($F1114)))</f>
        <v/>
      </c>
      <c r="M1114">
        <f>IF($I1114="","",$I1114*SIN(RADIANS($C1114))+$J1114*SIN(RADIANS($E1114)))</f>
        <v/>
      </c>
      <c r="N1114">
        <f>IF($M1114="","",DEGREES(ATAN2(SQRT($K1114^2+$L1114^2),$M1114)))</f>
        <v/>
      </c>
      <c r="O1114">
        <f>IF($M1114="","",DEGREES(ATAN2($K1114,$L1114)))</f>
        <v/>
      </c>
      <c r="P1114">
        <f t="array" ref="P1114">IF($N1114="","",IFERROR(IF(INDEX(geo_grid!$B$2:$JU$231,INT(($N1114+40)/0.5)+1,INT(($O1114+30)/0.5)+1)="","",INDEX(geo_grid!$B$2:$JU$231,INT(($N1114+40)/0.5)+1,INT(($O1114+30)/0.5)+1)),"OUTSIDE GRID"))</f>
        <v/>
      </c>
      <c r="Q1114">
        <f>IF($P1114="","",$A1114*1000+$B1114)</f>
        <v/>
      </c>
    </row>
    <row r="1115">
      <c r="A1115">
        <f>INT((ROW()-2)/151)+1</f>
        <v/>
      </c>
      <c r="B1115">
        <f>MOD(ROW()-2,151)</f>
        <v/>
      </c>
      <c r="C1115">
        <f t="array" ref="C1115">IFERROR(INDEX('TRIP MANAGER'!$O$18:$O$25,$A1115),"")</f>
        <v/>
      </c>
      <c r="D1115">
        <f t="array" ref="D1115">IFERROR(INDEX('TRIP MANAGER'!$P$18:$P$25,$A1115),"")</f>
        <v/>
      </c>
      <c r="E1115">
        <f t="array" ref="E1115">IFERROR(INDEX('TRIP MANAGER'!$Q$18:$Q$25,$A1115),"")</f>
        <v/>
      </c>
      <c r="F1115">
        <f t="array" ref="F1115">IFERROR(INDEX('TRIP MANAGER'!$R$18:$R$25,$A1115),"")</f>
        <v/>
      </c>
      <c r="G1115">
        <f t="array" ref="G1115">IFERROR(INDEX('TRIP MANAGER'!$S$18:$S$25,$A1115),"")</f>
        <v/>
      </c>
      <c r="H1115">
        <f>$B1115/150</f>
        <v/>
      </c>
      <c r="I1115">
        <f>IF(OR($G1115="",$G1115=0),"",SIN((1-$H1115)*$G1115)/SIN($G1115))</f>
        <v/>
      </c>
      <c r="J1115">
        <f>IF($I1115="","",SIN($H1115*$G1115)/SIN($G1115))</f>
        <v/>
      </c>
      <c r="K1115">
        <f>IF($I1115="","",$I1115*COS(RADIANS($C1115))*COS(RADIANS($D1115))+$J1115*COS(RADIANS($E1115))*COS(RADIANS($F1115)))</f>
        <v/>
      </c>
      <c r="L1115">
        <f>IF($I1115="","",$I1115*COS(RADIANS($C1115))*SIN(RADIANS($D1115))+$J1115*COS(RADIANS($E1115))*SIN(RADIANS($F1115)))</f>
        <v/>
      </c>
      <c r="M1115">
        <f>IF($I1115="","",$I1115*SIN(RADIANS($C1115))+$J1115*SIN(RADIANS($E1115)))</f>
        <v/>
      </c>
      <c r="N1115">
        <f>IF($M1115="","",DEGREES(ATAN2(SQRT($K1115^2+$L1115^2),$M1115)))</f>
        <v/>
      </c>
      <c r="O1115">
        <f>IF($M1115="","",DEGREES(ATAN2($K1115,$L1115)))</f>
        <v/>
      </c>
      <c r="P1115">
        <f t="array" ref="P1115">IF($N1115="","",IFERROR(IF(INDEX(geo_grid!$B$2:$JU$231,INT(($N1115+40)/0.5)+1,INT(($O1115+30)/0.5)+1)="","",INDEX(geo_grid!$B$2:$JU$231,INT(($N1115+40)/0.5)+1,INT(($O1115+30)/0.5)+1)),"OUTSIDE GRID"))</f>
        <v/>
      </c>
      <c r="Q1115">
        <f>IF($P1115="","",$A1115*1000+$B1115)</f>
        <v/>
      </c>
    </row>
    <row r="1116">
      <c r="A1116">
        <f>INT((ROW()-2)/151)+1</f>
        <v/>
      </c>
      <c r="B1116">
        <f>MOD(ROW()-2,151)</f>
        <v/>
      </c>
      <c r="C1116">
        <f t="array" ref="C1116">IFERROR(INDEX('TRIP MANAGER'!$O$18:$O$25,$A1116),"")</f>
        <v/>
      </c>
      <c r="D1116">
        <f t="array" ref="D1116">IFERROR(INDEX('TRIP MANAGER'!$P$18:$P$25,$A1116),"")</f>
        <v/>
      </c>
      <c r="E1116">
        <f t="array" ref="E1116">IFERROR(INDEX('TRIP MANAGER'!$Q$18:$Q$25,$A1116),"")</f>
        <v/>
      </c>
      <c r="F1116">
        <f t="array" ref="F1116">IFERROR(INDEX('TRIP MANAGER'!$R$18:$R$25,$A1116),"")</f>
        <v/>
      </c>
      <c r="G1116">
        <f t="array" ref="G1116">IFERROR(INDEX('TRIP MANAGER'!$S$18:$S$25,$A1116),"")</f>
        <v/>
      </c>
      <c r="H1116">
        <f>$B1116/150</f>
        <v/>
      </c>
      <c r="I1116">
        <f>IF(OR($G1116="",$G1116=0),"",SIN((1-$H1116)*$G1116)/SIN($G1116))</f>
        <v/>
      </c>
      <c r="J1116">
        <f>IF($I1116="","",SIN($H1116*$G1116)/SIN($G1116))</f>
        <v/>
      </c>
      <c r="K1116">
        <f>IF($I1116="","",$I1116*COS(RADIANS($C1116))*COS(RADIANS($D1116))+$J1116*COS(RADIANS($E1116))*COS(RADIANS($F1116)))</f>
        <v/>
      </c>
      <c r="L1116">
        <f>IF($I1116="","",$I1116*COS(RADIANS($C1116))*SIN(RADIANS($D1116))+$J1116*COS(RADIANS($E1116))*SIN(RADIANS($F1116)))</f>
        <v/>
      </c>
      <c r="M1116">
        <f>IF($I1116="","",$I1116*SIN(RADIANS($C1116))+$J1116*SIN(RADIANS($E1116)))</f>
        <v/>
      </c>
      <c r="N1116">
        <f>IF($M1116="","",DEGREES(ATAN2(SQRT($K1116^2+$L1116^2),$M1116)))</f>
        <v/>
      </c>
      <c r="O1116">
        <f>IF($M1116="","",DEGREES(ATAN2($K1116,$L1116)))</f>
        <v/>
      </c>
      <c r="P1116">
        <f t="array" ref="P1116">IF($N1116="","",IFERROR(IF(INDEX(geo_grid!$B$2:$JU$231,INT(($N1116+40)/0.5)+1,INT(($O1116+30)/0.5)+1)="","",INDEX(geo_grid!$B$2:$JU$231,INT(($N1116+40)/0.5)+1,INT(($O1116+30)/0.5)+1)),"OUTSIDE GRID"))</f>
        <v/>
      </c>
      <c r="Q1116">
        <f>IF($P1116="","",$A1116*1000+$B1116)</f>
        <v/>
      </c>
    </row>
    <row r="1117">
      <c r="A1117">
        <f>INT((ROW()-2)/151)+1</f>
        <v/>
      </c>
      <c r="B1117">
        <f>MOD(ROW()-2,151)</f>
        <v/>
      </c>
      <c r="C1117">
        <f t="array" ref="C1117">IFERROR(INDEX('TRIP MANAGER'!$O$18:$O$25,$A1117),"")</f>
        <v/>
      </c>
      <c r="D1117">
        <f t="array" ref="D1117">IFERROR(INDEX('TRIP MANAGER'!$P$18:$P$25,$A1117),"")</f>
        <v/>
      </c>
      <c r="E1117">
        <f t="array" ref="E1117">IFERROR(INDEX('TRIP MANAGER'!$Q$18:$Q$25,$A1117),"")</f>
        <v/>
      </c>
      <c r="F1117">
        <f t="array" ref="F1117">IFERROR(INDEX('TRIP MANAGER'!$R$18:$R$25,$A1117),"")</f>
        <v/>
      </c>
      <c r="G1117">
        <f t="array" ref="G1117">IFERROR(INDEX('TRIP MANAGER'!$S$18:$S$25,$A1117),"")</f>
        <v/>
      </c>
      <c r="H1117">
        <f>$B1117/150</f>
        <v/>
      </c>
      <c r="I1117">
        <f>IF(OR($G1117="",$G1117=0),"",SIN((1-$H1117)*$G1117)/SIN($G1117))</f>
        <v/>
      </c>
      <c r="J1117">
        <f>IF($I1117="","",SIN($H1117*$G1117)/SIN($G1117))</f>
        <v/>
      </c>
      <c r="K1117">
        <f>IF($I1117="","",$I1117*COS(RADIANS($C1117))*COS(RADIANS($D1117))+$J1117*COS(RADIANS($E1117))*COS(RADIANS($F1117)))</f>
        <v/>
      </c>
      <c r="L1117">
        <f>IF($I1117="","",$I1117*COS(RADIANS($C1117))*SIN(RADIANS($D1117))+$J1117*COS(RADIANS($E1117))*SIN(RADIANS($F1117)))</f>
        <v/>
      </c>
      <c r="M1117">
        <f>IF($I1117="","",$I1117*SIN(RADIANS($C1117))+$J1117*SIN(RADIANS($E1117)))</f>
        <v/>
      </c>
      <c r="N1117">
        <f>IF($M1117="","",DEGREES(ATAN2(SQRT($K1117^2+$L1117^2),$M1117)))</f>
        <v/>
      </c>
      <c r="O1117">
        <f>IF($M1117="","",DEGREES(ATAN2($K1117,$L1117)))</f>
        <v/>
      </c>
      <c r="P1117">
        <f t="array" ref="P1117">IF($N1117="","",IFERROR(IF(INDEX(geo_grid!$B$2:$JU$231,INT(($N1117+40)/0.5)+1,INT(($O1117+30)/0.5)+1)="","",INDEX(geo_grid!$B$2:$JU$231,INT(($N1117+40)/0.5)+1,INT(($O1117+30)/0.5)+1)),"OUTSIDE GRID"))</f>
        <v/>
      </c>
      <c r="Q1117">
        <f>IF($P1117="","",$A1117*1000+$B1117)</f>
        <v/>
      </c>
    </row>
    <row r="1118">
      <c r="A1118">
        <f>INT((ROW()-2)/151)+1</f>
        <v/>
      </c>
      <c r="B1118">
        <f>MOD(ROW()-2,151)</f>
        <v/>
      </c>
      <c r="C1118">
        <f t="array" ref="C1118">IFERROR(INDEX('TRIP MANAGER'!$O$18:$O$25,$A1118),"")</f>
        <v/>
      </c>
      <c r="D1118">
        <f t="array" ref="D1118">IFERROR(INDEX('TRIP MANAGER'!$P$18:$P$25,$A1118),"")</f>
        <v/>
      </c>
      <c r="E1118">
        <f t="array" ref="E1118">IFERROR(INDEX('TRIP MANAGER'!$Q$18:$Q$25,$A1118),"")</f>
        <v/>
      </c>
      <c r="F1118">
        <f t="array" ref="F1118">IFERROR(INDEX('TRIP MANAGER'!$R$18:$R$25,$A1118),"")</f>
        <v/>
      </c>
      <c r="G1118">
        <f t="array" ref="G1118">IFERROR(INDEX('TRIP MANAGER'!$S$18:$S$25,$A1118),"")</f>
        <v/>
      </c>
      <c r="H1118">
        <f>$B1118/150</f>
        <v/>
      </c>
      <c r="I1118">
        <f>IF(OR($G1118="",$G1118=0),"",SIN((1-$H1118)*$G1118)/SIN($G1118))</f>
        <v/>
      </c>
      <c r="J1118">
        <f>IF($I1118="","",SIN($H1118*$G1118)/SIN($G1118))</f>
        <v/>
      </c>
      <c r="K1118">
        <f>IF($I1118="","",$I1118*COS(RADIANS($C1118))*COS(RADIANS($D1118))+$J1118*COS(RADIANS($E1118))*COS(RADIANS($F1118)))</f>
        <v/>
      </c>
      <c r="L1118">
        <f>IF($I1118="","",$I1118*COS(RADIANS($C1118))*SIN(RADIANS($D1118))+$J1118*COS(RADIANS($E1118))*SIN(RADIANS($F1118)))</f>
        <v/>
      </c>
      <c r="M1118">
        <f>IF($I1118="","",$I1118*SIN(RADIANS($C1118))+$J1118*SIN(RADIANS($E1118)))</f>
        <v/>
      </c>
      <c r="N1118">
        <f>IF($M1118="","",DEGREES(ATAN2(SQRT($K1118^2+$L1118^2),$M1118)))</f>
        <v/>
      </c>
      <c r="O1118">
        <f>IF($M1118="","",DEGREES(ATAN2($K1118,$L1118)))</f>
        <v/>
      </c>
      <c r="P1118">
        <f t="array" ref="P1118">IF($N1118="","",IFERROR(IF(INDEX(geo_grid!$B$2:$JU$231,INT(($N1118+40)/0.5)+1,INT(($O1118+30)/0.5)+1)="","",INDEX(geo_grid!$B$2:$JU$231,INT(($N1118+40)/0.5)+1,INT(($O1118+30)/0.5)+1)),"OUTSIDE GRID"))</f>
        <v/>
      </c>
      <c r="Q1118">
        <f>IF($P1118="","",$A1118*1000+$B1118)</f>
        <v/>
      </c>
    </row>
    <row r="1119">
      <c r="A1119">
        <f>INT((ROW()-2)/151)+1</f>
        <v/>
      </c>
      <c r="B1119">
        <f>MOD(ROW()-2,151)</f>
        <v/>
      </c>
      <c r="C1119">
        <f t="array" ref="C1119">IFERROR(INDEX('TRIP MANAGER'!$O$18:$O$25,$A1119),"")</f>
        <v/>
      </c>
      <c r="D1119">
        <f t="array" ref="D1119">IFERROR(INDEX('TRIP MANAGER'!$P$18:$P$25,$A1119),"")</f>
        <v/>
      </c>
      <c r="E1119">
        <f t="array" ref="E1119">IFERROR(INDEX('TRIP MANAGER'!$Q$18:$Q$25,$A1119),"")</f>
        <v/>
      </c>
      <c r="F1119">
        <f t="array" ref="F1119">IFERROR(INDEX('TRIP MANAGER'!$R$18:$R$25,$A1119),"")</f>
        <v/>
      </c>
      <c r="G1119">
        <f t="array" ref="G1119">IFERROR(INDEX('TRIP MANAGER'!$S$18:$S$25,$A1119),"")</f>
        <v/>
      </c>
      <c r="H1119">
        <f>$B1119/150</f>
        <v/>
      </c>
      <c r="I1119">
        <f>IF(OR($G1119="",$G1119=0),"",SIN((1-$H1119)*$G1119)/SIN($G1119))</f>
        <v/>
      </c>
      <c r="J1119">
        <f>IF($I1119="","",SIN($H1119*$G1119)/SIN($G1119))</f>
        <v/>
      </c>
      <c r="K1119">
        <f>IF($I1119="","",$I1119*COS(RADIANS($C1119))*COS(RADIANS($D1119))+$J1119*COS(RADIANS($E1119))*COS(RADIANS($F1119)))</f>
        <v/>
      </c>
      <c r="L1119">
        <f>IF($I1119="","",$I1119*COS(RADIANS($C1119))*SIN(RADIANS($D1119))+$J1119*COS(RADIANS($E1119))*SIN(RADIANS($F1119)))</f>
        <v/>
      </c>
      <c r="M1119">
        <f>IF($I1119="","",$I1119*SIN(RADIANS($C1119))+$J1119*SIN(RADIANS($E1119)))</f>
        <v/>
      </c>
      <c r="N1119">
        <f>IF($M1119="","",DEGREES(ATAN2(SQRT($K1119^2+$L1119^2),$M1119)))</f>
        <v/>
      </c>
      <c r="O1119">
        <f>IF($M1119="","",DEGREES(ATAN2($K1119,$L1119)))</f>
        <v/>
      </c>
      <c r="P1119">
        <f t="array" ref="P1119">IF($N1119="","",IFERROR(IF(INDEX(geo_grid!$B$2:$JU$231,INT(($N1119+40)/0.5)+1,INT(($O1119+30)/0.5)+1)="","",INDEX(geo_grid!$B$2:$JU$231,INT(($N1119+40)/0.5)+1,INT(($O1119+30)/0.5)+1)),"OUTSIDE GRID"))</f>
        <v/>
      </c>
      <c r="Q1119">
        <f>IF($P1119="","",$A1119*1000+$B1119)</f>
        <v/>
      </c>
    </row>
    <row r="1120">
      <c r="A1120">
        <f>INT((ROW()-2)/151)+1</f>
        <v/>
      </c>
      <c r="B1120">
        <f>MOD(ROW()-2,151)</f>
        <v/>
      </c>
      <c r="C1120">
        <f t="array" ref="C1120">IFERROR(INDEX('TRIP MANAGER'!$O$18:$O$25,$A1120),"")</f>
        <v/>
      </c>
      <c r="D1120">
        <f t="array" ref="D1120">IFERROR(INDEX('TRIP MANAGER'!$P$18:$P$25,$A1120),"")</f>
        <v/>
      </c>
      <c r="E1120">
        <f t="array" ref="E1120">IFERROR(INDEX('TRIP MANAGER'!$Q$18:$Q$25,$A1120),"")</f>
        <v/>
      </c>
      <c r="F1120">
        <f t="array" ref="F1120">IFERROR(INDEX('TRIP MANAGER'!$R$18:$R$25,$A1120),"")</f>
        <v/>
      </c>
      <c r="G1120">
        <f t="array" ref="G1120">IFERROR(INDEX('TRIP MANAGER'!$S$18:$S$25,$A1120),"")</f>
        <v/>
      </c>
      <c r="H1120">
        <f>$B1120/150</f>
        <v/>
      </c>
      <c r="I1120">
        <f>IF(OR($G1120="",$G1120=0),"",SIN((1-$H1120)*$G1120)/SIN($G1120))</f>
        <v/>
      </c>
      <c r="J1120">
        <f>IF($I1120="","",SIN($H1120*$G1120)/SIN($G1120))</f>
        <v/>
      </c>
      <c r="K1120">
        <f>IF($I1120="","",$I1120*COS(RADIANS($C1120))*COS(RADIANS($D1120))+$J1120*COS(RADIANS($E1120))*COS(RADIANS($F1120)))</f>
        <v/>
      </c>
      <c r="L1120">
        <f>IF($I1120="","",$I1120*COS(RADIANS($C1120))*SIN(RADIANS($D1120))+$J1120*COS(RADIANS($E1120))*SIN(RADIANS($F1120)))</f>
        <v/>
      </c>
      <c r="M1120">
        <f>IF($I1120="","",$I1120*SIN(RADIANS($C1120))+$J1120*SIN(RADIANS($E1120)))</f>
        <v/>
      </c>
      <c r="N1120">
        <f>IF($M1120="","",DEGREES(ATAN2(SQRT($K1120^2+$L1120^2),$M1120)))</f>
        <v/>
      </c>
      <c r="O1120">
        <f>IF($M1120="","",DEGREES(ATAN2($K1120,$L1120)))</f>
        <v/>
      </c>
      <c r="P1120">
        <f t="array" ref="P1120">IF($N1120="","",IFERROR(IF(INDEX(geo_grid!$B$2:$JU$231,INT(($N1120+40)/0.5)+1,INT(($O1120+30)/0.5)+1)="","",INDEX(geo_grid!$B$2:$JU$231,INT(($N1120+40)/0.5)+1,INT(($O1120+30)/0.5)+1)),"OUTSIDE GRID"))</f>
        <v/>
      </c>
      <c r="Q1120">
        <f>IF($P1120="","",$A1120*1000+$B1120)</f>
        <v/>
      </c>
    </row>
    <row r="1121">
      <c r="A1121">
        <f>INT((ROW()-2)/151)+1</f>
        <v/>
      </c>
      <c r="B1121">
        <f>MOD(ROW()-2,151)</f>
        <v/>
      </c>
      <c r="C1121">
        <f t="array" ref="C1121">IFERROR(INDEX('TRIP MANAGER'!$O$18:$O$25,$A1121),"")</f>
        <v/>
      </c>
      <c r="D1121">
        <f t="array" ref="D1121">IFERROR(INDEX('TRIP MANAGER'!$P$18:$P$25,$A1121),"")</f>
        <v/>
      </c>
      <c r="E1121">
        <f t="array" ref="E1121">IFERROR(INDEX('TRIP MANAGER'!$Q$18:$Q$25,$A1121),"")</f>
        <v/>
      </c>
      <c r="F1121">
        <f t="array" ref="F1121">IFERROR(INDEX('TRIP MANAGER'!$R$18:$R$25,$A1121),"")</f>
        <v/>
      </c>
      <c r="G1121">
        <f t="array" ref="G1121">IFERROR(INDEX('TRIP MANAGER'!$S$18:$S$25,$A1121),"")</f>
        <v/>
      </c>
      <c r="H1121">
        <f>$B1121/150</f>
        <v/>
      </c>
      <c r="I1121">
        <f>IF(OR($G1121="",$G1121=0),"",SIN((1-$H1121)*$G1121)/SIN($G1121))</f>
        <v/>
      </c>
      <c r="J1121">
        <f>IF($I1121="","",SIN($H1121*$G1121)/SIN($G1121))</f>
        <v/>
      </c>
      <c r="K1121">
        <f>IF($I1121="","",$I1121*COS(RADIANS($C1121))*COS(RADIANS($D1121))+$J1121*COS(RADIANS($E1121))*COS(RADIANS($F1121)))</f>
        <v/>
      </c>
      <c r="L1121">
        <f>IF($I1121="","",$I1121*COS(RADIANS($C1121))*SIN(RADIANS($D1121))+$J1121*COS(RADIANS($E1121))*SIN(RADIANS($F1121)))</f>
        <v/>
      </c>
      <c r="M1121">
        <f>IF($I1121="","",$I1121*SIN(RADIANS($C1121))+$J1121*SIN(RADIANS($E1121)))</f>
        <v/>
      </c>
      <c r="N1121">
        <f>IF($M1121="","",DEGREES(ATAN2(SQRT($K1121^2+$L1121^2),$M1121)))</f>
        <v/>
      </c>
      <c r="O1121">
        <f>IF($M1121="","",DEGREES(ATAN2($K1121,$L1121)))</f>
        <v/>
      </c>
      <c r="P1121">
        <f t="array" ref="P1121">IF($N1121="","",IFERROR(IF(INDEX(geo_grid!$B$2:$JU$231,INT(($N1121+40)/0.5)+1,INT(($O1121+30)/0.5)+1)="","",INDEX(geo_grid!$B$2:$JU$231,INT(($N1121+40)/0.5)+1,INT(($O1121+30)/0.5)+1)),"OUTSIDE GRID"))</f>
        <v/>
      </c>
      <c r="Q1121">
        <f>IF($P1121="","",$A1121*1000+$B1121)</f>
        <v/>
      </c>
    </row>
    <row r="1122">
      <c r="A1122">
        <f>INT((ROW()-2)/151)+1</f>
        <v/>
      </c>
      <c r="B1122">
        <f>MOD(ROW()-2,151)</f>
        <v/>
      </c>
      <c r="C1122">
        <f t="array" ref="C1122">IFERROR(INDEX('TRIP MANAGER'!$O$18:$O$25,$A1122),"")</f>
        <v/>
      </c>
      <c r="D1122">
        <f t="array" ref="D1122">IFERROR(INDEX('TRIP MANAGER'!$P$18:$P$25,$A1122),"")</f>
        <v/>
      </c>
      <c r="E1122">
        <f t="array" ref="E1122">IFERROR(INDEX('TRIP MANAGER'!$Q$18:$Q$25,$A1122),"")</f>
        <v/>
      </c>
      <c r="F1122">
        <f t="array" ref="F1122">IFERROR(INDEX('TRIP MANAGER'!$R$18:$R$25,$A1122),"")</f>
        <v/>
      </c>
      <c r="G1122">
        <f t="array" ref="G1122">IFERROR(INDEX('TRIP MANAGER'!$S$18:$S$25,$A1122),"")</f>
        <v/>
      </c>
      <c r="H1122">
        <f>$B1122/150</f>
        <v/>
      </c>
      <c r="I1122">
        <f>IF(OR($G1122="",$G1122=0),"",SIN((1-$H1122)*$G1122)/SIN($G1122))</f>
        <v/>
      </c>
      <c r="J1122">
        <f>IF($I1122="","",SIN($H1122*$G1122)/SIN($G1122))</f>
        <v/>
      </c>
      <c r="K1122">
        <f>IF($I1122="","",$I1122*COS(RADIANS($C1122))*COS(RADIANS($D1122))+$J1122*COS(RADIANS($E1122))*COS(RADIANS($F1122)))</f>
        <v/>
      </c>
      <c r="L1122">
        <f>IF($I1122="","",$I1122*COS(RADIANS($C1122))*SIN(RADIANS($D1122))+$J1122*COS(RADIANS($E1122))*SIN(RADIANS($F1122)))</f>
        <v/>
      </c>
      <c r="M1122">
        <f>IF($I1122="","",$I1122*SIN(RADIANS($C1122))+$J1122*SIN(RADIANS($E1122)))</f>
        <v/>
      </c>
      <c r="N1122">
        <f>IF($M1122="","",DEGREES(ATAN2(SQRT($K1122^2+$L1122^2),$M1122)))</f>
        <v/>
      </c>
      <c r="O1122">
        <f>IF($M1122="","",DEGREES(ATAN2($K1122,$L1122)))</f>
        <v/>
      </c>
      <c r="P1122">
        <f t="array" ref="P1122">IF($N1122="","",IFERROR(IF(INDEX(geo_grid!$B$2:$JU$231,INT(($N1122+40)/0.5)+1,INT(($O1122+30)/0.5)+1)="","",INDEX(geo_grid!$B$2:$JU$231,INT(($N1122+40)/0.5)+1,INT(($O1122+30)/0.5)+1)),"OUTSIDE GRID"))</f>
        <v/>
      </c>
      <c r="Q1122">
        <f>IF($P1122="","",$A1122*1000+$B1122)</f>
        <v/>
      </c>
    </row>
    <row r="1123">
      <c r="A1123">
        <f>INT((ROW()-2)/151)+1</f>
        <v/>
      </c>
      <c r="B1123">
        <f>MOD(ROW()-2,151)</f>
        <v/>
      </c>
      <c r="C1123">
        <f t="array" ref="C1123">IFERROR(INDEX('TRIP MANAGER'!$O$18:$O$25,$A1123),"")</f>
        <v/>
      </c>
      <c r="D1123">
        <f t="array" ref="D1123">IFERROR(INDEX('TRIP MANAGER'!$P$18:$P$25,$A1123),"")</f>
        <v/>
      </c>
      <c r="E1123">
        <f t="array" ref="E1123">IFERROR(INDEX('TRIP MANAGER'!$Q$18:$Q$25,$A1123),"")</f>
        <v/>
      </c>
      <c r="F1123">
        <f t="array" ref="F1123">IFERROR(INDEX('TRIP MANAGER'!$R$18:$R$25,$A1123),"")</f>
        <v/>
      </c>
      <c r="G1123">
        <f t="array" ref="G1123">IFERROR(INDEX('TRIP MANAGER'!$S$18:$S$25,$A1123),"")</f>
        <v/>
      </c>
      <c r="H1123">
        <f>$B1123/150</f>
        <v/>
      </c>
      <c r="I1123">
        <f>IF(OR($G1123="",$G1123=0),"",SIN((1-$H1123)*$G1123)/SIN($G1123))</f>
        <v/>
      </c>
      <c r="J1123">
        <f>IF($I1123="","",SIN($H1123*$G1123)/SIN($G1123))</f>
        <v/>
      </c>
      <c r="K1123">
        <f>IF($I1123="","",$I1123*COS(RADIANS($C1123))*COS(RADIANS($D1123))+$J1123*COS(RADIANS($E1123))*COS(RADIANS($F1123)))</f>
        <v/>
      </c>
      <c r="L1123">
        <f>IF($I1123="","",$I1123*COS(RADIANS($C1123))*SIN(RADIANS($D1123))+$J1123*COS(RADIANS($E1123))*SIN(RADIANS($F1123)))</f>
        <v/>
      </c>
      <c r="M1123">
        <f>IF($I1123="","",$I1123*SIN(RADIANS($C1123))+$J1123*SIN(RADIANS($E1123)))</f>
        <v/>
      </c>
      <c r="N1123">
        <f>IF($M1123="","",DEGREES(ATAN2(SQRT($K1123^2+$L1123^2),$M1123)))</f>
        <v/>
      </c>
      <c r="O1123">
        <f>IF($M1123="","",DEGREES(ATAN2($K1123,$L1123)))</f>
        <v/>
      </c>
      <c r="P1123">
        <f t="array" ref="P1123">IF($N1123="","",IFERROR(IF(INDEX(geo_grid!$B$2:$JU$231,INT(($N1123+40)/0.5)+1,INT(($O1123+30)/0.5)+1)="","",INDEX(geo_grid!$B$2:$JU$231,INT(($N1123+40)/0.5)+1,INT(($O1123+30)/0.5)+1)),"OUTSIDE GRID"))</f>
        <v/>
      </c>
      <c r="Q1123">
        <f>IF($P1123="","",$A1123*1000+$B1123)</f>
        <v/>
      </c>
    </row>
    <row r="1124">
      <c r="A1124">
        <f>INT((ROW()-2)/151)+1</f>
        <v/>
      </c>
      <c r="B1124">
        <f>MOD(ROW()-2,151)</f>
        <v/>
      </c>
      <c r="C1124">
        <f t="array" ref="C1124">IFERROR(INDEX('TRIP MANAGER'!$O$18:$O$25,$A1124),"")</f>
        <v/>
      </c>
      <c r="D1124">
        <f t="array" ref="D1124">IFERROR(INDEX('TRIP MANAGER'!$P$18:$P$25,$A1124),"")</f>
        <v/>
      </c>
      <c r="E1124">
        <f t="array" ref="E1124">IFERROR(INDEX('TRIP MANAGER'!$Q$18:$Q$25,$A1124),"")</f>
        <v/>
      </c>
      <c r="F1124">
        <f t="array" ref="F1124">IFERROR(INDEX('TRIP MANAGER'!$R$18:$R$25,$A1124),"")</f>
        <v/>
      </c>
      <c r="G1124">
        <f t="array" ref="G1124">IFERROR(INDEX('TRIP MANAGER'!$S$18:$S$25,$A1124),"")</f>
        <v/>
      </c>
      <c r="H1124">
        <f>$B1124/150</f>
        <v/>
      </c>
      <c r="I1124">
        <f>IF(OR($G1124="",$G1124=0),"",SIN((1-$H1124)*$G1124)/SIN($G1124))</f>
        <v/>
      </c>
      <c r="J1124">
        <f>IF($I1124="","",SIN($H1124*$G1124)/SIN($G1124))</f>
        <v/>
      </c>
      <c r="K1124">
        <f>IF($I1124="","",$I1124*COS(RADIANS($C1124))*COS(RADIANS($D1124))+$J1124*COS(RADIANS($E1124))*COS(RADIANS($F1124)))</f>
        <v/>
      </c>
      <c r="L1124">
        <f>IF($I1124="","",$I1124*COS(RADIANS($C1124))*SIN(RADIANS($D1124))+$J1124*COS(RADIANS($E1124))*SIN(RADIANS($F1124)))</f>
        <v/>
      </c>
      <c r="M1124">
        <f>IF($I1124="","",$I1124*SIN(RADIANS($C1124))+$J1124*SIN(RADIANS($E1124)))</f>
        <v/>
      </c>
      <c r="N1124">
        <f>IF($M1124="","",DEGREES(ATAN2(SQRT($K1124^2+$L1124^2),$M1124)))</f>
        <v/>
      </c>
      <c r="O1124">
        <f>IF($M1124="","",DEGREES(ATAN2($K1124,$L1124)))</f>
        <v/>
      </c>
      <c r="P1124">
        <f t="array" ref="P1124">IF($N1124="","",IFERROR(IF(INDEX(geo_grid!$B$2:$JU$231,INT(($N1124+40)/0.5)+1,INT(($O1124+30)/0.5)+1)="","",INDEX(geo_grid!$B$2:$JU$231,INT(($N1124+40)/0.5)+1,INT(($O1124+30)/0.5)+1)),"OUTSIDE GRID"))</f>
        <v/>
      </c>
      <c r="Q1124">
        <f>IF($P1124="","",$A1124*1000+$B1124)</f>
        <v/>
      </c>
    </row>
    <row r="1125">
      <c r="A1125">
        <f>INT((ROW()-2)/151)+1</f>
        <v/>
      </c>
      <c r="B1125">
        <f>MOD(ROW()-2,151)</f>
        <v/>
      </c>
      <c r="C1125">
        <f t="array" ref="C1125">IFERROR(INDEX('TRIP MANAGER'!$O$18:$O$25,$A1125),"")</f>
        <v/>
      </c>
      <c r="D1125">
        <f t="array" ref="D1125">IFERROR(INDEX('TRIP MANAGER'!$P$18:$P$25,$A1125),"")</f>
        <v/>
      </c>
      <c r="E1125">
        <f t="array" ref="E1125">IFERROR(INDEX('TRIP MANAGER'!$Q$18:$Q$25,$A1125),"")</f>
        <v/>
      </c>
      <c r="F1125">
        <f t="array" ref="F1125">IFERROR(INDEX('TRIP MANAGER'!$R$18:$R$25,$A1125),"")</f>
        <v/>
      </c>
      <c r="G1125">
        <f t="array" ref="G1125">IFERROR(INDEX('TRIP MANAGER'!$S$18:$S$25,$A1125),"")</f>
        <v/>
      </c>
      <c r="H1125">
        <f>$B1125/150</f>
        <v/>
      </c>
      <c r="I1125">
        <f>IF(OR($G1125="",$G1125=0),"",SIN((1-$H1125)*$G1125)/SIN($G1125))</f>
        <v/>
      </c>
      <c r="J1125">
        <f>IF($I1125="","",SIN($H1125*$G1125)/SIN($G1125))</f>
        <v/>
      </c>
      <c r="K1125">
        <f>IF($I1125="","",$I1125*COS(RADIANS($C1125))*COS(RADIANS($D1125))+$J1125*COS(RADIANS($E1125))*COS(RADIANS($F1125)))</f>
        <v/>
      </c>
      <c r="L1125">
        <f>IF($I1125="","",$I1125*COS(RADIANS($C1125))*SIN(RADIANS($D1125))+$J1125*COS(RADIANS($E1125))*SIN(RADIANS($F1125)))</f>
        <v/>
      </c>
      <c r="M1125">
        <f>IF($I1125="","",$I1125*SIN(RADIANS($C1125))+$J1125*SIN(RADIANS($E1125)))</f>
        <v/>
      </c>
      <c r="N1125">
        <f>IF($M1125="","",DEGREES(ATAN2(SQRT($K1125^2+$L1125^2),$M1125)))</f>
        <v/>
      </c>
      <c r="O1125">
        <f>IF($M1125="","",DEGREES(ATAN2($K1125,$L1125)))</f>
        <v/>
      </c>
      <c r="P1125">
        <f t="array" ref="P1125">IF($N1125="","",IFERROR(IF(INDEX(geo_grid!$B$2:$JU$231,INT(($N1125+40)/0.5)+1,INT(($O1125+30)/0.5)+1)="","",INDEX(geo_grid!$B$2:$JU$231,INT(($N1125+40)/0.5)+1,INT(($O1125+30)/0.5)+1)),"OUTSIDE GRID"))</f>
        <v/>
      </c>
      <c r="Q1125">
        <f>IF($P1125="","",$A1125*1000+$B1125)</f>
        <v/>
      </c>
    </row>
    <row r="1126">
      <c r="A1126">
        <f>INT((ROW()-2)/151)+1</f>
        <v/>
      </c>
      <c r="B1126">
        <f>MOD(ROW()-2,151)</f>
        <v/>
      </c>
      <c r="C1126">
        <f t="array" ref="C1126">IFERROR(INDEX('TRIP MANAGER'!$O$18:$O$25,$A1126),"")</f>
        <v/>
      </c>
      <c r="D1126">
        <f t="array" ref="D1126">IFERROR(INDEX('TRIP MANAGER'!$P$18:$P$25,$A1126),"")</f>
        <v/>
      </c>
      <c r="E1126">
        <f t="array" ref="E1126">IFERROR(INDEX('TRIP MANAGER'!$Q$18:$Q$25,$A1126),"")</f>
        <v/>
      </c>
      <c r="F1126">
        <f t="array" ref="F1126">IFERROR(INDEX('TRIP MANAGER'!$R$18:$R$25,$A1126),"")</f>
        <v/>
      </c>
      <c r="G1126">
        <f t="array" ref="G1126">IFERROR(INDEX('TRIP MANAGER'!$S$18:$S$25,$A1126),"")</f>
        <v/>
      </c>
      <c r="H1126">
        <f>$B1126/150</f>
        <v/>
      </c>
      <c r="I1126">
        <f>IF(OR($G1126="",$G1126=0),"",SIN((1-$H1126)*$G1126)/SIN($G1126))</f>
        <v/>
      </c>
      <c r="J1126">
        <f>IF($I1126="","",SIN($H1126*$G1126)/SIN($G1126))</f>
        <v/>
      </c>
      <c r="K1126">
        <f>IF($I1126="","",$I1126*COS(RADIANS($C1126))*COS(RADIANS($D1126))+$J1126*COS(RADIANS($E1126))*COS(RADIANS($F1126)))</f>
        <v/>
      </c>
      <c r="L1126">
        <f>IF($I1126="","",$I1126*COS(RADIANS($C1126))*SIN(RADIANS($D1126))+$J1126*COS(RADIANS($E1126))*SIN(RADIANS($F1126)))</f>
        <v/>
      </c>
      <c r="M1126">
        <f>IF($I1126="","",$I1126*SIN(RADIANS($C1126))+$J1126*SIN(RADIANS($E1126)))</f>
        <v/>
      </c>
      <c r="N1126">
        <f>IF($M1126="","",DEGREES(ATAN2(SQRT($K1126^2+$L1126^2),$M1126)))</f>
        <v/>
      </c>
      <c r="O1126">
        <f>IF($M1126="","",DEGREES(ATAN2($K1126,$L1126)))</f>
        <v/>
      </c>
      <c r="P1126">
        <f t="array" ref="P1126">IF($N1126="","",IFERROR(IF(INDEX(geo_grid!$B$2:$JU$231,INT(($N1126+40)/0.5)+1,INT(($O1126+30)/0.5)+1)="","",INDEX(geo_grid!$B$2:$JU$231,INT(($N1126+40)/0.5)+1,INT(($O1126+30)/0.5)+1)),"OUTSIDE GRID"))</f>
        <v/>
      </c>
      <c r="Q1126">
        <f>IF($P1126="","",$A1126*1000+$B1126)</f>
        <v/>
      </c>
    </row>
    <row r="1127">
      <c r="A1127">
        <f>INT((ROW()-2)/151)+1</f>
        <v/>
      </c>
      <c r="B1127">
        <f>MOD(ROW()-2,151)</f>
        <v/>
      </c>
      <c r="C1127">
        <f t="array" ref="C1127">IFERROR(INDEX('TRIP MANAGER'!$O$18:$O$25,$A1127),"")</f>
        <v/>
      </c>
      <c r="D1127">
        <f t="array" ref="D1127">IFERROR(INDEX('TRIP MANAGER'!$P$18:$P$25,$A1127),"")</f>
        <v/>
      </c>
      <c r="E1127">
        <f t="array" ref="E1127">IFERROR(INDEX('TRIP MANAGER'!$Q$18:$Q$25,$A1127),"")</f>
        <v/>
      </c>
      <c r="F1127">
        <f t="array" ref="F1127">IFERROR(INDEX('TRIP MANAGER'!$R$18:$R$25,$A1127),"")</f>
        <v/>
      </c>
      <c r="G1127">
        <f t="array" ref="G1127">IFERROR(INDEX('TRIP MANAGER'!$S$18:$S$25,$A1127),"")</f>
        <v/>
      </c>
      <c r="H1127">
        <f>$B1127/150</f>
        <v/>
      </c>
      <c r="I1127">
        <f>IF(OR($G1127="",$G1127=0),"",SIN((1-$H1127)*$G1127)/SIN($G1127))</f>
        <v/>
      </c>
      <c r="J1127">
        <f>IF($I1127="","",SIN($H1127*$G1127)/SIN($G1127))</f>
        <v/>
      </c>
      <c r="K1127">
        <f>IF($I1127="","",$I1127*COS(RADIANS($C1127))*COS(RADIANS($D1127))+$J1127*COS(RADIANS($E1127))*COS(RADIANS($F1127)))</f>
        <v/>
      </c>
      <c r="L1127">
        <f>IF($I1127="","",$I1127*COS(RADIANS($C1127))*SIN(RADIANS($D1127))+$J1127*COS(RADIANS($E1127))*SIN(RADIANS($F1127)))</f>
        <v/>
      </c>
      <c r="M1127">
        <f>IF($I1127="","",$I1127*SIN(RADIANS($C1127))+$J1127*SIN(RADIANS($E1127)))</f>
        <v/>
      </c>
      <c r="N1127">
        <f>IF($M1127="","",DEGREES(ATAN2(SQRT($K1127^2+$L1127^2),$M1127)))</f>
        <v/>
      </c>
      <c r="O1127">
        <f>IF($M1127="","",DEGREES(ATAN2($K1127,$L1127)))</f>
        <v/>
      </c>
      <c r="P1127">
        <f t="array" ref="P1127">IF($N1127="","",IFERROR(IF(INDEX(geo_grid!$B$2:$JU$231,INT(($N1127+40)/0.5)+1,INT(($O1127+30)/0.5)+1)="","",INDEX(geo_grid!$B$2:$JU$231,INT(($N1127+40)/0.5)+1,INT(($O1127+30)/0.5)+1)),"OUTSIDE GRID"))</f>
        <v/>
      </c>
      <c r="Q1127">
        <f>IF($P1127="","",$A1127*1000+$B1127)</f>
        <v/>
      </c>
    </row>
    <row r="1128">
      <c r="A1128">
        <f>INT((ROW()-2)/151)+1</f>
        <v/>
      </c>
      <c r="B1128">
        <f>MOD(ROW()-2,151)</f>
        <v/>
      </c>
      <c r="C1128">
        <f t="array" ref="C1128">IFERROR(INDEX('TRIP MANAGER'!$O$18:$O$25,$A1128),"")</f>
        <v/>
      </c>
      <c r="D1128">
        <f t="array" ref="D1128">IFERROR(INDEX('TRIP MANAGER'!$P$18:$P$25,$A1128),"")</f>
        <v/>
      </c>
      <c r="E1128">
        <f t="array" ref="E1128">IFERROR(INDEX('TRIP MANAGER'!$Q$18:$Q$25,$A1128),"")</f>
        <v/>
      </c>
      <c r="F1128">
        <f t="array" ref="F1128">IFERROR(INDEX('TRIP MANAGER'!$R$18:$R$25,$A1128),"")</f>
        <v/>
      </c>
      <c r="G1128">
        <f t="array" ref="G1128">IFERROR(INDEX('TRIP MANAGER'!$S$18:$S$25,$A1128),"")</f>
        <v/>
      </c>
      <c r="H1128">
        <f>$B1128/150</f>
        <v/>
      </c>
      <c r="I1128">
        <f>IF(OR($G1128="",$G1128=0),"",SIN((1-$H1128)*$G1128)/SIN($G1128))</f>
        <v/>
      </c>
      <c r="J1128">
        <f>IF($I1128="","",SIN($H1128*$G1128)/SIN($G1128))</f>
        <v/>
      </c>
      <c r="K1128">
        <f>IF($I1128="","",$I1128*COS(RADIANS($C1128))*COS(RADIANS($D1128))+$J1128*COS(RADIANS($E1128))*COS(RADIANS($F1128)))</f>
        <v/>
      </c>
      <c r="L1128">
        <f>IF($I1128="","",$I1128*COS(RADIANS($C1128))*SIN(RADIANS($D1128))+$J1128*COS(RADIANS($E1128))*SIN(RADIANS($F1128)))</f>
        <v/>
      </c>
      <c r="M1128">
        <f>IF($I1128="","",$I1128*SIN(RADIANS($C1128))+$J1128*SIN(RADIANS($E1128)))</f>
        <v/>
      </c>
      <c r="N1128">
        <f>IF($M1128="","",DEGREES(ATAN2(SQRT($K1128^2+$L1128^2),$M1128)))</f>
        <v/>
      </c>
      <c r="O1128">
        <f>IF($M1128="","",DEGREES(ATAN2($K1128,$L1128)))</f>
        <v/>
      </c>
      <c r="P1128">
        <f t="array" ref="P1128">IF($N1128="","",IFERROR(IF(INDEX(geo_grid!$B$2:$JU$231,INT(($N1128+40)/0.5)+1,INT(($O1128+30)/0.5)+1)="","",INDEX(geo_grid!$B$2:$JU$231,INT(($N1128+40)/0.5)+1,INT(($O1128+30)/0.5)+1)),"OUTSIDE GRID"))</f>
        <v/>
      </c>
      <c r="Q1128">
        <f>IF($P1128="","",$A1128*1000+$B1128)</f>
        <v/>
      </c>
    </row>
    <row r="1129">
      <c r="A1129">
        <f>INT((ROW()-2)/151)+1</f>
        <v/>
      </c>
      <c r="B1129">
        <f>MOD(ROW()-2,151)</f>
        <v/>
      </c>
      <c r="C1129">
        <f t="array" ref="C1129">IFERROR(INDEX('TRIP MANAGER'!$O$18:$O$25,$A1129),"")</f>
        <v/>
      </c>
      <c r="D1129">
        <f t="array" ref="D1129">IFERROR(INDEX('TRIP MANAGER'!$P$18:$P$25,$A1129),"")</f>
        <v/>
      </c>
      <c r="E1129">
        <f t="array" ref="E1129">IFERROR(INDEX('TRIP MANAGER'!$Q$18:$Q$25,$A1129),"")</f>
        <v/>
      </c>
      <c r="F1129">
        <f t="array" ref="F1129">IFERROR(INDEX('TRIP MANAGER'!$R$18:$R$25,$A1129),"")</f>
        <v/>
      </c>
      <c r="G1129">
        <f t="array" ref="G1129">IFERROR(INDEX('TRIP MANAGER'!$S$18:$S$25,$A1129),"")</f>
        <v/>
      </c>
      <c r="H1129">
        <f>$B1129/150</f>
        <v/>
      </c>
      <c r="I1129">
        <f>IF(OR($G1129="",$G1129=0),"",SIN((1-$H1129)*$G1129)/SIN($G1129))</f>
        <v/>
      </c>
      <c r="J1129">
        <f>IF($I1129="","",SIN($H1129*$G1129)/SIN($G1129))</f>
        <v/>
      </c>
      <c r="K1129">
        <f>IF($I1129="","",$I1129*COS(RADIANS($C1129))*COS(RADIANS($D1129))+$J1129*COS(RADIANS($E1129))*COS(RADIANS($F1129)))</f>
        <v/>
      </c>
      <c r="L1129">
        <f>IF($I1129="","",$I1129*COS(RADIANS($C1129))*SIN(RADIANS($D1129))+$J1129*COS(RADIANS($E1129))*SIN(RADIANS($F1129)))</f>
        <v/>
      </c>
      <c r="M1129">
        <f>IF($I1129="","",$I1129*SIN(RADIANS($C1129))+$J1129*SIN(RADIANS($E1129)))</f>
        <v/>
      </c>
      <c r="N1129">
        <f>IF($M1129="","",DEGREES(ATAN2(SQRT($K1129^2+$L1129^2),$M1129)))</f>
        <v/>
      </c>
      <c r="O1129">
        <f>IF($M1129="","",DEGREES(ATAN2($K1129,$L1129)))</f>
        <v/>
      </c>
      <c r="P1129">
        <f t="array" ref="P1129">IF($N1129="","",IFERROR(IF(INDEX(geo_grid!$B$2:$JU$231,INT(($N1129+40)/0.5)+1,INT(($O1129+30)/0.5)+1)="","",INDEX(geo_grid!$B$2:$JU$231,INT(($N1129+40)/0.5)+1,INT(($O1129+30)/0.5)+1)),"OUTSIDE GRID"))</f>
        <v/>
      </c>
      <c r="Q1129">
        <f>IF($P1129="","",$A1129*1000+$B1129)</f>
        <v/>
      </c>
    </row>
    <row r="1130">
      <c r="A1130">
        <f>INT((ROW()-2)/151)+1</f>
        <v/>
      </c>
      <c r="B1130">
        <f>MOD(ROW()-2,151)</f>
        <v/>
      </c>
      <c r="C1130">
        <f t="array" ref="C1130">IFERROR(INDEX('TRIP MANAGER'!$O$18:$O$25,$A1130),"")</f>
        <v/>
      </c>
      <c r="D1130">
        <f t="array" ref="D1130">IFERROR(INDEX('TRIP MANAGER'!$P$18:$P$25,$A1130),"")</f>
        <v/>
      </c>
      <c r="E1130">
        <f t="array" ref="E1130">IFERROR(INDEX('TRIP MANAGER'!$Q$18:$Q$25,$A1130),"")</f>
        <v/>
      </c>
      <c r="F1130">
        <f t="array" ref="F1130">IFERROR(INDEX('TRIP MANAGER'!$R$18:$R$25,$A1130),"")</f>
        <v/>
      </c>
      <c r="G1130">
        <f t="array" ref="G1130">IFERROR(INDEX('TRIP MANAGER'!$S$18:$S$25,$A1130),"")</f>
        <v/>
      </c>
      <c r="H1130">
        <f>$B1130/150</f>
        <v/>
      </c>
      <c r="I1130">
        <f>IF(OR($G1130="",$G1130=0),"",SIN((1-$H1130)*$G1130)/SIN($G1130))</f>
        <v/>
      </c>
      <c r="J1130">
        <f>IF($I1130="","",SIN($H1130*$G1130)/SIN($G1130))</f>
        <v/>
      </c>
      <c r="K1130">
        <f>IF($I1130="","",$I1130*COS(RADIANS($C1130))*COS(RADIANS($D1130))+$J1130*COS(RADIANS($E1130))*COS(RADIANS($F1130)))</f>
        <v/>
      </c>
      <c r="L1130">
        <f>IF($I1130="","",$I1130*COS(RADIANS($C1130))*SIN(RADIANS($D1130))+$J1130*COS(RADIANS($E1130))*SIN(RADIANS($F1130)))</f>
        <v/>
      </c>
      <c r="M1130">
        <f>IF($I1130="","",$I1130*SIN(RADIANS($C1130))+$J1130*SIN(RADIANS($E1130)))</f>
        <v/>
      </c>
      <c r="N1130">
        <f>IF($M1130="","",DEGREES(ATAN2(SQRT($K1130^2+$L1130^2),$M1130)))</f>
        <v/>
      </c>
      <c r="O1130">
        <f>IF($M1130="","",DEGREES(ATAN2($K1130,$L1130)))</f>
        <v/>
      </c>
      <c r="P1130">
        <f t="array" ref="P1130">IF($N1130="","",IFERROR(IF(INDEX(geo_grid!$B$2:$JU$231,INT(($N1130+40)/0.5)+1,INT(($O1130+30)/0.5)+1)="","",INDEX(geo_grid!$B$2:$JU$231,INT(($N1130+40)/0.5)+1,INT(($O1130+30)/0.5)+1)),"OUTSIDE GRID"))</f>
        <v/>
      </c>
      <c r="Q1130">
        <f>IF($P1130="","",$A1130*1000+$B1130)</f>
        <v/>
      </c>
    </row>
    <row r="1131">
      <c r="A1131">
        <f>INT((ROW()-2)/151)+1</f>
        <v/>
      </c>
      <c r="B1131">
        <f>MOD(ROW()-2,151)</f>
        <v/>
      </c>
      <c r="C1131">
        <f t="array" ref="C1131">IFERROR(INDEX('TRIP MANAGER'!$O$18:$O$25,$A1131),"")</f>
        <v/>
      </c>
      <c r="D1131">
        <f t="array" ref="D1131">IFERROR(INDEX('TRIP MANAGER'!$P$18:$P$25,$A1131),"")</f>
        <v/>
      </c>
      <c r="E1131">
        <f t="array" ref="E1131">IFERROR(INDEX('TRIP MANAGER'!$Q$18:$Q$25,$A1131),"")</f>
        <v/>
      </c>
      <c r="F1131">
        <f t="array" ref="F1131">IFERROR(INDEX('TRIP MANAGER'!$R$18:$R$25,$A1131),"")</f>
        <v/>
      </c>
      <c r="G1131">
        <f t="array" ref="G1131">IFERROR(INDEX('TRIP MANAGER'!$S$18:$S$25,$A1131),"")</f>
        <v/>
      </c>
      <c r="H1131">
        <f>$B1131/150</f>
        <v/>
      </c>
      <c r="I1131">
        <f>IF(OR($G1131="",$G1131=0),"",SIN((1-$H1131)*$G1131)/SIN($G1131))</f>
        <v/>
      </c>
      <c r="J1131">
        <f>IF($I1131="","",SIN($H1131*$G1131)/SIN($G1131))</f>
        <v/>
      </c>
      <c r="K1131">
        <f>IF($I1131="","",$I1131*COS(RADIANS($C1131))*COS(RADIANS($D1131))+$J1131*COS(RADIANS($E1131))*COS(RADIANS($F1131)))</f>
        <v/>
      </c>
      <c r="L1131">
        <f>IF($I1131="","",$I1131*COS(RADIANS($C1131))*SIN(RADIANS($D1131))+$J1131*COS(RADIANS($E1131))*SIN(RADIANS($F1131)))</f>
        <v/>
      </c>
      <c r="M1131">
        <f>IF($I1131="","",$I1131*SIN(RADIANS($C1131))+$J1131*SIN(RADIANS($E1131)))</f>
        <v/>
      </c>
      <c r="N1131">
        <f>IF($M1131="","",DEGREES(ATAN2(SQRT($K1131^2+$L1131^2),$M1131)))</f>
        <v/>
      </c>
      <c r="O1131">
        <f>IF($M1131="","",DEGREES(ATAN2($K1131,$L1131)))</f>
        <v/>
      </c>
      <c r="P1131">
        <f t="array" ref="P1131">IF($N1131="","",IFERROR(IF(INDEX(geo_grid!$B$2:$JU$231,INT(($N1131+40)/0.5)+1,INT(($O1131+30)/0.5)+1)="","",INDEX(geo_grid!$B$2:$JU$231,INT(($N1131+40)/0.5)+1,INT(($O1131+30)/0.5)+1)),"OUTSIDE GRID"))</f>
        <v/>
      </c>
      <c r="Q1131">
        <f>IF($P1131="","",$A1131*1000+$B1131)</f>
        <v/>
      </c>
    </row>
    <row r="1132">
      <c r="A1132">
        <f>INT((ROW()-2)/151)+1</f>
        <v/>
      </c>
      <c r="B1132">
        <f>MOD(ROW()-2,151)</f>
        <v/>
      </c>
      <c r="C1132">
        <f t="array" ref="C1132">IFERROR(INDEX('TRIP MANAGER'!$O$18:$O$25,$A1132),"")</f>
        <v/>
      </c>
      <c r="D1132">
        <f t="array" ref="D1132">IFERROR(INDEX('TRIP MANAGER'!$P$18:$P$25,$A1132),"")</f>
        <v/>
      </c>
      <c r="E1132">
        <f t="array" ref="E1132">IFERROR(INDEX('TRIP MANAGER'!$Q$18:$Q$25,$A1132),"")</f>
        <v/>
      </c>
      <c r="F1132">
        <f t="array" ref="F1132">IFERROR(INDEX('TRIP MANAGER'!$R$18:$R$25,$A1132),"")</f>
        <v/>
      </c>
      <c r="G1132">
        <f t="array" ref="G1132">IFERROR(INDEX('TRIP MANAGER'!$S$18:$S$25,$A1132),"")</f>
        <v/>
      </c>
      <c r="H1132">
        <f>$B1132/150</f>
        <v/>
      </c>
      <c r="I1132">
        <f>IF(OR($G1132="",$G1132=0),"",SIN((1-$H1132)*$G1132)/SIN($G1132))</f>
        <v/>
      </c>
      <c r="J1132">
        <f>IF($I1132="","",SIN($H1132*$G1132)/SIN($G1132))</f>
        <v/>
      </c>
      <c r="K1132">
        <f>IF($I1132="","",$I1132*COS(RADIANS($C1132))*COS(RADIANS($D1132))+$J1132*COS(RADIANS($E1132))*COS(RADIANS($F1132)))</f>
        <v/>
      </c>
      <c r="L1132">
        <f>IF($I1132="","",$I1132*COS(RADIANS($C1132))*SIN(RADIANS($D1132))+$J1132*COS(RADIANS($E1132))*SIN(RADIANS($F1132)))</f>
        <v/>
      </c>
      <c r="M1132">
        <f>IF($I1132="","",$I1132*SIN(RADIANS($C1132))+$J1132*SIN(RADIANS($E1132)))</f>
        <v/>
      </c>
      <c r="N1132">
        <f>IF($M1132="","",DEGREES(ATAN2(SQRT($K1132^2+$L1132^2),$M1132)))</f>
        <v/>
      </c>
      <c r="O1132">
        <f>IF($M1132="","",DEGREES(ATAN2($K1132,$L1132)))</f>
        <v/>
      </c>
      <c r="P1132">
        <f t="array" ref="P1132">IF($N1132="","",IFERROR(IF(INDEX(geo_grid!$B$2:$JU$231,INT(($N1132+40)/0.5)+1,INT(($O1132+30)/0.5)+1)="","",INDEX(geo_grid!$B$2:$JU$231,INT(($N1132+40)/0.5)+1,INT(($O1132+30)/0.5)+1)),"OUTSIDE GRID"))</f>
        <v/>
      </c>
      <c r="Q1132">
        <f>IF($P1132="","",$A1132*1000+$B1132)</f>
        <v/>
      </c>
    </row>
    <row r="1133">
      <c r="A1133">
        <f>INT((ROW()-2)/151)+1</f>
        <v/>
      </c>
      <c r="B1133">
        <f>MOD(ROW()-2,151)</f>
        <v/>
      </c>
      <c r="C1133">
        <f t="array" ref="C1133">IFERROR(INDEX('TRIP MANAGER'!$O$18:$O$25,$A1133),"")</f>
        <v/>
      </c>
      <c r="D1133">
        <f t="array" ref="D1133">IFERROR(INDEX('TRIP MANAGER'!$P$18:$P$25,$A1133),"")</f>
        <v/>
      </c>
      <c r="E1133">
        <f t="array" ref="E1133">IFERROR(INDEX('TRIP MANAGER'!$Q$18:$Q$25,$A1133),"")</f>
        <v/>
      </c>
      <c r="F1133">
        <f t="array" ref="F1133">IFERROR(INDEX('TRIP MANAGER'!$R$18:$R$25,$A1133),"")</f>
        <v/>
      </c>
      <c r="G1133">
        <f t="array" ref="G1133">IFERROR(INDEX('TRIP MANAGER'!$S$18:$S$25,$A1133),"")</f>
        <v/>
      </c>
      <c r="H1133">
        <f>$B1133/150</f>
        <v/>
      </c>
      <c r="I1133">
        <f>IF(OR($G1133="",$G1133=0),"",SIN((1-$H1133)*$G1133)/SIN($G1133))</f>
        <v/>
      </c>
      <c r="J1133">
        <f>IF($I1133="","",SIN($H1133*$G1133)/SIN($G1133))</f>
        <v/>
      </c>
      <c r="K1133">
        <f>IF($I1133="","",$I1133*COS(RADIANS($C1133))*COS(RADIANS($D1133))+$J1133*COS(RADIANS($E1133))*COS(RADIANS($F1133)))</f>
        <v/>
      </c>
      <c r="L1133">
        <f>IF($I1133="","",$I1133*COS(RADIANS($C1133))*SIN(RADIANS($D1133))+$J1133*COS(RADIANS($E1133))*SIN(RADIANS($F1133)))</f>
        <v/>
      </c>
      <c r="M1133">
        <f>IF($I1133="","",$I1133*SIN(RADIANS($C1133))+$J1133*SIN(RADIANS($E1133)))</f>
        <v/>
      </c>
      <c r="N1133">
        <f>IF($M1133="","",DEGREES(ATAN2(SQRT($K1133^2+$L1133^2),$M1133)))</f>
        <v/>
      </c>
      <c r="O1133">
        <f>IF($M1133="","",DEGREES(ATAN2($K1133,$L1133)))</f>
        <v/>
      </c>
      <c r="P1133">
        <f t="array" ref="P1133">IF($N1133="","",IFERROR(IF(INDEX(geo_grid!$B$2:$JU$231,INT(($N1133+40)/0.5)+1,INT(($O1133+30)/0.5)+1)="","",INDEX(geo_grid!$B$2:$JU$231,INT(($N1133+40)/0.5)+1,INT(($O1133+30)/0.5)+1)),"OUTSIDE GRID"))</f>
        <v/>
      </c>
      <c r="Q1133">
        <f>IF($P1133="","",$A1133*1000+$B1133)</f>
        <v/>
      </c>
    </row>
    <row r="1134">
      <c r="A1134">
        <f>INT((ROW()-2)/151)+1</f>
        <v/>
      </c>
      <c r="B1134">
        <f>MOD(ROW()-2,151)</f>
        <v/>
      </c>
      <c r="C1134">
        <f t="array" ref="C1134">IFERROR(INDEX('TRIP MANAGER'!$O$18:$O$25,$A1134),"")</f>
        <v/>
      </c>
      <c r="D1134">
        <f t="array" ref="D1134">IFERROR(INDEX('TRIP MANAGER'!$P$18:$P$25,$A1134),"")</f>
        <v/>
      </c>
      <c r="E1134">
        <f t="array" ref="E1134">IFERROR(INDEX('TRIP MANAGER'!$Q$18:$Q$25,$A1134),"")</f>
        <v/>
      </c>
      <c r="F1134">
        <f t="array" ref="F1134">IFERROR(INDEX('TRIP MANAGER'!$R$18:$R$25,$A1134),"")</f>
        <v/>
      </c>
      <c r="G1134">
        <f t="array" ref="G1134">IFERROR(INDEX('TRIP MANAGER'!$S$18:$S$25,$A1134),"")</f>
        <v/>
      </c>
      <c r="H1134">
        <f>$B1134/150</f>
        <v/>
      </c>
      <c r="I1134">
        <f>IF(OR($G1134="",$G1134=0),"",SIN((1-$H1134)*$G1134)/SIN($G1134))</f>
        <v/>
      </c>
      <c r="J1134">
        <f>IF($I1134="","",SIN($H1134*$G1134)/SIN($G1134))</f>
        <v/>
      </c>
      <c r="K1134">
        <f>IF($I1134="","",$I1134*COS(RADIANS($C1134))*COS(RADIANS($D1134))+$J1134*COS(RADIANS($E1134))*COS(RADIANS($F1134)))</f>
        <v/>
      </c>
      <c r="L1134">
        <f>IF($I1134="","",$I1134*COS(RADIANS($C1134))*SIN(RADIANS($D1134))+$J1134*COS(RADIANS($E1134))*SIN(RADIANS($F1134)))</f>
        <v/>
      </c>
      <c r="M1134">
        <f>IF($I1134="","",$I1134*SIN(RADIANS($C1134))+$J1134*SIN(RADIANS($E1134)))</f>
        <v/>
      </c>
      <c r="N1134">
        <f>IF($M1134="","",DEGREES(ATAN2(SQRT($K1134^2+$L1134^2),$M1134)))</f>
        <v/>
      </c>
      <c r="O1134">
        <f>IF($M1134="","",DEGREES(ATAN2($K1134,$L1134)))</f>
        <v/>
      </c>
      <c r="P1134">
        <f t="array" ref="P1134">IF($N1134="","",IFERROR(IF(INDEX(geo_grid!$B$2:$JU$231,INT(($N1134+40)/0.5)+1,INT(($O1134+30)/0.5)+1)="","",INDEX(geo_grid!$B$2:$JU$231,INT(($N1134+40)/0.5)+1,INT(($O1134+30)/0.5)+1)),"OUTSIDE GRID"))</f>
        <v/>
      </c>
      <c r="Q1134">
        <f>IF($P1134="","",$A1134*1000+$B1134)</f>
        <v/>
      </c>
    </row>
    <row r="1135">
      <c r="A1135">
        <f>INT((ROW()-2)/151)+1</f>
        <v/>
      </c>
      <c r="B1135">
        <f>MOD(ROW()-2,151)</f>
        <v/>
      </c>
      <c r="C1135">
        <f t="array" ref="C1135">IFERROR(INDEX('TRIP MANAGER'!$O$18:$O$25,$A1135),"")</f>
        <v/>
      </c>
      <c r="D1135">
        <f t="array" ref="D1135">IFERROR(INDEX('TRIP MANAGER'!$P$18:$P$25,$A1135),"")</f>
        <v/>
      </c>
      <c r="E1135">
        <f t="array" ref="E1135">IFERROR(INDEX('TRIP MANAGER'!$Q$18:$Q$25,$A1135),"")</f>
        <v/>
      </c>
      <c r="F1135">
        <f t="array" ref="F1135">IFERROR(INDEX('TRIP MANAGER'!$R$18:$R$25,$A1135),"")</f>
        <v/>
      </c>
      <c r="G1135">
        <f t="array" ref="G1135">IFERROR(INDEX('TRIP MANAGER'!$S$18:$S$25,$A1135),"")</f>
        <v/>
      </c>
      <c r="H1135">
        <f>$B1135/150</f>
        <v/>
      </c>
      <c r="I1135">
        <f>IF(OR($G1135="",$G1135=0),"",SIN((1-$H1135)*$G1135)/SIN($G1135))</f>
        <v/>
      </c>
      <c r="J1135">
        <f>IF($I1135="","",SIN($H1135*$G1135)/SIN($G1135))</f>
        <v/>
      </c>
      <c r="K1135">
        <f>IF($I1135="","",$I1135*COS(RADIANS($C1135))*COS(RADIANS($D1135))+$J1135*COS(RADIANS($E1135))*COS(RADIANS($F1135)))</f>
        <v/>
      </c>
      <c r="L1135">
        <f>IF($I1135="","",$I1135*COS(RADIANS($C1135))*SIN(RADIANS($D1135))+$J1135*COS(RADIANS($E1135))*SIN(RADIANS($F1135)))</f>
        <v/>
      </c>
      <c r="M1135">
        <f>IF($I1135="","",$I1135*SIN(RADIANS($C1135))+$J1135*SIN(RADIANS($E1135)))</f>
        <v/>
      </c>
      <c r="N1135">
        <f>IF($M1135="","",DEGREES(ATAN2(SQRT($K1135^2+$L1135^2),$M1135)))</f>
        <v/>
      </c>
      <c r="O1135">
        <f>IF($M1135="","",DEGREES(ATAN2($K1135,$L1135)))</f>
        <v/>
      </c>
      <c r="P1135">
        <f t="array" ref="P1135">IF($N1135="","",IFERROR(IF(INDEX(geo_grid!$B$2:$JU$231,INT(($N1135+40)/0.5)+1,INT(($O1135+30)/0.5)+1)="","",INDEX(geo_grid!$B$2:$JU$231,INT(($N1135+40)/0.5)+1,INT(($O1135+30)/0.5)+1)),"OUTSIDE GRID"))</f>
        <v/>
      </c>
      <c r="Q1135">
        <f>IF($P1135="","",$A1135*1000+$B1135)</f>
        <v/>
      </c>
    </row>
    <row r="1136">
      <c r="A1136">
        <f>INT((ROW()-2)/151)+1</f>
        <v/>
      </c>
      <c r="B1136">
        <f>MOD(ROW()-2,151)</f>
        <v/>
      </c>
      <c r="C1136">
        <f t="array" ref="C1136">IFERROR(INDEX('TRIP MANAGER'!$O$18:$O$25,$A1136),"")</f>
        <v/>
      </c>
      <c r="D1136">
        <f t="array" ref="D1136">IFERROR(INDEX('TRIP MANAGER'!$P$18:$P$25,$A1136),"")</f>
        <v/>
      </c>
      <c r="E1136">
        <f t="array" ref="E1136">IFERROR(INDEX('TRIP MANAGER'!$Q$18:$Q$25,$A1136),"")</f>
        <v/>
      </c>
      <c r="F1136">
        <f t="array" ref="F1136">IFERROR(INDEX('TRIP MANAGER'!$R$18:$R$25,$A1136),"")</f>
        <v/>
      </c>
      <c r="G1136">
        <f t="array" ref="G1136">IFERROR(INDEX('TRIP MANAGER'!$S$18:$S$25,$A1136),"")</f>
        <v/>
      </c>
      <c r="H1136">
        <f>$B1136/150</f>
        <v/>
      </c>
      <c r="I1136">
        <f>IF(OR($G1136="",$G1136=0),"",SIN((1-$H1136)*$G1136)/SIN($G1136))</f>
        <v/>
      </c>
      <c r="J1136">
        <f>IF($I1136="","",SIN($H1136*$G1136)/SIN($G1136))</f>
        <v/>
      </c>
      <c r="K1136">
        <f>IF($I1136="","",$I1136*COS(RADIANS($C1136))*COS(RADIANS($D1136))+$J1136*COS(RADIANS($E1136))*COS(RADIANS($F1136)))</f>
        <v/>
      </c>
      <c r="L1136">
        <f>IF($I1136="","",$I1136*COS(RADIANS($C1136))*SIN(RADIANS($D1136))+$J1136*COS(RADIANS($E1136))*SIN(RADIANS($F1136)))</f>
        <v/>
      </c>
      <c r="M1136">
        <f>IF($I1136="","",$I1136*SIN(RADIANS($C1136))+$J1136*SIN(RADIANS($E1136)))</f>
        <v/>
      </c>
      <c r="N1136">
        <f>IF($M1136="","",DEGREES(ATAN2(SQRT($K1136^2+$L1136^2),$M1136)))</f>
        <v/>
      </c>
      <c r="O1136">
        <f>IF($M1136="","",DEGREES(ATAN2($K1136,$L1136)))</f>
        <v/>
      </c>
      <c r="P1136">
        <f t="array" ref="P1136">IF($N1136="","",IFERROR(IF(INDEX(geo_grid!$B$2:$JU$231,INT(($N1136+40)/0.5)+1,INT(($O1136+30)/0.5)+1)="","",INDEX(geo_grid!$B$2:$JU$231,INT(($N1136+40)/0.5)+1,INT(($O1136+30)/0.5)+1)),"OUTSIDE GRID"))</f>
        <v/>
      </c>
      <c r="Q1136">
        <f>IF($P1136="","",$A1136*1000+$B1136)</f>
        <v/>
      </c>
    </row>
    <row r="1137">
      <c r="A1137">
        <f>INT((ROW()-2)/151)+1</f>
        <v/>
      </c>
      <c r="B1137">
        <f>MOD(ROW()-2,151)</f>
        <v/>
      </c>
      <c r="C1137">
        <f t="array" ref="C1137">IFERROR(INDEX('TRIP MANAGER'!$O$18:$O$25,$A1137),"")</f>
        <v/>
      </c>
      <c r="D1137">
        <f t="array" ref="D1137">IFERROR(INDEX('TRIP MANAGER'!$P$18:$P$25,$A1137),"")</f>
        <v/>
      </c>
      <c r="E1137">
        <f t="array" ref="E1137">IFERROR(INDEX('TRIP MANAGER'!$Q$18:$Q$25,$A1137),"")</f>
        <v/>
      </c>
      <c r="F1137">
        <f t="array" ref="F1137">IFERROR(INDEX('TRIP MANAGER'!$R$18:$R$25,$A1137),"")</f>
        <v/>
      </c>
      <c r="G1137">
        <f t="array" ref="G1137">IFERROR(INDEX('TRIP MANAGER'!$S$18:$S$25,$A1137),"")</f>
        <v/>
      </c>
      <c r="H1137">
        <f>$B1137/150</f>
        <v/>
      </c>
      <c r="I1137">
        <f>IF(OR($G1137="",$G1137=0),"",SIN((1-$H1137)*$G1137)/SIN($G1137))</f>
        <v/>
      </c>
      <c r="J1137">
        <f>IF($I1137="","",SIN($H1137*$G1137)/SIN($G1137))</f>
        <v/>
      </c>
      <c r="K1137">
        <f>IF($I1137="","",$I1137*COS(RADIANS($C1137))*COS(RADIANS($D1137))+$J1137*COS(RADIANS($E1137))*COS(RADIANS($F1137)))</f>
        <v/>
      </c>
      <c r="L1137">
        <f>IF($I1137="","",$I1137*COS(RADIANS($C1137))*SIN(RADIANS($D1137))+$J1137*COS(RADIANS($E1137))*SIN(RADIANS($F1137)))</f>
        <v/>
      </c>
      <c r="M1137">
        <f>IF($I1137="","",$I1137*SIN(RADIANS($C1137))+$J1137*SIN(RADIANS($E1137)))</f>
        <v/>
      </c>
      <c r="N1137">
        <f>IF($M1137="","",DEGREES(ATAN2(SQRT($K1137^2+$L1137^2),$M1137)))</f>
        <v/>
      </c>
      <c r="O1137">
        <f>IF($M1137="","",DEGREES(ATAN2($K1137,$L1137)))</f>
        <v/>
      </c>
      <c r="P1137">
        <f t="array" ref="P1137">IF($N1137="","",IFERROR(IF(INDEX(geo_grid!$B$2:$JU$231,INT(($N1137+40)/0.5)+1,INT(($O1137+30)/0.5)+1)="","",INDEX(geo_grid!$B$2:$JU$231,INT(($N1137+40)/0.5)+1,INT(($O1137+30)/0.5)+1)),"OUTSIDE GRID"))</f>
        <v/>
      </c>
      <c r="Q1137">
        <f>IF($P1137="","",$A1137*1000+$B1137)</f>
        <v/>
      </c>
    </row>
    <row r="1138">
      <c r="A1138">
        <f>INT((ROW()-2)/151)+1</f>
        <v/>
      </c>
      <c r="B1138">
        <f>MOD(ROW()-2,151)</f>
        <v/>
      </c>
      <c r="C1138">
        <f t="array" ref="C1138">IFERROR(INDEX('TRIP MANAGER'!$O$18:$O$25,$A1138),"")</f>
        <v/>
      </c>
      <c r="D1138">
        <f t="array" ref="D1138">IFERROR(INDEX('TRIP MANAGER'!$P$18:$P$25,$A1138),"")</f>
        <v/>
      </c>
      <c r="E1138">
        <f t="array" ref="E1138">IFERROR(INDEX('TRIP MANAGER'!$Q$18:$Q$25,$A1138),"")</f>
        <v/>
      </c>
      <c r="F1138">
        <f t="array" ref="F1138">IFERROR(INDEX('TRIP MANAGER'!$R$18:$R$25,$A1138),"")</f>
        <v/>
      </c>
      <c r="G1138">
        <f t="array" ref="G1138">IFERROR(INDEX('TRIP MANAGER'!$S$18:$S$25,$A1138),"")</f>
        <v/>
      </c>
      <c r="H1138">
        <f>$B1138/150</f>
        <v/>
      </c>
      <c r="I1138">
        <f>IF(OR($G1138="",$G1138=0),"",SIN((1-$H1138)*$G1138)/SIN($G1138))</f>
        <v/>
      </c>
      <c r="J1138">
        <f>IF($I1138="","",SIN($H1138*$G1138)/SIN($G1138))</f>
        <v/>
      </c>
      <c r="K1138">
        <f>IF($I1138="","",$I1138*COS(RADIANS($C1138))*COS(RADIANS($D1138))+$J1138*COS(RADIANS($E1138))*COS(RADIANS($F1138)))</f>
        <v/>
      </c>
      <c r="L1138">
        <f>IF($I1138="","",$I1138*COS(RADIANS($C1138))*SIN(RADIANS($D1138))+$J1138*COS(RADIANS($E1138))*SIN(RADIANS($F1138)))</f>
        <v/>
      </c>
      <c r="M1138">
        <f>IF($I1138="","",$I1138*SIN(RADIANS($C1138))+$J1138*SIN(RADIANS($E1138)))</f>
        <v/>
      </c>
      <c r="N1138">
        <f>IF($M1138="","",DEGREES(ATAN2(SQRT($K1138^2+$L1138^2),$M1138)))</f>
        <v/>
      </c>
      <c r="O1138">
        <f>IF($M1138="","",DEGREES(ATAN2($K1138,$L1138)))</f>
        <v/>
      </c>
      <c r="P1138">
        <f t="array" ref="P1138">IF($N1138="","",IFERROR(IF(INDEX(geo_grid!$B$2:$JU$231,INT(($N1138+40)/0.5)+1,INT(($O1138+30)/0.5)+1)="","",INDEX(geo_grid!$B$2:$JU$231,INT(($N1138+40)/0.5)+1,INT(($O1138+30)/0.5)+1)),"OUTSIDE GRID"))</f>
        <v/>
      </c>
      <c r="Q1138">
        <f>IF($P1138="","",$A1138*1000+$B1138)</f>
        <v/>
      </c>
    </row>
    <row r="1139">
      <c r="A1139">
        <f>INT((ROW()-2)/151)+1</f>
        <v/>
      </c>
      <c r="B1139">
        <f>MOD(ROW()-2,151)</f>
        <v/>
      </c>
      <c r="C1139">
        <f t="array" ref="C1139">IFERROR(INDEX('TRIP MANAGER'!$O$18:$O$25,$A1139),"")</f>
        <v/>
      </c>
      <c r="D1139">
        <f t="array" ref="D1139">IFERROR(INDEX('TRIP MANAGER'!$P$18:$P$25,$A1139),"")</f>
        <v/>
      </c>
      <c r="E1139">
        <f t="array" ref="E1139">IFERROR(INDEX('TRIP MANAGER'!$Q$18:$Q$25,$A1139),"")</f>
        <v/>
      </c>
      <c r="F1139">
        <f t="array" ref="F1139">IFERROR(INDEX('TRIP MANAGER'!$R$18:$R$25,$A1139),"")</f>
        <v/>
      </c>
      <c r="G1139">
        <f t="array" ref="G1139">IFERROR(INDEX('TRIP MANAGER'!$S$18:$S$25,$A1139),"")</f>
        <v/>
      </c>
      <c r="H1139">
        <f>$B1139/150</f>
        <v/>
      </c>
      <c r="I1139">
        <f>IF(OR($G1139="",$G1139=0),"",SIN((1-$H1139)*$G1139)/SIN($G1139))</f>
        <v/>
      </c>
      <c r="J1139">
        <f>IF($I1139="","",SIN($H1139*$G1139)/SIN($G1139))</f>
        <v/>
      </c>
      <c r="K1139">
        <f>IF($I1139="","",$I1139*COS(RADIANS($C1139))*COS(RADIANS($D1139))+$J1139*COS(RADIANS($E1139))*COS(RADIANS($F1139)))</f>
        <v/>
      </c>
      <c r="L1139">
        <f>IF($I1139="","",$I1139*COS(RADIANS($C1139))*SIN(RADIANS($D1139))+$J1139*COS(RADIANS($E1139))*SIN(RADIANS($F1139)))</f>
        <v/>
      </c>
      <c r="M1139">
        <f>IF($I1139="","",$I1139*SIN(RADIANS($C1139))+$J1139*SIN(RADIANS($E1139)))</f>
        <v/>
      </c>
      <c r="N1139">
        <f>IF($M1139="","",DEGREES(ATAN2(SQRT($K1139^2+$L1139^2),$M1139)))</f>
        <v/>
      </c>
      <c r="O1139">
        <f>IF($M1139="","",DEGREES(ATAN2($K1139,$L1139)))</f>
        <v/>
      </c>
      <c r="P1139">
        <f t="array" ref="P1139">IF($N1139="","",IFERROR(IF(INDEX(geo_grid!$B$2:$JU$231,INT(($N1139+40)/0.5)+1,INT(($O1139+30)/0.5)+1)="","",INDEX(geo_grid!$B$2:$JU$231,INT(($N1139+40)/0.5)+1,INT(($O1139+30)/0.5)+1)),"OUTSIDE GRID"))</f>
        <v/>
      </c>
      <c r="Q1139">
        <f>IF($P1139="","",$A1139*1000+$B1139)</f>
        <v/>
      </c>
    </row>
    <row r="1140">
      <c r="A1140">
        <f>INT((ROW()-2)/151)+1</f>
        <v/>
      </c>
      <c r="B1140">
        <f>MOD(ROW()-2,151)</f>
        <v/>
      </c>
      <c r="C1140">
        <f t="array" ref="C1140">IFERROR(INDEX('TRIP MANAGER'!$O$18:$O$25,$A1140),"")</f>
        <v/>
      </c>
      <c r="D1140">
        <f t="array" ref="D1140">IFERROR(INDEX('TRIP MANAGER'!$P$18:$P$25,$A1140),"")</f>
        <v/>
      </c>
      <c r="E1140">
        <f t="array" ref="E1140">IFERROR(INDEX('TRIP MANAGER'!$Q$18:$Q$25,$A1140),"")</f>
        <v/>
      </c>
      <c r="F1140">
        <f t="array" ref="F1140">IFERROR(INDEX('TRIP MANAGER'!$R$18:$R$25,$A1140),"")</f>
        <v/>
      </c>
      <c r="G1140">
        <f t="array" ref="G1140">IFERROR(INDEX('TRIP MANAGER'!$S$18:$S$25,$A1140),"")</f>
        <v/>
      </c>
      <c r="H1140">
        <f>$B1140/150</f>
        <v/>
      </c>
      <c r="I1140">
        <f>IF(OR($G1140="",$G1140=0),"",SIN((1-$H1140)*$G1140)/SIN($G1140))</f>
        <v/>
      </c>
      <c r="J1140">
        <f>IF($I1140="","",SIN($H1140*$G1140)/SIN($G1140))</f>
        <v/>
      </c>
      <c r="K1140">
        <f>IF($I1140="","",$I1140*COS(RADIANS($C1140))*COS(RADIANS($D1140))+$J1140*COS(RADIANS($E1140))*COS(RADIANS($F1140)))</f>
        <v/>
      </c>
      <c r="L1140">
        <f>IF($I1140="","",$I1140*COS(RADIANS($C1140))*SIN(RADIANS($D1140))+$J1140*COS(RADIANS($E1140))*SIN(RADIANS($F1140)))</f>
        <v/>
      </c>
      <c r="M1140">
        <f>IF($I1140="","",$I1140*SIN(RADIANS($C1140))+$J1140*SIN(RADIANS($E1140)))</f>
        <v/>
      </c>
      <c r="N1140">
        <f>IF($M1140="","",DEGREES(ATAN2(SQRT($K1140^2+$L1140^2),$M1140)))</f>
        <v/>
      </c>
      <c r="O1140">
        <f>IF($M1140="","",DEGREES(ATAN2($K1140,$L1140)))</f>
        <v/>
      </c>
      <c r="P1140">
        <f t="array" ref="P1140">IF($N1140="","",IFERROR(IF(INDEX(geo_grid!$B$2:$JU$231,INT(($N1140+40)/0.5)+1,INT(($O1140+30)/0.5)+1)="","",INDEX(geo_grid!$B$2:$JU$231,INT(($N1140+40)/0.5)+1,INT(($O1140+30)/0.5)+1)),"OUTSIDE GRID"))</f>
        <v/>
      </c>
      <c r="Q1140">
        <f>IF($P1140="","",$A1140*1000+$B1140)</f>
        <v/>
      </c>
    </row>
    <row r="1141">
      <c r="A1141">
        <f>INT((ROW()-2)/151)+1</f>
        <v/>
      </c>
      <c r="B1141">
        <f>MOD(ROW()-2,151)</f>
        <v/>
      </c>
      <c r="C1141">
        <f t="array" ref="C1141">IFERROR(INDEX('TRIP MANAGER'!$O$18:$O$25,$A1141),"")</f>
        <v/>
      </c>
      <c r="D1141">
        <f t="array" ref="D1141">IFERROR(INDEX('TRIP MANAGER'!$P$18:$P$25,$A1141),"")</f>
        <v/>
      </c>
      <c r="E1141">
        <f t="array" ref="E1141">IFERROR(INDEX('TRIP MANAGER'!$Q$18:$Q$25,$A1141),"")</f>
        <v/>
      </c>
      <c r="F1141">
        <f t="array" ref="F1141">IFERROR(INDEX('TRIP MANAGER'!$R$18:$R$25,$A1141),"")</f>
        <v/>
      </c>
      <c r="G1141">
        <f t="array" ref="G1141">IFERROR(INDEX('TRIP MANAGER'!$S$18:$S$25,$A1141),"")</f>
        <v/>
      </c>
      <c r="H1141">
        <f>$B1141/150</f>
        <v/>
      </c>
      <c r="I1141">
        <f>IF(OR($G1141="",$G1141=0),"",SIN((1-$H1141)*$G1141)/SIN($G1141))</f>
        <v/>
      </c>
      <c r="J1141">
        <f>IF($I1141="","",SIN($H1141*$G1141)/SIN($G1141))</f>
        <v/>
      </c>
      <c r="K1141">
        <f>IF($I1141="","",$I1141*COS(RADIANS($C1141))*COS(RADIANS($D1141))+$J1141*COS(RADIANS($E1141))*COS(RADIANS($F1141)))</f>
        <v/>
      </c>
      <c r="L1141">
        <f>IF($I1141="","",$I1141*COS(RADIANS($C1141))*SIN(RADIANS($D1141))+$J1141*COS(RADIANS($E1141))*SIN(RADIANS($F1141)))</f>
        <v/>
      </c>
      <c r="M1141">
        <f>IF($I1141="","",$I1141*SIN(RADIANS($C1141))+$J1141*SIN(RADIANS($E1141)))</f>
        <v/>
      </c>
      <c r="N1141">
        <f>IF($M1141="","",DEGREES(ATAN2(SQRT($K1141^2+$L1141^2),$M1141)))</f>
        <v/>
      </c>
      <c r="O1141">
        <f>IF($M1141="","",DEGREES(ATAN2($K1141,$L1141)))</f>
        <v/>
      </c>
      <c r="P1141">
        <f t="array" ref="P1141">IF($N1141="","",IFERROR(IF(INDEX(geo_grid!$B$2:$JU$231,INT(($N1141+40)/0.5)+1,INT(($O1141+30)/0.5)+1)="","",INDEX(geo_grid!$B$2:$JU$231,INT(($N1141+40)/0.5)+1,INT(($O1141+30)/0.5)+1)),"OUTSIDE GRID"))</f>
        <v/>
      </c>
      <c r="Q1141">
        <f>IF($P1141="","",$A1141*1000+$B1141)</f>
        <v/>
      </c>
    </row>
    <row r="1142">
      <c r="A1142">
        <f>INT((ROW()-2)/151)+1</f>
        <v/>
      </c>
      <c r="B1142">
        <f>MOD(ROW()-2,151)</f>
        <v/>
      </c>
      <c r="C1142">
        <f t="array" ref="C1142">IFERROR(INDEX('TRIP MANAGER'!$O$18:$O$25,$A1142),"")</f>
        <v/>
      </c>
      <c r="D1142">
        <f t="array" ref="D1142">IFERROR(INDEX('TRIP MANAGER'!$P$18:$P$25,$A1142),"")</f>
        <v/>
      </c>
      <c r="E1142">
        <f t="array" ref="E1142">IFERROR(INDEX('TRIP MANAGER'!$Q$18:$Q$25,$A1142),"")</f>
        <v/>
      </c>
      <c r="F1142">
        <f t="array" ref="F1142">IFERROR(INDEX('TRIP MANAGER'!$R$18:$R$25,$A1142),"")</f>
        <v/>
      </c>
      <c r="G1142">
        <f t="array" ref="G1142">IFERROR(INDEX('TRIP MANAGER'!$S$18:$S$25,$A1142),"")</f>
        <v/>
      </c>
      <c r="H1142">
        <f>$B1142/150</f>
        <v/>
      </c>
      <c r="I1142">
        <f>IF(OR($G1142="",$G1142=0),"",SIN((1-$H1142)*$G1142)/SIN($G1142))</f>
        <v/>
      </c>
      <c r="J1142">
        <f>IF($I1142="","",SIN($H1142*$G1142)/SIN($G1142))</f>
        <v/>
      </c>
      <c r="K1142">
        <f>IF($I1142="","",$I1142*COS(RADIANS($C1142))*COS(RADIANS($D1142))+$J1142*COS(RADIANS($E1142))*COS(RADIANS($F1142)))</f>
        <v/>
      </c>
      <c r="L1142">
        <f>IF($I1142="","",$I1142*COS(RADIANS($C1142))*SIN(RADIANS($D1142))+$J1142*COS(RADIANS($E1142))*SIN(RADIANS($F1142)))</f>
        <v/>
      </c>
      <c r="M1142">
        <f>IF($I1142="","",$I1142*SIN(RADIANS($C1142))+$J1142*SIN(RADIANS($E1142)))</f>
        <v/>
      </c>
      <c r="N1142">
        <f>IF($M1142="","",DEGREES(ATAN2(SQRT($K1142^2+$L1142^2),$M1142)))</f>
        <v/>
      </c>
      <c r="O1142">
        <f>IF($M1142="","",DEGREES(ATAN2($K1142,$L1142)))</f>
        <v/>
      </c>
      <c r="P1142">
        <f t="array" ref="P1142">IF($N1142="","",IFERROR(IF(INDEX(geo_grid!$B$2:$JU$231,INT(($N1142+40)/0.5)+1,INT(($O1142+30)/0.5)+1)="","",INDEX(geo_grid!$B$2:$JU$231,INT(($N1142+40)/0.5)+1,INT(($O1142+30)/0.5)+1)),"OUTSIDE GRID"))</f>
        <v/>
      </c>
      <c r="Q1142">
        <f>IF($P1142="","",$A1142*1000+$B1142)</f>
        <v/>
      </c>
    </row>
    <row r="1143">
      <c r="A1143">
        <f>INT((ROW()-2)/151)+1</f>
        <v/>
      </c>
      <c r="B1143">
        <f>MOD(ROW()-2,151)</f>
        <v/>
      </c>
      <c r="C1143">
        <f t="array" ref="C1143">IFERROR(INDEX('TRIP MANAGER'!$O$18:$O$25,$A1143),"")</f>
        <v/>
      </c>
      <c r="D1143">
        <f t="array" ref="D1143">IFERROR(INDEX('TRIP MANAGER'!$P$18:$P$25,$A1143),"")</f>
        <v/>
      </c>
      <c r="E1143">
        <f t="array" ref="E1143">IFERROR(INDEX('TRIP MANAGER'!$Q$18:$Q$25,$A1143),"")</f>
        <v/>
      </c>
      <c r="F1143">
        <f t="array" ref="F1143">IFERROR(INDEX('TRIP MANAGER'!$R$18:$R$25,$A1143),"")</f>
        <v/>
      </c>
      <c r="G1143">
        <f t="array" ref="G1143">IFERROR(INDEX('TRIP MANAGER'!$S$18:$S$25,$A1143),"")</f>
        <v/>
      </c>
      <c r="H1143">
        <f>$B1143/150</f>
        <v/>
      </c>
      <c r="I1143">
        <f>IF(OR($G1143="",$G1143=0),"",SIN((1-$H1143)*$G1143)/SIN($G1143))</f>
        <v/>
      </c>
      <c r="J1143">
        <f>IF($I1143="","",SIN($H1143*$G1143)/SIN($G1143))</f>
        <v/>
      </c>
      <c r="K1143">
        <f>IF($I1143="","",$I1143*COS(RADIANS($C1143))*COS(RADIANS($D1143))+$J1143*COS(RADIANS($E1143))*COS(RADIANS($F1143)))</f>
        <v/>
      </c>
      <c r="L1143">
        <f>IF($I1143="","",$I1143*COS(RADIANS($C1143))*SIN(RADIANS($D1143))+$J1143*COS(RADIANS($E1143))*SIN(RADIANS($F1143)))</f>
        <v/>
      </c>
      <c r="M1143">
        <f>IF($I1143="","",$I1143*SIN(RADIANS($C1143))+$J1143*SIN(RADIANS($E1143)))</f>
        <v/>
      </c>
      <c r="N1143">
        <f>IF($M1143="","",DEGREES(ATAN2(SQRT($K1143^2+$L1143^2),$M1143)))</f>
        <v/>
      </c>
      <c r="O1143">
        <f>IF($M1143="","",DEGREES(ATAN2($K1143,$L1143)))</f>
        <v/>
      </c>
      <c r="P1143">
        <f t="array" ref="P1143">IF($N1143="","",IFERROR(IF(INDEX(geo_grid!$B$2:$JU$231,INT(($N1143+40)/0.5)+1,INT(($O1143+30)/0.5)+1)="","",INDEX(geo_grid!$B$2:$JU$231,INT(($N1143+40)/0.5)+1,INT(($O1143+30)/0.5)+1)),"OUTSIDE GRID"))</f>
        <v/>
      </c>
      <c r="Q1143">
        <f>IF($P1143="","",$A1143*1000+$B1143)</f>
        <v/>
      </c>
    </row>
    <row r="1144">
      <c r="A1144">
        <f>INT((ROW()-2)/151)+1</f>
        <v/>
      </c>
      <c r="B1144">
        <f>MOD(ROW()-2,151)</f>
        <v/>
      </c>
      <c r="C1144">
        <f t="array" ref="C1144">IFERROR(INDEX('TRIP MANAGER'!$O$18:$O$25,$A1144),"")</f>
        <v/>
      </c>
      <c r="D1144">
        <f t="array" ref="D1144">IFERROR(INDEX('TRIP MANAGER'!$P$18:$P$25,$A1144),"")</f>
        <v/>
      </c>
      <c r="E1144">
        <f t="array" ref="E1144">IFERROR(INDEX('TRIP MANAGER'!$Q$18:$Q$25,$A1144),"")</f>
        <v/>
      </c>
      <c r="F1144">
        <f t="array" ref="F1144">IFERROR(INDEX('TRIP MANAGER'!$R$18:$R$25,$A1144),"")</f>
        <v/>
      </c>
      <c r="G1144">
        <f t="array" ref="G1144">IFERROR(INDEX('TRIP MANAGER'!$S$18:$S$25,$A1144),"")</f>
        <v/>
      </c>
      <c r="H1144">
        <f>$B1144/150</f>
        <v/>
      </c>
      <c r="I1144">
        <f>IF(OR($G1144="",$G1144=0),"",SIN((1-$H1144)*$G1144)/SIN($G1144))</f>
        <v/>
      </c>
      <c r="J1144">
        <f>IF($I1144="","",SIN($H1144*$G1144)/SIN($G1144))</f>
        <v/>
      </c>
      <c r="K1144">
        <f>IF($I1144="","",$I1144*COS(RADIANS($C1144))*COS(RADIANS($D1144))+$J1144*COS(RADIANS($E1144))*COS(RADIANS($F1144)))</f>
        <v/>
      </c>
      <c r="L1144">
        <f>IF($I1144="","",$I1144*COS(RADIANS($C1144))*SIN(RADIANS($D1144))+$J1144*COS(RADIANS($E1144))*SIN(RADIANS($F1144)))</f>
        <v/>
      </c>
      <c r="M1144">
        <f>IF($I1144="","",$I1144*SIN(RADIANS($C1144))+$J1144*SIN(RADIANS($E1144)))</f>
        <v/>
      </c>
      <c r="N1144">
        <f>IF($M1144="","",DEGREES(ATAN2(SQRT($K1144^2+$L1144^2),$M1144)))</f>
        <v/>
      </c>
      <c r="O1144">
        <f>IF($M1144="","",DEGREES(ATAN2($K1144,$L1144)))</f>
        <v/>
      </c>
      <c r="P1144">
        <f t="array" ref="P1144">IF($N1144="","",IFERROR(IF(INDEX(geo_grid!$B$2:$JU$231,INT(($N1144+40)/0.5)+1,INT(($O1144+30)/0.5)+1)="","",INDEX(geo_grid!$B$2:$JU$231,INT(($N1144+40)/0.5)+1,INT(($O1144+30)/0.5)+1)),"OUTSIDE GRID"))</f>
        <v/>
      </c>
      <c r="Q1144">
        <f>IF($P1144="","",$A1144*1000+$B1144)</f>
        <v/>
      </c>
    </row>
    <row r="1145">
      <c r="A1145">
        <f>INT((ROW()-2)/151)+1</f>
        <v/>
      </c>
      <c r="B1145">
        <f>MOD(ROW()-2,151)</f>
        <v/>
      </c>
      <c r="C1145">
        <f t="array" ref="C1145">IFERROR(INDEX('TRIP MANAGER'!$O$18:$O$25,$A1145),"")</f>
        <v/>
      </c>
      <c r="D1145">
        <f t="array" ref="D1145">IFERROR(INDEX('TRIP MANAGER'!$P$18:$P$25,$A1145),"")</f>
        <v/>
      </c>
      <c r="E1145">
        <f t="array" ref="E1145">IFERROR(INDEX('TRIP MANAGER'!$Q$18:$Q$25,$A1145),"")</f>
        <v/>
      </c>
      <c r="F1145">
        <f t="array" ref="F1145">IFERROR(INDEX('TRIP MANAGER'!$R$18:$R$25,$A1145),"")</f>
        <v/>
      </c>
      <c r="G1145">
        <f t="array" ref="G1145">IFERROR(INDEX('TRIP MANAGER'!$S$18:$S$25,$A1145),"")</f>
        <v/>
      </c>
      <c r="H1145">
        <f>$B1145/150</f>
        <v/>
      </c>
      <c r="I1145">
        <f>IF(OR($G1145="",$G1145=0),"",SIN((1-$H1145)*$G1145)/SIN($G1145))</f>
        <v/>
      </c>
      <c r="J1145">
        <f>IF($I1145="","",SIN($H1145*$G1145)/SIN($G1145))</f>
        <v/>
      </c>
      <c r="K1145">
        <f>IF($I1145="","",$I1145*COS(RADIANS($C1145))*COS(RADIANS($D1145))+$J1145*COS(RADIANS($E1145))*COS(RADIANS($F1145)))</f>
        <v/>
      </c>
      <c r="L1145">
        <f>IF($I1145="","",$I1145*COS(RADIANS($C1145))*SIN(RADIANS($D1145))+$J1145*COS(RADIANS($E1145))*SIN(RADIANS($F1145)))</f>
        <v/>
      </c>
      <c r="M1145">
        <f>IF($I1145="","",$I1145*SIN(RADIANS($C1145))+$J1145*SIN(RADIANS($E1145)))</f>
        <v/>
      </c>
      <c r="N1145">
        <f>IF($M1145="","",DEGREES(ATAN2(SQRT($K1145^2+$L1145^2),$M1145)))</f>
        <v/>
      </c>
      <c r="O1145">
        <f>IF($M1145="","",DEGREES(ATAN2($K1145,$L1145)))</f>
        <v/>
      </c>
      <c r="P1145">
        <f t="array" ref="P1145">IF($N1145="","",IFERROR(IF(INDEX(geo_grid!$B$2:$JU$231,INT(($N1145+40)/0.5)+1,INT(($O1145+30)/0.5)+1)="","",INDEX(geo_grid!$B$2:$JU$231,INT(($N1145+40)/0.5)+1,INT(($O1145+30)/0.5)+1)),"OUTSIDE GRID"))</f>
        <v/>
      </c>
      <c r="Q1145">
        <f>IF($P1145="","",$A1145*1000+$B1145)</f>
        <v/>
      </c>
    </row>
    <row r="1146">
      <c r="A1146">
        <f>INT((ROW()-2)/151)+1</f>
        <v/>
      </c>
      <c r="B1146">
        <f>MOD(ROW()-2,151)</f>
        <v/>
      </c>
      <c r="C1146">
        <f t="array" ref="C1146">IFERROR(INDEX('TRIP MANAGER'!$O$18:$O$25,$A1146),"")</f>
        <v/>
      </c>
      <c r="D1146">
        <f t="array" ref="D1146">IFERROR(INDEX('TRIP MANAGER'!$P$18:$P$25,$A1146),"")</f>
        <v/>
      </c>
      <c r="E1146">
        <f t="array" ref="E1146">IFERROR(INDEX('TRIP MANAGER'!$Q$18:$Q$25,$A1146),"")</f>
        <v/>
      </c>
      <c r="F1146">
        <f t="array" ref="F1146">IFERROR(INDEX('TRIP MANAGER'!$R$18:$R$25,$A1146),"")</f>
        <v/>
      </c>
      <c r="G1146">
        <f t="array" ref="G1146">IFERROR(INDEX('TRIP MANAGER'!$S$18:$S$25,$A1146),"")</f>
        <v/>
      </c>
      <c r="H1146">
        <f>$B1146/150</f>
        <v/>
      </c>
      <c r="I1146">
        <f>IF(OR($G1146="",$G1146=0),"",SIN((1-$H1146)*$G1146)/SIN($G1146))</f>
        <v/>
      </c>
      <c r="J1146">
        <f>IF($I1146="","",SIN($H1146*$G1146)/SIN($G1146))</f>
        <v/>
      </c>
      <c r="K1146">
        <f>IF($I1146="","",$I1146*COS(RADIANS($C1146))*COS(RADIANS($D1146))+$J1146*COS(RADIANS($E1146))*COS(RADIANS($F1146)))</f>
        <v/>
      </c>
      <c r="L1146">
        <f>IF($I1146="","",$I1146*COS(RADIANS($C1146))*SIN(RADIANS($D1146))+$J1146*COS(RADIANS($E1146))*SIN(RADIANS($F1146)))</f>
        <v/>
      </c>
      <c r="M1146">
        <f>IF($I1146="","",$I1146*SIN(RADIANS($C1146))+$J1146*SIN(RADIANS($E1146)))</f>
        <v/>
      </c>
      <c r="N1146">
        <f>IF($M1146="","",DEGREES(ATAN2(SQRT($K1146^2+$L1146^2),$M1146)))</f>
        <v/>
      </c>
      <c r="O1146">
        <f>IF($M1146="","",DEGREES(ATAN2($K1146,$L1146)))</f>
        <v/>
      </c>
      <c r="P1146">
        <f t="array" ref="P1146">IF($N1146="","",IFERROR(IF(INDEX(geo_grid!$B$2:$JU$231,INT(($N1146+40)/0.5)+1,INT(($O1146+30)/0.5)+1)="","",INDEX(geo_grid!$B$2:$JU$231,INT(($N1146+40)/0.5)+1,INT(($O1146+30)/0.5)+1)),"OUTSIDE GRID"))</f>
        <v/>
      </c>
      <c r="Q1146">
        <f>IF($P1146="","",$A1146*1000+$B1146)</f>
        <v/>
      </c>
    </row>
    <row r="1147">
      <c r="A1147">
        <f>INT((ROW()-2)/151)+1</f>
        <v/>
      </c>
      <c r="B1147">
        <f>MOD(ROW()-2,151)</f>
        <v/>
      </c>
      <c r="C1147">
        <f t="array" ref="C1147">IFERROR(INDEX('TRIP MANAGER'!$O$18:$O$25,$A1147),"")</f>
        <v/>
      </c>
      <c r="D1147">
        <f t="array" ref="D1147">IFERROR(INDEX('TRIP MANAGER'!$P$18:$P$25,$A1147),"")</f>
        <v/>
      </c>
      <c r="E1147">
        <f t="array" ref="E1147">IFERROR(INDEX('TRIP MANAGER'!$Q$18:$Q$25,$A1147),"")</f>
        <v/>
      </c>
      <c r="F1147">
        <f t="array" ref="F1147">IFERROR(INDEX('TRIP MANAGER'!$R$18:$R$25,$A1147),"")</f>
        <v/>
      </c>
      <c r="G1147">
        <f t="array" ref="G1147">IFERROR(INDEX('TRIP MANAGER'!$S$18:$S$25,$A1147),"")</f>
        <v/>
      </c>
      <c r="H1147">
        <f>$B1147/150</f>
        <v/>
      </c>
      <c r="I1147">
        <f>IF(OR($G1147="",$G1147=0),"",SIN((1-$H1147)*$G1147)/SIN($G1147))</f>
        <v/>
      </c>
      <c r="J1147">
        <f>IF($I1147="","",SIN($H1147*$G1147)/SIN($G1147))</f>
        <v/>
      </c>
      <c r="K1147">
        <f>IF($I1147="","",$I1147*COS(RADIANS($C1147))*COS(RADIANS($D1147))+$J1147*COS(RADIANS($E1147))*COS(RADIANS($F1147)))</f>
        <v/>
      </c>
      <c r="L1147">
        <f>IF($I1147="","",$I1147*COS(RADIANS($C1147))*SIN(RADIANS($D1147))+$J1147*COS(RADIANS($E1147))*SIN(RADIANS($F1147)))</f>
        <v/>
      </c>
      <c r="M1147">
        <f>IF($I1147="","",$I1147*SIN(RADIANS($C1147))+$J1147*SIN(RADIANS($E1147)))</f>
        <v/>
      </c>
      <c r="N1147">
        <f>IF($M1147="","",DEGREES(ATAN2(SQRT($K1147^2+$L1147^2),$M1147)))</f>
        <v/>
      </c>
      <c r="O1147">
        <f>IF($M1147="","",DEGREES(ATAN2($K1147,$L1147)))</f>
        <v/>
      </c>
      <c r="P1147">
        <f t="array" ref="P1147">IF($N1147="","",IFERROR(IF(INDEX(geo_grid!$B$2:$JU$231,INT(($N1147+40)/0.5)+1,INT(($O1147+30)/0.5)+1)="","",INDEX(geo_grid!$B$2:$JU$231,INT(($N1147+40)/0.5)+1,INT(($O1147+30)/0.5)+1)),"OUTSIDE GRID"))</f>
        <v/>
      </c>
      <c r="Q1147">
        <f>IF($P1147="","",$A1147*1000+$B1147)</f>
        <v/>
      </c>
    </row>
    <row r="1148">
      <c r="A1148">
        <f>INT((ROW()-2)/151)+1</f>
        <v/>
      </c>
      <c r="B1148">
        <f>MOD(ROW()-2,151)</f>
        <v/>
      </c>
      <c r="C1148">
        <f t="array" ref="C1148">IFERROR(INDEX('TRIP MANAGER'!$O$18:$O$25,$A1148),"")</f>
        <v/>
      </c>
      <c r="D1148">
        <f t="array" ref="D1148">IFERROR(INDEX('TRIP MANAGER'!$P$18:$P$25,$A1148),"")</f>
        <v/>
      </c>
      <c r="E1148">
        <f t="array" ref="E1148">IFERROR(INDEX('TRIP MANAGER'!$Q$18:$Q$25,$A1148),"")</f>
        <v/>
      </c>
      <c r="F1148">
        <f t="array" ref="F1148">IFERROR(INDEX('TRIP MANAGER'!$R$18:$R$25,$A1148),"")</f>
        <v/>
      </c>
      <c r="G1148">
        <f t="array" ref="G1148">IFERROR(INDEX('TRIP MANAGER'!$S$18:$S$25,$A1148),"")</f>
        <v/>
      </c>
      <c r="H1148">
        <f>$B1148/150</f>
        <v/>
      </c>
      <c r="I1148">
        <f>IF(OR($G1148="",$G1148=0),"",SIN((1-$H1148)*$G1148)/SIN($G1148))</f>
        <v/>
      </c>
      <c r="J1148">
        <f>IF($I1148="","",SIN($H1148*$G1148)/SIN($G1148))</f>
        <v/>
      </c>
      <c r="K1148">
        <f>IF($I1148="","",$I1148*COS(RADIANS($C1148))*COS(RADIANS($D1148))+$J1148*COS(RADIANS($E1148))*COS(RADIANS($F1148)))</f>
        <v/>
      </c>
      <c r="L1148">
        <f>IF($I1148="","",$I1148*COS(RADIANS($C1148))*SIN(RADIANS($D1148))+$J1148*COS(RADIANS($E1148))*SIN(RADIANS($F1148)))</f>
        <v/>
      </c>
      <c r="M1148">
        <f>IF($I1148="","",$I1148*SIN(RADIANS($C1148))+$J1148*SIN(RADIANS($E1148)))</f>
        <v/>
      </c>
      <c r="N1148">
        <f>IF($M1148="","",DEGREES(ATAN2(SQRT($K1148^2+$L1148^2),$M1148)))</f>
        <v/>
      </c>
      <c r="O1148">
        <f>IF($M1148="","",DEGREES(ATAN2($K1148,$L1148)))</f>
        <v/>
      </c>
      <c r="P1148">
        <f t="array" ref="P1148">IF($N1148="","",IFERROR(IF(INDEX(geo_grid!$B$2:$JU$231,INT(($N1148+40)/0.5)+1,INT(($O1148+30)/0.5)+1)="","",INDEX(geo_grid!$B$2:$JU$231,INT(($N1148+40)/0.5)+1,INT(($O1148+30)/0.5)+1)),"OUTSIDE GRID"))</f>
        <v/>
      </c>
      <c r="Q1148">
        <f>IF($P1148="","",$A1148*1000+$B1148)</f>
        <v/>
      </c>
    </row>
    <row r="1149">
      <c r="A1149">
        <f>INT((ROW()-2)/151)+1</f>
        <v/>
      </c>
      <c r="B1149">
        <f>MOD(ROW()-2,151)</f>
        <v/>
      </c>
      <c r="C1149">
        <f t="array" ref="C1149">IFERROR(INDEX('TRIP MANAGER'!$O$18:$O$25,$A1149),"")</f>
        <v/>
      </c>
      <c r="D1149">
        <f t="array" ref="D1149">IFERROR(INDEX('TRIP MANAGER'!$P$18:$P$25,$A1149),"")</f>
        <v/>
      </c>
      <c r="E1149">
        <f t="array" ref="E1149">IFERROR(INDEX('TRIP MANAGER'!$Q$18:$Q$25,$A1149),"")</f>
        <v/>
      </c>
      <c r="F1149">
        <f t="array" ref="F1149">IFERROR(INDEX('TRIP MANAGER'!$R$18:$R$25,$A1149),"")</f>
        <v/>
      </c>
      <c r="G1149">
        <f t="array" ref="G1149">IFERROR(INDEX('TRIP MANAGER'!$S$18:$S$25,$A1149),"")</f>
        <v/>
      </c>
      <c r="H1149">
        <f>$B1149/150</f>
        <v/>
      </c>
      <c r="I1149">
        <f>IF(OR($G1149="",$G1149=0),"",SIN((1-$H1149)*$G1149)/SIN($G1149))</f>
        <v/>
      </c>
      <c r="J1149">
        <f>IF($I1149="","",SIN($H1149*$G1149)/SIN($G1149))</f>
        <v/>
      </c>
      <c r="K1149">
        <f>IF($I1149="","",$I1149*COS(RADIANS($C1149))*COS(RADIANS($D1149))+$J1149*COS(RADIANS($E1149))*COS(RADIANS($F1149)))</f>
        <v/>
      </c>
      <c r="L1149">
        <f>IF($I1149="","",$I1149*COS(RADIANS($C1149))*SIN(RADIANS($D1149))+$J1149*COS(RADIANS($E1149))*SIN(RADIANS($F1149)))</f>
        <v/>
      </c>
      <c r="M1149">
        <f>IF($I1149="","",$I1149*SIN(RADIANS($C1149))+$J1149*SIN(RADIANS($E1149)))</f>
        <v/>
      </c>
      <c r="N1149">
        <f>IF($M1149="","",DEGREES(ATAN2(SQRT($K1149^2+$L1149^2),$M1149)))</f>
        <v/>
      </c>
      <c r="O1149">
        <f>IF($M1149="","",DEGREES(ATAN2($K1149,$L1149)))</f>
        <v/>
      </c>
      <c r="P1149">
        <f t="array" ref="P1149">IF($N1149="","",IFERROR(IF(INDEX(geo_grid!$B$2:$JU$231,INT(($N1149+40)/0.5)+1,INT(($O1149+30)/0.5)+1)="","",INDEX(geo_grid!$B$2:$JU$231,INT(($N1149+40)/0.5)+1,INT(($O1149+30)/0.5)+1)),"OUTSIDE GRID"))</f>
        <v/>
      </c>
      <c r="Q1149">
        <f>IF($P1149="","",$A1149*1000+$B1149)</f>
        <v/>
      </c>
    </row>
    <row r="1150">
      <c r="A1150">
        <f>INT((ROW()-2)/151)+1</f>
        <v/>
      </c>
      <c r="B1150">
        <f>MOD(ROW()-2,151)</f>
        <v/>
      </c>
      <c r="C1150">
        <f t="array" ref="C1150">IFERROR(INDEX('TRIP MANAGER'!$O$18:$O$25,$A1150),"")</f>
        <v/>
      </c>
      <c r="D1150">
        <f t="array" ref="D1150">IFERROR(INDEX('TRIP MANAGER'!$P$18:$P$25,$A1150),"")</f>
        <v/>
      </c>
      <c r="E1150">
        <f t="array" ref="E1150">IFERROR(INDEX('TRIP MANAGER'!$Q$18:$Q$25,$A1150),"")</f>
        <v/>
      </c>
      <c r="F1150">
        <f t="array" ref="F1150">IFERROR(INDEX('TRIP MANAGER'!$R$18:$R$25,$A1150),"")</f>
        <v/>
      </c>
      <c r="G1150">
        <f t="array" ref="G1150">IFERROR(INDEX('TRIP MANAGER'!$S$18:$S$25,$A1150),"")</f>
        <v/>
      </c>
      <c r="H1150">
        <f>$B1150/150</f>
        <v/>
      </c>
      <c r="I1150">
        <f>IF(OR($G1150="",$G1150=0),"",SIN((1-$H1150)*$G1150)/SIN($G1150))</f>
        <v/>
      </c>
      <c r="J1150">
        <f>IF($I1150="","",SIN($H1150*$G1150)/SIN($G1150))</f>
        <v/>
      </c>
      <c r="K1150">
        <f>IF($I1150="","",$I1150*COS(RADIANS($C1150))*COS(RADIANS($D1150))+$J1150*COS(RADIANS($E1150))*COS(RADIANS($F1150)))</f>
        <v/>
      </c>
      <c r="L1150">
        <f>IF($I1150="","",$I1150*COS(RADIANS($C1150))*SIN(RADIANS($D1150))+$J1150*COS(RADIANS($E1150))*SIN(RADIANS($F1150)))</f>
        <v/>
      </c>
      <c r="M1150">
        <f>IF($I1150="","",$I1150*SIN(RADIANS($C1150))+$J1150*SIN(RADIANS($E1150)))</f>
        <v/>
      </c>
      <c r="N1150">
        <f>IF($M1150="","",DEGREES(ATAN2(SQRT($K1150^2+$L1150^2),$M1150)))</f>
        <v/>
      </c>
      <c r="O1150">
        <f>IF($M1150="","",DEGREES(ATAN2($K1150,$L1150)))</f>
        <v/>
      </c>
      <c r="P1150">
        <f t="array" ref="P1150">IF($N1150="","",IFERROR(IF(INDEX(geo_grid!$B$2:$JU$231,INT(($N1150+40)/0.5)+1,INT(($O1150+30)/0.5)+1)="","",INDEX(geo_grid!$B$2:$JU$231,INT(($N1150+40)/0.5)+1,INT(($O1150+30)/0.5)+1)),"OUTSIDE GRID"))</f>
        <v/>
      </c>
      <c r="Q1150">
        <f>IF($P1150="","",$A1150*1000+$B1150)</f>
        <v/>
      </c>
    </row>
    <row r="1151">
      <c r="A1151">
        <f>INT((ROW()-2)/151)+1</f>
        <v/>
      </c>
      <c r="B1151">
        <f>MOD(ROW()-2,151)</f>
        <v/>
      </c>
      <c r="C1151">
        <f t="array" ref="C1151">IFERROR(INDEX('TRIP MANAGER'!$O$18:$O$25,$A1151),"")</f>
        <v/>
      </c>
      <c r="D1151">
        <f t="array" ref="D1151">IFERROR(INDEX('TRIP MANAGER'!$P$18:$P$25,$A1151),"")</f>
        <v/>
      </c>
      <c r="E1151">
        <f t="array" ref="E1151">IFERROR(INDEX('TRIP MANAGER'!$Q$18:$Q$25,$A1151),"")</f>
        <v/>
      </c>
      <c r="F1151">
        <f t="array" ref="F1151">IFERROR(INDEX('TRIP MANAGER'!$R$18:$R$25,$A1151),"")</f>
        <v/>
      </c>
      <c r="G1151">
        <f t="array" ref="G1151">IFERROR(INDEX('TRIP MANAGER'!$S$18:$S$25,$A1151),"")</f>
        <v/>
      </c>
      <c r="H1151">
        <f>$B1151/150</f>
        <v/>
      </c>
      <c r="I1151">
        <f>IF(OR($G1151="",$G1151=0),"",SIN((1-$H1151)*$G1151)/SIN($G1151))</f>
        <v/>
      </c>
      <c r="J1151">
        <f>IF($I1151="","",SIN($H1151*$G1151)/SIN($G1151))</f>
        <v/>
      </c>
      <c r="K1151">
        <f>IF($I1151="","",$I1151*COS(RADIANS($C1151))*COS(RADIANS($D1151))+$J1151*COS(RADIANS($E1151))*COS(RADIANS($F1151)))</f>
        <v/>
      </c>
      <c r="L1151">
        <f>IF($I1151="","",$I1151*COS(RADIANS($C1151))*SIN(RADIANS($D1151))+$J1151*COS(RADIANS($E1151))*SIN(RADIANS($F1151)))</f>
        <v/>
      </c>
      <c r="M1151">
        <f>IF($I1151="","",$I1151*SIN(RADIANS($C1151))+$J1151*SIN(RADIANS($E1151)))</f>
        <v/>
      </c>
      <c r="N1151">
        <f>IF($M1151="","",DEGREES(ATAN2(SQRT($K1151^2+$L1151^2),$M1151)))</f>
        <v/>
      </c>
      <c r="O1151">
        <f>IF($M1151="","",DEGREES(ATAN2($K1151,$L1151)))</f>
        <v/>
      </c>
      <c r="P1151">
        <f t="array" ref="P1151">IF($N1151="","",IFERROR(IF(INDEX(geo_grid!$B$2:$JU$231,INT(($N1151+40)/0.5)+1,INT(($O1151+30)/0.5)+1)="","",INDEX(geo_grid!$B$2:$JU$231,INT(($N1151+40)/0.5)+1,INT(($O1151+30)/0.5)+1)),"OUTSIDE GRID"))</f>
        <v/>
      </c>
      <c r="Q1151">
        <f>IF($P1151="","",$A1151*1000+$B1151)</f>
        <v/>
      </c>
    </row>
    <row r="1152">
      <c r="A1152">
        <f>INT((ROW()-2)/151)+1</f>
        <v/>
      </c>
      <c r="B1152">
        <f>MOD(ROW()-2,151)</f>
        <v/>
      </c>
      <c r="C1152">
        <f t="array" ref="C1152">IFERROR(INDEX('TRIP MANAGER'!$O$18:$O$25,$A1152),"")</f>
        <v/>
      </c>
      <c r="D1152">
        <f t="array" ref="D1152">IFERROR(INDEX('TRIP MANAGER'!$P$18:$P$25,$A1152),"")</f>
        <v/>
      </c>
      <c r="E1152">
        <f t="array" ref="E1152">IFERROR(INDEX('TRIP MANAGER'!$Q$18:$Q$25,$A1152),"")</f>
        <v/>
      </c>
      <c r="F1152">
        <f t="array" ref="F1152">IFERROR(INDEX('TRIP MANAGER'!$R$18:$R$25,$A1152),"")</f>
        <v/>
      </c>
      <c r="G1152">
        <f t="array" ref="G1152">IFERROR(INDEX('TRIP MANAGER'!$S$18:$S$25,$A1152),"")</f>
        <v/>
      </c>
      <c r="H1152">
        <f>$B1152/150</f>
        <v/>
      </c>
      <c r="I1152">
        <f>IF(OR($G1152="",$G1152=0),"",SIN((1-$H1152)*$G1152)/SIN($G1152))</f>
        <v/>
      </c>
      <c r="J1152">
        <f>IF($I1152="","",SIN($H1152*$G1152)/SIN($G1152))</f>
        <v/>
      </c>
      <c r="K1152">
        <f>IF($I1152="","",$I1152*COS(RADIANS($C1152))*COS(RADIANS($D1152))+$J1152*COS(RADIANS($E1152))*COS(RADIANS($F1152)))</f>
        <v/>
      </c>
      <c r="L1152">
        <f>IF($I1152="","",$I1152*COS(RADIANS($C1152))*SIN(RADIANS($D1152))+$J1152*COS(RADIANS($E1152))*SIN(RADIANS($F1152)))</f>
        <v/>
      </c>
      <c r="M1152">
        <f>IF($I1152="","",$I1152*SIN(RADIANS($C1152))+$J1152*SIN(RADIANS($E1152)))</f>
        <v/>
      </c>
      <c r="N1152">
        <f>IF($M1152="","",DEGREES(ATAN2(SQRT($K1152^2+$L1152^2),$M1152)))</f>
        <v/>
      </c>
      <c r="O1152">
        <f>IF($M1152="","",DEGREES(ATAN2($K1152,$L1152)))</f>
        <v/>
      </c>
      <c r="P1152">
        <f t="array" ref="P1152">IF($N1152="","",IFERROR(IF(INDEX(geo_grid!$B$2:$JU$231,INT(($N1152+40)/0.5)+1,INT(($O1152+30)/0.5)+1)="","",INDEX(geo_grid!$B$2:$JU$231,INT(($N1152+40)/0.5)+1,INT(($O1152+30)/0.5)+1)),"OUTSIDE GRID"))</f>
        <v/>
      </c>
      <c r="Q1152">
        <f>IF($P1152="","",$A1152*1000+$B1152)</f>
        <v/>
      </c>
    </row>
    <row r="1153">
      <c r="A1153">
        <f>INT((ROW()-2)/151)+1</f>
        <v/>
      </c>
      <c r="B1153">
        <f>MOD(ROW()-2,151)</f>
        <v/>
      </c>
      <c r="C1153">
        <f t="array" ref="C1153">IFERROR(INDEX('TRIP MANAGER'!$O$18:$O$25,$A1153),"")</f>
        <v/>
      </c>
      <c r="D1153">
        <f t="array" ref="D1153">IFERROR(INDEX('TRIP MANAGER'!$P$18:$P$25,$A1153),"")</f>
        <v/>
      </c>
      <c r="E1153">
        <f t="array" ref="E1153">IFERROR(INDEX('TRIP MANAGER'!$Q$18:$Q$25,$A1153),"")</f>
        <v/>
      </c>
      <c r="F1153">
        <f t="array" ref="F1153">IFERROR(INDEX('TRIP MANAGER'!$R$18:$R$25,$A1153),"")</f>
        <v/>
      </c>
      <c r="G1153">
        <f t="array" ref="G1153">IFERROR(INDEX('TRIP MANAGER'!$S$18:$S$25,$A1153),"")</f>
        <v/>
      </c>
      <c r="H1153">
        <f>$B1153/150</f>
        <v/>
      </c>
      <c r="I1153">
        <f>IF(OR($G1153="",$G1153=0),"",SIN((1-$H1153)*$G1153)/SIN($G1153))</f>
        <v/>
      </c>
      <c r="J1153">
        <f>IF($I1153="","",SIN($H1153*$G1153)/SIN($G1153))</f>
        <v/>
      </c>
      <c r="K1153">
        <f>IF($I1153="","",$I1153*COS(RADIANS($C1153))*COS(RADIANS($D1153))+$J1153*COS(RADIANS($E1153))*COS(RADIANS($F1153)))</f>
        <v/>
      </c>
      <c r="L1153">
        <f>IF($I1153="","",$I1153*COS(RADIANS($C1153))*SIN(RADIANS($D1153))+$J1153*COS(RADIANS($E1153))*SIN(RADIANS($F1153)))</f>
        <v/>
      </c>
      <c r="M1153">
        <f>IF($I1153="","",$I1153*SIN(RADIANS($C1153))+$J1153*SIN(RADIANS($E1153)))</f>
        <v/>
      </c>
      <c r="N1153">
        <f>IF($M1153="","",DEGREES(ATAN2(SQRT($K1153^2+$L1153^2),$M1153)))</f>
        <v/>
      </c>
      <c r="O1153">
        <f>IF($M1153="","",DEGREES(ATAN2($K1153,$L1153)))</f>
        <v/>
      </c>
      <c r="P1153">
        <f t="array" ref="P1153">IF($N1153="","",IFERROR(IF(INDEX(geo_grid!$B$2:$JU$231,INT(($N1153+40)/0.5)+1,INT(($O1153+30)/0.5)+1)="","",INDEX(geo_grid!$B$2:$JU$231,INT(($N1153+40)/0.5)+1,INT(($O1153+30)/0.5)+1)),"OUTSIDE GRID"))</f>
        <v/>
      </c>
      <c r="Q1153">
        <f>IF($P1153="","",$A1153*1000+$B1153)</f>
        <v/>
      </c>
    </row>
    <row r="1154">
      <c r="A1154">
        <f>INT((ROW()-2)/151)+1</f>
        <v/>
      </c>
      <c r="B1154">
        <f>MOD(ROW()-2,151)</f>
        <v/>
      </c>
      <c r="C1154">
        <f t="array" ref="C1154">IFERROR(INDEX('TRIP MANAGER'!$O$18:$O$25,$A1154),"")</f>
        <v/>
      </c>
      <c r="D1154">
        <f t="array" ref="D1154">IFERROR(INDEX('TRIP MANAGER'!$P$18:$P$25,$A1154),"")</f>
        <v/>
      </c>
      <c r="E1154">
        <f t="array" ref="E1154">IFERROR(INDEX('TRIP MANAGER'!$Q$18:$Q$25,$A1154),"")</f>
        <v/>
      </c>
      <c r="F1154">
        <f t="array" ref="F1154">IFERROR(INDEX('TRIP MANAGER'!$R$18:$R$25,$A1154),"")</f>
        <v/>
      </c>
      <c r="G1154">
        <f t="array" ref="G1154">IFERROR(INDEX('TRIP MANAGER'!$S$18:$S$25,$A1154),"")</f>
        <v/>
      </c>
      <c r="H1154">
        <f>$B1154/150</f>
        <v/>
      </c>
      <c r="I1154">
        <f>IF(OR($G1154="",$G1154=0),"",SIN((1-$H1154)*$G1154)/SIN($G1154))</f>
        <v/>
      </c>
      <c r="J1154">
        <f>IF($I1154="","",SIN($H1154*$G1154)/SIN($G1154))</f>
        <v/>
      </c>
      <c r="K1154">
        <f>IF($I1154="","",$I1154*COS(RADIANS($C1154))*COS(RADIANS($D1154))+$J1154*COS(RADIANS($E1154))*COS(RADIANS($F1154)))</f>
        <v/>
      </c>
      <c r="L1154">
        <f>IF($I1154="","",$I1154*COS(RADIANS($C1154))*SIN(RADIANS($D1154))+$J1154*COS(RADIANS($E1154))*SIN(RADIANS($F1154)))</f>
        <v/>
      </c>
      <c r="M1154">
        <f>IF($I1154="","",$I1154*SIN(RADIANS($C1154))+$J1154*SIN(RADIANS($E1154)))</f>
        <v/>
      </c>
      <c r="N1154">
        <f>IF($M1154="","",DEGREES(ATAN2(SQRT($K1154^2+$L1154^2),$M1154)))</f>
        <v/>
      </c>
      <c r="O1154">
        <f>IF($M1154="","",DEGREES(ATAN2($K1154,$L1154)))</f>
        <v/>
      </c>
      <c r="P1154">
        <f t="array" ref="P1154">IF($N1154="","",IFERROR(IF(INDEX(geo_grid!$B$2:$JU$231,INT(($N1154+40)/0.5)+1,INT(($O1154+30)/0.5)+1)="","",INDEX(geo_grid!$B$2:$JU$231,INT(($N1154+40)/0.5)+1,INT(($O1154+30)/0.5)+1)),"OUTSIDE GRID"))</f>
        <v/>
      </c>
      <c r="Q1154">
        <f>IF($P1154="","",$A1154*1000+$B1154)</f>
        <v/>
      </c>
    </row>
    <row r="1155">
      <c r="A1155">
        <f>INT((ROW()-2)/151)+1</f>
        <v/>
      </c>
      <c r="B1155">
        <f>MOD(ROW()-2,151)</f>
        <v/>
      </c>
      <c r="C1155">
        <f t="array" ref="C1155">IFERROR(INDEX('TRIP MANAGER'!$O$18:$O$25,$A1155),"")</f>
        <v/>
      </c>
      <c r="D1155">
        <f t="array" ref="D1155">IFERROR(INDEX('TRIP MANAGER'!$P$18:$P$25,$A1155),"")</f>
        <v/>
      </c>
      <c r="E1155">
        <f t="array" ref="E1155">IFERROR(INDEX('TRIP MANAGER'!$Q$18:$Q$25,$A1155),"")</f>
        <v/>
      </c>
      <c r="F1155">
        <f t="array" ref="F1155">IFERROR(INDEX('TRIP MANAGER'!$R$18:$R$25,$A1155),"")</f>
        <v/>
      </c>
      <c r="G1155">
        <f t="array" ref="G1155">IFERROR(INDEX('TRIP MANAGER'!$S$18:$S$25,$A1155),"")</f>
        <v/>
      </c>
      <c r="H1155">
        <f>$B1155/150</f>
        <v/>
      </c>
      <c r="I1155">
        <f>IF(OR($G1155="",$G1155=0),"",SIN((1-$H1155)*$G1155)/SIN($G1155))</f>
        <v/>
      </c>
      <c r="J1155">
        <f>IF($I1155="","",SIN($H1155*$G1155)/SIN($G1155))</f>
        <v/>
      </c>
      <c r="K1155">
        <f>IF($I1155="","",$I1155*COS(RADIANS($C1155))*COS(RADIANS($D1155))+$J1155*COS(RADIANS($E1155))*COS(RADIANS($F1155)))</f>
        <v/>
      </c>
      <c r="L1155">
        <f>IF($I1155="","",$I1155*COS(RADIANS($C1155))*SIN(RADIANS($D1155))+$J1155*COS(RADIANS($E1155))*SIN(RADIANS($F1155)))</f>
        <v/>
      </c>
      <c r="M1155">
        <f>IF($I1155="","",$I1155*SIN(RADIANS($C1155))+$J1155*SIN(RADIANS($E1155)))</f>
        <v/>
      </c>
      <c r="N1155">
        <f>IF($M1155="","",DEGREES(ATAN2(SQRT($K1155^2+$L1155^2),$M1155)))</f>
        <v/>
      </c>
      <c r="O1155">
        <f>IF($M1155="","",DEGREES(ATAN2($K1155,$L1155)))</f>
        <v/>
      </c>
      <c r="P1155">
        <f t="array" ref="P1155">IF($N1155="","",IFERROR(IF(INDEX(geo_grid!$B$2:$JU$231,INT(($N1155+40)/0.5)+1,INT(($O1155+30)/0.5)+1)="","",INDEX(geo_grid!$B$2:$JU$231,INT(($N1155+40)/0.5)+1,INT(($O1155+30)/0.5)+1)),"OUTSIDE GRID"))</f>
        <v/>
      </c>
      <c r="Q1155">
        <f>IF($P1155="","",$A1155*1000+$B1155)</f>
        <v/>
      </c>
    </row>
    <row r="1156">
      <c r="A1156">
        <f>INT((ROW()-2)/151)+1</f>
        <v/>
      </c>
      <c r="B1156">
        <f>MOD(ROW()-2,151)</f>
        <v/>
      </c>
      <c r="C1156">
        <f t="array" ref="C1156">IFERROR(INDEX('TRIP MANAGER'!$O$18:$O$25,$A1156),"")</f>
        <v/>
      </c>
      <c r="D1156">
        <f t="array" ref="D1156">IFERROR(INDEX('TRIP MANAGER'!$P$18:$P$25,$A1156),"")</f>
        <v/>
      </c>
      <c r="E1156">
        <f t="array" ref="E1156">IFERROR(INDEX('TRIP MANAGER'!$Q$18:$Q$25,$A1156),"")</f>
        <v/>
      </c>
      <c r="F1156">
        <f t="array" ref="F1156">IFERROR(INDEX('TRIP MANAGER'!$R$18:$R$25,$A1156),"")</f>
        <v/>
      </c>
      <c r="G1156">
        <f t="array" ref="G1156">IFERROR(INDEX('TRIP MANAGER'!$S$18:$S$25,$A1156),"")</f>
        <v/>
      </c>
      <c r="H1156">
        <f>$B1156/150</f>
        <v/>
      </c>
      <c r="I1156">
        <f>IF(OR($G1156="",$G1156=0),"",SIN((1-$H1156)*$G1156)/SIN($G1156))</f>
        <v/>
      </c>
      <c r="J1156">
        <f>IF($I1156="","",SIN($H1156*$G1156)/SIN($G1156))</f>
        <v/>
      </c>
      <c r="K1156">
        <f>IF($I1156="","",$I1156*COS(RADIANS($C1156))*COS(RADIANS($D1156))+$J1156*COS(RADIANS($E1156))*COS(RADIANS($F1156)))</f>
        <v/>
      </c>
      <c r="L1156">
        <f>IF($I1156="","",$I1156*COS(RADIANS($C1156))*SIN(RADIANS($D1156))+$J1156*COS(RADIANS($E1156))*SIN(RADIANS($F1156)))</f>
        <v/>
      </c>
      <c r="M1156">
        <f>IF($I1156="","",$I1156*SIN(RADIANS($C1156))+$J1156*SIN(RADIANS($E1156)))</f>
        <v/>
      </c>
      <c r="N1156">
        <f>IF($M1156="","",DEGREES(ATAN2(SQRT($K1156^2+$L1156^2),$M1156)))</f>
        <v/>
      </c>
      <c r="O1156">
        <f>IF($M1156="","",DEGREES(ATAN2($K1156,$L1156)))</f>
        <v/>
      </c>
      <c r="P1156">
        <f t="array" ref="P1156">IF($N1156="","",IFERROR(IF(INDEX(geo_grid!$B$2:$JU$231,INT(($N1156+40)/0.5)+1,INT(($O1156+30)/0.5)+1)="","",INDEX(geo_grid!$B$2:$JU$231,INT(($N1156+40)/0.5)+1,INT(($O1156+30)/0.5)+1)),"OUTSIDE GRID"))</f>
        <v/>
      </c>
      <c r="Q1156">
        <f>IF($P1156="","",$A1156*1000+$B1156)</f>
        <v/>
      </c>
    </row>
    <row r="1157">
      <c r="A1157">
        <f>INT((ROW()-2)/151)+1</f>
        <v/>
      </c>
      <c r="B1157">
        <f>MOD(ROW()-2,151)</f>
        <v/>
      </c>
      <c r="C1157">
        <f t="array" ref="C1157">IFERROR(INDEX('TRIP MANAGER'!$O$18:$O$25,$A1157),"")</f>
        <v/>
      </c>
      <c r="D1157">
        <f t="array" ref="D1157">IFERROR(INDEX('TRIP MANAGER'!$P$18:$P$25,$A1157),"")</f>
        <v/>
      </c>
      <c r="E1157">
        <f t="array" ref="E1157">IFERROR(INDEX('TRIP MANAGER'!$Q$18:$Q$25,$A1157),"")</f>
        <v/>
      </c>
      <c r="F1157">
        <f t="array" ref="F1157">IFERROR(INDEX('TRIP MANAGER'!$R$18:$R$25,$A1157),"")</f>
        <v/>
      </c>
      <c r="G1157">
        <f t="array" ref="G1157">IFERROR(INDEX('TRIP MANAGER'!$S$18:$S$25,$A1157),"")</f>
        <v/>
      </c>
      <c r="H1157">
        <f>$B1157/150</f>
        <v/>
      </c>
      <c r="I1157">
        <f>IF(OR($G1157="",$G1157=0),"",SIN((1-$H1157)*$G1157)/SIN($G1157))</f>
        <v/>
      </c>
      <c r="J1157">
        <f>IF($I1157="","",SIN($H1157*$G1157)/SIN($G1157))</f>
        <v/>
      </c>
      <c r="K1157">
        <f>IF($I1157="","",$I1157*COS(RADIANS($C1157))*COS(RADIANS($D1157))+$J1157*COS(RADIANS($E1157))*COS(RADIANS($F1157)))</f>
        <v/>
      </c>
      <c r="L1157">
        <f>IF($I1157="","",$I1157*COS(RADIANS($C1157))*SIN(RADIANS($D1157))+$J1157*COS(RADIANS($E1157))*SIN(RADIANS($F1157)))</f>
        <v/>
      </c>
      <c r="M1157">
        <f>IF($I1157="","",$I1157*SIN(RADIANS($C1157))+$J1157*SIN(RADIANS($E1157)))</f>
        <v/>
      </c>
      <c r="N1157">
        <f>IF($M1157="","",DEGREES(ATAN2(SQRT($K1157^2+$L1157^2),$M1157)))</f>
        <v/>
      </c>
      <c r="O1157">
        <f>IF($M1157="","",DEGREES(ATAN2($K1157,$L1157)))</f>
        <v/>
      </c>
      <c r="P1157">
        <f t="array" ref="P1157">IF($N1157="","",IFERROR(IF(INDEX(geo_grid!$B$2:$JU$231,INT(($N1157+40)/0.5)+1,INT(($O1157+30)/0.5)+1)="","",INDEX(geo_grid!$B$2:$JU$231,INT(($N1157+40)/0.5)+1,INT(($O1157+30)/0.5)+1)),"OUTSIDE GRID"))</f>
        <v/>
      </c>
      <c r="Q1157">
        <f>IF($P1157="","",$A1157*1000+$B1157)</f>
        <v/>
      </c>
    </row>
    <row r="1158">
      <c r="A1158">
        <f>INT((ROW()-2)/151)+1</f>
        <v/>
      </c>
      <c r="B1158">
        <f>MOD(ROW()-2,151)</f>
        <v/>
      </c>
      <c r="C1158">
        <f t="array" ref="C1158">IFERROR(INDEX('TRIP MANAGER'!$O$18:$O$25,$A1158),"")</f>
        <v/>
      </c>
      <c r="D1158">
        <f t="array" ref="D1158">IFERROR(INDEX('TRIP MANAGER'!$P$18:$P$25,$A1158),"")</f>
        <v/>
      </c>
      <c r="E1158">
        <f t="array" ref="E1158">IFERROR(INDEX('TRIP MANAGER'!$Q$18:$Q$25,$A1158),"")</f>
        <v/>
      </c>
      <c r="F1158">
        <f t="array" ref="F1158">IFERROR(INDEX('TRIP MANAGER'!$R$18:$R$25,$A1158),"")</f>
        <v/>
      </c>
      <c r="G1158">
        <f t="array" ref="G1158">IFERROR(INDEX('TRIP MANAGER'!$S$18:$S$25,$A1158),"")</f>
        <v/>
      </c>
      <c r="H1158">
        <f>$B1158/150</f>
        <v/>
      </c>
      <c r="I1158">
        <f>IF(OR($G1158="",$G1158=0),"",SIN((1-$H1158)*$G1158)/SIN($G1158))</f>
        <v/>
      </c>
      <c r="J1158">
        <f>IF($I1158="","",SIN($H1158*$G1158)/SIN($G1158))</f>
        <v/>
      </c>
      <c r="K1158">
        <f>IF($I1158="","",$I1158*COS(RADIANS($C1158))*COS(RADIANS($D1158))+$J1158*COS(RADIANS($E1158))*COS(RADIANS($F1158)))</f>
        <v/>
      </c>
      <c r="L1158">
        <f>IF($I1158="","",$I1158*COS(RADIANS($C1158))*SIN(RADIANS($D1158))+$J1158*COS(RADIANS($E1158))*SIN(RADIANS($F1158)))</f>
        <v/>
      </c>
      <c r="M1158">
        <f>IF($I1158="","",$I1158*SIN(RADIANS($C1158))+$J1158*SIN(RADIANS($E1158)))</f>
        <v/>
      </c>
      <c r="N1158">
        <f>IF($M1158="","",DEGREES(ATAN2(SQRT($K1158^2+$L1158^2),$M1158)))</f>
        <v/>
      </c>
      <c r="O1158">
        <f>IF($M1158="","",DEGREES(ATAN2($K1158,$L1158)))</f>
        <v/>
      </c>
      <c r="P1158">
        <f t="array" ref="P1158">IF($N1158="","",IFERROR(IF(INDEX(geo_grid!$B$2:$JU$231,INT(($N1158+40)/0.5)+1,INT(($O1158+30)/0.5)+1)="","",INDEX(geo_grid!$B$2:$JU$231,INT(($N1158+40)/0.5)+1,INT(($O1158+30)/0.5)+1)),"OUTSIDE GRID"))</f>
        <v/>
      </c>
      <c r="Q1158">
        <f>IF($P1158="","",$A1158*1000+$B1158)</f>
        <v/>
      </c>
    </row>
    <row r="1159">
      <c r="A1159">
        <f>INT((ROW()-2)/151)+1</f>
        <v/>
      </c>
      <c r="B1159">
        <f>MOD(ROW()-2,151)</f>
        <v/>
      </c>
      <c r="C1159">
        <f t="array" ref="C1159">IFERROR(INDEX('TRIP MANAGER'!$O$18:$O$25,$A1159),"")</f>
        <v/>
      </c>
      <c r="D1159">
        <f t="array" ref="D1159">IFERROR(INDEX('TRIP MANAGER'!$P$18:$P$25,$A1159),"")</f>
        <v/>
      </c>
      <c r="E1159">
        <f t="array" ref="E1159">IFERROR(INDEX('TRIP MANAGER'!$Q$18:$Q$25,$A1159),"")</f>
        <v/>
      </c>
      <c r="F1159">
        <f t="array" ref="F1159">IFERROR(INDEX('TRIP MANAGER'!$R$18:$R$25,$A1159),"")</f>
        <v/>
      </c>
      <c r="G1159">
        <f t="array" ref="G1159">IFERROR(INDEX('TRIP MANAGER'!$S$18:$S$25,$A1159),"")</f>
        <v/>
      </c>
      <c r="H1159">
        <f>$B1159/150</f>
        <v/>
      </c>
      <c r="I1159">
        <f>IF(OR($G1159="",$G1159=0),"",SIN((1-$H1159)*$G1159)/SIN($G1159))</f>
        <v/>
      </c>
      <c r="J1159">
        <f>IF($I1159="","",SIN($H1159*$G1159)/SIN($G1159))</f>
        <v/>
      </c>
      <c r="K1159">
        <f>IF($I1159="","",$I1159*COS(RADIANS($C1159))*COS(RADIANS($D1159))+$J1159*COS(RADIANS($E1159))*COS(RADIANS($F1159)))</f>
        <v/>
      </c>
      <c r="L1159">
        <f>IF($I1159="","",$I1159*COS(RADIANS($C1159))*SIN(RADIANS($D1159))+$J1159*COS(RADIANS($E1159))*SIN(RADIANS($F1159)))</f>
        <v/>
      </c>
      <c r="M1159">
        <f>IF($I1159="","",$I1159*SIN(RADIANS($C1159))+$J1159*SIN(RADIANS($E1159)))</f>
        <v/>
      </c>
      <c r="N1159">
        <f>IF($M1159="","",DEGREES(ATAN2(SQRT($K1159^2+$L1159^2),$M1159)))</f>
        <v/>
      </c>
      <c r="O1159">
        <f>IF($M1159="","",DEGREES(ATAN2($K1159,$L1159)))</f>
        <v/>
      </c>
      <c r="P1159">
        <f t="array" ref="P1159">IF($N1159="","",IFERROR(IF(INDEX(geo_grid!$B$2:$JU$231,INT(($N1159+40)/0.5)+1,INT(($O1159+30)/0.5)+1)="","",INDEX(geo_grid!$B$2:$JU$231,INT(($N1159+40)/0.5)+1,INT(($O1159+30)/0.5)+1)),"OUTSIDE GRID"))</f>
        <v/>
      </c>
      <c r="Q1159">
        <f>IF($P1159="","",$A1159*1000+$B1159)</f>
        <v/>
      </c>
    </row>
    <row r="1160">
      <c r="A1160">
        <f>INT((ROW()-2)/151)+1</f>
        <v/>
      </c>
      <c r="B1160">
        <f>MOD(ROW()-2,151)</f>
        <v/>
      </c>
      <c r="C1160">
        <f t="array" ref="C1160">IFERROR(INDEX('TRIP MANAGER'!$O$18:$O$25,$A1160),"")</f>
        <v/>
      </c>
      <c r="D1160">
        <f t="array" ref="D1160">IFERROR(INDEX('TRIP MANAGER'!$P$18:$P$25,$A1160),"")</f>
        <v/>
      </c>
      <c r="E1160">
        <f t="array" ref="E1160">IFERROR(INDEX('TRIP MANAGER'!$Q$18:$Q$25,$A1160),"")</f>
        <v/>
      </c>
      <c r="F1160">
        <f t="array" ref="F1160">IFERROR(INDEX('TRIP MANAGER'!$R$18:$R$25,$A1160),"")</f>
        <v/>
      </c>
      <c r="G1160">
        <f t="array" ref="G1160">IFERROR(INDEX('TRIP MANAGER'!$S$18:$S$25,$A1160),"")</f>
        <v/>
      </c>
      <c r="H1160">
        <f>$B1160/150</f>
        <v/>
      </c>
      <c r="I1160">
        <f>IF(OR($G1160="",$G1160=0),"",SIN((1-$H1160)*$G1160)/SIN($G1160))</f>
        <v/>
      </c>
      <c r="J1160">
        <f>IF($I1160="","",SIN($H1160*$G1160)/SIN($G1160))</f>
        <v/>
      </c>
      <c r="K1160">
        <f>IF($I1160="","",$I1160*COS(RADIANS($C1160))*COS(RADIANS($D1160))+$J1160*COS(RADIANS($E1160))*COS(RADIANS($F1160)))</f>
        <v/>
      </c>
      <c r="L1160">
        <f>IF($I1160="","",$I1160*COS(RADIANS($C1160))*SIN(RADIANS($D1160))+$J1160*COS(RADIANS($E1160))*SIN(RADIANS($F1160)))</f>
        <v/>
      </c>
      <c r="M1160">
        <f>IF($I1160="","",$I1160*SIN(RADIANS($C1160))+$J1160*SIN(RADIANS($E1160)))</f>
        <v/>
      </c>
      <c r="N1160">
        <f>IF($M1160="","",DEGREES(ATAN2(SQRT($K1160^2+$L1160^2),$M1160)))</f>
        <v/>
      </c>
      <c r="O1160">
        <f>IF($M1160="","",DEGREES(ATAN2($K1160,$L1160)))</f>
        <v/>
      </c>
      <c r="P1160">
        <f t="array" ref="P1160">IF($N1160="","",IFERROR(IF(INDEX(geo_grid!$B$2:$JU$231,INT(($N1160+40)/0.5)+1,INT(($O1160+30)/0.5)+1)="","",INDEX(geo_grid!$B$2:$JU$231,INT(($N1160+40)/0.5)+1,INT(($O1160+30)/0.5)+1)),"OUTSIDE GRID"))</f>
        <v/>
      </c>
      <c r="Q1160">
        <f>IF($P1160="","",$A1160*1000+$B1160)</f>
        <v/>
      </c>
    </row>
    <row r="1161">
      <c r="A1161">
        <f>INT((ROW()-2)/151)+1</f>
        <v/>
      </c>
      <c r="B1161">
        <f>MOD(ROW()-2,151)</f>
        <v/>
      </c>
      <c r="C1161">
        <f t="array" ref="C1161">IFERROR(INDEX('TRIP MANAGER'!$O$18:$O$25,$A1161),"")</f>
        <v/>
      </c>
      <c r="D1161">
        <f t="array" ref="D1161">IFERROR(INDEX('TRIP MANAGER'!$P$18:$P$25,$A1161),"")</f>
        <v/>
      </c>
      <c r="E1161">
        <f t="array" ref="E1161">IFERROR(INDEX('TRIP MANAGER'!$Q$18:$Q$25,$A1161),"")</f>
        <v/>
      </c>
      <c r="F1161">
        <f t="array" ref="F1161">IFERROR(INDEX('TRIP MANAGER'!$R$18:$R$25,$A1161),"")</f>
        <v/>
      </c>
      <c r="G1161">
        <f t="array" ref="G1161">IFERROR(INDEX('TRIP MANAGER'!$S$18:$S$25,$A1161),"")</f>
        <v/>
      </c>
      <c r="H1161">
        <f>$B1161/150</f>
        <v/>
      </c>
      <c r="I1161">
        <f>IF(OR($G1161="",$G1161=0),"",SIN((1-$H1161)*$G1161)/SIN($G1161))</f>
        <v/>
      </c>
      <c r="J1161">
        <f>IF($I1161="","",SIN($H1161*$G1161)/SIN($G1161))</f>
        <v/>
      </c>
      <c r="K1161">
        <f>IF($I1161="","",$I1161*COS(RADIANS($C1161))*COS(RADIANS($D1161))+$J1161*COS(RADIANS($E1161))*COS(RADIANS($F1161)))</f>
        <v/>
      </c>
      <c r="L1161">
        <f>IF($I1161="","",$I1161*COS(RADIANS($C1161))*SIN(RADIANS($D1161))+$J1161*COS(RADIANS($E1161))*SIN(RADIANS($F1161)))</f>
        <v/>
      </c>
      <c r="M1161">
        <f>IF($I1161="","",$I1161*SIN(RADIANS($C1161))+$J1161*SIN(RADIANS($E1161)))</f>
        <v/>
      </c>
      <c r="N1161">
        <f>IF($M1161="","",DEGREES(ATAN2(SQRT($K1161^2+$L1161^2),$M1161)))</f>
        <v/>
      </c>
      <c r="O1161">
        <f>IF($M1161="","",DEGREES(ATAN2($K1161,$L1161)))</f>
        <v/>
      </c>
      <c r="P1161">
        <f t="array" ref="P1161">IF($N1161="","",IFERROR(IF(INDEX(geo_grid!$B$2:$JU$231,INT(($N1161+40)/0.5)+1,INT(($O1161+30)/0.5)+1)="","",INDEX(geo_grid!$B$2:$JU$231,INT(($N1161+40)/0.5)+1,INT(($O1161+30)/0.5)+1)),"OUTSIDE GRID"))</f>
        <v/>
      </c>
      <c r="Q1161">
        <f>IF($P1161="","",$A1161*1000+$B1161)</f>
        <v/>
      </c>
    </row>
    <row r="1162">
      <c r="A1162">
        <f>INT((ROW()-2)/151)+1</f>
        <v/>
      </c>
      <c r="B1162">
        <f>MOD(ROW()-2,151)</f>
        <v/>
      </c>
      <c r="C1162">
        <f t="array" ref="C1162">IFERROR(INDEX('TRIP MANAGER'!$O$18:$O$25,$A1162),"")</f>
        <v/>
      </c>
      <c r="D1162">
        <f t="array" ref="D1162">IFERROR(INDEX('TRIP MANAGER'!$P$18:$P$25,$A1162),"")</f>
        <v/>
      </c>
      <c r="E1162">
        <f t="array" ref="E1162">IFERROR(INDEX('TRIP MANAGER'!$Q$18:$Q$25,$A1162),"")</f>
        <v/>
      </c>
      <c r="F1162">
        <f t="array" ref="F1162">IFERROR(INDEX('TRIP MANAGER'!$R$18:$R$25,$A1162),"")</f>
        <v/>
      </c>
      <c r="G1162">
        <f t="array" ref="G1162">IFERROR(INDEX('TRIP MANAGER'!$S$18:$S$25,$A1162),"")</f>
        <v/>
      </c>
      <c r="H1162">
        <f>$B1162/150</f>
        <v/>
      </c>
      <c r="I1162">
        <f>IF(OR($G1162="",$G1162=0),"",SIN((1-$H1162)*$G1162)/SIN($G1162))</f>
        <v/>
      </c>
      <c r="J1162">
        <f>IF($I1162="","",SIN($H1162*$G1162)/SIN($G1162))</f>
        <v/>
      </c>
      <c r="K1162">
        <f>IF($I1162="","",$I1162*COS(RADIANS($C1162))*COS(RADIANS($D1162))+$J1162*COS(RADIANS($E1162))*COS(RADIANS($F1162)))</f>
        <v/>
      </c>
      <c r="L1162">
        <f>IF($I1162="","",$I1162*COS(RADIANS($C1162))*SIN(RADIANS($D1162))+$J1162*COS(RADIANS($E1162))*SIN(RADIANS($F1162)))</f>
        <v/>
      </c>
      <c r="M1162">
        <f>IF($I1162="","",$I1162*SIN(RADIANS($C1162))+$J1162*SIN(RADIANS($E1162)))</f>
        <v/>
      </c>
      <c r="N1162">
        <f>IF($M1162="","",DEGREES(ATAN2(SQRT($K1162^2+$L1162^2),$M1162)))</f>
        <v/>
      </c>
      <c r="O1162">
        <f>IF($M1162="","",DEGREES(ATAN2($K1162,$L1162)))</f>
        <v/>
      </c>
      <c r="P1162">
        <f t="array" ref="P1162">IF($N1162="","",IFERROR(IF(INDEX(geo_grid!$B$2:$JU$231,INT(($N1162+40)/0.5)+1,INT(($O1162+30)/0.5)+1)="","",INDEX(geo_grid!$B$2:$JU$231,INT(($N1162+40)/0.5)+1,INT(($O1162+30)/0.5)+1)),"OUTSIDE GRID"))</f>
        <v/>
      </c>
      <c r="Q1162">
        <f>IF($P1162="","",$A1162*1000+$B1162)</f>
        <v/>
      </c>
    </row>
    <row r="1163">
      <c r="A1163">
        <f>INT((ROW()-2)/151)+1</f>
        <v/>
      </c>
      <c r="B1163">
        <f>MOD(ROW()-2,151)</f>
        <v/>
      </c>
      <c r="C1163">
        <f t="array" ref="C1163">IFERROR(INDEX('TRIP MANAGER'!$O$18:$O$25,$A1163),"")</f>
        <v/>
      </c>
      <c r="D1163">
        <f t="array" ref="D1163">IFERROR(INDEX('TRIP MANAGER'!$P$18:$P$25,$A1163),"")</f>
        <v/>
      </c>
      <c r="E1163">
        <f t="array" ref="E1163">IFERROR(INDEX('TRIP MANAGER'!$Q$18:$Q$25,$A1163),"")</f>
        <v/>
      </c>
      <c r="F1163">
        <f t="array" ref="F1163">IFERROR(INDEX('TRIP MANAGER'!$R$18:$R$25,$A1163),"")</f>
        <v/>
      </c>
      <c r="G1163">
        <f t="array" ref="G1163">IFERROR(INDEX('TRIP MANAGER'!$S$18:$S$25,$A1163),"")</f>
        <v/>
      </c>
      <c r="H1163">
        <f>$B1163/150</f>
        <v/>
      </c>
      <c r="I1163">
        <f>IF(OR($G1163="",$G1163=0),"",SIN((1-$H1163)*$G1163)/SIN($G1163))</f>
        <v/>
      </c>
      <c r="J1163">
        <f>IF($I1163="","",SIN($H1163*$G1163)/SIN($G1163))</f>
        <v/>
      </c>
      <c r="K1163">
        <f>IF($I1163="","",$I1163*COS(RADIANS($C1163))*COS(RADIANS($D1163))+$J1163*COS(RADIANS($E1163))*COS(RADIANS($F1163)))</f>
        <v/>
      </c>
      <c r="L1163">
        <f>IF($I1163="","",$I1163*COS(RADIANS($C1163))*SIN(RADIANS($D1163))+$J1163*COS(RADIANS($E1163))*SIN(RADIANS($F1163)))</f>
        <v/>
      </c>
      <c r="M1163">
        <f>IF($I1163="","",$I1163*SIN(RADIANS($C1163))+$J1163*SIN(RADIANS($E1163)))</f>
        <v/>
      </c>
      <c r="N1163">
        <f>IF($M1163="","",DEGREES(ATAN2(SQRT($K1163^2+$L1163^2),$M1163)))</f>
        <v/>
      </c>
      <c r="O1163">
        <f>IF($M1163="","",DEGREES(ATAN2($K1163,$L1163)))</f>
        <v/>
      </c>
      <c r="P1163">
        <f t="array" ref="P1163">IF($N1163="","",IFERROR(IF(INDEX(geo_grid!$B$2:$JU$231,INT(($N1163+40)/0.5)+1,INT(($O1163+30)/0.5)+1)="","",INDEX(geo_grid!$B$2:$JU$231,INT(($N1163+40)/0.5)+1,INT(($O1163+30)/0.5)+1)),"OUTSIDE GRID"))</f>
        <v/>
      </c>
      <c r="Q1163">
        <f>IF($P1163="","",$A1163*1000+$B1163)</f>
        <v/>
      </c>
    </row>
    <row r="1164">
      <c r="A1164">
        <f>INT((ROW()-2)/151)+1</f>
        <v/>
      </c>
      <c r="B1164">
        <f>MOD(ROW()-2,151)</f>
        <v/>
      </c>
      <c r="C1164">
        <f t="array" ref="C1164">IFERROR(INDEX('TRIP MANAGER'!$O$18:$O$25,$A1164),"")</f>
        <v/>
      </c>
      <c r="D1164">
        <f t="array" ref="D1164">IFERROR(INDEX('TRIP MANAGER'!$P$18:$P$25,$A1164),"")</f>
        <v/>
      </c>
      <c r="E1164">
        <f t="array" ref="E1164">IFERROR(INDEX('TRIP MANAGER'!$Q$18:$Q$25,$A1164),"")</f>
        <v/>
      </c>
      <c r="F1164">
        <f t="array" ref="F1164">IFERROR(INDEX('TRIP MANAGER'!$R$18:$R$25,$A1164),"")</f>
        <v/>
      </c>
      <c r="G1164">
        <f t="array" ref="G1164">IFERROR(INDEX('TRIP MANAGER'!$S$18:$S$25,$A1164),"")</f>
        <v/>
      </c>
      <c r="H1164">
        <f>$B1164/150</f>
        <v/>
      </c>
      <c r="I1164">
        <f>IF(OR($G1164="",$G1164=0),"",SIN((1-$H1164)*$G1164)/SIN($G1164))</f>
        <v/>
      </c>
      <c r="J1164">
        <f>IF($I1164="","",SIN($H1164*$G1164)/SIN($G1164))</f>
        <v/>
      </c>
      <c r="K1164">
        <f>IF($I1164="","",$I1164*COS(RADIANS($C1164))*COS(RADIANS($D1164))+$J1164*COS(RADIANS($E1164))*COS(RADIANS($F1164)))</f>
        <v/>
      </c>
      <c r="L1164">
        <f>IF($I1164="","",$I1164*COS(RADIANS($C1164))*SIN(RADIANS($D1164))+$J1164*COS(RADIANS($E1164))*SIN(RADIANS($F1164)))</f>
        <v/>
      </c>
      <c r="M1164">
        <f>IF($I1164="","",$I1164*SIN(RADIANS($C1164))+$J1164*SIN(RADIANS($E1164)))</f>
        <v/>
      </c>
      <c r="N1164">
        <f>IF($M1164="","",DEGREES(ATAN2(SQRT($K1164^2+$L1164^2),$M1164)))</f>
        <v/>
      </c>
      <c r="O1164">
        <f>IF($M1164="","",DEGREES(ATAN2($K1164,$L1164)))</f>
        <v/>
      </c>
      <c r="P1164">
        <f t="array" ref="P1164">IF($N1164="","",IFERROR(IF(INDEX(geo_grid!$B$2:$JU$231,INT(($N1164+40)/0.5)+1,INT(($O1164+30)/0.5)+1)="","",INDEX(geo_grid!$B$2:$JU$231,INT(($N1164+40)/0.5)+1,INT(($O1164+30)/0.5)+1)),"OUTSIDE GRID"))</f>
        <v/>
      </c>
      <c r="Q1164">
        <f>IF($P1164="","",$A1164*1000+$B1164)</f>
        <v/>
      </c>
    </row>
    <row r="1165">
      <c r="A1165">
        <f>INT((ROW()-2)/151)+1</f>
        <v/>
      </c>
      <c r="B1165">
        <f>MOD(ROW()-2,151)</f>
        <v/>
      </c>
      <c r="C1165">
        <f t="array" ref="C1165">IFERROR(INDEX('TRIP MANAGER'!$O$18:$O$25,$A1165),"")</f>
        <v/>
      </c>
      <c r="D1165">
        <f t="array" ref="D1165">IFERROR(INDEX('TRIP MANAGER'!$P$18:$P$25,$A1165),"")</f>
        <v/>
      </c>
      <c r="E1165">
        <f t="array" ref="E1165">IFERROR(INDEX('TRIP MANAGER'!$Q$18:$Q$25,$A1165),"")</f>
        <v/>
      </c>
      <c r="F1165">
        <f t="array" ref="F1165">IFERROR(INDEX('TRIP MANAGER'!$R$18:$R$25,$A1165),"")</f>
        <v/>
      </c>
      <c r="G1165">
        <f t="array" ref="G1165">IFERROR(INDEX('TRIP MANAGER'!$S$18:$S$25,$A1165),"")</f>
        <v/>
      </c>
      <c r="H1165">
        <f>$B1165/150</f>
        <v/>
      </c>
      <c r="I1165">
        <f>IF(OR($G1165="",$G1165=0),"",SIN((1-$H1165)*$G1165)/SIN($G1165))</f>
        <v/>
      </c>
      <c r="J1165">
        <f>IF($I1165="","",SIN($H1165*$G1165)/SIN($G1165))</f>
        <v/>
      </c>
      <c r="K1165">
        <f>IF($I1165="","",$I1165*COS(RADIANS($C1165))*COS(RADIANS($D1165))+$J1165*COS(RADIANS($E1165))*COS(RADIANS($F1165)))</f>
        <v/>
      </c>
      <c r="L1165">
        <f>IF($I1165="","",$I1165*COS(RADIANS($C1165))*SIN(RADIANS($D1165))+$J1165*COS(RADIANS($E1165))*SIN(RADIANS($F1165)))</f>
        <v/>
      </c>
      <c r="M1165">
        <f>IF($I1165="","",$I1165*SIN(RADIANS($C1165))+$J1165*SIN(RADIANS($E1165)))</f>
        <v/>
      </c>
      <c r="N1165">
        <f>IF($M1165="","",DEGREES(ATAN2(SQRT($K1165^2+$L1165^2),$M1165)))</f>
        <v/>
      </c>
      <c r="O1165">
        <f>IF($M1165="","",DEGREES(ATAN2($K1165,$L1165)))</f>
        <v/>
      </c>
      <c r="P1165">
        <f t="array" ref="P1165">IF($N1165="","",IFERROR(IF(INDEX(geo_grid!$B$2:$JU$231,INT(($N1165+40)/0.5)+1,INT(($O1165+30)/0.5)+1)="","",INDEX(geo_grid!$B$2:$JU$231,INT(($N1165+40)/0.5)+1,INT(($O1165+30)/0.5)+1)),"OUTSIDE GRID"))</f>
        <v/>
      </c>
      <c r="Q1165">
        <f>IF($P1165="","",$A1165*1000+$B1165)</f>
        <v/>
      </c>
    </row>
    <row r="1166">
      <c r="A1166">
        <f>INT((ROW()-2)/151)+1</f>
        <v/>
      </c>
      <c r="B1166">
        <f>MOD(ROW()-2,151)</f>
        <v/>
      </c>
      <c r="C1166">
        <f t="array" ref="C1166">IFERROR(INDEX('TRIP MANAGER'!$O$18:$O$25,$A1166),"")</f>
        <v/>
      </c>
      <c r="D1166">
        <f t="array" ref="D1166">IFERROR(INDEX('TRIP MANAGER'!$P$18:$P$25,$A1166),"")</f>
        <v/>
      </c>
      <c r="E1166">
        <f t="array" ref="E1166">IFERROR(INDEX('TRIP MANAGER'!$Q$18:$Q$25,$A1166),"")</f>
        <v/>
      </c>
      <c r="F1166">
        <f t="array" ref="F1166">IFERROR(INDEX('TRIP MANAGER'!$R$18:$R$25,$A1166),"")</f>
        <v/>
      </c>
      <c r="G1166">
        <f t="array" ref="G1166">IFERROR(INDEX('TRIP MANAGER'!$S$18:$S$25,$A1166),"")</f>
        <v/>
      </c>
      <c r="H1166">
        <f>$B1166/150</f>
        <v/>
      </c>
      <c r="I1166">
        <f>IF(OR($G1166="",$G1166=0),"",SIN((1-$H1166)*$G1166)/SIN($G1166))</f>
        <v/>
      </c>
      <c r="J1166">
        <f>IF($I1166="","",SIN($H1166*$G1166)/SIN($G1166))</f>
        <v/>
      </c>
      <c r="K1166">
        <f>IF($I1166="","",$I1166*COS(RADIANS($C1166))*COS(RADIANS($D1166))+$J1166*COS(RADIANS($E1166))*COS(RADIANS($F1166)))</f>
        <v/>
      </c>
      <c r="L1166">
        <f>IF($I1166="","",$I1166*COS(RADIANS($C1166))*SIN(RADIANS($D1166))+$J1166*COS(RADIANS($E1166))*SIN(RADIANS($F1166)))</f>
        <v/>
      </c>
      <c r="M1166">
        <f>IF($I1166="","",$I1166*SIN(RADIANS($C1166))+$J1166*SIN(RADIANS($E1166)))</f>
        <v/>
      </c>
      <c r="N1166">
        <f>IF($M1166="","",DEGREES(ATAN2(SQRT($K1166^2+$L1166^2),$M1166)))</f>
        <v/>
      </c>
      <c r="O1166">
        <f>IF($M1166="","",DEGREES(ATAN2($K1166,$L1166)))</f>
        <v/>
      </c>
      <c r="P1166">
        <f t="array" ref="P1166">IF($N1166="","",IFERROR(IF(INDEX(geo_grid!$B$2:$JU$231,INT(($N1166+40)/0.5)+1,INT(($O1166+30)/0.5)+1)="","",INDEX(geo_grid!$B$2:$JU$231,INT(($N1166+40)/0.5)+1,INT(($O1166+30)/0.5)+1)),"OUTSIDE GRID"))</f>
        <v/>
      </c>
      <c r="Q1166">
        <f>IF($P1166="","",$A1166*1000+$B1166)</f>
        <v/>
      </c>
    </row>
    <row r="1167">
      <c r="A1167">
        <f>INT((ROW()-2)/151)+1</f>
        <v/>
      </c>
      <c r="B1167">
        <f>MOD(ROW()-2,151)</f>
        <v/>
      </c>
      <c r="C1167">
        <f t="array" ref="C1167">IFERROR(INDEX('TRIP MANAGER'!$O$18:$O$25,$A1167),"")</f>
        <v/>
      </c>
      <c r="D1167">
        <f t="array" ref="D1167">IFERROR(INDEX('TRIP MANAGER'!$P$18:$P$25,$A1167),"")</f>
        <v/>
      </c>
      <c r="E1167">
        <f t="array" ref="E1167">IFERROR(INDEX('TRIP MANAGER'!$Q$18:$Q$25,$A1167),"")</f>
        <v/>
      </c>
      <c r="F1167">
        <f t="array" ref="F1167">IFERROR(INDEX('TRIP MANAGER'!$R$18:$R$25,$A1167),"")</f>
        <v/>
      </c>
      <c r="G1167">
        <f t="array" ref="G1167">IFERROR(INDEX('TRIP MANAGER'!$S$18:$S$25,$A1167),"")</f>
        <v/>
      </c>
      <c r="H1167">
        <f>$B1167/150</f>
        <v/>
      </c>
      <c r="I1167">
        <f>IF(OR($G1167="",$G1167=0),"",SIN((1-$H1167)*$G1167)/SIN($G1167))</f>
        <v/>
      </c>
      <c r="J1167">
        <f>IF($I1167="","",SIN($H1167*$G1167)/SIN($G1167))</f>
        <v/>
      </c>
      <c r="K1167">
        <f>IF($I1167="","",$I1167*COS(RADIANS($C1167))*COS(RADIANS($D1167))+$J1167*COS(RADIANS($E1167))*COS(RADIANS($F1167)))</f>
        <v/>
      </c>
      <c r="L1167">
        <f>IF($I1167="","",$I1167*COS(RADIANS($C1167))*SIN(RADIANS($D1167))+$J1167*COS(RADIANS($E1167))*SIN(RADIANS($F1167)))</f>
        <v/>
      </c>
      <c r="M1167">
        <f>IF($I1167="","",$I1167*SIN(RADIANS($C1167))+$J1167*SIN(RADIANS($E1167)))</f>
        <v/>
      </c>
      <c r="N1167">
        <f>IF($M1167="","",DEGREES(ATAN2(SQRT($K1167^2+$L1167^2),$M1167)))</f>
        <v/>
      </c>
      <c r="O1167">
        <f>IF($M1167="","",DEGREES(ATAN2($K1167,$L1167)))</f>
        <v/>
      </c>
      <c r="P1167">
        <f t="array" ref="P1167">IF($N1167="","",IFERROR(IF(INDEX(geo_grid!$B$2:$JU$231,INT(($N1167+40)/0.5)+1,INT(($O1167+30)/0.5)+1)="","",INDEX(geo_grid!$B$2:$JU$231,INT(($N1167+40)/0.5)+1,INT(($O1167+30)/0.5)+1)),"OUTSIDE GRID"))</f>
        <v/>
      </c>
      <c r="Q1167">
        <f>IF($P1167="","",$A1167*1000+$B1167)</f>
        <v/>
      </c>
    </row>
    <row r="1168">
      <c r="A1168">
        <f>INT((ROW()-2)/151)+1</f>
        <v/>
      </c>
      <c r="B1168">
        <f>MOD(ROW()-2,151)</f>
        <v/>
      </c>
      <c r="C1168">
        <f t="array" ref="C1168">IFERROR(INDEX('TRIP MANAGER'!$O$18:$O$25,$A1168),"")</f>
        <v/>
      </c>
      <c r="D1168">
        <f t="array" ref="D1168">IFERROR(INDEX('TRIP MANAGER'!$P$18:$P$25,$A1168),"")</f>
        <v/>
      </c>
      <c r="E1168">
        <f t="array" ref="E1168">IFERROR(INDEX('TRIP MANAGER'!$Q$18:$Q$25,$A1168),"")</f>
        <v/>
      </c>
      <c r="F1168">
        <f t="array" ref="F1168">IFERROR(INDEX('TRIP MANAGER'!$R$18:$R$25,$A1168),"")</f>
        <v/>
      </c>
      <c r="G1168">
        <f t="array" ref="G1168">IFERROR(INDEX('TRIP MANAGER'!$S$18:$S$25,$A1168),"")</f>
        <v/>
      </c>
      <c r="H1168">
        <f>$B1168/150</f>
        <v/>
      </c>
      <c r="I1168">
        <f>IF(OR($G1168="",$G1168=0),"",SIN((1-$H1168)*$G1168)/SIN($G1168))</f>
        <v/>
      </c>
      <c r="J1168">
        <f>IF($I1168="","",SIN($H1168*$G1168)/SIN($G1168))</f>
        <v/>
      </c>
      <c r="K1168">
        <f>IF($I1168="","",$I1168*COS(RADIANS($C1168))*COS(RADIANS($D1168))+$J1168*COS(RADIANS($E1168))*COS(RADIANS($F1168)))</f>
        <v/>
      </c>
      <c r="L1168">
        <f>IF($I1168="","",$I1168*COS(RADIANS($C1168))*SIN(RADIANS($D1168))+$J1168*COS(RADIANS($E1168))*SIN(RADIANS($F1168)))</f>
        <v/>
      </c>
      <c r="M1168">
        <f>IF($I1168="","",$I1168*SIN(RADIANS($C1168))+$J1168*SIN(RADIANS($E1168)))</f>
        <v/>
      </c>
      <c r="N1168">
        <f>IF($M1168="","",DEGREES(ATAN2(SQRT($K1168^2+$L1168^2),$M1168)))</f>
        <v/>
      </c>
      <c r="O1168">
        <f>IF($M1168="","",DEGREES(ATAN2($K1168,$L1168)))</f>
        <v/>
      </c>
      <c r="P1168">
        <f t="array" ref="P1168">IF($N1168="","",IFERROR(IF(INDEX(geo_grid!$B$2:$JU$231,INT(($N1168+40)/0.5)+1,INT(($O1168+30)/0.5)+1)="","",INDEX(geo_grid!$B$2:$JU$231,INT(($N1168+40)/0.5)+1,INT(($O1168+30)/0.5)+1)),"OUTSIDE GRID"))</f>
        <v/>
      </c>
      <c r="Q1168">
        <f>IF($P1168="","",$A1168*1000+$B1168)</f>
        <v/>
      </c>
    </row>
    <row r="1169">
      <c r="A1169">
        <f>INT((ROW()-2)/151)+1</f>
        <v/>
      </c>
      <c r="B1169">
        <f>MOD(ROW()-2,151)</f>
        <v/>
      </c>
      <c r="C1169">
        <f t="array" ref="C1169">IFERROR(INDEX('TRIP MANAGER'!$O$18:$O$25,$A1169),"")</f>
        <v/>
      </c>
      <c r="D1169">
        <f t="array" ref="D1169">IFERROR(INDEX('TRIP MANAGER'!$P$18:$P$25,$A1169),"")</f>
        <v/>
      </c>
      <c r="E1169">
        <f t="array" ref="E1169">IFERROR(INDEX('TRIP MANAGER'!$Q$18:$Q$25,$A1169),"")</f>
        <v/>
      </c>
      <c r="F1169">
        <f t="array" ref="F1169">IFERROR(INDEX('TRIP MANAGER'!$R$18:$R$25,$A1169),"")</f>
        <v/>
      </c>
      <c r="G1169">
        <f t="array" ref="G1169">IFERROR(INDEX('TRIP MANAGER'!$S$18:$S$25,$A1169),"")</f>
        <v/>
      </c>
      <c r="H1169">
        <f>$B1169/150</f>
        <v/>
      </c>
      <c r="I1169">
        <f>IF(OR($G1169="",$G1169=0),"",SIN((1-$H1169)*$G1169)/SIN($G1169))</f>
        <v/>
      </c>
      <c r="J1169">
        <f>IF($I1169="","",SIN($H1169*$G1169)/SIN($G1169))</f>
        <v/>
      </c>
      <c r="K1169">
        <f>IF($I1169="","",$I1169*COS(RADIANS($C1169))*COS(RADIANS($D1169))+$J1169*COS(RADIANS($E1169))*COS(RADIANS($F1169)))</f>
        <v/>
      </c>
      <c r="L1169">
        <f>IF($I1169="","",$I1169*COS(RADIANS($C1169))*SIN(RADIANS($D1169))+$J1169*COS(RADIANS($E1169))*SIN(RADIANS($F1169)))</f>
        <v/>
      </c>
      <c r="M1169">
        <f>IF($I1169="","",$I1169*SIN(RADIANS($C1169))+$J1169*SIN(RADIANS($E1169)))</f>
        <v/>
      </c>
      <c r="N1169">
        <f>IF($M1169="","",DEGREES(ATAN2(SQRT($K1169^2+$L1169^2),$M1169)))</f>
        <v/>
      </c>
      <c r="O1169">
        <f>IF($M1169="","",DEGREES(ATAN2($K1169,$L1169)))</f>
        <v/>
      </c>
      <c r="P1169">
        <f t="array" ref="P1169">IF($N1169="","",IFERROR(IF(INDEX(geo_grid!$B$2:$JU$231,INT(($N1169+40)/0.5)+1,INT(($O1169+30)/0.5)+1)="","",INDEX(geo_grid!$B$2:$JU$231,INT(($N1169+40)/0.5)+1,INT(($O1169+30)/0.5)+1)),"OUTSIDE GRID"))</f>
        <v/>
      </c>
      <c r="Q1169">
        <f>IF($P1169="","",$A1169*1000+$B1169)</f>
        <v/>
      </c>
    </row>
    <row r="1170">
      <c r="A1170">
        <f>INT((ROW()-2)/151)+1</f>
        <v/>
      </c>
      <c r="B1170">
        <f>MOD(ROW()-2,151)</f>
        <v/>
      </c>
      <c r="C1170">
        <f t="array" ref="C1170">IFERROR(INDEX('TRIP MANAGER'!$O$18:$O$25,$A1170),"")</f>
        <v/>
      </c>
      <c r="D1170">
        <f t="array" ref="D1170">IFERROR(INDEX('TRIP MANAGER'!$P$18:$P$25,$A1170),"")</f>
        <v/>
      </c>
      <c r="E1170">
        <f t="array" ref="E1170">IFERROR(INDEX('TRIP MANAGER'!$Q$18:$Q$25,$A1170),"")</f>
        <v/>
      </c>
      <c r="F1170">
        <f t="array" ref="F1170">IFERROR(INDEX('TRIP MANAGER'!$R$18:$R$25,$A1170),"")</f>
        <v/>
      </c>
      <c r="G1170">
        <f t="array" ref="G1170">IFERROR(INDEX('TRIP MANAGER'!$S$18:$S$25,$A1170),"")</f>
        <v/>
      </c>
      <c r="H1170">
        <f>$B1170/150</f>
        <v/>
      </c>
      <c r="I1170">
        <f>IF(OR($G1170="",$G1170=0),"",SIN((1-$H1170)*$G1170)/SIN($G1170))</f>
        <v/>
      </c>
      <c r="J1170">
        <f>IF($I1170="","",SIN($H1170*$G1170)/SIN($G1170))</f>
        <v/>
      </c>
      <c r="K1170">
        <f>IF($I1170="","",$I1170*COS(RADIANS($C1170))*COS(RADIANS($D1170))+$J1170*COS(RADIANS($E1170))*COS(RADIANS($F1170)))</f>
        <v/>
      </c>
      <c r="L1170">
        <f>IF($I1170="","",$I1170*COS(RADIANS($C1170))*SIN(RADIANS($D1170))+$J1170*COS(RADIANS($E1170))*SIN(RADIANS($F1170)))</f>
        <v/>
      </c>
      <c r="M1170">
        <f>IF($I1170="","",$I1170*SIN(RADIANS($C1170))+$J1170*SIN(RADIANS($E1170)))</f>
        <v/>
      </c>
      <c r="N1170">
        <f>IF($M1170="","",DEGREES(ATAN2(SQRT($K1170^2+$L1170^2),$M1170)))</f>
        <v/>
      </c>
      <c r="O1170">
        <f>IF($M1170="","",DEGREES(ATAN2($K1170,$L1170)))</f>
        <v/>
      </c>
      <c r="P1170">
        <f t="array" ref="P1170">IF($N1170="","",IFERROR(IF(INDEX(geo_grid!$B$2:$JU$231,INT(($N1170+40)/0.5)+1,INT(($O1170+30)/0.5)+1)="","",INDEX(geo_grid!$B$2:$JU$231,INT(($N1170+40)/0.5)+1,INT(($O1170+30)/0.5)+1)),"OUTSIDE GRID"))</f>
        <v/>
      </c>
      <c r="Q1170">
        <f>IF($P1170="","",$A1170*1000+$B1170)</f>
        <v/>
      </c>
    </row>
    <row r="1171">
      <c r="A1171">
        <f>INT((ROW()-2)/151)+1</f>
        <v/>
      </c>
      <c r="B1171">
        <f>MOD(ROW()-2,151)</f>
        <v/>
      </c>
      <c r="C1171">
        <f t="array" ref="C1171">IFERROR(INDEX('TRIP MANAGER'!$O$18:$O$25,$A1171),"")</f>
        <v/>
      </c>
      <c r="D1171">
        <f t="array" ref="D1171">IFERROR(INDEX('TRIP MANAGER'!$P$18:$P$25,$A1171),"")</f>
        <v/>
      </c>
      <c r="E1171">
        <f t="array" ref="E1171">IFERROR(INDEX('TRIP MANAGER'!$Q$18:$Q$25,$A1171),"")</f>
        <v/>
      </c>
      <c r="F1171">
        <f t="array" ref="F1171">IFERROR(INDEX('TRIP MANAGER'!$R$18:$R$25,$A1171),"")</f>
        <v/>
      </c>
      <c r="G1171">
        <f t="array" ref="G1171">IFERROR(INDEX('TRIP MANAGER'!$S$18:$S$25,$A1171),"")</f>
        <v/>
      </c>
      <c r="H1171">
        <f>$B1171/150</f>
        <v/>
      </c>
      <c r="I1171">
        <f>IF(OR($G1171="",$G1171=0),"",SIN((1-$H1171)*$G1171)/SIN($G1171))</f>
        <v/>
      </c>
      <c r="J1171">
        <f>IF($I1171="","",SIN($H1171*$G1171)/SIN($G1171))</f>
        <v/>
      </c>
      <c r="K1171">
        <f>IF($I1171="","",$I1171*COS(RADIANS($C1171))*COS(RADIANS($D1171))+$J1171*COS(RADIANS($E1171))*COS(RADIANS($F1171)))</f>
        <v/>
      </c>
      <c r="L1171">
        <f>IF($I1171="","",$I1171*COS(RADIANS($C1171))*SIN(RADIANS($D1171))+$J1171*COS(RADIANS($E1171))*SIN(RADIANS($F1171)))</f>
        <v/>
      </c>
      <c r="M1171">
        <f>IF($I1171="","",$I1171*SIN(RADIANS($C1171))+$J1171*SIN(RADIANS($E1171)))</f>
        <v/>
      </c>
      <c r="N1171">
        <f>IF($M1171="","",DEGREES(ATAN2(SQRT($K1171^2+$L1171^2),$M1171)))</f>
        <v/>
      </c>
      <c r="O1171">
        <f>IF($M1171="","",DEGREES(ATAN2($K1171,$L1171)))</f>
        <v/>
      </c>
      <c r="P1171">
        <f t="array" ref="P1171">IF($N1171="","",IFERROR(IF(INDEX(geo_grid!$B$2:$JU$231,INT(($N1171+40)/0.5)+1,INT(($O1171+30)/0.5)+1)="","",INDEX(geo_grid!$B$2:$JU$231,INT(($N1171+40)/0.5)+1,INT(($O1171+30)/0.5)+1)),"OUTSIDE GRID"))</f>
        <v/>
      </c>
      <c r="Q1171">
        <f>IF($P1171="","",$A1171*1000+$B1171)</f>
        <v/>
      </c>
    </row>
    <row r="1172">
      <c r="A1172">
        <f>INT((ROW()-2)/151)+1</f>
        <v/>
      </c>
      <c r="B1172">
        <f>MOD(ROW()-2,151)</f>
        <v/>
      </c>
      <c r="C1172">
        <f t="array" ref="C1172">IFERROR(INDEX('TRIP MANAGER'!$O$18:$O$25,$A1172),"")</f>
        <v/>
      </c>
      <c r="D1172">
        <f t="array" ref="D1172">IFERROR(INDEX('TRIP MANAGER'!$P$18:$P$25,$A1172),"")</f>
        <v/>
      </c>
      <c r="E1172">
        <f t="array" ref="E1172">IFERROR(INDEX('TRIP MANAGER'!$Q$18:$Q$25,$A1172),"")</f>
        <v/>
      </c>
      <c r="F1172">
        <f t="array" ref="F1172">IFERROR(INDEX('TRIP MANAGER'!$R$18:$R$25,$A1172),"")</f>
        <v/>
      </c>
      <c r="G1172">
        <f t="array" ref="G1172">IFERROR(INDEX('TRIP MANAGER'!$S$18:$S$25,$A1172),"")</f>
        <v/>
      </c>
      <c r="H1172">
        <f>$B1172/150</f>
        <v/>
      </c>
      <c r="I1172">
        <f>IF(OR($G1172="",$G1172=0),"",SIN((1-$H1172)*$G1172)/SIN($G1172))</f>
        <v/>
      </c>
      <c r="J1172">
        <f>IF($I1172="","",SIN($H1172*$G1172)/SIN($G1172))</f>
        <v/>
      </c>
      <c r="K1172">
        <f>IF($I1172="","",$I1172*COS(RADIANS($C1172))*COS(RADIANS($D1172))+$J1172*COS(RADIANS($E1172))*COS(RADIANS($F1172)))</f>
        <v/>
      </c>
      <c r="L1172">
        <f>IF($I1172="","",$I1172*COS(RADIANS($C1172))*SIN(RADIANS($D1172))+$J1172*COS(RADIANS($E1172))*SIN(RADIANS($F1172)))</f>
        <v/>
      </c>
      <c r="M1172">
        <f>IF($I1172="","",$I1172*SIN(RADIANS($C1172))+$J1172*SIN(RADIANS($E1172)))</f>
        <v/>
      </c>
      <c r="N1172">
        <f>IF($M1172="","",DEGREES(ATAN2(SQRT($K1172^2+$L1172^2),$M1172)))</f>
        <v/>
      </c>
      <c r="O1172">
        <f>IF($M1172="","",DEGREES(ATAN2($K1172,$L1172)))</f>
        <v/>
      </c>
      <c r="P1172">
        <f t="array" ref="P1172">IF($N1172="","",IFERROR(IF(INDEX(geo_grid!$B$2:$JU$231,INT(($N1172+40)/0.5)+1,INT(($O1172+30)/0.5)+1)="","",INDEX(geo_grid!$B$2:$JU$231,INT(($N1172+40)/0.5)+1,INT(($O1172+30)/0.5)+1)),"OUTSIDE GRID"))</f>
        <v/>
      </c>
      <c r="Q1172">
        <f>IF($P1172="","",$A1172*1000+$B1172)</f>
        <v/>
      </c>
    </row>
    <row r="1173">
      <c r="A1173">
        <f>INT((ROW()-2)/151)+1</f>
        <v/>
      </c>
      <c r="B1173">
        <f>MOD(ROW()-2,151)</f>
        <v/>
      </c>
      <c r="C1173">
        <f t="array" ref="C1173">IFERROR(INDEX('TRIP MANAGER'!$O$18:$O$25,$A1173),"")</f>
        <v/>
      </c>
      <c r="D1173">
        <f t="array" ref="D1173">IFERROR(INDEX('TRIP MANAGER'!$P$18:$P$25,$A1173),"")</f>
        <v/>
      </c>
      <c r="E1173">
        <f t="array" ref="E1173">IFERROR(INDEX('TRIP MANAGER'!$Q$18:$Q$25,$A1173),"")</f>
        <v/>
      </c>
      <c r="F1173">
        <f t="array" ref="F1173">IFERROR(INDEX('TRIP MANAGER'!$R$18:$R$25,$A1173),"")</f>
        <v/>
      </c>
      <c r="G1173">
        <f t="array" ref="G1173">IFERROR(INDEX('TRIP MANAGER'!$S$18:$S$25,$A1173),"")</f>
        <v/>
      </c>
      <c r="H1173">
        <f>$B1173/150</f>
        <v/>
      </c>
      <c r="I1173">
        <f>IF(OR($G1173="",$G1173=0),"",SIN((1-$H1173)*$G1173)/SIN($G1173))</f>
        <v/>
      </c>
      <c r="J1173">
        <f>IF($I1173="","",SIN($H1173*$G1173)/SIN($G1173))</f>
        <v/>
      </c>
      <c r="K1173">
        <f>IF($I1173="","",$I1173*COS(RADIANS($C1173))*COS(RADIANS($D1173))+$J1173*COS(RADIANS($E1173))*COS(RADIANS($F1173)))</f>
        <v/>
      </c>
      <c r="L1173">
        <f>IF($I1173="","",$I1173*COS(RADIANS($C1173))*SIN(RADIANS($D1173))+$J1173*COS(RADIANS($E1173))*SIN(RADIANS($F1173)))</f>
        <v/>
      </c>
      <c r="M1173">
        <f>IF($I1173="","",$I1173*SIN(RADIANS($C1173))+$J1173*SIN(RADIANS($E1173)))</f>
        <v/>
      </c>
      <c r="N1173">
        <f>IF($M1173="","",DEGREES(ATAN2(SQRT($K1173^2+$L1173^2),$M1173)))</f>
        <v/>
      </c>
      <c r="O1173">
        <f>IF($M1173="","",DEGREES(ATAN2($K1173,$L1173)))</f>
        <v/>
      </c>
      <c r="P1173">
        <f t="array" ref="P1173">IF($N1173="","",IFERROR(IF(INDEX(geo_grid!$B$2:$JU$231,INT(($N1173+40)/0.5)+1,INT(($O1173+30)/0.5)+1)="","",INDEX(geo_grid!$B$2:$JU$231,INT(($N1173+40)/0.5)+1,INT(($O1173+30)/0.5)+1)),"OUTSIDE GRID"))</f>
        <v/>
      </c>
      <c r="Q1173">
        <f>IF($P1173="","",$A1173*1000+$B1173)</f>
        <v/>
      </c>
    </row>
    <row r="1174">
      <c r="A1174">
        <f>INT((ROW()-2)/151)+1</f>
        <v/>
      </c>
      <c r="B1174">
        <f>MOD(ROW()-2,151)</f>
        <v/>
      </c>
      <c r="C1174">
        <f t="array" ref="C1174">IFERROR(INDEX('TRIP MANAGER'!$O$18:$O$25,$A1174),"")</f>
        <v/>
      </c>
      <c r="D1174">
        <f t="array" ref="D1174">IFERROR(INDEX('TRIP MANAGER'!$P$18:$P$25,$A1174),"")</f>
        <v/>
      </c>
      <c r="E1174">
        <f t="array" ref="E1174">IFERROR(INDEX('TRIP MANAGER'!$Q$18:$Q$25,$A1174),"")</f>
        <v/>
      </c>
      <c r="F1174">
        <f t="array" ref="F1174">IFERROR(INDEX('TRIP MANAGER'!$R$18:$R$25,$A1174),"")</f>
        <v/>
      </c>
      <c r="G1174">
        <f t="array" ref="G1174">IFERROR(INDEX('TRIP MANAGER'!$S$18:$S$25,$A1174),"")</f>
        <v/>
      </c>
      <c r="H1174">
        <f>$B1174/150</f>
        <v/>
      </c>
      <c r="I1174">
        <f>IF(OR($G1174="",$G1174=0),"",SIN((1-$H1174)*$G1174)/SIN($G1174))</f>
        <v/>
      </c>
      <c r="J1174">
        <f>IF($I1174="","",SIN($H1174*$G1174)/SIN($G1174))</f>
        <v/>
      </c>
      <c r="K1174">
        <f>IF($I1174="","",$I1174*COS(RADIANS($C1174))*COS(RADIANS($D1174))+$J1174*COS(RADIANS($E1174))*COS(RADIANS($F1174)))</f>
        <v/>
      </c>
      <c r="L1174">
        <f>IF($I1174="","",$I1174*COS(RADIANS($C1174))*SIN(RADIANS($D1174))+$J1174*COS(RADIANS($E1174))*SIN(RADIANS($F1174)))</f>
        <v/>
      </c>
      <c r="M1174">
        <f>IF($I1174="","",$I1174*SIN(RADIANS($C1174))+$J1174*SIN(RADIANS($E1174)))</f>
        <v/>
      </c>
      <c r="N1174">
        <f>IF($M1174="","",DEGREES(ATAN2(SQRT($K1174^2+$L1174^2),$M1174)))</f>
        <v/>
      </c>
      <c r="O1174">
        <f>IF($M1174="","",DEGREES(ATAN2($K1174,$L1174)))</f>
        <v/>
      </c>
      <c r="P1174">
        <f t="array" ref="P1174">IF($N1174="","",IFERROR(IF(INDEX(geo_grid!$B$2:$JU$231,INT(($N1174+40)/0.5)+1,INT(($O1174+30)/0.5)+1)="","",INDEX(geo_grid!$B$2:$JU$231,INT(($N1174+40)/0.5)+1,INT(($O1174+30)/0.5)+1)),"OUTSIDE GRID"))</f>
        <v/>
      </c>
      <c r="Q1174">
        <f>IF($P1174="","",$A1174*1000+$B1174)</f>
        <v/>
      </c>
    </row>
    <row r="1175">
      <c r="A1175">
        <f>INT((ROW()-2)/151)+1</f>
        <v/>
      </c>
      <c r="B1175">
        <f>MOD(ROW()-2,151)</f>
        <v/>
      </c>
      <c r="C1175">
        <f t="array" ref="C1175">IFERROR(INDEX('TRIP MANAGER'!$O$18:$O$25,$A1175),"")</f>
        <v/>
      </c>
      <c r="D1175">
        <f t="array" ref="D1175">IFERROR(INDEX('TRIP MANAGER'!$P$18:$P$25,$A1175),"")</f>
        <v/>
      </c>
      <c r="E1175">
        <f t="array" ref="E1175">IFERROR(INDEX('TRIP MANAGER'!$Q$18:$Q$25,$A1175),"")</f>
        <v/>
      </c>
      <c r="F1175">
        <f t="array" ref="F1175">IFERROR(INDEX('TRIP MANAGER'!$R$18:$R$25,$A1175),"")</f>
        <v/>
      </c>
      <c r="G1175">
        <f t="array" ref="G1175">IFERROR(INDEX('TRIP MANAGER'!$S$18:$S$25,$A1175),"")</f>
        <v/>
      </c>
      <c r="H1175">
        <f>$B1175/150</f>
        <v/>
      </c>
      <c r="I1175">
        <f>IF(OR($G1175="",$G1175=0),"",SIN((1-$H1175)*$G1175)/SIN($G1175))</f>
        <v/>
      </c>
      <c r="J1175">
        <f>IF($I1175="","",SIN($H1175*$G1175)/SIN($G1175))</f>
        <v/>
      </c>
      <c r="K1175">
        <f>IF($I1175="","",$I1175*COS(RADIANS($C1175))*COS(RADIANS($D1175))+$J1175*COS(RADIANS($E1175))*COS(RADIANS($F1175)))</f>
        <v/>
      </c>
      <c r="L1175">
        <f>IF($I1175="","",$I1175*COS(RADIANS($C1175))*SIN(RADIANS($D1175))+$J1175*COS(RADIANS($E1175))*SIN(RADIANS($F1175)))</f>
        <v/>
      </c>
      <c r="M1175">
        <f>IF($I1175="","",$I1175*SIN(RADIANS($C1175))+$J1175*SIN(RADIANS($E1175)))</f>
        <v/>
      </c>
      <c r="N1175">
        <f>IF($M1175="","",DEGREES(ATAN2(SQRT($K1175^2+$L1175^2),$M1175)))</f>
        <v/>
      </c>
      <c r="O1175">
        <f>IF($M1175="","",DEGREES(ATAN2($K1175,$L1175)))</f>
        <v/>
      </c>
      <c r="P1175">
        <f t="array" ref="P1175">IF($N1175="","",IFERROR(IF(INDEX(geo_grid!$B$2:$JU$231,INT(($N1175+40)/0.5)+1,INT(($O1175+30)/0.5)+1)="","",INDEX(geo_grid!$B$2:$JU$231,INT(($N1175+40)/0.5)+1,INT(($O1175+30)/0.5)+1)),"OUTSIDE GRID"))</f>
        <v/>
      </c>
      <c r="Q1175">
        <f>IF($P1175="","",$A1175*1000+$B1175)</f>
        <v/>
      </c>
    </row>
    <row r="1176">
      <c r="A1176">
        <f>INT((ROW()-2)/151)+1</f>
        <v/>
      </c>
      <c r="B1176">
        <f>MOD(ROW()-2,151)</f>
        <v/>
      </c>
      <c r="C1176">
        <f t="array" ref="C1176">IFERROR(INDEX('TRIP MANAGER'!$O$18:$O$25,$A1176),"")</f>
        <v/>
      </c>
      <c r="D1176">
        <f t="array" ref="D1176">IFERROR(INDEX('TRIP MANAGER'!$P$18:$P$25,$A1176),"")</f>
        <v/>
      </c>
      <c r="E1176">
        <f t="array" ref="E1176">IFERROR(INDEX('TRIP MANAGER'!$Q$18:$Q$25,$A1176),"")</f>
        <v/>
      </c>
      <c r="F1176">
        <f t="array" ref="F1176">IFERROR(INDEX('TRIP MANAGER'!$R$18:$R$25,$A1176),"")</f>
        <v/>
      </c>
      <c r="G1176">
        <f t="array" ref="G1176">IFERROR(INDEX('TRIP MANAGER'!$S$18:$S$25,$A1176),"")</f>
        <v/>
      </c>
      <c r="H1176">
        <f>$B1176/150</f>
        <v/>
      </c>
      <c r="I1176">
        <f>IF(OR($G1176="",$G1176=0),"",SIN((1-$H1176)*$G1176)/SIN($G1176))</f>
        <v/>
      </c>
      <c r="J1176">
        <f>IF($I1176="","",SIN($H1176*$G1176)/SIN($G1176))</f>
        <v/>
      </c>
      <c r="K1176">
        <f>IF($I1176="","",$I1176*COS(RADIANS($C1176))*COS(RADIANS($D1176))+$J1176*COS(RADIANS($E1176))*COS(RADIANS($F1176)))</f>
        <v/>
      </c>
      <c r="L1176">
        <f>IF($I1176="","",$I1176*COS(RADIANS($C1176))*SIN(RADIANS($D1176))+$J1176*COS(RADIANS($E1176))*SIN(RADIANS($F1176)))</f>
        <v/>
      </c>
      <c r="M1176">
        <f>IF($I1176="","",$I1176*SIN(RADIANS($C1176))+$J1176*SIN(RADIANS($E1176)))</f>
        <v/>
      </c>
      <c r="N1176">
        <f>IF($M1176="","",DEGREES(ATAN2(SQRT($K1176^2+$L1176^2),$M1176)))</f>
        <v/>
      </c>
      <c r="O1176">
        <f>IF($M1176="","",DEGREES(ATAN2($K1176,$L1176)))</f>
        <v/>
      </c>
      <c r="P1176">
        <f t="array" ref="P1176">IF($N1176="","",IFERROR(IF(INDEX(geo_grid!$B$2:$JU$231,INT(($N1176+40)/0.5)+1,INT(($O1176+30)/0.5)+1)="","",INDEX(geo_grid!$B$2:$JU$231,INT(($N1176+40)/0.5)+1,INT(($O1176+30)/0.5)+1)),"OUTSIDE GRID"))</f>
        <v/>
      </c>
      <c r="Q1176">
        <f>IF($P1176="","",$A1176*1000+$B1176)</f>
        <v/>
      </c>
    </row>
    <row r="1177">
      <c r="A1177">
        <f>INT((ROW()-2)/151)+1</f>
        <v/>
      </c>
      <c r="B1177">
        <f>MOD(ROW()-2,151)</f>
        <v/>
      </c>
      <c r="C1177">
        <f t="array" ref="C1177">IFERROR(INDEX('TRIP MANAGER'!$O$18:$O$25,$A1177),"")</f>
        <v/>
      </c>
      <c r="D1177">
        <f t="array" ref="D1177">IFERROR(INDEX('TRIP MANAGER'!$P$18:$P$25,$A1177),"")</f>
        <v/>
      </c>
      <c r="E1177">
        <f t="array" ref="E1177">IFERROR(INDEX('TRIP MANAGER'!$Q$18:$Q$25,$A1177),"")</f>
        <v/>
      </c>
      <c r="F1177">
        <f t="array" ref="F1177">IFERROR(INDEX('TRIP MANAGER'!$R$18:$R$25,$A1177),"")</f>
        <v/>
      </c>
      <c r="G1177">
        <f t="array" ref="G1177">IFERROR(INDEX('TRIP MANAGER'!$S$18:$S$25,$A1177),"")</f>
        <v/>
      </c>
      <c r="H1177">
        <f>$B1177/150</f>
        <v/>
      </c>
      <c r="I1177">
        <f>IF(OR($G1177="",$G1177=0),"",SIN((1-$H1177)*$G1177)/SIN($G1177))</f>
        <v/>
      </c>
      <c r="J1177">
        <f>IF($I1177="","",SIN($H1177*$G1177)/SIN($G1177))</f>
        <v/>
      </c>
      <c r="K1177">
        <f>IF($I1177="","",$I1177*COS(RADIANS($C1177))*COS(RADIANS($D1177))+$J1177*COS(RADIANS($E1177))*COS(RADIANS($F1177)))</f>
        <v/>
      </c>
      <c r="L1177">
        <f>IF($I1177="","",$I1177*COS(RADIANS($C1177))*SIN(RADIANS($D1177))+$J1177*COS(RADIANS($E1177))*SIN(RADIANS($F1177)))</f>
        <v/>
      </c>
      <c r="M1177">
        <f>IF($I1177="","",$I1177*SIN(RADIANS($C1177))+$J1177*SIN(RADIANS($E1177)))</f>
        <v/>
      </c>
      <c r="N1177">
        <f>IF($M1177="","",DEGREES(ATAN2(SQRT($K1177^2+$L1177^2),$M1177)))</f>
        <v/>
      </c>
      <c r="O1177">
        <f>IF($M1177="","",DEGREES(ATAN2($K1177,$L1177)))</f>
        <v/>
      </c>
      <c r="P1177">
        <f t="array" ref="P1177">IF($N1177="","",IFERROR(IF(INDEX(geo_grid!$B$2:$JU$231,INT(($N1177+40)/0.5)+1,INT(($O1177+30)/0.5)+1)="","",INDEX(geo_grid!$B$2:$JU$231,INT(($N1177+40)/0.5)+1,INT(($O1177+30)/0.5)+1)),"OUTSIDE GRID"))</f>
        <v/>
      </c>
      <c r="Q1177">
        <f>IF($P1177="","",$A1177*1000+$B1177)</f>
        <v/>
      </c>
    </row>
    <row r="1178">
      <c r="A1178">
        <f>INT((ROW()-2)/151)+1</f>
        <v/>
      </c>
      <c r="B1178">
        <f>MOD(ROW()-2,151)</f>
        <v/>
      </c>
      <c r="C1178">
        <f t="array" ref="C1178">IFERROR(INDEX('TRIP MANAGER'!$O$18:$O$25,$A1178),"")</f>
        <v/>
      </c>
      <c r="D1178">
        <f t="array" ref="D1178">IFERROR(INDEX('TRIP MANAGER'!$P$18:$P$25,$A1178),"")</f>
        <v/>
      </c>
      <c r="E1178">
        <f t="array" ref="E1178">IFERROR(INDEX('TRIP MANAGER'!$Q$18:$Q$25,$A1178),"")</f>
        <v/>
      </c>
      <c r="F1178">
        <f t="array" ref="F1178">IFERROR(INDEX('TRIP MANAGER'!$R$18:$R$25,$A1178),"")</f>
        <v/>
      </c>
      <c r="G1178">
        <f t="array" ref="G1178">IFERROR(INDEX('TRIP MANAGER'!$S$18:$S$25,$A1178),"")</f>
        <v/>
      </c>
      <c r="H1178">
        <f>$B1178/150</f>
        <v/>
      </c>
      <c r="I1178">
        <f>IF(OR($G1178="",$G1178=0),"",SIN((1-$H1178)*$G1178)/SIN($G1178))</f>
        <v/>
      </c>
      <c r="J1178">
        <f>IF($I1178="","",SIN($H1178*$G1178)/SIN($G1178))</f>
        <v/>
      </c>
      <c r="K1178">
        <f>IF($I1178="","",$I1178*COS(RADIANS($C1178))*COS(RADIANS($D1178))+$J1178*COS(RADIANS($E1178))*COS(RADIANS($F1178)))</f>
        <v/>
      </c>
      <c r="L1178">
        <f>IF($I1178="","",$I1178*COS(RADIANS($C1178))*SIN(RADIANS($D1178))+$J1178*COS(RADIANS($E1178))*SIN(RADIANS($F1178)))</f>
        <v/>
      </c>
      <c r="M1178">
        <f>IF($I1178="","",$I1178*SIN(RADIANS($C1178))+$J1178*SIN(RADIANS($E1178)))</f>
        <v/>
      </c>
      <c r="N1178">
        <f>IF($M1178="","",DEGREES(ATAN2(SQRT($K1178^2+$L1178^2),$M1178)))</f>
        <v/>
      </c>
      <c r="O1178">
        <f>IF($M1178="","",DEGREES(ATAN2($K1178,$L1178)))</f>
        <v/>
      </c>
      <c r="P1178">
        <f t="array" ref="P1178">IF($N1178="","",IFERROR(IF(INDEX(geo_grid!$B$2:$JU$231,INT(($N1178+40)/0.5)+1,INT(($O1178+30)/0.5)+1)="","",INDEX(geo_grid!$B$2:$JU$231,INT(($N1178+40)/0.5)+1,INT(($O1178+30)/0.5)+1)),"OUTSIDE GRID"))</f>
        <v/>
      </c>
      <c r="Q1178">
        <f>IF($P1178="","",$A1178*1000+$B1178)</f>
        <v/>
      </c>
    </row>
    <row r="1179">
      <c r="A1179">
        <f>INT((ROW()-2)/151)+1</f>
        <v/>
      </c>
      <c r="B1179">
        <f>MOD(ROW()-2,151)</f>
        <v/>
      </c>
      <c r="C1179">
        <f t="array" ref="C1179">IFERROR(INDEX('TRIP MANAGER'!$O$18:$O$25,$A1179),"")</f>
        <v/>
      </c>
      <c r="D1179">
        <f t="array" ref="D1179">IFERROR(INDEX('TRIP MANAGER'!$P$18:$P$25,$A1179),"")</f>
        <v/>
      </c>
      <c r="E1179">
        <f t="array" ref="E1179">IFERROR(INDEX('TRIP MANAGER'!$Q$18:$Q$25,$A1179),"")</f>
        <v/>
      </c>
      <c r="F1179">
        <f t="array" ref="F1179">IFERROR(INDEX('TRIP MANAGER'!$R$18:$R$25,$A1179),"")</f>
        <v/>
      </c>
      <c r="G1179">
        <f t="array" ref="G1179">IFERROR(INDEX('TRIP MANAGER'!$S$18:$S$25,$A1179),"")</f>
        <v/>
      </c>
      <c r="H1179">
        <f>$B1179/150</f>
        <v/>
      </c>
      <c r="I1179">
        <f>IF(OR($G1179="",$G1179=0),"",SIN((1-$H1179)*$G1179)/SIN($G1179))</f>
        <v/>
      </c>
      <c r="J1179">
        <f>IF($I1179="","",SIN($H1179*$G1179)/SIN($G1179))</f>
        <v/>
      </c>
      <c r="K1179">
        <f>IF($I1179="","",$I1179*COS(RADIANS($C1179))*COS(RADIANS($D1179))+$J1179*COS(RADIANS($E1179))*COS(RADIANS($F1179)))</f>
        <v/>
      </c>
      <c r="L1179">
        <f>IF($I1179="","",$I1179*COS(RADIANS($C1179))*SIN(RADIANS($D1179))+$J1179*COS(RADIANS($E1179))*SIN(RADIANS($F1179)))</f>
        <v/>
      </c>
      <c r="M1179">
        <f>IF($I1179="","",$I1179*SIN(RADIANS($C1179))+$J1179*SIN(RADIANS($E1179)))</f>
        <v/>
      </c>
      <c r="N1179">
        <f>IF($M1179="","",DEGREES(ATAN2(SQRT($K1179^2+$L1179^2),$M1179)))</f>
        <v/>
      </c>
      <c r="O1179">
        <f>IF($M1179="","",DEGREES(ATAN2($K1179,$L1179)))</f>
        <v/>
      </c>
      <c r="P1179">
        <f t="array" ref="P1179">IF($N1179="","",IFERROR(IF(INDEX(geo_grid!$B$2:$JU$231,INT(($N1179+40)/0.5)+1,INT(($O1179+30)/0.5)+1)="","",INDEX(geo_grid!$B$2:$JU$231,INT(($N1179+40)/0.5)+1,INT(($O1179+30)/0.5)+1)),"OUTSIDE GRID"))</f>
        <v/>
      </c>
      <c r="Q1179">
        <f>IF($P1179="","",$A1179*1000+$B1179)</f>
        <v/>
      </c>
    </row>
    <row r="1180">
      <c r="A1180">
        <f>INT((ROW()-2)/151)+1</f>
        <v/>
      </c>
      <c r="B1180">
        <f>MOD(ROW()-2,151)</f>
        <v/>
      </c>
      <c r="C1180">
        <f t="array" ref="C1180">IFERROR(INDEX('TRIP MANAGER'!$O$18:$O$25,$A1180),"")</f>
        <v/>
      </c>
      <c r="D1180">
        <f t="array" ref="D1180">IFERROR(INDEX('TRIP MANAGER'!$P$18:$P$25,$A1180),"")</f>
        <v/>
      </c>
      <c r="E1180">
        <f t="array" ref="E1180">IFERROR(INDEX('TRIP MANAGER'!$Q$18:$Q$25,$A1180),"")</f>
        <v/>
      </c>
      <c r="F1180">
        <f t="array" ref="F1180">IFERROR(INDEX('TRIP MANAGER'!$R$18:$R$25,$A1180),"")</f>
        <v/>
      </c>
      <c r="G1180">
        <f t="array" ref="G1180">IFERROR(INDEX('TRIP MANAGER'!$S$18:$S$25,$A1180),"")</f>
        <v/>
      </c>
      <c r="H1180">
        <f>$B1180/150</f>
        <v/>
      </c>
      <c r="I1180">
        <f>IF(OR($G1180="",$G1180=0),"",SIN((1-$H1180)*$G1180)/SIN($G1180))</f>
        <v/>
      </c>
      <c r="J1180">
        <f>IF($I1180="","",SIN($H1180*$G1180)/SIN($G1180))</f>
        <v/>
      </c>
      <c r="K1180">
        <f>IF($I1180="","",$I1180*COS(RADIANS($C1180))*COS(RADIANS($D1180))+$J1180*COS(RADIANS($E1180))*COS(RADIANS($F1180)))</f>
        <v/>
      </c>
      <c r="L1180">
        <f>IF($I1180="","",$I1180*COS(RADIANS($C1180))*SIN(RADIANS($D1180))+$J1180*COS(RADIANS($E1180))*SIN(RADIANS($F1180)))</f>
        <v/>
      </c>
      <c r="M1180">
        <f>IF($I1180="","",$I1180*SIN(RADIANS($C1180))+$J1180*SIN(RADIANS($E1180)))</f>
        <v/>
      </c>
      <c r="N1180">
        <f>IF($M1180="","",DEGREES(ATAN2(SQRT($K1180^2+$L1180^2),$M1180)))</f>
        <v/>
      </c>
      <c r="O1180">
        <f>IF($M1180="","",DEGREES(ATAN2($K1180,$L1180)))</f>
        <v/>
      </c>
      <c r="P1180">
        <f t="array" ref="P1180">IF($N1180="","",IFERROR(IF(INDEX(geo_grid!$B$2:$JU$231,INT(($N1180+40)/0.5)+1,INT(($O1180+30)/0.5)+1)="","",INDEX(geo_grid!$B$2:$JU$231,INT(($N1180+40)/0.5)+1,INT(($O1180+30)/0.5)+1)),"OUTSIDE GRID"))</f>
        <v/>
      </c>
      <c r="Q1180">
        <f>IF($P1180="","",$A1180*1000+$B1180)</f>
        <v/>
      </c>
    </row>
    <row r="1181">
      <c r="A1181">
        <f>INT((ROW()-2)/151)+1</f>
        <v/>
      </c>
      <c r="B1181">
        <f>MOD(ROW()-2,151)</f>
        <v/>
      </c>
      <c r="C1181">
        <f t="array" ref="C1181">IFERROR(INDEX('TRIP MANAGER'!$O$18:$O$25,$A1181),"")</f>
        <v/>
      </c>
      <c r="D1181">
        <f t="array" ref="D1181">IFERROR(INDEX('TRIP MANAGER'!$P$18:$P$25,$A1181),"")</f>
        <v/>
      </c>
      <c r="E1181">
        <f t="array" ref="E1181">IFERROR(INDEX('TRIP MANAGER'!$Q$18:$Q$25,$A1181),"")</f>
        <v/>
      </c>
      <c r="F1181">
        <f t="array" ref="F1181">IFERROR(INDEX('TRIP MANAGER'!$R$18:$R$25,$A1181),"")</f>
        <v/>
      </c>
      <c r="G1181">
        <f t="array" ref="G1181">IFERROR(INDEX('TRIP MANAGER'!$S$18:$S$25,$A1181),"")</f>
        <v/>
      </c>
      <c r="H1181">
        <f>$B1181/150</f>
        <v/>
      </c>
      <c r="I1181">
        <f>IF(OR($G1181="",$G1181=0),"",SIN((1-$H1181)*$G1181)/SIN($G1181))</f>
        <v/>
      </c>
      <c r="J1181">
        <f>IF($I1181="","",SIN($H1181*$G1181)/SIN($G1181))</f>
        <v/>
      </c>
      <c r="K1181">
        <f>IF($I1181="","",$I1181*COS(RADIANS($C1181))*COS(RADIANS($D1181))+$J1181*COS(RADIANS($E1181))*COS(RADIANS($F1181)))</f>
        <v/>
      </c>
      <c r="L1181">
        <f>IF($I1181="","",$I1181*COS(RADIANS($C1181))*SIN(RADIANS($D1181))+$J1181*COS(RADIANS($E1181))*SIN(RADIANS($F1181)))</f>
        <v/>
      </c>
      <c r="M1181">
        <f>IF($I1181="","",$I1181*SIN(RADIANS($C1181))+$J1181*SIN(RADIANS($E1181)))</f>
        <v/>
      </c>
      <c r="N1181">
        <f>IF($M1181="","",DEGREES(ATAN2(SQRT($K1181^2+$L1181^2),$M1181)))</f>
        <v/>
      </c>
      <c r="O1181">
        <f>IF($M1181="","",DEGREES(ATAN2($K1181,$L1181)))</f>
        <v/>
      </c>
      <c r="P1181">
        <f t="array" ref="P1181">IF($N1181="","",IFERROR(IF(INDEX(geo_grid!$B$2:$JU$231,INT(($N1181+40)/0.5)+1,INT(($O1181+30)/0.5)+1)="","",INDEX(geo_grid!$B$2:$JU$231,INT(($N1181+40)/0.5)+1,INT(($O1181+30)/0.5)+1)),"OUTSIDE GRID"))</f>
        <v/>
      </c>
      <c r="Q1181">
        <f>IF($P1181="","",$A1181*1000+$B1181)</f>
        <v/>
      </c>
    </row>
    <row r="1182">
      <c r="A1182">
        <f>INT((ROW()-2)/151)+1</f>
        <v/>
      </c>
      <c r="B1182">
        <f>MOD(ROW()-2,151)</f>
        <v/>
      </c>
      <c r="C1182">
        <f t="array" ref="C1182">IFERROR(INDEX('TRIP MANAGER'!$O$18:$O$25,$A1182),"")</f>
        <v/>
      </c>
      <c r="D1182">
        <f t="array" ref="D1182">IFERROR(INDEX('TRIP MANAGER'!$P$18:$P$25,$A1182),"")</f>
        <v/>
      </c>
      <c r="E1182">
        <f t="array" ref="E1182">IFERROR(INDEX('TRIP MANAGER'!$Q$18:$Q$25,$A1182),"")</f>
        <v/>
      </c>
      <c r="F1182">
        <f t="array" ref="F1182">IFERROR(INDEX('TRIP MANAGER'!$R$18:$R$25,$A1182),"")</f>
        <v/>
      </c>
      <c r="G1182">
        <f t="array" ref="G1182">IFERROR(INDEX('TRIP MANAGER'!$S$18:$S$25,$A1182),"")</f>
        <v/>
      </c>
      <c r="H1182">
        <f>$B1182/150</f>
        <v/>
      </c>
      <c r="I1182">
        <f>IF(OR($G1182="",$G1182=0),"",SIN((1-$H1182)*$G1182)/SIN($G1182))</f>
        <v/>
      </c>
      <c r="J1182">
        <f>IF($I1182="","",SIN($H1182*$G1182)/SIN($G1182))</f>
        <v/>
      </c>
      <c r="K1182">
        <f>IF($I1182="","",$I1182*COS(RADIANS($C1182))*COS(RADIANS($D1182))+$J1182*COS(RADIANS($E1182))*COS(RADIANS($F1182)))</f>
        <v/>
      </c>
      <c r="L1182">
        <f>IF($I1182="","",$I1182*COS(RADIANS($C1182))*SIN(RADIANS($D1182))+$J1182*COS(RADIANS($E1182))*SIN(RADIANS($F1182)))</f>
        <v/>
      </c>
      <c r="M1182">
        <f>IF($I1182="","",$I1182*SIN(RADIANS($C1182))+$J1182*SIN(RADIANS($E1182)))</f>
        <v/>
      </c>
      <c r="N1182">
        <f>IF($M1182="","",DEGREES(ATAN2(SQRT($K1182^2+$L1182^2),$M1182)))</f>
        <v/>
      </c>
      <c r="O1182">
        <f>IF($M1182="","",DEGREES(ATAN2($K1182,$L1182)))</f>
        <v/>
      </c>
      <c r="P1182">
        <f t="array" ref="P1182">IF($N1182="","",IFERROR(IF(INDEX(geo_grid!$B$2:$JU$231,INT(($N1182+40)/0.5)+1,INT(($O1182+30)/0.5)+1)="","",INDEX(geo_grid!$B$2:$JU$231,INT(($N1182+40)/0.5)+1,INT(($O1182+30)/0.5)+1)),"OUTSIDE GRID"))</f>
        <v/>
      </c>
      <c r="Q1182">
        <f>IF($P1182="","",$A1182*1000+$B1182)</f>
        <v/>
      </c>
    </row>
    <row r="1183">
      <c r="A1183">
        <f>INT((ROW()-2)/151)+1</f>
        <v/>
      </c>
      <c r="B1183">
        <f>MOD(ROW()-2,151)</f>
        <v/>
      </c>
      <c r="C1183">
        <f t="array" ref="C1183">IFERROR(INDEX('TRIP MANAGER'!$O$18:$O$25,$A1183),"")</f>
        <v/>
      </c>
      <c r="D1183">
        <f t="array" ref="D1183">IFERROR(INDEX('TRIP MANAGER'!$P$18:$P$25,$A1183),"")</f>
        <v/>
      </c>
      <c r="E1183">
        <f t="array" ref="E1183">IFERROR(INDEX('TRIP MANAGER'!$Q$18:$Q$25,$A1183),"")</f>
        <v/>
      </c>
      <c r="F1183">
        <f t="array" ref="F1183">IFERROR(INDEX('TRIP MANAGER'!$R$18:$R$25,$A1183),"")</f>
        <v/>
      </c>
      <c r="G1183">
        <f t="array" ref="G1183">IFERROR(INDEX('TRIP MANAGER'!$S$18:$S$25,$A1183),"")</f>
        <v/>
      </c>
      <c r="H1183">
        <f>$B1183/150</f>
        <v/>
      </c>
      <c r="I1183">
        <f>IF(OR($G1183="",$G1183=0),"",SIN((1-$H1183)*$G1183)/SIN($G1183))</f>
        <v/>
      </c>
      <c r="J1183">
        <f>IF($I1183="","",SIN($H1183*$G1183)/SIN($G1183))</f>
        <v/>
      </c>
      <c r="K1183">
        <f>IF($I1183="","",$I1183*COS(RADIANS($C1183))*COS(RADIANS($D1183))+$J1183*COS(RADIANS($E1183))*COS(RADIANS($F1183)))</f>
        <v/>
      </c>
      <c r="L1183">
        <f>IF($I1183="","",$I1183*COS(RADIANS($C1183))*SIN(RADIANS($D1183))+$J1183*COS(RADIANS($E1183))*SIN(RADIANS($F1183)))</f>
        <v/>
      </c>
      <c r="M1183">
        <f>IF($I1183="","",$I1183*SIN(RADIANS($C1183))+$J1183*SIN(RADIANS($E1183)))</f>
        <v/>
      </c>
      <c r="N1183">
        <f>IF($M1183="","",DEGREES(ATAN2(SQRT($K1183^2+$L1183^2),$M1183)))</f>
        <v/>
      </c>
      <c r="O1183">
        <f>IF($M1183="","",DEGREES(ATAN2($K1183,$L1183)))</f>
        <v/>
      </c>
      <c r="P1183">
        <f t="array" ref="P1183">IF($N1183="","",IFERROR(IF(INDEX(geo_grid!$B$2:$JU$231,INT(($N1183+40)/0.5)+1,INT(($O1183+30)/0.5)+1)="","",INDEX(geo_grid!$B$2:$JU$231,INT(($N1183+40)/0.5)+1,INT(($O1183+30)/0.5)+1)),"OUTSIDE GRID"))</f>
        <v/>
      </c>
      <c r="Q1183">
        <f>IF($P1183="","",$A1183*1000+$B1183)</f>
        <v/>
      </c>
    </row>
    <row r="1184">
      <c r="A1184">
        <f>INT((ROW()-2)/151)+1</f>
        <v/>
      </c>
      <c r="B1184">
        <f>MOD(ROW()-2,151)</f>
        <v/>
      </c>
      <c r="C1184">
        <f t="array" ref="C1184">IFERROR(INDEX('TRIP MANAGER'!$O$18:$O$25,$A1184),"")</f>
        <v/>
      </c>
      <c r="D1184">
        <f t="array" ref="D1184">IFERROR(INDEX('TRIP MANAGER'!$P$18:$P$25,$A1184),"")</f>
        <v/>
      </c>
      <c r="E1184">
        <f t="array" ref="E1184">IFERROR(INDEX('TRIP MANAGER'!$Q$18:$Q$25,$A1184),"")</f>
        <v/>
      </c>
      <c r="F1184">
        <f t="array" ref="F1184">IFERROR(INDEX('TRIP MANAGER'!$R$18:$R$25,$A1184),"")</f>
        <v/>
      </c>
      <c r="G1184">
        <f t="array" ref="G1184">IFERROR(INDEX('TRIP MANAGER'!$S$18:$S$25,$A1184),"")</f>
        <v/>
      </c>
      <c r="H1184">
        <f>$B1184/150</f>
        <v/>
      </c>
      <c r="I1184">
        <f>IF(OR($G1184="",$G1184=0),"",SIN((1-$H1184)*$G1184)/SIN($G1184))</f>
        <v/>
      </c>
      <c r="J1184">
        <f>IF($I1184="","",SIN($H1184*$G1184)/SIN($G1184))</f>
        <v/>
      </c>
      <c r="K1184">
        <f>IF($I1184="","",$I1184*COS(RADIANS($C1184))*COS(RADIANS($D1184))+$J1184*COS(RADIANS($E1184))*COS(RADIANS($F1184)))</f>
        <v/>
      </c>
      <c r="L1184">
        <f>IF($I1184="","",$I1184*COS(RADIANS($C1184))*SIN(RADIANS($D1184))+$J1184*COS(RADIANS($E1184))*SIN(RADIANS($F1184)))</f>
        <v/>
      </c>
      <c r="M1184">
        <f>IF($I1184="","",$I1184*SIN(RADIANS($C1184))+$J1184*SIN(RADIANS($E1184)))</f>
        <v/>
      </c>
      <c r="N1184">
        <f>IF($M1184="","",DEGREES(ATAN2(SQRT($K1184^2+$L1184^2),$M1184)))</f>
        <v/>
      </c>
      <c r="O1184">
        <f>IF($M1184="","",DEGREES(ATAN2($K1184,$L1184)))</f>
        <v/>
      </c>
      <c r="P1184">
        <f t="array" ref="P1184">IF($N1184="","",IFERROR(IF(INDEX(geo_grid!$B$2:$JU$231,INT(($N1184+40)/0.5)+1,INT(($O1184+30)/0.5)+1)="","",INDEX(geo_grid!$B$2:$JU$231,INT(($N1184+40)/0.5)+1,INT(($O1184+30)/0.5)+1)),"OUTSIDE GRID"))</f>
        <v/>
      </c>
      <c r="Q1184">
        <f>IF($P1184="","",$A1184*1000+$B1184)</f>
        <v/>
      </c>
    </row>
    <row r="1185">
      <c r="A1185">
        <f>INT((ROW()-2)/151)+1</f>
        <v/>
      </c>
      <c r="B1185">
        <f>MOD(ROW()-2,151)</f>
        <v/>
      </c>
      <c r="C1185">
        <f t="array" ref="C1185">IFERROR(INDEX('TRIP MANAGER'!$O$18:$O$25,$A1185),"")</f>
        <v/>
      </c>
      <c r="D1185">
        <f t="array" ref="D1185">IFERROR(INDEX('TRIP MANAGER'!$P$18:$P$25,$A1185),"")</f>
        <v/>
      </c>
      <c r="E1185">
        <f t="array" ref="E1185">IFERROR(INDEX('TRIP MANAGER'!$Q$18:$Q$25,$A1185),"")</f>
        <v/>
      </c>
      <c r="F1185">
        <f t="array" ref="F1185">IFERROR(INDEX('TRIP MANAGER'!$R$18:$R$25,$A1185),"")</f>
        <v/>
      </c>
      <c r="G1185">
        <f t="array" ref="G1185">IFERROR(INDEX('TRIP MANAGER'!$S$18:$S$25,$A1185),"")</f>
        <v/>
      </c>
      <c r="H1185">
        <f>$B1185/150</f>
        <v/>
      </c>
      <c r="I1185">
        <f>IF(OR($G1185="",$G1185=0),"",SIN((1-$H1185)*$G1185)/SIN($G1185))</f>
        <v/>
      </c>
      <c r="J1185">
        <f>IF($I1185="","",SIN($H1185*$G1185)/SIN($G1185))</f>
        <v/>
      </c>
      <c r="K1185">
        <f>IF($I1185="","",$I1185*COS(RADIANS($C1185))*COS(RADIANS($D1185))+$J1185*COS(RADIANS($E1185))*COS(RADIANS($F1185)))</f>
        <v/>
      </c>
      <c r="L1185">
        <f>IF($I1185="","",$I1185*COS(RADIANS($C1185))*SIN(RADIANS($D1185))+$J1185*COS(RADIANS($E1185))*SIN(RADIANS($F1185)))</f>
        <v/>
      </c>
      <c r="M1185">
        <f>IF($I1185="","",$I1185*SIN(RADIANS($C1185))+$J1185*SIN(RADIANS($E1185)))</f>
        <v/>
      </c>
      <c r="N1185">
        <f>IF($M1185="","",DEGREES(ATAN2(SQRT($K1185^2+$L1185^2),$M1185)))</f>
        <v/>
      </c>
      <c r="O1185">
        <f>IF($M1185="","",DEGREES(ATAN2($K1185,$L1185)))</f>
        <v/>
      </c>
      <c r="P1185">
        <f t="array" ref="P1185">IF($N1185="","",IFERROR(IF(INDEX(geo_grid!$B$2:$JU$231,INT(($N1185+40)/0.5)+1,INT(($O1185+30)/0.5)+1)="","",INDEX(geo_grid!$B$2:$JU$231,INT(($N1185+40)/0.5)+1,INT(($O1185+30)/0.5)+1)),"OUTSIDE GRID"))</f>
        <v/>
      </c>
      <c r="Q1185">
        <f>IF($P1185="","",$A1185*1000+$B1185)</f>
        <v/>
      </c>
    </row>
    <row r="1186">
      <c r="A1186">
        <f>INT((ROW()-2)/151)+1</f>
        <v/>
      </c>
      <c r="B1186">
        <f>MOD(ROW()-2,151)</f>
        <v/>
      </c>
      <c r="C1186">
        <f t="array" ref="C1186">IFERROR(INDEX('TRIP MANAGER'!$O$18:$O$25,$A1186),"")</f>
        <v/>
      </c>
      <c r="D1186">
        <f t="array" ref="D1186">IFERROR(INDEX('TRIP MANAGER'!$P$18:$P$25,$A1186),"")</f>
        <v/>
      </c>
      <c r="E1186">
        <f t="array" ref="E1186">IFERROR(INDEX('TRIP MANAGER'!$Q$18:$Q$25,$A1186),"")</f>
        <v/>
      </c>
      <c r="F1186">
        <f t="array" ref="F1186">IFERROR(INDEX('TRIP MANAGER'!$R$18:$R$25,$A1186),"")</f>
        <v/>
      </c>
      <c r="G1186">
        <f t="array" ref="G1186">IFERROR(INDEX('TRIP MANAGER'!$S$18:$S$25,$A1186),"")</f>
        <v/>
      </c>
      <c r="H1186">
        <f>$B1186/150</f>
        <v/>
      </c>
      <c r="I1186">
        <f>IF(OR($G1186="",$G1186=0),"",SIN((1-$H1186)*$G1186)/SIN($G1186))</f>
        <v/>
      </c>
      <c r="J1186">
        <f>IF($I1186="","",SIN($H1186*$G1186)/SIN($G1186))</f>
        <v/>
      </c>
      <c r="K1186">
        <f>IF($I1186="","",$I1186*COS(RADIANS($C1186))*COS(RADIANS($D1186))+$J1186*COS(RADIANS($E1186))*COS(RADIANS($F1186)))</f>
        <v/>
      </c>
      <c r="L1186">
        <f>IF($I1186="","",$I1186*COS(RADIANS($C1186))*SIN(RADIANS($D1186))+$J1186*COS(RADIANS($E1186))*SIN(RADIANS($F1186)))</f>
        <v/>
      </c>
      <c r="M1186">
        <f>IF($I1186="","",$I1186*SIN(RADIANS($C1186))+$J1186*SIN(RADIANS($E1186)))</f>
        <v/>
      </c>
      <c r="N1186">
        <f>IF($M1186="","",DEGREES(ATAN2(SQRT($K1186^2+$L1186^2),$M1186)))</f>
        <v/>
      </c>
      <c r="O1186">
        <f>IF($M1186="","",DEGREES(ATAN2($K1186,$L1186)))</f>
        <v/>
      </c>
      <c r="P1186">
        <f t="array" ref="P1186">IF($N1186="","",IFERROR(IF(INDEX(geo_grid!$B$2:$JU$231,INT(($N1186+40)/0.5)+1,INT(($O1186+30)/0.5)+1)="","",INDEX(geo_grid!$B$2:$JU$231,INT(($N1186+40)/0.5)+1,INT(($O1186+30)/0.5)+1)),"OUTSIDE GRID"))</f>
        <v/>
      </c>
      <c r="Q1186">
        <f>IF($P1186="","",$A1186*1000+$B1186)</f>
        <v/>
      </c>
    </row>
    <row r="1187">
      <c r="A1187">
        <f>INT((ROW()-2)/151)+1</f>
        <v/>
      </c>
      <c r="B1187">
        <f>MOD(ROW()-2,151)</f>
        <v/>
      </c>
      <c r="C1187">
        <f t="array" ref="C1187">IFERROR(INDEX('TRIP MANAGER'!$O$18:$O$25,$A1187),"")</f>
        <v/>
      </c>
      <c r="D1187">
        <f t="array" ref="D1187">IFERROR(INDEX('TRIP MANAGER'!$P$18:$P$25,$A1187),"")</f>
        <v/>
      </c>
      <c r="E1187">
        <f t="array" ref="E1187">IFERROR(INDEX('TRIP MANAGER'!$Q$18:$Q$25,$A1187),"")</f>
        <v/>
      </c>
      <c r="F1187">
        <f t="array" ref="F1187">IFERROR(INDEX('TRIP MANAGER'!$R$18:$R$25,$A1187),"")</f>
        <v/>
      </c>
      <c r="G1187">
        <f t="array" ref="G1187">IFERROR(INDEX('TRIP MANAGER'!$S$18:$S$25,$A1187),"")</f>
        <v/>
      </c>
      <c r="H1187">
        <f>$B1187/150</f>
        <v/>
      </c>
      <c r="I1187">
        <f>IF(OR($G1187="",$G1187=0),"",SIN((1-$H1187)*$G1187)/SIN($G1187))</f>
        <v/>
      </c>
      <c r="J1187">
        <f>IF($I1187="","",SIN($H1187*$G1187)/SIN($G1187))</f>
        <v/>
      </c>
      <c r="K1187">
        <f>IF($I1187="","",$I1187*COS(RADIANS($C1187))*COS(RADIANS($D1187))+$J1187*COS(RADIANS($E1187))*COS(RADIANS($F1187)))</f>
        <v/>
      </c>
      <c r="L1187">
        <f>IF($I1187="","",$I1187*COS(RADIANS($C1187))*SIN(RADIANS($D1187))+$J1187*COS(RADIANS($E1187))*SIN(RADIANS($F1187)))</f>
        <v/>
      </c>
      <c r="M1187">
        <f>IF($I1187="","",$I1187*SIN(RADIANS($C1187))+$J1187*SIN(RADIANS($E1187)))</f>
        <v/>
      </c>
      <c r="N1187">
        <f>IF($M1187="","",DEGREES(ATAN2(SQRT($K1187^2+$L1187^2),$M1187)))</f>
        <v/>
      </c>
      <c r="O1187">
        <f>IF($M1187="","",DEGREES(ATAN2($K1187,$L1187)))</f>
        <v/>
      </c>
      <c r="P1187">
        <f t="array" ref="P1187">IF($N1187="","",IFERROR(IF(INDEX(geo_grid!$B$2:$JU$231,INT(($N1187+40)/0.5)+1,INT(($O1187+30)/0.5)+1)="","",INDEX(geo_grid!$B$2:$JU$231,INT(($N1187+40)/0.5)+1,INT(($O1187+30)/0.5)+1)),"OUTSIDE GRID"))</f>
        <v/>
      </c>
      <c r="Q1187">
        <f>IF($P1187="","",$A1187*1000+$B1187)</f>
        <v/>
      </c>
    </row>
    <row r="1188">
      <c r="A1188">
        <f>INT((ROW()-2)/151)+1</f>
        <v/>
      </c>
      <c r="B1188">
        <f>MOD(ROW()-2,151)</f>
        <v/>
      </c>
      <c r="C1188">
        <f t="array" ref="C1188">IFERROR(INDEX('TRIP MANAGER'!$O$18:$O$25,$A1188),"")</f>
        <v/>
      </c>
      <c r="D1188">
        <f t="array" ref="D1188">IFERROR(INDEX('TRIP MANAGER'!$P$18:$P$25,$A1188),"")</f>
        <v/>
      </c>
      <c r="E1188">
        <f t="array" ref="E1188">IFERROR(INDEX('TRIP MANAGER'!$Q$18:$Q$25,$A1188),"")</f>
        <v/>
      </c>
      <c r="F1188">
        <f t="array" ref="F1188">IFERROR(INDEX('TRIP MANAGER'!$R$18:$R$25,$A1188),"")</f>
        <v/>
      </c>
      <c r="G1188">
        <f t="array" ref="G1188">IFERROR(INDEX('TRIP MANAGER'!$S$18:$S$25,$A1188),"")</f>
        <v/>
      </c>
      <c r="H1188">
        <f>$B1188/150</f>
        <v/>
      </c>
      <c r="I1188">
        <f>IF(OR($G1188="",$G1188=0),"",SIN((1-$H1188)*$G1188)/SIN($G1188))</f>
        <v/>
      </c>
      <c r="J1188">
        <f>IF($I1188="","",SIN($H1188*$G1188)/SIN($G1188))</f>
        <v/>
      </c>
      <c r="K1188">
        <f>IF($I1188="","",$I1188*COS(RADIANS($C1188))*COS(RADIANS($D1188))+$J1188*COS(RADIANS($E1188))*COS(RADIANS($F1188)))</f>
        <v/>
      </c>
      <c r="L1188">
        <f>IF($I1188="","",$I1188*COS(RADIANS($C1188))*SIN(RADIANS($D1188))+$J1188*COS(RADIANS($E1188))*SIN(RADIANS($F1188)))</f>
        <v/>
      </c>
      <c r="M1188">
        <f>IF($I1188="","",$I1188*SIN(RADIANS($C1188))+$J1188*SIN(RADIANS($E1188)))</f>
        <v/>
      </c>
      <c r="N1188">
        <f>IF($M1188="","",DEGREES(ATAN2(SQRT($K1188^2+$L1188^2),$M1188)))</f>
        <v/>
      </c>
      <c r="O1188">
        <f>IF($M1188="","",DEGREES(ATAN2($K1188,$L1188)))</f>
        <v/>
      </c>
      <c r="P1188">
        <f t="array" ref="P1188">IF($N1188="","",IFERROR(IF(INDEX(geo_grid!$B$2:$JU$231,INT(($N1188+40)/0.5)+1,INT(($O1188+30)/0.5)+1)="","",INDEX(geo_grid!$B$2:$JU$231,INT(($N1188+40)/0.5)+1,INT(($O1188+30)/0.5)+1)),"OUTSIDE GRID"))</f>
        <v/>
      </c>
      <c r="Q1188">
        <f>IF($P1188="","",$A1188*1000+$B1188)</f>
        <v/>
      </c>
    </row>
    <row r="1189">
      <c r="A1189">
        <f>INT((ROW()-2)/151)+1</f>
        <v/>
      </c>
      <c r="B1189">
        <f>MOD(ROW()-2,151)</f>
        <v/>
      </c>
      <c r="C1189">
        <f t="array" ref="C1189">IFERROR(INDEX('TRIP MANAGER'!$O$18:$O$25,$A1189),"")</f>
        <v/>
      </c>
      <c r="D1189">
        <f t="array" ref="D1189">IFERROR(INDEX('TRIP MANAGER'!$P$18:$P$25,$A1189),"")</f>
        <v/>
      </c>
      <c r="E1189">
        <f t="array" ref="E1189">IFERROR(INDEX('TRIP MANAGER'!$Q$18:$Q$25,$A1189),"")</f>
        <v/>
      </c>
      <c r="F1189">
        <f t="array" ref="F1189">IFERROR(INDEX('TRIP MANAGER'!$R$18:$R$25,$A1189),"")</f>
        <v/>
      </c>
      <c r="G1189">
        <f t="array" ref="G1189">IFERROR(INDEX('TRIP MANAGER'!$S$18:$S$25,$A1189),"")</f>
        <v/>
      </c>
      <c r="H1189">
        <f>$B1189/150</f>
        <v/>
      </c>
      <c r="I1189">
        <f>IF(OR($G1189="",$G1189=0),"",SIN((1-$H1189)*$G1189)/SIN($G1189))</f>
        <v/>
      </c>
      <c r="J1189">
        <f>IF($I1189="","",SIN($H1189*$G1189)/SIN($G1189))</f>
        <v/>
      </c>
      <c r="K1189">
        <f>IF($I1189="","",$I1189*COS(RADIANS($C1189))*COS(RADIANS($D1189))+$J1189*COS(RADIANS($E1189))*COS(RADIANS($F1189)))</f>
        <v/>
      </c>
      <c r="L1189">
        <f>IF($I1189="","",$I1189*COS(RADIANS($C1189))*SIN(RADIANS($D1189))+$J1189*COS(RADIANS($E1189))*SIN(RADIANS($F1189)))</f>
        <v/>
      </c>
      <c r="M1189">
        <f>IF($I1189="","",$I1189*SIN(RADIANS($C1189))+$J1189*SIN(RADIANS($E1189)))</f>
        <v/>
      </c>
      <c r="N1189">
        <f>IF($M1189="","",DEGREES(ATAN2(SQRT($K1189^2+$L1189^2),$M1189)))</f>
        <v/>
      </c>
      <c r="O1189">
        <f>IF($M1189="","",DEGREES(ATAN2($K1189,$L1189)))</f>
        <v/>
      </c>
      <c r="P1189">
        <f t="array" ref="P1189">IF($N1189="","",IFERROR(IF(INDEX(geo_grid!$B$2:$JU$231,INT(($N1189+40)/0.5)+1,INT(($O1189+30)/0.5)+1)="","",INDEX(geo_grid!$B$2:$JU$231,INT(($N1189+40)/0.5)+1,INT(($O1189+30)/0.5)+1)),"OUTSIDE GRID"))</f>
        <v/>
      </c>
      <c r="Q1189">
        <f>IF($P1189="","",$A1189*1000+$B1189)</f>
        <v/>
      </c>
    </row>
    <row r="1190">
      <c r="A1190">
        <f>INT((ROW()-2)/151)+1</f>
        <v/>
      </c>
      <c r="B1190">
        <f>MOD(ROW()-2,151)</f>
        <v/>
      </c>
      <c r="C1190">
        <f t="array" ref="C1190">IFERROR(INDEX('TRIP MANAGER'!$O$18:$O$25,$A1190),"")</f>
        <v/>
      </c>
      <c r="D1190">
        <f t="array" ref="D1190">IFERROR(INDEX('TRIP MANAGER'!$P$18:$P$25,$A1190),"")</f>
        <v/>
      </c>
      <c r="E1190">
        <f t="array" ref="E1190">IFERROR(INDEX('TRIP MANAGER'!$Q$18:$Q$25,$A1190),"")</f>
        <v/>
      </c>
      <c r="F1190">
        <f t="array" ref="F1190">IFERROR(INDEX('TRIP MANAGER'!$R$18:$R$25,$A1190),"")</f>
        <v/>
      </c>
      <c r="G1190">
        <f t="array" ref="G1190">IFERROR(INDEX('TRIP MANAGER'!$S$18:$S$25,$A1190),"")</f>
        <v/>
      </c>
      <c r="H1190">
        <f>$B1190/150</f>
        <v/>
      </c>
      <c r="I1190">
        <f>IF(OR($G1190="",$G1190=0),"",SIN((1-$H1190)*$G1190)/SIN($G1190))</f>
        <v/>
      </c>
      <c r="J1190">
        <f>IF($I1190="","",SIN($H1190*$G1190)/SIN($G1190))</f>
        <v/>
      </c>
      <c r="K1190">
        <f>IF($I1190="","",$I1190*COS(RADIANS($C1190))*COS(RADIANS($D1190))+$J1190*COS(RADIANS($E1190))*COS(RADIANS($F1190)))</f>
        <v/>
      </c>
      <c r="L1190">
        <f>IF($I1190="","",$I1190*COS(RADIANS($C1190))*SIN(RADIANS($D1190))+$J1190*COS(RADIANS($E1190))*SIN(RADIANS($F1190)))</f>
        <v/>
      </c>
      <c r="M1190">
        <f>IF($I1190="","",$I1190*SIN(RADIANS($C1190))+$J1190*SIN(RADIANS($E1190)))</f>
        <v/>
      </c>
      <c r="N1190">
        <f>IF($M1190="","",DEGREES(ATAN2(SQRT($K1190^2+$L1190^2),$M1190)))</f>
        <v/>
      </c>
      <c r="O1190">
        <f>IF($M1190="","",DEGREES(ATAN2($K1190,$L1190)))</f>
        <v/>
      </c>
      <c r="P1190">
        <f t="array" ref="P1190">IF($N1190="","",IFERROR(IF(INDEX(geo_grid!$B$2:$JU$231,INT(($N1190+40)/0.5)+1,INT(($O1190+30)/0.5)+1)="","",INDEX(geo_grid!$B$2:$JU$231,INT(($N1190+40)/0.5)+1,INT(($O1190+30)/0.5)+1)),"OUTSIDE GRID"))</f>
        <v/>
      </c>
      <c r="Q1190">
        <f>IF($P1190="","",$A1190*1000+$B1190)</f>
        <v/>
      </c>
    </row>
    <row r="1191">
      <c r="A1191">
        <f>INT((ROW()-2)/151)+1</f>
        <v/>
      </c>
      <c r="B1191">
        <f>MOD(ROW()-2,151)</f>
        <v/>
      </c>
      <c r="C1191">
        <f t="array" ref="C1191">IFERROR(INDEX('TRIP MANAGER'!$O$18:$O$25,$A1191),"")</f>
        <v/>
      </c>
      <c r="D1191">
        <f t="array" ref="D1191">IFERROR(INDEX('TRIP MANAGER'!$P$18:$P$25,$A1191),"")</f>
        <v/>
      </c>
      <c r="E1191">
        <f t="array" ref="E1191">IFERROR(INDEX('TRIP MANAGER'!$Q$18:$Q$25,$A1191),"")</f>
        <v/>
      </c>
      <c r="F1191">
        <f t="array" ref="F1191">IFERROR(INDEX('TRIP MANAGER'!$R$18:$R$25,$A1191),"")</f>
        <v/>
      </c>
      <c r="G1191">
        <f t="array" ref="G1191">IFERROR(INDEX('TRIP MANAGER'!$S$18:$S$25,$A1191),"")</f>
        <v/>
      </c>
      <c r="H1191">
        <f>$B1191/150</f>
        <v/>
      </c>
      <c r="I1191">
        <f>IF(OR($G1191="",$G1191=0),"",SIN((1-$H1191)*$G1191)/SIN($G1191))</f>
        <v/>
      </c>
      <c r="J1191">
        <f>IF($I1191="","",SIN($H1191*$G1191)/SIN($G1191))</f>
        <v/>
      </c>
      <c r="K1191">
        <f>IF($I1191="","",$I1191*COS(RADIANS($C1191))*COS(RADIANS($D1191))+$J1191*COS(RADIANS($E1191))*COS(RADIANS($F1191)))</f>
        <v/>
      </c>
      <c r="L1191">
        <f>IF($I1191="","",$I1191*COS(RADIANS($C1191))*SIN(RADIANS($D1191))+$J1191*COS(RADIANS($E1191))*SIN(RADIANS($F1191)))</f>
        <v/>
      </c>
      <c r="M1191">
        <f>IF($I1191="","",$I1191*SIN(RADIANS($C1191))+$J1191*SIN(RADIANS($E1191)))</f>
        <v/>
      </c>
      <c r="N1191">
        <f>IF($M1191="","",DEGREES(ATAN2(SQRT($K1191^2+$L1191^2),$M1191)))</f>
        <v/>
      </c>
      <c r="O1191">
        <f>IF($M1191="","",DEGREES(ATAN2($K1191,$L1191)))</f>
        <v/>
      </c>
      <c r="P1191">
        <f t="array" ref="P1191">IF($N1191="","",IFERROR(IF(INDEX(geo_grid!$B$2:$JU$231,INT(($N1191+40)/0.5)+1,INT(($O1191+30)/0.5)+1)="","",INDEX(geo_grid!$B$2:$JU$231,INT(($N1191+40)/0.5)+1,INT(($O1191+30)/0.5)+1)),"OUTSIDE GRID"))</f>
        <v/>
      </c>
      <c r="Q1191">
        <f>IF($P1191="","",$A1191*1000+$B1191)</f>
        <v/>
      </c>
    </row>
    <row r="1192">
      <c r="A1192">
        <f>INT((ROW()-2)/151)+1</f>
        <v/>
      </c>
      <c r="B1192">
        <f>MOD(ROW()-2,151)</f>
        <v/>
      </c>
      <c r="C1192">
        <f t="array" ref="C1192">IFERROR(INDEX('TRIP MANAGER'!$O$18:$O$25,$A1192),"")</f>
        <v/>
      </c>
      <c r="D1192">
        <f t="array" ref="D1192">IFERROR(INDEX('TRIP MANAGER'!$P$18:$P$25,$A1192),"")</f>
        <v/>
      </c>
      <c r="E1192">
        <f t="array" ref="E1192">IFERROR(INDEX('TRIP MANAGER'!$Q$18:$Q$25,$A1192),"")</f>
        <v/>
      </c>
      <c r="F1192">
        <f t="array" ref="F1192">IFERROR(INDEX('TRIP MANAGER'!$R$18:$R$25,$A1192),"")</f>
        <v/>
      </c>
      <c r="G1192">
        <f t="array" ref="G1192">IFERROR(INDEX('TRIP MANAGER'!$S$18:$S$25,$A1192),"")</f>
        <v/>
      </c>
      <c r="H1192">
        <f>$B1192/150</f>
        <v/>
      </c>
      <c r="I1192">
        <f>IF(OR($G1192="",$G1192=0),"",SIN((1-$H1192)*$G1192)/SIN($G1192))</f>
        <v/>
      </c>
      <c r="J1192">
        <f>IF($I1192="","",SIN($H1192*$G1192)/SIN($G1192))</f>
        <v/>
      </c>
      <c r="K1192">
        <f>IF($I1192="","",$I1192*COS(RADIANS($C1192))*COS(RADIANS($D1192))+$J1192*COS(RADIANS($E1192))*COS(RADIANS($F1192)))</f>
        <v/>
      </c>
      <c r="L1192">
        <f>IF($I1192="","",$I1192*COS(RADIANS($C1192))*SIN(RADIANS($D1192))+$J1192*COS(RADIANS($E1192))*SIN(RADIANS($F1192)))</f>
        <v/>
      </c>
      <c r="M1192">
        <f>IF($I1192="","",$I1192*SIN(RADIANS($C1192))+$J1192*SIN(RADIANS($E1192)))</f>
        <v/>
      </c>
      <c r="N1192">
        <f>IF($M1192="","",DEGREES(ATAN2(SQRT($K1192^2+$L1192^2),$M1192)))</f>
        <v/>
      </c>
      <c r="O1192">
        <f>IF($M1192="","",DEGREES(ATAN2($K1192,$L1192)))</f>
        <v/>
      </c>
      <c r="P1192">
        <f t="array" ref="P1192">IF($N1192="","",IFERROR(IF(INDEX(geo_grid!$B$2:$JU$231,INT(($N1192+40)/0.5)+1,INT(($O1192+30)/0.5)+1)="","",INDEX(geo_grid!$B$2:$JU$231,INT(($N1192+40)/0.5)+1,INT(($O1192+30)/0.5)+1)),"OUTSIDE GRID"))</f>
        <v/>
      </c>
      <c r="Q1192">
        <f>IF($P1192="","",$A1192*1000+$B1192)</f>
        <v/>
      </c>
    </row>
    <row r="1193">
      <c r="A1193">
        <f>INT((ROW()-2)/151)+1</f>
        <v/>
      </c>
      <c r="B1193">
        <f>MOD(ROW()-2,151)</f>
        <v/>
      </c>
      <c r="C1193">
        <f t="array" ref="C1193">IFERROR(INDEX('TRIP MANAGER'!$O$18:$O$25,$A1193),"")</f>
        <v/>
      </c>
      <c r="D1193">
        <f t="array" ref="D1193">IFERROR(INDEX('TRIP MANAGER'!$P$18:$P$25,$A1193),"")</f>
        <v/>
      </c>
      <c r="E1193">
        <f t="array" ref="E1193">IFERROR(INDEX('TRIP MANAGER'!$Q$18:$Q$25,$A1193),"")</f>
        <v/>
      </c>
      <c r="F1193">
        <f t="array" ref="F1193">IFERROR(INDEX('TRIP MANAGER'!$R$18:$R$25,$A1193),"")</f>
        <v/>
      </c>
      <c r="G1193">
        <f t="array" ref="G1193">IFERROR(INDEX('TRIP MANAGER'!$S$18:$S$25,$A1193),"")</f>
        <v/>
      </c>
      <c r="H1193">
        <f>$B1193/150</f>
        <v/>
      </c>
      <c r="I1193">
        <f>IF(OR($G1193="",$G1193=0),"",SIN((1-$H1193)*$G1193)/SIN($G1193))</f>
        <v/>
      </c>
      <c r="J1193">
        <f>IF($I1193="","",SIN($H1193*$G1193)/SIN($G1193))</f>
        <v/>
      </c>
      <c r="K1193">
        <f>IF($I1193="","",$I1193*COS(RADIANS($C1193))*COS(RADIANS($D1193))+$J1193*COS(RADIANS($E1193))*COS(RADIANS($F1193)))</f>
        <v/>
      </c>
      <c r="L1193">
        <f>IF($I1193="","",$I1193*COS(RADIANS($C1193))*SIN(RADIANS($D1193))+$J1193*COS(RADIANS($E1193))*SIN(RADIANS($F1193)))</f>
        <v/>
      </c>
      <c r="M1193">
        <f>IF($I1193="","",$I1193*SIN(RADIANS($C1193))+$J1193*SIN(RADIANS($E1193)))</f>
        <v/>
      </c>
      <c r="N1193">
        <f>IF($M1193="","",DEGREES(ATAN2(SQRT($K1193^2+$L1193^2),$M1193)))</f>
        <v/>
      </c>
      <c r="O1193">
        <f>IF($M1193="","",DEGREES(ATAN2($K1193,$L1193)))</f>
        <v/>
      </c>
      <c r="P1193">
        <f t="array" ref="P1193">IF($N1193="","",IFERROR(IF(INDEX(geo_grid!$B$2:$JU$231,INT(($N1193+40)/0.5)+1,INT(($O1193+30)/0.5)+1)="","",INDEX(geo_grid!$B$2:$JU$231,INT(($N1193+40)/0.5)+1,INT(($O1193+30)/0.5)+1)),"OUTSIDE GRID"))</f>
        <v/>
      </c>
      <c r="Q1193">
        <f>IF($P1193="","",$A1193*1000+$B1193)</f>
        <v/>
      </c>
    </row>
    <row r="1194">
      <c r="A1194">
        <f>INT((ROW()-2)/151)+1</f>
        <v/>
      </c>
      <c r="B1194">
        <f>MOD(ROW()-2,151)</f>
        <v/>
      </c>
      <c r="C1194">
        <f t="array" ref="C1194">IFERROR(INDEX('TRIP MANAGER'!$O$18:$O$25,$A1194),"")</f>
        <v/>
      </c>
      <c r="D1194">
        <f t="array" ref="D1194">IFERROR(INDEX('TRIP MANAGER'!$P$18:$P$25,$A1194),"")</f>
        <v/>
      </c>
      <c r="E1194">
        <f t="array" ref="E1194">IFERROR(INDEX('TRIP MANAGER'!$Q$18:$Q$25,$A1194),"")</f>
        <v/>
      </c>
      <c r="F1194">
        <f t="array" ref="F1194">IFERROR(INDEX('TRIP MANAGER'!$R$18:$R$25,$A1194),"")</f>
        <v/>
      </c>
      <c r="G1194">
        <f t="array" ref="G1194">IFERROR(INDEX('TRIP MANAGER'!$S$18:$S$25,$A1194),"")</f>
        <v/>
      </c>
      <c r="H1194">
        <f>$B1194/150</f>
        <v/>
      </c>
      <c r="I1194">
        <f>IF(OR($G1194="",$G1194=0),"",SIN((1-$H1194)*$G1194)/SIN($G1194))</f>
        <v/>
      </c>
      <c r="J1194">
        <f>IF($I1194="","",SIN($H1194*$G1194)/SIN($G1194))</f>
        <v/>
      </c>
      <c r="K1194">
        <f>IF($I1194="","",$I1194*COS(RADIANS($C1194))*COS(RADIANS($D1194))+$J1194*COS(RADIANS($E1194))*COS(RADIANS($F1194)))</f>
        <v/>
      </c>
      <c r="L1194">
        <f>IF($I1194="","",$I1194*COS(RADIANS($C1194))*SIN(RADIANS($D1194))+$J1194*COS(RADIANS($E1194))*SIN(RADIANS($F1194)))</f>
        <v/>
      </c>
      <c r="M1194">
        <f>IF($I1194="","",$I1194*SIN(RADIANS($C1194))+$J1194*SIN(RADIANS($E1194)))</f>
        <v/>
      </c>
      <c r="N1194">
        <f>IF($M1194="","",DEGREES(ATAN2(SQRT($K1194^2+$L1194^2),$M1194)))</f>
        <v/>
      </c>
      <c r="O1194">
        <f>IF($M1194="","",DEGREES(ATAN2($K1194,$L1194)))</f>
        <v/>
      </c>
      <c r="P1194">
        <f t="array" ref="P1194">IF($N1194="","",IFERROR(IF(INDEX(geo_grid!$B$2:$JU$231,INT(($N1194+40)/0.5)+1,INT(($O1194+30)/0.5)+1)="","",INDEX(geo_grid!$B$2:$JU$231,INT(($N1194+40)/0.5)+1,INT(($O1194+30)/0.5)+1)),"OUTSIDE GRID"))</f>
        <v/>
      </c>
      <c r="Q1194">
        <f>IF($P1194="","",$A1194*1000+$B1194)</f>
        <v/>
      </c>
    </row>
    <row r="1195">
      <c r="A1195">
        <f>INT((ROW()-2)/151)+1</f>
        <v/>
      </c>
      <c r="B1195">
        <f>MOD(ROW()-2,151)</f>
        <v/>
      </c>
      <c r="C1195">
        <f t="array" ref="C1195">IFERROR(INDEX('TRIP MANAGER'!$O$18:$O$25,$A1195),"")</f>
        <v/>
      </c>
      <c r="D1195">
        <f t="array" ref="D1195">IFERROR(INDEX('TRIP MANAGER'!$P$18:$P$25,$A1195),"")</f>
        <v/>
      </c>
      <c r="E1195">
        <f t="array" ref="E1195">IFERROR(INDEX('TRIP MANAGER'!$Q$18:$Q$25,$A1195),"")</f>
        <v/>
      </c>
      <c r="F1195">
        <f t="array" ref="F1195">IFERROR(INDEX('TRIP MANAGER'!$R$18:$R$25,$A1195),"")</f>
        <v/>
      </c>
      <c r="G1195">
        <f t="array" ref="G1195">IFERROR(INDEX('TRIP MANAGER'!$S$18:$S$25,$A1195),"")</f>
        <v/>
      </c>
      <c r="H1195">
        <f>$B1195/150</f>
        <v/>
      </c>
      <c r="I1195">
        <f>IF(OR($G1195="",$G1195=0),"",SIN((1-$H1195)*$G1195)/SIN($G1195))</f>
        <v/>
      </c>
      <c r="J1195">
        <f>IF($I1195="","",SIN($H1195*$G1195)/SIN($G1195))</f>
        <v/>
      </c>
      <c r="K1195">
        <f>IF($I1195="","",$I1195*COS(RADIANS($C1195))*COS(RADIANS($D1195))+$J1195*COS(RADIANS($E1195))*COS(RADIANS($F1195)))</f>
        <v/>
      </c>
      <c r="L1195">
        <f>IF($I1195="","",$I1195*COS(RADIANS($C1195))*SIN(RADIANS($D1195))+$J1195*COS(RADIANS($E1195))*SIN(RADIANS($F1195)))</f>
        <v/>
      </c>
      <c r="M1195">
        <f>IF($I1195="","",$I1195*SIN(RADIANS($C1195))+$J1195*SIN(RADIANS($E1195)))</f>
        <v/>
      </c>
      <c r="N1195">
        <f>IF($M1195="","",DEGREES(ATAN2(SQRT($K1195^2+$L1195^2),$M1195)))</f>
        <v/>
      </c>
      <c r="O1195">
        <f>IF($M1195="","",DEGREES(ATAN2($K1195,$L1195)))</f>
        <v/>
      </c>
      <c r="P1195">
        <f t="array" ref="P1195">IF($N1195="","",IFERROR(IF(INDEX(geo_grid!$B$2:$JU$231,INT(($N1195+40)/0.5)+1,INT(($O1195+30)/0.5)+1)="","",INDEX(geo_grid!$B$2:$JU$231,INT(($N1195+40)/0.5)+1,INT(($O1195+30)/0.5)+1)),"OUTSIDE GRID"))</f>
        <v/>
      </c>
      <c r="Q1195">
        <f>IF($P1195="","",$A1195*1000+$B1195)</f>
        <v/>
      </c>
    </row>
    <row r="1196">
      <c r="A1196">
        <f>INT((ROW()-2)/151)+1</f>
        <v/>
      </c>
      <c r="B1196">
        <f>MOD(ROW()-2,151)</f>
        <v/>
      </c>
      <c r="C1196">
        <f t="array" ref="C1196">IFERROR(INDEX('TRIP MANAGER'!$O$18:$O$25,$A1196),"")</f>
        <v/>
      </c>
      <c r="D1196">
        <f t="array" ref="D1196">IFERROR(INDEX('TRIP MANAGER'!$P$18:$P$25,$A1196),"")</f>
        <v/>
      </c>
      <c r="E1196">
        <f t="array" ref="E1196">IFERROR(INDEX('TRIP MANAGER'!$Q$18:$Q$25,$A1196),"")</f>
        <v/>
      </c>
      <c r="F1196">
        <f t="array" ref="F1196">IFERROR(INDEX('TRIP MANAGER'!$R$18:$R$25,$A1196),"")</f>
        <v/>
      </c>
      <c r="G1196">
        <f t="array" ref="G1196">IFERROR(INDEX('TRIP MANAGER'!$S$18:$S$25,$A1196),"")</f>
        <v/>
      </c>
      <c r="H1196">
        <f>$B1196/150</f>
        <v/>
      </c>
      <c r="I1196">
        <f>IF(OR($G1196="",$G1196=0),"",SIN((1-$H1196)*$G1196)/SIN($G1196))</f>
        <v/>
      </c>
      <c r="J1196">
        <f>IF($I1196="","",SIN($H1196*$G1196)/SIN($G1196))</f>
        <v/>
      </c>
      <c r="K1196">
        <f>IF($I1196="","",$I1196*COS(RADIANS($C1196))*COS(RADIANS($D1196))+$J1196*COS(RADIANS($E1196))*COS(RADIANS($F1196)))</f>
        <v/>
      </c>
      <c r="L1196">
        <f>IF($I1196="","",$I1196*COS(RADIANS($C1196))*SIN(RADIANS($D1196))+$J1196*COS(RADIANS($E1196))*SIN(RADIANS($F1196)))</f>
        <v/>
      </c>
      <c r="M1196">
        <f>IF($I1196="","",$I1196*SIN(RADIANS($C1196))+$J1196*SIN(RADIANS($E1196)))</f>
        <v/>
      </c>
      <c r="N1196">
        <f>IF($M1196="","",DEGREES(ATAN2(SQRT($K1196^2+$L1196^2),$M1196)))</f>
        <v/>
      </c>
      <c r="O1196">
        <f>IF($M1196="","",DEGREES(ATAN2($K1196,$L1196)))</f>
        <v/>
      </c>
      <c r="P1196">
        <f t="array" ref="P1196">IF($N1196="","",IFERROR(IF(INDEX(geo_grid!$B$2:$JU$231,INT(($N1196+40)/0.5)+1,INT(($O1196+30)/0.5)+1)="","",INDEX(geo_grid!$B$2:$JU$231,INT(($N1196+40)/0.5)+1,INT(($O1196+30)/0.5)+1)),"OUTSIDE GRID"))</f>
        <v/>
      </c>
      <c r="Q1196">
        <f>IF($P1196="","",$A1196*1000+$B1196)</f>
        <v/>
      </c>
    </row>
    <row r="1197">
      <c r="A1197">
        <f>INT((ROW()-2)/151)+1</f>
        <v/>
      </c>
      <c r="B1197">
        <f>MOD(ROW()-2,151)</f>
        <v/>
      </c>
      <c r="C1197">
        <f t="array" ref="C1197">IFERROR(INDEX('TRIP MANAGER'!$O$18:$O$25,$A1197),"")</f>
        <v/>
      </c>
      <c r="D1197">
        <f t="array" ref="D1197">IFERROR(INDEX('TRIP MANAGER'!$P$18:$P$25,$A1197),"")</f>
        <v/>
      </c>
      <c r="E1197">
        <f t="array" ref="E1197">IFERROR(INDEX('TRIP MANAGER'!$Q$18:$Q$25,$A1197),"")</f>
        <v/>
      </c>
      <c r="F1197">
        <f t="array" ref="F1197">IFERROR(INDEX('TRIP MANAGER'!$R$18:$R$25,$A1197),"")</f>
        <v/>
      </c>
      <c r="G1197">
        <f t="array" ref="G1197">IFERROR(INDEX('TRIP MANAGER'!$S$18:$S$25,$A1197),"")</f>
        <v/>
      </c>
      <c r="H1197">
        <f>$B1197/150</f>
        <v/>
      </c>
      <c r="I1197">
        <f>IF(OR($G1197="",$G1197=0),"",SIN((1-$H1197)*$G1197)/SIN($G1197))</f>
        <v/>
      </c>
      <c r="J1197">
        <f>IF($I1197="","",SIN($H1197*$G1197)/SIN($G1197))</f>
        <v/>
      </c>
      <c r="K1197">
        <f>IF($I1197="","",$I1197*COS(RADIANS($C1197))*COS(RADIANS($D1197))+$J1197*COS(RADIANS($E1197))*COS(RADIANS($F1197)))</f>
        <v/>
      </c>
      <c r="L1197">
        <f>IF($I1197="","",$I1197*COS(RADIANS($C1197))*SIN(RADIANS($D1197))+$J1197*COS(RADIANS($E1197))*SIN(RADIANS($F1197)))</f>
        <v/>
      </c>
      <c r="M1197">
        <f>IF($I1197="","",$I1197*SIN(RADIANS($C1197))+$J1197*SIN(RADIANS($E1197)))</f>
        <v/>
      </c>
      <c r="N1197">
        <f>IF($M1197="","",DEGREES(ATAN2(SQRT($K1197^2+$L1197^2),$M1197)))</f>
        <v/>
      </c>
      <c r="O1197">
        <f>IF($M1197="","",DEGREES(ATAN2($K1197,$L1197)))</f>
        <v/>
      </c>
      <c r="P1197">
        <f t="array" ref="P1197">IF($N1197="","",IFERROR(IF(INDEX(geo_grid!$B$2:$JU$231,INT(($N1197+40)/0.5)+1,INT(($O1197+30)/0.5)+1)="","",INDEX(geo_grid!$B$2:$JU$231,INT(($N1197+40)/0.5)+1,INT(($O1197+30)/0.5)+1)),"OUTSIDE GRID"))</f>
        <v/>
      </c>
      <c r="Q1197">
        <f>IF($P1197="","",$A1197*1000+$B1197)</f>
        <v/>
      </c>
    </row>
    <row r="1198">
      <c r="A1198">
        <f>INT((ROW()-2)/151)+1</f>
        <v/>
      </c>
      <c r="B1198">
        <f>MOD(ROW()-2,151)</f>
        <v/>
      </c>
      <c r="C1198">
        <f t="array" ref="C1198">IFERROR(INDEX('TRIP MANAGER'!$O$18:$O$25,$A1198),"")</f>
        <v/>
      </c>
      <c r="D1198">
        <f t="array" ref="D1198">IFERROR(INDEX('TRIP MANAGER'!$P$18:$P$25,$A1198),"")</f>
        <v/>
      </c>
      <c r="E1198">
        <f t="array" ref="E1198">IFERROR(INDEX('TRIP MANAGER'!$Q$18:$Q$25,$A1198),"")</f>
        <v/>
      </c>
      <c r="F1198">
        <f t="array" ref="F1198">IFERROR(INDEX('TRIP MANAGER'!$R$18:$R$25,$A1198),"")</f>
        <v/>
      </c>
      <c r="G1198">
        <f t="array" ref="G1198">IFERROR(INDEX('TRIP MANAGER'!$S$18:$S$25,$A1198),"")</f>
        <v/>
      </c>
      <c r="H1198">
        <f>$B1198/150</f>
        <v/>
      </c>
      <c r="I1198">
        <f>IF(OR($G1198="",$G1198=0),"",SIN((1-$H1198)*$G1198)/SIN($G1198))</f>
        <v/>
      </c>
      <c r="J1198">
        <f>IF($I1198="","",SIN($H1198*$G1198)/SIN($G1198))</f>
        <v/>
      </c>
      <c r="K1198">
        <f>IF($I1198="","",$I1198*COS(RADIANS($C1198))*COS(RADIANS($D1198))+$J1198*COS(RADIANS($E1198))*COS(RADIANS($F1198)))</f>
        <v/>
      </c>
      <c r="L1198">
        <f>IF($I1198="","",$I1198*COS(RADIANS($C1198))*SIN(RADIANS($D1198))+$J1198*COS(RADIANS($E1198))*SIN(RADIANS($F1198)))</f>
        <v/>
      </c>
      <c r="M1198">
        <f>IF($I1198="","",$I1198*SIN(RADIANS($C1198))+$J1198*SIN(RADIANS($E1198)))</f>
        <v/>
      </c>
      <c r="N1198">
        <f>IF($M1198="","",DEGREES(ATAN2(SQRT($K1198^2+$L1198^2),$M1198)))</f>
        <v/>
      </c>
      <c r="O1198">
        <f>IF($M1198="","",DEGREES(ATAN2($K1198,$L1198)))</f>
        <v/>
      </c>
      <c r="P1198">
        <f t="array" ref="P1198">IF($N1198="","",IFERROR(IF(INDEX(geo_grid!$B$2:$JU$231,INT(($N1198+40)/0.5)+1,INT(($O1198+30)/0.5)+1)="","",INDEX(geo_grid!$B$2:$JU$231,INT(($N1198+40)/0.5)+1,INT(($O1198+30)/0.5)+1)),"OUTSIDE GRID"))</f>
        <v/>
      </c>
      <c r="Q1198">
        <f>IF($P1198="","",$A1198*1000+$B1198)</f>
        <v/>
      </c>
    </row>
    <row r="1199">
      <c r="A1199">
        <f>INT((ROW()-2)/151)+1</f>
        <v/>
      </c>
      <c r="B1199">
        <f>MOD(ROW()-2,151)</f>
        <v/>
      </c>
      <c r="C1199">
        <f t="array" ref="C1199">IFERROR(INDEX('TRIP MANAGER'!$O$18:$O$25,$A1199),"")</f>
        <v/>
      </c>
      <c r="D1199">
        <f t="array" ref="D1199">IFERROR(INDEX('TRIP MANAGER'!$P$18:$P$25,$A1199),"")</f>
        <v/>
      </c>
      <c r="E1199">
        <f t="array" ref="E1199">IFERROR(INDEX('TRIP MANAGER'!$Q$18:$Q$25,$A1199),"")</f>
        <v/>
      </c>
      <c r="F1199">
        <f t="array" ref="F1199">IFERROR(INDEX('TRIP MANAGER'!$R$18:$R$25,$A1199),"")</f>
        <v/>
      </c>
      <c r="G1199">
        <f t="array" ref="G1199">IFERROR(INDEX('TRIP MANAGER'!$S$18:$S$25,$A1199),"")</f>
        <v/>
      </c>
      <c r="H1199">
        <f>$B1199/150</f>
        <v/>
      </c>
      <c r="I1199">
        <f>IF(OR($G1199="",$G1199=0),"",SIN((1-$H1199)*$G1199)/SIN($G1199))</f>
        <v/>
      </c>
      <c r="J1199">
        <f>IF($I1199="","",SIN($H1199*$G1199)/SIN($G1199))</f>
        <v/>
      </c>
      <c r="K1199">
        <f>IF($I1199="","",$I1199*COS(RADIANS($C1199))*COS(RADIANS($D1199))+$J1199*COS(RADIANS($E1199))*COS(RADIANS($F1199)))</f>
        <v/>
      </c>
      <c r="L1199">
        <f>IF($I1199="","",$I1199*COS(RADIANS($C1199))*SIN(RADIANS($D1199))+$J1199*COS(RADIANS($E1199))*SIN(RADIANS($F1199)))</f>
        <v/>
      </c>
      <c r="M1199">
        <f>IF($I1199="","",$I1199*SIN(RADIANS($C1199))+$J1199*SIN(RADIANS($E1199)))</f>
        <v/>
      </c>
      <c r="N1199">
        <f>IF($M1199="","",DEGREES(ATAN2(SQRT($K1199^2+$L1199^2),$M1199)))</f>
        <v/>
      </c>
      <c r="O1199">
        <f>IF($M1199="","",DEGREES(ATAN2($K1199,$L1199)))</f>
        <v/>
      </c>
      <c r="P1199">
        <f t="array" ref="P1199">IF($N1199="","",IFERROR(IF(INDEX(geo_grid!$B$2:$JU$231,INT(($N1199+40)/0.5)+1,INT(($O1199+30)/0.5)+1)="","",INDEX(geo_grid!$B$2:$JU$231,INT(($N1199+40)/0.5)+1,INT(($O1199+30)/0.5)+1)),"OUTSIDE GRID"))</f>
        <v/>
      </c>
      <c r="Q1199">
        <f>IF($P1199="","",$A1199*1000+$B1199)</f>
        <v/>
      </c>
    </row>
    <row r="1200">
      <c r="A1200">
        <f>INT((ROW()-2)/151)+1</f>
        <v/>
      </c>
      <c r="B1200">
        <f>MOD(ROW()-2,151)</f>
        <v/>
      </c>
      <c r="C1200">
        <f t="array" ref="C1200">IFERROR(INDEX('TRIP MANAGER'!$O$18:$O$25,$A1200),"")</f>
        <v/>
      </c>
      <c r="D1200">
        <f t="array" ref="D1200">IFERROR(INDEX('TRIP MANAGER'!$P$18:$P$25,$A1200),"")</f>
        <v/>
      </c>
      <c r="E1200">
        <f t="array" ref="E1200">IFERROR(INDEX('TRIP MANAGER'!$Q$18:$Q$25,$A1200),"")</f>
        <v/>
      </c>
      <c r="F1200">
        <f t="array" ref="F1200">IFERROR(INDEX('TRIP MANAGER'!$R$18:$R$25,$A1200),"")</f>
        <v/>
      </c>
      <c r="G1200">
        <f t="array" ref="G1200">IFERROR(INDEX('TRIP MANAGER'!$S$18:$S$25,$A1200),"")</f>
        <v/>
      </c>
      <c r="H1200">
        <f>$B1200/150</f>
        <v/>
      </c>
      <c r="I1200">
        <f>IF(OR($G1200="",$G1200=0),"",SIN((1-$H1200)*$G1200)/SIN($G1200))</f>
        <v/>
      </c>
      <c r="J1200">
        <f>IF($I1200="","",SIN($H1200*$G1200)/SIN($G1200))</f>
        <v/>
      </c>
      <c r="K1200">
        <f>IF($I1200="","",$I1200*COS(RADIANS($C1200))*COS(RADIANS($D1200))+$J1200*COS(RADIANS($E1200))*COS(RADIANS($F1200)))</f>
        <v/>
      </c>
      <c r="L1200">
        <f>IF($I1200="","",$I1200*COS(RADIANS($C1200))*SIN(RADIANS($D1200))+$J1200*COS(RADIANS($E1200))*SIN(RADIANS($F1200)))</f>
        <v/>
      </c>
      <c r="M1200">
        <f>IF($I1200="","",$I1200*SIN(RADIANS($C1200))+$J1200*SIN(RADIANS($E1200)))</f>
        <v/>
      </c>
      <c r="N1200">
        <f>IF($M1200="","",DEGREES(ATAN2(SQRT($K1200^2+$L1200^2),$M1200)))</f>
        <v/>
      </c>
      <c r="O1200">
        <f>IF($M1200="","",DEGREES(ATAN2($K1200,$L1200)))</f>
        <v/>
      </c>
      <c r="P1200">
        <f t="array" ref="P1200">IF($N1200="","",IFERROR(IF(INDEX(geo_grid!$B$2:$JU$231,INT(($N1200+40)/0.5)+1,INT(($O1200+30)/0.5)+1)="","",INDEX(geo_grid!$B$2:$JU$231,INT(($N1200+40)/0.5)+1,INT(($O1200+30)/0.5)+1)),"OUTSIDE GRID"))</f>
        <v/>
      </c>
      <c r="Q1200">
        <f>IF($P1200="","",$A1200*1000+$B1200)</f>
        <v/>
      </c>
    </row>
    <row r="1201">
      <c r="A1201">
        <f>INT((ROW()-2)/151)+1</f>
        <v/>
      </c>
      <c r="B1201">
        <f>MOD(ROW()-2,151)</f>
        <v/>
      </c>
      <c r="C1201">
        <f t="array" ref="C1201">IFERROR(INDEX('TRIP MANAGER'!$O$18:$O$25,$A1201),"")</f>
        <v/>
      </c>
      <c r="D1201">
        <f t="array" ref="D1201">IFERROR(INDEX('TRIP MANAGER'!$P$18:$P$25,$A1201),"")</f>
        <v/>
      </c>
      <c r="E1201">
        <f t="array" ref="E1201">IFERROR(INDEX('TRIP MANAGER'!$Q$18:$Q$25,$A1201),"")</f>
        <v/>
      </c>
      <c r="F1201">
        <f t="array" ref="F1201">IFERROR(INDEX('TRIP MANAGER'!$R$18:$R$25,$A1201),"")</f>
        <v/>
      </c>
      <c r="G1201">
        <f t="array" ref="G1201">IFERROR(INDEX('TRIP MANAGER'!$S$18:$S$25,$A1201),"")</f>
        <v/>
      </c>
      <c r="H1201">
        <f>$B1201/150</f>
        <v/>
      </c>
      <c r="I1201">
        <f>IF(OR($G1201="",$G1201=0),"",SIN((1-$H1201)*$G1201)/SIN($G1201))</f>
        <v/>
      </c>
      <c r="J1201">
        <f>IF($I1201="","",SIN($H1201*$G1201)/SIN($G1201))</f>
        <v/>
      </c>
      <c r="K1201">
        <f>IF($I1201="","",$I1201*COS(RADIANS($C1201))*COS(RADIANS($D1201))+$J1201*COS(RADIANS($E1201))*COS(RADIANS($F1201)))</f>
        <v/>
      </c>
      <c r="L1201">
        <f>IF($I1201="","",$I1201*COS(RADIANS($C1201))*SIN(RADIANS($D1201))+$J1201*COS(RADIANS($E1201))*SIN(RADIANS($F1201)))</f>
        <v/>
      </c>
      <c r="M1201">
        <f>IF($I1201="","",$I1201*SIN(RADIANS($C1201))+$J1201*SIN(RADIANS($E1201)))</f>
        <v/>
      </c>
      <c r="N1201">
        <f>IF($M1201="","",DEGREES(ATAN2(SQRT($K1201^2+$L1201^2),$M1201)))</f>
        <v/>
      </c>
      <c r="O1201">
        <f>IF($M1201="","",DEGREES(ATAN2($K1201,$L1201)))</f>
        <v/>
      </c>
      <c r="P1201">
        <f t="array" ref="P1201">IF($N1201="","",IFERROR(IF(INDEX(geo_grid!$B$2:$JU$231,INT(($N1201+40)/0.5)+1,INT(($O1201+30)/0.5)+1)="","",INDEX(geo_grid!$B$2:$JU$231,INT(($N1201+40)/0.5)+1,INT(($O1201+30)/0.5)+1)),"OUTSIDE GRID"))</f>
        <v/>
      </c>
      <c r="Q1201">
        <f>IF($P1201="","",$A1201*1000+$B1201)</f>
        <v/>
      </c>
    </row>
    <row r="1202">
      <c r="A1202">
        <f>INT((ROW()-2)/151)+1</f>
        <v/>
      </c>
      <c r="B1202">
        <f>MOD(ROW()-2,151)</f>
        <v/>
      </c>
      <c r="C1202">
        <f t="array" ref="C1202">IFERROR(INDEX('TRIP MANAGER'!$O$18:$O$25,$A1202),"")</f>
        <v/>
      </c>
      <c r="D1202">
        <f t="array" ref="D1202">IFERROR(INDEX('TRIP MANAGER'!$P$18:$P$25,$A1202),"")</f>
        <v/>
      </c>
      <c r="E1202">
        <f t="array" ref="E1202">IFERROR(INDEX('TRIP MANAGER'!$Q$18:$Q$25,$A1202),"")</f>
        <v/>
      </c>
      <c r="F1202">
        <f t="array" ref="F1202">IFERROR(INDEX('TRIP MANAGER'!$R$18:$R$25,$A1202),"")</f>
        <v/>
      </c>
      <c r="G1202">
        <f t="array" ref="G1202">IFERROR(INDEX('TRIP MANAGER'!$S$18:$S$25,$A1202),"")</f>
        <v/>
      </c>
      <c r="H1202">
        <f>$B1202/150</f>
        <v/>
      </c>
      <c r="I1202">
        <f>IF(OR($G1202="",$G1202=0),"",SIN((1-$H1202)*$G1202)/SIN($G1202))</f>
        <v/>
      </c>
      <c r="J1202">
        <f>IF($I1202="","",SIN($H1202*$G1202)/SIN($G1202))</f>
        <v/>
      </c>
      <c r="K1202">
        <f>IF($I1202="","",$I1202*COS(RADIANS($C1202))*COS(RADIANS($D1202))+$J1202*COS(RADIANS($E1202))*COS(RADIANS($F1202)))</f>
        <v/>
      </c>
      <c r="L1202">
        <f>IF($I1202="","",$I1202*COS(RADIANS($C1202))*SIN(RADIANS($D1202))+$J1202*COS(RADIANS($E1202))*SIN(RADIANS($F1202)))</f>
        <v/>
      </c>
      <c r="M1202">
        <f>IF($I1202="","",$I1202*SIN(RADIANS($C1202))+$J1202*SIN(RADIANS($E1202)))</f>
        <v/>
      </c>
      <c r="N1202">
        <f>IF($M1202="","",DEGREES(ATAN2(SQRT($K1202^2+$L1202^2),$M1202)))</f>
        <v/>
      </c>
      <c r="O1202">
        <f>IF($M1202="","",DEGREES(ATAN2($K1202,$L1202)))</f>
        <v/>
      </c>
      <c r="P1202">
        <f t="array" ref="P1202">IF($N1202="","",IFERROR(IF(INDEX(geo_grid!$B$2:$JU$231,INT(($N1202+40)/0.5)+1,INT(($O1202+30)/0.5)+1)="","",INDEX(geo_grid!$B$2:$JU$231,INT(($N1202+40)/0.5)+1,INT(($O1202+30)/0.5)+1)),"OUTSIDE GRID"))</f>
        <v/>
      </c>
      <c r="Q1202">
        <f>IF($P1202="","",$A1202*1000+$B1202)</f>
        <v/>
      </c>
    </row>
    <row r="1203">
      <c r="A1203">
        <f>INT((ROW()-2)/151)+1</f>
        <v/>
      </c>
      <c r="B1203">
        <f>MOD(ROW()-2,151)</f>
        <v/>
      </c>
      <c r="C1203">
        <f t="array" ref="C1203">IFERROR(INDEX('TRIP MANAGER'!$O$18:$O$25,$A1203),"")</f>
        <v/>
      </c>
      <c r="D1203">
        <f t="array" ref="D1203">IFERROR(INDEX('TRIP MANAGER'!$P$18:$P$25,$A1203),"")</f>
        <v/>
      </c>
      <c r="E1203">
        <f t="array" ref="E1203">IFERROR(INDEX('TRIP MANAGER'!$Q$18:$Q$25,$A1203),"")</f>
        <v/>
      </c>
      <c r="F1203">
        <f t="array" ref="F1203">IFERROR(INDEX('TRIP MANAGER'!$R$18:$R$25,$A1203),"")</f>
        <v/>
      </c>
      <c r="G1203">
        <f t="array" ref="G1203">IFERROR(INDEX('TRIP MANAGER'!$S$18:$S$25,$A1203),"")</f>
        <v/>
      </c>
      <c r="H1203">
        <f>$B1203/150</f>
        <v/>
      </c>
      <c r="I1203">
        <f>IF(OR($G1203="",$G1203=0),"",SIN((1-$H1203)*$G1203)/SIN($G1203))</f>
        <v/>
      </c>
      <c r="J1203">
        <f>IF($I1203="","",SIN($H1203*$G1203)/SIN($G1203))</f>
        <v/>
      </c>
      <c r="K1203">
        <f>IF($I1203="","",$I1203*COS(RADIANS($C1203))*COS(RADIANS($D1203))+$J1203*COS(RADIANS($E1203))*COS(RADIANS($F1203)))</f>
        <v/>
      </c>
      <c r="L1203">
        <f>IF($I1203="","",$I1203*COS(RADIANS($C1203))*SIN(RADIANS($D1203))+$J1203*COS(RADIANS($E1203))*SIN(RADIANS($F1203)))</f>
        <v/>
      </c>
      <c r="M1203">
        <f>IF($I1203="","",$I1203*SIN(RADIANS($C1203))+$J1203*SIN(RADIANS($E1203)))</f>
        <v/>
      </c>
      <c r="N1203">
        <f>IF($M1203="","",DEGREES(ATAN2(SQRT($K1203^2+$L1203^2),$M1203)))</f>
        <v/>
      </c>
      <c r="O1203">
        <f>IF($M1203="","",DEGREES(ATAN2($K1203,$L1203)))</f>
        <v/>
      </c>
      <c r="P1203">
        <f t="array" ref="P1203">IF($N1203="","",IFERROR(IF(INDEX(geo_grid!$B$2:$JU$231,INT(($N1203+40)/0.5)+1,INT(($O1203+30)/0.5)+1)="","",INDEX(geo_grid!$B$2:$JU$231,INT(($N1203+40)/0.5)+1,INT(($O1203+30)/0.5)+1)),"OUTSIDE GRID"))</f>
        <v/>
      </c>
      <c r="Q1203">
        <f>IF($P1203="","",$A1203*1000+$B1203)</f>
        <v/>
      </c>
    </row>
    <row r="1204">
      <c r="A1204">
        <f>INT((ROW()-2)/151)+1</f>
        <v/>
      </c>
      <c r="B1204">
        <f>MOD(ROW()-2,151)</f>
        <v/>
      </c>
      <c r="C1204">
        <f t="array" ref="C1204">IFERROR(INDEX('TRIP MANAGER'!$O$18:$O$25,$A1204),"")</f>
        <v/>
      </c>
      <c r="D1204">
        <f t="array" ref="D1204">IFERROR(INDEX('TRIP MANAGER'!$P$18:$P$25,$A1204),"")</f>
        <v/>
      </c>
      <c r="E1204">
        <f t="array" ref="E1204">IFERROR(INDEX('TRIP MANAGER'!$Q$18:$Q$25,$A1204),"")</f>
        <v/>
      </c>
      <c r="F1204">
        <f t="array" ref="F1204">IFERROR(INDEX('TRIP MANAGER'!$R$18:$R$25,$A1204),"")</f>
        <v/>
      </c>
      <c r="G1204">
        <f t="array" ref="G1204">IFERROR(INDEX('TRIP MANAGER'!$S$18:$S$25,$A1204),"")</f>
        <v/>
      </c>
      <c r="H1204">
        <f>$B1204/150</f>
        <v/>
      </c>
      <c r="I1204">
        <f>IF(OR($G1204="",$G1204=0),"",SIN((1-$H1204)*$G1204)/SIN($G1204))</f>
        <v/>
      </c>
      <c r="J1204">
        <f>IF($I1204="","",SIN($H1204*$G1204)/SIN($G1204))</f>
        <v/>
      </c>
      <c r="K1204">
        <f>IF($I1204="","",$I1204*COS(RADIANS($C1204))*COS(RADIANS($D1204))+$J1204*COS(RADIANS($E1204))*COS(RADIANS($F1204)))</f>
        <v/>
      </c>
      <c r="L1204">
        <f>IF($I1204="","",$I1204*COS(RADIANS($C1204))*SIN(RADIANS($D1204))+$J1204*COS(RADIANS($E1204))*SIN(RADIANS($F1204)))</f>
        <v/>
      </c>
      <c r="M1204">
        <f>IF($I1204="","",$I1204*SIN(RADIANS($C1204))+$J1204*SIN(RADIANS($E1204)))</f>
        <v/>
      </c>
      <c r="N1204">
        <f>IF($M1204="","",DEGREES(ATAN2(SQRT($K1204^2+$L1204^2),$M1204)))</f>
        <v/>
      </c>
      <c r="O1204">
        <f>IF($M1204="","",DEGREES(ATAN2($K1204,$L1204)))</f>
        <v/>
      </c>
      <c r="P1204">
        <f t="array" ref="P1204">IF($N1204="","",IFERROR(IF(INDEX(geo_grid!$B$2:$JU$231,INT(($N1204+40)/0.5)+1,INT(($O1204+30)/0.5)+1)="","",INDEX(geo_grid!$B$2:$JU$231,INT(($N1204+40)/0.5)+1,INT(($O1204+30)/0.5)+1)),"OUTSIDE GRID"))</f>
        <v/>
      </c>
      <c r="Q1204">
        <f>IF($P1204="","",$A1204*1000+$B1204)</f>
        <v/>
      </c>
    </row>
    <row r="1205">
      <c r="A1205">
        <f>INT((ROW()-2)/151)+1</f>
        <v/>
      </c>
      <c r="B1205">
        <f>MOD(ROW()-2,151)</f>
        <v/>
      </c>
      <c r="C1205">
        <f t="array" ref="C1205">IFERROR(INDEX('TRIP MANAGER'!$O$18:$O$25,$A1205),"")</f>
        <v/>
      </c>
      <c r="D1205">
        <f t="array" ref="D1205">IFERROR(INDEX('TRIP MANAGER'!$P$18:$P$25,$A1205),"")</f>
        <v/>
      </c>
      <c r="E1205">
        <f t="array" ref="E1205">IFERROR(INDEX('TRIP MANAGER'!$Q$18:$Q$25,$A1205),"")</f>
        <v/>
      </c>
      <c r="F1205">
        <f t="array" ref="F1205">IFERROR(INDEX('TRIP MANAGER'!$R$18:$R$25,$A1205),"")</f>
        <v/>
      </c>
      <c r="G1205">
        <f t="array" ref="G1205">IFERROR(INDEX('TRIP MANAGER'!$S$18:$S$25,$A1205),"")</f>
        <v/>
      </c>
      <c r="H1205">
        <f>$B1205/150</f>
        <v/>
      </c>
      <c r="I1205">
        <f>IF(OR($G1205="",$G1205=0),"",SIN((1-$H1205)*$G1205)/SIN($G1205))</f>
        <v/>
      </c>
      <c r="J1205">
        <f>IF($I1205="","",SIN($H1205*$G1205)/SIN($G1205))</f>
        <v/>
      </c>
      <c r="K1205">
        <f>IF($I1205="","",$I1205*COS(RADIANS($C1205))*COS(RADIANS($D1205))+$J1205*COS(RADIANS($E1205))*COS(RADIANS($F1205)))</f>
        <v/>
      </c>
      <c r="L1205">
        <f>IF($I1205="","",$I1205*COS(RADIANS($C1205))*SIN(RADIANS($D1205))+$J1205*COS(RADIANS($E1205))*SIN(RADIANS($F1205)))</f>
        <v/>
      </c>
      <c r="M1205">
        <f>IF($I1205="","",$I1205*SIN(RADIANS($C1205))+$J1205*SIN(RADIANS($E1205)))</f>
        <v/>
      </c>
      <c r="N1205">
        <f>IF($M1205="","",DEGREES(ATAN2(SQRT($K1205^2+$L1205^2),$M1205)))</f>
        <v/>
      </c>
      <c r="O1205">
        <f>IF($M1205="","",DEGREES(ATAN2($K1205,$L1205)))</f>
        <v/>
      </c>
      <c r="P1205">
        <f t="array" ref="P1205">IF($N1205="","",IFERROR(IF(INDEX(geo_grid!$B$2:$JU$231,INT(($N1205+40)/0.5)+1,INT(($O1205+30)/0.5)+1)="","",INDEX(geo_grid!$B$2:$JU$231,INT(($N1205+40)/0.5)+1,INT(($O1205+30)/0.5)+1)),"OUTSIDE GRID"))</f>
        <v/>
      </c>
      <c r="Q1205">
        <f>IF($P1205="","",$A1205*1000+$B1205)</f>
        <v/>
      </c>
    </row>
    <row r="1206">
      <c r="A1206">
        <f>INT((ROW()-2)/151)+1</f>
        <v/>
      </c>
      <c r="B1206">
        <f>MOD(ROW()-2,151)</f>
        <v/>
      </c>
      <c r="C1206">
        <f t="array" ref="C1206">IFERROR(INDEX('TRIP MANAGER'!$O$18:$O$25,$A1206),"")</f>
        <v/>
      </c>
      <c r="D1206">
        <f t="array" ref="D1206">IFERROR(INDEX('TRIP MANAGER'!$P$18:$P$25,$A1206),"")</f>
        <v/>
      </c>
      <c r="E1206">
        <f t="array" ref="E1206">IFERROR(INDEX('TRIP MANAGER'!$Q$18:$Q$25,$A1206),"")</f>
        <v/>
      </c>
      <c r="F1206">
        <f t="array" ref="F1206">IFERROR(INDEX('TRIP MANAGER'!$R$18:$R$25,$A1206),"")</f>
        <v/>
      </c>
      <c r="G1206">
        <f t="array" ref="G1206">IFERROR(INDEX('TRIP MANAGER'!$S$18:$S$25,$A1206),"")</f>
        <v/>
      </c>
      <c r="H1206">
        <f>$B1206/150</f>
        <v/>
      </c>
      <c r="I1206">
        <f>IF(OR($G1206="",$G1206=0),"",SIN((1-$H1206)*$G1206)/SIN($G1206))</f>
        <v/>
      </c>
      <c r="J1206">
        <f>IF($I1206="","",SIN($H1206*$G1206)/SIN($G1206))</f>
        <v/>
      </c>
      <c r="K1206">
        <f>IF($I1206="","",$I1206*COS(RADIANS($C1206))*COS(RADIANS($D1206))+$J1206*COS(RADIANS($E1206))*COS(RADIANS($F1206)))</f>
        <v/>
      </c>
      <c r="L1206">
        <f>IF($I1206="","",$I1206*COS(RADIANS($C1206))*SIN(RADIANS($D1206))+$J1206*COS(RADIANS($E1206))*SIN(RADIANS($F1206)))</f>
        <v/>
      </c>
      <c r="M1206">
        <f>IF($I1206="","",$I1206*SIN(RADIANS($C1206))+$J1206*SIN(RADIANS($E1206)))</f>
        <v/>
      </c>
      <c r="N1206">
        <f>IF($M1206="","",DEGREES(ATAN2(SQRT($K1206^2+$L1206^2),$M1206)))</f>
        <v/>
      </c>
      <c r="O1206">
        <f>IF($M1206="","",DEGREES(ATAN2($K1206,$L1206)))</f>
        <v/>
      </c>
      <c r="P1206">
        <f t="array" ref="P1206">IF($N1206="","",IFERROR(IF(INDEX(geo_grid!$B$2:$JU$231,INT(($N1206+40)/0.5)+1,INT(($O1206+30)/0.5)+1)="","",INDEX(geo_grid!$B$2:$JU$231,INT(($N1206+40)/0.5)+1,INT(($O1206+30)/0.5)+1)),"OUTSIDE GRID"))</f>
        <v/>
      </c>
      <c r="Q1206">
        <f>IF($P1206="","",$A1206*1000+$B1206)</f>
        <v/>
      </c>
    </row>
    <row r="1207">
      <c r="A1207">
        <f>INT((ROW()-2)/151)+1</f>
        <v/>
      </c>
      <c r="B1207">
        <f>MOD(ROW()-2,151)</f>
        <v/>
      </c>
      <c r="C1207">
        <f t="array" ref="C1207">IFERROR(INDEX('TRIP MANAGER'!$O$18:$O$25,$A1207),"")</f>
        <v/>
      </c>
      <c r="D1207">
        <f t="array" ref="D1207">IFERROR(INDEX('TRIP MANAGER'!$P$18:$P$25,$A1207),"")</f>
        <v/>
      </c>
      <c r="E1207">
        <f t="array" ref="E1207">IFERROR(INDEX('TRIP MANAGER'!$Q$18:$Q$25,$A1207),"")</f>
        <v/>
      </c>
      <c r="F1207">
        <f t="array" ref="F1207">IFERROR(INDEX('TRIP MANAGER'!$R$18:$R$25,$A1207),"")</f>
        <v/>
      </c>
      <c r="G1207">
        <f t="array" ref="G1207">IFERROR(INDEX('TRIP MANAGER'!$S$18:$S$25,$A1207),"")</f>
        <v/>
      </c>
      <c r="H1207">
        <f>$B1207/150</f>
        <v/>
      </c>
      <c r="I1207">
        <f>IF(OR($G1207="",$G1207=0),"",SIN((1-$H1207)*$G1207)/SIN($G1207))</f>
        <v/>
      </c>
      <c r="J1207">
        <f>IF($I1207="","",SIN($H1207*$G1207)/SIN($G1207))</f>
        <v/>
      </c>
      <c r="K1207">
        <f>IF($I1207="","",$I1207*COS(RADIANS($C1207))*COS(RADIANS($D1207))+$J1207*COS(RADIANS($E1207))*COS(RADIANS($F1207)))</f>
        <v/>
      </c>
      <c r="L1207">
        <f>IF($I1207="","",$I1207*COS(RADIANS($C1207))*SIN(RADIANS($D1207))+$J1207*COS(RADIANS($E1207))*SIN(RADIANS($F1207)))</f>
        <v/>
      </c>
      <c r="M1207">
        <f>IF($I1207="","",$I1207*SIN(RADIANS($C1207))+$J1207*SIN(RADIANS($E1207)))</f>
        <v/>
      </c>
      <c r="N1207">
        <f>IF($M1207="","",DEGREES(ATAN2(SQRT($K1207^2+$L1207^2),$M1207)))</f>
        <v/>
      </c>
      <c r="O1207">
        <f>IF($M1207="","",DEGREES(ATAN2($K1207,$L1207)))</f>
        <v/>
      </c>
      <c r="P1207">
        <f t="array" ref="P1207">IF($N1207="","",IFERROR(IF(INDEX(geo_grid!$B$2:$JU$231,INT(($N1207+40)/0.5)+1,INT(($O1207+30)/0.5)+1)="","",INDEX(geo_grid!$B$2:$JU$231,INT(($N1207+40)/0.5)+1,INT(($O1207+30)/0.5)+1)),"OUTSIDE GRID"))</f>
        <v/>
      </c>
      <c r="Q1207">
        <f>IF($P1207="","",$A1207*1000+$B1207)</f>
        <v/>
      </c>
    </row>
    <row r="1208">
      <c r="A1208">
        <f>INT((ROW()-2)/151)+1</f>
        <v/>
      </c>
      <c r="B1208">
        <f>MOD(ROW()-2,151)</f>
        <v/>
      </c>
      <c r="C1208">
        <f t="array" ref="C1208">IFERROR(INDEX('TRIP MANAGER'!$O$18:$O$25,$A1208),"")</f>
        <v/>
      </c>
      <c r="D1208">
        <f t="array" ref="D1208">IFERROR(INDEX('TRIP MANAGER'!$P$18:$P$25,$A1208),"")</f>
        <v/>
      </c>
      <c r="E1208">
        <f t="array" ref="E1208">IFERROR(INDEX('TRIP MANAGER'!$Q$18:$Q$25,$A1208),"")</f>
        <v/>
      </c>
      <c r="F1208">
        <f t="array" ref="F1208">IFERROR(INDEX('TRIP MANAGER'!$R$18:$R$25,$A1208),"")</f>
        <v/>
      </c>
      <c r="G1208">
        <f t="array" ref="G1208">IFERROR(INDEX('TRIP MANAGER'!$S$18:$S$25,$A1208),"")</f>
        <v/>
      </c>
      <c r="H1208">
        <f>$B1208/150</f>
        <v/>
      </c>
      <c r="I1208">
        <f>IF(OR($G1208="",$G1208=0),"",SIN((1-$H1208)*$G1208)/SIN($G1208))</f>
        <v/>
      </c>
      <c r="J1208">
        <f>IF($I1208="","",SIN($H1208*$G1208)/SIN($G1208))</f>
        <v/>
      </c>
      <c r="K1208">
        <f>IF($I1208="","",$I1208*COS(RADIANS($C1208))*COS(RADIANS($D1208))+$J1208*COS(RADIANS($E1208))*COS(RADIANS($F1208)))</f>
        <v/>
      </c>
      <c r="L1208">
        <f>IF($I1208="","",$I1208*COS(RADIANS($C1208))*SIN(RADIANS($D1208))+$J1208*COS(RADIANS($E1208))*SIN(RADIANS($F1208)))</f>
        <v/>
      </c>
      <c r="M1208">
        <f>IF($I1208="","",$I1208*SIN(RADIANS($C1208))+$J1208*SIN(RADIANS($E1208)))</f>
        <v/>
      </c>
      <c r="N1208">
        <f>IF($M1208="","",DEGREES(ATAN2(SQRT($K1208^2+$L1208^2),$M1208)))</f>
        <v/>
      </c>
      <c r="O1208">
        <f>IF($M1208="","",DEGREES(ATAN2($K1208,$L1208)))</f>
        <v/>
      </c>
      <c r="P1208">
        <f t="array" ref="P1208">IF($N1208="","",IFERROR(IF(INDEX(geo_grid!$B$2:$JU$231,INT(($N1208+40)/0.5)+1,INT(($O1208+30)/0.5)+1)="","",INDEX(geo_grid!$B$2:$JU$231,INT(($N1208+40)/0.5)+1,INT(($O1208+30)/0.5)+1)),"OUTSIDE GRID"))</f>
        <v/>
      </c>
      <c r="Q1208">
        <f>IF($P1208="","",$A1208*1000+$B1208)</f>
        <v/>
      </c>
    </row>
    <row r="1209">
      <c r="A1209">
        <f>INT((ROW()-2)/151)+1</f>
        <v/>
      </c>
      <c r="B1209">
        <f>MOD(ROW()-2,151)</f>
        <v/>
      </c>
      <c r="C1209">
        <f t="array" ref="C1209">IFERROR(INDEX('TRIP MANAGER'!$O$18:$O$25,$A1209),"")</f>
        <v/>
      </c>
      <c r="D1209">
        <f t="array" ref="D1209">IFERROR(INDEX('TRIP MANAGER'!$P$18:$P$25,$A1209),"")</f>
        <v/>
      </c>
      <c r="E1209">
        <f t="array" ref="E1209">IFERROR(INDEX('TRIP MANAGER'!$Q$18:$Q$25,$A1209),"")</f>
        <v/>
      </c>
      <c r="F1209">
        <f t="array" ref="F1209">IFERROR(INDEX('TRIP MANAGER'!$R$18:$R$25,$A1209),"")</f>
        <v/>
      </c>
      <c r="G1209">
        <f t="array" ref="G1209">IFERROR(INDEX('TRIP MANAGER'!$S$18:$S$25,$A1209),"")</f>
        <v/>
      </c>
      <c r="H1209">
        <f>$B1209/150</f>
        <v/>
      </c>
      <c r="I1209">
        <f>IF(OR($G1209="",$G1209=0),"",SIN((1-$H1209)*$G1209)/SIN($G1209))</f>
        <v/>
      </c>
      <c r="J1209">
        <f>IF($I1209="","",SIN($H1209*$G1209)/SIN($G1209))</f>
        <v/>
      </c>
      <c r="K1209">
        <f>IF($I1209="","",$I1209*COS(RADIANS($C1209))*COS(RADIANS($D1209))+$J1209*COS(RADIANS($E1209))*COS(RADIANS($F1209)))</f>
        <v/>
      </c>
      <c r="L1209">
        <f>IF($I1209="","",$I1209*COS(RADIANS($C1209))*SIN(RADIANS($D1209))+$J1209*COS(RADIANS($E1209))*SIN(RADIANS($F1209)))</f>
        <v/>
      </c>
      <c r="M1209">
        <f>IF($I1209="","",$I1209*SIN(RADIANS($C1209))+$J1209*SIN(RADIANS($E1209)))</f>
        <v/>
      </c>
      <c r="N1209">
        <f>IF($M1209="","",DEGREES(ATAN2(SQRT($K1209^2+$L1209^2),$M1209)))</f>
        <v/>
      </c>
      <c r="O1209">
        <f>IF($M1209="","",DEGREES(ATAN2($K1209,$L1209)))</f>
        <v/>
      </c>
      <c r="P1209">
        <f t="array" ref="P1209">IF($N1209="","",IFERROR(IF(INDEX(geo_grid!$B$2:$JU$231,INT(($N1209+40)/0.5)+1,INT(($O1209+30)/0.5)+1)="","",INDEX(geo_grid!$B$2:$JU$231,INT(($N1209+40)/0.5)+1,INT(($O1209+30)/0.5)+1)),"OUTSIDE GRID"))</f>
        <v/>
      </c>
      <c r="Q1209">
        <f>IF($P1209="","",$A1209*1000+$B1209)</f>
        <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Y144"/>
  <sheetViews>
    <sheetView topLeftCell="A22" workbookViewId="0">
      <selection activeCell="Q1" sqref="Q1"/>
    </sheetView>
  </sheetViews>
  <sheetFormatPr baseColWidth="8" defaultRowHeight="14.4"/>
  <sheetData>
    <row r="1">
      <c r="A1" s="46" t="inlineStr">
        <is>
          <t>ISO3</t>
        </is>
      </c>
      <c r="B1" s="46" t="inlineStr">
        <is>
          <t>COUNTRY</t>
        </is>
      </c>
      <c r="C1" s="46" t="inlineStr">
        <is>
          <t>L1</t>
        </is>
      </c>
      <c r="D1" s="46" t="inlineStr">
        <is>
          <t>L2</t>
        </is>
      </c>
      <c r="E1" s="46" t="inlineStr">
        <is>
          <t>L3</t>
        </is>
      </c>
      <c r="F1" s="46" t="inlineStr">
        <is>
          <t>L4</t>
        </is>
      </c>
      <c r="G1" s="46" t="inlineStr">
        <is>
          <t>L5</t>
        </is>
      </c>
      <c r="H1" s="46" t="inlineStr">
        <is>
          <t>L6</t>
        </is>
      </c>
      <c r="I1" s="46" t="inlineStr">
        <is>
          <t>L7</t>
        </is>
      </c>
      <c r="J1" s="46" t="inlineStr">
        <is>
          <t>L8</t>
        </is>
      </c>
      <c r="K1" s="46" t="inlineStr">
        <is>
          <t>FIRST ORDER KEY</t>
        </is>
      </c>
      <c r="L1" s="46" t="inlineStr">
        <is>
          <t>CROSSED</t>
        </is>
      </c>
      <c r="M1" s="46" t="inlineStr">
        <is>
          <t>LEGS CROSSED</t>
        </is>
      </c>
      <c r="N1" s="46" t="inlineStr">
        <is>
          <t>SEQUENCE</t>
        </is>
      </c>
      <c r="O1" s="46" t="inlineStr">
        <is>
          <t>FIRST LEG</t>
        </is>
      </c>
      <c r="P1" s="46" t="inlineStr">
        <is>
          <t>OVF PERMIT REQUIRED</t>
        </is>
      </c>
      <c r="Q1" s="46" t="inlineStr">
        <is>
          <t>LEAD TIME (HRS)</t>
        </is>
      </c>
      <c r="R1" s="29" t="inlineStr">
        <is>
          <t>OVF L1</t>
        </is>
      </c>
      <c r="S1" s="29" t="inlineStr">
        <is>
          <t>OVF L2</t>
        </is>
      </c>
      <c r="T1" s="29" t="inlineStr">
        <is>
          <t>OVF L3</t>
        </is>
      </c>
      <c r="U1" s="29" t="inlineStr">
        <is>
          <t>OVF L4</t>
        </is>
      </c>
      <c r="V1" s="29" t="inlineStr">
        <is>
          <t>OVF L5</t>
        </is>
      </c>
      <c r="W1" s="29" t="inlineStr">
        <is>
          <t>OVF L6</t>
        </is>
      </c>
      <c r="X1" s="29" t="inlineStr">
        <is>
          <t>OVF L7</t>
        </is>
      </c>
      <c r="Y1" s="29" t="inlineStr">
        <is>
          <t>OVF L8</t>
        </is>
      </c>
    </row>
    <row r="2">
      <c r="A2" s="31" t="inlineStr">
        <is>
          <t>LEG NO →</t>
        </is>
      </c>
      <c r="B2" s="31" t="n"/>
      <c r="C2" s="31" t="n">
        <v>1</v>
      </c>
      <c r="D2" s="31" t="n">
        <v>2</v>
      </c>
      <c r="E2" s="31" t="n">
        <v>3</v>
      </c>
      <c r="F2" s="31" t="n">
        <v>4</v>
      </c>
      <c r="G2" s="31" t="n">
        <v>5</v>
      </c>
      <c r="H2" s="31" t="n">
        <v>6</v>
      </c>
      <c r="I2" s="31" t="n">
        <v>7</v>
      </c>
      <c r="J2" s="31" t="n">
        <v>8</v>
      </c>
      <c r="R2" t="n">
        <v>1</v>
      </c>
      <c r="S2" t="n">
        <v>2</v>
      </c>
      <c r="T2" t="n">
        <v>3</v>
      </c>
      <c r="U2" t="n">
        <v>4</v>
      </c>
      <c r="V2" t="n">
        <v>5</v>
      </c>
      <c r="W2" t="n">
        <v>6</v>
      </c>
      <c r="X2" t="n">
        <v>7</v>
      </c>
      <c r="Y2" t="n">
        <v>8</v>
      </c>
    </row>
    <row r="3">
      <c r="A3">
        <f>IF(countries!$D2="","",countries!$D2)</f>
        <v/>
      </c>
      <c r="B3">
        <f>IF(countries!$B2="","",countries!$B2)</f>
        <v/>
      </c>
      <c r="C3">
        <f>IF($A3="","",COUNTIFS(route_calc!$A$2:$A$1209,C$2,route_calc!$P$2:$P$1209,$A3))</f>
        <v/>
      </c>
      <c r="D3">
        <f>IF($A3="","",COUNTIFS(route_calc!$A$2:$A$1209,D$2,route_calc!$P$2:$P$1209,$A3))</f>
        <v/>
      </c>
      <c r="E3">
        <f>IF($A3="","",COUNTIFS(route_calc!$A$2:$A$1209,E$2,route_calc!$P$2:$P$1209,$A3))</f>
        <v/>
      </c>
      <c r="F3">
        <f>IF($A3="","",COUNTIFS(route_calc!$A$2:$A$1209,F$2,route_calc!$P$2:$P$1209,$A3))</f>
        <v/>
      </c>
      <c r="G3">
        <f>IF($A3="","",COUNTIFS(route_calc!$A$2:$A$1209,G$2,route_calc!$P$2:$P$1209,$A3))</f>
        <v/>
      </c>
      <c r="H3">
        <f>IF($A3="","",COUNTIFS(route_calc!$A$2:$A$1209,H$2,route_calc!$P$2:$P$1209,$A3))</f>
        <v/>
      </c>
      <c r="I3">
        <f>IF($A3="","",COUNTIFS(route_calc!$A$2:$A$1209,I$2,route_calc!$P$2:$P$1209,$A3))</f>
        <v/>
      </c>
      <c r="J3">
        <f>IF($A3="","",COUNTIFS(route_calc!$A$2:$A$1209,J$2,route_calc!$P$2:$P$1209,$A3))</f>
        <v/>
      </c>
      <c r="K3">
        <f>IF($L3=0,"",_xlfn.MINIFS(route_calc!$Q$2:$Q$1209,route_calc!$P$2:$P$1209,$A3,route_calc!$A$2:$A$1209,MATCH(1,$R3:$Y3,0)))</f>
        <v/>
      </c>
      <c r="L3">
        <f>IF($A3="",0,IF(SUM($R3:$Y3)&gt;0,1,0))</f>
        <v/>
      </c>
      <c r="M3">
        <f t="array" ref="M3">IF($L3=0,"",_xlfn.TEXTJOIN(", ",TRUE,IF($R3:$Y3&gt;0,$C$1:$J$1,"")))</f>
        <v/>
      </c>
      <c r="N3">
        <f t="array" ref="N3">IF($L3=0,"",SUMPRODUCT(($L$3:$L$144=1)*($K$3:$K$144&lt;$K3))+1)</f>
        <v/>
      </c>
      <c r="O3">
        <f>IF($L3=0,"",MATCH(1,$R3:$Y3,0))</f>
        <v/>
      </c>
      <c r="P3">
        <f>IF($A3="","",IFERROR(INDEX(countries!$G:$G,MATCH($A3,countries!$D:$D,0)),""))</f>
        <v/>
      </c>
      <c r="Q3">
        <f>IF($A3="","",IFERROR(IF(INDEX(countries!$I:$I,MATCH($A3,countries!$D:$D,0))=0,"",INDEX(countries!$I:$I,MATCH($A3,countries!$D:$D,0))),""))</f>
        <v/>
      </c>
      <c r="R3">
        <f t="array" ref="R3">IF($A3="","",IF(AND(INDEX($C3:$J3,R$2)&gt;0,$A3&lt;&gt;INDEX('TRIP MANAGER'!$T$18:$T$25,R$2),$A3&lt;&gt;INDEX('TRIP MANAGER'!$U$18:$U$25,R$2)),1,0))</f>
        <v/>
      </c>
      <c r="S3">
        <f t="array" ref="S3">IF($A3="","",IF(AND(INDEX($C3:$J3,S$2)&gt;0,$A3&lt;&gt;INDEX('TRIP MANAGER'!$T$18:$T$25,S$2),$A3&lt;&gt;INDEX('TRIP MANAGER'!$U$18:$U$25,S$2)),1,0))</f>
        <v/>
      </c>
      <c r="T3">
        <f t="array" ref="T3">IF($A3="","",IF(AND(INDEX($C3:$J3,T$2)&gt;0,$A3&lt;&gt;INDEX('TRIP MANAGER'!$T$18:$T$25,T$2),$A3&lt;&gt;INDEX('TRIP MANAGER'!$U$18:$U$25,T$2)),1,0))</f>
        <v/>
      </c>
      <c r="U3">
        <f t="array" ref="U3">IF($A3="","",IF(AND(INDEX($C3:$J3,U$2)&gt;0,$A3&lt;&gt;INDEX('TRIP MANAGER'!$T$18:$T$25,U$2),$A3&lt;&gt;INDEX('TRIP MANAGER'!$U$18:$U$25,U$2)),1,0))</f>
        <v/>
      </c>
      <c r="V3">
        <f t="array" ref="V3">IF($A3="","",IF(AND(INDEX($C3:$J3,V$2)&gt;0,$A3&lt;&gt;INDEX('TRIP MANAGER'!$T$18:$T$25,V$2),$A3&lt;&gt;INDEX('TRIP MANAGER'!$U$18:$U$25,V$2)),1,0))</f>
        <v/>
      </c>
      <c r="W3">
        <f t="array" ref="W3">IF($A3="","",IF(AND(INDEX($C3:$J3,W$2)&gt;0,$A3&lt;&gt;INDEX('TRIP MANAGER'!$T$18:$T$25,W$2),$A3&lt;&gt;INDEX('TRIP MANAGER'!$U$18:$U$25,W$2)),1,0))</f>
        <v/>
      </c>
      <c r="X3">
        <f t="array" ref="X3">IF($A3="","",IF(AND(INDEX($C3:$J3,X$2)&gt;0,$A3&lt;&gt;INDEX('TRIP MANAGER'!$T$18:$T$25,X$2),$A3&lt;&gt;INDEX('TRIP MANAGER'!$U$18:$U$25,X$2)),1,0))</f>
        <v/>
      </c>
      <c r="Y3">
        <f t="array" ref="Y3">IF($A3="","",IF(AND(INDEX($C3:$J3,Y$2)&gt;0,$A3&lt;&gt;INDEX('TRIP MANAGER'!$T$18:$T$25,Y$2),$A3&lt;&gt;INDEX('TRIP MANAGER'!$U$18:$U$25,Y$2)),1,0))</f>
        <v/>
      </c>
    </row>
    <row r="4">
      <c r="A4">
        <f>IF(countries!$D3="","",countries!$D3)</f>
        <v/>
      </c>
      <c r="B4">
        <f>IF(countries!$B3="","",countries!$B3)</f>
        <v/>
      </c>
      <c r="C4">
        <f>IF($A4="","",COUNTIFS(route_calc!$A$2:$A$1209,C$2,route_calc!$P$2:$P$1209,$A4))</f>
        <v/>
      </c>
      <c r="D4">
        <f>IF($A4="","",COUNTIFS(route_calc!$A$2:$A$1209,D$2,route_calc!$P$2:$P$1209,$A4))</f>
        <v/>
      </c>
      <c r="E4">
        <f>IF($A4="","",COUNTIFS(route_calc!$A$2:$A$1209,E$2,route_calc!$P$2:$P$1209,$A4))</f>
        <v/>
      </c>
      <c r="F4">
        <f>IF($A4="","",COUNTIFS(route_calc!$A$2:$A$1209,F$2,route_calc!$P$2:$P$1209,$A4))</f>
        <v/>
      </c>
      <c r="G4">
        <f>IF($A4="","",COUNTIFS(route_calc!$A$2:$A$1209,G$2,route_calc!$P$2:$P$1209,$A4))</f>
        <v/>
      </c>
      <c r="H4">
        <f>IF($A4="","",COUNTIFS(route_calc!$A$2:$A$1209,H$2,route_calc!$P$2:$P$1209,$A4))</f>
        <v/>
      </c>
      <c r="I4">
        <f>IF($A4="","",COUNTIFS(route_calc!$A$2:$A$1209,I$2,route_calc!$P$2:$P$1209,$A4))</f>
        <v/>
      </c>
      <c r="J4">
        <f>IF($A4="","",COUNTIFS(route_calc!$A$2:$A$1209,J$2,route_calc!$P$2:$P$1209,$A4))</f>
        <v/>
      </c>
      <c r="K4">
        <f>IF($L4=0,"",_xlfn.MINIFS(route_calc!$Q$2:$Q$1209,route_calc!$P$2:$P$1209,$A4,route_calc!$A$2:$A$1209,MATCH(1,$R4:$Y4,0)))</f>
        <v/>
      </c>
      <c r="L4">
        <f>IF($A4="",0,IF(SUM($R4:$Y4)&gt;0,1,0))</f>
        <v/>
      </c>
      <c r="M4">
        <f t="array" ref="M4">IF($L4=0,"",_xlfn.TEXTJOIN(", ",TRUE,IF($R4:$Y4&gt;0,$C$1:$J$1,"")))</f>
        <v/>
      </c>
      <c r="N4">
        <f t="array" ref="N4">IF($L4=0,"",SUMPRODUCT(($L$3:$L$144=1)*($K$3:$K$144&lt;$K4))+1)</f>
        <v/>
      </c>
      <c r="O4">
        <f>IF($L4=0,"",MATCH(1,$R4:$Y4,0))</f>
        <v/>
      </c>
      <c r="P4">
        <f>IF($A4="","",IFERROR(INDEX(countries!$G:$G,MATCH($A4,countries!$D:$D,0)),""))</f>
        <v/>
      </c>
      <c r="Q4">
        <f>IF($A4="","",IFERROR(IF(INDEX(countries!$I:$I,MATCH($A4,countries!$D:$D,0))=0,"",INDEX(countries!$I:$I,MATCH($A4,countries!$D:$D,0))),""))</f>
        <v/>
      </c>
      <c r="R4">
        <f t="array" ref="R4">IF($A4="","",IF(AND(INDEX($C4:$J4,R$2)&gt;0,$A4&lt;&gt;INDEX('TRIP MANAGER'!$T$18:$T$25,R$2),$A4&lt;&gt;INDEX('TRIP MANAGER'!$U$18:$U$25,R$2)),1,0))</f>
        <v/>
      </c>
      <c r="S4">
        <f t="array" ref="S4">IF($A4="","",IF(AND(INDEX($C4:$J4,S$2)&gt;0,$A4&lt;&gt;INDEX('TRIP MANAGER'!$T$18:$T$25,S$2),$A4&lt;&gt;INDEX('TRIP MANAGER'!$U$18:$U$25,S$2)),1,0))</f>
        <v/>
      </c>
      <c r="T4">
        <f t="array" ref="T4">IF($A4="","",IF(AND(INDEX($C4:$J4,T$2)&gt;0,$A4&lt;&gt;INDEX('TRIP MANAGER'!$T$18:$T$25,T$2),$A4&lt;&gt;INDEX('TRIP MANAGER'!$U$18:$U$25,T$2)),1,0))</f>
        <v/>
      </c>
      <c r="U4">
        <f t="array" ref="U4">IF($A4="","",IF(AND(INDEX($C4:$J4,U$2)&gt;0,$A4&lt;&gt;INDEX('TRIP MANAGER'!$T$18:$T$25,U$2),$A4&lt;&gt;INDEX('TRIP MANAGER'!$U$18:$U$25,U$2)),1,0))</f>
        <v/>
      </c>
      <c r="V4">
        <f t="array" ref="V4">IF($A4="","",IF(AND(INDEX($C4:$J4,V$2)&gt;0,$A4&lt;&gt;INDEX('TRIP MANAGER'!$T$18:$T$25,V$2),$A4&lt;&gt;INDEX('TRIP MANAGER'!$U$18:$U$25,V$2)),1,0))</f>
        <v/>
      </c>
      <c r="W4">
        <f t="array" ref="W4">IF($A4="","",IF(AND(INDEX($C4:$J4,W$2)&gt;0,$A4&lt;&gt;INDEX('TRIP MANAGER'!$T$18:$T$25,W$2),$A4&lt;&gt;INDEX('TRIP MANAGER'!$U$18:$U$25,W$2)),1,0))</f>
        <v/>
      </c>
      <c r="X4">
        <f t="array" ref="X4">IF($A4="","",IF(AND(INDEX($C4:$J4,X$2)&gt;0,$A4&lt;&gt;INDEX('TRIP MANAGER'!$T$18:$T$25,X$2),$A4&lt;&gt;INDEX('TRIP MANAGER'!$U$18:$U$25,X$2)),1,0))</f>
        <v/>
      </c>
      <c r="Y4">
        <f t="array" ref="Y4">IF($A4="","",IF(AND(INDEX($C4:$J4,Y$2)&gt;0,$A4&lt;&gt;INDEX('TRIP MANAGER'!$T$18:$T$25,Y$2),$A4&lt;&gt;INDEX('TRIP MANAGER'!$U$18:$U$25,Y$2)),1,0))</f>
        <v/>
      </c>
    </row>
    <row r="5">
      <c r="A5">
        <f>IF(countries!$D4="","",countries!$D4)</f>
        <v/>
      </c>
      <c r="B5">
        <f>IF(countries!$B4="","",countries!$B4)</f>
        <v/>
      </c>
      <c r="C5">
        <f>IF($A5="","",COUNTIFS(route_calc!$A$2:$A$1209,C$2,route_calc!$P$2:$P$1209,$A5))</f>
        <v/>
      </c>
      <c r="D5">
        <f>IF($A5="","",COUNTIFS(route_calc!$A$2:$A$1209,D$2,route_calc!$P$2:$P$1209,$A5))</f>
        <v/>
      </c>
      <c r="E5">
        <f>IF($A5="","",COUNTIFS(route_calc!$A$2:$A$1209,E$2,route_calc!$P$2:$P$1209,$A5))</f>
        <v/>
      </c>
      <c r="F5">
        <f>IF($A5="","",COUNTIFS(route_calc!$A$2:$A$1209,F$2,route_calc!$P$2:$P$1209,$A5))</f>
        <v/>
      </c>
      <c r="G5">
        <f>IF($A5="","",COUNTIFS(route_calc!$A$2:$A$1209,G$2,route_calc!$P$2:$P$1209,$A5))</f>
        <v/>
      </c>
      <c r="H5">
        <f>IF($A5="","",COUNTIFS(route_calc!$A$2:$A$1209,H$2,route_calc!$P$2:$P$1209,$A5))</f>
        <v/>
      </c>
      <c r="I5">
        <f>IF($A5="","",COUNTIFS(route_calc!$A$2:$A$1209,I$2,route_calc!$P$2:$P$1209,$A5))</f>
        <v/>
      </c>
      <c r="J5">
        <f>IF($A5="","",COUNTIFS(route_calc!$A$2:$A$1209,J$2,route_calc!$P$2:$P$1209,$A5))</f>
        <v/>
      </c>
      <c r="K5">
        <f>IF($L5=0,"",_xlfn.MINIFS(route_calc!$Q$2:$Q$1209,route_calc!$P$2:$P$1209,$A5,route_calc!$A$2:$A$1209,MATCH(1,$R5:$Y5,0)))</f>
        <v/>
      </c>
      <c r="L5">
        <f>IF($A5="",0,IF(SUM($R5:$Y5)&gt;0,1,0))</f>
        <v/>
      </c>
      <c r="M5">
        <f t="array" ref="M5">IF($L5=0,"",_xlfn.TEXTJOIN(", ",TRUE,IF($R5:$Y5&gt;0,$C$1:$J$1,"")))</f>
        <v/>
      </c>
      <c r="N5">
        <f t="array" ref="N5">IF($L5=0,"",SUMPRODUCT(($L$3:$L$144=1)*($K$3:$K$144&lt;$K5))+1)</f>
        <v/>
      </c>
      <c r="O5">
        <f>IF($L5=0,"",MATCH(1,$R5:$Y5,0))</f>
        <v/>
      </c>
      <c r="P5">
        <f>IF($A5="","",IFERROR(INDEX(countries!$G:$G,MATCH($A5,countries!$D:$D,0)),""))</f>
        <v/>
      </c>
      <c r="Q5">
        <f>IF($A5="","",IFERROR(IF(INDEX(countries!$I:$I,MATCH($A5,countries!$D:$D,0))=0,"",INDEX(countries!$I:$I,MATCH($A5,countries!$D:$D,0))),""))</f>
        <v/>
      </c>
      <c r="R5">
        <f t="array" ref="R5">IF($A5="","",IF(AND(INDEX($C5:$J5,R$2)&gt;0,$A5&lt;&gt;INDEX('TRIP MANAGER'!$T$18:$T$25,R$2),$A5&lt;&gt;INDEX('TRIP MANAGER'!$U$18:$U$25,R$2)),1,0))</f>
        <v/>
      </c>
      <c r="S5">
        <f t="array" ref="S5">IF($A5="","",IF(AND(INDEX($C5:$J5,S$2)&gt;0,$A5&lt;&gt;INDEX('TRIP MANAGER'!$T$18:$T$25,S$2),$A5&lt;&gt;INDEX('TRIP MANAGER'!$U$18:$U$25,S$2)),1,0))</f>
        <v/>
      </c>
      <c r="T5">
        <f t="array" ref="T5">IF($A5="","",IF(AND(INDEX($C5:$J5,T$2)&gt;0,$A5&lt;&gt;INDEX('TRIP MANAGER'!$T$18:$T$25,T$2),$A5&lt;&gt;INDEX('TRIP MANAGER'!$U$18:$U$25,T$2)),1,0))</f>
        <v/>
      </c>
      <c r="U5">
        <f t="array" ref="U5">IF($A5="","",IF(AND(INDEX($C5:$J5,U$2)&gt;0,$A5&lt;&gt;INDEX('TRIP MANAGER'!$T$18:$T$25,U$2),$A5&lt;&gt;INDEX('TRIP MANAGER'!$U$18:$U$25,U$2)),1,0))</f>
        <v/>
      </c>
      <c r="V5">
        <f t="array" ref="V5">IF($A5="","",IF(AND(INDEX($C5:$J5,V$2)&gt;0,$A5&lt;&gt;INDEX('TRIP MANAGER'!$T$18:$T$25,V$2),$A5&lt;&gt;INDEX('TRIP MANAGER'!$U$18:$U$25,V$2)),1,0))</f>
        <v/>
      </c>
      <c r="W5">
        <f t="array" ref="W5">IF($A5="","",IF(AND(INDEX($C5:$J5,W$2)&gt;0,$A5&lt;&gt;INDEX('TRIP MANAGER'!$T$18:$T$25,W$2),$A5&lt;&gt;INDEX('TRIP MANAGER'!$U$18:$U$25,W$2)),1,0))</f>
        <v/>
      </c>
      <c r="X5">
        <f t="array" ref="X5">IF($A5="","",IF(AND(INDEX($C5:$J5,X$2)&gt;0,$A5&lt;&gt;INDEX('TRIP MANAGER'!$T$18:$T$25,X$2),$A5&lt;&gt;INDEX('TRIP MANAGER'!$U$18:$U$25,X$2)),1,0))</f>
        <v/>
      </c>
      <c r="Y5">
        <f t="array" ref="Y5">IF($A5="","",IF(AND(INDEX($C5:$J5,Y$2)&gt;0,$A5&lt;&gt;INDEX('TRIP MANAGER'!$T$18:$T$25,Y$2),$A5&lt;&gt;INDEX('TRIP MANAGER'!$U$18:$U$25,Y$2)),1,0))</f>
        <v/>
      </c>
    </row>
    <row r="6">
      <c r="A6">
        <f>IF(countries!$D5="","",countries!$D5)</f>
        <v/>
      </c>
      <c r="B6">
        <f>IF(countries!$B5="","",countries!$B5)</f>
        <v/>
      </c>
      <c r="C6">
        <f>IF($A6="","",COUNTIFS(route_calc!$A$2:$A$1209,C$2,route_calc!$P$2:$P$1209,$A6))</f>
        <v/>
      </c>
      <c r="D6">
        <f>IF($A6="","",COUNTIFS(route_calc!$A$2:$A$1209,D$2,route_calc!$P$2:$P$1209,$A6))</f>
        <v/>
      </c>
      <c r="E6">
        <f>IF($A6="","",COUNTIFS(route_calc!$A$2:$A$1209,E$2,route_calc!$P$2:$P$1209,$A6))</f>
        <v/>
      </c>
      <c r="F6">
        <f>IF($A6="","",COUNTIFS(route_calc!$A$2:$A$1209,F$2,route_calc!$P$2:$P$1209,$A6))</f>
        <v/>
      </c>
      <c r="G6">
        <f>IF($A6="","",COUNTIFS(route_calc!$A$2:$A$1209,G$2,route_calc!$P$2:$P$1209,$A6))</f>
        <v/>
      </c>
      <c r="H6">
        <f>IF($A6="","",COUNTIFS(route_calc!$A$2:$A$1209,H$2,route_calc!$P$2:$P$1209,$A6))</f>
        <v/>
      </c>
      <c r="I6">
        <f>IF($A6="","",COUNTIFS(route_calc!$A$2:$A$1209,I$2,route_calc!$P$2:$P$1209,$A6))</f>
        <v/>
      </c>
      <c r="J6">
        <f>IF($A6="","",COUNTIFS(route_calc!$A$2:$A$1209,J$2,route_calc!$P$2:$P$1209,$A6))</f>
        <v/>
      </c>
      <c r="K6">
        <f>IF($L6=0,"",_xlfn.MINIFS(route_calc!$Q$2:$Q$1209,route_calc!$P$2:$P$1209,$A6,route_calc!$A$2:$A$1209,MATCH(1,$R6:$Y6,0)))</f>
        <v/>
      </c>
      <c r="L6">
        <f>IF($A6="",0,IF(SUM($R6:$Y6)&gt;0,1,0))</f>
        <v/>
      </c>
      <c r="M6">
        <f t="array" ref="M6">IF($L6=0,"",_xlfn.TEXTJOIN(", ",TRUE,IF($R6:$Y6&gt;0,$C$1:$J$1,"")))</f>
        <v/>
      </c>
      <c r="N6">
        <f t="array" ref="N6">IF($L6=0,"",SUMPRODUCT(($L$3:$L$144=1)*($K$3:$K$144&lt;$K6))+1)</f>
        <v/>
      </c>
      <c r="O6">
        <f>IF($L6=0,"",MATCH(1,$R6:$Y6,0))</f>
        <v/>
      </c>
      <c r="P6">
        <f>IF($A6="","",IFERROR(INDEX(countries!$G:$G,MATCH($A6,countries!$D:$D,0)),""))</f>
        <v/>
      </c>
      <c r="Q6">
        <f>IF($A6="","",IFERROR(IF(INDEX(countries!$I:$I,MATCH($A6,countries!$D:$D,0))=0,"",INDEX(countries!$I:$I,MATCH($A6,countries!$D:$D,0))),""))</f>
        <v/>
      </c>
      <c r="R6">
        <f t="array" ref="R6">IF($A6="","",IF(AND(INDEX($C6:$J6,R$2)&gt;0,$A6&lt;&gt;INDEX('TRIP MANAGER'!$T$18:$T$25,R$2),$A6&lt;&gt;INDEX('TRIP MANAGER'!$U$18:$U$25,R$2)),1,0))</f>
        <v/>
      </c>
      <c r="S6">
        <f t="array" ref="S6">IF($A6="","",IF(AND(INDEX($C6:$J6,S$2)&gt;0,$A6&lt;&gt;INDEX('TRIP MANAGER'!$T$18:$T$25,S$2),$A6&lt;&gt;INDEX('TRIP MANAGER'!$U$18:$U$25,S$2)),1,0))</f>
        <v/>
      </c>
      <c r="T6">
        <f t="array" ref="T6">IF($A6="","",IF(AND(INDEX($C6:$J6,T$2)&gt;0,$A6&lt;&gt;INDEX('TRIP MANAGER'!$T$18:$T$25,T$2),$A6&lt;&gt;INDEX('TRIP MANAGER'!$U$18:$U$25,T$2)),1,0))</f>
        <v/>
      </c>
      <c r="U6">
        <f t="array" ref="U6">IF($A6="","",IF(AND(INDEX($C6:$J6,U$2)&gt;0,$A6&lt;&gt;INDEX('TRIP MANAGER'!$T$18:$T$25,U$2),$A6&lt;&gt;INDEX('TRIP MANAGER'!$U$18:$U$25,U$2)),1,0))</f>
        <v/>
      </c>
      <c r="V6">
        <f t="array" ref="V6">IF($A6="","",IF(AND(INDEX($C6:$J6,V$2)&gt;0,$A6&lt;&gt;INDEX('TRIP MANAGER'!$T$18:$T$25,V$2),$A6&lt;&gt;INDEX('TRIP MANAGER'!$U$18:$U$25,V$2)),1,0))</f>
        <v/>
      </c>
      <c r="W6">
        <f t="array" ref="W6">IF($A6="","",IF(AND(INDEX($C6:$J6,W$2)&gt;0,$A6&lt;&gt;INDEX('TRIP MANAGER'!$T$18:$T$25,W$2),$A6&lt;&gt;INDEX('TRIP MANAGER'!$U$18:$U$25,W$2)),1,0))</f>
        <v/>
      </c>
      <c r="X6">
        <f t="array" ref="X6">IF($A6="","",IF(AND(INDEX($C6:$J6,X$2)&gt;0,$A6&lt;&gt;INDEX('TRIP MANAGER'!$T$18:$T$25,X$2),$A6&lt;&gt;INDEX('TRIP MANAGER'!$U$18:$U$25,X$2)),1,0))</f>
        <v/>
      </c>
      <c r="Y6">
        <f t="array" ref="Y6">IF($A6="","",IF(AND(INDEX($C6:$J6,Y$2)&gt;0,$A6&lt;&gt;INDEX('TRIP MANAGER'!$T$18:$T$25,Y$2),$A6&lt;&gt;INDEX('TRIP MANAGER'!$U$18:$U$25,Y$2)),1,0))</f>
        <v/>
      </c>
    </row>
    <row r="7">
      <c r="A7">
        <f>IF(countries!$D6="","",countries!$D6)</f>
        <v/>
      </c>
      <c r="B7">
        <f>IF(countries!$B6="","",countries!$B6)</f>
        <v/>
      </c>
      <c r="C7">
        <f>IF($A7="","",COUNTIFS(route_calc!$A$2:$A$1209,C$2,route_calc!$P$2:$P$1209,$A7))</f>
        <v/>
      </c>
      <c r="D7">
        <f>IF($A7="","",COUNTIFS(route_calc!$A$2:$A$1209,D$2,route_calc!$P$2:$P$1209,$A7))</f>
        <v/>
      </c>
      <c r="E7">
        <f>IF($A7="","",COUNTIFS(route_calc!$A$2:$A$1209,E$2,route_calc!$P$2:$P$1209,$A7))</f>
        <v/>
      </c>
      <c r="F7">
        <f>IF($A7="","",COUNTIFS(route_calc!$A$2:$A$1209,F$2,route_calc!$P$2:$P$1209,$A7))</f>
        <v/>
      </c>
      <c r="G7">
        <f>IF($A7="","",COUNTIFS(route_calc!$A$2:$A$1209,G$2,route_calc!$P$2:$P$1209,$A7))</f>
        <v/>
      </c>
      <c r="H7">
        <f>IF($A7="","",COUNTIFS(route_calc!$A$2:$A$1209,H$2,route_calc!$P$2:$P$1209,$A7))</f>
        <v/>
      </c>
      <c r="I7">
        <f>IF($A7="","",COUNTIFS(route_calc!$A$2:$A$1209,I$2,route_calc!$P$2:$P$1209,$A7))</f>
        <v/>
      </c>
      <c r="J7">
        <f>IF($A7="","",COUNTIFS(route_calc!$A$2:$A$1209,J$2,route_calc!$P$2:$P$1209,$A7))</f>
        <v/>
      </c>
      <c r="K7">
        <f>IF($L7=0,"",_xlfn.MINIFS(route_calc!$Q$2:$Q$1209,route_calc!$P$2:$P$1209,$A7,route_calc!$A$2:$A$1209,MATCH(1,$R7:$Y7,0)))</f>
        <v/>
      </c>
      <c r="L7">
        <f>IF($A7="",0,IF(SUM($R7:$Y7)&gt;0,1,0))</f>
        <v/>
      </c>
      <c r="M7">
        <f t="array" ref="M7">IF($L7=0,"",_xlfn.TEXTJOIN(", ",TRUE,IF($R7:$Y7&gt;0,$C$1:$J$1,"")))</f>
        <v/>
      </c>
      <c r="N7">
        <f t="array" ref="N7">IF($L7=0,"",SUMPRODUCT(($L$3:$L$144=1)*($K$3:$K$144&lt;$K7))+1)</f>
        <v/>
      </c>
      <c r="O7">
        <f>IF($L7=0,"",MATCH(1,$R7:$Y7,0))</f>
        <v/>
      </c>
      <c r="P7">
        <f>IF($A7="","",IFERROR(INDEX(countries!$G:$G,MATCH($A7,countries!$D:$D,0)),""))</f>
        <v/>
      </c>
      <c r="Q7">
        <f>IF($A7="","",IFERROR(IF(INDEX(countries!$I:$I,MATCH($A7,countries!$D:$D,0))=0,"",INDEX(countries!$I:$I,MATCH($A7,countries!$D:$D,0))),""))</f>
        <v/>
      </c>
      <c r="R7">
        <f t="array" ref="R7">IF($A7="","",IF(AND(INDEX($C7:$J7,R$2)&gt;0,$A7&lt;&gt;INDEX('TRIP MANAGER'!$T$18:$T$25,R$2),$A7&lt;&gt;INDEX('TRIP MANAGER'!$U$18:$U$25,R$2)),1,0))</f>
        <v/>
      </c>
      <c r="S7">
        <f t="array" ref="S7">IF($A7="","",IF(AND(INDEX($C7:$J7,S$2)&gt;0,$A7&lt;&gt;INDEX('TRIP MANAGER'!$T$18:$T$25,S$2),$A7&lt;&gt;INDEX('TRIP MANAGER'!$U$18:$U$25,S$2)),1,0))</f>
        <v/>
      </c>
      <c r="T7">
        <f t="array" ref="T7">IF($A7="","",IF(AND(INDEX($C7:$J7,T$2)&gt;0,$A7&lt;&gt;INDEX('TRIP MANAGER'!$T$18:$T$25,T$2),$A7&lt;&gt;INDEX('TRIP MANAGER'!$U$18:$U$25,T$2)),1,0))</f>
        <v/>
      </c>
      <c r="U7">
        <f t="array" ref="U7">IF($A7="","",IF(AND(INDEX($C7:$J7,U$2)&gt;0,$A7&lt;&gt;INDEX('TRIP MANAGER'!$T$18:$T$25,U$2),$A7&lt;&gt;INDEX('TRIP MANAGER'!$U$18:$U$25,U$2)),1,0))</f>
        <v/>
      </c>
      <c r="V7">
        <f t="array" ref="V7">IF($A7="","",IF(AND(INDEX($C7:$J7,V$2)&gt;0,$A7&lt;&gt;INDEX('TRIP MANAGER'!$T$18:$T$25,V$2),$A7&lt;&gt;INDEX('TRIP MANAGER'!$U$18:$U$25,V$2)),1,0))</f>
        <v/>
      </c>
      <c r="W7">
        <f t="array" ref="W7">IF($A7="","",IF(AND(INDEX($C7:$J7,W$2)&gt;0,$A7&lt;&gt;INDEX('TRIP MANAGER'!$T$18:$T$25,W$2),$A7&lt;&gt;INDEX('TRIP MANAGER'!$U$18:$U$25,W$2)),1,0))</f>
        <v/>
      </c>
      <c r="X7">
        <f t="array" ref="X7">IF($A7="","",IF(AND(INDEX($C7:$J7,X$2)&gt;0,$A7&lt;&gt;INDEX('TRIP MANAGER'!$T$18:$T$25,X$2),$A7&lt;&gt;INDEX('TRIP MANAGER'!$U$18:$U$25,X$2)),1,0))</f>
        <v/>
      </c>
      <c r="Y7">
        <f t="array" ref="Y7">IF($A7="","",IF(AND(INDEX($C7:$J7,Y$2)&gt;0,$A7&lt;&gt;INDEX('TRIP MANAGER'!$T$18:$T$25,Y$2),$A7&lt;&gt;INDEX('TRIP MANAGER'!$U$18:$U$25,Y$2)),1,0))</f>
        <v/>
      </c>
    </row>
    <row r="8">
      <c r="A8">
        <f>IF(countries!$D7="","",countries!$D7)</f>
        <v/>
      </c>
      <c r="B8">
        <f>IF(countries!$B7="","",countries!$B7)</f>
        <v/>
      </c>
      <c r="C8">
        <f>IF($A8="","",COUNTIFS(route_calc!$A$2:$A$1209,C$2,route_calc!$P$2:$P$1209,$A8))</f>
        <v/>
      </c>
      <c r="D8">
        <f>IF($A8="","",COUNTIFS(route_calc!$A$2:$A$1209,D$2,route_calc!$P$2:$P$1209,$A8))</f>
        <v/>
      </c>
      <c r="E8">
        <f>IF($A8="","",COUNTIFS(route_calc!$A$2:$A$1209,E$2,route_calc!$P$2:$P$1209,$A8))</f>
        <v/>
      </c>
      <c r="F8">
        <f>IF($A8="","",COUNTIFS(route_calc!$A$2:$A$1209,F$2,route_calc!$P$2:$P$1209,$A8))</f>
        <v/>
      </c>
      <c r="G8">
        <f>IF($A8="","",COUNTIFS(route_calc!$A$2:$A$1209,G$2,route_calc!$P$2:$P$1209,$A8))</f>
        <v/>
      </c>
      <c r="H8">
        <f>IF($A8="","",COUNTIFS(route_calc!$A$2:$A$1209,H$2,route_calc!$P$2:$P$1209,$A8))</f>
        <v/>
      </c>
      <c r="I8">
        <f>IF($A8="","",COUNTIFS(route_calc!$A$2:$A$1209,I$2,route_calc!$P$2:$P$1209,$A8))</f>
        <v/>
      </c>
      <c r="J8">
        <f>IF($A8="","",COUNTIFS(route_calc!$A$2:$A$1209,J$2,route_calc!$P$2:$P$1209,$A8))</f>
        <v/>
      </c>
      <c r="K8">
        <f>IF($L8=0,"",_xlfn.MINIFS(route_calc!$Q$2:$Q$1209,route_calc!$P$2:$P$1209,$A8,route_calc!$A$2:$A$1209,MATCH(1,$R8:$Y8,0)))</f>
        <v/>
      </c>
      <c r="L8">
        <f>IF($A8="",0,IF(SUM($R8:$Y8)&gt;0,1,0))</f>
        <v/>
      </c>
      <c r="M8">
        <f t="array" ref="M8">IF($L8=0,"",_xlfn.TEXTJOIN(", ",TRUE,IF($R8:$Y8&gt;0,$C$1:$J$1,"")))</f>
        <v/>
      </c>
      <c r="N8">
        <f t="array" ref="N8">IF($L8=0,"",SUMPRODUCT(($L$3:$L$144=1)*($K$3:$K$144&lt;$K8))+1)</f>
        <v/>
      </c>
      <c r="O8">
        <f>IF($L8=0,"",MATCH(1,$R8:$Y8,0))</f>
        <v/>
      </c>
      <c r="P8">
        <f>IF($A8="","",IFERROR(INDEX(countries!$G:$G,MATCH($A8,countries!$D:$D,0)),""))</f>
        <v/>
      </c>
      <c r="Q8">
        <f>IF($A8="","",IFERROR(IF(INDEX(countries!$I:$I,MATCH($A8,countries!$D:$D,0))=0,"",INDEX(countries!$I:$I,MATCH($A8,countries!$D:$D,0))),""))</f>
        <v/>
      </c>
      <c r="R8">
        <f t="array" ref="R8">IF($A8="","",IF(AND(INDEX($C8:$J8,R$2)&gt;0,$A8&lt;&gt;INDEX('TRIP MANAGER'!$T$18:$T$25,R$2),$A8&lt;&gt;INDEX('TRIP MANAGER'!$U$18:$U$25,R$2)),1,0))</f>
        <v/>
      </c>
      <c r="S8">
        <f t="array" ref="S8">IF($A8="","",IF(AND(INDEX($C8:$J8,S$2)&gt;0,$A8&lt;&gt;INDEX('TRIP MANAGER'!$T$18:$T$25,S$2),$A8&lt;&gt;INDEX('TRIP MANAGER'!$U$18:$U$25,S$2)),1,0))</f>
        <v/>
      </c>
      <c r="T8">
        <f t="array" ref="T8">IF($A8="","",IF(AND(INDEX($C8:$J8,T$2)&gt;0,$A8&lt;&gt;INDEX('TRIP MANAGER'!$T$18:$T$25,T$2),$A8&lt;&gt;INDEX('TRIP MANAGER'!$U$18:$U$25,T$2)),1,0))</f>
        <v/>
      </c>
      <c r="U8">
        <f t="array" ref="U8">IF($A8="","",IF(AND(INDEX($C8:$J8,U$2)&gt;0,$A8&lt;&gt;INDEX('TRIP MANAGER'!$T$18:$T$25,U$2),$A8&lt;&gt;INDEX('TRIP MANAGER'!$U$18:$U$25,U$2)),1,0))</f>
        <v/>
      </c>
      <c r="V8">
        <f t="array" ref="V8">IF($A8="","",IF(AND(INDEX($C8:$J8,V$2)&gt;0,$A8&lt;&gt;INDEX('TRIP MANAGER'!$T$18:$T$25,V$2),$A8&lt;&gt;INDEX('TRIP MANAGER'!$U$18:$U$25,V$2)),1,0))</f>
        <v/>
      </c>
      <c r="W8">
        <f t="array" ref="W8">IF($A8="","",IF(AND(INDEX($C8:$J8,W$2)&gt;0,$A8&lt;&gt;INDEX('TRIP MANAGER'!$T$18:$T$25,W$2),$A8&lt;&gt;INDEX('TRIP MANAGER'!$U$18:$U$25,W$2)),1,0))</f>
        <v/>
      </c>
      <c r="X8">
        <f t="array" ref="X8">IF($A8="","",IF(AND(INDEX($C8:$J8,X$2)&gt;0,$A8&lt;&gt;INDEX('TRIP MANAGER'!$T$18:$T$25,X$2),$A8&lt;&gt;INDEX('TRIP MANAGER'!$U$18:$U$25,X$2)),1,0))</f>
        <v/>
      </c>
      <c r="Y8">
        <f t="array" ref="Y8">IF($A8="","",IF(AND(INDEX($C8:$J8,Y$2)&gt;0,$A8&lt;&gt;INDEX('TRIP MANAGER'!$T$18:$T$25,Y$2),$A8&lt;&gt;INDEX('TRIP MANAGER'!$U$18:$U$25,Y$2)),1,0))</f>
        <v/>
      </c>
    </row>
    <row r="9">
      <c r="A9">
        <f>IF(countries!$D8="","",countries!$D8)</f>
        <v/>
      </c>
      <c r="B9">
        <f>IF(countries!$B8="","",countries!$B8)</f>
        <v/>
      </c>
      <c r="C9">
        <f>IF($A9="","",COUNTIFS(route_calc!$A$2:$A$1209,C$2,route_calc!$P$2:$P$1209,$A9))</f>
        <v/>
      </c>
      <c r="D9">
        <f>IF($A9="","",COUNTIFS(route_calc!$A$2:$A$1209,D$2,route_calc!$P$2:$P$1209,$A9))</f>
        <v/>
      </c>
      <c r="E9">
        <f>IF($A9="","",COUNTIFS(route_calc!$A$2:$A$1209,E$2,route_calc!$P$2:$P$1209,$A9))</f>
        <v/>
      </c>
      <c r="F9">
        <f>IF($A9="","",COUNTIFS(route_calc!$A$2:$A$1209,F$2,route_calc!$P$2:$P$1209,$A9))</f>
        <v/>
      </c>
      <c r="G9">
        <f>IF($A9="","",COUNTIFS(route_calc!$A$2:$A$1209,G$2,route_calc!$P$2:$P$1209,$A9))</f>
        <v/>
      </c>
      <c r="H9">
        <f>IF($A9="","",COUNTIFS(route_calc!$A$2:$A$1209,H$2,route_calc!$P$2:$P$1209,$A9))</f>
        <v/>
      </c>
      <c r="I9">
        <f>IF($A9="","",COUNTIFS(route_calc!$A$2:$A$1209,I$2,route_calc!$P$2:$P$1209,$A9))</f>
        <v/>
      </c>
      <c r="J9">
        <f>IF($A9="","",COUNTIFS(route_calc!$A$2:$A$1209,J$2,route_calc!$P$2:$P$1209,$A9))</f>
        <v/>
      </c>
      <c r="K9">
        <f>IF($L9=0,"",_xlfn.MINIFS(route_calc!$Q$2:$Q$1209,route_calc!$P$2:$P$1209,$A9,route_calc!$A$2:$A$1209,MATCH(1,$R9:$Y9,0)))</f>
        <v/>
      </c>
      <c r="L9">
        <f>IF($A9="",0,IF(SUM($R9:$Y9)&gt;0,1,0))</f>
        <v/>
      </c>
      <c r="M9">
        <f t="array" ref="M9">IF($L9=0,"",_xlfn.TEXTJOIN(", ",TRUE,IF($R9:$Y9&gt;0,$C$1:$J$1,"")))</f>
        <v/>
      </c>
      <c r="N9">
        <f t="array" ref="N9">IF($L9=0,"",SUMPRODUCT(($L$3:$L$144=1)*($K$3:$K$144&lt;$K9))+1)</f>
        <v/>
      </c>
      <c r="O9">
        <f>IF($L9=0,"",MATCH(1,$R9:$Y9,0))</f>
        <v/>
      </c>
      <c r="P9">
        <f>IF($A9="","",IFERROR(INDEX(countries!$G:$G,MATCH($A9,countries!$D:$D,0)),""))</f>
        <v/>
      </c>
      <c r="Q9">
        <f>IF($A9="","",IFERROR(IF(INDEX(countries!$I:$I,MATCH($A9,countries!$D:$D,0))=0,"",INDEX(countries!$I:$I,MATCH($A9,countries!$D:$D,0))),""))</f>
        <v/>
      </c>
      <c r="R9">
        <f t="array" ref="R9">IF($A9="","",IF(AND(INDEX($C9:$J9,R$2)&gt;0,$A9&lt;&gt;INDEX('TRIP MANAGER'!$T$18:$T$25,R$2),$A9&lt;&gt;INDEX('TRIP MANAGER'!$U$18:$U$25,R$2)),1,0))</f>
        <v/>
      </c>
      <c r="S9">
        <f t="array" ref="S9">IF($A9="","",IF(AND(INDEX($C9:$J9,S$2)&gt;0,$A9&lt;&gt;INDEX('TRIP MANAGER'!$T$18:$T$25,S$2),$A9&lt;&gt;INDEX('TRIP MANAGER'!$U$18:$U$25,S$2)),1,0))</f>
        <v/>
      </c>
      <c r="T9">
        <f t="array" ref="T9">IF($A9="","",IF(AND(INDEX($C9:$J9,T$2)&gt;0,$A9&lt;&gt;INDEX('TRIP MANAGER'!$T$18:$T$25,T$2),$A9&lt;&gt;INDEX('TRIP MANAGER'!$U$18:$U$25,T$2)),1,0))</f>
        <v/>
      </c>
      <c r="U9">
        <f t="array" ref="U9">IF($A9="","",IF(AND(INDEX($C9:$J9,U$2)&gt;0,$A9&lt;&gt;INDEX('TRIP MANAGER'!$T$18:$T$25,U$2),$A9&lt;&gt;INDEX('TRIP MANAGER'!$U$18:$U$25,U$2)),1,0))</f>
        <v/>
      </c>
      <c r="V9">
        <f t="array" ref="V9">IF($A9="","",IF(AND(INDEX($C9:$J9,V$2)&gt;0,$A9&lt;&gt;INDEX('TRIP MANAGER'!$T$18:$T$25,V$2),$A9&lt;&gt;INDEX('TRIP MANAGER'!$U$18:$U$25,V$2)),1,0))</f>
        <v/>
      </c>
      <c r="W9">
        <f t="array" ref="W9">IF($A9="","",IF(AND(INDEX($C9:$J9,W$2)&gt;0,$A9&lt;&gt;INDEX('TRIP MANAGER'!$T$18:$T$25,W$2),$A9&lt;&gt;INDEX('TRIP MANAGER'!$U$18:$U$25,W$2)),1,0))</f>
        <v/>
      </c>
      <c r="X9">
        <f t="array" ref="X9">IF($A9="","",IF(AND(INDEX($C9:$J9,X$2)&gt;0,$A9&lt;&gt;INDEX('TRIP MANAGER'!$T$18:$T$25,X$2),$A9&lt;&gt;INDEX('TRIP MANAGER'!$U$18:$U$25,X$2)),1,0))</f>
        <v/>
      </c>
      <c r="Y9">
        <f t="array" ref="Y9">IF($A9="","",IF(AND(INDEX($C9:$J9,Y$2)&gt;0,$A9&lt;&gt;INDEX('TRIP MANAGER'!$T$18:$T$25,Y$2),$A9&lt;&gt;INDEX('TRIP MANAGER'!$U$18:$U$25,Y$2)),1,0))</f>
        <v/>
      </c>
    </row>
    <row r="10">
      <c r="A10">
        <f>IF(countries!$D9="","",countries!$D9)</f>
        <v/>
      </c>
      <c r="B10">
        <f>IF(countries!$B9="","",countries!$B9)</f>
        <v/>
      </c>
      <c r="C10">
        <f>IF($A10="","",COUNTIFS(route_calc!$A$2:$A$1209,C$2,route_calc!$P$2:$P$1209,$A10))</f>
        <v/>
      </c>
      <c r="D10">
        <f>IF($A10="","",COUNTIFS(route_calc!$A$2:$A$1209,D$2,route_calc!$P$2:$P$1209,$A10))</f>
        <v/>
      </c>
      <c r="E10">
        <f>IF($A10="","",COUNTIFS(route_calc!$A$2:$A$1209,E$2,route_calc!$P$2:$P$1209,$A10))</f>
        <v/>
      </c>
      <c r="F10">
        <f>IF($A10="","",COUNTIFS(route_calc!$A$2:$A$1209,F$2,route_calc!$P$2:$P$1209,$A10))</f>
        <v/>
      </c>
      <c r="G10">
        <f>IF($A10="","",COUNTIFS(route_calc!$A$2:$A$1209,G$2,route_calc!$P$2:$P$1209,$A10))</f>
        <v/>
      </c>
      <c r="H10">
        <f>IF($A10="","",COUNTIFS(route_calc!$A$2:$A$1209,H$2,route_calc!$P$2:$P$1209,$A10))</f>
        <v/>
      </c>
      <c r="I10">
        <f>IF($A10="","",COUNTIFS(route_calc!$A$2:$A$1209,I$2,route_calc!$P$2:$P$1209,$A10))</f>
        <v/>
      </c>
      <c r="J10">
        <f>IF($A10="","",COUNTIFS(route_calc!$A$2:$A$1209,J$2,route_calc!$P$2:$P$1209,$A10))</f>
        <v/>
      </c>
      <c r="K10">
        <f>IF($L10=0,"",_xlfn.MINIFS(route_calc!$Q$2:$Q$1209,route_calc!$P$2:$P$1209,$A10,route_calc!$A$2:$A$1209,MATCH(1,$R10:$Y10,0)))</f>
        <v/>
      </c>
      <c r="L10">
        <f>IF($A10="",0,IF(SUM($R10:$Y10)&gt;0,1,0))</f>
        <v/>
      </c>
      <c r="M10">
        <f t="array" ref="M10">IF($L10=0,"",_xlfn.TEXTJOIN(", ",TRUE,IF($R10:$Y10&gt;0,$C$1:$J$1,"")))</f>
        <v/>
      </c>
      <c r="N10">
        <f t="array" ref="N10">IF($L10=0,"",SUMPRODUCT(($L$3:$L$144=1)*($K$3:$K$144&lt;$K10))+1)</f>
        <v/>
      </c>
      <c r="O10">
        <f>IF($L10=0,"",MATCH(1,$R10:$Y10,0))</f>
        <v/>
      </c>
      <c r="P10">
        <f>IF($A10="","",IFERROR(INDEX(countries!$G:$G,MATCH($A10,countries!$D:$D,0)),""))</f>
        <v/>
      </c>
      <c r="Q10">
        <f>IF($A10="","",IFERROR(IF(INDEX(countries!$I:$I,MATCH($A10,countries!$D:$D,0))=0,"",INDEX(countries!$I:$I,MATCH($A10,countries!$D:$D,0))),""))</f>
        <v/>
      </c>
      <c r="R10">
        <f t="array" ref="R10">IF($A10="","",IF(AND(INDEX($C10:$J10,R$2)&gt;0,$A10&lt;&gt;INDEX('TRIP MANAGER'!$T$18:$T$25,R$2),$A10&lt;&gt;INDEX('TRIP MANAGER'!$U$18:$U$25,R$2)),1,0))</f>
        <v/>
      </c>
      <c r="S10">
        <f t="array" ref="S10">IF($A10="","",IF(AND(INDEX($C10:$J10,S$2)&gt;0,$A10&lt;&gt;INDEX('TRIP MANAGER'!$T$18:$T$25,S$2),$A10&lt;&gt;INDEX('TRIP MANAGER'!$U$18:$U$25,S$2)),1,0))</f>
        <v/>
      </c>
      <c r="T10">
        <f t="array" ref="T10">IF($A10="","",IF(AND(INDEX($C10:$J10,T$2)&gt;0,$A10&lt;&gt;INDEX('TRIP MANAGER'!$T$18:$T$25,T$2),$A10&lt;&gt;INDEX('TRIP MANAGER'!$U$18:$U$25,T$2)),1,0))</f>
        <v/>
      </c>
      <c r="U10">
        <f t="array" ref="U10">IF($A10="","",IF(AND(INDEX($C10:$J10,U$2)&gt;0,$A10&lt;&gt;INDEX('TRIP MANAGER'!$T$18:$T$25,U$2),$A10&lt;&gt;INDEX('TRIP MANAGER'!$U$18:$U$25,U$2)),1,0))</f>
        <v/>
      </c>
      <c r="V10">
        <f t="array" ref="V10">IF($A10="","",IF(AND(INDEX($C10:$J10,V$2)&gt;0,$A10&lt;&gt;INDEX('TRIP MANAGER'!$T$18:$T$25,V$2),$A10&lt;&gt;INDEX('TRIP MANAGER'!$U$18:$U$25,V$2)),1,0))</f>
        <v/>
      </c>
      <c r="W10">
        <f t="array" ref="W10">IF($A10="","",IF(AND(INDEX($C10:$J10,W$2)&gt;0,$A10&lt;&gt;INDEX('TRIP MANAGER'!$T$18:$T$25,W$2),$A10&lt;&gt;INDEX('TRIP MANAGER'!$U$18:$U$25,W$2)),1,0))</f>
        <v/>
      </c>
      <c r="X10">
        <f t="array" ref="X10">IF($A10="","",IF(AND(INDEX($C10:$J10,X$2)&gt;0,$A10&lt;&gt;INDEX('TRIP MANAGER'!$T$18:$T$25,X$2),$A10&lt;&gt;INDEX('TRIP MANAGER'!$U$18:$U$25,X$2)),1,0))</f>
        <v/>
      </c>
      <c r="Y10">
        <f t="array" ref="Y10">IF($A10="","",IF(AND(INDEX($C10:$J10,Y$2)&gt;0,$A10&lt;&gt;INDEX('TRIP MANAGER'!$T$18:$T$25,Y$2),$A10&lt;&gt;INDEX('TRIP MANAGER'!$U$18:$U$25,Y$2)),1,0))</f>
        <v/>
      </c>
    </row>
    <row r="11">
      <c r="A11">
        <f>IF(countries!$D10="","",countries!$D10)</f>
        <v/>
      </c>
      <c r="B11">
        <f>IF(countries!$B10="","",countries!$B10)</f>
        <v/>
      </c>
      <c r="C11">
        <f>IF($A11="","",COUNTIFS(route_calc!$A$2:$A$1209,C$2,route_calc!$P$2:$P$1209,$A11))</f>
        <v/>
      </c>
      <c r="D11">
        <f>IF($A11="","",COUNTIFS(route_calc!$A$2:$A$1209,D$2,route_calc!$P$2:$P$1209,$A11))</f>
        <v/>
      </c>
      <c r="E11">
        <f>IF($A11="","",COUNTIFS(route_calc!$A$2:$A$1209,E$2,route_calc!$P$2:$P$1209,$A11))</f>
        <v/>
      </c>
      <c r="F11">
        <f>IF($A11="","",COUNTIFS(route_calc!$A$2:$A$1209,F$2,route_calc!$P$2:$P$1209,$A11))</f>
        <v/>
      </c>
      <c r="G11">
        <f>IF($A11="","",COUNTIFS(route_calc!$A$2:$A$1209,G$2,route_calc!$P$2:$P$1209,$A11))</f>
        <v/>
      </c>
      <c r="H11">
        <f>IF($A11="","",COUNTIFS(route_calc!$A$2:$A$1209,H$2,route_calc!$P$2:$P$1209,$A11))</f>
        <v/>
      </c>
      <c r="I11">
        <f>IF($A11="","",COUNTIFS(route_calc!$A$2:$A$1209,I$2,route_calc!$P$2:$P$1209,$A11))</f>
        <v/>
      </c>
      <c r="J11">
        <f>IF($A11="","",COUNTIFS(route_calc!$A$2:$A$1209,J$2,route_calc!$P$2:$P$1209,$A11))</f>
        <v/>
      </c>
      <c r="K11">
        <f>IF($L11=0,"",_xlfn.MINIFS(route_calc!$Q$2:$Q$1209,route_calc!$P$2:$P$1209,$A11,route_calc!$A$2:$A$1209,MATCH(1,$R11:$Y11,0)))</f>
        <v/>
      </c>
      <c r="L11">
        <f>IF($A11="",0,IF(SUM($R11:$Y11)&gt;0,1,0))</f>
        <v/>
      </c>
      <c r="M11">
        <f t="array" ref="M11">IF($L11=0,"",_xlfn.TEXTJOIN(", ",TRUE,IF($R11:$Y11&gt;0,$C$1:$J$1,"")))</f>
        <v/>
      </c>
      <c r="N11">
        <f t="array" ref="N11">IF($L11=0,"",SUMPRODUCT(($L$3:$L$144=1)*($K$3:$K$144&lt;$K11))+1)</f>
        <v/>
      </c>
      <c r="O11">
        <f>IF($L11=0,"",MATCH(1,$R11:$Y11,0))</f>
        <v/>
      </c>
      <c r="P11">
        <f>IF($A11="","",IFERROR(INDEX(countries!$G:$G,MATCH($A11,countries!$D:$D,0)),""))</f>
        <v/>
      </c>
      <c r="Q11">
        <f>IF($A11="","",IFERROR(IF(INDEX(countries!$I:$I,MATCH($A11,countries!$D:$D,0))=0,"",INDEX(countries!$I:$I,MATCH($A11,countries!$D:$D,0))),""))</f>
        <v/>
      </c>
      <c r="R11">
        <f t="array" ref="R11">IF($A11="","",IF(AND(INDEX($C11:$J11,R$2)&gt;0,$A11&lt;&gt;INDEX('TRIP MANAGER'!$T$18:$T$25,R$2),$A11&lt;&gt;INDEX('TRIP MANAGER'!$U$18:$U$25,R$2)),1,0))</f>
        <v/>
      </c>
      <c r="S11">
        <f t="array" ref="S11">IF($A11="","",IF(AND(INDEX($C11:$J11,S$2)&gt;0,$A11&lt;&gt;INDEX('TRIP MANAGER'!$T$18:$T$25,S$2),$A11&lt;&gt;INDEX('TRIP MANAGER'!$U$18:$U$25,S$2)),1,0))</f>
        <v/>
      </c>
      <c r="T11">
        <f t="array" ref="T11">IF($A11="","",IF(AND(INDEX($C11:$J11,T$2)&gt;0,$A11&lt;&gt;INDEX('TRIP MANAGER'!$T$18:$T$25,T$2),$A11&lt;&gt;INDEX('TRIP MANAGER'!$U$18:$U$25,T$2)),1,0))</f>
        <v/>
      </c>
      <c r="U11">
        <f t="array" ref="U11">IF($A11="","",IF(AND(INDEX($C11:$J11,U$2)&gt;0,$A11&lt;&gt;INDEX('TRIP MANAGER'!$T$18:$T$25,U$2),$A11&lt;&gt;INDEX('TRIP MANAGER'!$U$18:$U$25,U$2)),1,0))</f>
        <v/>
      </c>
      <c r="V11">
        <f t="array" ref="V11">IF($A11="","",IF(AND(INDEX($C11:$J11,V$2)&gt;0,$A11&lt;&gt;INDEX('TRIP MANAGER'!$T$18:$T$25,V$2),$A11&lt;&gt;INDEX('TRIP MANAGER'!$U$18:$U$25,V$2)),1,0))</f>
        <v/>
      </c>
      <c r="W11">
        <f t="array" ref="W11">IF($A11="","",IF(AND(INDEX($C11:$J11,W$2)&gt;0,$A11&lt;&gt;INDEX('TRIP MANAGER'!$T$18:$T$25,W$2),$A11&lt;&gt;INDEX('TRIP MANAGER'!$U$18:$U$25,W$2)),1,0))</f>
        <v/>
      </c>
      <c r="X11">
        <f t="array" ref="X11">IF($A11="","",IF(AND(INDEX($C11:$J11,X$2)&gt;0,$A11&lt;&gt;INDEX('TRIP MANAGER'!$T$18:$T$25,X$2),$A11&lt;&gt;INDEX('TRIP MANAGER'!$U$18:$U$25,X$2)),1,0))</f>
        <v/>
      </c>
      <c r="Y11">
        <f t="array" ref="Y11">IF($A11="","",IF(AND(INDEX($C11:$J11,Y$2)&gt;0,$A11&lt;&gt;INDEX('TRIP MANAGER'!$T$18:$T$25,Y$2),$A11&lt;&gt;INDEX('TRIP MANAGER'!$U$18:$U$25,Y$2)),1,0))</f>
        <v/>
      </c>
    </row>
    <row r="12">
      <c r="A12">
        <f>IF(countries!$D11="","",countries!$D11)</f>
        <v/>
      </c>
      <c r="B12">
        <f>IF(countries!$B11="","",countries!$B11)</f>
        <v/>
      </c>
      <c r="C12">
        <f>IF($A12="","",COUNTIFS(route_calc!$A$2:$A$1209,C$2,route_calc!$P$2:$P$1209,$A12))</f>
        <v/>
      </c>
      <c r="D12">
        <f>IF($A12="","",COUNTIFS(route_calc!$A$2:$A$1209,D$2,route_calc!$P$2:$P$1209,$A12))</f>
        <v/>
      </c>
      <c r="E12">
        <f>IF($A12="","",COUNTIFS(route_calc!$A$2:$A$1209,E$2,route_calc!$P$2:$P$1209,$A12))</f>
        <v/>
      </c>
      <c r="F12">
        <f>IF($A12="","",COUNTIFS(route_calc!$A$2:$A$1209,F$2,route_calc!$P$2:$P$1209,$A12))</f>
        <v/>
      </c>
      <c r="G12">
        <f>IF($A12="","",COUNTIFS(route_calc!$A$2:$A$1209,G$2,route_calc!$P$2:$P$1209,$A12))</f>
        <v/>
      </c>
      <c r="H12">
        <f>IF($A12="","",COUNTIFS(route_calc!$A$2:$A$1209,H$2,route_calc!$P$2:$P$1209,$A12))</f>
        <v/>
      </c>
      <c r="I12">
        <f>IF($A12="","",COUNTIFS(route_calc!$A$2:$A$1209,I$2,route_calc!$P$2:$P$1209,$A12))</f>
        <v/>
      </c>
      <c r="J12">
        <f>IF($A12="","",COUNTIFS(route_calc!$A$2:$A$1209,J$2,route_calc!$P$2:$P$1209,$A12))</f>
        <v/>
      </c>
      <c r="K12">
        <f>IF($L12=0,"",_xlfn.MINIFS(route_calc!$Q$2:$Q$1209,route_calc!$P$2:$P$1209,$A12,route_calc!$A$2:$A$1209,MATCH(1,$R12:$Y12,0)))</f>
        <v/>
      </c>
      <c r="L12">
        <f>IF($A12="",0,IF(SUM($R12:$Y12)&gt;0,1,0))</f>
        <v/>
      </c>
      <c r="M12">
        <f t="array" ref="M12">IF($L12=0,"",_xlfn.TEXTJOIN(", ",TRUE,IF($R12:$Y12&gt;0,$C$1:$J$1,"")))</f>
        <v/>
      </c>
      <c r="N12">
        <f t="array" ref="N12">IF($L12=0,"",SUMPRODUCT(($L$3:$L$144=1)*($K$3:$K$144&lt;$K12))+1)</f>
        <v/>
      </c>
      <c r="O12">
        <f>IF($L12=0,"",MATCH(1,$R12:$Y12,0))</f>
        <v/>
      </c>
      <c r="P12">
        <f>IF($A12="","",IFERROR(INDEX(countries!$G:$G,MATCH($A12,countries!$D:$D,0)),""))</f>
        <v/>
      </c>
      <c r="Q12">
        <f>IF($A12="","",IFERROR(IF(INDEX(countries!$I:$I,MATCH($A12,countries!$D:$D,0))=0,"",INDEX(countries!$I:$I,MATCH($A12,countries!$D:$D,0))),""))</f>
        <v/>
      </c>
      <c r="R12">
        <f t="array" ref="R12">IF($A12="","",IF(AND(INDEX($C12:$J12,R$2)&gt;0,$A12&lt;&gt;INDEX('TRIP MANAGER'!$T$18:$T$25,R$2),$A12&lt;&gt;INDEX('TRIP MANAGER'!$U$18:$U$25,R$2)),1,0))</f>
        <v/>
      </c>
      <c r="S12">
        <f t="array" ref="S12">IF($A12="","",IF(AND(INDEX($C12:$J12,S$2)&gt;0,$A12&lt;&gt;INDEX('TRIP MANAGER'!$T$18:$T$25,S$2),$A12&lt;&gt;INDEX('TRIP MANAGER'!$U$18:$U$25,S$2)),1,0))</f>
        <v/>
      </c>
      <c r="T12">
        <f t="array" ref="T12">IF($A12="","",IF(AND(INDEX($C12:$J12,T$2)&gt;0,$A12&lt;&gt;INDEX('TRIP MANAGER'!$T$18:$T$25,T$2),$A12&lt;&gt;INDEX('TRIP MANAGER'!$U$18:$U$25,T$2)),1,0))</f>
        <v/>
      </c>
      <c r="U12">
        <f t="array" ref="U12">IF($A12="","",IF(AND(INDEX($C12:$J12,U$2)&gt;0,$A12&lt;&gt;INDEX('TRIP MANAGER'!$T$18:$T$25,U$2),$A12&lt;&gt;INDEX('TRIP MANAGER'!$U$18:$U$25,U$2)),1,0))</f>
        <v/>
      </c>
      <c r="V12">
        <f t="array" ref="V12">IF($A12="","",IF(AND(INDEX($C12:$J12,V$2)&gt;0,$A12&lt;&gt;INDEX('TRIP MANAGER'!$T$18:$T$25,V$2),$A12&lt;&gt;INDEX('TRIP MANAGER'!$U$18:$U$25,V$2)),1,0))</f>
        <v/>
      </c>
      <c r="W12">
        <f t="array" ref="W12">IF($A12="","",IF(AND(INDEX($C12:$J12,W$2)&gt;0,$A12&lt;&gt;INDEX('TRIP MANAGER'!$T$18:$T$25,W$2),$A12&lt;&gt;INDEX('TRIP MANAGER'!$U$18:$U$25,W$2)),1,0))</f>
        <v/>
      </c>
      <c r="X12">
        <f t="array" ref="X12">IF($A12="","",IF(AND(INDEX($C12:$J12,X$2)&gt;0,$A12&lt;&gt;INDEX('TRIP MANAGER'!$T$18:$T$25,X$2),$A12&lt;&gt;INDEX('TRIP MANAGER'!$U$18:$U$25,X$2)),1,0))</f>
        <v/>
      </c>
      <c r="Y12">
        <f t="array" ref="Y12">IF($A12="","",IF(AND(INDEX($C12:$J12,Y$2)&gt;0,$A12&lt;&gt;INDEX('TRIP MANAGER'!$T$18:$T$25,Y$2),$A12&lt;&gt;INDEX('TRIP MANAGER'!$U$18:$U$25,Y$2)),1,0))</f>
        <v/>
      </c>
    </row>
    <row r="13">
      <c r="A13">
        <f>IF(countries!$D12="","",countries!$D12)</f>
        <v/>
      </c>
      <c r="B13">
        <f>IF(countries!$B12="","",countries!$B12)</f>
        <v/>
      </c>
      <c r="C13">
        <f>IF($A13="","",COUNTIFS(route_calc!$A$2:$A$1209,C$2,route_calc!$P$2:$P$1209,$A13))</f>
        <v/>
      </c>
      <c r="D13">
        <f>IF($A13="","",COUNTIFS(route_calc!$A$2:$A$1209,D$2,route_calc!$P$2:$P$1209,$A13))</f>
        <v/>
      </c>
      <c r="E13">
        <f>IF($A13="","",COUNTIFS(route_calc!$A$2:$A$1209,E$2,route_calc!$P$2:$P$1209,$A13))</f>
        <v/>
      </c>
      <c r="F13">
        <f>IF($A13="","",COUNTIFS(route_calc!$A$2:$A$1209,F$2,route_calc!$P$2:$P$1209,$A13))</f>
        <v/>
      </c>
      <c r="G13">
        <f>IF($A13="","",COUNTIFS(route_calc!$A$2:$A$1209,G$2,route_calc!$P$2:$P$1209,$A13))</f>
        <v/>
      </c>
      <c r="H13">
        <f>IF($A13="","",COUNTIFS(route_calc!$A$2:$A$1209,H$2,route_calc!$P$2:$P$1209,$A13))</f>
        <v/>
      </c>
      <c r="I13">
        <f>IF($A13="","",COUNTIFS(route_calc!$A$2:$A$1209,I$2,route_calc!$P$2:$P$1209,$A13))</f>
        <v/>
      </c>
      <c r="J13">
        <f>IF($A13="","",COUNTIFS(route_calc!$A$2:$A$1209,J$2,route_calc!$P$2:$P$1209,$A13))</f>
        <v/>
      </c>
      <c r="K13">
        <f>IF($L13=0,"",_xlfn.MINIFS(route_calc!$Q$2:$Q$1209,route_calc!$P$2:$P$1209,$A13,route_calc!$A$2:$A$1209,MATCH(1,$R13:$Y13,0)))</f>
        <v/>
      </c>
      <c r="L13">
        <f>IF($A13="",0,IF(SUM($R13:$Y13)&gt;0,1,0))</f>
        <v/>
      </c>
      <c r="M13">
        <f t="array" ref="M13">IF($L13=0,"",_xlfn.TEXTJOIN(", ",TRUE,IF($R13:$Y13&gt;0,$C$1:$J$1,"")))</f>
        <v/>
      </c>
      <c r="N13">
        <f t="array" ref="N13">IF($L13=0,"",SUMPRODUCT(($L$3:$L$144=1)*($K$3:$K$144&lt;$K13))+1)</f>
        <v/>
      </c>
      <c r="O13">
        <f>IF($L13=0,"",MATCH(1,$R13:$Y13,0))</f>
        <v/>
      </c>
      <c r="P13">
        <f>IF($A13="","",IFERROR(INDEX(countries!$G:$G,MATCH($A13,countries!$D:$D,0)),""))</f>
        <v/>
      </c>
      <c r="Q13">
        <f>IF($A13="","",IFERROR(IF(INDEX(countries!$I:$I,MATCH($A13,countries!$D:$D,0))=0,"",INDEX(countries!$I:$I,MATCH($A13,countries!$D:$D,0))),""))</f>
        <v/>
      </c>
      <c r="R13">
        <f t="array" ref="R13">IF($A13="","",IF(AND(INDEX($C13:$J13,R$2)&gt;0,$A13&lt;&gt;INDEX('TRIP MANAGER'!$T$18:$T$25,R$2),$A13&lt;&gt;INDEX('TRIP MANAGER'!$U$18:$U$25,R$2)),1,0))</f>
        <v/>
      </c>
      <c r="S13">
        <f t="array" ref="S13">IF($A13="","",IF(AND(INDEX($C13:$J13,S$2)&gt;0,$A13&lt;&gt;INDEX('TRIP MANAGER'!$T$18:$T$25,S$2),$A13&lt;&gt;INDEX('TRIP MANAGER'!$U$18:$U$25,S$2)),1,0))</f>
        <v/>
      </c>
      <c r="T13">
        <f t="array" ref="T13">IF($A13="","",IF(AND(INDEX($C13:$J13,T$2)&gt;0,$A13&lt;&gt;INDEX('TRIP MANAGER'!$T$18:$T$25,T$2),$A13&lt;&gt;INDEX('TRIP MANAGER'!$U$18:$U$25,T$2)),1,0))</f>
        <v/>
      </c>
      <c r="U13">
        <f t="array" ref="U13">IF($A13="","",IF(AND(INDEX($C13:$J13,U$2)&gt;0,$A13&lt;&gt;INDEX('TRIP MANAGER'!$T$18:$T$25,U$2),$A13&lt;&gt;INDEX('TRIP MANAGER'!$U$18:$U$25,U$2)),1,0))</f>
        <v/>
      </c>
      <c r="V13">
        <f t="array" ref="V13">IF($A13="","",IF(AND(INDEX($C13:$J13,V$2)&gt;0,$A13&lt;&gt;INDEX('TRIP MANAGER'!$T$18:$T$25,V$2),$A13&lt;&gt;INDEX('TRIP MANAGER'!$U$18:$U$25,V$2)),1,0))</f>
        <v/>
      </c>
      <c r="W13">
        <f t="array" ref="W13">IF($A13="","",IF(AND(INDEX($C13:$J13,W$2)&gt;0,$A13&lt;&gt;INDEX('TRIP MANAGER'!$T$18:$T$25,W$2),$A13&lt;&gt;INDEX('TRIP MANAGER'!$U$18:$U$25,W$2)),1,0))</f>
        <v/>
      </c>
      <c r="X13">
        <f t="array" ref="X13">IF($A13="","",IF(AND(INDEX($C13:$J13,X$2)&gt;0,$A13&lt;&gt;INDEX('TRIP MANAGER'!$T$18:$T$25,X$2),$A13&lt;&gt;INDEX('TRIP MANAGER'!$U$18:$U$25,X$2)),1,0))</f>
        <v/>
      </c>
      <c r="Y13">
        <f t="array" ref="Y13">IF($A13="","",IF(AND(INDEX($C13:$J13,Y$2)&gt;0,$A13&lt;&gt;INDEX('TRIP MANAGER'!$T$18:$T$25,Y$2),$A13&lt;&gt;INDEX('TRIP MANAGER'!$U$18:$U$25,Y$2)),1,0))</f>
        <v/>
      </c>
    </row>
    <row r="14">
      <c r="A14">
        <f>IF(countries!$D13="","",countries!$D13)</f>
        <v/>
      </c>
      <c r="B14">
        <f>IF(countries!$B13="","",countries!$B13)</f>
        <v/>
      </c>
      <c r="C14">
        <f>IF($A14="","",COUNTIFS(route_calc!$A$2:$A$1209,C$2,route_calc!$P$2:$P$1209,$A14))</f>
        <v/>
      </c>
      <c r="D14">
        <f>IF($A14="","",COUNTIFS(route_calc!$A$2:$A$1209,D$2,route_calc!$P$2:$P$1209,$A14))</f>
        <v/>
      </c>
      <c r="E14">
        <f>IF($A14="","",COUNTIFS(route_calc!$A$2:$A$1209,E$2,route_calc!$P$2:$P$1209,$A14))</f>
        <v/>
      </c>
      <c r="F14">
        <f>IF($A14="","",COUNTIFS(route_calc!$A$2:$A$1209,F$2,route_calc!$P$2:$P$1209,$A14))</f>
        <v/>
      </c>
      <c r="G14">
        <f>IF($A14="","",COUNTIFS(route_calc!$A$2:$A$1209,G$2,route_calc!$P$2:$P$1209,$A14))</f>
        <v/>
      </c>
      <c r="H14">
        <f>IF($A14="","",COUNTIFS(route_calc!$A$2:$A$1209,H$2,route_calc!$P$2:$P$1209,$A14))</f>
        <v/>
      </c>
      <c r="I14">
        <f>IF($A14="","",COUNTIFS(route_calc!$A$2:$A$1209,I$2,route_calc!$P$2:$P$1209,$A14))</f>
        <v/>
      </c>
      <c r="J14">
        <f>IF($A14="","",COUNTIFS(route_calc!$A$2:$A$1209,J$2,route_calc!$P$2:$P$1209,$A14))</f>
        <v/>
      </c>
      <c r="K14">
        <f>IF($L14=0,"",_xlfn.MINIFS(route_calc!$Q$2:$Q$1209,route_calc!$P$2:$P$1209,$A14,route_calc!$A$2:$A$1209,MATCH(1,$R14:$Y14,0)))</f>
        <v/>
      </c>
      <c r="L14">
        <f>IF($A14="",0,IF(SUM($R14:$Y14)&gt;0,1,0))</f>
        <v/>
      </c>
      <c r="M14">
        <f t="array" ref="M14">IF($L14=0,"",_xlfn.TEXTJOIN(", ",TRUE,IF($R14:$Y14&gt;0,$C$1:$J$1,"")))</f>
        <v/>
      </c>
      <c r="N14">
        <f t="array" ref="N14">IF($L14=0,"",SUMPRODUCT(($L$3:$L$144=1)*($K$3:$K$144&lt;$K14))+1)</f>
        <v/>
      </c>
      <c r="O14">
        <f>IF($L14=0,"",MATCH(1,$R14:$Y14,0))</f>
        <v/>
      </c>
      <c r="P14">
        <f>IF($A14="","",IFERROR(INDEX(countries!$G:$G,MATCH($A14,countries!$D:$D,0)),""))</f>
        <v/>
      </c>
      <c r="Q14">
        <f>IF($A14="","",IFERROR(IF(INDEX(countries!$I:$I,MATCH($A14,countries!$D:$D,0))=0,"",INDEX(countries!$I:$I,MATCH($A14,countries!$D:$D,0))),""))</f>
        <v/>
      </c>
      <c r="R14">
        <f t="array" ref="R14">IF($A14="","",IF(AND(INDEX($C14:$J14,R$2)&gt;0,$A14&lt;&gt;INDEX('TRIP MANAGER'!$T$18:$T$25,R$2),$A14&lt;&gt;INDEX('TRIP MANAGER'!$U$18:$U$25,R$2)),1,0))</f>
        <v/>
      </c>
      <c r="S14">
        <f t="array" ref="S14">IF($A14="","",IF(AND(INDEX($C14:$J14,S$2)&gt;0,$A14&lt;&gt;INDEX('TRIP MANAGER'!$T$18:$T$25,S$2),$A14&lt;&gt;INDEX('TRIP MANAGER'!$U$18:$U$25,S$2)),1,0))</f>
        <v/>
      </c>
      <c r="T14">
        <f t="array" ref="T14">IF($A14="","",IF(AND(INDEX($C14:$J14,T$2)&gt;0,$A14&lt;&gt;INDEX('TRIP MANAGER'!$T$18:$T$25,T$2),$A14&lt;&gt;INDEX('TRIP MANAGER'!$U$18:$U$25,T$2)),1,0))</f>
        <v/>
      </c>
      <c r="U14">
        <f t="array" ref="U14">IF($A14="","",IF(AND(INDEX($C14:$J14,U$2)&gt;0,$A14&lt;&gt;INDEX('TRIP MANAGER'!$T$18:$T$25,U$2),$A14&lt;&gt;INDEX('TRIP MANAGER'!$U$18:$U$25,U$2)),1,0))</f>
        <v/>
      </c>
      <c r="V14">
        <f t="array" ref="V14">IF($A14="","",IF(AND(INDEX($C14:$J14,V$2)&gt;0,$A14&lt;&gt;INDEX('TRIP MANAGER'!$T$18:$T$25,V$2),$A14&lt;&gt;INDEX('TRIP MANAGER'!$U$18:$U$25,V$2)),1,0))</f>
        <v/>
      </c>
      <c r="W14">
        <f t="array" ref="W14">IF($A14="","",IF(AND(INDEX($C14:$J14,W$2)&gt;0,$A14&lt;&gt;INDEX('TRIP MANAGER'!$T$18:$T$25,W$2),$A14&lt;&gt;INDEX('TRIP MANAGER'!$U$18:$U$25,W$2)),1,0))</f>
        <v/>
      </c>
      <c r="X14">
        <f t="array" ref="X14">IF($A14="","",IF(AND(INDEX($C14:$J14,X$2)&gt;0,$A14&lt;&gt;INDEX('TRIP MANAGER'!$T$18:$T$25,X$2),$A14&lt;&gt;INDEX('TRIP MANAGER'!$U$18:$U$25,X$2)),1,0))</f>
        <v/>
      </c>
      <c r="Y14">
        <f t="array" ref="Y14">IF($A14="","",IF(AND(INDEX($C14:$J14,Y$2)&gt;0,$A14&lt;&gt;INDEX('TRIP MANAGER'!$T$18:$T$25,Y$2),$A14&lt;&gt;INDEX('TRIP MANAGER'!$U$18:$U$25,Y$2)),1,0))</f>
        <v/>
      </c>
    </row>
    <row r="15">
      <c r="A15">
        <f>IF(countries!$D14="","",countries!$D14)</f>
        <v/>
      </c>
      <c r="B15">
        <f>IF(countries!$B14="","",countries!$B14)</f>
        <v/>
      </c>
      <c r="C15">
        <f>IF($A15="","",COUNTIFS(route_calc!$A$2:$A$1209,C$2,route_calc!$P$2:$P$1209,$A15))</f>
        <v/>
      </c>
      <c r="D15">
        <f>IF($A15="","",COUNTIFS(route_calc!$A$2:$A$1209,D$2,route_calc!$P$2:$P$1209,$A15))</f>
        <v/>
      </c>
      <c r="E15">
        <f>IF($A15="","",COUNTIFS(route_calc!$A$2:$A$1209,E$2,route_calc!$P$2:$P$1209,$A15))</f>
        <v/>
      </c>
      <c r="F15">
        <f>IF($A15="","",COUNTIFS(route_calc!$A$2:$A$1209,F$2,route_calc!$P$2:$P$1209,$A15))</f>
        <v/>
      </c>
      <c r="G15">
        <f>IF($A15="","",COUNTIFS(route_calc!$A$2:$A$1209,G$2,route_calc!$P$2:$P$1209,$A15))</f>
        <v/>
      </c>
      <c r="H15">
        <f>IF($A15="","",COUNTIFS(route_calc!$A$2:$A$1209,H$2,route_calc!$P$2:$P$1209,$A15))</f>
        <v/>
      </c>
      <c r="I15">
        <f>IF($A15="","",COUNTIFS(route_calc!$A$2:$A$1209,I$2,route_calc!$P$2:$P$1209,$A15))</f>
        <v/>
      </c>
      <c r="J15">
        <f>IF($A15="","",COUNTIFS(route_calc!$A$2:$A$1209,J$2,route_calc!$P$2:$P$1209,$A15))</f>
        <v/>
      </c>
      <c r="K15">
        <f>IF($L15=0,"",_xlfn.MINIFS(route_calc!$Q$2:$Q$1209,route_calc!$P$2:$P$1209,$A15,route_calc!$A$2:$A$1209,MATCH(1,$R15:$Y15,0)))</f>
        <v/>
      </c>
      <c r="L15">
        <f>IF($A15="",0,IF(SUM($R15:$Y15)&gt;0,1,0))</f>
        <v/>
      </c>
      <c r="M15">
        <f t="array" ref="M15">IF($L15=0,"",_xlfn.TEXTJOIN(", ",TRUE,IF($R15:$Y15&gt;0,$C$1:$J$1,"")))</f>
        <v/>
      </c>
      <c r="N15">
        <f t="array" ref="N15">IF($L15=0,"",SUMPRODUCT(($L$3:$L$144=1)*($K$3:$K$144&lt;$K15))+1)</f>
        <v/>
      </c>
      <c r="O15">
        <f>IF($L15=0,"",MATCH(1,$R15:$Y15,0))</f>
        <v/>
      </c>
      <c r="P15">
        <f>IF($A15="","",IFERROR(INDEX(countries!$G:$G,MATCH($A15,countries!$D:$D,0)),""))</f>
        <v/>
      </c>
      <c r="Q15">
        <f>IF($A15="","",IFERROR(IF(INDEX(countries!$I:$I,MATCH($A15,countries!$D:$D,0))=0,"",INDEX(countries!$I:$I,MATCH($A15,countries!$D:$D,0))),""))</f>
        <v/>
      </c>
      <c r="R15">
        <f t="array" ref="R15">IF($A15="","",IF(AND(INDEX($C15:$J15,R$2)&gt;0,$A15&lt;&gt;INDEX('TRIP MANAGER'!$T$18:$T$25,R$2),$A15&lt;&gt;INDEX('TRIP MANAGER'!$U$18:$U$25,R$2)),1,0))</f>
        <v/>
      </c>
      <c r="S15">
        <f t="array" ref="S15">IF($A15="","",IF(AND(INDEX($C15:$J15,S$2)&gt;0,$A15&lt;&gt;INDEX('TRIP MANAGER'!$T$18:$T$25,S$2),$A15&lt;&gt;INDEX('TRIP MANAGER'!$U$18:$U$25,S$2)),1,0))</f>
        <v/>
      </c>
      <c r="T15">
        <f t="array" ref="T15">IF($A15="","",IF(AND(INDEX($C15:$J15,T$2)&gt;0,$A15&lt;&gt;INDEX('TRIP MANAGER'!$T$18:$T$25,T$2),$A15&lt;&gt;INDEX('TRIP MANAGER'!$U$18:$U$25,T$2)),1,0))</f>
        <v/>
      </c>
      <c r="U15">
        <f t="array" ref="U15">IF($A15="","",IF(AND(INDEX($C15:$J15,U$2)&gt;0,$A15&lt;&gt;INDEX('TRIP MANAGER'!$T$18:$T$25,U$2),$A15&lt;&gt;INDEX('TRIP MANAGER'!$U$18:$U$25,U$2)),1,0))</f>
        <v/>
      </c>
      <c r="V15">
        <f t="array" ref="V15">IF($A15="","",IF(AND(INDEX($C15:$J15,V$2)&gt;0,$A15&lt;&gt;INDEX('TRIP MANAGER'!$T$18:$T$25,V$2),$A15&lt;&gt;INDEX('TRIP MANAGER'!$U$18:$U$25,V$2)),1,0))</f>
        <v/>
      </c>
      <c r="W15">
        <f t="array" ref="W15">IF($A15="","",IF(AND(INDEX($C15:$J15,W$2)&gt;0,$A15&lt;&gt;INDEX('TRIP MANAGER'!$T$18:$T$25,W$2),$A15&lt;&gt;INDEX('TRIP MANAGER'!$U$18:$U$25,W$2)),1,0))</f>
        <v/>
      </c>
      <c r="X15">
        <f t="array" ref="X15">IF($A15="","",IF(AND(INDEX($C15:$J15,X$2)&gt;0,$A15&lt;&gt;INDEX('TRIP MANAGER'!$T$18:$T$25,X$2),$A15&lt;&gt;INDEX('TRIP MANAGER'!$U$18:$U$25,X$2)),1,0))</f>
        <v/>
      </c>
      <c r="Y15">
        <f t="array" ref="Y15">IF($A15="","",IF(AND(INDEX($C15:$J15,Y$2)&gt;0,$A15&lt;&gt;INDEX('TRIP MANAGER'!$T$18:$T$25,Y$2),$A15&lt;&gt;INDEX('TRIP MANAGER'!$U$18:$U$25,Y$2)),1,0))</f>
        <v/>
      </c>
    </row>
    <row r="16">
      <c r="A16">
        <f>IF(countries!$D15="","",countries!$D15)</f>
        <v/>
      </c>
      <c r="B16">
        <f>IF(countries!$B15="","",countries!$B15)</f>
        <v/>
      </c>
      <c r="C16">
        <f>IF($A16="","",COUNTIFS(route_calc!$A$2:$A$1209,C$2,route_calc!$P$2:$P$1209,$A16))</f>
        <v/>
      </c>
      <c r="D16">
        <f>IF($A16="","",COUNTIFS(route_calc!$A$2:$A$1209,D$2,route_calc!$P$2:$P$1209,$A16))</f>
        <v/>
      </c>
      <c r="E16">
        <f>IF($A16="","",COUNTIFS(route_calc!$A$2:$A$1209,E$2,route_calc!$P$2:$P$1209,$A16))</f>
        <v/>
      </c>
      <c r="F16">
        <f>IF($A16="","",COUNTIFS(route_calc!$A$2:$A$1209,F$2,route_calc!$P$2:$P$1209,$A16))</f>
        <v/>
      </c>
      <c r="G16">
        <f>IF($A16="","",COUNTIFS(route_calc!$A$2:$A$1209,G$2,route_calc!$P$2:$P$1209,$A16))</f>
        <v/>
      </c>
      <c r="H16">
        <f>IF($A16="","",COUNTIFS(route_calc!$A$2:$A$1209,H$2,route_calc!$P$2:$P$1209,$A16))</f>
        <v/>
      </c>
      <c r="I16">
        <f>IF($A16="","",COUNTIFS(route_calc!$A$2:$A$1209,I$2,route_calc!$P$2:$P$1209,$A16))</f>
        <v/>
      </c>
      <c r="J16">
        <f>IF($A16="","",COUNTIFS(route_calc!$A$2:$A$1209,J$2,route_calc!$P$2:$P$1209,$A16))</f>
        <v/>
      </c>
      <c r="K16">
        <f>IF($L16=0,"",_xlfn.MINIFS(route_calc!$Q$2:$Q$1209,route_calc!$P$2:$P$1209,$A16,route_calc!$A$2:$A$1209,MATCH(1,$R16:$Y16,0)))</f>
        <v/>
      </c>
      <c r="L16">
        <f>IF($A16="",0,IF(SUM($R16:$Y16)&gt;0,1,0))</f>
        <v/>
      </c>
      <c r="M16">
        <f t="array" ref="M16">IF($L16=0,"",_xlfn.TEXTJOIN(", ",TRUE,IF($R16:$Y16&gt;0,$C$1:$J$1,"")))</f>
        <v/>
      </c>
      <c r="N16">
        <f t="array" ref="N16">IF($L16=0,"",SUMPRODUCT(($L$3:$L$144=1)*($K$3:$K$144&lt;$K16))+1)</f>
        <v/>
      </c>
      <c r="O16">
        <f>IF($L16=0,"",MATCH(1,$R16:$Y16,0))</f>
        <v/>
      </c>
      <c r="P16">
        <f>IF($A16="","",IFERROR(INDEX(countries!$G:$G,MATCH($A16,countries!$D:$D,0)),""))</f>
        <v/>
      </c>
      <c r="Q16">
        <f>IF($A16="","",IFERROR(IF(INDEX(countries!$I:$I,MATCH($A16,countries!$D:$D,0))=0,"",INDEX(countries!$I:$I,MATCH($A16,countries!$D:$D,0))),""))</f>
        <v/>
      </c>
      <c r="R16">
        <f t="array" ref="R16">IF($A16="","",IF(AND(INDEX($C16:$J16,R$2)&gt;0,$A16&lt;&gt;INDEX('TRIP MANAGER'!$T$18:$T$25,R$2),$A16&lt;&gt;INDEX('TRIP MANAGER'!$U$18:$U$25,R$2)),1,0))</f>
        <v/>
      </c>
      <c r="S16">
        <f t="array" ref="S16">IF($A16="","",IF(AND(INDEX($C16:$J16,S$2)&gt;0,$A16&lt;&gt;INDEX('TRIP MANAGER'!$T$18:$T$25,S$2),$A16&lt;&gt;INDEX('TRIP MANAGER'!$U$18:$U$25,S$2)),1,0))</f>
        <v/>
      </c>
      <c r="T16">
        <f t="array" ref="T16">IF($A16="","",IF(AND(INDEX($C16:$J16,T$2)&gt;0,$A16&lt;&gt;INDEX('TRIP MANAGER'!$T$18:$T$25,T$2),$A16&lt;&gt;INDEX('TRIP MANAGER'!$U$18:$U$25,T$2)),1,0))</f>
        <v/>
      </c>
      <c r="U16">
        <f t="array" ref="U16">IF($A16="","",IF(AND(INDEX($C16:$J16,U$2)&gt;0,$A16&lt;&gt;INDEX('TRIP MANAGER'!$T$18:$T$25,U$2),$A16&lt;&gt;INDEX('TRIP MANAGER'!$U$18:$U$25,U$2)),1,0))</f>
        <v/>
      </c>
      <c r="V16">
        <f t="array" ref="V16">IF($A16="","",IF(AND(INDEX($C16:$J16,V$2)&gt;0,$A16&lt;&gt;INDEX('TRIP MANAGER'!$T$18:$T$25,V$2),$A16&lt;&gt;INDEX('TRIP MANAGER'!$U$18:$U$25,V$2)),1,0))</f>
        <v/>
      </c>
      <c r="W16">
        <f t="array" ref="W16">IF($A16="","",IF(AND(INDEX($C16:$J16,W$2)&gt;0,$A16&lt;&gt;INDEX('TRIP MANAGER'!$T$18:$T$25,W$2),$A16&lt;&gt;INDEX('TRIP MANAGER'!$U$18:$U$25,W$2)),1,0))</f>
        <v/>
      </c>
      <c r="X16">
        <f t="array" ref="X16">IF($A16="","",IF(AND(INDEX($C16:$J16,X$2)&gt;0,$A16&lt;&gt;INDEX('TRIP MANAGER'!$T$18:$T$25,X$2),$A16&lt;&gt;INDEX('TRIP MANAGER'!$U$18:$U$25,X$2)),1,0))</f>
        <v/>
      </c>
      <c r="Y16">
        <f t="array" ref="Y16">IF($A16="","",IF(AND(INDEX($C16:$J16,Y$2)&gt;0,$A16&lt;&gt;INDEX('TRIP MANAGER'!$T$18:$T$25,Y$2),$A16&lt;&gt;INDEX('TRIP MANAGER'!$U$18:$U$25,Y$2)),1,0))</f>
        <v/>
      </c>
    </row>
    <row r="17">
      <c r="A17">
        <f>IF(countries!$D16="","",countries!$D16)</f>
        <v/>
      </c>
      <c r="B17">
        <f>IF(countries!$B16="","",countries!$B16)</f>
        <v/>
      </c>
      <c r="C17">
        <f>IF($A17="","",COUNTIFS(route_calc!$A$2:$A$1209,C$2,route_calc!$P$2:$P$1209,$A17))</f>
        <v/>
      </c>
      <c r="D17">
        <f>IF($A17="","",COUNTIFS(route_calc!$A$2:$A$1209,D$2,route_calc!$P$2:$P$1209,$A17))</f>
        <v/>
      </c>
      <c r="E17">
        <f>IF($A17="","",COUNTIFS(route_calc!$A$2:$A$1209,E$2,route_calc!$P$2:$P$1209,$A17))</f>
        <v/>
      </c>
      <c r="F17">
        <f>IF($A17="","",COUNTIFS(route_calc!$A$2:$A$1209,F$2,route_calc!$P$2:$P$1209,$A17))</f>
        <v/>
      </c>
      <c r="G17">
        <f>IF($A17="","",COUNTIFS(route_calc!$A$2:$A$1209,G$2,route_calc!$P$2:$P$1209,$A17))</f>
        <v/>
      </c>
      <c r="H17">
        <f>IF($A17="","",COUNTIFS(route_calc!$A$2:$A$1209,H$2,route_calc!$P$2:$P$1209,$A17))</f>
        <v/>
      </c>
      <c r="I17">
        <f>IF($A17="","",COUNTIFS(route_calc!$A$2:$A$1209,I$2,route_calc!$P$2:$P$1209,$A17))</f>
        <v/>
      </c>
      <c r="J17">
        <f>IF($A17="","",COUNTIFS(route_calc!$A$2:$A$1209,J$2,route_calc!$P$2:$P$1209,$A17))</f>
        <v/>
      </c>
      <c r="K17">
        <f>IF($L17=0,"",_xlfn.MINIFS(route_calc!$Q$2:$Q$1209,route_calc!$P$2:$P$1209,$A17,route_calc!$A$2:$A$1209,MATCH(1,$R17:$Y17,0)))</f>
        <v/>
      </c>
      <c r="L17">
        <f>IF($A17="",0,IF(SUM($R17:$Y17)&gt;0,1,0))</f>
        <v/>
      </c>
      <c r="M17">
        <f t="array" ref="M17">IF($L17=0,"",_xlfn.TEXTJOIN(", ",TRUE,IF($R17:$Y17&gt;0,$C$1:$J$1,"")))</f>
        <v/>
      </c>
      <c r="N17">
        <f t="array" ref="N17">IF($L17=0,"",SUMPRODUCT(($L$3:$L$144=1)*($K$3:$K$144&lt;$K17))+1)</f>
        <v/>
      </c>
      <c r="O17">
        <f>IF($L17=0,"",MATCH(1,$R17:$Y17,0))</f>
        <v/>
      </c>
      <c r="P17">
        <f>IF($A17="","",IFERROR(INDEX(countries!$G:$G,MATCH($A17,countries!$D:$D,0)),""))</f>
        <v/>
      </c>
      <c r="Q17">
        <f>IF($A17="","",IFERROR(IF(INDEX(countries!$I:$I,MATCH($A17,countries!$D:$D,0))=0,"",INDEX(countries!$I:$I,MATCH($A17,countries!$D:$D,0))),""))</f>
        <v/>
      </c>
      <c r="R17">
        <f t="array" ref="R17">IF($A17="","",IF(AND(INDEX($C17:$J17,R$2)&gt;0,$A17&lt;&gt;INDEX('TRIP MANAGER'!$T$18:$T$25,R$2),$A17&lt;&gt;INDEX('TRIP MANAGER'!$U$18:$U$25,R$2)),1,0))</f>
        <v/>
      </c>
      <c r="S17">
        <f t="array" ref="S17">IF($A17="","",IF(AND(INDEX($C17:$J17,S$2)&gt;0,$A17&lt;&gt;INDEX('TRIP MANAGER'!$T$18:$T$25,S$2),$A17&lt;&gt;INDEX('TRIP MANAGER'!$U$18:$U$25,S$2)),1,0))</f>
        <v/>
      </c>
      <c r="T17">
        <f t="array" ref="T17">IF($A17="","",IF(AND(INDEX($C17:$J17,T$2)&gt;0,$A17&lt;&gt;INDEX('TRIP MANAGER'!$T$18:$T$25,T$2),$A17&lt;&gt;INDEX('TRIP MANAGER'!$U$18:$U$25,T$2)),1,0))</f>
        <v/>
      </c>
      <c r="U17">
        <f t="array" ref="U17">IF($A17="","",IF(AND(INDEX($C17:$J17,U$2)&gt;0,$A17&lt;&gt;INDEX('TRIP MANAGER'!$T$18:$T$25,U$2),$A17&lt;&gt;INDEX('TRIP MANAGER'!$U$18:$U$25,U$2)),1,0))</f>
        <v/>
      </c>
      <c r="V17">
        <f t="array" ref="V17">IF($A17="","",IF(AND(INDEX($C17:$J17,V$2)&gt;0,$A17&lt;&gt;INDEX('TRIP MANAGER'!$T$18:$T$25,V$2),$A17&lt;&gt;INDEX('TRIP MANAGER'!$U$18:$U$25,V$2)),1,0))</f>
        <v/>
      </c>
      <c r="W17">
        <f t="array" ref="W17">IF($A17="","",IF(AND(INDEX($C17:$J17,W$2)&gt;0,$A17&lt;&gt;INDEX('TRIP MANAGER'!$T$18:$T$25,W$2),$A17&lt;&gt;INDEX('TRIP MANAGER'!$U$18:$U$25,W$2)),1,0))</f>
        <v/>
      </c>
      <c r="X17">
        <f t="array" ref="X17">IF($A17="","",IF(AND(INDEX($C17:$J17,X$2)&gt;0,$A17&lt;&gt;INDEX('TRIP MANAGER'!$T$18:$T$25,X$2),$A17&lt;&gt;INDEX('TRIP MANAGER'!$U$18:$U$25,X$2)),1,0))</f>
        <v/>
      </c>
      <c r="Y17">
        <f t="array" ref="Y17">IF($A17="","",IF(AND(INDEX($C17:$J17,Y$2)&gt;0,$A17&lt;&gt;INDEX('TRIP MANAGER'!$T$18:$T$25,Y$2),$A17&lt;&gt;INDEX('TRIP MANAGER'!$U$18:$U$25,Y$2)),1,0))</f>
        <v/>
      </c>
    </row>
    <row r="18">
      <c r="A18">
        <f>IF(countries!$D17="","",countries!$D17)</f>
        <v/>
      </c>
      <c r="B18">
        <f>IF(countries!$B17="","",countries!$B17)</f>
        <v/>
      </c>
      <c r="C18">
        <f>IF($A18="","",COUNTIFS(route_calc!$A$2:$A$1209,C$2,route_calc!$P$2:$P$1209,$A18))</f>
        <v/>
      </c>
      <c r="D18">
        <f>IF($A18="","",COUNTIFS(route_calc!$A$2:$A$1209,D$2,route_calc!$P$2:$P$1209,$A18))</f>
        <v/>
      </c>
      <c r="E18">
        <f>IF($A18="","",COUNTIFS(route_calc!$A$2:$A$1209,E$2,route_calc!$P$2:$P$1209,$A18))</f>
        <v/>
      </c>
      <c r="F18">
        <f>IF($A18="","",COUNTIFS(route_calc!$A$2:$A$1209,F$2,route_calc!$P$2:$P$1209,$A18))</f>
        <v/>
      </c>
      <c r="G18">
        <f>IF($A18="","",COUNTIFS(route_calc!$A$2:$A$1209,G$2,route_calc!$P$2:$P$1209,$A18))</f>
        <v/>
      </c>
      <c r="H18">
        <f>IF($A18="","",COUNTIFS(route_calc!$A$2:$A$1209,H$2,route_calc!$P$2:$P$1209,$A18))</f>
        <v/>
      </c>
      <c r="I18">
        <f>IF($A18="","",COUNTIFS(route_calc!$A$2:$A$1209,I$2,route_calc!$P$2:$P$1209,$A18))</f>
        <v/>
      </c>
      <c r="J18">
        <f>IF($A18="","",COUNTIFS(route_calc!$A$2:$A$1209,J$2,route_calc!$P$2:$P$1209,$A18))</f>
        <v/>
      </c>
      <c r="K18">
        <f>IF($L18=0,"",_xlfn.MINIFS(route_calc!$Q$2:$Q$1209,route_calc!$P$2:$P$1209,$A18,route_calc!$A$2:$A$1209,MATCH(1,$R18:$Y18,0)))</f>
        <v/>
      </c>
      <c r="L18">
        <f>IF($A18="",0,IF(SUM($R18:$Y18)&gt;0,1,0))</f>
        <v/>
      </c>
      <c r="M18">
        <f t="array" ref="M18">IF($L18=0,"",_xlfn.TEXTJOIN(", ",TRUE,IF($R18:$Y18&gt;0,$C$1:$J$1,"")))</f>
        <v/>
      </c>
      <c r="N18">
        <f t="array" ref="N18">IF($L18=0,"",SUMPRODUCT(($L$3:$L$144=1)*($K$3:$K$144&lt;$K18))+1)</f>
        <v/>
      </c>
      <c r="O18">
        <f>IF($L18=0,"",MATCH(1,$R18:$Y18,0))</f>
        <v/>
      </c>
      <c r="P18">
        <f>IF($A18="","",IFERROR(INDEX(countries!$G:$G,MATCH($A18,countries!$D:$D,0)),""))</f>
        <v/>
      </c>
      <c r="Q18">
        <f>IF($A18="","",IFERROR(IF(INDEX(countries!$I:$I,MATCH($A18,countries!$D:$D,0))=0,"",INDEX(countries!$I:$I,MATCH($A18,countries!$D:$D,0))),""))</f>
        <v/>
      </c>
      <c r="R18">
        <f t="array" ref="R18">IF($A18="","",IF(AND(INDEX($C18:$J18,R$2)&gt;0,$A18&lt;&gt;INDEX('TRIP MANAGER'!$T$18:$T$25,R$2),$A18&lt;&gt;INDEX('TRIP MANAGER'!$U$18:$U$25,R$2)),1,0))</f>
        <v/>
      </c>
      <c r="S18">
        <f t="array" ref="S18">IF($A18="","",IF(AND(INDEX($C18:$J18,S$2)&gt;0,$A18&lt;&gt;INDEX('TRIP MANAGER'!$T$18:$T$25,S$2),$A18&lt;&gt;INDEX('TRIP MANAGER'!$U$18:$U$25,S$2)),1,0))</f>
        <v/>
      </c>
      <c r="T18">
        <f t="array" ref="T18">IF($A18="","",IF(AND(INDEX($C18:$J18,T$2)&gt;0,$A18&lt;&gt;INDEX('TRIP MANAGER'!$T$18:$T$25,T$2),$A18&lt;&gt;INDEX('TRIP MANAGER'!$U$18:$U$25,T$2)),1,0))</f>
        <v/>
      </c>
      <c r="U18">
        <f t="array" ref="U18">IF($A18="","",IF(AND(INDEX($C18:$J18,U$2)&gt;0,$A18&lt;&gt;INDEX('TRIP MANAGER'!$T$18:$T$25,U$2),$A18&lt;&gt;INDEX('TRIP MANAGER'!$U$18:$U$25,U$2)),1,0))</f>
        <v/>
      </c>
      <c r="V18">
        <f t="array" ref="V18">IF($A18="","",IF(AND(INDEX($C18:$J18,V$2)&gt;0,$A18&lt;&gt;INDEX('TRIP MANAGER'!$T$18:$T$25,V$2),$A18&lt;&gt;INDEX('TRIP MANAGER'!$U$18:$U$25,V$2)),1,0))</f>
        <v/>
      </c>
      <c r="W18">
        <f t="array" ref="W18">IF($A18="","",IF(AND(INDEX($C18:$J18,W$2)&gt;0,$A18&lt;&gt;INDEX('TRIP MANAGER'!$T$18:$T$25,W$2),$A18&lt;&gt;INDEX('TRIP MANAGER'!$U$18:$U$25,W$2)),1,0))</f>
        <v/>
      </c>
      <c r="X18">
        <f t="array" ref="X18">IF($A18="","",IF(AND(INDEX($C18:$J18,X$2)&gt;0,$A18&lt;&gt;INDEX('TRIP MANAGER'!$T$18:$T$25,X$2),$A18&lt;&gt;INDEX('TRIP MANAGER'!$U$18:$U$25,X$2)),1,0))</f>
        <v/>
      </c>
      <c r="Y18">
        <f t="array" ref="Y18">IF($A18="","",IF(AND(INDEX($C18:$J18,Y$2)&gt;0,$A18&lt;&gt;INDEX('TRIP MANAGER'!$T$18:$T$25,Y$2),$A18&lt;&gt;INDEX('TRIP MANAGER'!$U$18:$U$25,Y$2)),1,0))</f>
        <v/>
      </c>
    </row>
    <row r="19">
      <c r="A19">
        <f>IF(countries!$D18="","",countries!$D18)</f>
        <v/>
      </c>
      <c r="B19">
        <f>IF(countries!$B18="","",countries!$B18)</f>
        <v/>
      </c>
      <c r="C19">
        <f>IF($A19="","",COUNTIFS(route_calc!$A$2:$A$1209,C$2,route_calc!$P$2:$P$1209,$A19))</f>
        <v/>
      </c>
      <c r="D19">
        <f>IF($A19="","",COUNTIFS(route_calc!$A$2:$A$1209,D$2,route_calc!$P$2:$P$1209,$A19))</f>
        <v/>
      </c>
      <c r="E19">
        <f>IF($A19="","",COUNTIFS(route_calc!$A$2:$A$1209,E$2,route_calc!$P$2:$P$1209,$A19))</f>
        <v/>
      </c>
      <c r="F19">
        <f>IF($A19="","",COUNTIFS(route_calc!$A$2:$A$1209,F$2,route_calc!$P$2:$P$1209,$A19))</f>
        <v/>
      </c>
      <c r="G19">
        <f>IF($A19="","",COUNTIFS(route_calc!$A$2:$A$1209,G$2,route_calc!$P$2:$P$1209,$A19))</f>
        <v/>
      </c>
      <c r="H19">
        <f>IF($A19="","",COUNTIFS(route_calc!$A$2:$A$1209,H$2,route_calc!$P$2:$P$1209,$A19))</f>
        <v/>
      </c>
      <c r="I19">
        <f>IF($A19="","",COUNTIFS(route_calc!$A$2:$A$1209,I$2,route_calc!$P$2:$P$1209,$A19))</f>
        <v/>
      </c>
      <c r="J19">
        <f>IF($A19="","",COUNTIFS(route_calc!$A$2:$A$1209,J$2,route_calc!$P$2:$P$1209,$A19))</f>
        <v/>
      </c>
      <c r="K19">
        <f>IF($L19=0,"",_xlfn.MINIFS(route_calc!$Q$2:$Q$1209,route_calc!$P$2:$P$1209,$A19,route_calc!$A$2:$A$1209,MATCH(1,$R19:$Y19,0)))</f>
        <v/>
      </c>
      <c r="L19">
        <f>IF($A19="",0,IF(SUM($R19:$Y19)&gt;0,1,0))</f>
        <v/>
      </c>
      <c r="M19">
        <f t="array" ref="M19">IF($L19=0,"",_xlfn.TEXTJOIN(", ",TRUE,IF($R19:$Y19&gt;0,$C$1:$J$1,"")))</f>
        <v/>
      </c>
      <c r="N19">
        <f t="array" ref="N19">IF($L19=0,"",SUMPRODUCT(($L$3:$L$144=1)*($K$3:$K$144&lt;$K19))+1)</f>
        <v/>
      </c>
      <c r="O19">
        <f>IF($L19=0,"",MATCH(1,$R19:$Y19,0))</f>
        <v/>
      </c>
      <c r="P19">
        <f>IF($A19="","",IFERROR(INDEX(countries!$G:$G,MATCH($A19,countries!$D:$D,0)),""))</f>
        <v/>
      </c>
      <c r="Q19">
        <f>IF($A19="","",IFERROR(IF(INDEX(countries!$I:$I,MATCH($A19,countries!$D:$D,0))=0,"",INDEX(countries!$I:$I,MATCH($A19,countries!$D:$D,0))),""))</f>
        <v/>
      </c>
      <c r="R19">
        <f t="array" ref="R19">IF($A19="","",IF(AND(INDEX($C19:$J19,R$2)&gt;0,$A19&lt;&gt;INDEX('TRIP MANAGER'!$T$18:$T$25,R$2),$A19&lt;&gt;INDEX('TRIP MANAGER'!$U$18:$U$25,R$2)),1,0))</f>
        <v/>
      </c>
      <c r="S19">
        <f t="array" ref="S19">IF($A19="","",IF(AND(INDEX($C19:$J19,S$2)&gt;0,$A19&lt;&gt;INDEX('TRIP MANAGER'!$T$18:$T$25,S$2),$A19&lt;&gt;INDEX('TRIP MANAGER'!$U$18:$U$25,S$2)),1,0))</f>
        <v/>
      </c>
      <c r="T19">
        <f t="array" ref="T19">IF($A19="","",IF(AND(INDEX($C19:$J19,T$2)&gt;0,$A19&lt;&gt;INDEX('TRIP MANAGER'!$T$18:$T$25,T$2),$A19&lt;&gt;INDEX('TRIP MANAGER'!$U$18:$U$25,T$2)),1,0))</f>
        <v/>
      </c>
      <c r="U19">
        <f t="array" ref="U19">IF($A19="","",IF(AND(INDEX($C19:$J19,U$2)&gt;0,$A19&lt;&gt;INDEX('TRIP MANAGER'!$T$18:$T$25,U$2),$A19&lt;&gt;INDEX('TRIP MANAGER'!$U$18:$U$25,U$2)),1,0))</f>
        <v/>
      </c>
      <c r="V19">
        <f t="array" ref="V19">IF($A19="","",IF(AND(INDEX($C19:$J19,V$2)&gt;0,$A19&lt;&gt;INDEX('TRIP MANAGER'!$T$18:$T$25,V$2),$A19&lt;&gt;INDEX('TRIP MANAGER'!$U$18:$U$25,V$2)),1,0))</f>
        <v/>
      </c>
      <c r="W19">
        <f t="array" ref="W19">IF($A19="","",IF(AND(INDEX($C19:$J19,W$2)&gt;0,$A19&lt;&gt;INDEX('TRIP MANAGER'!$T$18:$T$25,W$2),$A19&lt;&gt;INDEX('TRIP MANAGER'!$U$18:$U$25,W$2)),1,0))</f>
        <v/>
      </c>
      <c r="X19">
        <f t="array" ref="X19">IF($A19="","",IF(AND(INDEX($C19:$J19,X$2)&gt;0,$A19&lt;&gt;INDEX('TRIP MANAGER'!$T$18:$T$25,X$2),$A19&lt;&gt;INDEX('TRIP MANAGER'!$U$18:$U$25,X$2)),1,0))</f>
        <v/>
      </c>
      <c r="Y19">
        <f t="array" ref="Y19">IF($A19="","",IF(AND(INDEX($C19:$J19,Y$2)&gt;0,$A19&lt;&gt;INDEX('TRIP MANAGER'!$T$18:$T$25,Y$2),$A19&lt;&gt;INDEX('TRIP MANAGER'!$U$18:$U$25,Y$2)),1,0))</f>
        <v/>
      </c>
    </row>
    <row r="20">
      <c r="A20">
        <f>IF(countries!$D19="","",countries!$D19)</f>
        <v/>
      </c>
      <c r="B20">
        <f>IF(countries!$B19="","",countries!$B19)</f>
        <v/>
      </c>
      <c r="C20">
        <f>IF($A20="","",COUNTIFS(route_calc!$A$2:$A$1209,C$2,route_calc!$P$2:$P$1209,$A20))</f>
        <v/>
      </c>
      <c r="D20">
        <f>IF($A20="","",COUNTIFS(route_calc!$A$2:$A$1209,D$2,route_calc!$P$2:$P$1209,$A20))</f>
        <v/>
      </c>
      <c r="E20">
        <f>IF($A20="","",COUNTIFS(route_calc!$A$2:$A$1209,E$2,route_calc!$P$2:$P$1209,$A20))</f>
        <v/>
      </c>
      <c r="F20">
        <f>IF($A20="","",COUNTIFS(route_calc!$A$2:$A$1209,F$2,route_calc!$P$2:$P$1209,$A20))</f>
        <v/>
      </c>
      <c r="G20">
        <f>IF($A20="","",COUNTIFS(route_calc!$A$2:$A$1209,G$2,route_calc!$P$2:$P$1209,$A20))</f>
        <v/>
      </c>
      <c r="H20">
        <f>IF($A20="","",COUNTIFS(route_calc!$A$2:$A$1209,H$2,route_calc!$P$2:$P$1209,$A20))</f>
        <v/>
      </c>
      <c r="I20">
        <f>IF($A20="","",COUNTIFS(route_calc!$A$2:$A$1209,I$2,route_calc!$P$2:$P$1209,$A20))</f>
        <v/>
      </c>
      <c r="J20">
        <f>IF($A20="","",COUNTIFS(route_calc!$A$2:$A$1209,J$2,route_calc!$P$2:$P$1209,$A20))</f>
        <v/>
      </c>
      <c r="K20">
        <f>IF($L20=0,"",_xlfn.MINIFS(route_calc!$Q$2:$Q$1209,route_calc!$P$2:$P$1209,$A20,route_calc!$A$2:$A$1209,MATCH(1,$R20:$Y20,0)))</f>
        <v/>
      </c>
      <c r="L20">
        <f>IF($A20="",0,IF(SUM($R20:$Y20)&gt;0,1,0))</f>
        <v/>
      </c>
      <c r="M20">
        <f t="array" ref="M20">IF($L20=0,"",_xlfn.TEXTJOIN(", ",TRUE,IF($R20:$Y20&gt;0,$C$1:$J$1,"")))</f>
        <v/>
      </c>
      <c r="N20">
        <f t="array" ref="N20">IF($L20=0,"",SUMPRODUCT(($L$3:$L$144=1)*($K$3:$K$144&lt;$K20))+1)</f>
        <v/>
      </c>
      <c r="O20">
        <f>IF($L20=0,"",MATCH(1,$R20:$Y20,0))</f>
        <v/>
      </c>
      <c r="P20">
        <f>IF($A20="","",IFERROR(INDEX(countries!$G:$G,MATCH($A20,countries!$D:$D,0)),""))</f>
        <v/>
      </c>
      <c r="Q20">
        <f>IF($A20="","",IFERROR(IF(INDEX(countries!$I:$I,MATCH($A20,countries!$D:$D,0))=0,"",INDEX(countries!$I:$I,MATCH($A20,countries!$D:$D,0))),""))</f>
        <v/>
      </c>
      <c r="R20">
        <f t="array" ref="R20">IF($A20="","",IF(AND(INDEX($C20:$J20,R$2)&gt;0,$A20&lt;&gt;INDEX('TRIP MANAGER'!$T$18:$T$25,R$2),$A20&lt;&gt;INDEX('TRIP MANAGER'!$U$18:$U$25,R$2)),1,0))</f>
        <v/>
      </c>
      <c r="S20">
        <f t="array" ref="S20">IF($A20="","",IF(AND(INDEX($C20:$J20,S$2)&gt;0,$A20&lt;&gt;INDEX('TRIP MANAGER'!$T$18:$T$25,S$2),$A20&lt;&gt;INDEX('TRIP MANAGER'!$U$18:$U$25,S$2)),1,0))</f>
        <v/>
      </c>
      <c r="T20">
        <f t="array" ref="T20">IF($A20="","",IF(AND(INDEX($C20:$J20,T$2)&gt;0,$A20&lt;&gt;INDEX('TRIP MANAGER'!$T$18:$T$25,T$2),$A20&lt;&gt;INDEX('TRIP MANAGER'!$U$18:$U$25,T$2)),1,0))</f>
        <v/>
      </c>
      <c r="U20">
        <f t="array" ref="U20">IF($A20="","",IF(AND(INDEX($C20:$J20,U$2)&gt;0,$A20&lt;&gt;INDEX('TRIP MANAGER'!$T$18:$T$25,U$2),$A20&lt;&gt;INDEX('TRIP MANAGER'!$U$18:$U$25,U$2)),1,0))</f>
        <v/>
      </c>
      <c r="V20">
        <f t="array" ref="V20">IF($A20="","",IF(AND(INDEX($C20:$J20,V$2)&gt;0,$A20&lt;&gt;INDEX('TRIP MANAGER'!$T$18:$T$25,V$2),$A20&lt;&gt;INDEX('TRIP MANAGER'!$U$18:$U$25,V$2)),1,0))</f>
        <v/>
      </c>
      <c r="W20">
        <f t="array" ref="W20">IF($A20="","",IF(AND(INDEX($C20:$J20,W$2)&gt;0,$A20&lt;&gt;INDEX('TRIP MANAGER'!$T$18:$T$25,W$2),$A20&lt;&gt;INDEX('TRIP MANAGER'!$U$18:$U$25,W$2)),1,0))</f>
        <v/>
      </c>
      <c r="X20">
        <f t="array" ref="X20">IF($A20="","",IF(AND(INDEX($C20:$J20,X$2)&gt;0,$A20&lt;&gt;INDEX('TRIP MANAGER'!$T$18:$T$25,X$2),$A20&lt;&gt;INDEX('TRIP MANAGER'!$U$18:$U$25,X$2)),1,0))</f>
        <v/>
      </c>
      <c r="Y20">
        <f t="array" ref="Y20">IF($A20="","",IF(AND(INDEX($C20:$J20,Y$2)&gt;0,$A20&lt;&gt;INDEX('TRIP MANAGER'!$T$18:$T$25,Y$2),$A20&lt;&gt;INDEX('TRIP MANAGER'!$U$18:$U$25,Y$2)),1,0))</f>
        <v/>
      </c>
    </row>
    <row r="21">
      <c r="A21">
        <f>IF(countries!$D20="","",countries!$D20)</f>
        <v/>
      </c>
      <c r="B21">
        <f>IF(countries!$B20="","",countries!$B20)</f>
        <v/>
      </c>
      <c r="C21">
        <f>IF($A21="","",COUNTIFS(route_calc!$A$2:$A$1209,C$2,route_calc!$P$2:$P$1209,$A21))</f>
        <v/>
      </c>
      <c r="D21">
        <f>IF($A21="","",COUNTIFS(route_calc!$A$2:$A$1209,D$2,route_calc!$P$2:$P$1209,$A21))</f>
        <v/>
      </c>
      <c r="E21">
        <f>IF($A21="","",COUNTIFS(route_calc!$A$2:$A$1209,E$2,route_calc!$P$2:$P$1209,$A21))</f>
        <v/>
      </c>
      <c r="F21">
        <f>IF($A21="","",COUNTIFS(route_calc!$A$2:$A$1209,F$2,route_calc!$P$2:$P$1209,$A21))</f>
        <v/>
      </c>
      <c r="G21">
        <f>IF($A21="","",COUNTIFS(route_calc!$A$2:$A$1209,G$2,route_calc!$P$2:$P$1209,$A21))</f>
        <v/>
      </c>
      <c r="H21">
        <f>IF($A21="","",COUNTIFS(route_calc!$A$2:$A$1209,H$2,route_calc!$P$2:$P$1209,$A21))</f>
        <v/>
      </c>
      <c r="I21">
        <f>IF($A21="","",COUNTIFS(route_calc!$A$2:$A$1209,I$2,route_calc!$P$2:$P$1209,$A21))</f>
        <v/>
      </c>
      <c r="J21">
        <f>IF($A21="","",COUNTIFS(route_calc!$A$2:$A$1209,J$2,route_calc!$P$2:$P$1209,$A21))</f>
        <v/>
      </c>
      <c r="K21">
        <f>IF($L21=0,"",_xlfn.MINIFS(route_calc!$Q$2:$Q$1209,route_calc!$P$2:$P$1209,$A21,route_calc!$A$2:$A$1209,MATCH(1,$R21:$Y21,0)))</f>
        <v/>
      </c>
      <c r="L21">
        <f>IF($A21="",0,IF(SUM($R21:$Y21)&gt;0,1,0))</f>
        <v/>
      </c>
      <c r="M21">
        <f t="array" ref="M21">IF($L21=0,"",_xlfn.TEXTJOIN(", ",TRUE,IF($R21:$Y21&gt;0,$C$1:$J$1,"")))</f>
        <v/>
      </c>
      <c r="N21">
        <f t="array" ref="N21">IF($L21=0,"",SUMPRODUCT(($L$3:$L$144=1)*($K$3:$K$144&lt;$K21))+1)</f>
        <v/>
      </c>
      <c r="O21">
        <f>IF($L21=0,"",MATCH(1,$R21:$Y21,0))</f>
        <v/>
      </c>
      <c r="P21">
        <f>IF($A21="","",IFERROR(INDEX(countries!$G:$G,MATCH($A21,countries!$D:$D,0)),""))</f>
        <v/>
      </c>
      <c r="Q21">
        <f>IF($A21="","",IFERROR(IF(INDEX(countries!$I:$I,MATCH($A21,countries!$D:$D,0))=0,"",INDEX(countries!$I:$I,MATCH($A21,countries!$D:$D,0))),""))</f>
        <v/>
      </c>
      <c r="R21">
        <f t="array" ref="R21">IF($A21="","",IF(AND(INDEX($C21:$J21,R$2)&gt;0,$A21&lt;&gt;INDEX('TRIP MANAGER'!$T$18:$T$25,R$2),$A21&lt;&gt;INDEX('TRIP MANAGER'!$U$18:$U$25,R$2)),1,0))</f>
        <v/>
      </c>
      <c r="S21">
        <f t="array" ref="S21">IF($A21="","",IF(AND(INDEX($C21:$J21,S$2)&gt;0,$A21&lt;&gt;INDEX('TRIP MANAGER'!$T$18:$T$25,S$2),$A21&lt;&gt;INDEX('TRIP MANAGER'!$U$18:$U$25,S$2)),1,0))</f>
        <v/>
      </c>
      <c r="T21">
        <f t="array" ref="T21">IF($A21="","",IF(AND(INDEX($C21:$J21,T$2)&gt;0,$A21&lt;&gt;INDEX('TRIP MANAGER'!$T$18:$T$25,T$2),$A21&lt;&gt;INDEX('TRIP MANAGER'!$U$18:$U$25,T$2)),1,0))</f>
        <v/>
      </c>
      <c r="U21">
        <f t="array" ref="U21">IF($A21="","",IF(AND(INDEX($C21:$J21,U$2)&gt;0,$A21&lt;&gt;INDEX('TRIP MANAGER'!$T$18:$T$25,U$2),$A21&lt;&gt;INDEX('TRIP MANAGER'!$U$18:$U$25,U$2)),1,0))</f>
        <v/>
      </c>
      <c r="V21">
        <f t="array" ref="V21">IF($A21="","",IF(AND(INDEX($C21:$J21,V$2)&gt;0,$A21&lt;&gt;INDEX('TRIP MANAGER'!$T$18:$T$25,V$2),$A21&lt;&gt;INDEX('TRIP MANAGER'!$U$18:$U$25,V$2)),1,0))</f>
        <v/>
      </c>
      <c r="W21">
        <f t="array" ref="W21">IF($A21="","",IF(AND(INDEX($C21:$J21,W$2)&gt;0,$A21&lt;&gt;INDEX('TRIP MANAGER'!$T$18:$T$25,W$2),$A21&lt;&gt;INDEX('TRIP MANAGER'!$U$18:$U$25,W$2)),1,0))</f>
        <v/>
      </c>
      <c r="X21">
        <f t="array" ref="X21">IF($A21="","",IF(AND(INDEX($C21:$J21,X$2)&gt;0,$A21&lt;&gt;INDEX('TRIP MANAGER'!$T$18:$T$25,X$2),$A21&lt;&gt;INDEX('TRIP MANAGER'!$U$18:$U$25,X$2)),1,0))</f>
        <v/>
      </c>
      <c r="Y21">
        <f t="array" ref="Y21">IF($A21="","",IF(AND(INDEX($C21:$J21,Y$2)&gt;0,$A21&lt;&gt;INDEX('TRIP MANAGER'!$T$18:$T$25,Y$2),$A21&lt;&gt;INDEX('TRIP MANAGER'!$U$18:$U$25,Y$2)),1,0))</f>
        <v/>
      </c>
    </row>
    <row r="22">
      <c r="A22">
        <f>IF(countries!$D21="","",countries!$D21)</f>
        <v/>
      </c>
      <c r="B22">
        <f>IF(countries!$B21="","",countries!$B21)</f>
        <v/>
      </c>
      <c r="C22">
        <f>IF($A22="","",COUNTIFS(route_calc!$A$2:$A$1209,C$2,route_calc!$P$2:$P$1209,$A22))</f>
        <v/>
      </c>
      <c r="D22">
        <f>IF($A22="","",COUNTIFS(route_calc!$A$2:$A$1209,D$2,route_calc!$P$2:$P$1209,$A22))</f>
        <v/>
      </c>
      <c r="E22">
        <f>IF($A22="","",COUNTIFS(route_calc!$A$2:$A$1209,E$2,route_calc!$P$2:$P$1209,$A22))</f>
        <v/>
      </c>
      <c r="F22">
        <f>IF($A22="","",COUNTIFS(route_calc!$A$2:$A$1209,F$2,route_calc!$P$2:$P$1209,$A22))</f>
        <v/>
      </c>
      <c r="G22">
        <f>IF($A22="","",COUNTIFS(route_calc!$A$2:$A$1209,G$2,route_calc!$P$2:$P$1209,$A22))</f>
        <v/>
      </c>
      <c r="H22">
        <f>IF($A22="","",COUNTIFS(route_calc!$A$2:$A$1209,H$2,route_calc!$P$2:$P$1209,$A22))</f>
        <v/>
      </c>
      <c r="I22">
        <f>IF($A22="","",COUNTIFS(route_calc!$A$2:$A$1209,I$2,route_calc!$P$2:$P$1209,$A22))</f>
        <v/>
      </c>
      <c r="J22">
        <f>IF($A22="","",COUNTIFS(route_calc!$A$2:$A$1209,J$2,route_calc!$P$2:$P$1209,$A22))</f>
        <v/>
      </c>
      <c r="K22">
        <f>IF($L22=0,"",_xlfn.MINIFS(route_calc!$Q$2:$Q$1209,route_calc!$P$2:$P$1209,$A22,route_calc!$A$2:$A$1209,MATCH(1,$R22:$Y22,0)))</f>
        <v/>
      </c>
      <c r="L22">
        <f>IF($A22="",0,IF(SUM($R22:$Y22)&gt;0,1,0))</f>
        <v/>
      </c>
      <c r="M22">
        <f t="array" ref="M22">IF($L22=0,"",_xlfn.TEXTJOIN(", ",TRUE,IF($R22:$Y22&gt;0,$C$1:$J$1,"")))</f>
        <v/>
      </c>
      <c r="N22">
        <f t="array" ref="N22">IF($L22=0,"",SUMPRODUCT(($L$3:$L$144=1)*($K$3:$K$144&lt;$K22))+1)</f>
        <v/>
      </c>
      <c r="O22">
        <f>IF($L22=0,"",MATCH(1,$R22:$Y22,0))</f>
        <v/>
      </c>
      <c r="P22">
        <f>IF($A22="","",IFERROR(INDEX(countries!$G:$G,MATCH($A22,countries!$D:$D,0)),""))</f>
        <v/>
      </c>
      <c r="Q22">
        <f>IF($A22="","",IFERROR(IF(INDEX(countries!$I:$I,MATCH($A22,countries!$D:$D,0))=0,"",INDEX(countries!$I:$I,MATCH($A22,countries!$D:$D,0))),""))</f>
        <v/>
      </c>
      <c r="R22">
        <f t="array" ref="R22">IF($A22="","",IF(AND(INDEX($C22:$J22,R$2)&gt;0,$A22&lt;&gt;INDEX('TRIP MANAGER'!$T$18:$T$25,R$2),$A22&lt;&gt;INDEX('TRIP MANAGER'!$U$18:$U$25,R$2)),1,0))</f>
        <v/>
      </c>
      <c r="S22">
        <f t="array" ref="S22">IF($A22="","",IF(AND(INDEX($C22:$J22,S$2)&gt;0,$A22&lt;&gt;INDEX('TRIP MANAGER'!$T$18:$T$25,S$2),$A22&lt;&gt;INDEX('TRIP MANAGER'!$U$18:$U$25,S$2)),1,0))</f>
        <v/>
      </c>
      <c r="T22">
        <f t="array" ref="T22">IF($A22="","",IF(AND(INDEX($C22:$J22,T$2)&gt;0,$A22&lt;&gt;INDEX('TRIP MANAGER'!$T$18:$T$25,T$2),$A22&lt;&gt;INDEX('TRIP MANAGER'!$U$18:$U$25,T$2)),1,0))</f>
        <v/>
      </c>
      <c r="U22">
        <f t="array" ref="U22">IF($A22="","",IF(AND(INDEX($C22:$J22,U$2)&gt;0,$A22&lt;&gt;INDEX('TRIP MANAGER'!$T$18:$T$25,U$2),$A22&lt;&gt;INDEX('TRIP MANAGER'!$U$18:$U$25,U$2)),1,0))</f>
        <v/>
      </c>
      <c r="V22">
        <f t="array" ref="V22">IF($A22="","",IF(AND(INDEX($C22:$J22,V$2)&gt;0,$A22&lt;&gt;INDEX('TRIP MANAGER'!$T$18:$T$25,V$2),$A22&lt;&gt;INDEX('TRIP MANAGER'!$U$18:$U$25,V$2)),1,0))</f>
        <v/>
      </c>
      <c r="W22">
        <f t="array" ref="W22">IF($A22="","",IF(AND(INDEX($C22:$J22,W$2)&gt;0,$A22&lt;&gt;INDEX('TRIP MANAGER'!$T$18:$T$25,W$2),$A22&lt;&gt;INDEX('TRIP MANAGER'!$U$18:$U$25,W$2)),1,0))</f>
        <v/>
      </c>
      <c r="X22">
        <f t="array" ref="X22">IF($A22="","",IF(AND(INDEX($C22:$J22,X$2)&gt;0,$A22&lt;&gt;INDEX('TRIP MANAGER'!$T$18:$T$25,X$2),$A22&lt;&gt;INDEX('TRIP MANAGER'!$U$18:$U$25,X$2)),1,0))</f>
        <v/>
      </c>
      <c r="Y22">
        <f t="array" ref="Y22">IF($A22="","",IF(AND(INDEX($C22:$J22,Y$2)&gt;0,$A22&lt;&gt;INDEX('TRIP MANAGER'!$T$18:$T$25,Y$2),$A22&lt;&gt;INDEX('TRIP MANAGER'!$U$18:$U$25,Y$2)),1,0))</f>
        <v/>
      </c>
    </row>
    <row r="23">
      <c r="A23">
        <f>IF(countries!$D22="","",countries!$D22)</f>
        <v/>
      </c>
      <c r="B23">
        <f>IF(countries!$B22="","",countries!$B22)</f>
        <v/>
      </c>
      <c r="C23">
        <f>IF($A23="","",COUNTIFS(route_calc!$A$2:$A$1209,C$2,route_calc!$P$2:$P$1209,$A23))</f>
        <v/>
      </c>
      <c r="D23">
        <f>IF($A23="","",COUNTIFS(route_calc!$A$2:$A$1209,D$2,route_calc!$P$2:$P$1209,$A23))</f>
        <v/>
      </c>
      <c r="E23">
        <f>IF($A23="","",COUNTIFS(route_calc!$A$2:$A$1209,E$2,route_calc!$P$2:$P$1209,$A23))</f>
        <v/>
      </c>
      <c r="F23">
        <f>IF($A23="","",COUNTIFS(route_calc!$A$2:$A$1209,F$2,route_calc!$P$2:$P$1209,$A23))</f>
        <v/>
      </c>
      <c r="G23">
        <f>IF($A23="","",COUNTIFS(route_calc!$A$2:$A$1209,G$2,route_calc!$P$2:$P$1209,$A23))</f>
        <v/>
      </c>
      <c r="H23">
        <f>IF($A23="","",COUNTIFS(route_calc!$A$2:$A$1209,H$2,route_calc!$P$2:$P$1209,$A23))</f>
        <v/>
      </c>
      <c r="I23">
        <f>IF($A23="","",COUNTIFS(route_calc!$A$2:$A$1209,I$2,route_calc!$P$2:$P$1209,$A23))</f>
        <v/>
      </c>
      <c r="J23">
        <f>IF($A23="","",COUNTIFS(route_calc!$A$2:$A$1209,J$2,route_calc!$P$2:$P$1209,$A23))</f>
        <v/>
      </c>
      <c r="K23">
        <f>IF($L23=0,"",_xlfn.MINIFS(route_calc!$Q$2:$Q$1209,route_calc!$P$2:$P$1209,$A23,route_calc!$A$2:$A$1209,MATCH(1,$R23:$Y23,0)))</f>
        <v/>
      </c>
      <c r="L23">
        <f>IF($A23="",0,IF(SUM($R23:$Y23)&gt;0,1,0))</f>
        <v/>
      </c>
      <c r="M23">
        <f t="array" ref="M23">IF($L23=0,"",_xlfn.TEXTJOIN(", ",TRUE,IF($R23:$Y23&gt;0,$C$1:$J$1,"")))</f>
        <v/>
      </c>
      <c r="N23">
        <f t="array" ref="N23">IF($L23=0,"",SUMPRODUCT(($L$3:$L$144=1)*($K$3:$K$144&lt;$K23))+1)</f>
        <v/>
      </c>
      <c r="O23">
        <f>IF($L23=0,"",MATCH(1,$R23:$Y23,0))</f>
        <v/>
      </c>
      <c r="P23">
        <f>IF($A23="","",IFERROR(INDEX(countries!$G:$G,MATCH($A23,countries!$D:$D,0)),""))</f>
        <v/>
      </c>
      <c r="Q23">
        <f>IF($A23="","",IFERROR(IF(INDEX(countries!$I:$I,MATCH($A23,countries!$D:$D,0))=0,"",INDEX(countries!$I:$I,MATCH($A23,countries!$D:$D,0))),""))</f>
        <v/>
      </c>
      <c r="R23">
        <f t="array" ref="R23">IF($A23="","",IF(AND(INDEX($C23:$J23,R$2)&gt;0,$A23&lt;&gt;INDEX('TRIP MANAGER'!$T$18:$T$25,R$2),$A23&lt;&gt;INDEX('TRIP MANAGER'!$U$18:$U$25,R$2)),1,0))</f>
        <v/>
      </c>
      <c r="S23">
        <f t="array" ref="S23">IF($A23="","",IF(AND(INDEX($C23:$J23,S$2)&gt;0,$A23&lt;&gt;INDEX('TRIP MANAGER'!$T$18:$T$25,S$2),$A23&lt;&gt;INDEX('TRIP MANAGER'!$U$18:$U$25,S$2)),1,0))</f>
        <v/>
      </c>
      <c r="T23">
        <f t="array" ref="T23">IF($A23="","",IF(AND(INDEX($C23:$J23,T$2)&gt;0,$A23&lt;&gt;INDEX('TRIP MANAGER'!$T$18:$T$25,T$2),$A23&lt;&gt;INDEX('TRIP MANAGER'!$U$18:$U$25,T$2)),1,0))</f>
        <v/>
      </c>
      <c r="U23">
        <f t="array" ref="U23">IF($A23="","",IF(AND(INDEX($C23:$J23,U$2)&gt;0,$A23&lt;&gt;INDEX('TRIP MANAGER'!$T$18:$T$25,U$2),$A23&lt;&gt;INDEX('TRIP MANAGER'!$U$18:$U$25,U$2)),1,0))</f>
        <v/>
      </c>
      <c r="V23">
        <f t="array" ref="V23">IF($A23="","",IF(AND(INDEX($C23:$J23,V$2)&gt;0,$A23&lt;&gt;INDEX('TRIP MANAGER'!$T$18:$T$25,V$2),$A23&lt;&gt;INDEX('TRIP MANAGER'!$U$18:$U$25,V$2)),1,0))</f>
        <v/>
      </c>
      <c r="W23">
        <f t="array" ref="W23">IF($A23="","",IF(AND(INDEX($C23:$J23,W$2)&gt;0,$A23&lt;&gt;INDEX('TRIP MANAGER'!$T$18:$T$25,W$2),$A23&lt;&gt;INDEX('TRIP MANAGER'!$U$18:$U$25,W$2)),1,0))</f>
        <v/>
      </c>
      <c r="X23">
        <f t="array" ref="X23">IF($A23="","",IF(AND(INDEX($C23:$J23,X$2)&gt;0,$A23&lt;&gt;INDEX('TRIP MANAGER'!$T$18:$T$25,X$2),$A23&lt;&gt;INDEX('TRIP MANAGER'!$U$18:$U$25,X$2)),1,0))</f>
        <v/>
      </c>
      <c r="Y23">
        <f t="array" ref="Y23">IF($A23="","",IF(AND(INDEX($C23:$J23,Y$2)&gt;0,$A23&lt;&gt;INDEX('TRIP MANAGER'!$T$18:$T$25,Y$2),$A23&lt;&gt;INDEX('TRIP MANAGER'!$U$18:$U$25,Y$2)),1,0))</f>
        <v/>
      </c>
    </row>
    <row r="24">
      <c r="A24">
        <f>IF(countries!$D23="","",countries!$D23)</f>
        <v/>
      </c>
      <c r="B24">
        <f>IF(countries!$B23="","",countries!$B23)</f>
        <v/>
      </c>
      <c r="C24">
        <f>IF($A24="","",COUNTIFS(route_calc!$A$2:$A$1209,C$2,route_calc!$P$2:$P$1209,$A24))</f>
        <v/>
      </c>
      <c r="D24">
        <f>IF($A24="","",COUNTIFS(route_calc!$A$2:$A$1209,D$2,route_calc!$P$2:$P$1209,$A24))</f>
        <v/>
      </c>
      <c r="E24">
        <f>IF($A24="","",COUNTIFS(route_calc!$A$2:$A$1209,E$2,route_calc!$P$2:$P$1209,$A24))</f>
        <v/>
      </c>
      <c r="F24">
        <f>IF($A24="","",COUNTIFS(route_calc!$A$2:$A$1209,F$2,route_calc!$P$2:$P$1209,$A24))</f>
        <v/>
      </c>
      <c r="G24">
        <f>IF($A24="","",COUNTIFS(route_calc!$A$2:$A$1209,G$2,route_calc!$P$2:$P$1209,$A24))</f>
        <v/>
      </c>
      <c r="H24">
        <f>IF($A24="","",COUNTIFS(route_calc!$A$2:$A$1209,H$2,route_calc!$P$2:$P$1209,$A24))</f>
        <v/>
      </c>
      <c r="I24">
        <f>IF($A24="","",COUNTIFS(route_calc!$A$2:$A$1209,I$2,route_calc!$P$2:$P$1209,$A24))</f>
        <v/>
      </c>
      <c r="J24">
        <f>IF($A24="","",COUNTIFS(route_calc!$A$2:$A$1209,J$2,route_calc!$P$2:$P$1209,$A24))</f>
        <v/>
      </c>
      <c r="K24">
        <f>IF($L24=0,"",_xlfn.MINIFS(route_calc!$Q$2:$Q$1209,route_calc!$P$2:$P$1209,$A24,route_calc!$A$2:$A$1209,MATCH(1,$R24:$Y24,0)))</f>
        <v/>
      </c>
      <c r="L24">
        <f>IF($A24="",0,IF(SUM($R24:$Y24)&gt;0,1,0))</f>
        <v/>
      </c>
      <c r="M24">
        <f t="array" ref="M24">IF($L24=0,"",_xlfn.TEXTJOIN(", ",TRUE,IF($R24:$Y24&gt;0,$C$1:$J$1,"")))</f>
        <v/>
      </c>
      <c r="N24">
        <f t="array" ref="N24">IF($L24=0,"",SUMPRODUCT(($L$3:$L$144=1)*($K$3:$K$144&lt;$K24))+1)</f>
        <v/>
      </c>
      <c r="O24">
        <f>IF($L24=0,"",MATCH(1,$R24:$Y24,0))</f>
        <v/>
      </c>
      <c r="P24">
        <f>IF($A24="","",IFERROR(INDEX(countries!$G:$G,MATCH($A24,countries!$D:$D,0)),""))</f>
        <v/>
      </c>
      <c r="Q24">
        <f>IF($A24="","",IFERROR(IF(INDEX(countries!$I:$I,MATCH($A24,countries!$D:$D,0))=0,"",INDEX(countries!$I:$I,MATCH($A24,countries!$D:$D,0))),""))</f>
        <v/>
      </c>
      <c r="R24">
        <f t="array" ref="R24">IF($A24="","",IF(AND(INDEX($C24:$J24,R$2)&gt;0,$A24&lt;&gt;INDEX('TRIP MANAGER'!$T$18:$T$25,R$2),$A24&lt;&gt;INDEX('TRIP MANAGER'!$U$18:$U$25,R$2)),1,0))</f>
        <v/>
      </c>
      <c r="S24">
        <f t="array" ref="S24">IF($A24="","",IF(AND(INDEX($C24:$J24,S$2)&gt;0,$A24&lt;&gt;INDEX('TRIP MANAGER'!$T$18:$T$25,S$2),$A24&lt;&gt;INDEX('TRIP MANAGER'!$U$18:$U$25,S$2)),1,0))</f>
        <v/>
      </c>
      <c r="T24">
        <f t="array" ref="T24">IF($A24="","",IF(AND(INDEX($C24:$J24,T$2)&gt;0,$A24&lt;&gt;INDEX('TRIP MANAGER'!$T$18:$T$25,T$2),$A24&lt;&gt;INDEX('TRIP MANAGER'!$U$18:$U$25,T$2)),1,0))</f>
        <v/>
      </c>
      <c r="U24">
        <f t="array" ref="U24">IF($A24="","",IF(AND(INDEX($C24:$J24,U$2)&gt;0,$A24&lt;&gt;INDEX('TRIP MANAGER'!$T$18:$T$25,U$2),$A24&lt;&gt;INDEX('TRIP MANAGER'!$U$18:$U$25,U$2)),1,0))</f>
        <v/>
      </c>
      <c r="V24">
        <f t="array" ref="V24">IF($A24="","",IF(AND(INDEX($C24:$J24,V$2)&gt;0,$A24&lt;&gt;INDEX('TRIP MANAGER'!$T$18:$T$25,V$2),$A24&lt;&gt;INDEX('TRIP MANAGER'!$U$18:$U$25,V$2)),1,0))</f>
        <v/>
      </c>
      <c r="W24">
        <f t="array" ref="W24">IF($A24="","",IF(AND(INDEX($C24:$J24,W$2)&gt;0,$A24&lt;&gt;INDEX('TRIP MANAGER'!$T$18:$T$25,W$2),$A24&lt;&gt;INDEX('TRIP MANAGER'!$U$18:$U$25,W$2)),1,0))</f>
        <v/>
      </c>
      <c r="X24">
        <f t="array" ref="X24">IF($A24="","",IF(AND(INDEX($C24:$J24,X$2)&gt;0,$A24&lt;&gt;INDEX('TRIP MANAGER'!$T$18:$T$25,X$2),$A24&lt;&gt;INDEX('TRIP MANAGER'!$U$18:$U$25,X$2)),1,0))</f>
        <v/>
      </c>
      <c r="Y24">
        <f t="array" ref="Y24">IF($A24="","",IF(AND(INDEX($C24:$J24,Y$2)&gt;0,$A24&lt;&gt;INDEX('TRIP MANAGER'!$T$18:$T$25,Y$2),$A24&lt;&gt;INDEX('TRIP MANAGER'!$U$18:$U$25,Y$2)),1,0))</f>
        <v/>
      </c>
    </row>
    <row r="25">
      <c r="A25">
        <f>IF(countries!$D24="","",countries!$D24)</f>
        <v/>
      </c>
      <c r="B25">
        <f>IF(countries!$B24="","",countries!$B24)</f>
        <v/>
      </c>
      <c r="C25">
        <f>IF($A25="","",COUNTIFS(route_calc!$A$2:$A$1209,C$2,route_calc!$P$2:$P$1209,$A25))</f>
        <v/>
      </c>
      <c r="D25">
        <f>IF($A25="","",COUNTIFS(route_calc!$A$2:$A$1209,D$2,route_calc!$P$2:$P$1209,$A25))</f>
        <v/>
      </c>
      <c r="E25">
        <f>IF($A25="","",COUNTIFS(route_calc!$A$2:$A$1209,E$2,route_calc!$P$2:$P$1209,$A25))</f>
        <v/>
      </c>
      <c r="F25">
        <f>IF($A25="","",COUNTIFS(route_calc!$A$2:$A$1209,F$2,route_calc!$P$2:$P$1209,$A25))</f>
        <v/>
      </c>
      <c r="G25">
        <f>IF($A25="","",COUNTIFS(route_calc!$A$2:$A$1209,G$2,route_calc!$P$2:$P$1209,$A25))</f>
        <v/>
      </c>
      <c r="H25">
        <f>IF($A25="","",COUNTIFS(route_calc!$A$2:$A$1209,H$2,route_calc!$P$2:$P$1209,$A25))</f>
        <v/>
      </c>
      <c r="I25">
        <f>IF($A25="","",COUNTIFS(route_calc!$A$2:$A$1209,I$2,route_calc!$P$2:$P$1209,$A25))</f>
        <v/>
      </c>
      <c r="J25">
        <f>IF($A25="","",COUNTIFS(route_calc!$A$2:$A$1209,J$2,route_calc!$P$2:$P$1209,$A25))</f>
        <v/>
      </c>
      <c r="K25">
        <f>IF($L25=0,"",_xlfn.MINIFS(route_calc!$Q$2:$Q$1209,route_calc!$P$2:$P$1209,$A25,route_calc!$A$2:$A$1209,MATCH(1,$R25:$Y25,0)))</f>
        <v/>
      </c>
      <c r="L25">
        <f>IF($A25="",0,IF(SUM($R25:$Y25)&gt;0,1,0))</f>
        <v/>
      </c>
      <c r="M25">
        <f t="array" ref="M25">IF($L25=0,"",_xlfn.TEXTJOIN(", ",TRUE,IF($R25:$Y25&gt;0,$C$1:$J$1,"")))</f>
        <v/>
      </c>
      <c r="N25">
        <f t="array" ref="N25">IF($L25=0,"",SUMPRODUCT(($L$3:$L$144=1)*($K$3:$K$144&lt;$K25))+1)</f>
        <v/>
      </c>
      <c r="O25">
        <f>IF($L25=0,"",MATCH(1,$R25:$Y25,0))</f>
        <v/>
      </c>
      <c r="P25">
        <f>IF($A25="","",IFERROR(INDEX(countries!$G:$G,MATCH($A25,countries!$D:$D,0)),""))</f>
        <v/>
      </c>
      <c r="Q25">
        <f>IF($A25="","",IFERROR(IF(INDEX(countries!$I:$I,MATCH($A25,countries!$D:$D,0))=0,"",INDEX(countries!$I:$I,MATCH($A25,countries!$D:$D,0))),""))</f>
        <v/>
      </c>
      <c r="R25">
        <f t="array" ref="R25">IF($A25="","",IF(AND(INDEX($C25:$J25,R$2)&gt;0,$A25&lt;&gt;INDEX('TRIP MANAGER'!$T$18:$T$25,R$2),$A25&lt;&gt;INDEX('TRIP MANAGER'!$U$18:$U$25,R$2)),1,0))</f>
        <v/>
      </c>
      <c r="S25">
        <f t="array" ref="S25">IF($A25="","",IF(AND(INDEX($C25:$J25,S$2)&gt;0,$A25&lt;&gt;INDEX('TRIP MANAGER'!$T$18:$T$25,S$2),$A25&lt;&gt;INDEX('TRIP MANAGER'!$U$18:$U$25,S$2)),1,0))</f>
        <v/>
      </c>
      <c r="T25">
        <f t="array" ref="T25">IF($A25="","",IF(AND(INDEX($C25:$J25,T$2)&gt;0,$A25&lt;&gt;INDEX('TRIP MANAGER'!$T$18:$T$25,T$2),$A25&lt;&gt;INDEX('TRIP MANAGER'!$U$18:$U$25,T$2)),1,0))</f>
        <v/>
      </c>
      <c r="U25">
        <f t="array" ref="U25">IF($A25="","",IF(AND(INDEX($C25:$J25,U$2)&gt;0,$A25&lt;&gt;INDEX('TRIP MANAGER'!$T$18:$T$25,U$2),$A25&lt;&gt;INDEX('TRIP MANAGER'!$U$18:$U$25,U$2)),1,0))</f>
        <v/>
      </c>
      <c r="V25">
        <f t="array" ref="V25">IF($A25="","",IF(AND(INDEX($C25:$J25,V$2)&gt;0,$A25&lt;&gt;INDEX('TRIP MANAGER'!$T$18:$T$25,V$2),$A25&lt;&gt;INDEX('TRIP MANAGER'!$U$18:$U$25,V$2)),1,0))</f>
        <v/>
      </c>
      <c r="W25">
        <f t="array" ref="W25">IF($A25="","",IF(AND(INDEX($C25:$J25,W$2)&gt;0,$A25&lt;&gt;INDEX('TRIP MANAGER'!$T$18:$T$25,W$2),$A25&lt;&gt;INDEX('TRIP MANAGER'!$U$18:$U$25,W$2)),1,0))</f>
        <v/>
      </c>
      <c r="X25">
        <f t="array" ref="X25">IF($A25="","",IF(AND(INDEX($C25:$J25,X$2)&gt;0,$A25&lt;&gt;INDEX('TRIP MANAGER'!$T$18:$T$25,X$2),$A25&lt;&gt;INDEX('TRIP MANAGER'!$U$18:$U$25,X$2)),1,0))</f>
        <v/>
      </c>
      <c r="Y25">
        <f t="array" ref="Y25">IF($A25="","",IF(AND(INDEX($C25:$J25,Y$2)&gt;0,$A25&lt;&gt;INDEX('TRIP MANAGER'!$T$18:$T$25,Y$2),$A25&lt;&gt;INDEX('TRIP MANAGER'!$U$18:$U$25,Y$2)),1,0))</f>
        <v/>
      </c>
    </row>
    <row r="26">
      <c r="A26">
        <f>IF(countries!$D25="","",countries!$D25)</f>
        <v/>
      </c>
      <c r="B26">
        <f>IF(countries!$B25="","",countries!$B25)</f>
        <v/>
      </c>
      <c r="C26">
        <f>IF($A26="","",COUNTIFS(route_calc!$A$2:$A$1209,C$2,route_calc!$P$2:$P$1209,$A26))</f>
        <v/>
      </c>
      <c r="D26">
        <f>IF($A26="","",COUNTIFS(route_calc!$A$2:$A$1209,D$2,route_calc!$P$2:$P$1209,$A26))</f>
        <v/>
      </c>
      <c r="E26">
        <f>IF($A26="","",COUNTIFS(route_calc!$A$2:$A$1209,E$2,route_calc!$P$2:$P$1209,$A26))</f>
        <v/>
      </c>
      <c r="F26">
        <f>IF($A26="","",COUNTIFS(route_calc!$A$2:$A$1209,F$2,route_calc!$P$2:$P$1209,$A26))</f>
        <v/>
      </c>
      <c r="G26">
        <f>IF($A26="","",COUNTIFS(route_calc!$A$2:$A$1209,G$2,route_calc!$P$2:$P$1209,$A26))</f>
        <v/>
      </c>
      <c r="H26">
        <f>IF($A26="","",COUNTIFS(route_calc!$A$2:$A$1209,H$2,route_calc!$P$2:$P$1209,$A26))</f>
        <v/>
      </c>
      <c r="I26">
        <f>IF($A26="","",COUNTIFS(route_calc!$A$2:$A$1209,I$2,route_calc!$P$2:$P$1209,$A26))</f>
        <v/>
      </c>
      <c r="J26">
        <f>IF($A26="","",COUNTIFS(route_calc!$A$2:$A$1209,J$2,route_calc!$P$2:$P$1209,$A26))</f>
        <v/>
      </c>
      <c r="K26">
        <f>IF($L26=0,"",_xlfn.MINIFS(route_calc!$Q$2:$Q$1209,route_calc!$P$2:$P$1209,$A26,route_calc!$A$2:$A$1209,MATCH(1,$R26:$Y26,0)))</f>
        <v/>
      </c>
      <c r="L26">
        <f>IF($A26="",0,IF(SUM($R26:$Y26)&gt;0,1,0))</f>
        <v/>
      </c>
      <c r="M26">
        <f t="array" ref="M26">IF($L26=0,"",_xlfn.TEXTJOIN(", ",TRUE,IF($R26:$Y26&gt;0,$C$1:$J$1,"")))</f>
        <v/>
      </c>
      <c r="N26">
        <f t="array" ref="N26">IF($L26=0,"",SUMPRODUCT(($L$3:$L$144=1)*($K$3:$K$144&lt;$K26))+1)</f>
        <v/>
      </c>
      <c r="O26">
        <f>IF($L26=0,"",MATCH(1,$R26:$Y26,0))</f>
        <v/>
      </c>
      <c r="P26">
        <f>IF($A26="","",IFERROR(INDEX(countries!$G:$G,MATCH($A26,countries!$D:$D,0)),""))</f>
        <v/>
      </c>
      <c r="Q26">
        <f>IF($A26="","",IFERROR(IF(INDEX(countries!$I:$I,MATCH($A26,countries!$D:$D,0))=0,"",INDEX(countries!$I:$I,MATCH($A26,countries!$D:$D,0))),""))</f>
        <v/>
      </c>
      <c r="R26">
        <f t="array" ref="R26">IF($A26="","",IF(AND(INDEX($C26:$J26,R$2)&gt;0,$A26&lt;&gt;INDEX('TRIP MANAGER'!$T$18:$T$25,R$2),$A26&lt;&gt;INDEX('TRIP MANAGER'!$U$18:$U$25,R$2)),1,0))</f>
        <v/>
      </c>
      <c r="S26">
        <f t="array" ref="S26">IF($A26="","",IF(AND(INDEX($C26:$J26,S$2)&gt;0,$A26&lt;&gt;INDEX('TRIP MANAGER'!$T$18:$T$25,S$2),$A26&lt;&gt;INDEX('TRIP MANAGER'!$U$18:$U$25,S$2)),1,0))</f>
        <v/>
      </c>
      <c r="T26">
        <f t="array" ref="T26">IF($A26="","",IF(AND(INDEX($C26:$J26,T$2)&gt;0,$A26&lt;&gt;INDEX('TRIP MANAGER'!$T$18:$T$25,T$2),$A26&lt;&gt;INDEX('TRIP MANAGER'!$U$18:$U$25,T$2)),1,0))</f>
        <v/>
      </c>
      <c r="U26">
        <f t="array" ref="U26">IF($A26="","",IF(AND(INDEX($C26:$J26,U$2)&gt;0,$A26&lt;&gt;INDEX('TRIP MANAGER'!$T$18:$T$25,U$2),$A26&lt;&gt;INDEX('TRIP MANAGER'!$U$18:$U$25,U$2)),1,0))</f>
        <v/>
      </c>
      <c r="V26">
        <f t="array" ref="V26">IF($A26="","",IF(AND(INDEX($C26:$J26,V$2)&gt;0,$A26&lt;&gt;INDEX('TRIP MANAGER'!$T$18:$T$25,V$2),$A26&lt;&gt;INDEX('TRIP MANAGER'!$U$18:$U$25,V$2)),1,0))</f>
        <v/>
      </c>
      <c r="W26">
        <f t="array" ref="W26">IF($A26="","",IF(AND(INDEX($C26:$J26,W$2)&gt;0,$A26&lt;&gt;INDEX('TRIP MANAGER'!$T$18:$T$25,W$2),$A26&lt;&gt;INDEX('TRIP MANAGER'!$U$18:$U$25,W$2)),1,0))</f>
        <v/>
      </c>
      <c r="X26">
        <f t="array" ref="X26">IF($A26="","",IF(AND(INDEX($C26:$J26,X$2)&gt;0,$A26&lt;&gt;INDEX('TRIP MANAGER'!$T$18:$T$25,X$2),$A26&lt;&gt;INDEX('TRIP MANAGER'!$U$18:$U$25,X$2)),1,0))</f>
        <v/>
      </c>
      <c r="Y26">
        <f t="array" ref="Y26">IF($A26="","",IF(AND(INDEX($C26:$J26,Y$2)&gt;0,$A26&lt;&gt;INDEX('TRIP MANAGER'!$T$18:$T$25,Y$2),$A26&lt;&gt;INDEX('TRIP MANAGER'!$U$18:$U$25,Y$2)),1,0))</f>
        <v/>
      </c>
    </row>
    <row r="27">
      <c r="A27">
        <f>IF(countries!$D26="","",countries!$D26)</f>
        <v/>
      </c>
      <c r="B27">
        <f>IF(countries!$B26="","",countries!$B26)</f>
        <v/>
      </c>
      <c r="C27">
        <f>IF($A27="","",COUNTIFS(route_calc!$A$2:$A$1209,C$2,route_calc!$P$2:$P$1209,$A27))</f>
        <v/>
      </c>
      <c r="D27">
        <f>IF($A27="","",COUNTIFS(route_calc!$A$2:$A$1209,D$2,route_calc!$P$2:$P$1209,$A27))</f>
        <v/>
      </c>
      <c r="E27">
        <f>IF($A27="","",COUNTIFS(route_calc!$A$2:$A$1209,E$2,route_calc!$P$2:$P$1209,$A27))</f>
        <v/>
      </c>
      <c r="F27">
        <f>IF($A27="","",COUNTIFS(route_calc!$A$2:$A$1209,F$2,route_calc!$P$2:$P$1209,$A27))</f>
        <v/>
      </c>
      <c r="G27">
        <f>IF($A27="","",COUNTIFS(route_calc!$A$2:$A$1209,G$2,route_calc!$P$2:$P$1209,$A27))</f>
        <v/>
      </c>
      <c r="H27">
        <f>IF($A27="","",COUNTIFS(route_calc!$A$2:$A$1209,H$2,route_calc!$P$2:$P$1209,$A27))</f>
        <v/>
      </c>
      <c r="I27">
        <f>IF($A27="","",COUNTIFS(route_calc!$A$2:$A$1209,I$2,route_calc!$P$2:$P$1209,$A27))</f>
        <v/>
      </c>
      <c r="J27">
        <f>IF($A27="","",COUNTIFS(route_calc!$A$2:$A$1209,J$2,route_calc!$P$2:$P$1209,$A27))</f>
        <v/>
      </c>
      <c r="K27">
        <f>IF($L27=0,"",_xlfn.MINIFS(route_calc!$Q$2:$Q$1209,route_calc!$P$2:$P$1209,$A27,route_calc!$A$2:$A$1209,MATCH(1,$R27:$Y27,0)))</f>
        <v/>
      </c>
      <c r="L27">
        <f>IF($A27="",0,IF(SUM($R27:$Y27)&gt;0,1,0))</f>
        <v/>
      </c>
      <c r="M27">
        <f t="array" ref="M27">IF($L27=0,"",_xlfn.TEXTJOIN(", ",TRUE,IF($R27:$Y27&gt;0,$C$1:$J$1,"")))</f>
        <v/>
      </c>
      <c r="N27">
        <f t="array" ref="N27">IF($L27=0,"",SUMPRODUCT(($L$3:$L$144=1)*($K$3:$K$144&lt;$K27))+1)</f>
        <v/>
      </c>
      <c r="O27">
        <f>IF($L27=0,"",MATCH(1,$R27:$Y27,0))</f>
        <v/>
      </c>
      <c r="P27">
        <f>IF($A27="","",IFERROR(INDEX(countries!$G:$G,MATCH($A27,countries!$D:$D,0)),""))</f>
        <v/>
      </c>
      <c r="Q27">
        <f>IF($A27="","",IFERROR(IF(INDEX(countries!$I:$I,MATCH($A27,countries!$D:$D,0))=0,"",INDEX(countries!$I:$I,MATCH($A27,countries!$D:$D,0))),""))</f>
        <v/>
      </c>
      <c r="R27">
        <f t="array" ref="R27">IF($A27="","",IF(AND(INDEX($C27:$J27,R$2)&gt;0,$A27&lt;&gt;INDEX('TRIP MANAGER'!$T$18:$T$25,R$2),$A27&lt;&gt;INDEX('TRIP MANAGER'!$U$18:$U$25,R$2)),1,0))</f>
        <v/>
      </c>
      <c r="S27">
        <f t="array" ref="S27">IF($A27="","",IF(AND(INDEX($C27:$J27,S$2)&gt;0,$A27&lt;&gt;INDEX('TRIP MANAGER'!$T$18:$T$25,S$2),$A27&lt;&gt;INDEX('TRIP MANAGER'!$U$18:$U$25,S$2)),1,0))</f>
        <v/>
      </c>
      <c r="T27">
        <f t="array" ref="T27">IF($A27="","",IF(AND(INDEX($C27:$J27,T$2)&gt;0,$A27&lt;&gt;INDEX('TRIP MANAGER'!$T$18:$T$25,T$2),$A27&lt;&gt;INDEX('TRIP MANAGER'!$U$18:$U$25,T$2)),1,0))</f>
        <v/>
      </c>
      <c r="U27">
        <f t="array" ref="U27">IF($A27="","",IF(AND(INDEX($C27:$J27,U$2)&gt;0,$A27&lt;&gt;INDEX('TRIP MANAGER'!$T$18:$T$25,U$2),$A27&lt;&gt;INDEX('TRIP MANAGER'!$U$18:$U$25,U$2)),1,0))</f>
        <v/>
      </c>
      <c r="V27">
        <f t="array" ref="V27">IF($A27="","",IF(AND(INDEX($C27:$J27,V$2)&gt;0,$A27&lt;&gt;INDEX('TRIP MANAGER'!$T$18:$T$25,V$2),$A27&lt;&gt;INDEX('TRIP MANAGER'!$U$18:$U$25,V$2)),1,0))</f>
        <v/>
      </c>
      <c r="W27">
        <f t="array" ref="W27">IF($A27="","",IF(AND(INDEX($C27:$J27,W$2)&gt;0,$A27&lt;&gt;INDEX('TRIP MANAGER'!$T$18:$T$25,W$2),$A27&lt;&gt;INDEX('TRIP MANAGER'!$U$18:$U$25,W$2)),1,0))</f>
        <v/>
      </c>
      <c r="X27">
        <f t="array" ref="X27">IF($A27="","",IF(AND(INDEX($C27:$J27,X$2)&gt;0,$A27&lt;&gt;INDEX('TRIP MANAGER'!$T$18:$T$25,X$2),$A27&lt;&gt;INDEX('TRIP MANAGER'!$U$18:$U$25,X$2)),1,0))</f>
        <v/>
      </c>
      <c r="Y27">
        <f t="array" ref="Y27">IF($A27="","",IF(AND(INDEX($C27:$J27,Y$2)&gt;0,$A27&lt;&gt;INDEX('TRIP MANAGER'!$T$18:$T$25,Y$2),$A27&lt;&gt;INDEX('TRIP MANAGER'!$U$18:$U$25,Y$2)),1,0))</f>
        <v/>
      </c>
    </row>
    <row r="28">
      <c r="A28">
        <f>IF(countries!$D27="","",countries!$D27)</f>
        <v/>
      </c>
      <c r="B28">
        <f>IF(countries!$B27="","",countries!$B27)</f>
        <v/>
      </c>
      <c r="C28">
        <f>IF($A28="","",COUNTIFS(route_calc!$A$2:$A$1209,C$2,route_calc!$P$2:$P$1209,$A28))</f>
        <v/>
      </c>
      <c r="D28">
        <f>IF($A28="","",COUNTIFS(route_calc!$A$2:$A$1209,D$2,route_calc!$P$2:$P$1209,$A28))</f>
        <v/>
      </c>
      <c r="E28">
        <f>IF($A28="","",COUNTIFS(route_calc!$A$2:$A$1209,E$2,route_calc!$P$2:$P$1209,$A28))</f>
        <v/>
      </c>
      <c r="F28">
        <f>IF($A28="","",COUNTIFS(route_calc!$A$2:$A$1209,F$2,route_calc!$P$2:$P$1209,$A28))</f>
        <v/>
      </c>
      <c r="G28">
        <f>IF($A28="","",COUNTIFS(route_calc!$A$2:$A$1209,G$2,route_calc!$P$2:$P$1209,$A28))</f>
        <v/>
      </c>
      <c r="H28">
        <f>IF($A28="","",COUNTIFS(route_calc!$A$2:$A$1209,H$2,route_calc!$P$2:$P$1209,$A28))</f>
        <v/>
      </c>
      <c r="I28">
        <f>IF($A28="","",COUNTIFS(route_calc!$A$2:$A$1209,I$2,route_calc!$P$2:$P$1209,$A28))</f>
        <v/>
      </c>
      <c r="J28">
        <f>IF($A28="","",COUNTIFS(route_calc!$A$2:$A$1209,J$2,route_calc!$P$2:$P$1209,$A28))</f>
        <v/>
      </c>
      <c r="K28">
        <f>IF($L28=0,"",_xlfn.MINIFS(route_calc!$Q$2:$Q$1209,route_calc!$P$2:$P$1209,$A28,route_calc!$A$2:$A$1209,MATCH(1,$R28:$Y28,0)))</f>
        <v/>
      </c>
      <c r="L28">
        <f>IF($A28="",0,IF(SUM($R28:$Y28)&gt;0,1,0))</f>
        <v/>
      </c>
      <c r="M28">
        <f t="array" ref="M28">IF($L28=0,"",_xlfn.TEXTJOIN(", ",TRUE,IF($R28:$Y28&gt;0,$C$1:$J$1,"")))</f>
        <v/>
      </c>
      <c r="N28">
        <f t="array" ref="N28">IF($L28=0,"",SUMPRODUCT(($L$3:$L$144=1)*($K$3:$K$144&lt;$K28))+1)</f>
        <v/>
      </c>
      <c r="O28">
        <f>IF($L28=0,"",MATCH(1,$R28:$Y28,0))</f>
        <v/>
      </c>
      <c r="P28">
        <f>IF($A28="","",IFERROR(INDEX(countries!$G:$G,MATCH($A28,countries!$D:$D,0)),""))</f>
        <v/>
      </c>
      <c r="Q28">
        <f>IF($A28="","",IFERROR(IF(INDEX(countries!$I:$I,MATCH($A28,countries!$D:$D,0))=0,"",INDEX(countries!$I:$I,MATCH($A28,countries!$D:$D,0))),""))</f>
        <v/>
      </c>
      <c r="R28">
        <f t="array" ref="R28">IF($A28="","",IF(AND(INDEX($C28:$J28,R$2)&gt;0,$A28&lt;&gt;INDEX('TRIP MANAGER'!$T$18:$T$25,R$2),$A28&lt;&gt;INDEX('TRIP MANAGER'!$U$18:$U$25,R$2)),1,0))</f>
        <v/>
      </c>
      <c r="S28">
        <f t="array" ref="S28">IF($A28="","",IF(AND(INDEX($C28:$J28,S$2)&gt;0,$A28&lt;&gt;INDEX('TRIP MANAGER'!$T$18:$T$25,S$2),$A28&lt;&gt;INDEX('TRIP MANAGER'!$U$18:$U$25,S$2)),1,0))</f>
        <v/>
      </c>
      <c r="T28">
        <f t="array" ref="T28">IF($A28="","",IF(AND(INDEX($C28:$J28,T$2)&gt;0,$A28&lt;&gt;INDEX('TRIP MANAGER'!$T$18:$T$25,T$2),$A28&lt;&gt;INDEX('TRIP MANAGER'!$U$18:$U$25,T$2)),1,0))</f>
        <v/>
      </c>
      <c r="U28">
        <f t="array" ref="U28">IF($A28="","",IF(AND(INDEX($C28:$J28,U$2)&gt;0,$A28&lt;&gt;INDEX('TRIP MANAGER'!$T$18:$T$25,U$2),$A28&lt;&gt;INDEX('TRIP MANAGER'!$U$18:$U$25,U$2)),1,0))</f>
        <v/>
      </c>
      <c r="V28">
        <f t="array" ref="V28">IF($A28="","",IF(AND(INDEX($C28:$J28,V$2)&gt;0,$A28&lt;&gt;INDEX('TRIP MANAGER'!$T$18:$T$25,V$2),$A28&lt;&gt;INDEX('TRIP MANAGER'!$U$18:$U$25,V$2)),1,0))</f>
        <v/>
      </c>
      <c r="W28">
        <f t="array" ref="W28">IF($A28="","",IF(AND(INDEX($C28:$J28,W$2)&gt;0,$A28&lt;&gt;INDEX('TRIP MANAGER'!$T$18:$T$25,W$2),$A28&lt;&gt;INDEX('TRIP MANAGER'!$U$18:$U$25,W$2)),1,0))</f>
        <v/>
      </c>
      <c r="X28">
        <f t="array" ref="X28">IF($A28="","",IF(AND(INDEX($C28:$J28,X$2)&gt;0,$A28&lt;&gt;INDEX('TRIP MANAGER'!$T$18:$T$25,X$2),$A28&lt;&gt;INDEX('TRIP MANAGER'!$U$18:$U$25,X$2)),1,0))</f>
        <v/>
      </c>
      <c r="Y28">
        <f t="array" ref="Y28">IF($A28="","",IF(AND(INDEX($C28:$J28,Y$2)&gt;0,$A28&lt;&gt;INDEX('TRIP MANAGER'!$T$18:$T$25,Y$2),$A28&lt;&gt;INDEX('TRIP MANAGER'!$U$18:$U$25,Y$2)),1,0))</f>
        <v/>
      </c>
    </row>
    <row r="29">
      <c r="A29">
        <f>IF(countries!$D28="","",countries!$D28)</f>
        <v/>
      </c>
      <c r="B29">
        <f>IF(countries!$B28="","",countries!$B28)</f>
        <v/>
      </c>
      <c r="C29">
        <f>IF($A29="","",COUNTIFS(route_calc!$A$2:$A$1209,C$2,route_calc!$P$2:$P$1209,$A29))</f>
        <v/>
      </c>
      <c r="D29">
        <f>IF($A29="","",COUNTIFS(route_calc!$A$2:$A$1209,D$2,route_calc!$P$2:$P$1209,$A29))</f>
        <v/>
      </c>
      <c r="E29">
        <f>IF($A29="","",COUNTIFS(route_calc!$A$2:$A$1209,E$2,route_calc!$P$2:$P$1209,$A29))</f>
        <v/>
      </c>
      <c r="F29">
        <f>IF($A29="","",COUNTIFS(route_calc!$A$2:$A$1209,F$2,route_calc!$P$2:$P$1209,$A29))</f>
        <v/>
      </c>
      <c r="G29">
        <f>IF($A29="","",COUNTIFS(route_calc!$A$2:$A$1209,G$2,route_calc!$P$2:$P$1209,$A29))</f>
        <v/>
      </c>
      <c r="H29">
        <f>IF($A29="","",COUNTIFS(route_calc!$A$2:$A$1209,H$2,route_calc!$P$2:$P$1209,$A29))</f>
        <v/>
      </c>
      <c r="I29">
        <f>IF($A29="","",COUNTIFS(route_calc!$A$2:$A$1209,I$2,route_calc!$P$2:$P$1209,$A29))</f>
        <v/>
      </c>
      <c r="J29">
        <f>IF($A29="","",COUNTIFS(route_calc!$A$2:$A$1209,J$2,route_calc!$P$2:$P$1209,$A29))</f>
        <v/>
      </c>
      <c r="K29">
        <f>IF($L29=0,"",_xlfn.MINIFS(route_calc!$Q$2:$Q$1209,route_calc!$P$2:$P$1209,$A29,route_calc!$A$2:$A$1209,MATCH(1,$R29:$Y29,0)))</f>
        <v/>
      </c>
      <c r="L29">
        <f>IF($A29="",0,IF(SUM($R29:$Y29)&gt;0,1,0))</f>
        <v/>
      </c>
      <c r="M29">
        <f t="array" ref="M29">IF($L29=0,"",_xlfn.TEXTJOIN(", ",TRUE,IF($R29:$Y29&gt;0,$C$1:$J$1,"")))</f>
        <v/>
      </c>
      <c r="N29">
        <f t="array" ref="N29">IF($L29=0,"",SUMPRODUCT(($L$3:$L$144=1)*($K$3:$K$144&lt;$K29))+1)</f>
        <v/>
      </c>
      <c r="O29">
        <f>IF($L29=0,"",MATCH(1,$R29:$Y29,0))</f>
        <v/>
      </c>
      <c r="P29">
        <f>IF($A29="","",IFERROR(INDEX(countries!$G:$G,MATCH($A29,countries!$D:$D,0)),""))</f>
        <v/>
      </c>
      <c r="Q29">
        <f>IF($A29="","",IFERROR(IF(INDEX(countries!$I:$I,MATCH($A29,countries!$D:$D,0))=0,"",INDEX(countries!$I:$I,MATCH($A29,countries!$D:$D,0))),""))</f>
        <v/>
      </c>
      <c r="R29">
        <f t="array" ref="R29">IF($A29="","",IF(AND(INDEX($C29:$J29,R$2)&gt;0,$A29&lt;&gt;INDEX('TRIP MANAGER'!$T$18:$T$25,R$2),$A29&lt;&gt;INDEX('TRIP MANAGER'!$U$18:$U$25,R$2)),1,0))</f>
        <v/>
      </c>
      <c r="S29">
        <f t="array" ref="S29">IF($A29="","",IF(AND(INDEX($C29:$J29,S$2)&gt;0,$A29&lt;&gt;INDEX('TRIP MANAGER'!$T$18:$T$25,S$2),$A29&lt;&gt;INDEX('TRIP MANAGER'!$U$18:$U$25,S$2)),1,0))</f>
        <v/>
      </c>
      <c r="T29">
        <f t="array" ref="T29">IF($A29="","",IF(AND(INDEX($C29:$J29,T$2)&gt;0,$A29&lt;&gt;INDEX('TRIP MANAGER'!$T$18:$T$25,T$2),$A29&lt;&gt;INDEX('TRIP MANAGER'!$U$18:$U$25,T$2)),1,0))</f>
        <v/>
      </c>
      <c r="U29">
        <f t="array" ref="U29">IF($A29="","",IF(AND(INDEX($C29:$J29,U$2)&gt;0,$A29&lt;&gt;INDEX('TRIP MANAGER'!$T$18:$T$25,U$2),$A29&lt;&gt;INDEX('TRIP MANAGER'!$U$18:$U$25,U$2)),1,0))</f>
        <v/>
      </c>
      <c r="V29">
        <f t="array" ref="V29">IF($A29="","",IF(AND(INDEX($C29:$J29,V$2)&gt;0,$A29&lt;&gt;INDEX('TRIP MANAGER'!$T$18:$T$25,V$2),$A29&lt;&gt;INDEX('TRIP MANAGER'!$U$18:$U$25,V$2)),1,0))</f>
        <v/>
      </c>
      <c r="W29">
        <f t="array" ref="W29">IF($A29="","",IF(AND(INDEX($C29:$J29,W$2)&gt;0,$A29&lt;&gt;INDEX('TRIP MANAGER'!$T$18:$T$25,W$2),$A29&lt;&gt;INDEX('TRIP MANAGER'!$U$18:$U$25,W$2)),1,0))</f>
        <v/>
      </c>
      <c r="X29">
        <f t="array" ref="X29">IF($A29="","",IF(AND(INDEX($C29:$J29,X$2)&gt;0,$A29&lt;&gt;INDEX('TRIP MANAGER'!$T$18:$T$25,X$2),$A29&lt;&gt;INDEX('TRIP MANAGER'!$U$18:$U$25,X$2)),1,0))</f>
        <v/>
      </c>
      <c r="Y29">
        <f t="array" ref="Y29">IF($A29="","",IF(AND(INDEX($C29:$J29,Y$2)&gt;0,$A29&lt;&gt;INDEX('TRIP MANAGER'!$T$18:$T$25,Y$2),$A29&lt;&gt;INDEX('TRIP MANAGER'!$U$18:$U$25,Y$2)),1,0))</f>
        <v/>
      </c>
    </row>
    <row r="30">
      <c r="A30">
        <f>IF(countries!$D29="","",countries!$D29)</f>
        <v/>
      </c>
      <c r="B30">
        <f>IF(countries!$B29="","",countries!$B29)</f>
        <v/>
      </c>
      <c r="C30">
        <f>IF($A30="","",COUNTIFS(route_calc!$A$2:$A$1209,C$2,route_calc!$P$2:$P$1209,$A30))</f>
        <v/>
      </c>
      <c r="D30">
        <f>IF($A30="","",COUNTIFS(route_calc!$A$2:$A$1209,D$2,route_calc!$P$2:$P$1209,$A30))</f>
        <v/>
      </c>
      <c r="E30">
        <f>IF($A30="","",COUNTIFS(route_calc!$A$2:$A$1209,E$2,route_calc!$P$2:$P$1209,$A30))</f>
        <v/>
      </c>
      <c r="F30">
        <f>IF($A30="","",COUNTIFS(route_calc!$A$2:$A$1209,F$2,route_calc!$P$2:$P$1209,$A30))</f>
        <v/>
      </c>
      <c r="G30">
        <f>IF($A30="","",COUNTIFS(route_calc!$A$2:$A$1209,G$2,route_calc!$P$2:$P$1209,$A30))</f>
        <v/>
      </c>
      <c r="H30">
        <f>IF($A30="","",COUNTIFS(route_calc!$A$2:$A$1209,H$2,route_calc!$P$2:$P$1209,$A30))</f>
        <v/>
      </c>
      <c r="I30">
        <f>IF($A30="","",COUNTIFS(route_calc!$A$2:$A$1209,I$2,route_calc!$P$2:$P$1209,$A30))</f>
        <v/>
      </c>
      <c r="J30">
        <f>IF($A30="","",COUNTIFS(route_calc!$A$2:$A$1209,J$2,route_calc!$P$2:$P$1209,$A30))</f>
        <v/>
      </c>
      <c r="K30">
        <f>IF($L30=0,"",_xlfn.MINIFS(route_calc!$Q$2:$Q$1209,route_calc!$P$2:$P$1209,$A30,route_calc!$A$2:$A$1209,MATCH(1,$R30:$Y30,0)))</f>
        <v/>
      </c>
      <c r="L30">
        <f>IF($A30="",0,IF(SUM($R30:$Y30)&gt;0,1,0))</f>
        <v/>
      </c>
      <c r="M30">
        <f t="array" ref="M30">IF($L30=0,"",_xlfn.TEXTJOIN(", ",TRUE,IF($R30:$Y30&gt;0,$C$1:$J$1,"")))</f>
        <v/>
      </c>
      <c r="N30">
        <f t="array" ref="N30">IF($L30=0,"",SUMPRODUCT(($L$3:$L$144=1)*($K$3:$K$144&lt;$K30))+1)</f>
        <v/>
      </c>
      <c r="O30">
        <f>IF($L30=0,"",MATCH(1,$R30:$Y30,0))</f>
        <v/>
      </c>
      <c r="P30">
        <f>IF($A30="","",IFERROR(INDEX(countries!$G:$G,MATCH($A30,countries!$D:$D,0)),""))</f>
        <v/>
      </c>
      <c r="Q30">
        <f>IF($A30="","",IFERROR(IF(INDEX(countries!$I:$I,MATCH($A30,countries!$D:$D,0))=0,"",INDEX(countries!$I:$I,MATCH($A30,countries!$D:$D,0))),""))</f>
        <v/>
      </c>
      <c r="R30">
        <f t="array" ref="R30">IF($A30="","",IF(AND(INDEX($C30:$J30,R$2)&gt;0,$A30&lt;&gt;INDEX('TRIP MANAGER'!$T$18:$T$25,R$2),$A30&lt;&gt;INDEX('TRIP MANAGER'!$U$18:$U$25,R$2)),1,0))</f>
        <v/>
      </c>
      <c r="S30">
        <f t="array" ref="S30">IF($A30="","",IF(AND(INDEX($C30:$J30,S$2)&gt;0,$A30&lt;&gt;INDEX('TRIP MANAGER'!$T$18:$T$25,S$2),$A30&lt;&gt;INDEX('TRIP MANAGER'!$U$18:$U$25,S$2)),1,0))</f>
        <v/>
      </c>
      <c r="T30">
        <f t="array" ref="T30">IF($A30="","",IF(AND(INDEX($C30:$J30,T$2)&gt;0,$A30&lt;&gt;INDEX('TRIP MANAGER'!$T$18:$T$25,T$2),$A30&lt;&gt;INDEX('TRIP MANAGER'!$U$18:$U$25,T$2)),1,0))</f>
        <v/>
      </c>
      <c r="U30">
        <f t="array" ref="U30">IF($A30="","",IF(AND(INDEX($C30:$J30,U$2)&gt;0,$A30&lt;&gt;INDEX('TRIP MANAGER'!$T$18:$T$25,U$2),$A30&lt;&gt;INDEX('TRIP MANAGER'!$U$18:$U$25,U$2)),1,0))</f>
        <v/>
      </c>
      <c r="V30">
        <f t="array" ref="V30">IF($A30="","",IF(AND(INDEX($C30:$J30,V$2)&gt;0,$A30&lt;&gt;INDEX('TRIP MANAGER'!$T$18:$T$25,V$2),$A30&lt;&gt;INDEX('TRIP MANAGER'!$U$18:$U$25,V$2)),1,0))</f>
        <v/>
      </c>
      <c r="W30">
        <f t="array" ref="W30">IF($A30="","",IF(AND(INDEX($C30:$J30,W$2)&gt;0,$A30&lt;&gt;INDEX('TRIP MANAGER'!$T$18:$T$25,W$2),$A30&lt;&gt;INDEX('TRIP MANAGER'!$U$18:$U$25,W$2)),1,0))</f>
        <v/>
      </c>
      <c r="X30">
        <f t="array" ref="X30">IF($A30="","",IF(AND(INDEX($C30:$J30,X$2)&gt;0,$A30&lt;&gt;INDEX('TRIP MANAGER'!$T$18:$T$25,X$2),$A30&lt;&gt;INDEX('TRIP MANAGER'!$U$18:$U$25,X$2)),1,0))</f>
        <v/>
      </c>
      <c r="Y30">
        <f t="array" ref="Y30">IF($A30="","",IF(AND(INDEX($C30:$J30,Y$2)&gt;0,$A30&lt;&gt;INDEX('TRIP MANAGER'!$T$18:$T$25,Y$2),$A30&lt;&gt;INDEX('TRIP MANAGER'!$U$18:$U$25,Y$2)),1,0))</f>
        <v/>
      </c>
    </row>
    <row r="31">
      <c r="A31">
        <f>IF(countries!$D30="","",countries!$D30)</f>
        <v/>
      </c>
      <c r="B31">
        <f>IF(countries!$B30="","",countries!$B30)</f>
        <v/>
      </c>
      <c r="C31">
        <f>IF($A31="","",COUNTIFS(route_calc!$A$2:$A$1209,C$2,route_calc!$P$2:$P$1209,$A31))</f>
        <v/>
      </c>
      <c r="D31">
        <f>IF($A31="","",COUNTIFS(route_calc!$A$2:$A$1209,D$2,route_calc!$P$2:$P$1209,$A31))</f>
        <v/>
      </c>
      <c r="E31">
        <f>IF($A31="","",COUNTIFS(route_calc!$A$2:$A$1209,E$2,route_calc!$P$2:$P$1209,$A31))</f>
        <v/>
      </c>
      <c r="F31">
        <f>IF($A31="","",COUNTIFS(route_calc!$A$2:$A$1209,F$2,route_calc!$P$2:$P$1209,$A31))</f>
        <v/>
      </c>
      <c r="G31">
        <f>IF($A31="","",COUNTIFS(route_calc!$A$2:$A$1209,G$2,route_calc!$P$2:$P$1209,$A31))</f>
        <v/>
      </c>
      <c r="H31">
        <f>IF($A31="","",COUNTIFS(route_calc!$A$2:$A$1209,H$2,route_calc!$P$2:$P$1209,$A31))</f>
        <v/>
      </c>
      <c r="I31">
        <f>IF($A31="","",COUNTIFS(route_calc!$A$2:$A$1209,I$2,route_calc!$P$2:$P$1209,$A31))</f>
        <v/>
      </c>
      <c r="J31">
        <f>IF($A31="","",COUNTIFS(route_calc!$A$2:$A$1209,J$2,route_calc!$P$2:$P$1209,$A31))</f>
        <v/>
      </c>
      <c r="K31">
        <f>IF($L31=0,"",_xlfn.MINIFS(route_calc!$Q$2:$Q$1209,route_calc!$P$2:$P$1209,$A31,route_calc!$A$2:$A$1209,MATCH(1,$R31:$Y31,0)))</f>
        <v/>
      </c>
      <c r="L31">
        <f>IF($A31="",0,IF(SUM($R31:$Y31)&gt;0,1,0))</f>
        <v/>
      </c>
      <c r="M31">
        <f t="array" ref="M31">IF($L31=0,"",_xlfn.TEXTJOIN(", ",TRUE,IF($R31:$Y31&gt;0,$C$1:$J$1,"")))</f>
        <v/>
      </c>
      <c r="N31">
        <f t="array" ref="N31">IF($L31=0,"",SUMPRODUCT(($L$3:$L$144=1)*($K$3:$K$144&lt;$K31))+1)</f>
        <v/>
      </c>
      <c r="O31">
        <f>IF($L31=0,"",MATCH(1,$R31:$Y31,0))</f>
        <v/>
      </c>
      <c r="P31">
        <f>IF($A31="","",IFERROR(INDEX(countries!$G:$G,MATCH($A31,countries!$D:$D,0)),""))</f>
        <v/>
      </c>
      <c r="Q31">
        <f>IF($A31="","",IFERROR(IF(INDEX(countries!$I:$I,MATCH($A31,countries!$D:$D,0))=0,"",INDEX(countries!$I:$I,MATCH($A31,countries!$D:$D,0))),""))</f>
        <v/>
      </c>
      <c r="R31">
        <f t="array" ref="R31">IF($A31="","",IF(AND(INDEX($C31:$J31,R$2)&gt;0,$A31&lt;&gt;INDEX('TRIP MANAGER'!$T$18:$T$25,R$2),$A31&lt;&gt;INDEX('TRIP MANAGER'!$U$18:$U$25,R$2)),1,0))</f>
        <v/>
      </c>
      <c r="S31">
        <f t="array" ref="S31">IF($A31="","",IF(AND(INDEX($C31:$J31,S$2)&gt;0,$A31&lt;&gt;INDEX('TRIP MANAGER'!$T$18:$T$25,S$2),$A31&lt;&gt;INDEX('TRIP MANAGER'!$U$18:$U$25,S$2)),1,0))</f>
        <v/>
      </c>
      <c r="T31">
        <f t="array" ref="T31">IF($A31="","",IF(AND(INDEX($C31:$J31,T$2)&gt;0,$A31&lt;&gt;INDEX('TRIP MANAGER'!$T$18:$T$25,T$2),$A31&lt;&gt;INDEX('TRIP MANAGER'!$U$18:$U$25,T$2)),1,0))</f>
        <v/>
      </c>
      <c r="U31">
        <f t="array" ref="U31">IF($A31="","",IF(AND(INDEX($C31:$J31,U$2)&gt;0,$A31&lt;&gt;INDEX('TRIP MANAGER'!$T$18:$T$25,U$2),$A31&lt;&gt;INDEX('TRIP MANAGER'!$U$18:$U$25,U$2)),1,0))</f>
        <v/>
      </c>
      <c r="V31">
        <f t="array" ref="V31">IF($A31="","",IF(AND(INDEX($C31:$J31,V$2)&gt;0,$A31&lt;&gt;INDEX('TRIP MANAGER'!$T$18:$T$25,V$2),$A31&lt;&gt;INDEX('TRIP MANAGER'!$U$18:$U$25,V$2)),1,0))</f>
        <v/>
      </c>
      <c r="W31">
        <f t="array" ref="W31">IF($A31="","",IF(AND(INDEX($C31:$J31,W$2)&gt;0,$A31&lt;&gt;INDEX('TRIP MANAGER'!$T$18:$T$25,W$2),$A31&lt;&gt;INDEX('TRIP MANAGER'!$U$18:$U$25,W$2)),1,0))</f>
        <v/>
      </c>
      <c r="X31">
        <f t="array" ref="X31">IF($A31="","",IF(AND(INDEX($C31:$J31,X$2)&gt;0,$A31&lt;&gt;INDEX('TRIP MANAGER'!$T$18:$T$25,X$2),$A31&lt;&gt;INDEX('TRIP MANAGER'!$U$18:$U$25,X$2)),1,0))</f>
        <v/>
      </c>
      <c r="Y31">
        <f t="array" ref="Y31">IF($A31="","",IF(AND(INDEX($C31:$J31,Y$2)&gt;0,$A31&lt;&gt;INDEX('TRIP MANAGER'!$T$18:$T$25,Y$2),$A31&lt;&gt;INDEX('TRIP MANAGER'!$U$18:$U$25,Y$2)),1,0))</f>
        <v/>
      </c>
    </row>
    <row r="32">
      <c r="A32">
        <f>IF(countries!$D31="","",countries!$D31)</f>
        <v/>
      </c>
      <c r="B32">
        <f>IF(countries!$B31="","",countries!$B31)</f>
        <v/>
      </c>
      <c r="C32">
        <f>IF($A32="","",COUNTIFS(route_calc!$A$2:$A$1209,C$2,route_calc!$P$2:$P$1209,$A32))</f>
        <v/>
      </c>
      <c r="D32">
        <f>IF($A32="","",COUNTIFS(route_calc!$A$2:$A$1209,D$2,route_calc!$P$2:$P$1209,$A32))</f>
        <v/>
      </c>
      <c r="E32">
        <f>IF($A32="","",COUNTIFS(route_calc!$A$2:$A$1209,E$2,route_calc!$P$2:$P$1209,$A32))</f>
        <v/>
      </c>
      <c r="F32">
        <f>IF($A32="","",COUNTIFS(route_calc!$A$2:$A$1209,F$2,route_calc!$P$2:$P$1209,$A32))</f>
        <v/>
      </c>
      <c r="G32">
        <f>IF($A32="","",COUNTIFS(route_calc!$A$2:$A$1209,G$2,route_calc!$P$2:$P$1209,$A32))</f>
        <v/>
      </c>
      <c r="H32">
        <f>IF($A32="","",COUNTIFS(route_calc!$A$2:$A$1209,H$2,route_calc!$P$2:$P$1209,$A32))</f>
        <v/>
      </c>
      <c r="I32">
        <f>IF($A32="","",COUNTIFS(route_calc!$A$2:$A$1209,I$2,route_calc!$P$2:$P$1209,$A32))</f>
        <v/>
      </c>
      <c r="J32">
        <f>IF($A32="","",COUNTIFS(route_calc!$A$2:$A$1209,J$2,route_calc!$P$2:$P$1209,$A32))</f>
        <v/>
      </c>
      <c r="K32">
        <f>IF($L32=0,"",_xlfn.MINIFS(route_calc!$Q$2:$Q$1209,route_calc!$P$2:$P$1209,$A32,route_calc!$A$2:$A$1209,MATCH(1,$R32:$Y32,0)))</f>
        <v/>
      </c>
      <c r="L32">
        <f>IF($A32="",0,IF(SUM($R32:$Y32)&gt;0,1,0))</f>
        <v/>
      </c>
      <c r="M32">
        <f t="array" ref="M32">IF($L32=0,"",_xlfn.TEXTJOIN(", ",TRUE,IF($R32:$Y32&gt;0,$C$1:$J$1,"")))</f>
        <v/>
      </c>
      <c r="N32">
        <f t="array" ref="N32">IF($L32=0,"",SUMPRODUCT(($L$3:$L$144=1)*($K$3:$K$144&lt;$K32))+1)</f>
        <v/>
      </c>
      <c r="O32">
        <f>IF($L32=0,"",MATCH(1,$R32:$Y32,0))</f>
        <v/>
      </c>
      <c r="P32">
        <f>IF($A32="","",IFERROR(INDEX(countries!$G:$G,MATCH($A32,countries!$D:$D,0)),""))</f>
        <v/>
      </c>
      <c r="Q32">
        <f>IF($A32="","",IFERROR(IF(INDEX(countries!$I:$I,MATCH($A32,countries!$D:$D,0))=0,"",INDEX(countries!$I:$I,MATCH($A32,countries!$D:$D,0))),""))</f>
        <v/>
      </c>
      <c r="R32">
        <f t="array" ref="R32">IF($A32="","",IF(AND(INDEX($C32:$J32,R$2)&gt;0,$A32&lt;&gt;INDEX('TRIP MANAGER'!$T$18:$T$25,R$2),$A32&lt;&gt;INDEX('TRIP MANAGER'!$U$18:$U$25,R$2)),1,0))</f>
        <v/>
      </c>
      <c r="S32">
        <f t="array" ref="S32">IF($A32="","",IF(AND(INDEX($C32:$J32,S$2)&gt;0,$A32&lt;&gt;INDEX('TRIP MANAGER'!$T$18:$T$25,S$2),$A32&lt;&gt;INDEX('TRIP MANAGER'!$U$18:$U$25,S$2)),1,0))</f>
        <v/>
      </c>
      <c r="T32">
        <f t="array" ref="T32">IF($A32="","",IF(AND(INDEX($C32:$J32,T$2)&gt;0,$A32&lt;&gt;INDEX('TRIP MANAGER'!$T$18:$T$25,T$2),$A32&lt;&gt;INDEX('TRIP MANAGER'!$U$18:$U$25,T$2)),1,0))</f>
        <v/>
      </c>
      <c r="U32">
        <f t="array" ref="U32">IF($A32="","",IF(AND(INDEX($C32:$J32,U$2)&gt;0,$A32&lt;&gt;INDEX('TRIP MANAGER'!$T$18:$T$25,U$2),$A32&lt;&gt;INDEX('TRIP MANAGER'!$U$18:$U$25,U$2)),1,0))</f>
        <v/>
      </c>
      <c r="V32">
        <f t="array" ref="V32">IF($A32="","",IF(AND(INDEX($C32:$J32,V$2)&gt;0,$A32&lt;&gt;INDEX('TRIP MANAGER'!$T$18:$T$25,V$2),$A32&lt;&gt;INDEX('TRIP MANAGER'!$U$18:$U$25,V$2)),1,0))</f>
        <v/>
      </c>
      <c r="W32">
        <f t="array" ref="W32">IF($A32="","",IF(AND(INDEX($C32:$J32,W$2)&gt;0,$A32&lt;&gt;INDEX('TRIP MANAGER'!$T$18:$T$25,W$2),$A32&lt;&gt;INDEX('TRIP MANAGER'!$U$18:$U$25,W$2)),1,0))</f>
        <v/>
      </c>
      <c r="X32">
        <f t="array" ref="X32">IF($A32="","",IF(AND(INDEX($C32:$J32,X$2)&gt;0,$A32&lt;&gt;INDEX('TRIP MANAGER'!$T$18:$T$25,X$2),$A32&lt;&gt;INDEX('TRIP MANAGER'!$U$18:$U$25,X$2)),1,0))</f>
        <v/>
      </c>
      <c r="Y32">
        <f t="array" ref="Y32">IF($A32="","",IF(AND(INDEX($C32:$J32,Y$2)&gt;0,$A32&lt;&gt;INDEX('TRIP MANAGER'!$T$18:$T$25,Y$2),$A32&lt;&gt;INDEX('TRIP MANAGER'!$U$18:$U$25,Y$2)),1,0))</f>
        <v/>
      </c>
    </row>
    <row r="33">
      <c r="A33">
        <f>IF(countries!$D32="","",countries!$D32)</f>
        <v/>
      </c>
      <c r="B33">
        <f>IF(countries!$B32="","",countries!$B32)</f>
        <v/>
      </c>
      <c r="C33">
        <f>IF($A33="","",COUNTIFS(route_calc!$A$2:$A$1209,C$2,route_calc!$P$2:$P$1209,$A33))</f>
        <v/>
      </c>
      <c r="D33">
        <f>IF($A33="","",COUNTIFS(route_calc!$A$2:$A$1209,D$2,route_calc!$P$2:$P$1209,$A33))</f>
        <v/>
      </c>
      <c r="E33">
        <f>IF($A33="","",COUNTIFS(route_calc!$A$2:$A$1209,E$2,route_calc!$P$2:$P$1209,$A33))</f>
        <v/>
      </c>
      <c r="F33">
        <f>IF($A33="","",COUNTIFS(route_calc!$A$2:$A$1209,F$2,route_calc!$P$2:$P$1209,$A33))</f>
        <v/>
      </c>
      <c r="G33">
        <f>IF($A33="","",COUNTIFS(route_calc!$A$2:$A$1209,G$2,route_calc!$P$2:$P$1209,$A33))</f>
        <v/>
      </c>
      <c r="H33">
        <f>IF($A33="","",COUNTIFS(route_calc!$A$2:$A$1209,H$2,route_calc!$P$2:$P$1209,$A33))</f>
        <v/>
      </c>
      <c r="I33">
        <f>IF($A33="","",COUNTIFS(route_calc!$A$2:$A$1209,I$2,route_calc!$P$2:$P$1209,$A33))</f>
        <v/>
      </c>
      <c r="J33">
        <f>IF($A33="","",COUNTIFS(route_calc!$A$2:$A$1209,J$2,route_calc!$P$2:$P$1209,$A33))</f>
        <v/>
      </c>
      <c r="K33">
        <f>IF($L33=0,"",_xlfn.MINIFS(route_calc!$Q$2:$Q$1209,route_calc!$P$2:$P$1209,$A33,route_calc!$A$2:$A$1209,MATCH(1,$R33:$Y33,0)))</f>
        <v/>
      </c>
      <c r="L33">
        <f>IF($A33="",0,IF(SUM($R33:$Y33)&gt;0,1,0))</f>
        <v/>
      </c>
      <c r="M33">
        <f t="array" ref="M33">IF($L33=0,"",_xlfn.TEXTJOIN(", ",TRUE,IF($R33:$Y33&gt;0,$C$1:$J$1,"")))</f>
        <v/>
      </c>
      <c r="N33">
        <f t="array" ref="N33">IF($L33=0,"",SUMPRODUCT(($L$3:$L$144=1)*($K$3:$K$144&lt;$K33))+1)</f>
        <v/>
      </c>
      <c r="O33">
        <f>IF($L33=0,"",MATCH(1,$R33:$Y33,0))</f>
        <v/>
      </c>
      <c r="P33">
        <f>IF($A33="","",IFERROR(INDEX(countries!$G:$G,MATCH($A33,countries!$D:$D,0)),""))</f>
        <v/>
      </c>
      <c r="Q33">
        <f>IF($A33="","",IFERROR(IF(INDEX(countries!$I:$I,MATCH($A33,countries!$D:$D,0))=0,"",INDEX(countries!$I:$I,MATCH($A33,countries!$D:$D,0))),""))</f>
        <v/>
      </c>
      <c r="R33">
        <f t="array" ref="R33">IF($A33="","",IF(AND(INDEX($C33:$J33,R$2)&gt;0,$A33&lt;&gt;INDEX('TRIP MANAGER'!$T$18:$T$25,R$2),$A33&lt;&gt;INDEX('TRIP MANAGER'!$U$18:$U$25,R$2)),1,0))</f>
        <v/>
      </c>
      <c r="S33">
        <f t="array" ref="S33">IF($A33="","",IF(AND(INDEX($C33:$J33,S$2)&gt;0,$A33&lt;&gt;INDEX('TRIP MANAGER'!$T$18:$T$25,S$2),$A33&lt;&gt;INDEX('TRIP MANAGER'!$U$18:$U$25,S$2)),1,0))</f>
        <v/>
      </c>
      <c r="T33">
        <f t="array" ref="T33">IF($A33="","",IF(AND(INDEX($C33:$J33,T$2)&gt;0,$A33&lt;&gt;INDEX('TRIP MANAGER'!$T$18:$T$25,T$2),$A33&lt;&gt;INDEX('TRIP MANAGER'!$U$18:$U$25,T$2)),1,0))</f>
        <v/>
      </c>
      <c r="U33">
        <f t="array" ref="U33">IF($A33="","",IF(AND(INDEX($C33:$J33,U$2)&gt;0,$A33&lt;&gt;INDEX('TRIP MANAGER'!$T$18:$T$25,U$2),$A33&lt;&gt;INDEX('TRIP MANAGER'!$U$18:$U$25,U$2)),1,0))</f>
        <v/>
      </c>
      <c r="V33">
        <f t="array" ref="V33">IF($A33="","",IF(AND(INDEX($C33:$J33,V$2)&gt;0,$A33&lt;&gt;INDEX('TRIP MANAGER'!$T$18:$T$25,V$2),$A33&lt;&gt;INDEX('TRIP MANAGER'!$U$18:$U$25,V$2)),1,0))</f>
        <v/>
      </c>
      <c r="W33">
        <f t="array" ref="W33">IF($A33="","",IF(AND(INDEX($C33:$J33,W$2)&gt;0,$A33&lt;&gt;INDEX('TRIP MANAGER'!$T$18:$T$25,W$2),$A33&lt;&gt;INDEX('TRIP MANAGER'!$U$18:$U$25,W$2)),1,0))</f>
        <v/>
      </c>
      <c r="X33">
        <f t="array" ref="X33">IF($A33="","",IF(AND(INDEX($C33:$J33,X$2)&gt;0,$A33&lt;&gt;INDEX('TRIP MANAGER'!$T$18:$T$25,X$2),$A33&lt;&gt;INDEX('TRIP MANAGER'!$U$18:$U$25,X$2)),1,0))</f>
        <v/>
      </c>
      <c r="Y33">
        <f t="array" ref="Y33">IF($A33="","",IF(AND(INDEX($C33:$J33,Y$2)&gt;0,$A33&lt;&gt;INDEX('TRIP MANAGER'!$T$18:$T$25,Y$2),$A33&lt;&gt;INDEX('TRIP MANAGER'!$U$18:$U$25,Y$2)),1,0))</f>
        <v/>
      </c>
    </row>
    <row r="34">
      <c r="A34">
        <f>IF(countries!$D33="","",countries!$D33)</f>
        <v/>
      </c>
      <c r="B34">
        <f>IF(countries!$B33="","",countries!$B33)</f>
        <v/>
      </c>
      <c r="C34">
        <f>IF($A34="","",COUNTIFS(route_calc!$A$2:$A$1209,C$2,route_calc!$P$2:$P$1209,$A34))</f>
        <v/>
      </c>
      <c r="D34">
        <f>IF($A34="","",COUNTIFS(route_calc!$A$2:$A$1209,D$2,route_calc!$P$2:$P$1209,$A34))</f>
        <v/>
      </c>
      <c r="E34">
        <f>IF($A34="","",COUNTIFS(route_calc!$A$2:$A$1209,E$2,route_calc!$P$2:$P$1209,$A34))</f>
        <v/>
      </c>
      <c r="F34">
        <f>IF($A34="","",COUNTIFS(route_calc!$A$2:$A$1209,F$2,route_calc!$P$2:$P$1209,$A34))</f>
        <v/>
      </c>
      <c r="G34">
        <f>IF($A34="","",COUNTIFS(route_calc!$A$2:$A$1209,G$2,route_calc!$P$2:$P$1209,$A34))</f>
        <v/>
      </c>
      <c r="H34">
        <f>IF($A34="","",COUNTIFS(route_calc!$A$2:$A$1209,H$2,route_calc!$P$2:$P$1209,$A34))</f>
        <v/>
      </c>
      <c r="I34">
        <f>IF($A34="","",COUNTIFS(route_calc!$A$2:$A$1209,I$2,route_calc!$P$2:$P$1209,$A34))</f>
        <v/>
      </c>
      <c r="J34">
        <f>IF($A34="","",COUNTIFS(route_calc!$A$2:$A$1209,J$2,route_calc!$P$2:$P$1209,$A34))</f>
        <v/>
      </c>
      <c r="K34">
        <f>IF($L34=0,"",_xlfn.MINIFS(route_calc!$Q$2:$Q$1209,route_calc!$P$2:$P$1209,$A34,route_calc!$A$2:$A$1209,MATCH(1,$R34:$Y34,0)))</f>
        <v/>
      </c>
      <c r="L34">
        <f>IF($A34="",0,IF(SUM($R34:$Y34)&gt;0,1,0))</f>
        <v/>
      </c>
      <c r="M34">
        <f t="array" ref="M34">IF($L34=0,"",_xlfn.TEXTJOIN(", ",TRUE,IF($R34:$Y34&gt;0,$C$1:$J$1,"")))</f>
        <v/>
      </c>
      <c r="N34">
        <f t="array" ref="N34">IF($L34=0,"",SUMPRODUCT(($L$3:$L$144=1)*($K$3:$K$144&lt;$K34))+1)</f>
        <v/>
      </c>
      <c r="O34">
        <f>IF($L34=0,"",MATCH(1,$R34:$Y34,0))</f>
        <v/>
      </c>
      <c r="P34">
        <f>IF($A34="","",IFERROR(INDEX(countries!$G:$G,MATCH($A34,countries!$D:$D,0)),""))</f>
        <v/>
      </c>
      <c r="Q34">
        <f>IF($A34="","",IFERROR(IF(INDEX(countries!$I:$I,MATCH($A34,countries!$D:$D,0))=0,"",INDEX(countries!$I:$I,MATCH($A34,countries!$D:$D,0))),""))</f>
        <v/>
      </c>
      <c r="R34">
        <f t="array" ref="R34">IF($A34="","",IF(AND(INDEX($C34:$J34,R$2)&gt;0,$A34&lt;&gt;INDEX('TRIP MANAGER'!$T$18:$T$25,R$2),$A34&lt;&gt;INDEX('TRIP MANAGER'!$U$18:$U$25,R$2)),1,0))</f>
        <v/>
      </c>
      <c r="S34">
        <f t="array" ref="S34">IF($A34="","",IF(AND(INDEX($C34:$J34,S$2)&gt;0,$A34&lt;&gt;INDEX('TRIP MANAGER'!$T$18:$T$25,S$2),$A34&lt;&gt;INDEX('TRIP MANAGER'!$U$18:$U$25,S$2)),1,0))</f>
        <v/>
      </c>
      <c r="T34">
        <f t="array" ref="T34">IF($A34="","",IF(AND(INDEX($C34:$J34,T$2)&gt;0,$A34&lt;&gt;INDEX('TRIP MANAGER'!$T$18:$T$25,T$2),$A34&lt;&gt;INDEX('TRIP MANAGER'!$U$18:$U$25,T$2)),1,0))</f>
        <v/>
      </c>
      <c r="U34">
        <f t="array" ref="U34">IF($A34="","",IF(AND(INDEX($C34:$J34,U$2)&gt;0,$A34&lt;&gt;INDEX('TRIP MANAGER'!$T$18:$T$25,U$2),$A34&lt;&gt;INDEX('TRIP MANAGER'!$U$18:$U$25,U$2)),1,0))</f>
        <v/>
      </c>
      <c r="V34">
        <f t="array" ref="V34">IF($A34="","",IF(AND(INDEX($C34:$J34,V$2)&gt;0,$A34&lt;&gt;INDEX('TRIP MANAGER'!$T$18:$T$25,V$2),$A34&lt;&gt;INDEX('TRIP MANAGER'!$U$18:$U$25,V$2)),1,0))</f>
        <v/>
      </c>
      <c r="W34">
        <f t="array" ref="W34">IF($A34="","",IF(AND(INDEX($C34:$J34,W$2)&gt;0,$A34&lt;&gt;INDEX('TRIP MANAGER'!$T$18:$T$25,W$2),$A34&lt;&gt;INDEX('TRIP MANAGER'!$U$18:$U$25,W$2)),1,0))</f>
        <v/>
      </c>
      <c r="X34">
        <f t="array" ref="X34">IF($A34="","",IF(AND(INDEX($C34:$J34,X$2)&gt;0,$A34&lt;&gt;INDEX('TRIP MANAGER'!$T$18:$T$25,X$2),$A34&lt;&gt;INDEX('TRIP MANAGER'!$U$18:$U$25,X$2)),1,0))</f>
        <v/>
      </c>
      <c r="Y34">
        <f t="array" ref="Y34">IF($A34="","",IF(AND(INDEX($C34:$J34,Y$2)&gt;0,$A34&lt;&gt;INDEX('TRIP MANAGER'!$T$18:$T$25,Y$2),$A34&lt;&gt;INDEX('TRIP MANAGER'!$U$18:$U$25,Y$2)),1,0))</f>
        <v/>
      </c>
    </row>
    <row r="35">
      <c r="A35">
        <f>IF(countries!$D34="","",countries!$D34)</f>
        <v/>
      </c>
      <c r="B35">
        <f>IF(countries!$B34="","",countries!$B34)</f>
        <v/>
      </c>
      <c r="C35">
        <f>IF($A35="","",COUNTIFS(route_calc!$A$2:$A$1209,C$2,route_calc!$P$2:$P$1209,$A35))</f>
        <v/>
      </c>
      <c r="D35">
        <f>IF($A35="","",COUNTIFS(route_calc!$A$2:$A$1209,D$2,route_calc!$P$2:$P$1209,$A35))</f>
        <v/>
      </c>
      <c r="E35">
        <f>IF($A35="","",COUNTIFS(route_calc!$A$2:$A$1209,E$2,route_calc!$P$2:$P$1209,$A35))</f>
        <v/>
      </c>
      <c r="F35">
        <f>IF($A35="","",COUNTIFS(route_calc!$A$2:$A$1209,F$2,route_calc!$P$2:$P$1209,$A35))</f>
        <v/>
      </c>
      <c r="G35">
        <f>IF($A35="","",COUNTIFS(route_calc!$A$2:$A$1209,G$2,route_calc!$P$2:$P$1209,$A35))</f>
        <v/>
      </c>
      <c r="H35">
        <f>IF($A35="","",COUNTIFS(route_calc!$A$2:$A$1209,H$2,route_calc!$P$2:$P$1209,$A35))</f>
        <v/>
      </c>
      <c r="I35">
        <f>IF($A35="","",COUNTIFS(route_calc!$A$2:$A$1209,I$2,route_calc!$P$2:$P$1209,$A35))</f>
        <v/>
      </c>
      <c r="J35">
        <f>IF($A35="","",COUNTIFS(route_calc!$A$2:$A$1209,J$2,route_calc!$P$2:$P$1209,$A35))</f>
        <v/>
      </c>
      <c r="K35">
        <f>IF($L35=0,"",_xlfn.MINIFS(route_calc!$Q$2:$Q$1209,route_calc!$P$2:$P$1209,$A35,route_calc!$A$2:$A$1209,MATCH(1,$R35:$Y35,0)))</f>
        <v/>
      </c>
      <c r="L35">
        <f>IF($A35="",0,IF(SUM($R35:$Y35)&gt;0,1,0))</f>
        <v/>
      </c>
      <c r="M35">
        <f t="array" ref="M35">IF($L35=0,"",_xlfn.TEXTJOIN(", ",TRUE,IF($R35:$Y35&gt;0,$C$1:$J$1,"")))</f>
        <v/>
      </c>
      <c r="N35">
        <f t="array" ref="N35">IF($L35=0,"",SUMPRODUCT(($L$3:$L$144=1)*($K$3:$K$144&lt;$K35))+1)</f>
        <v/>
      </c>
      <c r="O35">
        <f>IF($L35=0,"",MATCH(1,$R35:$Y35,0))</f>
        <v/>
      </c>
      <c r="P35">
        <f>IF($A35="","",IFERROR(INDEX(countries!$G:$G,MATCH($A35,countries!$D:$D,0)),""))</f>
        <v/>
      </c>
      <c r="Q35">
        <f>IF($A35="","",IFERROR(IF(INDEX(countries!$I:$I,MATCH($A35,countries!$D:$D,0))=0,"",INDEX(countries!$I:$I,MATCH($A35,countries!$D:$D,0))),""))</f>
        <v/>
      </c>
      <c r="R35">
        <f t="array" ref="R35">IF($A35="","",IF(AND(INDEX($C35:$J35,R$2)&gt;0,$A35&lt;&gt;INDEX('TRIP MANAGER'!$T$18:$T$25,R$2),$A35&lt;&gt;INDEX('TRIP MANAGER'!$U$18:$U$25,R$2)),1,0))</f>
        <v/>
      </c>
      <c r="S35">
        <f t="array" ref="S35">IF($A35="","",IF(AND(INDEX($C35:$J35,S$2)&gt;0,$A35&lt;&gt;INDEX('TRIP MANAGER'!$T$18:$T$25,S$2),$A35&lt;&gt;INDEX('TRIP MANAGER'!$U$18:$U$25,S$2)),1,0))</f>
        <v/>
      </c>
      <c r="T35">
        <f t="array" ref="T35">IF($A35="","",IF(AND(INDEX($C35:$J35,T$2)&gt;0,$A35&lt;&gt;INDEX('TRIP MANAGER'!$T$18:$T$25,T$2),$A35&lt;&gt;INDEX('TRIP MANAGER'!$U$18:$U$25,T$2)),1,0))</f>
        <v/>
      </c>
      <c r="U35">
        <f t="array" ref="U35">IF($A35="","",IF(AND(INDEX($C35:$J35,U$2)&gt;0,$A35&lt;&gt;INDEX('TRIP MANAGER'!$T$18:$T$25,U$2),$A35&lt;&gt;INDEX('TRIP MANAGER'!$U$18:$U$25,U$2)),1,0))</f>
        <v/>
      </c>
      <c r="V35">
        <f t="array" ref="V35">IF($A35="","",IF(AND(INDEX($C35:$J35,V$2)&gt;0,$A35&lt;&gt;INDEX('TRIP MANAGER'!$T$18:$T$25,V$2),$A35&lt;&gt;INDEX('TRIP MANAGER'!$U$18:$U$25,V$2)),1,0))</f>
        <v/>
      </c>
      <c r="W35">
        <f t="array" ref="W35">IF($A35="","",IF(AND(INDEX($C35:$J35,W$2)&gt;0,$A35&lt;&gt;INDEX('TRIP MANAGER'!$T$18:$T$25,W$2),$A35&lt;&gt;INDEX('TRIP MANAGER'!$U$18:$U$25,W$2)),1,0))</f>
        <v/>
      </c>
      <c r="X35">
        <f t="array" ref="X35">IF($A35="","",IF(AND(INDEX($C35:$J35,X$2)&gt;0,$A35&lt;&gt;INDEX('TRIP MANAGER'!$T$18:$T$25,X$2),$A35&lt;&gt;INDEX('TRIP MANAGER'!$U$18:$U$25,X$2)),1,0))</f>
        <v/>
      </c>
      <c r="Y35">
        <f t="array" ref="Y35">IF($A35="","",IF(AND(INDEX($C35:$J35,Y$2)&gt;0,$A35&lt;&gt;INDEX('TRIP MANAGER'!$T$18:$T$25,Y$2),$A35&lt;&gt;INDEX('TRIP MANAGER'!$U$18:$U$25,Y$2)),1,0))</f>
        <v/>
      </c>
    </row>
    <row r="36">
      <c r="A36">
        <f>IF(countries!$D35="","",countries!$D35)</f>
        <v/>
      </c>
      <c r="B36">
        <f>IF(countries!$B35="","",countries!$B35)</f>
        <v/>
      </c>
      <c r="C36">
        <f>IF($A36="","",COUNTIFS(route_calc!$A$2:$A$1209,C$2,route_calc!$P$2:$P$1209,$A36))</f>
        <v/>
      </c>
      <c r="D36">
        <f>IF($A36="","",COUNTIFS(route_calc!$A$2:$A$1209,D$2,route_calc!$P$2:$P$1209,$A36))</f>
        <v/>
      </c>
      <c r="E36">
        <f>IF($A36="","",COUNTIFS(route_calc!$A$2:$A$1209,E$2,route_calc!$P$2:$P$1209,$A36))</f>
        <v/>
      </c>
      <c r="F36">
        <f>IF($A36="","",COUNTIFS(route_calc!$A$2:$A$1209,F$2,route_calc!$P$2:$P$1209,$A36))</f>
        <v/>
      </c>
      <c r="G36">
        <f>IF($A36="","",COUNTIFS(route_calc!$A$2:$A$1209,G$2,route_calc!$P$2:$P$1209,$A36))</f>
        <v/>
      </c>
      <c r="H36">
        <f>IF($A36="","",COUNTIFS(route_calc!$A$2:$A$1209,H$2,route_calc!$P$2:$P$1209,$A36))</f>
        <v/>
      </c>
      <c r="I36">
        <f>IF($A36="","",COUNTIFS(route_calc!$A$2:$A$1209,I$2,route_calc!$P$2:$P$1209,$A36))</f>
        <v/>
      </c>
      <c r="J36">
        <f>IF($A36="","",COUNTIFS(route_calc!$A$2:$A$1209,J$2,route_calc!$P$2:$P$1209,$A36))</f>
        <v/>
      </c>
      <c r="K36">
        <f>IF($L36=0,"",_xlfn.MINIFS(route_calc!$Q$2:$Q$1209,route_calc!$P$2:$P$1209,$A36,route_calc!$A$2:$A$1209,MATCH(1,$R36:$Y36,0)))</f>
        <v/>
      </c>
      <c r="L36">
        <f>IF($A36="",0,IF(SUM($R36:$Y36)&gt;0,1,0))</f>
        <v/>
      </c>
      <c r="M36">
        <f t="array" ref="M36">IF($L36=0,"",_xlfn.TEXTJOIN(", ",TRUE,IF($R36:$Y36&gt;0,$C$1:$J$1,"")))</f>
        <v/>
      </c>
      <c r="N36">
        <f t="array" ref="N36">IF($L36=0,"",SUMPRODUCT(($L$3:$L$144=1)*($K$3:$K$144&lt;$K36))+1)</f>
        <v/>
      </c>
      <c r="O36">
        <f>IF($L36=0,"",MATCH(1,$R36:$Y36,0))</f>
        <v/>
      </c>
      <c r="P36">
        <f>IF($A36="","",IFERROR(INDEX(countries!$G:$G,MATCH($A36,countries!$D:$D,0)),""))</f>
        <v/>
      </c>
      <c r="Q36">
        <f>IF($A36="","",IFERROR(IF(INDEX(countries!$I:$I,MATCH($A36,countries!$D:$D,0))=0,"",INDEX(countries!$I:$I,MATCH($A36,countries!$D:$D,0))),""))</f>
        <v/>
      </c>
      <c r="R36">
        <f t="array" ref="R36">IF($A36="","",IF(AND(INDEX($C36:$J36,R$2)&gt;0,$A36&lt;&gt;INDEX('TRIP MANAGER'!$T$18:$T$25,R$2),$A36&lt;&gt;INDEX('TRIP MANAGER'!$U$18:$U$25,R$2)),1,0))</f>
        <v/>
      </c>
      <c r="S36">
        <f t="array" ref="S36">IF($A36="","",IF(AND(INDEX($C36:$J36,S$2)&gt;0,$A36&lt;&gt;INDEX('TRIP MANAGER'!$T$18:$T$25,S$2),$A36&lt;&gt;INDEX('TRIP MANAGER'!$U$18:$U$25,S$2)),1,0))</f>
        <v/>
      </c>
      <c r="T36">
        <f t="array" ref="T36">IF($A36="","",IF(AND(INDEX($C36:$J36,T$2)&gt;0,$A36&lt;&gt;INDEX('TRIP MANAGER'!$T$18:$T$25,T$2),$A36&lt;&gt;INDEX('TRIP MANAGER'!$U$18:$U$25,T$2)),1,0))</f>
        <v/>
      </c>
      <c r="U36">
        <f t="array" ref="U36">IF($A36="","",IF(AND(INDEX($C36:$J36,U$2)&gt;0,$A36&lt;&gt;INDEX('TRIP MANAGER'!$T$18:$T$25,U$2),$A36&lt;&gt;INDEX('TRIP MANAGER'!$U$18:$U$25,U$2)),1,0))</f>
        <v/>
      </c>
      <c r="V36">
        <f t="array" ref="V36">IF($A36="","",IF(AND(INDEX($C36:$J36,V$2)&gt;0,$A36&lt;&gt;INDEX('TRIP MANAGER'!$T$18:$T$25,V$2),$A36&lt;&gt;INDEX('TRIP MANAGER'!$U$18:$U$25,V$2)),1,0))</f>
        <v/>
      </c>
      <c r="W36">
        <f t="array" ref="W36">IF($A36="","",IF(AND(INDEX($C36:$J36,W$2)&gt;0,$A36&lt;&gt;INDEX('TRIP MANAGER'!$T$18:$T$25,W$2),$A36&lt;&gt;INDEX('TRIP MANAGER'!$U$18:$U$25,W$2)),1,0))</f>
        <v/>
      </c>
      <c r="X36">
        <f t="array" ref="X36">IF($A36="","",IF(AND(INDEX($C36:$J36,X$2)&gt;0,$A36&lt;&gt;INDEX('TRIP MANAGER'!$T$18:$T$25,X$2),$A36&lt;&gt;INDEX('TRIP MANAGER'!$U$18:$U$25,X$2)),1,0))</f>
        <v/>
      </c>
      <c r="Y36">
        <f t="array" ref="Y36">IF($A36="","",IF(AND(INDEX($C36:$J36,Y$2)&gt;0,$A36&lt;&gt;INDEX('TRIP MANAGER'!$T$18:$T$25,Y$2),$A36&lt;&gt;INDEX('TRIP MANAGER'!$U$18:$U$25,Y$2)),1,0))</f>
        <v/>
      </c>
    </row>
    <row r="37">
      <c r="A37">
        <f>IF(countries!$D36="","",countries!$D36)</f>
        <v/>
      </c>
      <c r="B37">
        <f>IF(countries!$B36="","",countries!$B36)</f>
        <v/>
      </c>
      <c r="C37">
        <f>IF($A37="","",COUNTIFS(route_calc!$A$2:$A$1209,C$2,route_calc!$P$2:$P$1209,$A37))</f>
        <v/>
      </c>
      <c r="D37">
        <f>IF($A37="","",COUNTIFS(route_calc!$A$2:$A$1209,D$2,route_calc!$P$2:$P$1209,$A37))</f>
        <v/>
      </c>
      <c r="E37">
        <f>IF($A37="","",COUNTIFS(route_calc!$A$2:$A$1209,E$2,route_calc!$P$2:$P$1209,$A37))</f>
        <v/>
      </c>
      <c r="F37">
        <f>IF($A37="","",COUNTIFS(route_calc!$A$2:$A$1209,F$2,route_calc!$P$2:$P$1209,$A37))</f>
        <v/>
      </c>
      <c r="G37">
        <f>IF($A37="","",COUNTIFS(route_calc!$A$2:$A$1209,G$2,route_calc!$P$2:$P$1209,$A37))</f>
        <v/>
      </c>
      <c r="H37">
        <f>IF($A37="","",COUNTIFS(route_calc!$A$2:$A$1209,H$2,route_calc!$P$2:$P$1209,$A37))</f>
        <v/>
      </c>
      <c r="I37">
        <f>IF($A37="","",COUNTIFS(route_calc!$A$2:$A$1209,I$2,route_calc!$P$2:$P$1209,$A37))</f>
        <v/>
      </c>
      <c r="J37">
        <f>IF($A37="","",COUNTIFS(route_calc!$A$2:$A$1209,J$2,route_calc!$P$2:$P$1209,$A37))</f>
        <v/>
      </c>
      <c r="K37">
        <f>IF($L37=0,"",_xlfn.MINIFS(route_calc!$Q$2:$Q$1209,route_calc!$P$2:$P$1209,$A37,route_calc!$A$2:$A$1209,MATCH(1,$R37:$Y37,0)))</f>
        <v/>
      </c>
      <c r="L37">
        <f>IF($A37="",0,IF(SUM($R37:$Y37)&gt;0,1,0))</f>
        <v/>
      </c>
      <c r="M37">
        <f t="array" ref="M37">IF($L37=0,"",_xlfn.TEXTJOIN(", ",TRUE,IF($R37:$Y37&gt;0,$C$1:$J$1,"")))</f>
        <v/>
      </c>
      <c r="N37">
        <f t="array" ref="N37">IF($L37=0,"",SUMPRODUCT(($L$3:$L$144=1)*($K$3:$K$144&lt;$K37))+1)</f>
        <v/>
      </c>
      <c r="O37">
        <f>IF($L37=0,"",MATCH(1,$R37:$Y37,0))</f>
        <v/>
      </c>
      <c r="P37">
        <f>IF($A37="","",IFERROR(INDEX(countries!$G:$G,MATCH($A37,countries!$D:$D,0)),""))</f>
        <v/>
      </c>
      <c r="Q37">
        <f>IF($A37="","",IFERROR(IF(INDEX(countries!$I:$I,MATCH($A37,countries!$D:$D,0))=0,"",INDEX(countries!$I:$I,MATCH($A37,countries!$D:$D,0))),""))</f>
        <v/>
      </c>
      <c r="R37">
        <f t="array" ref="R37">IF($A37="","",IF(AND(INDEX($C37:$J37,R$2)&gt;0,$A37&lt;&gt;INDEX('TRIP MANAGER'!$T$18:$T$25,R$2),$A37&lt;&gt;INDEX('TRIP MANAGER'!$U$18:$U$25,R$2)),1,0))</f>
        <v/>
      </c>
      <c r="S37">
        <f t="array" ref="S37">IF($A37="","",IF(AND(INDEX($C37:$J37,S$2)&gt;0,$A37&lt;&gt;INDEX('TRIP MANAGER'!$T$18:$T$25,S$2),$A37&lt;&gt;INDEX('TRIP MANAGER'!$U$18:$U$25,S$2)),1,0))</f>
        <v/>
      </c>
      <c r="T37">
        <f t="array" ref="T37">IF($A37="","",IF(AND(INDEX($C37:$J37,T$2)&gt;0,$A37&lt;&gt;INDEX('TRIP MANAGER'!$T$18:$T$25,T$2),$A37&lt;&gt;INDEX('TRIP MANAGER'!$U$18:$U$25,T$2)),1,0))</f>
        <v/>
      </c>
      <c r="U37">
        <f t="array" ref="U37">IF($A37="","",IF(AND(INDEX($C37:$J37,U$2)&gt;0,$A37&lt;&gt;INDEX('TRIP MANAGER'!$T$18:$T$25,U$2),$A37&lt;&gt;INDEX('TRIP MANAGER'!$U$18:$U$25,U$2)),1,0))</f>
        <v/>
      </c>
      <c r="V37">
        <f t="array" ref="V37">IF($A37="","",IF(AND(INDEX($C37:$J37,V$2)&gt;0,$A37&lt;&gt;INDEX('TRIP MANAGER'!$T$18:$T$25,V$2),$A37&lt;&gt;INDEX('TRIP MANAGER'!$U$18:$U$25,V$2)),1,0))</f>
        <v/>
      </c>
      <c r="W37">
        <f t="array" ref="W37">IF($A37="","",IF(AND(INDEX($C37:$J37,W$2)&gt;0,$A37&lt;&gt;INDEX('TRIP MANAGER'!$T$18:$T$25,W$2),$A37&lt;&gt;INDEX('TRIP MANAGER'!$U$18:$U$25,W$2)),1,0))</f>
        <v/>
      </c>
      <c r="X37">
        <f t="array" ref="X37">IF($A37="","",IF(AND(INDEX($C37:$J37,X$2)&gt;0,$A37&lt;&gt;INDEX('TRIP MANAGER'!$T$18:$T$25,X$2),$A37&lt;&gt;INDEX('TRIP MANAGER'!$U$18:$U$25,X$2)),1,0))</f>
        <v/>
      </c>
      <c r="Y37">
        <f t="array" ref="Y37">IF($A37="","",IF(AND(INDEX($C37:$J37,Y$2)&gt;0,$A37&lt;&gt;INDEX('TRIP MANAGER'!$T$18:$T$25,Y$2),$A37&lt;&gt;INDEX('TRIP MANAGER'!$U$18:$U$25,Y$2)),1,0))</f>
        <v/>
      </c>
    </row>
    <row r="38">
      <c r="A38">
        <f>IF(countries!$D37="","",countries!$D37)</f>
        <v/>
      </c>
      <c r="B38">
        <f>IF(countries!$B37="","",countries!$B37)</f>
        <v/>
      </c>
      <c r="C38">
        <f>IF($A38="","",COUNTIFS(route_calc!$A$2:$A$1209,C$2,route_calc!$P$2:$P$1209,$A38))</f>
        <v/>
      </c>
      <c r="D38">
        <f>IF($A38="","",COUNTIFS(route_calc!$A$2:$A$1209,D$2,route_calc!$P$2:$P$1209,$A38))</f>
        <v/>
      </c>
      <c r="E38">
        <f>IF($A38="","",COUNTIFS(route_calc!$A$2:$A$1209,E$2,route_calc!$P$2:$P$1209,$A38))</f>
        <v/>
      </c>
      <c r="F38">
        <f>IF($A38="","",COUNTIFS(route_calc!$A$2:$A$1209,F$2,route_calc!$P$2:$P$1209,$A38))</f>
        <v/>
      </c>
      <c r="G38">
        <f>IF($A38="","",COUNTIFS(route_calc!$A$2:$A$1209,G$2,route_calc!$P$2:$P$1209,$A38))</f>
        <v/>
      </c>
      <c r="H38">
        <f>IF($A38="","",COUNTIFS(route_calc!$A$2:$A$1209,H$2,route_calc!$P$2:$P$1209,$A38))</f>
        <v/>
      </c>
      <c r="I38">
        <f>IF($A38="","",COUNTIFS(route_calc!$A$2:$A$1209,I$2,route_calc!$P$2:$P$1209,$A38))</f>
        <v/>
      </c>
      <c r="J38">
        <f>IF($A38="","",COUNTIFS(route_calc!$A$2:$A$1209,J$2,route_calc!$P$2:$P$1209,$A38))</f>
        <v/>
      </c>
      <c r="K38">
        <f>IF($L38=0,"",_xlfn.MINIFS(route_calc!$Q$2:$Q$1209,route_calc!$P$2:$P$1209,$A38,route_calc!$A$2:$A$1209,MATCH(1,$R38:$Y38,0)))</f>
        <v/>
      </c>
      <c r="L38">
        <f>IF($A38="",0,IF(SUM($R38:$Y38)&gt;0,1,0))</f>
        <v/>
      </c>
      <c r="M38">
        <f t="array" ref="M38">IF($L38=0,"",_xlfn.TEXTJOIN(", ",TRUE,IF($R38:$Y38&gt;0,$C$1:$J$1,"")))</f>
        <v/>
      </c>
      <c r="N38">
        <f t="array" ref="N38">IF($L38=0,"",SUMPRODUCT(($L$3:$L$144=1)*($K$3:$K$144&lt;$K38))+1)</f>
        <v/>
      </c>
      <c r="O38">
        <f>IF($L38=0,"",MATCH(1,$R38:$Y38,0))</f>
        <v/>
      </c>
      <c r="P38">
        <f>IF($A38="","",IFERROR(INDEX(countries!$G:$G,MATCH($A38,countries!$D:$D,0)),""))</f>
        <v/>
      </c>
      <c r="Q38">
        <f>IF($A38="","",IFERROR(IF(INDEX(countries!$I:$I,MATCH($A38,countries!$D:$D,0))=0,"",INDEX(countries!$I:$I,MATCH($A38,countries!$D:$D,0))),""))</f>
        <v/>
      </c>
      <c r="R38">
        <f t="array" ref="R38">IF($A38="","",IF(AND(INDEX($C38:$J38,R$2)&gt;0,$A38&lt;&gt;INDEX('TRIP MANAGER'!$T$18:$T$25,R$2),$A38&lt;&gt;INDEX('TRIP MANAGER'!$U$18:$U$25,R$2)),1,0))</f>
        <v/>
      </c>
      <c r="S38">
        <f t="array" ref="S38">IF($A38="","",IF(AND(INDEX($C38:$J38,S$2)&gt;0,$A38&lt;&gt;INDEX('TRIP MANAGER'!$T$18:$T$25,S$2),$A38&lt;&gt;INDEX('TRIP MANAGER'!$U$18:$U$25,S$2)),1,0))</f>
        <v/>
      </c>
      <c r="T38">
        <f t="array" ref="T38">IF($A38="","",IF(AND(INDEX($C38:$J38,T$2)&gt;0,$A38&lt;&gt;INDEX('TRIP MANAGER'!$T$18:$T$25,T$2),$A38&lt;&gt;INDEX('TRIP MANAGER'!$U$18:$U$25,T$2)),1,0))</f>
        <v/>
      </c>
      <c r="U38">
        <f t="array" ref="U38">IF($A38="","",IF(AND(INDEX($C38:$J38,U$2)&gt;0,$A38&lt;&gt;INDEX('TRIP MANAGER'!$T$18:$T$25,U$2),$A38&lt;&gt;INDEX('TRIP MANAGER'!$U$18:$U$25,U$2)),1,0))</f>
        <v/>
      </c>
      <c r="V38">
        <f t="array" ref="V38">IF($A38="","",IF(AND(INDEX($C38:$J38,V$2)&gt;0,$A38&lt;&gt;INDEX('TRIP MANAGER'!$T$18:$T$25,V$2),$A38&lt;&gt;INDEX('TRIP MANAGER'!$U$18:$U$25,V$2)),1,0))</f>
        <v/>
      </c>
      <c r="W38">
        <f t="array" ref="W38">IF($A38="","",IF(AND(INDEX($C38:$J38,W$2)&gt;0,$A38&lt;&gt;INDEX('TRIP MANAGER'!$T$18:$T$25,W$2),$A38&lt;&gt;INDEX('TRIP MANAGER'!$U$18:$U$25,W$2)),1,0))</f>
        <v/>
      </c>
      <c r="X38">
        <f t="array" ref="X38">IF($A38="","",IF(AND(INDEX($C38:$J38,X$2)&gt;0,$A38&lt;&gt;INDEX('TRIP MANAGER'!$T$18:$T$25,X$2),$A38&lt;&gt;INDEX('TRIP MANAGER'!$U$18:$U$25,X$2)),1,0))</f>
        <v/>
      </c>
      <c r="Y38">
        <f t="array" ref="Y38">IF($A38="","",IF(AND(INDEX($C38:$J38,Y$2)&gt;0,$A38&lt;&gt;INDEX('TRIP MANAGER'!$T$18:$T$25,Y$2),$A38&lt;&gt;INDEX('TRIP MANAGER'!$U$18:$U$25,Y$2)),1,0))</f>
        <v/>
      </c>
    </row>
    <row r="39">
      <c r="A39">
        <f>IF(countries!$D38="","",countries!$D38)</f>
        <v/>
      </c>
      <c r="B39">
        <f>IF(countries!$B38="","",countries!$B38)</f>
        <v/>
      </c>
      <c r="C39">
        <f>IF($A39="","",COUNTIFS(route_calc!$A$2:$A$1209,C$2,route_calc!$P$2:$P$1209,$A39))</f>
        <v/>
      </c>
      <c r="D39">
        <f>IF($A39="","",COUNTIFS(route_calc!$A$2:$A$1209,D$2,route_calc!$P$2:$P$1209,$A39))</f>
        <v/>
      </c>
      <c r="E39">
        <f>IF($A39="","",COUNTIFS(route_calc!$A$2:$A$1209,E$2,route_calc!$P$2:$P$1209,$A39))</f>
        <v/>
      </c>
      <c r="F39">
        <f>IF($A39="","",COUNTIFS(route_calc!$A$2:$A$1209,F$2,route_calc!$P$2:$P$1209,$A39))</f>
        <v/>
      </c>
      <c r="G39">
        <f>IF($A39="","",COUNTIFS(route_calc!$A$2:$A$1209,G$2,route_calc!$P$2:$P$1209,$A39))</f>
        <v/>
      </c>
      <c r="H39">
        <f>IF($A39="","",COUNTIFS(route_calc!$A$2:$A$1209,H$2,route_calc!$P$2:$P$1209,$A39))</f>
        <v/>
      </c>
      <c r="I39">
        <f>IF($A39="","",COUNTIFS(route_calc!$A$2:$A$1209,I$2,route_calc!$P$2:$P$1209,$A39))</f>
        <v/>
      </c>
      <c r="J39">
        <f>IF($A39="","",COUNTIFS(route_calc!$A$2:$A$1209,J$2,route_calc!$P$2:$P$1209,$A39))</f>
        <v/>
      </c>
      <c r="K39">
        <f>IF($L39=0,"",_xlfn.MINIFS(route_calc!$Q$2:$Q$1209,route_calc!$P$2:$P$1209,$A39,route_calc!$A$2:$A$1209,MATCH(1,$R39:$Y39,0)))</f>
        <v/>
      </c>
      <c r="L39">
        <f>IF($A39="",0,IF(SUM($R39:$Y39)&gt;0,1,0))</f>
        <v/>
      </c>
      <c r="M39">
        <f t="array" ref="M39">IF($L39=0,"",_xlfn.TEXTJOIN(", ",TRUE,IF($R39:$Y39&gt;0,$C$1:$J$1,"")))</f>
        <v/>
      </c>
      <c r="N39">
        <f t="array" ref="N39">IF($L39=0,"",SUMPRODUCT(($L$3:$L$144=1)*($K$3:$K$144&lt;$K39))+1)</f>
        <v/>
      </c>
      <c r="O39">
        <f>IF($L39=0,"",MATCH(1,$R39:$Y39,0))</f>
        <v/>
      </c>
      <c r="P39">
        <f>IF($A39="","",IFERROR(INDEX(countries!$G:$G,MATCH($A39,countries!$D:$D,0)),""))</f>
        <v/>
      </c>
      <c r="Q39">
        <f>IF($A39="","",IFERROR(IF(INDEX(countries!$I:$I,MATCH($A39,countries!$D:$D,0))=0,"",INDEX(countries!$I:$I,MATCH($A39,countries!$D:$D,0))),""))</f>
        <v/>
      </c>
      <c r="R39">
        <f t="array" ref="R39">IF($A39="","",IF(AND(INDEX($C39:$J39,R$2)&gt;0,$A39&lt;&gt;INDEX('TRIP MANAGER'!$T$18:$T$25,R$2),$A39&lt;&gt;INDEX('TRIP MANAGER'!$U$18:$U$25,R$2)),1,0))</f>
        <v/>
      </c>
      <c r="S39">
        <f t="array" ref="S39">IF($A39="","",IF(AND(INDEX($C39:$J39,S$2)&gt;0,$A39&lt;&gt;INDEX('TRIP MANAGER'!$T$18:$T$25,S$2),$A39&lt;&gt;INDEX('TRIP MANAGER'!$U$18:$U$25,S$2)),1,0))</f>
        <v/>
      </c>
      <c r="T39">
        <f t="array" ref="T39">IF($A39="","",IF(AND(INDEX($C39:$J39,T$2)&gt;0,$A39&lt;&gt;INDEX('TRIP MANAGER'!$T$18:$T$25,T$2),$A39&lt;&gt;INDEX('TRIP MANAGER'!$U$18:$U$25,T$2)),1,0))</f>
        <v/>
      </c>
      <c r="U39">
        <f t="array" ref="U39">IF($A39="","",IF(AND(INDEX($C39:$J39,U$2)&gt;0,$A39&lt;&gt;INDEX('TRIP MANAGER'!$T$18:$T$25,U$2),$A39&lt;&gt;INDEX('TRIP MANAGER'!$U$18:$U$25,U$2)),1,0))</f>
        <v/>
      </c>
      <c r="V39">
        <f t="array" ref="V39">IF($A39="","",IF(AND(INDEX($C39:$J39,V$2)&gt;0,$A39&lt;&gt;INDEX('TRIP MANAGER'!$T$18:$T$25,V$2),$A39&lt;&gt;INDEX('TRIP MANAGER'!$U$18:$U$25,V$2)),1,0))</f>
        <v/>
      </c>
      <c r="W39">
        <f t="array" ref="W39">IF($A39="","",IF(AND(INDEX($C39:$J39,W$2)&gt;0,$A39&lt;&gt;INDEX('TRIP MANAGER'!$T$18:$T$25,W$2),$A39&lt;&gt;INDEX('TRIP MANAGER'!$U$18:$U$25,W$2)),1,0))</f>
        <v/>
      </c>
      <c r="X39">
        <f t="array" ref="X39">IF($A39="","",IF(AND(INDEX($C39:$J39,X$2)&gt;0,$A39&lt;&gt;INDEX('TRIP MANAGER'!$T$18:$T$25,X$2),$A39&lt;&gt;INDEX('TRIP MANAGER'!$U$18:$U$25,X$2)),1,0))</f>
        <v/>
      </c>
      <c r="Y39">
        <f t="array" ref="Y39">IF($A39="","",IF(AND(INDEX($C39:$J39,Y$2)&gt;0,$A39&lt;&gt;INDEX('TRIP MANAGER'!$T$18:$T$25,Y$2),$A39&lt;&gt;INDEX('TRIP MANAGER'!$U$18:$U$25,Y$2)),1,0))</f>
        <v/>
      </c>
    </row>
    <row r="40">
      <c r="A40">
        <f>IF(countries!$D39="","",countries!$D39)</f>
        <v/>
      </c>
      <c r="B40">
        <f>IF(countries!$B39="","",countries!$B39)</f>
        <v/>
      </c>
      <c r="C40">
        <f>IF($A40="","",COUNTIFS(route_calc!$A$2:$A$1209,C$2,route_calc!$P$2:$P$1209,$A40))</f>
        <v/>
      </c>
      <c r="D40">
        <f>IF($A40="","",COUNTIFS(route_calc!$A$2:$A$1209,D$2,route_calc!$P$2:$P$1209,$A40))</f>
        <v/>
      </c>
      <c r="E40">
        <f>IF($A40="","",COUNTIFS(route_calc!$A$2:$A$1209,E$2,route_calc!$P$2:$P$1209,$A40))</f>
        <v/>
      </c>
      <c r="F40">
        <f>IF($A40="","",COUNTIFS(route_calc!$A$2:$A$1209,F$2,route_calc!$P$2:$P$1209,$A40))</f>
        <v/>
      </c>
      <c r="G40">
        <f>IF($A40="","",COUNTIFS(route_calc!$A$2:$A$1209,G$2,route_calc!$P$2:$P$1209,$A40))</f>
        <v/>
      </c>
      <c r="H40">
        <f>IF($A40="","",COUNTIFS(route_calc!$A$2:$A$1209,H$2,route_calc!$P$2:$P$1209,$A40))</f>
        <v/>
      </c>
      <c r="I40">
        <f>IF($A40="","",COUNTIFS(route_calc!$A$2:$A$1209,I$2,route_calc!$P$2:$P$1209,$A40))</f>
        <v/>
      </c>
      <c r="J40">
        <f>IF($A40="","",COUNTIFS(route_calc!$A$2:$A$1209,J$2,route_calc!$P$2:$P$1209,$A40))</f>
        <v/>
      </c>
      <c r="K40">
        <f>IF($L40=0,"",_xlfn.MINIFS(route_calc!$Q$2:$Q$1209,route_calc!$P$2:$P$1209,$A40,route_calc!$A$2:$A$1209,MATCH(1,$R40:$Y40,0)))</f>
        <v/>
      </c>
      <c r="L40">
        <f>IF($A40="",0,IF(SUM($R40:$Y40)&gt;0,1,0))</f>
        <v/>
      </c>
      <c r="M40">
        <f t="array" ref="M40">IF($L40=0,"",_xlfn.TEXTJOIN(", ",TRUE,IF($R40:$Y40&gt;0,$C$1:$J$1,"")))</f>
        <v/>
      </c>
      <c r="N40">
        <f t="array" ref="N40">IF($L40=0,"",SUMPRODUCT(($L$3:$L$144=1)*($K$3:$K$144&lt;$K40))+1)</f>
        <v/>
      </c>
      <c r="O40">
        <f>IF($L40=0,"",MATCH(1,$R40:$Y40,0))</f>
        <v/>
      </c>
      <c r="P40">
        <f>IF($A40="","",IFERROR(INDEX(countries!$G:$G,MATCH($A40,countries!$D:$D,0)),""))</f>
        <v/>
      </c>
      <c r="Q40">
        <f>IF($A40="","",IFERROR(IF(INDEX(countries!$I:$I,MATCH($A40,countries!$D:$D,0))=0,"",INDEX(countries!$I:$I,MATCH($A40,countries!$D:$D,0))),""))</f>
        <v/>
      </c>
      <c r="R40">
        <f t="array" ref="R40">IF($A40="","",IF(AND(INDEX($C40:$J40,R$2)&gt;0,$A40&lt;&gt;INDEX('TRIP MANAGER'!$T$18:$T$25,R$2),$A40&lt;&gt;INDEX('TRIP MANAGER'!$U$18:$U$25,R$2)),1,0))</f>
        <v/>
      </c>
      <c r="S40">
        <f t="array" ref="S40">IF($A40="","",IF(AND(INDEX($C40:$J40,S$2)&gt;0,$A40&lt;&gt;INDEX('TRIP MANAGER'!$T$18:$T$25,S$2),$A40&lt;&gt;INDEX('TRIP MANAGER'!$U$18:$U$25,S$2)),1,0))</f>
        <v/>
      </c>
      <c r="T40">
        <f t="array" ref="T40">IF($A40="","",IF(AND(INDEX($C40:$J40,T$2)&gt;0,$A40&lt;&gt;INDEX('TRIP MANAGER'!$T$18:$T$25,T$2),$A40&lt;&gt;INDEX('TRIP MANAGER'!$U$18:$U$25,T$2)),1,0))</f>
        <v/>
      </c>
      <c r="U40">
        <f t="array" ref="U40">IF($A40="","",IF(AND(INDEX($C40:$J40,U$2)&gt;0,$A40&lt;&gt;INDEX('TRIP MANAGER'!$T$18:$T$25,U$2),$A40&lt;&gt;INDEX('TRIP MANAGER'!$U$18:$U$25,U$2)),1,0))</f>
        <v/>
      </c>
      <c r="V40">
        <f t="array" ref="V40">IF($A40="","",IF(AND(INDEX($C40:$J40,V$2)&gt;0,$A40&lt;&gt;INDEX('TRIP MANAGER'!$T$18:$T$25,V$2),$A40&lt;&gt;INDEX('TRIP MANAGER'!$U$18:$U$25,V$2)),1,0))</f>
        <v/>
      </c>
      <c r="W40">
        <f t="array" ref="W40">IF($A40="","",IF(AND(INDEX($C40:$J40,W$2)&gt;0,$A40&lt;&gt;INDEX('TRIP MANAGER'!$T$18:$T$25,W$2),$A40&lt;&gt;INDEX('TRIP MANAGER'!$U$18:$U$25,W$2)),1,0))</f>
        <v/>
      </c>
      <c r="X40">
        <f t="array" ref="X40">IF($A40="","",IF(AND(INDEX($C40:$J40,X$2)&gt;0,$A40&lt;&gt;INDEX('TRIP MANAGER'!$T$18:$T$25,X$2),$A40&lt;&gt;INDEX('TRIP MANAGER'!$U$18:$U$25,X$2)),1,0))</f>
        <v/>
      </c>
      <c r="Y40">
        <f t="array" ref="Y40">IF($A40="","",IF(AND(INDEX($C40:$J40,Y$2)&gt;0,$A40&lt;&gt;INDEX('TRIP MANAGER'!$T$18:$T$25,Y$2),$A40&lt;&gt;INDEX('TRIP MANAGER'!$U$18:$U$25,Y$2)),1,0))</f>
        <v/>
      </c>
    </row>
    <row r="41">
      <c r="A41">
        <f>IF(countries!$D40="","",countries!$D40)</f>
        <v/>
      </c>
      <c r="B41">
        <f>IF(countries!$B40="","",countries!$B40)</f>
        <v/>
      </c>
      <c r="C41">
        <f>IF($A41="","",COUNTIFS(route_calc!$A$2:$A$1209,C$2,route_calc!$P$2:$P$1209,$A41))</f>
        <v/>
      </c>
      <c r="D41">
        <f>IF($A41="","",COUNTIFS(route_calc!$A$2:$A$1209,D$2,route_calc!$P$2:$P$1209,$A41))</f>
        <v/>
      </c>
      <c r="E41">
        <f>IF($A41="","",COUNTIFS(route_calc!$A$2:$A$1209,E$2,route_calc!$P$2:$P$1209,$A41))</f>
        <v/>
      </c>
      <c r="F41">
        <f>IF($A41="","",COUNTIFS(route_calc!$A$2:$A$1209,F$2,route_calc!$P$2:$P$1209,$A41))</f>
        <v/>
      </c>
      <c r="G41">
        <f>IF($A41="","",COUNTIFS(route_calc!$A$2:$A$1209,G$2,route_calc!$P$2:$P$1209,$A41))</f>
        <v/>
      </c>
      <c r="H41">
        <f>IF($A41="","",COUNTIFS(route_calc!$A$2:$A$1209,H$2,route_calc!$P$2:$P$1209,$A41))</f>
        <v/>
      </c>
      <c r="I41">
        <f>IF($A41="","",COUNTIFS(route_calc!$A$2:$A$1209,I$2,route_calc!$P$2:$P$1209,$A41))</f>
        <v/>
      </c>
      <c r="J41">
        <f>IF($A41="","",COUNTIFS(route_calc!$A$2:$A$1209,J$2,route_calc!$P$2:$P$1209,$A41))</f>
        <v/>
      </c>
      <c r="K41">
        <f>IF($L41=0,"",_xlfn.MINIFS(route_calc!$Q$2:$Q$1209,route_calc!$P$2:$P$1209,$A41,route_calc!$A$2:$A$1209,MATCH(1,$R41:$Y41,0)))</f>
        <v/>
      </c>
      <c r="L41">
        <f>IF($A41="",0,IF(SUM($R41:$Y41)&gt;0,1,0))</f>
        <v/>
      </c>
      <c r="M41">
        <f t="array" ref="M41">IF($L41=0,"",_xlfn.TEXTJOIN(", ",TRUE,IF($R41:$Y41&gt;0,$C$1:$J$1,"")))</f>
        <v/>
      </c>
      <c r="N41">
        <f t="array" ref="N41">IF($L41=0,"",SUMPRODUCT(($L$3:$L$144=1)*($K$3:$K$144&lt;$K41))+1)</f>
        <v/>
      </c>
      <c r="O41">
        <f>IF($L41=0,"",MATCH(1,$R41:$Y41,0))</f>
        <v/>
      </c>
      <c r="P41">
        <f>IF($A41="","",IFERROR(INDEX(countries!$G:$G,MATCH($A41,countries!$D:$D,0)),""))</f>
        <v/>
      </c>
      <c r="Q41">
        <f>IF($A41="","",IFERROR(IF(INDEX(countries!$I:$I,MATCH($A41,countries!$D:$D,0))=0,"",INDEX(countries!$I:$I,MATCH($A41,countries!$D:$D,0))),""))</f>
        <v/>
      </c>
      <c r="R41">
        <f t="array" ref="R41">IF($A41="","",IF(AND(INDEX($C41:$J41,R$2)&gt;0,$A41&lt;&gt;INDEX('TRIP MANAGER'!$T$18:$T$25,R$2),$A41&lt;&gt;INDEX('TRIP MANAGER'!$U$18:$U$25,R$2)),1,0))</f>
        <v/>
      </c>
      <c r="S41">
        <f t="array" ref="S41">IF($A41="","",IF(AND(INDEX($C41:$J41,S$2)&gt;0,$A41&lt;&gt;INDEX('TRIP MANAGER'!$T$18:$T$25,S$2),$A41&lt;&gt;INDEX('TRIP MANAGER'!$U$18:$U$25,S$2)),1,0))</f>
        <v/>
      </c>
      <c r="T41">
        <f t="array" ref="T41">IF($A41="","",IF(AND(INDEX($C41:$J41,T$2)&gt;0,$A41&lt;&gt;INDEX('TRIP MANAGER'!$T$18:$T$25,T$2),$A41&lt;&gt;INDEX('TRIP MANAGER'!$U$18:$U$25,T$2)),1,0))</f>
        <v/>
      </c>
      <c r="U41">
        <f t="array" ref="U41">IF($A41="","",IF(AND(INDEX($C41:$J41,U$2)&gt;0,$A41&lt;&gt;INDEX('TRIP MANAGER'!$T$18:$T$25,U$2),$A41&lt;&gt;INDEX('TRIP MANAGER'!$U$18:$U$25,U$2)),1,0))</f>
        <v/>
      </c>
      <c r="V41">
        <f t="array" ref="V41">IF($A41="","",IF(AND(INDEX($C41:$J41,V$2)&gt;0,$A41&lt;&gt;INDEX('TRIP MANAGER'!$T$18:$T$25,V$2),$A41&lt;&gt;INDEX('TRIP MANAGER'!$U$18:$U$25,V$2)),1,0))</f>
        <v/>
      </c>
      <c r="W41">
        <f t="array" ref="W41">IF($A41="","",IF(AND(INDEX($C41:$J41,W$2)&gt;0,$A41&lt;&gt;INDEX('TRIP MANAGER'!$T$18:$T$25,W$2),$A41&lt;&gt;INDEX('TRIP MANAGER'!$U$18:$U$25,W$2)),1,0))</f>
        <v/>
      </c>
      <c r="X41">
        <f t="array" ref="X41">IF($A41="","",IF(AND(INDEX($C41:$J41,X$2)&gt;0,$A41&lt;&gt;INDEX('TRIP MANAGER'!$T$18:$T$25,X$2),$A41&lt;&gt;INDEX('TRIP MANAGER'!$U$18:$U$25,X$2)),1,0))</f>
        <v/>
      </c>
      <c r="Y41">
        <f t="array" ref="Y41">IF($A41="","",IF(AND(INDEX($C41:$J41,Y$2)&gt;0,$A41&lt;&gt;INDEX('TRIP MANAGER'!$T$18:$T$25,Y$2),$A41&lt;&gt;INDEX('TRIP MANAGER'!$U$18:$U$25,Y$2)),1,0))</f>
        <v/>
      </c>
    </row>
    <row r="42">
      <c r="A42">
        <f>IF(countries!$D41="","",countries!$D41)</f>
        <v/>
      </c>
      <c r="B42">
        <f>IF(countries!$B41="","",countries!$B41)</f>
        <v/>
      </c>
      <c r="C42">
        <f>IF($A42="","",COUNTIFS(route_calc!$A$2:$A$1209,C$2,route_calc!$P$2:$P$1209,$A42))</f>
        <v/>
      </c>
      <c r="D42">
        <f>IF($A42="","",COUNTIFS(route_calc!$A$2:$A$1209,D$2,route_calc!$P$2:$P$1209,$A42))</f>
        <v/>
      </c>
      <c r="E42">
        <f>IF($A42="","",COUNTIFS(route_calc!$A$2:$A$1209,E$2,route_calc!$P$2:$P$1209,$A42))</f>
        <v/>
      </c>
      <c r="F42">
        <f>IF($A42="","",COUNTIFS(route_calc!$A$2:$A$1209,F$2,route_calc!$P$2:$P$1209,$A42))</f>
        <v/>
      </c>
      <c r="G42">
        <f>IF($A42="","",COUNTIFS(route_calc!$A$2:$A$1209,G$2,route_calc!$P$2:$P$1209,$A42))</f>
        <v/>
      </c>
      <c r="H42">
        <f>IF($A42="","",COUNTIFS(route_calc!$A$2:$A$1209,H$2,route_calc!$P$2:$P$1209,$A42))</f>
        <v/>
      </c>
      <c r="I42">
        <f>IF($A42="","",COUNTIFS(route_calc!$A$2:$A$1209,I$2,route_calc!$P$2:$P$1209,$A42))</f>
        <v/>
      </c>
      <c r="J42">
        <f>IF($A42="","",COUNTIFS(route_calc!$A$2:$A$1209,J$2,route_calc!$P$2:$P$1209,$A42))</f>
        <v/>
      </c>
      <c r="K42">
        <f>IF($L42=0,"",_xlfn.MINIFS(route_calc!$Q$2:$Q$1209,route_calc!$P$2:$P$1209,$A42,route_calc!$A$2:$A$1209,MATCH(1,$R42:$Y42,0)))</f>
        <v/>
      </c>
      <c r="L42">
        <f>IF($A42="",0,IF(SUM($R42:$Y42)&gt;0,1,0))</f>
        <v/>
      </c>
      <c r="M42">
        <f t="array" ref="M42">IF($L42=0,"",_xlfn.TEXTJOIN(", ",TRUE,IF($R42:$Y42&gt;0,$C$1:$J$1,"")))</f>
        <v/>
      </c>
      <c r="N42">
        <f t="array" ref="N42">IF($L42=0,"",SUMPRODUCT(($L$3:$L$144=1)*($K$3:$K$144&lt;$K42))+1)</f>
        <v/>
      </c>
      <c r="O42">
        <f>IF($L42=0,"",MATCH(1,$R42:$Y42,0))</f>
        <v/>
      </c>
      <c r="P42">
        <f>IF($A42="","",IFERROR(INDEX(countries!$G:$G,MATCH($A42,countries!$D:$D,0)),""))</f>
        <v/>
      </c>
      <c r="Q42">
        <f>IF($A42="","",IFERROR(IF(INDEX(countries!$I:$I,MATCH($A42,countries!$D:$D,0))=0,"",INDEX(countries!$I:$I,MATCH($A42,countries!$D:$D,0))),""))</f>
        <v/>
      </c>
      <c r="R42">
        <f t="array" ref="R42">IF($A42="","",IF(AND(INDEX($C42:$J42,R$2)&gt;0,$A42&lt;&gt;INDEX('TRIP MANAGER'!$T$18:$T$25,R$2),$A42&lt;&gt;INDEX('TRIP MANAGER'!$U$18:$U$25,R$2)),1,0))</f>
        <v/>
      </c>
      <c r="S42">
        <f t="array" ref="S42">IF($A42="","",IF(AND(INDEX($C42:$J42,S$2)&gt;0,$A42&lt;&gt;INDEX('TRIP MANAGER'!$T$18:$T$25,S$2),$A42&lt;&gt;INDEX('TRIP MANAGER'!$U$18:$U$25,S$2)),1,0))</f>
        <v/>
      </c>
      <c r="T42">
        <f t="array" ref="T42">IF($A42="","",IF(AND(INDEX($C42:$J42,T$2)&gt;0,$A42&lt;&gt;INDEX('TRIP MANAGER'!$T$18:$T$25,T$2),$A42&lt;&gt;INDEX('TRIP MANAGER'!$U$18:$U$25,T$2)),1,0))</f>
        <v/>
      </c>
      <c r="U42">
        <f t="array" ref="U42">IF($A42="","",IF(AND(INDEX($C42:$J42,U$2)&gt;0,$A42&lt;&gt;INDEX('TRIP MANAGER'!$T$18:$T$25,U$2),$A42&lt;&gt;INDEX('TRIP MANAGER'!$U$18:$U$25,U$2)),1,0))</f>
        <v/>
      </c>
      <c r="V42">
        <f t="array" ref="V42">IF($A42="","",IF(AND(INDEX($C42:$J42,V$2)&gt;0,$A42&lt;&gt;INDEX('TRIP MANAGER'!$T$18:$T$25,V$2),$A42&lt;&gt;INDEX('TRIP MANAGER'!$U$18:$U$25,V$2)),1,0))</f>
        <v/>
      </c>
      <c r="W42">
        <f t="array" ref="W42">IF($A42="","",IF(AND(INDEX($C42:$J42,W$2)&gt;0,$A42&lt;&gt;INDEX('TRIP MANAGER'!$T$18:$T$25,W$2),$A42&lt;&gt;INDEX('TRIP MANAGER'!$U$18:$U$25,W$2)),1,0))</f>
        <v/>
      </c>
      <c r="X42">
        <f t="array" ref="X42">IF($A42="","",IF(AND(INDEX($C42:$J42,X$2)&gt;0,$A42&lt;&gt;INDEX('TRIP MANAGER'!$T$18:$T$25,X$2),$A42&lt;&gt;INDEX('TRIP MANAGER'!$U$18:$U$25,X$2)),1,0))</f>
        <v/>
      </c>
      <c r="Y42">
        <f t="array" ref="Y42">IF($A42="","",IF(AND(INDEX($C42:$J42,Y$2)&gt;0,$A42&lt;&gt;INDEX('TRIP MANAGER'!$T$18:$T$25,Y$2),$A42&lt;&gt;INDEX('TRIP MANAGER'!$U$18:$U$25,Y$2)),1,0))</f>
        <v/>
      </c>
    </row>
    <row r="43">
      <c r="A43">
        <f>IF(countries!$D42="","",countries!$D42)</f>
        <v/>
      </c>
      <c r="B43">
        <f>IF(countries!$B42="","",countries!$B42)</f>
        <v/>
      </c>
      <c r="C43">
        <f>IF($A43="","",COUNTIFS(route_calc!$A$2:$A$1209,C$2,route_calc!$P$2:$P$1209,$A43))</f>
        <v/>
      </c>
      <c r="D43">
        <f>IF($A43="","",COUNTIFS(route_calc!$A$2:$A$1209,D$2,route_calc!$P$2:$P$1209,$A43))</f>
        <v/>
      </c>
      <c r="E43">
        <f>IF($A43="","",COUNTIFS(route_calc!$A$2:$A$1209,E$2,route_calc!$P$2:$P$1209,$A43))</f>
        <v/>
      </c>
      <c r="F43">
        <f>IF($A43="","",COUNTIFS(route_calc!$A$2:$A$1209,F$2,route_calc!$P$2:$P$1209,$A43))</f>
        <v/>
      </c>
      <c r="G43">
        <f>IF($A43="","",COUNTIFS(route_calc!$A$2:$A$1209,G$2,route_calc!$P$2:$P$1209,$A43))</f>
        <v/>
      </c>
      <c r="H43">
        <f>IF($A43="","",COUNTIFS(route_calc!$A$2:$A$1209,H$2,route_calc!$P$2:$P$1209,$A43))</f>
        <v/>
      </c>
      <c r="I43">
        <f>IF($A43="","",COUNTIFS(route_calc!$A$2:$A$1209,I$2,route_calc!$P$2:$P$1209,$A43))</f>
        <v/>
      </c>
      <c r="J43">
        <f>IF($A43="","",COUNTIFS(route_calc!$A$2:$A$1209,J$2,route_calc!$P$2:$P$1209,$A43))</f>
        <v/>
      </c>
      <c r="K43">
        <f>IF($L43=0,"",_xlfn.MINIFS(route_calc!$Q$2:$Q$1209,route_calc!$P$2:$P$1209,$A43,route_calc!$A$2:$A$1209,MATCH(1,$R43:$Y43,0)))</f>
        <v/>
      </c>
      <c r="L43">
        <f>IF($A43="",0,IF(SUM($R43:$Y43)&gt;0,1,0))</f>
        <v/>
      </c>
      <c r="M43">
        <f t="array" ref="M43">IF($L43=0,"",_xlfn.TEXTJOIN(", ",TRUE,IF($R43:$Y43&gt;0,$C$1:$J$1,"")))</f>
        <v/>
      </c>
      <c r="N43">
        <f t="array" ref="N43">IF($L43=0,"",SUMPRODUCT(($L$3:$L$144=1)*($K$3:$K$144&lt;$K43))+1)</f>
        <v/>
      </c>
      <c r="O43">
        <f>IF($L43=0,"",MATCH(1,$R43:$Y43,0))</f>
        <v/>
      </c>
      <c r="P43">
        <f>IF($A43="","",IFERROR(INDEX(countries!$G:$G,MATCH($A43,countries!$D:$D,0)),""))</f>
        <v/>
      </c>
      <c r="Q43">
        <f>IF($A43="","",IFERROR(IF(INDEX(countries!$I:$I,MATCH($A43,countries!$D:$D,0))=0,"",INDEX(countries!$I:$I,MATCH($A43,countries!$D:$D,0))),""))</f>
        <v/>
      </c>
      <c r="R43">
        <f t="array" ref="R43">IF($A43="","",IF(AND(INDEX($C43:$J43,R$2)&gt;0,$A43&lt;&gt;INDEX('TRIP MANAGER'!$T$18:$T$25,R$2),$A43&lt;&gt;INDEX('TRIP MANAGER'!$U$18:$U$25,R$2)),1,0))</f>
        <v/>
      </c>
      <c r="S43">
        <f t="array" ref="S43">IF($A43="","",IF(AND(INDEX($C43:$J43,S$2)&gt;0,$A43&lt;&gt;INDEX('TRIP MANAGER'!$T$18:$T$25,S$2),$A43&lt;&gt;INDEX('TRIP MANAGER'!$U$18:$U$25,S$2)),1,0))</f>
        <v/>
      </c>
      <c r="T43">
        <f t="array" ref="T43">IF($A43="","",IF(AND(INDEX($C43:$J43,T$2)&gt;0,$A43&lt;&gt;INDEX('TRIP MANAGER'!$T$18:$T$25,T$2),$A43&lt;&gt;INDEX('TRIP MANAGER'!$U$18:$U$25,T$2)),1,0))</f>
        <v/>
      </c>
      <c r="U43">
        <f t="array" ref="U43">IF($A43="","",IF(AND(INDEX($C43:$J43,U$2)&gt;0,$A43&lt;&gt;INDEX('TRIP MANAGER'!$T$18:$T$25,U$2),$A43&lt;&gt;INDEX('TRIP MANAGER'!$U$18:$U$25,U$2)),1,0))</f>
        <v/>
      </c>
      <c r="V43">
        <f t="array" ref="V43">IF($A43="","",IF(AND(INDEX($C43:$J43,V$2)&gt;0,$A43&lt;&gt;INDEX('TRIP MANAGER'!$T$18:$T$25,V$2),$A43&lt;&gt;INDEX('TRIP MANAGER'!$U$18:$U$25,V$2)),1,0))</f>
        <v/>
      </c>
      <c r="W43">
        <f t="array" ref="W43">IF($A43="","",IF(AND(INDEX($C43:$J43,W$2)&gt;0,$A43&lt;&gt;INDEX('TRIP MANAGER'!$T$18:$T$25,W$2),$A43&lt;&gt;INDEX('TRIP MANAGER'!$U$18:$U$25,W$2)),1,0))</f>
        <v/>
      </c>
      <c r="X43">
        <f t="array" ref="X43">IF($A43="","",IF(AND(INDEX($C43:$J43,X$2)&gt;0,$A43&lt;&gt;INDEX('TRIP MANAGER'!$T$18:$T$25,X$2),$A43&lt;&gt;INDEX('TRIP MANAGER'!$U$18:$U$25,X$2)),1,0))</f>
        <v/>
      </c>
      <c r="Y43">
        <f t="array" ref="Y43">IF($A43="","",IF(AND(INDEX($C43:$J43,Y$2)&gt;0,$A43&lt;&gt;INDEX('TRIP MANAGER'!$T$18:$T$25,Y$2),$A43&lt;&gt;INDEX('TRIP MANAGER'!$U$18:$U$25,Y$2)),1,0))</f>
        <v/>
      </c>
    </row>
    <row r="44">
      <c r="A44">
        <f>IF(countries!$D43="","",countries!$D43)</f>
        <v/>
      </c>
      <c r="B44">
        <f>IF(countries!$B43="","",countries!$B43)</f>
        <v/>
      </c>
      <c r="C44">
        <f>IF($A44="","",COUNTIFS(route_calc!$A$2:$A$1209,C$2,route_calc!$P$2:$P$1209,$A44))</f>
        <v/>
      </c>
      <c r="D44">
        <f>IF($A44="","",COUNTIFS(route_calc!$A$2:$A$1209,D$2,route_calc!$P$2:$P$1209,$A44))</f>
        <v/>
      </c>
      <c r="E44">
        <f>IF($A44="","",COUNTIFS(route_calc!$A$2:$A$1209,E$2,route_calc!$P$2:$P$1209,$A44))</f>
        <v/>
      </c>
      <c r="F44">
        <f>IF($A44="","",COUNTIFS(route_calc!$A$2:$A$1209,F$2,route_calc!$P$2:$P$1209,$A44))</f>
        <v/>
      </c>
      <c r="G44">
        <f>IF($A44="","",COUNTIFS(route_calc!$A$2:$A$1209,G$2,route_calc!$P$2:$P$1209,$A44))</f>
        <v/>
      </c>
      <c r="H44">
        <f>IF($A44="","",COUNTIFS(route_calc!$A$2:$A$1209,H$2,route_calc!$P$2:$P$1209,$A44))</f>
        <v/>
      </c>
      <c r="I44">
        <f>IF($A44="","",COUNTIFS(route_calc!$A$2:$A$1209,I$2,route_calc!$P$2:$P$1209,$A44))</f>
        <v/>
      </c>
      <c r="J44">
        <f>IF($A44="","",COUNTIFS(route_calc!$A$2:$A$1209,J$2,route_calc!$P$2:$P$1209,$A44))</f>
        <v/>
      </c>
      <c r="K44">
        <f>IF($L44=0,"",_xlfn.MINIFS(route_calc!$Q$2:$Q$1209,route_calc!$P$2:$P$1209,$A44,route_calc!$A$2:$A$1209,MATCH(1,$R44:$Y44,0)))</f>
        <v/>
      </c>
      <c r="L44">
        <f>IF($A44="",0,IF(SUM($R44:$Y44)&gt;0,1,0))</f>
        <v/>
      </c>
      <c r="M44">
        <f t="array" ref="M44">IF($L44=0,"",_xlfn.TEXTJOIN(", ",TRUE,IF($R44:$Y44&gt;0,$C$1:$J$1,"")))</f>
        <v/>
      </c>
      <c r="N44">
        <f t="array" ref="N44">IF($L44=0,"",SUMPRODUCT(($L$3:$L$144=1)*($K$3:$K$144&lt;$K44))+1)</f>
        <v/>
      </c>
      <c r="O44">
        <f>IF($L44=0,"",MATCH(1,$R44:$Y44,0))</f>
        <v/>
      </c>
      <c r="P44">
        <f>IF($A44="","",IFERROR(INDEX(countries!$G:$G,MATCH($A44,countries!$D:$D,0)),""))</f>
        <v/>
      </c>
      <c r="Q44">
        <f>IF($A44="","",IFERROR(IF(INDEX(countries!$I:$I,MATCH($A44,countries!$D:$D,0))=0,"",INDEX(countries!$I:$I,MATCH($A44,countries!$D:$D,0))),""))</f>
        <v/>
      </c>
      <c r="R44">
        <f t="array" ref="R44">IF($A44="","",IF(AND(INDEX($C44:$J44,R$2)&gt;0,$A44&lt;&gt;INDEX('TRIP MANAGER'!$T$18:$T$25,R$2),$A44&lt;&gt;INDEX('TRIP MANAGER'!$U$18:$U$25,R$2)),1,0))</f>
        <v/>
      </c>
      <c r="S44">
        <f t="array" ref="S44">IF($A44="","",IF(AND(INDEX($C44:$J44,S$2)&gt;0,$A44&lt;&gt;INDEX('TRIP MANAGER'!$T$18:$T$25,S$2),$A44&lt;&gt;INDEX('TRIP MANAGER'!$U$18:$U$25,S$2)),1,0))</f>
        <v/>
      </c>
      <c r="T44">
        <f t="array" ref="T44">IF($A44="","",IF(AND(INDEX($C44:$J44,T$2)&gt;0,$A44&lt;&gt;INDEX('TRIP MANAGER'!$T$18:$T$25,T$2),$A44&lt;&gt;INDEX('TRIP MANAGER'!$U$18:$U$25,T$2)),1,0))</f>
        <v/>
      </c>
      <c r="U44">
        <f t="array" ref="U44">IF($A44="","",IF(AND(INDEX($C44:$J44,U$2)&gt;0,$A44&lt;&gt;INDEX('TRIP MANAGER'!$T$18:$T$25,U$2),$A44&lt;&gt;INDEX('TRIP MANAGER'!$U$18:$U$25,U$2)),1,0))</f>
        <v/>
      </c>
      <c r="V44">
        <f t="array" ref="V44">IF($A44="","",IF(AND(INDEX($C44:$J44,V$2)&gt;0,$A44&lt;&gt;INDEX('TRIP MANAGER'!$T$18:$T$25,V$2),$A44&lt;&gt;INDEX('TRIP MANAGER'!$U$18:$U$25,V$2)),1,0))</f>
        <v/>
      </c>
      <c r="W44">
        <f t="array" ref="W44">IF($A44="","",IF(AND(INDEX($C44:$J44,W$2)&gt;0,$A44&lt;&gt;INDEX('TRIP MANAGER'!$T$18:$T$25,W$2),$A44&lt;&gt;INDEX('TRIP MANAGER'!$U$18:$U$25,W$2)),1,0))</f>
        <v/>
      </c>
      <c r="X44">
        <f t="array" ref="X44">IF($A44="","",IF(AND(INDEX($C44:$J44,X$2)&gt;0,$A44&lt;&gt;INDEX('TRIP MANAGER'!$T$18:$T$25,X$2),$A44&lt;&gt;INDEX('TRIP MANAGER'!$U$18:$U$25,X$2)),1,0))</f>
        <v/>
      </c>
      <c r="Y44">
        <f t="array" ref="Y44">IF($A44="","",IF(AND(INDEX($C44:$J44,Y$2)&gt;0,$A44&lt;&gt;INDEX('TRIP MANAGER'!$T$18:$T$25,Y$2),$A44&lt;&gt;INDEX('TRIP MANAGER'!$U$18:$U$25,Y$2)),1,0))</f>
        <v/>
      </c>
    </row>
    <row r="45">
      <c r="A45">
        <f>IF(countries!$D44="","",countries!$D44)</f>
        <v/>
      </c>
      <c r="B45">
        <f>IF(countries!$B44="","",countries!$B44)</f>
        <v/>
      </c>
      <c r="C45">
        <f>IF($A45="","",COUNTIFS(route_calc!$A$2:$A$1209,C$2,route_calc!$P$2:$P$1209,$A45))</f>
        <v/>
      </c>
      <c r="D45">
        <f>IF($A45="","",COUNTIFS(route_calc!$A$2:$A$1209,D$2,route_calc!$P$2:$P$1209,$A45))</f>
        <v/>
      </c>
      <c r="E45">
        <f>IF($A45="","",COUNTIFS(route_calc!$A$2:$A$1209,E$2,route_calc!$P$2:$P$1209,$A45))</f>
        <v/>
      </c>
      <c r="F45">
        <f>IF($A45="","",COUNTIFS(route_calc!$A$2:$A$1209,F$2,route_calc!$P$2:$P$1209,$A45))</f>
        <v/>
      </c>
      <c r="G45">
        <f>IF($A45="","",COUNTIFS(route_calc!$A$2:$A$1209,G$2,route_calc!$P$2:$P$1209,$A45))</f>
        <v/>
      </c>
      <c r="H45">
        <f>IF($A45="","",COUNTIFS(route_calc!$A$2:$A$1209,H$2,route_calc!$P$2:$P$1209,$A45))</f>
        <v/>
      </c>
      <c r="I45">
        <f>IF($A45="","",COUNTIFS(route_calc!$A$2:$A$1209,I$2,route_calc!$P$2:$P$1209,$A45))</f>
        <v/>
      </c>
      <c r="J45">
        <f>IF($A45="","",COUNTIFS(route_calc!$A$2:$A$1209,J$2,route_calc!$P$2:$P$1209,$A45))</f>
        <v/>
      </c>
      <c r="K45">
        <f>IF($L45=0,"",_xlfn.MINIFS(route_calc!$Q$2:$Q$1209,route_calc!$P$2:$P$1209,$A45,route_calc!$A$2:$A$1209,MATCH(1,$R45:$Y45,0)))</f>
        <v/>
      </c>
      <c r="L45">
        <f>IF($A45="",0,IF(SUM($R45:$Y45)&gt;0,1,0))</f>
        <v/>
      </c>
      <c r="M45">
        <f t="array" ref="M45">IF($L45=0,"",_xlfn.TEXTJOIN(", ",TRUE,IF($R45:$Y45&gt;0,$C$1:$J$1,"")))</f>
        <v/>
      </c>
      <c r="N45">
        <f t="array" ref="N45">IF($L45=0,"",SUMPRODUCT(($L$3:$L$144=1)*($K$3:$K$144&lt;$K45))+1)</f>
        <v/>
      </c>
      <c r="O45">
        <f>IF($L45=0,"",MATCH(1,$R45:$Y45,0))</f>
        <v/>
      </c>
      <c r="P45">
        <f>IF($A45="","",IFERROR(INDEX(countries!$G:$G,MATCH($A45,countries!$D:$D,0)),""))</f>
        <v/>
      </c>
      <c r="Q45">
        <f>IF($A45="","",IFERROR(IF(INDEX(countries!$I:$I,MATCH($A45,countries!$D:$D,0))=0,"",INDEX(countries!$I:$I,MATCH($A45,countries!$D:$D,0))),""))</f>
        <v/>
      </c>
      <c r="R45">
        <f t="array" ref="R45">IF($A45="","",IF(AND(INDEX($C45:$J45,R$2)&gt;0,$A45&lt;&gt;INDEX('TRIP MANAGER'!$T$18:$T$25,R$2),$A45&lt;&gt;INDEX('TRIP MANAGER'!$U$18:$U$25,R$2)),1,0))</f>
        <v/>
      </c>
      <c r="S45">
        <f t="array" ref="S45">IF($A45="","",IF(AND(INDEX($C45:$J45,S$2)&gt;0,$A45&lt;&gt;INDEX('TRIP MANAGER'!$T$18:$T$25,S$2),$A45&lt;&gt;INDEX('TRIP MANAGER'!$U$18:$U$25,S$2)),1,0))</f>
        <v/>
      </c>
      <c r="T45">
        <f t="array" ref="T45">IF($A45="","",IF(AND(INDEX($C45:$J45,T$2)&gt;0,$A45&lt;&gt;INDEX('TRIP MANAGER'!$T$18:$T$25,T$2),$A45&lt;&gt;INDEX('TRIP MANAGER'!$U$18:$U$25,T$2)),1,0))</f>
        <v/>
      </c>
      <c r="U45">
        <f t="array" ref="U45">IF($A45="","",IF(AND(INDEX($C45:$J45,U$2)&gt;0,$A45&lt;&gt;INDEX('TRIP MANAGER'!$T$18:$T$25,U$2),$A45&lt;&gt;INDEX('TRIP MANAGER'!$U$18:$U$25,U$2)),1,0))</f>
        <v/>
      </c>
      <c r="V45">
        <f t="array" ref="V45">IF($A45="","",IF(AND(INDEX($C45:$J45,V$2)&gt;0,$A45&lt;&gt;INDEX('TRIP MANAGER'!$T$18:$T$25,V$2),$A45&lt;&gt;INDEX('TRIP MANAGER'!$U$18:$U$25,V$2)),1,0))</f>
        <v/>
      </c>
      <c r="W45">
        <f t="array" ref="W45">IF($A45="","",IF(AND(INDEX($C45:$J45,W$2)&gt;0,$A45&lt;&gt;INDEX('TRIP MANAGER'!$T$18:$T$25,W$2),$A45&lt;&gt;INDEX('TRIP MANAGER'!$U$18:$U$25,W$2)),1,0))</f>
        <v/>
      </c>
      <c r="X45">
        <f t="array" ref="X45">IF($A45="","",IF(AND(INDEX($C45:$J45,X$2)&gt;0,$A45&lt;&gt;INDEX('TRIP MANAGER'!$T$18:$T$25,X$2),$A45&lt;&gt;INDEX('TRIP MANAGER'!$U$18:$U$25,X$2)),1,0))</f>
        <v/>
      </c>
      <c r="Y45">
        <f t="array" ref="Y45">IF($A45="","",IF(AND(INDEX($C45:$J45,Y$2)&gt;0,$A45&lt;&gt;INDEX('TRIP MANAGER'!$T$18:$T$25,Y$2),$A45&lt;&gt;INDEX('TRIP MANAGER'!$U$18:$U$25,Y$2)),1,0))</f>
        <v/>
      </c>
    </row>
    <row r="46">
      <c r="A46">
        <f>IF(countries!$D45="","",countries!$D45)</f>
        <v/>
      </c>
      <c r="B46">
        <f>IF(countries!$B45="","",countries!$B45)</f>
        <v/>
      </c>
      <c r="C46">
        <f>IF($A46="","",COUNTIFS(route_calc!$A$2:$A$1209,C$2,route_calc!$P$2:$P$1209,$A46))</f>
        <v/>
      </c>
      <c r="D46">
        <f>IF($A46="","",COUNTIFS(route_calc!$A$2:$A$1209,D$2,route_calc!$P$2:$P$1209,$A46))</f>
        <v/>
      </c>
      <c r="E46">
        <f>IF($A46="","",COUNTIFS(route_calc!$A$2:$A$1209,E$2,route_calc!$P$2:$P$1209,$A46))</f>
        <v/>
      </c>
      <c r="F46">
        <f>IF($A46="","",COUNTIFS(route_calc!$A$2:$A$1209,F$2,route_calc!$P$2:$P$1209,$A46))</f>
        <v/>
      </c>
      <c r="G46">
        <f>IF($A46="","",COUNTIFS(route_calc!$A$2:$A$1209,G$2,route_calc!$P$2:$P$1209,$A46))</f>
        <v/>
      </c>
      <c r="H46">
        <f>IF($A46="","",COUNTIFS(route_calc!$A$2:$A$1209,H$2,route_calc!$P$2:$P$1209,$A46))</f>
        <v/>
      </c>
      <c r="I46">
        <f>IF($A46="","",COUNTIFS(route_calc!$A$2:$A$1209,I$2,route_calc!$P$2:$P$1209,$A46))</f>
        <v/>
      </c>
      <c r="J46">
        <f>IF($A46="","",COUNTIFS(route_calc!$A$2:$A$1209,J$2,route_calc!$P$2:$P$1209,$A46))</f>
        <v/>
      </c>
      <c r="K46">
        <f>IF($L46=0,"",_xlfn.MINIFS(route_calc!$Q$2:$Q$1209,route_calc!$P$2:$P$1209,$A46,route_calc!$A$2:$A$1209,MATCH(1,$R46:$Y46,0)))</f>
        <v/>
      </c>
      <c r="L46">
        <f>IF($A46="",0,IF(SUM($R46:$Y46)&gt;0,1,0))</f>
        <v/>
      </c>
      <c r="M46">
        <f t="array" ref="M46">IF($L46=0,"",_xlfn.TEXTJOIN(", ",TRUE,IF($R46:$Y46&gt;0,$C$1:$J$1,"")))</f>
        <v/>
      </c>
      <c r="N46">
        <f t="array" ref="N46">IF($L46=0,"",SUMPRODUCT(($L$3:$L$144=1)*($K$3:$K$144&lt;$K46))+1)</f>
        <v/>
      </c>
      <c r="O46">
        <f>IF($L46=0,"",MATCH(1,$R46:$Y46,0))</f>
        <v/>
      </c>
      <c r="P46">
        <f>IF($A46="","",IFERROR(INDEX(countries!$G:$G,MATCH($A46,countries!$D:$D,0)),""))</f>
        <v/>
      </c>
      <c r="Q46">
        <f>IF($A46="","",IFERROR(IF(INDEX(countries!$I:$I,MATCH($A46,countries!$D:$D,0))=0,"",INDEX(countries!$I:$I,MATCH($A46,countries!$D:$D,0))),""))</f>
        <v/>
      </c>
      <c r="R46">
        <f t="array" ref="R46">IF($A46="","",IF(AND(INDEX($C46:$J46,R$2)&gt;0,$A46&lt;&gt;INDEX('TRIP MANAGER'!$T$18:$T$25,R$2),$A46&lt;&gt;INDEX('TRIP MANAGER'!$U$18:$U$25,R$2)),1,0))</f>
        <v/>
      </c>
      <c r="S46">
        <f t="array" ref="S46">IF($A46="","",IF(AND(INDEX($C46:$J46,S$2)&gt;0,$A46&lt;&gt;INDEX('TRIP MANAGER'!$T$18:$T$25,S$2),$A46&lt;&gt;INDEX('TRIP MANAGER'!$U$18:$U$25,S$2)),1,0))</f>
        <v/>
      </c>
      <c r="T46">
        <f t="array" ref="T46">IF($A46="","",IF(AND(INDEX($C46:$J46,T$2)&gt;0,$A46&lt;&gt;INDEX('TRIP MANAGER'!$T$18:$T$25,T$2),$A46&lt;&gt;INDEX('TRIP MANAGER'!$U$18:$U$25,T$2)),1,0))</f>
        <v/>
      </c>
      <c r="U46">
        <f t="array" ref="U46">IF($A46="","",IF(AND(INDEX($C46:$J46,U$2)&gt;0,$A46&lt;&gt;INDEX('TRIP MANAGER'!$T$18:$T$25,U$2),$A46&lt;&gt;INDEX('TRIP MANAGER'!$U$18:$U$25,U$2)),1,0))</f>
        <v/>
      </c>
      <c r="V46">
        <f t="array" ref="V46">IF($A46="","",IF(AND(INDEX($C46:$J46,V$2)&gt;0,$A46&lt;&gt;INDEX('TRIP MANAGER'!$T$18:$T$25,V$2),$A46&lt;&gt;INDEX('TRIP MANAGER'!$U$18:$U$25,V$2)),1,0))</f>
        <v/>
      </c>
      <c r="W46">
        <f t="array" ref="W46">IF($A46="","",IF(AND(INDEX($C46:$J46,W$2)&gt;0,$A46&lt;&gt;INDEX('TRIP MANAGER'!$T$18:$T$25,W$2),$A46&lt;&gt;INDEX('TRIP MANAGER'!$U$18:$U$25,W$2)),1,0))</f>
        <v/>
      </c>
      <c r="X46">
        <f t="array" ref="X46">IF($A46="","",IF(AND(INDEX($C46:$J46,X$2)&gt;0,$A46&lt;&gt;INDEX('TRIP MANAGER'!$T$18:$T$25,X$2),$A46&lt;&gt;INDEX('TRIP MANAGER'!$U$18:$U$25,X$2)),1,0))</f>
        <v/>
      </c>
      <c r="Y46">
        <f t="array" ref="Y46">IF($A46="","",IF(AND(INDEX($C46:$J46,Y$2)&gt;0,$A46&lt;&gt;INDEX('TRIP MANAGER'!$T$18:$T$25,Y$2),$A46&lt;&gt;INDEX('TRIP MANAGER'!$U$18:$U$25,Y$2)),1,0))</f>
        <v/>
      </c>
    </row>
    <row r="47">
      <c r="A47">
        <f>IF(countries!$D46="","",countries!$D46)</f>
        <v/>
      </c>
      <c r="B47">
        <f>IF(countries!$B46="","",countries!$B46)</f>
        <v/>
      </c>
      <c r="C47">
        <f>IF($A47="","",COUNTIFS(route_calc!$A$2:$A$1209,C$2,route_calc!$P$2:$P$1209,$A47))</f>
        <v/>
      </c>
      <c r="D47">
        <f>IF($A47="","",COUNTIFS(route_calc!$A$2:$A$1209,D$2,route_calc!$P$2:$P$1209,$A47))</f>
        <v/>
      </c>
      <c r="E47">
        <f>IF($A47="","",COUNTIFS(route_calc!$A$2:$A$1209,E$2,route_calc!$P$2:$P$1209,$A47))</f>
        <v/>
      </c>
      <c r="F47">
        <f>IF($A47="","",COUNTIFS(route_calc!$A$2:$A$1209,F$2,route_calc!$P$2:$P$1209,$A47))</f>
        <v/>
      </c>
      <c r="G47">
        <f>IF($A47="","",COUNTIFS(route_calc!$A$2:$A$1209,G$2,route_calc!$P$2:$P$1209,$A47))</f>
        <v/>
      </c>
      <c r="H47">
        <f>IF($A47="","",COUNTIFS(route_calc!$A$2:$A$1209,H$2,route_calc!$P$2:$P$1209,$A47))</f>
        <v/>
      </c>
      <c r="I47">
        <f>IF($A47="","",COUNTIFS(route_calc!$A$2:$A$1209,I$2,route_calc!$P$2:$P$1209,$A47))</f>
        <v/>
      </c>
      <c r="J47">
        <f>IF($A47="","",COUNTIFS(route_calc!$A$2:$A$1209,J$2,route_calc!$P$2:$P$1209,$A47))</f>
        <v/>
      </c>
      <c r="K47">
        <f>IF($L47=0,"",_xlfn.MINIFS(route_calc!$Q$2:$Q$1209,route_calc!$P$2:$P$1209,$A47,route_calc!$A$2:$A$1209,MATCH(1,$R47:$Y47,0)))</f>
        <v/>
      </c>
      <c r="L47">
        <f>IF($A47="",0,IF(SUM($R47:$Y47)&gt;0,1,0))</f>
        <v/>
      </c>
      <c r="M47">
        <f t="array" ref="M47">IF($L47=0,"",_xlfn.TEXTJOIN(", ",TRUE,IF($R47:$Y47&gt;0,$C$1:$J$1,"")))</f>
        <v/>
      </c>
      <c r="N47">
        <f t="array" ref="N47">IF($L47=0,"",SUMPRODUCT(($L$3:$L$144=1)*($K$3:$K$144&lt;$K47))+1)</f>
        <v/>
      </c>
      <c r="O47">
        <f>IF($L47=0,"",MATCH(1,$R47:$Y47,0))</f>
        <v/>
      </c>
      <c r="P47">
        <f>IF($A47="","",IFERROR(INDEX(countries!$G:$G,MATCH($A47,countries!$D:$D,0)),""))</f>
        <v/>
      </c>
      <c r="Q47">
        <f>IF($A47="","",IFERROR(IF(INDEX(countries!$I:$I,MATCH($A47,countries!$D:$D,0))=0,"",INDEX(countries!$I:$I,MATCH($A47,countries!$D:$D,0))),""))</f>
        <v/>
      </c>
      <c r="R47">
        <f t="array" ref="R47">IF($A47="","",IF(AND(INDEX($C47:$J47,R$2)&gt;0,$A47&lt;&gt;INDEX('TRIP MANAGER'!$T$18:$T$25,R$2),$A47&lt;&gt;INDEX('TRIP MANAGER'!$U$18:$U$25,R$2)),1,0))</f>
        <v/>
      </c>
      <c r="S47">
        <f t="array" ref="S47">IF($A47="","",IF(AND(INDEX($C47:$J47,S$2)&gt;0,$A47&lt;&gt;INDEX('TRIP MANAGER'!$T$18:$T$25,S$2),$A47&lt;&gt;INDEX('TRIP MANAGER'!$U$18:$U$25,S$2)),1,0))</f>
        <v/>
      </c>
      <c r="T47">
        <f t="array" ref="T47">IF($A47="","",IF(AND(INDEX($C47:$J47,T$2)&gt;0,$A47&lt;&gt;INDEX('TRIP MANAGER'!$T$18:$T$25,T$2),$A47&lt;&gt;INDEX('TRIP MANAGER'!$U$18:$U$25,T$2)),1,0))</f>
        <v/>
      </c>
      <c r="U47">
        <f t="array" ref="U47">IF($A47="","",IF(AND(INDEX($C47:$J47,U$2)&gt;0,$A47&lt;&gt;INDEX('TRIP MANAGER'!$T$18:$T$25,U$2),$A47&lt;&gt;INDEX('TRIP MANAGER'!$U$18:$U$25,U$2)),1,0))</f>
        <v/>
      </c>
      <c r="V47">
        <f t="array" ref="V47">IF($A47="","",IF(AND(INDEX($C47:$J47,V$2)&gt;0,$A47&lt;&gt;INDEX('TRIP MANAGER'!$T$18:$T$25,V$2),$A47&lt;&gt;INDEX('TRIP MANAGER'!$U$18:$U$25,V$2)),1,0))</f>
        <v/>
      </c>
      <c r="W47">
        <f t="array" ref="W47">IF($A47="","",IF(AND(INDEX($C47:$J47,W$2)&gt;0,$A47&lt;&gt;INDEX('TRIP MANAGER'!$T$18:$T$25,W$2),$A47&lt;&gt;INDEX('TRIP MANAGER'!$U$18:$U$25,W$2)),1,0))</f>
        <v/>
      </c>
      <c r="X47">
        <f t="array" ref="X47">IF($A47="","",IF(AND(INDEX($C47:$J47,X$2)&gt;0,$A47&lt;&gt;INDEX('TRIP MANAGER'!$T$18:$T$25,X$2),$A47&lt;&gt;INDEX('TRIP MANAGER'!$U$18:$U$25,X$2)),1,0))</f>
        <v/>
      </c>
      <c r="Y47">
        <f t="array" ref="Y47">IF($A47="","",IF(AND(INDEX($C47:$J47,Y$2)&gt;0,$A47&lt;&gt;INDEX('TRIP MANAGER'!$T$18:$T$25,Y$2),$A47&lt;&gt;INDEX('TRIP MANAGER'!$U$18:$U$25,Y$2)),1,0))</f>
        <v/>
      </c>
    </row>
    <row r="48">
      <c r="A48">
        <f>IF(countries!$D47="","",countries!$D47)</f>
        <v/>
      </c>
      <c r="B48">
        <f>IF(countries!$B47="","",countries!$B47)</f>
        <v/>
      </c>
      <c r="C48">
        <f>IF($A48="","",COUNTIFS(route_calc!$A$2:$A$1209,C$2,route_calc!$P$2:$P$1209,$A48))</f>
        <v/>
      </c>
      <c r="D48">
        <f>IF($A48="","",COUNTIFS(route_calc!$A$2:$A$1209,D$2,route_calc!$P$2:$P$1209,$A48))</f>
        <v/>
      </c>
      <c r="E48">
        <f>IF($A48="","",COUNTIFS(route_calc!$A$2:$A$1209,E$2,route_calc!$P$2:$P$1209,$A48))</f>
        <v/>
      </c>
      <c r="F48">
        <f>IF($A48="","",COUNTIFS(route_calc!$A$2:$A$1209,F$2,route_calc!$P$2:$P$1209,$A48))</f>
        <v/>
      </c>
      <c r="G48">
        <f>IF($A48="","",COUNTIFS(route_calc!$A$2:$A$1209,G$2,route_calc!$P$2:$P$1209,$A48))</f>
        <v/>
      </c>
      <c r="H48">
        <f>IF($A48="","",COUNTIFS(route_calc!$A$2:$A$1209,H$2,route_calc!$P$2:$P$1209,$A48))</f>
        <v/>
      </c>
      <c r="I48">
        <f>IF($A48="","",COUNTIFS(route_calc!$A$2:$A$1209,I$2,route_calc!$P$2:$P$1209,$A48))</f>
        <v/>
      </c>
      <c r="J48">
        <f>IF($A48="","",COUNTIFS(route_calc!$A$2:$A$1209,J$2,route_calc!$P$2:$P$1209,$A48))</f>
        <v/>
      </c>
      <c r="K48">
        <f>IF($L48=0,"",_xlfn.MINIFS(route_calc!$Q$2:$Q$1209,route_calc!$P$2:$P$1209,$A48,route_calc!$A$2:$A$1209,MATCH(1,$R48:$Y48,0)))</f>
        <v/>
      </c>
      <c r="L48">
        <f>IF($A48="",0,IF(SUM($R48:$Y48)&gt;0,1,0))</f>
        <v/>
      </c>
      <c r="M48">
        <f t="array" ref="M48">IF($L48=0,"",_xlfn.TEXTJOIN(", ",TRUE,IF($R48:$Y48&gt;0,$C$1:$J$1,"")))</f>
        <v/>
      </c>
      <c r="N48">
        <f t="array" ref="N48">IF($L48=0,"",SUMPRODUCT(($L$3:$L$144=1)*($K$3:$K$144&lt;$K48))+1)</f>
        <v/>
      </c>
      <c r="O48">
        <f>IF($L48=0,"",MATCH(1,$R48:$Y48,0))</f>
        <v/>
      </c>
      <c r="P48">
        <f>IF($A48="","",IFERROR(INDEX(countries!$G:$G,MATCH($A48,countries!$D:$D,0)),""))</f>
        <v/>
      </c>
      <c r="Q48">
        <f>IF($A48="","",IFERROR(IF(INDEX(countries!$I:$I,MATCH($A48,countries!$D:$D,0))=0,"",INDEX(countries!$I:$I,MATCH($A48,countries!$D:$D,0))),""))</f>
        <v/>
      </c>
      <c r="R48">
        <f t="array" ref="R48">IF($A48="","",IF(AND(INDEX($C48:$J48,R$2)&gt;0,$A48&lt;&gt;INDEX('TRIP MANAGER'!$T$18:$T$25,R$2),$A48&lt;&gt;INDEX('TRIP MANAGER'!$U$18:$U$25,R$2)),1,0))</f>
        <v/>
      </c>
      <c r="S48">
        <f t="array" ref="S48">IF($A48="","",IF(AND(INDEX($C48:$J48,S$2)&gt;0,$A48&lt;&gt;INDEX('TRIP MANAGER'!$T$18:$T$25,S$2),$A48&lt;&gt;INDEX('TRIP MANAGER'!$U$18:$U$25,S$2)),1,0))</f>
        <v/>
      </c>
      <c r="T48">
        <f t="array" ref="T48">IF($A48="","",IF(AND(INDEX($C48:$J48,T$2)&gt;0,$A48&lt;&gt;INDEX('TRIP MANAGER'!$T$18:$T$25,T$2),$A48&lt;&gt;INDEX('TRIP MANAGER'!$U$18:$U$25,T$2)),1,0))</f>
        <v/>
      </c>
      <c r="U48">
        <f t="array" ref="U48">IF($A48="","",IF(AND(INDEX($C48:$J48,U$2)&gt;0,$A48&lt;&gt;INDEX('TRIP MANAGER'!$T$18:$T$25,U$2),$A48&lt;&gt;INDEX('TRIP MANAGER'!$U$18:$U$25,U$2)),1,0))</f>
        <v/>
      </c>
      <c r="V48">
        <f t="array" ref="V48">IF($A48="","",IF(AND(INDEX($C48:$J48,V$2)&gt;0,$A48&lt;&gt;INDEX('TRIP MANAGER'!$T$18:$T$25,V$2),$A48&lt;&gt;INDEX('TRIP MANAGER'!$U$18:$U$25,V$2)),1,0))</f>
        <v/>
      </c>
      <c r="W48">
        <f t="array" ref="W48">IF($A48="","",IF(AND(INDEX($C48:$J48,W$2)&gt;0,$A48&lt;&gt;INDEX('TRIP MANAGER'!$T$18:$T$25,W$2),$A48&lt;&gt;INDEX('TRIP MANAGER'!$U$18:$U$25,W$2)),1,0))</f>
        <v/>
      </c>
      <c r="X48">
        <f t="array" ref="X48">IF($A48="","",IF(AND(INDEX($C48:$J48,X$2)&gt;0,$A48&lt;&gt;INDEX('TRIP MANAGER'!$T$18:$T$25,X$2),$A48&lt;&gt;INDEX('TRIP MANAGER'!$U$18:$U$25,X$2)),1,0))</f>
        <v/>
      </c>
      <c r="Y48">
        <f t="array" ref="Y48">IF($A48="","",IF(AND(INDEX($C48:$J48,Y$2)&gt;0,$A48&lt;&gt;INDEX('TRIP MANAGER'!$T$18:$T$25,Y$2),$A48&lt;&gt;INDEX('TRIP MANAGER'!$U$18:$U$25,Y$2)),1,0))</f>
        <v/>
      </c>
    </row>
    <row r="49">
      <c r="A49">
        <f>IF(countries!$D48="","",countries!$D48)</f>
        <v/>
      </c>
      <c r="B49">
        <f>IF(countries!$B48="","",countries!$B48)</f>
        <v/>
      </c>
      <c r="C49">
        <f>IF($A49="","",COUNTIFS(route_calc!$A$2:$A$1209,C$2,route_calc!$P$2:$P$1209,$A49))</f>
        <v/>
      </c>
      <c r="D49">
        <f>IF($A49="","",COUNTIFS(route_calc!$A$2:$A$1209,D$2,route_calc!$P$2:$P$1209,$A49))</f>
        <v/>
      </c>
      <c r="E49">
        <f>IF($A49="","",COUNTIFS(route_calc!$A$2:$A$1209,E$2,route_calc!$P$2:$P$1209,$A49))</f>
        <v/>
      </c>
      <c r="F49">
        <f>IF($A49="","",COUNTIFS(route_calc!$A$2:$A$1209,F$2,route_calc!$P$2:$P$1209,$A49))</f>
        <v/>
      </c>
      <c r="G49">
        <f>IF($A49="","",COUNTIFS(route_calc!$A$2:$A$1209,G$2,route_calc!$P$2:$P$1209,$A49))</f>
        <v/>
      </c>
      <c r="H49">
        <f>IF($A49="","",COUNTIFS(route_calc!$A$2:$A$1209,H$2,route_calc!$P$2:$P$1209,$A49))</f>
        <v/>
      </c>
      <c r="I49">
        <f>IF($A49="","",COUNTIFS(route_calc!$A$2:$A$1209,I$2,route_calc!$P$2:$P$1209,$A49))</f>
        <v/>
      </c>
      <c r="J49">
        <f>IF($A49="","",COUNTIFS(route_calc!$A$2:$A$1209,J$2,route_calc!$P$2:$P$1209,$A49))</f>
        <v/>
      </c>
      <c r="K49">
        <f>IF($L49=0,"",_xlfn.MINIFS(route_calc!$Q$2:$Q$1209,route_calc!$P$2:$P$1209,$A49,route_calc!$A$2:$A$1209,MATCH(1,$R49:$Y49,0)))</f>
        <v/>
      </c>
      <c r="L49">
        <f>IF($A49="",0,IF(SUM($R49:$Y49)&gt;0,1,0))</f>
        <v/>
      </c>
      <c r="M49">
        <f t="array" ref="M49">IF($L49=0,"",_xlfn.TEXTJOIN(", ",TRUE,IF($R49:$Y49&gt;0,$C$1:$J$1,"")))</f>
        <v/>
      </c>
      <c r="N49">
        <f t="array" ref="N49">IF($L49=0,"",SUMPRODUCT(($L$3:$L$144=1)*($K$3:$K$144&lt;$K49))+1)</f>
        <v/>
      </c>
      <c r="O49">
        <f>IF($L49=0,"",MATCH(1,$R49:$Y49,0))</f>
        <v/>
      </c>
      <c r="P49">
        <f>IF($A49="","",IFERROR(INDEX(countries!$G:$G,MATCH($A49,countries!$D:$D,0)),""))</f>
        <v/>
      </c>
      <c r="Q49">
        <f>IF($A49="","",IFERROR(IF(INDEX(countries!$I:$I,MATCH($A49,countries!$D:$D,0))=0,"",INDEX(countries!$I:$I,MATCH($A49,countries!$D:$D,0))),""))</f>
        <v/>
      </c>
      <c r="R49">
        <f t="array" ref="R49">IF($A49="","",IF(AND(INDEX($C49:$J49,R$2)&gt;0,$A49&lt;&gt;INDEX('TRIP MANAGER'!$T$18:$T$25,R$2),$A49&lt;&gt;INDEX('TRIP MANAGER'!$U$18:$U$25,R$2)),1,0))</f>
        <v/>
      </c>
      <c r="S49">
        <f t="array" ref="S49">IF($A49="","",IF(AND(INDEX($C49:$J49,S$2)&gt;0,$A49&lt;&gt;INDEX('TRIP MANAGER'!$T$18:$T$25,S$2),$A49&lt;&gt;INDEX('TRIP MANAGER'!$U$18:$U$25,S$2)),1,0))</f>
        <v/>
      </c>
      <c r="T49">
        <f t="array" ref="T49">IF($A49="","",IF(AND(INDEX($C49:$J49,T$2)&gt;0,$A49&lt;&gt;INDEX('TRIP MANAGER'!$T$18:$T$25,T$2),$A49&lt;&gt;INDEX('TRIP MANAGER'!$U$18:$U$25,T$2)),1,0))</f>
        <v/>
      </c>
      <c r="U49">
        <f t="array" ref="U49">IF($A49="","",IF(AND(INDEX($C49:$J49,U$2)&gt;0,$A49&lt;&gt;INDEX('TRIP MANAGER'!$T$18:$T$25,U$2),$A49&lt;&gt;INDEX('TRIP MANAGER'!$U$18:$U$25,U$2)),1,0))</f>
        <v/>
      </c>
      <c r="V49">
        <f t="array" ref="V49">IF($A49="","",IF(AND(INDEX($C49:$J49,V$2)&gt;0,$A49&lt;&gt;INDEX('TRIP MANAGER'!$T$18:$T$25,V$2),$A49&lt;&gt;INDEX('TRIP MANAGER'!$U$18:$U$25,V$2)),1,0))</f>
        <v/>
      </c>
      <c r="W49">
        <f t="array" ref="W49">IF($A49="","",IF(AND(INDEX($C49:$J49,W$2)&gt;0,$A49&lt;&gt;INDEX('TRIP MANAGER'!$T$18:$T$25,W$2),$A49&lt;&gt;INDEX('TRIP MANAGER'!$U$18:$U$25,W$2)),1,0))</f>
        <v/>
      </c>
      <c r="X49">
        <f t="array" ref="X49">IF($A49="","",IF(AND(INDEX($C49:$J49,X$2)&gt;0,$A49&lt;&gt;INDEX('TRIP MANAGER'!$T$18:$T$25,X$2),$A49&lt;&gt;INDEX('TRIP MANAGER'!$U$18:$U$25,X$2)),1,0))</f>
        <v/>
      </c>
      <c r="Y49">
        <f t="array" ref="Y49">IF($A49="","",IF(AND(INDEX($C49:$J49,Y$2)&gt;0,$A49&lt;&gt;INDEX('TRIP MANAGER'!$T$18:$T$25,Y$2),$A49&lt;&gt;INDEX('TRIP MANAGER'!$U$18:$U$25,Y$2)),1,0))</f>
        <v/>
      </c>
    </row>
    <row r="50">
      <c r="A50">
        <f>IF(countries!$D49="","",countries!$D49)</f>
        <v/>
      </c>
      <c r="B50">
        <f>IF(countries!$B49="","",countries!$B49)</f>
        <v/>
      </c>
      <c r="C50">
        <f>IF($A50="","",COUNTIFS(route_calc!$A$2:$A$1209,C$2,route_calc!$P$2:$P$1209,$A50))</f>
        <v/>
      </c>
      <c r="D50">
        <f>IF($A50="","",COUNTIFS(route_calc!$A$2:$A$1209,D$2,route_calc!$P$2:$P$1209,$A50))</f>
        <v/>
      </c>
      <c r="E50">
        <f>IF($A50="","",COUNTIFS(route_calc!$A$2:$A$1209,E$2,route_calc!$P$2:$P$1209,$A50))</f>
        <v/>
      </c>
      <c r="F50">
        <f>IF($A50="","",COUNTIFS(route_calc!$A$2:$A$1209,F$2,route_calc!$P$2:$P$1209,$A50))</f>
        <v/>
      </c>
      <c r="G50">
        <f>IF($A50="","",COUNTIFS(route_calc!$A$2:$A$1209,G$2,route_calc!$P$2:$P$1209,$A50))</f>
        <v/>
      </c>
      <c r="H50">
        <f>IF($A50="","",COUNTIFS(route_calc!$A$2:$A$1209,H$2,route_calc!$P$2:$P$1209,$A50))</f>
        <v/>
      </c>
      <c r="I50">
        <f>IF($A50="","",COUNTIFS(route_calc!$A$2:$A$1209,I$2,route_calc!$P$2:$P$1209,$A50))</f>
        <v/>
      </c>
      <c r="J50">
        <f>IF($A50="","",COUNTIFS(route_calc!$A$2:$A$1209,J$2,route_calc!$P$2:$P$1209,$A50))</f>
        <v/>
      </c>
      <c r="K50">
        <f>IF($L50=0,"",_xlfn.MINIFS(route_calc!$Q$2:$Q$1209,route_calc!$P$2:$P$1209,$A50,route_calc!$A$2:$A$1209,MATCH(1,$R50:$Y50,0)))</f>
        <v/>
      </c>
      <c r="L50">
        <f>IF($A50="",0,IF(SUM($R50:$Y50)&gt;0,1,0))</f>
        <v/>
      </c>
      <c r="M50">
        <f t="array" ref="M50">IF($L50=0,"",_xlfn.TEXTJOIN(", ",TRUE,IF($R50:$Y50&gt;0,$C$1:$J$1,"")))</f>
        <v/>
      </c>
      <c r="N50">
        <f t="array" ref="N50">IF($L50=0,"",SUMPRODUCT(($L$3:$L$144=1)*($K$3:$K$144&lt;$K50))+1)</f>
        <v/>
      </c>
      <c r="O50">
        <f>IF($L50=0,"",MATCH(1,$R50:$Y50,0))</f>
        <v/>
      </c>
      <c r="P50">
        <f>IF($A50="","",IFERROR(INDEX(countries!$G:$G,MATCH($A50,countries!$D:$D,0)),""))</f>
        <v/>
      </c>
      <c r="Q50">
        <f>IF($A50="","",IFERROR(IF(INDEX(countries!$I:$I,MATCH($A50,countries!$D:$D,0))=0,"",INDEX(countries!$I:$I,MATCH($A50,countries!$D:$D,0))),""))</f>
        <v/>
      </c>
      <c r="R50">
        <f t="array" ref="R50">IF($A50="","",IF(AND(INDEX($C50:$J50,R$2)&gt;0,$A50&lt;&gt;INDEX('TRIP MANAGER'!$T$18:$T$25,R$2),$A50&lt;&gt;INDEX('TRIP MANAGER'!$U$18:$U$25,R$2)),1,0))</f>
        <v/>
      </c>
      <c r="S50">
        <f t="array" ref="S50">IF($A50="","",IF(AND(INDEX($C50:$J50,S$2)&gt;0,$A50&lt;&gt;INDEX('TRIP MANAGER'!$T$18:$T$25,S$2),$A50&lt;&gt;INDEX('TRIP MANAGER'!$U$18:$U$25,S$2)),1,0))</f>
        <v/>
      </c>
      <c r="T50">
        <f t="array" ref="T50">IF($A50="","",IF(AND(INDEX($C50:$J50,T$2)&gt;0,$A50&lt;&gt;INDEX('TRIP MANAGER'!$T$18:$T$25,T$2),$A50&lt;&gt;INDEX('TRIP MANAGER'!$U$18:$U$25,T$2)),1,0))</f>
        <v/>
      </c>
      <c r="U50">
        <f t="array" ref="U50">IF($A50="","",IF(AND(INDEX($C50:$J50,U$2)&gt;0,$A50&lt;&gt;INDEX('TRIP MANAGER'!$T$18:$T$25,U$2),$A50&lt;&gt;INDEX('TRIP MANAGER'!$U$18:$U$25,U$2)),1,0))</f>
        <v/>
      </c>
      <c r="V50">
        <f t="array" ref="V50">IF($A50="","",IF(AND(INDEX($C50:$J50,V$2)&gt;0,$A50&lt;&gt;INDEX('TRIP MANAGER'!$T$18:$T$25,V$2),$A50&lt;&gt;INDEX('TRIP MANAGER'!$U$18:$U$25,V$2)),1,0))</f>
        <v/>
      </c>
      <c r="W50">
        <f t="array" ref="W50">IF($A50="","",IF(AND(INDEX($C50:$J50,W$2)&gt;0,$A50&lt;&gt;INDEX('TRIP MANAGER'!$T$18:$T$25,W$2),$A50&lt;&gt;INDEX('TRIP MANAGER'!$U$18:$U$25,W$2)),1,0))</f>
        <v/>
      </c>
      <c r="X50">
        <f t="array" ref="X50">IF($A50="","",IF(AND(INDEX($C50:$J50,X$2)&gt;0,$A50&lt;&gt;INDEX('TRIP MANAGER'!$T$18:$T$25,X$2),$A50&lt;&gt;INDEX('TRIP MANAGER'!$U$18:$U$25,X$2)),1,0))</f>
        <v/>
      </c>
      <c r="Y50">
        <f t="array" ref="Y50">IF($A50="","",IF(AND(INDEX($C50:$J50,Y$2)&gt;0,$A50&lt;&gt;INDEX('TRIP MANAGER'!$T$18:$T$25,Y$2),$A50&lt;&gt;INDEX('TRIP MANAGER'!$U$18:$U$25,Y$2)),1,0))</f>
        <v/>
      </c>
    </row>
    <row r="51">
      <c r="A51">
        <f>IF(countries!$D50="","",countries!$D50)</f>
        <v/>
      </c>
      <c r="B51">
        <f>IF(countries!$B50="","",countries!$B50)</f>
        <v/>
      </c>
      <c r="C51">
        <f>IF($A51="","",COUNTIFS(route_calc!$A$2:$A$1209,C$2,route_calc!$P$2:$P$1209,$A51))</f>
        <v/>
      </c>
      <c r="D51">
        <f>IF($A51="","",COUNTIFS(route_calc!$A$2:$A$1209,D$2,route_calc!$P$2:$P$1209,$A51))</f>
        <v/>
      </c>
      <c r="E51">
        <f>IF($A51="","",COUNTIFS(route_calc!$A$2:$A$1209,E$2,route_calc!$P$2:$P$1209,$A51))</f>
        <v/>
      </c>
      <c r="F51">
        <f>IF($A51="","",COUNTIFS(route_calc!$A$2:$A$1209,F$2,route_calc!$P$2:$P$1209,$A51))</f>
        <v/>
      </c>
      <c r="G51">
        <f>IF($A51="","",COUNTIFS(route_calc!$A$2:$A$1209,G$2,route_calc!$P$2:$P$1209,$A51))</f>
        <v/>
      </c>
      <c r="H51">
        <f>IF($A51="","",COUNTIFS(route_calc!$A$2:$A$1209,H$2,route_calc!$P$2:$P$1209,$A51))</f>
        <v/>
      </c>
      <c r="I51">
        <f>IF($A51="","",COUNTIFS(route_calc!$A$2:$A$1209,I$2,route_calc!$P$2:$P$1209,$A51))</f>
        <v/>
      </c>
      <c r="J51">
        <f>IF($A51="","",COUNTIFS(route_calc!$A$2:$A$1209,J$2,route_calc!$P$2:$P$1209,$A51))</f>
        <v/>
      </c>
      <c r="K51">
        <f>IF($L51=0,"",_xlfn.MINIFS(route_calc!$Q$2:$Q$1209,route_calc!$P$2:$P$1209,$A51,route_calc!$A$2:$A$1209,MATCH(1,$R51:$Y51,0)))</f>
        <v/>
      </c>
      <c r="L51">
        <f>IF($A51="",0,IF(SUM($R51:$Y51)&gt;0,1,0))</f>
        <v/>
      </c>
      <c r="M51">
        <f t="array" ref="M51">IF($L51=0,"",_xlfn.TEXTJOIN(", ",TRUE,IF($R51:$Y51&gt;0,$C$1:$J$1,"")))</f>
        <v/>
      </c>
      <c r="N51">
        <f t="array" ref="N51">IF($L51=0,"",SUMPRODUCT(($L$3:$L$144=1)*($K$3:$K$144&lt;$K51))+1)</f>
        <v/>
      </c>
      <c r="O51">
        <f>IF($L51=0,"",MATCH(1,$R51:$Y51,0))</f>
        <v/>
      </c>
      <c r="P51">
        <f>IF($A51="","",IFERROR(INDEX(countries!$G:$G,MATCH($A51,countries!$D:$D,0)),""))</f>
        <v/>
      </c>
      <c r="Q51">
        <f>IF($A51="","",IFERROR(IF(INDEX(countries!$I:$I,MATCH($A51,countries!$D:$D,0))=0,"",INDEX(countries!$I:$I,MATCH($A51,countries!$D:$D,0))),""))</f>
        <v/>
      </c>
      <c r="R51">
        <f t="array" ref="R51">IF($A51="","",IF(AND(INDEX($C51:$J51,R$2)&gt;0,$A51&lt;&gt;INDEX('TRIP MANAGER'!$T$18:$T$25,R$2),$A51&lt;&gt;INDEX('TRIP MANAGER'!$U$18:$U$25,R$2)),1,0))</f>
        <v/>
      </c>
      <c r="S51">
        <f t="array" ref="S51">IF($A51="","",IF(AND(INDEX($C51:$J51,S$2)&gt;0,$A51&lt;&gt;INDEX('TRIP MANAGER'!$T$18:$T$25,S$2),$A51&lt;&gt;INDEX('TRIP MANAGER'!$U$18:$U$25,S$2)),1,0))</f>
        <v/>
      </c>
      <c r="T51">
        <f t="array" ref="T51">IF($A51="","",IF(AND(INDEX($C51:$J51,T$2)&gt;0,$A51&lt;&gt;INDEX('TRIP MANAGER'!$T$18:$T$25,T$2),$A51&lt;&gt;INDEX('TRIP MANAGER'!$U$18:$U$25,T$2)),1,0))</f>
        <v/>
      </c>
      <c r="U51">
        <f t="array" ref="U51">IF($A51="","",IF(AND(INDEX($C51:$J51,U$2)&gt;0,$A51&lt;&gt;INDEX('TRIP MANAGER'!$T$18:$T$25,U$2),$A51&lt;&gt;INDEX('TRIP MANAGER'!$U$18:$U$25,U$2)),1,0))</f>
        <v/>
      </c>
      <c r="V51">
        <f t="array" ref="V51">IF($A51="","",IF(AND(INDEX($C51:$J51,V$2)&gt;0,$A51&lt;&gt;INDEX('TRIP MANAGER'!$T$18:$T$25,V$2),$A51&lt;&gt;INDEX('TRIP MANAGER'!$U$18:$U$25,V$2)),1,0))</f>
        <v/>
      </c>
      <c r="W51">
        <f t="array" ref="W51">IF($A51="","",IF(AND(INDEX($C51:$J51,W$2)&gt;0,$A51&lt;&gt;INDEX('TRIP MANAGER'!$T$18:$T$25,W$2),$A51&lt;&gt;INDEX('TRIP MANAGER'!$U$18:$U$25,W$2)),1,0))</f>
        <v/>
      </c>
      <c r="X51">
        <f t="array" ref="X51">IF($A51="","",IF(AND(INDEX($C51:$J51,X$2)&gt;0,$A51&lt;&gt;INDEX('TRIP MANAGER'!$T$18:$T$25,X$2),$A51&lt;&gt;INDEX('TRIP MANAGER'!$U$18:$U$25,X$2)),1,0))</f>
        <v/>
      </c>
      <c r="Y51">
        <f t="array" ref="Y51">IF($A51="","",IF(AND(INDEX($C51:$J51,Y$2)&gt;0,$A51&lt;&gt;INDEX('TRIP MANAGER'!$T$18:$T$25,Y$2),$A51&lt;&gt;INDEX('TRIP MANAGER'!$U$18:$U$25,Y$2)),1,0))</f>
        <v/>
      </c>
    </row>
    <row r="52">
      <c r="A52">
        <f>IF(countries!$D51="","",countries!$D51)</f>
        <v/>
      </c>
      <c r="B52">
        <f>IF(countries!$B51="","",countries!$B51)</f>
        <v/>
      </c>
      <c r="C52">
        <f>IF($A52="","",COUNTIFS(route_calc!$A$2:$A$1209,C$2,route_calc!$P$2:$P$1209,$A52))</f>
        <v/>
      </c>
      <c r="D52">
        <f>IF($A52="","",COUNTIFS(route_calc!$A$2:$A$1209,D$2,route_calc!$P$2:$P$1209,$A52))</f>
        <v/>
      </c>
      <c r="E52">
        <f>IF($A52="","",COUNTIFS(route_calc!$A$2:$A$1209,E$2,route_calc!$P$2:$P$1209,$A52))</f>
        <v/>
      </c>
      <c r="F52">
        <f>IF($A52="","",COUNTIFS(route_calc!$A$2:$A$1209,F$2,route_calc!$P$2:$P$1209,$A52))</f>
        <v/>
      </c>
      <c r="G52">
        <f>IF($A52="","",COUNTIFS(route_calc!$A$2:$A$1209,G$2,route_calc!$P$2:$P$1209,$A52))</f>
        <v/>
      </c>
      <c r="H52">
        <f>IF($A52="","",COUNTIFS(route_calc!$A$2:$A$1209,H$2,route_calc!$P$2:$P$1209,$A52))</f>
        <v/>
      </c>
      <c r="I52">
        <f>IF($A52="","",COUNTIFS(route_calc!$A$2:$A$1209,I$2,route_calc!$P$2:$P$1209,$A52))</f>
        <v/>
      </c>
      <c r="J52">
        <f>IF($A52="","",COUNTIFS(route_calc!$A$2:$A$1209,J$2,route_calc!$P$2:$P$1209,$A52))</f>
        <v/>
      </c>
      <c r="K52">
        <f>IF($L52=0,"",_xlfn.MINIFS(route_calc!$Q$2:$Q$1209,route_calc!$P$2:$P$1209,$A52,route_calc!$A$2:$A$1209,MATCH(1,$R52:$Y52,0)))</f>
        <v/>
      </c>
      <c r="L52">
        <f>IF($A52="",0,IF(SUM($R52:$Y52)&gt;0,1,0))</f>
        <v/>
      </c>
      <c r="M52">
        <f t="array" ref="M52">IF($L52=0,"",_xlfn.TEXTJOIN(", ",TRUE,IF($R52:$Y52&gt;0,$C$1:$J$1,"")))</f>
        <v/>
      </c>
      <c r="N52">
        <f t="array" ref="N52">IF($L52=0,"",SUMPRODUCT(($L$3:$L$144=1)*($K$3:$K$144&lt;$K52))+1)</f>
        <v/>
      </c>
      <c r="O52">
        <f>IF($L52=0,"",MATCH(1,$R52:$Y52,0))</f>
        <v/>
      </c>
      <c r="P52">
        <f>IF($A52="","",IFERROR(INDEX(countries!$G:$G,MATCH($A52,countries!$D:$D,0)),""))</f>
        <v/>
      </c>
      <c r="Q52">
        <f>IF($A52="","",IFERROR(IF(INDEX(countries!$I:$I,MATCH($A52,countries!$D:$D,0))=0,"",INDEX(countries!$I:$I,MATCH($A52,countries!$D:$D,0))),""))</f>
        <v/>
      </c>
      <c r="R52">
        <f t="array" ref="R52">IF($A52="","",IF(AND(INDEX($C52:$J52,R$2)&gt;0,$A52&lt;&gt;INDEX('TRIP MANAGER'!$T$18:$T$25,R$2),$A52&lt;&gt;INDEX('TRIP MANAGER'!$U$18:$U$25,R$2)),1,0))</f>
        <v/>
      </c>
      <c r="S52">
        <f t="array" ref="S52">IF($A52="","",IF(AND(INDEX($C52:$J52,S$2)&gt;0,$A52&lt;&gt;INDEX('TRIP MANAGER'!$T$18:$T$25,S$2),$A52&lt;&gt;INDEX('TRIP MANAGER'!$U$18:$U$25,S$2)),1,0))</f>
        <v/>
      </c>
      <c r="T52">
        <f t="array" ref="T52">IF($A52="","",IF(AND(INDEX($C52:$J52,T$2)&gt;0,$A52&lt;&gt;INDEX('TRIP MANAGER'!$T$18:$T$25,T$2),$A52&lt;&gt;INDEX('TRIP MANAGER'!$U$18:$U$25,T$2)),1,0))</f>
        <v/>
      </c>
      <c r="U52">
        <f t="array" ref="U52">IF($A52="","",IF(AND(INDEX($C52:$J52,U$2)&gt;0,$A52&lt;&gt;INDEX('TRIP MANAGER'!$T$18:$T$25,U$2),$A52&lt;&gt;INDEX('TRIP MANAGER'!$U$18:$U$25,U$2)),1,0))</f>
        <v/>
      </c>
      <c r="V52">
        <f t="array" ref="V52">IF($A52="","",IF(AND(INDEX($C52:$J52,V$2)&gt;0,$A52&lt;&gt;INDEX('TRIP MANAGER'!$T$18:$T$25,V$2),$A52&lt;&gt;INDEX('TRIP MANAGER'!$U$18:$U$25,V$2)),1,0))</f>
        <v/>
      </c>
      <c r="W52">
        <f t="array" ref="W52">IF($A52="","",IF(AND(INDEX($C52:$J52,W$2)&gt;0,$A52&lt;&gt;INDEX('TRIP MANAGER'!$T$18:$T$25,W$2),$A52&lt;&gt;INDEX('TRIP MANAGER'!$U$18:$U$25,W$2)),1,0))</f>
        <v/>
      </c>
      <c r="X52">
        <f t="array" ref="X52">IF($A52="","",IF(AND(INDEX($C52:$J52,X$2)&gt;0,$A52&lt;&gt;INDEX('TRIP MANAGER'!$T$18:$T$25,X$2),$A52&lt;&gt;INDEX('TRIP MANAGER'!$U$18:$U$25,X$2)),1,0))</f>
        <v/>
      </c>
      <c r="Y52">
        <f t="array" ref="Y52">IF($A52="","",IF(AND(INDEX($C52:$J52,Y$2)&gt;0,$A52&lt;&gt;INDEX('TRIP MANAGER'!$T$18:$T$25,Y$2),$A52&lt;&gt;INDEX('TRIP MANAGER'!$U$18:$U$25,Y$2)),1,0))</f>
        <v/>
      </c>
    </row>
    <row r="53">
      <c r="A53">
        <f>IF(countries!$D52="","",countries!$D52)</f>
        <v/>
      </c>
      <c r="B53">
        <f>IF(countries!$B52="","",countries!$B52)</f>
        <v/>
      </c>
      <c r="C53">
        <f>IF($A53="","",COUNTIFS(route_calc!$A$2:$A$1209,C$2,route_calc!$P$2:$P$1209,$A53))</f>
        <v/>
      </c>
      <c r="D53">
        <f>IF($A53="","",COUNTIFS(route_calc!$A$2:$A$1209,D$2,route_calc!$P$2:$P$1209,$A53))</f>
        <v/>
      </c>
      <c r="E53">
        <f>IF($A53="","",COUNTIFS(route_calc!$A$2:$A$1209,E$2,route_calc!$P$2:$P$1209,$A53))</f>
        <v/>
      </c>
      <c r="F53">
        <f>IF($A53="","",COUNTIFS(route_calc!$A$2:$A$1209,F$2,route_calc!$P$2:$P$1209,$A53))</f>
        <v/>
      </c>
      <c r="G53">
        <f>IF($A53="","",COUNTIFS(route_calc!$A$2:$A$1209,G$2,route_calc!$P$2:$P$1209,$A53))</f>
        <v/>
      </c>
      <c r="H53">
        <f>IF($A53="","",COUNTIFS(route_calc!$A$2:$A$1209,H$2,route_calc!$P$2:$P$1209,$A53))</f>
        <v/>
      </c>
      <c r="I53">
        <f>IF($A53="","",COUNTIFS(route_calc!$A$2:$A$1209,I$2,route_calc!$P$2:$P$1209,$A53))</f>
        <v/>
      </c>
      <c r="J53">
        <f>IF($A53="","",COUNTIFS(route_calc!$A$2:$A$1209,J$2,route_calc!$P$2:$P$1209,$A53))</f>
        <v/>
      </c>
      <c r="K53">
        <f>IF($L53=0,"",_xlfn.MINIFS(route_calc!$Q$2:$Q$1209,route_calc!$P$2:$P$1209,$A53,route_calc!$A$2:$A$1209,MATCH(1,$R53:$Y53,0)))</f>
        <v/>
      </c>
      <c r="L53">
        <f>IF($A53="",0,IF(SUM($R53:$Y53)&gt;0,1,0))</f>
        <v/>
      </c>
      <c r="M53">
        <f t="array" ref="M53">IF($L53=0,"",_xlfn.TEXTJOIN(", ",TRUE,IF($R53:$Y53&gt;0,$C$1:$J$1,"")))</f>
        <v/>
      </c>
      <c r="N53">
        <f t="array" ref="N53">IF($L53=0,"",SUMPRODUCT(($L$3:$L$144=1)*($K$3:$K$144&lt;$K53))+1)</f>
        <v/>
      </c>
      <c r="O53">
        <f>IF($L53=0,"",MATCH(1,$R53:$Y53,0))</f>
        <v/>
      </c>
      <c r="P53">
        <f>IF($A53="","",IFERROR(INDEX(countries!$G:$G,MATCH($A53,countries!$D:$D,0)),""))</f>
        <v/>
      </c>
      <c r="Q53">
        <f>IF($A53="","",IFERROR(IF(INDEX(countries!$I:$I,MATCH($A53,countries!$D:$D,0))=0,"",INDEX(countries!$I:$I,MATCH($A53,countries!$D:$D,0))),""))</f>
        <v/>
      </c>
      <c r="R53">
        <f t="array" ref="R53">IF($A53="","",IF(AND(INDEX($C53:$J53,R$2)&gt;0,$A53&lt;&gt;INDEX('TRIP MANAGER'!$T$18:$T$25,R$2),$A53&lt;&gt;INDEX('TRIP MANAGER'!$U$18:$U$25,R$2)),1,0))</f>
        <v/>
      </c>
      <c r="S53">
        <f t="array" ref="S53">IF($A53="","",IF(AND(INDEX($C53:$J53,S$2)&gt;0,$A53&lt;&gt;INDEX('TRIP MANAGER'!$T$18:$T$25,S$2),$A53&lt;&gt;INDEX('TRIP MANAGER'!$U$18:$U$25,S$2)),1,0))</f>
        <v/>
      </c>
      <c r="T53">
        <f t="array" ref="T53">IF($A53="","",IF(AND(INDEX($C53:$J53,T$2)&gt;0,$A53&lt;&gt;INDEX('TRIP MANAGER'!$T$18:$T$25,T$2),$A53&lt;&gt;INDEX('TRIP MANAGER'!$U$18:$U$25,T$2)),1,0))</f>
        <v/>
      </c>
      <c r="U53">
        <f t="array" ref="U53">IF($A53="","",IF(AND(INDEX($C53:$J53,U$2)&gt;0,$A53&lt;&gt;INDEX('TRIP MANAGER'!$T$18:$T$25,U$2),$A53&lt;&gt;INDEX('TRIP MANAGER'!$U$18:$U$25,U$2)),1,0))</f>
        <v/>
      </c>
      <c r="V53">
        <f t="array" ref="V53">IF($A53="","",IF(AND(INDEX($C53:$J53,V$2)&gt;0,$A53&lt;&gt;INDEX('TRIP MANAGER'!$T$18:$T$25,V$2),$A53&lt;&gt;INDEX('TRIP MANAGER'!$U$18:$U$25,V$2)),1,0))</f>
        <v/>
      </c>
      <c r="W53">
        <f t="array" ref="W53">IF($A53="","",IF(AND(INDEX($C53:$J53,W$2)&gt;0,$A53&lt;&gt;INDEX('TRIP MANAGER'!$T$18:$T$25,W$2),$A53&lt;&gt;INDEX('TRIP MANAGER'!$U$18:$U$25,W$2)),1,0))</f>
        <v/>
      </c>
      <c r="X53">
        <f t="array" ref="X53">IF($A53="","",IF(AND(INDEX($C53:$J53,X$2)&gt;0,$A53&lt;&gt;INDEX('TRIP MANAGER'!$T$18:$T$25,X$2),$A53&lt;&gt;INDEX('TRIP MANAGER'!$U$18:$U$25,X$2)),1,0))</f>
        <v/>
      </c>
      <c r="Y53">
        <f t="array" ref="Y53">IF($A53="","",IF(AND(INDEX($C53:$J53,Y$2)&gt;0,$A53&lt;&gt;INDEX('TRIP MANAGER'!$T$18:$T$25,Y$2),$A53&lt;&gt;INDEX('TRIP MANAGER'!$U$18:$U$25,Y$2)),1,0))</f>
        <v/>
      </c>
    </row>
    <row r="54">
      <c r="A54">
        <f>IF(countries!$D53="","",countries!$D53)</f>
        <v/>
      </c>
      <c r="B54">
        <f>IF(countries!$B53="","",countries!$B53)</f>
        <v/>
      </c>
      <c r="C54">
        <f>IF($A54="","",COUNTIFS(route_calc!$A$2:$A$1209,C$2,route_calc!$P$2:$P$1209,$A54))</f>
        <v/>
      </c>
      <c r="D54">
        <f>IF($A54="","",COUNTIFS(route_calc!$A$2:$A$1209,D$2,route_calc!$P$2:$P$1209,$A54))</f>
        <v/>
      </c>
      <c r="E54">
        <f>IF($A54="","",COUNTIFS(route_calc!$A$2:$A$1209,E$2,route_calc!$P$2:$P$1209,$A54))</f>
        <v/>
      </c>
      <c r="F54">
        <f>IF($A54="","",COUNTIFS(route_calc!$A$2:$A$1209,F$2,route_calc!$P$2:$P$1209,$A54))</f>
        <v/>
      </c>
      <c r="G54">
        <f>IF($A54="","",COUNTIFS(route_calc!$A$2:$A$1209,G$2,route_calc!$P$2:$P$1209,$A54))</f>
        <v/>
      </c>
      <c r="H54">
        <f>IF($A54="","",COUNTIFS(route_calc!$A$2:$A$1209,H$2,route_calc!$P$2:$P$1209,$A54))</f>
        <v/>
      </c>
      <c r="I54">
        <f>IF($A54="","",COUNTIFS(route_calc!$A$2:$A$1209,I$2,route_calc!$P$2:$P$1209,$A54))</f>
        <v/>
      </c>
      <c r="J54">
        <f>IF($A54="","",COUNTIFS(route_calc!$A$2:$A$1209,J$2,route_calc!$P$2:$P$1209,$A54))</f>
        <v/>
      </c>
      <c r="K54">
        <f>IF($L54=0,"",_xlfn.MINIFS(route_calc!$Q$2:$Q$1209,route_calc!$P$2:$P$1209,$A54,route_calc!$A$2:$A$1209,MATCH(1,$R54:$Y54,0)))</f>
        <v/>
      </c>
      <c r="L54">
        <f>IF($A54="",0,IF(SUM($R54:$Y54)&gt;0,1,0))</f>
        <v/>
      </c>
      <c r="M54">
        <f t="array" ref="M54">IF($L54=0,"",_xlfn.TEXTJOIN(", ",TRUE,IF($R54:$Y54&gt;0,$C$1:$J$1,"")))</f>
        <v/>
      </c>
      <c r="N54">
        <f t="array" ref="N54">IF($L54=0,"",SUMPRODUCT(($L$3:$L$144=1)*($K$3:$K$144&lt;$K54))+1)</f>
        <v/>
      </c>
      <c r="O54">
        <f>IF($L54=0,"",MATCH(1,$R54:$Y54,0))</f>
        <v/>
      </c>
      <c r="P54">
        <f>IF($A54="","",IFERROR(INDEX(countries!$G:$G,MATCH($A54,countries!$D:$D,0)),""))</f>
        <v/>
      </c>
      <c r="Q54">
        <f>IF($A54="","",IFERROR(IF(INDEX(countries!$I:$I,MATCH($A54,countries!$D:$D,0))=0,"",INDEX(countries!$I:$I,MATCH($A54,countries!$D:$D,0))),""))</f>
        <v/>
      </c>
      <c r="R54">
        <f t="array" ref="R54">IF($A54="","",IF(AND(INDEX($C54:$J54,R$2)&gt;0,$A54&lt;&gt;INDEX('TRIP MANAGER'!$T$18:$T$25,R$2),$A54&lt;&gt;INDEX('TRIP MANAGER'!$U$18:$U$25,R$2)),1,0))</f>
        <v/>
      </c>
      <c r="S54">
        <f t="array" ref="S54">IF($A54="","",IF(AND(INDEX($C54:$J54,S$2)&gt;0,$A54&lt;&gt;INDEX('TRIP MANAGER'!$T$18:$T$25,S$2),$A54&lt;&gt;INDEX('TRIP MANAGER'!$U$18:$U$25,S$2)),1,0))</f>
        <v/>
      </c>
      <c r="T54">
        <f t="array" ref="T54">IF($A54="","",IF(AND(INDEX($C54:$J54,T$2)&gt;0,$A54&lt;&gt;INDEX('TRIP MANAGER'!$T$18:$T$25,T$2),$A54&lt;&gt;INDEX('TRIP MANAGER'!$U$18:$U$25,T$2)),1,0))</f>
        <v/>
      </c>
      <c r="U54">
        <f t="array" ref="U54">IF($A54="","",IF(AND(INDEX($C54:$J54,U$2)&gt;0,$A54&lt;&gt;INDEX('TRIP MANAGER'!$T$18:$T$25,U$2),$A54&lt;&gt;INDEX('TRIP MANAGER'!$U$18:$U$25,U$2)),1,0))</f>
        <v/>
      </c>
      <c r="V54">
        <f t="array" ref="V54">IF($A54="","",IF(AND(INDEX($C54:$J54,V$2)&gt;0,$A54&lt;&gt;INDEX('TRIP MANAGER'!$T$18:$T$25,V$2),$A54&lt;&gt;INDEX('TRIP MANAGER'!$U$18:$U$25,V$2)),1,0))</f>
        <v/>
      </c>
      <c r="W54">
        <f t="array" ref="W54">IF($A54="","",IF(AND(INDEX($C54:$J54,W$2)&gt;0,$A54&lt;&gt;INDEX('TRIP MANAGER'!$T$18:$T$25,W$2),$A54&lt;&gt;INDEX('TRIP MANAGER'!$U$18:$U$25,W$2)),1,0))</f>
        <v/>
      </c>
      <c r="X54">
        <f t="array" ref="X54">IF($A54="","",IF(AND(INDEX($C54:$J54,X$2)&gt;0,$A54&lt;&gt;INDEX('TRIP MANAGER'!$T$18:$T$25,X$2),$A54&lt;&gt;INDEX('TRIP MANAGER'!$U$18:$U$25,X$2)),1,0))</f>
        <v/>
      </c>
      <c r="Y54">
        <f t="array" ref="Y54">IF($A54="","",IF(AND(INDEX($C54:$J54,Y$2)&gt;0,$A54&lt;&gt;INDEX('TRIP MANAGER'!$T$18:$T$25,Y$2),$A54&lt;&gt;INDEX('TRIP MANAGER'!$U$18:$U$25,Y$2)),1,0))</f>
        <v/>
      </c>
    </row>
    <row r="55">
      <c r="A55">
        <f>IF(countries!$D54="","",countries!$D54)</f>
        <v/>
      </c>
      <c r="B55">
        <f>IF(countries!$B54="","",countries!$B54)</f>
        <v/>
      </c>
      <c r="C55">
        <f>IF($A55="","",COUNTIFS(route_calc!$A$2:$A$1209,C$2,route_calc!$P$2:$P$1209,$A55))</f>
        <v/>
      </c>
      <c r="D55">
        <f>IF($A55="","",COUNTIFS(route_calc!$A$2:$A$1209,D$2,route_calc!$P$2:$P$1209,$A55))</f>
        <v/>
      </c>
      <c r="E55">
        <f>IF($A55="","",COUNTIFS(route_calc!$A$2:$A$1209,E$2,route_calc!$P$2:$P$1209,$A55))</f>
        <v/>
      </c>
      <c r="F55">
        <f>IF($A55="","",COUNTIFS(route_calc!$A$2:$A$1209,F$2,route_calc!$P$2:$P$1209,$A55))</f>
        <v/>
      </c>
      <c r="G55">
        <f>IF($A55="","",COUNTIFS(route_calc!$A$2:$A$1209,G$2,route_calc!$P$2:$P$1209,$A55))</f>
        <v/>
      </c>
      <c r="H55">
        <f>IF($A55="","",COUNTIFS(route_calc!$A$2:$A$1209,H$2,route_calc!$P$2:$P$1209,$A55))</f>
        <v/>
      </c>
      <c r="I55">
        <f>IF($A55="","",COUNTIFS(route_calc!$A$2:$A$1209,I$2,route_calc!$P$2:$P$1209,$A55))</f>
        <v/>
      </c>
      <c r="J55">
        <f>IF($A55="","",COUNTIFS(route_calc!$A$2:$A$1209,J$2,route_calc!$P$2:$P$1209,$A55))</f>
        <v/>
      </c>
      <c r="K55">
        <f>IF($L55=0,"",_xlfn.MINIFS(route_calc!$Q$2:$Q$1209,route_calc!$P$2:$P$1209,$A55,route_calc!$A$2:$A$1209,MATCH(1,$R55:$Y55,0)))</f>
        <v/>
      </c>
      <c r="L55">
        <f>IF($A55="",0,IF(SUM($R55:$Y55)&gt;0,1,0))</f>
        <v/>
      </c>
      <c r="M55">
        <f t="array" ref="M55">IF($L55=0,"",_xlfn.TEXTJOIN(", ",TRUE,IF($R55:$Y55&gt;0,$C$1:$J$1,"")))</f>
        <v/>
      </c>
      <c r="N55">
        <f t="array" ref="N55">IF($L55=0,"",SUMPRODUCT(($L$3:$L$144=1)*($K$3:$K$144&lt;$K55))+1)</f>
        <v/>
      </c>
      <c r="O55">
        <f>IF($L55=0,"",MATCH(1,$R55:$Y55,0))</f>
        <v/>
      </c>
      <c r="P55">
        <f>IF($A55="","",IFERROR(INDEX(countries!$G:$G,MATCH($A55,countries!$D:$D,0)),""))</f>
        <v/>
      </c>
      <c r="Q55">
        <f>IF($A55="","",IFERROR(IF(INDEX(countries!$I:$I,MATCH($A55,countries!$D:$D,0))=0,"",INDEX(countries!$I:$I,MATCH($A55,countries!$D:$D,0))),""))</f>
        <v/>
      </c>
      <c r="R55">
        <f t="array" ref="R55">IF($A55="","",IF(AND(INDEX($C55:$J55,R$2)&gt;0,$A55&lt;&gt;INDEX('TRIP MANAGER'!$T$18:$T$25,R$2),$A55&lt;&gt;INDEX('TRIP MANAGER'!$U$18:$U$25,R$2)),1,0))</f>
        <v/>
      </c>
      <c r="S55">
        <f t="array" ref="S55">IF($A55="","",IF(AND(INDEX($C55:$J55,S$2)&gt;0,$A55&lt;&gt;INDEX('TRIP MANAGER'!$T$18:$T$25,S$2),$A55&lt;&gt;INDEX('TRIP MANAGER'!$U$18:$U$25,S$2)),1,0))</f>
        <v/>
      </c>
      <c r="T55">
        <f t="array" ref="T55">IF($A55="","",IF(AND(INDEX($C55:$J55,T$2)&gt;0,$A55&lt;&gt;INDEX('TRIP MANAGER'!$T$18:$T$25,T$2),$A55&lt;&gt;INDEX('TRIP MANAGER'!$U$18:$U$25,T$2)),1,0))</f>
        <v/>
      </c>
      <c r="U55">
        <f t="array" ref="U55">IF($A55="","",IF(AND(INDEX($C55:$J55,U$2)&gt;0,$A55&lt;&gt;INDEX('TRIP MANAGER'!$T$18:$T$25,U$2),$A55&lt;&gt;INDEX('TRIP MANAGER'!$U$18:$U$25,U$2)),1,0))</f>
        <v/>
      </c>
      <c r="V55">
        <f t="array" ref="V55">IF($A55="","",IF(AND(INDEX($C55:$J55,V$2)&gt;0,$A55&lt;&gt;INDEX('TRIP MANAGER'!$T$18:$T$25,V$2),$A55&lt;&gt;INDEX('TRIP MANAGER'!$U$18:$U$25,V$2)),1,0))</f>
        <v/>
      </c>
      <c r="W55">
        <f t="array" ref="W55">IF($A55="","",IF(AND(INDEX($C55:$J55,W$2)&gt;0,$A55&lt;&gt;INDEX('TRIP MANAGER'!$T$18:$T$25,W$2),$A55&lt;&gt;INDEX('TRIP MANAGER'!$U$18:$U$25,W$2)),1,0))</f>
        <v/>
      </c>
      <c r="X55">
        <f t="array" ref="X55">IF($A55="","",IF(AND(INDEX($C55:$J55,X$2)&gt;0,$A55&lt;&gt;INDEX('TRIP MANAGER'!$T$18:$T$25,X$2),$A55&lt;&gt;INDEX('TRIP MANAGER'!$U$18:$U$25,X$2)),1,0))</f>
        <v/>
      </c>
      <c r="Y55">
        <f t="array" ref="Y55">IF($A55="","",IF(AND(INDEX($C55:$J55,Y$2)&gt;0,$A55&lt;&gt;INDEX('TRIP MANAGER'!$T$18:$T$25,Y$2),$A55&lt;&gt;INDEX('TRIP MANAGER'!$U$18:$U$25,Y$2)),1,0))</f>
        <v/>
      </c>
    </row>
    <row r="56">
      <c r="A56">
        <f>IF(countries!$D55="","",countries!$D55)</f>
        <v/>
      </c>
      <c r="B56">
        <f>IF(countries!$B55="","",countries!$B55)</f>
        <v/>
      </c>
      <c r="C56">
        <f>IF($A56="","",COUNTIFS(route_calc!$A$2:$A$1209,C$2,route_calc!$P$2:$P$1209,$A56))</f>
        <v/>
      </c>
      <c r="D56">
        <f>IF($A56="","",COUNTIFS(route_calc!$A$2:$A$1209,D$2,route_calc!$P$2:$P$1209,$A56))</f>
        <v/>
      </c>
      <c r="E56">
        <f>IF($A56="","",COUNTIFS(route_calc!$A$2:$A$1209,E$2,route_calc!$P$2:$P$1209,$A56))</f>
        <v/>
      </c>
      <c r="F56">
        <f>IF($A56="","",COUNTIFS(route_calc!$A$2:$A$1209,F$2,route_calc!$P$2:$P$1209,$A56))</f>
        <v/>
      </c>
      <c r="G56">
        <f>IF($A56="","",COUNTIFS(route_calc!$A$2:$A$1209,G$2,route_calc!$P$2:$P$1209,$A56))</f>
        <v/>
      </c>
      <c r="H56">
        <f>IF($A56="","",COUNTIFS(route_calc!$A$2:$A$1209,H$2,route_calc!$P$2:$P$1209,$A56))</f>
        <v/>
      </c>
      <c r="I56">
        <f>IF($A56="","",COUNTIFS(route_calc!$A$2:$A$1209,I$2,route_calc!$P$2:$P$1209,$A56))</f>
        <v/>
      </c>
      <c r="J56">
        <f>IF($A56="","",COUNTIFS(route_calc!$A$2:$A$1209,J$2,route_calc!$P$2:$P$1209,$A56))</f>
        <v/>
      </c>
      <c r="K56">
        <f>IF($L56=0,"",_xlfn.MINIFS(route_calc!$Q$2:$Q$1209,route_calc!$P$2:$P$1209,$A56,route_calc!$A$2:$A$1209,MATCH(1,$R56:$Y56,0)))</f>
        <v/>
      </c>
      <c r="L56">
        <f>IF($A56="",0,IF(SUM($R56:$Y56)&gt;0,1,0))</f>
        <v/>
      </c>
      <c r="M56">
        <f t="array" ref="M56">IF($L56=0,"",_xlfn.TEXTJOIN(", ",TRUE,IF($R56:$Y56&gt;0,$C$1:$J$1,"")))</f>
        <v/>
      </c>
      <c r="N56">
        <f t="array" ref="N56">IF($L56=0,"",SUMPRODUCT(($L$3:$L$144=1)*($K$3:$K$144&lt;$K56))+1)</f>
        <v/>
      </c>
      <c r="O56">
        <f>IF($L56=0,"",MATCH(1,$R56:$Y56,0))</f>
        <v/>
      </c>
      <c r="P56">
        <f>IF($A56="","",IFERROR(INDEX(countries!$G:$G,MATCH($A56,countries!$D:$D,0)),""))</f>
        <v/>
      </c>
      <c r="Q56">
        <f>IF($A56="","",IFERROR(IF(INDEX(countries!$I:$I,MATCH($A56,countries!$D:$D,0))=0,"",INDEX(countries!$I:$I,MATCH($A56,countries!$D:$D,0))),""))</f>
        <v/>
      </c>
      <c r="R56">
        <f t="array" ref="R56">IF($A56="","",IF(AND(INDEX($C56:$J56,R$2)&gt;0,$A56&lt;&gt;INDEX('TRIP MANAGER'!$T$18:$T$25,R$2),$A56&lt;&gt;INDEX('TRIP MANAGER'!$U$18:$U$25,R$2)),1,0))</f>
        <v/>
      </c>
      <c r="S56">
        <f t="array" ref="S56">IF($A56="","",IF(AND(INDEX($C56:$J56,S$2)&gt;0,$A56&lt;&gt;INDEX('TRIP MANAGER'!$T$18:$T$25,S$2),$A56&lt;&gt;INDEX('TRIP MANAGER'!$U$18:$U$25,S$2)),1,0))</f>
        <v/>
      </c>
      <c r="T56">
        <f t="array" ref="T56">IF($A56="","",IF(AND(INDEX($C56:$J56,T$2)&gt;0,$A56&lt;&gt;INDEX('TRIP MANAGER'!$T$18:$T$25,T$2),$A56&lt;&gt;INDEX('TRIP MANAGER'!$U$18:$U$25,T$2)),1,0))</f>
        <v/>
      </c>
      <c r="U56">
        <f t="array" ref="U56">IF($A56="","",IF(AND(INDEX($C56:$J56,U$2)&gt;0,$A56&lt;&gt;INDEX('TRIP MANAGER'!$T$18:$T$25,U$2),$A56&lt;&gt;INDEX('TRIP MANAGER'!$U$18:$U$25,U$2)),1,0))</f>
        <v/>
      </c>
      <c r="V56">
        <f t="array" ref="V56">IF($A56="","",IF(AND(INDEX($C56:$J56,V$2)&gt;0,$A56&lt;&gt;INDEX('TRIP MANAGER'!$T$18:$T$25,V$2),$A56&lt;&gt;INDEX('TRIP MANAGER'!$U$18:$U$25,V$2)),1,0))</f>
        <v/>
      </c>
      <c r="W56">
        <f t="array" ref="W56">IF($A56="","",IF(AND(INDEX($C56:$J56,W$2)&gt;0,$A56&lt;&gt;INDEX('TRIP MANAGER'!$T$18:$T$25,W$2),$A56&lt;&gt;INDEX('TRIP MANAGER'!$U$18:$U$25,W$2)),1,0))</f>
        <v/>
      </c>
      <c r="X56">
        <f t="array" ref="X56">IF($A56="","",IF(AND(INDEX($C56:$J56,X$2)&gt;0,$A56&lt;&gt;INDEX('TRIP MANAGER'!$T$18:$T$25,X$2),$A56&lt;&gt;INDEX('TRIP MANAGER'!$U$18:$U$25,X$2)),1,0))</f>
        <v/>
      </c>
      <c r="Y56">
        <f t="array" ref="Y56">IF($A56="","",IF(AND(INDEX($C56:$J56,Y$2)&gt;0,$A56&lt;&gt;INDEX('TRIP MANAGER'!$T$18:$T$25,Y$2),$A56&lt;&gt;INDEX('TRIP MANAGER'!$U$18:$U$25,Y$2)),1,0))</f>
        <v/>
      </c>
    </row>
    <row r="57">
      <c r="A57">
        <f>IF(countries!$D56="","",countries!$D56)</f>
        <v/>
      </c>
      <c r="B57">
        <f>IF(countries!$B56="","",countries!$B56)</f>
        <v/>
      </c>
      <c r="C57">
        <f>IF($A57="","",COUNTIFS(route_calc!$A$2:$A$1209,C$2,route_calc!$P$2:$P$1209,$A57))</f>
        <v/>
      </c>
      <c r="D57">
        <f>IF($A57="","",COUNTIFS(route_calc!$A$2:$A$1209,D$2,route_calc!$P$2:$P$1209,$A57))</f>
        <v/>
      </c>
      <c r="E57">
        <f>IF($A57="","",COUNTIFS(route_calc!$A$2:$A$1209,E$2,route_calc!$P$2:$P$1209,$A57))</f>
        <v/>
      </c>
      <c r="F57">
        <f>IF($A57="","",COUNTIFS(route_calc!$A$2:$A$1209,F$2,route_calc!$P$2:$P$1209,$A57))</f>
        <v/>
      </c>
      <c r="G57">
        <f>IF($A57="","",COUNTIFS(route_calc!$A$2:$A$1209,G$2,route_calc!$P$2:$P$1209,$A57))</f>
        <v/>
      </c>
      <c r="H57">
        <f>IF($A57="","",COUNTIFS(route_calc!$A$2:$A$1209,H$2,route_calc!$P$2:$P$1209,$A57))</f>
        <v/>
      </c>
      <c r="I57">
        <f>IF($A57="","",COUNTIFS(route_calc!$A$2:$A$1209,I$2,route_calc!$P$2:$P$1209,$A57))</f>
        <v/>
      </c>
      <c r="J57">
        <f>IF($A57="","",COUNTIFS(route_calc!$A$2:$A$1209,J$2,route_calc!$P$2:$P$1209,$A57))</f>
        <v/>
      </c>
      <c r="K57">
        <f>IF($L57=0,"",_xlfn.MINIFS(route_calc!$Q$2:$Q$1209,route_calc!$P$2:$P$1209,$A57,route_calc!$A$2:$A$1209,MATCH(1,$R57:$Y57,0)))</f>
        <v/>
      </c>
      <c r="L57">
        <f>IF($A57="",0,IF(SUM($R57:$Y57)&gt;0,1,0))</f>
        <v/>
      </c>
      <c r="M57">
        <f t="array" ref="M57">IF($L57=0,"",_xlfn.TEXTJOIN(", ",TRUE,IF($R57:$Y57&gt;0,$C$1:$J$1,"")))</f>
        <v/>
      </c>
      <c r="N57">
        <f t="array" ref="N57">IF($L57=0,"",SUMPRODUCT(($L$3:$L$144=1)*($K$3:$K$144&lt;$K57))+1)</f>
        <v/>
      </c>
      <c r="O57">
        <f>IF($L57=0,"",MATCH(1,$R57:$Y57,0))</f>
        <v/>
      </c>
      <c r="P57">
        <f>IF($A57="","",IFERROR(INDEX(countries!$G:$G,MATCH($A57,countries!$D:$D,0)),""))</f>
        <v/>
      </c>
      <c r="Q57">
        <f>IF($A57="","",IFERROR(IF(INDEX(countries!$I:$I,MATCH($A57,countries!$D:$D,0))=0,"",INDEX(countries!$I:$I,MATCH($A57,countries!$D:$D,0))),""))</f>
        <v/>
      </c>
      <c r="R57">
        <f t="array" ref="R57">IF($A57="","",IF(AND(INDEX($C57:$J57,R$2)&gt;0,$A57&lt;&gt;INDEX('TRIP MANAGER'!$T$18:$T$25,R$2),$A57&lt;&gt;INDEX('TRIP MANAGER'!$U$18:$U$25,R$2)),1,0))</f>
        <v/>
      </c>
      <c r="S57">
        <f t="array" ref="S57">IF($A57="","",IF(AND(INDEX($C57:$J57,S$2)&gt;0,$A57&lt;&gt;INDEX('TRIP MANAGER'!$T$18:$T$25,S$2),$A57&lt;&gt;INDEX('TRIP MANAGER'!$U$18:$U$25,S$2)),1,0))</f>
        <v/>
      </c>
      <c r="T57">
        <f t="array" ref="T57">IF($A57="","",IF(AND(INDEX($C57:$J57,T$2)&gt;0,$A57&lt;&gt;INDEX('TRIP MANAGER'!$T$18:$T$25,T$2),$A57&lt;&gt;INDEX('TRIP MANAGER'!$U$18:$U$25,T$2)),1,0))</f>
        <v/>
      </c>
      <c r="U57">
        <f t="array" ref="U57">IF($A57="","",IF(AND(INDEX($C57:$J57,U$2)&gt;0,$A57&lt;&gt;INDEX('TRIP MANAGER'!$T$18:$T$25,U$2),$A57&lt;&gt;INDEX('TRIP MANAGER'!$U$18:$U$25,U$2)),1,0))</f>
        <v/>
      </c>
      <c r="V57">
        <f t="array" ref="V57">IF($A57="","",IF(AND(INDEX($C57:$J57,V$2)&gt;0,$A57&lt;&gt;INDEX('TRIP MANAGER'!$T$18:$T$25,V$2),$A57&lt;&gt;INDEX('TRIP MANAGER'!$U$18:$U$25,V$2)),1,0))</f>
        <v/>
      </c>
      <c r="W57">
        <f t="array" ref="W57">IF($A57="","",IF(AND(INDEX($C57:$J57,W$2)&gt;0,$A57&lt;&gt;INDEX('TRIP MANAGER'!$T$18:$T$25,W$2),$A57&lt;&gt;INDEX('TRIP MANAGER'!$U$18:$U$25,W$2)),1,0))</f>
        <v/>
      </c>
      <c r="X57">
        <f t="array" ref="X57">IF($A57="","",IF(AND(INDEX($C57:$J57,X$2)&gt;0,$A57&lt;&gt;INDEX('TRIP MANAGER'!$T$18:$T$25,X$2),$A57&lt;&gt;INDEX('TRIP MANAGER'!$U$18:$U$25,X$2)),1,0))</f>
        <v/>
      </c>
      <c r="Y57">
        <f t="array" ref="Y57">IF($A57="","",IF(AND(INDEX($C57:$J57,Y$2)&gt;0,$A57&lt;&gt;INDEX('TRIP MANAGER'!$T$18:$T$25,Y$2),$A57&lt;&gt;INDEX('TRIP MANAGER'!$U$18:$U$25,Y$2)),1,0))</f>
        <v/>
      </c>
    </row>
    <row r="58">
      <c r="A58">
        <f>IF(countries!$D57="","",countries!$D57)</f>
        <v/>
      </c>
      <c r="B58">
        <f>IF(countries!$B57="","",countries!$B57)</f>
        <v/>
      </c>
      <c r="C58">
        <f>IF($A58="","",COUNTIFS(route_calc!$A$2:$A$1209,C$2,route_calc!$P$2:$P$1209,$A58))</f>
        <v/>
      </c>
      <c r="D58">
        <f>IF($A58="","",COUNTIFS(route_calc!$A$2:$A$1209,D$2,route_calc!$P$2:$P$1209,$A58))</f>
        <v/>
      </c>
      <c r="E58">
        <f>IF($A58="","",COUNTIFS(route_calc!$A$2:$A$1209,E$2,route_calc!$P$2:$P$1209,$A58))</f>
        <v/>
      </c>
      <c r="F58">
        <f>IF($A58="","",COUNTIFS(route_calc!$A$2:$A$1209,F$2,route_calc!$P$2:$P$1209,$A58))</f>
        <v/>
      </c>
      <c r="G58">
        <f>IF($A58="","",COUNTIFS(route_calc!$A$2:$A$1209,G$2,route_calc!$P$2:$P$1209,$A58))</f>
        <v/>
      </c>
      <c r="H58">
        <f>IF($A58="","",COUNTIFS(route_calc!$A$2:$A$1209,H$2,route_calc!$P$2:$P$1209,$A58))</f>
        <v/>
      </c>
      <c r="I58">
        <f>IF($A58="","",COUNTIFS(route_calc!$A$2:$A$1209,I$2,route_calc!$P$2:$P$1209,$A58))</f>
        <v/>
      </c>
      <c r="J58">
        <f>IF($A58="","",COUNTIFS(route_calc!$A$2:$A$1209,J$2,route_calc!$P$2:$P$1209,$A58))</f>
        <v/>
      </c>
      <c r="K58">
        <f>IF($L58=0,"",_xlfn.MINIFS(route_calc!$Q$2:$Q$1209,route_calc!$P$2:$P$1209,$A58,route_calc!$A$2:$A$1209,MATCH(1,$R58:$Y58,0)))</f>
        <v/>
      </c>
      <c r="L58">
        <f>IF($A58="",0,IF(SUM($R58:$Y58)&gt;0,1,0))</f>
        <v/>
      </c>
      <c r="M58">
        <f t="array" ref="M58">IF($L58=0,"",_xlfn.TEXTJOIN(", ",TRUE,IF($R58:$Y58&gt;0,$C$1:$J$1,"")))</f>
        <v/>
      </c>
      <c r="N58">
        <f t="array" ref="N58">IF($L58=0,"",SUMPRODUCT(($L$3:$L$144=1)*($K$3:$K$144&lt;$K58))+1)</f>
        <v/>
      </c>
      <c r="O58">
        <f>IF($L58=0,"",MATCH(1,$R58:$Y58,0))</f>
        <v/>
      </c>
      <c r="P58">
        <f>IF($A58="","",IFERROR(INDEX(countries!$G:$G,MATCH($A58,countries!$D:$D,0)),""))</f>
        <v/>
      </c>
      <c r="Q58">
        <f>IF($A58="","",IFERROR(IF(INDEX(countries!$I:$I,MATCH($A58,countries!$D:$D,0))=0,"",INDEX(countries!$I:$I,MATCH($A58,countries!$D:$D,0))),""))</f>
        <v/>
      </c>
      <c r="R58">
        <f t="array" ref="R58">IF($A58="","",IF(AND(INDEX($C58:$J58,R$2)&gt;0,$A58&lt;&gt;INDEX('TRIP MANAGER'!$T$18:$T$25,R$2),$A58&lt;&gt;INDEX('TRIP MANAGER'!$U$18:$U$25,R$2)),1,0))</f>
        <v/>
      </c>
      <c r="S58">
        <f t="array" ref="S58">IF($A58="","",IF(AND(INDEX($C58:$J58,S$2)&gt;0,$A58&lt;&gt;INDEX('TRIP MANAGER'!$T$18:$T$25,S$2),$A58&lt;&gt;INDEX('TRIP MANAGER'!$U$18:$U$25,S$2)),1,0))</f>
        <v/>
      </c>
      <c r="T58">
        <f t="array" ref="T58">IF($A58="","",IF(AND(INDEX($C58:$J58,T$2)&gt;0,$A58&lt;&gt;INDEX('TRIP MANAGER'!$T$18:$T$25,T$2),$A58&lt;&gt;INDEX('TRIP MANAGER'!$U$18:$U$25,T$2)),1,0))</f>
        <v/>
      </c>
      <c r="U58">
        <f t="array" ref="U58">IF($A58="","",IF(AND(INDEX($C58:$J58,U$2)&gt;0,$A58&lt;&gt;INDEX('TRIP MANAGER'!$T$18:$T$25,U$2),$A58&lt;&gt;INDEX('TRIP MANAGER'!$U$18:$U$25,U$2)),1,0))</f>
        <v/>
      </c>
      <c r="V58">
        <f t="array" ref="V58">IF($A58="","",IF(AND(INDEX($C58:$J58,V$2)&gt;0,$A58&lt;&gt;INDEX('TRIP MANAGER'!$T$18:$T$25,V$2),$A58&lt;&gt;INDEX('TRIP MANAGER'!$U$18:$U$25,V$2)),1,0))</f>
        <v/>
      </c>
      <c r="W58">
        <f t="array" ref="W58">IF($A58="","",IF(AND(INDEX($C58:$J58,W$2)&gt;0,$A58&lt;&gt;INDEX('TRIP MANAGER'!$T$18:$T$25,W$2),$A58&lt;&gt;INDEX('TRIP MANAGER'!$U$18:$U$25,W$2)),1,0))</f>
        <v/>
      </c>
      <c r="X58">
        <f t="array" ref="X58">IF($A58="","",IF(AND(INDEX($C58:$J58,X$2)&gt;0,$A58&lt;&gt;INDEX('TRIP MANAGER'!$T$18:$T$25,X$2),$A58&lt;&gt;INDEX('TRIP MANAGER'!$U$18:$U$25,X$2)),1,0))</f>
        <v/>
      </c>
      <c r="Y58">
        <f t="array" ref="Y58">IF($A58="","",IF(AND(INDEX($C58:$J58,Y$2)&gt;0,$A58&lt;&gt;INDEX('TRIP MANAGER'!$T$18:$T$25,Y$2),$A58&lt;&gt;INDEX('TRIP MANAGER'!$U$18:$U$25,Y$2)),1,0))</f>
        <v/>
      </c>
    </row>
    <row r="59">
      <c r="A59">
        <f>IF(countries!$D58="","",countries!$D58)</f>
        <v/>
      </c>
      <c r="B59">
        <f>IF(countries!$B58="","",countries!$B58)</f>
        <v/>
      </c>
      <c r="C59">
        <f>IF($A59="","",COUNTIFS(route_calc!$A$2:$A$1209,C$2,route_calc!$P$2:$P$1209,$A59))</f>
        <v/>
      </c>
      <c r="D59">
        <f>IF($A59="","",COUNTIFS(route_calc!$A$2:$A$1209,D$2,route_calc!$P$2:$P$1209,$A59))</f>
        <v/>
      </c>
      <c r="E59">
        <f>IF($A59="","",COUNTIFS(route_calc!$A$2:$A$1209,E$2,route_calc!$P$2:$P$1209,$A59))</f>
        <v/>
      </c>
      <c r="F59">
        <f>IF($A59="","",COUNTIFS(route_calc!$A$2:$A$1209,F$2,route_calc!$P$2:$P$1209,$A59))</f>
        <v/>
      </c>
      <c r="G59">
        <f>IF($A59="","",COUNTIFS(route_calc!$A$2:$A$1209,G$2,route_calc!$P$2:$P$1209,$A59))</f>
        <v/>
      </c>
      <c r="H59">
        <f>IF($A59="","",COUNTIFS(route_calc!$A$2:$A$1209,H$2,route_calc!$P$2:$P$1209,$A59))</f>
        <v/>
      </c>
      <c r="I59">
        <f>IF($A59="","",COUNTIFS(route_calc!$A$2:$A$1209,I$2,route_calc!$P$2:$P$1209,$A59))</f>
        <v/>
      </c>
      <c r="J59">
        <f>IF($A59="","",COUNTIFS(route_calc!$A$2:$A$1209,J$2,route_calc!$P$2:$P$1209,$A59))</f>
        <v/>
      </c>
      <c r="K59">
        <f>IF($L59=0,"",_xlfn.MINIFS(route_calc!$Q$2:$Q$1209,route_calc!$P$2:$P$1209,$A59,route_calc!$A$2:$A$1209,MATCH(1,$R59:$Y59,0)))</f>
        <v/>
      </c>
      <c r="L59">
        <f>IF($A59="",0,IF(SUM($R59:$Y59)&gt;0,1,0))</f>
        <v/>
      </c>
      <c r="M59">
        <f t="array" ref="M59">IF($L59=0,"",_xlfn.TEXTJOIN(", ",TRUE,IF($R59:$Y59&gt;0,$C$1:$J$1,"")))</f>
        <v/>
      </c>
      <c r="N59">
        <f t="array" ref="N59">IF($L59=0,"",SUMPRODUCT(($L$3:$L$144=1)*($K$3:$K$144&lt;$K59))+1)</f>
        <v/>
      </c>
      <c r="O59">
        <f>IF($L59=0,"",MATCH(1,$R59:$Y59,0))</f>
        <v/>
      </c>
      <c r="P59">
        <f>IF($A59="","",IFERROR(INDEX(countries!$G:$G,MATCH($A59,countries!$D:$D,0)),""))</f>
        <v/>
      </c>
      <c r="Q59">
        <f>IF($A59="","",IFERROR(IF(INDEX(countries!$I:$I,MATCH($A59,countries!$D:$D,0))=0,"",INDEX(countries!$I:$I,MATCH($A59,countries!$D:$D,0))),""))</f>
        <v/>
      </c>
      <c r="R59">
        <f t="array" ref="R59">IF($A59="","",IF(AND(INDEX($C59:$J59,R$2)&gt;0,$A59&lt;&gt;INDEX('TRIP MANAGER'!$T$18:$T$25,R$2),$A59&lt;&gt;INDEX('TRIP MANAGER'!$U$18:$U$25,R$2)),1,0))</f>
        <v/>
      </c>
      <c r="S59">
        <f t="array" ref="S59">IF($A59="","",IF(AND(INDEX($C59:$J59,S$2)&gt;0,$A59&lt;&gt;INDEX('TRIP MANAGER'!$T$18:$T$25,S$2),$A59&lt;&gt;INDEX('TRIP MANAGER'!$U$18:$U$25,S$2)),1,0))</f>
        <v/>
      </c>
      <c r="T59">
        <f t="array" ref="T59">IF($A59="","",IF(AND(INDEX($C59:$J59,T$2)&gt;0,$A59&lt;&gt;INDEX('TRIP MANAGER'!$T$18:$T$25,T$2),$A59&lt;&gt;INDEX('TRIP MANAGER'!$U$18:$U$25,T$2)),1,0))</f>
        <v/>
      </c>
      <c r="U59">
        <f t="array" ref="U59">IF($A59="","",IF(AND(INDEX($C59:$J59,U$2)&gt;0,$A59&lt;&gt;INDEX('TRIP MANAGER'!$T$18:$T$25,U$2),$A59&lt;&gt;INDEX('TRIP MANAGER'!$U$18:$U$25,U$2)),1,0))</f>
        <v/>
      </c>
      <c r="V59">
        <f t="array" ref="V59">IF($A59="","",IF(AND(INDEX($C59:$J59,V$2)&gt;0,$A59&lt;&gt;INDEX('TRIP MANAGER'!$T$18:$T$25,V$2),$A59&lt;&gt;INDEX('TRIP MANAGER'!$U$18:$U$25,V$2)),1,0))</f>
        <v/>
      </c>
      <c r="W59">
        <f t="array" ref="W59">IF($A59="","",IF(AND(INDEX($C59:$J59,W$2)&gt;0,$A59&lt;&gt;INDEX('TRIP MANAGER'!$T$18:$T$25,W$2),$A59&lt;&gt;INDEX('TRIP MANAGER'!$U$18:$U$25,W$2)),1,0))</f>
        <v/>
      </c>
      <c r="X59">
        <f t="array" ref="X59">IF($A59="","",IF(AND(INDEX($C59:$J59,X$2)&gt;0,$A59&lt;&gt;INDEX('TRIP MANAGER'!$T$18:$T$25,X$2),$A59&lt;&gt;INDEX('TRIP MANAGER'!$U$18:$U$25,X$2)),1,0))</f>
        <v/>
      </c>
      <c r="Y59">
        <f t="array" ref="Y59">IF($A59="","",IF(AND(INDEX($C59:$J59,Y$2)&gt;0,$A59&lt;&gt;INDEX('TRIP MANAGER'!$T$18:$T$25,Y$2),$A59&lt;&gt;INDEX('TRIP MANAGER'!$U$18:$U$25,Y$2)),1,0))</f>
        <v/>
      </c>
    </row>
    <row r="60">
      <c r="A60">
        <f>IF(countries!$D59="","",countries!$D59)</f>
        <v/>
      </c>
      <c r="B60">
        <f>IF(countries!$B59="","",countries!$B59)</f>
        <v/>
      </c>
      <c r="C60">
        <f>IF($A60="","",COUNTIFS(route_calc!$A$2:$A$1209,C$2,route_calc!$P$2:$P$1209,$A60))</f>
        <v/>
      </c>
      <c r="D60">
        <f>IF($A60="","",COUNTIFS(route_calc!$A$2:$A$1209,D$2,route_calc!$P$2:$P$1209,$A60))</f>
        <v/>
      </c>
      <c r="E60">
        <f>IF($A60="","",COUNTIFS(route_calc!$A$2:$A$1209,E$2,route_calc!$P$2:$P$1209,$A60))</f>
        <v/>
      </c>
      <c r="F60">
        <f>IF($A60="","",COUNTIFS(route_calc!$A$2:$A$1209,F$2,route_calc!$P$2:$P$1209,$A60))</f>
        <v/>
      </c>
      <c r="G60">
        <f>IF($A60="","",COUNTIFS(route_calc!$A$2:$A$1209,G$2,route_calc!$P$2:$P$1209,$A60))</f>
        <v/>
      </c>
      <c r="H60">
        <f>IF($A60="","",COUNTIFS(route_calc!$A$2:$A$1209,H$2,route_calc!$P$2:$P$1209,$A60))</f>
        <v/>
      </c>
      <c r="I60">
        <f>IF($A60="","",COUNTIFS(route_calc!$A$2:$A$1209,I$2,route_calc!$P$2:$P$1209,$A60))</f>
        <v/>
      </c>
      <c r="J60">
        <f>IF($A60="","",COUNTIFS(route_calc!$A$2:$A$1209,J$2,route_calc!$P$2:$P$1209,$A60))</f>
        <v/>
      </c>
      <c r="K60">
        <f>IF($L60=0,"",_xlfn.MINIFS(route_calc!$Q$2:$Q$1209,route_calc!$P$2:$P$1209,$A60,route_calc!$A$2:$A$1209,MATCH(1,$R60:$Y60,0)))</f>
        <v/>
      </c>
      <c r="L60">
        <f>IF($A60="",0,IF(SUM($R60:$Y60)&gt;0,1,0))</f>
        <v/>
      </c>
      <c r="M60">
        <f t="array" ref="M60">IF($L60=0,"",_xlfn.TEXTJOIN(", ",TRUE,IF($R60:$Y60&gt;0,$C$1:$J$1,"")))</f>
        <v/>
      </c>
      <c r="N60">
        <f t="array" ref="N60">IF($L60=0,"",SUMPRODUCT(($L$3:$L$144=1)*($K$3:$K$144&lt;$K60))+1)</f>
        <v/>
      </c>
      <c r="O60">
        <f>IF($L60=0,"",MATCH(1,$R60:$Y60,0))</f>
        <v/>
      </c>
      <c r="P60">
        <f>IF($A60="","",IFERROR(INDEX(countries!$G:$G,MATCH($A60,countries!$D:$D,0)),""))</f>
        <v/>
      </c>
      <c r="Q60">
        <f>IF($A60="","",IFERROR(IF(INDEX(countries!$I:$I,MATCH($A60,countries!$D:$D,0))=0,"",INDEX(countries!$I:$I,MATCH($A60,countries!$D:$D,0))),""))</f>
        <v/>
      </c>
      <c r="R60">
        <f t="array" ref="R60">IF($A60="","",IF(AND(INDEX($C60:$J60,R$2)&gt;0,$A60&lt;&gt;INDEX('TRIP MANAGER'!$T$18:$T$25,R$2),$A60&lt;&gt;INDEX('TRIP MANAGER'!$U$18:$U$25,R$2)),1,0))</f>
        <v/>
      </c>
      <c r="S60">
        <f t="array" ref="S60">IF($A60="","",IF(AND(INDEX($C60:$J60,S$2)&gt;0,$A60&lt;&gt;INDEX('TRIP MANAGER'!$T$18:$T$25,S$2),$A60&lt;&gt;INDEX('TRIP MANAGER'!$U$18:$U$25,S$2)),1,0))</f>
        <v/>
      </c>
      <c r="T60">
        <f t="array" ref="T60">IF($A60="","",IF(AND(INDEX($C60:$J60,T$2)&gt;0,$A60&lt;&gt;INDEX('TRIP MANAGER'!$T$18:$T$25,T$2),$A60&lt;&gt;INDEX('TRIP MANAGER'!$U$18:$U$25,T$2)),1,0))</f>
        <v/>
      </c>
      <c r="U60">
        <f t="array" ref="U60">IF($A60="","",IF(AND(INDEX($C60:$J60,U$2)&gt;0,$A60&lt;&gt;INDEX('TRIP MANAGER'!$T$18:$T$25,U$2),$A60&lt;&gt;INDEX('TRIP MANAGER'!$U$18:$U$25,U$2)),1,0))</f>
        <v/>
      </c>
      <c r="V60">
        <f t="array" ref="V60">IF($A60="","",IF(AND(INDEX($C60:$J60,V$2)&gt;0,$A60&lt;&gt;INDEX('TRIP MANAGER'!$T$18:$T$25,V$2),$A60&lt;&gt;INDEX('TRIP MANAGER'!$U$18:$U$25,V$2)),1,0))</f>
        <v/>
      </c>
      <c r="W60">
        <f t="array" ref="W60">IF($A60="","",IF(AND(INDEX($C60:$J60,W$2)&gt;0,$A60&lt;&gt;INDEX('TRIP MANAGER'!$T$18:$T$25,W$2),$A60&lt;&gt;INDEX('TRIP MANAGER'!$U$18:$U$25,W$2)),1,0))</f>
        <v/>
      </c>
      <c r="X60">
        <f t="array" ref="X60">IF($A60="","",IF(AND(INDEX($C60:$J60,X$2)&gt;0,$A60&lt;&gt;INDEX('TRIP MANAGER'!$T$18:$T$25,X$2),$A60&lt;&gt;INDEX('TRIP MANAGER'!$U$18:$U$25,X$2)),1,0))</f>
        <v/>
      </c>
      <c r="Y60">
        <f t="array" ref="Y60">IF($A60="","",IF(AND(INDEX($C60:$J60,Y$2)&gt;0,$A60&lt;&gt;INDEX('TRIP MANAGER'!$T$18:$T$25,Y$2),$A60&lt;&gt;INDEX('TRIP MANAGER'!$U$18:$U$25,Y$2)),1,0))</f>
        <v/>
      </c>
    </row>
    <row r="61">
      <c r="A61">
        <f>IF(countries!$D60="","",countries!$D60)</f>
        <v/>
      </c>
      <c r="B61">
        <f>IF(countries!$B60="","",countries!$B60)</f>
        <v/>
      </c>
      <c r="C61">
        <f>IF($A61="","",COUNTIFS(route_calc!$A$2:$A$1209,C$2,route_calc!$P$2:$P$1209,$A61))</f>
        <v/>
      </c>
      <c r="D61">
        <f>IF($A61="","",COUNTIFS(route_calc!$A$2:$A$1209,D$2,route_calc!$P$2:$P$1209,$A61))</f>
        <v/>
      </c>
      <c r="E61">
        <f>IF($A61="","",COUNTIFS(route_calc!$A$2:$A$1209,E$2,route_calc!$P$2:$P$1209,$A61))</f>
        <v/>
      </c>
      <c r="F61">
        <f>IF($A61="","",COUNTIFS(route_calc!$A$2:$A$1209,F$2,route_calc!$P$2:$P$1209,$A61))</f>
        <v/>
      </c>
      <c r="G61">
        <f>IF($A61="","",COUNTIFS(route_calc!$A$2:$A$1209,G$2,route_calc!$P$2:$P$1209,$A61))</f>
        <v/>
      </c>
      <c r="H61">
        <f>IF($A61="","",COUNTIFS(route_calc!$A$2:$A$1209,H$2,route_calc!$P$2:$P$1209,$A61))</f>
        <v/>
      </c>
      <c r="I61">
        <f>IF($A61="","",COUNTIFS(route_calc!$A$2:$A$1209,I$2,route_calc!$P$2:$P$1209,$A61))</f>
        <v/>
      </c>
      <c r="J61">
        <f>IF($A61="","",COUNTIFS(route_calc!$A$2:$A$1209,J$2,route_calc!$P$2:$P$1209,$A61))</f>
        <v/>
      </c>
      <c r="K61">
        <f>IF($L61=0,"",_xlfn.MINIFS(route_calc!$Q$2:$Q$1209,route_calc!$P$2:$P$1209,$A61,route_calc!$A$2:$A$1209,MATCH(1,$R61:$Y61,0)))</f>
        <v/>
      </c>
      <c r="L61">
        <f>IF($A61="",0,IF(SUM($R61:$Y61)&gt;0,1,0))</f>
        <v/>
      </c>
      <c r="M61">
        <f t="array" ref="M61">IF($L61=0,"",_xlfn.TEXTJOIN(", ",TRUE,IF($R61:$Y61&gt;0,$C$1:$J$1,"")))</f>
        <v/>
      </c>
      <c r="N61">
        <f t="array" ref="N61">IF($L61=0,"",SUMPRODUCT(($L$3:$L$144=1)*($K$3:$K$144&lt;$K61))+1)</f>
        <v/>
      </c>
      <c r="O61">
        <f>IF($L61=0,"",MATCH(1,$R61:$Y61,0))</f>
        <v/>
      </c>
      <c r="P61">
        <f>IF($A61="","",IFERROR(INDEX(countries!$G:$G,MATCH($A61,countries!$D:$D,0)),""))</f>
        <v/>
      </c>
      <c r="Q61">
        <f>IF($A61="","",IFERROR(IF(INDEX(countries!$I:$I,MATCH($A61,countries!$D:$D,0))=0,"",INDEX(countries!$I:$I,MATCH($A61,countries!$D:$D,0))),""))</f>
        <v/>
      </c>
      <c r="R61">
        <f t="array" ref="R61">IF($A61="","",IF(AND(INDEX($C61:$J61,R$2)&gt;0,$A61&lt;&gt;INDEX('TRIP MANAGER'!$T$18:$T$25,R$2),$A61&lt;&gt;INDEX('TRIP MANAGER'!$U$18:$U$25,R$2)),1,0))</f>
        <v/>
      </c>
      <c r="S61">
        <f t="array" ref="S61">IF($A61="","",IF(AND(INDEX($C61:$J61,S$2)&gt;0,$A61&lt;&gt;INDEX('TRIP MANAGER'!$T$18:$T$25,S$2),$A61&lt;&gt;INDEX('TRIP MANAGER'!$U$18:$U$25,S$2)),1,0))</f>
        <v/>
      </c>
      <c r="T61">
        <f t="array" ref="T61">IF($A61="","",IF(AND(INDEX($C61:$J61,T$2)&gt;0,$A61&lt;&gt;INDEX('TRIP MANAGER'!$T$18:$T$25,T$2),$A61&lt;&gt;INDEX('TRIP MANAGER'!$U$18:$U$25,T$2)),1,0))</f>
        <v/>
      </c>
      <c r="U61">
        <f t="array" ref="U61">IF($A61="","",IF(AND(INDEX($C61:$J61,U$2)&gt;0,$A61&lt;&gt;INDEX('TRIP MANAGER'!$T$18:$T$25,U$2),$A61&lt;&gt;INDEX('TRIP MANAGER'!$U$18:$U$25,U$2)),1,0))</f>
        <v/>
      </c>
      <c r="V61">
        <f t="array" ref="V61">IF($A61="","",IF(AND(INDEX($C61:$J61,V$2)&gt;0,$A61&lt;&gt;INDEX('TRIP MANAGER'!$T$18:$T$25,V$2),$A61&lt;&gt;INDEX('TRIP MANAGER'!$U$18:$U$25,V$2)),1,0))</f>
        <v/>
      </c>
      <c r="W61">
        <f t="array" ref="W61">IF($A61="","",IF(AND(INDEX($C61:$J61,W$2)&gt;0,$A61&lt;&gt;INDEX('TRIP MANAGER'!$T$18:$T$25,W$2),$A61&lt;&gt;INDEX('TRIP MANAGER'!$U$18:$U$25,W$2)),1,0))</f>
        <v/>
      </c>
      <c r="X61">
        <f t="array" ref="X61">IF($A61="","",IF(AND(INDEX($C61:$J61,X$2)&gt;0,$A61&lt;&gt;INDEX('TRIP MANAGER'!$T$18:$T$25,X$2),$A61&lt;&gt;INDEX('TRIP MANAGER'!$U$18:$U$25,X$2)),1,0))</f>
        <v/>
      </c>
      <c r="Y61">
        <f t="array" ref="Y61">IF($A61="","",IF(AND(INDEX($C61:$J61,Y$2)&gt;0,$A61&lt;&gt;INDEX('TRIP MANAGER'!$T$18:$T$25,Y$2),$A61&lt;&gt;INDEX('TRIP MANAGER'!$U$18:$U$25,Y$2)),1,0))</f>
        <v/>
      </c>
    </row>
    <row r="62">
      <c r="A62">
        <f>IF(countries!$D61="","",countries!$D61)</f>
        <v/>
      </c>
      <c r="B62">
        <f>IF(countries!$B61="","",countries!$B61)</f>
        <v/>
      </c>
      <c r="C62">
        <f>IF($A62="","",COUNTIFS(route_calc!$A$2:$A$1209,C$2,route_calc!$P$2:$P$1209,$A62))</f>
        <v/>
      </c>
      <c r="D62">
        <f>IF($A62="","",COUNTIFS(route_calc!$A$2:$A$1209,D$2,route_calc!$P$2:$P$1209,$A62))</f>
        <v/>
      </c>
      <c r="E62">
        <f>IF($A62="","",COUNTIFS(route_calc!$A$2:$A$1209,E$2,route_calc!$P$2:$P$1209,$A62))</f>
        <v/>
      </c>
      <c r="F62">
        <f>IF($A62="","",COUNTIFS(route_calc!$A$2:$A$1209,F$2,route_calc!$P$2:$P$1209,$A62))</f>
        <v/>
      </c>
      <c r="G62">
        <f>IF($A62="","",COUNTIFS(route_calc!$A$2:$A$1209,G$2,route_calc!$P$2:$P$1209,$A62))</f>
        <v/>
      </c>
      <c r="H62">
        <f>IF($A62="","",COUNTIFS(route_calc!$A$2:$A$1209,H$2,route_calc!$P$2:$P$1209,$A62))</f>
        <v/>
      </c>
      <c r="I62">
        <f>IF($A62="","",COUNTIFS(route_calc!$A$2:$A$1209,I$2,route_calc!$P$2:$P$1209,$A62))</f>
        <v/>
      </c>
      <c r="J62">
        <f>IF($A62="","",COUNTIFS(route_calc!$A$2:$A$1209,J$2,route_calc!$P$2:$P$1209,$A62))</f>
        <v/>
      </c>
      <c r="K62">
        <f>IF($L62=0,"",_xlfn.MINIFS(route_calc!$Q$2:$Q$1209,route_calc!$P$2:$P$1209,$A62,route_calc!$A$2:$A$1209,MATCH(1,$R62:$Y62,0)))</f>
        <v/>
      </c>
      <c r="L62">
        <f>IF($A62="",0,IF(SUM($R62:$Y62)&gt;0,1,0))</f>
        <v/>
      </c>
      <c r="M62">
        <f t="array" ref="M62">IF($L62=0,"",_xlfn.TEXTJOIN(", ",TRUE,IF($R62:$Y62&gt;0,$C$1:$J$1,"")))</f>
        <v/>
      </c>
      <c r="N62">
        <f t="array" ref="N62">IF($L62=0,"",SUMPRODUCT(($L$3:$L$144=1)*($K$3:$K$144&lt;$K62))+1)</f>
        <v/>
      </c>
      <c r="O62">
        <f>IF($L62=0,"",MATCH(1,$R62:$Y62,0))</f>
        <v/>
      </c>
      <c r="P62">
        <f>IF($A62="","",IFERROR(INDEX(countries!$G:$G,MATCH($A62,countries!$D:$D,0)),""))</f>
        <v/>
      </c>
      <c r="Q62">
        <f>IF($A62="","",IFERROR(IF(INDEX(countries!$I:$I,MATCH($A62,countries!$D:$D,0))=0,"",INDEX(countries!$I:$I,MATCH($A62,countries!$D:$D,0))),""))</f>
        <v/>
      </c>
      <c r="R62">
        <f t="array" ref="R62">IF($A62="","",IF(AND(INDEX($C62:$J62,R$2)&gt;0,$A62&lt;&gt;INDEX('TRIP MANAGER'!$T$18:$T$25,R$2),$A62&lt;&gt;INDEX('TRIP MANAGER'!$U$18:$U$25,R$2)),1,0))</f>
        <v/>
      </c>
      <c r="S62">
        <f t="array" ref="S62">IF($A62="","",IF(AND(INDEX($C62:$J62,S$2)&gt;0,$A62&lt;&gt;INDEX('TRIP MANAGER'!$T$18:$T$25,S$2),$A62&lt;&gt;INDEX('TRIP MANAGER'!$U$18:$U$25,S$2)),1,0))</f>
        <v/>
      </c>
      <c r="T62">
        <f t="array" ref="T62">IF($A62="","",IF(AND(INDEX($C62:$J62,T$2)&gt;0,$A62&lt;&gt;INDEX('TRIP MANAGER'!$T$18:$T$25,T$2),$A62&lt;&gt;INDEX('TRIP MANAGER'!$U$18:$U$25,T$2)),1,0))</f>
        <v/>
      </c>
      <c r="U62">
        <f t="array" ref="U62">IF($A62="","",IF(AND(INDEX($C62:$J62,U$2)&gt;0,$A62&lt;&gt;INDEX('TRIP MANAGER'!$T$18:$T$25,U$2),$A62&lt;&gt;INDEX('TRIP MANAGER'!$U$18:$U$25,U$2)),1,0))</f>
        <v/>
      </c>
      <c r="V62">
        <f t="array" ref="V62">IF($A62="","",IF(AND(INDEX($C62:$J62,V$2)&gt;0,$A62&lt;&gt;INDEX('TRIP MANAGER'!$T$18:$T$25,V$2),$A62&lt;&gt;INDEX('TRIP MANAGER'!$U$18:$U$25,V$2)),1,0))</f>
        <v/>
      </c>
      <c r="W62">
        <f t="array" ref="W62">IF($A62="","",IF(AND(INDEX($C62:$J62,W$2)&gt;0,$A62&lt;&gt;INDEX('TRIP MANAGER'!$T$18:$T$25,W$2),$A62&lt;&gt;INDEX('TRIP MANAGER'!$U$18:$U$25,W$2)),1,0))</f>
        <v/>
      </c>
      <c r="X62">
        <f t="array" ref="X62">IF($A62="","",IF(AND(INDEX($C62:$J62,X$2)&gt;0,$A62&lt;&gt;INDEX('TRIP MANAGER'!$T$18:$T$25,X$2),$A62&lt;&gt;INDEX('TRIP MANAGER'!$U$18:$U$25,X$2)),1,0))</f>
        <v/>
      </c>
      <c r="Y62">
        <f t="array" ref="Y62">IF($A62="","",IF(AND(INDEX($C62:$J62,Y$2)&gt;0,$A62&lt;&gt;INDEX('TRIP MANAGER'!$T$18:$T$25,Y$2),$A62&lt;&gt;INDEX('TRIP MANAGER'!$U$18:$U$25,Y$2)),1,0))</f>
        <v/>
      </c>
    </row>
    <row r="63">
      <c r="A63">
        <f>IF(countries!$D62="","",countries!$D62)</f>
        <v/>
      </c>
      <c r="B63">
        <f>IF(countries!$B62="","",countries!$B62)</f>
        <v/>
      </c>
      <c r="C63">
        <f>IF($A63="","",COUNTIFS(route_calc!$A$2:$A$1209,C$2,route_calc!$P$2:$P$1209,$A63))</f>
        <v/>
      </c>
      <c r="D63">
        <f>IF($A63="","",COUNTIFS(route_calc!$A$2:$A$1209,D$2,route_calc!$P$2:$P$1209,$A63))</f>
        <v/>
      </c>
      <c r="E63">
        <f>IF($A63="","",COUNTIFS(route_calc!$A$2:$A$1209,E$2,route_calc!$P$2:$P$1209,$A63))</f>
        <v/>
      </c>
      <c r="F63">
        <f>IF($A63="","",COUNTIFS(route_calc!$A$2:$A$1209,F$2,route_calc!$P$2:$P$1209,$A63))</f>
        <v/>
      </c>
      <c r="G63">
        <f>IF($A63="","",COUNTIFS(route_calc!$A$2:$A$1209,G$2,route_calc!$P$2:$P$1209,$A63))</f>
        <v/>
      </c>
      <c r="H63">
        <f>IF($A63="","",COUNTIFS(route_calc!$A$2:$A$1209,H$2,route_calc!$P$2:$P$1209,$A63))</f>
        <v/>
      </c>
      <c r="I63">
        <f>IF($A63="","",COUNTIFS(route_calc!$A$2:$A$1209,I$2,route_calc!$P$2:$P$1209,$A63))</f>
        <v/>
      </c>
      <c r="J63">
        <f>IF($A63="","",COUNTIFS(route_calc!$A$2:$A$1209,J$2,route_calc!$P$2:$P$1209,$A63))</f>
        <v/>
      </c>
      <c r="K63">
        <f>IF($L63=0,"",_xlfn.MINIFS(route_calc!$Q$2:$Q$1209,route_calc!$P$2:$P$1209,$A63,route_calc!$A$2:$A$1209,MATCH(1,$R63:$Y63,0)))</f>
        <v/>
      </c>
      <c r="L63">
        <f>IF($A63="",0,IF(SUM($R63:$Y63)&gt;0,1,0))</f>
        <v/>
      </c>
      <c r="M63">
        <f t="array" ref="M63">IF($L63=0,"",_xlfn.TEXTJOIN(", ",TRUE,IF($R63:$Y63&gt;0,$C$1:$J$1,"")))</f>
        <v/>
      </c>
      <c r="N63">
        <f t="array" ref="N63">IF($L63=0,"",SUMPRODUCT(($L$3:$L$144=1)*($K$3:$K$144&lt;$K63))+1)</f>
        <v/>
      </c>
      <c r="O63">
        <f>IF($L63=0,"",MATCH(1,$R63:$Y63,0))</f>
        <v/>
      </c>
      <c r="P63">
        <f>IF($A63="","",IFERROR(INDEX(countries!$G:$G,MATCH($A63,countries!$D:$D,0)),""))</f>
        <v/>
      </c>
      <c r="Q63">
        <f>IF($A63="","",IFERROR(IF(INDEX(countries!$I:$I,MATCH($A63,countries!$D:$D,0))=0,"",INDEX(countries!$I:$I,MATCH($A63,countries!$D:$D,0))),""))</f>
        <v/>
      </c>
      <c r="R63">
        <f t="array" ref="R63">IF($A63="","",IF(AND(INDEX($C63:$J63,R$2)&gt;0,$A63&lt;&gt;INDEX('TRIP MANAGER'!$T$18:$T$25,R$2),$A63&lt;&gt;INDEX('TRIP MANAGER'!$U$18:$U$25,R$2)),1,0))</f>
        <v/>
      </c>
      <c r="S63">
        <f t="array" ref="S63">IF($A63="","",IF(AND(INDEX($C63:$J63,S$2)&gt;0,$A63&lt;&gt;INDEX('TRIP MANAGER'!$T$18:$T$25,S$2),$A63&lt;&gt;INDEX('TRIP MANAGER'!$U$18:$U$25,S$2)),1,0))</f>
        <v/>
      </c>
      <c r="T63">
        <f t="array" ref="T63">IF($A63="","",IF(AND(INDEX($C63:$J63,T$2)&gt;0,$A63&lt;&gt;INDEX('TRIP MANAGER'!$T$18:$T$25,T$2),$A63&lt;&gt;INDEX('TRIP MANAGER'!$U$18:$U$25,T$2)),1,0))</f>
        <v/>
      </c>
      <c r="U63">
        <f t="array" ref="U63">IF($A63="","",IF(AND(INDEX($C63:$J63,U$2)&gt;0,$A63&lt;&gt;INDEX('TRIP MANAGER'!$T$18:$T$25,U$2),$A63&lt;&gt;INDEX('TRIP MANAGER'!$U$18:$U$25,U$2)),1,0))</f>
        <v/>
      </c>
      <c r="V63">
        <f t="array" ref="V63">IF($A63="","",IF(AND(INDEX($C63:$J63,V$2)&gt;0,$A63&lt;&gt;INDEX('TRIP MANAGER'!$T$18:$T$25,V$2),$A63&lt;&gt;INDEX('TRIP MANAGER'!$U$18:$U$25,V$2)),1,0))</f>
        <v/>
      </c>
      <c r="W63">
        <f t="array" ref="W63">IF($A63="","",IF(AND(INDEX($C63:$J63,W$2)&gt;0,$A63&lt;&gt;INDEX('TRIP MANAGER'!$T$18:$T$25,W$2),$A63&lt;&gt;INDEX('TRIP MANAGER'!$U$18:$U$25,W$2)),1,0))</f>
        <v/>
      </c>
      <c r="X63">
        <f t="array" ref="X63">IF($A63="","",IF(AND(INDEX($C63:$J63,X$2)&gt;0,$A63&lt;&gt;INDEX('TRIP MANAGER'!$T$18:$T$25,X$2),$A63&lt;&gt;INDEX('TRIP MANAGER'!$U$18:$U$25,X$2)),1,0))</f>
        <v/>
      </c>
      <c r="Y63">
        <f t="array" ref="Y63">IF($A63="","",IF(AND(INDEX($C63:$J63,Y$2)&gt;0,$A63&lt;&gt;INDEX('TRIP MANAGER'!$T$18:$T$25,Y$2),$A63&lt;&gt;INDEX('TRIP MANAGER'!$U$18:$U$25,Y$2)),1,0))</f>
        <v/>
      </c>
    </row>
    <row r="64">
      <c r="A64">
        <f>IF(countries!$D63="","",countries!$D63)</f>
        <v/>
      </c>
      <c r="B64">
        <f>IF(countries!$B63="","",countries!$B63)</f>
        <v/>
      </c>
      <c r="C64">
        <f>IF($A64="","",COUNTIFS(route_calc!$A$2:$A$1209,C$2,route_calc!$P$2:$P$1209,$A64))</f>
        <v/>
      </c>
      <c r="D64">
        <f>IF($A64="","",COUNTIFS(route_calc!$A$2:$A$1209,D$2,route_calc!$P$2:$P$1209,$A64))</f>
        <v/>
      </c>
      <c r="E64">
        <f>IF($A64="","",COUNTIFS(route_calc!$A$2:$A$1209,E$2,route_calc!$P$2:$P$1209,$A64))</f>
        <v/>
      </c>
      <c r="F64">
        <f>IF($A64="","",COUNTIFS(route_calc!$A$2:$A$1209,F$2,route_calc!$P$2:$P$1209,$A64))</f>
        <v/>
      </c>
      <c r="G64">
        <f>IF($A64="","",COUNTIFS(route_calc!$A$2:$A$1209,G$2,route_calc!$P$2:$P$1209,$A64))</f>
        <v/>
      </c>
      <c r="H64">
        <f>IF($A64="","",COUNTIFS(route_calc!$A$2:$A$1209,H$2,route_calc!$P$2:$P$1209,$A64))</f>
        <v/>
      </c>
      <c r="I64">
        <f>IF($A64="","",COUNTIFS(route_calc!$A$2:$A$1209,I$2,route_calc!$P$2:$P$1209,$A64))</f>
        <v/>
      </c>
      <c r="J64">
        <f>IF($A64="","",COUNTIFS(route_calc!$A$2:$A$1209,J$2,route_calc!$P$2:$P$1209,$A64))</f>
        <v/>
      </c>
      <c r="K64">
        <f>IF($L64=0,"",_xlfn.MINIFS(route_calc!$Q$2:$Q$1209,route_calc!$P$2:$P$1209,$A64,route_calc!$A$2:$A$1209,MATCH(1,$R64:$Y64,0)))</f>
        <v/>
      </c>
      <c r="L64">
        <f>IF($A64="",0,IF(SUM($R64:$Y64)&gt;0,1,0))</f>
        <v/>
      </c>
      <c r="M64">
        <f t="array" ref="M64">IF($L64=0,"",_xlfn.TEXTJOIN(", ",TRUE,IF($R64:$Y64&gt;0,$C$1:$J$1,"")))</f>
        <v/>
      </c>
      <c r="N64">
        <f t="array" ref="N64">IF($L64=0,"",SUMPRODUCT(($L$3:$L$144=1)*($K$3:$K$144&lt;$K64))+1)</f>
        <v/>
      </c>
      <c r="O64">
        <f>IF($L64=0,"",MATCH(1,$R64:$Y64,0))</f>
        <v/>
      </c>
      <c r="P64">
        <f>IF($A64="","",IFERROR(INDEX(countries!$G:$G,MATCH($A64,countries!$D:$D,0)),""))</f>
        <v/>
      </c>
      <c r="Q64">
        <f>IF($A64="","",IFERROR(IF(INDEX(countries!$I:$I,MATCH($A64,countries!$D:$D,0))=0,"",INDEX(countries!$I:$I,MATCH($A64,countries!$D:$D,0))),""))</f>
        <v/>
      </c>
      <c r="R64">
        <f t="array" ref="R64">IF($A64="","",IF(AND(INDEX($C64:$J64,R$2)&gt;0,$A64&lt;&gt;INDEX('TRIP MANAGER'!$T$18:$T$25,R$2),$A64&lt;&gt;INDEX('TRIP MANAGER'!$U$18:$U$25,R$2)),1,0))</f>
        <v/>
      </c>
      <c r="S64">
        <f t="array" ref="S64">IF($A64="","",IF(AND(INDEX($C64:$J64,S$2)&gt;0,$A64&lt;&gt;INDEX('TRIP MANAGER'!$T$18:$T$25,S$2),$A64&lt;&gt;INDEX('TRIP MANAGER'!$U$18:$U$25,S$2)),1,0))</f>
        <v/>
      </c>
      <c r="T64">
        <f t="array" ref="T64">IF($A64="","",IF(AND(INDEX($C64:$J64,T$2)&gt;0,$A64&lt;&gt;INDEX('TRIP MANAGER'!$T$18:$T$25,T$2),$A64&lt;&gt;INDEX('TRIP MANAGER'!$U$18:$U$25,T$2)),1,0))</f>
        <v/>
      </c>
      <c r="U64">
        <f t="array" ref="U64">IF($A64="","",IF(AND(INDEX($C64:$J64,U$2)&gt;0,$A64&lt;&gt;INDEX('TRIP MANAGER'!$T$18:$T$25,U$2),$A64&lt;&gt;INDEX('TRIP MANAGER'!$U$18:$U$25,U$2)),1,0))</f>
        <v/>
      </c>
      <c r="V64">
        <f t="array" ref="V64">IF($A64="","",IF(AND(INDEX($C64:$J64,V$2)&gt;0,$A64&lt;&gt;INDEX('TRIP MANAGER'!$T$18:$T$25,V$2),$A64&lt;&gt;INDEX('TRIP MANAGER'!$U$18:$U$25,V$2)),1,0))</f>
        <v/>
      </c>
      <c r="W64">
        <f t="array" ref="W64">IF($A64="","",IF(AND(INDEX($C64:$J64,W$2)&gt;0,$A64&lt;&gt;INDEX('TRIP MANAGER'!$T$18:$T$25,W$2),$A64&lt;&gt;INDEX('TRIP MANAGER'!$U$18:$U$25,W$2)),1,0))</f>
        <v/>
      </c>
      <c r="X64">
        <f t="array" ref="X64">IF($A64="","",IF(AND(INDEX($C64:$J64,X$2)&gt;0,$A64&lt;&gt;INDEX('TRIP MANAGER'!$T$18:$T$25,X$2),$A64&lt;&gt;INDEX('TRIP MANAGER'!$U$18:$U$25,X$2)),1,0))</f>
        <v/>
      </c>
      <c r="Y64">
        <f t="array" ref="Y64">IF($A64="","",IF(AND(INDEX($C64:$J64,Y$2)&gt;0,$A64&lt;&gt;INDEX('TRIP MANAGER'!$T$18:$T$25,Y$2),$A64&lt;&gt;INDEX('TRIP MANAGER'!$U$18:$U$25,Y$2)),1,0))</f>
        <v/>
      </c>
    </row>
    <row r="65">
      <c r="A65">
        <f>IF(countries!$D64="","",countries!$D64)</f>
        <v/>
      </c>
      <c r="B65">
        <f>IF(countries!$B64="","",countries!$B64)</f>
        <v/>
      </c>
      <c r="C65">
        <f>IF($A65="","",COUNTIFS(route_calc!$A$2:$A$1209,C$2,route_calc!$P$2:$P$1209,$A65))</f>
        <v/>
      </c>
      <c r="D65">
        <f>IF($A65="","",COUNTIFS(route_calc!$A$2:$A$1209,D$2,route_calc!$P$2:$P$1209,$A65))</f>
        <v/>
      </c>
      <c r="E65">
        <f>IF($A65="","",COUNTIFS(route_calc!$A$2:$A$1209,E$2,route_calc!$P$2:$P$1209,$A65))</f>
        <v/>
      </c>
      <c r="F65">
        <f>IF($A65="","",COUNTIFS(route_calc!$A$2:$A$1209,F$2,route_calc!$P$2:$P$1209,$A65))</f>
        <v/>
      </c>
      <c r="G65">
        <f>IF($A65="","",COUNTIFS(route_calc!$A$2:$A$1209,G$2,route_calc!$P$2:$P$1209,$A65))</f>
        <v/>
      </c>
      <c r="H65">
        <f>IF($A65="","",COUNTIFS(route_calc!$A$2:$A$1209,H$2,route_calc!$P$2:$P$1209,$A65))</f>
        <v/>
      </c>
      <c r="I65">
        <f>IF($A65="","",COUNTIFS(route_calc!$A$2:$A$1209,I$2,route_calc!$P$2:$P$1209,$A65))</f>
        <v/>
      </c>
      <c r="J65">
        <f>IF($A65="","",COUNTIFS(route_calc!$A$2:$A$1209,J$2,route_calc!$P$2:$P$1209,$A65))</f>
        <v/>
      </c>
      <c r="K65">
        <f>IF($L65=0,"",_xlfn.MINIFS(route_calc!$Q$2:$Q$1209,route_calc!$P$2:$P$1209,$A65,route_calc!$A$2:$A$1209,MATCH(1,$R65:$Y65,0)))</f>
        <v/>
      </c>
      <c r="L65">
        <f>IF($A65="",0,IF(SUM($R65:$Y65)&gt;0,1,0))</f>
        <v/>
      </c>
      <c r="M65">
        <f t="array" ref="M65">IF($L65=0,"",_xlfn.TEXTJOIN(", ",TRUE,IF($R65:$Y65&gt;0,$C$1:$J$1,"")))</f>
        <v/>
      </c>
      <c r="N65">
        <f t="array" ref="N65">IF($L65=0,"",SUMPRODUCT(($L$3:$L$144=1)*($K$3:$K$144&lt;$K65))+1)</f>
        <v/>
      </c>
      <c r="O65">
        <f>IF($L65=0,"",MATCH(1,$R65:$Y65,0))</f>
        <v/>
      </c>
      <c r="P65">
        <f>IF($A65="","",IFERROR(INDEX(countries!$G:$G,MATCH($A65,countries!$D:$D,0)),""))</f>
        <v/>
      </c>
      <c r="Q65">
        <f>IF($A65="","",IFERROR(IF(INDEX(countries!$I:$I,MATCH($A65,countries!$D:$D,0))=0,"",INDEX(countries!$I:$I,MATCH($A65,countries!$D:$D,0))),""))</f>
        <v/>
      </c>
      <c r="R65">
        <f t="array" ref="R65">IF($A65="","",IF(AND(INDEX($C65:$J65,R$2)&gt;0,$A65&lt;&gt;INDEX('TRIP MANAGER'!$T$18:$T$25,R$2),$A65&lt;&gt;INDEX('TRIP MANAGER'!$U$18:$U$25,R$2)),1,0))</f>
        <v/>
      </c>
      <c r="S65">
        <f t="array" ref="S65">IF($A65="","",IF(AND(INDEX($C65:$J65,S$2)&gt;0,$A65&lt;&gt;INDEX('TRIP MANAGER'!$T$18:$T$25,S$2),$A65&lt;&gt;INDEX('TRIP MANAGER'!$U$18:$U$25,S$2)),1,0))</f>
        <v/>
      </c>
      <c r="T65">
        <f t="array" ref="T65">IF($A65="","",IF(AND(INDEX($C65:$J65,T$2)&gt;0,$A65&lt;&gt;INDEX('TRIP MANAGER'!$T$18:$T$25,T$2),$A65&lt;&gt;INDEX('TRIP MANAGER'!$U$18:$U$25,T$2)),1,0))</f>
        <v/>
      </c>
      <c r="U65">
        <f t="array" ref="U65">IF($A65="","",IF(AND(INDEX($C65:$J65,U$2)&gt;0,$A65&lt;&gt;INDEX('TRIP MANAGER'!$T$18:$T$25,U$2),$A65&lt;&gt;INDEX('TRIP MANAGER'!$U$18:$U$25,U$2)),1,0))</f>
        <v/>
      </c>
      <c r="V65">
        <f t="array" ref="V65">IF($A65="","",IF(AND(INDEX($C65:$J65,V$2)&gt;0,$A65&lt;&gt;INDEX('TRIP MANAGER'!$T$18:$T$25,V$2),$A65&lt;&gt;INDEX('TRIP MANAGER'!$U$18:$U$25,V$2)),1,0))</f>
        <v/>
      </c>
      <c r="W65">
        <f t="array" ref="W65">IF($A65="","",IF(AND(INDEX($C65:$J65,W$2)&gt;0,$A65&lt;&gt;INDEX('TRIP MANAGER'!$T$18:$T$25,W$2),$A65&lt;&gt;INDEX('TRIP MANAGER'!$U$18:$U$25,W$2)),1,0))</f>
        <v/>
      </c>
      <c r="X65">
        <f t="array" ref="X65">IF($A65="","",IF(AND(INDEX($C65:$J65,X$2)&gt;0,$A65&lt;&gt;INDEX('TRIP MANAGER'!$T$18:$T$25,X$2),$A65&lt;&gt;INDEX('TRIP MANAGER'!$U$18:$U$25,X$2)),1,0))</f>
        <v/>
      </c>
      <c r="Y65">
        <f t="array" ref="Y65">IF($A65="","",IF(AND(INDEX($C65:$J65,Y$2)&gt;0,$A65&lt;&gt;INDEX('TRIP MANAGER'!$T$18:$T$25,Y$2),$A65&lt;&gt;INDEX('TRIP MANAGER'!$U$18:$U$25,Y$2)),1,0))</f>
        <v/>
      </c>
    </row>
    <row r="66">
      <c r="A66">
        <f>IF(countries!$D65="","",countries!$D65)</f>
        <v/>
      </c>
      <c r="B66">
        <f>IF(countries!$B65="","",countries!$B65)</f>
        <v/>
      </c>
      <c r="C66">
        <f>IF($A66="","",COUNTIFS(route_calc!$A$2:$A$1209,C$2,route_calc!$P$2:$P$1209,$A66))</f>
        <v/>
      </c>
      <c r="D66">
        <f>IF($A66="","",COUNTIFS(route_calc!$A$2:$A$1209,D$2,route_calc!$P$2:$P$1209,$A66))</f>
        <v/>
      </c>
      <c r="E66">
        <f>IF($A66="","",COUNTIFS(route_calc!$A$2:$A$1209,E$2,route_calc!$P$2:$P$1209,$A66))</f>
        <v/>
      </c>
      <c r="F66">
        <f>IF($A66="","",COUNTIFS(route_calc!$A$2:$A$1209,F$2,route_calc!$P$2:$P$1209,$A66))</f>
        <v/>
      </c>
      <c r="G66">
        <f>IF($A66="","",COUNTIFS(route_calc!$A$2:$A$1209,G$2,route_calc!$P$2:$P$1209,$A66))</f>
        <v/>
      </c>
      <c r="H66">
        <f>IF($A66="","",COUNTIFS(route_calc!$A$2:$A$1209,H$2,route_calc!$P$2:$P$1209,$A66))</f>
        <v/>
      </c>
      <c r="I66">
        <f>IF($A66="","",COUNTIFS(route_calc!$A$2:$A$1209,I$2,route_calc!$P$2:$P$1209,$A66))</f>
        <v/>
      </c>
      <c r="J66">
        <f>IF($A66="","",COUNTIFS(route_calc!$A$2:$A$1209,J$2,route_calc!$P$2:$P$1209,$A66))</f>
        <v/>
      </c>
      <c r="K66">
        <f>IF($L66=0,"",_xlfn.MINIFS(route_calc!$Q$2:$Q$1209,route_calc!$P$2:$P$1209,$A66,route_calc!$A$2:$A$1209,MATCH(1,$R66:$Y66,0)))</f>
        <v/>
      </c>
      <c r="L66">
        <f>IF($A66="",0,IF(SUM($R66:$Y66)&gt;0,1,0))</f>
        <v/>
      </c>
      <c r="M66">
        <f t="array" ref="M66">IF($L66=0,"",_xlfn.TEXTJOIN(", ",TRUE,IF($R66:$Y66&gt;0,$C$1:$J$1,"")))</f>
        <v/>
      </c>
      <c r="N66">
        <f t="array" ref="N66">IF($L66=0,"",SUMPRODUCT(($L$3:$L$144=1)*($K$3:$K$144&lt;$K66))+1)</f>
        <v/>
      </c>
      <c r="O66">
        <f>IF($L66=0,"",MATCH(1,$R66:$Y66,0))</f>
        <v/>
      </c>
      <c r="P66">
        <f>IF($A66="","",IFERROR(INDEX(countries!$G:$G,MATCH($A66,countries!$D:$D,0)),""))</f>
        <v/>
      </c>
      <c r="Q66">
        <f>IF($A66="","",IFERROR(IF(INDEX(countries!$I:$I,MATCH($A66,countries!$D:$D,0))=0,"",INDEX(countries!$I:$I,MATCH($A66,countries!$D:$D,0))),""))</f>
        <v/>
      </c>
      <c r="R66">
        <f t="array" ref="R66">IF($A66="","",IF(AND(INDEX($C66:$J66,R$2)&gt;0,$A66&lt;&gt;INDEX('TRIP MANAGER'!$T$18:$T$25,R$2),$A66&lt;&gt;INDEX('TRIP MANAGER'!$U$18:$U$25,R$2)),1,0))</f>
        <v/>
      </c>
      <c r="S66">
        <f t="array" ref="S66">IF($A66="","",IF(AND(INDEX($C66:$J66,S$2)&gt;0,$A66&lt;&gt;INDEX('TRIP MANAGER'!$T$18:$T$25,S$2),$A66&lt;&gt;INDEX('TRIP MANAGER'!$U$18:$U$25,S$2)),1,0))</f>
        <v/>
      </c>
      <c r="T66">
        <f t="array" ref="T66">IF($A66="","",IF(AND(INDEX($C66:$J66,T$2)&gt;0,$A66&lt;&gt;INDEX('TRIP MANAGER'!$T$18:$T$25,T$2),$A66&lt;&gt;INDEX('TRIP MANAGER'!$U$18:$U$25,T$2)),1,0))</f>
        <v/>
      </c>
      <c r="U66">
        <f t="array" ref="U66">IF($A66="","",IF(AND(INDEX($C66:$J66,U$2)&gt;0,$A66&lt;&gt;INDEX('TRIP MANAGER'!$T$18:$T$25,U$2),$A66&lt;&gt;INDEX('TRIP MANAGER'!$U$18:$U$25,U$2)),1,0))</f>
        <v/>
      </c>
      <c r="V66">
        <f t="array" ref="V66">IF($A66="","",IF(AND(INDEX($C66:$J66,V$2)&gt;0,$A66&lt;&gt;INDEX('TRIP MANAGER'!$T$18:$T$25,V$2),$A66&lt;&gt;INDEX('TRIP MANAGER'!$U$18:$U$25,V$2)),1,0))</f>
        <v/>
      </c>
      <c r="W66">
        <f t="array" ref="W66">IF($A66="","",IF(AND(INDEX($C66:$J66,W$2)&gt;0,$A66&lt;&gt;INDEX('TRIP MANAGER'!$T$18:$T$25,W$2),$A66&lt;&gt;INDEX('TRIP MANAGER'!$U$18:$U$25,W$2)),1,0))</f>
        <v/>
      </c>
      <c r="X66">
        <f t="array" ref="X66">IF($A66="","",IF(AND(INDEX($C66:$J66,X$2)&gt;0,$A66&lt;&gt;INDEX('TRIP MANAGER'!$T$18:$T$25,X$2),$A66&lt;&gt;INDEX('TRIP MANAGER'!$U$18:$U$25,X$2)),1,0))</f>
        <v/>
      </c>
      <c r="Y66">
        <f t="array" ref="Y66">IF($A66="","",IF(AND(INDEX($C66:$J66,Y$2)&gt;0,$A66&lt;&gt;INDEX('TRIP MANAGER'!$T$18:$T$25,Y$2),$A66&lt;&gt;INDEX('TRIP MANAGER'!$U$18:$U$25,Y$2)),1,0))</f>
        <v/>
      </c>
    </row>
    <row r="67">
      <c r="A67">
        <f>IF(countries!$D66="","",countries!$D66)</f>
        <v/>
      </c>
      <c r="B67">
        <f>IF(countries!$B66="","",countries!$B66)</f>
        <v/>
      </c>
      <c r="C67">
        <f>IF($A67="","",COUNTIFS(route_calc!$A$2:$A$1209,C$2,route_calc!$P$2:$P$1209,$A67))</f>
        <v/>
      </c>
      <c r="D67">
        <f>IF($A67="","",COUNTIFS(route_calc!$A$2:$A$1209,D$2,route_calc!$P$2:$P$1209,$A67))</f>
        <v/>
      </c>
      <c r="E67">
        <f>IF($A67="","",COUNTIFS(route_calc!$A$2:$A$1209,E$2,route_calc!$P$2:$P$1209,$A67))</f>
        <v/>
      </c>
      <c r="F67">
        <f>IF($A67="","",COUNTIFS(route_calc!$A$2:$A$1209,F$2,route_calc!$P$2:$P$1209,$A67))</f>
        <v/>
      </c>
      <c r="G67">
        <f>IF($A67="","",COUNTIFS(route_calc!$A$2:$A$1209,G$2,route_calc!$P$2:$P$1209,$A67))</f>
        <v/>
      </c>
      <c r="H67">
        <f>IF($A67="","",COUNTIFS(route_calc!$A$2:$A$1209,H$2,route_calc!$P$2:$P$1209,$A67))</f>
        <v/>
      </c>
      <c r="I67">
        <f>IF($A67="","",COUNTIFS(route_calc!$A$2:$A$1209,I$2,route_calc!$P$2:$P$1209,$A67))</f>
        <v/>
      </c>
      <c r="J67">
        <f>IF($A67="","",COUNTIFS(route_calc!$A$2:$A$1209,J$2,route_calc!$P$2:$P$1209,$A67))</f>
        <v/>
      </c>
      <c r="K67">
        <f>IF($L67=0,"",_xlfn.MINIFS(route_calc!$Q$2:$Q$1209,route_calc!$P$2:$P$1209,$A67,route_calc!$A$2:$A$1209,MATCH(1,$R67:$Y67,0)))</f>
        <v/>
      </c>
      <c r="L67">
        <f>IF($A67="",0,IF(SUM($R67:$Y67)&gt;0,1,0))</f>
        <v/>
      </c>
      <c r="M67">
        <f t="array" ref="M67">IF($L67=0,"",_xlfn.TEXTJOIN(", ",TRUE,IF($R67:$Y67&gt;0,$C$1:$J$1,"")))</f>
        <v/>
      </c>
      <c r="N67">
        <f t="array" ref="N67">IF($L67=0,"",SUMPRODUCT(($L$3:$L$144=1)*($K$3:$K$144&lt;$K67))+1)</f>
        <v/>
      </c>
      <c r="O67">
        <f>IF($L67=0,"",MATCH(1,$R67:$Y67,0))</f>
        <v/>
      </c>
      <c r="P67">
        <f>IF($A67="","",IFERROR(INDEX(countries!$G:$G,MATCH($A67,countries!$D:$D,0)),""))</f>
        <v/>
      </c>
      <c r="Q67">
        <f>IF($A67="","",IFERROR(IF(INDEX(countries!$I:$I,MATCH($A67,countries!$D:$D,0))=0,"",INDEX(countries!$I:$I,MATCH($A67,countries!$D:$D,0))),""))</f>
        <v/>
      </c>
      <c r="R67">
        <f t="array" ref="R67">IF($A67="","",IF(AND(INDEX($C67:$J67,R$2)&gt;0,$A67&lt;&gt;INDEX('TRIP MANAGER'!$T$18:$T$25,R$2),$A67&lt;&gt;INDEX('TRIP MANAGER'!$U$18:$U$25,R$2)),1,0))</f>
        <v/>
      </c>
      <c r="S67">
        <f t="array" ref="S67">IF($A67="","",IF(AND(INDEX($C67:$J67,S$2)&gt;0,$A67&lt;&gt;INDEX('TRIP MANAGER'!$T$18:$T$25,S$2),$A67&lt;&gt;INDEX('TRIP MANAGER'!$U$18:$U$25,S$2)),1,0))</f>
        <v/>
      </c>
      <c r="T67">
        <f t="array" ref="T67">IF($A67="","",IF(AND(INDEX($C67:$J67,T$2)&gt;0,$A67&lt;&gt;INDEX('TRIP MANAGER'!$T$18:$T$25,T$2),$A67&lt;&gt;INDEX('TRIP MANAGER'!$U$18:$U$25,T$2)),1,0))</f>
        <v/>
      </c>
      <c r="U67">
        <f t="array" ref="U67">IF($A67="","",IF(AND(INDEX($C67:$J67,U$2)&gt;0,$A67&lt;&gt;INDEX('TRIP MANAGER'!$T$18:$T$25,U$2),$A67&lt;&gt;INDEX('TRIP MANAGER'!$U$18:$U$25,U$2)),1,0))</f>
        <v/>
      </c>
      <c r="V67">
        <f t="array" ref="V67">IF($A67="","",IF(AND(INDEX($C67:$J67,V$2)&gt;0,$A67&lt;&gt;INDEX('TRIP MANAGER'!$T$18:$T$25,V$2),$A67&lt;&gt;INDEX('TRIP MANAGER'!$U$18:$U$25,V$2)),1,0))</f>
        <v/>
      </c>
      <c r="W67">
        <f t="array" ref="W67">IF($A67="","",IF(AND(INDEX($C67:$J67,W$2)&gt;0,$A67&lt;&gt;INDEX('TRIP MANAGER'!$T$18:$T$25,W$2),$A67&lt;&gt;INDEX('TRIP MANAGER'!$U$18:$U$25,W$2)),1,0))</f>
        <v/>
      </c>
      <c r="X67">
        <f t="array" ref="X67">IF($A67="","",IF(AND(INDEX($C67:$J67,X$2)&gt;0,$A67&lt;&gt;INDEX('TRIP MANAGER'!$T$18:$T$25,X$2),$A67&lt;&gt;INDEX('TRIP MANAGER'!$U$18:$U$25,X$2)),1,0))</f>
        <v/>
      </c>
      <c r="Y67">
        <f t="array" ref="Y67">IF($A67="","",IF(AND(INDEX($C67:$J67,Y$2)&gt;0,$A67&lt;&gt;INDEX('TRIP MANAGER'!$T$18:$T$25,Y$2),$A67&lt;&gt;INDEX('TRIP MANAGER'!$U$18:$U$25,Y$2)),1,0))</f>
        <v/>
      </c>
    </row>
    <row r="68">
      <c r="A68">
        <f>IF(countries!$D67="","",countries!$D67)</f>
        <v/>
      </c>
      <c r="B68">
        <f>IF(countries!$B67="","",countries!$B67)</f>
        <v/>
      </c>
      <c r="C68">
        <f>IF($A68="","",COUNTIFS(route_calc!$A$2:$A$1209,C$2,route_calc!$P$2:$P$1209,$A68))</f>
        <v/>
      </c>
      <c r="D68">
        <f>IF($A68="","",COUNTIFS(route_calc!$A$2:$A$1209,D$2,route_calc!$P$2:$P$1209,$A68))</f>
        <v/>
      </c>
      <c r="E68">
        <f>IF($A68="","",COUNTIFS(route_calc!$A$2:$A$1209,E$2,route_calc!$P$2:$P$1209,$A68))</f>
        <v/>
      </c>
      <c r="F68">
        <f>IF($A68="","",COUNTIFS(route_calc!$A$2:$A$1209,F$2,route_calc!$P$2:$P$1209,$A68))</f>
        <v/>
      </c>
      <c r="G68">
        <f>IF($A68="","",COUNTIFS(route_calc!$A$2:$A$1209,G$2,route_calc!$P$2:$P$1209,$A68))</f>
        <v/>
      </c>
      <c r="H68">
        <f>IF($A68="","",COUNTIFS(route_calc!$A$2:$A$1209,H$2,route_calc!$P$2:$P$1209,$A68))</f>
        <v/>
      </c>
      <c r="I68">
        <f>IF($A68="","",COUNTIFS(route_calc!$A$2:$A$1209,I$2,route_calc!$P$2:$P$1209,$A68))</f>
        <v/>
      </c>
      <c r="J68">
        <f>IF($A68="","",COUNTIFS(route_calc!$A$2:$A$1209,J$2,route_calc!$P$2:$P$1209,$A68))</f>
        <v/>
      </c>
      <c r="K68">
        <f>IF($L68=0,"",_xlfn.MINIFS(route_calc!$Q$2:$Q$1209,route_calc!$P$2:$P$1209,$A68,route_calc!$A$2:$A$1209,MATCH(1,$R68:$Y68,0)))</f>
        <v/>
      </c>
      <c r="L68">
        <f>IF($A68="",0,IF(SUM($R68:$Y68)&gt;0,1,0))</f>
        <v/>
      </c>
      <c r="M68">
        <f t="array" ref="M68">IF($L68=0,"",_xlfn.TEXTJOIN(", ",TRUE,IF($R68:$Y68&gt;0,$C$1:$J$1,"")))</f>
        <v/>
      </c>
      <c r="N68">
        <f t="array" ref="N68">IF($L68=0,"",SUMPRODUCT(($L$3:$L$144=1)*($K$3:$K$144&lt;$K68))+1)</f>
        <v/>
      </c>
      <c r="O68">
        <f>IF($L68=0,"",MATCH(1,$R68:$Y68,0))</f>
        <v/>
      </c>
      <c r="P68">
        <f>IF($A68="","",IFERROR(INDEX(countries!$G:$G,MATCH($A68,countries!$D:$D,0)),""))</f>
        <v/>
      </c>
      <c r="Q68">
        <f>IF($A68="","",IFERROR(IF(INDEX(countries!$I:$I,MATCH($A68,countries!$D:$D,0))=0,"",INDEX(countries!$I:$I,MATCH($A68,countries!$D:$D,0))),""))</f>
        <v/>
      </c>
      <c r="R68">
        <f t="array" ref="R68">IF($A68="","",IF(AND(INDEX($C68:$J68,R$2)&gt;0,$A68&lt;&gt;INDEX('TRIP MANAGER'!$T$18:$T$25,R$2),$A68&lt;&gt;INDEX('TRIP MANAGER'!$U$18:$U$25,R$2)),1,0))</f>
        <v/>
      </c>
      <c r="S68">
        <f t="array" ref="S68">IF($A68="","",IF(AND(INDEX($C68:$J68,S$2)&gt;0,$A68&lt;&gt;INDEX('TRIP MANAGER'!$T$18:$T$25,S$2),$A68&lt;&gt;INDEX('TRIP MANAGER'!$U$18:$U$25,S$2)),1,0))</f>
        <v/>
      </c>
      <c r="T68">
        <f t="array" ref="T68">IF($A68="","",IF(AND(INDEX($C68:$J68,T$2)&gt;0,$A68&lt;&gt;INDEX('TRIP MANAGER'!$T$18:$T$25,T$2),$A68&lt;&gt;INDEX('TRIP MANAGER'!$U$18:$U$25,T$2)),1,0))</f>
        <v/>
      </c>
      <c r="U68">
        <f t="array" ref="U68">IF($A68="","",IF(AND(INDEX($C68:$J68,U$2)&gt;0,$A68&lt;&gt;INDEX('TRIP MANAGER'!$T$18:$T$25,U$2),$A68&lt;&gt;INDEX('TRIP MANAGER'!$U$18:$U$25,U$2)),1,0))</f>
        <v/>
      </c>
      <c r="V68">
        <f t="array" ref="V68">IF($A68="","",IF(AND(INDEX($C68:$J68,V$2)&gt;0,$A68&lt;&gt;INDEX('TRIP MANAGER'!$T$18:$T$25,V$2),$A68&lt;&gt;INDEX('TRIP MANAGER'!$U$18:$U$25,V$2)),1,0))</f>
        <v/>
      </c>
      <c r="W68">
        <f t="array" ref="W68">IF($A68="","",IF(AND(INDEX($C68:$J68,W$2)&gt;0,$A68&lt;&gt;INDEX('TRIP MANAGER'!$T$18:$T$25,W$2),$A68&lt;&gt;INDEX('TRIP MANAGER'!$U$18:$U$25,W$2)),1,0))</f>
        <v/>
      </c>
      <c r="X68">
        <f t="array" ref="X68">IF($A68="","",IF(AND(INDEX($C68:$J68,X$2)&gt;0,$A68&lt;&gt;INDEX('TRIP MANAGER'!$T$18:$T$25,X$2),$A68&lt;&gt;INDEX('TRIP MANAGER'!$U$18:$U$25,X$2)),1,0))</f>
        <v/>
      </c>
      <c r="Y68">
        <f t="array" ref="Y68">IF($A68="","",IF(AND(INDEX($C68:$J68,Y$2)&gt;0,$A68&lt;&gt;INDEX('TRIP MANAGER'!$T$18:$T$25,Y$2),$A68&lt;&gt;INDEX('TRIP MANAGER'!$U$18:$U$25,Y$2)),1,0))</f>
        <v/>
      </c>
    </row>
    <row r="69">
      <c r="A69">
        <f>IF(countries!$D68="","",countries!$D68)</f>
        <v/>
      </c>
      <c r="B69">
        <f>IF(countries!$B68="","",countries!$B68)</f>
        <v/>
      </c>
      <c r="C69">
        <f>IF($A69="","",COUNTIFS(route_calc!$A$2:$A$1209,C$2,route_calc!$P$2:$P$1209,$A69))</f>
        <v/>
      </c>
      <c r="D69">
        <f>IF($A69="","",COUNTIFS(route_calc!$A$2:$A$1209,D$2,route_calc!$P$2:$P$1209,$A69))</f>
        <v/>
      </c>
      <c r="E69">
        <f>IF($A69="","",COUNTIFS(route_calc!$A$2:$A$1209,E$2,route_calc!$P$2:$P$1209,$A69))</f>
        <v/>
      </c>
      <c r="F69">
        <f>IF($A69="","",COUNTIFS(route_calc!$A$2:$A$1209,F$2,route_calc!$P$2:$P$1209,$A69))</f>
        <v/>
      </c>
      <c r="G69">
        <f>IF($A69="","",COUNTIFS(route_calc!$A$2:$A$1209,G$2,route_calc!$P$2:$P$1209,$A69))</f>
        <v/>
      </c>
      <c r="H69">
        <f>IF($A69="","",COUNTIFS(route_calc!$A$2:$A$1209,H$2,route_calc!$P$2:$P$1209,$A69))</f>
        <v/>
      </c>
      <c r="I69">
        <f>IF($A69="","",COUNTIFS(route_calc!$A$2:$A$1209,I$2,route_calc!$P$2:$P$1209,$A69))</f>
        <v/>
      </c>
      <c r="J69">
        <f>IF($A69="","",COUNTIFS(route_calc!$A$2:$A$1209,J$2,route_calc!$P$2:$P$1209,$A69))</f>
        <v/>
      </c>
      <c r="K69">
        <f>IF($L69=0,"",_xlfn.MINIFS(route_calc!$Q$2:$Q$1209,route_calc!$P$2:$P$1209,$A69,route_calc!$A$2:$A$1209,MATCH(1,$R69:$Y69,0)))</f>
        <v/>
      </c>
      <c r="L69">
        <f>IF($A69="",0,IF(SUM($R69:$Y69)&gt;0,1,0))</f>
        <v/>
      </c>
      <c r="M69">
        <f t="array" ref="M69">IF($L69=0,"",_xlfn.TEXTJOIN(", ",TRUE,IF($R69:$Y69&gt;0,$C$1:$J$1,"")))</f>
        <v/>
      </c>
      <c r="N69">
        <f t="array" ref="N69">IF($L69=0,"",SUMPRODUCT(($L$3:$L$144=1)*($K$3:$K$144&lt;$K69))+1)</f>
        <v/>
      </c>
      <c r="O69">
        <f>IF($L69=0,"",MATCH(1,$R69:$Y69,0))</f>
        <v/>
      </c>
      <c r="P69">
        <f>IF($A69="","",IFERROR(INDEX(countries!$G:$G,MATCH($A69,countries!$D:$D,0)),""))</f>
        <v/>
      </c>
      <c r="Q69">
        <f>IF($A69="","",IFERROR(IF(INDEX(countries!$I:$I,MATCH($A69,countries!$D:$D,0))=0,"",INDEX(countries!$I:$I,MATCH($A69,countries!$D:$D,0))),""))</f>
        <v/>
      </c>
      <c r="R69">
        <f t="array" ref="R69">IF($A69="","",IF(AND(INDEX($C69:$J69,R$2)&gt;0,$A69&lt;&gt;INDEX('TRIP MANAGER'!$T$18:$T$25,R$2),$A69&lt;&gt;INDEX('TRIP MANAGER'!$U$18:$U$25,R$2)),1,0))</f>
        <v/>
      </c>
      <c r="S69">
        <f t="array" ref="S69">IF($A69="","",IF(AND(INDEX($C69:$J69,S$2)&gt;0,$A69&lt;&gt;INDEX('TRIP MANAGER'!$T$18:$T$25,S$2),$A69&lt;&gt;INDEX('TRIP MANAGER'!$U$18:$U$25,S$2)),1,0))</f>
        <v/>
      </c>
      <c r="T69">
        <f t="array" ref="T69">IF($A69="","",IF(AND(INDEX($C69:$J69,T$2)&gt;0,$A69&lt;&gt;INDEX('TRIP MANAGER'!$T$18:$T$25,T$2),$A69&lt;&gt;INDEX('TRIP MANAGER'!$U$18:$U$25,T$2)),1,0))</f>
        <v/>
      </c>
      <c r="U69">
        <f t="array" ref="U69">IF($A69="","",IF(AND(INDEX($C69:$J69,U$2)&gt;0,$A69&lt;&gt;INDEX('TRIP MANAGER'!$T$18:$T$25,U$2),$A69&lt;&gt;INDEX('TRIP MANAGER'!$U$18:$U$25,U$2)),1,0))</f>
        <v/>
      </c>
      <c r="V69">
        <f t="array" ref="V69">IF($A69="","",IF(AND(INDEX($C69:$J69,V$2)&gt;0,$A69&lt;&gt;INDEX('TRIP MANAGER'!$T$18:$T$25,V$2),$A69&lt;&gt;INDEX('TRIP MANAGER'!$U$18:$U$25,V$2)),1,0))</f>
        <v/>
      </c>
      <c r="W69">
        <f t="array" ref="W69">IF($A69="","",IF(AND(INDEX($C69:$J69,W$2)&gt;0,$A69&lt;&gt;INDEX('TRIP MANAGER'!$T$18:$T$25,W$2),$A69&lt;&gt;INDEX('TRIP MANAGER'!$U$18:$U$25,W$2)),1,0))</f>
        <v/>
      </c>
      <c r="X69">
        <f t="array" ref="X69">IF($A69="","",IF(AND(INDEX($C69:$J69,X$2)&gt;0,$A69&lt;&gt;INDEX('TRIP MANAGER'!$T$18:$T$25,X$2),$A69&lt;&gt;INDEX('TRIP MANAGER'!$U$18:$U$25,X$2)),1,0))</f>
        <v/>
      </c>
      <c r="Y69">
        <f t="array" ref="Y69">IF($A69="","",IF(AND(INDEX($C69:$J69,Y$2)&gt;0,$A69&lt;&gt;INDEX('TRIP MANAGER'!$T$18:$T$25,Y$2),$A69&lt;&gt;INDEX('TRIP MANAGER'!$U$18:$U$25,Y$2)),1,0))</f>
        <v/>
      </c>
    </row>
    <row r="70">
      <c r="A70">
        <f>IF(countries!$D69="","",countries!$D69)</f>
        <v/>
      </c>
      <c r="B70">
        <f>IF(countries!$B69="","",countries!$B69)</f>
        <v/>
      </c>
      <c r="C70">
        <f>IF($A70="","",COUNTIFS(route_calc!$A$2:$A$1209,C$2,route_calc!$P$2:$P$1209,$A70))</f>
        <v/>
      </c>
      <c r="D70">
        <f>IF($A70="","",COUNTIFS(route_calc!$A$2:$A$1209,D$2,route_calc!$P$2:$P$1209,$A70))</f>
        <v/>
      </c>
      <c r="E70">
        <f>IF($A70="","",COUNTIFS(route_calc!$A$2:$A$1209,E$2,route_calc!$P$2:$P$1209,$A70))</f>
        <v/>
      </c>
      <c r="F70">
        <f>IF($A70="","",COUNTIFS(route_calc!$A$2:$A$1209,F$2,route_calc!$P$2:$P$1209,$A70))</f>
        <v/>
      </c>
      <c r="G70">
        <f>IF($A70="","",COUNTIFS(route_calc!$A$2:$A$1209,G$2,route_calc!$P$2:$P$1209,$A70))</f>
        <v/>
      </c>
      <c r="H70">
        <f>IF($A70="","",COUNTIFS(route_calc!$A$2:$A$1209,H$2,route_calc!$P$2:$P$1209,$A70))</f>
        <v/>
      </c>
      <c r="I70">
        <f>IF($A70="","",COUNTIFS(route_calc!$A$2:$A$1209,I$2,route_calc!$P$2:$P$1209,$A70))</f>
        <v/>
      </c>
      <c r="J70">
        <f>IF($A70="","",COUNTIFS(route_calc!$A$2:$A$1209,J$2,route_calc!$P$2:$P$1209,$A70))</f>
        <v/>
      </c>
      <c r="K70">
        <f>IF($L70=0,"",_xlfn.MINIFS(route_calc!$Q$2:$Q$1209,route_calc!$P$2:$P$1209,$A70,route_calc!$A$2:$A$1209,MATCH(1,$R70:$Y70,0)))</f>
        <v/>
      </c>
      <c r="L70">
        <f>IF($A70="",0,IF(SUM($R70:$Y70)&gt;0,1,0))</f>
        <v/>
      </c>
      <c r="M70">
        <f t="array" ref="M70">IF($L70=0,"",_xlfn.TEXTJOIN(", ",TRUE,IF($R70:$Y70&gt;0,$C$1:$J$1,"")))</f>
        <v/>
      </c>
      <c r="N70">
        <f t="array" ref="N70">IF($L70=0,"",SUMPRODUCT(($L$3:$L$144=1)*($K$3:$K$144&lt;$K70))+1)</f>
        <v/>
      </c>
      <c r="O70">
        <f>IF($L70=0,"",MATCH(1,$R70:$Y70,0))</f>
        <v/>
      </c>
      <c r="P70">
        <f>IF($A70="","",IFERROR(INDEX(countries!$G:$G,MATCH($A70,countries!$D:$D,0)),""))</f>
        <v/>
      </c>
      <c r="Q70">
        <f>IF($A70="","",IFERROR(IF(INDEX(countries!$I:$I,MATCH($A70,countries!$D:$D,0))=0,"",INDEX(countries!$I:$I,MATCH($A70,countries!$D:$D,0))),""))</f>
        <v/>
      </c>
      <c r="R70">
        <f t="array" ref="R70">IF($A70="","",IF(AND(INDEX($C70:$J70,R$2)&gt;0,$A70&lt;&gt;INDEX('TRIP MANAGER'!$T$18:$T$25,R$2),$A70&lt;&gt;INDEX('TRIP MANAGER'!$U$18:$U$25,R$2)),1,0))</f>
        <v/>
      </c>
      <c r="S70">
        <f t="array" ref="S70">IF($A70="","",IF(AND(INDEX($C70:$J70,S$2)&gt;0,$A70&lt;&gt;INDEX('TRIP MANAGER'!$T$18:$T$25,S$2),$A70&lt;&gt;INDEX('TRIP MANAGER'!$U$18:$U$25,S$2)),1,0))</f>
        <v/>
      </c>
      <c r="T70">
        <f t="array" ref="T70">IF($A70="","",IF(AND(INDEX($C70:$J70,T$2)&gt;0,$A70&lt;&gt;INDEX('TRIP MANAGER'!$T$18:$T$25,T$2),$A70&lt;&gt;INDEX('TRIP MANAGER'!$U$18:$U$25,T$2)),1,0))</f>
        <v/>
      </c>
      <c r="U70">
        <f t="array" ref="U70">IF($A70="","",IF(AND(INDEX($C70:$J70,U$2)&gt;0,$A70&lt;&gt;INDEX('TRIP MANAGER'!$T$18:$T$25,U$2),$A70&lt;&gt;INDEX('TRIP MANAGER'!$U$18:$U$25,U$2)),1,0))</f>
        <v/>
      </c>
      <c r="V70">
        <f t="array" ref="V70">IF($A70="","",IF(AND(INDEX($C70:$J70,V$2)&gt;0,$A70&lt;&gt;INDEX('TRIP MANAGER'!$T$18:$T$25,V$2),$A70&lt;&gt;INDEX('TRIP MANAGER'!$U$18:$U$25,V$2)),1,0))</f>
        <v/>
      </c>
      <c r="W70">
        <f t="array" ref="W70">IF($A70="","",IF(AND(INDEX($C70:$J70,W$2)&gt;0,$A70&lt;&gt;INDEX('TRIP MANAGER'!$T$18:$T$25,W$2),$A70&lt;&gt;INDEX('TRIP MANAGER'!$U$18:$U$25,W$2)),1,0))</f>
        <v/>
      </c>
      <c r="X70">
        <f t="array" ref="X70">IF($A70="","",IF(AND(INDEX($C70:$J70,X$2)&gt;0,$A70&lt;&gt;INDEX('TRIP MANAGER'!$T$18:$T$25,X$2),$A70&lt;&gt;INDEX('TRIP MANAGER'!$U$18:$U$25,X$2)),1,0))</f>
        <v/>
      </c>
      <c r="Y70">
        <f t="array" ref="Y70">IF($A70="","",IF(AND(INDEX($C70:$J70,Y$2)&gt;0,$A70&lt;&gt;INDEX('TRIP MANAGER'!$T$18:$T$25,Y$2),$A70&lt;&gt;INDEX('TRIP MANAGER'!$U$18:$U$25,Y$2)),1,0))</f>
        <v/>
      </c>
    </row>
    <row r="71">
      <c r="A71">
        <f>IF(countries!$D70="","",countries!$D70)</f>
        <v/>
      </c>
      <c r="B71">
        <f>IF(countries!$B70="","",countries!$B70)</f>
        <v/>
      </c>
      <c r="C71">
        <f>IF($A71="","",COUNTIFS(route_calc!$A$2:$A$1209,C$2,route_calc!$P$2:$P$1209,$A71))</f>
        <v/>
      </c>
      <c r="D71">
        <f>IF($A71="","",COUNTIFS(route_calc!$A$2:$A$1209,D$2,route_calc!$P$2:$P$1209,$A71))</f>
        <v/>
      </c>
      <c r="E71">
        <f>IF($A71="","",COUNTIFS(route_calc!$A$2:$A$1209,E$2,route_calc!$P$2:$P$1209,$A71))</f>
        <v/>
      </c>
      <c r="F71">
        <f>IF($A71="","",COUNTIFS(route_calc!$A$2:$A$1209,F$2,route_calc!$P$2:$P$1209,$A71))</f>
        <v/>
      </c>
      <c r="G71">
        <f>IF($A71="","",COUNTIFS(route_calc!$A$2:$A$1209,G$2,route_calc!$P$2:$P$1209,$A71))</f>
        <v/>
      </c>
      <c r="H71">
        <f>IF($A71="","",COUNTIFS(route_calc!$A$2:$A$1209,H$2,route_calc!$P$2:$P$1209,$A71))</f>
        <v/>
      </c>
      <c r="I71">
        <f>IF($A71="","",COUNTIFS(route_calc!$A$2:$A$1209,I$2,route_calc!$P$2:$P$1209,$A71))</f>
        <v/>
      </c>
      <c r="J71">
        <f>IF($A71="","",COUNTIFS(route_calc!$A$2:$A$1209,J$2,route_calc!$P$2:$P$1209,$A71))</f>
        <v/>
      </c>
      <c r="K71">
        <f>IF($L71=0,"",_xlfn.MINIFS(route_calc!$Q$2:$Q$1209,route_calc!$P$2:$P$1209,$A71,route_calc!$A$2:$A$1209,MATCH(1,$R71:$Y71,0)))</f>
        <v/>
      </c>
      <c r="L71">
        <f>IF($A71="",0,IF(SUM($R71:$Y71)&gt;0,1,0))</f>
        <v/>
      </c>
      <c r="M71">
        <f t="array" ref="M71">IF($L71=0,"",_xlfn.TEXTJOIN(", ",TRUE,IF($R71:$Y71&gt;0,$C$1:$J$1,"")))</f>
        <v/>
      </c>
      <c r="N71">
        <f t="array" ref="N71">IF($L71=0,"",SUMPRODUCT(($L$3:$L$144=1)*($K$3:$K$144&lt;$K71))+1)</f>
        <v/>
      </c>
      <c r="O71">
        <f>IF($L71=0,"",MATCH(1,$R71:$Y71,0))</f>
        <v/>
      </c>
      <c r="P71">
        <f>IF($A71="","",IFERROR(INDEX(countries!$G:$G,MATCH($A71,countries!$D:$D,0)),""))</f>
        <v/>
      </c>
      <c r="Q71">
        <f>IF($A71="","",IFERROR(IF(INDEX(countries!$I:$I,MATCH($A71,countries!$D:$D,0))=0,"",INDEX(countries!$I:$I,MATCH($A71,countries!$D:$D,0))),""))</f>
        <v/>
      </c>
      <c r="R71">
        <f t="array" ref="R71">IF($A71="","",IF(AND(INDEX($C71:$J71,R$2)&gt;0,$A71&lt;&gt;INDEX('TRIP MANAGER'!$T$18:$T$25,R$2),$A71&lt;&gt;INDEX('TRIP MANAGER'!$U$18:$U$25,R$2)),1,0))</f>
        <v/>
      </c>
      <c r="S71">
        <f t="array" ref="S71">IF($A71="","",IF(AND(INDEX($C71:$J71,S$2)&gt;0,$A71&lt;&gt;INDEX('TRIP MANAGER'!$T$18:$T$25,S$2),$A71&lt;&gt;INDEX('TRIP MANAGER'!$U$18:$U$25,S$2)),1,0))</f>
        <v/>
      </c>
      <c r="T71">
        <f t="array" ref="T71">IF($A71="","",IF(AND(INDEX($C71:$J71,T$2)&gt;0,$A71&lt;&gt;INDEX('TRIP MANAGER'!$T$18:$T$25,T$2),$A71&lt;&gt;INDEX('TRIP MANAGER'!$U$18:$U$25,T$2)),1,0))</f>
        <v/>
      </c>
      <c r="U71">
        <f t="array" ref="U71">IF($A71="","",IF(AND(INDEX($C71:$J71,U$2)&gt;0,$A71&lt;&gt;INDEX('TRIP MANAGER'!$T$18:$T$25,U$2),$A71&lt;&gt;INDEX('TRIP MANAGER'!$U$18:$U$25,U$2)),1,0))</f>
        <v/>
      </c>
      <c r="V71">
        <f t="array" ref="V71">IF($A71="","",IF(AND(INDEX($C71:$J71,V$2)&gt;0,$A71&lt;&gt;INDEX('TRIP MANAGER'!$T$18:$T$25,V$2),$A71&lt;&gt;INDEX('TRIP MANAGER'!$U$18:$U$25,V$2)),1,0))</f>
        <v/>
      </c>
      <c r="W71">
        <f t="array" ref="W71">IF($A71="","",IF(AND(INDEX($C71:$J71,W$2)&gt;0,$A71&lt;&gt;INDEX('TRIP MANAGER'!$T$18:$T$25,W$2),$A71&lt;&gt;INDEX('TRIP MANAGER'!$U$18:$U$25,W$2)),1,0))</f>
        <v/>
      </c>
      <c r="X71">
        <f t="array" ref="X71">IF($A71="","",IF(AND(INDEX($C71:$J71,X$2)&gt;0,$A71&lt;&gt;INDEX('TRIP MANAGER'!$T$18:$T$25,X$2),$A71&lt;&gt;INDEX('TRIP MANAGER'!$U$18:$U$25,X$2)),1,0))</f>
        <v/>
      </c>
      <c r="Y71">
        <f t="array" ref="Y71">IF($A71="","",IF(AND(INDEX($C71:$J71,Y$2)&gt;0,$A71&lt;&gt;INDEX('TRIP MANAGER'!$T$18:$T$25,Y$2),$A71&lt;&gt;INDEX('TRIP MANAGER'!$U$18:$U$25,Y$2)),1,0))</f>
        <v/>
      </c>
    </row>
    <row r="72">
      <c r="A72">
        <f>IF(countries!$D71="","",countries!$D71)</f>
        <v/>
      </c>
      <c r="B72">
        <f>IF(countries!$B71="","",countries!$B71)</f>
        <v/>
      </c>
      <c r="C72">
        <f>IF($A72="","",COUNTIFS(route_calc!$A$2:$A$1209,C$2,route_calc!$P$2:$P$1209,$A72))</f>
        <v/>
      </c>
      <c r="D72">
        <f>IF($A72="","",COUNTIFS(route_calc!$A$2:$A$1209,D$2,route_calc!$P$2:$P$1209,$A72))</f>
        <v/>
      </c>
      <c r="E72">
        <f>IF($A72="","",COUNTIFS(route_calc!$A$2:$A$1209,E$2,route_calc!$P$2:$P$1209,$A72))</f>
        <v/>
      </c>
      <c r="F72">
        <f>IF($A72="","",COUNTIFS(route_calc!$A$2:$A$1209,F$2,route_calc!$P$2:$P$1209,$A72))</f>
        <v/>
      </c>
      <c r="G72">
        <f>IF($A72="","",COUNTIFS(route_calc!$A$2:$A$1209,G$2,route_calc!$P$2:$P$1209,$A72))</f>
        <v/>
      </c>
      <c r="H72">
        <f>IF($A72="","",COUNTIFS(route_calc!$A$2:$A$1209,H$2,route_calc!$P$2:$P$1209,$A72))</f>
        <v/>
      </c>
      <c r="I72">
        <f>IF($A72="","",COUNTIFS(route_calc!$A$2:$A$1209,I$2,route_calc!$P$2:$P$1209,$A72))</f>
        <v/>
      </c>
      <c r="J72">
        <f>IF($A72="","",COUNTIFS(route_calc!$A$2:$A$1209,J$2,route_calc!$P$2:$P$1209,$A72))</f>
        <v/>
      </c>
      <c r="K72">
        <f>IF($L72=0,"",_xlfn.MINIFS(route_calc!$Q$2:$Q$1209,route_calc!$P$2:$P$1209,$A72,route_calc!$A$2:$A$1209,MATCH(1,$R72:$Y72,0)))</f>
        <v/>
      </c>
      <c r="L72">
        <f>IF($A72="",0,IF(SUM($R72:$Y72)&gt;0,1,0))</f>
        <v/>
      </c>
      <c r="M72">
        <f t="array" ref="M72">IF($L72=0,"",_xlfn.TEXTJOIN(", ",TRUE,IF($R72:$Y72&gt;0,$C$1:$J$1,"")))</f>
        <v/>
      </c>
      <c r="N72">
        <f t="array" ref="N72">IF($L72=0,"",SUMPRODUCT(($L$3:$L$144=1)*($K$3:$K$144&lt;$K72))+1)</f>
        <v/>
      </c>
      <c r="O72">
        <f>IF($L72=0,"",MATCH(1,$R72:$Y72,0))</f>
        <v/>
      </c>
      <c r="P72">
        <f>IF($A72="","",IFERROR(INDEX(countries!$G:$G,MATCH($A72,countries!$D:$D,0)),""))</f>
        <v/>
      </c>
      <c r="Q72">
        <f>IF($A72="","",IFERROR(IF(INDEX(countries!$I:$I,MATCH($A72,countries!$D:$D,0))=0,"",INDEX(countries!$I:$I,MATCH($A72,countries!$D:$D,0))),""))</f>
        <v/>
      </c>
      <c r="R72">
        <f t="array" ref="R72">IF($A72="","",IF(AND(INDEX($C72:$J72,R$2)&gt;0,$A72&lt;&gt;INDEX('TRIP MANAGER'!$T$18:$T$25,R$2),$A72&lt;&gt;INDEX('TRIP MANAGER'!$U$18:$U$25,R$2)),1,0))</f>
        <v/>
      </c>
      <c r="S72">
        <f t="array" ref="S72">IF($A72="","",IF(AND(INDEX($C72:$J72,S$2)&gt;0,$A72&lt;&gt;INDEX('TRIP MANAGER'!$T$18:$T$25,S$2),$A72&lt;&gt;INDEX('TRIP MANAGER'!$U$18:$U$25,S$2)),1,0))</f>
        <v/>
      </c>
      <c r="T72">
        <f t="array" ref="T72">IF($A72="","",IF(AND(INDEX($C72:$J72,T$2)&gt;0,$A72&lt;&gt;INDEX('TRIP MANAGER'!$T$18:$T$25,T$2),$A72&lt;&gt;INDEX('TRIP MANAGER'!$U$18:$U$25,T$2)),1,0))</f>
        <v/>
      </c>
      <c r="U72">
        <f t="array" ref="U72">IF($A72="","",IF(AND(INDEX($C72:$J72,U$2)&gt;0,$A72&lt;&gt;INDEX('TRIP MANAGER'!$T$18:$T$25,U$2),$A72&lt;&gt;INDEX('TRIP MANAGER'!$U$18:$U$25,U$2)),1,0))</f>
        <v/>
      </c>
      <c r="V72">
        <f t="array" ref="V72">IF($A72="","",IF(AND(INDEX($C72:$J72,V$2)&gt;0,$A72&lt;&gt;INDEX('TRIP MANAGER'!$T$18:$T$25,V$2),$A72&lt;&gt;INDEX('TRIP MANAGER'!$U$18:$U$25,V$2)),1,0))</f>
        <v/>
      </c>
      <c r="W72">
        <f t="array" ref="W72">IF($A72="","",IF(AND(INDEX($C72:$J72,W$2)&gt;0,$A72&lt;&gt;INDEX('TRIP MANAGER'!$T$18:$T$25,W$2),$A72&lt;&gt;INDEX('TRIP MANAGER'!$U$18:$U$25,W$2)),1,0))</f>
        <v/>
      </c>
      <c r="X72">
        <f t="array" ref="X72">IF($A72="","",IF(AND(INDEX($C72:$J72,X$2)&gt;0,$A72&lt;&gt;INDEX('TRIP MANAGER'!$T$18:$T$25,X$2),$A72&lt;&gt;INDEX('TRIP MANAGER'!$U$18:$U$25,X$2)),1,0))</f>
        <v/>
      </c>
      <c r="Y72">
        <f t="array" ref="Y72">IF($A72="","",IF(AND(INDEX($C72:$J72,Y$2)&gt;0,$A72&lt;&gt;INDEX('TRIP MANAGER'!$T$18:$T$25,Y$2),$A72&lt;&gt;INDEX('TRIP MANAGER'!$U$18:$U$25,Y$2)),1,0))</f>
        <v/>
      </c>
    </row>
    <row r="73">
      <c r="A73">
        <f>IF(countries!$D72="","",countries!$D72)</f>
        <v/>
      </c>
      <c r="B73">
        <f>IF(countries!$B72="","",countries!$B72)</f>
        <v/>
      </c>
      <c r="C73">
        <f>IF($A73="","",COUNTIFS(route_calc!$A$2:$A$1209,C$2,route_calc!$P$2:$P$1209,$A73))</f>
        <v/>
      </c>
      <c r="D73">
        <f>IF($A73="","",COUNTIFS(route_calc!$A$2:$A$1209,D$2,route_calc!$P$2:$P$1209,$A73))</f>
        <v/>
      </c>
      <c r="E73">
        <f>IF($A73="","",COUNTIFS(route_calc!$A$2:$A$1209,E$2,route_calc!$P$2:$P$1209,$A73))</f>
        <v/>
      </c>
      <c r="F73">
        <f>IF($A73="","",COUNTIFS(route_calc!$A$2:$A$1209,F$2,route_calc!$P$2:$P$1209,$A73))</f>
        <v/>
      </c>
      <c r="G73">
        <f>IF($A73="","",COUNTIFS(route_calc!$A$2:$A$1209,G$2,route_calc!$P$2:$P$1209,$A73))</f>
        <v/>
      </c>
      <c r="H73">
        <f>IF($A73="","",COUNTIFS(route_calc!$A$2:$A$1209,H$2,route_calc!$P$2:$P$1209,$A73))</f>
        <v/>
      </c>
      <c r="I73">
        <f>IF($A73="","",COUNTIFS(route_calc!$A$2:$A$1209,I$2,route_calc!$P$2:$P$1209,$A73))</f>
        <v/>
      </c>
      <c r="J73">
        <f>IF($A73="","",COUNTIFS(route_calc!$A$2:$A$1209,J$2,route_calc!$P$2:$P$1209,$A73))</f>
        <v/>
      </c>
      <c r="K73">
        <f>IF($L73=0,"",_xlfn.MINIFS(route_calc!$Q$2:$Q$1209,route_calc!$P$2:$P$1209,$A73,route_calc!$A$2:$A$1209,MATCH(1,$R73:$Y73,0)))</f>
        <v/>
      </c>
      <c r="L73">
        <f>IF($A73="",0,IF(SUM($R73:$Y73)&gt;0,1,0))</f>
        <v/>
      </c>
      <c r="M73">
        <f t="array" ref="M73">IF($L73=0,"",_xlfn.TEXTJOIN(", ",TRUE,IF($R73:$Y73&gt;0,$C$1:$J$1,"")))</f>
        <v/>
      </c>
      <c r="N73">
        <f t="array" ref="N73">IF($L73=0,"",SUMPRODUCT(($L$3:$L$144=1)*($K$3:$K$144&lt;$K73))+1)</f>
        <v/>
      </c>
      <c r="O73">
        <f>IF($L73=0,"",MATCH(1,$R73:$Y73,0))</f>
        <v/>
      </c>
      <c r="P73">
        <f>IF($A73="","",IFERROR(INDEX(countries!$G:$G,MATCH($A73,countries!$D:$D,0)),""))</f>
        <v/>
      </c>
      <c r="Q73">
        <f>IF($A73="","",IFERROR(IF(INDEX(countries!$I:$I,MATCH($A73,countries!$D:$D,0))=0,"",INDEX(countries!$I:$I,MATCH($A73,countries!$D:$D,0))),""))</f>
        <v/>
      </c>
      <c r="R73">
        <f t="array" ref="R73">IF($A73="","",IF(AND(INDEX($C73:$J73,R$2)&gt;0,$A73&lt;&gt;INDEX('TRIP MANAGER'!$T$18:$T$25,R$2),$A73&lt;&gt;INDEX('TRIP MANAGER'!$U$18:$U$25,R$2)),1,0))</f>
        <v/>
      </c>
      <c r="S73">
        <f t="array" ref="S73">IF($A73="","",IF(AND(INDEX($C73:$J73,S$2)&gt;0,$A73&lt;&gt;INDEX('TRIP MANAGER'!$T$18:$T$25,S$2),$A73&lt;&gt;INDEX('TRIP MANAGER'!$U$18:$U$25,S$2)),1,0))</f>
        <v/>
      </c>
      <c r="T73">
        <f t="array" ref="T73">IF($A73="","",IF(AND(INDEX($C73:$J73,T$2)&gt;0,$A73&lt;&gt;INDEX('TRIP MANAGER'!$T$18:$T$25,T$2),$A73&lt;&gt;INDEX('TRIP MANAGER'!$U$18:$U$25,T$2)),1,0))</f>
        <v/>
      </c>
      <c r="U73">
        <f t="array" ref="U73">IF($A73="","",IF(AND(INDEX($C73:$J73,U$2)&gt;0,$A73&lt;&gt;INDEX('TRIP MANAGER'!$T$18:$T$25,U$2),$A73&lt;&gt;INDEX('TRIP MANAGER'!$U$18:$U$25,U$2)),1,0))</f>
        <v/>
      </c>
      <c r="V73">
        <f t="array" ref="V73">IF($A73="","",IF(AND(INDEX($C73:$J73,V$2)&gt;0,$A73&lt;&gt;INDEX('TRIP MANAGER'!$T$18:$T$25,V$2),$A73&lt;&gt;INDEX('TRIP MANAGER'!$U$18:$U$25,V$2)),1,0))</f>
        <v/>
      </c>
      <c r="W73">
        <f t="array" ref="W73">IF($A73="","",IF(AND(INDEX($C73:$J73,W$2)&gt;0,$A73&lt;&gt;INDEX('TRIP MANAGER'!$T$18:$T$25,W$2),$A73&lt;&gt;INDEX('TRIP MANAGER'!$U$18:$U$25,W$2)),1,0))</f>
        <v/>
      </c>
      <c r="X73">
        <f t="array" ref="X73">IF($A73="","",IF(AND(INDEX($C73:$J73,X$2)&gt;0,$A73&lt;&gt;INDEX('TRIP MANAGER'!$T$18:$T$25,X$2),$A73&lt;&gt;INDEX('TRIP MANAGER'!$U$18:$U$25,X$2)),1,0))</f>
        <v/>
      </c>
      <c r="Y73">
        <f t="array" ref="Y73">IF($A73="","",IF(AND(INDEX($C73:$J73,Y$2)&gt;0,$A73&lt;&gt;INDEX('TRIP MANAGER'!$T$18:$T$25,Y$2),$A73&lt;&gt;INDEX('TRIP MANAGER'!$U$18:$U$25,Y$2)),1,0))</f>
        <v/>
      </c>
    </row>
    <row r="74">
      <c r="A74">
        <f>IF(countries!$D73="","",countries!$D73)</f>
        <v/>
      </c>
      <c r="B74">
        <f>IF(countries!$B73="","",countries!$B73)</f>
        <v/>
      </c>
      <c r="C74">
        <f>IF($A74="","",COUNTIFS(route_calc!$A$2:$A$1209,C$2,route_calc!$P$2:$P$1209,$A74))</f>
        <v/>
      </c>
      <c r="D74">
        <f>IF($A74="","",COUNTIFS(route_calc!$A$2:$A$1209,D$2,route_calc!$P$2:$P$1209,$A74))</f>
        <v/>
      </c>
      <c r="E74">
        <f>IF($A74="","",COUNTIFS(route_calc!$A$2:$A$1209,E$2,route_calc!$P$2:$P$1209,$A74))</f>
        <v/>
      </c>
      <c r="F74">
        <f>IF($A74="","",COUNTIFS(route_calc!$A$2:$A$1209,F$2,route_calc!$P$2:$P$1209,$A74))</f>
        <v/>
      </c>
      <c r="G74">
        <f>IF($A74="","",COUNTIFS(route_calc!$A$2:$A$1209,G$2,route_calc!$P$2:$P$1209,$A74))</f>
        <v/>
      </c>
      <c r="H74">
        <f>IF($A74="","",COUNTIFS(route_calc!$A$2:$A$1209,H$2,route_calc!$P$2:$P$1209,$A74))</f>
        <v/>
      </c>
      <c r="I74">
        <f>IF($A74="","",COUNTIFS(route_calc!$A$2:$A$1209,I$2,route_calc!$P$2:$P$1209,$A74))</f>
        <v/>
      </c>
      <c r="J74">
        <f>IF($A74="","",COUNTIFS(route_calc!$A$2:$A$1209,J$2,route_calc!$P$2:$P$1209,$A74))</f>
        <v/>
      </c>
      <c r="K74">
        <f>IF($L74=0,"",_xlfn.MINIFS(route_calc!$Q$2:$Q$1209,route_calc!$P$2:$P$1209,$A74,route_calc!$A$2:$A$1209,MATCH(1,$R74:$Y74,0)))</f>
        <v/>
      </c>
      <c r="L74">
        <f>IF($A74="",0,IF(SUM($R74:$Y74)&gt;0,1,0))</f>
        <v/>
      </c>
      <c r="M74">
        <f t="array" ref="M74">IF($L74=0,"",_xlfn.TEXTJOIN(", ",TRUE,IF($R74:$Y74&gt;0,$C$1:$J$1,"")))</f>
        <v/>
      </c>
      <c r="N74">
        <f t="array" ref="N74">IF($L74=0,"",SUMPRODUCT(($L$3:$L$144=1)*($K$3:$K$144&lt;$K74))+1)</f>
        <v/>
      </c>
      <c r="O74">
        <f>IF($L74=0,"",MATCH(1,$R74:$Y74,0))</f>
        <v/>
      </c>
      <c r="P74">
        <f>IF($A74="","",IFERROR(INDEX(countries!$G:$G,MATCH($A74,countries!$D:$D,0)),""))</f>
        <v/>
      </c>
      <c r="Q74">
        <f>IF($A74="","",IFERROR(IF(INDEX(countries!$I:$I,MATCH($A74,countries!$D:$D,0))=0,"",INDEX(countries!$I:$I,MATCH($A74,countries!$D:$D,0))),""))</f>
        <v/>
      </c>
      <c r="R74">
        <f t="array" ref="R74">IF($A74="","",IF(AND(INDEX($C74:$J74,R$2)&gt;0,$A74&lt;&gt;INDEX('TRIP MANAGER'!$T$18:$T$25,R$2),$A74&lt;&gt;INDEX('TRIP MANAGER'!$U$18:$U$25,R$2)),1,0))</f>
        <v/>
      </c>
      <c r="S74">
        <f t="array" ref="S74">IF($A74="","",IF(AND(INDEX($C74:$J74,S$2)&gt;0,$A74&lt;&gt;INDEX('TRIP MANAGER'!$T$18:$T$25,S$2),$A74&lt;&gt;INDEX('TRIP MANAGER'!$U$18:$U$25,S$2)),1,0))</f>
        <v/>
      </c>
      <c r="T74">
        <f t="array" ref="T74">IF($A74="","",IF(AND(INDEX($C74:$J74,T$2)&gt;0,$A74&lt;&gt;INDEX('TRIP MANAGER'!$T$18:$T$25,T$2),$A74&lt;&gt;INDEX('TRIP MANAGER'!$U$18:$U$25,T$2)),1,0))</f>
        <v/>
      </c>
      <c r="U74">
        <f t="array" ref="U74">IF($A74="","",IF(AND(INDEX($C74:$J74,U$2)&gt;0,$A74&lt;&gt;INDEX('TRIP MANAGER'!$T$18:$T$25,U$2),$A74&lt;&gt;INDEX('TRIP MANAGER'!$U$18:$U$25,U$2)),1,0))</f>
        <v/>
      </c>
      <c r="V74">
        <f t="array" ref="V74">IF($A74="","",IF(AND(INDEX($C74:$J74,V$2)&gt;0,$A74&lt;&gt;INDEX('TRIP MANAGER'!$T$18:$T$25,V$2),$A74&lt;&gt;INDEX('TRIP MANAGER'!$U$18:$U$25,V$2)),1,0))</f>
        <v/>
      </c>
      <c r="W74">
        <f t="array" ref="W74">IF($A74="","",IF(AND(INDEX($C74:$J74,W$2)&gt;0,$A74&lt;&gt;INDEX('TRIP MANAGER'!$T$18:$T$25,W$2),$A74&lt;&gt;INDEX('TRIP MANAGER'!$U$18:$U$25,W$2)),1,0))</f>
        <v/>
      </c>
      <c r="X74">
        <f t="array" ref="X74">IF($A74="","",IF(AND(INDEX($C74:$J74,X$2)&gt;0,$A74&lt;&gt;INDEX('TRIP MANAGER'!$T$18:$T$25,X$2),$A74&lt;&gt;INDEX('TRIP MANAGER'!$U$18:$U$25,X$2)),1,0))</f>
        <v/>
      </c>
      <c r="Y74">
        <f t="array" ref="Y74">IF($A74="","",IF(AND(INDEX($C74:$J74,Y$2)&gt;0,$A74&lt;&gt;INDEX('TRIP MANAGER'!$T$18:$T$25,Y$2),$A74&lt;&gt;INDEX('TRIP MANAGER'!$U$18:$U$25,Y$2)),1,0))</f>
        <v/>
      </c>
    </row>
    <row r="75">
      <c r="A75">
        <f>IF(countries!$D74="","",countries!$D74)</f>
        <v/>
      </c>
      <c r="B75">
        <f>IF(countries!$B74="","",countries!$B74)</f>
        <v/>
      </c>
      <c r="C75">
        <f>IF($A75="","",COUNTIFS(route_calc!$A$2:$A$1209,C$2,route_calc!$P$2:$P$1209,$A75))</f>
        <v/>
      </c>
      <c r="D75">
        <f>IF($A75="","",COUNTIFS(route_calc!$A$2:$A$1209,D$2,route_calc!$P$2:$P$1209,$A75))</f>
        <v/>
      </c>
      <c r="E75">
        <f>IF($A75="","",COUNTIFS(route_calc!$A$2:$A$1209,E$2,route_calc!$P$2:$P$1209,$A75))</f>
        <v/>
      </c>
      <c r="F75">
        <f>IF($A75="","",COUNTIFS(route_calc!$A$2:$A$1209,F$2,route_calc!$P$2:$P$1209,$A75))</f>
        <v/>
      </c>
      <c r="G75">
        <f>IF($A75="","",COUNTIFS(route_calc!$A$2:$A$1209,G$2,route_calc!$P$2:$P$1209,$A75))</f>
        <v/>
      </c>
      <c r="H75">
        <f>IF($A75="","",COUNTIFS(route_calc!$A$2:$A$1209,H$2,route_calc!$P$2:$P$1209,$A75))</f>
        <v/>
      </c>
      <c r="I75">
        <f>IF($A75="","",COUNTIFS(route_calc!$A$2:$A$1209,I$2,route_calc!$P$2:$P$1209,$A75))</f>
        <v/>
      </c>
      <c r="J75">
        <f>IF($A75="","",COUNTIFS(route_calc!$A$2:$A$1209,J$2,route_calc!$P$2:$P$1209,$A75))</f>
        <v/>
      </c>
      <c r="K75">
        <f>IF($L75=0,"",_xlfn.MINIFS(route_calc!$Q$2:$Q$1209,route_calc!$P$2:$P$1209,$A75,route_calc!$A$2:$A$1209,MATCH(1,$R75:$Y75,0)))</f>
        <v/>
      </c>
      <c r="L75">
        <f>IF($A75="",0,IF(SUM($R75:$Y75)&gt;0,1,0))</f>
        <v/>
      </c>
      <c r="M75">
        <f t="array" ref="M75">IF($L75=0,"",_xlfn.TEXTJOIN(", ",TRUE,IF($R75:$Y75&gt;0,$C$1:$J$1,"")))</f>
        <v/>
      </c>
      <c r="N75">
        <f t="array" ref="N75">IF($L75=0,"",SUMPRODUCT(($L$3:$L$144=1)*($K$3:$K$144&lt;$K75))+1)</f>
        <v/>
      </c>
      <c r="O75">
        <f>IF($L75=0,"",MATCH(1,$R75:$Y75,0))</f>
        <v/>
      </c>
      <c r="P75">
        <f>IF($A75="","",IFERROR(INDEX(countries!$G:$G,MATCH($A75,countries!$D:$D,0)),""))</f>
        <v/>
      </c>
      <c r="Q75">
        <f>IF($A75="","",IFERROR(IF(INDEX(countries!$I:$I,MATCH($A75,countries!$D:$D,0))=0,"",INDEX(countries!$I:$I,MATCH($A75,countries!$D:$D,0))),""))</f>
        <v/>
      </c>
      <c r="R75">
        <f t="array" ref="R75">IF($A75="","",IF(AND(INDEX($C75:$J75,R$2)&gt;0,$A75&lt;&gt;INDEX('TRIP MANAGER'!$T$18:$T$25,R$2),$A75&lt;&gt;INDEX('TRIP MANAGER'!$U$18:$U$25,R$2)),1,0))</f>
        <v/>
      </c>
      <c r="S75">
        <f t="array" ref="S75">IF($A75="","",IF(AND(INDEX($C75:$J75,S$2)&gt;0,$A75&lt;&gt;INDEX('TRIP MANAGER'!$T$18:$T$25,S$2),$A75&lt;&gt;INDEX('TRIP MANAGER'!$U$18:$U$25,S$2)),1,0))</f>
        <v/>
      </c>
      <c r="T75">
        <f t="array" ref="T75">IF($A75="","",IF(AND(INDEX($C75:$J75,T$2)&gt;0,$A75&lt;&gt;INDEX('TRIP MANAGER'!$T$18:$T$25,T$2),$A75&lt;&gt;INDEX('TRIP MANAGER'!$U$18:$U$25,T$2)),1,0))</f>
        <v/>
      </c>
      <c r="U75">
        <f t="array" ref="U75">IF($A75="","",IF(AND(INDEX($C75:$J75,U$2)&gt;0,$A75&lt;&gt;INDEX('TRIP MANAGER'!$T$18:$T$25,U$2),$A75&lt;&gt;INDEX('TRIP MANAGER'!$U$18:$U$25,U$2)),1,0))</f>
        <v/>
      </c>
      <c r="V75">
        <f t="array" ref="V75">IF($A75="","",IF(AND(INDEX($C75:$J75,V$2)&gt;0,$A75&lt;&gt;INDEX('TRIP MANAGER'!$T$18:$T$25,V$2),$A75&lt;&gt;INDEX('TRIP MANAGER'!$U$18:$U$25,V$2)),1,0))</f>
        <v/>
      </c>
      <c r="W75">
        <f t="array" ref="W75">IF($A75="","",IF(AND(INDEX($C75:$J75,W$2)&gt;0,$A75&lt;&gt;INDEX('TRIP MANAGER'!$T$18:$T$25,W$2),$A75&lt;&gt;INDEX('TRIP MANAGER'!$U$18:$U$25,W$2)),1,0))</f>
        <v/>
      </c>
      <c r="X75">
        <f t="array" ref="X75">IF($A75="","",IF(AND(INDEX($C75:$J75,X$2)&gt;0,$A75&lt;&gt;INDEX('TRIP MANAGER'!$T$18:$T$25,X$2),$A75&lt;&gt;INDEX('TRIP MANAGER'!$U$18:$U$25,X$2)),1,0))</f>
        <v/>
      </c>
      <c r="Y75">
        <f t="array" ref="Y75">IF($A75="","",IF(AND(INDEX($C75:$J75,Y$2)&gt;0,$A75&lt;&gt;INDEX('TRIP MANAGER'!$T$18:$T$25,Y$2),$A75&lt;&gt;INDEX('TRIP MANAGER'!$U$18:$U$25,Y$2)),1,0))</f>
        <v/>
      </c>
    </row>
    <row r="76">
      <c r="A76">
        <f>IF(countries!$D75="","",countries!$D75)</f>
        <v/>
      </c>
      <c r="B76">
        <f>IF(countries!$B75="","",countries!$B75)</f>
        <v/>
      </c>
      <c r="C76">
        <f>IF($A76="","",COUNTIFS(route_calc!$A$2:$A$1209,C$2,route_calc!$P$2:$P$1209,$A76))</f>
        <v/>
      </c>
      <c r="D76">
        <f>IF($A76="","",COUNTIFS(route_calc!$A$2:$A$1209,D$2,route_calc!$P$2:$P$1209,$A76))</f>
        <v/>
      </c>
      <c r="E76">
        <f>IF($A76="","",COUNTIFS(route_calc!$A$2:$A$1209,E$2,route_calc!$P$2:$P$1209,$A76))</f>
        <v/>
      </c>
      <c r="F76">
        <f>IF($A76="","",COUNTIFS(route_calc!$A$2:$A$1209,F$2,route_calc!$P$2:$P$1209,$A76))</f>
        <v/>
      </c>
      <c r="G76">
        <f>IF($A76="","",COUNTIFS(route_calc!$A$2:$A$1209,G$2,route_calc!$P$2:$P$1209,$A76))</f>
        <v/>
      </c>
      <c r="H76">
        <f>IF($A76="","",COUNTIFS(route_calc!$A$2:$A$1209,H$2,route_calc!$P$2:$P$1209,$A76))</f>
        <v/>
      </c>
      <c r="I76">
        <f>IF($A76="","",COUNTIFS(route_calc!$A$2:$A$1209,I$2,route_calc!$P$2:$P$1209,$A76))</f>
        <v/>
      </c>
      <c r="J76">
        <f>IF($A76="","",COUNTIFS(route_calc!$A$2:$A$1209,J$2,route_calc!$P$2:$P$1209,$A76))</f>
        <v/>
      </c>
      <c r="K76">
        <f>IF($L76=0,"",_xlfn.MINIFS(route_calc!$Q$2:$Q$1209,route_calc!$P$2:$P$1209,$A76,route_calc!$A$2:$A$1209,MATCH(1,$R76:$Y76,0)))</f>
        <v/>
      </c>
      <c r="L76">
        <f>IF($A76="",0,IF(SUM($R76:$Y76)&gt;0,1,0))</f>
        <v/>
      </c>
      <c r="M76">
        <f t="array" ref="M76">IF($L76=0,"",_xlfn.TEXTJOIN(", ",TRUE,IF($R76:$Y76&gt;0,$C$1:$J$1,"")))</f>
        <v/>
      </c>
      <c r="N76">
        <f t="array" ref="N76">IF($L76=0,"",SUMPRODUCT(($L$3:$L$144=1)*($K$3:$K$144&lt;$K76))+1)</f>
        <v/>
      </c>
      <c r="O76">
        <f>IF($L76=0,"",MATCH(1,$R76:$Y76,0))</f>
        <v/>
      </c>
      <c r="P76">
        <f>IF($A76="","",IFERROR(INDEX(countries!$G:$G,MATCH($A76,countries!$D:$D,0)),""))</f>
        <v/>
      </c>
      <c r="Q76">
        <f>IF($A76="","",IFERROR(IF(INDEX(countries!$I:$I,MATCH($A76,countries!$D:$D,0))=0,"",INDEX(countries!$I:$I,MATCH($A76,countries!$D:$D,0))),""))</f>
        <v/>
      </c>
      <c r="R76">
        <f t="array" ref="R76">IF($A76="","",IF(AND(INDEX($C76:$J76,R$2)&gt;0,$A76&lt;&gt;INDEX('TRIP MANAGER'!$T$18:$T$25,R$2),$A76&lt;&gt;INDEX('TRIP MANAGER'!$U$18:$U$25,R$2)),1,0))</f>
        <v/>
      </c>
      <c r="S76">
        <f t="array" ref="S76">IF($A76="","",IF(AND(INDEX($C76:$J76,S$2)&gt;0,$A76&lt;&gt;INDEX('TRIP MANAGER'!$T$18:$T$25,S$2),$A76&lt;&gt;INDEX('TRIP MANAGER'!$U$18:$U$25,S$2)),1,0))</f>
        <v/>
      </c>
      <c r="T76">
        <f t="array" ref="T76">IF($A76="","",IF(AND(INDEX($C76:$J76,T$2)&gt;0,$A76&lt;&gt;INDEX('TRIP MANAGER'!$T$18:$T$25,T$2),$A76&lt;&gt;INDEX('TRIP MANAGER'!$U$18:$U$25,T$2)),1,0))</f>
        <v/>
      </c>
      <c r="U76">
        <f t="array" ref="U76">IF($A76="","",IF(AND(INDEX($C76:$J76,U$2)&gt;0,$A76&lt;&gt;INDEX('TRIP MANAGER'!$T$18:$T$25,U$2),$A76&lt;&gt;INDEX('TRIP MANAGER'!$U$18:$U$25,U$2)),1,0))</f>
        <v/>
      </c>
      <c r="V76">
        <f t="array" ref="V76">IF($A76="","",IF(AND(INDEX($C76:$J76,V$2)&gt;0,$A76&lt;&gt;INDEX('TRIP MANAGER'!$T$18:$T$25,V$2),$A76&lt;&gt;INDEX('TRIP MANAGER'!$U$18:$U$25,V$2)),1,0))</f>
        <v/>
      </c>
      <c r="W76">
        <f t="array" ref="W76">IF($A76="","",IF(AND(INDEX($C76:$J76,W$2)&gt;0,$A76&lt;&gt;INDEX('TRIP MANAGER'!$T$18:$T$25,W$2),$A76&lt;&gt;INDEX('TRIP MANAGER'!$U$18:$U$25,W$2)),1,0))</f>
        <v/>
      </c>
      <c r="X76">
        <f t="array" ref="X76">IF($A76="","",IF(AND(INDEX($C76:$J76,X$2)&gt;0,$A76&lt;&gt;INDEX('TRIP MANAGER'!$T$18:$T$25,X$2),$A76&lt;&gt;INDEX('TRIP MANAGER'!$U$18:$U$25,X$2)),1,0))</f>
        <v/>
      </c>
      <c r="Y76">
        <f t="array" ref="Y76">IF($A76="","",IF(AND(INDEX($C76:$J76,Y$2)&gt;0,$A76&lt;&gt;INDEX('TRIP MANAGER'!$T$18:$T$25,Y$2),$A76&lt;&gt;INDEX('TRIP MANAGER'!$U$18:$U$25,Y$2)),1,0))</f>
        <v/>
      </c>
    </row>
    <row r="77">
      <c r="A77">
        <f>IF(countries!$D76="","",countries!$D76)</f>
        <v/>
      </c>
      <c r="B77">
        <f>IF(countries!$B76="","",countries!$B76)</f>
        <v/>
      </c>
      <c r="C77">
        <f>IF($A77="","",COUNTIFS(route_calc!$A$2:$A$1209,C$2,route_calc!$P$2:$P$1209,$A77))</f>
        <v/>
      </c>
      <c r="D77">
        <f>IF($A77="","",COUNTIFS(route_calc!$A$2:$A$1209,D$2,route_calc!$P$2:$P$1209,$A77))</f>
        <v/>
      </c>
      <c r="E77">
        <f>IF($A77="","",COUNTIFS(route_calc!$A$2:$A$1209,E$2,route_calc!$P$2:$P$1209,$A77))</f>
        <v/>
      </c>
      <c r="F77">
        <f>IF($A77="","",COUNTIFS(route_calc!$A$2:$A$1209,F$2,route_calc!$P$2:$P$1209,$A77))</f>
        <v/>
      </c>
      <c r="G77">
        <f>IF($A77="","",COUNTIFS(route_calc!$A$2:$A$1209,G$2,route_calc!$P$2:$P$1209,$A77))</f>
        <v/>
      </c>
      <c r="H77">
        <f>IF($A77="","",COUNTIFS(route_calc!$A$2:$A$1209,H$2,route_calc!$P$2:$P$1209,$A77))</f>
        <v/>
      </c>
      <c r="I77">
        <f>IF($A77="","",COUNTIFS(route_calc!$A$2:$A$1209,I$2,route_calc!$P$2:$P$1209,$A77))</f>
        <v/>
      </c>
      <c r="J77">
        <f>IF($A77="","",COUNTIFS(route_calc!$A$2:$A$1209,J$2,route_calc!$P$2:$P$1209,$A77))</f>
        <v/>
      </c>
      <c r="K77">
        <f>IF($L77=0,"",_xlfn.MINIFS(route_calc!$Q$2:$Q$1209,route_calc!$P$2:$P$1209,$A77,route_calc!$A$2:$A$1209,MATCH(1,$R77:$Y77,0)))</f>
        <v/>
      </c>
      <c r="L77">
        <f>IF($A77="",0,IF(SUM($R77:$Y77)&gt;0,1,0))</f>
        <v/>
      </c>
      <c r="M77">
        <f t="array" ref="M77">IF($L77=0,"",_xlfn.TEXTJOIN(", ",TRUE,IF($R77:$Y77&gt;0,$C$1:$J$1,"")))</f>
        <v/>
      </c>
      <c r="N77">
        <f t="array" ref="N77">IF($L77=0,"",SUMPRODUCT(($L$3:$L$144=1)*($K$3:$K$144&lt;$K77))+1)</f>
        <v/>
      </c>
      <c r="O77">
        <f>IF($L77=0,"",MATCH(1,$R77:$Y77,0))</f>
        <v/>
      </c>
      <c r="P77">
        <f>IF($A77="","",IFERROR(INDEX(countries!$G:$G,MATCH($A77,countries!$D:$D,0)),""))</f>
        <v/>
      </c>
      <c r="Q77">
        <f>IF($A77="","",IFERROR(IF(INDEX(countries!$I:$I,MATCH($A77,countries!$D:$D,0))=0,"",INDEX(countries!$I:$I,MATCH($A77,countries!$D:$D,0))),""))</f>
        <v/>
      </c>
      <c r="R77">
        <f t="array" ref="R77">IF($A77="","",IF(AND(INDEX($C77:$J77,R$2)&gt;0,$A77&lt;&gt;INDEX('TRIP MANAGER'!$T$18:$T$25,R$2),$A77&lt;&gt;INDEX('TRIP MANAGER'!$U$18:$U$25,R$2)),1,0))</f>
        <v/>
      </c>
      <c r="S77">
        <f t="array" ref="S77">IF($A77="","",IF(AND(INDEX($C77:$J77,S$2)&gt;0,$A77&lt;&gt;INDEX('TRIP MANAGER'!$T$18:$T$25,S$2),$A77&lt;&gt;INDEX('TRIP MANAGER'!$U$18:$U$25,S$2)),1,0))</f>
        <v/>
      </c>
      <c r="T77">
        <f t="array" ref="T77">IF($A77="","",IF(AND(INDEX($C77:$J77,T$2)&gt;0,$A77&lt;&gt;INDEX('TRIP MANAGER'!$T$18:$T$25,T$2),$A77&lt;&gt;INDEX('TRIP MANAGER'!$U$18:$U$25,T$2)),1,0))</f>
        <v/>
      </c>
      <c r="U77">
        <f t="array" ref="U77">IF($A77="","",IF(AND(INDEX($C77:$J77,U$2)&gt;0,$A77&lt;&gt;INDEX('TRIP MANAGER'!$T$18:$T$25,U$2),$A77&lt;&gt;INDEX('TRIP MANAGER'!$U$18:$U$25,U$2)),1,0))</f>
        <v/>
      </c>
      <c r="V77">
        <f t="array" ref="V77">IF($A77="","",IF(AND(INDEX($C77:$J77,V$2)&gt;0,$A77&lt;&gt;INDEX('TRIP MANAGER'!$T$18:$T$25,V$2),$A77&lt;&gt;INDEX('TRIP MANAGER'!$U$18:$U$25,V$2)),1,0))</f>
        <v/>
      </c>
      <c r="W77">
        <f t="array" ref="W77">IF($A77="","",IF(AND(INDEX($C77:$J77,W$2)&gt;0,$A77&lt;&gt;INDEX('TRIP MANAGER'!$T$18:$T$25,W$2),$A77&lt;&gt;INDEX('TRIP MANAGER'!$U$18:$U$25,W$2)),1,0))</f>
        <v/>
      </c>
      <c r="X77">
        <f t="array" ref="X77">IF($A77="","",IF(AND(INDEX($C77:$J77,X$2)&gt;0,$A77&lt;&gt;INDEX('TRIP MANAGER'!$T$18:$T$25,X$2),$A77&lt;&gt;INDEX('TRIP MANAGER'!$U$18:$U$25,X$2)),1,0))</f>
        <v/>
      </c>
      <c r="Y77">
        <f t="array" ref="Y77">IF($A77="","",IF(AND(INDEX($C77:$J77,Y$2)&gt;0,$A77&lt;&gt;INDEX('TRIP MANAGER'!$T$18:$T$25,Y$2),$A77&lt;&gt;INDEX('TRIP MANAGER'!$U$18:$U$25,Y$2)),1,0))</f>
        <v/>
      </c>
    </row>
    <row r="78">
      <c r="A78">
        <f>IF(countries!$D77="","",countries!$D77)</f>
        <v/>
      </c>
      <c r="B78">
        <f>IF(countries!$B77="","",countries!$B77)</f>
        <v/>
      </c>
      <c r="C78">
        <f>IF($A78="","",COUNTIFS(route_calc!$A$2:$A$1209,C$2,route_calc!$P$2:$P$1209,$A78))</f>
        <v/>
      </c>
      <c r="D78">
        <f>IF($A78="","",COUNTIFS(route_calc!$A$2:$A$1209,D$2,route_calc!$P$2:$P$1209,$A78))</f>
        <v/>
      </c>
      <c r="E78">
        <f>IF($A78="","",COUNTIFS(route_calc!$A$2:$A$1209,E$2,route_calc!$P$2:$P$1209,$A78))</f>
        <v/>
      </c>
      <c r="F78">
        <f>IF($A78="","",COUNTIFS(route_calc!$A$2:$A$1209,F$2,route_calc!$P$2:$P$1209,$A78))</f>
        <v/>
      </c>
      <c r="G78">
        <f>IF($A78="","",COUNTIFS(route_calc!$A$2:$A$1209,G$2,route_calc!$P$2:$P$1209,$A78))</f>
        <v/>
      </c>
      <c r="H78">
        <f>IF($A78="","",COUNTIFS(route_calc!$A$2:$A$1209,H$2,route_calc!$P$2:$P$1209,$A78))</f>
        <v/>
      </c>
      <c r="I78">
        <f>IF($A78="","",COUNTIFS(route_calc!$A$2:$A$1209,I$2,route_calc!$P$2:$P$1209,$A78))</f>
        <v/>
      </c>
      <c r="J78">
        <f>IF($A78="","",COUNTIFS(route_calc!$A$2:$A$1209,J$2,route_calc!$P$2:$P$1209,$A78))</f>
        <v/>
      </c>
      <c r="K78">
        <f>IF($L78=0,"",_xlfn.MINIFS(route_calc!$Q$2:$Q$1209,route_calc!$P$2:$P$1209,$A78,route_calc!$A$2:$A$1209,MATCH(1,$R78:$Y78,0)))</f>
        <v/>
      </c>
      <c r="L78">
        <f>IF($A78="",0,IF(SUM($R78:$Y78)&gt;0,1,0))</f>
        <v/>
      </c>
      <c r="M78">
        <f t="array" ref="M78">IF($L78=0,"",_xlfn.TEXTJOIN(", ",TRUE,IF($R78:$Y78&gt;0,$C$1:$J$1,"")))</f>
        <v/>
      </c>
      <c r="N78">
        <f t="array" ref="N78">IF($L78=0,"",SUMPRODUCT(($L$3:$L$144=1)*($K$3:$K$144&lt;$K78))+1)</f>
        <v/>
      </c>
      <c r="O78">
        <f>IF($L78=0,"",MATCH(1,$R78:$Y78,0))</f>
        <v/>
      </c>
      <c r="P78">
        <f>IF($A78="","",IFERROR(INDEX(countries!$G:$G,MATCH($A78,countries!$D:$D,0)),""))</f>
        <v/>
      </c>
      <c r="Q78">
        <f>IF($A78="","",IFERROR(IF(INDEX(countries!$I:$I,MATCH($A78,countries!$D:$D,0))=0,"",INDEX(countries!$I:$I,MATCH($A78,countries!$D:$D,0))),""))</f>
        <v/>
      </c>
      <c r="R78">
        <f t="array" ref="R78">IF($A78="","",IF(AND(INDEX($C78:$J78,R$2)&gt;0,$A78&lt;&gt;INDEX('TRIP MANAGER'!$T$18:$T$25,R$2),$A78&lt;&gt;INDEX('TRIP MANAGER'!$U$18:$U$25,R$2)),1,0))</f>
        <v/>
      </c>
      <c r="S78">
        <f t="array" ref="S78">IF($A78="","",IF(AND(INDEX($C78:$J78,S$2)&gt;0,$A78&lt;&gt;INDEX('TRIP MANAGER'!$T$18:$T$25,S$2),$A78&lt;&gt;INDEX('TRIP MANAGER'!$U$18:$U$25,S$2)),1,0))</f>
        <v/>
      </c>
      <c r="T78">
        <f t="array" ref="T78">IF($A78="","",IF(AND(INDEX($C78:$J78,T$2)&gt;0,$A78&lt;&gt;INDEX('TRIP MANAGER'!$T$18:$T$25,T$2),$A78&lt;&gt;INDEX('TRIP MANAGER'!$U$18:$U$25,T$2)),1,0))</f>
        <v/>
      </c>
      <c r="U78">
        <f t="array" ref="U78">IF($A78="","",IF(AND(INDEX($C78:$J78,U$2)&gt;0,$A78&lt;&gt;INDEX('TRIP MANAGER'!$T$18:$T$25,U$2),$A78&lt;&gt;INDEX('TRIP MANAGER'!$U$18:$U$25,U$2)),1,0))</f>
        <v/>
      </c>
      <c r="V78">
        <f t="array" ref="V78">IF($A78="","",IF(AND(INDEX($C78:$J78,V$2)&gt;0,$A78&lt;&gt;INDEX('TRIP MANAGER'!$T$18:$T$25,V$2),$A78&lt;&gt;INDEX('TRIP MANAGER'!$U$18:$U$25,V$2)),1,0))</f>
        <v/>
      </c>
      <c r="W78">
        <f t="array" ref="W78">IF($A78="","",IF(AND(INDEX($C78:$J78,W$2)&gt;0,$A78&lt;&gt;INDEX('TRIP MANAGER'!$T$18:$T$25,W$2),$A78&lt;&gt;INDEX('TRIP MANAGER'!$U$18:$U$25,W$2)),1,0))</f>
        <v/>
      </c>
      <c r="X78">
        <f t="array" ref="X78">IF($A78="","",IF(AND(INDEX($C78:$J78,X$2)&gt;0,$A78&lt;&gt;INDEX('TRIP MANAGER'!$T$18:$T$25,X$2),$A78&lt;&gt;INDEX('TRIP MANAGER'!$U$18:$U$25,X$2)),1,0))</f>
        <v/>
      </c>
      <c r="Y78">
        <f t="array" ref="Y78">IF($A78="","",IF(AND(INDEX($C78:$J78,Y$2)&gt;0,$A78&lt;&gt;INDEX('TRIP MANAGER'!$T$18:$T$25,Y$2),$A78&lt;&gt;INDEX('TRIP MANAGER'!$U$18:$U$25,Y$2)),1,0))</f>
        <v/>
      </c>
    </row>
    <row r="79">
      <c r="A79">
        <f>IF(countries!$D78="","",countries!$D78)</f>
        <v/>
      </c>
      <c r="B79">
        <f>IF(countries!$B78="","",countries!$B78)</f>
        <v/>
      </c>
      <c r="C79">
        <f>IF($A79="","",COUNTIFS(route_calc!$A$2:$A$1209,C$2,route_calc!$P$2:$P$1209,$A79))</f>
        <v/>
      </c>
      <c r="D79">
        <f>IF($A79="","",COUNTIFS(route_calc!$A$2:$A$1209,D$2,route_calc!$P$2:$P$1209,$A79))</f>
        <v/>
      </c>
      <c r="E79">
        <f>IF($A79="","",COUNTIFS(route_calc!$A$2:$A$1209,E$2,route_calc!$P$2:$P$1209,$A79))</f>
        <v/>
      </c>
      <c r="F79">
        <f>IF($A79="","",COUNTIFS(route_calc!$A$2:$A$1209,F$2,route_calc!$P$2:$P$1209,$A79))</f>
        <v/>
      </c>
      <c r="G79">
        <f>IF($A79="","",COUNTIFS(route_calc!$A$2:$A$1209,G$2,route_calc!$P$2:$P$1209,$A79))</f>
        <v/>
      </c>
      <c r="H79">
        <f>IF($A79="","",COUNTIFS(route_calc!$A$2:$A$1209,H$2,route_calc!$P$2:$P$1209,$A79))</f>
        <v/>
      </c>
      <c r="I79">
        <f>IF($A79="","",COUNTIFS(route_calc!$A$2:$A$1209,I$2,route_calc!$P$2:$P$1209,$A79))</f>
        <v/>
      </c>
      <c r="J79">
        <f>IF($A79="","",COUNTIFS(route_calc!$A$2:$A$1209,J$2,route_calc!$P$2:$P$1209,$A79))</f>
        <v/>
      </c>
      <c r="K79">
        <f>IF($L79=0,"",_xlfn.MINIFS(route_calc!$Q$2:$Q$1209,route_calc!$P$2:$P$1209,$A79,route_calc!$A$2:$A$1209,MATCH(1,$R79:$Y79,0)))</f>
        <v/>
      </c>
      <c r="L79">
        <f>IF($A79="",0,IF(SUM($R79:$Y79)&gt;0,1,0))</f>
        <v/>
      </c>
      <c r="M79">
        <f t="array" ref="M79">IF($L79=0,"",_xlfn.TEXTJOIN(", ",TRUE,IF($R79:$Y79&gt;0,$C$1:$J$1,"")))</f>
        <v/>
      </c>
      <c r="N79">
        <f t="array" ref="N79">IF($L79=0,"",SUMPRODUCT(($L$3:$L$144=1)*($K$3:$K$144&lt;$K79))+1)</f>
        <v/>
      </c>
      <c r="O79">
        <f>IF($L79=0,"",MATCH(1,$R79:$Y79,0))</f>
        <v/>
      </c>
      <c r="P79">
        <f>IF($A79="","",IFERROR(INDEX(countries!$G:$G,MATCH($A79,countries!$D:$D,0)),""))</f>
        <v/>
      </c>
      <c r="Q79">
        <f>IF($A79="","",IFERROR(IF(INDEX(countries!$I:$I,MATCH($A79,countries!$D:$D,0))=0,"",INDEX(countries!$I:$I,MATCH($A79,countries!$D:$D,0))),""))</f>
        <v/>
      </c>
      <c r="R79">
        <f t="array" ref="R79">IF($A79="","",IF(AND(INDEX($C79:$J79,R$2)&gt;0,$A79&lt;&gt;INDEX('TRIP MANAGER'!$T$18:$T$25,R$2),$A79&lt;&gt;INDEX('TRIP MANAGER'!$U$18:$U$25,R$2)),1,0))</f>
        <v/>
      </c>
      <c r="S79">
        <f t="array" ref="S79">IF($A79="","",IF(AND(INDEX($C79:$J79,S$2)&gt;0,$A79&lt;&gt;INDEX('TRIP MANAGER'!$T$18:$T$25,S$2),$A79&lt;&gt;INDEX('TRIP MANAGER'!$U$18:$U$25,S$2)),1,0))</f>
        <v/>
      </c>
      <c r="T79">
        <f t="array" ref="T79">IF($A79="","",IF(AND(INDEX($C79:$J79,T$2)&gt;0,$A79&lt;&gt;INDEX('TRIP MANAGER'!$T$18:$T$25,T$2),$A79&lt;&gt;INDEX('TRIP MANAGER'!$U$18:$U$25,T$2)),1,0))</f>
        <v/>
      </c>
      <c r="U79">
        <f t="array" ref="U79">IF($A79="","",IF(AND(INDEX($C79:$J79,U$2)&gt;0,$A79&lt;&gt;INDEX('TRIP MANAGER'!$T$18:$T$25,U$2),$A79&lt;&gt;INDEX('TRIP MANAGER'!$U$18:$U$25,U$2)),1,0))</f>
        <v/>
      </c>
      <c r="V79">
        <f t="array" ref="V79">IF($A79="","",IF(AND(INDEX($C79:$J79,V$2)&gt;0,$A79&lt;&gt;INDEX('TRIP MANAGER'!$T$18:$T$25,V$2),$A79&lt;&gt;INDEX('TRIP MANAGER'!$U$18:$U$25,V$2)),1,0))</f>
        <v/>
      </c>
      <c r="W79">
        <f t="array" ref="W79">IF($A79="","",IF(AND(INDEX($C79:$J79,W$2)&gt;0,$A79&lt;&gt;INDEX('TRIP MANAGER'!$T$18:$T$25,W$2),$A79&lt;&gt;INDEX('TRIP MANAGER'!$U$18:$U$25,W$2)),1,0))</f>
        <v/>
      </c>
      <c r="X79">
        <f t="array" ref="X79">IF($A79="","",IF(AND(INDEX($C79:$J79,X$2)&gt;0,$A79&lt;&gt;INDEX('TRIP MANAGER'!$T$18:$T$25,X$2),$A79&lt;&gt;INDEX('TRIP MANAGER'!$U$18:$U$25,X$2)),1,0))</f>
        <v/>
      </c>
      <c r="Y79">
        <f t="array" ref="Y79">IF($A79="","",IF(AND(INDEX($C79:$J79,Y$2)&gt;0,$A79&lt;&gt;INDEX('TRIP MANAGER'!$T$18:$T$25,Y$2),$A79&lt;&gt;INDEX('TRIP MANAGER'!$U$18:$U$25,Y$2)),1,0))</f>
        <v/>
      </c>
    </row>
    <row r="80">
      <c r="A80">
        <f>IF(countries!$D79="","",countries!$D79)</f>
        <v/>
      </c>
      <c r="B80">
        <f>IF(countries!$B79="","",countries!$B79)</f>
        <v/>
      </c>
      <c r="C80">
        <f>IF($A80="","",COUNTIFS(route_calc!$A$2:$A$1209,C$2,route_calc!$P$2:$P$1209,$A80))</f>
        <v/>
      </c>
      <c r="D80">
        <f>IF($A80="","",COUNTIFS(route_calc!$A$2:$A$1209,D$2,route_calc!$P$2:$P$1209,$A80))</f>
        <v/>
      </c>
      <c r="E80">
        <f>IF($A80="","",COUNTIFS(route_calc!$A$2:$A$1209,E$2,route_calc!$P$2:$P$1209,$A80))</f>
        <v/>
      </c>
      <c r="F80">
        <f>IF($A80="","",COUNTIFS(route_calc!$A$2:$A$1209,F$2,route_calc!$P$2:$P$1209,$A80))</f>
        <v/>
      </c>
      <c r="G80">
        <f>IF($A80="","",COUNTIFS(route_calc!$A$2:$A$1209,G$2,route_calc!$P$2:$P$1209,$A80))</f>
        <v/>
      </c>
      <c r="H80">
        <f>IF($A80="","",COUNTIFS(route_calc!$A$2:$A$1209,H$2,route_calc!$P$2:$P$1209,$A80))</f>
        <v/>
      </c>
      <c r="I80">
        <f>IF($A80="","",COUNTIFS(route_calc!$A$2:$A$1209,I$2,route_calc!$P$2:$P$1209,$A80))</f>
        <v/>
      </c>
      <c r="J80">
        <f>IF($A80="","",COUNTIFS(route_calc!$A$2:$A$1209,J$2,route_calc!$P$2:$P$1209,$A80))</f>
        <v/>
      </c>
      <c r="K80">
        <f>IF($L80=0,"",_xlfn.MINIFS(route_calc!$Q$2:$Q$1209,route_calc!$P$2:$P$1209,$A80,route_calc!$A$2:$A$1209,MATCH(1,$R80:$Y80,0)))</f>
        <v/>
      </c>
      <c r="L80">
        <f>IF($A80="",0,IF(SUM($R80:$Y80)&gt;0,1,0))</f>
        <v/>
      </c>
      <c r="M80">
        <f t="array" ref="M80">IF($L80=0,"",_xlfn.TEXTJOIN(", ",TRUE,IF($R80:$Y80&gt;0,$C$1:$J$1,"")))</f>
        <v/>
      </c>
      <c r="N80">
        <f t="array" ref="N80">IF($L80=0,"",SUMPRODUCT(($L$3:$L$144=1)*($K$3:$K$144&lt;$K80))+1)</f>
        <v/>
      </c>
      <c r="O80">
        <f>IF($L80=0,"",MATCH(1,$R80:$Y80,0))</f>
        <v/>
      </c>
      <c r="P80">
        <f>IF($A80="","",IFERROR(INDEX(countries!$G:$G,MATCH($A80,countries!$D:$D,0)),""))</f>
        <v/>
      </c>
      <c r="Q80">
        <f>IF($A80="","",IFERROR(IF(INDEX(countries!$I:$I,MATCH($A80,countries!$D:$D,0))=0,"",INDEX(countries!$I:$I,MATCH($A80,countries!$D:$D,0))),""))</f>
        <v/>
      </c>
      <c r="R80">
        <f t="array" ref="R80">IF($A80="","",IF(AND(INDEX($C80:$J80,R$2)&gt;0,$A80&lt;&gt;INDEX('TRIP MANAGER'!$T$18:$T$25,R$2),$A80&lt;&gt;INDEX('TRIP MANAGER'!$U$18:$U$25,R$2)),1,0))</f>
        <v/>
      </c>
      <c r="S80">
        <f t="array" ref="S80">IF($A80="","",IF(AND(INDEX($C80:$J80,S$2)&gt;0,$A80&lt;&gt;INDEX('TRIP MANAGER'!$T$18:$T$25,S$2),$A80&lt;&gt;INDEX('TRIP MANAGER'!$U$18:$U$25,S$2)),1,0))</f>
        <v/>
      </c>
      <c r="T80">
        <f t="array" ref="T80">IF($A80="","",IF(AND(INDEX($C80:$J80,T$2)&gt;0,$A80&lt;&gt;INDEX('TRIP MANAGER'!$T$18:$T$25,T$2),$A80&lt;&gt;INDEX('TRIP MANAGER'!$U$18:$U$25,T$2)),1,0))</f>
        <v/>
      </c>
      <c r="U80">
        <f t="array" ref="U80">IF($A80="","",IF(AND(INDEX($C80:$J80,U$2)&gt;0,$A80&lt;&gt;INDEX('TRIP MANAGER'!$T$18:$T$25,U$2),$A80&lt;&gt;INDEX('TRIP MANAGER'!$U$18:$U$25,U$2)),1,0))</f>
        <v/>
      </c>
      <c r="V80">
        <f t="array" ref="V80">IF($A80="","",IF(AND(INDEX($C80:$J80,V$2)&gt;0,$A80&lt;&gt;INDEX('TRIP MANAGER'!$T$18:$T$25,V$2),$A80&lt;&gt;INDEX('TRIP MANAGER'!$U$18:$U$25,V$2)),1,0))</f>
        <v/>
      </c>
      <c r="W80">
        <f t="array" ref="W80">IF($A80="","",IF(AND(INDEX($C80:$J80,W$2)&gt;0,$A80&lt;&gt;INDEX('TRIP MANAGER'!$T$18:$T$25,W$2),$A80&lt;&gt;INDEX('TRIP MANAGER'!$U$18:$U$25,W$2)),1,0))</f>
        <v/>
      </c>
      <c r="X80">
        <f t="array" ref="X80">IF($A80="","",IF(AND(INDEX($C80:$J80,X$2)&gt;0,$A80&lt;&gt;INDEX('TRIP MANAGER'!$T$18:$T$25,X$2),$A80&lt;&gt;INDEX('TRIP MANAGER'!$U$18:$U$25,X$2)),1,0))</f>
        <v/>
      </c>
      <c r="Y80">
        <f t="array" ref="Y80">IF($A80="","",IF(AND(INDEX($C80:$J80,Y$2)&gt;0,$A80&lt;&gt;INDEX('TRIP MANAGER'!$T$18:$T$25,Y$2),$A80&lt;&gt;INDEX('TRIP MANAGER'!$U$18:$U$25,Y$2)),1,0))</f>
        <v/>
      </c>
    </row>
    <row r="81">
      <c r="A81">
        <f>IF(countries!$D80="","",countries!$D80)</f>
        <v/>
      </c>
      <c r="B81">
        <f>IF(countries!$B80="","",countries!$B80)</f>
        <v/>
      </c>
      <c r="C81">
        <f>IF($A81="","",COUNTIFS(route_calc!$A$2:$A$1209,C$2,route_calc!$P$2:$P$1209,$A81))</f>
        <v/>
      </c>
      <c r="D81">
        <f>IF($A81="","",COUNTIFS(route_calc!$A$2:$A$1209,D$2,route_calc!$P$2:$P$1209,$A81))</f>
        <v/>
      </c>
      <c r="E81">
        <f>IF($A81="","",COUNTIFS(route_calc!$A$2:$A$1209,E$2,route_calc!$P$2:$P$1209,$A81))</f>
        <v/>
      </c>
      <c r="F81">
        <f>IF($A81="","",COUNTIFS(route_calc!$A$2:$A$1209,F$2,route_calc!$P$2:$P$1209,$A81))</f>
        <v/>
      </c>
      <c r="G81">
        <f>IF($A81="","",COUNTIFS(route_calc!$A$2:$A$1209,G$2,route_calc!$P$2:$P$1209,$A81))</f>
        <v/>
      </c>
      <c r="H81">
        <f>IF($A81="","",COUNTIFS(route_calc!$A$2:$A$1209,H$2,route_calc!$P$2:$P$1209,$A81))</f>
        <v/>
      </c>
      <c r="I81">
        <f>IF($A81="","",COUNTIFS(route_calc!$A$2:$A$1209,I$2,route_calc!$P$2:$P$1209,$A81))</f>
        <v/>
      </c>
      <c r="J81">
        <f>IF($A81="","",COUNTIFS(route_calc!$A$2:$A$1209,J$2,route_calc!$P$2:$P$1209,$A81))</f>
        <v/>
      </c>
      <c r="K81">
        <f>IF($L81=0,"",_xlfn.MINIFS(route_calc!$Q$2:$Q$1209,route_calc!$P$2:$P$1209,$A81,route_calc!$A$2:$A$1209,MATCH(1,$R81:$Y81,0)))</f>
        <v/>
      </c>
      <c r="L81">
        <f>IF($A81="",0,IF(SUM($R81:$Y81)&gt;0,1,0))</f>
        <v/>
      </c>
      <c r="M81">
        <f t="array" ref="M81">IF($L81=0,"",_xlfn.TEXTJOIN(", ",TRUE,IF($R81:$Y81&gt;0,$C$1:$J$1,"")))</f>
        <v/>
      </c>
      <c r="N81">
        <f t="array" ref="N81">IF($L81=0,"",SUMPRODUCT(($L$3:$L$144=1)*($K$3:$K$144&lt;$K81))+1)</f>
        <v/>
      </c>
      <c r="O81">
        <f>IF($L81=0,"",MATCH(1,$R81:$Y81,0))</f>
        <v/>
      </c>
      <c r="P81">
        <f>IF($A81="","",IFERROR(INDEX(countries!$G:$G,MATCH($A81,countries!$D:$D,0)),""))</f>
        <v/>
      </c>
      <c r="Q81">
        <f>IF($A81="","",IFERROR(IF(INDEX(countries!$I:$I,MATCH($A81,countries!$D:$D,0))=0,"",INDEX(countries!$I:$I,MATCH($A81,countries!$D:$D,0))),""))</f>
        <v/>
      </c>
      <c r="R81">
        <f t="array" ref="R81">IF($A81="","",IF(AND(INDEX($C81:$J81,R$2)&gt;0,$A81&lt;&gt;INDEX('TRIP MANAGER'!$T$18:$T$25,R$2),$A81&lt;&gt;INDEX('TRIP MANAGER'!$U$18:$U$25,R$2)),1,0))</f>
        <v/>
      </c>
      <c r="S81">
        <f t="array" ref="S81">IF($A81="","",IF(AND(INDEX($C81:$J81,S$2)&gt;0,$A81&lt;&gt;INDEX('TRIP MANAGER'!$T$18:$T$25,S$2),$A81&lt;&gt;INDEX('TRIP MANAGER'!$U$18:$U$25,S$2)),1,0))</f>
        <v/>
      </c>
      <c r="T81">
        <f t="array" ref="T81">IF($A81="","",IF(AND(INDEX($C81:$J81,T$2)&gt;0,$A81&lt;&gt;INDEX('TRIP MANAGER'!$T$18:$T$25,T$2),$A81&lt;&gt;INDEX('TRIP MANAGER'!$U$18:$U$25,T$2)),1,0))</f>
        <v/>
      </c>
      <c r="U81">
        <f t="array" ref="U81">IF($A81="","",IF(AND(INDEX($C81:$J81,U$2)&gt;0,$A81&lt;&gt;INDEX('TRIP MANAGER'!$T$18:$T$25,U$2),$A81&lt;&gt;INDEX('TRIP MANAGER'!$U$18:$U$25,U$2)),1,0))</f>
        <v/>
      </c>
      <c r="V81">
        <f t="array" ref="V81">IF($A81="","",IF(AND(INDEX($C81:$J81,V$2)&gt;0,$A81&lt;&gt;INDEX('TRIP MANAGER'!$T$18:$T$25,V$2),$A81&lt;&gt;INDEX('TRIP MANAGER'!$U$18:$U$25,V$2)),1,0))</f>
        <v/>
      </c>
      <c r="W81">
        <f t="array" ref="W81">IF($A81="","",IF(AND(INDEX($C81:$J81,W$2)&gt;0,$A81&lt;&gt;INDEX('TRIP MANAGER'!$T$18:$T$25,W$2),$A81&lt;&gt;INDEX('TRIP MANAGER'!$U$18:$U$25,W$2)),1,0))</f>
        <v/>
      </c>
      <c r="X81">
        <f t="array" ref="X81">IF($A81="","",IF(AND(INDEX($C81:$J81,X$2)&gt;0,$A81&lt;&gt;INDEX('TRIP MANAGER'!$T$18:$T$25,X$2),$A81&lt;&gt;INDEX('TRIP MANAGER'!$U$18:$U$25,X$2)),1,0))</f>
        <v/>
      </c>
      <c r="Y81">
        <f t="array" ref="Y81">IF($A81="","",IF(AND(INDEX($C81:$J81,Y$2)&gt;0,$A81&lt;&gt;INDEX('TRIP MANAGER'!$T$18:$T$25,Y$2),$A81&lt;&gt;INDEX('TRIP MANAGER'!$U$18:$U$25,Y$2)),1,0))</f>
        <v/>
      </c>
    </row>
    <row r="82">
      <c r="A82">
        <f>IF(countries!$D81="","",countries!$D81)</f>
        <v/>
      </c>
      <c r="B82">
        <f>IF(countries!$B81="","",countries!$B81)</f>
        <v/>
      </c>
      <c r="C82">
        <f>IF($A82="","",COUNTIFS(route_calc!$A$2:$A$1209,C$2,route_calc!$P$2:$P$1209,$A82))</f>
        <v/>
      </c>
      <c r="D82">
        <f>IF($A82="","",COUNTIFS(route_calc!$A$2:$A$1209,D$2,route_calc!$P$2:$P$1209,$A82))</f>
        <v/>
      </c>
      <c r="E82">
        <f>IF($A82="","",COUNTIFS(route_calc!$A$2:$A$1209,E$2,route_calc!$P$2:$P$1209,$A82))</f>
        <v/>
      </c>
      <c r="F82">
        <f>IF($A82="","",COUNTIFS(route_calc!$A$2:$A$1209,F$2,route_calc!$P$2:$P$1209,$A82))</f>
        <v/>
      </c>
      <c r="G82">
        <f>IF($A82="","",COUNTIFS(route_calc!$A$2:$A$1209,G$2,route_calc!$P$2:$P$1209,$A82))</f>
        <v/>
      </c>
      <c r="H82">
        <f>IF($A82="","",COUNTIFS(route_calc!$A$2:$A$1209,H$2,route_calc!$P$2:$P$1209,$A82))</f>
        <v/>
      </c>
      <c r="I82">
        <f>IF($A82="","",COUNTIFS(route_calc!$A$2:$A$1209,I$2,route_calc!$P$2:$P$1209,$A82))</f>
        <v/>
      </c>
      <c r="J82">
        <f>IF($A82="","",COUNTIFS(route_calc!$A$2:$A$1209,J$2,route_calc!$P$2:$P$1209,$A82))</f>
        <v/>
      </c>
      <c r="K82">
        <f>IF($L82=0,"",_xlfn.MINIFS(route_calc!$Q$2:$Q$1209,route_calc!$P$2:$P$1209,$A82,route_calc!$A$2:$A$1209,MATCH(1,$R82:$Y82,0)))</f>
        <v/>
      </c>
      <c r="L82">
        <f>IF($A82="",0,IF(SUM($R82:$Y82)&gt;0,1,0))</f>
        <v/>
      </c>
      <c r="M82">
        <f t="array" ref="M82">IF($L82=0,"",_xlfn.TEXTJOIN(", ",TRUE,IF($R82:$Y82&gt;0,$C$1:$J$1,"")))</f>
        <v/>
      </c>
      <c r="N82">
        <f t="array" ref="N82">IF($L82=0,"",SUMPRODUCT(($L$3:$L$144=1)*($K$3:$K$144&lt;$K82))+1)</f>
        <v/>
      </c>
      <c r="O82">
        <f>IF($L82=0,"",MATCH(1,$R82:$Y82,0))</f>
        <v/>
      </c>
      <c r="P82">
        <f>IF($A82="","",IFERROR(INDEX(countries!$G:$G,MATCH($A82,countries!$D:$D,0)),""))</f>
        <v/>
      </c>
      <c r="Q82">
        <f>IF($A82="","",IFERROR(IF(INDEX(countries!$I:$I,MATCH($A82,countries!$D:$D,0))=0,"",INDEX(countries!$I:$I,MATCH($A82,countries!$D:$D,0))),""))</f>
        <v/>
      </c>
      <c r="R82">
        <f t="array" ref="R82">IF($A82="","",IF(AND(INDEX($C82:$J82,R$2)&gt;0,$A82&lt;&gt;INDEX('TRIP MANAGER'!$T$18:$T$25,R$2),$A82&lt;&gt;INDEX('TRIP MANAGER'!$U$18:$U$25,R$2)),1,0))</f>
        <v/>
      </c>
      <c r="S82">
        <f t="array" ref="S82">IF($A82="","",IF(AND(INDEX($C82:$J82,S$2)&gt;0,$A82&lt;&gt;INDEX('TRIP MANAGER'!$T$18:$T$25,S$2),$A82&lt;&gt;INDEX('TRIP MANAGER'!$U$18:$U$25,S$2)),1,0))</f>
        <v/>
      </c>
      <c r="T82">
        <f t="array" ref="T82">IF($A82="","",IF(AND(INDEX($C82:$J82,T$2)&gt;0,$A82&lt;&gt;INDEX('TRIP MANAGER'!$T$18:$T$25,T$2),$A82&lt;&gt;INDEX('TRIP MANAGER'!$U$18:$U$25,T$2)),1,0))</f>
        <v/>
      </c>
      <c r="U82">
        <f t="array" ref="U82">IF($A82="","",IF(AND(INDEX($C82:$J82,U$2)&gt;0,$A82&lt;&gt;INDEX('TRIP MANAGER'!$T$18:$T$25,U$2),$A82&lt;&gt;INDEX('TRIP MANAGER'!$U$18:$U$25,U$2)),1,0))</f>
        <v/>
      </c>
      <c r="V82">
        <f t="array" ref="V82">IF($A82="","",IF(AND(INDEX($C82:$J82,V$2)&gt;0,$A82&lt;&gt;INDEX('TRIP MANAGER'!$T$18:$T$25,V$2),$A82&lt;&gt;INDEX('TRIP MANAGER'!$U$18:$U$25,V$2)),1,0))</f>
        <v/>
      </c>
      <c r="W82">
        <f t="array" ref="W82">IF($A82="","",IF(AND(INDEX($C82:$J82,W$2)&gt;0,$A82&lt;&gt;INDEX('TRIP MANAGER'!$T$18:$T$25,W$2),$A82&lt;&gt;INDEX('TRIP MANAGER'!$U$18:$U$25,W$2)),1,0))</f>
        <v/>
      </c>
      <c r="X82">
        <f t="array" ref="X82">IF($A82="","",IF(AND(INDEX($C82:$J82,X$2)&gt;0,$A82&lt;&gt;INDEX('TRIP MANAGER'!$T$18:$T$25,X$2),$A82&lt;&gt;INDEX('TRIP MANAGER'!$U$18:$U$25,X$2)),1,0))</f>
        <v/>
      </c>
      <c r="Y82">
        <f t="array" ref="Y82">IF($A82="","",IF(AND(INDEX($C82:$J82,Y$2)&gt;0,$A82&lt;&gt;INDEX('TRIP MANAGER'!$T$18:$T$25,Y$2),$A82&lt;&gt;INDEX('TRIP MANAGER'!$U$18:$U$25,Y$2)),1,0))</f>
        <v/>
      </c>
    </row>
    <row r="83">
      <c r="A83">
        <f>IF(countries!$D82="","",countries!$D82)</f>
        <v/>
      </c>
      <c r="B83">
        <f>IF(countries!$B82="","",countries!$B82)</f>
        <v/>
      </c>
      <c r="C83">
        <f>IF($A83="","",COUNTIFS(route_calc!$A$2:$A$1209,C$2,route_calc!$P$2:$P$1209,$A83))</f>
        <v/>
      </c>
      <c r="D83">
        <f>IF($A83="","",COUNTIFS(route_calc!$A$2:$A$1209,D$2,route_calc!$P$2:$P$1209,$A83))</f>
        <v/>
      </c>
      <c r="E83">
        <f>IF($A83="","",COUNTIFS(route_calc!$A$2:$A$1209,E$2,route_calc!$P$2:$P$1209,$A83))</f>
        <v/>
      </c>
      <c r="F83">
        <f>IF($A83="","",COUNTIFS(route_calc!$A$2:$A$1209,F$2,route_calc!$P$2:$P$1209,$A83))</f>
        <v/>
      </c>
      <c r="G83">
        <f>IF($A83="","",COUNTIFS(route_calc!$A$2:$A$1209,G$2,route_calc!$P$2:$P$1209,$A83))</f>
        <v/>
      </c>
      <c r="H83">
        <f>IF($A83="","",COUNTIFS(route_calc!$A$2:$A$1209,H$2,route_calc!$P$2:$P$1209,$A83))</f>
        <v/>
      </c>
      <c r="I83">
        <f>IF($A83="","",COUNTIFS(route_calc!$A$2:$A$1209,I$2,route_calc!$P$2:$P$1209,$A83))</f>
        <v/>
      </c>
      <c r="J83">
        <f>IF($A83="","",COUNTIFS(route_calc!$A$2:$A$1209,J$2,route_calc!$P$2:$P$1209,$A83))</f>
        <v/>
      </c>
      <c r="K83">
        <f>IF($L83=0,"",_xlfn.MINIFS(route_calc!$Q$2:$Q$1209,route_calc!$P$2:$P$1209,$A83,route_calc!$A$2:$A$1209,MATCH(1,$R83:$Y83,0)))</f>
        <v/>
      </c>
      <c r="L83">
        <f>IF($A83="",0,IF(SUM($R83:$Y83)&gt;0,1,0))</f>
        <v/>
      </c>
      <c r="M83">
        <f t="array" ref="M83">IF($L83=0,"",_xlfn.TEXTJOIN(", ",TRUE,IF($R83:$Y83&gt;0,$C$1:$J$1,"")))</f>
        <v/>
      </c>
      <c r="N83">
        <f t="array" ref="N83">IF($L83=0,"",SUMPRODUCT(($L$3:$L$144=1)*($K$3:$K$144&lt;$K83))+1)</f>
        <v/>
      </c>
      <c r="O83">
        <f>IF($L83=0,"",MATCH(1,$R83:$Y83,0))</f>
        <v/>
      </c>
      <c r="P83">
        <f>IF($A83="","",IFERROR(INDEX(countries!$G:$G,MATCH($A83,countries!$D:$D,0)),""))</f>
        <v/>
      </c>
      <c r="Q83">
        <f>IF($A83="","",IFERROR(IF(INDEX(countries!$I:$I,MATCH($A83,countries!$D:$D,0))=0,"",INDEX(countries!$I:$I,MATCH($A83,countries!$D:$D,0))),""))</f>
        <v/>
      </c>
      <c r="R83">
        <f t="array" ref="R83">IF($A83="","",IF(AND(INDEX($C83:$J83,R$2)&gt;0,$A83&lt;&gt;INDEX('TRIP MANAGER'!$T$18:$T$25,R$2),$A83&lt;&gt;INDEX('TRIP MANAGER'!$U$18:$U$25,R$2)),1,0))</f>
        <v/>
      </c>
      <c r="S83">
        <f t="array" ref="S83">IF($A83="","",IF(AND(INDEX($C83:$J83,S$2)&gt;0,$A83&lt;&gt;INDEX('TRIP MANAGER'!$T$18:$T$25,S$2),$A83&lt;&gt;INDEX('TRIP MANAGER'!$U$18:$U$25,S$2)),1,0))</f>
        <v/>
      </c>
      <c r="T83">
        <f t="array" ref="T83">IF($A83="","",IF(AND(INDEX($C83:$J83,T$2)&gt;0,$A83&lt;&gt;INDEX('TRIP MANAGER'!$T$18:$T$25,T$2),$A83&lt;&gt;INDEX('TRIP MANAGER'!$U$18:$U$25,T$2)),1,0))</f>
        <v/>
      </c>
      <c r="U83">
        <f t="array" ref="U83">IF($A83="","",IF(AND(INDEX($C83:$J83,U$2)&gt;0,$A83&lt;&gt;INDEX('TRIP MANAGER'!$T$18:$T$25,U$2),$A83&lt;&gt;INDEX('TRIP MANAGER'!$U$18:$U$25,U$2)),1,0))</f>
        <v/>
      </c>
      <c r="V83">
        <f t="array" ref="V83">IF($A83="","",IF(AND(INDEX($C83:$J83,V$2)&gt;0,$A83&lt;&gt;INDEX('TRIP MANAGER'!$T$18:$T$25,V$2),$A83&lt;&gt;INDEX('TRIP MANAGER'!$U$18:$U$25,V$2)),1,0))</f>
        <v/>
      </c>
      <c r="W83">
        <f t="array" ref="W83">IF($A83="","",IF(AND(INDEX($C83:$J83,W$2)&gt;0,$A83&lt;&gt;INDEX('TRIP MANAGER'!$T$18:$T$25,W$2),$A83&lt;&gt;INDEX('TRIP MANAGER'!$U$18:$U$25,W$2)),1,0))</f>
        <v/>
      </c>
      <c r="X83">
        <f t="array" ref="X83">IF($A83="","",IF(AND(INDEX($C83:$J83,X$2)&gt;0,$A83&lt;&gt;INDEX('TRIP MANAGER'!$T$18:$T$25,X$2),$A83&lt;&gt;INDEX('TRIP MANAGER'!$U$18:$U$25,X$2)),1,0))</f>
        <v/>
      </c>
      <c r="Y83">
        <f t="array" ref="Y83">IF($A83="","",IF(AND(INDEX($C83:$J83,Y$2)&gt;0,$A83&lt;&gt;INDEX('TRIP MANAGER'!$T$18:$T$25,Y$2),$A83&lt;&gt;INDEX('TRIP MANAGER'!$U$18:$U$25,Y$2)),1,0))</f>
        <v/>
      </c>
    </row>
    <row r="84">
      <c r="A84">
        <f>IF(countries!$D83="","",countries!$D83)</f>
        <v/>
      </c>
      <c r="B84">
        <f>IF(countries!$B83="","",countries!$B83)</f>
        <v/>
      </c>
      <c r="C84">
        <f>IF($A84="","",COUNTIFS(route_calc!$A$2:$A$1209,C$2,route_calc!$P$2:$P$1209,$A84))</f>
        <v/>
      </c>
      <c r="D84">
        <f>IF($A84="","",COUNTIFS(route_calc!$A$2:$A$1209,D$2,route_calc!$P$2:$P$1209,$A84))</f>
        <v/>
      </c>
      <c r="E84">
        <f>IF($A84="","",COUNTIFS(route_calc!$A$2:$A$1209,E$2,route_calc!$P$2:$P$1209,$A84))</f>
        <v/>
      </c>
      <c r="F84">
        <f>IF($A84="","",COUNTIFS(route_calc!$A$2:$A$1209,F$2,route_calc!$P$2:$P$1209,$A84))</f>
        <v/>
      </c>
      <c r="G84">
        <f>IF($A84="","",COUNTIFS(route_calc!$A$2:$A$1209,G$2,route_calc!$P$2:$P$1209,$A84))</f>
        <v/>
      </c>
      <c r="H84">
        <f>IF($A84="","",COUNTIFS(route_calc!$A$2:$A$1209,H$2,route_calc!$P$2:$P$1209,$A84))</f>
        <v/>
      </c>
      <c r="I84">
        <f>IF($A84="","",COUNTIFS(route_calc!$A$2:$A$1209,I$2,route_calc!$P$2:$P$1209,$A84))</f>
        <v/>
      </c>
      <c r="J84">
        <f>IF($A84="","",COUNTIFS(route_calc!$A$2:$A$1209,J$2,route_calc!$P$2:$P$1209,$A84))</f>
        <v/>
      </c>
      <c r="K84">
        <f>IF($L84=0,"",_xlfn.MINIFS(route_calc!$Q$2:$Q$1209,route_calc!$P$2:$P$1209,$A84,route_calc!$A$2:$A$1209,MATCH(1,$R84:$Y84,0)))</f>
        <v/>
      </c>
      <c r="L84">
        <f>IF($A84="",0,IF(SUM($R84:$Y84)&gt;0,1,0))</f>
        <v/>
      </c>
      <c r="M84">
        <f t="array" ref="M84">IF($L84=0,"",_xlfn.TEXTJOIN(", ",TRUE,IF($R84:$Y84&gt;0,$C$1:$J$1,"")))</f>
        <v/>
      </c>
      <c r="N84">
        <f t="array" ref="N84">IF($L84=0,"",SUMPRODUCT(($L$3:$L$144=1)*($K$3:$K$144&lt;$K84))+1)</f>
        <v/>
      </c>
      <c r="O84">
        <f>IF($L84=0,"",MATCH(1,$R84:$Y84,0))</f>
        <v/>
      </c>
      <c r="P84">
        <f>IF($A84="","",IFERROR(INDEX(countries!$G:$G,MATCH($A84,countries!$D:$D,0)),""))</f>
        <v/>
      </c>
      <c r="Q84">
        <f>IF($A84="","",IFERROR(IF(INDEX(countries!$I:$I,MATCH($A84,countries!$D:$D,0))=0,"",INDEX(countries!$I:$I,MATCH($A84,countries!$D:$D,0))),""))</f>
        <v/>
      </c>
      <c r="R84">
        <f t="array" ref="R84">IF($A84="","",IF(AND(INDEX($C84:$J84,R$2)&gt;0,$A84&lt;&gt;INDEX('TRIP MANAGER'!$T$18:$T$25,R$2),$A84&lt;&gt;INDEX('TRIP MANAGER'!$U$18:$U$25,R$2)),1,0))</f>
        <v/>
      </c>
      <c r="S84">
        <f t="array" ref="S84">IF($A84="","",IF(AND(INDEX($C84:$J84,S$2)&gt;0,$A84&lt;&gt;INDEX('TRIP MANAGER'!$T$18:$T$25,S$2),$A84&lt;&gt;INDEX('TRIP MANAGER'!$U$18:$U$25,S$2)),1,0))</f>
        <v/>
      </c>
      <c r="T84">
        <f t="array" ref="T84">IF($A84="","",IF(AND(INDEX($C84:$J84,T$2)&gt;0,$A84&lt;&gt;INDEX('TRIP MANAGER'!$T$18:$T$25,T$2),$A84&lt;&gt;INDEX('TRIP MANAGER'!$U$18:$U$25,T$2)),1,0))</f>
        <v/>
      </c>
      <c r="U84">
        <f t="array" ref="U84">IF($A84="","",IF(AND(INDEX($C84:$J84,U$2)&gt;0,$A84&lt;&gt;INDEX('TRIP MANAGER'!$T$18:$T$25,U$2),$A84&lt;&gt;INDEX('TRIP MANAGER'!$U$18:$U$25,U$2)),1,0))</f>
        <v/>
      </c>
      <c r="V84">
        <f t="array" ref="V84">IF($A84="","",IF(AND(INDEX($C84:$J84,V$2)&gt;0,$A84&lt;&gt;INDEX('TRIP MANAGER'!$T$18:$T$25,V$2),$A84&lt;&gt;INDEX('TRIP MANAGER'!$U$18:$U$25,V$2)),1,0))</f>
        <v/>
      </c>
      <c r="W84">
        <f t="array" ref="W84">IF($A84="","",IF(AND(INDEX($C84:$J84,W$2)&gt;0,$A84&lt;&gt;INDEX('TRIP MANAGER'!$T$18:$T$25,W$2),$A84&lt;&gt;INDEX('TRIP MANAGER'!$U$18:$U$25,W$2)),1,0))</f>
        <v/>
      </c>
      <c r="X84">
        <f t="array" ref="X84">IF($A84="","",IF(AND(INDEX($C84:$J84,X$2)&gt;0,$A84&lt;&gt;INDEX('TRIP MANAGER'!$T$18:$T$25,X$2),$A84&lt;&gt;INDEX('TRIP MANAGER'!$U$18:$U$25,X$2)),1,0))</f>
        <v/>
      </c>
      <c r="Y84">
        <f t="array" ref="Y84">IF($A84="","",IF(AND(INDEX($C84:$J84,Y$2)&gt;0,$A84&lt;&gt;INDEX('TRIP MANAGER'!$T$18:$T$25,Y$2),$A84&lt;&gt;INDEX('TRIP MANAGER'!$U$18:$U$25,Y$2)),1,0))</f>
        <v/>
      </c>
    </row>
    <row r="85">
      <c r="A85">
        <f>IF(countries!$D84="","",countries!$D84)</f>
        <v/>
      </c>
      <c r="B85">
        <f>IF(countries!$B84="","",countries!$B84)</f>
        <v/>
      </c>
      <c r="C85">
        <f>IF($A85="","",COUNTIFS(route_calc!$A$2:$A$1209,C$2,route_calc!$P$2:$P$1209,$A85))</f>
        <v/>
      </c>
      <c r="D85">
        <f>IF($A85="","",COUNTIFS(route_calc!$A$2:$A$1209,D$2,route_calc!$P$2:$P$1209,$A85))</f>
        <v/>
      </c>
      <c r="E85">
        <f>IF($A85="","",COUNTIFS(route_calc!$A$2:$A$1209,E$2,route_calc!$P$2:$P$1209,$A85))</f>
        <v/>
      </c>
      <c r="F85">
        <f>IF($A85="","",COUNTIFS(route_calc!$A$2:$A$1209,F$2,route_calc!$P$2:$P$1209,$A85))</f>
        <v/>
      </c>
      <c r="G85">
        <f>IF($A85="","",COUNTIFS(route_calc!$A$2:$A$1209,G$2,route_calc!$P$2:$P$1209,$A85))</f>
        <v/>
      </c>
      <c r="H85">
        <f>IF($A85="","",COUNTIFS(route_calc!$A$2:$A$1209,H$2,route_calc!$P$2:$P$1209,$A85))</f>
        <v/>
      </c>
      <c r="I85">
        <f>IF($A85="","",COUNTIFS(route_calc!$A$2:$A$1209,I$2,route_calc!$P$2:$P$1209,$A85))</f>
        <v/>
      </c>
      <c r="J85">
        <f>IF($A85="","",COUNTIFS(route_calc!$A$2:$A$1209,J$2,route_calc!$P$2:$P$1209,$A85))</f>
        <v/>
      </c>
      <c r="K85">
        <f>IF($L85=0,"",_xlfn.MINIFS(route_calc!$Q$2:$Q$1209,route_calc!$P$2:$P$1209,$A85,route_calc!$A$2:$A$1209,MATCH(1,$R85:$Y85,0)))</f>
        <v/>
      </c>
      <c r="L85">
        <f>IF($A85="",0,IF(SUM($R85:$Y85)&gt;0,1,0))</f>
        <v/>
      </c>
      <c r="M85">
        <f t="array" ref="M85">IF($L85=0,"",_xlfn.TEXTJOIN(", ",TRUE,IF($R85:$Y85&gt;0,$C$1:$J$1,"")))</f>
        <v/>
      </c>
      <c r="N85">
        <f t="array" ref="N85">IF($L85=0,"",SUMPRODUCT(($L$3:$L$144=1)*($K$3:$K$144&lt;$K85))+1)</f>
        <v/>
      </c>
      <c r="O85">
        <f>IF($L85=0,"",MATCH(1,$R85:$Y85,0))</f>
        <v/>
      </c>
      <c r="P85">
        <f>IF($A85="","",IFERROR(INDEX(countries!$G:$G,MATCH($A85,countries!$D:$D,0)),""))</f>
        <v/>
      </c>
      <c r="Q85">
        <f>IF($A85="","",IFERROR(IF(INDEX(countries!$I:$I,MATCH($A85,countries!$D:$D,0))=0,"",INDEX(countries!$I:$I,MATCH($A85,countries!$D:$D,0))),""))</f>
        <v/>
      </c>
      <c r="R85">
        <f t="array" ref="R85">IF($A85="","",IF(AND(INDEX($C85:$J85,R$2)&gt;0,$A85&lt;&gt;INDEX('TRIP MANAGER'!$T$18:$T$25,R$2),$A85&lt;&gt;INDEX('TRIP MANAGER'!$U$18:$U$25,R$2)),1,0))</f>
        <v/>
      </c>
      <c r="S85">
        <f t="array" ref="S85">IF($A85="","",IF(AND(INDEX($C85:$J85,S$2)&gt;0,$A85&lt;&gt;INDEX('TRIP MANAGER'!$T$18:$T$25,S$2),$A85&lt;&gt;INDEX('TRIP MANAGER'!$U$18:$U$25,S$2)),1,0))</f>
        <v/>
      </c>
      <c r="T85">
        <f t="array" ref="T85">IF($A85="","",IF(AND(INDEX($C85:$J85,T$2)&gt;0,$A85&lt;&gt;INDEX('TRIP MANAGER'!$T$18:$T$25,T$2),$A85&lt;&gt;INDEX('TRIP MANAGER'!$U$18:$U$25,T$2)),1,0))</f>
        <v/>
      </c>
      <c r="U85">
        <f t="array" ref="U85">IF($A85="","",IF(AND(INDEX($C85:$J85,U$2)&gt;0,$A85&lt;&gt;INDEX('TRIP MANAGER'!$T$18:$T$25,U$2),$A85&lt;&gt;INDEX('TRIP MANAGER'!$U$18:$U$25,U$2)),1,0))</f>
        <v/>
      </c>
      <c r="V85">
        <f t="array" ref="V85">IF($A85="","",IF(AND(INDEX($C85:$J85,V$2)&gt;0,$A85&lt;&gt;INDEX('TRIP MANAGER'!$T$18:$T$25,V$2),$A85&lt;&gt;INDEX('TRIP MANAGER'!$U$18:$U$25,V$2)),1,0))</f>
        <v/>
      </c>
      <c r="W85">
        <f t="array" ref="W85">IF($A85="","",IF(AND(INDEX($C85:$J85,W$2)&gt;0,$A85&lt;&gt;INDEX('TRIP MANAGER'!$T$18:$T$25,W$2),$A85&lt;&gt;INDEX('TRIP MANAGER'!$U$18:$U$25,W$2)),1,0))</f>
        <v/>
      </c>
      <c r="X85">
        <f t="array" ref="X85">IF($A85="","",IF(AND(INDEX($C85:$J85,X$2)&gt;0,$A85&lt;&gt;INDEX('TRIP MANAGER'!$T$18:$T$25,X$2),$A85&lt;&gt;INDEX('TRIP MANAGER'!$U$18:$U$25,X$2)),1,0))</f>
        <v/>
      </c>
      <c r="Y85">
        <f t="array" ref="Y85">IF($A85="","",IF(AND(INDEX($C85:$J85,Y$2)&gt;0,$A85&lt;&gt;INDEX('TRIP MANAGER'!$T$18:$T$25,Y$2),$A85&lt;&gt;INDEX('TRIP MANAGER'!$U$18:$U$25,Y$2)),1,0))</f>
        <v/>
      </c>
    </row>
    <row r="86">
      <c r="A86">
        <f>IF(countries!$D85="","",countries!$D85)</f>
        <v/>
      </c>
      <c r="B86">
        <f>IF(countries!$B85="","",countries!$B85)</f>
        <v/>
      </c>
      <c r="C86">
        <f>IF($A86="","",COUNTIFS(route_calc!$A$2:$A$1209,C$2,route_calc!$P$2:$P$1209,$A86))</f>
        <v/>
      </c>
      <c r="D86">
        <f>IF($A86="","",COUNTIFS(route_calc!$A$2:$A$1209,D$2,route_calc!$P$2:$P$1209,$A86))</f>
        <v/>
      </c>
      <c r="E86">
        <f>IF($A86="","",COUNTIFS(route_calc!$A$2:$A$1209,E$2,route_calc!$P$2:$P$1209,$A86))</f>
        <v/>
      </c>
      <c r="F86">
        <f>IF($A86="","",COUNTIFS(route_calc!$A$2:$A$1209,F$2,route_calc!$P$2:$P$1209,$A86))</f>
        <v/>
      </c>
      <c r="G86">
        <f>IF($A86="","",COUNTIFS(route_calc!$A$2:$A$1209,G$2,route_calc!$P$2:$P$1209,$A86))</f>
        <v/>
      </c>
      <c r="H86">
        <f>IF($A86="","",COUNTIFS(route_calc!$A$2:$A$1209,H$2,route_calc!$P$2:$P$1209,$A86))</f>
        <v/>
      </c>
      <c r="I86">
        <f>IF($A86="","",COUNTIFS(route_calc!$A$2:$A$1209,I$2,route_calc!$P$2:$P$1209,$A86))</f>
        <v/>
      </c>
      <c r="J86">
        <f>IF($A86="","",COUNTIFS(route_calc!$A$2:$A$1209,J$2,route_calc!$P$2:$P$1209,$A86))</f>
        <v/>
      </c>
      <c r="K86">
        <f>IF($L86=0,"",_xlfn.MINIFS(route_calc!$Q$2:$Q$1209,route_calc!$P$2:$P$1209,$A86,route_calc!$A$2:$A$1209,MATCH(1,$R86:$Y86,0)))</f>
        <v/>
      </c>
      <c r="L86">
        <f>IF($A86="",0,IF(SUM($R86:$Y86)&gt;0,1,0))</f>
        <v/>
      </c>
      <c r="M86">
        <f t="array" ref="M86">IF($L86=0,"",_xlfn.TEXTJOIN(", ",TRUE,IF($R86:$Y86&gt;0,$C$1:$J$1,"")))</f>
        <v/>
      </c>
      <c r="N86">
        <f t="array" ref="N86">IF($L86=0,"",SUMPRODUCT(($L$3:$L$144=1)*($K$3:$K$144&lt;$K86))+1)</f>
        <v/>
      </c>
      <c r="O86">
        <f>IF($L86=0,"",MATCH(1,$R86:$Y86,0))</f>
        <v/>
      </c>
      <c r="P86">
        <f>IF($A86="","",IFERROR(INDEX(countries!$G:$G,MATCH($A86,countries!$D:$D,0)),""))</f>
        <v/>
      </c>
      <c r="Q86">
        <f>IF($A86="","",IFERROR(IF(INDEX(countries!$I:$I,MATCH($A86,countries!$D:$D,0))=0,"",INDEX(countries!$I:$I,MATCH($A86,countries!$D:$D,0))),""))</f>
        <v/>
      </c>
      <c r="R86">
        <f t="array" ref="R86">IF($A86="","",IF(AND(INDEX($C86:$J86,R$2)&gt;0,$A86&lt;&gt;INDEX('TRIP MANAGER'!$T$18:$T$25,R$2),$A86&lt;&gt;INDEX('TRIP MANAGER'!$U$18:$U$25,R$2)),1,0))</f>
        <v/>
      </c>
      <c r="S86">
        <f t="array" ref="S86">IF($A86="","",IF(AND(INDEX($C86:$J86,S$2)&gt;0,$A86&lt;&gt;INDEX('TRIP MANAGER'!$T$18:$T$25,S$2),$A86&lt;&gt;INDEX('TRIP MANAGER'!$U$18:$U$25,S$2)),1,0))</f>
        <v/>
      </c>
      <c r="T86">
        <f t="array" ref="T86">IF($A86="","",IF(AND(INDEX($C86:$J86,T$2)&gt;0,$A86&lt;&gt;INDEX('TRIP MANAGER'!$T$18:$T$25,T$2),$A86&lt;&gt;INDEX('TRIP MANAGER'!$U$18:$U$25,T$2)),1,0))</f>
        <v/>
      </c>
      <c r="U86">
        <f t="array" ref="U86">IF($A86="","",IF(AND(INDEX($C86:$J86,U$2)&gt;0,$A86&lt;&gt;INDEX('TRIP MANAGER'!$T$18:$T$25,U$2),$A86&lt;&gt;INDEX('TRIP MANAGER'!$U$18:$U$25,U$2)),1,0))</f>
        <v/>
      </c>
      <c r="V86">
        <f t="array" ref="V86">IF($A86="","",IF(AND(INDEX($C86:$J86,V$2)&gt;0,$A86&lt;&gt;INDEX('TRIP MANAGER'!$T$18:$T$25,V$2),$A86&lt;&gt;INDEX('TRIP MANAGER'!$U$18:$U$25,V$2)),1,0))</f>
        <v/>
      </c>
      <c r="W86">
        <f t="array" ref="W86">IF($A86="","",IF(AND(INDEX($C86:$J86,W$2)&gt;0,$A86&lt;&gt;INDEX('TRIP MANAGER'!$T$18:$T$25,W$2),$A86&lt;&gt;INDEX('TRIP MANAGER'!$U$18:$U$25,W$2)),1,0))</f>
        <v/>
      </c>
      <c r="X86">
        <f t="array" ref="X86">IF($A86="","",IF(AND(INDEX($C86:$J86,X$2)&gt;0,$A86&lt;&gt;INDEX('TRIP MANAGER'!$T$18:$T$25,X$2),$A86&lt;&gt;INDEX('TRIP MANAGER'!$U$18:$U$25,X$2)),1,0))</f>
        <v/>
      </c>
      <c r="Y86">
        <f t="array" ref="Y86">IF($A86="","",IF(AND(INDEX($C86:$J86,Y$2)&gt;0,$A86&lt;&gt;INDEX('TRIP MANAGER'!$T$18:$T$25,Y$2),$A86&lt;&gt;INDEX('TRIP MANAGER'!$U$18:$U$25,Y$2)),1,0))</f>
        <v/>
      </c>
    </row>
    <row r="87">
      <c r="A87">
        <f>IF(countries!$D86="","",countries!$D86)</f>
        <v/>
      </c>
      <c r="B87">
        <f>IF(countries!$B86="","",countries!$B86)</f>
        <v/>
      </c>
      <c r="C87">
        <f>IF($A87="","",COUNTIFS(route_calc!$A$2:$A$1209,C$2,route_calc!$P$2:$P$1209,$A87))</f>
        <v/>
      </c>
      <c r="D87">
        <f>IF($A87="","",COUNTIFS(route_calc!$A$2:$A$1209,D$2,route_calc!$P$2:$P$1209,$A87))</f>
        <v/>
      </c>
      <c r="E87">
        <f>IF($A87="","",COUNTIFS(route_calc!$A$2:$A$1209,E$2,route_calc!$P$2:$P$1209,$A87))</f>
        <v/>
      </c>
      <c r="F87">
        <f>IF($A87="","",COUNTIFS(route_calc!$A$2:$A$1209,F$2,route_calc!$P$2:$P$1209,$A87))</f>
        <v/>
      </c>
      <c r="G87">
        <f>IF($A87="","",COUNTIFS(route_calc!$A$2:$A$1209,G$2,route_calc!$P$2:$P$1209,$A87))</f>
        <v/>
      </c>
      <c r="H87">
        <f>IF($A87="","",COUNTIFS(route_calc!$A$2:$A$1209,H$2,route_calc!$P$2:$P$1209,$A87))</f>
        <v/>
      </c>
      <c r="I87">
        <f>IF($A87="","",COUNTIFS(route_calc!$A$2:$A$1209,I$2,route_calc!$P$2:$P$1209,$A87))</f>
        <v/>
      </c>
      <c r="J87">
        <f>IF($A87="","",COUNTIFS(route_calc!$A$2:$A$1209,J$2,route_calc!$P$2:$P$1209,$A87))</f>
        <v/>
      </c>
      <c r="K87">
        <f>IF($L87=0,"",_xlfn.MINIFS(route_calc!$Q$2:$Q$1209,route_calc!$P$2:$P$1209,$A87,route_calc!$A$2:$A$1209,MATCH(1,$R87:$Y87,0)))</f>
        <v/>
      </c>
      <c r="L87">
        <f>IF($A87="",0,IF(SUM($R87:$Y87)&gt;0,1,0))</f>
        <v/>
      </c>
      <c r="M87">
        <f t="array" ref="M87">IF($L87=0,"",_xlfn.TEXTJOIN(", ",TRUE,IF($R87:$Y87&gt;0,$C$1:$J$1,"")))</f>
        <v/>
      </c>
      <c r="N87">
        <f t="array" ref="N87">IF($L87=0,"",SUMPRODUCT(($L$3:$L$144=1)*($K$3:$K$144&lt;$K87))+1)</f>
        <v/>
      </c>
      <c r="O87">
        <f>IF($L87=0,"",MATCH(1,$R87:$Y87,0))</f>
        <v/>
      </c>
      <c r="P87">
        <f>IF($A87="","",IFERROR(INDEX(countries!$G:$G,MATCH($A87,countries!$D:$D,0)),""))</f>
        <v/>
      </c>
      <c r="Q87">
        <f>IF($A87="","",IFERROR(IF(INDEX(countries!$I:$I,MATCH($A87,countries!$D:$D,0))=0,"",INDEX(countries!$I:$I,MATCH($A87,countries!$D:$D,0))),""))</f>
        <v/>
      </c>
      <c r="R87">
        <f t="array" ref="R87">IF($A87="","",IF(AND(INDEX($C87:$J87,R$2)&gt;0,$A87&lt;&gt;INDEX('TRIP MANAGER'!$T$18:$T$25,R$2),$A87&lt;&gt;INDEX('TRIP MANAGER'!$U$18:$U$25,R$2)),1,0))</f>
        <v/>
      </c>
      <c r="S87">
        <f t="array" ref="S87">IF($A87="","",IF(AND(INDEX($C87:$J87,S$2)&gt;0,$A87&lt;&gt;INDEX('TRIP MANAGER'!$T$18:$T$25,S$2),$A87&lt;&gt;INDEX('TRIP MANAGER'!$U$18:$U$25,S$2)),1,0))</f>
        <v/>
      </c>
      <c r="T87">
        <f t="array" ref="T87">IF($A87="","",IF(AND(INDEX($C87:$J87,T$2)&gt;0,$A87&lt;&gt;INDEX('TRIP MANAGER'!$T$18:$T$25,T$2),$A87&lt;&gt;INDEX('TRIP MANAGER'!$U$18:$U$25,T$2)),1,0))</f>
        <v/>
      </c>
      <c r="U87">
        <f t="array" ref="U87">IF($A87="","",IF(AND(INDEX($C87:$J87,U$2)&gt;0,$A87&lt;&gt;INDEX('TRIP MANAGER'!$T$18:$T$25,U$2),$A87&lt;&gt;INDEX('TRIP MANAGER'!$U$18:$U$25,U$2)),1,0))</f>
        <v/>
      </c>
      <c r="V87">
        <f t="array" ref="V87">IF($A87="","",IF(AND(INDEX($C87:$J87,V$2)&gt;0,$A87&lt;&gt;INDEX('TRIP MANAGER'!$T$18:$T$25,V$2),$A87&lt;&gt;INDEX('TRIP MANAGER'!$U$18:$U$25,V$2)),1,0))</f>
        <v/>
      </c>
      <c r="W87">
        <f t="array" ref="W87">IF($A87="","",IF(AND(INDEX($C87:$J87,W$2)&gt;0,$A87&lt;&gt;INDEX('TRIP MANAGER'!$T$18:$T$25,W$2),$A87&lt;&gt;INDEX('TRIP MANAGER'!$U$18:$U$25,W$2)),1,0))</f>
        <v/>
      </c>
      <c r="X87">
        <f t="array" ref="X87">IF($A87="","",IF(AND(INDEX($C87:$J87,X$2)&gt;0,$A87&lt;&gt;INDEX('TRIP MANAGER'!$T$18:$T$25,X$2),$A87&lt;&gt;INDEX('TRIP MANAGER'!$U$18:$U$25,X$2)),1,0))</f>
        <v/>
      </c>
      <c r="Y87">
        <f t="array" ref="Y87">IF($A87="","",IF(AND(INDEX($C87:$J87,Y$2)&gt;0,$A87&lt;&gt;INDEX('TRIP MANAGER'!$T$18:$T$25,Y$2),$A87&lt;&gt;INDEX('TRIP MANAGER'!$U$18:$U$25,Y$2)),1,0))</f>
        <v/>
      </c>
    </row>
    <row r="88">
      <c r="A88">
        <f>IF(countries!$D87="","",countries!$D87)</f>
        <v/>
      </c>
      <c r="B88">
        <f>IF(countries!$B87="","",countries!$B87)</f>
        <v/>
      </c>
      <c r="C88">
        <f>IF($A88="","",COUNTIFS(route_calc!$A$2:$A$1209,C$2,route_calc!$P$2:$P$1209,$A88))</f>
        <v/>
      </c>
      <c r="D88">
        <f>IF($A88="","",COUNTIFS(route_calc!$A$2:$A$1209,D$2,route_calc!$P$2:$P$1209,$A88))</f>
        <v/>
      </c>
      <c r="E88">
        <f>IF($A88="","",COUNTIFS(route_calc!$A$2:$A$1209,E$2,route_calc!$P$2:$P$1209,$A88))</f>
        <v/>
      </c>
      <c r="F88">
        <f>IF($A88="","",COUNTIFS(route_calc!$A$2:$A$1209,F$2,route_calc!$P$2:$P$1209,$A88))</f>
        <v/>
      </c>
      <c r="G88">
        <f>IF($A88="","",COUNTIFS(route_calc!$A$2:$A$1209,G$2,route_calc!$P$2:$P$1209,$A88))</f>
        <v/>
      </c>
      <c r="H88">
        <f>IF($A88="","",COUNTIFS(route_calc!$A$2:$A$1209,H$2,route_calc!$P$2:$P$1209,$A88))</f>
        <v/>
      </c>
      <c r="I88">
        <f>IF($A88="","",COUNTIFS(route_calc!$A$2:$A$1209,I$2,route_calc!$P$2:$P$1209,$A88))</f>
        <v/>
      </c>
      <c r="J88">
        <f>IF($A88="","",COUNTIFS(route_calc!$A$2:$A$1209,J$2,route_calc!$P$2:$P$1209,$A88))</f>
        <v/>
      </c>
      <c r="K88">
        <f>IF($L88=0,"",_xlfn.MINIFS(route_calc!$Q$2:$Q$1209,route_calc!$P$2:$P$1209,$A88,route_calc!$A$2:$A$1209,MATCH(1,$R88:$Y88,0)))</f>
        <v/>
      </c>
      <c r="L88">
        <f>IF($A88="",0,IF(SUM($R88:$Y88)&gt;0,1,0))</f>
        <v/>
      </c>
      <c r="M88">
        <f t="array" ref="M88">IF($L88=0,"",_xlfn.TEXTJOIN(", ",TRUE,IF($R88:$Y88&gt;0,$C$1:$J$1,"")))</f>
        <v/>
      </c>
      <c r="N88">
        <f t="array" ref="N88">IF($L88=0,"",SUMPRODUCT(($L$3:$L$144=1)*($K$3:$K$144&lt;$K88))+1)</f>
        <v/>
      </c>
      <c r="O88">
        <f>IF($L88=0,"",MATCH(1,$R88:$Y88,0))</f>
        <v/>
      </c>
      <c r="P88">
        <f>IF($A88="","",IFERROR(INDEX(countries!$G:$G,MATCH($A88,countries!$D:$D,0)),""))</f>
        <v/>
      </c>
      <c r="Q88">
        <f>IF($A88="","",IFERROR(IF(INDEX(countries!$I:$I,MATCH($A88,countries!$D:$D,0))=0,"",INDEX(countries!$I:$I,MATCH($A88,countries!$D:$D,0))),""))</f>
        <v/>
      </c>
      <c r="R88">
        <f t="array" ref="R88">IF($A88="","",IF(AND(INDEX($C88:$J88,R$2)&gt;0,$A88&lt;&gt;INDEX('TRIP MANAGER'!$T$18:$T$25,R$2),$A88&lt;&gt;INDEX('TRIP MANAGER'!$U$18:$U$25,R$2)),1,0))</f>
        <v/>
      </c>
      <c r="S88">
        <f t="array" ref="S88">IF($A88="","",IF(AND(INDEX($C88:$J88,S$2)&gt;0,$A88&lt;&gt;INDEX('TRIP MANAGER'!$T$18:$T$25,S$2),$A88&lt;&gt;INDEX('TRIP MANAGER'!$U$18:$U$25,S$2)),1,0))</f>
        <v/>
      </c>
      <c r="T88">
        <f t="array" ref="T88">IF($A88="","",IF(AND(INDEX($C88:$J88,T$2)&gt;0,$A88&lt;&gt;INDEX('TRIP MANAGER'!$T$18:$T$25,T$2),$A88&lt;&gt;INDEX('TRIP MANAGER'!$U$18:$U$25,T$2)),1,0))</f>
        <v/>
      </c>
      <c r="U88">
        <f t="array" ref="U88">IF($A88="","",IF(AND(INDEX($C88:$J88,U$2)&gt;0,$A88&lt;&gt;INDEX('TRIP MANAGER'!$T$18:$T$25,U$2),$A88&lt;&gt;INDEX('TRIP MANAGER'!$U$18:$U$25,U$2)),1,0))</f>
        <v/>
      </c>
      <c r="V88">
        <f t="array" ref="V88">IF($A88="","",IF(AND(INDEX($C88:$J88,V$2)&gt;0,$A88&lt;&gt;INDEX('TRIP MANAGER'!$T$18:$T$25,V$2),$A88&lt;&gt;INDEX('TRIP MANAGER'!$U$18:$U$25,V$2)),1,0))</f>
        <v/>
      </c>
      <c r="W88">
        <f t="array" ref="W88">IF($A88="","",IF(AND(INDEX($C88:$J88,W$2)&gt;0,$A88&lt;&gt;INDEX('TRIP MANAGER'!$T$18:$T$25,W$2),$A88&lt;&gt;INDEX('TRIP MANAGER'!$U$18:$U$25,W$2)),1,0))</f>
        <v/>
      </c>
      <c r="X88">
        <f t="array" ref="X88">IF($A88="","",IF(AND(INDEX($C88:$J88,X$2)&gt;0,$A88&lt;&gt;INDEX('TRIP MANAGER'!$T$18:$T$25,X$2),$A88&lt;&gt;INDEX('TRIP MANAGER'!$U$18:$U$25,X$2)),1,0))</f>
        <v/>
      </c>
      <c r="Y88">
        <f t="array" ref="Y88">IF($A88="","",IF(AND(INDEX($C88:$J88,Y$2)&gt;0,$A88&lt;&gt;INDEX('TRIP MANAGER'!$T$18:$T$25,Y$2),$A88&lt;&gt;INDEX('TRIP MANAGER'!$U$18:$U$25,Y$2)),1,0))</f>
        <v/>
      </c>
    </row>
    <row r="89">
      <c r="A89">
        <f>IF(countries!$D88="","",countries!$D88)</f>
        <v/>
      </c>
      <c r="B89">
        <f>IF(countries!$B88="","",countries!$B88)</f>
        <v/>
      </c>
      <c r="C89">
        <f>IF($A89="","",COUNTIFS(route_calc!$A$2:$A$1209,C$2,route_calc!$P$2:$P$1209,$A89))</f>
        <v/>
      </c>
      <c r="D89">
        <f>IF($A89="","",COUNTIFS(route_calc!$A$2:$A$1209,D$2,route_calc!$P$2:$P$1209,$A89))</f>
        <v/>
      </c>
      <c r="E89">
        <f>IF($A89="","",COUNTIFS(route_calc!$A$2:$A$1209,E$2,route_calc!$P$2:$P$1209,$A89))</f>
        <v/>
      </c>
      <c r="F89">
        <f>IF($A89="","",COUNTIFS(route_calc!$A$2:$A$1209,F$2,route_calc!$P$2:$P$1209,$A89))</f>
        <v/>
      </c>
      <c r="G89">
        <f>IF($A89="","",COUNTIFS(route_calc!$A$2:$A$1209,G$2,route_calc!$P$2:$P$1209,$A89))</f>
        <v/>
      </c>
      <c r="H89">
        <f>IF($A89="","",COUNTIFS(route_calc!$A$2:$A$1209,H$2,route_calc!$P$2:$P$1209,$A89))</f>
        <v/>
      </c>
      <c r="I89">
        <f>IF($A89="","",COUNTIFS(route_calc!$A$2:$A$1209,I$2,route_calc!$P$2:$P$1209,$A89))</f>
        <v/>
      </c>
      <c r="J89">
        <f>IF($A89="","",COUNTIFS(route_calc!$A$2:$A$1209,J$2,route_calc!$P$2:$P$1209,$A89))</f>
        <v/>
      </c>
      <c r="K89">
        <f>IF($L89=0,"",_xlfn.MINIFS(route_calc!$Q$2:$Q$1209,route_calc!$P$2:$P$1209,$A89,route_calc!$A$2:$A$1209,MATCH(1,$R89:$Y89,0)))</f>
        <v/>
      </c>
      <c r="L89">
        <f>IF($A89="",0,IF(SUM($R89:$Y89)&gt;0,1,0))</f>
        <v/>
      </c>
      <c r="M89">
        <f t="array" ref="M89">IF($L89=0,"",_xlfn.TEXTJOIN(", ",TRUE,IF($R89:$Y89&gt;0,$C$1:$J$1,"")))</f>
        <v/>
      </c>
      <c r="N89">
        <f t="array" ref="N89">IF($L89=0,"",SUMPRODUCT(($L$3:$L$144=1)*($K$3:$K$144&lt;$K89))+1)</f>
        <v/>
      </c>
      <c r="O89">
        <f>IF($L89=0,"",MATCH(1,$R89:$Y89,0))</f>
        <v/>
      </c>
      <c r="P89">
        <f>IF($A89="","",IFERROR(INDEX(countries!$G:$G,MATCH($A89,countries!$D:$D,0)),""))</f>
        <v/>
      </c>
      <c r="Q89">
        <f>IF($A89="","",IFERROR(IF(INDEX(countries!$I:$I,MATCH($A89,countries!$D:$D,0))=0,"",INDEX(countries!$I:$I,MATCH($A89,countries!$D:$D,0))),""))</f>
        <v/>
      </c>
      <c r="R89">
        <f t="array" ref="R89">IF($A89="","",IF(AND(INDEX($C89:$J89,R$2)&gt;0,$A89&lt;&gt;INDEX('TRIP MANAGER'!$T$18:$T$25,R$2),$A89&lt;&gt;INDEX('TRIP MANAGER'!$U$18:$U$25,R$2)),1,0))</f>
        <v/>
      </c>
      <c r="S89">
        <f t="array" ref="S89">IF($A89="","",IF(AND(INDEX($C89:$J89,S$2)&gt;0,$A89&lt;&gt;INDEX('TRIP MANAGER'!$T$18:$T$25,S$2),$A89&lt;&gt;INDEX('TRIP MANAGER'!$U$18:$U$25,S$2)),1,0))</f>
        <v/>
      </c>
      <c r="T89">
        <f t="array" ref="T89">IF($A89="","",IF(AND(INDEX($C89:$J89,T$2)&gt;0,$A89&lt;&gt;INDEX('TRIP MANAGER'!$T$18:$T$25,T$2),$A89&lt;&gt;INDEX('TRIP MANAGER'!$U$18:$U$25,T$2)),1,0))</f>
        <v/>
      </c>
      <c r="U89">
        <f t="array" ref="U89">IF($A89="","",IF(AND(INDEX($C89:$J89,U$2)&gt;0,$A89&lt;&gt;INDEX('TRIP MANAGER'!$T$18:$T$25,U$2),$A89&lt;&gt;INDEX('TRIP MANAGER'!$U$18:$U$25,U$2)),1,0))</f>
        <v/>
      </c>
      <c r="V89">
        <f t="array" ref="V89">IF($A89="","",IF(AND(INDEX($C89:$J89,V$2)&gt;0,$A89&lt;&gt;INDEX('TRIP MANAGER'!$T$18:$T$25,V$2),$A89&lt;&gt;INDEX('TRIP MANAGER'!$U$18:$U$25,V$2)),1,0))</f>
        <v/>
      </c>
      <c r="W89">
        <f t="array" ref="W89">IF($A89="","",IF(AND(INDEX($C89:$J89,W$2)&gt;0,$A89&lt;&gt;INDEX('TRIP MANAGER'!$T$18:$T$25,W$2),$A89&lt;&gt;INDEX('TRIP MANAGER'!$U$18:$U$25,W$2)),1,0))</f>
        <v/>
      </c>
      <c r="X89">
        <f t="array" ref="X89">IF($A89="","",IF(AND(INDEX($C89:$J89,X$2)&gt;0,$A89&lt;&gt;INDEX('TRIP MANAGER'!$T$18:$T$25,X$2),$A89&lt;&gt;INDEX('TRIP MANAGER'!$U$18:$U$25,X$2)),1,0))</f>
        <v/>
      </c>
      <c r="Y89">
        <f t="array" ref="Y89">IF($A89="","",IF(AND(INDEX($C89:$J89,Y$2)&gt;0,$A89&lt;&gt;INDEX('TRIP MANAGER'!$T$18:$T$25,Y$2),$A89&lt;&gt;INDEX('TRIP MANAGER'!$U$18:$U$25,Y$2)),1,0))</f>
        <v/>
      </c>
    </row>
    <row r="90">
      <c r="A90">
        <f>IF(countries!$D89="","",countries!$D89)</f>
        <v/>
      </c>
      <c r="B90">
        <f>IF(countries!$B89="","",countries!$B89)</f>
        <v/>
      </c>
      <c r="C90">
        <f>IF($A90="","",COUNTIFS(route_calc!$A$2:$A$1209,C$2,route_calc!$P$2:$P$1209,$A90))</f>
        <v/>
      </c>
      <c r="D90">
        <f>IF($A90="","",COUNTIFS(route_calc!$A$2:$A$1209,D$2,route_calc!$P$2:$P$1209,$A90))</f>
        <v/>
      </c>
      <c r="E90">
        <f>IF($A90="","",COUNTIFS(route_calc!$A$2:$A$1209,E$2,route_calc!$P$2:$P$1209,$A90))</f>
        <v/>
      </c>
      <c r="F90">
        <f>IF($A90="","",COUNTIFS(route_calc!$A$2:$A$1209,F$2,route_calc!$P$2:$P$1209,$A90))</f>
        <v/>
      </c>
      <c r="G90">
        <f>IF($A90="","",COUNTIFS(route_calc!$A$2:$A$1209,G$2,route_calc!$P$2:$P$1209,$A90))</f>
        <v/>
      </c>
      <c r="H90">
        <f>IF($A90="","",COUNTIFS(route_calc!$A$2:$A$1209,H$2,route_calc!$P$2:$P$1209,$A90))</f>
        <v/>
      </c>
      <c r="I90">
        <f>IF($A90="","",COUNTIFS(route_calc!$A$2:$A$1209,I$2,route_calc!$P$2:$P$1209,$A90))</f>
        <v/>
      </c>
      <c r="J90">
        <f>IF($A90="","",COUNTIFS(route_calc!$A$2:$A$1209,J$2,route_calc!$P$2:$P$1209,$A90))</f>
        <v/>
      </c>
      <c r="K90">
        <f>IF($L90=0,"",_xlfn.MINIFS(route_calc!$Q$2:$Q$1209,route_calc!$P$2:$P$1209,$A90,route_calc!$A$2:$A$1209,MATCH(1,$R90:$Y90,0)))</f>
        <v/>
      </c>
      <c r="L90">
        <f>IF($A90="",0,IF(SUM($R90:$Y90)&gt;0,1,0))</f>
        <v/>
      </c>
      <c r="M90">
        <f t="array" ref="M90">IF($L90=0,"",_xlfn.TEXTJOIN(", ",TRUE,IF($R90:$Y90&gt;0,$C$1:$J$1,"")))</f>
        <v/>
      </c>
      <c r="N90">
        <f t="array" ref="N90">IF($L90=0,"",SUMPRODUCT(($L$3:$L$144=1)*($K$3:$K$144&lt;$K90))+1)</f>
        <v/>
      </c>
      <c r="O90">
        <f>IF($L90=0,"",MATCH(1,$R90:$Y90,0))</f>
        <v/>
      </c>
      <c r="P90">
        <f>IF($A90="","",IFERROR(INDEX(countries!$G:$G,MATCH($A90,countries!$D:$D,0)),""))</f>
        <v/>
      </c>
      <c r="Q90">
        <f>IF($A90="","",IFERROR(IF(INDEX(countries!$I:$I,MATCH($A90,countries!$D:$D,0))=0,"",INDEX(countries!$I:$I,MATCH($A90,countries!$D:$D,0))),""))</f>
        <v/>
      </c>
      <c r="R90">
        <f t="array" ref="R90">IF($A90="","",IF(AND(INDEX($C90:$J90,R$2)&gt;0,$A90&lt;&gt;INDEX('TRIP MANAGER'!$T$18:$T$25,R$2),$A90&lt;&gt;INDEX('TRIP MANAGER'!$U$18:$U$25,R$2)),1,0))</f>
        <v/>
      </c>
      <c r="S90">
        <f t="array" ref="S90">IF($A90="","",IF(AND(INDEX($C90:$J90,S$2)&gt;0,$A90&lt;&gt;INDEX('TRIP MANAGER'!$T$18:$T$25,S$2),$A90&lt;&gt;INDEX('TRIP MANAGER'!$U$18:$U$25,S$2)),1,0))</f>
        <v/>
      </c>
      <c r="T90">
        <f t="array" ref="T90">IF($A90="","",IF(AND(INDEX($C90:$J90,T$2)&gt;0,$A90&lt;&gt;INDEX('TRIP MANAGER'!$T$18:$T$25,T$2),$A90&lt;&gt;INDEX('TRIP MANAGER'!$U$18:$U$25,T$2)),1,0))</f>
        <v/>
      </c>
      <c r="U90">
        <f t="array" ref="U90">IF($A90="","",IF(AND(INDEX($C90:$J90,U$2)&gt;0,$A90&lt;&gt;INDEX('TRIP MANAGER'!$T$18:$T$25,U$2),$A90&lt;&gt;INDEX('TRIP MANAGER'!$U$18:$U$25,U$2)),1,0))</f>
        <v/>
      </c>
      <c r="V90">
        <f t="array" ref="V90">IF($A90="","",IF(AND(INDEX($C90:$J90,V$2)&gt;0,$A90&lt;&gt;INDEX('TRIP MANAGER'!$T$18:$T$25,V$2),$A90&lt;&gt;INDEX('TRIP MANAGER'!$U$18:$U$25,V$2)),1,0))</f>
        <v/>
      </c>
      <c r="W90">
        <f t="array" ref="W90">IF($A90="","",IF(AND(INDEX($C90:$J90,W$2)&gt;0,$A90&lt;&gt;INDEX('TRIP MANAGER'!$T$18:$T$25,W$2),$A90&lt;&gt;INDEX('TRIP MANAGER'!$U$18:$U$25,W$2)),1,0))</f>
        <v/>
      </c>
      <c r="X90">
        <f t="array" ref="X90">IF($A90="","",IF(AND(INDEX($C90:$J90,X$2)&gt;0,$A90&lt;&gt;INDEX('TRIP MANAGER'!$T$18:$T$25,X$2),$A90&lt;&gt;INDEX('TRIP MANAGER'!$U$18:$U$25,X$2)),1,0))</f>
        <v/>
      </c>
      <c r="Y90">
        <f t="array" ref="Y90">IF($A90="","",IF(AND(INDEX($C90:$J90,Y$2)&gt;0,$A90&lt;&gt;INDEX('TRIP MANAGER'!$T$18:$T$25,Y$2),$A90&lt;&gt;INDEX('TRIP MANAGER'!$U$18:$U$25,Y$2)),1,0))</f>
        <v/>
      </c>
    </row>
    <row r="91">
      <c r="A91">
        <f>IF(countries!$D90="","",countries!$D90)</f>
        <v/>
      </c>
      <c r="B91">
        <f>IF(countries!$B90="","",countries!$B90)</f>
        <v/>
      </c>
      <c r="C91">
        <f>IF($A91="","",COUNTIFS(route_calc!$A$2:$A$1209,C$2,route_calc!$P$2:$P$1209,$A91))</f>
        <v/>
      </c>
      <c r="D91">
        <f>IF($A91="","",COUNTIFS(route_calc!$A$2:$A$1209,D$2,route_calc!$P$2:$P$1209,$A91))</f>
        <v/>
      </c>
      <c r="E91">
        <f>IF($A91="","",COUNTIFS(route_calc!$A$2:$A$1209,E$2,route_calc!$P$2:$P$1209,$A91))</f>
        <v/>
      </c>
      <c r="F91">
        <f>IF($A91="","",COUNTIFS(route_calc!$A$2:$A$1209,F$2,route_calc!$P$2:$P$1209,$A91))</f>
        <v/>
      </c>
      <c r="G91">
        <f>IF($A91="","",COUNTIFS(route_calc!$A$2:$A$1209,G$2,route_calc!$P$2:$P$1209,$A91))</f>
        <v/>
      </c>
      <c r="H91">
        <f>IF($A91="","",COUNTIFS(route_calc!$A$2:$A$1209,H$2,route_calc!$P$2:$P$1209,$A91))</f>
        <v/>
      </c>
      <c r="I91">
        <f>IF($A91="","",COUNTIFS(route_calc!$A$2:$A$1209,I$2,route_calc!$P$2:$P$1209,$A91))</f>
        <v/>
      </c>
      <c r="J91">
        <f>IF($A91="","",COUNTIFS(route_calc!$A$2:$A$1209,J$2,route_calc!$P$2:$P$1209,$A91))</f>
        <v/>
      </c>
      <c r="K91">
        <f>IF($L91=0,"",_xlfn.MINIFS(route_calc!$Q$2:$Q$1209,route_calc!$P$2:$P$1209,$A91,route_calc!$A$2:$A$1209,MATCH(1,$R91:$Y91,0)))</f>
        <v/>
      </c>
      <c r="L91">
        <f>IF($A91="",0,IF(SUM($R91:$Y91)&gt;0,1,0))</f>
        <v/>
      </c>
      <c r="M91">
        <f t="array" ref="M91">IF($L91=0,"",_xlfn.TEXTJOIN(", ",TRUE,IF($R91:$Y91&gt;0,$C$1:$J$1,"")))</f>
        <v/>
      </c>
      <c r="N91">
        <f t="array" ref="N91">IF($L91=0,"",SUMPRODUCT(($L$3:$L$144=1)*($K$3:$K$144&lt;$K91))+1)</f>
        <v/>
      </c>
      <c r="O91">
        <f>IF($L91=0,"",MATCH(1,$R91:$Y91,0))</f>
        <v/>
      </c>
      <c r="P91">
        <f>IF($A91="","",IFERROR(INDEX(countries!$G:$G,MATCH($A91,countries!$D:$D,0)),""))</f>
        <v/>
      </c>
      <c r="Q91">
        <f>IF($A91="","",IFERROR(IF(INDEX(countries!$I:$I,MATCH($A91,countries!$D:$D,0))=0,"",INDEX(countries!$I:$I,MATCH($A91,countries!$D:$D,0))),""))</f>
        <v/>
      </c>
      <c r="R91">
        <f t="array" ref="R91">IF($A91="","",IF(AND(INDEX($C91:$J91,R$2)&gt;0,$A91&lt;&gt;INDEX('TRIP MANAGER'!$T$18:$T$25,R$2),$A91&lt;&gt;INDEX('TRIP MANAGER'!$U$18:$U$25,R$2)),1,0))</f>
        <v/>
      </c>
      <c r="S91">
        <f t="array" ref="S91">IF($A91="","",IF(AND(INDEX($C91:$J91,S$2)&gt;0,$A91&lt;&gt;INDEX('TRIP MANAGER'!$T$18:$T$25,S$2),$A91&lt;&gt;INDEX('TRIP MANAGER'!$U$18:$U$25,S$2)),1,0))</f>
        <v/>
      </c>
      <c r="T91">
        <f t="array" ref="T91">IF($A91="","",IF(AND(INDEX($C91:$J91,T$2)&gt;0,$A91&lt;&gt;INDEX('TRIP MANAGER'!$T$18:$T$25,T$2),$A91&lt;&gt;INDEX('TRIP MANAGER'!$U$18:$U$25,T$2)),1,0))</f>
        <v/>
      </c>
      <c r="U91">
        <f t="array" ref="U91">IF($A91="","",IF(AND(INDEX($C91:$J91,U$2)&gt;0,$A91&lt;&gt;INDEX('TRIP MANAGER'!$T$18:$T$25,U$2),$A91&lt;&gt;INDEX('TRIP MANAGER'!$U$18:$U$25,U$2)),1,0))</f>
        <v/>
      </c>
      <c r="V91">
        <f t="array" ref="V91">IF($A91="","",IF(AND(INDEX($C91:$J91,V$2)&gt;0,$A91&lt;&gt;INDEX('TRIP MANAGER'!$T$18:$T$25,V$2),$A91&lt;&gt;INDEX('TRIP MANAGER'!$U$18:$U$25,V$2)),1,0))</f>
        <v/>
      </c>
      <c r="W91">
        <f t="array" ref="W91">IF($A91="","",IF(AND(INDEX($C91:$J91,W$2)&gt;0,$A91&lt;&gt;INDEX('TRIP MANAGER'!$T$18:$T$25,W$2),$A91&lt;&gt;INDEX('TRIP MANAGER'!$U$18:$U$25,W$2)),1,0))</f>
        <v/>
      </c>
      <c r="X91">
        <f t="array" ref="X91">IF($A91="","",IF(AND(INDEX($C91:$J91,X$2)&gt;0,$A91&lt;&gt;INDEX('TRIP MANAGER'!$T$18:$T$25,X$2),$A91&lt;&gt;INDEX('TRIP MANAGER'!$U$18:$U$25,X$2)),1,0))</f>
        <v/>
      </c>
      <c r="Y91">
        <f t="array" ref="Y91">IF($A91="","",IF(AND(INDEX($C91:$J91,Y$2)&gt;0,$A91&lt;&gt;INDEX('TRIP MANAGER'!$T$18:$T$25,Y$2),$A91&lt;&gt;INDEX('TRIP MANAGER'!$U$18:$U$25,Y$2)),1,0))</f>
        <v/>
      </c>
    </row>
    <row r="92">
      <c r="A92">
        <f>IF(countries!$D91="","",countries!$D91)</f>
        <v/>
      </c>
      <c r="B92">
        <f>IF(countries!$B91="","",countries!$B91)</f>
        <v/>
      </c>
      <c r="C92">
        <f>IF($A92="","",COUNTIFS(route_calc!$A$2:$A$1209,C$2,route_calc!$P$2:$P$1209,$A92))</f>
        <v/>
      </c>
      <c r="D92">
        <f>IF($A92="","",COUNTIFS(route_calc!$A$2:$A$1209,D$2,route_calc!$P$2:$P$1209,$A92))</f>
        <v/>
      </c>
      <c r="E92">
        <f>IF($A92="","",COUNTIFS(route_calc!$A$2:$A$1209,E$2,route_calc!$P$2:$P$1209,$A92))</f>
        <v/>
      </c>
      <c r="F92">
        <f>IF($A92="","",COUNTIFS(route_calc!$A$2:$A$1209,F$2,route_calc!$P$2:$P$1209,$A92))</f>
        <v/>
      </c>
      <c r="G92">
        <f>IF($A92="","",COUNTIFS(route_calc!$A$2:$A$1209,G$2,route_calc!$P$2:$P$1209,$A92))</f>
        <v/>
      </c>
      <c r="H92">
        <f>IF($A92="","",COUNTIFS(route_calc!$A$2:$A$1209,H$2,route_calc!$P$2:$P$1209,$A92))</f>
        <v/>
      </c>
      <c r="I92">
        <f>IF($A92="","",COUNTIFS(route_calc!$A$2:$A$1209,I$2,route_calc!$P$2:$P$1209,$A92))</f>
        <v/>
      </c>
      <c r="J92">
        <f>IF($A92="","",COUNTIFS(route_calc!$A$2:$A$1209,J$2,route_calc!$P$2:$P$1209,$A92))</f>
        <v/>
      </c>
      <c r="K92">
        <f>IF($L92=0,"",_xlfn.MINIFS(route_calc!$Q$2:$Q$1209,route_calc!$P$2:$P$1209,$A92,route_calc!$A$2:$A$1209,MATCH(1,$R92:$Y92,0)))</f>
        <v/>
      </c>
      <c r="L92">
        <f>IF($A92="",0,IF(SUM($R92:$Y92)&gt;0,1,0))</f>
        <v/>
      </c>
      <c r="M92">
        <f t="array" ref="M92">IF($L92=0,"",_xlfn.TEXTJOIN(", ",TRUE,IF($R92:$Y92&gt;0,$C$1:$J$1,"")))</f>
        <v/>
      </c>
      <c r="N92">
        <f t="array" ref="N92">IF($L92=0,"",SUMPRODUCT(($L$3:$L$144=1)*($K$3:$K$144&lt;$K92))+1)</f>
        <v/>
      </c>
      <c r="O92">
        <f>IF($L92=0,"",MATCH(1,$R92:$Y92,0))</f>
        <v/>
      </c>
      <c r="P92">
        <f>IF($A92="","",IFERROR(INDEX(countries!$G:$G,MATCH($A92,countries!$D:$D,0)),""))</f>
        <v/>
      </c>
      <c r="Q92">
        <f>IF($A92="","",IFERROR(IF(INDEX(countries!$I:$I,MATCH($A92,countries!$D:$D,0))=0,"",INDEX(countries!$I:$I,MATCH($A92,countries!$D:$D,0))),""))</f>
        <v/>
      </c>
      <c r="R92">
        <f t="array" ref="R92">IF($A92="","",IF(AND(INDEX($C92:$J92,R$2)&gt;0,$A92&lt;&gt;INDEX('TRIP MANAGER'!$T$18:$T$25,R$2),$A92&lt;&gt;INDEX('TRIP MANAGER'!$U$18:$U$25,R$2)),1,0))</f>
        <v/>
      </c>
      <c r="S92">
        <f t="array" ref="S92">IF($A92="","",IF(AND(INDEX($C92:$J92,S$2)&gt;0,$A92&lt;&gt;INDEX('TRIP MANAGER'!$T$18:$T$25,S$2),$A92&lt;&gt;INDEX('TRIP MANAGER'!$U$18:$U$25,S$2)),1,0))</f>
        <v/>
      </c>
      <c r="T92">
        <f t="array" ref="T92">IF($A92="","",IF(AND(INDEX($C92:$J92,T$2)&gt;0,$A92&lt;&gt;INDEX('TRIP MANAGER'!$T$18:$T$25,T$2),$A92&lt;&gt;INDEX('TRIP MANAGER'!$U$18:$U$25,T$2)),1,0))</f>
        <v/>
      </c>
      <c r="U92">
        <f t="array" ref="U92">IF($A92="","",IF(AND(INDEX($C92:$J92,U$2)&gt;0,$A92&lt;&gt;INDEX('TRIP MANAGER'!$T$18:$T$25,U$2),$A92&lt;&gt;INDEX('TRIP MANAGER'!$U$18:$U$25,U$2)),1,0))</f>
        <v/>
      </c>
      <c r="V92">
        <f t="array" ref="V92">IF($A92="","",IF(AND(INDEX($C92:$J92,V$2)&gt;0,$A92&lt;&gt;INDEX('TRIP MANAGER'!$T$18:$T$25,V$2),$A92&lt;&gt;INDEX('TRIP MANAGER'!$U$18:$U$25,V$2)),1,0))</f>
        <v/>
      </c>
      <c r="W92">
        <f t="array" ref="W92">IF($A92="","",IF(AND(INDEX($C92:$J92,W$2)&gt;0,$A92&lt;&gt;INDEX('TRIP MANAGER'!$T$18:$T$25,W$2),$A92&lt;&gt;INDEX('TRIP MANAGER'!$U$18:$U$25,W$2)),1,0))</f>
        <v/>
      </c>
      <c r="X92">
        <f t="array" ref="X92">IF($A92="","",IF(AND(INDEX($C92:$J92,X$2)&gt;0,$A92&lt;&gt;INDEX('TRIP MANAGER'!$T$18:$T$25,X$2),$A92&lt;&gt;INDEX('TRIP MANAGER'!$U$18:$U$25,X$2)),1,0))</f>
        <v/>
      </c>
      <c r="Y92">
        <f t="array" ref="Y92">IF($A92="","",IF(AND(INDEX($C92:$J92,Y$2)&gt;0,$A92&lt;&gt;INDEX('TRIP MANAGER'!$T$18:$T$25,Y$2),$A92&lt;&gt;INDEX('TRIP MANAGER'!$U$18:$U$25,Y$2)),1,0))</f>
        <v/>
      </c>
    </row>
    <row r="93">
      <c r="A93">
        <f>IF(countries!$D92="","",countries!$D92)</f>
        <v/>
      </c>
      <c r="B93">
        <f>IF(countries!$B92="","",countries!$B92)</f>
        <v/>
      </c>
      <c r="C93">
        <f>IF($A93="","",COUNTIFS(route_calc!$A$2:$A$1209,C$2,route_calc!$P$2:$P$1209,$A93))</f>
        <v/>
      </c>
      <c r="D93">
        <f>IF($A93="","",COUNTIFS(route_calc!$A$2:$A$1209,D$2,route_calc!$P$2:$P$1209,$A93))</f>
        <v/>
      </c>
      <c r="E93">
        <f>IF($A93="","",COUNTIFS(route_calc!$A$2:$A$1209,E$2,route_calc!$P$2:$P$1209,$A93))</f>
        <v/>
      </c>
      <c r="F93">
        <f>IF($A93="","",COUNTIFS(route_calc!$A$2:$A$1209,F$2,route_calc!$P$2:$P$1209,$A93))</f>
        <v/>
      </c>
      <c r="G93">
        <f>IF($A93="","",COUNTIFS(route_calc!$A$2:$A$1209,G$2,route_calc!$P$2:$P$1209,$A93))</f>
        <v/>
      </c>
      <c r="H93">
        <f>IF($A93="","",COUNTIFS(route_calc!$A$2:$A$1209,H$2,route_calc!$P$2:$P$1209,$A93))</f>
        <v/>
      </c>
      <c r="I93">
        <f>IF($A93="","",COUNTIFS(route_calc!$A$2:$A$1209,I$2,route_calc!$P$2:$P$1209,$A93))</f>
        <v/>
      </c>
      <c r="J93">
        <f>IF($A93="","",COUNTIFS(route_calc!$A$2:$A$1209,J$2,route_calc!$P$2:$P$1209,$A93))</f>
        <v/>
      </c>
      <c r="K93">
        <f>IF($L93=0,"",_xlfn.MINIFS(route_calc!$Q$2:$Q$1209,route_calc!$P$2:$P$1209,$A93,route_calc!$A$2:$A$1209,MATCH(1,$R93:$Y93,0)))</f>
        <v/>
      </c>
      <c r="L93">
        <f>IF($A93="",0,IF(SUM($R93:$Y93)&gt;0,1,0))</f>
        <v/>
      </c>
      <c r="M93">
        <f t="array" ref="M93">IF($L93=0,"",_xlfn.TEXTJOIN(", ",TRUE,IF($R93:$Y93&gt;0,$C$1:$J$1,"")))</f>
        <v/>
      </c>
      <c r="N93">
        <f t="array" ref="N93">IF($L93=0,"",SUMPRODUCT(($L$3:$L$144=1)*($K$3:$K$144&lt;$K93))+1)</f>
        <v/>
      </c>
      <c r="O93">
        <f>IF($L93=0,"",MATCH(1,$R93:$Y93,0))</f>
        <v/>
      </c>
      <c r="P93">
        <f>IF($A93="","",IFERROR(INDEX(countries!$G:$G,MATCH($A93,countries!$D:$D,0)),""))</f>
        <v/>
      </c>
      <c r="Q93">
        <f>IF($A93="","",IFERROR(IF(INDEX(countries!$I:$I,MATCH($A93,countries!$D:$D,0))=0,"",INDEX(countries!$I:$I,MATCH($A93,countries!$D:$D,0))),""))</f>
        <v/>
      </c>
      <c r="R93">
        <f t="array" ref="R93">IF($A93="","",IF(AND(INDEX($C93:$J93,R$2)&gt;0,$A93&lt;&gt;INDEX('TRIP MANAGER'!$T$18:$T$25,R$2),$A93&lt;&gt;INDEX('TRIP MANAGER'!$U$18:$U$25,R$2)),1,0))</f>
        <v/>
      </c>
      <c r="S93">
        <f t="array" ref="S93">IF($A93="","",IF(AND(INDEX($C93:$J93,S$2)&gt;0,$A93&lt;&gt;INDEX('TRIP MANAGER'!$T$18:$T$25,S$2),$A93&lt;&gt;INDEX('TRIP MANAGER'!$U$18:$U$25,S$2)),1,0))</f>
        <v/>
      </c>
      <c r="T93">
        <f t="array" ref="T93">IF($A93="","",IF(AND(INDEX($C93:$J93,T$2)&gt;0,$A93&lt;&gt;INDEX('TRIP MANAGER'!$T$18:$T$25,T$2),$A93&lt;&gt;INDEX('TRIP MANAGER'!$U$18:$U$25,T$2)),1,0))</f>
        <v/>
      </c>
      <c r="U93">
        <f t="array" ref="U93">IF($A93="","",IF(AND(INDEX($C93:$J93,U$2)&gt;0,$A93&lt;&gt;INDEX('TRIP MANAGER'!$T$18:$T$25,U$2),$A93&lt;&gt;INDEX('TRIP MANAGER'!$U$18:$U$25,U$2)),1,0))</f>
        <v/>
      </c>
      <c r="V93">
        <f t="array" ref="V93">IF($A93="","",IF(AND(INDEX($C93:$J93,V$2)&gt;0,$A93&lt;&gt;INDEX('TRIP MANAGER'!$T$18:$T$25,V$2),$A93&lt;&gt;INDEX('TRIP MANAGER'!$U$18:$U$25,V$2)),1,0))</f>
        <v/>
      </c>
      <c r="W93">
        <f t="array" ref="W93">IF($A93="","",IF(AND(INDEX($C93:$J93,W$2)&gt;0,$A93&lt;&gt;INDEX('TRIP MANAGER'!$T$18:$T$25,W$2),$A93&lt;&gt;INDEX('TRIP MANAGER'!$U$18:$U$25,W$2)),1,0))</f>
        <v/>
      </c>
      <c r="X93">
        <f t="array" ref="X93">IF($A93="","",IF(AND(INDEX($C93:$J93,X$2)&gt;0,$A93&lt;&gt;INDEX('TRIP MANAGER'!$T$18:$T$25,X$2),$A93&lt;&gt;INDEX('TRIP MANAGER'!$U$18:$U$25,X$2)),1,0))</f>
        <v/>
      </c>
      <c r="Y93">
        <f t="array" ref="Y93">IF($A93="","",IF(AND(INDEX($C93:$J93,Y$2)&gt;0,$A93&lt;&gt;INDEX('TRIP MANAGER'!$T$18:$T$25,Y$2),$A93&lt;&gt;INDEX('TRIP MANAGER'!$U$18:$U$25,Y$2)),1,0))</f>
        <v/>
      </c>
    </row>
    <row r="94">
      <c r="A94">
        <f>IF(countries!$D93="","",countries!$D93)</f>
        <v/>
      </c>
      <c r="B94">
        <f>IF(countries!$B93="","",countries!$B93)</f>
        <v/>
      </c>
      <c r="C94">
        <f>IF($A94="","",COUNTIFS(route_calc!$A$2:$A$1209,C$2,route_calc!$P$2:$P$1209,$A94))</f>
        <v/>
      </c>
      <c r="D94">
        <f>IF($A94="","",COUNTIFS(route_calc!$A$2:$A$1209,D$2,route_calc!$P$2:$P$1209,$A94))</f>
        <v/>
      </c>
      <c r="E94">
        <f>IF($A94="","",COUNTIFS(route_calc!$A$2:$A$1209,E$2,route_calc!$P$2:$P$1209,$A94))</f>
        <v/>
      </c>
      <c r="F94">
        <f>IF($A94="","",COUNTIFS(route_calc!$A$2:$A$1209,F$2,route_calc!$P$2:$P$1209,$A94))</f>
        <v/>
      </c>
      <c r="G94">
        <f>IF($A94="","",COUNTIFS(route_calc!$A$2:$A$1209,G$2,route_calc!$P$2:$P$1209,$A94))</f>
        <v/>
      </c>
      <c r="H94">
        <f>IF($A94="","",COUNTIFS(route_calc!$A$2:$A$1209,H$2,route_calc!$P$2:$P$1209,$A94))</f>
        <v/>
      </c>
      <c r="I94">
        <f>IF($A94="","",COUNTIFS(route_calc!$A$2:$A$1209,I$2,route_calc!$P$2:$P$1209,$A94))</f>
        <v/>
      </c>
      <c r="J94">
        <f>IF($A94="","",COUNTIFS(route_calc!$A$2:$A$1209,J$2,route_calc!$P$2:$P$1209,$A94))</f>
        <v/>
      </c>
      <c r="K94">
        <f>IF($L94=0,"",_xlfn.MINIFS(route_calc!$Q$2:$Q$1209,route_calc!$P$2:$P$1209,$A94,route_calc!$A$2:$A$1209,MATCH(1,$R94:$Y94,0)))</f>
        <v/>
      </c>
      <c r="L94">
        <f>IF($A94="",0,IF(SUM($R94:$Y94)&gt;0,1,0))</f>
        <v/>
      </c>
      <c r="M94">
        <f t="array" ref="M94">IF($L94=0,"",_xlfn.TEXTJOIN(", ",TRUE,IF($R94:$Y94&gt;0,$C$1:$J$1,"")))</f>
        <v/>
      </c>
      <c r="N94">
        <f t="array" ref="N94">IF($L94=0,"",SUMPRODUCT(($L$3:$L$144=1)*($K$3:$K$144&lt;$K94))+1)</f>
        <v/>
      </c>
      <c r="O94">
        <f>IF($L94=0,"",MATCH(1,$R94:$Y94,0))</f>
        <v/>
      </c>
      <c r="P94">
        <f>IF($A94="","",IFERROR(INDEX(countries!$G:$G,MATCH($A94,countries!$D:$D,0)),""))</f>
        <v/>
      </c>
      <c r="Q94">
        <f>IF($A94="","",IFERROR(IF(INDEX(countries!$I:$I,MATCH($A94,countries!$D:$D,0))=0,"",INDEX(countries!$I:$I,MATCH($A94,countries!$D:$D,0))),""))</f>
        <v/>
      </c>
      <c r="R94">
        <f t="array" ref="R94">IF($A94="","",IF(AND(INDEX($C94:$J94,R$2)&gt;0,$A94&lt;&gt;INDEX('TRIP MANAGER'!$T$18:$T$25,R$2),$A94&lt;&gt;INDEX('TRIP MANAGER'!$U$18:$U$25,R$2)),1,0))</f>
        <v/>
      </c>
      <c r="S94">
        <f t="array" ref="S94">IF($A94="","",IF(AND(INDEX($C94:$J94,S$2)&gt;0,$A94&lt;&gt;INDEX('TRIP MANAGER'!$T$18:$T$25,S$2),$A94&lt;&gt;INDEX('TRIP MANAGER'!$U$18:$U$25,S$2)),1,0))</f>
        <v/>
      </c>
      <c r="T94">
        <f t="array" ref="T94">IF($A94="","",IF(AND(INDEX($C94:$J94,T$2)&gt;0,$A94&lt;&gt;INDEX('TRIP MANAGER'!$T$18:$T$25,T$2),$A94&lt;&gt;INDEX('TRIP MANAGER'!$U$18:$U$25,T$2)),1,0))</f>
        <v/>
      </c>
      <c r="U94">
        <f t="array" ref="U94">IF($A94="","",IF(AND(INDEX($C94:$J94,U$2)&gt;0,$A94&lt;&gt;INDEX('TRIP MANAGER'!$T$18:$T$25,U$2),$A94&lt;&gt;INDEX('TRIP MANAGER'!$U$18:$U$25,U$2)),1,0))</f>
        <v/>
      </c>
      <c r="V94">
        <f t="array" ref="V94">IF($A94="","",IF(AND(INDEX($C94:$J94,V$2)&gt;0,$A94&lt;&gt;INDEX('TRIP MANAGER'!$T$18:$T$25,V$2),$A94&lt;&gt;INDEX('TRIP MANAGER'!$U$18:$U$25,V$2)),1,0))</f>
        <v/>
      </c>
      <c r="W94">
        <f t="array" ref="W94">IF($A94="","",IF(AND(INDEX($C94:$J94,W$2)&gt;0,$A94&lt;&gt;INDEX('TRIP MANAGER'!$T$18:$T$25,W$2),$A94&lt;&gt;INDEX('TRIP MANAGER'!$U$18:$U$25,W$2)),1,0))</f>
        <v/>
      </c>
      <c r="X94">
        <f t="array" ref="X94">IF($A94="","",IF(AND(INDEX($C94:$J94,X$2)&gt;0,$A94&lt;&gt;INDEX('TRIP MANAGER'!$T$18:$T$25,X$2),$A94&lt;&gt;INDEX('TRIP MANAGER'!$U$18:$U$25,X$2)),1,0))</f>
        <v/>
      </c>
      <c r="Y94">
        <f t="array" ref="Y94">IF($A94="","",IF(AND(INDEX($C94:$J94,Y$2)&gt;0,$A94&lt;&gt;INDEX('TRIP MANAGER'!$T$18:$T$25,Y$2),$A94&lt;&gt;INDEX('TRIP MANAGER'!$U$18:$U$25,Y$2)),1,0))</f>
        <v/>
      </c>
    </row>
    <row r="95">
      <c r="A95">
        <f>IF(countries!$D94="","",countries!$D94)</f>
        <v/>
      </c>
      <c r="B95">
        <f>IF(countries!$B94="","",countries!$B94)</f>
        <v/>
      </c>
      <c r="C95">
        <f>IF($A95="","",COUNTIFS(route_calc!$A$2:$A$1209,C$2,route_calc!$P$2:$P$1209,$A95))</f>
        <v/>
      </c>
      <c r="D95">
        <f>IF($A95="","",COUNTIFS(route_calc!$A$2:$A$1209,D$2,route_calc!$P$2:$P$1209,$A95))</f>
        <v/>
      </c>
      <c r="E95">
        <f>IF($A95="","",COUNTIFS(route_calc!$A$2:$A$1209,E$2,route_calc!$P$2:$P$1209,$A95))</f>
        <v/>
      </c>
      <c r="F95">
        <f>IF($A95="","",COUNTIFS(route_calc!$A$2:$A$1209,F$2,route_calc!$P$2:$P$1209,$A95))</f>
        <v/>
      </c>
      <c r="G95">
        <f>IF($A95="","",COUNTIFS(route_calc!$A$2:$A$1209,G$2,route_calc!$P$2:$P$1209,$A95))</f>
        <v/>
      </c>
      <c r="H95">
        <f>IF($A95="","",COUNTIFS(route_calc!$A$2:$A$1209,H$2,route_calc!$P$2:$P$1209,$A95))</f>
        <v/>
      </c>
      <c r="I95">
        <f>IF($A95="","",COUNTIFS(route_calc!$A$2:$A$1209,I$2,route_calc!$P$2:$P$1209,$A95))</f>
        <v/>
      </c>
      <c r="J95">
        <f>IF($A95="","",COUNTIFS(route_calc!$A$2:$A$1209,J$2,route_calc!$P$2:$P$1209,$A95))</f>
        <v/>
      </c>
      <c r="K95">
        <f>IF($L95=0,"",_xlfn.MINIFS(route_calc!$Q$2:$Q$1209,route_calc!$P$2:$P$1209,$A95,route_calc!$A$2:$A$1209,MATCH(1,$R95:$Y95,0)))</f>
        <v/>
      </c>
      <c r="L95">
        <f>IF($A95="",0,IF(SUM($R95:$Y95)&gt;0,1,0))</f>
        <v/>
      </c>
      <c r="M95">
        <f t="array" ref="M95">IF($L95=0,"",_xlfn.TEXTJOIN(", ",TRUE,IF($R95:$Y95&gt;0,$C$1:$J$1,"")))</f>
        <v/>
      </c>
      <c r="N95">
        <f t="array" ref="N95">IF($L95=0,"",SUMPRODUCT(($L$3:$L$144=1)*($K$3:$K$144&lt;$K95))+1)</f>
        <v/>
      </c>
      <c r="O95">
        <f>IF($L95=0,"",MATCH(1,$R95:$Y95,0))</f>
        <v/>
      </c>
      <c r="P95">
        <f>IF($A95="","",IFERROR(INDEX(countries!$G:$G,MATCH($A95,countries!$D:$D,0)),""))</f>
        <v/>
      </c>
      <c r="Q95">
        <f>IF($A95="","",IFERROR(IF(INDEX(countries!$I:$I,MATCH($A95,countries!$D:$D,0))=0,"",INDEX(countries!$I:$I,MATCH($A95,countries!$D:$D,0))),""))</f>
        <v/>
      </c>
      <c r="R95">
        <f t="array" ref="R95">IF($A95="","",IF(AND(INDEX($C95:$J95,R$2)&gt;0,$A95&lt;&gt;INDEX('TRIP MANAGER'!$T$18:$T$25,R$2),$A95&lt;&gt;INDEX('TRIP MANAGER'!$U$18:$U$25,R$2)),1,0))</f>
        <v/>
      </c>
      <c r="S95">
        <f t="array" ref="S95">IF($A95="","",IF(AND(INDEX($C95:$J95,S$2)&gt;0,$A95&lt;&gt;INDEX('TRIP MANAGER'!$T$18:$T$25,S$2),$A95&lt;&gt;INDEX('TRIP MANAGER'!$U$18:$U$25,S$2)),1,0))</f>
        <v/>
      </c>
      <c r="T95">
        <f t="array" ref="T95">IF($A95="","",IF(AND(INDEX($C95:$J95,T$2)&gt;0,$A95&lt;&gt;INDEX('TRIP MANAGER'!$T$18:$T$25,T$2),$A95&lt;&gt;INDEX('TRIP MANAGER'!$U$18:$U$25,T$2)),1,0))</f>
        <v/>
      </c>
      <c r="U95">
        <f t="array" ref="U95">IF($A95="","",IF(AND(INDEX($C95:$J95,U$2)&gt;0,$A95&lt;&gt;INDEX('TRIP MANAGER'!$T$18:$T$25,U$2),$A95&lt;&gt;INDEX('TRIP MANAGER'!$U$18:$U$25,U$2)),1,0))</f>
        <v/>
      </c>
      <c r="V95">
        <f t="array" ref="V95">IF($A95="","",IF(AND(INDEX($C95:$J95,V$2)&gt;0,$A95&lt;&gt;INDEX('TRIP MANAGER'!$T$18:$T$25,V$2),$A95&lt;&gt;INDEX('TRIP MANAGER'!$U$18:$U$25,V$2)),1,0))</f>
        <v/>
      </c>
      <c r="W95">
        <f t="array" ref="W95">IF($A95="","",IF(AND(INDEX($C95:$J95,W$2)&gt;0,$A95&lt;&gt;INDEX('TRIP MANAGER'!$T$18:$T$25,W$2),$A95&lt;&gt;INDEX('TRIP MANAGER'!$U$18:$U$25,W$2)),1,0))</f>
        <v/>
      </c>
      <c r="X95">
        <f t="array" ref="X95">IF($A95="","",IF(AND(INDEX($C95:$J95,X$2)&gt;0,$A95&lt;&gt;INDEX('TRIP MANAGER'!$T$18:$T$25,X$2),$A95&lt;&gt;INDEX('TRIP MANAGER'!$U$18:$U$25,X$2)),1,0))</f>
        <v/>
      </c>
      <c r="Y95">
        <f t="array" ref="Y95">IF($A95="","",IF(AND(INDEX($C95:$J95,Y$2)&gt;0,$A95&lt;&gt;INDEX('TRIP MANAGER'!$T$18:$T$25,Y$2),$A95&lt;&gt;INDEX('TRIP MANAGER'!$U$18:$U$25,Y$2)),1,0))</f>
        <v/>
      </c>
    </row>
    <row r="96">
      <c r="A96">
        <f>IF(countries!$D95="","",countries!$D95)</f>
        <v/>
      </c>
      <c r="B96">
        <f>IF(countries!$B95="","",countries!$B95)</f>
        <v/>
      </c>
      <c r="C96">
        <f>IF($A96="","",COUNTIFS(route_calc!$A$2:$A$1209,C$2,route_calc!$P$2:$P$1209,$A96))</f>
        <v/>
      </c>
      <c r="D96">
        <f>IF($A96="","",COUNTIFS(route_calc!$A$2:$A$1209,D$2,route_calc!$P$2:$P$1209,$A96))</f>
        <v/>
      </c>
      <c r="E96">
        <f>IF($A96="","",COUNTIFS(route_calc!$A$2:$A$1209,E$2,route_calc!$P$2:$P$1209,$A96))</f>
        <v/>
      </c>
      <c r="F96">
        <f>IF($A96="","",COUNTIFS(route_calc!$A$2:$A$1209,F$2,route_calc!$P$2:$P$1209,$A96))</f>
        <v/>
      </c>
      <c r="G96">
        <f>IF($A96="","",COUNTIFS(route_calc!$A$2:$A$1209,G$2,route_calc!$P$2:$P$1209,$A96))</f>
        <v/>
      </c>
      <c r="H96">
        <f>IF($A96="","",COUNTIFS(route_calc!$A$2:$A$1209,H$2,route_calc!$P$2:$P$1209,$A96))</f>
        <v/>
      </c>
      <c r="I96">
        <f>IF($A96="","",COUNTIFS(route_calc!$A$2:$A$1209,I$2,route_calc!$P$2:$P$1209,$A96))</f>
        <v/>
      </c>
      <c r="J96">
        <f>IF($A96="","",COUNTIFS(route_calc!$A$2:$A$1209,J$2,route_calc!$P$2:$P$1209,$A96))</f>
        <v/>
      </c>
      <c r="K96">
        <f>IF($L96=0,"",_xlfn.MINIFS(route_calc!$Q$2:$Q$1209,route_calc!$P$2:$P$1209,$A96,route_calc!$A$2:$A$1209,MATCH(1,$R96:$Y96,0)))</f>
        <v/>
      </c>
      <c r="L96">
        <f>IF($A96="",0,IF(SUM($R96:$Y96)&gt;0,1,0))</f>
        <v/>
      </c>
      <c r="M96">
        <f t="array" ref="M96">IF($L96=0,"",_xlfn.TEXTJOIN(", ",TRUE,IF($R96:$Y96&gt;0,$C$1:$J$1,"")))</f>
        <v/>
      </c>
      <c r="N96">
        <f t="array" ref="N96">IF($L96=0,"",SUMPRODUCT(($L$3:$L$144=1)*($K$3:$K$144&lt;$K96))+1)</f>
        <v/>
      </c>
      <c r="O96">
        <f>IF($L96=0,"",MATCH(1,$R96:$Y96,0))</f>
        <v/>
      </c>
      <c r="P96">
        <f>IF($A96="","",IFERROR(INDEX(countries!$G:$G,MATCH($A96,countries!$D:$D,0)),""))</f>
        <v/>
      </c>
      <c r="Q96">
        <f>IF($A96="","",IFERROR(IF(INDEX(countries!$I:$I,MATCH($A96,countries!$D:$D,0))=0,"",INDEX(countries!$I:$I,MATCH($A96,countries!$D:$D,0))),""))</f>
        <v/>
      </c>
      <c r="R96">
        <f t="array" ref="R96">IF($A96="","",IF(AND(INDEX($C96:$J96,R$2)&gt;0,$A96&lt;&gt;INDEX('TRIP MANAGER'!$T$18:$T$25,R$2),$A96&lt;&gt;INDEX('TRIP MANAGER'!$U$18:$U$25,R$2)),1,0))</f>
        <v/>
      </c>
      <c r="S96">
        <f t="array" ref="S96">IF($A96="","",IF(AND(INDEX($C96:$J96,S$2)&gt;0,$A96&lt;&gt;INDEX('TRIP MANAGER'!$T$18:$T$25,S$2),$A96&lt;&gt;INDEX('TRIP MANAGER'!$U$18:$U$25,S$2)),1,0))</f>
        <v/>
      </c>
      <c r="T96">
        <f t="array" ref="T96">IF($A96="","",IF(AND(INDEX($C96:$J96,T$2)&gt;0,$A96&lt;&gt;INDEX('TRIP MANAGER'!$T$18:$T$25,T$2),$A96&lt;&gt;INDEX('TRIP MANAGER'!$U$18:$U$25,T$2)),1,0))</f>
        <v/>
      </c>
      <c r="U96">
        <f t="array" ref="U96">IF($A96="","",IF(AND(INDEX($C96:$J96,U$2)&gt;0,$A96&lt;&gt;INDEX('TRIP MANAGER'!$T$18:$T$25,U$2),$A96&lt;&gt;INDEX('TRIP MANAGER'!$U$18:$U$25,U$2)),1,0))</f>
        <v/>
      </c>
      <c r="V96">
        <f t="array" ref="V96">IF($A96="","",IF(AND(INDEX($C96:$J96,V$2)&gt;0,$A96&lt;&gt;INDEX('TRIP MANAGER'!$T$18:$T$25,V$2),$A96&lt;&gt;INDEX('TRIP MANAGER'!$U$18:$U$25,V$2)),1,0))</f>
        <v/>
      </c>
      <c r="W96">
        <f t="array" ref="W96">IF($A96="","",IF(AND(INDEX($C96:$J96,W$2)&gt;0,$A96&lt;&gt;INDEX('TRIP MANAGER'!$T$18:$T$25,W$2),$A96&lt;&gt;INDEX('TRIP MANAGER'!$U$18:$U$25,W$2)),1,0))</f>
        <v/>
      </c>
      <c r="X96">
        <f t="array" ref="X96">IF($A96="","",IF(AND(INDEX($C96:$J96,X$2)&gt;0,$A96&lt;&gt;INDEX('TRIP MANAGER'!$T$18:$T$25,X$2),$A96&lt;&gt;INDEX('TRIP MANAGER'!$U$18:$U$25,X$2)),1,0))</f>
        <v/>
      </c>
      <c r="Y96">
        <f t="array" ref="Y96">IF($A96="","",IF(AND(INDEX($C96:$J96,Y$2)&gt;0,$A96&lt;&gt;INDEX('TRIP MANAGER'!$T$18:$T$25,Y$2),$A96&lt;&gt;INDEX('TRIP MANAGER'!$U$18:$U$25,Y$2)),1,0))</f>
        <v/>
      </c>
    </row>
    <row r="97">
      <c r="A97">
        <f>IF(countries!$D96="","",countries!$D96)</f>
        <v/>
      </c>
      <c r="B97">
        <f>IF(countries!$B96="","",countries!$B96)</f>
        <v/>
      </c>
      <c r="C97">
        <f>IF($A97="","",COUNTIFS(route_calc!$A$2:$A$1209,C$2,route_calc!$P$2:$P$1209,$A97))</f>
        <v/>
      </c>
      <c r="D97">
        <f>IF($A97="","",COUNTIFS(route_calc!$A$2:$A$1209,D$2,route_calc!$P$2:$P$1209,$A97))</f>
        <v/>
      </c>
      <c r="E97">
        <f>IF($A97="","",COUNTIFS(route_calc!$A$2:$A$1209,E$2,route_calc!$P$2:$P$1209,$A97))</f>
        <v/>
      </c>
      <c r="F97">
        <f>IF($A97="","",COUNTIFS(route_calc!$A$2:$A$1209,F$2,route_calc!$P$2:$P$1209,$A97))</f>
        <v/>
      </c>
      <c r="G97">
        <f>IF($A97="","",COUNTIFS(route_calc!$A$2:$A$1209,G$2,route_calc!$P$2:$P$1209,$A97))</f>
        <v/>
      </c>
      <c r="H97">
        <f>IF($A97="","",COUNTIFS(route_calc!$A$2:$A$1209,H$2,route_calc!$P$2:$P$1209,$A97))</f>
        <v/>
      </c>
      <c r="I97">
        <f>IF($A97="","",COUNTIFS(route_calc!$A$2:$A$1209,I$2,route_calc!$P$2:$P$1209,$A97))</f>
        <v/>
      </c>
      <c r="J97">
        <f>IF($A97="","",COUNTIFS(route_calc!$A$2:$A$1209,J$2,route_calc!$P$2:$P$1209,$A97))</f>
        <v/>
      </c>
      <c r="K97">
        <f>IF($L97=0,"",_xlfn.MINIFS(route_calc!$Q$2:$Q$1209,route_calc!$P$2:$P$1209,$A97,route_calc!$A$2:$A$1209,MATCH(1,$R97:$Y97,0)))</f>
        <v/>
      </c>
      <c r="L97">
        <f>IF($A97="",0,IF(SUM($R97:$Y97)&gt;0,1,0))</f>
        <v/>
      </c>
      <c r="M97">
        <f t="array" ref="M97">IF($L97=0,"",_xlfn.TEXTJOIN(", ",TRUE,IF($R97:$Y97&gt;0,$C$1:$J$1,"")))</f>
        <v/>
      </c>
      <c r="N97">
        <f t="array" ref="N97">IF($L97=0,"",SUMPRODUCT(($L$3:$L$144=1)*($K$3:$K$144&lt;$K97))+1)</f>
        <v/>
      </c>
      <c r="O97">
        <f>IF($L97=0,"",MATCH(1,$R97:$Y97,0))</f>
        <v/>
      </c>
      <c r="P97">
        <f>IF($A97="","",IFERROR(INDEX(countries!$G:$G,MATCH($A97,countries!$D:$D,0)),""))</f>
        <v/>
      </c>
      <c r="Q97">
        <f>IF($A97="","",IFERROR(IF(INDEX(countries!$I:$I,MATCH($A97,countries!$D:$D,0))=0,"",INDEX(countries!$I:$I,MATCH($A97,countries!$D:$D,0))),""))</f>
        <v/>
      </c>
      <c r="R97">
        <f t="array" ref="R97">IF($A97="","",IF(AND(INDEX($C97:$J97,R$2)&gt;0,$A97&lt;&gt;INDEX('TRIP MANAGER'!$T$18:$T$25,R$2),$A97&lt;&gt;INDEX('TRIP MANAGER'!$U$18:$U$25,R$2)),1,0))</f>
        <v/>
      </c>
      <c r="S97">
        <f t="array" ref="S97">IF($A97="","",IF(AND(INDEX($C97:$J97,S$2)&gt;0,$A97&lt;&gt;INDEX('TRIP MANAGER'!$T$18:$T$25,S$2),$A97&lt;&gt;INDEX('TRIP MANAGER'!$U$18:$U$25,S$2)),1,0))</f>
        <v/>
      </c>
      <c r="T97">
        <f t="array" ref="T97">IF($A97="","",IF(AND(INDEX($C97:$J97,T$2)&gt;0,$A97&lt;&gt;INDEX('TRIP MANAGER'!$T$18:$T$25,T$2),$A97&lt;&gt;INDEX('TRIP MANAGER'!$U$18:$U$25,T$2)),1,0))</f>
        <v/>
      </c>
      <c r="U97">
        <f t="array" ref="U97">IF($A97="","",IF(AND(INDEX($C97:$J97,U$2)&gt;0,$A97&lt;&gt;INDEX('TRIP MANAGER'!$T$18:$T$25,U$2),$A97&lt;&gt;INDEX('TRIP MANAGER'!$U$18:$U$25,U$2)),1,0))</f>
        <v/>
      </c>
      <c r="V97">
        <f t="array" ref="V97">IF($A97="","",IF(AND(INDEX($C97:$J97,V$2)&gt;0,$A97&lt;&gt;INDEX('TRIP MANAGER'!$T$18:$T$25,V$2),$A97&lt;&gt;INDEX('TRIP MANAGER'!$U$18:$U$25,V$2)),1,0))</f>
        <v/>
      </c>
      <c r="W97">
        <f t="array" ref="W97">IF($A97="","",IF(AND(INDEX($C97:$J97,W$2)&gt;0,$A97&lt;&gt;INDEX('TRIP MANAGER'!$T$18:$T$25,W$2),$A97&lt;&gt;INDEX('TRIP MANAGER'!$U$18:$U$25,W$2)),1,0))</f>
        <v/>
      </c>
      <c r="X97">
        <f t="array" ref="X97">IF($A97="","",IF(AND(INDEX($C97:$J97,X$2)&gt;0,$A97&lt;&gt;INDEX('TRIP MANAGER'!$T$18:$T$25,X$2),$A97&lt;&gt;INDEX('TRIP MANAGER'!$U$18:$U$25,X$2)),1,0))</f>
        <v/>
      </c>
      <c r="Y97">
        <f t="array" ref="Y97">IF($A97="","",IF(AND(INDEX($C97:$J97,Y$2)&gt;0,$A97&lt;&gt;INDEX('TRIP MANAGER'!$T$18:$T$25,Y$2),$A97&lt;&gt;INDEX('TRIP MANAGER'!$U$18:$U$25,Y$2)),1,0))</f>
        <v/>
      </c>
    </row>
    <row r="98">
      <c r="A98">
        <f>IF(countries!$D97="","",countries!$D97)</f>
        <v/>
      </c>
      <c r="B98">
        <f>IF(countries!$B97="","",countries!$B97)</f>
        <v/>
      </c>
      <c r="C98">
        <f>IF($A98="","",COUNTIFS(route_calc!$A$2:$A$1209,C$2,route_calc!$P$2:$P$1209,$A98))</f>
        <v/>
      </c>
      <c r="D98">
        <f>IF($A98="","",COUNTIFS(route_calc!$A$2:$A$1209,D$2,route_calc!$P$2:$P$1209,$A98))</f>
        <v/>
      </c>
      <c r="E98">
        <f>IF($A98="","",COUNTIFS(route_calc!$A$2:$A$1209,E$2,route_calc!$P$2:$P$1209,$A98))</f>
        <v/>
      </c>
      <c r="F98">
        <f>IF($A98="","",COUNTIFS(route_calc!$A$2:$A$1209,F$2,route_calc!$P$2:$P$1209,$A98))</f>
        <v/>
      </c>
      <c r="G98">
        <f>IF($A98="","",COUNTIFS(route_calc!$A$2:$A$1209,G$2,route_calc!$P$2:$P$1209,$A98))</f>
        <v/>
      </c>
      <c r="H98">
        <f>IF($A98="","",COUNTIFS(route_calc!$A$2:$A$1209,H$2,route_calc!$P$2:$P$1209,$A98))</f>
        <v/>
      </c>
      <c r="I98">
        <f>IF($A98="","",COUNTIFS(route_calc!$A$2:$A$1209,I$2,route_calc!$P$2:$P$1209,$A98))</f>
        <v/>
      </c>
      <c r="J98">
        <f>IF($A98="","",COUNTIFS(route_calc!$A$2:$A$1209,J$2,route_calc!$P$2:$P$1209,$A98))</f>
        <v/>
      </c>
      <c r="K98">
        <f>IF($L98=0,"",_xlfn.MINIFS(route_calc!$Q$2:$Q$1209,route_calc!$P$2:$P$1209,$A98,route_calc!$A$2:$A$1209,MATCH(1,$R98:$Y98,0)))</f>
        <v/>
      </c>
      <c r="L98">
        <f>IF($A98="",0,IF(SUM($R98:$Y98)&gt;0,1,0))</f>
        <v/>
      </c>
      <c r="M98">
        <f t="array" ref="M98">IF($L98=0,"",_xlfn.TEXTJOIN(", ",TRUE,IF($R98:$Y98&gt;0,$C$1:$J$1,"")))</f>
        <v/>
      </c>
      <c r="N98">
        <f t="array" ref="N98">IF($L98=0,"",SUMPRODUCT(($L$3:$L$144=1)*($K$3:$K$144&lt;$K98))+1)</f>
        <v/>
      </c>
      <c r="O98">
        <f>IF($L98=0,"",MATCH(1,$R98:$Y98,0))</f>
        <v/>
      </c>
      <c r="P98">
        <f>IF($A98="","",IFERROR(INDEX(countries!$G:$G,MATCH($A98,countries!$D:$D,0)),""))</f>
        <v/>
      </c>
      <c r="Q98">
        <f>IF($A98="","",IFERROR(IF(INDEX(countries!$I:$I,MATCH($A98,countries!$D:$D,0))=0,"",INDEX(countries!$I:$I,MATCH($A98,countries!$D:$D,0))),""))</f>
        <v/>
      </c>
      <c r="R98">
        <f t="array" ref="R98">IF($A98="","",IF(AND(INDEX($C98:$J98,R$2)&gt;0,$A98&lt;&gt;INDEX('TRIP MANAGER'!$T$18:$T$25,R$2),$A98&lt;&gt;INDEX('TRIP MANAGER'!$U$18:$U$25,R$2)),1,0))</f>
        <v/>
      </c>
      <c r="S98">
        <f t="array" ref="S98">IF($A98="","",IF(AND(INDEX($C98:$J98,S$2)&gt;0,$A98&lt;&gt;INDEX('TRIP MANAGER'!$T$18:$T$25,S$2),$A98&lt;&gt;INDEX('TRIP MANAGER'!$U$18:$U$25,S$2)),1,0))</f>
        <v/>
      </c>
      <c r="T98">
        <f t="array" ref="T98">IF($A98="","",IF(AND(INDEX($C98:$J98,T$2)&gt;0,$A98&lt;&gt;INDEX('TRIP MANAGER'!$T$18:$T$25,T$2),$A98&lt;&gt;INDEX('TRIP MANAGER'!$U$18:$U$25,T$2)),1,0))</f>
        <v/>
      </c>
      <c r="U98">
        <f t="array" ref="U98">IF($A98="","",IF(AND(INDEX($C98:$J98,U$2)&gt;0,$A98&lt;&gt;INDEX('TRIP MANAGER'!$T$18:$T$25,U$2),$A98&lt;&gt;INDEX('TRIP MANAGER'!$U$18:$U$25,U$2)),1,0))</f>
        <v/>
      </c>
      <c r="V98">
        <f t="array" ref="V98">IF($A98="","",IF(AND(INDEX($C98:$J98,V$2)&gt;0,$A98&lt;&gt;INDEX('TRIP MANAGER'!$T$18:$T$25,V$2),$A98&lt;&gt;INDEX('TRIP MANAGER'!$U$18:$U$25,V$2)),1,0))</f>
        <v/>
      </c>
      <c r="W98">
        <f t="array" ref="W98">IF($A98="","",IF(AND(INDEX($C98:$J98,W$2)&gt;0,$A98&lt;&gt;INDEX('TRIP MANAGER'!$T$18:$T$25,W$2),$A98&lt;&gt;INDEX('TRIP MANAGER'!$U$18:$U$25,W$2)),1,0))</f>
        <v/>
      </c>
      <c r="X98">
        <f t="array" ref="X98">IF($A98="","",IF(AND(INDEX($C98:$J98,X$2)&gt;0,$A98&lt;&gt;INDEX('TRIP MANAGER'!$T$18:$T$25,X$2),$A98&lt;&gt;INDEX('TRIP MANAGER'!$U$18:$U$25,X$2)),1,0))</f>
        <v/>
      </c>
      <c r="Y98">
        <f t="array" ref="Y98">IF($A98="","",IF(AND(INDEX($C98:$J98,Y$2)&gt;0,$A98&lt;&gt;INDEX('TRIP MANAGER'!$T$18:$T$25,Y$2),$A98&lt;&gt;INDEX('TRIP MANAGER'!$U$18:$U$25,Y$2)),1,0))</f>
        <v/>
      </c>
    </row>
    <row r="99">
      <c r="A99">
        <f>IF(countries!$D98="","",countries!$D98)</f>
        <v/>
      </c>
      <c r="B99">
        <f>IF(countries!$B98="","",countries!$B98)</f>
        <v/>
      </c>
      <c r="C99">
        <f>IF($A99="","",COUNTIFS(route_calc!$A$2:$A$1209,C$2,route_calc!$P$2:$P$1209,$A99))</f>
        <v/>
      </c>
      <c r="D99">
        <f>IF($A99="","",COUNTIFS(route_calc!$A$2:$A$1209,D$2,route_calc!$P$2:$P$1209,$A99))</f>
        <v/>
      </c>
      <c r="E99">
        <f>IF($A99="","",COUNTIFS(route_calc!$A$2:$A$1209,E$2,route_calc!$P$2:$P$1209,$A99))</f>
        <v/>
      </c>
      <c r="F99">
        <f>IF($A99="","",COUNTIFS(route_calc!$A$2:$A$1209,F$2,route_calc!$P$2:$P$1209,$A99))</f>
        <v/>
      </c>
      <c r="G99">
        <f>IF($A99="","",COUNTIFS(route_calc!$A$2:$A$1209,G$2,route_calc!$P$2:$P$1209,$A99))</f>
        <v/>
      </c>
      <c r="H99">
        <f>IF($A99="","",COUNTIFS(route_calc!$A$2:$A$1209,H$2,route_calc!$P$2:$P$1209,$A99))</f>
        <v/>
      </c>
      <c r="I99">
        <f>IF($A99="","",COUNTIFS(route_calc!$A$2:$A$1209,I$2,route_calc!$P$2:$P$1209,$A99))</f>
        <v/>
      </c>
      <c r="J99">
        <f>IF($A99="","",COUNTIFS(route_calc!$A$2:$A$1209,J$2,route_calc!$P$2:$P$1209,$A99))</f>
        <v/>
      </c>
      <c r="K99">
        <f>IF($L99=0,"",_xlfn.MINIFS(route_calc!$Q$2:$Q$1209,route_calc!$P$2:$P$1209,$A99,route_calc!$A$2:$A$1209,MATCH(1,$R99:$Y99,0)))</f>
        <v/>
      </c>
      <c r="L99">
        <f>IF($A99="",0,IF(SUM($R99:$Y99)&gt;0,1,0))</f>
        <v/>
      </c>
      <c r="M99">
        <f t="array" ref="M99">IF($L99=0,"",_xlfn.TEXTJOIN(", ",TRUE,IF($R99:$Y99&gt;0,$C$1:$J$1,"")))</f>
        <v/>
      </c>
      <c r="N99">
        <f t="array" ref="N99">IF($L99=0,"",SUMPRODUCT(($L$3:$L$144=1)*($K$3:$K$144&lt;$K99))+1)</f>
        <v/>
      </c>
      <c r="O99">
        <f>IF($L99=0,"",MATCH(1,$R99:$Y99,0))</f>
        <v/>
      </c>
      <c r="P99">
        <f>IF($A99="","",IFERROR(INDEX(countries!$G:$G,MATCH($A99,countries!$D:$D,0)),""))</f>
        <v/>
      </c>
      <c r="Q99">
        <f>IF($A99="","",IFERROR(IF(INDEX(countries!$I:$I,MATCH($A99,countries!$D:$D,0))=0,"",INDEX(countries!$I:$I,MATCH($A99,countries!$D:$D,0))),""))</f>
        <v/>
      </c>
      <c r="R99">
        <f t="array" ref="R99">IF($A99="","",IF(AND(INDEX($C99:$J99,R$2)&gt;0,$A99&lt;&gt;INDEX('TRIP MANAGER'!$T$18:$T$25,R$2),$A99&lt;&gt;INDEX('TRIP MANAGER'!$U$18:$U$25,R$2)),1,0))</f>
        <v/>
      </c>
      <c r="S99">
        <f t="array" ref="S99">IF($A99="","",IF(AND(INDEX($C99:$J99,S$2)&gt;0,$A99&lt;&gt;INDEX('TRIP MANAGER'!$T$18:$T$25,S$2),$A99&lt;&gt;INDEX('TRIP MANAGER'!$U$18:$U$25,S$2)),1,0))</f>
        <v/>
      </c>
      <c r="T99">
        <f t="array" ref="T99">IF($A99="","",IF(AND(INDEX($C99:$J99,T$2)&gt;0,$A99&lt;&gt;INDEX('TRIP MANAGER'!$T$18:$T$25,T$2),$A99&lt;&gt;INDEX('TRIP MANAGER'!$U$18:$U$25,T$2)),1,0))</f>
        <v/>
      </c>
      <c r="U99">
        <f t="array" ref="U99">IF($A99="","",IF(AND(INDEX($C99:$J99,U$2)&gt;0,$A99&lt;&gt;INDEX('TRIP MANAGER'!$T$18:$T$25,U$2),$A99&lt;&gt;INDEX('TRIP MANAGER'!$U$18:$U$25,U$2)),1,0))</f>
        <v/>
      </c>
      <c r="V99">
        <f t="array" ref="V99">IF($A99="","",IF(AND(INDEX($C99:$J99,V$2)&gt;0,$A99&lt;&gt;INDEX('TRIP MANAGER'!$T$18:$T$25,V$2),$A99&lt;&gt;INDEX('TRIP MANAGER'!$U$18:$U$25,V$2)),1,0))</f>
        <v/>
      </c>
      <c r="W99">
        <f t="array" ref="W99">IF($A99="","",IF(AND(INDEX($C99:$J99,W$2)&gt;0,$A99&lt;&gt;INDEX('TRIP MANAGER'!$T$18:$T$25,W$2),$A99&lt;&gt;INDEX('TRIP MANAGER'!$U$18:$U$25,W$2)),1,0))</f>
        <v/>
      </c>
      <c r="X99">
        <f t="array" ref="X99">IF($A99="","",IF(AND(INDEX($C99:$J99,X$2)&gt;0,$A99&lt;&gt;INDEX('TRIP MANAGER'!$T$18:$T$25,X$2),$A99&lt;&gt;INDEX('TRIP MANAGER'!$U$18:$U$25,X$2)),1,0))</f>
        <v/>
      </c>
      <c r="Y99">
        <f t="array" ref="Y99">IF($A99="","",IF(AND(INDEX($C99:$J99,Y$2)&gt;0,$A99&lt;&gt;INDEX('TRIP MANAGER'!$T$18:$T$25,Y$2),$A99&lt;&gt;INDEX('TRIP MANAGER'!$U$18:$U$25,Y$2)),1,0))</f>
        <v/>
      </c>
    </row>
    <row r="100">
      <c r="A100">
        <f>IF(countries!$D99="","",countries!$D99)</f>
        <v/>
      </c>
      <c r="B100">
        <f>IF(countries!$B99="","",countries!$B99)</f>
        <v/>
      </c>
      <c r="C100">
        <f>IF($A100="","",COUNTIFS(route_calc!$A$2:$A$1209,C$2,route_calc!$P$2:$P$1209,$A100))</f>
        <v/>
      </c>
      <c r="D100">
        <f>IF($A100="","",COUNTIFS(route_calc!$A$2:$A$1209,D$2,route_calc!$P$2:$P$1209,$A100))</f>
        <v/>
      </c>
      <c r="E100">
        <f>IF($A100="","",COUNTIFS(route_calc!$A$2:$A$1209,E$2,route_calc!$P$2:$P$1209,$A100))</f>
        <v/>
      </c>
      <c r="F100">
        <f>IF($A100="","",COUNTIFS(route_calc!$A$2:$A$1209,F$2,route_calc!$P$2:$P$1209,$A100))</f>
        <v/>
      </c>
      <c r="G100">
        <f>IF($A100="","",COUNTIFS(route_calc!$A$2:$A$1209,G$2,route_calc!$P$2:$P$1209,$A100))</f>
        <v/>
      </c>
      <c r="H100">
        <f>IF($A100="","",COUNTIFS(route_calc!$A$2:$A$1209,H$2,route_calc!$P$2:$P$1209,$A100))</f>
        <v/>
      </c>
      <c r="I100">
        <f>IF($A100="","",COUNTIFS(route_calc!$A$2:$A$1209,I$2,route_calc!$P$2:$P$1209,$A100))</f>
        <v/>
      </c>
      <c r="J100">
        <f>IF($A100="","",COUNTIFS(route_calc!$A$2:$A$1209,J$2,route_calc!$P$2:$P$1209,$A100))</f>
        <v/>
      </c>
      <c r="K100">
        <f>IF($L100=0,"",_xlfn.MINIFS(route_calc!$Q$2:$Q$1209,route_calc!$P$2:$P$1209,$A100,route_calc!$A$2:$A$1209,MATCH(1,$R100:$Y100,0)))</f>
        <v/>
      </c>
      <c r="L100">
        <f>IF($A100="",0,IF(SUM($R100:$Y100)&gt;0,1,0))</f>
        <v/>
      </c>
      <c r="M100">
        <f t="array" ref="M100">IF($L100=0,"",_xlfn.TEXTJOIN(", ",TRUE,IF($R100:$Y100&gt;0,$C$1:$J$1,"")))</f>
        <v/>
      </c>
      <c r="N100">
        <f t="array" ref="N100">IF($L100=0,"",SUMPRODUCT(($L$3:$L$144=1)*($K$3:$K$144&lt;$K100))+1)</f>
        <v/>
      </c>
      <c r="O100">
        <f>IF($L100=0,"",MATCH(1,$R100:$Y100,0))</f>
        <v/>
      </c>
      <c r="P100">
        <f>IF($A100="","",IFERROR(INDEX(countries!$G:$G,MATCH($A100,countries!$D:$D,0)),""))</f>
        <v/>
      </c>
      <c r="Q100">
        <f>IF($A100="","",IFERROR(IF(INDEX(countries!$I:$I,MATCH($A100,countries!$D:$D,0))=0,"",INDEX(countries!$I:$I,MATCH($A100,countries!$D:$D,0))),""))</f>
        <v/>
      </c>
      <c r="R100">
        <f t="array" ref="R100">IF($A100="","",IF(AND(INDEX($C100:$J100,R$2)&gt;0,$A100&lt;&gt;INDEX('TRIP MANAGER'!$T$18:$T$25,R$2),$A100&lt;&gt;INDEX('TRIP MANAGER'!$U$18:$U$25,R$2)),1,0))</f>
        <v/>
      </c>
      <c r="S100">
        <f t="array" ref="S100">IF($A100="","",IF(AND(INDEX($C100:$J100,S$2)&gt;0,$A100&lt;&gt;INDEX('TRIP MANAGER'!$T$18:$T$25,S$2),$A100&lt;&gt;INDEX('TRIP MANAGER'!$U$18:$U$25,S$2)),1,0))</f>
        <v/>
      </c>
      <c r="T100">
        <f t="array" ref="T100">IF($A100="","",IF(AND(INDEX($C100:$J100,T$2)&gt;0,$A100&lt;&gt;INDEX('TRIP MANAGER'!$T$18:$T$25,T$2),$A100&lt;&gt;INDEX('TRIP MANAGER'!$U$18:$U$25,T$2)),1,0))</f>
        <v/>
      </c>
      <c r="U100">
        <f t="array" ref="U100">IF($A100="","",IF(AND(INDEX($C100:$J100,U$2)&gt;0,$A100&lt;&gt;INDEX('TRIP MANAGER'!$T$18:$T$25,U$2),$A100&lt;&gt;INDEX('TRIP MANAGER'!$U$18:$U$25,U$2)),1,0))</f>
        <v/>
      </c>
      <c r="V100">
        <f t="array" ref="V100">IF($A100="","",IF(AND(INDEX($C100:$J100,V$2)&gt;0,$A100&lt;&gt;INDEX('TRIP MANAGER'!$T$18:$T$25,V$2),$A100&lt;&gt;INDEX('TRIP MANAGER'!$U$18:$U$25,V$2)),1,0))</f>
        <v/>
      </c>
      <c r="W100">
        <f t="array" ref="W100">IF($A100="","",IF(AND(INDEX($C100:$J100,W$2)&gt;0,$A100&lt;&gt;INDEX('TRIP MANAGER'!$T$18:$T$25,W$2),$A100&lt;&gt;INDEX('TRIP MANAGER'!$U$18:$U$25,W$2)),1,0))</f>
        <v/>
      </c>
      <c r="X100">
        <f t="array" ref="X100">IF($A100="","",IF(AND(INDEX($C100:$J100,X$2)&gt;0,$A100&lt;&gt;INDEX('TRIP MANAGER'!$T$18:$T$25,X$2),$A100&lt;&gt;INDEX('TRIP MANAGER'!$U$18:$U$25,X$2)),1,0))</f>
        <v/>
      </c>
      <c r="Y100">
        <f t="array" ref="Y100">IF($A100="","",IF(AND(INDEX($C100:$J100,Y$2)&gt;0,$A100&lt;&gt;INDEX('TRIP MANAGER'!$T$18:$T$25,Y$2),$A100&lt;&gt;INDEX('TRIP MANAGER'!$U$18:$U$25,Y$2)),1,0))</f>
        <v/>
      </c>
    </row>
    <row r="101">
      <c r="A101">
        <f>IF(countries!$D100="","",countries!$D100)</f>
        <v/>
      </c>
      <c r="B101">
        <f>IF(countries!$B100="","",countries!$B100)</f>
        <v/>
      </c>
      <c r="C101">
        <f>IF($A101="","",COUNTIFS(route_calc!$A$2:$A$1209,C$2,route_calc!$P$2:$P$1209,$A101))</f>
        <v/>
      </c>
      <c r="D101">
        <f>IF($A101="","",COUNTIFS(route_calc!$A$2:$A$1209,D$2,route_calc!$P$2:$P$1209,$A101))</f>
        <v/>
      </c>
      <c r="E101">
        <f>IF($A101="","",COUNTIFS(route_calc!$A$2:$A$1209,E$2,route_calc!$P$2:$P$1209,$A101))</f>
        <v/>
      </c>
      <c r="F101">
        <f>IF($A101="","",COUNTIFS(route_calc!$A$2:$A$1209,F$2,route_calc!$P$2:$P$1209,$A101))</f>
        <v/>
      </c>
      <c r="G101">
        <f>IF($A101="","",COUNTIFS(route_calc!$A$2:$A$1209,G$2,route_calc!$P$2:$P$1209,$A101))</f>
        <v/>
      </c>
      <c r="H101">
        <f>IF($A101="","",COUNTIFS(route_calc!$A$2:$A$1209,H$2,route_calc!$P$2:$P$1209,$A101))</f>
        <v/>
      </c>
      <c r="I101">
        <f>IF($A101="","",COUNTIFS(route_calc!$A$2:$A$1209,I$2,route_calc!$P$2:$P$1209,$A101))</f>
        <v/>
      </c>
      <c r="J101">
        <f>IF($A101="","",COUNTIFS(route_calc!$A$2:$A$1209,J$2,route_calc!$P$2:$P$1209,$A101))</f>
        <v/>
      </c>
      <c r="K101">
        <f>IF($L101=0,"",_xlfn.MINIFS(route_calc!$Q$2:$Q$1209,route_calc!$P$2:$P$1209,$A101,route_calc!$A$2:$A$1209,MATCH(1,$R101:$Y101,0)))</f>
        <v/>
      </c>
      <c r="L101">
        <f>IF($A101="",0,IF(SUM($R101:$Y101)&gt;0,1,0))</f>
        <v/>
      </c>
      <c r="M101">
        <f t="array" ref="M101">IF($L101=0,"",_xlfn.TEXTJOIN(", ",TRUE,IF($R101:$Y101&gt;0,$C$1:$J$1,"")))</f>
        <v/>
      </c>
      <c r="N101">
        <f t="array" ref="N101">IF($L101=0,"",SUMPRODUCT(($L$3:$L$144=1)*($K$3:$K$144&lt;$K101))+1)</f>
        <v/>
      </c>
      <c r="O101">
        <f>IF($L101=0,"",MATCH(1,$R101:$Y101,0))</f>
        <v/>
      </c>
      <c r="P101">
        <f>IF($A101="","",IFERROR(INDEX(countries!$G:$G,MATCH($A101,countries!$D:$D,0)),""))</f>
        <v/>
      </c>
      <c r="Q101">
        <f>IF($A101="","",IFERROR(IF(INDEX(countries!$I:$I,MATCH($A101,countries!$D:$D,0))=0,"",INDEX(countries!$I:$I,MATCH($A101,countries!$D:$D,0))),""))</f>
        <v/>
      </c>
      <c r="R101">
        <f t="array" ref="R101">IF($A101="","",IF(AND(INDEX($C101:$J101,R$2)&gt;0,$A101&lt;&gt;INDEX('TRIP MANAGER'!$T$18:$T$25,R$2),$A101&lt;&gt;INDEX('TRIP MANAGER'!$U$18:$U$25,R$2)),1,0))</f>
        <v/>
      </c>
      <c r="S101">
        <f t="array" ref="S101">IF($A101="","",IF(AND(INDEX($C101:$J101,S$2)&gt;0,$A101&lt;&gt;INDEX('TRIP MANAGER'!$T$18:$T$25,S$2),$A101&lt;&gt;INDEX('TRIP MANAGER'!$U$18:$U$25,S$2)),1,0))</f>
        <v/>
      </c>
      <c r="T101">
        <f t="array" ref="T101">IF($A101="","",IF(AND(INDEX($C101:$J101,T$2)&gt;0,$A101&lt;&gt;INDEX('TRIP MANAGER'!$T$18:$T$25,T$2),$A101&lt;&gt;INDEX('TRIP MANAGER'!$U$18:$U$25,T$2)),1,0))</f>
        <v/>
      </c>
      <c r="U101">
        <f t="array" ref="U101">IF($A101="","",IF(AND(INDEX($C101:$J101,U$2)&gt;0,$A101&lt;&gt;INDEX('TRIP MANAGER'!$T$18:$T$25,U$2),$A101&lt;&gt;INDEX('TRIP MANAGER'!$U$18:$U$25,U$2)),1,0))</f>
        <v/>
      </c>
      <c r="V101">
        <f t="array" ref="V101">IF($A101="","",IF(AND(INDEX($C101:$J101,V$2)&gt;0,$A101&lt;&gt;INDEX('TRIP MANAGER'!$T$18:$T$25,V$2),$A101&lt;&gt;INDEX('TRIP MANAGER'!$U$18:$U$25,V$2)),1,0))</f>
        <v/>
      </c>
      <c r="W101">
        <f t="array" ref="W101">IF($A101="","",IF(AND(INDEX($C101:$J101,W$2)&gt;0,$A101&lt;&gt;INDEX('TRIP MANAGER'!$T$18:$T$25,W$2),$A101&lt;&gt;INDEX('TRIP MANAGER'!$U$18:$U$25,W$2)),1,0))</f>
        <v/>
      </c>
      <c r="X101">
        <f t="array" ref="X101">IF($A101="","",IF(AND(INDEX($C101:$J101,X$2)&gt;0,$A101&lt;&gt;INDEX('TRIP MANAGER'!$T$18:$T$25,X$2),$A101&lt;&gt;INDEX('TRIP MANAGER'!$U$18:$U$25,X$2)),1,0))</f>
        <v/>
      </c>
      <c r="Y101">
        <f t="array" ref="Y101">IF($A101="","",IF(AND(INDEX($C101:$J101,Y$2)&gt;0,$A101&lt;&gt;INDEX('TRIP MANAGER'!$T$18:$T$25,Y$2),$A101&lt;&gt;INDEX('TRIP MANAGER'!$U$18:$U$25,Y$2)),1,0))</f>
        <v/>
      </c>
    </row>
    <row r="102">
      <c r="A102">
        <f>IF(countries!$D101="","",countries!$D101)</f>
        <v/>
      </c>
      <c r="B102">
        <f>IF(countries!$B101="","",countries!$B101)</f>
        <v/>
      </c>
      <c r="C102">
        <f>IF($A102="","",COUNTIFS(route_calc!$A$2:$A$1209,C$2,route_calc!$P$2:$P$1209,$A102))</f>
        <v/>
      </c>
      <c r="D102">
        <f>IF($A102="","",COUNTIFS(route_calc!$A$2:$A$1209,D$2,route_calc!$P$2:$P$1209,$A102))</f>
        <v/>
      </c>
      <c r="E102">
        <f>IF($A102="","",COUNTIFS(route_calc!$A$2:$A$1209,E$2,route_calc!$P$2:$P$1209,$A102))</f>
        <v/>
      </c>
      <c r="F102">
        <f>IF($A102="","",COUNTIFS(route_calc!$A$2:$A$1209,F$2,route_calc!$P$2:$P$1209,$A102))</f>
        <v/>
      </c>
      <c r="G102">
        <f>IF($A102="","",COUNTIFS(route_calc!$A$2:$A$1209,G$2,route_calc!$P$2:$P$1209,$A102))</f>
        <v/>
      </c>
      <c r="H102">
        <f>IF($A102="","",COUNTIFS(route_calc!$A$2:$A$1209,H$2,route_calc!$P$2:$P$1209,$A102))</f>
        <v/>
      </c>
      <c r="I102">
        <f>IF($A102="","",COUNTIFS(route_calc!$A$2:$A$1209,I$2,route_calc!$P$2:$P$1209,$A102))</f>
        <v/>
      </c>
      <c r="J102">
        <f>IF($A102="","",COUNTIFS(route_calc!$A$2:$A$1209,J$2,route_calc!$P$2:$P$1209,$A102))</f>
        <v/>
      </c>
      <c r="K102">
        <f>IF($L102=0,"",_xlfn.MINIFS(route_calc!$Q$2:$Q$1209,route_calc!$P$2:$P$1209,$A102,route_calc!$A$2:$A$1209,MATCH(1,$R102:$Y102,0)))</f>
        <v/>
      </c>
      <c r="L102">
        <f>IF($A102="",0,IF(SUM($R102:$Y102)&gt;0,1,0))</f>
        <v/>
      </c>
      <c r="M102">
        <f t="array" ref="M102">IF($L102=0,"",_xlfn.TEXTJOIN(", ",TRUE,IF($R102:$Y102&gt;0,$C$1:$J$1,"")))</f>
        <v/>
      </c>
      <c r="N102">
        <f t="array" ref="N102">IF($L102=0,"",SUMPRODUCT(($L$3:$L$144=1)*($K$3:$K$144&lt;$K102))+1)</f>
        <v/>
      </c>
      <c r="O102">
        <f>IF($L102=0,"",MATCH(1,$R102:$Y102,0))</f>
        <v/>
      </c>
      <c r="P102">
        <f>IF($A102="","",IFERROR(INDEX(countries!$G:$G,MATCH($A102,countries!$D:$D,0)),""))</f>
        <v/>
      </c>
      <c r="Q102">
        <f>IF($A102="","",IFERROR(IF(INDEX(countries!$I:$I,MATCH($A102,countries!$D:$D,0))=0,"",INDEX(countries!$I:$I,MATCH($A102,countries!$D:$D,0))),""))</f>
        <v/>
      </c>
      <c r="R102">
        <f t="array" ref="R102">IF($A102="","",IF(AND(INDEX($C102:$J102,R$2)&gt;0,$A102&lt;&gt;INDEX('TRIP MANAGER'!$T$18:$T$25,R$2),$A102&lt;&gt;INDEX('TRIP MANAGER'!$U$18:$U$25,R$2)),1,0))</f>
        <v/>
      </c>
      <c r="S102">
        <f t="array" ref="S102">IF($A102="","",IF(AND(INDEX($C102:$J102,S$2)&gt;0,$A102&lt;&gt;INDEX('TRIP MANAGER'!$T$18:$T$25,S$2),$A102&lt;&gt;INDEX('TRIP MANAGER'!$U$18:$U$25,S$2)),1,0))</f>
        <v/>
      </c>
      <c r="T102">
        <f t="array" ref="T102">IF($A102="","",IF(AND(INDEX($C102:$J102,T$2)&gt;0,$A102&lt;&gt;INDEX('TRIP MANAGER'!$T$18:$T$25,T$2),$A102&lt;&gt;INDEX('TRIP MANAGER'!$U$18:$U$25,T$2)),1,0))</f>
        <v/>
      </c>
      <c r="U102">
        <f t="array" ref="U102">IF($A102="","",IF(AND(INDEX($C102:$J102,U$2)&gt;0,$A102&lt;&gt;INDEX('TRIP MANAGER'!$T$18:$T$25,U$2),$A102&lt;&gt;INDEX('TRIP MANAGER'!$U$18:$U$25,U$2)),1,0))</f>
        <v/>
      </c>
      <c r="V102">
        <f t="array" ref="V102">IF($A102="","",IF(AND(INDEX($C102:$J102,V$2)&gt;0,$A102&lt;&gt;INDEX('TRIP MANAGER'!$T$18:$T$25,V$2),$A102&lt;&gt;INDEX('TRIP MANAGER'!$U$18:$U$25,V$2)),1,0))</f>
        <v/>
      </c>
      <c r="W102">
        <f t="array" ref="W102">IF($A102="","",IF(AND(INDEX($C102:$J102,W$2)&gt;0,$A102&lt;&gt;INDEX('TRIP MANAGER'!$T$18:$T$25,W$2),$A102&lt;&gt;INDEX('TRIP MANAGER'!$U$18:$U$25,W$2)),1,0))</f>
        <v/>
      </c>
      <c r="X102">
        <f t="array" ref="X102">IF($A102="","",IF(AND(INDEX($C102:$J102,X$2)&gt;0,$A102&lt;&gt;INDEX('TRIP MANAGER'!$T$18:$T$25,X$2),$A102&lt;&gt;INDEX('TRIP MANAGER'!$U$18:$U$25,X$2)),1,0))</f>
        <v/>
      </c>
      <c r="Y102">
        <f t="array" ref="Y102">IF($A102="","",IF(AND(INDEX($C102:$J102,Y$2)&gt;0,$A102&lt;&gt;INDEX('TRIP MANAGER'!$T$18:$T$25,Y$2),$A102&lt;&gt;INDEX('TRIP MANAGER'!$U$18:$U$25,Y$2)),1,0))</f>
        <v/>
      </c>
    </row>
    <row r="103">
      <c r="A103">
        <f>IF(countries!$D102="","",countries!$D102)</f>
        <v/>
      </c>
      <c r="B103">
        <f>IF(countries!$B102="","",countries!$B102)</f>
        <v/>
      </c>
      <c r="C103">
        <f>IF($A103="","",COUNTIFS(route_calc!$A$2:$A$1209,C$2,route_calc!$P$2:$P$1209,$A103))</f>
        <v/>
      </c>
      <c r="D103">
        <f>IF($A103="","",COUNTIFS(route_calc!$A$2:$A$1209,D$2,route_calc!$P$2:$P$1209,$A103))</f>
        <v/>
      </c>
      <c r="E103">
        <f>IF($A103="","",COUNTIFS(route_calc!$A$2:$A$1209,E$2,route_calc!$P$2:$P$1209,$A103))</f>
        <v/>
      </c>
      <c r="F103">
        <f>IF($A103="","",COUNTIFS(route_calc!$A$2:$A$1209,F$2,route_calc!$P$2:$P$1209,$A103))</f>
        <v/>
      </c>
      <c r="G103">
        <f>IF($A103="","",COUNTIFS(route_calc!$A$2:$A$1209,G$2,route_calc!$P$2:$P$1209,$A103))</f>
        <v/>
      </c>
      <c r="H103">
        <f>IF($A103="","",COUNTIFS(route_calc!$A$2:$A$1209,H$2,route_calc!$P$2:$P$1209,$A103))</f>
        <v/>
      </c>
      <c r="I103">
        <f>IF($A103="","",COUNTIFS(route_calc!$A$2:$A$1209,I$2,route_calc!$P$2:$P$1209,$A103))</f>
        <v/>
      </c>
      <c r="J103">
        <f>IF($A103="","",COUNTIFS(route_calc!$A$2:$A$1209,J$2,route_calc!$P$2:$P$1209,$A103))</f>
        <v/>
      </c>
      <c r="K103">
        <f>IF($L103=0,"",_xlfn.MINIFS(route_calc!$Q$2:$Q$1209,route_calc!$P$2:$P$1209,$A103,route_calc!$A$2:$A$1209,MATCH(1,$R103:$Y103,0)))</f>
        <v/>
      </c>
      <c r="L103">
        <f>IF($A103="",0,IF(SUM($R103:$Y103)&gt;0,1,0))</f>
        <v/>
      </c>
      <c r="M103">
        <f t="array" ref="M103">IF($L103=0,"",_xlfn.TEXTJOIN(", ",TRUE,IF($R103:$Y103&gt;0,$C$1:$J$1,"")))</f>
        <v/>
      </c>
      <c r="N103">
        <f t="array" ref="N103">IF($L103=0,"",SUMPRODUCT(($L$3:$L$144=1)*($K$3:$K$144&lt;$K103))+1)</f>
        <v/>
      </c>
      <c r="O103">
        <f>IF($L103=0,"",MATCH(1,$R103:$Y103,0))</f>
        <v/>
      </c>
      <c r="P103">
        <f>IF($A103="","",IFERROR(INDEX(countries!$G:$G,MATCH($A103,countries!$D:$D,0)),""))</f>
        <v/>
      </c>
      <c r="Q103">
        <f>IF($A103="","",IFERROR(IF(INDEX(countries!$I:$I,MATCH($A103,countries!$D:$D,0))=0,"",INDEX(countries!$I:$I,MATCH($A103,countries!$D:$D,0))),""))</f>
        <v/>
      </c>
      <c r="R103">
        <f t="array" ref="R103">IF($A103="","",IF(AND(INDEX($C103:$J103,R$2)&gt;0,$A103&lt;&gt;INDEX('TRIP MANAGER'!$T$18:$T$25,R$2),$A103&lt;&gt;INDEX('TRIP MANAGER'!$U$18:$U$25,R$2)),1,0))</f>
        <v/>
      </c>
      <c r="S103">
        <f t="array" ref="S103">IF($A103="","",IF(AND(INDEX($C103:$J103,S$2)&gt;0,$A103&lt;&gt;INDEX('TRIP MANAGER'!$T$18:$T$25,S$2),$A103&lt;&gt;INDEX('TRIP MANAGER'!$U$18:$U$25,S$2)),1,0))</f>
        <v/>
      </c>
      <c r="T103">
        <f t="array" ref="T103">IF($A103="","",IF(AND(INDEX($C103:$J103,T$2)&gt;0,$A103&lt;&gt;INDEX('TRIP MANAGER'!$T$18:$T$25,T$2),$A103&lt;&gt;INDEX('TRIP MANAGER'!$U$18:$U$25,T$2)),1,0))</f>
        <v/>
      </c>
      <c r="U103">
        <f t="array" ref="U103">IF($A103="","",IF(AND(INDEX($C103:$J103,U$2)&gt;0,$A103&lt;&gt;INDEX('TRIP MANAGER'!$T$18:$T$25,U$2),$A103&lt;&gt;INDEX('TRIP MANAGER'!$U$18:$U$25,U$2)),1,0))</f>
        <v/>
      </c>
      <c r="V103">
        <f t="array" ref="V103">IF($A103="","",IF(AND(INDEX($C103:$J103,V$2)&gt;0,$A103&lt;&gt;INDEX('TRIP MANAGER'!$T$18:$T$25,V$2),$A103&lt;&gt;INDEX('TRIP MANAGER'!$U$18:$U$25,V$2)),1,0))</f>
        <v/>
      </c>
      <c r="W103">
        <f t="array" ref="W103">IF($A103="","",IF(AND(INDEX($C103:$J103,W$2)&gt;0,$A103&lt;&gt;INDEX('TRIP MANAGER'!$T$18:$T$25,W$2),$A103&lt;&gt;INDEX('TRIP MANAGER'!$U$18:$U$25,W$2)),1,0))</f>
        <v/>
      </c>
      <c r="X103">
        <f t="array" ref="X103">IF($A103="","",IF(AND(INDEX($C103:$J103,X$2)&gt;0,$A103&lt;&gt;INDEX('TRIP MANAGER'!$T$18:$T$25,X$2),$A103&lt;&gt;INDEX('TRIP MANAGER'!$U$18:$U$25,X$2)),1,0))</f>
        <v/>
      </c>
      <c r="Y103">
        <f t="array" ref="Y103">IF($A103="","",IF(AND(INDEX($C103:$J103,Y$2)&gt;0,$A103&lt;&gt;INDEX('TRIP MANAGER'!$T$18:$T$25,Y$2),$A103&lt;&gt;INDEX('TRIP MANAGER'!$U$18:$U$25,Y$2)),1,0))</f>
        <v/>
      </c>
    </row>
    <row r="104">
      <c r="A104">
        <f>IF(countries!$D103="","",countries!$D103)</f>
        <v/>
      </c>
      <c r="B104">
        <f>IF(countries!$B103="","",countries!$B103)</f>
        <v/>
      </c>
      <c r="C104">
        <f>IF($A104="","",COUNTIFS(route_calc!$A$2:$A$1209,C$2,route_calc!$P$2:$P$1209,$A104))</f>
        <v/>
      </c>
      <c r="D104">
        <f>IF($A104="","",COUNTIFS(route_calc!$A$2:$A$1209,D$2,route_calc!$P$2:$P$1209,$A104))</f>
        <v/>
      </c>
      <c r="E104">
        <f>IF($A104="","",COUNTIFS(route_calc!$A$2:$A$1209,E$2,route_calc!$P$2:$P$1209,$A104))</f>
        <v/>
      </c>
      <c r="F104">
        <f>IF($A104="","",COUNTIFS(route_calc!$A$2:$A$1209,F$2,route_calc!$P$2:$P$1209,$A104))</f>
        <v/>
      </c>
      <c r="G104">
        <f>IF($A104="","",COUNTIFS(route_calc!$A$2:$A$1209,G$2,route_calc!$P$2:$P$1209,$A104))</f>
        <v/>
      </c>
      <c r="H104">
        <f>IF($A104="","",COUNTIFS(route_calc!$A$2:$A$1209,H$2,route_calc!$P$2:$P$1209,$A104))</f>
        <v/>
      </c>
      <c r="I104">
        <f>IF($A104="","",COUNTIFS(route_calc!$A$2:$A$1209,I$2,route_calc!$P$2:$P$1209,$A104))</f>
        <v/>
      </c>
      <c r="J104">
        <f>IF($A104="","",COUNTIFS(route_calc!$A$2:$A$1209,J$2,route_calc!$P$2:$P$1209,$A104))</f>
        <v/>
      </c>
      <c r="K104">
        <f>IF($L104=0,"",_xlfn.MINIFS(route_calc!$Q$2:$Q$1209,route_calc!$P$2:$P$1209,$A104,route_calc!$A$2:$A$1209,MATCH(1,$R104:$Y104,0)))</f>
        <v/>
      </c>
      <c r="L104">
        <f>IF($A104="",0,IF(SUM($R104:$Y104)&gt;0,1,0))</f>
        <v/>
      </c>
      <c r="M104">
        <f t="array" ref="M104">IF($L104=0,"",_xlfn.TEXTJOIN(", ",TRUE,IF($R104:$Y104&gt;0,$C$1:$J$1,"")))</f>
        <v/>
      </c>
      <c r="N104">
        <f t="array" ref="N104">IF($L104=0,"",SUMPRODUCT(($L$3:$L$144=1)*($K$3:$K$144&lt;$K104))+1)</f>
        <v/>
      </c>
      <c r="O104">
        <f>IF($L104=0,"",MATCH(1,$R104:$Y104,0))</f>
        <v/>
      </c>
      <c r="P104">
        <f>IF($A104="","",IFERROR(INDEX(countries!$G:$G,MATCH($A104,countries!$D:$D,0)),""))</f>
        <v/>
      </c>
      <c r="Q104">
        <f>IF($A104="","",IFERROR(IF(INDEX(countries!$I:$I,MATCH($A104,countries!$D:$D,0))=0,"",INDEX(countries!$I:$I,MATCH($A104,countries!$D:$D,0))),""))</f>
        <v/>
      </c>
      <c r="R104">
        <f t="array" ref="R104">IF($A104="","",IF(AND(INDEX($C104:$J104,R$2)&gt;0,$A104&lt;&gt;INDEX('TRIP MANAGER'!$T$18:$T$25,R$2),$A104&lt;&gt;INDEX('TRIP MANAGER'!$U$18:$U$25,R$2)),1,0))</f>
        <v/>
      </c>
      <c r="S104">
        <f t="array" ref="S104">IF($A104="","",IF(AND(INDEX($C104:$J104,S$2)&gt;0,$A104&lt;&gt;INDEX('TRIP MANAGER'!$T$18:$T$25,S$2),$A104&lt;&gt;INDEX('TRIP MANAGER'!$U$18:$U$25,S$2)),1,0))</f>
        <v/>
      </c>
      <c r="T104">
        <f t="array" ref="T104">IF($A104="","",IF(AND(INDEX($C104:$J104,T$2)&gt;0,$A104&lt;&gt;INDEX('TRIP MANAGER'!$T$18:$T$25,T$2),$A104&lt;&gt;INDEX('TRIP MANAGER'!$U$18:$U$25,T$2)),1,0))</f>
        <v/>
      </c>
      <c r="U104">
        <f t="array" ref="U104">IF($A104="","",IF(AND(INDEX($C104:$J104,U$2)&gt;0,$A104&lt;&gt;INDEX('TRIP MANAGER'!$T$18:$T$25,U$2),$A104&lt;&gt;INDEX('TRIP MANAGER'!$U$18:$U$25,U$2)),1,0))</f>
        <v/>
      </c>
      <c r="V104">
        <f t="array" ref="V104">IF($A104="","",IF(AND(INDEX($C104:$J104,V$2)&gt;0,$A104&lt;&gt;INDEX('TRIP MANAGER'!$T$18:$T$25,V$2),$A104&lt;&gt;INDEX('TRIP MANAGER'!$U$18:$U$25,V$2)),1,0))</f>
        <v/>
      </c>
      <c r="W104">
        <f t="array" ref="W104">IF($A104="","",IF(AND(INDEX($C104:$J104,W$2)&gt;0,$A104&lt;&gt;INDEX('TRIP MANAGER'!$T$18:$T$25,W$2),$A104&lt;&gt;INDEX('TRIP MANAGER'!$U$18:$U$25,W$2)),1,0))</f>
        <v/>
      </c>
      <c r="X104">
        <f t="array" ref="X104">IF($A104="","",IF(AND(INDEX($C104:$J104,X$2)&gt;0,$A104&lt;&gt;INDEX('TRIP MANAGER'!$T$18:$T$25,X$2),$A104&lt;&gt;INDEX('TRIP MANAGER'!$U$18:$U$25,X$2)),1,0))</f>
        <v/>
      </c>
      <c r="Y104">
        <f t="array" ref="Y104">IF($A104="","",IF(AND(INDEX($C104:$J104,Y$2)&gt;0,$A104&lt;&gt;INDEX('TRIP MANAGER'!$T$18:$T$25,Y$2),$A104&lt;&gt;INDEX('TRIP MANAGER'!$U$18:$U$25,Y$2)),1,0))</f>
        <v/>
      </c>
    </row>
    <row r="105">
      <c r="A105">
        <f>IF(countries!$D104="","",countries!$D104)</f>
        <v/>
      </c>
      <c r="B105">
        <f>IF(countries!$B104="","",countries!$B104)</f>
        <v/>
      </c>
      <c r="C105">
        <f>IF($A105="","",COUNTIFS(route_calc!$A$2:$A$1209,C$2,route_calc!$P$2:$P$1209,$A105))</f>
        <v/>
      </c>
      <c r="D105">
        <f>IF($A105="","",COUNTIFS(route_calc!$A$2:$A$1209,D$2,route_calc!$P$2:$P$1209,$A105))</f>
        <v/>
      </c>
      <c r="E105">
        <f>IF($A105="","",COUNTIFS(route_calc!$A$2:$A$1209,E$2,route_calc!$P$2:$P$1209,$A105))</f>
        <v/>
      </c>
      <c r="F105">
        <f>IF($A105="","",COUNTIFS(route_calc!$A$2:$A$1209,F$2,route_calc!$P$2:$P$1209,$A105))</f>
        <v/>
      </c>
      <c r="G105">
        <f>IF($A105="","",COUNTIFS(route_calc!$A$2:$A$1209,G$2,route_calc!$P$2:$P$1209,$A105))</f>
        <v/>
      </c>
      <c r="H105">
        <f>IF($A105="","",COUNTIFS(route_calc!$A$2:$A$1209,H$2,route_calc!$P$2:$P$1209,$A105))</f>
        <v/>
      </c>
      <c r="I105">
        <f>IF($A105="","",COUNTIFS(route_calc!$A$2:$A$1209,I$2,route_calc!$P$2:$P$1209,$A105))</f>
        <v/>
      </c>
      <c r="J105">
        <f>IF($A105="","",COUNTIFS(route_calc!$A$2:$A$1209,J$2,route_calc!$P$2:$P$1209,$A105))</f>
        <v/>
      </c>
      <c r="K105">
        <f>IF($L105=0,"",_xlfn.MINIFS(route_calc!$Q$2:$Q$1209,route_calc!$P$2:$P$1209,$A105,route_calc!$A$2:$A$1209,MATCH(1,$R105:$Y105,0)))</f>
        <v/>
      </c>
      <c r="L105">
        <f>IF($A105="",0,IF(SUM($R105:$Y105)&gt;0,1,0))</f>
        <v/>
      </c>
      <c r="M105">
        <f t="array" ref="M105">IF($L105=0,"",_xlfn.TEXTJOIN(", ",TRUE,IF($R105:$Y105&gt;0,$C$1:$J$1,"")))</f>
        <v/>
      </c>
      <c r="N105">
        <f t="array" ref="N105">IF($L105=0,"",SUMPRODUCT(($L$3:$L$144=1)*($K$3:$K$144&lt;$K105))+1)</f>
        <v/>
      </c>
      <c r="O105">
        <f>IF($L105=0,"",MATCH(1,$R105:$Y105,0))</f>
        <v/>
      </c>
      <c r="P105">
        <f>IF($A105="","",IFERROR(INDEX(countries!$G:$G,MATCH($A105,countries!$D:$D,0)),""))</f>
        <v/>
      </c>
      <c r="Q105">
        <f>IF($A105="","",IFERROR(IF(INDEX(countries!$I:$I,MATCH($A105,countries!$D:$D,0))=0,"",INDEX(countries!$I:$I,MATCH($A105,countries!$D:$D,0))),""))</f>
        <v/>
      </c>
      <c r="R105">
        <f t="array" ref="R105">IF($A105="","",IF(AND(INDEX($C105:$J105,R$2)&gt;0,$A105&lt;&gt;INDEX('TRIP MANAGER'!$T$18:$T$25,R$2),$A105&lt;&gt;INDEX('TRIP MANAGER'!$U$18:$U$25,R$2)),1,0))</f>
        <v/>
      </c>
      <c r="S105">
        <f t="array" ref="S105">IF($A105="","",IF(AND(INDEX($C105:$J105,S$2)&gt;0,$A105&lt;&gt;INDEX('TRIP MANAGER'!$T$18:$T$25,S$2),$A105&lt;&gt;INDEX('TRIP MANAGER'!$U$18:$U$25,S$2)),1,0))</f>
        <v/>
      </c>
      <c r="T105">
        <f t="array" ref="T105">IF($A105="","",IF(AND(INDEX($C105:$J105,T$2)&gt;0,$A105&lt;&gt;INDEX('TRIP MANAGER'!$T$18:$T$25,T$2),$A105&lt;&gt;INDEX('TRIP MANAGER'!$U$18:$U$25,T$2)),1,0))</f>
        <v/>
      </c>
      <c r="U105">
        <f t="array" ref="U105">IF($A105="","",IF(AND(INDEX($C105:$J105,U$2)&gt;0,$A105&lt;&gt;INDEX('TRIP MANAGER'!$T$18:$T$25,U$2),$A105&lt;&gt;INDEX('TRIP MANAGER'!$U$18:$U$25,U$2)),1,0))</f>
        <v/>
      </c>
      <c r="V105">
        <f t="array" ref="V105">IF($A105="","",IF(AND(INDEX($C105:$J105,V$2)&gt;0,$A105&lt;&gt;INDEX('TRIP MANAGER'!$T$18:$T$25,V$2),$A105&lt;&gt;INDEX('TRIP MANAGER'!$U$18:$U$25,V$2)),1,0))</f>
        <v/>
      </c>
      <c r="W105">
        <f t="array" ref="W105">IF($A105="","",IF(AND(INDEX($C105:$J105,W$2)&gt;0,$A105&lt;&gt;INDEX('TRIP MANAGER'!$T$18:$T$25,W$2),$A105&lt;&gt;INDEX('TRIP MANAGER'!$U$18:$U$25,W$2)),1,0))</f>
        <v/>
      </c>
      <c r="X105">
        <f t="array" ref="X105">IF($A105="","",IF(AND(INDEX($C105:$J105,X$2)&gt;0,$A105&lt;&gt;INDEX('TRIP MANAGER'!$T$18:$T$25,X$2),$A105&lt;&gt;INDEX('TRIP MANAGER'!$U$18:$U$25,X$2)),1,0))</f>
        <v/>
      </c>
      <c r="Y105">
        <f t="array" ref="Y105">IF($A105="","",IF(AND(INDEX($C105:$J105,Y$2)&gt;0,$A105&lt;&gt;INDEX('TRIP MANAGER'!$T$18:$T$25,Y$2),$A105&lt;&gt;INDEX('TRIP MANAGER'!$U$18:$U$25,Y$2)),1,0))</f>
        <v/>
      </c>
    </row>
    <row r="106">
      <c r="A106">
        <f>IF(countries!$D105="","",countries!$D105)</f>
        <v/>
      </c>
      <c r="B106">
        <f>IF(countries!$B105="","",countries!$B105)</f>
        <v/>
      </c>
      <c r="C106">
        <f>IF($A106="","",COUNTIFS(route_calc!$A$2:$A$1209,C$2,route_calc!$P$2:$P$1209,$A106))</f>
        <v/>
      </c>
      <c r="D106">
        <f>IF($A106="","",COUNTIFS(route_calc!$A$2:$A$1209,D$2,route_calc!$P$2:$P$1209,$A106))</f>
        <v/>
      </c>
      <c r="E106">
        <f>IF($A106="","",COUNTIFS(route_calc!$A$2:$A$1209,E$2,route_calc!$P$2:$P$1209,$A106))</f>
        <v/>
      </c>
      <c r="F106">
        <f>IF($A106="","",COUNTIFS(route_calc!$A$2:$A$1209,F$2,route_calc!$P$2:$P$1209,$A106))</f>
        <v/>
      </c>
      <c r="G106">
        <f>IF($A106="","",COUNTIFS(route_calc!$A$2:$A$1209,G$2,route_calc!$P$2:$P$1209,$A106))</f>
        <v/>
      </c>
      <c r="H106">
        <f>IF($A106="","",COUNTIFS(route_calc!$A$2:$A$1209,H$2,route_calc!$P$2:$P$1209,$A106))</f>
        <v/>
      </c>
      <c r="I106">
        <f>IF($A106="","",COUNTIFS(route_calc!$A$2:$A$1209,I$2,route_calc!$P$2:$P$1209,$A106))</f>
        <v/>
      </c>
      <c r="J106">
        <f>IF($A106="","",COUNTIFS(route_calc!$A$2:$A$1209,J$2,route_calc!$P$2:$P$1209,$A106))</f>
        <v/>
      </c>
      <c r="K106">
        <f>IF($L106=0,"",_xlfn.MINIFS(route_calc!$Q$2:$Q$1209,route_calc!$P$2:$P$1209,$A106,route_calc!$A$2:$A$1209,MATCH(1,$R106:$Y106,0)))</f>
        <v/>
      </c>
      <c r="L106">
        <f>IF($A106="",0,IF(SUM($R106:$Y106)&gt;0,1,0))</f>
        <v/>
      </c>
      <c r="M106">
        <f t="array" ref="M106">IF($L106=0,"",_xlfn.TEXTJOIN(", ",TRUE,IF($R106:$Y106&gt;0,$C$1:$J$1,"")))</f>
        <v/>
      </c>
      <c r="N106">
        <f t="array" ref="N106">IF($L106=0,"",SUMPRODUCT(($L$3:$L$144=1)*($K$3:$K$144&lt;$K106))+1)</f>
        <v/>
      </c>
      <c r="O106">
        <f>IF($L106=0,"",MATCH(1,$R106:$Y106,0))</f>
        <v/>
      </c>
      <c r="P106">
        <f>IF($A106="","",IFERROR(INDEX(countries!$G:$G,MATCH($A106,countries!$D:$D,0)),""))</f>
        <v/>
      </c>
      <c r="Q106">
        <f>IF($A106="","",IFERROR(IF(INDEX(countries!$I:$I,MATCH($A106,countries!$D:$D,0))=0,"",INDEX(countries!$I:$I,MATCH($A106,countries!$D:$D,0))),""))</f>
        <v/>
      </c>
      <c r="R106">
        <f t="array" ref="R106">IF($A106="","",IF(AND(INDEX($C106:$J106,R$2)&gt;0,$A106&lt;&gt;INDEX('TRIP MANAGER'!$T$18:$T$25,R$2),$A106&lt;&gt;INDEX('TRIP MANAGER'!$U$18:$U$25,R$2)),1,0))</f>
        <v/>
      </c>
      <c r="S106">
        <f t="array" ref="S106">IF($A106="","",IF(AND(INDEX($C106:$J106,S$2)&gt;0,$A106&lt;&gt;INDEX('TRIP MANAGER'!$T$18:$T$25,S$2),$A106&lt;&gt;INDEX('TRIP MANAGER'!$U$18:$U$25,S$2)),1,0))</f>
        <v/>
      </c>
      <c r="T106">
        <f t="array" ref="T106">IF($A106="","",IF(AND(INDEX($C106:$J106,T$2)&gt;0,$A106&lt;&gt;INDEX('TRIP MANAGER'!$T$18:$T$25,T$2),$A106&lt;&gt;INDEX('TRIP MANAGER'!$U$18:$U$25,T$2)),1,0))</f>
        <v/>
      </c>
      <c r="U106">
        <f t="array" ref="U106">IF($A106="","",IF(AND(INDEX($C106:$J106,U$2)&gt;0,$A106&lt;&gt;INDEX('TRIP MANAGER'!$T$18:$T$25,U$2),$A106&lt;&gt;INDEX('TRIP MANAGER'!$U$18:$U$25,U$2)),1,0))</f>
        <v/>
      </c>
      <c r="V106">
        <f t="array" ref="V106">IF($A106="","",IF(AND(INDEX($C106:$J106,V$2)&gt;0,$A106&lt;&gt;INDEX('TRIP MANAGER'!$T$18:$T$25,V$2),$A106&lt;&gt;INDEX('TRIP MANAGER'!$U$18:$U$25,V$2)),1,0))</f>
        <v/>
      </c>
      <c r="W106">
        <f t="array" ref="W106">IF($A106="","",IF(AND(INDEX($C106:$J106,W$2)&gt;0,$A106&lt;&gt;INDEX('TRIP MANAGER'!$T$18:$T$25,W$2),$A106&lt;&gt;INDEX('TRIP MANAGER'!$U$18:$U$25,W$2)),1,0))</f>
        <v/>
      </c>
      <c r="X106">
        <f t="array" ref="X106">IF($A106="","",IF(AND(INDEX($C106:$J106,X$2)&gt;0,$A106&lt;&gt;INDEX('TRIP MANAGER'!$T$18:$T$25,X$2),$A106&lt;&gt;INDEX('TRIP MANAGER'!$U$18:$U$25,X$2)),1,0))</f>
        <v/>
      </c>
      <c r="Y106">
        <f t="array" ref="Y106">IF($A106="","",IF(AND(INDEX($C106:$J106,Y$2)&gt;0,$A106&lt;&gt;INDEX('TRIP MANAGER'!$T$18:$T$25,Y$2),$A106&lt;&gt;INDEX('TRIP MANAGER'!$U$18:$U$25,Y$2)),1,0))</f>
        <v/>
      </c>
    </row>
    <row r="107">
      <c r="A107">
        <f>IF(countries!$D106="","",countries!$D106)</f>
        <v/>
      </c>
      <c r="B107">
        <f>IF(countries!$B106="","",countries!$B106)</f>
        <v/>
      </c>
      <c r="C107">
        <f>IF($A107="","",COUNTIFS(route_calc!$A$2:$A$1209,C$2,route_calc!$P$2:$P$1209,$A107))</f>
        <v/>
      </c>
      <c r="D107">
        <f>IF($A107="","",COUNTIFS(route_calc!$A$2:$A$1209,D$2,route_calc!$P$2:$P$1209,$A107))</f>
        <v/>
      </c>
      <c r="E107">
        <f>IF($A107="","",COUNTIFS(route_calc!$A$2:$A$1209,E$2,route_calc!$P$2:$P$1209,$A107))</f>
        <v/>
      </c>
      <c r="F107">
        <f>IF($A107="","",COUNTIFS(route_calc!$A$2:$A$1209,F$2,route_calc!$P$2:$P$1209,$A107))</f>
        <v/>
      </c>
      <c r="G107">
        <f>IF($A107="","",COUNTIFS(route_calc!$A$2:$A$1209,G$2,route_calc!$P$2:$P$1209,$A107))</f>
        <v/>
      </c>
      <c r="H107">
        <f>IF($A107="","",COUNTIFS(route_calc!$A$2:$A$1209,H$2,route_calc!$P$2:$P$1209,$A107))</f>
        <v/>
      </c>
      <c r="I107">
        <f>IF($A107="","",COUNTIFS(route_calc!$A$2:$A$1209,I$2,route_calc!$P$2:$P$1209,$A107))</f>
        <v/>
      </c>
      <c r="J107">
        <f>IF($A107="","",COUNTIFS(route_calc!$A$2:$A$1209,J$2,route_calc!$P$2:$P$1209,$A107))</f>
        <v/>
      </c>
      <c r="K107">
        <f>IF($L107=0,"",_xlfn.MINIFS(route_calc!$Q$2:$Q$1209,route_calc!$P$2:$P$1209,$A107,route_calc!$A$2:$A$1209,MATCH(1,$R107:$Y107,0)))</f>
        <v/>
      </c>
      <c r="L107">
        <f>IF($A107="",0,IF(SUM($R107:$Y107)&gt;0,1,0))</f>
        <v/>
      </c>
      <c r="M107">
        <f t="array" ref="M107">IF($L107=0,"",_xlfn.TEXTJOIN(", ",TRUE,IF($R107:$Y107&gt;0,$C$1:$J$1,"")))</f>
        <v/>
      </c>
      <c r="N107">
        <f t="array" ref="N107">IF($L107=0,"",SUMPRODUCT(($L$3:$L$144=1)*($K$3:$K$144&lt;$K107))+1)</f>
        <v/>
      </c>
      <c r="O107">
        <f>IF($L107=0,"",MATCH(1,$R107:$Y107,0))</f>
        <v/>
      </c>
      <c r="P107">
        <f>IF($A107="","",IFERROR(INDEX(countries!$G:$G,MATCH($A107,countries!$D:$D,0)),""))</f>
        <v/>
      </c>
      <c r="Q107">
        <f>IF($A107="","",IFERROR(IF(INDEX(countries!$I:$I,MATCH($A107,countries!$D:$D,0))=0,"",INDEX(countries!$I:$I,MATCH($A107,countries!$D:$D,0))),""))</f>
        <v/>
      </c>
      <c r="R107">
        <f t="array" ref="R107">IF($A107="","",IF(AND(INDEX($C107:$J107,R$2)&gt;0,$A107&lt;&gt;INDEX('TRIP MANAGER'!$T$18:$T$25,R$2),$A107&lt;&gt;INDEX('TRIP MANAGER'!$U$18:$U$25,R$2)),1,0))</f>
        <v/>
      </c>
      <c r="S107">
        <f t="array" ref="S107">IF($A107="","",IF(AND(INDEX($C107:$J107,S$2)&gt;0,$A107&lt;&gt;INDEX('TRIP MANAGER'!$T$18:$T$25,S$2),$A107&lt;&gt;INDEX('TRIP MANAGER'!$U$18:$U$25,S$2)),1,0))</f>
        <v/>
      </c>
      <c r="T107">
        <f t="array" ref="T107">IF($A107="","",IF(AND(INDEX($C107:$J107,T$2)&gt;0,$A107&lt;&gt;INDEX('TRIP MANAGER'!$T$18:$T$25,T$2),$A107&lt;&gt;INDEX('TRIP MANAGER'!$U$18:$U$25,T$2)),1,0))</f>
        <v/>
      </c>
      <c r="U107">
        <f t="array" ref="U107">IF($A107="","",IF(AND(INDEX($C107:$J107,U$2)&gt;0,$A107&lt;&gt;INDEX('TRIP MANAGER'!$T$18:$T$25,U$2),$A107&lt;&gt;INDEX('TRIP MANAGER'!$U$18:$U$25,U$2)),1,0))</f>
        <v/>
      </c>
      <c r="V107">
        <f t="array" ref="V107">IF($A107="","",IF(AND(INDEX($C107:$J107,V$2)&gt;0,$A107&lt;&gt;INDEX('TRIP MANAGER'!$T$18:$T$25,V$2),$A107&lt;&gt;INDEX('TRIP MANAGER'!$U$18:$U$25,V$2)),1,0))</f>
        <v/>
      </c>
      <c r="W107">
        <f t="array" ref="W107">IF($A107="","",IF(AND(INDEX($C107:$J107,W$2)&gt;0,$A107&lt;&gt;INDEX('TRIP MANAGER'!$T$18:$T$25,W$2),$A107&lt;&gt;INDEX('TRIP MANAGER'!$U$18:$U$25,W$2)),1,0))</f>
        <v/>
      </c>
      <c r="X107">
        <f t="array" ref="X107">IF($A107="","",IF(AND(INDEX($C107:$J107,X$2)&gt;0,$A107&lt;&gt;INDEX('TRIP MANAGER'!$T$18:$T$25,X$2),$A107&lt;&gt;INDEX('TRIP MANAGER'!$U$18:$U$25,X$2)),1,0))</f>
        <v/>
      </c>
      <c r="Y107">
        <f t="array" ref="Y107">IF($A107="","",IF(AND(INDEX($C107:$J107,Y$2)&gt;0,$A107&lt;&gt;INDEX('TRIP MANAGER'!$T$18:$T$25,Y$2),$A107&lt;&gt;INDEX('TRIP MANAGER'!$U$18:$U$25,Y$2)),1,0))</f>
        <v/>
      </c>
    </row>
    <row r="108">
      <c r="A108">
        <f>IF(countries!$D107="","",countries!$D107)</f>
        <v/>
      </c>
      <c r="B108">
        <f>IF(countries!$B107="","",countries!$B107)</f>
        <v/>
      </c>
      <c r="C108">
        <f>IF($A108="","",COUNTIFS(route_calc!$A$2:$A$1209,C$2,route_calc!$P$2:$P$1209,$A108))</f>
        <v/>
      </c>
      <c r="D108">
        <f>IF($A108="","",COUNTIFS(route_calc!$A$2:$A$1209,D$2,route_calc!$P$2:$P$1209,$A108))</f>
        <v/>
      </c>
      <c r="E108">
        <f>IF($A108="","",COUNTIFS(route_calc!$A$2:$A$1209,E$2,route_calc!$P$2:$P$1209,$A108))</f>
        <v/>
      </c>
      <c r="F108">
        <f>IF($A108="","",COUNTIFS(route_calc!$A$2:$A$1209,F$2,route_calc!$P$2:$P$1209,$A108))</f>
        <v/>
      </c>
      <c r="G108">
        <f>IF($A108="","",COUNTIFS(route_calc!$A$2:$A$1209,G$2,route_calc!$P$2:$P$1209,$A108))</f>
        <v/>
      </c>
      <c r="H108">
        <f>IF($A108="","",COUNTIFS(route_calc!$A$2:$A$1209,H$2,route_calc!$P$2:$P$1209,$A108))</f>
        <v/>
      </c>
      <c r="I108">
        <f>IF($A108="","",COUNTIFS(route_calc!$A$2:$A$1209,I$2,route_calc!$P$2:$P$1209,$A108))</f>
        <v/>
      </c>
      <c r="J108">
        <f>IF($A108="","",COUNTIFS(route_calc!$A$2:$A$1209,J$2,route_calc!$P$2:$P$1209,$A108))</f>
        <v/>
      </c>
      <c r="K108">
        <f>IF($L108=0,"",_xlfn.MINIFS(route_calc!$Q$2:$Q$1209,route_calc!$P$2:$P$1209,$A108,route_calc!$A$2:$A$1209,MATCH(1,$R108:$Y108,0)))</f>
        <v/>
      </c>
      <c r="L108">
        <f>IF($A108="",0,IF(SUM($R108:$Y108)&gt;0,1,0))</f>
        <v/>
      </c>
      <c r="M108">
        <f t="array" ref="M108">IF($L108=0,"",_xlfn.TEXTJOIN(", ",TRUE,IF($R108:$Y108&gt;0,$C$1:$J$1,"")))</f>
        <v/>
      </c>
      <c r="N108">
        <f t="array" ref="N108">IF($L108=0,"",SUMPRODUCT(($L$3:$L$144=1)*($K$3:$K$144&lt;$K108))+1)</f>
        <v/>
      </c>
      <c r="O108">
        <f>IF($L108=0,"",MATCH(1,$R108:$Y108,0))</f>
        <v/>
      </c>
      <c r="P108">
        <f>IF($A108="","",IFERROR(INDEX(countries!$G:$G,MATCH($A108,countries!$D:$D,0)),""))</f>
        <v/>
      </c>
      <c r="Q108">
        <f>IF($A108="","",IFERROR(IF(INDEX(countries!$I:$I,MATCH($A108,countries!$D:$D,0))=0,"",INDEX(countries!$I:$I,MATCH($A108,countries!$D:$D,0))),""))</f>
        <v/>
      </c>
      <c r="R108">
        <f t="array" ref="R108">IF($A108="","",IF(AND(INDEX($C108:$J108,R$2)&gt;0,$A108&lt;&gt;INDEX('TRIP MANAGER'!$T$18:$T$25,R$2),$A108&lt;&gt;INDEX('TRIP MANAGER'!$U$18:$U$25,R$2)),1,0))</f>
        <v/>
      </c>
      <c r="S108">
        <f t="array" ref="S108">IF($A108="","",IF(AND(INDEX($C108:$J108,S$2)&gt;0,$A108&lt;&gt;INDEX('TRIP MANAGER'!$T$18:$T$25,S$2),$A108&lt;&gt;INDEX('TRIP MANAGER'!$U$18:$U$25,S$2)),1,0))</f>
        <v/>
      </c>
      <c r="T108">
        <f t="array" ref="T108">IF($A108="","",IF(AND(INDEX($C108:$J108,T$2)&gt;0,$A108&lt;&gt;INDEX('TRIP MANAGER'!$T$18:$T$25,T$2),$A108&lt;&gt;INDEX('TRIP MANAGER'!$U$18:$U$25,T$2)),1,0))</f>
        <v/>
      </c>
      <c r="U108">
        <f t="array" ref="U108">IF($A108="","",IF(AND(INDEX($C108:$J108,U$2)&gt;0,$A108&lt;&gt;INDEX('TRIP MANAGER'!$T$18:$T$25,U$2),$A108&lt;&gt;INDEX('TRIP MANAGER'!$U$18:$U$25,U$2)),1,0))</f>
        <v/>
      </c>
      <c r="V108">
        <f t="array" ref="V108">IF($A108="","",IF(AND(INDEX($C108:$J108,V$2)&gt;0,$A108&lt;&gt;INDEX('TRIP MANAGER'!$T$18:$T$25,V$2),$A108&lt;&gt;INDEX('TRIP MANAGER'!$U$18:$U$25,V$2)),1,0))</f>
        <v/>
      </c>
      <c r="W108">
        <f t="array" ref="W108">IF($A108="","",IF(AND(INDEX($C108:$J108,W$2)&gt;0,$A108&lt;&gt;INDEX('TRIP MANAGER'!$T$18:$T$25,W$2),$A108&lt;&gt;INDEX('TRIP MANAGER'!$U$18:$U$25,W$2)),1,0))</f>
        <v/>
      </c>
      <c r="X108">
        <f t="array" ref="X108">IF($A108="","",IF(AND(INDEX($C108:$J108,X$2)&gt;0,$A108&lt;&gt;INDEX('TRIP MANAGER'!$T$18:$T$25,X$2),$A108&lt;&gt;INDEX('TRIP MANAGER'!$U$18:$U$25,X$2)),1,0))</f>
        <v/>
      </c>
      <c r="Y108">
        <f t="array" ref="Y108">IF($A108="","",IF(AND(INDEX($C108:$J108,Y$2)&gt;0,$A108&lt;&gt;INDEX('TRIP MANAGER'!$T$18:$T$25,Y$2),$A108&lt;&gt;INDEX('TRIP MANAGER'!$U$18:$U$25,Y$2)),1,0))</f>
        <v/>
      </c>
    </row>
    <row r="109">
      <c r="A109">
        <f>IF(countries!$D108="","",countries!$D108)</f>
        <v/>
      </c>
      <c r="B109">
        <f>IF(countries!$B108="","",countries!$B108)</f>
        <v/>
      </c>
      <c r="C109">
        <f>IF($A109="","",COUNTIFS(route_calc!$A$2:$A$1209,C$2,route_calc!$P$2:$P$1209,$A109))</f>
        <v/>
      </c>
      <c r="D109">
        <f>IF($A109="","",COUNTIFS(route_calc!$A$2:$A$1209,D$2,route_calc!$P$2:$P$1209,$A109))</f>
        <v/>
      </c>
      <c r="E109">
        <f>IF($A109="","",COUNTIFS(route_calc!$A$2:$A$1209,E$2,route_calc!$P$2:$P$1209,$A109))</f>
        <v/>
      </c>
      <c r="F109">
        <f>IF($A109="","",COUNTIFS(route_calc!$A$2:$A$1209,F$2,route_calc!$P$2:$P$1209,$A109))</f>
        <v/>
      </c>
      <c r="G109">
        <f>IF($A109="","",COUNTIFS(route_calc!$A$2:$A$1209,G$2,route_calc!$P$2:$P$1209,$A109))</f>
        <v/>
      </c>
      <c r="H109">
        <f>IF($A109="","",COUNTIFS(route_calc!$A$2:$A$1209,H$2,route_calc!$P$2:$P$1209,$A109))</f>
        <v/>
      </c>
      <c r="I109">
        <f>IF($A109="","",COUNTIFS(route_calc!$A$2:$A$1209,I$2,route_calc!$P$2:$P$1209,$A109))</f>
        <v/>
      </c>
      <c r="J109">
        <f>IF($A109="","",COUNTIFS(route_calc!$A$2:$A$1209,J$2,route_calc!$P$2:$P$1209,$A109))</f>
        <v/>
      </c>
      <c r="K109">
        <f>IF($L109=0,"",_xlfn.MINIFS(route_calc!$Q$2:$Q$1209,route_calc!$P$2:$P$1209,$A109,route_calc!$A$2:$A$1209,MATCH(1,$R109:$Y109,0)))</f>
        <v/>
      </c>
      <c r="L109">
        <f>IF($A109="",0,IF(SUM($R109:$Y109)&gt;0,1,0))</f>
        <v/>
      </c>
      <c r="M109">
        <f t="array" ref="M109">IF($L109=0,"",_xlfn.TEXTJOIN(", ",TRUE,IF($R109:$Y109&gt;0,$C$1:$J$1,"")))</f>
        <v/>
      </c>
      <c r="N109">
        <f t="array" ref="N109">IF($L109=0,"",SUMPRODUCT(($L$3:$L$144=1)*($K$3:$K$144&lt;$K109))+1)</f>
        <v/>
      </c>
      <c r="O109">
        <f>IF($L109=0,"",MATCH(1,$R109:$Y109,0))</f>
        <v/>
      </c>
      <c r="P109">
        <f>IF($A109="","",IFERROR(INDEX(countries!$G:$G,MATCH($A109,countries!$D:$D,0)),""))</f>
        <v/>
      </c>
      <c r="Q109">
        <f>IF($A109="","",IFERROR(IF(INDEX(countries!$I:$I,MATCH($A109,countries!$D:$D,0))=0,"",INDEX(countries!$I:$I,MATCH($A109,countries!$D:$D,0))),""))</f>
        <v/>
      </c>
      <c r="R109">
        <f t="array" ref="R109">IF($A109="","",IF(AND(INDEX($C109:$J109,R$2)&gt;0,$A109&lt;&gt;INDEX('TRIP MANAGER'!$T$18:$T$25,R$2),$A109&lt;&gt;INDEX('TRIP MANAGER'!$U$18:$U$25,R$2)),1,0))</f>
        <v/>
      </c>
      <c r="S109">
        <f t="array" ref="S109">IF($A109="","",IF(AND(INDEX($C109:$J109,S$2)&gt;0,$A109&lt;&gt;INDEX('TRIP MANAGER'!$T$18:$T$25,S$2),$A109&lt;&gt;INDEX('TRIP MANAGER'!$U$18:$U$25,S$2)),1,0))</f>
        <v/>
      </c>
      <c r="T109">
        <f t="array" ref="T109">IF($A109="","",IF(AND(INDEX($C109:$J109,T$2)&gt;0,$A109&lt;&gt;INDEX('TRIP MANAGER'!$T$18:$T$25,T$2),$A109&lt;&gt;INDEX('TRIP MANAGER'!$U$18:$U$25,T$2)),1,0))</f>
        <v/>
      </c>
      <c r="U109">
        <f t="array" ref="U109">IF($A109="","",IF(AND(INDEX($C109:$J109,U$2)&gt;0,$A109&lt;&gt;INDEX('TRIP MANAGER'!$T$18:$T$25,U$2),$A109&lt;&gt;INDEX('TRIP MANAGER'!$U$18:$U$25,U$2)),1,0))</f>
        <v/>
      </c>
      <c r="V109">
        <f t="array" ref="V109">IF($A109="","",IF(AND(INDEX($C109:$J109,V$2)&gt;0,$A109&lt;&gt;INDEX('TRIP MANAGER'!$T$18:$T$25,V$2),$A109&lt;&gt;INDEX('TRIP MANAGER'!$U$18:$U$25,V$2)),1,0))</f>
        <v/>
      </c>
      <c r="W109">
        <f t="array" ref="W109">IF($A109="","",IF(AND(INDEX($C109:$J109,W$2)&gt;0,$A109&lt;&gt;INDEX('TRIP MANAGER'!$T$18:$T$25,W$2),$A109&lt;&gt;INDEX('TRIP MANAGER'!$U$18:$U$25,W$2)),1,0))</f>
        <v/>
      </c>
      <c r="X109">
        <f t="array" ref="X109">IF($A109="","",IF(AND(INDEX($C109:$J109,X$2)&gt;0,$A109&lt;&gt;INDEX('TRIP MANAGER'!$T$18:$T$25,X$2),$A109&lt;&gt;INDEX('TRIP MANAGER'!$U$18:$U$25,X$2)),1,0))</f>
        <v/>
      </c>
      <c r="Y109">
        <f t="array" ref="Y109">IF($A109="","",IF(AND(INDEX($C109:$J109,Y$2)&gt;0,$A109&lt;&gt;INDEX('TRIP MANAGER'!$T$18:$T$25,Y$2),$A109&lt;&gt;INDEX('TRIP MANAGER'!$U$18:$U$25,Y$2)),1,0))</f>
        <v/>
      </c>
    </row>
    <row r="110">
      <c r="A110">
        <f>IF(countries!$D109="","",countries!$D109)</f>
        <v/>
      </c>
      <c r="B110">
        <f>IF(countries!$B109="","",countries!$B109)</f>
        <v/>
      </c>
      <c r="C110">
        <f>IF($A110="","",COUNTIFS(route_calc!$A$2:$A$1209,C$2,route_calc!$P$2:$P$1209,$A110))</f>
        <v/>
      </c>
      <c r="D110">
        <f>IF($A110="","",COUNTIFS(route_calc!$A$2:$A$1209,D$2,route_calc!$P$2:$P$1209,$A110))</f>
        <v/>
      </c>
      <c r="E110">
        <f>IF($A110="","",COUNTIFS(route_calc!$A$2:$A$1209,E$2,route_calc!$P$2:$P$1209,$A110))</f>
        <v/>
      </c>
      <c r="F110">
        <f>IF($A110="","",COUNTIFS(route_calc!$A$2:$A$1209,F$2,route_calc!$P$2:$P$1209,$A110))</f>
        <v/>
      </c>
      <c r="G110">
        <f>IF($A110="","",COUNTIFS(route_calc!$A$2:$A$1209,G$2,route_calc!$P$2:$P$1209,$A110))</f>
        <v/>
      </c>
      <c r="H110">
        <f>IF($A110="","",COUNTIFS(route_calc!$A$2:$A$1209,H$2,route_calc!$P$2:$P$1209,$A110))</f>
        <v/>
      </c>
      <c r="I110">
        <f>IF($A110="","",COUNTIFS(route_calc!$A$2:$A$1209,I$2,route_calc!$P$2:$P$1209,$A110))</f>
        <v/>
      </c>
      <c r="J110">
        <f>IF($A110="","",COUNTIFS(route_calc!$A$2:$A$1209,J$2,route_calc!$P$2:$P$1209,$A110))</f>
        <v/>
      </c>
      <c r="K110">
        <f>IF($L110=0,"",_xlfn.MINIFS(route_calc!$Q$2:$Q$1209,route_calc!$P$2:$P$1209,$A110,route_calc!$A$2:$A$1209,MATCH(1,$R110:$Y110,0)))</f>
        <v/>
      </c>
      <c r="L110">
        <f>IF($A110="",0,IF(SUM($R110:$Y110)&gt;0,1,0))</f>
        <v/>
      </c>
      <c r="M110">
        <f t="array" ref="M110">IF($L110=0,"",_xlfn.TEXTJOIN(", ",TRUE,IF($R110:$Y110&gt;0,$C$1:$J$1,"")))</f>
        <v/>
      </c>
      <c r="N110">
        <f t="array" ref="N110">IF($L110=0,"",SUMPRODUCT(($L$3:$L$144=1)*($K$3:$K$144&lt;$K110))+1)</f>
        <v/>
      </c>
      <c r="O110">
        <f>IF($L110=0,"",MATCH(1,$R110:$Y110,0))</f>
        <v/>
      </c>
      <c r="P110">
        <f>IF($A110="","",IFERROR(INDEX(countries!$G:$G,MATCH($A110,countries!$D:$D,0)),""))</f>
        <v/>
      </c>
      <c r="Q110">
        <f>IF($A110="","",IFERROR(IF(INDEX(countries!$I:$I,MATCH($A110,countries!$D:$D,0))=0,"",INDEX(countries!$I:$I,MATCH($A110,countries!$D:$D,0))),""))</f>
        <v/>
      </c>
      <c r="R110">
        <f t="array" ref="R110">IF($A110="","",IF(AND(INDEX($C110:$J110,R$2)&gt;0,$A110&lt;&gt;INDEX('TRIP MANAGER'!$T$18:$T$25,R$2),$A110&lt;&gt;INDEX('TRIP MANAGER'!$U$18:$U$25,R$2)),1,0))</f>
        <v/>
      </c>
      <c r="S110">
        <f t="array" ref="S110">IF($A110="","",IF(AND(INDEX($C110:$J110,S$2)&gt;0,$A110&lt;&gt;INDEX('TRIP MANAGER'!$T$18:$T$25,S$2),$A110&lt;&gt;INDEX('TRIP MANAGER'!$U$18:$U$25,S$2)),1,0))</f>
        <v/>
      </c>
      <c r="T110">
        <f t="array" ref="T110">IF($A110="","",IF(AND(INDEX($C110:$J110,T$2)&gt;0,$A110&lt;&gt;INDEX('TRIP MANAGER'!$T$18:$T$25,T$2),$A110&lt;&gt;INDEX('TRIP MANAGER'!$U$18:$U$25,T$2)),1,0))</f>
        <v/>
      </c>
      <c r="U110">
        <f t="array" ref="U110">IF($A110="","",IF(AND(INDEX($C110:$J110,U$2)&gt;0,$A110&lt;&gt;INDEX('TRIP MANAGER'!$T$18:$T$25,U$2),$A110&lt;&gt;INDEX('TRIP MANAGER'!$U$18:$U$25,U$2)),1,0))</f>
        <v/>
      </c>
      <c r="V110">
        <f t="array" ref="V110">IF($A110="","",IF(AND(INDEX($C110:$J110,V$2)&gt;0,$A110&lt;&gt;INDEX('TRIP MANAGER'!$T$18:$T$25,V$2),$A110&lt;&gt;INDEX('TRIP MANAGER'!$U$18:$U$25,V$2)),1,0))</f>
        <v/>
      </c>
      <c r="W110">
        <f t="array" ref="W110">IF($A110="","",IF(AND(INDEX($C110:$J110,W$2)&gt;0,$A110&lt;&gt;INDEX('TRIP MANAGER'!$T$18:$T$25,W$2),$A110&lt;&gt;INDEX('TRIP MANAGER'!$U$18:$U$25,W$2)),1,0))</f>
        <v/>
      </c>
      <c r="X110">
        <f t="array" ref="X110">IF($A110="","",IF(AND(INDEX($C110:$J110,X$2)&gt;0,$A110&lt;&gt;INDEX('TRIP MANAGER'!$T$18:$T$25,X$2),$A110&lt;&gt;INDEX('TRIP MANAGER'!$U$18:$U$25,X$2)),1,0))</f>
        <v/>
      </c>
      <c r="Y110">
        <f t="array" ref="Y110">IF($A110="","",IF(AND(INDEX($C110:$J110,Y$2)&gt;0,$A110&lt;&gt;INDEX('TRIP MANAGER'!$T$18:$T$25,Y$2),$A110&lt;&gt;INDEX('TRIP MANAGER'!$U$18:$U$25,Y$2)),1,0))</f>
        <v/>
      </c>
    </row>
    <row r="111">
      <c r="A111">
        <f>IF(countries!$D110="","",countries!$D110)</f>
        <v/>
      </c>
      <c r="B111">
        <f>IF(countries!$B110="","",countries!$B110)</f>
        <v/>
      </c>
      <c r="C111">
        <f>IF($A111="","",COUNTIFS(route_calc!$A$2:$A$1209,C$2,route_calc!$P$2:$P$1209,$A111))</f>
        <v/>
      </c>
      <c r="D111">
        <f>IF($A111="","",COUNTIFS(route_calc!$A$2:$A$1209,D$2,route_calc!$P$2:$P$1209,$A111))</f>
        <v/>
      </c>
      <c r="E111">
        <f>IF($A111="","",COUNTIFS(route_calc!$A$2:$A$1209,E$2,route_calc!$P$2:$P$1209,$A111))</f>
        <v/>
      </c>
      <c r="F111">
        <f>IF($A111="","",COUNTIFS(route_calc!$A$2:$A$1209,F$2,route_calc!$P$2:$P$1209,$A111))</f>
        <v/>
      </c>
      <c r="G111">
        <f>IF($A111="","",COUNTIFS(route_calc!$A$2:$A$1209,G$2,route_calc!$P$2:$P$1209,$A111))</f>
        <v/>
      </c>
      <c r="H111">
        <f>IF($A111="","",COUNTIFS(route_calc!$A$2:$A$1209,H$2,route_calc!$P$2:$P$1209,$A111))</f>
        <v/>
      </c>
      <c r="I111">
        <f>IF($A111="","",COUNTIFS(route_calc!$A$2:$A$1209,I$2,route_calc!$P$2:$P$1209,$A111))</f>
        <v/>
      </c>
      <c r="J111">
        <f>IF($A111="","",COUNTIFS(route_calc!$A$2:$A$1209,J$2,route_calc!$P$2:$P$1209,$A111))</f>
        <v/>
      </c>
      <c r="K111">
        <f>IF($L111=0,"",_xlfn.MINIFS(route_calc!$Q$2:$Q$1209,route_calc!$P$2:$P$1209,$A111,route_calc!$A$2:$A$1209,MATCH(1,$R111:$Y111,0)))</f>
        <v/>
      </c>
      <c r="L111">
        <f>IF($A111="",0,IF(SUM($R111:$Y111)&gt;0,1,0))</f>
        <v/>
      </c>
      <c r="M111">
        <f t="array" ref="M111">IF($L111=0,"",_xlfn.TEXTJOIN(", ",TRUE,IF($R111:$Y111&gt;0,$C$1:$J$1,"")))</f>
        <v/>
      </c>
      <c r="N111">
        <f t="array" ref="N111">IF($L111=0,"",SUMPRODUCT(($L$3:$L$144=1)*($K$3:$K$144&lt;$K111))+1)</f>
        <v/>
      </c>
      <c r="O111">
        <f>IF($L111=0,"",MATCH(1,$R111:$Y111,0))</f>
        <v/>
      </c>
      <c r="P111">
        <f>IF($A111="","",IFERROR(INDEX(countries!$G:$G,MATCH($A111,countries!$D:$D,0)),""))</f>
        <v/>
      </c>
      <c r="Q111">
        <f>IF($A111="","",IFERROR(IF(INDEX(countries!$I:$I,MATCH($A111,countries!$D:$D,0))=0,"",INDEX(countries!$I:$I,MATCH($A111,countries!$D:$D,0))),""))</f>
        <v/>
      </c>
      <c r="R111">
        <f t="array" ref="R111">IF($A111="","",IF(AND(INDEX($C111:$J111,R$2)&gt;0,$A111&lt;&gt;INDEX('TRIP MANAGER'!$T$18:$T$25,R$2),$A111&lt;&gt;INDEX('TRIP MANAGER'!$U$18:$U$25,R$2)),1,0))</f>
        <v/>
      </c>
      <c r="S111">
        <f t="array" ref="S111">IF($A111="","",IF(AND(INDEX($C111:$J111,S$2)&gt;0,$A111&lt;&gt;INDEX('TRIP MANAGER'!$T$18:$T$25,S$2),$A111&lt;&gt;INDEX('TRIP MANAGER'!$U$18:$U$25,S$2)),1,0))</f>
        <v/>
      </c>
      <c r="T111">
        <f t="array" ref="T111">IF($A111="","",IF(AND(INDEX($C111:$J111,T$2)&gt;0,$A111&lt;&gt;INDEX('TRIP MANAGER'!$T$18:$T$25,T$2),$A111&lt;&gt;INDEX('TRIP MANAGER'!$U$18:$U$25,T$2)),1,0))</f>
        <v/>
      </c>
      <c r="U111">
        <f t="array" ref="U111">IF($A111="","",IF(AND(INDEX($C111:$J111,U$2)&gt;0,$A111&lt;&gt;INDEX('TRIP MANAGER'!$T$18:$T$25,U$2),$A111&lt;&gt;INDEX('TRIP MANAGER'!$U$18:$U$25,U$2)),1,0))</f>
        <v/>
      </c>
      <c r="V111">
        <f t="array" ref="V111">IF($A111="","",IF(AND(INDEX($C111:$J111,V$2)&gt;0,$A111&lt;&gt;INDEX('TRIP MANAGER'!$T$18:$T$25,V$2),$A111&lt;&gt;INDEX('TRIP MANAGER'!$U$18:$U$25,V$2)),1,0))</f>
        <v/>
      </c>
      <c r="W111">
        <f t="array" ref="W111">IF($A111="","",IF(AND(INDEX($C111:$J111,W$2)&gt;0,$A111&lt;&gt;INDEX('TRIP MANAGER'!$T$18:$T$25,W$2),$A111&lt;&gt;INDEX('TRIP MANAGER'!$U$18:$U$25,W$2)),1,0))</f>
        <v/>
      </c>
      <c r="X111">
        <f t="array" ref="X111">IF($A111="","",IF(AND(INDEX($C111:$J111,X$2)&gt;0,$A111&lt;&gt;INDEX('TRIP MANAGER'!$T$18:$T$25,X$2),$A111&lt;&gt;INDEX('TRIP MANAGER'!$U$18:$U$25,X$2)),1,0))</f>
        <v/>
      </c>
      <c r="Y111">
        <f t="array" ref="Y111">IF($A111="","",IF(AND(INDEX($C111:$J111,Y$2)&gt;0,$A111&lt;&gt;INDEX('TRIP MANAGER'!$T$18:$T$25,Y$2),$A111&lt;&gt;INDEX('TRIP MANAGER'!$U$18:$U$25,Y$2)),1,0))</f>
        <v/>
      </c>
    </row>
    <row r="112">
      <c r="A112">
        <f>IF(countries!$D111="","",countries!$D111)</f>
        <v/>
      </c>
      <c r="B112">
        <f>IF(countries!$B111="","",countries!$B111)</f>
        <v/>
      </c>
      <c r="C112">
        <f>IF($A112="","",COUNTIFS(route_calc!$A$2:$A$1209,C$2,route_calc!$P$2:$P$1209,$A112))</f>
        <v/>
      </c>
      <c r="D112">
        <f>IF($A112="","",COUNTIFS(route_calc!$A$2:$A$1209,D$2,route_calc!$P$2:$P$1209,$A112))</f>
        <v/>
      </c>
      <c r="E112">
        <f>IF($A112="","",COUNTIFS(route_calc!$A$2:$A$1209,E$2,route_calc!$P$2:$P$1209,$A112))</f>
        <v/>
      </c>
      <c r="F112">
        <f>IF($A112="","",COUNTIFS(route_calc!$A$2:$A$1209,F$2,route_calc!$P$2:$P$1209,$A112))</f>
        <v/>
      </c>
      <c r="G112">
        <f>IF($A112="","",COUNTIFS(route_calc!$A$2:$A$1209,G$2,route_calc!$P$2:$P$1209,$A112))</f>
        <v/>
      </c>
      <c r="H112">
        <f>IF($A112="","",COUNTIFS(route_calc!$A$2:$A$1209,H$2,route_calc!$P$2:$P$1209,$A112))</f>
        <v/>
      </c>
      <c r="I112">
        <f>IF($A112="","",COUNTIFS(route_calc!$A$2:$A$1209,I$2,route_calc!$P$2:$P$1209,$A112))</f>
        <v/>
      </c>
      <c r="J112">
        <f>IF($A112="","",COUNTIFS(route_calc!$A$2:$A$1209,J$2,route_calc!$P$2:$P$1209,$A112))</f>
        <v/>
      </c>
      <c r="K112">
        <f>IF($L112=0,"",_xlfn.MINIFS(route_calc!$Q$2:$Q$1209,route_calc!$P$2:$P$1209,$A112,route_calc!$A$2:$A$1209,MATCH(1,$R112:$Y112,0)))</f>
        <v/>
      </c>
      <c r="L112">
        <f>IF($A112="",0,IF(SUM($R112:$Y112)&gt;0,1,0))</f>
        <v/>
      </c>
      <c r="M112">
        <f t="array" ref="M112">IF($L112=0,"",_xlfn.TEXTJOIN(", ",TRUE,IF($R112:$Y112&gt;0,$C$1:$J$1,"")))</f>
        <v/>
      </c>
      <c r="N112">
        <f t="array" ref="N112">IF($L112=0,"",SUMPRODUCT(($L$3:$L$144=1)*($K$3:$K$144&lt;$K112))+1)</f>
        <v/>
      </c>
      <c r="O112">
        <f>IF($L112=0,"",MATCH(1,$R112:$Y112,0))</f>
        <v/>
      </c>
      <c r="P112">
        <f>IF($A112="","",IFERROR(INDEX(countries!$G:$G,MATCH($A112,countries!$D:$D,0)),""))</f>
        <v/>
      </c>
      <c r="Q112">
        <f>IF($A112="","",IFERROR(IF(INDEX(countries!$I:$I,MATCH($A112,countries!$D:$D,0))=0,"",INDEX(countries!$I:$I,MATCH($A112,countries!$D:$D,0))),""))</f>
        <v/>
      </c>
      <c r="R112">
        <f t="array" ref="R112">IF($A112="","",IF(AND(INDEX($C112:$J112,R$2)&gt;0,$A112&lt;&gt;INDEX('TRIP MANAGER'!$T$18:$T$25,R$2),$A112&lt;&gt;INDEX('TRIP MANAGER'!$U$18:$U$25,R$2)),1,0))</f>
        <v/>
      </c>
      <c r="S112">
        <f t="array" ref="S112">IF($A112="","",IF(AND(INDEX($C112:$J112,S$2)&gt;0,$A112&lt;&gt;INDEX('TRIP MANAGER'!$T$18:$T$25,S$2),$A112&lt;&gt;INDEX('TRIP MANAGER'!$U$18:$U$25,S$2)),1,0))</f>
        <v/>
      </c>
      <c r="T112">
        <f t="array" ref="T112">IF($A112="","",IF(AND(INDEX($C112:$J112,T$2)&gt;0,$A112&lt;&gt;INDEX('TRIP MANAGER'!$T$18:$T$25,T$2),$A112&lt;&gt;INDEX('TRIP MANAGER'!$U$18:$U$25,T$2)),1,0))</f>
        <v/>
      </c>
      <c r="U112">
        <f t="array" ref="U112">IF($A112="","",IF(AND(INDEX($C112:$J112,U$2)&gt;0,$A112&lt;&gt;INDEX('TRIP MANAGER'!$T$18:$T$25,U$2),$A112&lt;&gt;INDEX('TRIP MANAGER'!$U$18:$U$25,U$2)),1,0))</f>
        <v/>
      </c>
      <c r="V112">
        <f t="array" ref="V112">IF($A112="","",IF(AND(INDEX($C112:$J112,V$2)&gt;0,$A112&lt;&gt;INDEX('TRIP MANAGER'!$T$18:$T$25,V$2),$A112&lt;&gt;INDEX('TRIP MANAGER'!$U$18:$U$25,V$2)),1,0))</f>
        <v/>
      </c>
      <c r="W112">
        <f t="array" ref="W112">IF($A112="","",IF(AND(INDEX($C112:$J112,W$2)&gt;0,$A112&lt;&gt;INDEX('TRIP MANAGER'!$T$18:$T$25,W$2),$A112&lt;&gt;INDEX('TRIP MANAGER'!$U$18:$U$25,W$2)),1,0))</f>
        <v/>
      </c>
      <c r="X112">
        <f t="array" ref="X112">IF($A112="","",IF(AND(INDEX($C112:$J112,X$2)&gt;0,$A112&lt;&gt;INDEX('TRIP MANAGER'!$T$18:$T$25,X$2),$A112&lt;&gt;INDEX('TRIP MANAGER'!$U$18:$U$25,X$2)),1,0))</f>
        <v/>
      </c>
      <c r="Y112">
        <f t="array" ref="Y112">IF($A112="","",IF(AND(INDEX($C112:$J112,Y$2)&gt;0,$A112&lt;&gt;INDEX('TRIP MANAGER'!$T$18:$T$25,Y$2),$A112&lt;&gt;INDEX('TRIP MANAGER'!$U$18:$U$25,Y$2)),1,0))</f>
        <v/>
      </c>
    </row>
    <row r="113">
      <c r="A113">
        <f>IF(countries!$D112="","",countries!$D112)</f>
        <v/>
      </c>
      <c r="B113">
        <f>IF(countries!$B112="","",countries!$B112)</f>
        <v/>
      </c>
      <c r="C113">
        <f>IF($A113="","",COUNTIFS(route_calc!$A$2:$A$1209,C$2,route_calc!$P$2:$P$1209,$A113))</f>
        <v/>
      </c>
      <c r="D113">
        <f>IF($A113="","",COUNTIFS(route_calc!$A$2:$A$1209,D$2,route_calc!$P$2:$P$1209,$A113))</f>
        <v/>
      </c>
      <c r="E113">
        <f>IF($A113="","",COUNTIFS(route_calc!$A$2:$A$1209,E$2,route_calc!$P$2:$P$1209,$A113))</f>
        <v/>
      </c>
      <c r="F113">
        <f>IF($A113="","",COUNTIFS(route_calc!$A$2:$A$1209,F$2,route_calc!$P$2:$P$1209,$A113))</f>
        <v/>
      </c>
      <c r="G113">
        <f>IF($A113="","",COUNTIFS(route_calc!$A$2:$A$1209,G$2,route_calc!$P$2:$P$1209,$A113))</f>
        <v/>
      </c>
      <c r="H113">
        <f>IF($A113="","",COUNTIFS(route_calc!$A$2:$A$1209,H$2,route_calc!$P$2:$P$1209,$A113))</f>
        <v/>
      </c>
      <c r="I113">
        <f>IF($A113="","",COUNTIFS(route_calc!$A$2:$A$1209,I$2,route_calc!$P$2:$P$1209,$A113))</f>
        <v/>
      </c>
      <c r="J113">
        <f>IF($A113="","",COUNTIFS(route_calc!$A$2:$A$1209,J$2,route_calc!$P$2:$P$1209,$A113))</f>
        <v/>
      </c>
      <c r="K113">
        <f>IF($L113=0,"",_xlfn.MINIFS(route_calc!$Q$2:$Q$1209,route_calc!$P$2:$P$1209,$A113,route_calc!$A$2:$A$1209,MATCH(1,$R113:$Y113,0)))</f>
        <v/>
      </c>
      <c r="L113">
        <f>IF($A113="",0,IF(SUM($R113:$Y113)&gt;0,1,0))</f>
        <v/>
      </c>
      <c r="M113">
        <f t="array" ref="M113">IF($L113=0,"",_xlfn.TEXTJOIN(", ",TRUE,IF($R113:$Y113&gt;0,$C$1:$J$1,"")))</f>
        <v/>
      </c>
      <c r="N113">
        <f t="array" ref="N113">IF($L113=0,"",SUMPRODUCT(($L$3:$L$144=1)*($K$3:$K$144&lt;$K113))+1)</f>
        <v/>
      </c>
      <c r="O113">
        <f>IF($L113=0,"",MATCH(1,$R113:$Y113,0))</f>
        <v/>
      </c>
      <c r="P113">
        <f>IF($A113="","",IFERROR(INDEX(countries!$G:$G,MATCH($A113,countries!$D:$D,0)),""))</f>
        <v/>
      </c>
      <c r="Q113">
        <f>IF($A113="","",IFERROR(IF(INDEX(countries!$I:$I,MATCH($A113,countries!$D:$D,0))=0,"",INDEX(countries!$I:$I,MATCH($A113,countries!$D:$D,0))),""))</f>
        <v/>
      </c>
      <c r="R113">
        <f t="array" ref="R113">IF($A113="","",IF(AND(INDEX($C113:$J113,R$2)&gt;0,$A113&lt;&gt;INDEX('TRIP MANAGER'!$T$18:$T$25,R$2),$A113&lt;&gt;INDEX('TRIP MANAGER'!$U$18:$U$25,R$2)),1,0))</f>
        <v/>
      </c>
      <c r="S113">
        <f t="array" ref="S113">IF($A113="","",IF(AND(INDEX($C113:$J113,S$2)&gt;0,$A113&lt;&gt;INDEX('TRIP MANAGER'!$T$18:$T$25,S$2),$A113&lt;&gt;INDEX('TRIP MANAGER'!$U$18:$U$25,S$2)),1,0))</f>
        <v/>
      </c>
      <c r="T113">
        <f t="array" ref="T113">IF($A113="","",IF(AND(INDEX($C113:$J113,T$2)&gt;0,$A113&lt;&gt;INDEX('TRIP MANAGER'!$T$18:$T$25,T$2),$A113&lt;&gt;INDEX('TRIP MANAGER'!$U$18:$U$25,T$2)),1,0))</f>
        <v/>
      </c>
      <c r="U113">
        <f t="array" ref="U113">IF($A113="","",IF(AND(INDEX($C113:$J113,U$2)&gt;0,$A113&lt;&gt;INDEX('TRIP MANAGER'!$T$18:$T$25,U$2),$A113&lt;&gt;INDEX('TRIP MANAGER'!$U$18:$U$25,U$2)),1,0))</f>
        <v/>
      </c>
      <c r="V113">
        <f t="array" ref="V113">IF($A113="","",IF(AND(INDEX($C113:$J113,V$2)&gt;0,$A113&lt;&gt;INDEX('TRIP MANAGER'!$T$18:$T$25,V$2),$A113&lt;&gt;INDEX('TRIP MANAGER'!$U$18:$U$25,V$2)),1,0))</f>
        <v/>
      </c>
      <c r="W113">
        <f t="array" ref="W113">IF($A113="","",IF(AND(INDEX($C113:$J113,W$2)&gt;0,$A113&lt;&gt;INDEX('TRIP MANAGER'!$T$18:$T$25,W$2),$A113&lt;&gt;INDEX('TRIP MANAGER'!$U$18:$U$25,W$2)),1,0))</f>
        <v/>
      </c>
      <c r="X113">
        <f t="array" ref="X113">IF($A113="","",IF(AND(INDEX($C113:$J113,X$2)&gt;0,$A113&lt;&gt;INDEX('TRIP MANAGER'!$T$18:$T$25,X$2),$A113&lt;&gt;INDEX('TRIP MANAGER'!$U$18:$U$25,X$2)),1,0))</f>
        <v/>
      </c>
      <c r="Y113">
        <f t="array" ref="Y113">IF($A113="","",IF(AND(INDEX($C113:$J113,Y$2)&gt;0,$A113&lt;&gt;INDEX('TRIP MANAGER'!$T$18:$T$25,Y$2),$A113&lt;&gt;INDEX('TRIP MANAGER'!$U$18:$U$25,Y$2)),1,0))</f>
        <v/>
      </c>
    </row>
    <row r="114">
      <c r="A114">
        <f>IF(countries!$D113="","",countries!$D113)</f>
        <v/>
      </c>
      <c r="B114">
        <f>IF(countries!$B113="","",countries!$B113)</f>
        <v/>
      </c>
      <c r="C114">
        <f>IF($A114="","",COUNTIFS(route_calc!$A$2:$A$1209,C$2,route_calc!$P$2:$P$1209,$A114))</f>
        <v/>
      </c>
      <c r="D114">
        <f>IF($A114="","",COUNTIFS(route_calc!$A$2:$A$1209,D$2,route_calc!$P$2:$P$1209,$A114))</f>
        <v/>
      </c>
      <c r="E114">
        <f>IF($A114="","",COUNTIFS(route_calc!$A$2:$A$1209,E$2,route_calc!$P$2:$P$1209,$A114))</f>
        <v/>
      </c>
      <c r="F114">
        <f>IF($A114="","",COUNTIFS(route_calc!$A$2:$A$1209,F$2,route_calc!$P$2:$P$1209,$A114))</f>
        <v/>
      </c>
      <c r="G114">
        <f>IF($A114="","",COUNTIFS(route_calc!$A$2:$A$1209,G$2,route_calc!$P$2:$P$1209,$A114))</f>
        <v/>
      </c>
      <c r="H114">
        <f>IF($A114="","",COUNTIFS(route_calc!$A$2:$A$1209,H$2,route_calc!$P$2:$P$1209,$A114))</f>
        <v/>
      </c>
      <c r="I114">
        <f>IF($A114="","",COUNTIFS(route_calc!$A$2:$A$1209,I$2,route_calc!$P$2:$P$1209,$A114))</f>
        <v/>
      </c>
      <c r="J114">
        <f>IF($A114="","",COUNTIFS(route_calc!$A$2:$A$1209,J$2,route_calc!$P$2:$P$1209,$A114))</f>
        <v/>
      </c>
      <c r="K114">
        <f>IF($L114=0,"",_xlfn.MINIFS(route_calc!$Q$2:$Q$1209,route_calc!$P$2:$P$1209,$A114,route_calc!$A$2:$A$1209,MATCH(1,$R114:$Y114,0)))</f>
        <v/>
      </c>
      <c r="L114">
        <f>IF($A114="",0,IF(SUM($R114:$Y114)&gt;0,1,0))</f>
        <v/>
      </c>
      <c r="M114">
        <f t="array" ref="M114">IF($L114=0,"",_xlfn.TEXTJOIN(", ",TRUE,IF($R114:$Y114&gt;0,$C$1:$J$1,"")))</f>
        <v/>
      </c>
      <c r="N114">
        <f t="array" ref="N114">IF($L114=0,"",SUMPRODUCT(($L$3:$L$144=1)*($K$3:$K$144&lt;$K114))+1)</f>
        <v/>
      </c>
      <c r="O114">
        <f>IF($L114=0,"",MATCH(1,$R114:$Y114,0))</f>
        <v/>
      </c>
      <c r="P114">
        <f>IF($A114="","",IFERROR(INDEX(countries!$G:$G,MATCH($A114,countries!$D:$D,0)),""))</f>
        <v/>
      </c>
      <c r="Q114">
        <f>IF($A114="","",IFERROR(IF(INDEX(countries!$I:$I,MATCH($A114,countries!$D:$D,0))=0,"",INDEX(countries!$I:$I,MATCH($A114,countries!$D:$D,0))),""))</f>
        <v/>
      </c>
      <c r="R114">
        <f t="array" ref="R114">IF($A114="","",IF(AND(INDEX($C114:$J114,R$2)&gt;0,$A114&lt;&gt;INDEX('TRIP MANAGER'!$T$18:$T$25,R$2),$A114&lt;&gt;INDEX('TRIP MANAGER'!$U$18:$U$25,R$2)),1,0))</f>
        <v/>
      </c>
      <c r="S114">
        <f t="array" ref="S114">IF($A114="","",IF(AND(INDEX($C114:$J114,S$2)&gt;0,$A114&lt;&gt;INDEX('TRIP MANAGER'!$T$18:$T$25,S$2),$A114&lt;&gt;INDEX('TRIP MANAGER'!$U$18:$U$25,S$2)),1,0))</f>
        <v/>
      </c>
      <c r="T114">
        <f t="array" ref="T114">IF($A114="","",IF(AND(INDEX($C114:$J114,T$2)&gt;0,$A114&lt;&gt;INDEX('TRIP MANAGER'!$T$18:$T$25,T$2),$A114&lt;&gt;INDEX('TRIP MANAGER'!$U$18:$U$25,T$2)),1,0))</f>
        <v/>
      </c>
      <c r="U114">
        <f t="array" ref="U114">IF($A114="","",IF(AND(INDEX($C114:$J114,U$2)&gt;0,$A114&lt;&gt;INDEX('TRIP MANAGER'!$T$18:$T$25,U$2),$A114&lt;&gt;INDEX('TRIP MANAGER'!$U$18:$U$25,U$2)),1,0))</f>
        <v/>
      </c>
      <c r="V114">
        <f t="array" ref="V114">IF($A114="","",IF(AND(INDEX($C114:$J114,V$2)&gt;0,$A114&lt;&gt;INDEX('TRIP MANAGER'!$T$18:$T$25,V$2),$A114&lt;&gt;INDEX('TRIP MANAGER'!$U$18:$U$25,V$2)),1,0))</f>
        <v/>
      </c>
      <c r="W114">
        <f t="array" ref="W114">IF($A114="","",IF(AND(INDEX($C114:$J114,W$2)&gt;0,$A114&lt;&gt;INDEX('TRIP MANAGER'!$T$18:$T$25,W$2),$A114&lt;&gt;INDEX('TRIP MANAGER'!$U$18:$U$25,W$2)),1,0))</f>
        <v/>
      </c>
      <c r="X114">
        <f t="array" ref="X114">IF($A114="","",IF(AND(INDEX($C114:$J114,X$2)&gt;0,$A114&lt;&gt;INDEX('TRIP MANAGER'!$T$18:$T$25,X$2),$A114&lt;&gt;INDEX('TRIP MANAGER'!$U$18:$U$25,X$2)),1,0))</f>
        <v/>
      </c>
      <c r="Y114">
        <f t="array" ref="Y114">IF($A114="","",IF(AND(INDEX($C114:$J114,Y$2)&gt;0,$A114&lt;&gt;INDEX('TRIP MANAGER'!$T$18:$T$25,Y$2),$A114&lt;&gt;INDEX('TRIP MANAGER'!$U$18:$U$25,Y$2)),1,0))</f>
        <v/>
      </c>
    </row>
    <row r="115">
      <c r="A115">
        <f>IF(countries!$D114="","",countries!$D114)</f>
        <v/>
      </c>
      <c r="B115">
        <f>IF(countries!$B114="","",countries!$B114)</f>
        <v/>
      </c>
      <c r="C115">
        <f>IF($A115="","",COUNTIFS(route_calc!$A$2:$A$1209,C$2,route_calc!$P$2:$P$1209,$A115))</f>
        <v/>
      </c>
      <c r="D115">
        <f>IF($A115="","",COUNTIFS(route_calc!$A$2:$A$1209,D$2,route_calc!$P$2:$P$1209,$A115))</f>
        <v/>
      </c>
      <c r="E115">
        <f>IF($A115="","",COUNTIFS(route_calc!$A$2:$A$1209,E$2,route_calc!$P$2:$P$1209,$A115))</f>
        <v/>
      </c>
      <c r="F115">
        <f>IF($A115="","",COUNTIFS(route_calc!$A$2:$A$1209,F$2,route_calc!$P$2:$P$1209,$A115))</f>
        <v/>
      </c>
      <c r="G115">
        <f>IF($A115="","",COUNTIFS(route_calc!$A$2:$A$1209,G$2,route_calc!$P$2:$P$1209,$A115))</f>
        <v/>
      </c>
      <c r="H115">
        <f>IF($A115="","",COUNTIFS(route_calc!$A$2:$A$1209,H$2,route_calc!$P$2:$P$1209,$A115))</f>
        <v/>
      </c>
      <c r="I115">
        <f>IF($A115="","",COUNTIFS(route_calc!$A$2:$A$1209,I$2,route_calc!$P$2:$P$1209,$A115))</f>
        <v/>
      </c>
      <c r="J115">
        <f>IF($A115="","",COUNTIFS(route_calc!$A$2:$A$1209,J$2,route_calc!$P$2:$P$1209,$A115))</f>
        <v/>
      </c>
      <c r="K115">
        <f>IF($L115=0,"",_xlfn.MINIFS(route_calc!$Q$2:$Q$1209,route_calc!$P$2:$P$1209,$A115,route_calc!$A$2:$A$1209,MATCH(1,$R115:$Y115,0)))</f>
        <v/>
      </c>
      <c r="L115">
        <f>IF($A115="",0,IF(SUM($R115:$Y115)&gt;0,1,0))</f>
        <v/>
      </c>
      <c r="M115">
        <f t="array" ref="M115">IF($L115=0,"",_xlfn.TEXTJOIN(", ",TRUE,IF($R115:$Y115&gt;0,$C$1:$J$1,"")))</f>
        <v/>
      </c>
      <c r="N115">
        <f t="array" ref="N115">IF($L115=0,"",SUMPRODUCT(($L$3:$L$144=1)*($K$3:$K$144&lt;$K115))+1)</f>
        <v/>
      </c>
      <c r="O115">
        <f>IF($L115=0,"",MATCH(1,$R115:$Y115,0))</f>
        <v/>
      </c>
      <c r="P115">
        <f>IF($A115="","",IFERROR(INDEX(countries!$G:$G,MATCH($A115,countries!$D:$D,0)),""))</f>
        <v/>
      </c>
      <c r="Q115">
        <f>IF($A115="","",IFERROR(IF(INDEX(countries!$I:$I,MATCH($A115,countries!$D:$D,0))=0,"",INDEX(countries!$I:$I,MATCH($A115,countries!$D:$D,0))),""))</f>
        <v/>
      </c>
      <c r="R115">
        <f t="array" ref="R115">IF($A115="","",IF(AND(INDEX($C115:$J115,R$2)&gt;0,$A115&lt;&gt;INDEX('TRIP MANAGER'!$T$18:$T$25,R$2),$A115&lt;&gt;INDEX('TRIP MANAGER'!$U$18:$U$25,R$2)),1,0))</f>
        <v/>
      </c>
      <c r="S115">
        <f t="array" ref="S115">IF($A115="","",IF(AND(INDEX($C115:$J115,S$2)&gt;0,$A115&lt;&gt;INDEX('TRIP MANAGER'!$T$18:$T$25,S$2),$A115&lt;&gt;INDEX('TRIP MANAGER'!$U$18:$U$25,S$2)),1,0))</f>
        <v/>
      </c>
      <c r="T115">
        <f t="array" ref="T115">IF($A115="","",IF(AND(INDEX($C115:$J115,T$2)&gt;0,$A115&lt;&gt;INDEX('TRIP MANAGER'!$T$18:$T$25,T$2),$A115&lt;&gt;INDEX('TRIP MANAGER'!$U$18:$U$25,T$2)),1,0))</f>
        <v/>
      </c>
      <c r="U115">
        <f t="array" ref="U115">IF($A115="","",IF(AND(INDEX($C115:$J115,U$2)&gt;0,$A115&lt;&gt;INDEX('TRIP MANAGER'!$T$18:$T$25,U$2),$A115&lt;&gt;INDEX('TRIP MANAGER'!$U$18:$U$25,U$2)),1,0))</f>
        <v/>
      </c>
      <c r="V115">
        <f t="array" ref="V115">IF($A115="","",IF(AND(INDEX($C115:$J115,V$2)&gt;0,$A115&lt;&gt;INDEX('TRIP MANAGER'!$T$18:$T$25,V$2),$A115&lt;&gt;INDEX('TRIP MANAGER'!$U$18:$U$25,V$2)),1,0))</f>
        <v/>
      </c>
      <c r="W115">
        <f t="array" ref="W115">IF($A115="","",IF(AND(INDEX($C115:$J115,W$2)&gt;0,$A115&lt;&gt;INDEX('TRIP MANAGER'!$T$18:$T$25,W$2),$A115&lt;&gt;INDEX('TRIP MANAGER'!$U$18:$U$25,W$2)),1,0))</f>
        <v/>
      </c>
      <c r="X115">
        <f t="array" ref="X115">IF($A115="","",IF(AND(INDEX($C115:$J115,X$2)&gt;0,$A115&lt;&gt;INDEX('TRIP MANAGER'!$T$18:$T$25,X$2),$A115&lt;&gt;INDEX('TRIP MANAGER'!$U$18:$U$25,X$2)),1,0))</f>
        <v/>
      </c>
      <c r="Y115">
        <f t="array" ref="Y115">IF($A115="","",IF(AND(INDEX($C115:$J115,Y$2)&gt;0,$A115&lt;&gt;INDEX('TRIP MANAGER'!$T$18:$T$25,Y$2),$A115&lt;&gt;INDEX('TRIP MANAGER'!$U$18:$U$25,Y$2)),1,0))</f>
        <v/>
      </c>
    </row>
    <row r="116">
      <c r="A116">
        <f>IF(countries!$D115="","",countries!$D115)</f>
        <v/>
      </c>
      <c r="B116">
        <f>IF(countries!$B115="","",countries!$B115)</f>
        <v/>
      </c>
      <c r="C116">
        <f>IF($A116="","",COUNTIFS(route_calc!$A$2:$A$1209,C$2,route_calc!$P$2:$P$1209,$A116))</f>
        <v/>
      </c>
      <c r="D116">
        <f>IF($A116="","",COUNTIFS(route_calc!$A$2:$A$1209,D$2,route_calc!$P$2:$P$1209,$A116))</f>
        <v/>
      </c>
      <c r="E116">
        <f>IF($A116="","",COUNTIFS(route_calc!$A$2:$A$1209,E$2,route_calc!$P$2:$P$1209,$A116))</f>
        <v/>
      </c>
      <c r="F116">
        <f>IF($A116="","",COUNTIFS(route_calc!$A$2:$A$1209,F$2,route_calc!$P$2:$P$1209,$A116))</f>
        <v/>
      </c>
      <c r="G116">
        <f>IF($A116="","",COUNTIFS(route_calc!$A$2:$A$1209,G$2,route_calc!$P$2:$P$1209,$A116))</f>
        <v/>
      </c>
      <c r="H116">
        <f>IF($A116="","",COUNTIFS(route_calc!$A$2:$A$1209,H$2,route_calc!$P$2:$P$1209,$A116))</f>
        <v/>
      </c>
      <c r="I116">
        <f>IF($A116="","",COUNTIFS(route_calc!$A$2:$A$1209,I$2,route_calc!$P$2:$P$1209,$A116))</f>
        <v/>
      </c>
      <c r="J116">
        <f>IF($A116="","",COUNTIFS(route_calc!$A$2:$A$1209,J$2,route_calc!$P$2:$P$1209,$A116))</f>
        <v/>
      </c>
      <c r="K116">
        <f>IF($L116=0,"",_xlfn.MINIFS(route_calc!$Q$2:$Q$1209,route_calc!$P$2:$P$1209,$A116,route_calc!$A$2:$A$1209,MATCH(1,$R116:$Y116,0)))</f>
        <v/>
      </c>
      <c r="L116">
        <f>IF($A116="",0,IF(SUM($R116:$Y116)&gt;0,1,0))</f>
        <v/>
      </c>
      <c r="M116">
        <f t="array" ref="M116">IF($L116=0,"",_xlfn.TEXTJOIN(", ",TRUE,IF($R116:$Y116&gt;0,$C$1:$J$1,"")))</f>
        <v/>
      </c>
      <c r="N116">
        <f t="array" ref="N116">IF($L116=0,"",SUMPRODUCT(($L$3:$L$144=1)*($K$3:$K$144&lt;$K116))+1)</f>
        <v/>
      </c>
      <c r="O116">
        <f>IF($L116=0,"",MATCH(1,$R116:$Y116,0))</f>
        <v/>
      </c>
      <c r="P116">
        <f>IF($A116="","",IFERROR(INDEX(countries!$G:$G,MATCH($A116,countries!$D:$D,0)),""))</f>
        <v/>
      </c>
      <c r="Q116">
        <f>IF($A116="","",IFERROR(IF(INDEX(countries!$I:$I,MATCH($A116,countries!$D:$D,0))=0,"",INDEX(countries!$I:$I,MATCH($A116,countries!$D:$D,0))),""))</f>
        <v/>
      </c>
      <c r="R116">
        <f t="array" ref="R116">IF($A116="","",IF(AND(INDEX($C116:$J116,R$2)&gt;0,$A116&lt;&gt;INDEX('TRIP MANAGER'!$T$18:$T$25,R$2),$A116&lt;&gt;INDEX('TRIP MANAGER'!$U$18:$U$25,R$2)),1,0))</f>
        <v/>
      </c>
      <c r="S116">
        <f t="array" ref="S116">IF($A116="","",IF(AND(INDEX($C116:$J116,S$2)&gt;0,$A116&lt;&gt;INDEX('TRIP MANAGER'!$T$18:$T$25,S$2),$A116&lt;&gt;INDEX('TRIP MANAGER'!$U$18:$U$25,S$2)),1,0))</f>
        <v/>
      </c>
      <c r="T116">
        <f t="array" ref="T116">IF($A116="","",IF(AND(INDEX($C116:$J116,T$2)&gt;0,$A116&lt;&gt;INDEX('TRIP MANAGER'!$T$18:$T$25,T$2),$A116&lt;&gt;INDEX('TRIP MANAGER'!$U$18:$U$25,T$2)),1,0))</f>
        <v/>
      </c>
      <c r="U116">
        <f t="array" ref="U116">IF($A116="","",IF(AND(INDEX($C116:$J116,U$2)&gt;0,$A116&lt;&gt;INDEX('TRIP MANAGER'!$T$18:$T$25,U$2),$A116&lt;&gt;INDEX('TRIP MANAGER'!$U$18:$U$25,U$2)),1,0))</f>
        <v/>
      </c>
      <c r="V116">
        <f t="array" ref="V116">IF($A116="","",IF(AND(INDEX($C116:$J116,V$2)&gt;0,$A116&lt;&gt;INDEX('TRIP MANAGER'!$T$18:$T$25,V$2),$A116&lt;&gt;INDEX('TRIP MANAGER'!$U$18:$U$25,V$2)),1,0))</f>
        <v/>
      </c>
      <c r="W116">
        <f t="array" ref="W116">IF($A116="","",IF(AND(INDEX($C116:$J116,W$2)&gt;0,$A116&lt;&gt;INDEX('TRIP MANAGER'!$T$18:$T$25,W$2),$A116&lt;&gt;INDEX('TRIP MANAGER'!$U$18:$U$25,W$2)),1,0))</f>
        <v/>
      </c>
      <c r="X116">
        <f t="array" ref="X116">IF($A116="","",IF(AND(INDEX($C116:$J116,X$2)&gt;0,$A116&lt;&gt;INDEX('TRIP MANAGER'!$T$18:$T$25,X$2),$A116&lt;&gt;INDEX('TRIP MANAGER'!$U$18:$U$25,X$2)),1,0))</f>
        <v/>
      </c>
      <c r="Y116">
        <f t="array" ref="Y116">IF($A116="","",IF(AND(INDEX($C116:$J116,Y$2)&gt;0,$A116&lt;&gt;INDEX('TRIP MANAGER'!$T$18:$T$25,Y$2),$A116&lt;&gt;INDEX('TRIP MANAGER'!$U$18:$U$25,Y$2)),1,0))</f>
        <v/>
      </c>
    </row>
    <row r="117">
      <c r="A117">
        <f>IF(countries!$D116="","",countries!$D116)</f>
        <v/>
      </c>
      <c r="B117">
        <f>IF(countries!$B116="","",countries!$B116)</f>
        <v/>
      </c>
      <c r="C117">
        <f>IF($A117="","",COUNTIFS(route_calc!$A$2:$A$1209,C$2,route_calc!$P$2:$P$1209,$A117))</f>
        <v/>
      </c>
      <c r="D117">
        <f>IF($A117="","",COUNTIFS(route_calc!$A$2:$A$1209,D$2,route_calc!$P$2:$P$1209,$A117))</f>
        <v/>
      </c>
      <c r="E117">
        <f>IF($A117="","",COUNTIFS(route_calc!$A$2:$A$1209,E$2,route_calc!$P$2:$P$1209,$A117))</f>
        <v/>
      </c>
      <c r="F117">
        <f>IF($A117="","",COUNTIFS(route_calc!$A$2:$A$1209,F$2,route_calc!$P$2:$P$1209,$A117))</f>
        <v/>
      </c>
      <c r="G117">
        <f>IF($A117="","",COUNTIFS(route_calc!$A$2:$A$1209,G$2,route_calc!$P$2:$P$1209,$A117))</f>
        <v/>
      </c>
      <c r="H117">
        <f>IF($A117="","",COUNTIFS(route_calc!$A$2:$A$1209,H$2,route_calc!$P$2:$P$1209,$A117))</f>
        <v/>
      </c>
      <c r="I117">
        <f>IF($A117="","",COUNTIFS(route_calc!$A$2:$A$1209,I$2,route_calc!$P$2:$P$1209,$A117))</f>
        <v/>
      </c>
      <c r="J117">
        <f>IF($A117="","",COUNTIFS(route_calc!$A$2:$A$1209,J$2,route_calc!$P$2:$P$1209,$A117))</f>
        <v/>
      </c>
      <c r="K117">
        <f>IF($L117=0,"",_xlfn.MINIFS(route_calc!$Q$2:$Q$1209,route_calc!$P$2:$P$1209,$A117,route_calc!$A$2:$A$1209,MATCH(1,$R117:$Y117,0)))</f>
        <v/>
      </c>
      <c r="L117">
        <f>IF($A117="",0,IF(SUM($R117:$Y117)&gt;0,1,0))</f>
        <v/>
      </c>
      <c r="M117">
        <f t="array" ref="M117">IF($L117=0,"",_xlfn.TEXTJOIN(", ",TRUE,IF($R117:$Y117&gt;0,$C$1:$J$1,"")))</f>
        <v/>
      </c>
      <c r="N117">
        <f t="array" ref="N117">IF($L117=0,"",SUMPRODUCT(($L$3:$L$144=1)*($K$3:$K$144&lt;$K117))+1)</f>
        <v/>
      </c>
      <c r="O117">
        <f>IF($L117=0,"",MATCH(1,$R117:$Y117,0))</f>
        <v/>
      </c>
      <c r="P117">
        <f>IF($A117="","",IFERROR(INDEX(countries!$G:$G,MATCH($A117,countries!$D:$D,0)),""))</f>
        <v/>
      </c>
      <c r="Q117">
        <f>IF($A117="","",IFERROR(IF(INDEX(countries!$I:$I,MATCH($A117,countries!$D:$D,0))=0,"",INDEX(countries!$I:$I,MATCH($A117,countries!$D:$D,0))),""))</f>
        <v/>
      </c>
      <c r="R117">
        <f t="array" ref="R117">IF($A117="","",IF(AND(INDEX($C117:$J117,R$2)&gt;0,$A117&lt;&gt;INDEX('TRIP MANAGER'!$T$18:$T$25,R$2),$A117&lt;&gt;INDEX('TRIP MANAGER'!$U$18:$U$25,R$2)),1,0))</f>
        <v/>
      </c>
      <c r="S117">
        <f t="array" ref="S117">IF($A117="","",IF(AND(INDEX($C117:$J117,S$2)&gt;0,$A117&lt;&gt;INDEX('TRIP MANAGER'!$T$18:$T$25,S$2),$A117&lt;&gt;INDEX('TRIP MANAGER'!$U$18:$U$25,S$2)),1,0))</f>
        <v/>
      </c>
      <c r="T117">
        <f t="array" ref="T117">IF($A117="","",IF(AND(INDEX($C117:$J117,T$2)&gt;0,$A117&lt;&gt;INDEX('TRIP MANAGER'!$T$18:$T$25,T$2),$A117&lt;&gt;INDEX('TRIP MANAGER'!$U$18:$U$25,T$2)),1,0))</f>
        <v/>
      </c>
      <c r="U117">
        <f t="array" ref="U117">IF($A117="","",IF(AND(INDEX($C117:$J117,U$2)&gt;0,$A117&lt;&gt;INDEX('TRIP MANAGER'!$T$18:$T$25,U$2),$A117&lt;&gt;INDEX('TRIP MANAGER'!$U$18:$U$25,U$2)),1,0))</f>
        <v/>
      </c>
      <c r="V117">
        <f t="array" ref="V117">IF($A117="","",IF(AND(INDEX($C117:$J117,V$2)&gt;0,$A117&lt;&gt;INDEX('TRIP MANAGER'!$T$18:$T$25,V$2),$A117&lt;&gt;INDEX('TRIP MANAGER'!$U$18:$U$25,V$2)),1,0))</f>
        <v/>
      </c>
      <c r="W117">
        <f t="array" ref="W117">IF($A117="","",IF(AND(INDEX($C117:$J117,W$2)&gt;0,$A117&lt;&gt;INDEX('TRIP MANAGER'!$T$18:$T$25,W$2),$A117&lt;&gt;INDEX('TRIP MANAGER'!$U$18:$U$25,W$2)),1,0))</f>
        <v/>
      </c>
      <c r="X117">
        <f t="array" ref="X117">IF($A117="","",IF(AND(INDEX($C117:$J117,X$2)&gt;0,$A117&lt;&gt;INDEX('TRIP MANAGER'!$T$18:$T$25,X$2),$A117&lt;&gt;INDEX('TRIP MANAGER'!$U$18:$U$25,X$2)),1,0))</f>
        <v/>
      </c>
      <c r="Y117">
        <f t="array" ref="Y117">IF($A117="","",IF(AND(INDEX($C117:$J117,Y$2)&gt;0,$A117&lt;&gt;INDEX('TRIP MANAGER'!$T$18:$T$25,Y$2),$A117&lt;&gt;INDEX('TRIP MANAGER'!$U$18:$U$25,Y$2)),1,0))</f>
        <v/>
      </c>
    </row>
    <row r="118">
      <c r="A118">
        <f>IF(countries!$D117="","",countries!$D117)</f>
        <v/>
      </c>
      <c r="B118">
        <f>IF(countries!$B117="","",countries!$B117)</f>
        <v/>
      </c>
      <c r="C118">
        <f>IF($A118="","",COUNTIFS(route_calc!$A$2:$A$1209,C$2,route_calc!$P$2:$P$1209,$A118))</f>
        <v/>
      </c>
      <c r="D118">
        <f>IF($A118="","",COUNTIFS(route_calc!$A$2:$A$1209,D$2,route_calc!$P$2:$P$1209,$A118))</f>
        <v/>
      </c>
      <c r="E118">
        <f>IF($A118="","",COUNTIFS(route_calc!$A$2:$A$1209,E$2,route_calc!$P$2:$P$1209,$A118))</f>
        <v/>
      </c>
      <c r="F118">
        <f>IF($A118="","",COUNTIFS(route_calc!$A$2:$A$1209,F$2,route_calc!$P$2:$P$1209,$A118))</f>
        <v/>
      </c>
      <c r="G118">
        <f>IF($A118="","",COUNTIFS(route_calc!$A$2:$A$1209,G$2,route_calc!$P$2:$P$1209,$A118))</f>
        <v/>
      </c>
      <c r="H118">
        <f>IF($A118="","",COUNTIFS(route_calc!$A$2:$A$1209,H$2,route_calc!$P$2:$P$1209,$A118))</f>
        <v/>
      </c>
      <c r="I118">
        <f>IF($A118="","",COUNTIFS(route_calc!$A$2:$A$1209,I$2,route_calc!$P$2:$P$1209,$A118))</f>
        <v/>
      </c>
      <c r="J118">
        <f>IF($A118="","",COUNTIFS(route_calc!$A$2:$A$1209,J$2,route_calc!$P$2:$P$1209,$A118))</f>
        <v/>
      </c>
      <c r="K118">
        <f>IF($L118=0,"",_xlfn.MINIFS(route_calc!$Q$2:$Q$1209,route_calc!$P$2:$P$1209,$A118,route_calc!$A$2:$A$1209,MATCH(1,$R118:$Y118,0)))</f>
        <v/>
      </c>
      <c r="L118">
        <f>IF($A118="",0,IF(SUM($R118:$Y118)&gt;0,1,0))</f>
        <v/>
      </c>
      <c r="M118">
        <f t="array" ref="M118">IF($L118=0,"",_xlfn.TEXTJOIN(", ",TRUE,IF($R118:$Y118&gt;0,$C$1:$J$1,"")))</f>
        <v/>
      </c>
      <c r="N118">
        <f t="array" ref="N118">IF($L118=0,"",SUMPRODUCT(($L$3:$L$144=1)*($K$3:$K$144&lt;$K118))+1)</f>
        <v/>
      </c>
      <c r="O118">
        <f>IF($L118=0,"",MATCH(1,$R118:$Y118,0))</f>
        <v/>
      </c>
      <c r="P118">
        <f>IF($A118="","",IFERROR(INDEX(countries!$G:$G,MATCH($A118,countries!$D:$D,0)),""))</f>
        <v/>
      </c>
      <c r="Q118">
        <f>IF($A118="","",IFERROR(IF(INDEX(countries!$I:$I,MATCH($A118,countries!$D:$D,0))=0,"",INDEX(countries!$I:$I,MATCH($A118,countries!$D:$D,0))),""))</f>
        <v/>
      </c>
      <c r="R118">
        <f t="array" ref="R118">IF($A118="","",IF(AND(INDEX($C118:$J118,R$2)&gt;0,$A118&lt;&gt;INDEX('TRIP MANAGER'!$T$18:$T$25,R$2),$A118&lt;&gt;INDEX('TRIP MANAGER'!$U$18:$U$25,R$2)),1,0))</f>
        <v/>
      </c>
      <c r="S118">
        <f t="array" ref="S118">IF($A118="","",IF(AND(INDEX($C118:$J118,S$2)&gt;0,$A118&lt;&gt;INDEX('TRIP MANAGER'!$T$18:$T$25,S$2),$A118&lt;&gt;INDEX('TRIP MANAGER'!$U$18:$U$25,S$2)),1,0))</f>
        <v/>
      </c>
      <c r="T118">
        <f t="array" ref="T118">IF($A118="","",IF(AND(INDEX($C118:$J118,T$2)&gt;0,$A118&lt;&gt;INDEX('TRIP MANAGER'!$T$18:$T$25,T$2),$A118&lt;&gt;INDEX('TRIP MANAGER'!$U$18:$U$25,T$2)),1,0))</f>
        <v/>
      </c>
      <c r="U118">
        <f t="array" ref="U118">IF($A118="","",IF(AND(INDEX($C118:$J118,U$2)&gt;0,$A118&lt;&gt;INDEX('TRIP MANAGER'!$T$18:$T$25,U$2),$A118&lt;&gt;INDEX('TRIP MANAGER'!$U$18:$U$25,U$2)),1,0))</f>
        <v/>
      </c>
      <c r="V118">
        <f t="array" ref="V118">IF($A118="","",IF(AND(INDEX($C118:$J118,V$2)&gt;0,$A118&lt;&gt;INDEX('TRIP MANAGER'!$T$18:$T$25,V$2),$A118&lt;&gt;INDEX('TRIP MANAGER'!$U$18:$U$25,V$2)),1,0))</f>
        <v/>
      </c>
      <c r="W118">
        <f t="array" ref="W118">IF($A118="","",IF(AND(INDEX($C118:$J118,W$2)&gt;0,$A118&lt;&gt;INDEX('TRIP MANAGER'!$T$18:$T$25,W$2),$A118&lt;&gt;INDEX('TRIP MANAGER'!$U$18:$U$25,W$2)),1,0))</f>
        <v/>
      </c>
      <c r="X118">
        <f t="array" ref="X118">IF($A118="","",IF(AND(INDEX($C118:$J118,X$2)&gt;0,$A118&lt;&gt;INDEX('TRIP MANAGER'!$T$18:$T$25,X$2),$A118&lt;&gt;INDEX('TRIP MANAGER'!$U$18:$U$25,X$2)),1,0))</f>
        <v/>
      </c>
      <c r="Y118">
        <f t="array" ref="Y118">IF($A118="","",IF(AND(INDEX($C118:$J118,Y$2)&gt;0,$A118&lt;&gt;INDEX('TRIP MANAGER'!$T$18:$T$25,Y$2),$A118&lt;&gt;INDEX('TRIP MANAGER'!$U$18:$U$25,Y$2)),1,0))</f>
        <v/>
      </c>
    </row>
    <row r="119">
      <c r="A119">
        <f>IF(countries!$D118="","",countries!$D118)</f>
        <v/>
      </c>
      <c r="B119">
        <f>IF(countries!$B118="","",countries!$B118)</f>
        <v/>
      </c>
      <c r="C119">
        <f>IF($A119="","",COUNTIFS(route_calc!$A$2:$A$1209,C$2,route_calc!$P$2:$P$1209,$A119))</f>
        <v/>
      </c>
      <c r="D119">
        <f>IF($A119="","",COUNTIFS(route_calc!$A$2:$A$1209,D$2,route_calc!$P$2:$P$1209,$A119))</f>
        <v/>
      </c>
      <c r="E119">
        <f>IF($A119="","",COUNTIFS(route_calc!$A$2:$A$1209,E$2,route_calc!$P$2:$P$1209,$A119))</f>
        <v/>
      </c>
      <c r="F119">
        <f>IF($A119="","",COUNTIFS(route_calc!$A$2:$A$1209,F$2,route_calc!$P$2:$P$1209,$A119))</f>
        <v/>
      </c>
      <c r="G119">
        <f>IF($A119="","",COUNTIFS(route_calc!$A$2:$A$1209,G$2,route_calc!$P$2:$P$1209,$A119))</f>
        <v/>
      </c>
      <c r="H119">
        <f>IF($A119="","",COUNTIFS(route_calc!$A$2:$A$1209,H$2,route_calc!$P$2:$P$1209,$A119))</f>
        <v/>
      </c>
      <c r="I119">
        <f>IF($A119="","",COUNTIFS(route_calc!$A$2:$A$1209,I$2,route_calc!$P$2:$P$1209,$A119))</f>
        <v/>
      </c>
      <c r="J119">
        <f>IF($A119="","",COUNTIFS(route_calc!$A$2:$A$1209,J$2,route_calc!$P$2:$P$1209,$A119))</f>
        <v/>
      </c>
      <c r="K119">
        <f>IF($L119=0,"",_xlfn.MINIFS(route_calc!$Q$2:$Q$1209,route_calc!$P$2:$P$1209,$A119,route_calc!$A$2:$A$1209,MATCH(1,$R119:$Y119,0)))</f>
        <v/>
      </c>
      <c r="L119">
        <f>IF($A119="",0,IF(SUM($R119:$Y119)&gt;0,1,0))</f>
        <v/>
      </c>
      <c r="M119">
        <f t="array" ref="M119">IF($L119=0,"",_xlfn.TEXTJOIN(", ",TRUE,IF($R119:$Y119&gt;0,$C$1:$J$1,"")))</f>
        <v/>
      </c>
      <c r="N119">
        <f t="array" ref="N119">IF($L119=0,"",SUMPRODUCT(($L$3:$L$144=1)*($K$3:$K$144&lt;$K119))+1)</f>
        <v/>
      </c>
      <c r="O119">
        <f>IF($L119=0,"",MATCH(1,$R119:$Y119,0))</f>
        <v/>
      </c>
      <c r="P119">
        <f>IF($A119="","",IFERROR(INDEX(countries!$G:$G,MATCH($A119,countries!$D:$D,0)),""))</f>
        <v/>
      </c>
      <c r="Q119">
        <f>IF($A119="","",IFERROR(IF(INDEX(countries!$I:$I,MATCH($A119,countries!$D:$D,0))=0,"",INDEX(countries!$I:$I,MATCH($A119,countries!$D:$D,0))),""))</f>
        <v/>
      </c>
      <c r="R119">
        <f t="array" ref="R119">IF($A119="","",IF(AND(INDEX($C119:$J119,R$2)&gt;0,$A119&lt;&gt;INDEX('TRIP MANAGER'!$T$18:$T$25,R$2),$A119&lt;&gt;INDEX('TRIP MANAGER'!$U$18:$U$25,R$2)),1,0))</f>
        <v/>
      </c>
      <c r="S119">
        <f t="array" ref="S119">IF($A119="","",IF(AND(INDEX($C119:$J119,S$2)&gt;0,$A119&lt;&gt;INDEX('TRIP MANAGER'!$T$18:$T$25,S$2),$A119&lt;&gt;INDEX('TRIP MANAGER'!$U$18:$U$25,S$2)),1,0))</f>
        <v/>
      </c>
      <c r="T119">
        <f t="array" ref="T119">IF($A119="","",IF(AND(INDEX($C119:$J119,T$2)&gt;0,$A119&lt;&gt;INDEX('TRIP MANAGER'!$T$18:$T$25,T$2),$A119&lt;&gt;INDEX('TRIP MANAGER'!$U$18:$U$25,T$2)),1,0))</f>
        <v/>
      </c>
      <c r="U119">
        <f t="array" ref="U119">IF($A119="","",IF(AND(INDEX($C119:$J119,U$2)&gt;0,$A119&lt;&gt;INDEX('TRIP MANAGER'!$T$18:$T$25,U$2),$A119&lt;&gt;INDEX('TRIP MANAGER'!$U$18:$U$25,U$2)),1,0))</f>
        <v/>
      </c>
      <c r="V119">
        <f t="array" ref="V119">IF($A119="","",IF(AND(INDEX($C119:$J119,V$2)&gt;0,$A119&lt;&gt;INDEX('TRIP MANAGER'!$T$18:$T$25,V$2),$A119&lt;&gt;INDEX('TRIP MANAGER'!$U$18:$U$25,V$2)),1,0))</f>
        <v/>
      </c>
      <c r="W119">
        <f t="array" ref="W119">IF($A119="","",IF(AND(INDEX($C119:$J119,W$2)&gt;0,$A119&lt;&gt;INDEX('TRIP MANAGER'!$T$18:$T$25,W$2),$A119&lt;&gt;INDEX('TRIP MANAGER'!$U$18:$U$25,W$2)),1,0))</f>
        <v/>
      </c>
      <c r="X119">
        <f t="array" ref="X119">IF($A119="","",IF(AND(INDEX($C119:$J119,X$2)&gt;0,$A119&lt;&gt;INDEX('TRIP MANAGER'!$T$18:$T$25,X$2),$A119&lt;&gt;INDEX('TRIP MANAGER'!$U$18:$U$25,X$2)),1,0))</f>
        <v/>
      </c>
      <c r="Y119">
        <f t="array" ref="Y119">IF($A119="","",IF(AND(INDEX($C119:$J119,Y$2)&gt;0,$A119&lt;&gt;INDEX('TRIP MANAGER'!$T$18:$T$25,Y$2),$A119&lt;&gt;INDEX('TRIP MANAGER'!$U$18:$U$25,Y$2)),1,0))</f>
        <v/>
      </c>
    </row>
    <row r="120">
      <c r="A120">
        <f>IF(countries!$D119="","",countries!$D119)</f>
        <v/>
      </c>
      <c r="B120">
        <f>IF(countries!$B119="","",countries!$B119)</f>
        <v/>
      </c>
      <c r="C120">
        <f>IF($A120="","",COUNTIFS(route_calc!$A$2:$A$1209,C$2,route_calc!$P$2:$P$1209,$A120))</f>
        <v/>
      </c>
      <c r="D120">
        <f>IF($A120="","",COUNTIFS(route_calc!$A$2:$A$1209,D$2,route_calc!$P$2:$P$1209,$A120))</f>
        <v/>
      </c>
      <c r="E120">
        <f>IF($A120="","",COUNTIFS(route_calc!$A$2:$A$1209,E$2,route_calc!$P$2:$P$1209,$A120))</f>
        <v/>
      </c>
      <c r="F120">
        <f>IF($A120="","",COUNTIFS(route_calc!$A$2:$A$1209,F$2,route_calc!$P$2:$P$1209,$A120))</f>
        <v/>
      </c>
      <c r="G120">
        <f>IF($A120="","",COUNTIFS(route_calc!$A$2:$A$1209,G$2,route_calc!$P$2:$P$1209,$A120))</f>
        <v/>
      </c>
      <c r="H120">
        <f>IF($A120="","",COUNTIFS(route_calc!$A$2:$A$1209,H$2,route_calc!$P$2:$P$1209,$A120))</f>
        <v/>
      </c>
      <c r="I120">
        <f>IF($A120="","",COUNTIFS(route_calc!$A$2:$A$1209,I$2,route_calc!$P$2:$P$1209,$A120))</f>
        <v/>
      </c>
      <c r="J120">
        <f>IF($A120="","",COUNTIFS(route_calc!$A$2:$A$1209,J$2,route_calc!$P$2:$P$1209,$A120))</f>
        <v/>
      </c>
      <c r="K120">
        <f>IF($L120=0,"",_xlfn.MINIFS(route_calc!$Q$2:$Q$1209,route_calc!$P$2:$P$1209,$A120,route_calc!$A$2:$A$1209,MATCH(1,$R120:$Y120,0)))</f>
        <v/>
      </c>
      <c r="L120">
        <f>IF($A120="",0,IF(SUM($R120:$Y120)&gt;0,1,0))</f>
        <v/>
      </c>
      <c r="M120">
        <f t="array" ref="M120">IF($L120=0,"",_xlfn.TEXTJOIN(", ",TRUE,IF($R120:$Y120&gt;0,$C$1:$J$1,"")))</f>
        <v/>
      </c>
      <c r="N120">
        <f t="array" ref="N120">IF($L120=0,"",SUMPRODUCT(($L$3:$L$144=1)*($K$3:$K$144&lt;$K120))+1)</f>
        <v/>
      </c>
      <c r="O120">
        <f>IF($L120=0,"",MATCH(1,$R120:$Y120,0))</f>
        <v/>
      </c>
      <c r="P120">
        <f>IF($A120="","",IFERROR(INDEX(countries!$G:$G,MATCH($A120,countries!$D:$D,0)),""))</f>
        <v/>
      </c>
      <c r="Q120">
        <f>IF($A120="","",IFERROR(IF(INDEX(countries!$I:$I,MATCH($A120,countries!$D:$D,0))=0,"",INDEX(countries!$I:$I,MATCH($A120,countries!$D:$D,0))),""))</f>
        <v/>
      </c>
      <c r="R120">
        <f t="array" ref="R120">IF($A120="","",IF(AND(INDEX($C120:$J120,R$2)&gt;0,$A120&lt;&gt;INDEX('TRIP MANAGER'!$T$18:$T$25,R$2),$A120&lt;&gt;INDEX('TRIP MANAGER'!$U$18:$U$25,R$2)),1,0))</f>
        <v/>
      </c>
      <c r="S120">
        <f t="array" ref="S120">IF($A120="","",IF(AND(INDEX($C120:$J120,S$2)&gt;0,$A120&lt;&gt;INDEX('TRIP MANAGER'!$T$18:$T$25,S$2),$A120&lt;&gt;INDEX('TRIP MANAGER'!$U$18:$U$25,S$2)),1,0))</f>
        <v/>
      </c>
      <c r="T120">
        <f t="array" ref="T120">IF($A120="","",IF(AND(INDEX($C120:$J120,T$2)&gt;0,$A120&lt;&gt;INDEX('TRIP MANAGER'!$T$18:$T$25,T$2),$A120&lt;&gt;INDEX('TRIP MANAGER'!$U$18:$U$25,T$2)),1,0))</f>
        <v/>
      </c>
      <c r="U120">
        <f t="array" ref="U120">IF($A120="","",IF(AND(INDEX($C120:$J120,U$2)&gt;0,$A120&lt;&gt;INDEX('TRIP MANAGER'!$T$18:$T$25,U$2),$A120&lt;&gt;INDEX('TRIP MANAGER'!$U$18:$U$25,U$2)),1,0))</f>
        <v/>
      </c>
      <c r="V120">
        <f t="array" ref="V120">IF($A120="","",IF(AND(INDEX($C120:$J120,V$2)&gt;0,$A120&lt;&gt;INDEX('TRIP MANAGER'!$T$18:$T$25,V$2),$A120&lt;&gt;INDEX('TRIP MANAGER'!$U$18:$U$25,V$2)),1,0))</f>
        <v/>
      </c>
      <c r="W120">
        <f t="array" ref="W120">IF($A120="","",IF(AND(INDEX($C120:$J120,W$2)&gt;0,$A120&lt;&gt;INDEX('TRIP MANAGER'!$T$18:$T$25,W$2),$A120&lt;&gt;INDEX('TRIP MANAGER'!$U$18:$U$25,W$2)),1,0))</f>
        <v/>
      </c>
      <c r="X120">
        <f t="array" ref="X120">IF($A120="","",IF(AND(INDEX($C120:$J120,X$2)&gt;0,$A120&lt;&gt;INDEX('TRIP MANAGER'!$T$18:$T$25,X$2),$A120&lt;&gt;INDEX('TRIP MANAGER'!$U$18:$U$25,X$2)),1,0))</f>
        <v/>
      </c>
      <c r="Y120">
        <f t="array" ref="Y120">IF($A120="","",IF(AND(INDEX($C120:$J120,Y$2)&gt;0,$A120&lt;&gt;INDEX('TRIP MANAGER'!$T$18:$T$25,Y$2),$A120&lt;&gt;INDEX('TRIP MANAGER'!$U$18:$U$25,Y$2)),1,0))</f>
        <v/>
      </c>
    </row>
    <row r="121">
      <c r="A121">
        <f>IF(countries!$D120="","",countries!$D120)</f>
        <v/>
      </c>
      <c r="B121">
        <f>IF(countries!$B120="","",countries!$B120)</f>
        <v/>
      </c>
      <c r="C121">
        <f>IF($A121="","",COUNTIFS(route_calc!$A$2:$A$1209,C$2,route_calc!$P$2:$P$1209,$A121))</f>
        <v/>
      </c>
      <c r="D121">
        <f>IF($A121="","",COUNTIFS(route_calc!$A$2:$A$1209,D$2,route_calc!$P$2:$P$1209,$A121))</f>
        <v/>
      </c>
      <c r="E121">
        <f>IF($A121="","",COUNTIFS(route_calc!$A$2:$A$1209,E$2,route_calc!$P$2:$P$1209,$A121))</f>
        <v/>
      </c>
      <c r="F121">
        <f>IF($A121="","",COUNTIFS(route_calc!$A$2:$A$1209,F$2,route_calc!$P$2:$P$1209,$A121))</f>
        <v/>
      </c>
      <c r="G121">
        <f>IF($A121="","",COUNTIFS(route_calc!$A$2:$A$1209,G$2,route_calc!$P$2:$P$1209,$A121))</f>
        <v/>
      </c>
      <c r="H121">
        <f>IF($A121="","",COUNTIFS(route_calc!$A$2:$A$1209,H$2,route_calc!$P$2:$P$1209,$A121))</f>
        <v/>
      </c>
      <c r="I121">
        <f>IF($A121="","",COUNTIFS(route_calc!$A$2:$A$1209,I$2,route_calc!$P$2:$P$1209,$A121))</f>
        <v/>
      </c>
      <c r="J121">
        <f>IF($A121="","",COUNTIFS(route_calc!$A$2:$A$1209,J$2,route_calc!$P$2:$P$1209,$A121))</f>
        <v/>
      </c>
      <c r="K121">
        <f>IF($L121=0,"",_xlfn.MINIFS(route_calc!$Q$2:$Q$1209,route_calc!$P$2:$P$1209,$A121,route_calc!$A$2:$A$1209,MATCH(1,$R121:$Y121,0)))</f>
        <v/>
      </c>
      <c r="L121">
        <f>IF($A121="",0,IF(SUM($R121:$Y121)&gt;0,1,0))</f>
        <v/>
      </c>
      <c r="M121">
        <f t="array" ref="M121">IF($L121=0,"",_xlfn.TEXTJOIN(", ",TRUE,IF($R121:$Y121&gt;0,$C$1:$J$1,"")))</f>
        <v/>
      </c>
      <c r="N121">
        <f t="array" ref="N121">IF($L121=0,"",SUMPRODUCT(($L$3:$L$144=1)*($K$3:$K$144&lt;$K121))+1)</f>
        <v/>
      </c>
      <c r="O121">
        <f>IF($L121=0,"",MATCH(1,$R121:$Y121,0))</f>
        <v/>
      </c>
      <c r="P121">
        <f>IF($A121="","",IFERROR(INDEX(countries!$G:$G,MATCH($A121,countries!$D:$D,0)),""))</f>
        <v/>
      </c>
      <c r="Q121">
        <f>IF($A121="","",IFERROR(IF(INDEX(countries!$I:$I,MATCH($A121,countries!$D:$D,0))=0,"",INDEX(countries!$I:$I,MATCH($A121,countries!$D:$D,0))),""))</f>
        <v/>
      </c>
      <c r="R121">
        <f t="array" ref="R121">IF($A121="","",IF(AND(INDEX($C121:$J121,R$2)&gt;0,$A121&lt;&gt;INDEX('TRIP MANAGER'!$T$18:$T$25,R$2),$A121&lt;&gt;INDEX('TRIP MANAGER'!$U$18:$U$25,R$2)),1,0))</f>
        <v/>
      </c>
      <c r="S121">
        <f t="array" ref="S121">IF($A121="","",IF(AND(INDEX($C121:$J121,S$2)&gt;0,$A121&lt;&gt;INDEX('TRIP MANAGER'!$T$18:$T$25,S$2),$A121&lt;&gt;INDEX('TRIP MANAGER'!$U$18:$U$25,S$2)),1,0))</f>
        <v/>
      </c>
      <c r="T121">
        <f t="array" ref="T121">IF($A121="","",IF(AND(INDEX($C121:$J121,T$2)&gt;0,$A121&lt;&gt;INDEX('TRIP MANAGER'!$T$18:$T$25,T$2),$A121&lt;&gt;INDEX('TRIP MANAGER'!$U$18:$U$25,T$2)),1,0))</f>
        <v/>
      </c>
      <c r="U121">
        <f t="array" ref="U121">IF($A121="","",IF(AND(INDEX($C121:$J121,U$2)&gt;0,$A121&lt;&gt;INDEX('TRIP MANAGER'!$T$18:$T$25,U$2),$A121&lt;&gt;INDEX('TRIP MANAGER'!$U$18:$U$25,U$2)),1,0))</f>
        <v/>
      </c>
      <c r="V121">
        <f t="array" ref="V121">IF($A121="","",IF(AND(INDEX($C121:$J121,V$2)&gt;0,$A121&lt;&gt;INDEX('TRIP MANAGER'!$T$18:$T$25,V$2),$A121&lt;&gt;INDEX('TRIP MANAGER'!$U$18:$U$25,V$2)),1,0))</f>
        <v/>
      </c>
      <c r="W121">
        <f t="array" ref="W121">IF($A121="","",IF(AND(INDEX($C121:$J121,W$2)&gt;0,$A121&lt;&gt;INDEX('TRIP MANAGER'!$T$18:$T$25,W$2),$A121&lt;&gt;INDEX('TRIP MANAGER'!$U$18:$U$25,W$2)),1,0))</f>
        <v/>
      </c>
      <c r="X121">
        <f t="array" ref="X121">IF($A121="","",IF(AND(INDEX($C121:$J121,X$2)&gt;0,$A121&lt;&gt;INDEX('TRIP MANAGER'!$T$18:$T$25,X$2),$A121&lt;&gt;INDEX('TRIP MANAGER'!$U$18:$U$25,X$2)),1,0))</f>
        <v/>
      </c>
      <c r="Y121">
        <f t="array" ref="Y121">IF($A121="","",IF(AND(INDEX($C121:$J121,Y$2)&gt;0,$A121&lt;&gt;INDEX('TRIP MANAGER'!$T$18:$T$25,Y$2),$A121&lt;&gt;INDEX('TRIP MANAGER'!$U$18:$U$25,Y$2)),1,0))</f>
        <v/>
      </c>
    </row>
    <row r="122">
      <c r="A122">
        <f>IF(countries!$D121="","",countries!$D121)</f>
        <v/>
      </c>
      <c r="B122">
        <f>IF(countries!$B121="","",countries!$B121)</f>
        <v/>
      </c>
      <c r="C122">
        <f>IF($A122="","",COUNTIFS(route_calc!$A$2:$A$1209,C$2,route_calc!$P$2:$P$1209,$A122))</f>
        <v/>
      </c>
      <c r="D122">
        <f>IF($A122="","",COUNTIFS(route_calc!$A$2:$A$1209,D$2,route_calc!$P$2:$P$1209,$A122))</f>
        <v/>
      </c>
      <c r="E122">
        <f>IF($A122="","",COUNTIFS(route_calc!$A$2:$A$1209,E$2,route_calc!$P$2:$P$1209,$A122))</f>
        <v/>
      </c>
      <c r="F122">
        <f>IF($A122="","",COUNTIFS(route_calc!$A$2:$A$1209,F$2,route_calc!$P$2:$P$1209,$A122))</f>
        <v/>
      </c>
      <c r="G122">
        <f>IF($A122="","",COUNTIFS(route_calc!$A$2:$A$1209,G$2,route_calc!$P$2:$P$1209,$A122))</f>
        <v/>
      </c>
      <c r="H122">
        <f>IF($A122="","",COUNTIFS(route_calc!$A$2:$A$1209,H$2,route_calc!$P$2:$P$1209,$A122))</f>
        <v/>
      </c>
      <c r="I122">
        <f>IF($A122="","",COUNTIFS(route_calc!$A$2:$A$1209,I$2,route_calc!$P$2:$P$1209,$A122))</f>
        <v/>
      </c>
      <c r="J122">
        <f>IF($A122="","",COUNTIFS(route_calc!$A$2:$A$1209,J$2,route_calc!$P$2:$P$1209,$A122))</f>
        <v/>
      </c>
      <c r="K122">
        <f>IF($L122=0,"",_xlfn.MINIFS(route_calc!$Q$2:$Q$1209,route_calc!$P$2:$P$1209,$A122,route_calc!$A$2:$A$1209,MATCH(1,$R122:$Y122,0)))</f>
        <v/>
      </c>
      <c r="L122">
        <f>IF($A122="",0,IF(SUM($R122:$Y122)&gt;0,1,0))</f>
        <v/>
      </c>
      <c r="M122">
        <f t="array" ref="M122">IF($L122=0,"",_xlfn.TEXTJOIN(", ",TRUE,IF($R122:$Y122&gt;0,$C$1:$J$1,"")))</f>
        <v/>
      </c>
      <c r="N122">
        <f t="array" ref="N122">IF($L122=0,"",SUMPRODUCT(($L$3:$L$144=1)*($K$3:$K$144&lt;$K122))+1)</f>
        <v/>
      </c>
      <c r="O122">
        <f>IF($L122=0,"",MATCH(1,$R122:$Y122,0))</f>
        <v/>
      </c>
      <c r="P122">
        <f>IF($A122="","",IFERROR(INDEX(countries!$G:$G,MATCH($A122,countries!$D:$D,0)),""))</f>
        <v/>
      </c>
      <c r="Q122">
        <f>IF($A122="","",IFERROR(IF(INDEX(countries!$I:$I,MATCH($A122,countries!$D:$D,0))=0,"",INDEX(countries!$I:$I,MATCH($A122,countries!$D:$D,0))),""))</f>
        <v/>
      </c>
      <c r="R122">
        <f t="array" ref="R122">IF($A122="","",IF(AND(INDEX($C122:$J122,R$2)&gt;0,$A122&lt;&gt;INDEX('TRIP MANAGER'!$T$18:$T$25,R$2),$A122&lt;&gt;INDEX('TRIP MANAGER'!$U$18:$U$25,R$2)),1,0))</f>
        <v/>
      </c>
      <c r="S122">
        <f t="array" ref="S122">IF($A122="","",IF(AND(INDEX($C122:$J122,S$2)&gt;0,$A122&lt;&gt;INDEX('TRIP MANAGER'!$T$18:$T$25,S$2),$A122&lt;&gt;INDEX('TRIP MANAGER'!$U$18:$U$25,S$2)),1,0))</f>
        <v/>
      </c>
      <c r="T122">
        <f t="array" ref="T122">IF($A122="","",IF(AND(INDEX($C122:$J122,T$2)&gt;0,$A122&lt;&gt;INDEX('TRIP MANAGER'!$T$18:$T$25,T$2),$A122&lt;&gt;INDEX('TRIP MANAGER'!$U$18:$U$25,T$2)),1,0))</f>
        <v/>
      </c>
      <c r="U122">
        <f t="array" ref="U122">IF($A122="","",IF(AND(INDEX($C122:$J122,U$2)&gt;0,$A122&lt;&gt;INDEX('TRIP MANAGER'!$T$18:$T$25,U$2),$A122&lt;&gt;INDEX('TRIP MANAGER'!$U$18:$U$25,U$2)),1,0))</f>
        <v/>
      </c>
      <c r="V122">
        <f t="array" ref="V122">IF($A122="","",IF(AND(INDEX($C122:$J122,V$2)&gt;0,$A122&lt;&gt;INDEX('TRIP MANAGER'!$T$18:$T$25,V$2),$A122&lt;&gt;INDEX('TRIP MANAGER'!$U$18:$U$25,V$2)),1,0))</f>
        <v/>
      </c>
      <c r="W122">
        <f t="array" ref="W122">IF($A122="","",IF(AND(INDEX($C122:$J122,W$2)&gt;0,$A122&lt;&gt;INDEX('TRIP MANAGER'!$T$18:$T$25,W$2),$A122&lt;&gt;INDEX('TRIP MANAGER'!$U$18:$U$25,W$2)),1,0))</f>
        <v/>
      </c>
      <c r="X122">
        <f t="array" ref="X122">IF($A122="","",IF(AND(INDEX($C122:$J122,X$2)&gt;0,$A122&lt;&gt;INDEX('TRIP MANAGER'!$T$18:$T$25,X$2),$A122&lt;&gt;INDEX('TRIP MANAGER'!$U$18:$U$25,X$2)),1,0))</f>
        <v/>
      </c>
      <c r="Y122">
        <f t="array" ref="Y122">IF($A122="","",IF(AND(INDEX($C122:$J122,Y$2)&gt;0,$A122&lt;&gt;INDEX('TRIP MANAGER'!$T$18:$T$25,Y$2),$A122&lt;&gt;INDEX('TRIP MANAGER'!$U$18:$U$25,Y$2)),1,0))</f>
        <v/>
      </c>
    </row>
    <row r="123">
      <c r="A123">
        <f>IF(countries!$D122="","",countries!$D122)</f>
        <v/>
      </c>
      <c r="B123">
        <f>IF(countries!$B122="","",countries!$B122)</f>
        <v/>
      </c>
      <c r="C123">
        <f>IF($A123="","",COUNTIFS(route_calc!$A$2:$A$1209,C$2,route_calc!$P$2:$P$1209,$A123))</f>
        <v/>
      </c>
      <c r="D123">
        <f>IF($A123="","",COUNTIFS(route_calc!$A$2:$A$1209,D$2,route_calc!$P$2:$P$1209,$A123))</f>
        <v/>
      </c>
      <c r="E123">
        <f>IF($A123="","",COUNTIFS(route_calc!$A$2:$A$1209,E$2,route_calc!$P$2:$P$1209,$A123))</f>
        <v/>
      </c>
      <c r="F123">
        <f>IF($A123="","",COUNTIFS(route_calc!$A$2:$A$1209,F$2,route_calc!$P$2:$P$1209,$A123))</f>
        <v/>
      </c>
      <c r="G123">
        <f>IF($A123="","",COUNTIFS(route_calc!$A$2:$A$1209,G$2,route_calc!$P$2:$P$1209,$A123))</f>
        <v/>
      </c>
      <c r="H123">
        <f>IF($A123="","",COUNTIFS(route_calc!$A$2:$A$1209,H$2,route_calc!$P$2:$P$1209,$A123))</f>
        <v/>
      </c>
      <c r="I123">
        <f>IF($A123="","",COUNTIFS(route_calc!$A$2:$A$1209,I$2,route_calc!$P$2:$P$1209,$A123))</f>
        <v/>
      </c>
      <c r="J123">
        <f>IF($A123="","",COUNTIFS(route_calc!$A$2:$A$1209,J$2,route_calc!$P$2:$P$1209,$A123))</f>
        <v/>
      </c>
      <c r="K123">
        <f>IF($L123=0,"",_xlfn.MINIFS(route_calc!$Q$2:$Q$1209,route_calc!$P$2:$P$1209,$A123,route_calc!$A$2:$A$1209,MATCH(1,$R123:$Y123,0)))</f>
        <v/>
      </c>
      <c r="L123">
        <f>IF($A123="",0,IF(SUM($R123:$Y123)&gt;0,1,0))</f>
        <v/>
      </c>
      <c r="M123">
        <f t="array" ref="M123">IF($L123=0,"",_xlfn.TEXTJOIN(", ",TRUE,IF($R123:$Y123&gt;0,$C$1:$J$1,"")))</f>
        <v/>
      </c>
      <c r="N123">
        <f t="array" ref="N123">IF($L123=0,"",SUMPRODUCT(($L$3:$L$144=1)*($K$3:$K$144&lt;$K123))+1)</f>
        <v/>
      </c>
      <c r="O123">
        <f>IF($L123=0,"",MATCH(1,$R123:$Y123,0))</f>
        <v/>
      </c>
      <c r="P123">
        <f>IF($A123="","",IFERROR(INDEX(countries!$G:$G,MATCH($A123,countries!$D:$D,0)),""))</f>
        <v/>
      </c>
      <c r="Q123">
        <f>IF($A123="","",IFERROR(IF(INDEX(countries!$I:$I,MATCH($A123,countries!$D:$D,0))=0,"",INDEX(countries!$I:$I,MATCH($A123,countries!$D:$D,0))),""))</f>
        <v/>
      </c>
      <c r="R123">
        <f t="array" ref="R123">IF($A123="","",IF(AND(INDEX($C123:$J123,R$2)&gt;0,$A123&lt;&gt;INDEX('TRIP MANAGER'!$T$18:$T$25,R$2),$A123&lt;&gt;INDEX('TRIP MANAGER'!$U$18:$U$25,R$2)),1,0))</f>
        <v/>
      </c>
      <c r="S123">
        <f t="array" ref="S123">IF($A123="","",IF(AND(INDEX($C123:$J123,S$2)&gt;0,$A123&lt;&gt;INDEX('TRIP MANAGER'!$T$18:$T$25,S$2),$A123&lt;&gt;INDEX('TRIP MANAGER'!$U$18:$U$25,S$2)),1,0))</f>
        <v/>
      </c>
      <c r="T123">
        <f t="array" ref="T123">IF($A123="","",IF(AND(INDEX($C123:$J123,T$2)&gt;0,$A123&lt;&gt;INDEX('TRIP MANAGER'!$T$18:$T$25,T$2),$A123&lt;&gt;INDEX('TRIP MANAGER'!$U$18:$U$25,T$2)),1,0))</f>
        <v/>
      </c>
      <c r="U123">
        <f t="array" ref="U123">IF($A123="","",IF(AND(INDEX($C123:$J123,U$2)&gt;0,$A123&lt;&gt;INDEX('TRIP MANAGER'!$T$18:$T$25,U$2),$A123&lt;&gt;INDEX('TRIP MANAGER'!$U$18:$U$25,U$2)),1,0))</f>
        <v/>
      </c>
      <c r="V123">
        <f t="array" ref="V123">IF($A123="","",IF(AND(INDEX($C123:$J123,V$2)&gt;0,$A123&lt;&gt;INDEX('TRIP MANAGER'!$T$18:$T$25,V$2),$A123&lt;&gt;INDEX('TRIP MANAGER'!$U$18:$U$25,V$2)),1,0))</f>
        <v/>
      </c>
      <c r="W123">
        <f t="array" ref="W123">IF($A123="","",IF(AND(INDEX($C123:$J123,W$2)&gt;0,$A123&lt;&gt;INDEX('TRIP MANAGER'!$T$18:$T$25,W$2),$A123&lt;&gt;INDEX('TRIP MANAGER'!$U$18:$U$25,W$2)),1,0))</f>
        <v/>
      </c>
      <c r="X123">
        <f t="array" ref="X123">IF($A123="","",IF(AND(INDEX($C123:$J123,X$2)&gt;0,$A123&lt;&gt;INDEX('TRIP MANAGER'!$T$18:$T$25,X$2),$A123&lt;&gt;INDEX('TRIP MANAGER'!$U$18:$U$25,X$2)),1,0))</f>
        <v/>
      </c>
      <c r="Y123">
        <f t="array" ref="Y123">IF($A123="","",IF(AND(INDEX($C123:$J123,Y$2)&gt;0,$A123&lt;&gt;INDEX('TRIP MANAGER'!$T$18:$T$25,Y$2),$A123&lt;&gt;INDEX('TRIP MANAGER'!$U$18:$U$25,Y$2)),1,0))</f>
        <v/>
      </c>
    </row>
    <row r="124">
      <c r="A124">
        <f>IF(countries!$D123="","",countries!$D123)</f>
        <v/>
      </c>
      <c r="B124">
        <f>IF(countries!$B123="","",countries!$B123)</f>
        <v/>
      </c>
      <c r="C124">
        <f>IF($A124="","",COUNTIFS(route_calc!$A$2:$A$1209,C$2,route_calc!$P$2:$P$1209,$A124))</f>
        <v/>
      </c>
      <c r="D124">
        <f>IF($A124="","",COUNTIFS(route_calc!$A$2:$A$1209,D$2,route_calc!$P$2:$P$1209,$A124))</f>
        <v/>
      </c>
      <c r="E124">
        <f>IF($A124="","",COUNTIFS(route_calc!$A$2:$A$1209,E$2,route_calc!$P$2:$P$1209,$A124))</f>
        <v/>
      </c>
      <c r="F124">
        <f>IF($A124="","",COUNTIFS(route_calc!$A$2:$A$1209,F$2,route_calc!$P$2:$P$1209,$A124))</f>
        <v/>
      </c>
      <c r="G124">
        <f>IF($A124="","",COUNTIFS(route_calc!$A$2:$A$1209,G$2,route_calc!$P$2:$P$1209,$A124))</f>
        <v/>
      </c>
      <c r="H124">
        <f>IF($A124="","",COUNTIFS(route_calc!$A$2:$A$1209,H$2,route_calc!$P$2:$P$1209,$A124))</f>
        <v/>
      </c>
      <c r="I124">
        <f>IF($A124="","",COUNTIFS(route_calc!$A$2:$A$1209,I$2,route_calc!$P$2:$P$1209,$A124))</f>
        <v/>
      </c>
      <c r="J124">
        <f>IF($A124="","",COUNTIFS(route_calc!$A$2:$A$1209,J$2,route_calc!$P$2:$P$1209,$A124))</f>
        <v/>
      </c>
      <c r="K124">
        <f>IF($L124=0,"",_xlfn.MINIFS(route_calc!$Q$2:$Q$1209,route_calc!$P$2:$P$1209,$A124,route_calc!$A$2:$A$1209,MATCH(1,$R124:$Y124,0)))</f>
        <v/>
      </c>
      <c r="L124">
        <f>IF($A124="",0,IF(SUM($R124:$Y124)&gt;0,1,0))</f>
        <v/>
      </c>
      <c r="M124">
        <f t="array" ref="M124">IF($L124=0,"",_xlfn.TEXTJOIN(", ",TRUE,IF($R124:$Y124&gt;0,$C$1:$J$1,"")))</f>
        <v/>
      </c>
      <c r="N124">
        <f t="array" ref="N124">IF($L124=0,"",SUMPRODUCT(($L$3:$L$144=1)*($K$3:$K$144&lt;$K124))+1)</f>
        <v/>
      </c>
      <c r="O124">
        <f>IF($L124=0,"",MATCH(1,$R124:$Y124,0))</f>
        <v/>
      </c>
      <c r="P124">
        <f>IF($A124="","",IFERROR(INDEX(countries!$G:$G,MATCH($A124,countries!$D:$D,0)),""))</f>
        <v/>
      </c>
      <c r="Q124">
        <f>IF($A124="","",IFERROR(IF(INDEX(countries!$I:$I,MATCH($A124,countries!$D:$D,0))=0,"",INDEX(countries!$I:$I,MATCH($A124,countries!$D:$D,0))),""))</f>
        <v/>
      </c>
      <c r="R124">
        <f t="array" ref="R124">IF($A124="","",IF(AND(INDEX($C124:$J124,R$2)&gt;0,$A124&lt;&gt;INDEX('TRIP MANAGER'!$T$18:$T$25,R$2),$A124&lt;&gt;INDEX('TRIP MANAGER'!$U$18:$U$25,R$2)),1,0))</f>
        <v/>
      </c>
      <c r="S124">
        <f t="array" ref="S124">IF($A124="","",IF(AND(INDEX($C124:$J124,S$2)&gt;0,$A124&lt;&gt;INDEX('TRIP MANAGER'!$T$18:$T$25,S$2),$A124&lt;&gt;INDEX('TRIP MANAGER'!$U$18:$U$25,S$2)),1,0))</f>
        <v/>
      </c>
      <c r="T124">
        <f t="array" ref="T124">IF($A124="","",IF(AND(INDEX($C124:$J124,T$2)&gt;0,$A124&lt;&gt;INDEX('TRIP MANAGER'!$T$18:$T$25,T$2),$A124&lt;&gt;INDEX('TRIP MANAGER'!$U$18:$U$25,T$2)),1,0))</f>
        <v/>
      </c>
      <c r="U124">
        <f t="array" ref="U124">IF($A124="","",IF(AND(INDEX($C124:$J124,U$2)&gt;0,$A124&lt;&gt;INDEX('TRIP MANAGER'!$T$18:$T$25,U$2),$A124&lt;&gt;INDEX('TRIP MANAGER'!$U$18:$U$25,U$2)),1,0))</f>
        <v/>
      </c>
      <c r="V124">
        <f t="array" ref="V124">IF($A124="","",IF(AND(INDEX($C124:$J124,V$2)&gt;0,$A124&lt;&gt;INDEX('TRIP MANAGER'!$T$18:$T$25,V$2),$A124&lt;&gt;INDEX('TRIP MANAGER'!$U$18:$U$25,V$2)),1,0))</f>
        <v/>
      </c>
      <c r="W124">
        <f t="array" ref="W124">IF($A124="","",IF(AND(INDEX($C124:$J124,W$2)&gt;0,$A124&lt;&gt;INDEX('TRIP MANAGER'!$T$18:$T$25,W$2),$A124&lt;&gt;INDEX('TRIP MANAGER'!$U$18:$U$25,W$2)),1,0))</f>
        <v/>
      </c>
      <c r="X124">
        <f t="array" ref="X124">IF($A124="","",IF(AND(INDEX($C124:$J124,X$2)&gt;0,$A124&lt;&gt;INDEX('TRIP MANAGER'!$T$18:$T$25,X$2),$A124&lt;&gt;INDEX('TRIP MANAGER'!$U$18:$U$25,X$2)),1,0))</f>
        <v/>
      </c>
      <c r="Y124">
        <f t="array" ref="Y124">IF($A124="","",IF(AND(INDEX($C124:$J124,Y$2)&gt;0,$A124&lt;&gt;INDEX('TRIP MANAGER'!$T$18:$T$25,Y$2),$A124&lt;&gt;INDEX('TRIP MANAGER'!$U$18:$U$25,Y$2)),1,0))</f>
        <v/>
      </c>
    </row>
    <row r="125">
      <c r="A125">
        <f>IF(countries!$D124="","",countries!$D124)</f>
        <v/>
      </c>
      <c r="B125">
        <f>IF(countries!$B124="","",countries!$B124)</f>
        <v/>
      </c>
      <c r="C125">
        <f>IF($A125="","",COUNTIFS(route_calc!$A$2:$A$1209,C$2,route_calc!$P$2:$P$1209,$A125))</f>
        <v/>
      </c>
      <c r="D125">
        <f>IF($A125="","",COUNTIFS(route_calc!$A$2:$A$1209,D$2,route_calc!$P$2:$P$1209,$A125))</f>
        <v/>
      </c>
      <c r="E125">
        <f>IF($A125="","",COUNTIFS(route_calc!$A$2:$A$1209,E$2,route_calc!$P$2:$P$1209,$A125))</f>
        <v/>
      </c>
      <c r="F125">
        <f>IF($A125="","",COUNTIFS(route_calc!$A$2:$A$1209,F$2,route_calc!$P$2:$P$1209,$A125))</f>
        <v/>
      </c>
      <c r="G125">
        <f>IF($A125="","",COUNTIFS(route_calc!$A$2:$A$1209,G$2,route_calc!$P$2:$P$1209,$A125))</f>
        <v/>
      </c>
      <c r="H125">
        <f>IF($A125="","",COUNTIFS(route_calc!$A$2:$A$1209,H$2,route_calc!$P$2:$P$1209,$A125))</f>
        <v/>
      </c>
      <c r="I125">
        <f>IF($A125="","",COUNTIFS(route_calc!$A$2:$A$1209,I$2,route_calc!$P$2:$P$1209,$A125))</f>
        <v/>
      </c>
      <c r="J125">
        <f>IF($A125="","",COUNTIFS(route_calc!$A$2:$A$1209,J$2,route_calc!$P$2:$P$1209,$A125))</f>
        <v/>
      </c>
      <c r="K125">
        <f>IF($L125=0,"",_xlfn.MINIFS(route_calc!$Q$2:$Q$1209,route_calc!$P$2:$P$1209,$A125,route_calc!$A$2:$A$1209,MATCH(1,$R125:$Y125,0)))</f>
        <v/>
      </c>
      <c r="L125">
        <f>IF($A125="",0,IF(SUM($R125:$Y125)&gt;0,1,0))</f>
        <v/>
      </c>
      <c r="M125">
        <f t="array" ref="M125">IF($L125=0,"",_xlfn.TEXTJOIN(", ",TRUE,IF($R125:$Y125&gt;0,$C$1:$J$1,"")))</f>
        <v/>
      </c>
      <c r="N125">
        <f t="array" ref="N125">IF($L125=0,"",SUMPRODUCT(($L$3:$L$144=1)*($K$3:$K$144&lt;$K125))+1)</f>
        <v/>
      </c>
      <c r="O125">
        <f>IF($L125=0,"",MATCH(1,$R125:$Y125,0))</f>
        <v/>
      </c>
      <c r="P125">
        <f>IF($A125="","",IFERROR(INDEX(countries!$G:$G,MATCH($A125,countries!$D:$D,0)),""))</f>
        <v/>
      </c>
      <c r="Q125">
        <f>IF($A125="","",IFERROR(IF(INDEX(countries!$I:$I,MATCH($A125,countries!$D:$D,0))=0,"",INDEX(countries!$I:$I,MATCH($A125,countries!$D:$D,0))),""))</f>
        <v/>
      </c>
      <c r="R125">
        <f t="array" ref="R125">IF($A125="","",IF(AND(INDEX($C125:$J125,R$2)&gt;0,$A125&lt;&gt;INDEX('TRIP MANAGER'!$T$18:$T$25,R$2),$A125&lt;&gt;INDEX('TRIP MANAGER'!$U$18:$U$25,R$2)),1,0))</f>
        <v/>
      </c>
      <c r="S125">
        <f t="array" ref="S125">IF($A125="","",IF(AND(INDEX($C125:$J125,S$2)&gt;0,$A125&lt;&gt;INDEX('TRIP MANAGER'!$T$18:$T$25,S$2),$A125&lt;&gt;INDEX('TRIP MANAGER'!$U$18:$U$25,S$2)),1,0))</f>
        <v/>
      </c>
      <c r="T125">
        <f t="array" ref="T125">IF($A125="","",IF(AND(INDEX($C125:$J125,T$2)&gt;0,$A125&lt;&gt;INDEX('TRIP MANAGER'!$T$18:$T$25,T$2),$A125&lt;&gt;INDEX('TRIP MANAGER'!$U$18:$U$25,T$2)),1,0))</f>
        <v/>
      </c>
      <c r="U125">
        <f t="array" ref="U125">IF($A125="","",IF(AND(INDEX($C125:$J125,U$2)&gt;0,$A125&lt;&gt;INDEX('TRIP MANAGER'!$T$18:$T$25,U$2),$A125&lt;&gt;INDEX('TRIP MANAGER'!$U$18:$U$25,U$2)),1,0))</f>
        <v/>
      </c>
      <c r="V125">
        <f t="array" ref="V125">IF($A125="","",IF(AND(INDEX($C125:$J125,V$2)&gt;0,$A125&lt;&gt;INDEX('TRIP MANAGER'!$T$18:$T$25,V$2),$A125&lt;&gt;INDEX('TRIP MANAGER'!$U$18:$U$25,V$2)),1,0))</f>
        <v/>
      </c>
      <c r="W125">
        <f t="array" ref="W125">IF($A125="","",IF(AND(INDEX($C125:$J125,W$2)&gt;0,$A125&lt;&gt;INDEX('TRIP MANAGER'!$T$18:$T$25,W$2),$A125&lt;&gt;INDEX('TRIP MANAGER'!$U$18:$U$25,W$2)),1,0))</f>
        <v/>
      </c>
      <c r="X125">
        <f t="array" ref="X125">IF($A125="","",IF(AND(INDEX($C125:$J125,X$2)&gt;0,$A125&lt;&gt;INDEX('TRIP MANAGER'!$T$18:$T$25,X$2),$A125&lt;&gt;INDEX('TRIP MANAGER'!$U$18:$U$25,X$2)),1,0))</f>
        <v/>
      </c>
      <c r="Y125">
        <f t="array" ref="Y125">IF($A125="","",IF(AND(INDEX($C125:$J125,Y$2)&gt;0,$A125&lt;&gt;INDEX('TRIP MANAGER'!$T$18:$T$25,Y$2),$A125&lt;&gt;INDEX('TRIP MANAGER'!$U$18:$U$25,Y$2)),1,0))</f>
        <v/>
      </c>
    </row>
    <row r="126">
      <c r="A126">
        <f>IF(countries!$D125="","",countries!$D125)</f>
        <v/>
      </c>
      <c r="B126">
        <f>IF(countries!$B125="","",countries!$B125)</f>
        <v/>
      </c>
      <c r="C126">
        <f>IF($A126="","",COUNTIFS(route_calc!$A$2:$A$1209,C$2,route_calc!$P$2:$P$1209,$A126))</f>
        <v/>
      </c>
      <c r="D126">
        <f>IF($A126="","",COUNTIFS(route_calc!$A$2:$A$1209,D$2,route_calc!$P$2:$P$1209,$A126))</f>
        <v/>
      </c>
      <c r="E126">
        <f>IF($A126="","",COUNTIFS(route_calc!$A$2:$A$1209,E$2,route_calc!$P$2:$P$1209,$A126))</f>
        <v/>
      </c>
      <c r="F126">
        <f>IF($A126="","",COUNTIFS(route_calc!$A$2:$A$1209,F$2,route_calc!$P$2:$P$1209,$A126))</f>
        <v/>
      </c>
      <c r="G126">
        <f>IF($A126="","",COUNTIFS(route_calc!$A$2:$A$1209,G$2,route_calc!$P$2:$P$1209,$A126))</f>
        <v/>
      </c>
      <c r="H126">
        <f>IF($A126="","",COUNTIFS(route_calc!$A$2:$A$1209,H$2,route_calc!$P$2:$P$1209,$A126))</f>
        <v/>
      </c>
      <c r="I126">
        <f>IF($A126="","",COUNTIFS(route_calc!$A$2:$A$1209,I$2,route_calc!$P$2:$P$1209,$A126))</f>
        <v/>
      </c>
      <c r="J126">
        <f>IF($A126="","",COUNTIFS(route_calc!$A$2:$A$1209,J$2,route_calc!$P$2:$P$1209,$A126))</f>
        <v/>
      </c>
      <c r="K126">
        <f>IF($L126=0,"",_xlfn.MINIFS(route_calc!$Q$2:$Q$1209,route_calc!$P$2:$P$1209,$A126,route_calc!$A$2:$A$1209,MATCH(1,$R126:$Y126,0)))</f>
        <v/>
      </c>
      <c r="L126">
        <f>IF($A126="",0,IF(SUM($R126:$Y126)&gt;0,1,0))</f>
        <v/>
      </c>
      <c r="M126">
        <f t="array" ref="M126">IF($L126=0,"",_xlfn.TEXTJOIN(", ",TRUE,IF($R126:$Y126&gt;0,$C$1:$J$1,"")))</f>
        <v/>
      </c>
      <c r="N126">
        <f t="array" ref="N126">IF($L126=0,"",SUMPRODUCT(($L$3:$L$144=1)*($K$3:$K$144&lt;$K126))+1)</f>
        <v/>
      </c>
      <c r="O126">
        <f>IF($L126=0,"",MATCH(1,$R126:$Y126,0))</f>
        <v/>
      </c>
      <c r="P126">
        <f>IF($A126="","",IFERROR(INDEX(countries!$G:$G,MATCH($A126,countries!$D:$D,0)),""))</f>
        <v/>
      </c>
      <c r="Q126">
        <f>IF($A126="","",IFERROR(IF(INDEX(countries!$I:$I,MATCH($A126,countries!$D:$D,0))=0,"",INDEX(countries!$I:$I,MATCH($A126,countries!$D:$D,0))),""))</f>
        <v/>
      </c>
      <c r="R126">
        <f t="array" ref="R126">IF($A126="","",IF(AND(INDEX($C126:$J126,R$2)&gt;0,$A126&lt;&gt;INDEX('TRIP MANAGER'!$T$18:$T$25,R$2),$A126&lt;&gt;INDEX('TRIP MANAGER'!$U$18:$U$25,R$2)),1,0))</f>
        <v/>
      </c>
      <c r="S126">
        <f t="array" ref="S126">IF($A126="","",IF(AND(INDEX($C126:$J126,S$2)&gt;0,$A126&lt;&gt;INDEX('TRIP MANAGER'!$T$18:$T$25,S$2),$A126&lt;&gt;INDEX('TRIP MANAGER'!$U$18:$U$25,S$2)),1,0))</f>
        <v/>
      </c>
      <c r="T126">
        <f t="array" ref="T126">IF($A126="","",IF(AND(INDEX($C126:$J126,T$2)&gt;0,$A126&lt;&gt;INDEX('TRIP MANAGER'!$T$18:$T$25,T$2),$A126&lt;&gt;INDEX('TRIP MANAGER'!$U$18:$U$25,T$2)),1,0))</f>
        <v/>
      </c>
      <c r="U126">
        <f t="array" ref="U126">IF($A126="","",IF(AND(INDEX($C126:$J126,U$2)&gt;0,$A126&lt;&gt;INDEX('TRIP MANAGER'!$T$18:$T$25,U$2),$A126&lt;&gt;INDEX('TRIP MANAGER'!$U$18:$U$25,U$2)),1,0))</f>
        <v/>
      </c>
      <c r="V126">
        <f t="array" ref="V126">IF($A126="","",IF(AND(INDEX($C126:$J126,V$2)&gt;0,$A126&lt;&gt;INDEX('TRIP MANAGER'!$T$18:$T$25,V$2),$A126&lt;&gt;INDEX('TRIP MANAGER'!$U$18:$U$25,V$2)),1,0))</f>
        <v/>
      </c>
      <c r="W126">
        <f t="array" ref="W126">IF($A126="","",IF(AND(INDEX($C126:$J126,W$2)&gt;0,$A126&lt;&gt;INDEX('TRIP MANAGER'!$T$18:$T$25,W$2),$A126&lt;&gt;INDEX('TRIP MANAGER'!$U$18:$U$25,W$2)),1,0))</f>
        <v/>
      </c>
      <c r="X126">
        <f t="array" ref="X126">IF($A126="","",IF(AND(INDEX($C126:$J126,X$2)&gt;0,$A126&lt;&gt;INDEX('TRIP MANAGER'!$T$18:$T$25,X$2),$A126&lt;&gt;INDEX('TRIP MANAGER'!$U$18:$U$25,X$2)),1,0))</f>
        <v/>
      </c>
      <c r="Y126">
        <f t="array" ref="Y126">IF($A126="","",IF(AND(INDEX($C126:$J126,Y$2)&gt;0,$A126&lt;&gt;INDEX('TRIP MANAGER'!$T$18:$T$25,Y$2),$A126&lt;&gt;INDEX('TRIP MANAGER'!$U$18:$U$25,Y$2)),1,0))</f>
        <v/>
      </c>
    </row>
    <row r="127">
      <c r="A127">
        <f>IF(countries!$D126="","",countries!$D126)</f>
        <v/>
      </c>
      <c r="B127">
        <f>IF(countries!$B126="","",countries!$B126)</f>
        <v/>
      </c>
      <c r="C127">
        <f>IF($A127="","",COUNTIFS(route_calc!$A$2:$A$1209,C$2,route_calc!$P$2:$P$1209,$A127))</f>
        <v/>
      </c>
      <c r="D127">
        <f>IF($A127="","",COUNTIFS(route_calc!$A$2:$A$1209,D$2,route_calc!$P$2:$P$1209,$A127))</f>
        <v/>
      </c>
      <c r="E127">
        <f>IF($A127="","",COUNTIFS(route_calc!$A$2:$A$1209,E$2,route_calc!$P$2:$P$1209,$A127))</f>
        <v/>
      </c>
      <c r="F127">
        <f>IF($A127="","",COUNTIFS(route_calc!$A$2:$A$1209,F$2,route_calc!$P$2:$P$1209,$A127))</f>
        <v/>
      </c>
      <c r="G127">
        <f>IF($A127="","",COUNTIFS(route_calc!$A$2:$A$1209,G$2,route_calc!$P$2:$P$1209,$A127))</f>
        <v/>
      </c>
      <c r="H127">
        <f>IF($A127="","",COUNTIFS(route_calc!$A$2:$A$1209,H$2,route_calc!$P$2:$P$1209,$A127))</f>
        <v/>
      </c>
      <c r="I127">
        <f>IF($A127="","",COUNTIFS(route_calc!$A$2:$A$1209,I$2,route_calc!$P$2:$P$1209,$A127))</f>
        <v/>
      </c>
      <c r="J127">
        <f>IF($A127="","",COUNTIFS(route_calc!$A$2:$A$1209,J$2,route_calc!$P$2:$P$1209,$A127))</f>
        <v/>
      </c>
      <c r="K127">
        <f>IF($L127=0,"",_xlfn.MINIFS(route_calc!$Q$2:$Q$1209,route_calc!$P$2:$P$1209,$A127,route_calc!$A$2:$A$1209,MATCH(1,$R127:$Y127,0)))</f>
        <v/>
      </c>
      <c r="L127">
        <f>IF($A127="",0,IF(SUM($R127:$Y127)&gt;0,1,0))</f>
        <v/>
      </c>
      <c r="M127">
        <f t="array" ref="M127">IF($L127=0,"",_xlfn.TEXTJOIN(", ",TRUE,IF($R127:$Y127&gt;0,$C$1:$J$1,"")))</f>
        <v/>
      </c>
      <c r="N127">
        <f t="array" ref="N127">IF($L127=0,"",SUMPRODUCT(($L$3:$L$144=1)*($K$3:$K$144&lt;$K127))+1)</f>
        <v/>
      </c>
      <c r="O127">
        <f>IF($L127=0,"",MATCH(1,$R127:$Y127,0))</f>
        <v/>
      </c>
      <c r="P127">
        <f>IF($A127="","",IFERROR(INDEX(countries!$G:$G,MATCH($A127,countries!$D:$D,0)),""))</f>
        <v/>
      </c>
      <c r="Q127">
        <f>IF($A127="","",IFERROR(IF(INDEX(countries!$I:$I,MATCH($A127,countries!$D:$D,0))=0,"",INDEX(countries!$I:$I,MATCH($A127,countries!$D:$D,0))),""))</f>
        <v/>
      </c>
      <c r="R127">
        <f t="array" ref="R127">IF($A127="","",IF(AND(INDEX($C127:$J127,R$2)&gt;0,$A127&lt;&gt;INDEX('TRIP MANAGER'!$T$18:$T$25,R$2),$A127&lt;&gt;INDEX('TRIP MANAGER'!$U$18:$U$25,R$2)),1,0))</f>
        <v/>
      </c>
      <c r="S127">
        <f t="array" ref="S127">IF($A127="","",IF(AND(INDEX($C127:$J127,S$2)&gt;0,$A127&lt;&gt;INDEX('TRIP MANAGER'!$T$18:$T$25,S$2),$A127&lt;&gt;INDEX('TRIP MANAGER'!$U$18:$U$25,S$2)),1,0))</f>
        <v/>
      </c>
      <c r="T127">
        <f t="array" ref="T127">IF($A127="","",IF(AND(INDEX($C127:$J127,T$2)&gt;0,$A127&lt;&gt;INDEX('TRIP MANAGER'!$T$18:$T$25,T$2),$A127&lt;&gt;INDEX('TRIP MANAGER'!$U$18:$U$25,T$2)),1,0))</f>
        <v/>
      </c>
      <c r="U127">
        <f t="array" ref="U127">IF($A127="","",IF(AND(INDEX($C127:$J127,U$2)&gt;0,$A127&lt;&gt;INDEX('TRIP MANAGER'!$T$18:$T$25,U$2),$A127&lt;&gt;INDEX('TRIP MANAGER'!$U$18:$U$25,U$2)),1,0))</f>
        <v/>
      </c>
      <c r="V127">
        <f t="array" ref="V127">IF($A127="","",IF(AND(INDEX($C127:$J127,V$2)&gt;0,$A127&lt;&gt;INDEX('TRIP MANAGER'!$T$18:$T$25,V$2),$A127&lt;&gt;INDEX('TRIP MANAGER'!$U$18:$U$25,V$2)),1,0))</f>
        <v/>
      </c>
      <c r="W127">
        <f t="array" ref="W127">IF($A127="","",IF(AND(INDEX($C127:$J127,W$2)&gt;0,$A127&lt;&gt;INDEX('TRIP MANAGER'!$T$18:$T$25,W$2),$A127&lt;&gt;INDEX('TRIP MANAGER'!$U$18:$U$25,W$2)),1,0))</f>
        <v/>
      </c>
      <c r="X127">
        <f t="array" ref="X127">IF($A127="","",IF(AND(INDEX($C127:$J127,X$2)&gt;0,$A127&lt;&gt;INDEX('TRIP MANAGER'!$T$18:$T$25,X$2),$A127&lt;&gt;INDEX('TRIP MANAGER'!$U$18:$U$25,X$2)),1,0))</f>
        <v/>
      </c>
      <c r="Y127">
        <f t="array" ref="Y127">IF($A127="","",IF(AND(INDEX($C127:$J127,Y$2)&gt;0,$A127&lt;&gt;INDEX('TRIP MANAGER'!$T$18:$T$25,Y$2),$A127&lt;&gt;INDEX('TRIP MANAGER'!$U$18:$U$25,Y$2)),1,0))</f>
        <v/>
      </c>
    </row>
    <row r="128">
      <c r="A128">
        <f>IF(countries!$D127="","",countries!$D127)</f>
        <v/>
      </c>
      <c r="B128">
        <f>IF(countries!$B127="","",countries!$B127)</f>
        <v/>
      </c>
      <c r="C128">
        <f>IF($A128="","",COUNTIFS(route_calc!$A$2:$A$1209,C$2,route_calc!$P$2:$P$1209,$A128))</f>
        <v/>
      </c>
      <c r="D128">
        <f>IF($A128="","",COUNTIFS(route_calc!$A$2:$A$1209,D$2,route_calc!$P$2:$P$1209,$A128))</f>
        <v/>
      </c>
      <c r="E128">
        <f>IF($A128="","",COUNTIFS(route_calc!$A$2:$A$1209,E$2,route_calc!$P$2:$P$1209,$A128))</f>
        <v/>
      </c>
      <c r="F128">
        <f>IF($A128="","",COUNTIFS(route_calc!$A$2:$A$1209,F$2,route_calc!$P$2:$P$1209,$A128))</f>
        <v/>
      </c>
      <c r="G128">
        <f>IF($A128="","",COUNTIFS(route_calc!$A$2:$A$1209,G$2,route_calc!$P$2:$P$1209,$A128))</f>
        <v/>
      </c>
      <c r="H128">
        <f>IF($A128="","",COUNTIFS(route_calc!$A$2:$A$1209,H$2,route_calc!$P$2:$P$1209,$A128))</f>
        <v/>
      </c>
      <c r="I128">
        <f>IF($A128="","",COUNTIFS(route_calc!$A$2:$A$1209,I$2,route_calc!$P$2:$P$1209,$A128))</f>
        <v/>
      </c>
      <c r="J128">
        <f>IF($A128="","",COUNTIFS(route_calc!$A$2:$A$1209,J$2,route_calc!$P$2:$P$1209,$A128))</f>
        <v/>
      </c>
      <c r="K128">
        <f>IF($L128=0,"",_xlfn.MINIFS(route_calc!$Q$2:$Q$1209,route_calc!$P$2:$P$1209,$A128,route_calc!$A$2:$A$1209,MATCH(1,$R128:$Y128,0)))</f>
        <v/>
      </c>
      <c r="L128">
        <f>IF($A128="",0,IF(SUM($R128:$Y128)&gt;0,1,0))</f>
        <v/>
      </c>
      <c r="M128">
        <f t="array" ref="M128">IF($L128=0,"",_xlfn.TEXTJOIN(", ",TRUE,IF($R128:$Y128&gt;0,$C$1:$J$1,"")))</f>
        <v/>
      </c>
      <c r="N128">
        <f t="array" ref="N128">IF($L128=0,"",SUMPRODUCT(($L$3:$L$144=1)*($K$3:$K$144&lt;$K128))+1)</f>
        <v/>
      </c>
      <c r="O128">
        <f>IF($L128=0,"",MATCH(1,$R128:$Y128,0))</f>
        <v/>
      </c>
      <c r="P128">
        <f>IF($A128="","",IFERROR(INDEX(countries!$G:$G,MATCH($A128,countries!$D:$D,0)),""))</f>
        <v/>
      </c>
      <c r="Q128">
        <f>IF($A128="","",IFERROR(IF(INDEX(countries!$I:$I,MATCH($A128,countries!$D:$D,0))=0,"",INDEX(countries!$I:$I,MATCH($A128,countries!$D:$D,0))),""))</f>
        <v/>
      </c>
      <c r="R128">
        <f t="array" ref="R128">IF($A128="","",IF(AND(INDEX($C128:$J128,R$2)&gt;0,$A128&lt;&gt;INDEX('TRIP MANAGER'!$T$18:$T$25,R$2),$A128&lt;&gt;INDEX('TRIP MANAGER'!$U$18:$U$25,R$2)),1,0))</f>
        <v/>
      </c>
      <c r="S128">
        <f t="array" ref="S128">IF($A128="","",IF(AND(INDEX($C128:$J128,S$2)&gt;0,$A128&lt;&gt;INDEX('TRIP MANAGER'!$T$18:$T$25,S$2),$A128&lt;&gt;INDEX('TRIP MANAGER'!$U$18:$U$25,S$2)),1,0))</f>
        <v/>
      </c>
      <c r="T128">
        <f t="array" ref="T128">IF($A128="","",IF(AND(INDEX($C128:$J128,T$2)&gt;0,$A128&lt;&gt;INDEX('TRIP MANAGER'!$T$18:$T$25,T$2),$A128&lt;&gt;INDEX('TRIP MANAGER'!$U$18:$U$25,T$2)),1,0))</f>
        <v/>
      </c>
      <c r="U128">
        <f t="array" ref="U128">IF($A128="","",IF(AND(INDEX($C128:$J128,U$2)&gt;0,$A128&lt;&gt;INDEX('TRIP MANAGER'!$T$18:$T$25,U$2),$A128&lt;&gt;INDEX('TRIP MANAGER'!$U$18:$U$25,U$2)),1,0))</f>
        <v/>
      </c>
      <c r="V128">
        <f t="array" ref="V128">IF($A128="","",IF(AND(INDEX($C128:$J128,V$2)&gt;0,$A128&lt;&gt;INDEX('TRIP MANAGER'!$T$18:$T$25,V$2),$A128&lt;&gt;INDEX('TRIP MANAGER'!$U$18:$U$25,V$2)),1,0))</f>
        <v/>
      </c>
      <c r="W128">
        <f t="array" ref="W128">IF($A128="","",IF(AND(INDEX($C128:$J128,W$2)&gt;0,$A128&lt;&gt;INDEX('TRIP MANAGER'!$T$18:$T$25,W$2),$A128&lt;&gt;INDEX('TRIP MANAGER'!$U$18:$U$25,W$2)),1,0))</f>
        <v/>
      </c>
      <c r="X128">
        <f t="array" ref="X128">IF($A128="","",IF(AND(INDEX($C128:$J128,X$2)&gt;0,$A128&lt;&gt;INDEX('TRIP MANAGER'!$T$18:$T$25,X$2),$A128&lt;&gt;INDEX('TRIP MANAGER'!$U$18:$U$25,X$2)),1,0))</f>
        <v/>
      </c>
      <c r="Y128">
        <f t="array" ref="Y128">IF($A128="","",IF(AND(INDEX($C128:$J128,Y$2)&gt;0,$A128&lt;&gt;INDEX('TRIP MANAGER'!$T$18:$T$25,Y$2),$A128&lt;&gt;INDEX('TRIP MANAGER'!$U$18:$U$25,Y$2)),1,0))</f>
        <v/>
      </c>
    </row>
    <row r="129">
      <c r="A129">
        <f>IF(countries!$D128="","",countries!$D128)</f>
        <v/>
      </c>
      <c r="B129">
        <f>IF(countries!$B128="","",countries!$B128)</f>
        <v/>
      </c>
      <c r="C129">
        <f>IF($A129="","",COUNTIFS(route_calc!$A$2:$A$1209,C$2,route_calc!$P$2:$P$1209,$A129))</f>
        <v/>
      </c>
      <c r="D129">
        <f>IF($A129="","",COUNTIFS(route_calc!$A$2:$A$1209,D$2,route_calc!$P$2:$P$1209,$A129))</f>
        <v/>
      </c>
      <c r="E129">
        <f>IF($A129="","",COUNTIFS(route_calc!$A$2:$A$1209,E$2,route_calc!$P$2:$P$1209,$A129))</f>
        <v/>
      </c>
      <c r="F129">
        <f>IF($A129="","",COUNTIFS(route_calc!$A$2:$A$1209,F$2,route_calc!$P$2:$P$1209,$A129))</f>
        <v/>
      </c>
      <c r="G129">
        <f>IF($A129="","",COUNTIFS(route_calc!$A$2:$A$1209,G$2,route_calc!$P$2:$P$1209,$A129))</f>
        <v/>
      </c>
      <c r="H129">
        <f>IF($A129="","",COUNTIFS(route_calc!$A$2:$A$1209,H$2,route_calc!$P$2:$P$1209,$A129))</f>
        <v/>
      </c>
      <c r="I129">
        <f>IF($A129="","",COUNTIFS(route_calc!$A$2:$A$1209,I$2,route_calc!$P$2:$P$1209,$A129))</f>
        <v/>
      </c>
      <c r="J129">
        <f>IF($A129="","",COUNTIFS(route_calc!$A$2:$A$1209,J$2,route_calc!$P$2:$P$1209,$A129))</f>
        <v/>
      </c>
      <c r="K129">
        <f>IF($L129=0,"",_xlfn.MINIFS(route_calc!$Q$2:$Q$1209,route_calc!$P$2:$P$1209,$A129,route_calc!$A$2:$A$1209,MATCH(1,$R129:$Y129,0)))</f>
        <v/>
      </c>
      <c r="L129">
        <f>IF($A129="",0,IF(SUM($R129:$Y129)&gt;0,1,0))</f>
        <v/>
      </c>
      <c r="M129">
        <f t="array" ref="M129">IF($L129=0,"",_xlfn.TEXTJOIN(", ",TRUE,IF($R129:$Y129&gt;0,$C$1:$J$1,"")))</f>
        <v/>
      </c>
      <c r="N129">
        <f t="array" ref="N129">IF($L129=0,"",SUMPRODUCT(($L$3:$L$144=1)*($K$3:$K$144&lt;$K129))+1)</f>
        <v/>
      </c>
      <c r="O129">
        <f>IF($L129=0,"",MATCH(1,$R129:$Y129,0))</f>
        <v/>
      </c>
      <c r="P129">
        <f>IF($A129="","",IFERROR(INDEX(countries!$G:$G,MATCH($A129,countries!$D:$D,0)),""))</f>
        <v/>
      </c>
      <c r="Q129">
        <f>IF($A129="","",IFERROR(IF(INDEX(countries!$I:$I,MATCH($A129,countries!$D:$D,0))=0,"",INDEX(countries!$I:$I,MATCH($A129,countries!$D:$D,0))),""))</f>
        <v/>
      </c>
      <c r="R129">
        <f t="array" ref="R129">IF($A129="","",IF(AND(INDEX($C129:$J129,R$2)&gt;0,$A129&lt;&gt;INDEX('TRIP MANAGER'!$T$18:$T$25,R$2),$A129&lt;&gt;INDEX('TRIP MANAGER'!$U$18:$U$25,R$2)),1,0))</f>
        <v/>
      </c>
      <c r="S129">
        <f t="array" ref="S129">IF($A129="","",IF(AND(INDEX($C129:$J129,S$2)&gt;0,$A129&lt;&gt;INDEX('TRIP MANAGER'!$T$18:$T$25,S$2),$A129&lt;&gt;INDEX('TRIP MANAGER'!$U$18:$U$25,S$2)),1,0))</f>
        <v/>
      </c>
      <c r="T129">
        <f t="array" ref="T129">IF($A129="","",IF(AND(INDEX($C129:$J129,T$2)&gt;0,$A129&lt;&gt;INDEX('TRIP MANAGER'!$T$18:$T$25,T$2),$A129&lt;&gt;INDEX('TRIP MANAGER'!$U$18:$U$25,T$2)),1,0))</f>
        <v/>
      </c>
      <c r="U129">
        <f t="array" ref="U129">IF($A129="","",IF(AND(INDEX($C129:$J129,U$2)&gt;0,$A129&lt;&gt;INDEX('TRIP MANAGER'!$T$18:$T$25,U$2),$A129&lt;&gt;INDEX('TRIP MANAGER'!$U$18:$U$25,U$2)),1,0))</f>
        <v/>
      </c>
      <c r="V129">
        <f t="array" ref="V129">IF($A129="","",IF(AND(INDEX($C129:$J129,V$2)&gt;0,$A129&lt;&gt;INDEX('TRIP MANAGER'!$T$18:$T$25,V$2),$A129&lt;&gt;INDEX('TRIP MANAGER'!$U$18:$U$25,V$2)),1,0))</f>
        <v/>
      </c>
      <c r="W129">
        <f t="array" ref="W129">IF($A129="","",IF(AND(INDEX($C129:$J129,W$2)&gt;0,$A129&lt;&gt;INDEX('TRIP MANAGER'!$T$18:$T$25,W$2),$A129&lt;&gt;INDEX('TRIP MANAGER'!$U$18:$U$25,W$2)),1,0))</f>
        <v/>
      </c>
      <c r="X129">
        <f t="array" ref="X129">IF($A129="","",IF(AND(INDEX($C129:$J129,X$2)&gt;0,$A129&lt;&gt;INDEX('TRIP MANAGER'!$T$18:$T$25,X$2),$A129&lt;&gt;INDEX('TRIP MANAGER'!$U$18:$U$25,X$2)),1,0))</f>
        <v/>
      </c>
      <c r="Y129">
        <f t="array" ref="Y129">IF($A129="","",IF(AND(INDEX($C129:$J129,Y$2)&gt;0,$A129&lt;&gt;INDEX('TRIP MANAGER'!$T$18:$T$25,Y$2),$A129&lt;&gt;INDEX('TRIP MANAGER'!$U$18:$U$25,Y$2)),1,0))</f>
        <v/>
      </c>
    </row>
    <row r="130">
      <c r="A130">
        <f>IF(countries!$D129="","",countries!$D129)</f>
        <v/>
      </c>
      <c r="B130">
        <f>IF(countries!$B129="","",countries!$B129)</f>
        <v/>
      </c>
      <c r="C130">
        <f>IF($A130="","",COUNTIFS(route_calc!$A$2:$A$1209,C$2,route_calc!$P$2:$P$1209,$A130))</f>
        <v/>
      </c>
      <c r="D130">
        <f>IF($A130="","",COUNTIFS(route_calc!$A$2:$A$1209,D$2,route_calc!$P$2:$P$1209,$A130))</f>
        <v/>
      </c>
      <c r="E130">
        <f>IF($A130="","",COUNTIFS(route_calc!$A$2:$A$1209,E$2,route_calc!$P$2:$P$1209,$A130))</f>
        <v/>
      </c>
      <c r="F130">
        <f>IF($A130="","",COUNTIFS(route_calc!$A$2:$A$1209,F$2,route_calc!$P$2:$P$1209,$A130))</f>
        <v/>
      </c>
      <c r="G130">
        <f>IF($A130="","",COUNTIFS(route_calc!$A$2:$A$1209,G$2,route_calc!$P$2:$P$1209,$A130))</f>
        <v/>
      </c>
      <c r="H130">
        <f>IF($A130="","",COUNTIFS(route_calc!$A$2:$A$1209,H$2,route_calc!$P$2:$P$1209,$A130))</f>
        <v/>
      </c>
      <c r="I130">
        <f>IF($A130="","",COUNTIFS(route_calc!$A$2:$A$1209,I$2,route_calc!$P$2:$P$1209,$A130))</f>
        <v/>
      </c>
      <c r="J130">
        <f>IF($A130="","",COUNTIFS(route_calc!$A$2:$A$1209,J$2,route_calc!$P$2:$P$1209,$A130))</f>
        <v/>
      </c>
      <c r="K130">
        <f>IF($L130=0,"",_xlfn.MINIFS(route_calc!$Q$2:$Q$1209,route_calc!$P$2:$P$1209,$A130,route_calc!$A$2:$A$1209,MATCH(1,$R130:$Y130,0)))</f>
        <v/>
      </c>
      <c r="L130">
        <f>IF($A130="",0,IF(SUM($R130:$Y130)&gt;0,1,0))</f>
        <v/>
      </c>
      <c r="M130">
        <f t="array" ref="M130">IF($L130=0,"",_xlfn.TEXTJOIN(", ",TRUE,IF($R130:$Y130&gt;0,$C$1:$J$1,"")))</f>
        <v/>
      </c>
      <c r="N130">
        <f t="array" ref="N130">IF($L130=0,"",SUMPRODUCT(($L$3:$L$144=1)*($K$3:$K$144&lt;$K130))+1)</f>
        <v/>
      </c>
      <c r="O130">
        <f>IF($L130=0,"",MATCH(1,$R130:$Y130,0))</f>
        <v/>
      </c>
      <c r="P130">
        <f>IF($A130="","",IFERROR(INDEX(countries!$G:$G,MATCH($A130,countries!$D:$D,0)),""))</f>
        <v/>
      </c>
      <c r="Q130">
        <f>IF($A130="","",IFERROR(IF(INDEX(countries!$I:$I,MATCH($A130,countries!$D:$D,0))=0,"",INDEX(countries!$I:$I,MATCH($A130,countries!$D:$D,0))),""))</f>
        <v/>
      </c>
      <c r="R130">
        <f t="array" ref="R130">IF($A130="","",IF(AND(INDEX($C130:$J130,R$2)&gt;0,$A130&lt;&gt;INDEX('TRIP MANAGER'!$T$18:$T$25,R$2),$A130&lt;&gt;INDEX('TRIP MANAGER'!$U$18:$U$25,R$2)),1,0))</f>
        <v/>
      </c>
      <c r="S130">
        <f t="array" ref="S130">IF($A130="","",IF(AND(INDEX($C130:$J130,S$2)&gt;0,$A130&lt;&gt;INDEX('TRIP MANAGER'!$T$18:$T$25,S$2),$A130&lt;&gt;INDEX('TRIP MANAGER'!$U$18:$U$25,S$2)),1,0))</f>
        <v/>
      </c>
      <c r="T130">
        <f t="array" ref="T130">IF($A130="","",IF(AND(INDEX($C130:$J130,T$2)&gt;0,$A130&lt;&gt;INDEX('TRIP MANAGER'!$T$18:$T$25,T$2),$A130&lt;&gt;INDEX('TRIP MANAGER'!$U$18:$U$25,T$2)),1,0))</f>
        <v/>
      </c>
      <c r="U130">
        <f t="array" ref="U130">IF($A130="","",IF(AND(INDEX($C130:$J130,U$2)&gt;0,$A130&lt;&gt;INDEX('TRIP MANAGER'!$T$18:$T$25,U$2),$A130&lt;&gt;INDEX('TRIP MANAGER'!$U$18:$U$25,U$2)),1,0))</f>
        <v/>
      </c>
      <c r="V130">
        <f t="array" ref="V130">IF($A130="","",IF(AND(INDEX($C130:$J130,V$2)&gt;0,$A130&lt;&gt;INDEX('TRIP MANAGER'!$T$18:$T$25,V$2),$A130&lt;&gt;INDEX('TRIP MANAGER'!$U$18:$U$25,V$2)),1,0))</f>
        <v/>
      </c>
      <c r="W130">
        <f t="array" ref="W130">IF($A130="","",IF(AND(INDEX($C130:$J130,W$2)&gt;0,$A130&lt;&gt;INDEX('TRIP MANAGER'!$T$18:$T$25,W$2),$A130&lt;&gt;INDEX('TRIP MANAGER'!$U$18:$U$25,W$2)),1,0))</f>
        <v/>
      </c>
      <c r="X130">
        <f t="array" ref="X130">IF($A130="","",IF(AND(INDEX($C130:$J130,X$2)&gt;0,$A130&lt;&gt;INDEX('TRIP MANAGER'!$T$18:$T$25,X$2),$A130&lt;&gt;INDEX('TRIP MANAGER'!$U$18:$U$25,X$2)),1,0))</f>
        <v/>
      </c>
      <c r="Y130">
        <f t="array" ref="Y130">IF($A130="","",IF(AND(INDEX($C130:$J130,Y$2)&gt;0,$A130&lt;&gt;INDEX('TRIP MANAGER'!$T$18:$T$25,Y$2),$A130&lt;&gt;INDEX('TRIP MANAGER'!$U$18:$U$25,Y$2)),1,0))</f>
        <v/>
      </c>
    </row>
    <row r="131">
      <c r="A131">
        <f>IF(countries!$D130="","",countries!$D130)</f>
        <v/>
      </c>
      <c r="B131">
        <f>IF(countries!$B130="","",countries!$B130)</f>
        <v/>
      </c>
      <c r="C131">
        <f>IF($A131="","",COUNTIFS(route_calc!$A$2:$A$1209,C$2,route_calc!$P$2:$P$1209,$A131))</f>
        <v/>
      </c>
      <c r="D131">
        <f>IF($A131="","",COUNTIFS(route_calc!$A$2:$A$1209,D$2,route_calc!$P$2:$P$1209,$A131))</f>
        <v/>
      </c>
      <c r="E131">
        <f>IF($A131="","",COUNTIFS(route_calc!$A$2:$A$1209,E$2,route_calc!$P$2:$P$1209,$A131))</f>
        <v/>
      </c>
      <c r="F131">
        <f>IF($A131="","",COUNTIFS(route_calc!$A$2:$A$1209,F$2,route_calc!$P$2:$P$1209,$A131))</f>
        <v/>
      </c>
      <c r="G131">
        <f>IF($A131="","",COUNTIFS(route_calc!$A$2:$A$1209,G$2,route_calc!$P$2:$P$1209,$A131))</f>
        <v/>
      </c>
      <c r="H131">
        <f>IF($A131="","",COUNTIFS(route_calc!$A$2:$A$1209,H$2,route_calc!$P$2:$P$1209,$A131))</f>
        <v/>
      </c>
      <c r="I131">
        <f>IF($A131="","",COUNTIFS(route_calc!$A$2:$A$1209,I$2,route_calc!$P$2:$P$1209,$A131))</f>
        <v/>
      </c>
      <c r="J131">
        <f>IF($A131="","",COUNTIFS(route_calc!$A$2:$A$1209,J$2,route_calc!$P$2:$P$1209,$A131))</f>
        <v/>
      </c>
      <c r="K131">
        <f>IF($L131=0,"",_xlfn.MINIFS(route_calc!$Q$2:$Q$1209,route_calc!$P$2:$P$1209,$A131,route_calc!$A$2:$A$1209,MATCH(1,$R131:$Y131,0)))</f>
        <v/>
      </c>
      <c r="L131">
        <f>IF($A131="",0,IF(SUM($R131:$Y131)&gt;0,1,0))</f>
        <v/>
      </c>
      <c r="M131">
        <f t="array" ref="M131">IF($L131=0,"",_xlfn.TEXTJOIN(", ",TRUE,IF($R131:$Y131&gt;0,$C$1:$J$1,"")))</f>
        <v/>
      </c>
      <c r="N131">
        <f t="array" ref="N131">IF($L131=0,"",SUMPRODUCT(($L$3:$L$144=1)*($K$3:$K$144&lt;$K131))+1)</f>
        <v/>
      </c>
      <c r="O131">
        <f>IF($L131=0,"",MATCH(1,$R131:$Y131,0))</f>
        <v/>
      </c>
      <c r="P131">
        <f>IF($A131="","",IFERROR(INDEX(countries!$G:$G,MATCH($A131,countries!$D:$D,0)),""))</f>
        <v/>
      </c>
      <c r="Q131">
        <f>IF($A131="","",IFERROR(IF(INDEX(countries!$I:$I,MATCH($A131,countries!$D:$D,0))=0,"",INDEX(countries!$I:$I,MATCH($A131,countries!$D:$D,0))),""))</f>
        <v/>
      </c>
      <c r="R131">
        <f t="array" ref="R131">IF($A131="","",IF(AND(INDEX($C131:$J131,R$2)&gt;0,$A131&lt;&gt;INDEX('TRIP MANAGER'!$T$18:$T$25,R$2),$A131&lt;&gt;INDEX('TRIP MANAGER'!$U$18:$U$25,R$2)),1,0))</f>
        <v/>
      </c>
      <c r="S131">
        <f t="array" ref="S131">IF($A131="","",IF(AND(INDEX($C131:$J131,S$2)&gt;0,$A131&lt;&gt;INDEX('TRIP MANAGER'!$T$18:$T$25,S$2),$A131&lt;&gt;INDEX('TRIP MANAGER'!$U$18:$U$25,S$2)),1,0))</f>
        <v/>
      </c>
      <c r="T131">
        <f t="array" ref="T131">IF($A131="","",IF(AND(INDEX($C131:$J131,T$2)&gt;0,$A131&lt;&gt;INDEX('TRIP MANAGER'!$T$18:$T$25,T$2),$A131&lt;&gt;INDEX('TRIP MANAGER'!$U$18:$U$25,T$2)),1,0))</f>
        <v/>
      </c>
      <c r="U131">
        <f t="array" ref="U131">IF($A131="","",IF(AND(INDEX($C131:$J131,U$2)&gt;0,$A131&lt;&gt;INDEX('TRIP MANAGER'!$T$18:$T$25,U$2),$A131&lt;&gt;INDEX('TRIP MANAGER'!$U$18:$U$25,U$2)),1,0))</f>
        <v/>
      </c>
      <c r="V131">
        <f t="array" ref="V131">IF($A131="","",IF(AND(INDEX($C131:$J131,V$2)&gt;0,$A131&lt;&gt;INDEX('TRIP MANAGER'!$T$18:$T$25,V$2),$A131&lt;&gt;INDEX('TRIP MANAGER'!$U$18:$U$25,V$2)),1,0))</f>
        <v/>
      </c>
      <c r="W131">
        <f t="array" ref="W131">IF($A131="","",IF(AND(INDEX($C131:$J131,W$2)&gt;0,$A131&lt;&gt;INDEX('TRIP MANAGER'!$T$18:$T$25,W$2),$A131&lt;&gt;INDEX('TRIP MANAGER'!$U$18:$U$25,W$2)),1,0))</f>
        <v/>
      </c>
      <c r="X131">
        <f t="array" ref="X131">IF($A131="","",IF(AND(INDEX($C131:$J131,X$2)&gt;0,$A131&lt;&gt;INDEX('TRIP MANAGER'!$T$18:$T$25,X$2),$A131&lt;&gt;INDEX('TRIP MANAGER'!$U$18:$U$25,X$2)),1,0))</f>
        <v/>
      </c>
      <c r="Y131">
        <f t="array" ref="Y131">IF($A131="","",IF(AND(INDEX($C131:$J131,Y$2)&gt;0,$A131&lt;&gt;INDEX('TRIP MANAGER'!$T$18:$T$25,Y$2),$A131&lt;&gt;INDEX('TRIP MANAGER'!$U$18:$U$25,Y$2)),1,0))</f>
        <v/>
      </c>
    </row>
    <row r="132">
      <c r="A132">
        <f>IF(countries!$D131="","",countries!$D131)</f>
        <v/>
      </c>
      <c r="B132">
        <f>IF(countries!$B131="","",countries!$B131)</f>
        <v/>
      </c>
      <c r="C132">
        <f>IF($A132="","",COUNTIFS(route_calc!$A$2:$A$1209,C$2,route_calc!$P$2:$P$1209,$A132))</f>
        <v/>
      </c>
      <c r="D132">
        <f>IF($A132="","",COUNTIFS(route_calc!$A$2:$A$1209,D$2,route_calc!$P$2:$P$1209,$A132))</f>
        <v/>
      </c>
      <c r="E132">
        <f>IF($A132="","",COUNTIFS(route_calc!$A$2:$A$1209,E$2,route_calc!$P$2:$P$1209,$A132))</f>
        <v/>
      </c>
      <c r="F132">
        <f>IF($A132="","",COUNTIFS(route_calc!$A$2:$A$1209,F$2,route_calc!$P$2:$P$1209,$A132))</f>
        <v/>
      </c>
      <c r="G132">
        <f>IF($A132="","",COUNTIFS(route_calc!$A$2:$A$1209,G$2,route_calc!$P$2:$P$1209,$A132))</f>
        <v/>
      </c>
      <c r="H132">
        <f>IF($A132="","",COUNTIFS(route_calc!$A$2:$A$1209,H$2,route_calc!$P$2:$P$1209,$A132))</f>
        <v/>
      </c>
      <c r="I132">
        <f>IF($A132="","",COUNTIFS(route_calc!$A$2:$A$1209,I$2,route_calc!$P$2:$P$1209,$A132))</f>
        <v/>
      </c>
      <c r="J132">
        <f>IF($A132="","",COUNTIFS(route_calc!$A$2:$A$1209,J$2,route_calc!$P$2:$P$1209,$A132))</f>
        <v/>
      </c>
      <c r="K132">
        <f>IF($L132=0,"",_xlfn.MINIFS(route_calc!$Q$2:$Q$1209,route_calc!$P$2:$P$1209,$A132,route_calc!$A$2:$A$1209,MATCH(1,$R132:$Y132,0)))</f>
        <v/>
      </c>
      <c r="L132">
        <f>IF($A132="",0,IF(SUM($R132:$Y132)&gt;0,1,0))</f>
        <v/>
      </c>
      <c r="M132">
        <f t="array" ref="M132">IF($L132=0,"",_xlfn.TEXTJOIN(", ",TRUE,IF($R132:$Y132&gt;0,$C$1:$J$1,"")))</f>
        <v/>
      </c>
      <c r="N132">
        <f t="array" ref="N132">IF($L132=0,"",SUMPRODUCT(($L$3:$L$144=1)*($K$3:$K$144&lt;$K132))+1)</f>
        <v/>
      </c>
      <c r="O132">
        <f>IF($L132=0,"",MATCH(1,$R132:$Y132,0))</f>
        <v/>
      </c>
      <c r="P132">
        <f>IF($A132="","",IFERROR(INDEX(countries!$G:$G,MATCH($A132,countries!$D:$D,0)),""))</f>
        <v/>
      </c>
      <c r="Q132">
        <f>IF($A132="","",IFERROR(IF(INDEX(countries!$I:$I,MATCH($A132,countries!$D:$D,0))=0,"",INDEX(countries!$I:$I,MATCH($A132,countries!$D:$D,0))),""))</f>
        <v/>
      </c>
      <c r="R132">
        <f t="array" ref="R132">IF($A132="","",IF(AND(INDEX($C132:$J132,R$2)&gt;0,$A132&lt;&gt;INDEX('TRIP MANAGER'!$T$18:$T$25,R$2),$A132&lt;&gt;INDEX('TRIP MANAGER'!$U$18:$U$25,R$2)),1,0))</f>
        <v/>
      </c>
      <c r="S132">
        <f t="array" ref="S132">IF($A132="","",IF(AND(INDEX($C132:$J132,S$2)&gt;0,$A132&lt;&gt;INDEX('TRIP MANAGER'!$T$18:$T$25,S$2),$A132&lt;&gt;INDEX('TRIP MANAGER'!$U$18:$U$25,S$2)),1,0))</f>
        <v/>
      </c>
      <c r="T132">
        <f t="array" ref="T132">IF($A132="","",IF(AND(INDEX($C132:$J132,T$2)&gt;0,$A132&lt;&gt;INDEX('TRIP MANAGER'!$T$18:$T$25,T$2),$A132&lt;&gt;INDEX('TRIP MANAGER'!$U$18:$U$25,T$2)),1,0))</f>
        <v/>
      </c>
      <c r="U132">
        <f t="array" ref="U132">IF($A132="","",IF(AND(INDEX($C132:$J132,U$2)&gt;0,$A132&lt;&gt;INDEX('TRIP MANAGER'!$T$18:$T$25,U$2),$A132&lt;&gt;INDEX('TRIP MANAGER'!$U$18:$U$25,U$2)),1,0))</f>
        <v/>
      </c>
      <c r="V132">
        <f t="array" ref="V132">IF($A132="","",IF(AND(INDEX($C132:$J132,V$2)&gt;0,$A132&lt;&gt;INDEX('TRIP MANAGER'!$T$18:$T$25,V$2),$A132&lt;&gt;INDEX('TRIP MANAGER'!$U$18:$U$25,V$2)),1,0))</f>
        <v/>
      </c>
      <c r="W132">
        <f t="array" ref="W132">IF($A132="","",IF(AND(INDEX($C132:$J132,W$2)&gt;0,$A132&lt;&gt;INDEX('TRIP MANAGER'!$T$18:$T$25,W$2),$A132&lt;&gt;INDEX('TRIP MANAGER'!$U$18:$U$25,W$2)),1,0))</f>
        <v/>
      </c>
      <c r="X132">
        <f t="array" ref="X132">IF($A132="","",IF(AND(INDEX($C132:$J132,X$2)&gt;0,$A132&lt;&gt;INDEX('TRIP MANAGER'!$T$18:$T$25,X$2),$A132&lt;&gt;INDEX('TRIP MANAGER'!$U$18:$U$25,X$2)),1,0))</f>
        <v/>
      </c>
      <c r="Y132">
        <f t="array" ref="Y132">IF($A132="","",IF(AND(INDEX($C132:$J132,Y$2)&gt;0,$A132&lt;&gt;INDEX('TRIP MANAGER'!$T$18:$T$25,Y$2),$A132&lt;&gt;INDEX('TRIP MANAGER'!$U$18:$U$25,Y$2)),1,0))</f>
        <v/>
      </c>
    </row>
    <row r="133">
      <c r="A133">
        <f>IF(countries!$D132="","",countries!$D132)</f>
        <v/>
      </c>
      <c r="B133">
        <f>IF(countries!$B132="","",countries!$B132)</f>
        <v/>
      </c>
      <c r="C133">
        <f>IF($A133="","",COUNTIFS(route_calc!$A$2:$A$1209,C$2,route_calc!$P$2:$P$1209,$A133))</f>
        <v/>
      </c>
      <c r="D133">
        <f>IF($A133="","",COUNTIFS(route_calc!$A$2:$A$1209,D$2,route_calc!$P$2:$P$1209,$A133))</f>
        <v/>
      </c>
      <c r="E133">
        <f>IF($A133="","",COUNTIFS(route_calc!$A$2:$A$1209,E$2,route_calc!$P$2:$P$1209,$A133))</f>
        <v/>
      </c>
      <c r="F133">
        <f>IF($A133="","",COUNTIFS(route_calc!$A$2:$A$1209,F$2,route_calc!$P$2:$P$1209,$A133))</f>
        <v/>
      </c>
      <c r="G133">
        <f>IF($A133="","",COUNTIFS(route_calc!$A$2:$A$1209,G$2,route_calc!$P$2:$P$1209,$A133))</f>
        <v/>
      </c>
      <c r="H133">
        <f>IF($A133="","",COUNTIFS(route_calc!$A$2:$A$1209,H$2,route_calc!$P$2:$P$1209,$A133))</f>
        <v/>
      </c>
      <c r="I133">
        <f>IF($A133="","",COUNTIFS(route_calc!$A$2:$A$1209,I$2,route_calc!$P$2:$P$1209,$A133))</f>
        <v/>
      </c>
      <c r="J133">
        <f>IF($A133="","",COUNTIFS(route_calc!$A$2:$A$1209,J$2,route_calc!$P$2:$P$1209,$A133))</f>
        <v/>
      </c>
      <c r="K133">
        <f>IF($L133=0,"",_xlfn.MINIFS(route_calc!$Q$2:$Q$1209,route_calc!$P$2:$P$1209,$A133,route_calc!$A$2:$A$1209,MATCH(1,$R133:$Y133,0)))</f>
        <v/>
      </c>
      <c r="L133">
        <f>IF($A133="",0,IF(SUM($R133:$Y133)&gt;0,1,0))</f>
        <v/>
      </c>
      <c r="M133">
        <f t="array" ref="M133">IF($L133=0,"",_xlfn.TEXTJOIN(", ",TRUE,IF($R133:$Y133&gt;0,$C$1:$J$1,"")))</f>
        <v/>
      </c>
      <c r="N133">
        <f t="array" ref="N133">IF($L133=0,"",SUMPRODUCT(($L$3:$L$144=1)*($K$3:$K$144&lt;$K133))+1)</f>
        <v/>
      </c>
      <c r="O133">
        <f>IF($L133=0,"",MATCH(1,$R133:$Y133,0))</f>
        <v/>
      </c>
      <c r="P133">
        <f>IF($A133="","",IFERROR(INDEX(countries!$G:$G,MATCH($A133,countries!$D:$D,0)),""))</f>
        <v/>
      </c>
      <c r="Q133">
        <f>IF($A133="","",IFERROR(IF(INDEX(countries!$I:$I,MATCH($A133,countries!$D:$D,0))=0,"",INDEX(countries!$I:$I,MATCH($A133,countries!$D:$D,0))),""))</f>
        <v/>
      </c>
      <c r="R133">
        <f t="array" ref="R133">IF($A133="","",IF(AND(INDEX($C133:$J133,R$2)&gt;0,$A133&lt;&gt;INDEX('TRIP MANAGER'!$T$18:$T$25,R$2),$A133&lt;&gt;INDEX('TRIP MANAGER'!$U$18:$U$25,R$2)),1,0))</f>
        <v/>
      </c>
      <c r="S133">
        <f t="array" ref="S133">IF($A133="","",IF(AND(INDEX($C133:$J133,S$2)&gt;0,$A133&lt;&gt;INDEX('TRIP MANAGER'!$T$18:$T$25,S$2),$A133&lt;&gt;INDEX('TRIP MANAGER'!$U$18:$U$25,S$2)),1,0))</f>
        <v/>
      </c>
      <c r="T133">
        <f t="array" ref="T133">IF($A133="","",IF(AND(INDEX($C133:$J133,T$2)&gt;0,$A133&lt;&gt;INDEX('TRIP MANAGER'!$T$18:$T$25,T$2),$A133&lt;&gt;INDEX('TRIP MANAGER'!$U$18:$U$25,T$2)),1,0))</f>
        <v/>
      </c>
      <c r="U133">
        <f t="array" ref="U133">IF($A133="","",IF(AND(INDEX($C133:$J133,U$2)&gt;0,$A133&lt;&gt;INDEX('TRIP MANAGER'!$T$18:$T$25,U$2),$A133&lt;&gt;INDEX('TRIP MANAGER'!$U$18:$U$25,U$2)),1,0))</f>
        <v/>
      </c>
      <c r="V133">
        <f t="array" ref="V133">IF($A133="","",IF(AND(INDEX($C133:$J133,V$2)&gt;0,$A133&lt;&gt;INDEX('TRIP MANAGER'!$T$18:$T$25,V$2),$A133&lt;&gt;INDEX('TRIP MANAGER'!$U$18:$U$25,V$2)),1,0))</f>
        <v/>
      </c>
      <c r="W133">
        <f t="array" ref="W133">IF($A133="","",IF(AND(INDEX($C133:$J133,W$2)&gt;0,$A133&lt;&gt;INDEX('TRIP MANAGER'!$T$18:$T$25,W$2),$A133&lt;&gt;INDEX('TRIP MANAGER'!$U$18:$U$25,W$2)),1,0))</f>
        <v/>
      </c>
      <c r="X133">
        <f t="array" ref="X133">IF($A133="","",IF(AND(INDEX($C133:$J133,X$2)&gt;0,$A133&lt;&gt;INDEX('TRIP MANAGER'!$T$18:$T$25,X$2),$A133&lt;&gt;INDEX('TRIP MANAGER'!$U$18:$U$25,X$2)),1,0))</f>
        <v/>
      </c>
      <c r="Y133">
        <f t="array" ref="Y133">IF($A133="","",IF(AND(INDEX($C133:$J133,Y$2)&gt;0,$A133&lt;&gt;INDEX('TRIP MANAGER'!$T$18:$T$25,Y$2),$A133&lt;&gt;INDEX('TRIP MANAGER'!$U$18:$U$25,Y$2)),1,0))</f>
        <v/>
      </c>
    </row>
    <row r="134">
      <c r="A134">
        <f>IF(countries!$D133="","",countries!$D133)</f>
        <v/>
      </c>
      <c r="B134">
        <f>IF(countries!$B133="","",countries!$B133)</f>
        <v/>
      </c>
      <c r="C134">
        <f>IF($A134="","",COUNTIFS(route_calc!$A$2:$A$1209,C$2,route_calc!$P$2:$P$1209,$A134))</f>
        <v/>
      </c>
      <c r="D134">
        <f>IF($A134="","",COUNTIFS(route_calc!$A$2:$A$1209,D$2,route_calc!$P$2:$P$1209,$A134))</f>
        <v/>
      </c>
      <c r="E134">
        <f>IF($A134="","",COUNTIFS(route_calc!$A$2:$A$1209,E$2,route_calc!$P$2:$P$1209,$A134))</f>
        <v/>
      </c>
      <c r="F134">
        <f>IF($A134="","",COUNTIFS(route_calc!$A$2:$A$1209,F$2,route_calc!$P$2:$P$1209,$A134))</f>
        <v/>
      </c>
      <c r="G134">
        <f>IF($A134="","",COUNTIFS(route_calc!$A$2:$A$1209,G$2,route_calc!$P$2:$P$1209,$A134))</f>
        <v/>
      </c>
      <c r="H134">
        <f>IF($A134="","",COUNTIFS(route_calc!$A$2:$A$1209,H$2,route_calc!$P$2:$P$1209,$A134))</f>
        <v/>
      </c>
      <c r="I134">
        <f>IF($A134="","",COUNTIFS(route_calc!$A$2:$A$1209,I$2,route_calc!$P$2:$P$1209,$A134))</f>
        <v/>
      </c>
      <c r="J134">
        <f>IF($A134="","",COUNTIFS(route_calc!$A$2:$A$1209,J$2,route_calc!$P$2:$P$1209,$A134))</f>
        <v/>
      </c>
      <c r="K134">
        <f>IF($L134=0,"",_xlfn.MINIFS(route_calc!$Q$2:$Q$1209,route_calc!$P$2:$P$1209,$A134,route_calc!$A$2:$A$1209,MATCH(1,$R134:$Y134,0)))</f>
        <v/>
      </c>
      <c r="L134">
        <f>IF($A134="",0,IF(SUM($R134:$Y134)&gt;0,1,0))</f>
        <v/>
      </c>
      <c r="M134">
        <f t="array" ref="M134">IF($L134=0,"",_xlfn.TEXTJOIN(", ",TRUE,IF($R134:$Y134&gt;0,$C$1:$J$1,"")))</f>
        <v/>
      </c>
      <c r="N134">
        <f t="array" ref="N134">IF($L134=0,"",SUMPRODUCT(($L$3:$L$144=1)*($K$3:$K$144&lt;$K134))+1)</f>
        <v/>
      </c>
      <c r="O134">
        <f>IF($L134=0,"",MATCH(1,$R134:$Y134,0))</f>
        <v/>
      </c>
      <c r="P134">
        <f>IF($A134="","",IFERROR(INDEX(countries!$G:$G,MATCH($A134,countries!$D:$D,0)),""))</f>
        <v/>
      </c>
      <c r="Q134">
        <f>IF($A134="","",IFERROR(IF(INDEX(countries!$I:$I,MATCH($A134,countries!$D:$D,0))=0,"",INDEX(countries!$I:$I,MATCH($A134,countries!$D:$D,0))),""))</f>
        <v/>
      </c>
      <c r="R134">
        <f t="array" ref="R134">IF($A134="","",IF(AND(INDEX($C134:$J134,R$2)&gt;0,$A134&lt;&gt;INDEX('TRIP MANAGER'!$T$18:$T$25,R$2),$A134&lt;&gt;INDEX('TRIP MANAGER'!$U$18:$U$25,R$2)),1,0))</f>
        <v/>
      </c>
      <c r="S134">
        <f t="array" ref="S134">IF($A134="","",IF(AND(INDEX($C134:$J134,S$2)&gt;0,$A134&lt;&gt;INDEX('TRIP MANAGER'!$T$18:$T$25,S$2),$A134&lt;&gt;INDEX('TRIP MANAGER'!$U$18:$U$25,S$2)),1,0))</f>
        <v/>
      </c>
      <c r="T134">
        <f t="array" ref="T134">IF($A134="","",IF(AND(INDEX($C134:$J134,T$2)&gt;0,$A134&lt;&gt;INDEX('TRIP MANAGER'!$T$18:$T$25,T$2),$A134&lt;&gt;INDEX('TRIP MANAGER'!$U$18:$U$25,T$2)),1,0))</f>
        <v/>
      </c>
      <c r="U134">
        <f t="array" ref="U134">IF($A134="","",IF(AND(INDEX($C134:$J134,U$2)&gt;0,$A134&lt;&gt;INDEX('TRIP MANAGER'!$T$18:$T$25,U$2),$A134&lt;&gt;INDEX('TRIP MANAGER'!$U$18:$U$25,U$2)),1,0))</f>
        <v/>
      </c>
      <c r="V134">
        <f t="array" ref="V134">IF($A134="","",IF(AND(INDEX($C134:$J134,V$2)&gt;0,$A134&lt;&gt;INDEX('TRIP MANAGER'!$T$18:$T$25,V$2),$A134&lt;&gt;INDEX('TRIP MANAGER'!$U$18:$U$25,V$2)),1,0))</f>
        <v/>
      </c>
      <c r="W134">
        <f t="array" ref="W134">IF($A134="","",IF(AND(INDEX($C134:$J134,W$2)&gt;0,$A134&lt;&gt;INDEX('TRIP MANAGER'!$T$18:$T$25,W$2),$A134&lt;&gt;INDEX('TRIP MANAGER'!$U$18:$U$25,W$2)),1,0))</f>
        <v/>
      </c>
      <c r="X134">
        <f t="array" ref="X134">IF($A134="","",IF(AND(INDEX($C134:$J134,X$2)&gt;0,$A134&lt;&gt;INDEX('TRIP MANAGER'!$T$18:$T$25,X$2),$A134&lt;&gt;INDEX('TRIP MANAGER'!$U$18:$U$25,X$2)),1,0))</f>
        <v/>
      </c>
      <c r="Y134">
        <f t="array" ref="Y134">IF($A134="","",IF(AND(INDEX($C134:$J134,Y$2)&gt;0,$A134&lt;&gt;INDEX('TRIP MANAGER'!$T$18:$T$25,Y$2),$A134&lt;&gt;INDEX('TRIP MANAGER'!$U$18:$U$25,Y$2)),1,0))</f>
        <v/>
      </c>
    </row>
    <row r="135">
      <c r="A135">
        <f>IF(countries!$D134="","",countries!$D134)</f>
        <v/>
      </c>
      <c r="B135">
        <f>IF(countries!$B134="","",countries!$B134)</f>
        <v/>
      </c>
      <c r="C135">
        <f>IF($A135="","",COUNTIFS(route_calc!$A$2:$A$1209,C$2,route_calc!$P$2:$P$1209,$A135))</f>
        <v/>
      </c>
      <c r="D135">
        <f>IF($A135="","",COUNTIFS(route_calc!$A$2:$A$1209,D$2,route_calc!$P$2:$P$1209,$A135))</f>
        <v/>
      </c>
      <c r="E135">
        <f>IF($A135="","",COUNTIFS(route_calc!$A$2:$A$1209,E$2,route_calc!$P$2:$P$1209,$A135))</f>
        <v/>
      </c>
      <c r="F135">
        <f>IF($A135="","",COUNTIFS(route_calc!$A$2:$A$1209,F$2,route_calc!$P$2:$P$1209,$A135))</f>
        <v/>
      </c>
      <c r="G135">
        <f>IF($A135="","",COUNTIFS(route_calc!$A$2:$A$1209,G$2,route_calc!$P$2:$P$1209,$A135))</f>
        <v/>
      </c>
      <c r="H135">
        <f>IF($A135="","",COUNTIFS(route_calc!$A$2:$A$1209,H$2,route_calc!$P$2:$P$1209,$A135))</f>
        <v/>
      </c>
      <c r="I135">
        <f>IF($A135="","",COUNTIFS(route_calc!$A$2:$A$1209,I$2,route_calc!$P$2:$P$1209,$A135))</f>
        <v/>
      </c>
      <c r="J135">
        <f>IF($A135="","",COUNTIFS(route_calc!$A$2:$A$1209,J$2,route_calc!$P$2:$P$1209,$A135))</f>
        <v/>
      </c>
      <c r="K135">
        <f>IF($L135=0,"",_xlfn.MINIFS(route_calc!$Q$2:$Q$1209,route_calc!$P$2:$P$1209,$A135,route_calc!$A$2:$A$1209,MATCH(1,$R135:$Y135,0)))</f>
        <v/>
      </c>
      <c r="L135">
        <f>IF($A135="",0,IF(SUM($R135:$Y135)&gt;0,1,0))</f>
        <v/>
      </c>
      <c r="M135">
        <f t="array" ref="M135">IF($L135=0,"",_xlfn.TEXTJOIN(", ",TRUE,IF($R135:$Y135&gt;0,$C$1:$J$1,"")))</f>
        <v/>
      </c>
      <c r="N135">
        <f t="array" ref="N135">IF($L135=0,"",SUMPRODUCT(($L$3:$L$144=1)*($K$3:$K$144&lt;$K135))+1)</f>
        <v/>
      </c>
      <c r="O135">
        <f>IF($L135=0,"",MATCH(1,$R135:$Y135,0))</f>
        <v/>
      </c>
      <c r="P135">
        <f>IF($A135="","",IFERROR(INDEX(countries!$G:$G,MATCH($A135,countries!$D:$D,0)),""))</f>
        <v/>
      </c>
      <c r="Q135">
        <f>IF($A135="","",IFERROR(IF(INDEX(countries!$I:$I,MATCH($A135,countries!$D:$D,0))=0,"",INDEX(countries!$I:$I,MATCH($A135,countries!$D:$D,0))),""))</f>
        <v/>
      </c>
      <c r="R135">
        <f t="array" ref="R135">IF($A135="","",IF(AND(INDEX($C135:$J135,R$2)&gt;0,$A135&lt;&gt;INDEX('TRIP MANAGER'!$T$18:$T$25,R$2),$A135&lt;&gt;INDEX('TRIP MANAGER'!$U$18:$U$25,R$2)),1,0))</f>
        <v/>
      </c>
      <c r="S135">
        <f t="array" ref="S135">IF($A135="","",IF(AND(INDEX($C135:$J135,S$2)&gt;0,$A135&lt;&gt;INDEX('TRIP MANAGER'!$T$18:$T$25,S$2),$A135&lt;&gt;INDEX('TRIP MANAGER'!$U$18:$U$25,S$2)),1,0))</f>
        <v/>
      </c>
      <c r="T135">
        <f t="array" ref="T135">IF($A135="","",IF(AND(INDEX($C135:$J135,T$2)&gt;0,$A135&lt;&gt;INDEX('TRIP MANAGER'!$T$18:$T$25,T$2),$A135&lt;&gt;INDEX('TRIP MANAGER'!$U$18:$U$25,T$2)),1,0))</f>
        <v/>
      </c>
      <c r="U135">
        <f t="array" ref="U135">IF($A135="","",IF(AND(INDEX($C135:$J135,U$2)&gt;0,$A135&lt;&gt;INDEX('TRIP MANAGER'!$T$18:$T$25,U$2),$A135&lt;&gt;INDEX('TRIP MANAGER'!$U$18:$U$25,U$2)),1,0))</f>
        <v/>
      </c>
      <c r="V135">
        <f t="array" ref="V135">IF($A135="","",IF(AND(INDEX($C135:$J135,V$2)&gt;0,$A135&lt;&gt;INDEX('TRIP MANAGER'!$T$18:$T$25,V$2),$A135&lt;&gt;INDEX('TRIP MANAGER'!$U$18:$U$25,V$2)),1,0))</f>
        <v/>
      </c>
      <c r="W135">
        <f t="array" ref="W135">IF($A135="","",IF(AND(INDEX($C135:$J135,W$2)&gt;0,$A135&lt;&gt;INDEX('TRIP MANAGER'!$T$18:$T$25,W$2),$A135&lt;&gt;INDEX('TRIP MANAGER'!$U$18:$U$25,W$2)),1,0))</f>
        <v/>
      </c>
      <c r="X135">
        <f t="array" ref="X135">IF($A135="","",IF(AND(INDEX($C135:$J135,X$2)&gt;0,$A135&lt;&gt;INDEX('TRIP MANAGER'!$T$18:$T$25,X$2),$A135&lt;&gt;INDEX('TRIP MANAGER'!$U$18:$U$25,X$2)),1,0))</f>
        <v/>
      </c>
      <c r="Y135">
        <f t="array" ref="Y135">IF($A135="","",IF(AND(INDEX($C135:$J135,Y$2)&gt;0,$A135&lt;&gt;INDEX('TRIP MANAGER'!$T$18:$T$25,Y$2),$A135&lt;&gt;INDEX('TRIP MANAGER'!$U$18:$U$25,Y$2)),1,0))</f>
        <v/>
      </c>
    </row>
    <row r="136">
      <c r="A136">
        <f>IF(countries!$D135="","",countries!$D135)</f>
        <v/>
      </c>
      <c r="B136">
        <f>IF(countries!$B135="","",countries!$B135)</f>
        <v/>
      </c>
      <c r="C136">
        <f>IF($A136="","",COUNTIFS(route_calc!$A$2:$A$1209,C$2,route_calc!$P$2:$P$1209,$A136))</f>
        <v/>
      </c>
      <c r="D136">
        <f>IF($A136="","",COUNTIFS(route_calc!$A$2:$A$1209,D$2,route_calc!$P$2:$P$1209,$A136))</f>
        <v/>
      </c>
      <c r="E136">
        <f>IF($A136="","",COUNTIFS(route_calc!$A$2:$A$1209,E$2,route_calc!$P$2:$P$1209,$A136))</f>
        <v/>
      </c>
      <c r="F136">
        <f>IF($A136="","",COUNTIFS(route_calc!$A$2:$A$1209,F$2,route_calc!$P$2:$P$1209,$A136))</f>
        <v/>
      </c>
      <c r="G136">
        <f>IF($A136="","",COUNTIFS(route_calc!$A$2:$A$1209,G$2,route_calc!$P$2:$P$1209,$A136))</f>
        <v/>
      </c>
      <c r="H136">
        <f>IF($A136="","",COUNTIFS(route_calc!$A$2:$A$1209,H$2,route_calc!$P$2:$P$1209,$A136))</f>
        <v/>
      </c>
      <c r="I136">
        <f>IF($A136="","",COUNTIFS(route_calc!$A$2:$A$1209,I$2,route_calc!$P$2:$P$1209,$A136))</f>
        <v/>
      </c>
      <c r="J136">
        <f>IF($A136="","",COUNTIFS(route_calc!$A$2:$A$1209,J$2,route_calc!$P$2:$P$1209,$A136))</f>
        <v/>
      </c>
      <c r="K136">
        <f>IF($L136=0,"",_xlfn.MINIFS(route_calc!$Q$2:$Q$1209,route_calc!$P$2:$P$1209,$A136,route_calc!$A$2:$A$1209,MATCH(1,$R136:$Y136,0)))</f>
        <v/>
      </c>
      <c r="L136">
        <f>IF($A136="",0,IF(SUM($R136:$Y136)&gt;0,1,0))</f>
        <v/>
      </c>
      <c r="M136">
        <f t="array" ref="M136">IF($L136=0,"",_xlfn.TEXTJOIN(", ",TRUE,IF($R136:$Y136&gt;0,$C$1:$J$1,"")))</f>
        <v/>
      </c>
      <c r="N136">
        <f t="array" ref="N136">IF($L136=0,"",SUMPRODUCT(($L$3:$L$144=1)*($K$3:$K$144&lt;$K136))+1)</f>
        <v/>
      </c>
      <c r="O136">
        <f>IF($L136=0,"",MATCH(1,$R136:$Y136,0))</f>
        <v/>
      </c>
      <c r="P136">
        <f>IF($A136="","",IFERROR(INDEX(countries!$G:$G,MATCH($A136,countries!$D:$D,0)),""))</f>
        <v/>
      </c>
      <c r="Q136">
        <f>IF($A136="","",IFERROR(IF(INDEX(countries!$I:$I,MATCH($A136,countries!$D:$D,0))=0,"",INDEX(countries!$I:$I,MATCH($A136,countries!$D:$D,0))),""))</f>
        <v/>
      </c>
      <c r="R136">
        <f t="array" ref="R136">IF($A136="","",IF(AND(INDEX($C136:$J136,R$2)&gt;0,$A136&lt;&gt;INDEX('TRIP MANAGER'!$T$18:$T$25,R$2),$A136&lt;&gt;INDEX('TRIP MANAGER'!$U$18:$U$25,R$2)),1,0))</f>
        <v/>
      </c>
      <c r="S136">
        <f t="array" ref="S136">IF($A136="","",IF(AND(INDEX($C136:$J136,S$2)&gt;0,$A136&lt;&gt;INDEX('TRIP MANAGER'!$T$18:$T$25,S$2),$A136&lt;&gt;INDEX('TRIP MANAGER'!$U$18:$U$25,S$2)),1,0))</f>
        <v/>
      </c>
      <c r="T136">
        <f t="array" ref="T136">IF($A136="","",IF(AND(INDEX($C136:$J136,T$2)&gt;0,$A136&lt;&gt;INDEX('TRIP MANAGER'!$T$18:$T$25,T$2),$A136&lt;&gt;INDEX('TRIP MANAGER'!$U$18:$U$25,T$2)),1,0))</f>
        <v/>
      </c>
      <c r="U136">
        <f t="array" ref="U136">IF($A136="","",IF(AND(INDEX($C136:$J136,U$2)&gt;0,$A136&lt;&gt;INDEX('TRIP MANAGER'!$T$18:$T$25,U$2),$A136&lt;&gt;INDEX('TRIP MANAGER'!$U$18:$U$25,U$2)),1,0))</f>
        <v/>
      </c>
      <c r="V136">
        <f t="array" ref="V136">IF($A136="","",IF(AND(INDEX($C136:$J136,V$2)&gt;0,$A136&lt;&gt;INDEX('TRIP MANAGER'!$T$18:$T$25,V$2),$A136&lt;&gt;INDEX('TRIP MANAGER'!$U$18:$U$25,V$2)),1,0))</f>
        <v/>
      </c>
      <c r="W136">
        <f t="array" ref="W136">IF($A136="","",IF(AND(INDEX($C136:$J136,W$2)&gt;0,$A136&lt;&gt;INDEX('TRIP MANAGER'!$T$18:$T$25,W$2),$A136&lt;&gt;INDEX('TRIP MANAGER'!$U$18:$U$25,W$2)),1,0))</f>
        <v/>
      </c>
      <c r="X136">
        <f t="array" ref="X136">IF($A136="","",IF(AND(INDEX($C136:$J136,X$2)&gt;0,$A136&lt;&gt;INDEX('TRIP MANAGER'!$T$18:$T$25,X$2),$A136&lt;&gt;INDEX('TRIP MANAGER'!$U$18:$U$25,X$2)),1,0))</f>
        <v/>
      </c>
      <c r="Y136">
        <f t="array" ref="Y136">IF($A136="","",IF(AND(INDEX($C136:$J136,Y$2)&gt;0,$A136&lt;&gt;INDEX('TRIP MANAGER'!$T$18:$T$25,Y$2),$A136&lt;&gt;INDEX('TRIP MANAGER'!$U$18:$U$25,Y$2)),1,0))</f>
        <v/>
      </c>
    </row>
    <row r="137">
      <c r="A137">
        <f>IF(countries!$D136="","",countries!$D136)</f>
        <v/>
      </c>
      <c r="B137">
        <f>IF(countries!$B136="","",countries!$B136)</f>
        <v/>
      </c>
      <c r="C137">
        <f>IF($A137="","",COUNTIFS(route_calc!$A$2:$A$1209,C$2,route_calc!$P$2:$P$1209,$A137))</f>
        <v/>
      </c>
      <c r="D137">
        <f>IF($A137="","",COUNTIFS(route_calc!$A$2:$A$1209,D$2,route_calc!$P$2:$P$1209,$A137))</f>
        <v/>
      </c>
      <c r="E137">
        <f>IF($A137="","",COUNTIFS(route_calc!$A$2:$A$1209,E$2,route_calc!$P$2:$P$1209,$A137))</f>
        <v/>
      </c>
      <c r="F137">
        <f>IF($A137="","",COUNTIFS(route_calc!$A$2:$A$1209,F$2,route_calc!$P$2:$P$1209,$A137))</f>
        <v/>
      </c>
      <c r="G137">
        <f>IF($A137="","",COUNTIFS(route_calc!$A$2:$A$1209,G$2,route_calc!$P$2:$P$1209,$A137))</f>
        <v/>
      </c>
      <c r="H137">
        <f>IF($A137="","",COUNTIFS(route_calc!$A$2:$A$1209,H$2,route_calc!$P$2:$P$1209,$A137))</f>
        <v/>
      </c>
      <c r="I137">
        <f>IF($A137="","",COUNTIFS(route_calc!$A$2:$A$1209,I$2,route_calc!$P$2:$P$1209,$A137))</f>
        <v/>
      </c>
      <c r="J137">
        <f>IF($A137="","",COUNTIFS(route_calc!$A$2:$A$1209,J$2,route_calc!$P$2:$P$1209,$A137))</f>
        <v/>
      </c>
      <c r="K137">
        <f>IF($L137=0,"",_xlfn.MINIFS(route_calc!$Q$2:$Q$1209,route_calc!$P$2:$P$1209,$A137,route_calc!$A$2:$A$1209,MATCH(1,$R137:$Y137,0)))</f>
        <v/>
      </c>
      <c r="L137">
        <f>IF($A137="",0,IF(SUM($R137:$Y137)&gt;0,1,0))</f>
        <v/>
      </c>
      <c r="M137">
        <f t="array" ref="M137">IF($L137=0,"",_xlfn.TEXTJOIN(", ",TRUE,IF($R137:$Y137&gt;0,$C$1:$J$1,"")))</f>
        <v/>
      </c>
      <c r="N137">
        <f t="array" ref="N137">IF($L137=0,"",SUMPRODUCT(($L$3:$L$144=1)*($K$3:$K$144&lt;$K137))+1)</f>
        <v/>
      </c>
      <c r="O137">
        <f>IF($L137=0,"",MATCH(1,$R137:$Y137,0))</f>
        <v/>
      </c>
      <c r="P137">
        <f>IF($A137="","",IFERROR(INDEX(countries!$G:$G,MATCH($A137,countries!$D:$D,0)),""))</f>
        <v/>
      </c>
      <c r="Q137">
        <f>IF($A137="","",IFERROR(IF(INDEX(countries!$I:$I,MATCH($A137,countries!$D:$D,0))=0,"",INDEX(countries!$I:$I,MATCH($A137,countries!$D:$D,0))),""))</f>
        <v/>
      </c>
      <c r="R137">
        <f t="array" ref="R137">IF($A137="","",IF(AND(INDEX($C137:$J137,R$2)&gt;0,$A137&lt;&gt;INDEX('TRIP MANAGER'!$T$18:$T$25,R$2),$A137&lt;&gt;INDEX('TRIP MANAGER'!$U$18:$U$25,R$2)),1,0))</f>
        <v/>
      </c>
      <c r="S137">
        <f t="array" ref="S137">IF($A137="","",IF(AND(INDEX($C137:$J137,S$2)&gt;0,$A137&lt;&gt;INDEX('TRIP MANAGER'!$T$18:$T$25,S$2),$A137&lt;&gt;INDEX('TRIP MANAGER'!$U$18:$U$25,S$2)),1,0))</f>
        <v/>
      </c>
      <c r="T137">
        <f t="array" ref="T137">IF($A137="","",IF(AND(INDEX($C137:$J137,T$2)&gt;0,$A137&lt;&gt;INDEX('TRIP MANAGER'!$T$18:$T$25,T$2),$A137&lt;&gt;INDEX('TRIP MANAGER'!$U$18:$U$25,T$2)),1,0))</f>
        <v/>
      </c>
      <c r="U137">
        <f t="array" ref="U137">IF($A137="","",IF(AND(INDEX($C137:$J137,U$2)&gt;0,$A137&lt;&gt;INDEX('TRIP MANAGER'!$T$18:$T$25,U$2),$A137&lt;&gt;INDEX('TRIP MANAGER'!$U$18:$U$25,U$2)),1,0))</f>
        <v/>
      </c>
      <c r="V137">
        <f t="array" ref="V137">IF($A137="","",IF(AND(INDEX($C137:$J137,V$2)&gt;0,$A137&lt;&gt;INDEX('TRIP MANAGER'!$T$18:$T$25,V$2),$A137&lt;&gt;INDEX('TRIP MANAGER'!$U$18:$U$25,V$2)),1,0))</f>
        <v/>
      </c>
      <c r="W137">
        <f t="array" ref="W137">IF($A137="","",IF(AND(INDEX($C137:$J137,W$2)&gt;0,$A137&lt;&gt;INDEX('TRIP MANAGER'!$T$18:$T$25,W$2),$A137&lt;&gt;INDEX('TRIP MANAGER'!$U$18:$U$25,W$2)),1,0))</f>
        <v/>
      </c>
      <c r="X137">
        <f t="array" ref="X137">IF($A137="","",IF(AND(INDEX($C137:$J137,X$2)&gt;0,$A137&lt;&gt;INDEX('TRIP MANAGER'!$T$18:$T$25,X$2),$A137&lt;&gt;INDEX('TRIP MANAGER'!$U$18:$U$25,X$2)),1,0))</f>
        <v/>
      </c>
      <c r="Y137">
        <f t="array" ref="Y137">IF($A137="","",IF(AND(INDEX($C137:$J137,Y$2)&gt;0,$A137&lt;&gt;INDEX('TRIP MANAGER'!$T$18:$T$25,Y$2),$A137&lt;&gt;INDEX('TRIP MANAGER'!$U$18:$U$25,Y$2)),1,0))</f>
        <v/>
      </c>
    </row>
    <row r="138">
      <c r="A138">
        <f>IF(countries!$D137="","",countries!$D137)</f>
        <v/>
      </c>
      <c r="B138">
        <f>IF(countries!$B137="","",countries!$B137)</f>
        <v/>
      </c>
      <c r="C138">
        <f>IF($A138="","",COUNTIFS(route_calc!$A$2:$A$1209,C$2,route_calc!$P$2:$P$1209,$A138))</f>
        <v/>
      </c>
      <c r="D138">
        <f>IF($A138="","",COUNTIFS(route_calc!$A$2:$A$1209,D$2,route_calc!$P$2:$P$1209,$A138))</f>
        <v/>
      </c>
      <c r="E138">
        <f>IF($A138="","",COUNTIFS(route_calc!$A$2:$A$1209,E$2,route_calc!$P$2:$P$1209,$A138))</f>
        <v/>
      </c>
      <c r="F138">
        <f>IF($A138="","",COUNTIFS(route_calc!$A$2:$A$1209,F$2,route_calc!$P$2:$P$1209,$A138))</f>
        <v/>
      </c>
      <c r="G138">
        <f>IF($A138="","",COUNTIFS(route_calc!$A$2:$A$1209,G$2,route_calc!$P$2:$P$1209,$A138))</f>
        <v/>
      </c>
      <c r="H138">
        <f>IF($A138="","",COUNTIFS(route_calc!$A$2:$A$1209,H$2,route_calc!$P$2:$P$1209,$A138))</f>
        <v/>
      </c>
      <c r="I138">
        <f>IF($A138="","",COUNTIFS(route_calc!$A$2:$A$1209,I$2,route_calc!$P$2:$P$1209,$A138))</f>
        <v/>
      </c>
      <c r="J138">
        <f>IF($A138="","",COUNTIFS(route_calc!$A$2:$A$1209,J$2,route_calc!$P$2:$P$1209,$A138))</f>
        <v/>
      </c>
      <c r="K138">
        <f>IF($L138=0,"",_xlfn.MINIFS(route_calc!$Q$2:$Q$1209,route_calc!$P$2:$P$1209,$A138,route_calc!$A$2:$A$1209,MATCH(1,$R138:$Y138,0)))</f>
        <v/>
      </c>
      <c r="L138">
        <f>IF($A138="",0,IF(SUM($R138:$Y138)&gt;0,1,0))</f>
        <v/>
      </c>
      <c r="M138">
        <f t="array" ref="M138">IF($L138=0,"",_xlfn.TEXTJOIN(", ",TRUE,IF($R138:$Y138&gt;0,$C$1:$J$1,"")))</f>
        <v/>
      </c>
      <c r="N138">
        <f t="array" ref="N138">IF($L138=0,"",SUMPRODUCT(($L$3:$L$144=1)*($K$3:$K$144&lt;$K138))+1)</f>
        <v/>
      </c>
      <c r="O138">
        <f>IF($L138=0,"",MATCH(1,$R138:$Y138,0))</f>
        <v/>
      </c>
      <c r="P138">
        <f>IF($A138="","",IFERROR(INDEX(countries!$G:$G,MATCH($A138,countries!$D:$D,0)),""))</f>
        <v/>
      </c>
      <c r="Q138">
        <f>IF($A138="","",IFERROR(IF(INDEX(countries!$I:$I,MATCH($A138,countries!$D:$D,0))=0,"",INDEX(countries!$I:$I,MATCH($A138,countries!$D:$D,0))),""))</f>
        <v/>
      </c>
      <c r="R138">
        <f t="array" ref="R138">IF($A138="","",IF(AND(INDEX($C138:$J138,R$2)&gt;0,$A138&lt;&gt;INDEX('TRIP MANAGER'!$T$18:$T$25,R$2),$A138&lt;&gt;INDEX('TRIP MANAGER'!$U$18:$U$25,R$2)),1,0))</f>
        <v/>
      </c>
      <c r="S138">
        <f t="array" ref="S138">IF($A138="","",IF(AND(INDEX($C138:$J138,S$2)&gt;0,$A138&lt;&gt;INDEX('TRIP MANAGER'!$T$18:$T$25,S$2),$A138&lt;&gt;INDEX('TRIP MANAGER'!$U$18:$U$25,S$2)),1,0))</f>
        <v/>
      </c>
      <c r="T138">
        <f t="array" ref="T138">IF($A138="","",IF(AND(INDEX($C138:$J138,T$2)&gt;0,$A138&lt;&gt;INDEX('TRIP MANAGER'!$T$18:$T$25,T$2),$A138&lt;&gt;INDEX('TRIP MANAGER'!$U$18:$U$25,T$2)),1,0))</f>
        <v/>
      </c>
      <c r="U138">
        <f t="array" ref="U138">IF($A138="","",IF(AND(INDEX($C138:$J138,U$2)&gt;0,$A138&lt;&gt;INDEX('TRIP MANAGER'!$T$18:$T$25,U$2),$A138&lt;&gt;INDEX('TRIP MANAGER'!$U$18:$U$25,U$2)),1,0))</f>
        <v/>
      </c>
      <c r="V138">
        <f t="array" ref="V138">IF($A138="","",IF(AND(INDEX($C138:$J138,V$2)&gt;0,$A138&lt;&gt;INDEX('TRIP MANAGER'!$T$18:$T$25,V$2),$A138&lt;&gt;INDEX('TRIP MANAGER'!$U$18:$U$25,V$2)),1,0))</f>
        <v/>
      </c>
      <c r="W138">
        <f t="array" ref="W138">IF($A138="","",IF(AND(INDEX($C138:$J138,W$2)&gt;0,$A138&lt;&gt;INDEX('TRIP MANAGER'!$T$18:$T$25,W$2),$A138&lt;&gt;INDEX('TRIP MANAGER'!$U$18:$U$25,W$2)),1,0))</f>
        <v/>
      </c>
      <c r="X138">
        <f t="array" ref="X138">IF($A138="","",IF(AND(INDEX($C138:$J138,X$2)&gt;0,$A138&lt;&gt;INDEX('TRIP MANAGER'!$T$18:$T$25,X$2),$A138&lt;&gt;INDEX('TRIP MANAGER'!$U$18:$U$25,X$2)),1,0))</f>
        <v/>
      </c>
      <c r="Y138">
        <f t="array" ref="Y138">IF($A138="","",IF(AND(INDEX($C138:$J138,Y$2)&gt;0,$A138&lt;&gt;INDEX('TRIP MANAGER'!$T$18:$T$25,Y$2),$A138&lt;&gt;INDEX('TRIP MANAGER'!$U$18:$U$25,Y$2)),1,0))</f>
        <v/>
      </c>
    </row>
    <row r="139">
      <c r="A139">
        <f>IF(countries!$D138="","",countries!$D138)</f>
        <v/>
      </c>
      <c r="B139">
        <f>IF(countries!$B138="","",countries!$B138)</f>
        <v/>
      </c>
      <c r="C139">
        <f>IF($A139="","",COUNTIFS(route_calc!$A$2:$A$1209,C$2,route_calc!$P$2:$P$1209,$A139))</f>
        <v/>
      </c>
      <c r="D139">
        <f>IF($A139="","",COUNTIFS(route_calc!$A$2:$A$1209,D$2,route_calc!$P$2:$P$1209,$A139))</f>
        <v/>
      </c>
      <c r="E139">
        <f>IF($A139="","",COUNTIFS(route_calc!$A$2:$A$1209,E$2,route_calc!$P$2:$P$1209,$A139))</f>
        <v/>
      </c>
      <c r="F139">
        <f>IF($A139="","",COUNTIFS(route_calc!$A$2:$A$1209,F$2,route_calc!$P$2:$P$1209,$A139))</f>
        <v/>
      </c>
      <c r="G139">
        <f>IF($A139="","",COUNTIFS(route_calc!$A$2:$A$1209,G$2,route_calc!$P$2:$P$1209,$A139))</f>
        <v/>
      </c>
      <c r="H139">
        <f>IF($A139="","",COUNTIFS(route_calc!$A$2:$A$1209,H$2,route_calc!$P$2:$P$1209,$A139))</f>
        <v/>
      </c>
      <c r="I139">
        <f>IF($A139="","",COUNTIFS(route_calc!$A$2:$A$1209,I$2,route_calc!$P$2:$P$1209,$A139))</f>
        <v/>
      </c>
      <c r="J139">
        <f>IF($A139="","",COUNTIFS(route_calc!$A$2:$A$1209,J$2,route_calc!$P$2:$P$1209,$A139))</f>
        <v/>
      </c>
      <c r="K139">
        <f>IF($L139=0,"",_xlfn.MINIFS(route_calc!$Q$2:$Q$1209,route_calc!$P$2:$P$1209,$A139,route_calc!$A$2:$A$1209,MATCH(1,$R139:$Y139,0)))</f>
        <v/>
      </c>
      <c r="L139">
        <f>IF($A139="",0,IF(SUM($R139:$Y139)&gt;0,1,0))</f>
        <v/>
      </c>
      <c r="M139">
        <f t="array" ref="M139">IF($L139=0,"",_xlfn.TEXTJOIN(", ",TRUE,IF($R139:$Y139&gt;0,$C$1:$J$1,"")))</f>
        <v/>
      </c>
      <c r="N139">
        <f t="array" ref="N139">IF($L139=0,"",SUMPRODUCT(($L$3:$L$144=1)*($K$3:$K$144&lt;$K139))+1)</f>
        <v/>
      </c>
      <c r="O139">
        <f>IF($L139=0,"",MATCH(1,$R139:$Y139,0))</f>
        <v/>
      </c>
      <c r="P139">
        <f>IF($A139="","",IFERROR(INDEX(countries!$G:$G,MATCH($A139,countries!$D:$D,0)),""))</f>
        <v/>
      </c>
      <c r="Q139">
        <f>IF($A139="","",IFERROR(IF(INDEX(countries!$I:$I,MATCH($A139,countries!$D:$D,0))=0,"",INDEX(countries!$I:$I,MATCH($A139,countries!$D:$D,0))),""))</f>
        <v/>
      </c>
      <c r="R139">
        <f t="array" ref="R139">IF($A139="","",IF(AND(INDEX($C139:$J139,R$2)&gt;0,$A139&lt;&gt;INDEX('TRIP MANAGER'!$T$18:$T$25,R$2),$A139&lt;&gt;INDEX('TRIP MANAGER'!$U$18:$U$25,R$2)),1,0))</f>
        <v/>
      </c>
      <c r="S139">
        <f t="array" ref="S139">IF($A139="","",IF(AND(INDEX($C139:$J139,S$2)&gt;0,$A139&lt;&gt;INDEX('TRIP MANAGER'!$T$18:$T$25,S$2),$A139&lt;&gt;INDEX('TRIP MANAGER'!$U$18:$U$25,S$2)),1,0))</f>
        <v/>
      </c>
      <c r="T139">
        <f t="array" ref="T139">IF($A139="","",IF(AND(INDEX($C139:$J139,T$2)&gt;0,$A139&lt;&gt;INDEX('TRIP MANAGER'!$T$18:$T$25,T$2),$A139&lt;&gt;INDEX('TRIP MANAGER'!$U$18:$U$25,T$2)),1,0))</f>
        <v/>
      </c>
      <c r="U139">
        <f t="array" ref="U139">IF($A139="","",IF(AND(INDEX($C139:$J139,U$2)&gt;0,$A139&lt;&gt;INDEX('TRIP MANAGER'!$T$18:$T$25,U$2),$A139&lt;&gt;INDEX('TRIP MANAGER'!$U$18:$U$25,U$2)),1,0))</f>
        <v/>
      </c>
      <c r="V139">
        <f t="array" ref="V139">IF($A139="","",IF(AND(INDEX($C139:$J139,V$2)&gt;0,$A139&lt;&gt;INDEX('TRIP MANAGER'!$T$18:$T$25,V$2),$A139&lt;&gt;INDEX('TRIP MANAGER'!$U$18:$U$25,V$2)),1,0))</f>
        <v/>
      </c>
      <c r="W139">
        <f t="array" ref="W139">IF($A139="","",IF(AND(INDEX($C139:$J139,W$2)&gt;0,$A139&lt;&gt;INDEX('TRIP MANAGER'!$T$18:$T$25,W$2),$A139&lt;&gt;INDEX('TRIP MANAGER'!$U$18:$U$25,W$2)),1,0))</f>
        <v/>
      </c>
      <c r="X139">
        <f t="array" ref="X139">IF($A139="","",IF(AND(INDEX($C139:$J139,X$2)&gt;0,$A139&lt;&gt;INDEX('TRIP MANAGER'!$T$18:$T$25,X$2),$A139&lt;&gt;INDEX('TRIP MANAGER'!$U$18:$U$25,X$2)),1,0))</f>
        <v/>
      </c>
      <c r="Y139">
        <f t="array" ref="Y139">IF($A139="","",IF(AND(INDEX($C139:$J139,Y$2)&gt;0,$A139&lt;&gt;INDEX('TRIP MANAGER'!$T$18:$T$25,Y$2),$A139&lt;&gt;INDEX('TRIP MANAGER'!$U$18:$U$25,Y$2)),1,0))</f>
        <v/>
      </c>
    </row>
    <row r="140">
      <c r="A140">
        <f>IF(countries!$D139="","",countries!$D139)</f>
        <v/>
      </c>
      <c r="B140">
        <f>IF(countries!$B139="","",countries!$B139)</f>
        <v/>
      </c>
      <c r="C140">
        <f>IF($A140="","",COUNTIFS(route_calc!$A$2:$A$1209,C$2,route_calc!$P$2:$P$1209,$A140))</f>
        <v/>
      </c>
      <c r="D140">
        <f>IF($A140="","",COUNTIFS(route_calc!$A$2:$A$1209,D$2,route_calc!$P$2:$P$1209,$A140))</f>
        <v/>
      </c>
      <c r="E140">
        <f>IF($A140="","",COUNTIFS(route_calc!$A$2:$A$1209,E$2,route_calc!$P$2:$P$1209,$A140))</f>
        <v/>
      </c>
      <c r="F140">
        <f>IF($A140="","",COUNTIFS(route_calc!$A$2:$A$1209,F$2,route_calc!$P$2:$P$1209,$A140))</f>
        <v/>
      </c>
      <c r="G140">
        <f>IF($A140="","",COUNTIFS(route_calc!$A$2:$A$1209,G$2,route_calc!$P$2:$P$1209,$A140))</f>
        <v/>
      </c>
      <c r="H140">
        <f>IF($A140="","",COUNTIFS(route_calc!$A$2:$A$1209,H$2,route_calc!$P$2:$P$1209,$A140))</f>
        <v/>
      </c>
      <c r="I140">
        <f>IF($A140="","",COUNTIFS(route_calc!$A$2:$A$1209,I$2,route_calc!$P$2:$P$1209,$A140))</f>
        <v/>
      </c>
      <c r="J140">
        <f>IF($A140="","",COUNTIFS(route_calc!$A$2:$A$1209,J$2,route_calc!$P$2:$P$1209,$A140))</f>
        <v/>
      </c>
      <c r="K140">
        <f>IF($L140=0,"",_xlfn.MINIFS(route_calc!$Q$2:$Q$1209,route_calc!$P$2:$P$1209,$A140,route_calc!$A$2:$A$1209,MATCH(1,$R140:$Y140,0)))</f>
        <v/>
      </c>
      <c r="L140">
        <f>IF($A140="",0,IF(SUM($R140:$Y140)&gt;0,1,0))</f>
        <v/>
      </c>
      <c r="M140">
        <f t="array" ref="M140">IF($L140=0,"",_xlfn.TEXTJOIN(", ",TRUE,IF($R140:$Y140&gt;0,$C$1:$J$1,"")))</f>
        <v/>
      </c>
      <c r="N140">
        <f t="array" ref="N140">IF($L140=0,"",SUMPRODUCT(($L$3:$L$144=1)*($K$3:$K$144&lt;$K140))+1)</f>
        <v/>
      </c>
      <c r="O140">
        <f>IF($L140=0,"",MATCH(1,$R140:$Y140,0))</f>
        <v/>
      </c>
      <c r="P140">
        <f>IF($A140="","",IFERROR(INDEX(countries!$G:$G,MATCH($A140,countries!$D:$D,0)),""))</f>
        <v/>
      </c>
      <c r="Q140">
        <f>IF($A140="","",IFERROR(IF(INDEX(countries!$I:$I,MATCH($A140,countries!$D:$D,0))=0,"",INDEX(countries!$I:$I,MATCH($A140,countries!$D:$D,0))),""))</f>
        <v/>
      </c>
      <c r="R140">
        <f t="array" ref="R140">IF($A140="","",IF(AND(INDEX($C140:$J140,R$2)&gt;0,$A140&lt;&gt;INDEX('TRIP MANAGER'!$T$18:$T$25,R$2),$A140&lt;&gt;INDEX('TRIP MANAGER'!$U$18:$U$25,R$2)),1,0))</f>
        <v/>
      </c>
      <c r="S140">
        <f t="array" ref="S140">IF($A140="","",IF(AND(INDEX($C140:$J140,S$2)&gt;0,$A140&lt;&gt;INDEX('TRIP MANAGER'!$T$18:$T$25,S$2),$A140&lt;&gt;INDEX('TRIP MANAGER'!$U$18:$U$25,S$2)),1,0))</f>
        <v/>
      </c>
      <c r="T140">
        <f t="array" ref="T140">IF($A140="","",IF(AND(INDEX($C140:$J140,T$2)&gt;0,$A140&lt;&gt;INDEX('TRIP MANAGER'!$T$18:$T$25,T$2),$A140&lt;&gt;INDEX('TRIP MANAGER'!$U$18:$U$25,T$2)),1,0))</f>
        <v/>
      </c>
      <c r="U140">
        <f t="array" ref="U140">IF($A140="","",IF(AND(INDEX($C140:$J140,U$2)&gt;0,$A140&lt;&gt;INDEX('TRIP MANAGER'!$T$18:$T$25,U$2),$A140&lt;&gt;INDEX('TRIP MANAGER'!$U$18:$U$25,U$2)),1,0))</f>
        <v/>
      </c>
      <c r="V140">
        <f t="array" ref="V140">IF($A140="","",IF(AND(INDEX($C140:$J140,V$2)&gt;0,$A140&lt;&gt;INDEX('TRIP MANAGER'!$T$18:$T$25,V$2),$A140&lt;&gt;INDEX('TRIP MANAGER'!$U$18:$U$25,V$2)),1,0))</f>
        <v/>
      </c>
      <c r="W140">
        <f t="array" ref="W140">IF($A140="","",IF(AND(INDEX($C140:$J140,W$2)&gt;0,$A140&lt;&gt;INDEX('TRIP MANAGER'!$T$18:$T$25,W$2),$A140&lt;&gt;INDEX('TRIP MANAGER'!$U$18:$U$25,W$2)),1,0))</f>
        <v/>
      </c>
      <c r="X140">
        <f t="array" ref="X140">IF($A140="","",IF(AND(INDEX($C140:$J140,X$2)&gt;0,$A140&lt;&gt;INDEX('TRIP MANAGER'!$T$18:$T$25,X$2),$A140&lt;&gt;INDEX('TRIP MANAGER'!$U$18:$U$25,X$2)),1,0))</f>
        <v/>
      </c>
      <c r="Y140">
        <f t="array" ref="Y140">IF($A140="","",IF(AND(INDEX($C140:$J140,Y$2)&gt;0,$A140&lt;&gt;INDEX('TRIP MANAGER'!$T$18:$T$25,Y$2),$A140&lt;&gt;INDEX('TRIP MANAGER'!$U$18:$U$25,Y$2)),1,0))</f>
        <v/>
      </c>
    </row>
    <row r="141">
      <c r="A141">
        <f>IF(countries!$D140="","",countries!$D140)</f>
        <v/>
      </c>
      <c r="B141">
        <f>IF(countries!$B140="","",countries!$B140)</f>
        <v/>
      </c>
      <c r="C141">
        <f>IF($A141="","",COUNTIFS(route_calc!$A$2:$A$1209,C$2,route_calc!$P$2:$P$1209,$A141))</f>
        <v/>
      </c>
      <c r="D141">
        <f>IF($A141="","",COUNTIFS(route_calc!$A$2:$A$1209,D$2,route_calc!$P$2:$P$1209,$A141))</f>
        <v/>
      </c>
      <c r="E141">
        <f>IF($A141="","",COUNTIFS(route_calc!$A$2:$A$1209,E$2,route_calc!$P$2:$P$1209,$A141))</f>
        <v/>
      </c>
      <c r="F141">
        <f>IF($A141="","",COUNTIFS(route_calc!$A$2:$A$1209,F$2,route_calc!$P$2:$P$1209,$A141))</f>
        <v/>
      </c>
      <c r="G141">
        <f>IF($A141="","",COUNTIFS(route_calc!$A$2:$A$1209,G$2,route_calc!$P$2:$P$1209,$A141))</f>
        <v/>
      </c>
      <c r="H141">
        <f>IF($A141="","",COUNTIFS(route_calc!$A$2:$A$1209,H$2,route_calc!$P$2:$P$1209,$A141))</f>
        <v/>
      </c>
      <c r="I141">
        <f>IF($A141="","",COUNTIFS(route_calc!$A$2:$A$1209,I$2,route_calc!$P$2:$P$1209,$A141))</f>
        <v/>
      </c>
      <c r="J141">
        <f>IF($A141="","",COUNTIFS(route_calc!$A$2:$A$1209,J$2,route_calc!$P$2:$P$1209,$A141))</f>
        <v/>
      </c>
      <c r="K141">
        <f>IF($L141=0,"",_xlfn.MINIFS(route_calc!$Q$2:$Q$1209,route_calc!$P$2:$P$1209,$A141,route_calc!$A$2:$A$1209,MATCH(1,$R141:$Y141,0)))</f>
        <v/>
      </c>
      <c r="L141">
        <f>IF($A141="",0,IF(SUM($R141:$Y141)&gt;0,1,0))</f>
        <v/>
      </c>
      <c r="M141">
        <f t="array" ref="M141">IF($L141=0,"",_xlfn.TEXTJOIN(", ",TRUE,IF($R141:$Y141&gt;0,$C$1:$J$1,"")))</f>
        <v/>
      </c>
      <c r="N141">
        <f t="array" ref="N141">IF($L141=0,"",SUMPRODUCT(($L$3:$L$144=1)*($K$3:$K$144&lt;$K141))+1)</f>
        <v/>
      </c>
      <c r="O141">
        <f>IF($L141=0,"",MATCH(1,$R141:$Y141,0))</f>
        <v/>
      </c>
      <c r="P141">
        <f>IF($A141="","",IFERROR(INDEX(countries!$G:$G,MATCH($A141,countries!$D:$D,0)),""))</f>
        <v/>
      </c>
      <c r="Q141">
        <f>IF($A141="","",IFERROR(IF(INDEX(countries!$I:$I,MATCH($A141,countries!$D:$D,0))=0,"",INDEX(countries!$I:$I,MATCH($A141,countries!$D:$D,0))),""))</f>
        <v/>
      </c>
      <c r="R141">
        <f t="array" ref="R141">IF($A141="","",IF(AND(INDEX($C141:$J141,R$2)&gt;0,$A141&lt;&gt;INDEX('TRIP MANAGER'!$T$18:$T$25,R$2),$A141&lt;&gt;INDEX('TRIP MANAGER'!$U$18:$U$25,R$2)),1,0))</f>
        <v/>
      </c>
      <c r="S141">
        <f t="array" ref="S141">IF($A141="","",IF(AND(INDEX($C141:$J141,S$2)&gt;0,$A141&lt;&gt;INDEX('TRIP MANAGER'!$T$18:$T$25,S$2),$A141&lt;&gt;INDEX('TRIP MANAGER'!$U$18:$U$25,S$2)),1,0))</f>
        <v/>
      </c>
      <c r="T141">
        <f t="array" ref="T141">IF($A141="","",IF(AND(INDEX($C141:$J141,T$2)&gt;0,$A141&lt;&gt;INDEX('TRIP MANAGER'!$T$18:$T$25,T$2),$A141&lt;&gt;INDEX('TRIP MANAGER'!$U$18:$U$25,T$2)),1,0))</f>
        <v/>
      </c>
      <c r="U141">
        <f t="array" ref="U141">IF($A141="","",IF(AND(INDEX($C141:$J141,U$2)&gt;0,$A141&lt;&gt;INDEX('TRIP MANAGER'!$T$18:$T$25,U$2),$A141&lt;&gt;INDEX('TRIP MANAGER'!$U$18:$U$25,U$2)),1,0))</f>
        <v/>
      </c>
      <c r="V141">
        <f t="array" ref="V141">IF($A141="","",IF(AND(INDEX($C141:$J141,V$2)&gt;0,$A141&lt;&gt;INDEX('TRIP MANAGER'!$T$18:$T$25,V$2),$A141&lt;&gt;INDEX('TRIP MANAGER'!$U$18:$U$25,V$2)),1,0))</f>
        <v/>
      </c>
      <c r="W141">
        <f t="array" ref="W141">IF($A141="","",IF(AND(INDEX($C141:$J141,W$2)&gt;0,$A141&lt;&gt;INDEX('TRIP MANAGER'!$T$18:$T$25,W$2),$A141&lt;&gt;INDEX('TRIP MANAGER'!$U$18:$U$25,W$2)),1,0))</f>
        <v/>
      </c>
      <c r="X141">
        <f t="array" ref="X141">IF($A141="","",IF(AND(INDEX($C141:$J141,X$2)&gt;0,$A141&lt;&gt;INDEX('TRIP MANAGER'!$T$18:$T$25,X$2),$A141&lt;&gt;INDEX('TRIP MANAGER'!$U$18:$U$25,X$2)),1,0))</f>
        <v/>
      </c>
      <c r="Y141">
        <f t="array" ref="Y141">IF($A141="","",IF(AND(INDEX($C141:$J141,Y$2)&gt;0,$A141&lt;&gt;INDEX('TRIP MANAGER'!$T$18:$T$25,Y$2),$A141&lt;&gt;INDEX('TRIP MANAGER'!$U$18:$U$25,Y$2)),1,0))</f>
        <v/>
      </c>
    </row>
    <row r="142">
      <c r="A142">
        <f>IF(countries!$D141="","",countries!$D141)</f>
        <v/>
      </c>
      <c r="B142">
        <f>IF(countries!$B141="","",countries!$B141)</f>
        <v/>
      </c>
      <c r="C142">
        <f>IF($A142="","",COUNTIFS(route_calc!$A$2:$A$1209,C$2,route_calc!$P$2:$P$1209,$A142))</f>
        <v/>
      </c>
      <c r="D142">
        <f>IF($A142="","",COUNTIFS(route_calc!$A$2:$A$1209,D$2,route_calc!$P$2:$P$1209,$A142))</f>
        <v/>
      </c>
      <c r="E142">
        <f>IF($A142="","",COUNTIFS(route_calc!$A$2:$A$1209,E$2,route_calc!$P$2:$P$1209,$A142))</f>
        <v/>
      </c>
      <c r="F142">
        <f>IF($A142="","",COUNTIFS(route_calc!$A$2:$A$1209,F$2,route_calc!$P$2:$P$1209,$A142))</f>
        <v/>
      </c>
      <c r="G142">
        <f>IF($A142="","",COUNTIFS(route_calc!$A$2:$A$1209,G$2,route_calc!$P$2:$P$1209,$A142))</f>
        <v/>
      </c>
      <c r="H142">
        <f>IF($A142="","",COUNTIFS(route_calc!$A$2:$A$1209,H$2,route_calc!$P$2:$P$1209,$A142))</f>
        <v/>
      </c>
      <c r="I142">
        <f>IF($A142="","",COUNTIFS(route_calc!$A$2:$A$1209,I$2,route_calc!$P$2:$P$1209,$A142))</f>
        <v/>
      </c>
      <c r="J142">
        <f>IF($A142="","",COUNTIFS(route_calc!$A$2:$A$1209,J$2,route_calc!$P$2:$P$1209,$A142))</f>
        <v/>
      </c>
      <c r="K142">
        <f>IF($L142=0,"",_xlfn.MINIFS(route_calc!$Q$2:$Q$1209,route_calc!$P$2:$P$1209,$A142,route_calc!$A$2:$A$1209,MATCH(1,$R142:$Y142,0)))</f>
        <v/>
      </c>
      <c r="L142">
        <f>IF($A142="",0,IF(SUM($R142:$Y142)&gt;0,1,0))</f>
        <v/>
      </c>
      <c r="M142">
        <f t="array" ref="M142">IF($L142=0,"",_xlfn.TEXTJOIN(", ",TRUE,IF($R142:$Y142&gt;0,$C$1:$J$1,"")))</f>
        <v/>
      </c>
      <c r="N142">
        <f t="array" ref="N142">IF($L142=0,"",SUMPRODUCT(($L$3:$L$144=1)*($K$3:$K$144&lt;$K142))+1)</f>
        <v/>
      </c>
      <c r="O142">
        <f>IF($L142=0,"",MATCH(1,$R142:$Y142,0))</f>
        <v/>
      </c>
      <c r="P142">
        <f>IF($A142="","",IFERROR(INDEX(countries!$G:$G,MATCH($A142,countries!$D:$D,0)),""))</f>
        <v/>
      </c>
      <c r="Q142">
        <f>IF($A142="","",IFERROR(IF(INDEX(countries!$I:$I,MATCH($A142,countries!$D:$D,0))=0,"",INDEX(countries!$I:$I,MATCH($A142,countries!$D:$D,0))),""))</f>
        <v/>
      </c>
      <c r="R142">
        <f t="array" ref="R142">IF($A142="","",IF(AND(INDEX($C142:$J142,R$2)&gt;0,$A142&lt;&gt;INDEX('TRIP MANAGER'!$T$18:$T$25,R$2),$A142&lt;&gt;INDEX('TRIP MANAGER'!$U$18:$U$25,R$2)),1,0))</f>
        <v/>
      </c>
      <c r="S142">
        <f t="array" ref="S142">IF($A142="","",IF(AND(INDEX($C142:$J142,S$2)&gt;0,$A142&lt;&gt;INDEX('TRIP MANAGER'!$T$18:$T$25,S$2),$A142&lt;&gt;INDEX('TRIP MANAGER'!$U$18:$U$25,S$2)),1,0))</f>
        <v/>
      </c>
      <c r="T142">
        <f t="array" ref="T142">IF($A142="","",IF(AND(INDEX($C142:$J142,T$2)&gt;0,$A142&lt;&gt;INDEX('TRIP MANAGER'!$T$18:$T$25,T$2),$A142&lt;&gt;INDEX('TRIP MANAGER'!$U$18:$U$25,T$2)),1,0))</f>
        <v/>
      </c>
      <c r="U142">
        <f t="array" ref="U142">IF($A142="","",IF(AND(INDEX($C142:$J142,U$2)&gt;0,$A142&lt;&gt;INDEX('TRIP MANAGER'!$T$18:$T$25,U$2),$A142&lt;&gt;INDEX('TRIP MANAGER'!$U$18:$U$25,U$2)),1,0))</f>
        <v/>
      </c>
      <c r="V142">
        <f t="array" ref="V142">IF($A142="","",IF(AND(INDEX($C142:$J142,V$2)&gt;0,$A142&lt;&gt;INDEX('TRIP MANAGER'!$T$18:$T$25,V$2),$A142&lt;&gt;INDEX('TRIP MANAGER'!$U$18:$U$25,V$2)),1,0))</f>
        <v/>
      </c>
      <c r="W142">
        <f t="array" ref="W142">IF($A142="","",IF(AND(INDEX($C142:$J142,W$2)&gt;0,$A142&lt;&gt;INDEX('TRIP MANAGER'!$T$18:$T$25,W$2),$A142&lt;&gt;INDEX('TRIP MANAGER'!$U$18:$U$25,W$2)),1,0))</f>
        <v/>
      </c>
      <c r="X142">
        <f t="array" ref="X142">IF($A142="","",IF(AND(INDEX($C142:$J142,X$2)&gt;0,$A142&lt;&gt;INDEX('TRIP MANAGER'!$T$18:$T$25,X$2),$A142&lt;&gt;INDEX('TRIP MANAGER'!$U$18:$U$25,X$2)),1,0))</f>
        <v/>
      </c>
      <c r="Y142">
        <f t="array" ref="Y142">IF($A142="","",IF(AND(INDEX($C142:$J142,Y$2)&gt;0,$A142&lt;&gt;INDEX('TRIP MANAGER'!$T$18:$T$25,Y$2),$A142&lt;&gt;INDEX('TRIP MANAGER'!$U$18:$U$25,Y$2)),1,0))</f>
        <v/>
      </c>
    </row>
    <row r="143">
      <c r="A143">
        <f>IF(countries!$D142="","",countries!$D142)</f>
        <v/>
      </c>
      <c r="B143">
        <f>IF(countries!$B142="","",countries!$B142)</f>
        <v/>
      </c>
      <c r="C143">
        <f>IF($A143="","",COUNTIFS(route_calc!$A$2:$A$1209,C$2,route_calc!$P$2:$P$1209,$A143))</f>
        <v/>
      </c>
      <c r="D143">
        <f>IF($A143="","",COUNTIFS(route_calc!$A$2:$A$1209,D$2,route_calc!$P$2:$P$1209,$A143))</f>
        <v/>
      </c>
      <c r="E143">
        <f>IF($A143="","",COUNTIFS(route_calc!$A$2:$A$1209,E$2,route_calc!$P$2:$P$1209,$A143))</f>
        <v/>
      </c>
      <c r="F143">
        <f>IF($A143="","",COUNTIFS(route_calc!$A$2:$A$1209,F$2,route_calc!$P$2:$P$1209,$A143))</f>
        <v/>
      </c>
      <c r="G143">
        <f>IF($A143="","",COUNTIFS(route_calc!$A$2:$A$1209,G$2,route_calc!$P$2:$P$1209,$A143))</f>
        <v/>
      </c>
      <c r="H143">
        <f>IF($A143="","",COUNTIFS(route_calc!$A$2:$A$1209,H$2,route_calc!$P$2:$P$1209,$A143))</f>
        <v/>
      </c>
      <c r="I143">
        <f>IF($A143="","",COUNTIFS(route_calc!$A$2:$A$1209,I$2,route_calc!$P$2:$P$1209,$A143))</f>
        <v/>
      </c>
      <c r="J143">
        <f>IF($A143="","",COUNTIFS(route_calc!$A$2:$A$1209,J$2,route_calc!$P$2:$P$1209,$A143))</f>
        <v/>
      </c>
      <c r="K143">
        <f>IF($L143=0,"",_xlfn.MINIFS(route_calc!$Q$2:$Q$1209,route_calc!$P$2:$P$1209,$A143,route_calc!$A$2:$A$1209,MATCH(1,$R143:$Y143,0)))</f>
        <v/>
      </c>
      <c r="L143">
        <f>IF($A143="",0,IF(SUM($R143:$Y143)&gt;0,1,0))</f>
        <v/>
      </c>
      <c r="M143">
        <f t="array" ref="M143">IF($L143=0,"",_xlfn.TEXTJOIN(", ",TRUE,IF($R143:$Y143&gt;0,$C$1:$J$1,"")))</f>
        <v/>
      </c>
      <c r="N143">
        <f t="array" ref="N143">IF($L143=0,"",SUMPRODUCT(($L$3:$L$144=1)*($K$3:$K$144&lt;$K143))+1)</f>
        <v/>
      </c>
      <c r="O143">
        <f>IF($L143=0,"",MATCH(1,$R143:$Y143,0))</f>
        <v/>
      </c>
      <c r="P143">
        <f>IF($A143="","",IFERROR(INDEX(countries!$G:$G,MATCH($A143,countries!$D:$D,0)),""))</f>
        <v/>
      </c>
      <c r="Q143">
        <f>IF($A143="","",IFERROR(IF(INDEX(countries!$I:$I,MATCH($A143,countries!$D:$D,0))=0,"",INDEX(countries!$I:$I,MATCH($A143,countries!$D:$D,0))),""))</f>
        <v/>
      </c>
      <c r="R143">
        <f t="array" ref="R143">IF($A143="","",IF(AND(INDEX($C143:$J143,R$2)&gt;0,$A143&lt;&gt;INDEX('TRIP MANAGER'!$T$18:$T$25,R$2),$A143&lt;&gt;INDEX('TRIP MANAGER'!$U$18:$U$25,R$2)),1,0))</f>
        <v/>
      </c>
      <c r="S143">
        <f t="array" ref="S143">IF($A143="","",IF(AND(INDEX($C143:$J143,S$2)&gt;0,$A143&lt;&gt;INDEX('TRIP MANAGER'!$T$18:$T$25,S$2),$A143&lt;&gt;INDEX('TRIP MANAGER'!$U$18:$U$25,S$2)),1,0))</f>
        <v/>
      </c>
      <c r="T143">
        <f t="array" ref="T143">IF($A143="","",IF(AND(INDEX($C143:$J143,T$2)&gt;0,$A143&lt;&gt;INDEX('TRIP MANAGER'!$T$18:$T$25,T$2),$A143&lt;&gt;INDEX('TRIP MANAGER'!$U$18:$U$25,T$2)),1,0))</f>
        <v/>
      </c>
      <c r="U143">
        <f t="array" ref="U143">IF($A143="","",IF(AND(INDEX($C143:$J143,U$2)&gt;0,$A143&lt;&gt;INDEX('TRIP MANAGER'!$T$18:$T$25,U$2),$A143&lt;&gt;INDEX('TRIP MANAGER'!$U$18:$U$25,U$2)),1,0))</f>
        <v/>
      </c>
      <c r="V143">
        <f t="array" ref="V143">IF($A143="","",IF(AND(INDEX($C143:$J143,V$2)&gt;0,$A143&lt;&gt;INDEX('TRIP MANAGER'!$T$18:$T$25,V$2),$A143&lt;&gt;INDEX('TRIP MANAGER'!$U$18:$U$25,V$2)),1,0))</f>
        <v/>
      </c>
      <c r="W143">
        <f t="array" ref="W143">IF($A143="","",IF(AND(INDEX($C143:$J143,W$2)&gt;0,$A143&lt;&gt;INDEX('TRIP MANAGER'!$T$18:$T$25,W$2),$A143&lt;&gt;INDEX('TRIP MANAGER'!$U$18:$U$25,W$2)),1,0))</f>
        <v/>
      </c>
      <c r="X143">
        <f t="array" ref="X143">IF($A143="","",IF(AND(INDEX($C143:$J143,X$2)&gt;0,$A143&lt;&gt;INDEX('TRIP MANAGER'!$T$18:$T$25,X$2),$A143&lt;&gt;INDEX('TRIP MANAGER'!$U$18:$U$25,X$2)),1,0))</f>
        <v/>
      </c>
      <c r="Y143">
        <f t="array" ref="Y143">IF($A143="","",IF(AND(INDEX($C143:$J143,Y$2)&gt;0,$A143&lt;&gt;INDEX('TRIP MANAGER'!$T$18:$T$25,Y$2),$A143&lt;&gt;INDEX('TRIP MANAGER'!$U$18:$U$25,Y$2)),1,0))</f>
        <v/>
      </c>
    </row>
    <row r="144">
      <c r="A144">
        <f>IF(countries!$D143="","",countries!$D143)</f>
        <v/>
      </c>
      <c r="B144">
        <f>IF(countries!$B143="","",countries!$B143)</f>
        <v/>
      </c>
      <c r="C144">
        <f>IF($A144="","",COUNTIFS(route_calc!$A$2:$A$1209,C$2,route_calc!$P$2:$P$1209,$A144))</f>
        <v/>
      </c>
      <c r="D144">
        <f>IF($A144="","",COUNTIFS(route_calc!$A$2:$A$1209,D$2,route_calc!$P$2:$P$1209,$A144))</f>
        <v/>
      </c>
      <c r="E144">
        <f>IF($A144="","",COUNTIFS(route_calc!$A$2:$A$1209,E$2,route_calc!$P$2:$P$1209,$A144))</f>
        <v/>
      </c>
      <c r="F144">
        <f>IF($A144="","",COUNTIFS(route_calc!$A$2:$A$1209,F$2,route_calc!$P$2:$P$1209,$A144))</f>
        <v/>
      </c>
      <c r="G144">
        <f>IF($A144="","",COUNTIFS(route_calc!$A$2:$A$1209,G$2,route_calc!$P$2:$P$1209,$A144))</f>
        <v/>
      </c>
      <c r="H144">
        <f>IF($A144="","",COUNTIFS(route_calc!$A$2:$A$1209,H$2,route_calc!$P$2:$P$1209,$A144))</f>
        <v/>
      </c>
      <c r="I144">
        <f>IF($A144="","",COUNTIFS(route_calc!$A$2:$A$1209,I$2,route_calc!$P$2:$P$1209,$A144))</f>
        <v/>
      </c>
      <c r="J144">
        <f>IF($A144="","",COUNTIFS(route_calc!$A$2:$A$1209,J$2,route_calc!$P$2:$P$1209,$A144))</f>
        <v/>
      </c>
      <c r="K144">
        <f>IF($L144=0,"",_xlfn.MINIFS(route_calc!$Q$2:$Q$1209,route_calc!$P$2:$P$1209,$A144,route_calc!$A$2:$A$1209,MATCH(1,$R144:$Y144,0)))</f>
        <v/>
      </c>
      <c r="L144">
        <f>IF($A144="",0,IF(SUM($R144:$Y144)&gt;0,1,0))</f>
        <v/>
      </c>
      <c r="M144">
        <f t="array" ref="M144">IF($L144=0,"",_xlfn.TEXTJOIN(", ",TRUE,IF($R144:$Y144&gt;0,$C$1:$J$1,"")))</f>
        <v/>
      </c>
      <c r="N144">
        <f t="array" ref="N144">IF($L144=0,"",SUMPRODUCT(($L$3:$L$144=1)*($K$3:$K$144&lt;$K144))+1)</f>
        <v/>
      </c>
      <c r="O144">
        <f>IF($L144=0,"",MATCH(1,$R144:$Y144,0))</f>
        <v/>
      </c>
      <c r="P144">
        <f>IF($A144="","",IFERROR(INDEX(countries!$G:$G,MATCH($A144,countries!$D:$D,0)),""))</f>
        <v/>
      </c>
      <c r="Q144">
        <f>IF($A144="","",IFERROR(IF(INDEX(countries!$I:$I,MATCH($A144,countries!$D:$D,0))=0,"",INDEX(countries!$I:$I,MATCH($A144,countries!$D:$D,0))),""))</f>
        <v/>
      </c>
      <c r="R144">
        <f t="array" ref="R144">IF($A144="","",IF(AND(INDEX($C144:$J144,R$2)&gt;0,$A144&lt;&gt;INDEX('TRIP MANAGER'!$T$18:$T$25,R$2),$A144&lt;&gt;INDEX('TRIP MANAGER'!$U$18:$U$25,R$2)),1,0))</f>
        <v/>
      </c>
      <c r="S144">
        <f t="array" ref="S144">IF($A144="","",IF(AND(INDEX($C144:$J144,S$2)&gt;0,$A144&lt;&gt;INDEX('TRIP MANAGER'!$T$18:$T$25,S$2),$A144&lt;&gt;INDEX('TRIP MANAGER'!$U$18:$U$25,S$2)),1,0))</f>
        <v/>
      </c>
      <c r="T144">
        <f t="array" ref="T144">IF($A144="","",IF(AND(INDEX($C144:$J144,T$2)&gt;0,$A144&lt;&gt;INDEX('TRIP MANAGER'!$T$18:$T$25,T$2),$A144&lt;&gt;INDEX('TRIP MANAGER'!$U$18:$U$25,T$2)),1,0))</f>
        <v/>
      </c>
      <c r="U144">
        <f t="array" ref="U144">IF($A144="","",IF(AND(INDEX($C144:$J144,U$2)&gt;0,$A144&lt;&gt;INDEX('TRIP MANAGER'!$T$18:$T$25,U$2),$A144&lt;&gt;INDEX('TRIP MANAGER'!$U$18:$U$25,U$2)),1,0))</f>
        <v/>
      </c>
      <c r="V144">
        <f t="array" ref="V144">IF($A144="","",IF(AND(INDEX($C144:$J144,V$2)&gt;0,$A144&lt;&gt;INDEX('TRIP MANAGER'!$T$18:$T$25,V$2),$A144&lt;&gt;INDEX('TRIP MANAGER'!$U$18:$U$25,V$2)),1,0))</f>
        <v/>
      </c>
      <c r="W144">
        <f t="array" ref="W144">IF($A144="","",IF(AND(INDEX($C144:$J144,W$2)&gt;0,$A144&lt;&gt;INDEX('TRIP MANAGER'!$T$18:$T$25,W$2),$A144&lt;&gt;INDEX('TRIP MANAGER'!$U$18:$U$25,W$2)),1,0))</f>
        <v/>
      </c>
      <c r="X144">
        <f t="array" ref="X144">IF($A144="","",IF(AND(INDEX($C144:$J144,X$2)&gt;0,$A144&lt;&gt;INDEX('TRIP MANAGER'!$T$18:$T$25,X$2),$A144&lt;&gt;INDEX('TRIP MANAGER'!$U$18:$U$25,X$2)),1,0))</f>
        <v/>
      </c>
      <c r="Y144">
        <f t="array" ref="Y144">IF($A144="","",IF(AND(INDEX($C144:$J144,Y$2)&gt;0,$A144&lt;&gt;INDEX('TRIP MANAGER'!$T$18:$T$25,Y$2),$A144&lt;&gt;INDEX('TRIP MANAGER'!$U$18:$U$25,Y$2)),1,0))</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N62"/>
  <sheetViews>
    <sheetView workbookViewId="0">
      <pane ySplit="2" topLeftCell="A3" activePane="bottomLeft" state="frozen"/>
      <selection pane="bottomLeft" activeCell="A1" sqref="A1"/>
    </sheetView>
  </sheetViews>
  <sheetFormatPr baseColWidth="8" defaultRowHeight="14.4"/>
  <cols>
    <col width="20.33203125" customWidth="1" min="1" max="6"/>
    <col width="25.88671875" customWidth="1" min="7" max="7"/>
    <col width="31.44140625" customWidth="1" min="8" max="8"/>
    <col width="20.33203125" customWidth="1" min="9" max="29"/>
    <col width="33.33203125" customWidth="1" min="30" max="30"/>
    <col width="42.5546875" customWidth="1" min="31" max="34"/>
    <col width="20.33203125" customWidth="1" min="35" max="36"/>
    <col width="27.77734375" customWidth="1" min="37" max="40"/>
  </cols>
  <sheetData>
    <row r="1" ht="18" customHeight="1">
      <c r="A1" s="44" t="inlineStr">
        <is>
          <t>PAX &amp; CREW MANIFEST — BIODATA, CREDENTIALS &amp; DOCUMENTS</t>
        </is>
      </c>
    </row>
    <row r="2">
      <c r="A2" s="45" t="inlineStr">
        <is>
          <t>PERSON ID</t>
        </is>
      </c>
      <c r="B2" s="45" t="inlineStr">
        <is>
          <t>TRIP REF</t>
        </is>
      </c>
      <c r="C2" s="45" t="inlineStr">
        <is>
          <t>ROLE</t>
        </is>
      </c>
      <c r="D2" s="45" t="inlineStr">
        <is>
          <t>POSITION / PAX TYPE</t>
        </is>
      </c>
      <c r="E2" s="45" t="inlineStr">
        <is>
          <t>LEGS</t>
        </is>
      </c>
      <c r="F2" s="45" t="inlineStr">
        <is>
          <t>TITLE</t>
        </is>
      </c>
      <c r="G2" s="45" t="inlineStr">
        <is>
          <t>SURNAME</t>
        </is>
      </c>
      <c r="H2" s="45" t="inlineStr">
        <is>
          <t>GIVEN NAMES</t>
        </is>
      </c>
      <c r="I2" s="45" t="inlineStr">
        <is>
          <t>GENDER</t>
        </is>
      </c>
      <c r="J2" s="45" t="inlineStr">
        <is>
          <t>DATE OF BIRTH</t>
        </is>
      </c>
      <c r="K2" s="45" t="inlineStr">
        <is>
          <t>AGE</t>
        </is>
      </c>
      <c r="L2" s="45" t="inlineStr">
        <is>
          <t>NATIONALITY</t>
        </is>
      </c>
      <c r="M2" s="45" t="inlineStr">
        <is>
          <t>PASSPORT NO</t>
        </is>
      </c>
      <c r="N2" s="45" t="inlineStr">
        <is>
          <t>PASSPORT ISSUING STATE</t>
        </is>
      </c>
      <c r="O2" s="45" t="inlineStr">
        <is>
          <t>PASSPORT ISSUE</t>
        </is>
      </c>
      <c r="P2" s="45" t="inlineStr">
        <is>
          <t>PASSPORT EXPIRY</t>
        </is>
      </c>
      <c r="Q2" s="45" t="inlineStr">
        <is>
          <t>PASSPORT STATUS</t>
        </is>
      </c>
      <c r="R2" s="45" t="inlineStr">
        <is>
          <t>VISA REQUIRED</t>
        </is>
      </c>
      <c r="S2" s="45" t="inlineStr">
        <is>
          <t>VISA NO</t>
        </is>
      </c>
      <c r="T2" s="45" t="inlineStr">
        <is>
          <t>VISA EXPIRY</t>
        </is>
      </c>
      <c r="U2" s="45" t="inlineStr">
        <is>
          <t>VISA STATUS</t>
        </is>
      </c>
      <c r="V2" s="45" t="inlineStr">
        <is>
          <t>LICENCE NO</t>
        </is>
      </c>
      <c r="W2" s="45" t="inlineStr">
        <is>
          <t>LICENCE EXPIRY</t>
        </is>
      </c>
      <c r="X2" s="45" t="inlineStr">
        <is>
          <t>MEDICAL EXPIRY</t>
        </is>
      </c>
      <c r="Y2" s="45" t="inlineStr">
        <is>
          <t>CREW ID / ARC NO</t>
        </is>
      </c>
      <c r="Z2" s="45" t="inlineStr">
        <is>
          <t>CREW DOC STATUS</t>
        </is>
      </c>
      <c r="AA2" s="45" t="inlineStr">
        <is>
          <t>EMAIL</t>
        </is>
      </c>
      <c r="AB2" s="45" t="inlineStr">
        <is>
          <t>PHONE</t>
        </is>
      </c>
      <c r="AC2" s="45" t="inlineStr">
        <is>
          <t>EMERGENCY CONTACT</t>
        </is>
      </c>
      <c r="AD2" s="45" t="inlineStr">
        <is>
          <t>DIETARY / MEDICAL NOTES</t>
        </is>
      </c>
      <c r="AE2" s="45" t="inlineStr">
        <is>
          <t>DOCS FOLDER</t>
        </is>
      </c>
      <c r="AF2" s="45" t="inlineStr">
        <is>
          <t>PASSPORT SCAN</t>
        </is>
      </c>
      <c r="AG2" s="45" t="inlineStr">
        <is>
          <t>VISA SCAN</t>
        </is>
      </c>
      <c r="AH2" s="45" t="inlineStr">
        <is>
          <t>LICENCE / MEDICAL SCAN</t>
        </is>
      </c>
      <c r="AI2" s="45" t="inlineStr">
        <is>
          <t>DOCUMENT STATUS</t>
        </is>
      </c>
      <c r="AJ2" s="45" t="inlineStr">
        <is>
          <t>SEQ ON TRIP</t>
        </is>
      </c>
      <c r="AK2" s="67" t="inlineStr">
        <is>
          <t>DOCS UPLOADED</t>
        </is>
      </c>
      <c r="AL2" s="69" t="inlineStr">
        <is>
          <t>DOCS VERIFIED</t>
        </is>
      </c>
      <c r="AM2" s="67" t="inlineStr">
        <is>
          <t>DOCS AWAITING REVIEW</t>
        </is>
      </c>
      <c r="AN2" s="67" t="inlineStr">
        <is>
          <t>DOC MISMATCHES</t>
        </is>
      </c>
    </row>
    <row r="3">
      <c r="A3" s="4" t="inlineStr">
        <is>
          <t>P-001</t>
        </is>
      </c>
      <c r="B3" s="28">
        <f>'TRIP MANAGER'!$B$5</f>
        <v/>
      </c>
      <c r="C3" s="4" t="inlineStr">
        <is>
          <t>CREW</t>
        </is>
      </c>
      <c r="D3" s="4" t="inlineStr">
        <is>
          <t>PIC</t>
        </is>
      </c>
      <c r="E3" s="4" t="inlineStr">
        <is>
          <t>ALL</t>
        </is>
      </c>
      <c r="F3" s="4" t="inlineStr">
        <is>
          <t>CAPT</t>
        </is>
      </c>
      <c r="G3" s="4" t="inlineStr">
        <is>
          <t>WATSON</t>
        </is>
      </c>
      <c r="H3" s="4" t="inlineStr">
        <is>
          <t>CHARLES JAMES</t>
        </is>
      </c>
      <c r="I3" s="4" t="inlineStr">
        <is>
          <t>M</t>
        </is>
      </c>
      <c r="J3" s="114" t="n">
        <v>25569</v>
      </c>
      <c r="K3" s="10">
        <f>IF($J3="","",DATEDIF($J3,TODAY(),"Y"))</f>
        <v/>
      </c>
      <c r="L3" s="4" t="inlineStr">
        <is>
          <t>United States</t>
        </is>
      </c>
      <c r="M3" s="4" t="n">
        <v>512889301</v>
      </c>
      <c r="N3" s="4" t="inlineStr">
        <is>
          <t>United States</t>
        </is>
      </c>
      <c r="O3" s="114" t="n">
        <v>44927</v>
      </c>
      <c r="P3" s="114" t="n">
        <v>48945</v>
      </c>
      <c r="Q3" s="10">
        <f>IF($P3="","MISSING",IF($P3&lt;MAX('TRIP MANAGER'!$L$18:$L$25),"EXPIRES BEFORE TRIP",IF($P3&lt;MAX('TRIP MANAGER'!$L$18:$L$25)+180,"UNDER 6 MONTHS","VALID")))</f>
        <v/>
      </c>
      <c r="R3" s="28">
        <f t="array" ref="R3">IF($A3="","",IFERROR(INDEX('TRIP MANAGER'!$E$97:$J$97,INDEX('TRIP MANAGER'!$AJ$18:$AJ$37,MATCH($L3,'TRIP MANAGER'!$AH$18:$AH$37,0))),"NOT ASSESSED"))</f>
        <v/>
      </c>
      <c r="S3" s="4" t="n"/>
      <c r="T3" s="114" t="n"/>
      <c r="U3" s="10">
        <f>IF($A3="","",IF($R3="NO","N/A",IF(OR($R3="VERIFY",$R3="NOT ASSESSED"),"VISA RULE NOT ON FILE",IF($T3="","MISSING",IF($T3&lt;MAX('TRIP MANAGER'!$L$18:$L$25),"EXPIRED","VALID")))))</f>
        <v/>
      </c>
      <c r="V3" s="4" t="inlineStr">
        <is>
          <t>ATP-4471880</t>
        </is>
      </c>
      <c r="W3" s="114" t="n">
        <v>47850</v>
      </c>
      <c r="X3" s="114" t="n">
        <v>46800</v>
      </c>
      <c r="Y3" s="4" t="inlineStr">
        <is>
          <t>ARC-88120</t>
        </is>
      </c>
      <c r="Z3" s="10">
        <f>IF($A3="","",IF(UPPER($C3)&lt;&gt;"CREW","N/A",IF(OR($W3="",$X3=""),"MISSING",IF(MIN($W3,$X3)&lt;MAX('TRIP MANAGER'!$L$18:$L$25),"EXPIRED","VALID"))))</f>
        <v/>
      </c>
      <c r="AA3" s="4" t="inlineStr">
        <is>
          <t>c.watson@jetelio.com</t>
        </is>
      </c>
      <c r="AB3" s="4" t="inlineStr">
        <is>
          <t>+1 208 134 6478</t>
        </is>
      </c>
      <c r="AC3" s="4" t="inlineStr">
        <is>
          <t>J WATSON +1 208 134 0000</t>
        </is>
      </c>
      <c r="AD3" s="4" t="inlineStr">
        <is>
          <t>NIL</t>
        </is>
      </c>
      <c r="AE3" s="10">
        <f>IF($A3="","",admin!$B$2&amp;"\PaxCrewDocs\"&amp;$B3&amp;"\"&amp;$A3)</f>
        <v/>
      </c>
      <c r="AF3" s="10">
        <f>IF($A3="","",$AE3&amp;"\passport.pdf")</f>
        <v/>
      </c>
      <c r="AG3" s="10">
        <f>IF($A3="","",$AE3&amp;"\visa.pdf")</f>
        <v/>
      </c>
      <c r="AH3" s="10">
        <f>IF($A3="","",$AE3&amp;"\licence_medical.pdf")</f>
        <v/>
      </c>
      <c r="AI3" s="1">
        <f>IF($A3="","",IF(OR($Q3="MISSING",$Q3="EXPIRES BEFORE TRIP",$U3="EXPIRED",$U3="MISSING",$Z3="EXPIRED",$Z3="MISSING"),"ACTION REQUIRED",IF(OR($Q3="UNDER 6 MONTHS",$U3="VISA RULE NOT ON FILE"),"CHECK","OK")))</f>
        <v/>
      </c>
      <c r="AJ3">
        <f>IF($A3="","",IF($B3='TRIP MANAGER'!$B$5,COUNTIFS($A$3:$A3,"&lt;&gt;",$B$3:$B3,$B3),""))</f>
        <v/>
      </c>
      <c r="AK3">
        <f>IF($A3="","",COUNTIF(DOCUMENTS!$C$5:$C$44,$A3))</f>
        <v/>
      </c>
      <c r="AL3">
        <f>IF($A3="","",COUNTIFS(DOCUMENTS!$C$5:$C$44,$A3,DOCUMENTS!$AI$5:$AI$44,"&lt;&gt;")-COUNTIFS(DOCUMENTS!$C$5:$C$44,$A3,DOCUMENTS!$AI$5:$AI$44,"REJECT DOCUMENT"))</f>
        <v/>
      </c>
      <c r="AM3">
        <f>IF($A3="","",COUNTIFS(DOCUMENTS!$C$5:$C$44,$A3,DOCUMENTS!$AI$5:$AI$44,""))</f>
        <v/>
      </c>
      <c r="AN3">
        <f t="array" ref="AN3">IF($A3="","",SUMPRODUCT((DOCUMENTS!$C$5:$C$44=$A3)*(ISNUMBER(SEARCH("MISMATCH",DOCUMENTS!$AH$5:$AH$44)))))</f>
        <v/>
      </c>
    </row>
    <row r="4">
      <c r="A4" s="4" t="inlineStr">
        <is>
          <t>P-002</t>
        </is>
      </c>
      <c r="B4" s="28">
        <f>'TRIP MANAGER'!$B$5</f>
        <v/>
      </c>
      <c r="C4" s="4" t="inlineStr">
        <is>
          <t>CREW</t>
        </is>
      </c>
      <c r="D4" s="4" t="inlineStr">
        <is>
          <t>SIC</t>
        </is>
      </c>
      <c r="E4" s="4" t="inlineStr">
        <is>
          <t>ALL</t>
        </is>
      </c>
      <c r="F4" s="4" t="inlineStr">
        <is>
          <t>FO</t>
        </is>
      </c>
      <c r="G4" s="4" t="inlineStr">
        <is>
          <t>MBEKI</t>
        </is>
      </c>
      <c r="H4" s="4" t="inlineStr">
        <is>
          <t>THANDIWE</t>
        </is>
      </c>
      <c r="I4" s="4" t="inlineStr">
        <is>
          <t>F</t>
        </is>
      </c>
      <c r="J4" s="114" t="n">
        <v>30498</v>
      </c>
      <c r="K4" s="10">
        <f>IF($J4="","",DATEDIF($J4,TODAY(),"Y"))</f>
        <v/>
      </c>
      <c r="L4" s="4" t="inlineStr">
        <is>
          <t>South Africa</t>
        </is>
      </c>
      <c r="M4" s="4" t="inlineStr">
        <is>
          <t>A05993811</t>
        </is>
      </c>
      <c r="N4" s="4" t="inlineStr">
        <is>
          <t>South Africa</t>
        </is>
      </c>
      <c r="O4" s="114" t="n">
        <v>45292</v>
      </c>
      <c r="P4" s="114" t="n">
        <v>49310</v>
      </c>
      <c r="Q4" s="10">
        <f>IF($P4="","MISSING",IF($P4&lt;MAX('TRIP MANAGER'!$L$18:$L$25),"EXPIRES BEFORE TRIP",IF($P4&lt;MAX('TRIP MANAGER'!$L$18:$L$25)+180,"UNDER 6 MONTHS","VALID")))</f>
        <v/>
      </c>
      <c r="R4" s="28">
        <f t="array" ref="R4">IF($A4="","",IFERROR(INDEX('TRIP MANAGER'!$E$97:$J$97,INDEX('TRIP MANAGER'!$AJ$18:$AJ$37,MATCH($L4,'TRIP MANAGER'!$AH$18:$AH$37,0))),"NOT ASSESSED"))</f>
        <v/>
      </c>
      <c r="S4" s="4" t="n"/>
      <c r="T4" s="114" t="n"/>
      <c r="U4" s="10">
        <f>IF($A4="","",IF($R4="NO","N/A",IF(OR($R4="VERIFY",$R4="NOT ASSESSED"),"VISA RULE NOT ON FILE",IF($T4="","MISSING",IF($T4&lt;MAX('TRIP MANAGER'!$L$18:$L$25),"EXPIRED","VALID")))))</f>
        <v/>
      </c>
      <c r="V4" s="4" t="inlineStr">
        <is>
          <t>ZA-CPL-20114</t>
        </is>
      </c>
      <c r="W4" s="114" t="n">
        <v>47200</v>
      </c>
      <c r="X4" s="114" t="n">
        <v>46500</v>
      </c>
      <c r="Y4" s="4" t="inlineStr">
        <is>
          <t>ARC-90455</t>
        </is>
      </c>
      <c r="Z4" s="10">
        <f>IF($A4="","",IF(UPPER($C4)&lt;&gt;"CREW","N/A",IF(OR($W4="",$X4=""),"MISSING",IF(MIN($W4,$X4)&lt;MAX('TRIP MANAGER'!$L$18:$L$25),"EXPIRED","VALID"))))</f>
        <v/>
      </c>
      <c r="AA4" s="4" t="inlineStr">
        <is>
          <t>t.mbeki@jetelio.com</t>
        </is>
      </c>
      <c r="AB4" s="4" t="inlineStr">
        <is>
          <t>+27 82 555 1290</t>
        </is>
      </c>
      <c r="AC4" s="4" t="inlineStr">
        <is>
          <t>P MBEKI +27 82 555 0000</t>
        </is>
      </c>
      <c r="AD4" s="4" t="inlineStr">
        <is>
          <t>VEGETARIAN</t>
        </is>
      </c>
      <c r="AE4" s="10">
        <f>IF($A4="","",admin!$B$2&amp;"\PaxCrewDocs\"&amp;$B4&amp;"\"&amp;$A4)</f>
        <v/>
      </c>
      <c r="AF4" s="10">
        <f>IF($A4="","",$AE4&amp;"\passport.pdf")</f>
        <v/>
      </c>
      <c r="AG4" s="10">
        <f>IF($A4="","",$AE4&amp;"\visa.pdf")</f>
        <v/>
      </c>
      <c r="AH4" s="10">
        <f>IF($A4="","",$AE4&amp;"\licence_medical.pdf")</f>
        <v/>
      </c>
      <c r="AI4" s="1">
        <f>IF($A4="","",IF(OR($Q4="MISSING",$Q4="EXPIRES BEFORE TRIP",$U4="EXPIRED",$U4="MISSING",$Z4="EXPIRED",$Z4="MISSING"),"ACTION REQUIRED",IF(OR($Q4="UNDER 6 MONTHS",$U4="VISA RULE NOT ON FILE"),"CHECK","OK")))</f>
        <v/>
      </c>
      <c r="AJ4">
        <f>IF($A4="","",IF($B4='TRIP MANAGER'!$B$5,COUNTIFS($A$3:$A4,"&lt;&gt;",$B$3:$B4,$B4),""))</f>
        <v/>
      </c>
      <c r="AK4">
        <f>IF($A4="","",COUNTIF(DOCUMENTS!$C$5:$C$44,$A4))</f>
        <v/>
      </c>
      <c r="AL4">
        <f>IF($A4="","",COUNTIFS(DOCUMENTS!$C$5:$C$44,$A4,DOCUMENTS!$AI$5:$AI$44,"&lt;&gt;")-COUNTIFS(DOCUMENTS!$C$5:$C$44,$A4,DOCUMENTS!$AI$5:$AI$44,"REJECT DOCUMENT"))</f>
        <v/>
      </c>
      <c r="AM4">
        <f>IF($A4="","",COUNTIFS(DOCUMENTS!$C$5:$C$44,$A4,DOCUMENTS!$AI$5:$AI$44,""))</f>
        <v/>
      </c>
      <c r="AN4">
        <f t="array" ref="AN4">IF($A4="","",SUMPRODUCT((DOCUMENTS!$C$5:$C$44=$A4)*(ISNUMBER(SEARCH("MISMATCH",DOCUMENTS!$AH$5:$AH$44)))))</f>
        <v/>
      </c>
    </row>
    <row r="5">
      <c r="A5" s="4" t="inlineStr">
        <is>
          <t>P-003</t>
        </is>
      </c>
      <c r="B5" s="28">
        <f>'TRIP MANAGER'!$B$5</f>
        <v/>
      </c>
      <c r="C5" s="4" t="inlineStr">
        <is>
          <t>PAX</t>
        </is>
      </c>
      <c r="D5" s="4" t="inlineStr">
        <is>
          <t>PAX</t>
        </is>
      </c>
      <c r="E5" s="4" t="inlineStr">
        <is>
          <t>L1, L2</t>
        </is>
      </c>
      <c r="F5" s="4" t="inlineStr">
        <is>
          <t>MR</t>
        </is>
      </c>
      <c r="G5" s="4" t="inlineStr">
        <is>
          <t>AL-FARSI</t>
        </is>
      </c>
      <c r="H5" s="4" t="inlineStr">
        <is>
          <t>OMAR</t>
        </is>
      </c>
      <c r="I5" s="4" t="inlineStr">
        <is>
          <t>M</t>
        </is>
      </c>
      <c r="J5" s="114" t="n">
        <v>28125</v>
      </c>
      <c r="K5" s="10">
        <f>IF($J5="","",DATEDIF($J5,TODAY(),"Y"))</f>
        <v/>
      </c>
      <c r="L5" s="4" t="inlineStr">
        <is>
          <t>Oman</t>
        </is>
      </c>
      <c r="M5" s="4" t="inlineStr">
        <is>
          <t>P1204553</t>
        </is>
      </c>
      <c r="N5" s="4" t="inlineStr">
        <is>
          <t>Oman</t>
        </is>
      </c>
      <c r="O5" s="114" t="n">
        <v>44562</v>
      </c>
      <c r="P5" s="114" t="n">
        <v>48214</v>
      </c>
      <c r="Q5" s="10">
        <f>IF($P5="","MISSING",IF($P5&lt;MAX('TRIP MANAGER'!$L$18:$L$25),"EXPIRES BEFORE TRIP",IF($P5&lt;MAX('TRIP MANAGER'!$L$18:$L$25)+180,"UNDER 6 MONTHS","VALID")))</f>
        <v/>
      </c>
      <c r="R5" s="28">
        <f t="array" ref="R5">IF($A5="","",IFERROR(INDEX('TRIP MANAGER'!$E$97:$J$97,INDEX('TRIP MANAGER'!$AJ$18:$AJ$37,MATCH($L5,'TRIP MANAGER'!$AH$18:$AH$37,0))),"NOT ASSESSED"))</f>
        <v/>
      </c>
      <c r="S5" s="4" t="inlineStr">
        <is>
          <t>V-778211</t>
        </is>
      </c>
      <c r="T5" s="114" t="n">
        <v>47000</v>
      </c>
      <c r="U5" s="10">
        <f>IF($A5="","",IF($R5="NO","N/A",IF(OR($R5="VERIFY",$R5="NOT ASSESSED"),"VISA RULE NOT ON FILE",IF($T5="","MISSING",IF($T5&lt;MAX('TRIP MANAGER'!$L$18:$L$25),"EXPIRED","VALID")))))</f>
        <v/>
      </c>
      <c r="V5" s="4" t="n"/>
      <c r="W5" s="114" t="n"/>
      <c r="X5" s="114" t="n"/>
      <c r="Y5" s="4" t="n"/>
      <c r="Z5" s="10">
        <f>IF($A5="","",IF(UPPER($C5)&lt;&gt;"CREW","N/A",IF(OR($W5="",$X5=""),"MISSING",IF(MIN($W5,$X5)&lt;MAX('TRIP MANAGER'!$L$18:$L$25),"EXPIRED","VALID"))))</f>
        <v/>
      </c>
      <c r="AA5" s="4" t="inlineStr">
        <is>
          <t>omar.alfarsi@example.com</t>
        </is>
      </c>
      <c r="AB5" s="4" t="inlineStr">
        <is>
          <t>+968 9123 4455</t>
        </is>
      </c>
      <c r="AC5" s="4" t="inlineStr">
        <is>
          <t>S AL-FARSI +968 9123 0000</t>
        </is>
      </c>
      <c r="AD5" s="4" t="inlineStr">
        <is>
          <t>NUT ALLERGY</t>
        </is>
      </c>
      <c r="AE5" s="10">
        <f>IF($A5="","",admin!$B$2&amp;"\PaxCrewDocs\"&amp;$B5&amp;"\"&amp;$A5)</f>
        <v/>
      </c>
      <c r="AF5" s="10">
        <f>IF($A5="","",$AE5&amp;"\passport.pdf")</f>
        <v/>
      </c>
      <c r="AG5" s="10">
        <f>IF($A5="","",$AE5&amp;"\visa.pdf")</f>
        <v/>
      </c>
      <c r="AH5" s="10">
        <f>IF($A5="","",$AE5&amp;"\licence_medical.pdf")</f>
        <v/>
      </c>
      <c r="AI5" s="1">
        <f>IF($A5="","",IF(OR($Q5="MISSING",$Q5="EXPIRES BEFORE TRIP",$U5="EXPIRED",$U5="MISSING",$Z5="EXPIRED",$Z5="MISSING"),"ACTION REQUIRED",IF(OR($Q5="UNDER 6 MONTHS",$U5="VISA RULE NOT ON FILE"),"CHECK","OK")))</f>
        <v/>
      </c>
      <c r="AJ5">
        <f>IF($A5="","",IF($B5='TRIP MANAGER'!$B$5,COUNTIFS($A$3:$A5,"&lt;&gt;",$B$3:$B5,$B5),""))</f>
        <v/>
      </c>
      <c r="AK5">
        <f>IF($A5="","",COUNTIF(DOCUMENTS!$C$5:$C$44,$A5))</f>
        <v/>
      </c>
      <c r="AL5">
        <f>IF($A5="","",COUNTIFS(DOCUMENTS!$C$5:$C$44,$A5,DOCUMENTS!$AI$5:$AI$44,"&lt;&gt;")-COUNTIFS(DOCUMENTS!$C$5:$C$44,$A5,DOCUMENTS!$AI$5:$AI$44,"REJECT DOCUMENT"))</f>
        <v/>
      </c>
      <c r="AM5">
        <f>IF($A5="","",COUNTIFS(DOCUMENTS!$C$5:$C$44,$A5,DOCUMENTS!$AI$5:$AI$44,""))</f>
        <v/>
      </c>
      <c r="AN5">
        <f t="array" ref="AN5">IF($A5="","",SUMPRODUCT((DOCUMENTS!$C$5:$C$44=$A5)*(ISNUMBER(SEARCH("MISMATCH",DOCUMENTS!$AH$5:$AH$44)))))</f>
        <v/>
      </c>
    </row>
    <row r="6">
      <c r="A6" s="4" t="inlineStr">
        <is>
          <t>P-004</t>
        </is>
      </c>
      <c r="B6" s="28">
        <f>'TRIP MANAGER'!$B$5</f>
        <v/>
      </c>
      <c r="C6" s="4" t="inlineStr">
        <is>
          <t>PAX</t>
        </is>
      </c>
      <c r="D6" s="4" t="inlineStr">
        <is>
          <t>PAX</t>
        </is>
      </c>
      <c r="E6" s="4" t="inlineStr">
        <is>
          <t>L1</t>
        </is>
      </c>
      <c r="F6" s="4" t="inlineStr">
        <is>
          <t>MS</t>
        </is>
      </c>
      <c r="G6" s="4" t="inlineStr">
        <is>
          <t>NKOSI</t>
        </is>
      </c>
      <c r="H6" s="4" t="inlineStr">
        <is>
          <t>LERATO</t>
        </is>
      </c>
      <c r="I6" s="4" t="inlineStr">
        <is>
          <t>F</t>
        </is>
      </c>
      <c r="J6" s="114" t="n">
        <v>33420</v>
      </c>
      <c r="K6" s="10">
        <f>IF($J6="","",DATEDIF($J6,TODAY(),"Y"))</f>
        <v/>
      </c>
      <c r="L6" s="4" t="inlineStr">
        <is>
          <t>South Africa</t>
        </is>
      </c>
      <c r="M6" s="4" t="inlineStr">
        <is>
          <t>A07741220</t>
        </is>
      </c>
      <c r="N6" s="4" t="inlineStr">
        <is>
          <t>South Africa</t>
        </is>
      </c>
      <c r="O6" s="114" t="n">
        <v>45658</v>
      </c>
      <c r="P6" s="114" t="n">
        <v>46600</v>
      </c>
      <c r="Q6" s="10">
        <f>IF($P6="","MISSING",IF($P6&lt;MAX('TRIP MANAGER'!$L$18:$L$25),"EXPIRES BEFORE TRIP",IF($P6&lt;MAX('TRIP MANAGER'!$L$18:$L$25)+180,"UNDER 6 MONTHS","VALID")))</f>
        <v/>
      </c>
      <c r="R6" s="28">
        <f t="array" ref="R6">IF($A6="","",IFERROR(INDEX('TRIP MANAGER'!$E$97:$J$97,INDEX('TRIP MANAGER'!$AJ$18:$AJ$37,MATCH($L6,'TRIP MANAGER'!$AH$18:$AH$37,0))),"NOT ASSESSED"))</f>
        <v/>
      </c>
      <c r="S6" s="4" t="n"/>
      <c r="T6" s="114" t="n"/>
      <c r="U6" s="10">
        <f>IF($A6="","",IF($R6="NO","N/A",IF(OR($R6="VERIFY",$R6="NOT ASSESSED"),"VISA RULE NOT ON FILE",IF($T6="","MISSING",IF($T6&lt;MAX('TRIP MANAGER'!$L$18:$L$25),"EXPIRED","VALID")))))</f>
        <v/>
      </c>
      <c r="V6" s="4" t="n"/>
      <c r="W6" s="114" t="n"/>
      <c r="X6" s="114" t="n"/>
      <c r="Y6" s="4" t="n"/>
      <c r="Z6" s="10">
        <f>IF($A6="","",IF(UPPER($C6)&lt;&gt;"CREW","N/A",IF(OR($W6="",$X6=""),"MISSING",IF(MIN($W6,$X6)&lt;MAX('TRIP MANAGER'!$L$18:$L$25),"EXPIRED","VALID"))))</f>
        <v/>
      </c>
      <c r="AA6" s="4" t="inlineStr">
        <is>
          <t>lerato.nkosi@example.com</t>
        </is>
      </c>
      <c r="AB6" s="4" t="inlineStr">
        <is>
          <t>+27 71 448 3321</t>
        </is>
      </c>
      <c r="AC6" s="4" t="inlineStr">
        <is>
          <t>M NKOSI +27 71 448 0000</t>
        </is>
      </c>
      <c r="AD6" s="4" t="inlineStr">
        <is>
          <t>NIL</t>
        </is>
      </c>
      <c r="AE6" s="10">
        <f>IF($A6="","",admin!$B$2&amp;"\PaxCrewDocs\"&amp;$B6&amp;"\"&amp;$A6)</f>
        <v/>
      </c>
      <c r="AF6" s="10">
        <f>IF($A6="","",$AE6&amp;"\passport.pdf")</f>
        <v/>
      </c>
      <c r="AG6" s="10">
        <f>IF($A6="","",$AE6&amp;"\visa.pdf")</f>
        <v/>
      </c>
      <c r="AH6" s="10">
        <f>IF($A6="","",$AE6&amp;"\licence_medical.pdf")</f>
        <v/>
      </c>
      <c r="AI6" s="1">
        <f>IF($A6="","",IF(OR($Q6="MISSING",$Q6="EXPIRES BEFORE TRIP",$U6="EXPIRED",$U6="MISSING",$Z6="EXPIRED",$Z6="MISSING"),"ACTION REQUIRED",IF(OR($Q6="UNDER 6 MONTHS",$U6="VISA RULE NOT ON FILE"),"CHECK","OK")))</f>
        <v/>
      </c>
      <c r="AJ6">
        <f>IF($A6="","",IF($B6='TRIP MANAGER'!$B$5,COUNTIFS($A$3:$A6,"&lt;&gt;",$B$3:$B6,$B6),""))</f>
        <v/>
      </c>
      <c r="AK6">
        <f>IF($A6="","",COUNTIF(DOCUMENTS!$C$5:$C$44,$A6))</f>
        <v/>
      </c>
      <c r="AL6">
        <f>IF($A6="","",COUNTIFS(DOCUMENTS!$C$5:$C$44,$A6,DOCUMENTS!$AI$5:$AI$44,"&lt;&gt;")-COUNTIFS(DOCUMENTS!$C$5:$C$44,$A6,DOCUMENTS!$AI$5:$AI$44,"REJECT DOCUMENT"))</f>
        <v/>
      </c>
      <c r="AM6">
        <f>IF($A6="","",COUNTIFS(DOCUMENTS!$C$5:$C$44,$A6,DOCUMENTS!$AI$5:$AI$44,""))</f>
        <v/>
      </c>
      <c r="AN6">
        <f t="array" ref="AN6">IF($A6="","",SUMPRODUCT((DOCUMENTS!$C$5:$C$44=$A6)*(ISNUMBER(SEARCH("MISMATCH",DOCUMENTS!$AH$5:$AH$44)))))</f>
        <v/>
      </c>
    </row>
    <row r="7">
      <c r="A7" s="4" t="n"/>
      <c r="B7" s="28">
        <f>'TRIP MANAGER'!$B$5</f>
        <v/>
      </c>
      <c r="C7" s="4" t="n"/>
      <c r="D7" s="4" t="n"/>
      <c r="E7" s="4" t="n"/>
      <c r="F7" s="4" t="n"/>
      <c r="G7" s="4" t="n"/>
      <c r="H7" s="4" t="n"/>
      <c r="I7" s="4" t="n"/>
      <c r="J7" s="114" t="n"/>
      <c r="K7" s="10">
        <f>IF($J7="","",DATEDIF($J7,TODAY(),"Y"))</f>
        <v/>
      </c>
      <c r="L7" s="4" t="n"/>
      <c r="M7" s="4" t="n"/>
      <c r="N7" s="4" t="n"/>
      <c r="O7" s="114" t="n"/>
      <c r="P7" s="114" t="n"/>
      <c r="Q7" s="10">
        <f>IF($P7="","MISSING",IF($P7&lt;MAX('TRIP MANAGER'!$L$18:$L$25),"EXPIRES BEFORE TRIP",IF($P7&lt;MAX('TRIP MANAGER'!$L$18:$L$25)+180,"UNDER 6 MONTHS","VALID")))</f>
        <v/>
      </c>
      <c r="R7" s="28">
        <f t="array" ref="R7">IF($A7="","",IFERROR(INDEX('TRIP MANAGER'!$E$97:$J$97,INDEX('TRIP MANAGER'!$AJ$18:$AJ$37,MATCH($L7,'TRIP MANAGER'!$AH$18:$AH$37,0))),"NOT ASSESSED"))</f>
        <v/>
      </c>
      <c r="S7" s="4" t="n"/>
      <c r="T7" s="114" t="n"/>
      <c r="U7" s="10">
        <f>IF($A7="","",IF($R7="NO","N/A",IF(OR($R7="VERIFY",$R7="NOT ASSESSED"),"VISA RULE NOT ON FILE",IF($T7="","MISSING",IF($T7&lt;MAX('TRIP MANAGER'!$L$18:$L$25),"EXPIRED","VALID")))))</f>
        <v/>
      </c>
      <c r="V7" s="4" t="n"/>
      <c r="W7" s="114" t="n"/>
      <c r="X7" s="114" t="n"/>
      <c r="Y7" s="4" t="n"/>
      <c r="Z7" s="10">
        <f>IF($A7="","",IF(UPPER($C7)&lt;&gt;"CREW","N/A",IF(OR($W7="",$X7=""),"MISSING",IF(MIN($W7,$X7)&lt;MAX('TRIP MANAGER'!$L$18:$L$25),"EXPIRED","VALID"))))</f>
        <v/>
      </c>
      <c r="AA7" s="4" t="n"/>
      <c r="AB7" s="4" t="n"/>
      <c r="AC7" s="4" t="n"/>
      <c r="AD7" s="4" t="n"/>
      <c r="AE7" s="10">
        <f>IF($A7="","",admin!$B$2&amp;"\PaxCrewDocs\"&amp;$B7&amp;"\"&amp;$A7)</f>
        <v/>
      </c>
      <c r="AF7" s="10">
        <f>IF($A7="","",$AE7&amp;"\passport.pdf")</f>
        <v/>
      </c>
      <c r="AG7" s="10">
        <f>IF($A7="","",$AE7&amp;"\visa.pdf")</f>
        <v/>
      </c>
      <c r="AH7" s="10">
        <f>IF($A7="","",$AE7&amp;"\licence_medical.pdf")</f>
        <v/>
      </c>
      <c r="AI7" s="1">
        <f>IF($A7="","",IF(OR($Q7="MISSING",$Q7="EXPIRES BEFORE TRIP",$U7="EXPIRED",$U7="MISSING",$Z7="EXPIRED",$Z7="MISSING"),"ACTION REQUIRED",IF(OR($Q7="UNDER 6 MONTHS",$U7="VISA RULE NOT ON FILE"),"CHECK","OK")))</f>
        <v/>
      </c>
      <c r="AJ7">
        <f>IF($A7="","",IF($B7='TRIP MANAGER'!$B$5,COUNTIFS($A$3:$A7,"&lt;&gt;",$B$3:$B7,$B7),""))</f>
        <v/>
      </c>
      <c r="AK7">
        <f>IF($A7="","",COUNTIF(DOCUMENTS!$C$5:$C$44,$A7))</f>
        <v/>
      </c>
      <c r="AL7">
        <f>IF($A7="","",COUNTIFS(DOCUMENTS!$C$5:$C$44,$A7,DOCUMENTS!$AI$5:$AI$44,"&lt;&gt;")-COUNTIFS(DOCUMENTS!$C$5:$C$44,$A7,DOCUMENTS!$AI$5:$AI$44,"REJECT DOCUMENT"))</f>
        <v/>
      </c>
      <c r="AM7">
        <f>IF($A7="","",COUNTIFS(DOCUMENTS!$C$5:$C$44,$A7,DOCUMENTS!$AI$5:$AI$44,""))</f>
        <v/>
      </c>
      <c r="AN7">
        <f t="array" ref="AN7">IF($A7="","",SUMPRODUCT((DOCUMENTS!$C$5:$C$44=$A7)*(ISNUMBER(SEARCH("MISMATCH",DOCUMENTS!$AH$5:$AH$44)))))</f>
        <v/>
      </c>
    </row>
    <row r="8">
      <c r="A8" s="4" t="n"/>
      <c r="B8" s="28">
        <f>'TRIP MANAGER'!$B$5</f>
        <v/>
      </c>
      <c r="C8" s="4" t="n"/>
      <c r="D8" s="4" t="n"/>
      <c r="E8" s="4" t="n"/>
      <c r="F8" s="4" t="n"/>
      <c r="G8" s="4" t="n"/>
      <c r="H8" s="4" t="n"/>
      <c r="I8" s="4" t="n"/>
      <c r="J8" s="114" t="n"/>
      <c r="K8" s="10">
        <f>IF($J8="","",DATEDIF($J8,TODAY(),"Y"))</f>
        <v/>
      </c>
      <c r="L8" s="4" t="n"/>
      <c r="M8" s="4" t="n"/>
      <c r="N8" s="4" t="n"/>
      <c r="O8" s="114" t="n"/>
      <c r="P8" s="114" t="n"/>
      <c r="Q8" s="10">
        <f>IF($P8="","MISSING",IF($P8&lt;MAX('TRIP MANAGER'!$L$18:$L$25),"EXPIRES BEFORE TRIP",IF($P8&lt;MAX('TRIP MANAGER'!$L$18:$L$25)+180,"UNDER 6 MONTHS","VALID")))</f>
        <v/>
      </c>
      <c r="R8" s="28">
        <f t="array" ref="R8">IF($A8="","",IFERROR(INDEX('TRIP MANAGER'!$E$97:$J$97,INDEX('TRIP MANAGER'!$AJ$18:$AJ$37,MATCH($L8,'TRIP MANAGER'!$AH$18:$AH$37,0))),"NOT ASSESSED"))</f>
        <v/>
      </c>
      <c r="S8" s="4" t="n"/>
      <c r="T8" s="114" t="n"/>
      <c r="U8" s="10">
        <f>IF($A8="","",IF($R8="NO","N/A",IF(OR($R8="VERIFY",$R8="NOT ASSESSED"),"VISA RULE NOT ON FILE",IF($T8="","MISSING",IF($T8&lt;MAX('TRIP MANAGER'!$L$18:$L$25),"EXPIRED","VALID")))))</f>
        <v/>
      </c>
      <c r="V8" s="4" t="n"/>
      <c r="W8" s="114" t="n"/>
      <c r="X8" s="114" t="n"/>
      <c r="Y8" s="4" t="n"/>
      <c r="Z8" s="10">
        <f>IF($A8="","",IF(UPPER($C8)&lt;&gt;"CREW","N/A",IF(OR($W8="",$X8=""),"MISSING",IF(MIN($W8,$X8)&lt;MAX('TRIP MANAGER'!$L$18:$L$25),"EXPIRED","VALID"))))</f>
        <v/>
      </c>
      <c r="AA8" s="4" t="n"/>
      <c r="AB8" s="4" t="n"/>
      <c r="AC8" s="4" t="n"/>
      <c r="AD8" s="4" t="n"/>
      <c r="AE8" s="10">
        <f>IF($A8="","",admin!$B$2&amp;"\PaxCrewDocs\"&amp;$B8&amp;"\"&amp;$A8)</f>
        <v/>
      </c>
      <c r="AF8" s="10">
        <f>IF($A8="","",$AE8&amp;"\passport.pdf")</f>
        <v/>
      </c>
      <c r="AG8" s="10">
        <f>IF($A8="","",$AE8&amp;"\visa.pdf")</f>
        <v/>
      </c>
      <c r="AH8" s="10">
        <f>IF($A8="","",$AE8&amp;"\licence_medical.pdf")</f>
        <v/>
      </c>
      <c r="AI8" s="1">
        <f>IF($A8="","",IF(OR($Q8="MISSING",$Q8="EXPIRES BEFORE TRIP",$U8="EXPIRED",$U8="MISSING",$Z8="EXPIRED",$Z8="MISSING"),"ACTION REQUIRED",IF(OR($Q8="UNDER 6 MONTHS",$U8="VISA RULE NOT ON FILE"),"CHECK","OK")))</f>
        <v/>
      </c>
      <c r="AJ8">
        <f>IF($A8="","",IF($B8='TRIP MANAGER'!$B$5,COUNTIFS($A$3:$A8,"&lt;&gt;",$B$3:$B8,$B8),""))</f>
        <v/>
      </c>
      <c r="AK8">
        <f>IF($A8="","",COUNTIF(DOCUMENTS!$C$5:$C$44,$A8))</f>
        <v/>
      </c>
      <c r="AL8">
        <f>IF($A8="","",COUNTIFS(DOCUMENTS!$C$5:$C$44,$A8,DOCUMENTS!$AI$5:$AI$44,"&lt;&gt;")-COUNTIFS(DOCUMENTS!$C$5:$C$44,$A8,DOCUMENTS!$AI$5:$AI$44,"REJECT DOCUMENT"))</f>
        <v/>
      </c>
      <c r="AM8">
        <f>IF($A8="","",COUNTIFS(DOCUMENTS!$C$5:$C$44,$A8,DOCUMENTS!$AI$5:$AI$44,""))</f>
        <v/>
      </c>
      <c r="AN8">
        <f t="array" ref="AN8">IF($A8="","",SUMPRODUCT((DOCUMENTS!$C$5:$C$44=$A8)*(ISNUMBER(SEARCH("MISMATCH",DOCUMENTS!$AH$5:$AH$44)))))</f>
        <v/>
      </c>
    </row>
    <row r="9">
      <c r="A9" s="4" t="n"/>
      <c r="B9" s="28">
        <f>'TRIP MANAGER'!$B$5</f>
        <v/>
      </c>
      <c r="C9" s="4" t="n"/>
      <c r="D9" s="4" t="n"/>
      <c r="E9" s="4" t="n"/>
      <c r="F9" s="4" t="n"/>
      <c r="G9" s="4" t="n"/>
      <c r="H9" s="4" t="n"/>
      <c r="I9" s="4" t="n"/>
      <c r="J9" s="114" t="n"/>
      <c r="K9" s="10">
        <f>IF($J9="","",DATEDIF($J9,TODAY(),"Y"))</f>
        <v/>
      </c>
      <c r="L9" s="4" t="n"/>
      <c r="M9" s="4" t="n"/>
      <c r="N9" s="4" t="n"/>
      <c r="O9" s="114" t="n"/>
      <c r="P9" s="114" t="n"/>
      <c r="Q9" s="10">
        <f>IF($P9="","MISSING",IF($P9&lt;MAX('TRIP MANAGER'!$L$18:$L$25),"EXPIRES BEFORE TRIP",IF($P9&lt;MAX('TRIP MANAGER'!$L$18:$L$25)+180,"UNDER 6 MONTHS","VALID")))</f>
        <v/>
      </c>
      <c r="R9" s="28">
        <f t="array" ref="R9">IF($A9="","",IFERROR(INDEX('TRIP MANAGER'!$E$97:$J$97,INDEX('TRIP MANAGER'!$AJ$18:$AJ$37,MATCH($L9,'TRIP MANAGER'!$AH$18:$AH$37,0))),"NOT ASSESSED"))</f>
        <v/>
      </c>
      <c r="S9" s="4" t="n"/>
      <c r="T9" s="114" t="n"/>
      <c r="U9" s="10">
        <f>IF($A9="","",IF($R9="NO","N/A",IF(OR($R9="VERIFY",$R9="NOT ASSESSED"),"VISA RULE NOT ON FILE",IF($T9="","MISSING",IF($T9&lt;MAX('TRIP MANAGER'!$L$18:$L$25),"EXPIRED","VALID")))))</f>
        <v/>
      </c>
      <c r="V9" s="4" t="n"/>
      <c r="W9" s="114" t="n"/>
      <c r="X9" s="114" t="n"/>
      <c r="Y9" s="4" t="n"/>
      <c r="Z9" s="10">
        <f>IF($A9="","",IF(UPPER($C9)&lt;&gt;"CREW","N/A",IF(OR($W9="",$X9=""),"MISSING",IF(MIN($W9,$X9)&lt;MAX('TRIP MANAGER'!$L$18:$L$25),"EXPIRED","VALID"))))</f>
        <v/>
      </c>
      <c r="AA9" s="4" t="n"/>
      <c r="AB9" s="4" t="n"/>
      <c r="AC9" s="4" t="n"/>
      <c r="AD9" s="4" t="n"/>
      <c r="AE9" s="10">
        <f>IF($A9="","",admin!$B$2&amp;"\PaxCrewDocs\"&amp;$B9&amp;"\"&amp;$A9)</f>
        <v/>
      </c>
      <c r="AF9" s="10">
        <f>IF($A9="","",$AE9&amp;"\passport.pdf")</f>
        <v/>
      </c>
      <c r="AG9" s="10">
        <f>IF($A9="","",$AE9&amp;"\visa.pdf")</f>
        <v/>
      </c>
      <c r="AH9" s="10">
        <f>IF($A9="","",$AE9&amp;"\licence_medical.pdf")</f>
        <v/>
      </c>
      <c r="AI9" s="1">
        <f>IF($A9="","",IF(OR($Q9="MISSING",$Q9="EXPIRES BEFORE TRIP",$U9="EXPIRED",$U9="MISSING",$Z9="EXPIRED",$Z9="MISSING"),"ACTION REQUIRED",IF(OR($Q9="UNDER 6 MONTHS",$U9="VISA RULE NOT ON FILE"),"CHECK","OK")))</f>
        <v/>
      </c>
      <c r="AJ9">
        <f>IF($A9="","",IF($B9='TRIP MANAGER'!$B$5,COUNTIFS($A$3:$A9,"&lt;&gt;",$B$3:$B9,$B9),""))</f>
        <v/>
      </c>
      <c r="AK9">
        <f>IF($A9="","",COUNTIF(DOCUMENTS!$C$5:$C$44,$A9))</f>
        <v/>
      </c>
      <c r="AL9">
        <f>IF($A9="","",COUNTIFS(DOCUMENTS!$C$5:$C$44,$A9,DOCUMENTS!$AI$5:$AI$44,"&lt;&gt;")-COUNTIFS(DOCUMENTS!$C$5:$C$44,$A9,DOCUMENTS!$AI$5:$AI$44,"REJECT DOCUMENT"))</f>
        <v/>
      </c>
      <c r="AM9">
        <f>IF($A9="","",COUNTIFS(DOCUMENTS!$C$5:$C$44,$A9,DOCUMENTS!$AI$5:$AI$44,""))</f>
        <v/>
      </c>
      <c r="AN9">
        <f t="array" ref="AN9">IF($A9="","",SUMPRODUCT((DOCUMENTS!$C$5:$C$44=$A9)*(ISNUMBER(SEARCH("MISMATCH",DOCUMENTS!$AH$5:$AH$44)))))</f>
        <v/>
      </c>
    </row>
    <row r="10">
      <c r="A10" s="4" t="n"/>
      <c r="B10" s="28">
        <f>'TRIP MANAGER'!$B$5</f>
        <v/>
      </c>
      <c r="C10" s="4" t="n"/>
      <c r="D10" s="4" t="n"/>
      <c r="E10" s="4" t="n"/>
      <c r="F10" s="4" t="n"/>
      <c r="G10" s="4" t="n"/>
      <c r="H10" s="4" t="n"/>
      <c r="I10" s="4" t="n"/>
      <c r="J10" s="114" t="n"/>
      <c r="K10" s="10">
        <f>IF($J10="","",DATEDIF($J10,TODAY(),"Y"))</f>
        <v/>
      </c>
      <c r="L10" s="4" t="n"/>
      <c r="M10" s="4" t="n"/>
      <c r="N10" s="4" t="n"/>
      <c r="O10" s="114" t="n"/>
      <c r="P10" s="114" t="n"/>
      <c r="Q10" s="10">
        <f>IF($P10="","MISSING",IF($P10&lt;MAX('TRIP MANAGER'!$L$18:$L$25),"EXPIRES BEFORE TRIP",IF($P10&lt;MAX('TRIP MANAGER'!$L$18:$L$25)+180,"UNDER 6 MONTHS","VALID")))</f>
        <v/>
      </c>
      <c r="R10" s="28">
        <f t="array" ref="R10">IF($A10="","",IFERROR(INDEX('TRIP MANAGER'!$E$97:$J$97,INDEX('TRIP MANAGER'!$AJ$18:$AJ$37,MATCH($L10,'TRIP MANAGER'!$AH$18:$AH$37,0))),"NOT ASSESSED"))</f>
        <v/>
      </c>
      <c r="S10" s="4" t="n"/>
      <c r="T10" s="114" t="n"/>
      <c r="U10" s="10">
        <f>IF($A10="","",IF($R10="NO","N/A",IF(OR($R10="VERIFY",$R10="NOT ASSESSED"),"VISA RULE NOT ON FILE",IF($T10="","MISSING",IF($T10&lt;MAX('TRIP MANAGER'!$L$18:$L$25),"EXPIRED","VALID")))))</f>
        <v/>
      </c>
      <c r="V10" s="4" t="n"/>
      <c r="W10" s="114" t="n"/>
      <c r="X10" s="114" t="n"/>
      <c r="Y10" s="4" t="n"/>
      <c r="Z10" s="10">
        <f>IF($A10="","",IF(UPPER($C10)&lt;&gt;"CREW","N/A",IF(OR($W10="",$X10=""),"MISSING",IF(MIN($W10,$X10)&lt;MAX('TRIP MANAGER'!$L$18:$L$25),"EXPIRED","VALID"))))</f>
        <v/>
      </c>
      <c r="AA10" s="4" t="n"/>
      <c r="AB10" s="4" t="n"/>
      <c r="AC10" s="4" t="n"/>
      <c r="AD10" s="4" t="n"/>
      <c r="AE10" s="10">
        <f>IF($A10="","",admin!$B$2&amp;"\PaxCrewDocs\"&amp;$B10&amp;"\"&amp;$A10)</f>
        <v/>
      </c>
      <c r="AF10" s="10">
        <f>IF($A10="","",$AE10&amp;"\passport.pdf")</f>
        <v/>
      </c>
      <c r="AG10" s="10">
        <f>IF($A10="","",$AE10&amp;"\visa.pdf")</f>
        <v/>
      </c>
      <c r="AH10" s="10">
        <f>IF($A10="","",$AE10&amp;"\licence_medical.pdf")</f>
        <v/>
      </c>
      <c r="AI10" s="1">
        <f>IF($A10="","",IF(OR($Q10="MISSING",$Q10="EXPIRES BEFORE TRIP",$U10="EXPIRED",$U10="MISSING",$Z10="EXPIRED",$Z10="MISSING"),"ACTION REQUIRED",IF(OR($Q10="UNDER 6 MONTHS",$U10="VISA RULE NOT ON FILE"),"CHECK","OK")))</f>
        <v/>
      </c>
      <c r="AJ10">
        <f>IF($A10="","",IF($B10='TRIP MANAGER'!$B$5,COUNTIFS($A$3:$A10,"&lt;&gt;",$B$3:$B10,$B10),""))</f>
        <v/>
      </c>
      <c r="AK10">
        <f>IF($A10="","",COUNTIF(DOCUMENTS!$C$5:$C$44,$A10))</f>
        <v/>
      </c>
      <c r="AL10">
        <f>IF($A10="","",COUNTIFS(DOCUMENTS!$C$5:$C$44,$A10,DOCUMENTS!$AI$5:$AI$44,"&lt;&gt;")-COUNTIFS(DOCUMENTS!$C$5:$C$44,$A10,DOCUMENTS!$AI$5:$AI$44,"REJECT DOCUMENT"))</f>
        <v/>
      </c>
      <c r="AM10">
        <f>IF($A10="","",COUNTIFS(DOCUMENTS!$C$5:$C$44,$A10,DOCUMENTS!$AI$5:$AI$44,""))</f>
        <v/>
      </c>
      <c r="AN10">
        <f t="array" ref="AN10">IF($A10="","",SUMPRODUCT((DOCUMENTS!$C$5:$C$44=$A10)*(ISNUMBER(SEARCH("MISMATCH",DOCUMENTS!$AH$5:$AH$44)))))</f>
        <v/>
      </c>
    </row>
    <row r="11">
      <c r="A11" s="4" t="n"/>
      <c r="B11" s="28">
        <f>'TRIP MANAGER'!$B$5</f>
        <v/>
      </c>
      <c r="C11" s="4" t="n"/>
      <c r="D11" s="4" t="n"/>
      <c r="E11" s="4" t="n"/>
      <c r="F11" s="4" t="n"/>
      <c r="G11" s="4" t="n"/>
      <c r="H11" s="4" t="n"/>
      <c r="I11" s="4" t="n"/>
      <c r="J11" s="114" t="n"/>
      <c r="K11" s="10">
        <f>IF($J11="","",DATEDIF($J11,TODAY(),"Y"))</f>
        <v/>
      </c>
      <c r="L11" s="4" t="n"/>
      <c r="M11" s="4" t="n"/>
      <c r="N11" s="4" t="n"/>
      <c r="O11" s="114" t="n"/>
      <c r="P11" s="114" t="n"/>
      <c r="Q11" s="10">
        <f>IF($P11="","MISSING",IF($P11&lt;MAX('TRIP MANAGER'!$L$18:$L$25),"EXPIRES BEFORE TRIP",IF($P11&lt;MAX('TRIP MANAGER'!$L$18:$L$25)+180,"UNDER 6 MONTHS","VALID")))</f>
        <v/>
      </c>
      <c r="R11" s="28">
        <f t="array" ref="R11">IF($A11="","",IFERROR(INDEX('TRIP MANAGER'!$E$97:$J$97,INDEX('TRIP MANAGER'!$AJ$18:$AJ$37,MATCH($L11,'TRIP MANAGER'!$AH$18:$AH$37,0))),"NOT ASSESSED"))</f>
        <v/>
      </c>
      <c r="S11" s="4" t="n"/>
      <c r="T11" s="114" t="n"/>
      <c r="U11" s="10">
        <f>IF($A11="","",IF($R11="NO","N/A",IF(OR($R11="VERIFY",$R11="NOT ASSESSED"),"VISA RULE NOT ON FILE",IF($T11="","MISSING",IF($T11&lt;MAX('TRIP MANAGER'!$L$18:$L$25),"EXPIRED","VALID")))))</f>
        <v/>
      </c>
      <c r="V11" s="4" t="n"/>
      <c r="W11" s="114" t="n"/>
      <c r="X11" s="114" t="n"/>
      <c r="Y11" s="4" t="n"/>
      <c r="Z11" s="10">
        <f>IF($A11="","",IF(UPPER($C11)&lt;&gt;"CREW","N/A",IF(OR($W11="",$X11=""),"MISSING",IF(MIN($W11,$X11)&lt;MAX('TRIP MANAGER'!$L$18:$L$25),"EXPIRED","VALID"))))</f>
        <v/>
      </c>
      <c r="AA11" s="4" t="n"/>
      <c r="AB11" s="4" t="n"/>
      <c r="AC11" s="4" t="n"/>
      <c r="AD11" s="4" t="n"/>
      <c r="AE11" s="10">
        <f>IF($A11="","",admin!$B$2&amp;"\PaxCrewDocs\"&amp;$B11&amp;"\"&amp;$A11)</f>
        <v/>
      </c>
      <c r="AF11" s="10">
        <f>IF($A11="","",$AE11&amp;"\passport.pdf")</f>
        <v/>
      </c>
      <c r="AG11" s="10">
        <f>IF($A11="","",$AE11&amp;"\visa.pdf")</f>
        <v/>
      </c>
      <c r="AH11" s="10">
        <f>IF($A11="","",$AE11&amp;"\licence_medical.pdf")</f>
        <v/>
      </c>
      <c r="AI11" s="1">
        <f>IF($A11="","",IF(OR($Q11="MISSING",$Q11="EXPIRES BEFORE TRIP",$U11="EXPIRED",$U11="MISSING",$Z11="EXPIRED",$Z11="MISSING"),"ACTION REQUIRED",IF(OR($Q11="UNDER 6 MONTHS",$U11="VISA RULE NOT ON FILE"),"CHECK","OK")))</f>
        <v/>
      </c>
      <c r="AJ11">
        <f>IF($A11="","",IF($B11='TRIP MANAGER'!$B$5,COUNTIFS($A$3:$A11,"&lt;&gt;",$B$3:$B11,$B11),""))</f>
        <v/>
      </c>
      <c r="AK11">
        <f>IF($A11="","",COUNTIF(DOCUMENTS!$C$5:$C$44,$A11))</f>
        <v/>
      </c>
      <c r="AL11">
        <f>IF($A11="","",COUNTIFS(DOCUMENTS!$C$5:$C$44,$A11,DOCUMENTS!$AI$5:$AI$44,"&lt;&gt;")-COUNTIFS(DOCUMENTS!$C$5:$C$44,$A11,DOCUMENTS!$AI$5:$AI$44,"REJECT DOCUMENT"))</f>
        <v/>
      </c>
      <c r="AM11">
        <f>IF($A11="","",COUNTIFS(DOCUMENTS!$C$5:$C$44,$A11,DOCUMENTS!$AI$5:$AI$44,""))</f>
        <v/>
      </c>
      <c r="AN11">
        <f t="array" ref="AN11">IF($A11="","",SUMPRODUCT((DOCUMENTS!$C$5:$C$44=$A11)*(ISNUMBER(SEARCH("MISMATCH",DOCUMENTS!$AH$5:$AH$44)))))</f>
        <v/>
      </c>
    </row>
    <row r="12">
      <c r="A12" s="4" t="n"/>
      <c r="B12" s="28">
        <f>'TRIP MANAGER'!$B$5</f>
        <v/>
      </c>
      <c r="C12" s="4" t="n"/>
      <c r="D12" s="4" t="n"/>
      <c r="E12" s="4" t="n"/>
      <c r="F12" s="4" t="n"/>
      <c r="G12" s="4" t="n"/>
      <c r="H12" s="4" t="n"/>
      <c r="I12" s="4" t="n"/>
      <c r="J12" s="114" t="n"/>
      <c r="K12" s="10">
        <f>IF($J12="","",DATEDIF($J12,TODAY(),"Y"))</f>
        <v/>
      </c>
      <c r="L12" s="4" t="n"/>
      <c r="M12" s="4" t="n"/>
      <c r="N12" s="4" t="n"/>
      <c r="O12" s="114" t="n"/>
      <c r="P12" s="114" t="n"/>
      <c r="Q12" s="10">
        <f>IF($P12="","MISSING",IF($P12&lt;MAX('TRIP MANAGER'!$L$18:$L$25),"EXPIRES BEFORE TRIP",IF($P12&lt;MAX('TRIP MANAGER'!$L$18:$L$25)+180,"UNDER 6 MONTHS","VALID")))</f>
        <v/>
      </c>
      <c r="R12" s="28">
        <f t="array" ref="R12">IF($A12="","",IFERROR(INDEX('TRIP MANAGER'!$E$97:$J$97,INDEX('TRIP MANAGER'!$AJ$18:$AJ$37,MATCH($L12,'TRIP MANAGER'!$AH$18:$AH$37,0))),"NOT ASSESSED"))</f>
        <v/>
      </c>
      <c r="S12" s="4" t="n"/>
      <c r="T12" s="114" t="n"/>
      <c r="U12" s="10">
        <f>IF($A12="","",IF($R12="NO","N/A",IF(OR($R12="VERIFY",$R12="NOT ASSESSED"),"VISA RULE NOT ON FILE",IF($T12="","MISSING",IF($T12&lt;MAX('TRIP MANAGER'!$L$18:$L$25),"EXPIRED","VALID")))))</f>
        <v/>
      </c>
      <c r="V12" s="4" t="n"/>
      <c r="W12" s="114" t="n"/>
      <c r="X12" s="114" t="n"/>
      <c r="Y12" s="4" t="n"/>
      <c r="Z12" s="10">
        <f>IF($A12="","",IF(UPPER($C12)&lt;&gt;"CREW","N/A",IF(OR($W12="",$X12=""),"MISSING",IF(MIN($W12,$X12)&lt;MAX('TRIP MANAGER'!$L$18:$L$25),"EXPIRED","VALID"))))</f>
        <v/>
      </c>
      <c r="AA12" s="4" t="n"/>
      <c r="AB12" s="4" t="n"/>
      <c r="AC12" s="4" t="n"/>
      <c r="AD12" s="4" t="n"/>
      <c r="AE12" s="10">
        <f>IF($A12="","",admin!$B$2&amp;"\PaxCrewDocs\"&amp;$B12&amp;"\"&amp;$A12)</f>
        <v/>
      </c>
      <c r="AF12" s="10">
        <f>IF($A12="","",$AE12&amp;"\passport.pdf")</f>
        <v/>
      </c>
      <c r="AG12" s="10">
        <f>IF($A12="","",$AE12&amp;"\visa.pdf")</f>
        <v/>
      </c>
      <c r="AH12" s="10">
        <f>IF($A12="","",$AE12&amp;"\licence_medical.pdf")</f>
        <v/>
      </c>
      <c r="AI12" s="1">
        <f>IF($A12="","",IF(OR($Q12="MISSING",$Q12="EXPIRES BEFORE TRIP",$U12="EXPIRED",$U12="MISSING",$Z12="EXPIRED",$Z12="MISSING"),"ACTION REQUIRED",IF(OR($Q12="UNDER 6 MONTHS",$U12="VISA RULE NOT ON FILE"),"CHECK","OK")))</f>
        <v/>
      </c>
      <c r="AJ12">
        <f>IF($A12="","",IF($B12='TRIP MANAGER'!$B$5,COUNTIFS($A$3:$A12,"&lt;&gt;",$B$3:$B12,$B12),""))</f>
        <v/>
      </c>
      <c r="AK12">
        <f>IF($A12="","",COUNTIF(DOCUMENTS!$C$5:$C$44,$A12))</f>
        <v/>
      </c>
      <c r="AL12">
        <f>IF($A12="","",COUNTIFS(DOCUMENTS!$C$5:$C$44,$A12,DOCUMENTS!$AI$5:$AI$44,"&lt;&gt;")-COUNTIFS(DOCUMENTS!$C$5:$C$44,$A12,DOCUMENTS!$AI$5:$AI$44,"REJECT DOCUMENT"))</f>
        <v/>
      </c>
      <c r="AM12">
        <f>IF($A12="","",COUNTIFS(DOCUMENTS!$C$5:$C$44,$A12,DOCUMENTS!$AI$5:$AI$44,""))</f>
        <v/>
      </c>
      <c r="AN12">
        <f t="array" ref="AN12">IF($A12="","",SUMPRODUCT((DOCUMENTS!$C$5:$C$44=$A12)*(ISNUMBER(SEARCH("MISMATCH",DOCUMENTS!$AH$5:$AH$44)))))</f>
        <v/>
      </c>
    </row>
    <row r="13">
      <c r="A13" s="4" t="n"/>
      <c r="B13" s="28">
        <f>'TRIP MANAGER'!$B$5</f>
        <v/>
      </c>
      <c r="C13" s="4" t="n"/>
      <c r="D13" s="4" t="n"/>
      <c r="E13" s="4" t="n"/>
      <c r="F13" s="4" t="n"/>
      <c r="G13" s="4" t="n"/>
      <c r="H13" s="4" t="n"/>
      <c r="I13" s="4" t="n"/>
      <c r="J13" s="114" t="n"/>
      <c r="K13" s="10">
        <f>IF($J13="","",DATEDIF($J13,TODAY(),"Y"))</f>
        <v/>
      </c>
      <c r="L13" s="4" t="n"/>
      <c r="M13" s="4" t="n"/>
      <c r="N13" s="4" t="n"/>
      <c r="O13" s="114" t="n"/>
      <c r="P13" s="114" t="n"/>
      <c r="Q13" s="10">
        <f>IF($P13="","MISSING",IF($P13&lt;MAX('TRIP MANAGER'!$L$18:$L$25),"EXPIRES BEFORE TRIP",IF($P13&lt;MAX('TRIP MANAGER'!$L$18:$L$25)+180,"UNDER 6 MONTHS","VALID")))</f>
        <v/>
      </c>
      <c r="R13" s="28">
        <f t="array" ref="R13">IF($A13="","",IFERROR(INDEX('TRIP MANAGER'!$E$97:$J$97,INDEX('TRIP MANAGER'!$AJ$18:$AJ$37,MATCH($L13,'TRIP MANAGER'!$AH$18:$AH$37,0))),"NOT ASSESSED"))</f>
        <v/>
      </c>
      <c r="S13" s="4" t="n"/>
      <c r="T13" s="114" t="n"/>
      <c r="U13" s="10">
        <f>IF($A13="","",IF($R13="NO","N/A",IF(OR($R13="VERIFY",$R13="NOT ASSESSED"),"VISA RULE NOT ON FILE",IF($T13="","MISSING",IF($T13&lt;MAX('TRIP MANAGER'!$L$18:$L$25),"EXPIRED","VALID")))))</f>
        <v/>
      </c>
      <c r="V13" s="4" t="n"/>
      <c r="W13" s="114" t="n"/>
      <c r="X13" s="114" t="n"/>
      <c r="Y13" s="4" t="n"/>
      <c r="Z13" s="10">
        <f>IF($A13="","",IF(UPPER($C13)&lt;&gt;"CREW","N/A",IF(OR($W13="",$X13=""),"MISSING",IF(MIN($W13,$X13)&lt;MAX('TRIP MANAGER'!$L$18:$L$25),"EXPIRED","VALID"))))</f>
        <v/>
      </c>
      <c r="AA13" s="4" t="n"/>
      <c r="AB13" s="4" t="n"/>
      <c r="AC13" s="4" t="n"/>
      <c r="AD13" s="4" t="n"/>
      <c r="AE13" s="10">
        <f>IF($A13="","",admin!$B$2&amp;"\PaxCrewDocs\"&amp;$B13&amp;"\"&amp;$A13)</f>
        <v/>
      </c>
      <c r="AF13" s="10">
        <f>IF($A13="","",$AE13&amp;"\passport.pdf")</f>
        <v/>
      </c>
      <c r="AG13" s="10">
        <f>IF($A13="","",$AE13&amp;"\visa.pdf")</f>
        <v/>
      </c>
      <c r="AH13" s="10">
        <f>IF($A13="","",$AE13&amp;"\licence_medical.pdf")</f>
        <v/>
      </c>
      <c r="AI13" s="1">
        <f>IF($A13="","",IF(OR($Q13="MISSING",$Q13="EXPIRES BEFORE TRIP",$U13="EXPIRED",$U13="MISSING",$Z13="EXPIRED",$Z13="MISSING"),"ACTION REQUIRED",IF(OR($Q13="UNDER 6 MONTHS",$U13="VISA RULE NOT ON FILE"),"CHECK","OK")))</f>
        <v/>
      </c>
      <c r="AJ13">
        <f>IF($A13="","",IF($B13='TRIP MANAGER'!$B$5,COUNTIFS($A$3:$A13,"&lt;&gt;",$B$3:$B13,$B13),""))</f>
        <v/>
      </c>
      <c r="AK13">
        <f>IF($A13="","",COUNTIF(DOCUMENTS!$C$5:$C$44,$A13))</f>
        <v/>
      </c>
      <c r="AL13">
        <f>IF($A13="","",COUNTIFS(DOCUMENTS!$C$5:$C$44,$A13,DOCUMENTS!$AI$5:$AI$44,"&lt;&gt;")-COUNTIFS(DOCUMENTS!$C$5:$C$44,$A13,DOCUMENTS!$AI$5:$AI$44,"REJECT DOCUMENT"))</f>
        <v/>
      </c>
      <c r="AM13">
        <f>IF($A13="","",COUNTIFS(DOCUMENTS!$C$5:$C$44,$A13,DOCUMENTS!$AI$5:$AI$44,""))</f>
        <v/>
      </c>
      <c r="AN13">
        <f t="array" ref="AN13">IF($A13="","",SUMPRODUCT((DOCUMENTS!$C$5:$C$44=$A13)*(ISNUMBER(SEARCH("MISMATCH",DOCUMENTS!$AH$5:$AH$44)))))</f>
        <v/>
      </c>
    </row>
    <row r="14">
      <c r="A14" s="4" t="n"/>
      <c r="B14" s="28">
        <f>'TRIP MANAGER'!$B$5</f>
        <v/>
      </c>
      <c r="C14" s="4" t="n"/>
      <c r="D14" s="4" t="n"/>
      <c r="E14" s="4" t="n"/>
      <c r="F14" s="4" t="n"/>
      <c r="G14" s="4" t="n"/>
      <c r="H14" s="4" t="n"/>
      <c r="I14" s="4" t="n"/>
      <c r="J14" s="114" t="n"/>
      <c r="K14" s="10">
        <f>IF($J14="","",DATEDIF($J14,TODAY(),"Y"))</f>
        <v/>
      </c>
      <c r="L14" s="4" t="n"/>
      <c r="M14" s="4" t="n"/>
      <c r="N14" s="4" t="n"/>
      <c r="O14" s="114" t="n"/>
      <c r="P14" s="114" t="n"/>
      <c r="Q14" s="10">
        <f>IF($P14="","MISSING",IF($P14&lt;MAX('TRIP MANAGER'!$L$18:$L$25),"EXPIRES BEFORE TRIP",IF($P14&lt;MAX('TRIP MANAGER'!$L$18:$L$25)+180,"UNDER 6 MONTHS","VALID")))</f>
        <v/>
      </c>
      <c r="R14" s="28">
        <f t="array" ref="R14">IF($A14="","",IFERROR(INDEX('TRIP MANAGER'!$E$97:$J$97,INDEX('TRIP MANAGER'!$AJ$18:$AJ$37,MATCH($L14,'TRIP MANAGER'!$AH$18:$AH$37,0))),"NOT ASSESSED"))</f>
        <v/>
      </c>
      <c r="S14" s="4" t="n"/>
      <c r="T14" s="114" t="n"/>
      <c r="U14" s="10">
        <f>IF($A14="","",IF($R14="NO","N/A",IF(OR($R14="VERIFY",$R14="NOT ASSESSED"),"VISA RULE NOT ON FILE",IF($T14="","MISSING",IF($T14&lt;MAX('TRIP MANAGER'!$L$18:$L$25),"EXPIRED","VALID")))))</f>
        <v/>
      </c>
      <c r="V14" s="4" t="n"/>
      <c r="W14" s="114" t="n"/>
      <c r="X14" s="114" t="n"/>
      <c r="Y14" s="4" t="n"/>
      <c r="Z14" s="10">
        <f>IF($A14="","",IF(UPPER($C14)&lt;&gt;"CREW","N/A",IF(OR($W14="",$X14=""),"MISSING",IF(MIN($W14,$X14)&lt;MAX('TRIP MANAGER'!$L$18:$L$25),"EXPIRED","VALID"))))</f>
        <v/>
      </c>
      <c r="AA14" s="4" t="n"/>
      <c r="AB14" s="4" t="n"/>
      <c r="AC14" s="4" t="n"/>
      <c r="AD14" s="4" t="n"/>
      <c r="AE14" s="10">
        <f>IF($A14="","",admin!$B$2&amp;"\PaxCrewDocs\"&amp;$B14&amp;"\"&amp;$A14)</f>
        <v/>
      </c>
      <c r="AF14" s="10">
        <f>IF($A14="","",$AE14&amp;"\passport.pdf")</f>
        <v/>
      </c>
      <c r="AG14" s="10">
        <f>IF($A14="","",$AE14&amp;"\visa.pdf")</f>
        <v/>
      </c>
      <c r="AH14" s="10">
        <f>IF($A14="","",$AE14&amp;"\licence_medical.pdf")</f>
        <v/>
      </c>
      <c r="AI14" s="1">
        <f>IF($A14="","",IF(OR($Q14="MISSING",$Q14="EXPIRES BEFORE TRIP",$U14="EXPIRED",$U14="MISSING",$Z14="EXPIRED",$Z14="MISSING"),"ACTION REQUIRED",IF(OR($Q14="UNDER 6 MONTHS",$U14="VISA RULE NOT ON FILE"),"CHECK","OK")))</f>
        <v/>
      </c>
      <c r="AJ14">
        <f>IF($A14="","",IF($B14='TRIP MANAGER'!$B$5,COUNTIFS($A$3:$A14,"&lt;&gt;",$B$3:$B14,$B14),""))</f>
        <v/>
      </c>
      <c r="AK14">
        <f>IF($A14="","",COUNTIF(DOCUMENTS!$C$5:$C$44,$A14))</f>
        <v/>
      </c>
      <c r="AL14">
        <f>IF($A14="","",COUNTIFS(DOCUMENTS!$C$5:$C$44,$A14,DOCUMENTS!$AI$5:$AI$44,"&lt;&gt;")-COUNTIFS(DOCUMENTS!$C$5:$C$44,$A14,DOCUMENTS!$AI$5:$AI$44,"REJECT DOCUMENT"))</f>
        <v/>
      </c>
      <c r="AM14">
        <f>IF($A14="","",COUNTIFS(DOCUMENTS!$C$5:$C$44,$A14,DOCUMENTS!$AI$5:$AI$44,""))</f>
        <v/>
      </c>
      <c r="AN14">
        <f t="array" ref="AN14">IF($A14="","",SUMPRODUCT((DOCUMENTS!$C$5:$C$44=$A14)*(ISNUMBER(SEARCH("MISMATCH",DOCUMENTS!$AH$5:$AH$44)))))</f>
        <v/>
      </c>
    </row>
    <row r="15">
      <c r="A15" s="4" t="n"/>
      <c r="B15" s="28">
        <f>'TRIP MANAGER'!$B$5</f>
        <v/>
      </c>
      <c r="C15" s="4" t="n"/>
      <c r="D15" s="4" t="n"/>
      <c r="E15" s="4" t="n"/>
      <c r="F15" s="4" t="n"/>
      <c r="G15" s="4" t="n"/>
      <c r="H15" s="4" t="n"/>
      <c r="I15" s="4" t="n"/>
      <c r="J15" s="114" t="n"/>
      <c r="K15" s="10">
        <f>IF($J15="","",DATEDIF($J15,TODAY(),"Y"))</f>
        <v/>
      </c>
      <c r="L15" s="4" t="n"/>
      <c r="M15" s="4" t="n"/>
      <c r="N15" s="4" t="n"/>
      <c r="O15" s="114" t="n"/>
      <c r="P15" s="114" t="n"/>
      <c r="Q15" s="10">
        <f>IF($P15="","MISSING",IF($P15&lt;MAX('TRIP MANAGER'!$L$18:$L$25),"EXPIRES BEFORE TRIP",IF($P15&lt;MAX('TRIP MANAGER'!$L$18:$L$25)+180,"UNDER 6 MONTHS","VALID")))</f>
        <v/>
      </c>
      <c r="R15" s="28">
        <f t="array" ref="R15">IF($A15="","",IFERROR(INDEX('TRIP MANAGER'!$E$97:$J$97,INDEX('TRIP MANAGER'!$AJ$18:$AJ$37,MATCH($L15,'TRIP MANAGER'!$AH$18:$AH$37,0))),"NOT ASSESSED"))</f>
        <v/>
      </c>
      <c r="S15" s="4" t="n"/>
      <c r="T15" s="114" t="n"/>
      <c r="U15" s="10">
        <f>IF($A15="","",IF($R15="NO","N/A",IF(OR($R15="VERIFY",$R15="NOT ASSESSED"),"VISA RULE NOT ON FILE",IF($T15="","MISSING",IF($T15&lt;MAX('TRIP MANAGER'!$L$18:$L$25),"EXPIRED","VALID")))))</f>
        <v/>
      </c>
      <c r="V15" s="4" t="n"/>
      <c r="W15" s="114" t="n"/>
      <c r="X15" s="114" t="n"/>
      <c r="Y15" s="4" t="n"/>
      <c r="Z15" s="10">
        <f>IF($A15="","",IF(UPPER($C15)&lt;&gt;"CREW","N/A",IF(OR($W15="",$X15=""),"MISSING",IF(MIN($W15,$X15)&lt;MAX('TRIP MANAGER'!$L$18:$L$25),"EXPIRED","VALID"))))</f>
        <v/>
      </c>
      <c r="AA15" s="4" t="n"/>
      <c r="AB15" s="4" t="n"/>
      <c r="AC15" s="4" t="n"/>
      <c r="AD15" s="4" t="n"/>
      <c r="AE15" s="10">
        <f>IF($A15="","",admin!$B$2&amp;"\PaxCrewDocs\"&amp;$B15&amp;"\"&amp;$A15)</f>
        <v/>
      </c>
      <c r="AF15" s="10">
        <f>IF($A15="","",$AE15&amp;"\passport.pdf")</f>
        <v/>
      </c>
      <c r="AG15" s="10">
        <f>IF($A15="","",$AE15&amp;"\visa.pdf")</f>
        <v/>
      </c>
      <c r="AH15" s="10">
        <f>IF($A15="","",$AE15&amp;"\licence_medical.pdf")</f>
        <v/>
      </c>
      <c r="AI15" s="1">
        <f>IF($A15="","",IF(OR($Q15="MISSING",$Q15="EXPIRES BEFORE TRIP",$U15="EXPIRED",$U15="MISSING",$Z15="EXPIRED",$Z15="MISSING"),"ACTION REQUIRED",IF(OR($Q15="UNDER 6 MONTHS",$U15="VISA RULE NOT ON FILE"),"CHECK","OK")))</f>
        <v/>
      </c>
      <c r="AJ15">
        <f>IF($A15="","",IF($B15='TRIP MANAGER'!$B$5,COUNTIFS($A$3:$A15,"&lt;&gt;",$B$3:$B15,$B15),""))</f>
        <v/>
      </c>
      <c r="AK15">
        <f>IF($A15="","",COUNTIF(DOCUMENTS!$C$5:$C$44,$A15))</f>
        <v/>
      </c>
      <c r="AL15">
        <f>IF($A15="","",COUNTIFS(DOCUMENTS!$C$5:$C$44,$A15,DOCUMENTS!$AI$5:$AI$44,"&lt;&gt;")-COUNTIFS(DOCUMENTS!$C$5:$C$44,$A15,DOCUMENTS!$AI$5:$AI$44,"REJECT DOCUMENT"))</f>
        <v/>
      </c>
      <c r="AM15">
        <f>IF($A15="","",COUNTIFS(DOCUMENTS!$C$5:$C$44,$A15,DOCUMENTS!$AI$5:$AI$44,""))</f>
        <v/>
      </c>
      <c r="AN15">
        <f t="array" ref="AN15">IF($A15="","",SUMPRODUCT((DOCUMENTS!$C$5:$C$44=$A15)*(ISNUMBER(SEARCH("MISMATCH",DOCUMENTS!$AH$5:$AH$44)))))</f>
        <v/>
      </c>
    </row>
    <row r="16">
      <c r="A16" s="4" t="n"/>
      <c r="B16" s="28">
        <f>'TRIP MANAGER'!$B$5</f>
        <v/>
      </c>
      <c r="C16" s="4" t="n"/>
      <c r="D16" s="4" t="n"/>
      <c r="E16" s="4" t="n"/>
      <c r="F16" s="4" t="n"/>
      <c r="G16" s="4" t="n"/>
      <c r="H16" s="4" t="n"/>
      <c r="I16" s="4" t="n"/>
      <c r="J16" s="114" t="n"/>
      <c r="K16" s="10">
        <f>IF($J16="","",DATEDIF($J16,TODAY(),"Y"))</f>
        <v/>
      </c>
      <c r="L16" s="4" t="n"/>
      <c r="M16" s="4" t="n"/>
      <c r="N16" s="4" t="n"/>
      <c r="O16" s="114" t="n"/>
      <c r="P16" s="114" t="n"/>
      <c r="Q16" s="10">
        <f>IF($P16="","MISSING",IF($P16&lt;MAX('TRIP MANAGER'!$L$18:$L$25),"EXPIRES BEFORE TRIP",IF($P16&lt;MAX('TRIP MANAGER'!$L$18:$L$25)+180,"UNDER 6 MONTHS","VALID")))</f>
        <v/>
      </c>
      <c r="R16" s="28">
        <f t="array" ref="R16">IF($A16="","",IFERROR(INDEX('TRIP MANAGER'!$E$97:$J$97,INDEX('TRIP MANAGER'!$AJ$18:$AJ$37,MATCH($L16,'TRIP MANAGER'!$AH$18:$AH$37,0))),"NOT ASSESSED"))</f>
        <v/>
      </c>
      <c r="S16" s="4" t="n"/>
      <c r="T16" s="114" t="n"/>
      <c r="U16" s="10">
        <f>IF($A16="","",IF($R16="NO","N/A",IF(OR($R16="VERIFY",$R16="NOT ASSESSED"),"VISA RULE NOT ON FILE",IF($T16="","MISSING",IF($T16&lt;MAX('TRIP MANAGER'!$L$18:$L$25),"EXPIRED","VALID")))))</f>
        <v/>
      </c>
      <c r="V16" s="4" t="n"/>
      <c r="W16" s="114" t="n"/>
      <c r="X16" s="114" t="n"/>
      <c r="Y16" s="4" t="n"/>
      <c r="Z16" s="10">
        <f>IF($A16="","",IF(UPPER($C16)&lt;&gt;"CREW","N/A",IF(OR($W16="",$X16=""),"MISSING",IF(MIN($W16,$X16)&lt;MAX('TRIP MANAGER'!$L$18:$L$25),"EXPIRED","VALID"))))</f>
        <v/>
      </c>
      <c r="AA16" s="4" t="n"/>
      <c r="AB16" s="4" t="n"/>
      <c r="AC16" s="4" t="n"/>
      <c r="AD16" s="4" t="n"/>
      <c r="AE16" s="10">
        <f>IF($A16="","",admin!$B$2&amp;"\PaxCrewDocs\"&amp;$B16&amp;"\"&amp;$A16)</f>
        <v/>
      </c>
      <c r="AF16" s="10">
        <f>IF($A16="","",$AE16&amp;"\passport.pdf")</f>
        <v/>
      </c>
      <c r="AG16" s="10">
        <f>IF($A16="","",$AE16&amp;"\visa.pdf")</f>
        <v/>
      </c>
      <c r="AH16" s="10">
        <f>IF($A16="","",$AE16&amp;"\licence_medical.pdf")</f>
        <v/>
      </c>
      <c r="AI16" s="1">
        <f>IF($A16="","",IF(OR($Q16="MISSING",$Q16="EXPIRES BEFORE TRIP",$U16="EXPIRED",$U16="MISSING",$Z16="EXPIRED",$Z16="MISSING"),"ACTION REQUIRED",IF(OR($Q16="UNDER 6 MONTHS",$U16="VISA RULE NOT ON FILE"),"CHECK","OK")))</f>
        <v/>
      </c>
      <c r="AJ16">
        <f>IF($A16="","",IF($B16='TRIP MANAGER'!$B$5,COUNTIFS($A$3:$A16,"&lt;&gt;",$B$3:$B16,$B16),""))</f>
        <v/>
      </c>
      <c r="AK16">
        <f>IF($A16="","",COUNTIF(DOCUMENTS!$C$5:$C$44,$A16))</f>
        <v/>
      </c>
      <c r="AL16">
        <f>IF($A16="","",COUNTIFS(DOCUMENTS!$C$5:$C$44,$A16,DOCUMENTS!$AI$5:$AI$44,"&lt;&gt;")-COUNTIFS(DOCUMENTS!$C$5:$C$44,$A16,DOCUMENTS!$AI$5:$AI$44,"REJECT DOCUMENT"))</f>
        <v/>
      </c>
      <c r="AM16">
        <f>IF($A16="","",COUNTIFS(DOCUMENTS!$C$5:$C$44,$A16,DOCUMENTS!$AI$5:$AI$44,""))</f>
        <v/>
      </c>
      <c r="AN16">
        <f t="array" ref="AN16">IF($A16="","",SUMPRODUCT((DOCUMENTS!$C$5:$C$44=$A16)*(ISNUMBER(SEARCH("MISMATCH",DOCUMENTS!$AH$5:$AH$44)))))</f>
        <v/>
      </c>
    </row>
    <row r="17">
      <c r="A17" s="4" t="n"/>
      <c r="B17" s="28">
        <f>'TRIP MANAGER'!$B$5</f>
        <v/>
      </c>
      <c r="C17" s="4" t="n"/>
      <c r="D17" s="4" t="n"/>
      <c r="E17" s="4" t="n"/>
      <c r="F17" s="4" t="n"/>
      <c r="G17" s="4" t="n"/>
      <c r="H17" s="4" t="n"/>
      <c r="I17" s="4" t="n"/>
      <c r="J17" s="114" t="n"/>
      <c r="K17" s="10">
        <f>IF($J17="","",DATEDIF($J17,TODAY(),"Y"))</f>
        <v/>
      </c>
      <c r="L17" s="4" t="n"/>
      <c r="M17" s="4" t="n"/>
      <c r="N17" s="4" t="n"/>
      <c r="O17" s="114" t="n"/>
      <c r="P17" s="114" t="n"/>
      <c r="Q17" s="10">
        <f>IF($P17="","MISSING",IF($P17&lt;MAX('TRIP MANAGER'!$L$18:$L$25),"EXPIRES BEFORE TRIP",IF($P17&lt;MAX('TRIP MANAGER'!$L$18:$L$25)+180,"UNDER 6 MONTHS","VALID")))</f>
        <v/>
      </c>
      <c r="R17" s="28">
        <f t="array" ref="R17">IF($A17="","",IFERROR(INDEX('TRIP MANAGER'!$E$97:$J$97,INDEX('TRIP MANAGER'!$AJ$18:$AJ$37,MATCH($L17,'TRIP MANAGER'!$AH$18:$AH$37,0))),"NOT ASSESSED"))</f>
        <v/>
      </c>
      <c r="S17" s="4" t="n"/>
      <c r="T17" s="114" t="n"/>
      <c r="U17" s="10">
        <f>IF($A17="","",IF($R17="NO","N/A",IF(OR($R17="VERIFY",$R17="NOT ASSESSED"),"VISA RULE NOT ON FILE",IF($T17="","MISSING",IF($T17&lt;MAX('TRIP MANAGER'!$L$18:$L$25),"EXPIRED","VALID")))))</f>
        <v/>
      </c>
      <c r="V17" s="4" t="n"/>
      <c r="W17" s="114" t="n"/>
      <c r="X17" s="114" t="n"/>
      <c r="Y17" s="4" t="n"/>
      <c r="Z17" s="10">
        <f>IF($A17="","",IF(UPPER($C17)&lt;&gt;"CREW","N/A",IF(OR($W17="",$X17=""),"MISSING",IF(MIN($W17,$X17)&lt;MAX('TRIP MANAGER'!$L$18:$L$25),"EXPIRED","VALID"))))</f>
        <v/>
      </c>
      <c r="AA17" s="4" t="n"/>
      <c r="AB17" s="4" t="n"/>
      <c r="AC17" s="4" t="n"/>
      <c r="AD17" s="4" t="n"/>
      <c r="AE17" s="10">
        <f>IF($A17="","",admin!$B$2&amp;"\PaxCrewDocs\"&amp;$B17&amp;"\"&amp;$A17)</f>
        <v/>
      </c>
      <c r="AF17" s="10">
        <f>IF($A17="","",$AE17&amp;"\passport.pdf")</f>
        <v/>
      </c>
      <c r="AG17" s="10">
        <f>IF($A17="","",$AE17&amp;"\visa.pdf")</f>
        <v/>
      </c>
      <c r="AH17" s="10">
        <f>IF($A17="","",$AE17&amp;"\licence_medical.pdf")</f>
        <v/>
      </c>
      <c r="AI17" s="1">
        <f>IF($A17="","",IF(OR($Q17="MISSING",$Q17="EXPIRES BEFORE TRIP",$U17="EXPIRED",$U17="MISSING",$Z17="EXPIRED",$Z17="MISSING"),"ACTION REQUIRED",IF(OR($Q17="UNDER 6 MONTHS",$U17="VISA RULE NOT ON FILE"),"CHECK","OK")))</f>
        <v/>
      </c>
      <c r="AJ17">
        <f>IF($A17="","",IF($B17='TRIP MANAGER'!$B$5,COUNTIFS($A$3:$A17,"&lt;&gt;",$B$3:$B17,$B17),""))</f>
        <v/>
      </c>
      <c r="AK17">
        <f>IF($A17="","",COUNTIF(DOCUMENTS!$C$5:$C$44,$A17))</f>
        <v/>
      </c>
      <c r="AL17">
        <f>IF($A17="","",COUNTIFS(DOCUMENTS!$C$5:$C$44,$A17,DOCUMENTS!$AI$5:$AI$44,"&lt;&gt;")-COUNTIFS(DOCUMENTS!$C$5:$C$44,$A17,DOCUMENTS!$AI$5:$AI$44,"REJECT DOCUMENT"))</f>
        <v/>
      </c>
      <c r="AM17">
        <f>IF($A17="","",COUNTIFS(DOCUMENTS!$C$5:$C$44,$A17,DOCUMENTS!$AI$5:$AI$44,""))</f>
        <v/>
      </c>
      <c r="AN17">
        <f t="array" ref="AN17">IF($A17="","",SUMPRODUCT((DOCUMENTS!$C$5:$C$44=$A17)*(ISNUMBER(SEARCH("MISMATCH",DOCUMENTS!$AH$5:$AH$44)))))</f>
        <v/>
      </c>
    </row>
    <row r="18">
      <c r="A18" s="4" t="n"/>
      <c r="B18" s="28">
        <f>'TRIP MANAGER'!$B$5</f>
        <v/>
      </c>
      <c r="C18" s="4" t="n"/>
      <c r="D18" s="4" t="n"/>
      <c r="E18" s="4" t="n"/>
      <c r="F18" s="4" t="n"/>
      <c r="G18" s="4" t="n"/>
      <c r="H18" s="4" t="n"/>
      <c r="I18" s="4" t="n"/>
      <c r="J18" s="114" t="n"/>
      <c r="K18" s="10">
        <f>IF($J18="","",DATEDIF($J18,TODAY(),"Y"))</f>
        <v/>
      </c>
      <c r="L18" s="4" t="n"/>
      <c r="M18" s="4" t="n"/>
      <c r="N18" s="4" t="n"/>
      <c r="O18" s="114" t="n"/>
      <c r="P18" s="114" t="n"/>
      <c r="Q18" s="10">
        <f>IF($P18="","MISSING",IF($P18&lt;MAX('TRIP MANAGER'!$L$18:$L$25),"EXPIRES BEFORE TRIP",IF($P18&lt;MAX('TRIP MANAGER'!$L$18:$L$25)+180,"UNDER 6 MONTHS","VALID")))</f>
        <v/>
      </c>
      <c r="R18" s="28">
        <f t="array" ref="R18">IF($A18="","",IFERROR(INDEX('TRIP MANAGER'!$E$97:$J$97,INDEX('TRIP MANAGER'!$AJ$18:$AJ$37,MATCH($L18,'TRIP MANAGER'!$AH$18:$AH$37,0))),"NOT ASSESSED"))</f>
        <v/>
      </c>
      <c r="S18" s="4" t="n"/>
      <c r="T18" s="114" t="n"/>
      <c r="U18" s="10">
        <f>IF($A18="","",IF($R18="NO","N/A",IF(OR($R18="VERIFY",$R18="NOT ASSESSED"),"VISA RULE NOT ON FILE",IF($T18="","MISSING",IF($T18&lt;MAX('TRIP MANAGER'!$L$18:$L$25),"EXPIRED","VALID")))))</f>
        <v/>
      </c>
      <c r="V18" s="4" t="n"/>
      <c r="W18" s="114" t="n"/>
      <c r="X18" s="114" t="n"/>
      <c r="Y18" s="4" t="n"/>
      <c r="Z18" s="10">
        <f>IF($A18="","",IF(UPPER($C18)&lt;&gt;"CREW","N/A",IF(OR($W18="",$X18=""),"MISSING",IF(MIN($W18,$X18)&lt;MAX('TRIP MANAGER'!$L$18:$L$25),"EXPIRED","VALID"))))</f>
        <v/>
      </c>
      <c r="AA18" s="4" t="n"/>
      <c r="AB18" s="4" t="n"/>
      <c r="AC18" s="4" t="n"/>
      <c r="AD18" s="4" t="n"/>
      <c r="AE18" s="10">
        <f>IF($A18="","",admin!$B$2&amp;"\PaxCrewDocs\"&amp;$B18&amp;"\"&amp;$A18)</f>
        <v/>
      </c>
      <c r="AF18" s="10">
        <f>IF($A18="","",$AE18&amp;"\passport.pdf")</f>
        <v/>
      </c>
      <c r="AG18" s="10">
        <f>IF($A18="","",$AE18&amp;"\visa.pdf")</f>
        <v/>
      </c>
      <c r="AH18" s="10">
        <f>IF($A18="","",$AE18&amp;"\licence_medical.pdf")</f>
        <v/>
      </c>
      <c r="AI18" s="1">
        <f>IF($A18="","",IF(OR($Q18="MISSING",$Q18="EXPIRES BEFORE TRIP",$U18="EXPIRED",$U18="MISSING",$Z18="EXPIRED",$Z18="MISSING"),"ACTION REQUIRED",IF(OR($Q18="UNDER 6 MONTHS",$U18="VISA RULE NOT ON FILE"),"CHECK","OK")))</f>
        <v/>
      </c>
      <c r="AJ18">
        <f>IF($A18="","",IF($B18='TRIP MANAGER'!$B$5,COUNTIFS($A$3:$A18,"&lt;&gt;",$B$3:$B18,$B18),""))</f>
        <v/>
      </c>
      <c r="AK18">
        <f>IF($A18="","",COUNTIF(DOCUMENTS!$C$5:$C$44,$A18))</f>
        <v/>
      </c>
      <c r="AL18">
        <f>IF($A18="","",COUNTIFS(DOCUMENTS!$C$5:$C$44,$A18,DOCUMENTS!$AI$5:$AI$44,"&lt;&gt;")-COUNTIFS(DOCUMENTS!$C$5:$C$44,$A18,DOCUMENTS!$AI$5:$AI$44,"REJECT DOCUMENT"))</f>
        <v/>
      </c>
      <c r="AM18">
        <f>IF($A18="","",COUNTIFS(DOCUMENTS!$C$5:$C$44,$A18,DOCUMENTS!$AI$5:$AI$44,""))</f>
        <v/>
      </c>
      <c r="AN18">
        <f t="array" ref="AN18">IF($A18="","",SUMPRODUCT((DOCUMENTS!$C$5:$C$44=$A18)*(ISNUMBER(SEARCH("MISMATCH",DOCUMENTS!$AH$5:$AH$44)))))</f>
        <v/>
      </c>
    </row>
    <row r="19">
      <c r="A19" s="4" t="n"/>
      <c r="B19" s="28">
        <f>'TRIP MANAGER'!$B$5</f>
        <v/>
      </c>
      <c r="C19" s="4" t="n"/>
      <c r="D19" s="4" t="n"/>
      <c r="E19" s="4" t="n"/>
      <c r="F19" s="4" t="n"/>
      <c r="G19" s="4" t="n"/>
      <c r="H19" s="4" t="n"/>
      <c r="I19" s="4" t="n"/>
      <c r="J19" s="114" t="n"/>
      <c r="K19" s="10">
        <f>IF($J19="","",DATEDIF($J19,TODAY(),"Y"))</f>
        <v/>
      </c>
      <c r="L19" s="4" t="n"/>
      <c r="M19" s="4" t="n"/>
      <c r="N19" s="4" t="n"/>
      <c r="O19" s="114" t="n"/>
      <c r="P19" s="114" t="n"/>
      <c r="Q19" s="10">
        <f>IF($P19="","MISSING",IF($P19&lt;MAX('TRIP MANAGER'!$L$18:$L$25),"EXPIRES BEFORE TRIP",IF($P19&lt;MAX('TRIP MANAGER'!$L$18:$L$25)+180,"UNDER 6 MONTHS","VALID")))</f>
        <v/>
      </c>
      <c r="R19" s="28">
        <f t="array" ref="R19">IF($A19="","",IFERROR(INDEX('TRIP MANAGER'!$E$97:$J$97,INDEX('TRIP MANAGER'!$AJ$18:$AJ$37,MATCH($L19,'TRIP MANAGER'!$AH$18:$AH$37,0))),"NOT ASSESSED"))</f>
        <v/>
      </c>
      <c r="S19" s="4" t="n"/>
      <c r="T19" s="114" t="n"/>
      <c r="U19" s="10">
        <f>IF($A19="","",IF($R19="NO","N/A",IF(OR($R19="VERIFY",$R19="NOT ASSESSED"),"VISA RULE NOT ON FILE",IF($T19="","MISSING",IF($T19&lt;MAX('TRIP MANAGER'!$L$18:$L$25),"EXPIRED","VALID")))))</f>
        <v/>
      </c>
      <c r="V19" s="4" t="n"/>
      <c r="W19" s="114" t="n"/>
      <c r="X19" s="114" t="n"/>
      <c r="Y19" s="4" t="n"/>
      <c r="Z19" s="10">
        <f>IF($A19="","",IF(UPPER($C19)&lt;&gt;"CREW","N/A",IF(OR($W19="",$X19=""),"MISSING",IF(MIN($W19,$X19)&lt;MAX('TRIP MANAGER'!$L$18:$L$25),"EXPIRED","VALID"))))</f>
        <v/>
      </c>
      <c r="AA19" s="4" t="n"/>
      <c r="AB19" s="4" t="n"/>
      <c r="AC19" s="4" t="n"/>
      <c r="AD19" s="4" t="n"/>
      <c r="AE19" s="10">
        <f>IF($A19="","",admin!$B$2&amp;"\PaxCrewDocs\"&amp;$B19&amp;"\"&amp;$A19)</f>
        <v/>
      </c>
      <c r="AF19" s="10">
        <f>IF($A19="","",$AE19&amp;"\passport.pdf")</f>
        <v/>
      </c>
      <c r="AG19" s="10">
        <f>IF($A19="","",$AE19&amp;"\visa.pdf")</f>
        <v/>
      </c>
      <c r="AH19" s="10">
        <f>IF($A19="","",$AE19&amp;"\licence_medical.pdf")</f>
        <v/>
      </c>
      <c r="AI19" s="1">
        <f>IF($A19="","",IF(OR($Q19="MISSING",$Q19="EXPIRES BEFORE TRIP",$U19="EXPIRED",$U19="MISSING",$Z19="EXPIRED",$Z19="MISSING"),"ACTION REQUIRED",IF(OR($Q19="UNDER 6 MONTHS",$U19="VISA RULE NOT ON FILE"),"CHECK","OK")))</f>
        <v/>
      </c>
      <c r="AJ19">
        <f>IF($A19="","",IF($B19='TRIP MANAGER'!$B$5,COUNTIFS($A$3:$A19,"&lt;&gt;",$B$3:$B19,$B19),""))</f>
        <v/>
      </c>
      <c r="AK19">
        <f>IF($A19="","",COUNTIF(DOCUMENTS!$C$5:$C$44,$A19))</f>
        <v/>
      </c>
      <c r="AL19">
        <f>IF($A19="","",COUNTIFS(DOCUMENTS!$C$5:$C$44,$A19,DOCUMENTS!$AI$5:$AI$44,"&lt;&gt;")-COUNTIFS(DOCUMENTS!$C$5:$C$44,$A19,DOCUMENTS!$AI$5:$AI$44,"REJECT DOCUMENT"))</f>
        <v/>
      </c>
      <c r="AM19">
        <f>IF($A19="","",COUNTIFS(DOCUMENTS!$C$5:$C$44,$A19,DOCUMENTS!$AI$5:$AI$44,""))</f>
        <v/>
      </c>
      <c r="AN19">
        <f t="array" ref="AN19">IF($A19="","",SUMPRODUCT((DOCUMENTS!$C$5:$C$44=$A19)*(ISNUMBER(SEARCH("MISMATCH",DOCUMENTS!$AH$5:$AH$44)))))</f>
        <v/>
      </c>
    </row>
    <row r="20">
      <c r="A20" s="4" t="n"/>
      <c r="B20" s="28">
        <f>'TRIP MANAGER'!$B$5</f>
        <v/>
      </c>
      <c r="C20" s="4" t="n"/>
      <c r="D20" s="4" t="n"/>
      <c r="E20" s="4" t="n"/>
      <c r="F20" s="4" t="n"/>
      <c r="G20" s="4" t="n"/>
      <c r="H20" s="4" t="n"/>
      <c r="I20" s="4" t="n"/>
      <c r="J20" s="114" t="n"/>
      <c r="K20" s="10">
        <f>IF($J20="","",DATEDIF($J20,TODAY(),"Y"))</f>
        <v/>
      </c>
      <c r="L20" s="4" t="n"/>
      <c r="M20" s="4" t="n"/>
      <c r="N20" s="4" t="n"/>
      <c r="O20" s="114" t="n"/>
      <c r="P20" s="114" t="n"/>
      <c r="Q20" s="10">
        <f>IF($P20="","MISSING",IF($P20&lt;MAX('TRIP MANAGER'!$L$18:$L$25),"EXPIRES BEFORE TRIP",IF($P20&lt;MAX('TRIP MANAGER'!$L$18:$L$25)+180,"UNDER 6 MONTHS","VALID")))</f>
        <v/>
      </c>
      <c r="R20" s="28">
        <f t="array" ref="R20">IF($A20="","",IFERROR(INDEX('TRIP MANAGER'!$E$97:$J$97,INDEX('TRIP MANAGER'!$AJ$18:$AJ$37,MATCH($L20,'TRIP MANAGER'!$AH$18:$AH$37,0))),"NOT ASSESSED"))</f>
        <v/>
      </c>
      <c r="S20" s="4" t="n"/>
      <c r="T20" s="114" t="n"/>
      <c r="U20" s="10">
        <f>IF($A20="","",IF($R20="NO","N/A",IF(OR($R20="VERIFY",$R20="NOT ASSESSED"),"VISA RULE NOT ON FILE",IF($T20="","MISSING",IF($T20&lt;MAX('TRIP MANAGER'!$L$18:$L$25),"EXPIRED","VALID")))))</f>
        <v/>
      </c>
      <c r="V20" s="4" t="n"/>
      <c r="W20" s="114" t="n"/>
      <c r="X20" s="114" t="n"/>
      <c r="Y20" s="4" t="n"/>
      <c r="Z20" s="10">
        <f>IF($A20="","",IF(UPPER($C20)&lt;&gt;"CREW","N/A",IF(OR($W20="",$X20=""),"MISSING",IF(MIN($W20,$X20)&lt;MAX('TRIP MANAGER'!$L$18:$L$25),"EXPIRED","VALID"))))</f>
        <v/>
      </c>
      <c r="AA20" s="4" t="n"/>
      <c r="AB20" s="4" t="n"/>
      <c r="AC20" s="4" t="n"/>
      <c r="AD20" s="4" t="n"/>
      <c r="AE20" s="10">
        <f>IF($A20="","",admin!$B$2&amp;"\PaxCrewDocs\"&amp;$B20&amp;"\"&amp;$A20)</f>
        <v/>
      </c>
      <c r="AF20" s="10">
        <f>IF($A20="","",$AE20&amp;"\passport.pdf")</f>
        <v/>
      </c>
      <c r="AG20" s="10">
        <f>IF($A20="","",$AE20&amp;"\visa.pdf")</f>
        <v/>
      </c>
      <c r="AH20" s="10">
        <f>IF($A20="","",$AE20&amp;"\licence_medical.pdf")</f>
        <v/>
      </c>
      <c r="AI20" s="1">
        <f>IF($A20="","",IF(OR($Q20="MISSING",$Q20="EXPIRES BEFORE TRIP",$U20="EXPIRED",$U20="MISSING",$Z20="EXPIRED",$Z20="MISSING"),"ACTION REQUIRED",IF(OR($Q20="UNDER 6 MONTHS",$U20="VISA RULE NOT ON FILE"),"CHECK","OK")))</f>
        <v/>
      </c>
      <c r="AJ20">
        <f>IF($A20="","",IF($B20='TRIP MANAGER'!$B$5,COUNTIFS($A$3:$A20,"&lt;&gt;",$B$3:$B20,$B20),""))</f>
        <v/>
      </c>
      <c r="AK20">
        <f>IF($A20="","",COUNTIF(DOCUMENTS!$C$5:$C$44,$A20))</f>
        <v/>
      </c>
      <c r="AL20">
        <f>IF($A20="","",COUNTIFS(DOCUMENTS!$C$5:$C$44,$A20,DOCUMENTS!$AI$5:$AI$44,"&lt;&gt;")-COUNTIFS(DOCUMENTS!$C$5:$C$44,$A20,DOCUMENTS!$AI$5:$AI$44,"REJECT DOCUMENT"))</f>
        <v/>
      </c>
      <c r="AM20">
        <f>IF($A20="","",COUNTIFS(DOCUMENTS!$C$5:$C$44,$A20,DOCUMENTS!$AI$5:$AI$44,""))</f>
        <v/>
      </c>
      <c r="AN20">
        <f t="array" ref="AN20">IF($A20="","",SUMPRODUCT((DOCUMENTS!$C$5:$C$44=$A20)*(ISNUMBER(SEARCH("MISMATCH",DOCUMENTS!$AH$5:$AH$44)))))</f>
        <v/>
      </c>
    </row>
    <row r="21">
      <c r="A21" s="4" t="n"/>
      <c r="B21" s="28">
        <f>'TRIP MANAGER'!$B$5</f>
        <v/>
      </c>
      <c r="C21" s="4" t="n"/>
      <c r="D21" s="4" t="n"/>
      <c r="E21" s="4" t="n"/>
      <c r="F21" s="4" t="n"/>
      <c r="G21" s="4" t="n"/>
      <c r="H21" s="4" t="n"/>
      <c r="I21" s="4" t="n"/>
      <c r="J21" s="114" t="n"/>
      <c r="K21" s="10">
        <f>IF($J21="","",DATEDIF($J21,TODAY(),"Y"))</f>
        <v/>
      </c>
      <c r="L21" s="4" t="n"/>
      <c r="M21" s="4" t="n"/>
      <c r="N21" s="4" t="n"/>
      <c r="O21" s="114" t="n"/>
      <c r="P21" s="114" t="n"/>
      <c r="Q21" s="10">
        <f>IF($P21="","MISSING",IF($P21&lt;MAX('TRIP MANAGER'!$L$18:$L$25),"EXPIRES BEFORE TRIP",IF($P21&lt;MAX('TRIP MANAGER'!$L$18:$L$25)+180,"UNDER 6 MONTHS","VALID")))</f>
        <v/>
      </c>
      <c r="R21" s="28">
        <f t="array" ref="R21">IF($A21="","",IFERROR(INDEX('TRIP MANAGER'!$E$97:$J$97,INDEX('TRIP MANAGER'!$AJ$18:$AJ$37,MATCH($L21,'TRIP MANAGER'!$AH$18:$AH$37,0))),"NOT ASSESSED"))</f>
        <v/>
      </c>
      <c r="S21" s="4" t="n"/>
      <c r="T21" s="114" t="n"/>
      <c r="U21" s="10">
        <f>IF($A21="","",IF($R21="NO","N/A",IF(OR($R21="VERIFY",$R21="NOT ASSESSED"),"VISA RULE NOT ON FILE",IF($T21="","MISSING",IF($T21&lt;MAX('TRIP MANAGER'!$L$18:$L$25),"EXPIRED","VALID")))))</f>
        <v/>
      </c>
      <c r="V21" s="4" t="n"/>
      <c r="W21" s="114" t="n"/>
      <c r="X21" s="114" t="n"/>
      <c r="Y21" s="4" t="n"/>
      <c r="Z21" s="10">
        <f>IF($A21="","",IF(UPPER($C21)&lt;&gt;"CREW","N/A",IF(OR($W21="",$X21=""),"MISSING",IF(MIN($W21,$X21)&lt;MAX('TRIP MANAGER'!$L$18:$L$25),"EXPIRED","VALID"))))</f>
        <v/>
      </c>
      <c r="AA21" s="4" t="n"/>
      <c r="AB21" s="4" t="n"/>
      <c r="AC21" s="4" t="n"/>
      <c r="AD21" s="4" t="n"/>
      <c r="AE21" s="10">
        <f>IF($A21="","",admin!$B$2&amp;"\PaxCrewDocs\"&amp;$B21&amp;"\"&amp;$A21)</f>
        <v/>
      </c>
      <c r="AF21" s="10">
        <f>IF($A21="","",$AE21&amp;"\passport.pdf")</f>
        <v/>
      </c>
      <c r="AG21" s="10">
        <f>IF($A21="","",$AE21&amp;"\visa.pdf")</f>
        <v/>
      </c>
      <c r="AH21" s="10">
        <f>IF($A21="","",$AE21&amp;"\licence_medical.pdf")</f>
        <v/>
      </c>
      <c r="AI21" s="1">
        <f>IF($A21="","",IF(OR($Q21="MISSING",$Q21="EXPIRES BEFORE TRIP",$U21="EXPIRED",$U21="MISSING",$Z21="EXPIRED",$Z21="MISSING"),"ACTION REQUIRED",IF(OR($Q21="UNDER 6 MONTHS",$U21="VISA RULE NOT ON FILE"),"CHECK","OK")))</f>
        <v/>
      </c>
      <c r="AJ21">
        <f>IF($A21="","",IF($B21='TRIP MANAGER'!$B$5,COUNTIFS($A$3:$A21,"&lt;&gt;",$B$3:$B21,$B21),""))</f>
        <v/>
      </c>
      <c r="AK21">
        <f>IF($A21="","",COUNTIF(DOCUMENTS!$C$5:$C$44,$A21))</f>
        <v/>
      </c>
      <c r="AL21">
        <f>IF($A21="","",COUNTIFS(DOCUMENTS!$C$5:$C$44,$A21,DOCUMENTS!$AI$5:$AI$44,"&lt;&gt;")-COUNTIFS(DOCUMENTS!$C$5:$C$44,$A21,DOCUMENTS!$AI$5:$AI$44,"REJECT DOCUMENT"))</f>
        <v/>
      </c>
      <c r="AM21">
        <f>IF($A21="","",COUNTIFS(DOCUMENTS!$C$5:$C$44,$A21,DOCUMENTS!$AI$5:$AI$44,""))</f>
        <v/>
      </c>
      <c r="AN21">
        <f t="array" ref="AN21">IF($A21="","",SUMPRODUCT((DOCUMENTS!$C$5:$C$44=$A21)*(ISNUMBER(SEARCH("MISMATCH",DOCUMENTS!$AH$5:$AH$44)))))</f>
        <v/>
      </c>
    </row>
    <row r="22">
      <c r="A22" s="4" t="n"/>
      <c r="B22" s="28">
        <f>'TRIP MANAGER'!$B$5</f>
        <v/>
      </c>
      <c r="C22" s="4" t="n"/>
      <c r="D22" s="4" t="n"/>
      <c r="E22" s="4" t="n"/>
      <c r="F22" s="4" t="n"/>
      <c r="G22" s="4" t="n"/>
      <c r="H22" s="4" t="n"/>
      <c r="I22" s="4" t="n"/>
      <c r="J22" s="114" t="n"/>
      <c r="K22" s="10">
        <f>IF($J22="","",DATEDIF($J22,TODAY(),"Y"))</f>
        <v/>
      </c>
      <c r="L22" s="4" t="n"/>
      <c r="M22" s="4" t="n"/>
      <c r="N22" s="4" t="n"/>
      <c r="O22" s="114" t="n"/>
      <c r="P22" s="114" t="n"/>
      <c r="Q22" s="10">
        <f>IF($P22="","MISSING",IF($P22&lt;MAX('TRIP MANAGER'!$L$18:$L$25),"EXPIRES BEFORE TRIP",IF($P22&lt;MAX('TRIP MANAGER'!$L$18:$L$25)+180,"UNDER 6 MONTHS","VALID")))</f>
        <v/>
      </c>
      <c r="R22" s="28">
        <f t="array" ref="R22">IF($A22="","",IFERROR(INDEX('TRIP MANAGER'!$E$97:$J$97,INDEX('TRIP MANAGER'!$AJ$18:$AJ$37,MATCH($L22,'TRIP MANAGER'!$AH$18:$AH$37,0))),"NOT ASSESSED"))</f>
        <v/>
      </c>
      <c r="S22" s="4" t="n"/>
      <c r="T22" s="114" t="n"/>
      <c r="U22" s="10">
        <f>IF($A22="","",IF($R22="NO","N/A",IF(OR($R22="VERIFY",$R22="NOT ASSESSED"),"VISA RULE NOT ON FILE",IF($T22="","MISSING",IF($T22&lt;MAX('TRIP MANAGER'!$L$18:$L$25),"EXPIRED","VALID")))))</f>
        <v/>
      </c>
      <c r="V22" s="4" t="n"/>
      <c r="W22" s="114" t="n"/>
      <c r="X22" s="114" t="n"/>
      <c r="Y22" s="4" t="n"/>
      <c r="Z22" s="10">
        <f>IF($A22="","",IF(UPPER($C22)&lt;&gt;"CREW","N/A",IF(OR($W22="",$X22=""),"MISSING",IF(MIN($W22,$X22)&lt;MAX('TRIP MANAGER'!$L$18:$L$25),"EXPIRED","VALID"))))</f>
        <v/>
      </c>
      <c r="AA22" s="4" t="n"/>
      <c r="AB22" s="4" t="n"/>
      <c r="AC22" s="4" t="n"/>
      <c r="AD22" s="4" t="n"/>
      <c r="AE22" s="10">
        <f>IF($A22="","",admin!$B$2&amp;"\PaxCrewDocs\"&amp;$B22&amp;"\"&amp;$A22)</f>
        <v/>
      </c>
      <c r="AF22" s="10">
        <f>IF($A22="","",$AE22&amp;"\passport.pdf")</f>
        <v/>
      </c>
      <c r="AG22" s="10">
        <f>IF($A22="","",$AE22&amp;"\visa.pdf")</f>
        <v/>
      </c>
      <c r="AH22" s="10">
        <f>IF($A22="","",$AE22&amp;"\licence_medical.pdf")</f>
        <v/>
      </c>
      <c r="AI22" s="1">
        <f>IF($A22="","",IF(OR($Q22="MISSING",$Q22="EXPIRES BEFORE TRIP",$U22="EXPIRED",$U22="MISSING",$Z22="EXPIRED",$Z22="MISSING"),"ACTION REQUIRED",IF(OR($Q22="UNDER 6 MONTHS",$U22="VISA RULE NOT ON FILE"),"CHECK","OK")))</f>
        <v/>
      </c>
      <c r="AJ22">
        <f>IF($A22="","",IF($B22='TRIP MANAGER'!$B$5,COUNTIFS($A$3:$A22,"&lt;&gt;",$B$3:$B22,$B22),""))</f>
        <v/>
      </c>
      <c r="AK22">
        <f>IF($A22="","",COUNTIF(DOCUMENTS!$C$5:$C$44,$A22))</f>
        <v/>
      </c>
      <c r="AL22">
        <f>IF($A22="","",COUNTIFS(DOCUMENTS!$C$5:$C$44,$A22,DOCUMENTS!$AI$5:$AI$44,"&lt;&gt;")-COUNTIFS(DOCUMENTS!$C$5:$C$44,$A22,DOCUMENTS!$AI$5:$AI$44,"REJECT DOCUMENT"))</f>
        <v/>
      </c>
      <c r="AM22">
        <f>IF($A22="","",COUNTIFS(DOCUMENTS!$C$5:$C$44,$A22,DOCUMENTS!$AI$5:$AI$44,""))</f>
        <v/>
      </c>
      <c r="AN22">
        <f t="array" ref="AN22">IF($A22="","",SUMPRODUCT((DOCUMENTS!$C$5:$C$44=$A22)*(ISNUMBER(SEARCH("MISMATCH",DOCUMENTS!$AH$5:$AH$44)))))</f>
        <v/>
      </c>
    </row>
    <row r="23">
      <c r="A23" s="4" t="n"/>
      <c r="B23" s="28">
        <f>'TRIP MANAGER'!$B$5</f>
        <v/>
      </c>
      <c r="C23" s="4" t="n"/>
      <c r="D23" s="4" t="n"/>
      <c r="E23" s="4" t="n"/>
      <c r="F23" s="4" t="n"/>
      <c r="G23" s="4" t="n"/>
      <c r="H23" s="4" t="n"/>
      <c r="I23" s="4" t="n"/>
      <c r="J23" s="114" t="n"/>
      <c r="K23" s="10">
        <f>IF($J23="","",DATEDIF($J23,TODAY(),"Y"))</f>
        <v/>
      </c>
      <c r="L23" s="4" t="n"/>
      <c r="M23" s="4" t="n"/>
      <c r="N23" s="4" t="n"/>
      <c r="O23" s="114" t="n"/>
      <c r="P23" s="114" t="n"/>
      <c r="Q23" s="10">
        <f>IF($P23="","MISSING",IF($P23&lt;MAX('TRIP MANAGER'!$L$18:$L$25),"EXPIRES BEFORE TRIP",IF($P23&lt;MAX('TRIP MANAGER'!$L$18:$L$25)+180,"UNDER 6 MONTHS","VALID")))</f>
        <v/>
      </c>
      <c r="R23" s="28">
        <f t="array" ref="R23">IF($A23="","",IFERROR(INDEX('TRIP MANAGER'!$E$97:$J$97,INDEX('TRIP MANAGER'!$AJ$18:$AJ$37,MATCH($L23,'TRIP MANAGER'!$AH$18:$AH$37,0))),"NOT ASSESSED"))</f>
        <v/>
      </c>
      <c r="S23" s="4" t="n"/>
      <c r="T23" s="114" t="n"/>
      <c r="U23" s="10">
        <f>IF($A23="","",IF($R23="NO","N/A",IF(OR($R23="VERIFY",$R23="NOT ASSESSED"),"VISA RULE NOT ON FILE",IF($T23="","MISSING",IF($T23&lt;MAX('TRIP MANAGER'!$L$18:$L$25),"EXPIRED","VALID")))))</f>
        <v/>
      </c>
      <c r="V23" s="4" t="n"/>
      <c r="W23" s="114" t="n"/>
      <c r="X23" s="114" t="n"/>
      <c r="Y23" s="4" t="n"/>
      <c r="Z23" s="10">
        <f>IF($A23="","",IF(UPPER($C23)&lt;&gt;"CREW","N/A",IF(OR($W23="",$X23=""),"MISSING",IF(MIN($W23,$X23)&lt;MAX('TRIP MANAGER'!$L$18:$L$25),"EXPIRED","VALID"))))</f>
        <v/>
      </c>
      <c r="AA23" s="4" t="n"/>
      <c r="AB23" s="4" t="n"/>
      <c r="AC23" s="4" t="n"/>
      <c r="AD23" s="4" t="n"/>
      <c r="AE23" s="10">
        <f>IF($A23="","",admin!$B$2&amp;"\PaxCrewDocs\"&amp;$B23&amp;"\"&amp;$A23)</f>
        <v/>
      </c>
      <c r="AF23" s="10">
        <f>IF($A23="","",$AE23&amp;"\passport.pdf")</f>
        <v/>
      </c>
      <c r="AG23" s="10">
        <f>IF($A23="","",$AE23&amp;"\visa.pdf")</f>
        <v/>
      </c>
      <c r="AH23" s="10">
        <f>IF($A23="","",$AE23&amp;"\licence_medical.pdf")</f>
        <v/>
      </c>
      <c r="AI23" s="1">
        <f>IF($A23="","",IF(OR($Q23="MISSING",$Q23="EXPIRES BEFORE TRIP",$U23="EXPIRED",$U23="MISSING",$Z23="EXPIRED",$Z23="MISSING"),"ACTION REQUIRED",IF(OR($Q23="UNDER 6 MONTHS",$U23="VISA RULE NOT ON FILE"),"CHECK","OK")))</f>
        <v/>
      </c>
      <c r="AJ23">
        <f>IF($A23="","",IF($B23='TRIP MANAGER'!$B$5,COUNTIFS($A$3:$A23,"&lt;&gt;",$B$3:$B23,$B23),""))</f>
        <v/>
      </c>
      <c r="AK23">
        <f>IF($A23="","",COUNTIF(DOCUMENTS!$C$5:$C$44,$A23))</f>
        <v/>
      </c>
      <c r="AL23">
        <f>IF($A23="","",COUNTIFS(DOCUMENTS!$C$5:$C$44,$A23,DOCUMENTS!$AI$5:$AI$44,"&lt;&gt;")-COUNTIFS(DOCUMENTS!$C$5:$C$44,$A23,DOCUMENTS!$AI$5:$AI$44,"REJECT DOCUMENT"))</f>
        <v/>
      </c>
      <c r="AM23">
        <f>IF($A23="","",COUNTIFS(DOCUMENTS!$C$5:$C$44,$A23,DOCUMENTS!$AI$5:$AI$44,""))</f>
        <v/>
      </c>
      <c r="AN23">
        <f t="array" ref="AN23">IF($A23="","",SUMPRODUCT((DOCUMENTS!$C$5:$C$44=$A23)*(ISNUMBER(SEARCH("MISMATCH",DOCUMENTS!$AH$5:$AH$44)))))</f>
        <v/>
      </c>
    </row>
    <row r="24">
      <c r="A24" s="4" t="n"/>
      <c r="B24" s="28">
        <f>'TRIP MANAGER'!$B$5</f>
        <v/>
      </c>
      <c r="C24" s="4" t="n"/>
      <c r="D24" s="4" t="n"/>
      <c r="E24" s="4" t="n"/>
      <c r="F24" s="4" t="n"/>
      <c r="G24" s="4" t="n"/>
      <c r="H24" s="4" t="n"/>
      <c r="I24" s="4" t="n"/>
      <c r="J24" s="114" t="n"/>
      <c r="K24" s="10">
        <f>IF($J24="","",DATEDIF($J24,TODAY(),"Y"))</f>
        <v/>
      </c>
      <c r="L24" s="4" t="n"/>
      <c r="M24" s="4" t="n"/>
      <c r="N24" s="4" t="n"/>
      <c r="O24" s="114" t="n"/>
      <c r="P24" s="114" t="n"/>
      <c r="Q24" s="10">
        <f>IF($P24="","MISSING",IF($P24&lt;MAX('TRIP MANAGER'!$L$18:$L$25),"EXPIRES BEFORE TRIP",IF($P24&lt;MAX('TRIP MANAGER'!$L$18:$L$25)+180,"UNDER 6 MONTHS","VALID")))</f>
        <v/>
      </c>
      <c r="R24" s="28">
        <f t="array" ref="R24">IF($A24="","",IFERROR(INDEX('TRIP MANAGER'!$E$97:$J$97,INDEX('TRIP MANAGER'!$AJ$18:$AJ$37,MATCH($L24,'TRIP MANAGER'!$AH$18:$AH$37,0))),"NOT ASSESSED"))</f>
        <v/>
      </c>
      <c r="S24" s="4" t="n"/>
      <c r="T24" s="114" t="n"/>
      <c r="U24" s="10">
        <f>IF($A24="","",IF($R24="NO","N/A",IF(OR($R24="VERIFY",$R24="NOT ASSESSED"),"VISA RULE NOT ON FILE",IF($T24="","MISSING",IF($T24&lt;MAX('TRIP MANAGER'!$L$18:$L$25),"EXPIRED","VALID")))))</f>
        <v/>
      </c>
      <c r="V24" s="4" t="n"/>
      <c r="W24" s="114" t="n"/>
      <c r="X24" s="114" t="n"/>
      <c r="Y24" s="4" t="n"/>
      <c r="Z24" s="10">
        <f>IF($A24="","",IF(UPPER($C24)&lt;&gt;"CREW","N/A",IF(OR($W24="",$X24=""),"MISSING",IF(MIN($W24,$X24)&lt;MAX('TRIP MANAGER'!$L$18:$L$25),"EXPIRED","VALID"))))</f>
        <v/>
      </c>
      <c r="AA24" s="4" t="n"/>
      <c r="AB24" s="4" t="n"/>
      <c r="AC24" s="4" t="n"/>
      <c r="AD24" s="4" t="n"/>
      <c r="AE24" s="10">
        <f>IF($A24="","",admin!$B$2&amp;"\PaxCrewDocs\"&amp;$B24&amp;"\"&amp;$A24)</f>
        <v/>
      </c>
      <c r="AF24" s="10">
        <f>IF($A24="","",$AE24&amp;"\passport.pdf")</f>
        <v/>
      </c>
      <c r="AG24" s="10">
        <f>IF($A24="","",$AE24&amp;"\visa.pdf")</f>
        <v/>
      </c>
      <c r="AH24" s="10">
        <f>IF($A24="","",$AE24&amp;"\licence_medical.pdf")</f>
        <v/>
      </c>
      <c r="AI24" s="1">
        <f>IF($A24="","",IF(OR($Q24="MISSING",$Q24="EXPIRES BEFORE TRIP",$U24="EXPIRED",$U24="MISSING",$Z24="EXPIRED",$Z24="MISSING"),"ACTION REQUIRED",IF(OR($Q24="UNDER 6 MONTHS",$U24="VISA RULE NOT ON FILE"),"CHECK","OK")))</f>
        <v/>
      </c>
      <c r="AJ24">
        <f>IF($A24="","",IF($B24='TRIP MANAGER'!$B$5,COUNTIFS($A$3:$A24,"&lt;&gt;",$B$3:$B24,$B24),""))</f>
        <v/>
      </c>
      <c r="AK24">
        <f>IF($A24="","",COUNTIF(DOCUMENTS!$C$5:$C$44,$A24))</f>
        <v/>
      </c>
      <c r="AL24">
        <f>IF($A24="","",COUNTIFS(DOCUMENTS!$C$5:$C$44,$A24,DOCUMENTS!$AI$5:$AI$44,"&lt;&gt;")-COUNTIFS(DOCUMENTS!$C$5:$C$44,$A24,DOCUMENTS!$AI$5:$AI$44,"REJECT DOCUMENT"))</f>
        <v/>
      </c>
      <c r="AM24">
        <f>IF($A24="","",COUNTIFS(DOCUMENTS!$C$5:$C$44,$A24,DOCUMENTS!$AI$5:$AI$44,""))</f>
        <v/>
      </c>
      <c r="AN24">
        <f t="array" ref="AN24">IF($A24="","",SUMPRODUCT((DOCUMENTS!$C$5:$C$44=$A24)*(ISNUMBER(SEARCH("MISMATCH",DOCUMENTS!$AH$5:$AH$44)))))</f>
        <v/>
      </c>
    </row>
    <row r="25">
      <c r="A25" s="4" t="n"/>
      <c r="B25" s="28">
        <f>'TRIP MANAGER'!$B$5</f>
        <v/>
      </c>
      <c r="C25" s="4" t="n"/>
      <c r="D25" s="4" t="n"/>
      <c r="E25" s="4" t="n"/>
      <c r="F25" s="4" t="n"/>
      <c r="G25" s="4" t="n"/>
      <c r="H25" s="4" t="n"/>
      <c r="I25" s="4" t="n"/>
      <c r="J25" s="114" t="n"/>
      <c r="K25" s="10">
        <f>IF($J25="","",DATEDIF($J25,TODAY(),"Y"))</f>
        <v/>
      </c>
      <c r="L25" s="4" t="n"/>
      <c r="M25" s="4" t="n"/>
      <c r="N25" s="4" t="n"/>
      <c r="O25" s="114" t="n"/>
      <c r="P25" s="114" t="n"/>
      <c r="Q25" s="10">
        <f>IF($P25="","MISSING",IF($P25&lt;MAX('TRIP MANAGER'!$L$18:$L$25),"EXPIRES BEFORE TRIP",IF($P25&lt;MAX('TRIP MANAGER'!$L$18:$L$25)+180,"UNDER 6 MONTHS","VALID")))</f>
        <v/>
      </c>
      <c r="R25" s="28">
        <f t="array" ref="R25">IF($A25="","",IFERROR(INDEX('TRIP MANAGER'!$E$97:$J$97,INDEX('TRIP MANAGER'!$AJ$18:$AJ$37,MATCH($L25,'TRIP MANAGER'!$AH$18:$AH$37,0))),"NOT ASSESSED"))</f>
        <v/>
      </c>
      <c r="S25" s="4" t="n"/>
      <c r="T25" s="114" t="n"/>
      <c r="U25" s="10">
        <f>IF($A25="","",IF($R25="NO","N/A",IF(OR($R25="VERIFY",$R25="NOT ASSESSED"),"VISA RULE NOT ON FILE",IF($T25="","MISSING",IF($T25&lt;MAX('TRIP MANAGER'!$L$18:$L$25),"EXPIRED","VALID")))))</f>
        <v/>
      </c>
      <c r="V25" s="4" t="n"/>
      <c r="W25" s="114" t="n"/>
      <c r="X25" s="114" t="n"/>
      <c r="Y25" s="4" t="n"/>
      <c r="Z25" s="10">
        <f>IF($A25="","",IF(UPPER($C25)&lt;&gt;"CREW","N/A",IF(OR($W25="",$X25=""),"MISSING",IF(MIN($W25,$X25)&lt;MAX('TRIP MANAGER'!$L$18:$L$25),"EXPIRED","VALID"))))</f>
        <v/>
      </c>
      <c r="AA25" s="4" t="n"/>
      <c r="AB25" s="4" t="n"/>
      <c r="AC25" s="4" t="n"/>
      <c r="AD25" s="4" t="n"/>
      <c r="AE25" s="10">
        <f>IF($A25="","",admin!$B$2&amp;"\PaxCrewDocs\"&amp;$B25&amp;"\"&amp;$A25)</f>
        <v/>
      </c>
      <c r="AF25" s="10">
        <f>IF($A25="","",$AE25&amp;"\passport.pdf")</f>
        <v/>
      </c>
      <c r="AG25" s="10">
        <f>IF($A25="","",$AE25&amp;"\visa.pdf")</f>
        <v/>
      </c>
      <c r="AH25" s="10">
        <f>IF($A25="","",$AE25&amp;"\licence_medical.pdf")</f>
        <v/>
      </c>
      <c r="AI25" s="1">
        <f>IF($A25="","",IF(OR($Q25="MISSING",$Q25="EXPIRES BEFORE TRIP",$U25="EXPIRED",$U25="MISSING",$Z25="EXPIRED",$Z25="MISSING"),"ACTION REQUIRED",IF(OR($Q25="UNDER 6 MONTHS",$U25="VISA RULE NOT ON FILE"),"CHECK","OK")))</f>
        <v/>
      </c>
      <c r="AJ25">
        <f>IF($A25="","",IF($B25='TRIP MANAGER'!$B$5,COUNTIFS($A$3:$A25,"&lt;&gt;",$B$3:$B25,$B25),""))</f>
        <v/>
      </c>
      <c r="AK25">
        <f>IF($A25="","",COUNTIF(DOCUMENTS!$C$5:$C$44,$A25))</f>
        <v/>
      </c>
      <c r="AL25">
        <f>IF($A25="","",COUNTIFS(DOCUMENTS!$C$5:$C$44,$A25,DOCUMENTS!$AI$5:$AI$44,"&lt;&gt;")-COUNTIFS(DOCUMENTS!$C$5:$C$44,$A25,DOCUMENTS!$AI$5:$AI$44,"REJECT DOCUMENT"))</f>
        <v/>
      </c>
      <c r="AM25">
        <f>IF($A25="","",COUNTIFS(DOCUMENTS!$C$5:$C$44,$A25,DOCUMENTS!$AI$5:$AI$44,""))</f>
        <v/>
      </c>
      <c r="AN25">
        <f t="array" ref="AN25">IF($A25="","",SUMPRODUCT((DOCUMENTS!$C$5:$C$44=$A25)*(ISNUMBER(SEARCH("MISMATCH",DOCUMENTS!$AH$5:$AH$44)))))</f>
        <v/>
      </c>
    </row>
    <row r="26">
      <c r="A26" s="4" t="n"/>
      <c r="B26" s="28">
        <f>'TRIP MANAGER'!$B$5</f>
        <v/>
      </c>
      <c r="C26" s="4" t="n"/>
      <c r="D26" s="4" t="n"/>
      <c r="E26" s="4" t="n"/>
      <c r="F26" s="4" t="n"/>
      <c r="G26" s="4" t="n"/>
      <c r="H26" s="4" t="n"/>
      <c r="I26" s="4" t="n"/>
      <c r="J26" s="114" t="n"/>
      <c r="K26" s="10">
        <f>IF($J26="","",DATEDIF($J26,TODAY(),"Y"))</f>
        <v/>
      </c>
      <c r="L26" s="4" t="n"/>
      <c r="M26" s="4" t="n"/>
      <c r="N26" s="4" t="n"/>
      <c r="O26" s="114" t="n"/>
      <c r="P26" s="114" t="n"/>
      <c r="Q26" s="10">
        <f>IF($P26="","MISSING",IF($P26&lt;MAX('TRIP MANAGER'!$L$18:$L$25),"EXPIRES BEFORE TRIP",IF($P26&lt;MAX('TRIP MANAGER'!$L$18:$L$25)+180,"UNDER 6 MONTHS","VALID")))</f>
        <v/>
      </c>
      <c r="R26" s="28">
        <f t="array" ref="R26">IF($A26="","",IFERROR(INDEX('TRIP MANAGER'!$E$97:$J$97,INDEX('TRIP MANAGER'!$AJ$18:$AJ$37,MATCH($L26,'TRIP MANAGER'!$AH$18:$AH$37,0))),"NOT ASSESSED"))</f>
        <v/>
      </c>
      <c r="S26" s="4" t="n"/>
      <c r="T26" s="114" t="n"/>
      <c r="U26" s="10">
        <f>IF($A26="","",IF($R26="NO","N/A",IF(OR($R26="VERIFY",$R26="NOT ASSESSED"),"VISA RULE NOT ON FILE",IF($T26="","MISSING",IF($T26&lt;MAX('TRIP MANAGER'!$L$18:$L$25),"EXPIRED","VALID")))))</f>
        <v/>
      </c>
      <c r="V26" s="4" t="n"/>
      <c r="W26" s="114" t="n"/>
      <c r="X26" s="114" t="n"/>
      <c r="Y26" s="4" t="n"/>
      <c r="Z26" s="10">
        <f>IF($A26="","",IF(UPPER($C26)&lt;&gt;"CREW","N/A",IF(OR($W26="",$X26=""),"MISSING",IF(MIN($W26,$X26)&lt;MAX('TRIP MANAGER'!$L$18:$L$25),"EXPIRED","VALID"))))</f>
        <v/>
      </c>
      <c r="AA26" s="4" t="n"/>
      <c r="AB26" s="4" t="n"/>
      <c r="AC26" s="4" t="n"/>
      <c r="AD26" s="4" t="n"/>
      <c r="AE26" s="10">
        <f>IF($A26="","",admin!$B$2&amp;"\PaxCrewDocs\"&amp;$B26&amp;"\"&amp;$A26)</f>
        <v/>
      </c>
      <c r="AF26" s="10">
        <f>IF($A26="","",$AE26&amp;"\passport.pdf")</f>
        <v/>
      </c>
      <c r="AG26" s="10">
        <f>IF($A26="","",$AE26&amp;"\visa.pdf")</f>
        <v/>
      </c>
      <c r="AH26" s="10">
        <f>IF($A26="","",$AE26&amp;"\licence_medical.pdf")</f>
        <v/>
      </c>
      <c r="AI26" s="1">
        <f>IF($A26="","",IF(OR($Q26="MISSING",$Q26="EXPIRES BEFORE TRIP",$U26="EXPIRED",$U26="MISSING",$Z26="EXPIRED",$Z26="MISSING"),"ACTION REQUIRED",IF(OR($Q26="UNDER 6 MONTHS",$U26="VISA RULE NOT ON FILE"),"CHECK","OK")))</f>
        <v/>
      </c>
      <c r="AJ26">
        <f>IF($A26="","",IF($B26='TRIP MANAGER'!$B$5,COUNTIFS($A$3:$A26,"&lt;&gt;",$B$3:$B26,$B26),""))</f>
        <v/>
      </c>
      <c r="AK26">
        <f>IF($A26="","",COUNTIF(DOCUMENTS!$C$5:$C$44,$A26))</f>
        <v/>
      </c>
      <c r="AL26">
        <f>IF($A26="","",COUNTIFS(DOCUMENTS!$C$5:$C$44,$A26,DOCUMENTS!$AI$5:$AI$44,"&lt;&gt;")-COUNTIFS(DOCUMENTS!$C$5:$C$44,$A26,DOCUMENTS!$AI$5:$AI$44,"REJECT DOCUMENT"))</f>
        <v/>
      </c>
      <c r="AM26">
        <f>IF($A26="","",COUNTIFS(DOCUMENTS!$C$5:$C$44,$A26,DOCUMENTS!$AI$5:$AI$44,""))</f>
        <v/>
      </c>
      <c r="AN26">
        <f t="array" ref="AN26">IF($A26="","",SUMPRODUCT((DOCUMENTS!$C$5:$C$44=$A26)*(ISNUMBER(SEARCH("MISMATCH",DOCUMENTS!$AH$5:$AH$44)))))</f>
        <v/>
      </c>
    </row>
    <row r="27">
      <c r="A27" s="4" t="n"/>
      <c r="B27" s="28">
        <f>'TRIP MANAGER'!$B$5</f>
        <v/>
      </c>
      <c r="C27" s="4" t="n"/>
      <c r="D27" s="4" t="n"/>
      <c r="E27" s="4" t="n"/>
      <c r="F27" s="4" t="n"/>
      <c r="G27" s="4" t="n"/>
      <c r="H27" s="4" t="n"/>
      <c r="I27" s="4" t="n"/>
      <c r="J27" s="114" t="n"/>
      <c r="K27" s="10">
        <f>IF($J27="","",DATEDIF($J27,TODAY(),"Y"))</f>
        <v/>
      </c>
      <c r="L27" s="4" t="n"/>
      <c r="M27" s="4" t="n"/>
      <c r="N27" s="4" t="n"/>
      <c r="O27" s="114" t="n"/>
      <c r="P27" s="114" t="n"/>
      <c r="Q27" s="10">
        <f>IF($P27="","MISSING",IF($P27&lt;MAX('TRIP MANAGER'!$L$18:$L$25),"EXPIRES BEFORE TRIP",IF($P27&lt;MAX('TRIP MANAGER'!$L$18:$L$25)+180,"UNDER 6 MONTHS","VALID")))</f>
        <v/>
      </c>
      <c r="R27" s="28">
        <f t="array" ref="R27">IF($A27="","",IFERROR(INDEX('TRIP MANAGER'!$E$97:$J$97,INDEX('TRIP MANAGER'!$AJ$18:$AJ$37,MATCH($L27,'TRIP MANAGER'!$AH$18:$AH$37,0))),"NOT ASSESSED"))</f>
        <v/>
      </c>
      <c r="S27" s="4" t="n"/>
      <c r="T27" s="114" t="n"/>
      <c r="U27" s="10">
        <f>IF($A27="","",IF($R27="NO","N/A",IF(OR($R27="VERIFY",$R27="NOT ASSESSED"),"VISA RULE NOT ON FILE",IF($T27="","MISSING",IF($T27&lt;MAX('TRIP MANAGER'!$L$18:$L$25),"EXPIRED","VALID")))))</f>
        <v/>
      </c>
      <c r="V27" s="4" t="n"/>
      <c r="W27" s="114" t="n"/>
      <c r="X27" s="114" t="n"/>
      <c r="Y27" s="4" t="n"/>
      <c r="Z27" s="10">
        <f>IF($A27="","",IF(UPPER($C27)&lt;&gt;"CREW","N/A",IF(OR($W27="",$X27=""),"MISSING",IF(MIN($W27,$X27)&lt;MAX('TRIP MANAGER'!$L$18:$L$25),"EXPIRED","VALID"))))</f>
        <v/>
      </c>
      <c r="AA27" s="4" t="n"/>
      <c r="AB27" s="4" t="n"/>
      <c r="AC27" s="4" t="n"/>
      <c r="AD27" s="4" t="n"/>
      <c r="AE27" s="10">
        <f>IF($A27="","",admin!$B$2&amp;"\PaxCrewDocs\"&amp;$B27&amp;"\"&amp;$A27)</f>
        <v/>
      </c>
      <c r="AF27" s="10">
        <f>IF($A27="","",$AE27&amp;"\passport.pdf")</f>
        <v/>
      </c>
      <c r="AG27" s="10">
        <f>IF($A27="","",$AE27&amp;"\visa.pdf")</f>
        <v/>
      </c>
      <c r="AH27" s="10">
        <f>IF($A27="","",$AE27&amp;"\licence_medical.pdf")</f>
        <v/>
      </c>
      <c r="AI27" s="1">
        <f>IF($A27="","",IF(OR($Q27="MISSING",$Q27="EXPIRES BEFORE TRIP",$U27="EXPIRED",$U27="MISSING",$Z27="EXPIRED",$Z27="MISSING"),"ACTION REQUIRED",IF(OR($Q27="UNDER 6 MONTHS",$U27="VISA RULE NOT ON FILE"),"CHECK","OK")))</f>
        <v/>
      </c>
      <c r="AJ27">
        <f>IF($A27="","",IF($B27='TRIP MANAGER'!$B$5,COUNTIFS($A$3:$A27,"&lt;&gt;",$B$3:$B27,$B27),""))</f>
        <v/>
      </c>
      <c r="AK27">
        <f>IF($A27="","",COUNTIF(DOCUMENTS!$C$5:$C$44,$A27))</f>
        <v/>
      </c>
      <c r="AL27">
        <f>IF($A27="","",COUNTIFS(DOCUMENTS!$C$5:$C$44,$A27,DOCUMENTS!$AI$5:$AI$44,"&lt;&gt;")-COUNTIFS(DOCUMENTS!$C$5:$C$44,$A27,DOCUMENTS!$AI$5:$AI$44,"REJECT DOCUMENT"))</f>
        <v/>
      </c>
      <c r="AM27">
        <f>IF($A27="","",COUNTIFS(DOCUMENTS!$C$5:$C$44,$A27,DOCUMENTS!$AI$5:$AI$44,""))</f>
        <v/>
      </c>
      <c r="AN27">
        <f t="array" ref="AN27">IF($A27="","",SUMPRODUCT((DOCUMENTS!$C$5:$C$44=$A27)*(ISNUMBER(SEARCH("MISMATCH",DOCUMENTS!$AH$5:$AH$44)))))</f>
        <v/>
      </c>
    </row>
    <row r="28">
      <c r="A28" s="4" t="n"/>
      <c r="B28" s="28">
        <f>'TRIP MANAGER'!$B$5</f>
        <v/>
      </c>
      <c r="C28" s="4" t="n"/>
      <c r="D28" s="4" t="n"/>
      <c r="E28" s="4" t="n"/>
      <c r="F28" s="4" t="n"/>
      <c r="G28" s="4" t="n"/>
      <c r="H28" s="4" t="n"/>
      <c r="I28" s="4" t="n"/>
      <c r="J28" s="114" t="n"/>
      <c r="K28" s="10">
        <f>IF($J28="","",DATEDIF($J28,TODAY(),"Y"))</f>
        <v/>
      </c>
      <c r="L28" s="4" t="n"/>
      <c r="M28" s="4" t="n"/>
      <c r="N28" s="4" t="n"/>
      <c r="O28" s="114" t="n"/>
      <c r="P28" s="114" t="n"/>
      <c r="Q28" s="10">
        <f>IF($P28="","MISSING",IF($P28&lt;MAX('TRIP MANAGER'!$L$18:$L$25),"EXPIRES BEFORE TRIP",IF($P28&lt;MAX('TRIP MANAGER'!$L$18:$L$25)+180,"UNDER 6 MONTHS","VALID")))</f>
        <v/>
      </c>
      <c r="R28" s="28">
        <f t="array" ref="R28">IF($A28="","",IFERROR(INDEX('TRIP MANAGER'!$E$97:$J$97,INDEX('TRIP MANAGER'!$AJ$18:$AJ$37,MATCH($L28,'TRIP MANAGER'!$AH$18:$AH$37,0))),"NOT ASSESSED"))</f>
        <v/>
      </c>
      <c r="S28" s="4" t="n"/>
      <c r="T28" s="114" t="n"/>
      <c r="U28" s="10">
        <f>IF($A28="","",IF($R28="NO","N/A",IF(OR($R28="VERIFY",$R28="NOT ASSESSED"),"VISA RULE NOT ON FILE",IF($T28="","MISSING",IF($T28&lt;MAX('TRIP MANAGER'!$L$18:$L$25),"EXPIRED","VALID")))))</f>
        <v/>
      </c>
      <c r="V28" s="4" t="n"/>
      <c r="W28" s="114" t="n"/>
      <c r="X28" s="114" t="n"/>
      <c r="Y28" s="4" t="n"/>
      <c r="Z28" s="10">
        <f>IF($A28="","",IF(UPPER($C28)&lt;&gt;"CREW","N/A",IF(OR($W28="",$X28=""),"MISSING",IF(MIN($W28,$X28)&lt;MAX('TRIP MANAGER'!$L$18:$L$25),"EXPIRED","VALID"))))</f>
        <v/>
      </c>
      <c r="AA28" s="4" t="n"/>
      <c r="AB28" s="4" t="n"/>
      <c r="AC28" s="4" t="n"/>
      <c r="AD28" s="4" t="n"/>
      <c r="AE28" s="10">
        <f>IF($A28="","",admin!$B$2&amp;"\PaxCrewDocs\"&amp;$B28&amp;"\"&amp;$A28)</f>
        <v/>
      </c>
      <c r="AF28" s="10">
        <f>IF($A28="","",$AE28&amp;"\passport.pdf")</f>
        <v/>
      </c>
      <c r="AG28" s="10">
        <f>IF($A28="","",$AE28&amp;"\visa.pdf")</f>
        <v/>
      </c>
      <c r="AH28" s="10">
        <f>IF($A28="","",$AE28&amp;"\licence_medical.pdf")</f>
        <v/>
      </c>
      <c r="AI28" s="1">
        <f>IF($A28="","",IF(OR($Q28="MISSING",$Q28="EXPIRES BEFORE TRIP",$U28="EXPIRED",$U28="MISSING",$Z28="EXPIRED",$Z28="MISSING"),"ACTION REQUIRED",IF(OR($Q28="UNDER 6 MONTHS",$U28="VISA RULE NOT ON FILE"),"CHECK","OK")))</f>
        <v/>
      </c>
      <c r="AJ28">
        <f>IF($A28="","",IF($B28='TRIP MANAGER'!$B$5,COUNTIFS($A$3:$A28,"&lt;&gt;",$B$3:$B28,$B28),""))</f>
        <v/>
      </c>
      <c r="AK28">
        <f>IF($A28="","",COUNTIF(DOCUMENTS!$C$5:$C$44,$A28))</f>
        <v/>
      </c>
      <c r="AL28">
        <f>IF($A28="","",COUNTIFS(DOCUMENTS!$C$5:$C$44,$A28,DOCUMENTS!$AI$5:$AI$44,"&lt;&gt;")-COUNTIFS(DOCUMENTS!$C$5:$C$44,$A28,DOCUMENTS!$AI$5:$AI$44,"REJECT DOCUMENT"))</f>
        <v/>
      </c>
      <c r="AM28">
        <f>IF($A28="","",COUNTIFS(DOCUMENTS!$C$5:$C$44,$A28,DOCUMENTS!$AI$5:$AI$44,""))</f>
        <v/>
      </c>
      <c r="AN28">
        <f t="array" ref="AN28">IF($A28="","",SUMPRODUCT((DOCUMENTS!$C$5:$C$44=$A28)*(ISNUMBER(SEARCH("MISMATCH",DOCUMENTS!$AH$5:$AH$44)))))</f>
        <v/>
      </c>
    </row>
    <row r="29">
      <c r="A29" s="4" t="n"/>
      <c r="B29" s="28">
        <f>'TRIP MANAGER'!$B$5</f>
        <v/>
      </c>
      <c r="C29" s="4" t="n"/>
      <c r="D29" s="4" t="n"/>
      <c r="E29" s="4" t="n"/>
      <c r="F29" s="4" t="n"/>
      <c r="G29" s="4" t="n"/>
      <c r="H29" s="4" t="n"/>
      <c r="I29" s="4" t="n"/>
      <c r="J29" s="114" t="n"/>
      <c r="K29" s="10">
        <f>IF($J29="","",DATEDIF($J29,TODAY(),"Y"))</f>
        <v/>
      </c>
      <c r="L29" s="4" t="n"/>
      <c r="M29" s="4" t="n"/>
      <c r="N29" s="4" t="n"/>
      <c r="O29" s="114" t="n"/>
      <c r="P29" s="114" t="n"/>
      <c r="Q29" s="10">
        <f>IF($P29="","MISSING",IF($P29&lt;MAX('TRIP MANAGER'!$L$18:$L$25),"EXPIRES BEFORE TRIP",IF($P29&lt;MAX('TRIP MANAGER'!$L$18:$L$25)+180,"UNDER 6 MONTHS","VALID")))</f>
        <v/>
      </c>
      <c r="R29" s="28">
        <f t="array" ref="R29">IF($A29="","",IFERROR(INDEX('TRIP MANAGER'!$E$97:$J$97,INDEX('TRIP MANAGER'!$AJ$18:$AJ$37,MATCH($L29,'TRIP MANAGER'!$AH$18:$AH$37,0))),"NOT ASSESSED"))</f>
        <v/>
      </c>
      <c r="S29" s="4" t="n"/>
      <c r="T29" s="114" t="n"/>
      <c r="U29" s="10">
        <f>IF($A29="","",IF($R29="NO","N/A",IF(OR($R29="VERIFY",$R29="NOT ASSESSED"),"VISA RULE NOT ON FILE",IF($T29="","MISSING",IF($T29&lt;MAX('TRIP MANAGER'!$L$18:$L$25),"EXPIRED","VALID")))))</f>
        <v/>
      </c>
      <c r="V29" s="4" t="n"/>
      <c r="W29" s="114" t="n"/>
      <c r="X29" s="114" t="n"/>
      <c r="Y29" s="4" t="n"/>
      <c r="Z29" s="10">
        <f>IF($A29="","",IF(UPPER($C29)&lt;&gt;"CREW","N/A",IF(OR($W29="",$X29=""),"MISSING",IF(MIN($W29,$X29)&lt;MAX('TRIP MANAGER'!$L$18:$L$25),"EXPIRED","VALID"))))</f>
        <v/>
      </c>
      <c r="AA29" s="4" t="n"/>
      <c r="AB29" s="4" t="n"/>
      <c r="AC29" s="4" t="n"/>
      <c r="AD29" s="4" t="n"/>
      <c r="AE29" s="10">
        <f>IF($A29="","",admin!$B$2&amp;"\PaxCrewDocs\"&amp;$B29&amp;"\"&amp;$A29)</f>
        <v/>
      </c>
      <c r="AF29" s="10">
        <f>IF($A29="","",$AE29&amp;"\passport.pdf")</f>
        <v/>
      </c>
      <c r="AG29" s="10">
        <f>IF($A29="","",$AE29&amp;"\visa.pdf")</f>
        <v/>
      </c>
      <c r="AH29" s="10">
        <f>IF($A29="","",$AE29&amp;"\licence_medical.pdf")</f>
        <v/>
      </c>
      <c r="AI29" s="1">
        <f>IF($A29="","",IF(OR($Q29="MISSING",$Q29="EXPIRES BEFORE TRIP",$U29="EXPIRED",$U29="MISSING",$Z29="EXPIRED",$Z29="MISSING"),"ACTION REQUIRED",IF(OR($Q29="UNDER 6 MONTHS",$U29="VISA RULE NOT ON FILE"),"CHECK","OK")))</f>
        <v/>
      </c>
      <c r="AJ29">
        <f>IF($A29="","",IF($B29='TRIP MANAGER'!$B$5,COUNTIFS($A$3:$A29,"&lt;&gt;",$B$3:$B29,$B29),""))</f>
        <v/>
      </c>
      <c r="AK29">
        <f>IF($A29="","",COUNTIF(DOCUMENTS!$C$5:$C$44,$A29))</f>
        <v/>
      </c>
      <c r="AL29">
        <f>IF($A29="","",COUNTIFS(DOCUMENTS!$C$5:$C$44,$A29,DOCUMENTS!$AI$5:$AI$44,"&lt;&gt;")-COUNTIFS(DOCUMENTS!$C$5:$C$44,$A29,DOCUMENTS!$AI$5:$AI$44,"REJECT DOCUMENT"))</f>
        <v/>
      </c>
      <c r="AM29">
        <f>IF($A29="","",COUNTIFS(DOCUMENTS!$C$5:$C$44,$A29,DOCUMENTS!$AI$5:$AI$44,""))</f>
        <v/>
      </c>
      <c r="AN29">
        <f t="array" ref="AN29">IF($A29="","",SUMPRODUCT((DOCUMENTS!$C$5:$C$44=$A29)*(ISNUMBER(SEARCH("MISMATCH",DOCUMENTS!$AH$5:$AH$44)))))</f>
        <v/>
      </c>
    </row>
    <row r="30">
      <c r="A30" s="4" t="n"/>
      <c r="B30" s="28">
        <f>'TRIP MANAGER'!$B$5</f>
        <v/>
      </c>
      <c r="C30" s="4" t="n"/>
      <c r="D30" s="4" t="n"/>
      <c r="E30" s="4" t="n"/>
      <c r="F30" s="4" t="n"/>
      <c r="G30" s="4" t="n"/>
      <c r="H30" s="4" t="n"/>
      <c r="I30" s="4" t="n"/>
      <c r="J30" s="114" t="n"/>
      <c r="K30" s="10">
        <f>IF($J30="","",DATEDIF($J30,TODAY(),"Y"))</f>
        <v/>
      </c>
      <c r="L30" s="4" t="n"/>
      <c r="M30" s="4" t="n"/>
      <c r="N30" s="4" t="n"/>
      <c r="O30" s="114" t="n"/>
      <c r="P30" s="114" t="n"/>
      <c r="Q30" s="10">
        <f>IF($P30="","MISSING",IF($P30&lt;MAX('TRIP MANAGER'!$L$18:$L$25),"EXPIRES BEFORE TRIP",IF($P30&lt;MAX('TRIP MANAGER'!$L$18:$L$25)+180,"UNDER 6 MONTHS","VALID")))</f>
        <v/>
      </c>
      <c r="R30" s="28">
        <f t="array" ref="R30">IF($A30="","",IFERROR(INDEX('TRIP MANAGER'!$E$97:$J$97,INDEX('TRIP MANAGER'!$AJ$18:$AJ$37,MATCH($L30,'TRIP MANAGER'!$AH$18:$AH$37,0))),"NOT ASSESSED"))</f>
        <v/>
      </c>
      <c r="S30" s="4" t="n"/>
      <c r="T30" s="114" t="n"/>
      <c r="U30" s="10">
        <f>IF($A30="","",IF($R30="NO","N/A",IF(OR($R30="VERIFY",$R30="NOT ASSESSED"),"VISA RULE NOT ON FILE",IF($T30="","MISSING",IF($T30&lt;MAX('TRIP MANAGER'!$L$18:$L$25),"EXPIRED","VALID")))))</f>
        <v/>
      </c>
      <c r="V30" s="4" t="n"/>
      <c r="W30" s="114" t="n"/>
      <c r="X30" s="114" t="n"/>
      <c r="Y30" s="4" t="n"/>
      <c r="Z30" s="10">
        <f>IF($A30="","",IF(UPPER($C30)&lt;&gt;"CREW","N/A",IF(OR($W30="",$X30=""),"MISSING",IF(MIN($W30,$X30)&lt;MAX('TRIP MANAGER'!$L$18:$L$25),"EXPIRED","VALID"))))</f>
        <v/>
      </c>
      <c r="AA30" s="4" t="n"/>
      <c r="AB30" s="4" t="n"/>
      <c r="AC30" s="4" t="n"/>
      <c r="AD30" s="4" t="n"/>
      <c r="AE30" s="10">
        <f>IF($A30="","",admin!$B$2&amp;"\PaxCrewDocs\"&amp;$B30&amp;"\"&amp;$A30)</f>
        <v/>
      </c>
      <c r="AF30" s="10">
        <f>IF($A30="","",$AE30&amp;"\passport.pdf")</f>
        <v/>
      </c>
      <c r="AG30" s="10">
        <f>IF($A30="","",$AE30&amp;"\visa.pdf")</f>
        <v/>
      </c>
      <c r="AH30" s="10">
        <f>IF($A30="","",$AE30&amp;"\licence_medical.pdf")</f>
        <v/>
      </c>
      <c r="AI30" s="1">
        <f>IF($A30="","",IF(OR($Q30="MISSING",$Q30="EXPIRES BEFORE TRIP",$U30="EXPIRED",$U30="MISSING",$Z30="EXPIRED",$Z30="MISSING"),"ACTION REQUIRED",IF(OR($Q30="UNDER 6 MONTHS",$U30="VISA RULE NOT ON FILE"),"CHECK","OK")))</f>
        <v/>
      </c>
      <c r="AJ30">
        <f>IF($A30="","",IF($B30='TRIP MANAGER'!$B$5,COUNTIFS($A$3:$A30,"&lt;&gt;",$B$3:$B30,$B30),""))</f>
        <v/>
      </c>
      <c r="AK30">
        <f>IF($A30="","",COUNTIF(DOCUMENTS!$C$5:$C$44,$A30))</f>
        <v/>
      </c>
      <c r="AL30">
        <f>IF($A30="","",COUNTIFS(DOCUMENTS!$C$5:$C$44,$A30,DOCUMENTS!$AI$5:$AI$44,"&lt;&gt;")-COUNTIFS(DOCUMENTS!$C$5:$C$44,$A30,DOCUMENTS!$AI$5:$AI$44,"REJECT DOCUMENT"))</f>
        <v/>
      </c>
      <c r="AM30">
        <f>IF($A30="","",COUNTIFS(DOCUMENTS!$C$5:$C$44,$A30,DOCUMENTS!$AI$5:$AI$44,""))</f>
        <v/>
      </c>
      <c r="AN30">
        <f t="array" ref="AN30">IF($A30="","",SUMPRODUCT((DOCUMENTS!$C$5:$C$44=$A30)*(ISNUMBER(SEARCH("MISMATCH",DOCUMENTS!$AH$5:$AH$44)))))</f>
        <v/>
      </c>
    </row>
    <row r="31">
      <c r="A31" s="4" t="n"/>
      <c r="B31" s="28">
        <f>'TRIP MANAGER'!$B$5</f>
        <v/>
      </c>
      <c r="C31" s="4" t="n"/>
      <c r="D31" s="4" t="n"/>
      <c r="E31" s="4" t="n"/>
      <c r="F31" s="4" t="n"/>
      <c r="G31" s="4" t="n"/>
      <c r="H31" s="4" t="n"/>
      <c r="I31" s="4" t="n"/>
      <c r="J31" s="114" t="n"/>
      <c r="K31" s="10">
        <f>IF($J31="","",DATEDIF($J31,TODAY(),"Y"))</f>
        <v/>
      </c>
      <c r="L31" s="4" t="n"/>
      <c r="M31" s="4" t="n"/>
      <c r="N31" s="4" t="n"/>
      <c r="O31" s="114" t="n"/>
      <c r="P31" s="114" t="n"/>
      <c r="Q31" s="10">
        <f>IF($P31="","MISSING",IF($P31&lt;MAX('TRIP MANAGER'!$L$18:$L$25),"EXPIRES BEFORE TRIP",IF($P31&lt;MAX('TRIP MANAGER'!$L$18:$L$25)+180,"UNDER 6 MONTHS","VALID")))</f>
        <v/>
      </c>
      <c r="R31" s="28">
        <f t="array" ref="R31">IF($A31="","",IFERROR(INDEX('TRIP MANAGER'!$E$97:$J$97,INDEX('TRIP MANAGER'!$AJ$18:$AJ$37,MATCH($L31,'TRIP MANAGER'!$AH$18:$AH$37,0))),"NOT ASSESSED"))</f>
        <v/>
      </c>
      <c r="S31" s="4" t="n"/>
      <c r="T31" s="114" t="n"/>
      <c r="U31" s="10">
        <f>IF($A31="","",IF($R31="NO","N/A",IF(OR($R31="VERIFY",$R31="NOT ASSESSED"),"VISA RULE NOT ON FILE",IF($T31="","MISSING",IF($T31&lt;MAX('TRIP MANAGER'!$L$18:$L$25),"EXPIRED","VALID")))))</f>
        <v/>
      </c>
      <c r="V31" s="4" t="n"/>
      <c r="W31" s="114" t="n"/>
      <c r="X31" s="114" t="n"/>
      <c r="Y31" s="4" t="n"/>
      <c r="Z31" s="10">
        <f>IF($A31="","",IF(UPPER($C31)&lt;&gt;"CREW","N/A",IF(OR($W31="",$X31=""),"MISSING",IF(MIN($W31,$X31)&lt;MAX('TRIP MANAGER'!$L$18:$L$25),"EXPIRED","VALID"))))</f>
        <v/>
      </c>
      <c r="AA31" s="4" t="n"/>
      <c r="AB31" s="4" t="n"/>
      <c r="AC31" s="4" t="n"/>
      <c r="AD31" s="4" t="n"/>
      <c r="AE31" s="10">
        <f>IF($A31="","",admin!$B$2&amp;"\PaxCrewDocs\"&amp;$B31&amp;"\"&amp;$A31)</f>
        <v/>
      </c>
      <c r="AF31" s="10">
        <f>IF($A31="","",$AE31&amp;"\passport.pdf")</f>
        <v/>
      </c>
      <c r="AG31" s="10">
        <f>IF($A31="","",$AE31&amp;"\visa.pdf")</f>
        <v/>
      </c>
      <c r="AH31" s="10">
        <f>IF($A31="","",$AE31&amp;"\licence_medical.pdf")</f>
        <v/>
      </c>
      <c r="AI31" s="1">
        <f>IF($A31="","",IF(OR($Q31="MISSING",$Q31="EXPIRES BEFORE TRIP",$U31="EXPIRED",$U31="MISSING",$Z31="EXPIRED",$Z31="MISSING"),"ACTION REQUIRED",IF(OR($Q31="UNDER 6 MONTHS",$U31="VISA RULE NOT ON FILE"),"CHECK","OK")))</f>
        <v/>
      </c>
      <c r="AJ31">
        <f>IF($A31="","",IF($B31='TRIP MANAGER'!$B$5,COUNTIFS($A$3:$A31,"&lt;&gt;",$B$3:$B31,$B31),""))</f>
        <v/>
      </c>
      <c r="AK31">
        <f>IF($A31="","",COUNTIF(DOCUMENTS!$C$5:$C$44,$A31))</f>
        <v/>
      </c>
      <c r="AL31">
        <f>IF($A31="","",COUNTIFS(DOCUMENTS!$C$5:$C$44,$A31,DOCUMENTS!$AI$5:$AI$44,"&lt;&gt;")-COUNTIFS(DOCUMENTS!$C$5:$C$44,$A31,DOCUMENTS!$AI$5:$AI$44,"REJECT DOCUMENT"))</f>
        <v/>
      </c>
      <c r="AM31">
        <f>IF($A31="","",COUNTIFS(DOCUMENTS!$C$5:$C$44,$A31,DOCUMENTS!$AI$5:$AI$44,""))</f>
        <v/>
      </c>
      <c r="AN31">
        <f t="array" ref="AN31">IF($A31="","",SUMPRODUCT((DOCUMENTS!$C$5:$C$44=$A31)*(ISNUMBER(SEARCH("MISMATCH",DOCUMENTS!$AH$5:$AH$44)))))</f>
        <v/>
      </c>
    </row>
    <row r="32">
      <c r="A32" s="4" t="n"/>
      <c r="B32" s="28">
        <f>'TRIP MANAGER'!$B$5</f>
        <v/>
      </c>
      <c r="C32" s="4" t="n"/>
      <c r="D32" s="4" t="n"/>
      <c r="E32" s="4" t="n"/>
      <c r="F32" s="4" t="n"/>
      <c r="G32" s="4" t="n"/>
      <c r="H32" s="4" t="n"/>
      <c r="I32" s="4" t="n"/>
      <c r="J32" s="114" t="n"/>
      <c r="K32" s="10">
        <f>IF($J32="","",DATEDIF($J32,TODAY(),"Y"))</f>
        <v/>
      </c>
      <c r="L32" s="4" t="n"/>
      <c r="M32" s="4" t="n"/>
      <c r="N32" s="4" t="n"/>
      <c r="O32" s="114" t="n"/>
      <c r="P32" s="114" t="n"/>
      <c r="Q32" s="10">
        <f>IF($P32="","MISSING",IF($P32&lt;MAX('TRIP MANAGER'!$L$18:$L$25),"EXPIRES BEFORE TRIP",IF($P32&lt;MAX('TRIP MANAGER'!$L$18:$L$25)+180,"UNDER 6 MONTHS","VALID")))</f>
        <v/>
      </c>
      <c r="R32" s="28">
        <f t="array" ref="R32">IF($A32="","",IFERROR(INDEX('TRIP MANAGER'!$E$97:$J$97,INDEX('TRIP MANAGER'!$AJ$18:$AJ$37,MATCH($L32,'TRIP MANAGER'!$AH$18:$AH$37,0))),"NOT ASSESSED"))</f>
        <v/>
      </c>
      <c r="S32" s="4" t="n"/>
      <c r="T32" s="114" t="n"/>
      <c r="U32" s="10">
        <f>IF($A32="","",IF($R32="NO","N/A",IF(OR($R32="VERIFY",$R32="NOT ASSESSED"),"VISA RULE NOT ON FILE",IF($T32="","MISSING",IF($T32&lt;MAX('TRIP MANAGER'!$L$18:$L$25),"EXPIRED","VALID")))))</f>
        <v/>
      </c>
      <c r="V32" s="4" t="n"/>
      <c r="W32" s="114" t="n"/>
      <c r="X32" s="114" t="n"/>
      <c r="Y32" s="4" t="n"/>
      <c r="Z32" s="10">
        <f>IF($A32="","",IF(UPPER($C32)&lt;&gt;"CREW","N/A",IF(OR($W32="",$X32=""),"MISSING",IF(MIN($W32,$X32)&lt;MAX('TRIP MANAGER'!$L$18:$L$25),"EXPIRED","VALID"))))</f>
        <v/>
      </c>
      <c r="AA32" s="4" t="n"/>
      <c r="AB32" s="4" t="n"/>
      <c r="AC32" s="4" t="n"/>
      <c r="AD32" s="4" t="n"/>
      <c r="AE32" s="10">
        <f>IF($A32="","",admin!$B$2&amp;"\PaxCrewDocs\"&amp;$B32&amp;"\"&amp;$A32)</f>
        <v/>
      </c>
      <c r="AF32" s="10">
        <f>IF($A32="","",$AE32&amp;"\passport.pdf")</f>
        <v/>
      </c>
      <c r="AG32" s="10">
        <f>IF($A32="","",$AE32&amp;"\visa.pdf")</f>
        <v/>
      </c>
      <c r="AH32" s="10">
        <f>IF($A32="","",$AE32&amp;"\licence_medical.pdf")</f>
        <v/>
      </c>
      <c r="AI32" s="1">
        <f>IF($A32="","",IF(OR($Q32="MISSING",$Q32="EXPIRES BEFORE TRIP",$U32="EXPIRED",$U32="MISSING",$Z32="EXPIRED",$Z32="MISSING"),"ACTION REQUIRED",IF(OR($Q32="UNDER 6 MONTHS",$U32="VISA RULE NOT ON FILE"),"CHECK","OK")))</f>
        <v/>
      </c>
      <c r="AJ32">
        <f>IF($A32="","",IF($B32='TRIP MANAGER'!$B$5,COUNTIFS($A$3:$A32,"&lt;&gt;",$B$3:$B32,$B32),""))</f>
        <v/>
      </c>
      <c r="AK32">
        <f>IF($A32="","",COUNTIF(DOCUMENTS!$C$5:$C$44,$A32))</f>
        <v/>
      </c>
      <c r="AL32">
        <f>IF($A32="","",COUNTIFS(DOCUMENTS!$C$5:$C$44,$A32,DOCUMENTS!$AI$5:$AI$44,"&lt;&gt;")-COUNTIFS(DOCUMENTS!$C$5:$C$44,$A32,DOCUMENTS!$AI$5:$AI$44,"REJECT DOCUMENT"))</f>
        <v/>
      </c>
      <c r="AM32">
        <f>IF($A32="","",COUNTIFS(DOCUMENTS!$C$5:$C$44,$A32,DOCUMENTS!$AI$5:$AI$44,""))</f>
        <v/>
      </c>
      <c r="AN32">
        <f t="array" ref="AN32">IF($A32="","",SUMPRODUCT((DOCUMENTS!$C$5:$C$44=$A32)*(ISNUMBER(SEARCH("MISMATCH",DOCUMENTS!$AH$5:$AH$44)))))</f>
        <v/>
      </c>
    </row>
    <row r="33">
      <c r="A33" s="4" t="n"/>
      <c r="B33" s="28">
        <f>'TRIP MANAGER'!$B$5</f>
        <v/>
      </c>
      <c r="C33" s="4" t="n"/>
      <c r="D33" s="4" t="n"/>
      <c r="E33" s="4" t="n"/>
      <c r="F33" s="4" t="n"/>
      <c r="G33" s="4" t="n"/>
      <c r="H33" s="4" t="n"/>
      <c r="I33" s="4" t="n"/>
      <c r="J33" s="114" t="n"/>
      <c r="K33" s="10">
        <f>IF($J33="","",DATEDIF($J33,TODAY(),"Y"))</f>
        <v/>
      </c>
      <c r="L33" s="4" t="n"/>
      <c r="M33" s="4" t="n"/>
      <c r="N33" s="4" t="n"/>
      <c r="O33" s="114" t="n"/>
      <c r="P33" s="114" t="n"/>
      <c r="Q33" s="10">
        <f>IF($P33="","MISSING",IF($P33&lt;MAX('TRIP MANAGER'!$L$18:$L$25),"EXPIRES BEFORE TRIP",IF($P33&lt;MAX('TRIP MANAGER'!$L$18:$L$25)+180,"UNDER 6 MONTHS","VALID")))</f>
        <v/>
      </c>
      <c r="R33" s="28">
        <f t="array" ref="R33">IF($A33="","",IFERROR(INDEX('TRIP MANAGER'!$E$97:$J$97,INDEX('TRIP MANAGER'!$AJ$18:$AJ$37,MATCH($L33,'TRIP MANAGER'!$AH$18:$AH$37,0))),"NOT ASSESSED"))</f>
        <v/>
      </c>
      <c r="S33" s="4" t="n"/>
      <c r="T33" s="114" t="n"/>
      <c r="U33" s="10">
        <f>IF($A33="","",IF($R33="NO","N/A",IF(OR($R33="VERIFY",$R33="NOT ASSESSED"),"VISA RULE NOT ON FILE",IF($T33="","MISSING",IF($T33&lt;MAX('TRIP MANAGER'!$L$18:$L$25),"EXPIRED","VALID")))))</f>
        <v/>
      </c>
      <c r="V33" s="4" t="n"/>
      <c r="W33" s="114" t="n"/>
      <c r="X33" s="114" t="n"/>
      <c r="Y33" s="4" t="n"/>
      <c r="Z33" s="10">
        <f>IF($A33="","",IF(UPPER($C33)&lt;&gt;"CREW","N/A",IF(OR($W33="",$X33=""),"MISSING",IF(MIN($W33,$X33)&lt;MAX('TRIP MANAGER'!$L$18:$L$25),"EXPIRED","VALID"))))</f>
        <v/>
      </c>
      <c r="AA33" s="4" t="n"/>
      <c r="AB33" s="4" t="n"/>
      <c r="AC33" s="4" t="n"/>
      <c r="AD33" s="4" t="n"/>
      <c r="AE33" s="10">
        <f>IF($A33="","",admin!$B$2&amp;"\PaxCrewDocs\"&amp;$B33&amp;"\"&amp;$A33)</f>
        <v/>
      </c>
      <c r="AF33" s="10">
        <f>IF($A33="","",$AE33&amp;"\passport.pdf")</f>
        <v/>
      </c>
      <c r="AG33" s="10">
        <f>IF($A33="","",$AE33&amp;"\visa.pdf")</f>
        <v/>
      </c>
      <c r="AH33" s="10">
        <f>IF($A33="","",$AE33&amp;"\licence_medical.pdf")</f>
        <v/>
      </c>
      <c r="AI33" s="1">
        <f>IF($A33="","",IF(OR($Q33="MISSING",$Q33="EXPIRES BEFORE TRIP",$U33="EXPIRED",$U33="MISSING",$Z33="EXPIRED",$Z33="MISSING"),"ACTION REQUIRED",IF(OR($Q33="UNDER 6 MONTHS",$U33="VISA RULE NOT ON FILE"),"CHECK","OK")))</f>
        <v/>
      </c>
      <c r="AJ33">
        <f>IF($A33="","",IF($B33='TRIP MANAGER'!$B$5,COUNTIFS($A$3:$A33,"&lt;&gt;",$B$3:$B33,$B33),""))</f>
        <v/>
      </c>
      <c r="AK33">
        <f>IF($A33="","",COUNTIF(DOCUMENTS!$C$5:$C$44,$A33))</f>
        <v/>
      </c>
      <c r="AL33">
        <f>IF($A33="","",COUNTIFS(DOCUMENTS!$C$5:$C$44,$A33,DOCUMENTS!$AI$5:$AI$44,"&lt;&gt;")-COUNTIFS(DOCUMENTS!$C$5:$C$44,$A33,DOCUMENTS!$AI$5:$AI$44,"REJECT DOCUMENT"))</f>
        <v/>
      </c>
      <c r="AM33">
        <f>IF($A33="","",COUNTIFS(DOCUMENTS!$C$5:$C$44,$A33,DOCUMENTS!$AI$5:$AI$44,""))</f>
        <v/>
      </c>
      <c r="AN33">
        <f t="array" ref="AN33">IF($A33="","",SUMPRODUCT((DOCUMENTS!$C$5:$C$44=$A33)*(ISNUMBER(SEARCH("MISMATCH",DOCUMENTS!$AH$5:$AH$44)))))</f>
        <v/>
      </c>
    </row>
    <row r="34">
      <c r="A34" s="4" t="n"/>
      <c r="B34" s="28">
        <f>'TRIP MANAGER'!$B$5</f>
        <v/>
      </c>
      <c r="C34" s="4" t="n"/>
      <c r="D34" s="4" t="n"/>
      <c r="E34" s="4" t="n"/>
      <c r="F34" s="4" t="n"/>
      <c r="G34" s="4" t="n"/>
      <c r="H34" s="4" t="n"/>
      <c r="I34" s="4" t="n"/>
      <c r="J34" s="114" t="n"/>
      <c r="K34" s="10">
        <f>IF($J34="","",DATEDIF($J34,TODAY(),"Y"))</f>
        <v/>
      </c>
      <c r="L34" s="4" t="n"/>
      <c r="M34" s="4" t="n"/>
      <c r="N34" s="4" t="n"/>
      <c r="O34" s="114" t="n"/>
      <c r="P34" s="114" t="n"/>
      <c r="Q34" s="10">
        <f>IF($P34="","MISSING",IF($P34&lt;MAX('TRIP MANAGER'!$L$18:$L$25),"EXPIRES BEFORE TRIP",IF($P34&lt;MAX('TRIP MANAGER'!$L$18:$L$25)+180,"UNDER 6 MONTHS","VALID")))</f>
        <v/>
      </c>
      <c r="R34" s="28">
        <f t="array" ref="R34">IF($A34="","",IFERROR(INDEX('TRIP MANAGER'!$E$97:$J$97,INDEX('TRIP MANAGER'!$AJ$18:$AJ$37,MATCH($L34,'TRIP MANAGER'!$AH$18:$AH$37,0))),"NOT ASSESSED"))</f>
        <v/>
      </c>
      <c r="S34" s="4" t="n"/>
      <c r="T34" s="114" t="n"/>
      <c r="U34" s="10">
        <f>IF($A34="","",IF($R34="NO","N/A",IF(OR($R34="VERIFY",$R34="NOT ASSESSED"),"VISA RULE NOT ON FILE",IF($T34="","MISSING",IF($T34&lt;MAX('TRIP MANAGER'!$L$18:$L$25),"EXPIRED","VALID")))))</f>
        <v/>
      </c>
      <c r="V34" s="4" t="n"/>
      <c r="W34" s="114" t="n"/>
      <c r="X34" s="114" t="n"/>
      <c r="Y34" s="4" t="n"/>
      <c r="Z34" s="10">
        <f>IF($A34="","",IF(UPPER($C34)&lt;&gt;"CREW","N/A",IF(OR($W34="",$X34=""),"MISSING",IF(MIN($W34,$X34)&lt;MAX('TRIP MANAGER'!$L$18:$L$25),"EXPIRED","VALID"))))</f>
        <v/>
      </c>
      <c r="AA34" s="4" t="n"/>
      <c r="AB34" s="4" t="n"/>
      <c r="AC34" s="4" t="n"/>
      <c r="AD34" s="4" t="n"/>
      <c r="AE34" s="10">
        <f>IF($A34="","",admin!$B$2&amp;"\PaxCrewDocs\"&amp;$B34&amp;"\"&amp;$A34)</f>
        <v/>
      </c>
      <c r="AF34" s="10">
        <f>IF($A34="","",$AE34&amp;"\passport.pdf")</f>
        <v/>
      </c>
      <c r="AG34" s="10">
        <f>IF($A34="","",$AE34&amp;"\visa.pdf")</f>
        <v/>
      </c>
      <c r="AH34" s="10">
        <f>IF($A34="","",$AE34&amp;"\licence_medical.pdf")</f>
        <v/>
      </c>
      <c r="AI34" s="1">
        <f>IF($A34="","",IF(OR($Q34="MISSING",$Q34="EXPIRES BEFORE TRIP",$U34="EXPIRED",$U34="MISSING",$Z34="EXPIRED",$Z34="MISSING"),"ACTION REQUIRED",IF(OR($Q34="UNDER 6 MONTHS",$U34="VISA RULE NOT ON FILE"),"CHECK","OK")))</f>
        <v/>
      </c>
      <c r="AJ34">
        <f>IF($A34="","",IF($B34='TRIP MANAGER'!$B$5,COUNTIFS($A$3:$A34,"&lt;&gt;",$B$3:$B34,$B34),""))</f>
        <v/>
      </c>
      <c r="AK34">
        <f>IF($A34="","",COUNTIF(DOCUMENTS!$C$5:$C$44,$A34))</f>
        <v/>
      </c>
      <c r="AL34">
        <f>IF($A34="","",COUNTIFS(DOCUMENTS!$C$5:$C$44,$A34,DOCUMENTS!$AI$5:$AI$44,"&lt;&gt;")-COUNTIFS(DOCUMENTS!$C$5:$C$44,$A34,DOCUMENTS!$AI$5:$AI$44,"REJECT DOCUMENT"))</f>
        <v/>
      </c>
      <c r="AM34">
        <f>IF($A34="","",COUNTIFS(DOCUMENTS!$C$5:$C$44,$A34,DOCUMENTS!$AI$5:$AI$44,""))</f>
        <v/>
      </c>
      <c r="AN34">
        <f t="array" ref="AN34">IF($A34="","",SUMPRODUCT((DOCUMENTS!$C$5:$C$44=$A34)*(ISNUMBER(SEARCH("MISMATCH",DOCUMENTS!$AH$5:$AH$44)))))</f>
        <v/>
      </c>
    </row>
    <row r="35">
      <c r="A35" s="4" t="n"/>
      <c r="B35" s="28">
        <f>'TRIP MANAGER'!$B$5</f>
        <v/>
      </c>
      <c r="C35" s="4" t="n"/>
      <c r="D35" s="4" t="n"/>
      <c r="E35" s="4" t="n"/>
      <c r="F35" s="4" t="n"/>
      <c r="G35" s="4" t="n"/>
      <c r="H35" s="4" t="n"/>
      <c r="I35" s="4" t="n"/>
      <c r="J35" s="114" t="n"/>
      <c r="K35" s="10">
        <f>IF($J35="","",DATEDIF($J35,TODAY(),"Y"))</f>
        <v/>
      </c>
      <c r="L35" s="4" t="n"/>
      <c r="M35" s="4" t="n"/>
      <c r="N35" s="4" t="n"/>
      <c r="O35" s="114" t="n"/>
      <c r="P35" s="114" t="n"/>
      <c r="Q35" s="10">
        <f>IF($P35="","MISSING",IF($P35&lt;MAX('TRIP MANAGER'!$L$18:$L$25),"EXPIRES BEFORE TRIP",IF($P35&lt;MAX('TRIP MANAGER'!$L$18:$L$25)+180,"UNDER 6 MONTHS","VALID")))</f>
        <v/>
      </c>
      <c r="R35" s="28">
        <f t="array" ref="R35">IF($A35="","",IFERROR(INDEX('TRIP MANAGER'!$E$97:$J$97,INDEX('TRIP MANAGER'!$AJ$18:$AJ$37,MATCH($L35,'TRIP MANAGER'!$AH$18:$AH$37,0))),"NOT ASSESSED"))</f>
        <v/>
      </c>
      <c r="S35" s="4" t="n"/>
      <c r="T35" s="114" t="n"/>
      <c r="U35" s="10">
        <f>IF($A35="","",IF($R35="NO","N/A",IF(OR($R35="VERIFY",$R35="NOT ASSESSED"),"VISA RULE NOT ON FILE",IF($T35="","MISSING",IF($T35&lt;MAX('TRIP MANAGER'!$L$18:$L$25),"EXPIRED","VALID")))))</f>
        <v/>
      </c>
      <c r="V35" s="4" t="n"/>
      <c r="W35" s="114" t="n"/>
      <c r="X35" s="114" t="n"/>
      <c r="Y35" s="4" t="n"/>
      <c r="Z35" s="10">
        <f>IF($A35="","",IF(UPPER($C35)&lt;&gt;"CREW","N/A",IF(OR($W35="",$X35=""),"MISSING",IF(MIN($W35,$X35)&lt;MAX('TRIP MANAGER'!$L$18:$L$25),"EXPIRED","VALID"))))</f>
        <v/>
      </c>
      <c r="AA35" s="4" t="n"/>
      <c r="AB35" s="4" t="n"/>
      <c r="AC35" s="4" t="n"/>
      <c r="AD35" s="4" t="n"/>
      <c r="AE35" s="10">
        <f>IF($A35="","",admin!$B$2&amp;"\PaxCrewDocs\"&amp;$B35&amp;"\"&amp;$A35)</f>
        <v/>
      </c>
      <c r="AF35" s="10">
        <f>IF($A35="","",$AE35&amp;"\passport.pdf")</f>
        <v/>
      </c>
      <c r="AG35" s="10">
        <f>IF($A35="","",$AE35&amp;"\visa.pdf")</f>
        <v/>
      </c>
      <c r="AH35" s="10">
        <f>IF($A35="","",$AE35&amp;"\licence_medical.pdf")</f>
        <v/>
      </c>
      <c r="AI35" s="1">
        <f>IF($A35="","",IF(OR($Q35="MISSING",$Q35="EXPIRES BEFORE TRIP",$U35="EXPIRED",$U35="MISSING",$Z35="EXPIRED",$Z35="MISSING"),"ACTION REQUIRED",IF(OR($Q35="UNDER 6 MONTHS",$U35="VISA RULE NOT ON FILE"),"CHECK","OK")))</f>
        <v/>
      </c>
      <c r="AJ35">
        <f>IF($A35="","",IF($B35='TRIP MANAGER'!$B$5,COUNTIFS($A$3:$A35,"&lt;&gt;",$B$3:$B35,$B35),""))</f>
        <v/>
      </c>
      <c r="AK35">
        <f>IF($A35="","",COUNTIF(DOCUMENTS!$C$5:$C$44,$A35))</f>
        <v/>
      </c>
      <c r="AL35">
        <f>IF($A35="","",COUNTIFS(DOCUMENTS!$C$5:$C$44,$A35,DOCUMENTS!$AI$5:$AI$44,"&lt;&gt;")-COUNTIFS(DOCUMENTS!$C$5:$C$44,$A35,DOCUMENTS!$AI$5:$AI$44,"REJECT DOCUMENT"))</f>
        <v/>
      </c>
      <c r="AM35">
        <f>IF($A35="","",COUNTIFS(DOCUMENTS!$C$5:$C$44,$A35,DOCUMENTS!$AI$5:$AI$44,""))</f>
        <v/>
      </c>
      <c r="AN35">
        <f t="array" ref="AN35">IF($A35="","",SUMPRODUCT((DOCUMENTS!$C$5:$C$44=$A35)*(ISNUMBER(SEARCH("MISMATCH",DOCUMENTS!$AH$5:$AH$44)))))</f>
        <v/>
      </c>
    </row>
    <row r="36">
      <c r="A36" s="4" t="n"/>
      <c r="B36" s="28">
        <f>'TRIP MANAGER'!$B$5</f>
        <v/>
      </c>
      <c r="C36" s="4" t="n"/>
      <c r="D36" s="4" t="n"/>
      <c r="E36" s="4" t="n"/>
      <c r="F36" s="4" t="n"/>
      <c r="G36" s="4" t="n"/>
      <c r="H36" s="4" t="n"/>
      <c r="I36" s="4" t="n"/>
      <c r="J36" s="114" t="n"/>
      <c r="K36" s="10">
        <f>IF($J36="","",DATEDIF($J36,TODAY(),"Y"))</f>
        <v/>
      </c>
      <c r="L36" s="4" t="n"/>
      <c r="M36" s="4" t="n"/>
      <c r="N36" s="4" t="n"/>
      <c r="O36" s="114" t="n"/>
      <c r="P36" s="114" t="n"/>
      <c r="Q36" s="10">
        <f>IF($P36="","MISSING",IF($P36&lt;MAX('TRIP MANAGER'!$L$18:$L$25),"EXPIRES BEFORE TRIP",IF($P36&lt;MAX('TRIP MANAGER'!$L$18:$L$25)+180,"UNDER 6 MONTHS","VALID")))</f>
        <v/>
      </c>
      <c r="R36" s="28">
        <f t="array" ref="R36">IF($A36="","",IFERROR(INDEX('TRIP MANAGER'!$E$97:$J$97,INDEX('TRIP MANAGER'!$AJ$18:$AJ$37,MATCH($L36,'TRIP MANAGER'!$AH$18:$AH$37,0))),"NOT ASSESSED"))</f>
        <v/>
      </c>
      <c r="S36" s="4" t="n"/>
      <c r="T36" s="114" t="n"/>
      <c r="U36" s="10">
        <f>IF($A36="","",IF($R36="NO","N/A",IF(OR($R36="VERIFY",$R36="NOT ASSESSED"),"VISA RULE NOT ON FILE",IF($T36="","MISSING",IF($T36&lt;MAX('TRIP MANAGER'!$L$18:$L$25),"EXPIRED","VALID")))))</f>
        <v/>
      </c>
      <c r="V36" s="4" t="n"/>
      <c r="W36" s="114" t="n"/>
      <c r="X36" s="114" t="n"/>
      <c r="Y36" s="4" t="n"/>
      <c r="Z36" s="10">
        <f>IF($A36="","",IF(UPPER($C36)&lt;&gt;"CREW","N/A",IF(OR($W36="",$X36=""),"MISSING",IF(MIN($W36,$X36)&lt;MAX('TRIP MANAGER'!$L$18:$L$25),"EXPIRED","VALID"))))</f>
        <v/>
      </c>
      <c r="AA36" s="4" t="n"/>
      <c r="AB36" s="4" t="n"/>
      <c r="AC36" s="4" t="n"/>
      <c r="AD36" s="4" t="n"/>
      <c r="AE36" s="10">
        <f>IF($A36="","",admin!$B$2&amp;"\PaxCrewDocs\"&amp;$B36&amp;"\"&amp;$A36)</f>
        <v/>
      </c>
      <c r="AF36" s="10">
        <f>IF($A36="","",$AE36&amp;"\passport.pdf")</f>
        <v/>
      </c>
      <c r="AG36" s="10">
        <f>IF($A36="","",$AE36&amp;"\visa.pdf")</f>
        <v/>
      </c>
      <c r="AH36" s="10">
        <f>IF($A36="","",$AE36&amp;"\licence_medical.pdf")</f>
        <v/>
      </c>
      <c r="AI36" s="1">
        <f>IF($A36="","",IF(OR($Q36="MISSING",$Q36="EXPIRES BEFORE TRIP",$U36="EXPIRED",$U36="MISSING",$Z36="EXPIRED",$Z36="MISSING"),"ACTION REQUIRED",IF(OR($Q36="UNDER 6 MONTHS",$U36="VISA RULE NOT ON FILE"),"CHECK","OK")))</f>
        <v/>
      </c>
      <c r="AJ36">
        <f>IF($A36="","",IF($B36='TRIP MANAGER'!$B$5,COUNTIFS($A$3:$A36,"&lt;&gt;",$B$3:$B36,$B36),""))</f>
        <v/>
      </c>
      <c r="AK36">
        <f>IF($A36="","",COUNTIF(DOCUMENTS!$C$5:$C$44,$A36))</f>
        <v/>
      </c>
      <c r="AL36">
        <f>IF($A36="","",COUNTIFS(DOCUMENTS!$C$5:$C$44,$A36,DOCUMENTS!$AI$5:$AI$44,"&lt;&gt;")-COUNTIFS(DOCUMENTS!$C$5:$C$44,$A36,DOCUMENTS!$AI$5:$AI$44,"REJECT DOCUMENT"))</f>
        <v/>
      </c>
      <c r="AM36">
        <f>IF($A36="","",COUNTIFS(DOCUMENTS!$C$5:$C$44,$A36,DOCUMENTS!$AI$5:$AI$44,""))</f>
        <v/>
      </c>
      <c r="AN36">
        <f t="array" ref="AN36">IF($A36="","",SUMPRODUCT((DOCUMENTS!$C$5:$C$44=$A36)*(ISNUMBER(SEARCH("MISMATCH",DOCUMENTS!$AH$5:$AH$44)))))</f>
        <v/>
      </c>
    </row>
    <row r="37">
      <c r="A37" s="4" t="n"/>
      <c r="B37" s="28">
        <f>'TRIP MANAGER'!$B$5</f>
        <v/>
      </c>
      <c r="C37" s="4" t="n"/>
      <c r="D37" s="4" t="n"/>
      <c r="E37" s="4" t="n"/>
      <c r="F37" s="4" t="n"/>
      <c r="G37" s="4" t="n"/>
      <c r="H37" s="4" t="n"/>
      <c r="I37" s="4" t="n"/>
      <c r="J37" s="114" t="n"/>
      <c r="K37" s="10">
        <f>IF($J37="","",DATEDIF($J37,TODAY(),"Y"))</f>
        <v/>
      </c>
      <c r="L37" s="4" t="n"/>
      <c r="M37" s="4" t="n"/>
      <c r="N37" s="4" t="n"/>
      <c r="O37" s="114" t="n"/>
      <c r="P37" s="114" t="n"/>
      <c r="Q37" s="10">
        <f>IF($P37="","MISSING",IF($P37&lt;MAX('TRIP MANAGER'!$L$18:$L$25),"EXPIRES BEFORE TRIP",IF($P37&lt;MAX('TRIP MANAGER'!$L$18:$L$25)+180,"UNDER 6 MONTHS","VALID")))</f>
        <v/>
      </c>
      <c r="R37" s="28">
        <f t="array" ref="R37">IF($A37="","",IFERROR(INDEX('TRIP MANAGER'!$E$97:$J$97,INDEX('TRIP MANAGER'!$AJ$18:$AJ$37,MATCH($L37,'TRIP MANAGER'!$AH$18:$AH$37,0))),"NOT ASSESSED"))</f>
        <v/>
      </c>
      <c r="S37" s="4" t="n"/>
      <c r="T37" s="114" t="n"/>
      <c r="U37" s="10">
        <f>IF($A37="","",IF($R37="NO","N/A",IF(OR($R37="VERIFY",$R37="NOT ASSESSED"),"VISA RULE NOT ON FILE",IF($T37="","MISSING",IF($T37&lt;MAX('TRIP MANAGER'!$L$18:$L$25),"EXPIRED","VALID")))))</f>
        <v/>
      </c>
      <c r="V37" s="4" t="n"/>
      <c r="W37" s="114" t="n"/>
      <c r="X37" s="114" t="n"/>
      <c r="Y37" s="4" t="n"/>
      <c r="Z37" s="10">
        <f>IF($A37="","",IF(UPPER($C37)&lt;&gt;"CREW","N/A",IF(OR($W37="",$X37=""),"MISSING",IF(MIN($W37,$X37)&lt;MAX('TRIP MANAGER'!$L$18:$L$25),"EXPIRED","VALID"))))</f>
        <v/>
      </c>
      <c r="AA37" s="4" t="n"/>
      <c r="AB37" s="4" t="n"/>
      <c r="AC37" s="4" t="n"/>
      <c r="AD37" s="4" t="n"/>
      <c r="AE37" s="10">
        <f>IF($A37="","",admin!$B$2&amp;"\PaxCrewDocs\"&amp;$B37&amp;"\"&amp;$A37)</f>
        <v/>
      </c>
      <c r="AF37" s="10">
        <f>IF($A37="","",$AE37&amp;"\passport.pdf")</f>
        <v/>
      </c>
      <c r="AG37" s="10">
        <f>IF($A37="","",$AE37&amp;"\visa.pdf")</f>
        <v/>
      </c>
      <c r="AH37" s="10">
        <f>IF($A37="","",$AE37&amp;"\licence_medical.pdf")</f>
        <v/>
      </c>
      <c r="AI37" s="1">
        <f>IF($A37="","",IF(OR($Q37="MISSING",$Q37="EXPIRES BEFORE TRIP",$U37="EXPIRED",$U37="MISSING",$Z37="EXPIRED",$Z37="MISSING"),"ACTION REQUIRED",IF(OR($Q37="UNDER 6 MONTHS",$U37="VISA RULE NOT ON FILE"),"CHECK","OK")))</f>
        <v/>
      </c>
      <c r="AJ37">
        <f>IF($A37="","",IF($B37='TRIP MANAGER'!$B$5,COUNTIFS($A$3:$A37,"&lt;&gt;",$B$3:$B37,$B37),""))</f>
        <v/>
      </c>
      <c r="AK37">
        <f>IF($A37="","",COUNTIF(DOCUMENTS!$C$5:$C$44,$A37))</f>
        <v/>
      </c>
      <c r="AL37">
        <f>IF($A37="","",COUNTIFS(DOCUMENTS!$C$5:$C$44,$A37,DOCUMENTS!$AI$5:$AI$44,"&lt;&gt;")-COUNTIFS(DOCUMENTS!$C$5:$C$44,$A37,DOCUMENTS!$AI$5:$AI$44,"REJECT DOCUMENT"))</f>
        <v/>
      </c>
      <c r="AM37">
        <f>IF($A37="","",COUNTIFS(DOCUMENTS!$C$5:$C$44,$A37,DOCUMENTS!$AI$5:$AI$44,""))</f>
        <v/>
      </c>
      <c r="AN37">
        <f t="array" ref="AN37">IF($A37="","",SUMPRODUCT((DOCUMENTS!$C$5:$C$44=$A37)*(ISNUMBER(SEARCH("MISMATCH",DOCUMENTS!$AH$5:$AH$44)))))</f>
        <v/>
      </c>
    </row>
    <row r="38">
      <c r="A38" s="4" t="n"/>
      <c r="B38" s="28">
        <f>'TRIP MANAGER'!$B$5</f>
        <v/>
      </c>
      <c r="C38" s="4" t="n"/>
      <c r="D38" s="4" t="n"/>
      <c r="E38" s="4" t="n"/>
      <c r="F38" s="4" t="n"/>
      <c r="G38" s="4" t="n"/>
      <c r="H38" s="4" t="n"/>
      <c r="I38" s="4" t="n"/>
      <c r="J38" s="114" t="n"/>
      <c r="K38" s="10">
        <f>IF($J38="","",DATEDIF($J38,TODAY(),"Y"))</f>
        <v/>
      </c>
      <c r="L38" s="4" t="n"/>
      <c r="M38" s="4" t="n"/>
      <c r="N38" s="4" t="n"/>
      <c r="O38" s="114" t="n"/>
      <c r="P38" s="114" t="n"/>
      <c r="Q38" s="10">
        <f>IF($P38="","MISSING",IF($P38&lt;MAX('TRIP MANAGER'!$L$18:$L$25),"EXPIRES BEFORE TRIP",IF($P38&lt;MAX('TRIP MANAGER'!$L$18:$L$25)+180,"UNDER 6 MONTHS","VALID")))</f>
        <v/>
      </c>
      <c r="R38" s="28">
        <f t="array" ref="R38">IF($A38="","",IFERROR(INDEX('TRIP MANAGER'!$E$97:$J$97,INDEX('TRIP MANAGER'!$AJ$18:$AJ$37,MATCH($L38,'TRIP MANAGER'!$AH$18:$AH$37,0))),"NOT ASSESSED"))</f>
        <v/>
      </c>
      <c r="S38" s="4" t="n"/>
      <c r="T38" s="114" t="n"/>
      <c r="U38" s="10">
        <f>IF($A38="","",IF($R38="NO","N/A",IF(OR($R38="VERIFY",$R38="NOT ASSESSED"),"VISA RULE NOT ON FILE",IF($T38="","MISSING",IF($T38&lt;MAX('TRIP MANAGER'!$L$18:$L$25),"EXPIRED","VALID")))))</f>
        <v/>
      </c>
      <c r="V38" s="4" t="n"/>
      <c r="W38" s="114" t="n"/>
      <c r="X38" s="114" t="n"/>
      <c r="Y38" s="4" t="n"/>
      <c r="Z38" s="10">
        <f>IF($A38="","",IF(UPPER($C38)&lt;&gt;"CREW","N/A",IF(OR($W38="",$X38=""),"MISSING",IF(MIN($W38,$X38)&lt;MAX('TRIP MANAGER'!$L$18:$L$25),"EXPIRED","VALID"))))</f>
        <v/>
      </c>
      <c r="AA38" s="4" t="n"/>
      <c r="AB38" s="4" t="n"/>
      <c r="AC38" s="4" t="n"/>
      <c r="AD38" s="4" t="n"/>
      <c r="AE38" s="10">
        <f>IF($A38="","",admin!$B$2&amp;"\PaxCrewDocs\"&amp;$B38&amp;"\"&amp;$A38)</f>
        <v/>
      </c>
      <c r="AF38" s="10">
        <f>IF($A38="","",$AE38&amp;"\passport.pdf")</f>
        <v/>
      </c>
      <c r="AG38" s="10">
        <f>IF($A38="","",$AE38&amp;"\visa.pdf")</f>
        <v/>
      </c>
      <c r="AH38" s="10">
        <f>IF($A38="","",$AE38&amp;"\licence_medical.pdf")</f>
        <v/>
      </c>
      <c r="AI38" s="1">
        <f>IF($A38="","",IF(OR($Q38="MISSING",$Q38="EXPIRES BEFORE TRIP",$U38="EXPIRED",$U38="MISSING",$Z38="EXPIRED",$Z38="MISSING"),"ACTION REQUIRED",IF(OR($Q38="UNDER 6 MONTHS",$U38="VISA RULE NOT ON FILE"),"CHECK","OK")))</f>
        <v/>
      </c>
      <c r="AJ38">
        <f>IF($A38="","",IF($B38='TRIP MANAGER'!$B$5,COUNTIFS($A$3:$A38,"&lt;&gt;",$B$3:$B38,$B38),""))</f>
        <v/>
      </c>
      <c r="AK38">
        <f>IF($A38="","",COUNTIF(DOCUMENTS!$C$5:$C$44,$A38))</f>
        <v/>
      </c>
      <c r="AL38">
        <f>IF($A38="","",COUNTIFS(DOCUMENTS!$C$5:$C$44,$A38,DOCUMENTS!$AI$5:$AI$44,"&lt;&gt;")-COUNTIFS(DOCUMENTS!$C$5:$C$44,$A38,DOCUMENTS!$AI$5:$AI$44,"REJECT DOCUMENT"))</f>
        <v/>
      </c>
      <c r="AM38">
        <f>IF($A38="","",COUNTIFS(DOCUMENTS!$C$5:$C$44,$A38,DOCUMENTS!$AI$5:$AI$44,""))</f>
        <v/>
      </c>
      <c r="AN38">
        <f t="array" ref="AN38">IF($A38="","",SUMPRODUCT((DOCUMENTS!$C$5:$C$44=$A38)*(ISNUMBER(SEARCH("MISMATCH",DOCUMENTS!$AH$5:$AH$44)))))</f>
        <v/>
      </c>
    </row>
    <row r="39">
      <c r="A39" s="4" t="n"/>
      <c r="B39" s="28">
        <f>'TRIP MANAGER'!$B$5</f>
        <v/>
      </c>
      <c r="C39" s="4" t="n"/>
      <c r="D39" s="4" t="n"/>
      <c r="E39" s="4" t="n"/>
      <c r="F39" s="4" t="n"/>
      <c r="G39" s="4" t="n"/>
      <c r="H39" s="4" t="n"/>
      <c r="I39" s="4" t="n"/>
      <c r="J39" s="114" t="n"/>
      <c r="K39" s="10">
        <f>IF($J39="","",DATEDIF($J39,TODAY(),"Y"))</f>
        <v/>
      </c>
      <c r="L39" s="4" t="n"/>
      <c r="M39" s="4" t="n"/>
      <c r="N39" s="4" t="n"/>
      <c r="O39" s="114" t="n"/>
      <c r="P39" s="114" t="n"/>
      <c r="Q39" s="10">
        <f>IF($P39="","MISSING",IF($P39&lt;MAX('TRIP MANAGER'!$L$18:$L$25),"EXPIRES BEFORE TRIP",IF($P39&lt;MAX('TRIP MANAGER'!$L$18:$L$25)+180,"UNDER 6 MONTHS","VALID")))</f>
        <v/>
      </c>
      <c r="R39" s="28">
        <f t="array" ref="R39">IF($A39="","",IFERROR(INDEX('TRIP MANAGER'!$E$97:$J$97,INDEX('TRIP MANAGER'!$AJ$18:$AJ$37,MATCH($L39,'TRIP MANAGER'!$AH$18:$AH$37,0))),"NOT ASSESSED"))</f>
        <v/>
      </c>
      <c r="S39" s="4" t="n"/>
      <c r="T39" s="114" t="n"/>
      <c r="U39" s="10">
        <f>IF($A39="","",IF($R39="NO","N/A",IF(OR($R39="VERIFY",$R39="NOT ASSESSED"),"VISA RULE NOT ON FILE",IF($T39="","MISSING",IF($T39&lt;MAX('TRIP MANAGER'!$L$18:$L$25),"EXPIRED","VALID")))))</f>
        <v/>
      </c>
      <c r="V39" s="4" t="n"/>
      <c r="W39" s="114" t="n"/>
      <c r="X39" s="114" t="n"/>
      <c r="Y39" s="4" t="n"/>
      <c r="Z39" s="10">
        <f>IF($A39="","",IF(UPPER($C39)&lt;&gt;"CREW","N/A",IF(OR($W39="",$X39=""),"MISSING",IF(MIN($W39,$X39)&lt;MAX('TRIP MANAGER'!$L$18:$L$25),"EXPIRED","VALID"))))</f>
        <v/>
      </c>
      <c r="AA39" s="4" t="n"/>
      <c r="AB39" s="4" t="n"/>
      <c r="AC39" s="4" t="n"/>
      <c r="AD39" s="4" t="n"/>
      <c r="AE39" s="10">
        <f>IF($A39="","",admin!$B$2&amp;"\PaxCrewDocs\"&amp;$B39&amp;"\"&amp;$A39)</f>
        <v/>
      </c>
      <c r="AF39" s="10">
        <f>IF($A39="","",$AE39&amp;"\passport.pdf")</f>
        <v/>
      </c>
      <c r="AG39" s="10">
        <f>IF($A39="","",$AE39&amp;"\visa.pdf")</f>
        <v/>
      </c>
      <c r="AH39" s="10">
        <f>IF($A39="","",$AE39&amp;"\licence_medical.pdf")</f>
        <v/>
      </c>
      <c r="AI39" s="1">
        <f>IF($A39="","",IF(OR($Q39="MISSING",$Q39="EXPIRES BEFORE TRIP",$U39="EXPIRED",$U39="MISSING",$Z39="EXPIRED",$Z39="MISSING"),"ACTION REQUIRED",IF(OR($Q39="UNDER 6 MONTHS",$U39="VISA RULE NOT ON FILE"),"CHECK","OK")))</f>
        <v/>
      </c>
      <c r="AJ39">
        <f>IF($A39="","",IF($B39='TRIP MANAGER'!$B$5,COUNTIFS($A$3:$A39,"&lt;&gt;",$B$3:$B39,$B39),""))</f>
        <v/>
      </c>
      <c r="AK39">
        <f>IF($A39="","",COUNTIF(DOCUMENTS!$C$5:$C$44,$A39))</f>
        <v/>
      </c>
      <c r="AL39">
        <f>IF($A39="","",COUNTIFS(DOCUMENTS!$C$5:$C$44,$A39,DOCUMENTS!$AI$5:$AI$44,"&lt;&gt;")-COUNTIFS(DOCUMENTS!$C$5:$C$44,$A39,DOCUMENTS!$AI$5:$AI$44,"REJECT DOCUMENT"))</f>
        <v/>
      </c>
      <c r="AM39">
        <f>IF($A39="","",COUNTIFS(DOCUMENTS!$C$5:$C$44,$A39,DOCUMENTS!$AI$5:$AI$44,""))</f>
        <v/>
      </c>
      <c r="AN39">
        <f t="array" ref="AN39">IF($A39="","",SUMPRODUCT((DOCUMENTS!$C$5:$C$44=$A39)*(ISNUMBER(SEARCH("MISMATCH",DOCUMENTS!$AH$5:$AH$44)))))</f>
        <v/>
      </c>
    </row>
    <row r="40">
      <c r="A40" s="4" t="n"/>
      <c r="B40" s="28">
        <f>'TRIP MANAGER'!$B$5</f>
        <v/>
      </c>
      <c r="C40" s="4" t="n"/>
      <c r="D40" s="4" t="n"/>
      <c r="E40" s="4" t="n"/>
      <c r="F40" s="4" t="n"/>
      <c r="G40" s="4" t="n"/>
      <c r="H40" s="4" t="n"/>
      <c r="I40" s="4" t="n"/>
      <c r="J40" s="114" t="n"/>
      <c r="K40" s="10">
        <f>IF($J40="","",DATEDIF($J40,TODAY(),"Y"))</f>
        <v/>
      </c>
      <c r="L40" s="4" t="n"/>
      <c r="M40" s="4" t="n"/>
      <c r="N40" s="4" t="n"/>
      <c r="O40" s="114" t="n"/>
      <c r="P40" s="114" t="n"/>
      <c r="Q40" s="10">
        <f>IF($P40="","MISSING",IF($P40&lt;MAX('TRIP MANAGER'!$L$18:$L$25),"EXPIRES BEFORE TRIP",IF($P40&lt;MAX('TRIP MANAGER'!$L$18:$L$25)+180,"UNDER 6 MONTHS","VALID")))</f>
        <v/>
      </c>
      <c r="R40" s="28">
        <f t="array" ref="R40">IF($A40="","",IFERROR(INDEX('TRIP MANAGER'!$E$97:$J$97,INDEX('TRIP MANAGER'!$AJ$18:$AJ$37,MATCH($L40,'TRIP MANAGER'!$AH$18:$AH$37,0))),"NOT ASSESSED"))</f>
        <v/>
      </c>
      <c r="S40" s="4" t="n"/>
      <c r="T40" s="114" t="n"/>
      <c r="U40" s="10">
        <f>IF($A40="","",IF($R40="NO","N/A",IF(OR($R40="VERIFY",$R40="NOT ASSESSED"),"VISA RULE NOT ON FILE",IF($T40="","MISSING",IF($T40&lt;MAX('TRIP MANAGER'!$L$18:$L$25),"EXPIRED","VALID")))))</f>
        <v/>
      </c>
      <c r="V40" s="4" t="n"/>
      <c r="W40" s="114" t="n"/>
      <c r="X40" s="114" t="n"/>
      <c r="Y40" s="4" t="n"/>
      <c r="Z40" s="10">
        <f>IF($A40="","",IF(UPPER($C40)&lt;&gt;"CREW","N/A",IF(OR($W40="",$X40=""),"MISSING",IF(MIN($W40,$X40)&lt;MAX('TRIP MANAGER'!$L$18:$L$25),"EXPIRED","VALID"))))</f>
        <v/>
      </c>
      <c r="AA40" s="4" t="n"/>
      <c r="AB40" s="4" t="n"/>
      <c r="AC40" s="4" t="n"/>
      <c r="AD40" s="4" t="n"/>
      <c r="AE40" s="10">
        <f>IF($A40="","",admin!$B$2&amp;"\PaxCrewDocs\"&amp;$B40&amp;"\"&amp;$A40)</f>
        <v/>
      </c>
      <c r="AF40" s="10">
        <f>IF($A40="","",$AE40&amp;"\passport.pdf")</f>
        <v/>
      </c>
      <c r="AG40" s="10">
        <f>IF($A40="","",$AE40&amp;"\visa.pdf")</f>
        <v/>
      </c>
      <c r="AH40" s="10">
        <f>IF($A40="","",$AE40&amp;"\licence_medical.pdf")</f>
        <v/>
      </c>
      <c r="AI40" s="1">
        <f>IF($A40="","",IF(OR($Q40="MISSING",$Q40="EXPIRES BEFORE TRIP",$U40="EXPIRED",$U40="MISSING",$Z40="EXPIRED",$Z40="MISSING"),"ACTION REQUIRED",IF(OR($Q40="UNDER 6 MONTHS",$U40="VISA RULE NOT ON FILE"),"CHECK","OK")))</f>
        <v/>
      </c>
      <c r="AJ40">
        <f>IF($A40="","",IF($B40='TRIP MANAGER'!$B$5,COUNTIFS($A$3:$A40,"&lt;&gt;",$B$3:$B40,$B40),""))</f>
        <v/>
      </c>
      <c r="AK40">
        <f>IF($A40="","",COUNTIF(DOCUMENTS!$C$5:$C$44,$A40))</f>
        <v/>
      </c>
      <c r="AL40">
        <f>IF($A40="","",COUNTIFS(DOCUMENTS!$C$5:$C$44,$A40,DOCUMENTS!$AI$5:$AI$44,"&lt;&gt;")-COUNTIFS(DOCUMENTS!$C$5:$C$44,$A40,DOCUMENTS!$AI$5:$AI$44,"REJECT DOCUMENT"))</f>
        <v/>
      </c>
      <c r="AM40">
        <f>IF($A40="","",COUNTIFS(DOCUMENTS!$C$5:$C$44,$A40,DOCUMENTS!$AI$5:$AI$44,""))</f>
        <v/>
      </c>
      <c r="AN40">
        <f t="array" ref="AN40">IF($A40="","",SUMPRODUCT((DOCUMENTS!$C$5:$C$44=$A40)*(ISNUMBER(SEARCH("MISMATCH",DOCUMENTS!$AH$5:$AH$44)))))</f>
        <v/>
      </c>
    </row>
    <row r="41">
      <c r="A41" s="4" t="n"/>
      <c r="B41" s="28">
        <f>'TRIP MANAGER'!$B$5</f>
        <v/>
      </c>
      <c r="C41" s="4" t="n"/>
      <c r="D41" s="4" t="n"/>
      <c r="E41" s="4" t="n"/>
      <c r="F41" s="4" t="n"/>
      <c r="G41" s="4" t="n"/>
      <c r="H41" s="4" t="n"/>
      <c r="I41" s="4" t="n"/>
      <c r="J41" s="114" t="n"/>
      <c r="K41" s="10">
        <f>IF($J41="","",DATEDIF($J41,TODAY(),"Y"))</f>
        <v/>
      </c>
      <c r="L41" s="4" t="n"/>
      <c r="M41" s="4" t="n"/>
      <c r="N41" s="4" t="n"/>
      <c r="O41" s="114" t="n"/>
      <c r="P41" s="114" t="n"/>
      <c r="Q41" s="10">
        <f>IF($P41="","MISSING",IF($P41&lt;MAX('TRIP MANAGER'!$L$18:$L$25),"EXPIRES BEFORE TRIP",IF($P41&lt;MAX('TRIP MANAGER'!$L$18:$L$25)+180,"UNDER 6 MONTHS","VALID")))</f>
        <v/>
      </c>
      <c r="R41" s="28">
        <f t="array" ref="R41">IF($A41="","",IFERROR(INDEX('TRIP MANAGER'!$E$97:$J$97,INDEX('TRIP MANAGER'!$AJ$18:$AJ$37,MATCH($L41,'TRIP MANAGER'!$AH$18:$AH$37,0))),"NOT ASSESSED"))</f>
        <v/>
      </c>
      <c r="S41" s="4" t="n"/>
      <c r="T41" s="114" t="n"/>
      <c r="U41" s="10">
        <f>IF($A41="","",IF($R41="NO","N/A",IF(OR($R41="VERIFY",$R41="NOT ASSESSED"),"VISA RULE NOT ON FILE",IF($T41="","MISSING",IF($T41&lt;MAX('TRIP MANAGER'!$L$18:$L$25),"EXPIRED","VALID")))))</f>
        <v/>
      </c>
      <c r="V41" s="4" t="n"/>
      <c r="W41" s="114" t="n"/>
      <c r="X41" s="114" t="n"/>
      <c r="Y41" s="4" t="n"/>
      <c r="Z41" s="10">
        <f>IF($A41="","",IF(UPPER($C41)&lt;&gt;"CREW","N/A",IF(OR($W41="",$X41=""),"MISSING",IF(MIN($W41,$X41)&lt;MAX('TRIP MANAGER'!$L$18:$L$25),"EXPIRED","VALID"))))</f>
        <v/>
      </c>
      <c r="AA41" s="4" t="n"/>
      <c r="AB41" s="4" t="n"/>
      <c r="AC41" s="4" t="n"/>
      <c r="AD41" s="4" t="n"/>
      <c r="AE41" s="10">
        <f>IF($A41="","",admin!$B$2&amp;"\PaxCrewDocs\"&amp;$B41&amp;"\"&amp;$A41)</f>
        <v/>
      </c>
      <c r="AF41" s="10">
        <f>IF($A41="","",$AE41&amp;"\passport.pdf")</f>
        <v/>
      </c>
      <c r="AG41" s="10">
        <f>IF($A41="","",$AE41&amp;"\visa.pdf")</f>
        <v/>
      </c>
      <c r="AH41" s="10">
        <f>IF($A41="","",$AE41&amp;"\licence_medical.pdf")</f>
        <v/>
      </c>
      <c r="AI41" s="1">
        <f>IF($A41="","",IF(OR($Q41="MISSING",$Q41="EXPIRES BEFORE TRIP",$U41="EXPIRED",$U41="MISSING",$Z41="EXPIRED",$Z41="MISSING"),"ACTION REQUIRED",IF(OR($Q41="UNDER 6 MONTHS",$U41="VISA RULE NOT ON FILE"),"CHECK","OK")))</f>
        <v/>
      </c>
      <c r="AJ41">
        <f>IF($A41="","",IF($B41='TRIP MANAGER'!$B$5,COUNTIFS($A$3:$A41,"&lt;&gt;",$B$3:$B41,$B41),""))</f>
        <v/>
      </c>
      <c r="AK41">
        <f>IF($A41="","",COUNTIF(DOCUMENTS!$C$5:$C$44,$A41))</f>
        <v/>
      </c>
      <c r="AL41">
        <f>IF($A41="","",COUNTIFS(DOCUMENTS!$C$5:$C$44,$A41,DOCUMENTS!$AI$5:$AI$44,"&lt;&gt;")-COUNTIFS(DOCUMENTS!$C$5:$C$44,$A41,DOCUMENTS!$AI$5:$AI$44,"REJECT DOCUMENT"))</f>
        <v/>
      </c>
      <c r="AM41">
        <f>IF($A41="","",COUNTIFS(DOCUMENTS!$C$5:$C$44,$A41,DOCUMENTS!$AI$5:$AI$44,""))</f>
        <v/>
      </c>
      <c r="AN41">
        <f t="array" ref="AN41">IF($A41="","",SUMPRODUCT((DOCUMENTS!$C$5:$C$44=$A41)*(ISNUMBER(SEARCH("MISMATCH",DOCUMENTS!$AH$5:$AH$44)))))</f>
        <v/>
      </c>
    </row>
    <row r="42">
      <c r="A42" s="4" t="n"/>
      <c r="B42" s="28">
        <f>'TRIP MANAGER'!$B$5</f>
        <v/>
      </c>
      <c r="C42" s="4" t="n"/>
      <c r="D42" s="4" t="n"/>
      <c r="E42" s="4" t="n"/>
      <c r="F42" s="4" t="n"/>
      <c r="G42" s="4" t="n"/>
      <c r="H42" s="4" t="n"/>
      <c r="I42" s="4" t="n"/>
      <c r="J42" s="114" t="n"/>
      <c r="K42" s="10">
        <f>IF($J42="","",DATEDIF($J42,TODAY(),"Y"))</f>
        <v/>
      </c>
      <c r="L42" s="4" t="n"/>
      <c r="M42" s="4" t="n"/>
      <c r="N42" s="4" t="n"/>
      <c r="O42" s="114" t="n"/>
      <c r="P42" s="114" t="n"/>
      <c r="Q42" s="10">
        <f>IF($P42="","MISSING",IF($P42&lt;MAX('TRIP MANAGER'!$L$18:$L$25),"EXPIRES BEFORE TRIP",IF($P42&lt;MAX('TRIP MANAGER'!$L$18:$L$25)+180,"UNDER 6 MONTHS","VALID")))</f>
        <v/>
      </c>
      <c r="R42" s="28">
        <f t="array" ref="R42">IF($A42="","",IFERROR(INDEX('TRIP MANAGER'!$E$97:$J$97,INDEX('TRIP MANAGER'!$AJ$18:$AJ$37,MATCH($L42,'TRIP MANAGER'!$AH$18:$AH$37,0))),"NOT ASSESSED"))</f>
        <v/>
      </c>
      <c r="S42" s="4" t="n"/>
      <c r="T42" s="114" t="n"/>
      <c r="U42" s="10">
        <f>IF($A42="","",IF($R42="NO","N/A",IF(OR($R42="VERIFY",$R42="NOT ASSESSED"),"VISA RULE NOT ON FILE",IF($T42="","MISSING",IF($T42&lt;MAX('TRIP MANAGER'!$L$18:$L$25),"EXPIRED","VALID")))))</f>
        <v/>
      </c>
      <c r="V42" s="4" t="n"/>
      <c r="W42" s="114" t="n"/>
      <c r="X42" s="114" t="n"/>
      <c r="Y42" s="4" t="n"/>
      <c r="Z42" s="10">
        <f>IF($A42="","",IF(UPPER($C42)&lt;&gt;"CREW","N/A",IF(OR($W42="",$X42=""),"MISSING",IF(MIN($W42,$X42)&lt;MAX('TRIP MANAGER'!$L$18:$L$25),"EXPIRED","VALID"))))</f>
        <v/>
      </c>
      <c r="AA42" s="4" t="n"/>
      <c r="AB42" s="4" t="n"/>
      <c r="AC42" s="4" t="n"/>
      <c r="AD42" s="4" t="n"/>
      <c r="AE42" s="10">
        <f>IF($A42="","",admin!$B$2&amp;"\PaxCrewDocs\"&amp;$B42&amp;"\"&amp;$A42)</f>
        <v/>
      </c>
      <c r="AF42" s="10">
        <f>IF($A42="","",$AE42&amp;"\passport.pdf")</f>
        <v/>
      </c>
      <c r="AG42" s="10">
        <f>IF($A42="","",$AE42&amp;"\visa.pdf")</f>
        <v/>
      </c>
      <c r="AH42" s="10">
        <f>IF($A42="","",$AE42&amp;"\licence_medical.pdf")</f>
        <v/>
      </c>
      <c r="AI42" s="1">
        <f>IF($A42="","",IF(OR($Q42="MISSING",$Q42="EXPIRES BEFORE TRIP",$U42="EXPIRED",$U42="MISSING",$Z42="EXPIRED",$Z42="MISSING"),"ACTION REQUIRED",IF(OR($Q42="UNDER 6 MONTHS",$U42="VISA RULE NOT ON FILE"),"CHECK","OK")))</f>
        <v/>
      </c>
      <c r="AJ42">
        <f>IF($A42="","",IF($B42='TRIP MANAGER'!$B$5,COUNTIFS($A$3:$A42,"&lt;&gt;",$B$3:$B42,$B42),""))</f>
        <v/>
      </c>
      <c r="AK42">
        <f>IF($A42="","",COUNTIF(DOCUMENTS!$C$5:$C$44,$A42))</f>
        <v/>
      </c>
      <c r="AL42">
        <f>IF($A42="","",COUNTIFS(DOCUMENTS!$C$5:$C$44,$A42,DOCUMENTS!$AI$5:$AI$44,"&lt;&gt;")-COUNTIFS(DOCUMENTS!$C$5:$C$44,$A42,DOCUMENTS!$AI$5:$AI$44,"REJECT DOCUMENT"))</f>
        <v/>
      </c>
      <c r="AM42">
        <f>IF($A42="","",COUNTIFS(DOCUMENTS!$C$5:$C$44,$A42,DOCUMENTS!$AI$5:$AI$44,""))</f>
        <v/>
      </c>
      <c r="AN42">
        <f t="array" ref="AN42">IF($A42="","",SUMPRODUCT((DOCUMENTS!$C$5:$C$44=$A42)*(ISNUMBER(SEARCH("MISMATCH",DOCUMENTS!$AH$5:$AH$44)))))</f>
        <v/>
      </c>
    </row>
    <row r="43">
      <c r="A43" s="4" t="n"/>
      <c r="B43" s="28">
        <f>'TRIP MANAGER'!$B$5</f>
        <v/>
      </c>
      <c r="C43" s="4" t="n"/>
      <c r="D43" s="4" t="n"/>
      <c r="E43" s="4" t="n"/>
      <c r="F43" s="4" t="n"/>
      <c r="G43" s="4" t="n"/>
      <c r="H43" s="4" t="n"/>
      <c r="I43" s="4" t="n"/>
      <c r="J43" s="114" t="n"/>
      <c r="K43" s="10">
        <f>IF($J43="","",DATEDIF($J43,TODAY(),"Y"))</f>
        <v/>
      </c>
      <c r="L43" s="4" t="n"/>
      <c r="M43" s="4" t="n"/>
      <c r="N43" s="4" t="n"/>
      <c r="O43" s="114" t="n"/>
      <c r="P43" s="114" t="n"/>
      <c r="Q43" s="10">
        <f>IF($P43="","MISSING",IF($P43&lt;MAX('TRIP MANAGER'!$L$18:$L$25),"EXPIRES BEFORE TRIP",IF($P43&lt;MAX('TRIP MANAGER'!$L$18:$L$25)+180,"UNDER 6 MONTHS","VALID")))</f>
        <v/>
      </c>
      <c r="R43" s="28">
        <f t="array" ref="R43">IF($A43="","",IFERROR(INDEX('TRIP MANAGER'!$E$97:$J$97,INDEX('TRIP MANAGER'!$AJ$18:$AJ$37,MATCH($L43,'TRIP MANAGER'!$AH$18:$AH$37,0))),"NOT ASSESSED"))</f>
        <v/>
      </c>
      <c r="S43" s="4" t="n"/>
      <c r="T43" s="114" t="n"/>
      <c r="U43" s="10">
        <f>IF($A43="","",IF($R43="NO","N/A",IF(OR($R43="VERIFY",$R43="NOT ASSESSED"),"VISA RULE NOT ON FILE",IF($T43="","MISSING",IF($T43&lt;MAX('TRIP MANAGER'!$L$18:$L$25),"EXPIRED","VALID")))))</f>
        <v/>
      </c>
      <c r="V43" s="4" t="n"/>
      <c r="W43" s="114" t="n"/>
      <c r="X43" s="114" t="n"/>
      <c r="Y43" s="4" t="n"/>
      <c r="Z43" s="10">
        <f>IF($A43="","",IF(UPPER($C43)&lt;&gt;"CREW","N/A",IF(OR($W43="",$X43=""),"MISSING",IF(MIN($W43,$X43)&lt;MAX('TRIP MANAGER'!$L$18:$L$25),"EXPIRED","VALID"))))</f>
        <v/>
      </c>
      <c r="AA43" s="4" t="n"/>
      <c r="AB43" s="4" t="n"/>
      <c r="AC43" s="4" t="n"/>
      <c r="AD43" s="4" t="n"/>
      <c r="AE43" s="10">
        <f>IF($A43="","",admin!$B$2&amp;"\PaxCrewDocs\"&amp;$B43&amp;"\"&amp;$A43)</f>
        <v/>
      </c>
      <c r="AF43" s="10">
        <f>IF($A43="","",$AE43&amp;"\passport.pdf")</f>
        <v/>
      </c>
      <c r="AG43" s="10">
        <f>IF($A43="","",$AE43&amp;"\visa.pdf")</f>
        <v/>
      </c>
      <c r="AH43" s="10">
        <f>IF($A43="","",$AE43&amp;"\licence_medical.pdf")</f>
        <v/>
      </c>
      <c r="AI43" s="1">
        <f>IF($A43="","",IF(OR($Q43="MISSING",$Q43="EXPIRES BEFORE TRIP",$U43="EXPIRED",$U43="MISSING",$Z43="EXPIRED",$Z43="MISSING"),"ACTION REQUIRED",IF(OR($Q43="UNDER 6 MONTHS",$U43="VISA RULE NOT ON FILE"),"CHECK","OK")))</f>
        <v/>
      </c>
      <c r="AJ43">
        <f>IF($A43="","",IF($B43='TRIP MANAGER'!$B$5,COUNTIFS($A$3:$A43,"&lt;&gt;",$B$3:$B43,$B43),""))</f>
        <v/>
      </c>
      <c r="AK43">
        <f>IF($A43="","",COUNTIF(DOCUMENTS!$C$5:$C$44,$A43))</f>
        <v/>
      </c>
      <c r="AL43">
        <f>IF($A43="","",COUNTIFS(DOCUMENTS!$C$5:$C$44,$A43,DOCUMENTS!$AI$5:$AI$44,"&lt;&gt;")-COUNTIFS(DOCUMENTS!$C$5:$C$44,$A43,DOCUMENTS!$AI$5:$AI$44,"REJECT DOCUMENT"))</f>
        <v/>
      </c>
      <c r="AM43">
        <f>IF($A43="","",COUNTIFS(DOCUMENTS!$C$5:$C$44,$A43,DOCUMENTS!$AI$5:$AI$44,""))</f>
        <v/>
      </c>
      <c r="AN43">
        <f t="array" ref="AN43">IF($A43="","",SUMPRODUCT((DOCUMENTS!$C$5:$C$44=$A43)*(ISNUMBER(SEARCH("MISMATCH",DOCUMENTS!$AH$5:$AH$44)))))</f>
        <v/>
      </c>
    </row>
    <row r="44">
      <c r="A44" s="4" t="n"/>
      <c r="B44" s="28">
        <f>'TRIP MANAGER'!$B$5</f>
        <v/>
      </c>
      <c r="C44" s="4" t="n"/>
      <c r="D44" s="4" t="n"/>
      <c r="E44" s="4" t="n"/>
      <c r="F44" s="4" t="n"/>
      <c r="G44" s="4" t="n"/>
      <c r="H44" s="4" t="n"/>
      <c r="I44" s="4" t="n"/>
      <c r="J44" s="114" t="n"/>
      <c r="K44" s="10">
        <f>IF($J44="","",DATEDIF($J44,TODAY(),"Y"))</f>
        <v/>
      </c>
      <c r="L44" s="4" t="n"/>
      <c r="M44" s="4" t="n"/>
      <c r="N44" s="4" t="n"/>
      <c r="O44" s="114" t="n"/>
      <c r="P44" s="114" t="n"/>
      <c r="Q44" s="10">
        <f>IF($P44="","MISSING",IF($P44&lt;MAX('TRIP MANAGER'!$L$18:$L$25),"EXPIRES BEFORE TRIP",IF($P44&lt;MAX('TRIP MANAGER'!$L$18:$L$25)+180,"UNDER 6 MONTHS","VALID")))</f>
        <v/>
      </c>
      <c r="R44" s="28">
        <f t="array" ref="R44">IF($A44="","",IFERROR(INDEX('TRIP MANAGER'!$E$97:$J$97,INDEX('TRIP MANAGER'!$AJ$18:$AJ$37,MATCH($L44,'TRIP MANAGER'!$AH$18:$AH$37,0))),"NOT ASSESSED"))</f>
        <v/>
      </c>
      <c r="S44" s="4" t="n"/>
      <c r="T44" s="114" t="n"/>
      <c r="U44" s="10">
        <f>IF($A44="","",IF($R44="NO","N/A",IF(OR($R44="VERIFY",$R44="NOT ASSESSED"),"VISA RULE NOT ON FILE",IF($T44="","MISSING",IF($T44&lt;MAX('TRIP MANAGER'!$L$18:$L$25),"EXPIRED","VALID")))))</f>
        <v/>
      </c>
      <c r="V44" s="4" t="n"/>
      <c r="W44" s="114" t="n"/>
      <c r="X44" s="114" t="n"/>
      <c r="Y44" s="4" t="n"/>
      <c r="Z44" s="10">
        <f>IF($A44="","",IF(UPPER($C44)&lt;&gt;"CREW","N/A",IF(OR($W44="",$X44=""),"MISSING",IF(MIN($W44,$X44)&lt;MAX('TRIP MANAGER'!$L$18:$L$25),"EXPIRED","VALID"))))</f>
        <v/>
      </c>
      <c r="AA44" s="4" t="n"/>
      <c r="AB44" s="4" t="n"/>
      <c r="AC44" s="4" t="n"/>
      <c r="AD44" s="4" t="n"/>
      <c r="AE44" s="10">
        <f>IF($A44="","",admin!$B$2&amp;"\PaxCrewDocs\"&amp;$B44&amp;"\"&amp;$A44)</f>
        <v/>
      </c>
      <c r="AF44" s="10">
        <f>IF($A44="","",$AE44&amp;"\passport.pdf")</f>
        <v/>
      </c>
      <c r="AG44" s="10">
        <f>IF($A44="","",$AE44&amp;"\visa.pdf")</f>
        <v/>
      </c>
      <c r="AH44" s="10">
        <f>IF($A44="","",$AE44&amp;"\licence_medical.pdf")</f>
        <v/>
      </c>
      <c r="AI44" s="1">
        <f>IF($A44="","",IF(OR($Q44="MISSING",$Q44="EXPIRES BEFORE TRIP",$U44="EXPIRED",$U44="MISSING",$Z44="EXPIRED",$Z44="MISSING"),"ACTION REQUIRED",IF(OR($Q44="UNDER 6 MONTHS",$U44="VISA RULE NOT ON FILE"),"CHECK","OK")))</f>
        <v/>
      </c>
      <c r="AJ44">
        <f>IF($A44="","",IF($B44='TRIP MANAGER'!$B$5,COUNTIFS($A$3:$A44,"&lt;&gt;",$B$3:$B44,$B44),""))</f>
        <v/>
      </c>
      <c r="AK44">
        <f>IF($A44="","",COUNTIF(DOCUMENTS!$C$5:$C$44,$A44))</f>
        <v/>
      </c>
      <c r="AL44">
        <f>IF($A44="","",COUNTIFS(DOCUMENTS!$C$5:$C$44,$A44,DOCUMENTS!$AI$5:$AI$44,"&lt;&gt;")-COUNTIFS(DOCUMENTS!$C$5:$C$44,$A44,DOCUMENTS!$AI$5:$AI$44,"REJECT DOCUMENT"))</f>
        <v/>
      </c>
      <c r="AM44">
        <f>IF($A44="","",COUNTIFS(DOCUMENTS!$C$5:$C$44,$A44,DOCUMENTS!$AI$5:$AI$44,""))</f>
        <v/>
      </c>
      <c r="AN44">
        <f t="array" ref="AN44">IF($A44="","",SUMPRODUCT((DOCUMENTS!$C$5:$C$44=$A44)*(ISNUMBER(SEARCH("MISMATCH",DOCUMENTS!$AH$5:$AH$44)))))</f>
        <v/>
      </c>
    </row>
    <row r="45">
      <c r="A45" s="4" t="n"/>
      <c r="B45" s="28">
        <f>'TRIP MANAGER'!$B$5</f>
        <v/>
      </c>
      <c r="C45" s="4" t="n"/>
      <c r="D45" s="4" t="n"/>
      <c r="E45" s="4" t="n"/>
      <c r="F45" s="4" t="n"/>
      <c r="G45" s="4" t="n"/>
      <c r="H45" s="4" t="n"/>
      <c r="I45" s="4" t="n"/>
      <c r="J45" s="114" t="n"/>
      <c r="K45" s="10">
        <f>IF($J45="","",DATEDIF($J45,TODAY(),"Y"))</f>
        <v/>
      </c>
      <c r="L45" s="4" t="n"/>
      <c r="M45" s="4" t="n"/>
      <c r="N45" s="4" t="n"/>
      <c r="O45" s="114" t="n"/>
      <c r="P45" s="114" t="n"/>
      <c r="Q45" s="10">
        <f>IF($P45="","MISSING",IF($P45&lt;MAX('TRIP MANAGER'!$L$18:$L$25),"EXPIRES BEFORE TRIP",IF($P45&lt;MAX('TRIP MANAGER'!$L$18:$L$25)+180,"UNDER 6 MONTHS","VALID")))</f>
        <v/>
      </c>
      <c r="R45" s="28">
        <f t="array" ref="R45">IF($A45="","",IFERROR(INDEX('TRIP MANAGER'!$E$97:$J$97,INDEX('TRIP MANAGER'!$AJ$18:$AJ$37,MATCH($L45,'TRIP MANAGER'!$AH$18:$AH$37,0))),"NOT ASSESSED"))</f>
        <v/>
      </c>
      <c r="S45" s="4" t="n"/>
      <c r="T45" s="114" t="n"/>
      <c r="U45" s="10">
        <f>IF($A45="","",IF($R45="NO","N/A",IF(OR($R45="VERIFY",$R45="NOT ASSESSED"),"VISA RULE NOT ON FILE",IF($T45="","MISSING",IF($T45&lt;MAX('TRIP MANAGER'!$L$18:$L$25),"EXPIRED","VALID")))))</f>
        <v/>
      </c>
      <c r="V45" s="4" t="n"/>
      <c r="W45" s="114" t="n"/>
      <c r="X45" s="114" t="n"/>
      <c r="Y45" s="4" t="n"/>
      <c r="Z45" s="10">
        <f>IF($A45="","",IF(UPPER($C45)&lt;&gt;"CREW","N/A",IF(OR($W45="",$X45=""),"MISSING",IF(MIN($W45,$X45)&lt;MAX('TRIP MANAGER'!$L$18:$L$25),"EXPIRED","VALID"))))</f>
        <v/>
      </c>
      <c r="AA45" s="4" t="n"/>
      <c r="AB45" s="4" t="n"/>
      <c r="AC45" s="4" t="n"/>
      <c r="AD45" s="4" t="n"/>
      <c r="AE45" s="10">
        <f>IF($A45="","",admin!$B$2&amp;"\PaxCrewDocs\"&amp;$B45&amp;"\"&amp;$A45)</f>
        <v/>
      </c>
      <c r="AF45" s="10">
        <f>IF($A45="","",$AE45&amp;"\passport.pdf")</f>
        <v/>
      </c>
      <c r="AG45" s="10">
        <f>IF($A45="","",$AE45&amp;"\visa.pdf")</f>
        <v/>
      </c>
      <c r="AH45" s="10">
        <f>IF($A45="","",$AE45&amp;"\licence_medical.pdf")</f>
        <v/>
      </c>
      <c r="AI45" s="1">
        <f>IF($A45="","",IF(OR($Q45="MISSING",$Q45="EXPIRES BEFORE TRIP",$U45="EXPIRED",$U45="MISSING",$Z45="EXPIRED",$Z45="MISSING"),"ACTION REQUIRED",IF(OR($Q45="UNDER 6 MONTHS",$U45="VISA RULE NOT ON FILE"),"CHECK","OK")))</f>
        <v/>
      </c>
      <c r="AJ45">
        <f>IF($A45="","",IF($B45='TRIP MANAGER'!$B$5,COUNTIFS($A$3:$A45,"&lt;&gt;",$B$3:$B45,$B45),""))</f>
        <v/>
      </c>
      <c r="AK45">
        <f>IF($A45="","",COUNTIF(DOCUMENTS!$C$5:$C$44,$A45))</f>
        <v/>
      </c>
      <c r="AL45">
        <f>IF($A45="","",COUNTIFS(DOCUMENTS!$C$5:$C$44,$A45,DOCUMENTS!$AI$5:$AI$44,"&lt;&gt;")-COUNTIFS(DOCUMENTS!$C$5:$C$44,$A45,DOCUMENTS!$AI$5:$AI$44,"REJECT DOCUMENT"))</f>
        <v/>
      </c>
      <c r="AM45">
        <f>IF($A45="","",COUNTIFS(DOCUMENTS!$C$5:$C$44,$A45,DOCUMENTS!$AI$5:$AI$44,""))</f>
        <v/>
      </c>
      <c r="AN45">
        <f t="array" ref="AN45">IF($A45="","",SUMPRODUCT((DOCUMENTS!$C$5:$C$44=$A45)*(ISNUMBER(SEARCH("MISMATCH",DOCUMENTS!$AH$5:$AH$44)))))</f>
        <v/>
      </c>
    </row>
    <row r="46">
      <c r="A46" s="4" t="n"/>
      <c r="B46" s="28">
        <f>'TRIP MANAGER'!$B$5</f>
        <v/>
      </c>
      <c r="C46" s="4" t="n"/>
      <c r="D46" s="4" t="n"/>
      <c r="E46" s="4" t="n"/>
      <c r="F46" s="4" t="n"/>
      <c r="G46" s="4" t="n"/>
      <c r="H46" s="4" t="n"/>
      <c r="I46" s="4" t="n"/>
      <c r="J46" s="114" t="n"/>
      <c r="K46" s="10">
        <f>IF($J46="","",DATEDIF($J46,TODAY(),"Y"))</f>
        <v/>
      </c>
      <c r="L46" s="4" t="n"/>
      <c r="M46" s="4" t="n"/>
      <c r="N46" s="4" t="n"/>
      <c r="O46" s="114" t="n"/>
      <c r="P46" s="114" t="n"/>
      <c r="Q46" s="10">
        <f>IF($P46="","MISSING",IF($P46&lt;MAX('TRIP MANAGER'!$L$18:$L$25),"EXPIRES BEFORE TRIP",IF($P46&lt;MAX('TRIP MANAGER'!$L$18:$L$25)+180,"UNDER 6 MONTHS","VALID")))</f>
        <v/>
      </c>
      <c r="R46" s="28">
        <f t="array" ref="R46">IF($A46="","",IFERROR(INDEX('TRIP MANAGER'!$E$97:$J$97,INDEX('TRIP MANAGER'!$AJ$18:$AJ$37,MATCH($L46,'TRIP MANAGER'!$AH$18:$AH$37,0))),"NOT ASSESSED"))</f>
        <v/>
      </c>
      <c r="S46" s="4" t="n"/>
      <c r="T46" s="114" t="n"/>
      <c r="U46" s="10">
        <f>IF($A46="","",IF($R46="NO","N/A",IF(OR($R46="VERIFY",$R46="NOT ASSESSED"),"VISA RULE NOT ON FILE",IF($T46="","MISSING",IF($T46&lt;MAX('TRIP MANAGER'!$L$18:$L$25),"EXPIRED","VALID")))))</f>
        <v/>
      </c>
      <c r="V46" s="4" t="n"/>
      <c r="W46" s="114" t="n"/>
      <c r="X46" s="114" t="n"/>
      <c r="Y46" s="4" t="n"/>
      <c r="Z46" s="10">
        <f>IF($A46="","",IF(UPPER($C46)&lt;&gt;"CREW","N/A",IF(OR($W46="",$X46=""),"MISSING",IF(MIN($W46,$X46)&lt;MAX('TRIP MANAGER'!$L$18:$L$25),"EXPIRED","VALID"))))</f>
        <v/>
      </c>
      <c r="AA46" s="4" t="n"/>
      <c r="AB46" s="4" t="n"/>
      <c r="AC46" s="4" t="n"/>
      <c r="AD46" s="4" t="n"/>
      <c r="AE46" s="10">
        <f>IF($A46="","",admin!$B$2&amp;"\PaxCrewDocs\"&amp;$B46&amp;"\"&amp;$A46)</f>
        <v/>
      </c>
      <c r="AF46" s="10">
        <f>IF($A46="","",$AE46&amp;"\passport.pdf")</f>
        <v/>
      </c>
      <c r="AG46" s="10">
        <f>IF($A46="","",$AE46&amp;"\visa.pdf")</f>
        <v/>
      </c>
      <c r="AH46" s="10">
        <f>IF($A46="","",$AE46&amp;"\licence_medical.pdf")</f>
        <v/>
      </c>
      <c r="AI46" s="1">
        <f>IF($A46="","",IF(OR($Q46="MISSING",$Q46="EXPIRES BEFORE TRIP",$U46="EXPIRED",$U46="MISSING",$Z46="EXPIRED",$Z46="MISSING"),"ACTION REQUIRED",IF(OR($Q46="UNDER 6 MONTHS",$U46="VISA RULE NOT ON FILE"),"CHECK","OK")))</f>
        <v/>
      </c>
      <c r="AJ46">
        <f>IF($A46="","",IF($B46='TRIP MANAGER'!$B$5,COUNTIFS($A$3:$A46,"&lt;&gt;",$B$3:$B46,$B46),""))</f>
        <v/>
      </c>
      <c r="AK46">
        <f>IF($A46="","",COUNTIF(DOCUMENTS!$C$5:$C$44,$A46))</f>
        <v/>
      </c>
      <c r="AL46">
        <f>IF($A46="","",COUNTIFS(DOCUMENTS!$C$5:$C$44,$A46,DOCUMENTS!$AI$5:$AI$44,"&lt;&gt;")-COUNTIFS(DOCUMENTS!$C$5:$C$44,$A46,DOCUMENTS!$AI$5:$AI$44,"REJECT DOCUMENT"))</f>
        <v/>
      </c>
      <c r="AM46">
        <f>IF($A46="","",COUNTIFS(DOCUMENTS!$C$5:$C$44,$A46,DOCUMENTS!$AI$5:$AI$44,""))</f>
        <v/>
      </c>
      <c r="AN46">
        <f t="array" ref="AN46">IF($A46="","",SUMPRODUCT((DOCUMENTS!$C$5:$C$44=$A46)*(ISNUMBER(SEARCH("MISMATCH",DOCUMENTS!$AH$5:$AH$44)))))</f>
        <v/>
      </c>
    </row>
    <row r="47">
      <c r="A47" s="4" t="n"/>
      <c r="B47" s="28">
        <f>'TRIP MANAGER'!$B$5</f>
        <v/>
      </c>
      <c r="C47" s="4" t="n"/>
      <c r="D47" s="4" t="n"/>
      <c r="E47" s="4" t="n"/>
      <c r="F47" s="4" t="n"/>
      <c r="G47" s="4" t="n"/>
      <c r="H47" s="4" t="n"/>
      <c r="I47" s="4" t="n"/>
      <c r="J47" s="114" t="n"/>
      <c r="K47" s="10">
        <f>IF($J47="","",DATEDIF($J47,TODAY(),"Y"))</f>
        <v/>
      </c>
      <c r="L47" s="4" t="n"/>
      <c r="M47" s="4" t="n"/>
      <c r="N47" s="4" t="n"/>
      <c r="O47" s="114" t="n"/>
      <c r="P47" s="114" t="n"/>
      <c r="Q47" s="10">
        <f>IF($P47="","MISSING",IF($P47&lt;MAX('TRIP MANAGER'!$L$18:$L$25),"EXPIRES BEFORE TRIP",IF($P47&lt;MAX('TRIP MANAGER'!$L$18:$L$25)+180,"UNDER 6 MONTHS","VALID")))</f>
        <v/>
      </c>
      <c r="R47" s="28">
        <f t="array" ref="R47">IF($A47="","",IFERROR(INDEX('TRIP MANAGER'!$E$97:$J$97,INDEX('TRIP MANAGER'!$AJ$18:$AJ$37,MATCH($L47,'TRIP MANAGER'!$AH$18:$AH$37,0))),"NOT ASSESSED"))</f>
        <v/>
      </c>
      <c r="S47" s="4" t="n"/>
      <c r="T47" s="114" t="n"/>
      <c r="U47" s="10">
        <f>IF($A47="","",IF($R47="NO","N/A",IF(OR($R47="VERIFY",$R47="NOT ASSESSED"),"VISA RULE NOT ON FILE",IF($T47="","MISSING",IF($T47&lt;MAX('TRIP MANAGER'!$L$18:$L$25),"EXPIRED","VALID")))))</f>
        <v/>
      </c>
      <c r="V47" s="4" t="n"/>
      <c r="W47" s="114" t="n"/>
      <c r="X47" s="114" t="n"/>
      <c r="Y47" s="4" t="n"/>
      <c r="Z47" s="10">
        <f>IF($A47="","",IF(UPPER($C47)&lt;&gt;"CREW","N/A",IF(OR($W47="",$X47=""),"MISSING",IF(MIN($W47,$X47)&lt;MAX('TRIP MANAGER'!$L$18:$L$25),"EXPIRED","VALID"))))</f>
        <v/>
      </c>
      <c r="AA47" s="4" t="n"/>
      <c r="AB47" s="4" t="n"/>
      <c r="AC47" s="4" t="n"/>
      <c r="AD47" s="4" t="n"/>
      <c r="AE47" s="10">
        <f>IF($A47="","",admin!$B$2&amp;"\PaxCrewDocs\"&amp;$B47&amp;"\"&amp;$A47)</f>
        <v/>
      </c>
      <c r="AF47" s="10">
        <f>IF($A47="","",$AE47&amp;"\passport.pdf")</f>
        <v/>
      </c>
      <c r="AG47" s="10">
        <f>IF($A47="","",$AE47&amp;"\visa.pdf")</f>
        <v/>
      </c>
      <c r="AH47" s="10">
        <f>IF($A47="","",$AE47&amp;"\licence_medical.pdf")</f>
        <v/>
      </c>
      <c r="AI47" s="1">
        <f>IF($A47="","",IF(OR($Q47="MISSING",$Q47="EXPIRES BEFORE TRIP",$U47="EXPIRED",$U47="MISSING",$Z47="EXPIRED",$Z47="MISSING"),"ACTION REQUIRED",IF(OR($Q47="UNDER 6 MONTHS",$U47="VISA RULE NOT ON FILE"),"CHECK","OK")))</f>
        <v/>
      </c>
      <c r="AJ47">
        <f>IF($A47="","",IF($B47='TRIP MANAGER'!$B$5,COUNTIFS($A$3:$A47,"&lt;&gt;",$B$3:$B47,$B47),""))</f>
        <v/>
      </c>
      <c r="AK47">
        <f>IF($A47="","",COUNTIF(DOCUMENTS!$C$5:$C$44,$A47))</f>
        <v/>
      </c>
      <c r="AL47">
        <f>IF($A47="","",COUNTIFS(DOCUMENTS!$C$5:$C$44,$A47,DOCUMENTS!$AI$5:$AI$44,"&lt;&gt;")-COUNTIFS(DOCUMENTS!$C$5:$C$44,$A47,DOCUMENTS!$AI$5:$AI$44,"REJECT DOCUMENT"))</f>
        <v/>
      </c>
      <c r="AM47">
        <f>IF($A47="","",COUNTIFS(DOCUMENTS!$C$5:$C$44,$A47,DOCUMENTS!$AI$5:$AI$44,""))</f>
        <v/>
      </c>
      <c r="AN47">
        <f t="array" ref="AN47">IF($A47="","",SUMPRODUCT((DOCUMENTS!$C$5:$C$44=$A47)*(ISNUMBER(SEARCH("MISMATCH",DOCUMENTS!$AH$5:$AH$44)))))</f>
        <v/>
      </c>
    </row>
    <row r="48">
      <c r="A48" s="4" t="n"/>
      <c r="B48" s="28">
        <f>'TRIP MANAGER'!$B$5</f>
        <v/>
      </c>
      <c r="C48" s="4" t="n"/>
      <c r="D48" s="4" t="n"/>
      <c r="E48" s="4" t="n"/>
      <c r="F48" s="4" t="n"/>
      <c r="G48" s="4" t="n"/>
      <c r="H48" s="4" t="n"/>
      <c r="I48" s="4" t="n"/>
      <c r="J48" s="114" t="n"/>
      <c r="K48" s="10">
        <f>IF($J48="","",DATEDIF($J48,TODAY(),"Y"))</f>
        <v/>
      </c>
      <c r="L48" s="4" t="n"/>
      <c r="M48" s="4" t="n"/>
      <c r="N48" s="4" t="n"/>
      <c r="O48" s="114" t="n"/>
      <c r="P48" s="114" t="n"/>
      <c r="Q48" s="10">
        <f>IF($P48="","MISSING",IF($P48&lt;MAX('TRIP MANAGER'!$L$18:$L$25),"EXPIRES BEFORE TRIP",IF($P48&lt;MAX('TRIP MANAGER'!$L$18:$L$25)+180,"UNDER 6 MONTHS","VALID")))</f>
        <v/>
      </c>
      <c r="R48" s="28">
        <f t="array" ref="R48">IF($A48="","",IFERROR(INDEX('TRIP MANAGER'!$E$97:$J$97,INDEX('TRIP MANAGER'!$AJ$18:$AJ$37,MATCH($L48,'TRIP MANAGER'!$AH$18:$AH$37,0))),"NOT ASSESSED"))</f>
        <v/>
      </c>
      <c r="S48" s="4" t="n"/>
      <c r="T48" s="114" t="n"/>
      <c r="U48" s="10">
        <f>IF($A48="","",IF($R48="NO","N/A",IF(OR($R48="VERIFY",$R48="NOT ASSESSED"),"VISA RULE NOT ON FILE",IF($T48="","MISSING",IF($T48&lt;MAX('TRIP MANAGER'!$L$18:$L$25),"EXPIRED","VALID")))))</f>
        <v/>
      </c>
      <c r="V48" s="4" t="n"/>
      <c r="W48" s="114" t="n"/>
      <c r="X48" s="114" t="n"/>
      <c r="Y48" s="4" t="n"/>
      <c r="Z48" s="10">
        <f>IF($A48="","",IF(UPPER($C48)&lt;&gt;"CREW","N/A",IF(OR($W48="",$X48=""),"MISSING",IF(MIN($W48,$X48)&lt;MAX('TRIP MANAGER'!$L$18:$L$25),"EXPIRED","VALID"))))</f>
        <v/>
      </c>
      <c r="AA48" s="4" t="n"/>
      <c r="AB48" s="4" t="n"/>
      <c r="AC48" s="4" t="n"/>
      <c r="AD48" s="4" t="n"/>
      <c r="AE48" s="10">
        <f>IF($A48="","",admin!$B$2&amp;"\PaxCrewDocs\"&amp;$B48&amp;"\"&amp;$A48)</f>
        <v/>
      </c>
      <c r="AF48" s="10">
        <f>IF($A48="","",$AE48&amp;"\passport.pdf")</f>
        <v/>
      </c>
      <c r="AG48" s="10">
        <f>IF($A48="","",$AE48&amp;"\visa.pdf")</f>
        <v/>
      </c>
      <c r="AH48" s="10">
        <f>IF($A48="","",$AE48&amp;"\licence_medical.pdf")</f>
        <v/>
      </c>
      <c r="AI48" s="1">
        <f>IF($A48="","",IF(OR($Q48="MISSING",$Q48="EXPIRES BEFORE TRIP",$U48="EXPIRED",$U48="MISSING",$Z48="EXPIRED",$Z48="MISSING"),"ACTION REQUIRED",IF(OR($Q48="UNDER 6 MONTHS",$U48="VISA RULE NOT ON FILE"),"CHECK","OK")))</f>
        <v/>
      </c>
      <c r="AJ48">
        <f>IF($A48="","",IF($B48='TRIP MANAGER'!$B$5,COUNTIFS($A$3:$A48,"&lt;&gt;",$B$3:$B48,$B48),""))</f>
        <v/>
      </c>
      <c r="AK48">
        <f>IF($A48="","",COUNTIF(DOCUMENTS!$C$5:$C$44,$A48))</f>
        <v/>
      </c>
      <c r="AL48">
        <f>IF($A48="","",COUNTIFS(DOCUMENTS!$C$5:$C$44,$A48,DOCUMENTS!$AI$5:$AI$44,"&lt;&gt;")-COUNTIFS(DOCUMENTS!$C$5:$C$44,$A48,DOCUMENTS!$AI$5:$AI$44,"REJECT DOCUMENT"))</f>
        <v/>
      </c>
      <c r="AM48">
        <f>IF($A48="","",COUNTIFS(DOCUMENTS!$C$5:$C$44,$A48,DOCUMENTS!$AI$5:$AI$44,""))</f>
        <v/>
      </c>
      <c r="AN48">
        <f t="array" ref="AN48">IF($A48="","",SUMPRODUCT((DOCUMENTS!$C$5:$C$44=$A48)*(ISNUMBER(SEARCH("MISMATCH",DOCUMENTS!$AH$5:$AH$44)))))</f>
        <v/>
      </c>
    </row>
    <row r="49">
      <c r="A49" s="4" t="n"/>
      <c r="B49" s="28">
        <f>'TRIP MANAGER'!$B$5</f>
        <v/>
      </c>
      <c r="C49" s="4" t="n"/>
      <c r="D49" s="4" t="n"/>
      <c r="E49" s="4" t="n"/>
      <c r="F49" s="4" t="n"/>
      <c r="G49" s="4" t="n"/>
      <c r="H49" s="4" t="n"/>
      <c r="I49" s="4" t="n"/>
      <c r="J49" s="114" t="n"/>
      <c r="K49" s="10">
        <f>IF($J49="","",DATEDIF($J49,TODAY(),"Y"))</f>
        <v/>
      </c>
      <c r="L49" s="4" t="n"/>
      <c r="M49" s="4" t="n"/>
      <c r="N49" s="4" t="n"/>
      <c r="O49" s="114" t="n"/>
      <c r="P49" s="114" t="n"/>
      <c r="Q49" s="10">
        <f>IF($P49="","MISSING",IF($P49&lt;MAX('TRIP MANAGER'!$L$18:$L$25),"EXPIRES BEFORE TRIP",IF($P49&lt;MAX('TRIP MANAGER'!$L$18:$L$25)+180,"UNDER 6 MONTHS","VALID")))</f>
        <v/>
      </c>
      <c r="R49" s="28">
        <f t="array" ref="R49">IF($A49="","",IFERROR(INDEX('TRIP MANAGER'!$E$97:$J$97,INDEX('TRIP MANAGER'!$AJ$18:$AJ$37,MATCH($L49,'TRIP MANAGER'!$AH$18:$AH$37,0))),"NOT ASSESSED"))</f>
        <v/>
      </c>
      <c r="S49" s="4" t="n"/>
      <c r="T49" s="114" t="n"/>
      <c r="U49" s="10">
        <f>IF($A49="","",IF($R49="NO","N/A",IF(OR($R49="VERIFY",$R49="NOT ASSESSED"),"VISA RULE NOT ON FILE",IF($T49="","MISSING",IF($T49&lt;MAX('TRIP MANAGER'!$L$18:$L$25),"EXPIRED","VALID")))))</f>
        <v/>
      </c>
      <c r="V49" s="4" t="n"/>
      <c r="W49" s="114" t="n"/>
      <c r="X49" s="114" t="n"/>
      <c r="Y49" s="4" t="n"/>
      <c r="Z49" s="10">
        <f>IF($A49="","",IF(UPPER($C49)&lt;&gt;"CREW","N/A",IF(OR($W49="",$X49=""),"MISSING",IF(MIN($W49,$X49)&lt;MAX('TRIP MANAGER'!$L$18:$L$25),"EXPIRED","VALID"))))</f>
        <v/>
      </c>
      <c r="AA49" s="4" t="n"/>
      <c r="AB49" s="4" t="n"/>
      <c r="AC49" s="4" t="n"/>
      <c r="AD49" s="4" t="n"/>
      <c r="AE49" s="10">
        <f>IF($A49="","",admin!$B$2&amp;"\PaxCrewDocs\"&amp;$B49&amp;"\"&amp;$A49)</f>
        <v/>
      </c>
      <c r="AF49" s="10">
        <f>IF($A49="","",$AE49&amp;"\passport.pdf")</f>
        <v/>
      </c>
      <c r="AG49" s="10">
        <f>IF($A49="","",$AE49&amp;"\visa.pdf")</f>
        <v/>
      </c>
      <c r="AH49" s="10">
        <f>IF($A49="","",$AE49&amp;"\licence_medical.pdf")</f>
        <v/>
      </c>
      <c r="AI49" s="1">
        <f>IF($A49="","",IF(OR($Q49="MISSING",$Q49="EXPIRES BEFORE TRIP",$U49="EXPIRED",$U49="MISSING",$Z49="EXPIRED",$Z49="MISSING"),"ACTION REQUIRED",IF(OR($Q49="UNDER 6 MONTHS",$U49="VISA RULE NOT ON FILE"),"CHECK","OK")))</f>
        <v/>
      </c>
      <c r="AJ49">
        <f>IF($A49="","",IF($B49='TRIP MANAGER'!$B$5,COUNTIFS($A$3:$A49,"&lt;&gt;",$B$3:$B49,$B49),""))</f>
        <v/>
      </c>
      <c r="AK49">
        <f>IF($A49="","",COUNTIF(DOCUMENTS!$C$5:$C$44,$A49))</f>
        <v/>
      </c>
      <c r="AL49">
        <f>IF($A49="","",COUNTIFS(DOCUMENTS!$C$5:$C$44,$A49,DOCUMENTS!$AI$5:$AI$44,"&lt;&gt;")-COUNTIFS(DOCUMENTS!$C$5:$C$44,$A49,DOCUMENTS!$AI$5:$AI$44,"REJECT DOCUMENT"))</f>
        <v/>
      </c>
      <c r="AM49">
        <f>IF($A49="","",COUNTIFS(DOCUMENTS!$C$5:$C$44,$A49,DOCUMENTS!$AI$5:$AI$44,""))</f>
        <v/>
      </c>
      <c r="AN49">
        <f t="array" ref="AN49">IF($A49="","",SUMPRODUCT((DOCUMENTS!$C$5:$C$44=$A49)*(ISNUMBER(SEARCH("MISMATCH",DOCUMENTS!$AH$5:$AH$44)))))</f>
        <v/>
      </c>
    </row>
    <row r="50">
      <c r="A50" s="4" t="n"/>
      <c r="B50" s="28">
        <f>'TRIP MANAGER'!$B$5</f>
        <v/>
      </c>
      <c r="C50" s="4" t="n"/>
      <c r="D50" s="4" t="n"/>
      <c r="E50" s="4" t="n"/>
      <c r="F50" s="4" t="n"/>
      <c r="G50" s="4" t="n"/>
      <c r="H50" s="4" t="n"/>
      <c r="I50" s="4" t="n"/>
      <c r="J50" s="114" t="n"/>
      <c r="K50" s="10">
        <f>IF($J50="","",DATEDIF($J50,TODAY(),"Y"))</f>
        <v/>
      </c>
      <c r="L50" s="4" t="n"/>
      <c r="M50" s="4" t="n"/>
      <c r="N50" s="4" t="n"/>
      <c r="O50" s="114" t="n"/>
      <c r="P50" s="114" t="n"/>
      <c r="Q50" s="10">
        <f>IF($P50="","MISSING",IF($P50&lt;MAX('TRIP MANAGER'!$L$18:$L$25),"EXPIRES BEFORE TRIP",IF($P50&lt;MAX('TRIP MANAGER'!$L$18:$L$25)+180,"UNDER 6 MONTHS","VALID")))</f>
        <v/>
      </c>
      <c r="R50" s="28">
        <f t="array" ref="R50">IF($A50="","",IFERROR(INDEX('TRIP MANAGER'!$E$97:$J$97,INDEX('TRIP MANAGER'!$AJ$18:$AJ$37,MATCH($L50,'TRIP MANAGER'!$AH$18:$AH$37,0))),"NOT ASSESSED"))</f>
        <v/>
      </c>
      <c r="S50" s="4" t="n"/>
      <c r="T50" s="114" t="n"/>
      <c r="U50" s="10">
        <f>IF($A50="","",IF($R50="NO","N/A",IF(OR($R50="VERIFY",$R50="NOT ASSESSED"),"VISA RULE NOT ON FILE",IF($T50="","MISSING",IF($T50&lt;MAX('TRIP MANAGER'!$L$18:$L$25),"EXPIRED","VALID")))))</f>
        <v/>
      </c>
      <c r="V50" s="4" t="n"/>
      <c r="W50" s="114" t="n"/>
      <c r="X50" s="114" t="n"/>
      <c r="Y50" s="4" t="n"/>
      <c r="Z50" s="10">
        <f>IF($A50="","",IF(UPPER($C50)&lt;&gt;"CREW","N/A",IF(OR($W50="",$X50=""),"MISSING",IF(MIN($W50,$X50)&lt;MAX('TRIP MANAGER'!$L$18:$L$25),"EXPIRED","VALID"))))</f>
        <v/>
      </c>
      <c r="AA50" s="4" t="n"/>
      <c r="AB50" s="4" t="n"/>
      <c r="AC50" s="4" t="n"/>
      <c r="AD50" s="4" t="n"/>
      <c r="AE50" s="10">
        <f>IF($A50="","",admin!$B$2&amp;"\PaxCrewDocs\"&amp;$B50&amp;"\"&amp;$A50)</f>
        <v/>
      </c>
      <c r="AF50" s="10">
        <f>IF($A50="","",$AE50&amp;"\passport.pdf")</f>
        <v/>
      </c>
      <c r="AG50" s="10">
        <f>IF($A50="","",$AE50&amp;"\visa.pdf")</f>
        <v/>
      </c>
      <c r="AH50" s="10">
        <f>IF($A50="","",$AE50&amp;"\licence_medical.pdf")</f>
        <v/>
      </c>
      <c r="AI50" s="1">
        <f>IF($A50="","",IF(OR($Q50="MISSING",$Q50="EXPIRES BEFORE TRIP",$U50="EXPIRED",$U50="MISSING",$Z50="EXPIRED",$Z50="MISSING"),"ACTION REQUIRED",IF(OR($Q50="UNDER 6 MONTHS",$U50="VISA RULE NOT ON FILE"),"CHECK","OK")))</f>
        <v/>
      </c>
      <c r="AJ50">
        <f>IF($A50="","",IF($B50='TRIP MANAGER'!$B$5,COUNTIFS($A$3:$A50,"&lt;&gt;",$B$3:$B50,$B50),""))</f>
        <v/>
      </c>
      <c r="AK50">
        <f>IF($A50="","",COUNTIF(DOCUMENTS!$C$5:$C$44,$A50))</f>
        <v/>
      </c>
      <c r="AL50">
        <f>IF($A50="","",COUNTIFS(DOCUMENTS!$C$5:$C$44,$A50,DOCUMENTS!$AI$5:$AI$44,"&lt;&gt;")-COUNTIFS(DOCUMENTS!$C$5:$C$44,$A50,DOCUMENTS!$AI$5:$AI$44,"REJECT DOCUMENT"))</f>
        <v/>
      </c>
      <c r="AM50">
        <f>IF($A50="","",COUNTIFS(DOCUMENTS!$C$5:$C$44,$A50,DOCUMENTS!$AI$5:$AI$44,""))</f>
        <v/>
      </c>
      <c r="AN50">
        <f t="array" ref="AN50">IF($A50="","",SUMPRODUCT((DOCUMENTS!$C$5:$C$44=$A50)*(ISNUMBER(SEARCH("MISMATCH",DOCUMENTS!$AH$5:$AH$44)))))</f>
        <v/>
      </c>
    </row>
    <row r="51">
      <c r="A51" s="4" t="n"/>
      <c r="B51" s="28">
        <f>'TRIP MANAGER'!$B$5</f>
        <v/>
      </c>
      <c r="C51" s="4" t="n"/>
      <c r="D51" s="4" t="n"/>
      <c r="E51" s="4" t="n"/>
      <c r="F51" s="4" t="n"/>
      <c r="G51" s="4" t="n"/>
      <c r="H51" s="4" t="n"/>
      <c r="I51" s="4" t="n"/>
      <c r="J51" s="114" t="n"/>
      <c r="K51" s="10">
        <f>IF($J51="","",DATEDIF($J51,TODAY(),"Y"))</f>
        <v/>
      </c>
      <c r="L51" s="4" t="n"/>
      <c r="M51" s="4" t="n"/>
      <c r="N51" s="4" t="n"/>
      <c r="O51" s="114" t="n"/>
      <c r="P51" s="114" t="n"/>
      <c r="Q51" s="10">
        <f>IF($P51="","MISSING",IF($P51&lt;MAX('TRIP MANAGER'!$L$18:$L$25),"EXPIRES BEFORE TRIP",IF($P51&lt;MAX('TRIP MANAGER'!$L$18:$L$25)+180,"UNDER 6 MONTHS","VALID")))</f>
        <v/>
      </c>
      <c r="R51" s="28">
        <f t="array" ref="R51">IF($A51="","",IFERROR(INDEX('TRIP MANAGER'!$E$97:$J$97,INDEX('TRIP MANAGER'!$AJ$18:$AJ$37,MATCH($L51,'TRIP MANAGER'!$AH$18:$AH$37,0))),"NOT ASSESSED"))</f>
        <v/>
      </c>
      <c r="S51" s="4" t="n"/>
      <c r="T51" s="114" t="n"/>
      <c r="U51" s="10">
        <f>IF($A51="","",IF($R51="NO","N/A",IF(OR($R51="VERIFY",$R51="NOT ASSESSED"),"VISA RULE NOT ON FILE",IF($T51="","MISSING",IF($T51&lt;MAX('TRIP MANAGER'!$L$18:$L$25),"EXPIRED","VALID")))))</f>
        <v/>
      </c>
      <c r="V51" s="4" t="n"/>
      <c r="W51" s="114" t="n"/>
      <c r="X51" s="114" t="n"/>
      <c r="Y51" s="4" t="n"/>
      <c r="Z51" s="10">
        <f>IF($A51="","",IF(UPPER($C51)&lt;&gt;"CREW","N/A",IF(OR($W51="",$X51=""),"MISSING",IF(MIN($W51,$X51)&lt;MAX('TRIP MANAGER'!$L$18:$L$25),"EXPIRED","VALID"))))</f>
        <v/>
      </c>
      <c r="AA51" s="4" t="n"/>
      <c r="AB51" s="4" t="n"/>
      <c r="AC51" s="4" t="n"/>
      <c r="AD51" s="4" t="n"/>
      <c r="AE51" s="10">
        <f>IF($A51="","",admin!$B$2&amp;"\PaxCrewDocs\"&amp;$B51&amp;"\"&amp;$A51)</f>
        <v/>
      </c>
      <c r="AF51" s="10">
        <f>IF($A51="","",$AE51&amp;"\passport.pdf")</f>
        <v/>
      </c>
      <c r="AG51" s="10">
        <f>IF($A51="","",$AE51&amp;"\visa.pdf")</f>
        <v/>
      </c>
      <c r="AH51" s="10">
        <f>IF($A51="","",$AE51&amp;"\licence_medical.pdf")</f>
        <v/>
      </c>
      <c r="AI51" s="1">
        <f>IF($A51="","",IF(OR($Q51="MISSING",$Q51="EXPIRES BEFORE TRIP",$U51="EXPIRED",$U51="MISSING",$Z51="EXPIRED",$Z51="MISSING"),"ACTION REQUIRED",IF(OR($Q51="UNDER 6 MONTHS",$U51="VISA RULE NOT ON FILE"),"CHECK","OK")))</f>
        <v/>
      </c>
      <c r="AJ51">
        <f>IF($A51="","",IF($B51='TRIP MANAGER'!$B$5,COUNTIFS($A$3:$A51,"&lt;&gt;",$B$3:$B51,$B51),""))</f>
        <v/>
      </c>
      <c r="AK51">
        <f>IF($A51="","",COUNTIF(DOCUMENTS!$C$5:$C$44,$A51))</f>
        <v/>
      </c>
      <c r="AL51">
        <f>IF($A51="","",COUNTIFS(DOCUMENTS!$C$5:$C$44,$A51,DOCUMENTS!$AI$5:$AI$44,"&lt;&gt;")-COUNTIFS(DOCUMENTS!$C$5:$C$44,$A51,DOCUMENTS!$AI$5:$AI$44,"REJECT DOCUMENT"))</f>
        <v/>
      </c>
      <c r="AM51">
        <f>IF($A51="","",COUNTIFS(DOCUMENTS!$C$5:$C$44,$A51,DOCUMENTS!$AI$5:$AI$44,""))</f>
        <v/>
      </c>
      <c r="AN51">
        <f t="array" ref="AN51">IF($A51="","",SUMPRODUCT((DOCUMENTS!$C$5:$C$44=$A51)*(ISNUMBER(SEARCH("MISMATCH",DOCUMENTS!$AH$5:$AH$44)))))</f>
        <v/>
      </c>
    </row>
    <row r="52">
      <c r="A52" s="4" t="n"/>
      <c r="B52" s="28">
        <f>'TRIP MANAGER'!$B$5</f>
        <v/>
      </c>
      <c r="C52" s="4" t="n"/>
      <c r="D52" s="4" t="n"/>
      <c r="E52" s="4" t="n"/>
      <c r="F52" s="4" t="n"/>
      <c r="G52" s="4" t="n"/>
      <c r="H52" s="4" t="n"/>
      <c r="I52" s="4" t="n"/>
      <c r="J52" s="114" t="n"/>
      <c r="K52" s="10">
        <f>IF($J52="","",DATEDIF($J52,TODAY(),"Y"))</f>
        <v/>
      </c>
      <c r="L52" s="4" t="n"/>
      <c r="M52" s="4" t="n"/>
      <c r="N52" s="4" t="n"/>
      <c r="O52" s="114" t="n"/>
      <c r="P52" s="114" t="n"/>
      <c r="Q52" s="10">
        <f>IF($P52="","MISSING",IF($P52&lt;MAX('TRIP MANAGER'!$L$18:$L$25),"EXPIRES BEFORE TRIP",IF($P52&lt;MAX('TRIP MANAGER'!$L$18:$L$25)+180,"UNDER 6 MONTHS","VALID")))</f>
        <v/>
      </c>
      <c r="R52" s="28">
        <f t="array" ref="R52">IF($A52="","",IFERROR(INDEX('TRIP MANAGER'!$E$97:$J$97,INDEX('TRIP MANAGER'!$AJ$18:$AJ$37,MATCH($L52,'TRIP MANAGER'!$AH$18:$AH$37,0))),"NOT ASSESSED"))</f>
        <v/>
      </c>
      <c r="S52" s="4" t="n"/>
      <c r="T52" s="114" t="n"/>
      <c r="U52" s="10">
        <f>IF($A52="","",IF($R52="NO","N/A",IF(OR($R52="VERIFY",$R52="NOT ASSESSED"),"VISA RULE NOT ON FILE",IF($T52="","MISSING",IF($T52&lt;MAX('TRIP MANAGER'!$L$18:$L$25),"EXPIRED","VALID")))))</f>
        <v/>
      </c>
      <c r="V52" s="4" t="n"/>
      <c r="W52" s="114" t="n"/>
      <c r="X52" s="114" t="n"/>
      <c r="Y52" s="4" t="n"/>
      <c r="Z52" s="10">
        <f>IF($A52="","",IF(UPPER($C52)&lt;&gt;"CREW","N/A",IF(OR($W52="",$X52=""),"MISSING",IF(MIN($W52,$X52)&lt;MAX('TRIP MANAGER'!$L$18:$L$25),"EXPIRED","VALID"))))</f>
        <v/>
      </c>
      <c r="AA52" s="4" t="n"/>
      <c r="AB52" s="4" t="n"/>
      <c r="AC52" s="4" t="n"/>
      <c r="AD52" s="4" t="n"/>
      <c r="AE52" s="10">
        <f>IF($A52="","",admin!$B$2&amp;"\PaxCrewDocs\"&amp;$B52&amp;"\"&amp;$A52)</f>
        <v/>
      </c>
      <c r="AF52" s="10">
        <f>IF($A52="","",$AE52&amp;"\passport.pdf")</f>
        <v/>
      </c>
      <c r="AG52" s="10">
        <f>IF($A52="","",$AE52&amp;"\visa.pdf")</f>
        <v/>
      </c>
      <c r="AH52" s="10">
        <f>IF($A52="","",$AE52&amp;"\licence_medical.pdf")</f>
        <v/>
      </c>
      <c r="AI52" s="1">
        <f>IF($A52="","",IF(OR($Q52="MISSING",$Q52="EXPIRES BEFORE TRIP",$U52="EXPIRED",$U52="MISSING",$Z52="EXPIRED",$Z52="MISSING"),"ACTION REQUIRED",IF(OR($Q52="UNDER 6 MONTHS",$U52="VISA RULE NOT ON FILE"),"CHECK","OK")))</f>
        <v/>
      </c>
      <c r="AJ52">
        <f>IF($A52="","",IF($B52='TRIP MANAGER'!$B$5,COUNTIFS($A$3:$A52,"&lt;&gt;",$B$3:$B52,$B52),""))</f>
        <v/>
      </c>
      <c r="AK52">
        <f>IF($A52="","",COUNTIF(DOCUMENTS!$C$5:$C$44,$A52))</f>
        <v/>
      </c>
      <c r="AL52">
        <f>IF($A52="","",COUNTIFS(DOCUMENTS!$C$5:$C$44,$A52,DOCUMENTS!$AI$5:$AI$44,"&lt;&gt;")-COUNTIFS(DOCUMENTS!$C$5:$C$44,$A52,DOCUMENTS!$AI$5:$AI$44,"REJECT DOCUMENT"))</f>
        <v/>
      </c>
      <c r="AM52">
        <f>IF($A52="","",COUNTIFS(DOCUMENTS!$C$5:$C$44,$A52,DOCUMENTS!$AI$5:$AI$44,""))</f>
        <v/>
      </c>
      <c r="AN52">
        <f t="array" ref="AN52">IF($A52="","",SUMPRODUCT((DOCUMENTS!$C$5:$C$44=$A52)*(ISNUMBER(SEARCH("MISMATCH",DOCUMENTS!$AH$5:$AH$44)))))</f>
        <v/>
      </c>
    </row>
    <row r="53">
      <c r="A53" s="4" t="n"/>
      <c r="B53" s="28">
        <f>'TRIP MANAGER'!$B$5</f>
        <v/>
      </c>
      <c r="C53" s="4" t="n"/>
      <c r="D53" s="4" t="n"/>
      <c r="E53" s="4" t="n"/>
      <c r="F53" s="4" t="n"/>
      <c r="G53" s="4" t="n"/>
      <c r="H53" s="4" t="n"/>
      <c r="I53" s="4" t="n"/>
      <c r="J53" s="114" t="n"/>
      <c r="K53" s="10">
        <f>IF($J53="","",DATEDIF($J53,TODAY(),"Y"))</f>
        <v/>
      </c>
      <c r="L53" s="4" t="n"/>
      <c r="M53" s="4" t="n"/>
      <c r="N53" s="4" t="n"/>
      <c r="O53" s="114" t="n"/>
      <c r="P53" s="114" t="n"/>
      <c r="Q53" s="10">
        <f>IF($P53="","MISSING",IF($P53&lt;MAX('TRIP MANAGER'!$L$18:$L$25),"EXPIRES BEFORE TRIP",IF($P53&lt;MAX('TRIP MANAGER'!$L$18:$L$25)+180,"UNDER 6 MONTHS","VALID")))</f>
        <v/>
      </c>
      <c r="R53" s="28">
        <f t="array" ref="R53">IF($A53="","",IFERROR(INDEX('TRIP MANAGER'!$E$97:$J$97,INDEX('TRIP MANAGER'!$AJ$18:$AJ$37,MATCH($L53,'TRIP MANAGER'!$AH$18:$AH$37,0))),"NOT ASSESSED"))</f>
        <v/>
      </c>
      <c r="S53" s="4" t="n"/>
      <c r="T53" s="114" t="n"/>
      <c r="U53" s="10">
        <f>IF($A53="","",IF($R53="NO","N/A",IF(OR($R53="VERIFY",$R53="NOT ASSESSED"),"VISA RULE NOT ON FILE",IF($T53="","MISSING",IF($T53&lt;MAX('TRIP MANAGER'!$L$18:$L$25),"EXPIRED","VALID")))))</f>
        <v/>
      </c>
      <c r="V53" s="4" t="n"/>
      <c r="W53" s="114" t="n"/>
      <c r="X53" s="114" t="n"/>
      <c r="Y53" s="4" t="n"/>
      <c r="Z53" s="10">
        <f>IF($A53="","",IF(UPPER($C53)&lt;&gt;"CREW","N/A",IF(OR($W53="",$X53=""),"MISSING",IF(MIN($W53,$X53)&lt;MAX('TRIP MANAGER'!$L$18:$L$25),"EXPIRED","VALID"))))</f>
        <v/>
      </c>
      <c r="AA53" s="4" t="n"/>
      <c r="AB53" s="4" t="n"/>
      <c r="AC53" s="4" t="n"/>
      <c r="AD53" s="4" t="n"/>
      <c r="AE53" s="10">
        <f>IF($A53="","",admin!$B$2&amp;"\PaxCrewDocs\"&amp;$B53&amp;"\"&amp;$A53)</f>
        <v/>
      </c>
      <c r="AF53" s="10">
        <f>IF($A53="","",$AE53&amp;"\passport.pdf")</f>
        <v/>
      </c>
      <c r="AG53" s="10">
        <f>IF($A53="","",$AE53&amp;"\visa.pdf")</f>
        <v/>
      </c>
      <c r="AH53" s="10">
        <f>IF($A53="","",$AE53&amp;"\licence_medical.pdf")</f>
        <v/>
      </c>
      <c r="AI53" s="1">
        <f>IF($A53="","",IF(OR($Q53="MISSING",$Q53="EXPIRES BEFORE TRIP",$U53="EXPIRED",$U53="MISSING",$Z53="EXPIRED",$Z53="MISSING"),"ACTION REQUIRED",IF(OR($Q53="UNDER 6 MONTHS",$U53="VISA RULE NOT ON FILE"),"CHECK","OK")))</f>
        <v/>
      </c>
      <c r="AJ53">
        <f>IF($A53="","",IF($B53='TRIP MANAGER'!$B$5,COUNTIFS($A$3:$A53,"&lt;&gt;",$B$3:$B53,$B53),""))</f>
        <v/>
      </c>
      <c r="AK53">
        <f>IF($A53="","",COUNTIF(DOCUMENTS!$C$5:$C$44,$A53))</f>
        <v/>
      </c>
      <c r="AL53">
        <f>IF($A53="","",COUNTIFS(DOCUMENTS!$C$5:$C$44,$A53,DOCUMENTS!$AI$5:$AI$44,"&lt;&gt;")-COUNTIFS(DOCUMENTS!$C$5:$C$44,$A53,DOCUMENTS!$AI$5:$AI$44,"REJECT DOCUMENT"))</f>
        <v/>
      </c>
      <c r="AM53">
        <f>IF($A53="","",COUNTIFS(DOCUMENTS!$C$5:$C$44,$A53,DOCUMENTS!$AI$5:$AI$44,""))</f>
        <v/>
      </c>
      <c r="AN53">
        <f t="array" ref="AN53">IF($A53="","",SUMPRODUCT((DOCUMENTS!$C$5:$C$44=$A53)*(ISNUMBER(SEARCH("MISMATCH",DOCUMENTS!$AH$5:$AH$44)))))</f>
        <v/>
      </c>
    </row>
    <row r="54">
      <c r="A54" s="4" t="n"/>
      <c r="B54" s="28">
        <f>'TRIP MANAGER'!$B$5</f>
        <v/>
      </c>
      <c r="C54" s="4" t="n"/>
      <c r="D54" s="4" t="n"/>
      <c r="E54" s="4" t="n"/>
      <c r="F54" s="4" t="n"/>
      <c r="G54" s="4" t="n"/>
      <c r="H54" s="4" t="n"/>
      <c r="I54" s="4" t="n"/>
      <c r="J54" s="114" t="n"/>
      <c r="K54" s="10">
        <f>IF($J54="","",DATEDIF($J54,TODAY(),"Y"))</f>
        <v/>
      </c>
      <c r="L54" s="4" t="n"/>
      <c r="M54" s="4" t="n"/>
      <c r="N54" s="4" t="n"/>
      <c r="O54" s="114" t="n"/>
      <c r="P54" s="114" t="n"/>
      <c r="Q54" s="10">
        <f>IF($P54="","MISSING",IF($P54&lt;MAX('TRIP MANAGER'!$L$18:$L$25),"EXPIRES BEFORE TRIP",IF($P54&lt;MAX('TRIP MANAGER'!$L$18:$L$25)+180,"UNDER 6 MONTHS","VALID")))</f>
        <v/>
      </c>
      <c r="R54" s="28">
        <f t="array" ref="R54">IF($A54="","",IFERROR(INDEX('TRIP MANAGER'!$E$97:$J$97,INDEX('TRIP MANAGER'!$AJ$18:$AJ$37,MATCH($L54,'TRIP MANAGER'!$AH$18:$AH$37,0))),"NOT ASSESSED"))</f>
        <v/>
      </c>
      <c r="S54" s="4" t="n"/>
      <c r="T54" s="114" t="n"/>
      <c r="U54" s="10">
        <f>IF($A54="","",IF($R54="NO","N/A",IF(OR($R54="VERIFY",$R54="NOT ASSESSED"),"VISA RULE NOT ON FILE",IF($T54="","MISSING",IF($T54&lt;MAX('TRIP MANAGER'!$L$18:$L$25),"EXPIRED","VALID")))))</f>
        <v/>
      </c>
      <c r="V54" s="4" t="n"/>
      <c r="W54" s="114" t="n"/>
      <c r="X54" s="114" t="n"/>
      <c r="Y54" s="4" t="n"/>
      <c r="Z54" s="10">
        <f>IF($A54="","",IF(UPPER($C54)&lt;&gt;"CREW","N/A",IF(OR($W54="",$X54=""),"MISSING",IF(MIN($W54,$X54)&lt;MAX('TRIP MANAGER'!$L$18:$L$25),"EXPIRED","VALID"))))</f>
        <v/>
      </c>
      <c r="AA54" s="4" t="n"/>
      <c r="AB54" s="4" t="n"/>
      <c r="AC54" s="4" t="n"/>
      <c r="AD54" s="4" t="n"/>
      <c r="AE54" s="10">
        <f>IF($A54="","",admin!$B$2&amp;"\PaxCrewDocs\"&amp;$B54&amp;"\"&amp;$A54)</f>
        <v/>
      </c>
      <c r="AF54" s="10">
        <f>IF($A54="","",$AE54&amp;"\passport.pdf")</f>
        <v/>
      </c>
      <c r="AG54" s="10">
        <f>IF($A54="","",$AE54&amp;"\visa.pdf")</f>
        <v/>
      </c>
      <c r="AH54" s="10">
        <f>IF($A54="","",$AE54&amp;"\licence_medical.pdf")</f>
        <v/>
      </c>
      <c r="AI54" s="1">
        <f>IF($A54="","",IF(OR($Q54="MISSING",$Q54="EXPIRES BEFORE TRIP",$U54="EXPIRED",$U54="MISSING",$Z54="EXPIRED",$Z54="MISSING"),"ACTION REQUIRED",IF(OR($Q54="UNDER 6 MONTHS",$U54="VISA RULE NOT ON FILE"),"CHECK","OK")))</f>
        <v/>
      </c>
      <c r="AJ54">
        <f>IF($A54="","",IF($B54='TRIP MANAGER'!$B$5,COUNTIFS($A$3:$A54,"&lt;&gt;",$B$3:$B54,$B54),""))</f>
        <v/>
      </c>
      <c r="AK54">
        <f>IF($A54="","",COUNTIF(DOCUMENTS!$C$5:$C$44,$A54))</f>
        <v/>
      </c>
      <c r="AL54">
        <f>IF($A54="","",COUNTIFS(DOCUMENTS!$C$5:$C$44,$A54,DOCUMENTS!$AI$5:$AI$44,"&lt;&gt;")-COUNTIFS(DOCUMENTS!$C$5:$C$44,$A54,DOCUMENTS!$AI$5:$AI$44,"REJECT DOCUMENT"))</f>
        <v/>
      </c>
      <c r="AM54">
        <f>IF($A54="","",COUNTIFS(DOCUMENTS!$C$5:$C$44,$A54,DOCUMENTS!$AI$5:$AI$44,""))</f>
        <v/>
      </c>
      <c r="AN54">
        <f t="array" ref="AN54">IF($A54="","",SUMPRODUCT((DOCUMENTS!$C$5:$C$44=$A54)*(ISNUMBER(SEARCH("MISMATCH",DOCUMENTS!$AH$5:$AH$44)))))</f>
        <v/>
      </c>
    </row>
    <row r="55">
      <c r="A55" s="4" t="n"/>
      <c r="B55" s="28">
        <f>'TRIP MANAGER'!$B$5</f>
        <v/>
      </c>
      <c r="C55" s="4" t="n"/>
      <c r="D55" s="4" t="n"/>
      <c r="E55" s="4" t="n"/>
      <c r="F55" s="4" t="n"/>
      <c r="G55" s="4" t="n"/>
      <c r="H55" s="4" t="n"/>
      <c r="I55" s="4" t="n"/>
      <c r="J55" s="114" t="n"/>
      <c r="K55" s="10">
        <f>IF($J55="","",DATEDIF($J55,TODAY(),"Y"))</f>
        <v/>
      </c>
      <c r="L55" s="4" t="n"/>
      <c r="M55" s="4" t="n"/>
      <c r="N55" s="4" t="n"/>
      <c r="O55" s="114" t="n"/>
      <c r="P55" s="114" t="n"/>
      <c r="Q55" s="10">
        <f>IF($P55="","MISSING",IF($P55&lt;MAX('TRIP MANAGER'!$L$18:$L$25),"EXPIRES BEFORE TRIP",IF($P55&lt;MAX('TRIP MANAGER'!$L$18:$L$25)+180,"UNDER 6 MONTHS","VALID")))</f>
        <v/>
      </c>
      <c r="R55" s="28">
        <f t="array" ref="R55">IF($A55="","",IFERROR(INDEX('TRIP MANAGER'!$E$97:$J$97,INDEX('TRIP MANAGER'!$AJ$18:$AJ$37,MATCH($L55,'TRIP MANAGER'!$AH$18:$AH$37,0))),"NOT ASSESSED"))</f>
        <v/>
      </c>
      <c r="S55" s="4" t="n"/>
      <c r="T55" s="114" t="n"/>
      <c r="U55" s="10">
        <f>IF($A55="","",IF($R55="NO","N/A",IF(OR($R55="VERIFY",$R55="NOT ASSESSED"),"VISA RULE NOT ON FILE",IF($T55="","MISSING",IF($T55&lt;MAX('TRIP MANAGER'!$L$18:$L$25),"EXPIRED","VALID")))))</f>
        <v/>
      </c>
      <c r="V55" s="4" t="n"/>
      <c r="W55" s="114" t="n"/>
      <c r="X55" s="114" t="n"/>
      <c r="Y55" s="4" t="n"/>
      <c r="Z55" s="10">
        <f>IF($A55="","",IF(UPPER($C55)&lt;&gt;"CREW","N/A",IF(OR($W55="",$X55=""),"MISSING",IF(MIN($W55,$X55)&lt;MAX('TRIP MANAGER'!$L$18:$L$25),"EXPIRED","VALID"))))</f>
        <v/>
      </c>
      <c r="AA55" s="4" t="n"/>
      <c r="AB55" s="4" t="n"/>
      <c r="AC55" s="4" t="n"/>
      <c r="AD55" s="4" t="n"/>
      <c r="AE55" s="10">
        <f>IF($A55="","",admin!$B$2&amp;"\PaxCrewDocs\"&amp;$B55&amp;"\"&amp;$A55)</f>
        <v/>
      </c>
      <c r="AF55" s="10">
        <f>IF($A55="","",$AE55&amp;"\passport.pdf")</f>
        <v/>
      </c>
      <c r="AG55" s="10">
        <f>IF($A55="","",$AE55&amp;"\visa.pdf")</f>
        <v/>
      </c>
      <c r="AH55" s="10">
        <f>IF($A55="","",$AE55&amp;"\licence_medical.pdf")</f>
        <v/>
      </c>
      <c r="AI55" s="1">
        <f>IF($A55="","",IF(OR($Q55="MISSING",$Q55="EXPIRES BEFORE TRIP",$U55="EXPIRED",$U55="MISSING",$Z55="EXPIRED",$Z55="MISSING"),"ACTION REQUIRED",IF(OR($Q55="UNDER 6 MONTHS",$U55="VISA RULE NOT ON FILE"),"CHECK","OK")))</f>
        <v/>
      </c>
      <c r="AJ55">
        <f>IF($A55="","",IF($B55='TRIP MANAGER'!$B$5,COUNTIFS($A$3:$A55,"&lt;&gt;",$B$3:$B55,$B55),""))</f>
        <v/>
      </c>
      <c r="AK55">
        <f>IF($A55="","",COUNTIF(DOCUMENTS!$C$5:$C$44,$A55))</f>
        <v/>
      </c>
      <c r="AL55">
        <f>IF($A55="","",COUNTIFS(DOCUMENTS!$C$5:$C$44,$A55,DOCUMENTS!$AI$5:$AI$44,"&lt;&gt;")-COUNTIFS(DOCUMENTS!$C$5:$C$44,$A55,DOCUMENTS!$AI$5:$AI$44,"REJECT DOCUMENT"))</f>
        <v/>
      </c>
      <c r="AM55">
        <f>IF($A55="","",COUNTIFS(DOCUMENTS!$C$5:$C$44,$A55,DOCUMENTS!$AI$5:$AI$44,""))</f>
        <v/>
      </c>
      <c r="AN55">
        <f t="array" ref="AN55">IF($A55="","",SUMPRODUCT((DOCUMENTS!$C$5:$C$44=$A55)*(ISNUMBER(SEARCH("MISMATCH",DOCUMENTS!$AH$5:$AH$44)))))</f>
        <v/>
      </c>
    </row>
    <row r="56">
      <c r="A56" s="4" t="n"/>
      <c r="B56" s="28">
        <f>'TRIP MANAGER'!$B$5</f>
        <v/>
      </c>
      <c r="C56" s="4" t="n"/>
      <c r="D56" s="4" t="n"/>
      <c r="E56" s="4" t="n"/>
      <c r="F56" s="4" t="n"/>
      <c r="G56" s="4" t="n"/>
      <c r="H56" s="4" t="n"/>
      <c r="I56" s="4" t="n"/>
      <c r="J56" s="114" t="n"/>
      <c r="K56" s="10">
        <f>IF($J56="","",DATEDIF($J56,TODAY(),"Y"))</f>
        <v/>
      </c>
      <c r="L56" s="4" t="n"/>
      <c r="M56" s="4" t="n"/>
      <c r="N56" s="4" t="n"/>
      <c r="O56" s="114" t="n"/>
      <c r="P56" s="114" t="n"/>
      <c r="Q56" s="10">
        <f>IF($P56="","MISSING",IF($P56&lt;MAX('TRIP MANAGER'!$L$18:$L$25),"EXPIRES BEFORE TRIP",IF($P56&lt;MAX('TRIP MANAGER'!$L$18:$L$25)+180,"UNDER 6 MONTHS","VALID")))</f>
        <v/>
      </c>
      <c r="R56" s="28">
        <f t="array" ref="R56">IF($A56="","",IFERROR(INDEX('TRIP MANAGER'!$E$97:$J$97,INDEX('TRIP MANAGER'!$AJ$18:$AJ$37,MATCH($L56,'TRIP MANAGER'!$AH$18:$AH$37,0))),"NOT ASSESSED"))</f>
        <v/>
      </c>
      <c r="S56" s="4" t="n"/>
      <c r="T56" s="114" t="n"/>
      <c r="U56" s="10">
        <f>IF($A56="","",IF($R56="NO","N/A",IF(OR($R56="VERIFY",$R56="NOT ASSESSED"),"VISA RULE NOT ON FILE",IF($T56="","MISSING",IF($T56&lt;MAX('TRIP MANAGER'!$L$18:$L$25),"EXPIRED","VALID")))))</f>
        <v/>
      </c>
      <c r="V56" s="4" t="n"/>
      <c r="W56" s="114" t="n"/>
      <c r="X56" s="114" t="n"/>
      <c r="Y56" s="4" t="n"/>
      <c r="Z56" s="10">
        <f>IF($A56="","",IF(UPPER($C56)&lt;&gt;"CREW","N/A",IF(OR($W56="",$X56=""),"MISSING",IF(MIN($W56,$X56)&lt;MAX('TRIP MANAGER'!$L$18:$L$25),"EXPIRED","VALID"))))</f>
        <v/>
      </c>
      <c r="AA56" s="4" t="n"/>
      <c r="AB56" s="4" t="n"/>
      <c r="AC56" s="4" t="n"/>
      <c r="AD56" s="4" t="n"/>
      <c r="AE56" s="10">
        <f>IF($A56="","",admin!$B$2&amp;"\PaxCrewDocs\"&amp;$B56&amp;"\"&amp;$A56)</f>
        <v/>
      </c>
      <c r="AF56" s="10">
        <f>IF($A56="","",$AE56&amp;"\passport.pdf")</f>
        <v/>
      </c>
      <c r="AG56" s="10">
        <f>IF($A56="","",$AE56&amp;"\visa.pdf")</f>
        <v/>
      </c>
      <c r="AH56" s="10">
        <f>IF($A56="","",$AE56&amp;"\licence_medical.pdf")</f>
        <v/>
      </c>
      <c r="AI56" s="1">
        <f>IF($A56="","",IF(OR($Q56="MISSING",$Q56="EXPIRES BEFORE TRIP",$U56="EXPIRED",$U56="MISSING",$Z56="EXPIRED",$Z56="MISSING"),"ACTION REQUIRED",IF(OR($Q56="UNDER 6 MONTHS",$U56="VISA RULE NOT ON FILE"),"CHECK","OK")))</f>
        <v/>
      </c>
      <c r="AJ56">
        <f>IF($A56="","",IF($B56='TRIP MANAGER'!$B$5,COUNTIFS($A$3:$A56,"&lt;&gt;",$B$3:$B56,$B56),""))</f>
        <v/>
      </c>
      <c r="AK56">
        <f>IF($A56="","",COUNTIF(DOCUMENTS!$C$5:$C$44,$A56))</f>
        <v/>
      </c>
      <c r="AL56">
        <f>IF($A56="","",COUNTIFS(DOCUMENTS!$C$5:$C$44,$A56,DOCUMENTS!$AI$5:$AI$44,"&lt;&gt;")-COUNTIFS(DOCUMENTS!$C$5:$C$44,$A56,DOCUMENTS!$AI$5:$AI$44,"REJECT DOCUMENT"))</f>
        <v/>
      </c>
      <c r="AM56">
        <f>IF($A56="","",COUNTIFS(DOCUMENTS!$C$5:$C$44,$A56,DOCUMENTS!$AI$5:$AI$44,""))</f>
        <v/>
      </c>
      <c r="AN56">
        <f t="array" ref="AN56">IF($A56="","",SUMPRODUCT((DOCUMENTS!$C$5:$C$44=$A56)*(ISNUMBER(SEARCH("MISMATCH",DOCUMENTS!$AH$5:$AH$44)))))</f>
        <v/>
      </c>
    </row>
    <row r="57">
      <c r="A57" s="4" t="n"/>
      <c r="B57" s="28">
        <f>'TRIP MANAGER'!$B$5</f>
        <v/>
      </c>
      <c r="C57" s="4" t="n"/>
      <c r="D57" s="4" t="n"/>
      <c r="E57" s="4" t="n"/>
      <c r="F57" s="4" t="n"/>
      <c r="G57" s="4" t="n"/>
      <c r="H57" s="4" t="n"/>
      <c r="I57" s="4" t="n"/>
      <c r="J57" s="114" t="n"/>
      <c r="K57" s="10">
        <f>IF($J57="","",DATEDIF($J57,TODAY(),"Y"))</f>
        <v/>
      </c>
      <c r="L57" s="4" t="n"/>
      <c r="M57" s="4" t="n"/>
      <c r="N57" s="4" t="n"/>
      <c r="O57" s="114" t="n"/>
      <c r="P57" s="114" t="n"/>
      <c r="Q57" s="10">
        <f>IF($P57="","MISSING",IF($P57&lt;MAX('TRIP MANAGER'!$L$18:$L$25),"EXPIRES BEFORE TRIP",IF($P57&lt;MAX('TRIP MANAGER'!$L$18:$L$25)+180,"UNDER 6 MONTHS","VALID")))</f>
        <v/>
      </c>
      <c r="R57" s="28">
        <f t="array" ref="R57">IF($A57="","",IFERROR(INDEX('TRIP MANAGER'!$E$97:$J$97,INDEX('TRIP MANAGER'!$AJ$18:$AJ$37,MATCH($L57,'TRIP MANAGER'!$AH$18:$AH$37,0))),"NOT ASSESSED"))</f>
        <v/>
      </c>
      <c r="S57" s="4" t="n"/>
      <c r="T57" s="114" t="n"/>
      <c r="U57" s="10">
        <f>IF($A57="","",IF($R57="NO","N/A",IF(OR($R57="VERIFY",$R57="NOT ASSESSED"),"VISA RULE NOT ON FILE",IF($T57="","MISSING",IF($T57&lt;MAX('TRIP MANAGER'!$L$18:$L$25),"EXPIRED","VALID")))))</f>
        <v/>
      </c>
      <c r="V57" s="4" t="n"/>
      <c r="W57" s="114" t="n"/>
      <c r="X57" s="114" t="n"/>
      <c r="Y57" s="4" t="n"/>
      <c r="Z57" s="10">
        <f>IF($A57="","",IF(UPPER($C57)&lt;&gt;"CREW","N/A",IF(OR($W57="",$X57=""),"MISSING",IF(MIN($W57,$X57)&lt;MAX('TRIP MANAGER'!$L$18:$L$25),"EXPIRED","VALID"))))</f>
        <v/>
      </c>
      <c r="AA57" s="4" t="n"/>
      <c r="AB57" s="4" t="n"/>
      <c r="AC57" s="4" t="n"/>
      <c r="AD57" s="4" t="n"/>
      <c r="AE57" s="10">
        <f>IF($A57="","",admin!$B$2&amp;"\PaxCrewDocs\"&amp;$B57&amp;"\"&amp;$A57)</f>
        <v/>
      </c>
      <c r="AF57" s="10">
        <f>IF($A57="","",$AE57&amp;"\passport.pdf")</f>
        <v/>
      </c>
      <c r="AG57" s="10">
        <f>IF($A57="","",$AE57&amp;"\visa.pdf")</f>
        <v/>
      </c>
      <c r="AH57" s="10">
        <f>IF($A57="","",$AE57&amp;"\licence_medical.pdf")</f>
        <v/>
      </c>
      <c r="AI57" s="1">
        <f>IF($A57="","",IF(OR($Q57="MISSING",$Q57="EXPIRES BEFORE TRIP",$U57="EXPIRED",$U57="MISSING",$Z57="EXPIRED",$Z57="MISSING"),"ACTION REQUIRED",IF(OR($Q57="UNDER 6 MONTHS",$U57="VISA RULE NOT ON FILE"),"CHECK","OK")))</f>
        <v/>
      </c>
      <c r="AJ57">
        <f>IF($A57="","",IF($B57='TRIP MANAGER'!$B$5,COUNTIFS($A$3:$A57,"&lt;&gt;",$B$3:$B57,$B57),""))</f>
        <v/>
      </c>
      <c r="AK57">
        <f>IF($A57="","",COUNTIF(DOCUMENTS!$C$5:$C$44,$A57))</f>
        <v/>
      </c>
      <c r="AL57">
        <f>IF($A57="","",COUNTIFS(DOCUMENTS!$C$5:$C$44,$A57,DOCUMENTS!$AI$5:$AI$44,"&lt;&gt;")-COUNTIFS(DOCUMENTS!$C$5:$C$44,$A57,DOCUMENTS!$AI$5:$AI$44,"REJECT DOCUMENT"))</f>
        <v/>
      </c>
      <c r="AM57">
        <f>IF($A57="","",COUNTIFS(DOCUMENTS!$C$5:$C$44,$A57,DOCUMENTS!$AI$5:$AI$44,""))</f>
        <v/>
      </c>
      <c r="AN57">
        <f t="array" ref="AN57">IF($A57="","",SUMPRODUCT((DOCUMENTS!$C$5:$C$44=$A57)*(ISNUMBER(SEARCH("MISMATCH",DOCUMENTS!$AH$5:$AH$44)))))</f>
        <v/>
      </c>
    </row>
    <row r="58">
      <c r="A58" s="4" t="n"/>
      <c r="B58" s="28">
        <f>'TRIP MANAGER'!$B$5</f>
        <v/>
      </c>
      <c r="C58" s="4" t="n"/>
      <c r="D58" s="4" t="n"/>
      <c r="E58" s="4" t="n"/>
      <c r="F58" s="4" t="n"/>
      <c r="G58" s="4" t="n"/>
      <c r="H58" s="4" t="n"/>
      <c r="I58" s="4" t="n"/>
      <c r="J58" s="114" t="n"/>
      <c r="K58" s="10">
        <f>IF($J58="","",DATEDIF($J58,TODAY(),"Y"))</f>
        <v/>
      </c>
      <c r="L58" s="4" t="n"/>
      <c r="M58" s="4" t="n"/>
      <c r="N58" s="4" t="n"/>
      <c r="O58" s="114" t="n"/>
      <c r="P58" s="114" t="n"/>
      <c r="Q58" s="10">
        <f>IF($P58="","MISSING",IF($P58&lt;MAX('TRIP MANAGER'!$L$18:$L$25),"EXPIRES BEFORE TRIP",IF($P58&lt;MAX('TRIP MANAGER'!$L$18:$L$25)+180,"UNDER 6 MONTHS","VALID")))</f>
        <v/>
      </c>
      <c r="R58" s="28">
        <f t="array" ref="R58">IF($A58="","",IFERROR(INDEX('TRIP MANAGER'!$E$97:$J$97,INDEX('TRIP MANAGER'!$AJ$18:$AJ$37,MATCH($L58,'TRIP MANAGER'!$AH$18:$AH$37,0))),"NOT ASSESSED"))</f>
        <v/>
      </c>
      <c r="S58" s="4" t="n"/>
      <c r="T58" s="114" t="n"/>
      <c r="U58" s="10">
        <f>IF($A58="","",IF($R58="NO","N/A",IF(OR($R58="VERIFY",$R58="NOT ASSESSED"),"VISA RULE NOT ON FILE",IF($T58="","MISSING",IF($T58&lt;MAX('TRIP MANAGER'!$L$18:$L$25),"EXPIRED","VALID")))))</f>
        <v/>
      </c>
      <c r="V58" s="4" t="n"/>
      <c r="W58" s="114" t="n"/>
      <c r="X58" s="114" t="n"/>
      <c r="Y58" s="4" t="n"/>
      <c r="Z58" s="10">
        <f>IF($A58="","",IF(UPPER($C58)&lt;&gt;"CREW","N/A",IF(OR($W58="",$X58=""),"MISSING",IF(MIN($W58,$X58)&lt;MAX('TRIP MANAGER'!$L$18:$L$25),"EXPIRED","VALID"))))</f>
        <v/>
      </c>
      <c r="AA58" s="4" t="n"/>
      <c r="AB58" s="4" t="n"/>
      <c r="AC58" s="4" t="n"/>
      <c r="AD58" s="4" t="n"/>
      <c r="AE58" s="10">
        <f>IF($A58="","",admin!$B$2&amp;"\PaxCrewDocs\"&amp;$B58&amp;"\"&amp;$A58)</f>
        <v/>
      </c>
      <c r="AF58" s="10">
        <f>IF($A58="","",$AE58&amp;"\passport.pdf")</f>
        <v/>
      </c>
      <c r="AG58" s="10">
        <f>IF($A58="","",$AE58&amp;"\visa.pdf")</f>
        <v/>
      </c>
      <c r="AH58" s="10">
        <f>IF($A58="","",$AE58&amp;"\licence_medical.pdf")</f>
        <v/>
      </c>
      <c r="AI58" s="1">
        <f>IF($A58="","",IF(OR($Q58="MISSING",$Q58="EXPIRES BEFORE TRIP",$U58="EXPIRED",$U58="MISSING",$Z58="EXPIRED",$Z58="MISSING"),"ACTION REQUIRED",IF(OR($Q58="UNDER 6 MONTHS",$U58="VISA RULE NOT ON FILE"),"CHECK","OK")))</f>
        <v/>
      </c>
      <c r="AJ58">
        <f>IF($A58="","",IF($B58='TRIP MANAGER'!$B$5,COUNTIFS($A$3:$A58,"&lt;&gt;",$B$3:$B58,$B58),""))</f>
        <v/>
      </c>
      <c r="AK58">
        <f>IF($A58="","",COUNTIF(DOCUMENTS!$C$5:$C$44,$A58))</f>
        <v/>
      </c>
      <c r="AL58">
        <f>IF($A58="","",COUNTIFS(DOCUMENTS!$C$5:$C$44,$A58,DOCUMENTS!$AI$5:$AI$44,"&lt;&gt;")-COUNTIFS(DOCUMENTS!$C$5:$C$44,$A58,DOCUMENTS!$AI$5:$AI$44,"REJECT DOCUMENT"))</f>
        <v/>
      </c>
      <c r="AM58">
        <f>IF($A58="","",COUNTIFS(DOCUMENTS!$C$5:$C$44,$A58,DOCUMENTS!$AI$5:$AI$44,""))</f>
        <v/>
      </c>
      <c r="AN58">
        <f t="array" ref="AN58">IF($A58="","",SUMPRODUCT((DOCUMENTS!$C$5:$C$44=$A58)*(ISNUMBER(SEARCH("MISMATCH",DOCUMENTS!$AH$5:$AH$44)))))</f>
        <v/>
      </c>
    </row>
    <row r="59">
      <c r="A59" s="4" t="n"/>
      <c r="B59" s="28">
        <f>'TRIP MANAGER'!$B$5</f>
        <v/>
      </c>
      <c r="C59" s="4" t="n"/>
      <c r="D59" s="4" t="n"/>
      <c r="E59" s="4" t="n"/>
      <c r="F59" s="4" t="n"/>
      <c r="G59" s="4" t="n"/>
      <c r="H59" s="4" t="n"/>
      <c r="I59" s="4" t="n"/>
      <c r="J59" s="114" t="n"/>
      <c r="K59" s="10">
        <f>IF($J59="","",DATEDIF($J59,TODAY(),"Y"))</f>
        <v/>
      </c>
      <c r="L59" s="4" t="n"/>
      <c r="M59" s="4" t="n"/>
      <c r="N59" s="4" t="n"/>
      <c r="O59" s="114" t="n"/>
      <c r="P59" s="114" t="n"/>
      <c r="Q59" s="10">
        <f>IF($P59="","MISSING",IF($P59&lt;MAX('TRIP MANAGER'!$L$18:$L$25),"EXPIRES BEFORE TRIP",IF($P59&lt;MAX('TRIP MANAGER'!$L$18:$L$25)+180,"UNDER 6 MONTHS","VALID")))</f>
        <v/>
      </c>
      <c r="R59" s="28">
        <f t="array" ref="R59">IF($A59="","",IFERROR(INDEX('TRIP MANAGER'!$E$97:$J$97,INDEX('TRIP MANAGER'!$AJ$18:$AJ$37,MATCH($L59,'TRIP MANAGER'!$AH$18:$AH$37,0))),"NOT ASSESSED"))</f>
        <v/>
      </c>
      <c r="S59" s="4" t="n"/>
      <c r="T59" s="114" t="n"/>
      <c r="U59" s="10">
        <f>IF($A59="","",IF($R59="NO","N/A",IF(OR($R59="VERIFY",$R59="NOT ASSESSED"),"VISA RULE NOT ON FILE",IF($T59="","MISSING",IF($T59&lt;MAX('TRIP MANAGER'!$L$18:$L$25),"EXPIRED","VALID")))))</f>
        <v/>
      </c>
      <c r="V59" s="4" t="n"/>
      <c r="W59" s="114" t="n"/>
      <c r="X59" s="114" t="n"/>
      <c r="Y59" s="4" t="n"/>
      <c r="Z59" s="10">
        <f>IF($A59="","",IF(UPPER($C59)&lt;&gt;"CREW","N/A",IF(OR($W59="",$X59=""),"MISSING",IF(MIN($W59,$X59)&lt;MAX('TRIP MANAGER'!$L$18:$L$25),"EXPIRED","VALID"))))</f>
        <v/>
      </c>
      <c r="AA59" s="4" t="n"/>
      <c r="AB59" s="4" t="n"/>
      <c r="AC59" s="4" t="n"/>
      <c r="AD59" s="4" t="n"/>
      <c r="AE59" s="10">
        <f>IF($A59="","",admin!$B$2&amp;"\PaxCrewDocs\"&amp;$B59&amp;"\"&amp;$A59)</f>
        <v/>
      </c>
      <c r="AF59" s="10">
        <f>IF($A59="","",$AE59&amp;"\passport.pdf")</f>
        <v/>
      </c>
      <c r="AG59" s="10">
        <f>IF($A59="","",$AE59&amp;"\visa.pdf")</f>
        <v/>
      </c>
      <c r="AH59" s="10">
        <f>IF($A59="","",$AE59&amp;"\licence_medical.pdf")</f>
        <v/>
      </c>
      <c r="AI59" s="1">
        <f>IF($A59="","",IF(OR($Q59="MISSING",$Q59="EXPIRES BEFORE TRIP",$U59="EXPIRED",$U59="MISSING",$Z59="EXPIRED",$Z59="MISSING"),"ACTION REQUIRED",IF(OR($Q59="UNDER 6 MONTHS",$U59="VISA RULE NOT ON FILE"),"CHECK","OK")))</f>
        <v/>
      </c>
      <c r="AJ59">
        <f>IF($A59="","",IF($B59='TRIP MANAGER'!$B$5,COUNTIFS($A$3:$A59,"&lt;&gt;",$B$3:$B59,$B59),""))</f>
        <v/>
      </c>
      <c r="AK59">
        <f>IF($A59="","",COUNTIF(DOCUMENTS!$C$5:$C$44,$A59))</f>
        <v/>
      </c>
      <c r="AL59">
        <f>IF($A59="","",COUNTIFS(DOCUMENTS!$C$5:$C$44,$A59,DOCUMENTS!$AI$5:$AI$44,"&lt;&gt;")-COUNTIFS(DOCUMENTS!$C$5:$C$44,$A59,DOCUMENTS!$AI$5:$AI$44,"REJECT DOCUMENT"))</f>
        <v/>
      </c>
      <c r="AM59">
        <f>IF($A59="","",COUNTIFS(DOCUMENTS!$C$5:$C$44,$A59,DOCUMENTS!$AI$5:$AI$44,""))</f>
        <v/>
      </c>
      <c r="AN59">
        <f t="array" ref="AN59">IF($A59="","",SUMPRODUCT((DOCUMENTS!$C$5:$C$44=$A59)*(ISNUMBER(SEARCH("MISMATCH",DOCUMENTS!$AH$5:$AH$44)))))</f>
        <v/>
      </c>
    </row>
    <row r="60">
      <c r="A60" s="4" t="n"/>
      <c r="B60" s="28">
        <f>'TRIP MANAGER'!$B$5</f>
        <v/>
      </c>
      <c r="C60" s="4" t="n"/>
      <c r="D60" s="4" t="n"/>
      <c r="E60" s="4" t="n"/>
      <c r="F60" s="4" t="n"/>
      <c r="G60" s="4" t="n"/>
      <c r="H60" s="4" t="n"/>
      <c r="I60" s="4" t="n"/>
      <c r="J60" s="114" t="n"/>
      <c r="K60" s="10">
        <f>IF($J60="","",DATEDIF($J60,TODAY(),"Y"))</f>
        <v/>
      </c>
      <c r="L60" s="4" t="n"/>
      <c r="M60" s="4" t="n"/>
      <c r="N60" s="4" t="n"/>
      <c r="O60" s="114" t="n"/>
      <c r="P60" s="114" t="n"/>
      <c r="Q60" s="10">
        <f>IF($P60="","MISSING",IF($P60&lt;MAX('TRIP MANAGER'!$L$18:$L$25),"EXPIRES BEFORE TRIP",IF($P60&lt;MAX('TRIP MANAGER'!$L$18:$L$25)+180,"UNDER 6 MONTHS","VALID")))</f>
        <v/>
      </c>
      <c r="R60" s="28">
        <f t="array" ref="R60">IF($A60="","",IFERROR(INDEX('TRIP MANAGER'!$E$97:$J$97,INDEX('TRIP MANAGER'!$AJ$18:$AJ$37,MATCH($L60,'TRIP MANAGER'!$AH$18:$AH$37,0))),"NOT ASSESSED"))</f>
        <v/>
      </c>
      <c r="S60" s="4" t="n"/>
      <c r="T60" s="114" t="n"/>
      <c r="U60" s="10">
        <f>IF($A60="","",IF($R60="NO","N/A",IF(OR($R60="VERIFY",$R60="NOT ASSESSED"),"VISA RULE NOT ON FILE",IF($T60="","MISSING",IF($T60&lt;MAX('TRIP MANAGER'!$L$18:$L$25),"EXPIRED","VALID")))))</f>
        <v/>
      </c>
      <c r="V60" s="4" t="n"/>
      <c r="W60" s="114" t="n"/>
      <c r="X60" s="114" t="n"/>
      <c r="Y60" s="4" t="n"/>
      <c r="Z60" s="10">
        <f>IF($A60="","",IF(UPPER($C60)&lt;&gt;"CREW","N/A",IF(OR($W60="",$X60=""),"MISSING",IF(MIN($W60,$X60)&lt;MAX('TRIP MANAGER'!$L$18:$L$25),"EXPIRED","VALID"))))</f>
        <v/>
      </c>
      <c r="AA60" s="4" t="n"/>
      <c r="AB60" s="4" t="n"/>
      <c r="AC60" s="4" t="n"/>
      <c r="AD60" s="4" t="n"/>
      <c r="AE60" s="10">
        <f>IF($A60="","",admin!$B$2&amp;"\PaxCrewDocs\"&amp;$B60&amp;"\"&amp;$A60)</f>
        <v/>
      </c>
      <c r="AF60" s="10">
        <f>IF($A60="","",$AE60&amp;"\passport.pdf")</f>
        <v/>
      </c>
      <c r="AG60" s="10">
        <f>IF($A60="","",$AE60&amp;"\visa.pdf")</f>
        <v/>
      </c>
      <c r="AH60" s="10">
        <f>IF($A60="","",$AE60&amp;"\licence_medical.pdf")</f>
        <v/>
      </c>
      <c r="AI60" s="1">
        <f>IF($A60="","",IF(OR($Q60="MISSING",$Q60="EXPIRES BEFORE TRIP",$U60="EXPIRED",$U60="MISSING",$Z60="EXPIRED",$Z60="MISSING"),"ACTION REQUIRED",IF(OR($Q60="UNDER 6 MONTHS",$U60="VISA RULE NOT ON FILE"),"CHECK","OK")))</f>
        <v/>
      </c>
      <c r="AJ60">
        <f>IF($A60="","",IF($B60='TRIP MANAGER'!$B$5,COUNTIFS($A$3:$A60,"&lt;&gt;",$B$3:$B60,$B60),""))</f>
        <v/>
      </c>
      <c r="AK60">
        <f>IF($A60="","",COUNTIF(DOCUMENTS!$C$5:$C$44,$A60))</f>
        <v/>
      </c>
      <c r="AL60">
        <f>IF($A60="","",COUNTIFS(DOCUMENTS!$C$5:$C$44,$A60,DOCUMENTS!$AI$5:$AI$44,"&lt;&gt;")-COUNTIFS(DOCUMENTS!$C$5:$C$44,$A60,DOCUMENTS!$AI$5:$AI$44,"REJECT DOCUMENT"))</f>
        <v/>
      </c>
      <c r="AM60">
        <f>IF($A60="","",COUNTIFS(DOCUMENTS!$C$5:$C$44,$A60,DOCUMENTS!$AI$5:$AI$44,""))</f>
        <v/>
      </c>
      <c r="AN60">
        <f t="array" ref="AN60">IF($A60="","",SUMPRODUCT((DOCUMENTS!$C$5:$C$44=$A60)*(ISNUMBER(SEARCH("MISMATCH",DOCUMENTS!$AH$5:$AH$44)))))</f>
        <v/>
      </c>
    </row>
    <row r="61">
      <c r="A61" s="4" t="n"/>
      <c r="B61" s="28">
        <f>'TRIP MANAGER'!$B$5</f>
        <v/>
      </c>
      <c r="C61" s="4" t="n"/>
      <c r="D61" s="4" t="n"/>
      <c r="E61" s="4" t="n"/>
      <c r="F61" s="4" t="n"/>
      <c r="G61" s="4" t="n"/>
      <c r="H61" s="4" t="n"/>
      <c r="I61" s="4" t="n"/>
      <c r="J61" s="114" t="n"/>
      <c r="K61" s="10">
        <f>IF($J61="","",DATEDIF($J61,TODAY(),"Y"))</f>
        <v/>
      </c>
      <c r="L61" s="4" t="n"/>
      <c r="M61" s="4" t="n"/>
      <c r="N61" s="4" t="n"/>
      <c r="O61" s="114" t="n"/>
      <c r="P61" s="114" t="n"/>
      <c r="Q61" s="10">
        <f>IF($P61="","MISSING",IF($P61&lt;MAX('TRIP MANAGER'!$L$18:$L$25),"EXPIRES BEFORE TRIP",IF($P61&lt;MAX('TRIP MANAGER'!$L$18:$L$25)+180,"UNDER 6 MONTHS","VALID")))</f>
        <v/>
      </c>
      <c r="R61" s="28">
        <f t="array" ref="R61">IF($A61="","",IFERROR(INDEX('TRIP MANAGER'!$E$97:$J$97,INDEX('TRIP MANAGER'!$AJ$18:$AJ$37,MATCH($L61,'TRIP MANAGER'!$AH$18:$AH$37,0))),"NOT ASSESSED"))</f>
        <v/>
      </c>
      <c r="S61" s="4" t="n"/>
      <c r="T61" s="114" t="n"/>
      <c r="U61" s="10">
        <f>IF($A61="","",IF($R61="NO","N/A",IF(OR($R61="VERIFY",$R61="NOT ASSESSED"),"VISA RULE NOT ON FILE",IF($T61="","MISSING",IF($T61&lt;MAX('TRIP MANAGER'!$L$18:$L$25),"EXPIRED","VALID")))))</f>
        <v/>
      </c>
      <c r="V61" s="4" t="n"/>
      <c r="W61" s="114" t="n"/>
      <c r="X61" s="114" t="n"/>
      <c r="Y61" s="4" t="n"/>
      <c r="Z61" s="10">
        <f>IF($A61="","",IF(UPPER($C61)&lt;&gt;"CREW","N/A",IF(OR($W61="",$X61=""),"MISSING",IF(MIN($W61,$X61)&lt;MAX('TRIP MANAGER'!$L$18:$L$25),"EXPIRED","VALID"))))</f>
        <v/>
      </c>
      <c r="AA61" s="4" t="n"/>
      <c r="AB61" s="4" t="n"/>
      <c r="AC61" s="4" t="n"/>
      <c r="AD61" s="4" t="n"/>
      <c r="AE61" s="10">
        <f>IF($A61="","",admin!$B$2&amp;"\PaxCrewDocs\"&amp;$B61&amp;"\"&amp;$A61)</f>
        <v/>
      </c>
      <c r="AF61" s="10">
        <f>IF($A61="","",$AE61&amp;"\passport.pdf")</f>
        <v/>
      </c>
      <c r="AG61" s="10">
        <f>IF($A61="","",$AE61&amp;"\visa.pdf")</f>
        <v/>
      </c>
      <c r="AH61" s="10">
        <f>IF($A61="","",$AE61&amp;"\licence_medical.pdf")</f>
        <v/>
      </c>
      <c r="AI61" s="1">
        <f>IF($A61="","",IF(OR($Q61="MISSING",$Q61="EXPIRES BEFORE TRIP",$U61="EXPIRED",$U61="MISSING",$Z61="EXPIRED",$Z61="MISSING"),"ACTION REQUIRED",IF(OR($Q61="UNDER 6 MONTHS",$U61="VISA RULE NOT ON FILE"),"CHECK","OK")))</f>
        <v/>
      </c>
      <c r="AJ61">
        <f>IF($A61="","",IF($B61='TRIP MANAGER'!$B$5,COUNTIFS($A$3:$A61,"&lt;&gt;",$B$3:$B61,$B61),""))</f>
        <v/>
      </c>
      <c r="AK61">
        <f>IF($A61="","",COUNTIF(DOCUMENTS!$C$5:$C$44,$A61))</f>
        <v/>
      </c>
      <c r="AL61">
        <f>IF($A61="","",COUNTIFS(DOCUMENTS!$C$5:$C$44,$A61,DOCUMENTS!$AI$5:$AI$44,"&lt;&gt;")-COUNTIFS(DOCUMENTS!$C$5:$C$44,$A61,DOCUMENTS!$AI$5:$AI$44,"REJECT DOCUMENT"))</f>
        <v/>
      </c>
      <c r="AM61">
        <f>IF($A61="","",COUNTIFS(DOCUMENTS!$C$5:$C$44,$A61,DOCUMENTS!$AI$5:$AI$44,""))</f>
        <v/>
      </c>
      <c r="AN61">
        <f t="array" ref="AN61">IF($A61="","",SUMPRODUCT((DOCUMENTS!$C$5:$C$44=$A61)*(ISNUMBER(SEARCH("MISMATCH",DOCUMENTS!$AH$5:$AH$44)))))</f>
        <v/>
      </c>
    </row>
    <row r="62">
      <c r="A62" s="4" t="n"/>
      <c r="B62" s="28">
        <f>'TRIP MANAGER'!$B$5</f>
        <v/>
      </c>
      <c r="C62" s="4" t="n"/>
      <c r="D62" s="4" t="n"/>
      <c r="E62" s="4" t="n"/>
      <c r="F62" s="4" t="n"/>
      <c r="G62" s="4" t="n"/>
      <c r="H62" s="4" t="n"/>
      <c r="I62" s="4" t="n"/>
      <c r="J62" s="114" t="n"/>
      <c r="K62" s="10">
        <f>IF($J62="","",DATEDIF($J62,TODAY(),"Y"))</f>
        <v/>
      </c>
      <c r="L62" s="4" t="n"/>
      <c r="M62" s="4" t="n"/>
      <c r="N62" s="4" t="n"/>
      <c r="O62" s="114" t="n"/>
      <c r="P62" s="114" t="n"/>
      <c r="Q62" s="10">
        <f>IF($P62="","MISSING",IF($P62&lt;MAX('TRIP MANAGER'!$L$18:$L$25),"EXPIRES BEFORE TRIP",IF($P62&lt;MAX('TRIP MANAGER'!$L$18:$L$25)+180,"UNDER 6 MONTHS","VALID")))</f>
        <v/>
      </c>
      <c r="R62" s="28">
        <f t="array" ref="R62">IF($A62="","",IFERROR(INDEX('TRIP MANAGER'!$E$97:$J$97,INDEX('TRIP MANAGER'!$AJ$18:$AJ$37,MATCH($L62,'TRIP MANAGER'!$AH$18:$AH$37,0))),"NOT ASSESSED"))</f>
        <v/>
      </c>
      <c r="S62" s="4" t="n"/>
      <c r="T62" s="114" t="n"/>
      <c r="U62" s="10">
        <f>IF($A62="","",IF($R62="NO","N/A",IF(OR($R62="VERIFY",$R62="NOT ASSESSED"),"VISA RULE NOT ON FILE",IF($T62="","MISSING",IF($T62&lt;MAX('TRIP MANAGER'!$L$18:$L$25),"EXPIRED","VALID")))))</f>
        <v/>
      </c>
      <c r="V62" s="4" t="n"/>
      <c r="W62" s="114" t="n"/>
      <c r="X62" s="114" t="n"/>
      <c r="Y62" s="4" t="n"/>
      <c r="Z62" s="10">
        <f>IF($A62="","",IF(UPPER($C62)&lt;&gt;"CREW","N/A",IF(OR($W62="",$X62=""),"MISSING",IF(MIN($W62,$X62)&lt;MAX('TRIP MANAGER'!$L$18:$L$25),"EXPIRED","VALID"))))</f>
        <v/>
      </c>
      <c r="AA62" s="4" t="n"/>
      <c r="AB62" s="4" t="n"/>
      <c r="AC62" s="4" t="n"/>
      <c r="AD62" s="4" t="n"/>
      <c r="AE62" s="10">
        <f>IF($A62="","",admin!$B$2&amp;"\PaxCrewDocs\"&amp;$B62&amp;"\"&amp;$A62)</f>
        <v/>
      </c>
      <c r="AF62" s="10">
        <f>IF($A62="","",$AE62&amp;"\passport.pdf")</f>
        <v/>
      </c>
      <c r="AG62" s="10">
        <f>IF($A62="","",$AE62&amp;"\visa.pdf")</f>
        <v/>
      </c>
      <c r="AH62" s="10">
        <f>IF($A62="","",$AE62&amp;"\licence_medical.pdf")</f>
        <v/>
      </c>
      <c r="AI62" s="1">
        <f>IF($A62="","",IF(OR($Q62="MISSING",$Q62="EXPIRES BEFORE TRIP",$U62="EXPIRED",$U62="MISSING",$Z62="EXPIRED",$Z62="MISSING"),"ACTION REQUIRED",IF(OR($Q62="UNDER 6 MONTHS",$U62="VISA RULE NOT ON FILE"),"CHECK","OK")))</f>
        <v/>
      </c>
      <c r="AJ62">
        <f>IF($A62="","",IF($B62='TRIP MANAGER'!$B$5,COUNTIFS($A$3:$A62,"&lt;&gt;",$B$3:$B62,$B62),""))</f>
        <v/>
      </c>
      <c r="AK62">
        <f>IF($A62="","",COUNTIF(DOCUMENTS!$C$5:$C$44,$A62))</f>
        <v/>
      </c>
      <c r="AL62">
        <f>IF($A62="","",COUNTIFS(DOCUMENTS!$C$5:$C$44,$A62,DOCUMENTS!$AI$5:$AI$44,"&lt;&gt;")-COUNTIFS(DOCUMENTS!$C$5:$C$44,$A62,DOCUMENTS!$AI$5:$AI$44,"REJECT DOCUMENT"))</f>
        <v/>
      </c>
      <c r="AM62">
        <f>IF($A62="","",COUNTIFS(DOCUMENTS!$C$5:$C$44,$A62,DOCUMENTS!$AI$5:$AI$44,""))</f>
        <v/>
      </c>
      <c r="AN62">
        <f t="array" ref="AN62">IF($A62="","",SUMPRODUCT((DOCUMENTS!$C$5:$C$44=$A62)*(ISNUMBER(SEARCH("MISMATCH",DOCUMENTS!$AH$5:$AH$44)))))</f>
        <v/>
      </c>
    </row>
  </sheetData>
  <dataValidations count="4">
    <dataValidation sqref="C3:C62" showDropDown="0" showInputMessage="1" showErrorMessage="1" allowBlank="1" type="list">
      <formula1>"CREW,PAX"</formula1>
    </dataValidation>
    <dataValidation sqref="D3:D62" showDropDown="0" showInputMessage="1" showErrorMessage="1" allowBlank="1" type="list">
      <formula1>"PIC,SIC,FA,ENGINEER,MEDIC,SECURITY,PAX"</formula1>
    </dataValidation>
    <dataValidation sqref="I3:I62" showDropDown="0" showInputMessage="1" showErrorMessage="1" allowBlank="1" type="list">
      <formula1>"M,F,X"</formula1>
    </dataValidation>
    <dataValidation sqref="R3:R62" showDropDown="0" showInputMessage="1" showErrorMessage="1" allowBlank="1" type="list">
      <formula1>"YES,NO"</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A60"/>
  <sheetViews>
    <sheetView workbookViewId="0">
      <pane ySplit="2" topLeftCell="A3" activePane="bottomLeft" state="frozen"/>
      <selection pane="bottomLeft" activeCell="A1" sqref="A1"/>
    </sheetView>
  </sheetViews>
  <sheetFormatPr baseColWidth="8" defaultRowHeight="14.4"/>
  <cols>
    <col width="26.88671875" customWidth="1" min="1" max="19"/>
    <col width="31.44140625" customWidth="1" min="20" max="27"/>
  </cols>
  <sheetData>
    <row r="1" ht="17.4" customHeight="1">
      <c r="A1" s="48" t="inlineStr">
        <is>
          <t>CLIENTS / BILL-TO ACCOUNTS — an operator may have many billing entities; a trip or an individual leg can be billed to any of them</t>
        </is>
      </c>
    </row>
    <row r="2">
      <c r="A2" s="25" t="inlineStr">
        <is>
          <t>client_id</t>
        </is>
      </c>
      <c r="B2" s="25" t="inlineStr">
        <is>
          <t>operator_id</t>
        </is>
      </c>
      <c r="C2" s="25" t="inlineStr">
        <is>
          <t>client_name</t>
        </is>
      </c>
      <c r="D2" s="25" t="inlineStr">
        <is>
          <t>bill_to_legal_name</t>
        </is>
      </c>
      <c r="E2" s="25" t="inlineStr">
        <is>
          <t>billing_address_1</t>
        </is>
      </c>
      <c r="F2" s="25" t="inlineStr">
        <is>
          <t>billing_address_2</t>
        </is>
      </c>
      <c r="G2" s="25" t="inlineStr">
        <is>
          <t>city</t>
        </is>
      </c>
      <c r="H2" s="25" t="inlineStr">
        <is>
          <t>country</t>
        </is>
      </c>
      <c r="I2" s="25" t="inlineStr">
        <is>
          <t>tax_vat_id</t>
        </is>
      </c>
      <c r="J2" s="25" t="inlineStr">
        <is>
          <t>billing_contact_name</t>
        </is>
      </c>
      <c r="K2" s="25" t="inlineStr">
        <is>
          <t>billing_email</t>
        </is>
      </c>
      <c r="L2" s="25" t="inlineStr">
        <is>
          <t>billing_phone</t>
        </is>
      </c>
      <c r="M2" s="25" t="inlineStr">
        <is>
          <t>currency</t>
        </is>
      </c>
      <c r="N2" s="25" t="inlineStr">
        <is>
          <t>payment_terms</t>
        </is>
      </c>
      <c r="O2" s="25" t="inlineStr">
        <is>
          <t>credit_limit</t>
        </is>
      </c>
      <c r="P2" s="25" t="inlineStr">
        <is>
          <t>status</t>
        </is>
      </c>
      <c r="Q2" s="25" t="inlineStr">
        <is>
          <t>notes</t>
        </is>
      </c>
      <c r="R2" s="25" t="inlineStr">
        <is>
          <t>OPERATOR NAME</t>
        </is>
      </c>
      <c r="S2" s="25" t="inlineStr">
        <is>
          <t>RECORD CHECK</t>
        </is>
      </c>
      <c r="T2" s="67" t="inlineStr">
        <is>
          <t>preferred_channel</t>
        </is>
      </c>
      <c r="U2" s="67" t="inlineStr">
        <is>
          <t>messaging_to_emails</t>
        </is>
      </c>
      <c r="V2" s="67" t="inlineStr">
        <is>
          <t>messaging_cc_emails</t>
        </is>
      </c>
      <c r="W2" s="67" t="inlineStr">
        <is>
          <t>sita_address</t>
        </is>
      </c>
      <c r="X2" s="67" t="inlineStr">
        <is>
          <t>aftn_address</t>
        </is>
      </c>
      <c r="Y2" s="67" t="inlineStr">
        <is>
          <t>message_format</t>
        </is>
      </c>
      <c r="Z2" s="67" t="inlineStr">
        <is>
          <t>sending_team_signature</t>
        </is>
      </c>
      <c r="AA2" s="67" t="inlineStr">
        <is>
          <t>MESSAGING CHECK</t>
        </is>
      </c>
    </row>
    <row r="3">
      <c r="A3" s="4" t="inlineStr">
        <is>
          <t>CLI-001</t>
        </is>
      </c>
      <c r="B3" s="4" t="inlineStr">
        <is>
          <t>OPV-20</t>
        </is>
      </c>
      <c r="C3" s="4" t="inlineStr">
        <is>
          <t>JTL AVIATION INC</t>
        </is>
      </c>
      <c r="D3" s="4" t="inlineStr">
        <is>
          <t>JTL AVIATION INC</t>
        </is>
      </c>
      <c r="E3" s="4" t="inlineStr">
        <is>
          <t>12065 PARK VIEW LANE, HOUSTON TX, USA</t>
        </is>
      </c>
      <c r="F3" s="4" t="n"/>
      <c r="G3" s="4" t="n"/>
      <c r="H3" s="4" t="n"/>
      <c r="I3" s="4" t="inlineStr">
        <is>
          <t>US-TAX-000000</t>
        </is>
      </c>
      <c r="J3" s="4" t="inlineStr">
        <is>
          <t>CHARLES WATSON</t>
        </is>
      </c>
      <c r="K3" s="4" t="inlineStr">
        <is>
          <t>ops@jetelio.com</t>
        </is>
      </c>
      <c r="L3" s="4" t="n"/>
      <c r="M3" s="4" t="inlineStr">
        <is>
          <t>USD</t>
        </is>
      </c>
      <c r="N3" s="4" t="inlineStr">
        <is>
          <t>NET 30</t>
        </is>
      </c>
      <c r="O3" s="4" t="n">
        <v>250000</v>
      </c>
      <c r="P3" s="4" t="n"/>
      <c r="Q3" s="4" t="n"/>
      <c r="R3" s="10" t="n"/>
      <c r="S3" s="10" t="n"/>
      <c r="T3" t="inlineStr">
        <is>
          <t>EMAIL</t>
        </is>
      </c>
      <c r="U3" t="inlineStr">
        <is>
          <t>ops@jetelio.com</t>
        </is>
      </c>
      <c r="Y3" t="inlineStr">
        <is>
          <t>PLAIN_TEXT_UPPERCASE</t>
        </is>
      </c>
      <c r="Z3" t="inlineStr">
        <is>
          <t>JTL TRIP SUPPORT</t>
        </is>
      </c>
    </row>
    <row r="4">
      <c r="A4" s="4" t="inlineStr">
        <is>
          <t>CLI-002</t>
        </is>
      </c>
      <c r="B4" s="4" t="inlineStr">
        <is>
          <t>OPV-20</t>
        </is>
      </c>
      <c r="C4" s="4" t="inlineStr">
        <is>
          <t>JTL AVIATION EUROPE LIMITED</t>
        </is>
      </c>
      <c r="D4" s="4" t="inlineStr">
        <is>
          <t>JTL AVIATION EUROPE LIMITED</t>
        </is>
      </c>
      <c r="E4" s="4" t="inlineStr">
        <is>
          <t>1 CHARTER HOUSE, LUTON, BEDFORDSHIRE, UNITED KINGDOM</t>
        </is>
      </c>
      <c r="F4" s="4" t="n"/>
      <c r="G4" s="4" t="n"/>
      <c r="H4" s="4" t="n"/>
      <c r="I4" s="4" t="inlineStr">
        <is>
          <t>GB-VAT-000000</t>
        </is>
      </c>
      <c r="J4" s="4" t="inlineStr">
        <is>
          <t>A DESK</t>
        </is>
      </c>
      <c r="K4" s="4" t="inlineStr">
        <is>
          <t>billing.eu@jetelio.com</t>
        </is>
      </c>
      <c r="L4" s="4" t="n"/>
      <c r="M4" s="4" t="inlineStr">
        <is>
          <t>EUR</t>
        </is>
      </c>
      <c r="N4" s="4" t="inlineStr">
        <is>
          <t>NET 15</t>
        </is>
      </c>
      <c r="O4" s="4" t="n">
        <v>100000</v>
      </c>
      <c r="P4" s="4" t="n"/>
      <c r="Q4" s="4" t="n"/>
      <c r="R4" s="10" t="n"/>
      <c r="S4" s="10" t="n"/>
      <c r="T4" t="inlineStr">
        <is>
          <t>EMAIL</t>
        </is>
      </c>
      <c r="U4" t="inlineStr">
        <is>
          <t>billing.eu@jetelio.com</t>
        </is>
      </c>
      <c r="Y4" t="inlineStr">
        <is>
          <t>PLAIN_TEXT_UPPERCASE</t>
        </is>
      </c>
      <c r="Z4" t="inlineStr">
        <is>
          <t>JTL TRIP SUPPORT</t>
        </is>
      </c>
    </row>
    <row r="5">
      <c r="A5" s="4" t="inlineStr">
        <is>
          <t>CLI-003</t>
        </is>
      </c>
      <c r="B5" s="4" t="inlineStr">
        <is>
          <t>OPR-001</t>
        </is>
      </c>
      <c r="C5" s="4" t="inlineStr">
        <is>
          <t>FIRE BLADE AVIATION PROPRIETARY LIMITED</t>
        </is>
      </c>
      <c r="D5" s="4" t="inlineStr">
        <is>
          <t>FIRE BLADE AVIATION PROPRIETARY LIMITED</t>
        </is>
      </c>
      <c r="E5" s="4" t="inlineStr">
        <is>
          <t>FIREBLADE FBO, OR TAMBO, JOHANNESBURG, SOUTH AFRICA</t>
        </is>
      </c>
      <c r="F5" s="4" t="n"/>
      <c r="G5" s="4" t="n"/>
      <c r="H5" s="4" t="n"/>
      <c r="I5" s="4" t="inlineStr">
        <is>
          <t>ZA-VAT-000000</t>
        </is>
      </c>
      <c r="J5" s="4" t="inlineStr">
        <is>
          <t>A DESK</t>
        </is>
      </c>
      <c r="K5" s="4" t="inlineStr">
        <is>
          <t>accounts@fireblade.example</t>
        </is>
      </c>
      <c r="L5" s="4" t="n"/>
      <c r="M5" s="4" t="inlineStr">
        <is>
          <t>USD</t>
        </is>
      </c>
      <c r="N5" s="4" t="inlineStr">
        <is>
          <t>PREPAY</t>
        </is>
      </c>
      <c r="O5" s="4" t="n">
        <v>0</v>
      </c>
      <c r="P5" s="4" t="n"/>
      <c r="Q5" s="4" t="n"/>
      <c r="R5" s="10" t="n"/>
      <c r="S5" s="10" t="n"/>
      <c r="T5" t="inlineStr">
        <is>
          <t>EMAIL</t>
        </is>
      </c>
      <c r="U5" t="inlineStr">
        <is>
          <t>accounts@fireblade.example</t>
        </is>
      </c>
      <c r="Y5" t="inlineStr">
        <is>
          <t>PLAIN_TEXT_UPPERCASE</t>
        </is>
      </c>
      <c r="Z5" t="inlineStr">
        <is>
          <t>JTL TRIP SUPPORT</t>
        </is>
      </c>
    </row>
    <row r="6">
      <c r="A6" s="4" t="n"/>
      <c r="B6" s="4" t="n"/>
      <c r="C6" s="4" t="n"/>
      <c r="D6" s="4" t="n"/>
      <c r="E6" s="4" t="n"/>
      <c r="F6" s="4" t="n"/>
      <c r="G6" s="4" t="n"/>
      <c r="H6" s="4" t="n"/>
      <c r="I6" s="4" t="n"/>
      <c r="J6" s="4" t="n"/>
      <c r="K6" s="4" t="n"/>
      <c r="L6" s="4" t="n"/>
      <c r="M6" s="4" t="n"/>
      <c r="N6" s="4" t="n"/>
      <c r="O6" s="4" t="n"/>
      <c r="P6" s="4" t="n"/>
      <c r="Q6" s="4" t="n"/>
      <c r="R6" s="10" t="n"/>
      <c r="S6" s="10" t="n"/>
    </row>
    <row r="7">
      <c r="A7" s="4" t="n"/>
      <c r="B7" s="4" t="n"/>
      <c r="C7" s="4" t="n"/>
      <c r="D7" s="4" t="n"/>
      <c r="E7" s="4" t="n"/>
      <c r="F7" s="4" t="n"/>
      <c r="G7" s="4" t="n"/>
      <c r="H7" s="4" t="n"/>
      <c r="I7" s="4" t="n"/>
      <c r="J7" s="4" t="n"/>
      <c r="K7" s="4" t="n"/>
      <c r="L7" s="4" t="n"/>
      <c r="M7" s="4" t="n"/>
      <c r="N7" s="4" t="n"/>
      <c r="O7" s="4" t="n"/>
      <c r="P7" s="4" t="n"/>
      <c r="Q7" s="4" t="n"/>
      <c r="R7" s="10" t="n"/>
      <c r="S7" s="10" t="n"/>
    </row>
    <row r="8">
      <c r="A8" s="4" t="n"/>
      <c r="B8" s="4" t="n"/>
      <c r="C8" s="4" t="n"/>
      <c r="D8" s="4" t="n"/>
      <c r="E8" s="4" t="n"/>
      <c r="F8" s="4" t="n"/>
      <c r="G8" s="4" t="n"/>
      <c r="H8" s="4" t="n"/>
      <c r="I8" s="4" t="n"/>
      <c r="J8" s="4" t="n"/>
      <c r="K8" s="4" t="n"/>
      <c r="L8" s="4" t="n"/>
      <c r="M8" s="4" t="n"/>
      <c r="N8" s="4" t="n"/>
      <c r="O8" s="4" t="n"/>
      <c r="P8" s="4" t="n"/>
      <c r="Q8" s="4" t="n"/>
      <c r="R8" s="10" t="n"/>
      <c r="S8" s="10" t="n"/>
    </row>
    <row r="9">
      <c r="A9" s="4" t="n"/>
      <c r="B9" s="4" t="n"/>
      <c r="C9" s="4" t="n"/>
      <c r="D9" s="4" t="n"/>
      <c r="E9" s="4" t="n"/>
      <c r="F9" s="4" t="n"/>
      <c r="G9" s="4" t="n"/>
      <c r="H9" s="4" t="n"/>
      <c r="I9" s="4" t="n"/>
      <c r="J9" s="4" t="n"/>
      <c r="K9" s="4" t="n"/>
      <c r="L9" s="4" t="n"/>
      <c r="M9" s="4" t="n"/>
      <c r="N9" s="4" t="n"/>
      <c r="O9" s="4" t="n"/>
      <c r="P9" s="4" t="n"/>
      <c r="Q9" s="4" t="n"/>
      <c r="R9" s="10" t="n"/>
      <c r="S9" s="10" t="n"/>
    </row>
    <row r="10">
      <c r="A10" s="4" t="n"/>
      <c r="B10" s="4" t="n"/>
      <c r="C10" s="4" t="n"/>
      <c r="D10" s="4" t="n"/>
      <c r="E10" s="4" t="n"/>
      <c r="F10" s="4" t="n"/>
      <c r="G10" s="4" t="n"/>
      <c r="H10" s="4" t="n"/>
      <c r="I10" s="4" t="n"/>
      <c r="J10" s="4" t="n"/>
      <c r="K10" s="4" t="n"/>
      <c r="L10" s="4" t="n"/>
      <c r="M10" s="4" t="n"/>
      <c r="N10" s="4" t="n"/>
      <c r="O10" s="4" t="n"/>
      <c r="P10" s="4" t="n"/>
      <c r="Q10" s="4" t="n"/>
      <c r="R10" s="10" t="n"/>
      <c r="S10" s="10" t="n"/>
    </row>
    <row r="11">
      <c r="A11" s="4" t="n"/>
      <c r="B11" s="4" t="n"/>
      <c r="C11" s="4" t="n"/>
      <c r="D11" s="4" t="n"/>
      <c r="E11" s="4" t="n"/>
      <c r="F11" s="4" t="n"/>
      <c r="G11" s="4" t="n"/>
      <c r="H11" s="4" t="n"/>
      <c r="I11" s="4" t="n"/>
      <c r="J11" s="4" t="n"/>
      <c r="K11" s="4" t="n"/>
      <c r="L11" s="4" t="n"/>
      <c r="M11" s="4" t="n"/>
      <c r="N11" s="4" t="n"/>
      <c r="O11" s="4" t="n"/>
      <c r="P11" s="4" t="n"/>
      <c r="Q11" s="4" t="n"/>
      <c r="R11" s="10" t="n"/>
      <c r="S11" s="10" t="n"/>
    </row>
    <row r="12">
      <c r="A12" s="4" t="n"/>
      <c r="B12" s="4" t="n"/>
      <c r="C12" s="4" t="n"/>
      <c r="D12" s="4" t="n"/>
      <c r="E12" s="4" t="n"/>
      <c r="F12" s="4" t="n"/>
      <c r="G12" s="4" t="n"/>
      <c r="H12" s="4" t="n"/>
      <c r="I12" s="4" t="n"/>
      <c r="J12" s="4" t="n"/>
      <c r="K12" s="4" t="n"/>
      <c r="L12" s="4" t="n"/>
      <c r="M12" s="4" t="n"/>
      <c r="N12" s="4" t="n"/>
      <c r="O12" s="4" t="n"/>
      <c r="P12" s="4" t="n"/>
      <c r="Q12" s="4" t="n"/>
      <c r="R12" s="10" t="n"/>
      <c r="S12" s="10" t="n"/>
    </row>
    <row r="13">
      <c r="A13" s="4" t="n"/>
      <c r="B13" s="4" t="n"/>
      <c r="C13" s="4" t="n"/>
      <c r="D13" s="4" t="n"/>
      <c r="E13" s="4" t="n"/>
      <c r="F13" s="4" t="n"/>
      <c r="G13" s="4" t="n"/>
      <c r="H13" s="4" t="n"/>
      <c r="I13" s="4" t="n"/>
      <c r="J13" s="4" t="n"/>
      <c r="K13" s="4" t="n"/>
      <c r="L13" s="4" t="n"/>
      <c r="M13" s="4" t="n"/>
      <c r="N13" s="4" t="n"/>
      <c r="O13" s="4" t="n"/>
      <c r="P13" s="4" t="n"/>
      <c r="Q13" s="4" t="n"/>
      <c r="R13" s="10" t="n"/>
      <c r="S13" s="10" t="n"/>
    </row>
    <row r="14">
      <c r="A14" s="4" t="n"/>
      <c r="B14" s="4" t="n"/>
      <c r="C14" s="4" t="n"/>
      <c r="D14" s="4" t="n"/>
      <c r="E14" s="4" t="n"/>
      <c r="F14" s="4" t="n"/>
      <c r="G14" s="4" t="n"/>
      <c r="H14" s="4" t="n"/>
      <c r="I14" s="4" t="n"/>
      <c r="J14" s="4" t="n"/>
      <c r="K14" s="4" t="n"/>
      <c r="L14" s="4" t="n"/>
      <c r="M14" s="4" t="n"/>
      <c r="N14" s="4" t="n"/>
      <c r="O14" s="4" t="n"/>
      <c r="P14" s="4" t="n"/>
      <c r="Q14" s="4" t="n"/>
      <c r="R14" s="10" t="n"/>
      <c r="S14" s="10" t="n"/>
    </row>
    <row r="15">
      <c r="A15" s="4" t="n"/>
      <c r="B15" s="4" t="n"/>
      <c r="C15" s="4" t="n"/>
      <c r="D15" s="4" t="n"/>
      <c r="E15" s="4" t="n"/>
      <c r="F15" s="4" t="n"/>
      <c r="G15" s="4" t="n"/>
      <c r="H15" s="4" t="n"/>
      <c r="I15" s="4" t="n"/>
      <c r="J15" s="4" t="n"/>
      <c r="K15" s="4" t="n"/>
      <c r="L15" s="4" t="n"/>
      <c r="M15" s="4" t="n"/>
      <c r="N15" s="4" t="n"/>
      <c r="O15" s="4" t="n"/>
      <c r="P15" s="4" t="n"/>
      <c r="Q15" s="4" t="n"/>
      <c r="R15" s="10" t="n"/>
      <c r="S15" s="10" t="n"/>
    </row>
    <row r="16">
      <c r="A16" s="4" t="n"/>
      <c r="B16" s="4" t="n"/>
      <c r="C16" s="4" t="n"/>
      <c r="D16" s="4" t="n"/>
      <c r="E16" s="4" t="n"/>
      <c r="F16" s="4" t="n"/>
      <c r="G16" s="4" t="n"/>
      <c r="H16" s="4" t="n"/>
      <c r="I16" s="4" t="n"/>
      <c r="J16" s="4" t="n"/>
      <c r="K16" s="4" t="n"/>
      <c r="L16" s="4" t="n"/>
      <c r="M16" s="4" t="n"/>
      <c r="N16" s="4" t="n"/>
      <c r="O16" s="4" t="n"/>
      <c r="P16" s="4" t="n"/>
      <c r="Q16" s="4" t="n"/>
      <c r="R16" s="10" t="n"/>
      <c r="S16" s="10" t="n"/>
    </row>
    <row r="17">
      <c r="A17" s="4" t="n"/>
      <c r="B17" s="4" t="n"/>
      <c r="C17" s="4" t="n"/>
      <c r="D17" s="4" t="n"/>
      <c r="E17" s="4" t="n"/>
      <c r="F17" s="4" t="n"/>
      <c r="G17" s="4" t="n"/>
      <c r="H17" s="4" t="n"/>
      <c r="I17" s="4" t="n"/>
      <c r="J17" s="4" t="n"/>
      <c r="K17" s="4" t="n"/>
      <c r="L17" s="4" t="n"/>
      <c r="M17" s="4" t="n"/>
      <c r="N17" s="4" t="n"/>
      <c r="O17" s="4" t="n"/>
      <c r="P17" s="4" t="n"/>
      <c r="Q17" s="4" t="n"/>
      <c r="R17" s="10" t="n"/>
      <c r="S17" s="10" t="n"/>
    </row>
    <row r="18">
      <c r="A18" s="4" t="n"/>
      <c r="B18" s="4" t="n"/>
      <c r="C18" s="4" t="n"/>
      <c r="D18" s="4" t="n"/>
      <c r="E18" s="4" t="n"/>
      <c r="F18" s="4" t="n"/>
      <c r="G18" s="4" t="n"/>
      <c r="H18" s="4" t="n"/>
      <c r="I18" s="4" t="n"/>
      <c r="J18" s="4" t="n"/>
      <c r="K18" s="4" t="n"/>
      <c r="L18" s="4" t="n"/>
      <c r="M18" s="4" t="n"/>
      <c r="N18" s="4" t="n"/>
      <c r="O18" s="4" t="n"/>
      <c r="P18" s="4" t="n"/>
      <c r="Q18" s="4" t="n"/>
      <c r="R18" s="10" t="n"/>
      <c r="S18" s="10" t="n"/>
    </row>
    <row r="19">
      <c r="A19" s="4" t="n"/>
      <c r="B19" s="4" t="n"/>
      <c r="C19" s="4" t="n"/>
      <c r="D19" s="4" t="n"/>
      <c r="E19" s="4" t="n"/>
      <c r="F19" s="4" t="n"/>
      <c r="G19" s="4" t="n"/>
      <c r="H19" s="4" t="n"/>
      <c r="I19" s="4" t="n"/>
      <c r="J19" s="4" t="n"/>
      <c r="K19" s="4" t="n"/>
      <c r="L19" s="4" t="n"/>
      <c r="M19" s="4" t="n"/>
      <c r="N19" s="4" t="n"/>
      <c r="O19" s="4" t="n"/>
      <c r="P19" s="4" t="n"/>
      <c r="Q19" s="4" t="n"/>
      <c r="R19" s="10" t="n"/>
      <c r="S19" s="10" t="n"/>
    </row>
    <row r="20">
      <c r="A20" s="4" t="n"/>
      <c r="B20" s="4" t="n"/>
      <c r="C20" s="4" t="n"/>
      <c r="D20" s="4" t="n"/>
      <c r="E20" s="4" t="n"/>
      <c r="F20" s="4" t="n"/>
      <c r="G20" s="4" t="n"/>
      <c r="H20" s="4" t="n"/>
      <c r="I20" s="4" t="n"/>
      <c r="J20" s="4" t="n"/>
      <c r="K20" s="4" t="n"/>
      <c r="L20" s="4" t="n"/>
      <c r="M20" s="4" t="n"/>
      <c r="N20" s="4" t="n"/>
      <c r="O20" s="4" t="n"/>
      <c r="P20" s="4" t="n"/>
      <c r="Q20" s="4" t="n"/>
      <c r="R20" s="10" t="n"/>
      <c r="S20" s="10" t="n"/>
    </row>
    <row r="21">
      <c r="A21" s="4" t="n"/>
      <c r="B21" s="4" t="n"/>
      <c r="C21" s="4" t="n"/>
      <c r="D21" s="4" t="n"/>
      <c r="E21" s="4" t="n"/>
      <c r="F21" s="4" t="n"/>
      <c r="G21" s="4" t="n"/>
      <c r="H21" s="4" t="n"/>
      <c r="I21" s="4" t="n"/>
      <c r="J21" s="4" t="n"/>
      <c r="K21" s="4" t="n"/>
      <c r="L21" s="4" t="n"/>
      <c r="M21" s="4" t="n"/>
      <c r="N21" s="4" t="n"/>
      <c r="O21" s="4" t="n"/>
      <c r="P21" s="4" t="n"/>
      <c r="Q21" s="4" t="n"/>
      <c r="R21" s="10" t="n"/>
      <c r="S21" s="10" t="n"/>
    </row>
    <row r="22">
      <c r="A22" s="4" t="n"/>
      <c r="B22" s="4" t="n"/>
      <c r="C22" s="4" t="n"/>
      <c r="D22" s="4" t="n"/>
      <c r="E22" s="4" t="n"/>
      <c r="F22" s="4" t="n"/>
      <c r="G22" s="4" t="n"/>
      <c r="H22" s="4" t="n"/>
      <c r="I22" s="4" t="n"/>
      <c r="J22" s="4" t="n"/>
      <c r="K22" s="4" t="n"/>
      <c r="L22" s="4" t="n"/>
      <c r="M22" s="4" t="n"/>
      <c r="N22" s="4" t="n"/>
      <c r="O22" s="4" t="n"/>
      <c r="P22" s="4" t="n"/>
      <c r="Q22" s="4" t="n"/>
      <c r="R22" s="10" t="n"/>
      <c r="S22" s="10" t="n"/>
    </row>
    <row r="23">
      <c r="A23" s="4" t="n"/>
      <c r="B23" s="4" t="n"/>
      <c r="C23" s="4" t="n"/>
      <c r="D23" s="4" t="n"/>
      <c r="E23" s="4" t="n"/>
      <c r="F23" s="4" t="n"/>
      <c r="G23" s="4" t="n"/>
      <c r="H23" s="4" t="n"/>
      <c r="I23" s="4" t="n"/>
      <c r="J23" s="4" t="n"/>
      <c r="K23" s="4" t="n"/>
      <c r="L23" s="4" t="n"/>
      <c r="M23" s="4" t="n"/>
      <c r="N23" s="4" t="n"/>
      <c r="O23" s="4" t="n"/>
      <c r="P23" s="4" t="n"/>
      <c r="Q23" s="4" t="n"/>
      <c r="R23" s="10" t="n"/>
      <c r="S23" s="10" t="n"/>
    </row>
    <row r="24">
      <c r="A24" s="4" t="n"/>
      <c r="B24" s="4" t="n"/>
      <c r="C24" s="4" t="n"/>
      <c r="D24" s="4" t="n"/>
      <c r="E24" s="4" t="n"/>
      <c r="F24" s="4" t="n"/>
      <c r="G24" s="4" t="n"/>
      <c r="H24" s="4" t="n"/>
      <c r="I24" s="4" t="n"/>
      <c r="J24" s="4" t="n"/>
      <c r="K24" s="4" t="n"/>
      <c r="L24" s="4" t="n"/>
      <c r="M24" s="4" t="n"/>
      <c r="N24" s="4" t="n"/>
      <c r="O24" s="4" t="n"/>
      <c r="P24" s="4" t="n"/>
      <c r="Q24" s="4" t="n"/>
      <c r="R24" s="10" t="n"/>
      <c r="S24" s="10" t="n"/>
    </row>
    <row r="25">
      <c r="A25" s="4" t="n"/>
      <c r="B25" s="4" t="n"/>
      <c r="C25" s="4" t="n"/>
      <c r="D25" s="4" t="n"/>
      <c r="E25" s="4" t="n"/>
      <c r="F25" s="4" t="n"/>
      <c r="G25" s="4" t="n"/>
      <c r="H25" s="4" t="n"/>
      <c r="I25" s="4" t="n"/>
      <c r="J25" s="4" t="n"/>
      <c r="K25" s="4" t="n"/>
      <c r="L25" s="4" t="n"/>
      <c r="M25" s="4" t="n"/>
      <c r="N25" s="4" t="n"/>
      <c r="O25" s="4" t="n"/>
      <c r="P25" s="4" t="n"/>
      <c r="Q25" s="4" t="n"/>
      <c r="R25" s="10" t="n"/>
      <c r="S25" s="10" t="n"/>
    </row>
    <row r="26">
      <c r="A26" s="4" t="n"/>
      <c r="B26" s="4" t="n"/>
      <c r="C26" s="4" t="n"/>
      <c r="D26" s="4" t="n"/>
      <c r="E26" s="4" t="n"/>
      <c r="F26" s="4" t="n"/>
      <c r="G26" s="4" t="n"/>
      <c r="H26" s="4" t="n"/>
      <c r="I26" s="4" t="n"/>
      <c r="J26" s="4" t="n"/>
      <c r="K26" s="4" t="n"/>
      <c r="L26" s="4" t="n"/>
      <c r="M26" s="4" t="n"/>
      <c r="N26" s="4" t="n"/>
      <c r="O26" s="4" t="n"/>
      <c r="P26" s="4" t="n"/>
      <c r="Q26" s="4" t="n"/>
      <c r="R26" s="10" t="n"/>
      <c r="S26" s="10" t="n"/>
    </row>
    <row r="27">
      <c r="A27" s="4" t="n"/>
      <c r="B27" s="4" t="n"/>
      <c r="C27" s="4" t="n"/>
      <c r="D27" s="4" t="n"/>
      <c r="E27" s="4" t="n"/>
      <c r="F27" s="4" t="n"/>
      <c r="G27" s="4" t="n"/>
      <c r="H27" s="4" t="n"/>
      <c r="I27" s="4" t="n"/>
      <c r="J27" s="4" t="n"/>
      <c r="K27" s="4" t="n"/>
      <c r="L27" s="4" t="n"/>
      <c r="M27" s="4" t="n"/>
      <c r="N27" s="4" t="n"/>
      <c r="O27" s="4" t="n"/>
      <c r="P27" s="4" t="n"/>
      <c r="Q27" s="4" t="n"/>
      <c r="R27" s="10" t="n"/>
      <c r="S27" s="10" t="n"/>
    </row>
    <row r="28">
      <c r="A28" s="4" t="n"/>
      <c r="B28" s="4" t="n"/>
      <c r="C28" s="4" t="n"/>
      <c r="D28" s="4" t="n"/>
      <c r="E28" s="4" t="n"/>
      <c r="F28" s="4" t="n"/>
      <c r="G28" s="4" t="n"/>
      <c r="H28" s="4" t="n"/>
      <c r="I28" s="4" t="n"/>
      <c r="J28" s="4" t="n"/>
      <c r="K28" s="4" t="n"/>
      <c r="L28" s="4" t="n"/>
      <c r="M28" s="4" t="n"/>
      <c r="N28" s="4" t="n"/>
      <c r="O28" s="4" t="n"/>
      <c r="P28" s="4" t="n"/>
      <c r="Q28" s="4" t="n"/>
      <c r="R28" s="10" t="n"/>
      <c r="S28" s="10" t="n"/>
    </row>
    <row r="29">
      <c r="A29" s="4" t="n"/>
      <c r="B29" s="4" t="n"/>
      <c r="C29" s="4" t="n"/>
      <c r="D29" s="4" t="n"/>
      <c r="E29" s="4" t="n"/>
      <c r="F29" s="4" t="n"/>
      <c r="G29" s="4" t="n"/>
      <c r="H29" s="4" t="n"/>
      <c r="I29" s="4" t="n"/>
      <c r="J29" s="4" t="n"/>
      <c r="K29" s="4" t="n"/>
      <c r="L29" s="4" t="n"/>
      <c r="M29" s="4" t="n"/>
      <c r="N29" s="4" t="n"/>
      <c r="O29" s="4" t="n"/>
      <c r="P29" s="4" t="n"/>
      <c r="Q29" s="4" t="n"/>
      <c r="R29" s="10" t="n"/>
      <c r="S29" s="10" t="n"/>
    </row>
    <row r="30">
      <c r="A30" s="4" t="n"/>
      <c r="B30" s="4" t="n"/>
      <c r="C30" s="4" t="n"/>
      <c r="D30" s="4" t="n"/>
      <c r="E30" s="4" t="n"/>
      <c r="F30" s="4" t="n"/>
      <c r="G30" s="4" t="n"/>
      <c r="H30" s="4" t="n"/>
      <c r="I30" s="4" t="n"/>
      <c r="J30" s="4" t="n"/>
      <c r="K30" s="4" t="n"/>
      <c r="L30" s="4" t="n"/>
      <c r="M30" s="4" t="n"/>
      <c r="N30" s="4" t="n"/>
      <c r="O30" s="4" t="n"/>
      <c r="P30" s="4" t="n"/>
      <c r="Q30" s="4" t="n"/>
      <c r="R30" s="10" t="n"/>
      <c r="S30" s="10" t="n"/>
    </row>
    <row r="31">
      <c r="A31" s="4" t="n"/>
      <c r="B31" s="4" t="n"/>
      <c r="C31" s="4" t="n"/>
      <c r="D31" s="4" t="n"/>
      <c r="E31" s="4" t="n"/>
      <c r="F31" s="4" t="n"/>
      <c r="G31" s="4" t="n"/>
      <c r="H31" s="4" t="n"/>
      <c r="I31" s="4" t="n"/>
      <c r="J31" s="4" t="n"/>
      <c r="K31" s="4" t="n"/>
      <c r="L31" s="4" t="n"/>
      <c r="M31" s="4" t="n"/>
      <c r="N31" s="4" t="n"/>
      <c r="O31" s="4" t="n"/>
      <c r="P31" s="4" t="n"/>
      <c r="Q31" s="4" t="n"/>
      <c r="R31" s="10" t="n"/>
      <c r="S31" s="10" t="n"/>
    </row>
    <row r="32">
      <c r="A32" s="4" t="n"/>
      <c r="B32" s="4" t="n"/>
      <c r="C32" s="4" t="n"/>
      <c r="D32" s="4" t="n"/>
      <c r="E32" s="4" t="n"/>
      <c r="F32" s="4" t="n"/>
      <c r="G32" s="4" t="n"/>
      <c r="H32" s="4" t="n"/>
      <c r="I32" s="4" t="n"/>
      <c r="J32" s="4" t="n"/>
      <c r="K32" s="4" t="n"/>
      <c r="L32" s="4" t="n"/>
      <c r="M32" s="4" t="n"/>
      <c r="N32" s="4" t="n"/>
      <c r="O32" s="4" t="n"/>
      <c r="P32" s="4" t="n"/>
      <c r="Q32" s="4" t="n"/>
      <c r="R32" s="10" t="n"/>
      <c r="S32" s="10" t="n"/>
    </row>
    <row r="33">
      <c r="A33" s="4" t="n"/>
      <c r="B33" s="4" t="n"/>
      <c r="C33" s="4" t="n"/>
      <c r="D33" s="4" t="n"/>
      <c r="E33" s="4" t="n"/>
      <c r="F33" s="4" t="n"/>
      <c r="G33" s="4" t="n"/>
      <c r="H33" s="4" t="n"/>
      <c r="I33" s="4" t="n"/>
      <c r="J33" s="4" t="n"/>
      <c r="K33" s="4" t="n"/>
      <c r="L33" s="4" t="n"/>
      <c r="M33" s="4" t="n"/>
      <c r="N33" s="4" t="n"/>
      <c r="O33" s="4" t="n"/>
      <c r="P33" s="4" t="n"/>
      <c r="Q33" s="4" t="n"/>
      <c r="R33" s="10" t="n"/>
      <c r="S33" s="10" t="n"/>
    </row>
    <row r="34">
      <c r="A34" s="4" t="n"/>
      <c r="B34" s="4" t="n"/>
      <c r="C34" s="4" t="n"/>
      <c r="D34" s="4" t="n"/>
      <c r="E34" s="4" t="n"/>
      <c r="F34" s="4" t="n"/>
      <c r="G34" s="4" t="n"/>
      <c r="H34" s="4" t="n"/>
      <c r="I34" s="4" t="n"/>
      <c r="J34" s="4" t="n"/>
      <c r="K34" s="4" t="n"/>
      <c r="L34" s="4" t="n"/>
      <c r="M34" s="4" t="n"/>
      <c r="N34" s="4" t="n"/>
      <c r="O34" s="4" t="n"/>
      <c r="P34" s="4" t="n"/>
      <c r="Q34" s="4" t="n"/>
      <c r="R34" s="10" t="n"/>
      <c r="S34" s="10" t="n"/>
    </row>
    <row r="35">
      <c r="A35" s="4" t="n"/>
      <c r="B35" s="4" t="n"/>
      <c r="C35" s="4" t="n"/>
      <c r="D35" s="4" t="n"/>
      <c r="E35" s="4" t="n"/>
      <c r="F35" s="4" t="n"/>
      <c r="G35" s="4" t="n"/>
      <c r="H35" s="4" t="n"/>
      <c r="I35" s="4" t="n"/>
      <c r="J35" s="4" t="n"/>
      <c r="K35" s="4" t="n"/>
      <c r="L35" s="4" t="n"/>
      <c r="M35" s="4" t="n"/>
      <c r="N35" s="4" t="n"/>
      <c r="O35" s="4" t="n"/>
      <c r="P35" s="4" t="n"/>
      <c r="Q35" s="4" t="n"/>
      <c r="R35" s="10" t="n"/>
      <c r="S35" s="10" t="n"/>
    </row>
    <row r="36">
      <c r="A36" s="4" t="n"/>
      <c r="B36" s="4" t="n"/>
      <c r="C36" s="4" t="n"/>
      <c r="D36" s="4" t="n"/>
      <c r="E36" s="4" t="n"/>
      <c r="F36" s="4" t="n"/>
      <c r="G36" s="4" t="n"/>
      <c r="H36" s="4" t="n"/>
      <c r="I36" s="4" t="n"/>
      <c r="J36" s="4" t="n"/>
      <c r="K36" s="4" t="n"/>
      <c r="L36" s="4" t="n"/>
      <c r="M36" s="4" t="n"/>
      <c r="N36" s="4" t="n"/>
      <c r="O36" s="4" t="n"/>
      <c r="P36" s="4" t="n"/>
      <c r="Q36" s="4" t="n"/>
      <c r="R36" s="10" t="n"/>
      <c r="S36" s="10" t="n"/>
    </row>
    <row r="37">
      <c r="A37" s="4" t="n"/>
      <c r="B37" s="4" t="n"/>
      <c r="C37" s="4" t="n"/>
      <c r="D37" s="4" t="n"/>
      <c r="E37" s="4" t="n"/>
      <c r="F37" s="4" t="n"/>
      <c r="G37" s="4" t="n"/>
      <c r="H37" s="4" t="n"/>
      <c r="I37" s="4" t="n"/>
      <c r="J37" s="4" t="n"/>
      <c r="K37" s="4" t="n"/>
      <c r="L37" s="4" t="n"/>
      <c r="M37" s="4" t="n"/>
      <c r="N37" s="4" t="n"/>
      <c r="O37" s="4" t="n"/>
      <c r="P37" s="4" t="n"/>
      <c r="Q37" s="4" t="n"/>
      <c r="R37" s="10" t="n"/>
      <c r="S37" s="10" t="n"/>
    </row>
    <row r="38">
      <c r="A38" s="4" t="n"/>
      <c r="B38" s="4" t="n"/>
      <c r="C38" s="4" t="n"/>
      <c r="D38" s="4" t="n"/>
      <c r="E38" s="4" t="n"/>
      <c r="F38" s="4" t="n"/>
      <c r="G38" s="4" t="n"/>
      <c r="H38" s="4" t="n"/>
      <c r="I38" s="4" t="n"/>
      <c r="J38" s="4" t="n"/>
      <c r="K38" s="4" t="n"/>
      <c r="L38" s="4" t="n"/>
      <c r="M38" s="4" t="n"/>
      <c r="N38" s="4" t="n"/>
      <c r="O38" s="4" t="n"/>
      <c r="P38" s="4" t="n"/>
      <c r="Q38" s="4" t="n"/>
      <c r="R38" s="10" t="n"/>
      <c r="S38" s="10" t="n"/>
    </row>
    <row r="39">
      <c r="A39" s="4" t="n"/>
      <c r="B39" s="4" t="n"/>
      <c r="C39" s="4" t="n"/>
      <c r="D39" s="4" t="n"/>
      <c r="E39" s="4" t="n"/>
      <c r="F39" s="4" t="n"/>
      <c r="G39" s="4" t="n"/>
      <c r="H39" s="4" t="n"/>
      <c r="I39" s="4" t="n"/>
      <c r="J39" s="4" t="n"/>
      <c r="K39" s="4" t="n"/>
      <c r="L39" s="4" t="n"/>
      <c r="M39" s="4" t="n"/>
      <c r="N39" s="4" t="n"/>
      <c r="O39" s="4" t="n"/>
      <c r="P39" s="4" t="n"/>
      <c r="Q39" s="4" t="n"/>
      <c r="R39" s="10" t="n"/>
      <c r="S39" s="10" t="n"/>
    </row>
    <row r="40">
      <c r="A40" s="4" t="n"/>
      <c r="B40" s="4" t="n"/>
      <c r="C40" s="4" t="n"/>
      <c r="D40" s="4" t="n"/>
      <c r="E40" s="4" t="n"/>
      <c r="F40" s="4" t="n"/>
      <c r="G40" s="4" t="n"/>
      <c r="H40" s="4" t="n"/>
      <c r="I40" s="4" t="n"/>
      <c r="J40" s="4" t="n"/>
      <c r="K40" s="4" t="n"/>
      <c r="L40" s="4" t="n"/>
      <c r="M40" s="4" t="n"/>
      <c r="N40" s="4" t="n"/>
      <c r="O40" s="4" t="n"/>
      <c r="P40" s="4" t="n"/>
      <c r="Q40" s="4" t="n"/>
      <c r="R40" s="10" t="n"/>
      <c r="S40" s="10" t="n"/>
    </row>
    <row r="41">
      <c r="A41" s="4" t="n"/>
      <c r="B41" s="4" t="n"/>
      <c r="C41" s="4" t="n"/>
      <c r="D41" s="4" t="n"/>
      <c r="E41" s="4" t="n"/>
      <c r="F41" s="4" t="n"/>
      <c r="G41" s="4" t="n"/>
      <c r="H41" s="4" t="n"/>
      <c r="I41" s="4" t="n"/>
      <c r="J41" s="4" t="n"/>
      <c r="K41" s="4" t="n"/>
      <c r="L41" s="4" t="n"/>
      <c r="M41" s="4" t="n"/>
      <c r="N41" s="4" t="n"/>
      <c r="O41" s="4" t="n"/>
      <c r="P41" s="4" t="n"/>
      <c r="Q41" s="4" t="n"/>
      <c r="R41" s="10" t="n"/>
      <c r="S41" s="10" t="n"/>
    </row>
    <row r="42">
      <c r="A42" s="4" t="n"/>
      <c r="B42" s="4" t="n"/>
      <c r="C42" s="4" t="n"/>
      <c r="D42" s="4" t="n"/>
      <c r="E42" s="4" t="n"/>
      <c r="F42" s="4" t="n"/>
      <c r="G42" s="4" t="n"/>
      <c r="H42" s="4" t="n"/>
      <c r="I42" s="4" t="n"/>
      <c r="J42" s="4" t="n"/>
      <c r="K42" s="4" t="n"/>
      <c r="L42" s="4" t="n"/>
      <c r="M42" s="4" t="n"/>
      <c r="N42" s="4" t="n"/>
      <c r="O42" s="4" t="n"/>
      <c r="P42" s="4" t="n"/>
      <c r="Q42" s="4" t="n"/>
      <c r="R42" s="10" t="n"/>
      <c r="S42" s="10" t="n"/>
    </row>
    <row r="43">
      <c r="A43" s="4" t="n"/>
      <c r="B43" s="4" t="n"/>
      <c r="C43" s="4" t="n"/>
      <c r="D43" s="4" t="n"/>
      <c r="E43" s="4" t="n"/>
      <c r="F43" s="4" t="n"/>
      <c r="G43" s="4" t="n"/>
      <c r="H43" s="4" t="n"/>
      <c r="I43" s="4" t="n"/>
      <c r="J43" s="4" t="n"/>
      <c r="K43" s="4" t="n"/>
      <c r="L43" s="4" t="n"/>
      <c r="M43" s="4" t="n"/>
      <c r="N43" s="4" t="n"/>
      <c r="O43" s="4" t="n"/>
      <c r="P43" s="4" t="n"/>
      <c r="Q43" s="4" t="n"/>
      <c r="R43" s="10" t="n"/>
      <c r="S43" s="10" t="n"/>
    </row>
    <row r="44">
      <c r="A44" s="4" t="n"/>
      <c r="B44" s="4" t="n"/>
      <c r="C44" s="4" t="n"/>
      <c r="D44" s="4" t="n"/>
      <c r="E44" s="4" t="n"/>
      <c r="F44" s="4" t="n"/>
      <c r="G44" s="4" t="n"/>
      <c r="H44" s="4" t="n"/>
      <c r="I44" s="4" t="n"/>
      <c r="J44" s="4" t="n"/>
      <c r="K44" s="4" t="n"/>
      <c r="L44" s="4" t="n"/>
      <c r="M44" s="4" t="n"/>
      <c r="N44" s="4" t="n"/>
      <c r="O44" s="4" t="n"/>
      <c r="P44" s="4" t="n"/>
      <c r="Q44" s="4" t="n"/>
      <c r="R44" s="10" t="n"/>
      <c r="S44" s="10" t="n"/>
    </row>
    <row r="45">
      <c r="A45" s="4" t="n"/>
      <c r="B45" s="4" t="n"/>
      <c r="C45" s="4" t="n"/>
      <c r="D45" s="4" t="n"/>
      <c r="E45" s="4" t="n"/>
      <c r="F45" s="4" t="n"/>
      <c r="G45" s="4" t="n"/>
      <c r="H45" s="4" t="n"/>
      <c r="I45" s="4" t="n"/>
      <c r="J45" s="4" t="n"/>
      <c r="K45" s="4" t="n"/>
      <c r="L45" s="4" t="n"/>
      <c r="M45" s="4" t="n"/>
      <c r="N45" s="4" t="n"/>
      <c r="O45" s="4" t="n"/>
      <c r="P45" s="4" t="n"/>
      <c r="Q45" s="4" t="n"/>
      <c r="R45" s="10" t="n"/>
      <c r="S45" s="10" t="n"/>
    </row>
    <row r="46">
      <c r="A46" s="4" t="n"/>
      <c r="B46" s="4" t="n"/>
      <c r="C46" s="4" t="n"/>
      <c r="D46" s="4" t="n"/>
      <c r="E46" s="4" t="n"/>
      <c r="F46" s="4" t="n"/>
      <c r="G46" s="4" t="n"/>
      <c r="H46" s="4" t="n"/>
      <c r="I46" s="4" t="n"/>
      <c r="J46" s="4" t="n"/>
      <c r="K46" s="4" t="n"/>
      <c r="L46" s="4" t="n"/>
      <c r="M46" s="4" t="n"/>
      <c r="N46" s="4" t="n"/>
      <c r="O46" s="4" t="n"/>
      <c r="P46" s="4" t="n"/>
      <c r="Q46" s="4" t="n"/>
      <c r="R46" s="10" t="n"/>
      <c r="S46" s="10" t="n"/>
    </row>
    <row r="47">
      <c r="A47" s="4" t="n"/>
      <c r="B47" s="4" t="n"/>
      <c r="C47" s="4" t="n"/>
      <c r="D47" s="4" t="n"/>
      <c r="E47" s="4" t="n"/>
      <c r="F47" s="4" t="n"/>
      <c r="G47" s="4" t="n"/>
      <c r="H47" s="4" t="n"/>
      <c r="I47" s="4" t="n"/>
      <c r="J47" s="4" t="n"/>
      <c r="K47" s="4" t="n"/>
      <c r="L47" s="4" t="n"/>
      <c r="M47" s="4" t="n"/>
      <c r="N47" s="4" t="n"/>
      <c r="O47" s="4" t="n"/>
      <c r="P47" s="4" t="n"/>
      <c r="Q47" s="4" t="n"/>
      <c r="R47" s="10" t="n"/>
      <c r="S47" s="10" t="n"/>
    </row>
    <row r="48">
      <c r="A48" s="4" t="n"/>
      <c r="B48" s="4" t="n"/>
      <c r="C48" s="4" t="n"/>
      <c r="D48" s="4" t="n"/>
      <c r="E48" s="4" t="n"/>
      <c r="F48" s="4" t="n"/>
      <c r="G48" s="4" t="n"/>
      <c r="H48" s="4" t="n"/>
      <c r="I48" s="4" t="n"/>
      <c r="J48" s="4" t="n"/>
      <c r="K48" s="4" t="n"/>
      <c r="L48" s="4" t="n"/>
      <c r="M48" s="4" t="n"/>
      <c r="N48" s="4" t="n"/>
      <c r="O48" s="4" t="n"/>
      <c r="P48" s="4" t="n"/>
      <c r="Q48" s="4" t="n"/>
      <c r="R48" s="10" t="n"/>
      <c r="S48" s="10" t="n"/>
    </row>
    <row r="49">
      <c r="A49" s="4" t="n"/>
      <c r="B49" s="4" t="n"/>
      <c r="C49" s="4" t="n"/>
      <c r="D49" s="4" t="n"/>
      <c r="E49" s="4" t="n"/>
      <c r="F49" s="4" t="n"/>
      <c r="G49" s="4" t="n"/>
      <c r="H49" s="4" t="n"/>
      <c r="I49" s="4" t="n"/>
      <c r="J49" s="4" t="n"/>
      <c r="K49" s="4" t="n"/>
      <c r="L49" s="4" t="n"/>
      <c r="M49" s="4" t="n"/>
      <c r="N49" s="4" t="n"/>
      <c r="O49" s="4" t="n"/>
      <c r="P49" s="4" t="n"/>
      <c r="Q49" s="4" t="n"/>
      <c r="R49" s="10" t="n"/>
      <c r="S49" s="10" t="n"/>
    </row>
    <row r="50">
      <c r="A50" s="4" t="n"/>
      <c r="B50" s="4" t="n"/>
      <c r="C50" s="4" t="n"/>
      <c r="D50" s="4" t="n"/>
      <c r="E50" s="4" t="n"/>
      <c r="F50" s="4" t="n"/>
      <c r="G50" s="4" t="n"/>
      <c r="H50" s="4" t="n"/>
      <c r="I50" s="4" t="n"/>
      <c r="J50" s="4" t="n"/>
      <c r="K50" s="4" t="n"/>
      <c r="L50" s="4" t="n"/>
      <c r="M50" s="4" t="n"/>
      <c r="N50" s="4" t="n"/>
      <c r="O50" s="4" t="n"/>
      <c r="P50" s="4" t="n"/>
      <c r="Q50" s="4" t="n"/>
      <c r="R50" s="10" t="n"/>
      <c r="S50" s="10" t="n"/>
    </row>
    <row r="51">
      <c r="A51" s="4" t="n"/>
      <c r="B51" s="4" t="n"/>
      <c r="C51" s="4" t="n"/>
      <c r="D51" s="4" t="n"/>
      <c r="E51" s="4" t="n"/>
      <c r="F51" s="4" t="n"/>
      <c r="G51" s="4" t="n"/>
      <c r="H51" s="4" t="n"/>
      <c r="I51" s="4" t="n"/>
      <c r="J51" s="4" t="n"/>
      <c r="K51" s="4" t="n"/>
      <c r="L51" s="4" t="n"/>
      <c r="M51" s="4" t="n"/>
      <c r="N51" s="4" t="n"/>
      <c r="O51" s="4" t="n"/>
      <c r="P51" s="4" t="n"/>
      <c r="Q51" s="4" t="n"/>
      <c r="R51" s="10" t="n"/>
      <c r="S51" s="10" t="n"/>
    </row>
    <row r="52">
      <c r="A52" s="4" t="n"/>
      <c r="B52" s="4" t="n"/>
      <c r="C52" s="4" t="n"/>
      <c r="D52" s="4" t="n"/>
      <c r="E52" s="4" t="n"/>
      <c r="F52" s="4" t="n"/>
      <c r="G52" s="4" t="n"/>
      <c r="H52" s="4" t="n"/>
      <c r="I52" s="4" t="n"/>
      <c r="J52" s="4" t="n"/>
      <c r="K52" s="4" t="n"/>
      <c r="L52" s="4" t="n"/>
      <c r="M52" s="4" t="n"/>
      <c r="N52" s="4" t="n"/>
      <c r="O52" s="4" t="n"/>
      <c r="P52" s="4" t="n"/>
      <c r="Q52" s="4" t="n"/>
      <c r="R52" s="10" t="n"/>
      <c r="S52" s="10" t="n"/>
    </row>
    <row r="53">
      <c r="A53" s="4" t="n"/>
      <c r="B53" s="4" t="n"/>
      <c r="C53" s="4" t="n"/>
      <c r="D53" s="4" t="n"/>
      <c r="E53" s="4" t="n"/>
      <c r="F53" s="4" t="n"/>
      <c r="G53" s="4" t="n"/>
      <c r="H53" s="4" t="n"/>
      <c r="I53" s="4" t="n"/>
      <c r="J53" s="4" t="n"/>
      <c r="K53" s="4" t="n"/>
      <c r="L53" s="4" t="n"/>
      <c r="M53" s="4" t="n"/>
      <c r="N53" s="4" t="n"/>
      <c r="O53" s="4" t="n"/>
      <c r="P53" s="4" t="n"/>
      <c r="Q53" s="4" t="n"/>
      <c r="R53" s="10" t="n"/>
      <c r="S53" s="10" t="n"/>
    </row>
    <row r="54">
      <c r="A54" s="4" t="n"/>
      <c r="B54" s="4" t="n"/>
      <c r="C54" s="4" t="n"/>
      <c r="D54" s="4" t="n"/>
      <c r="E54" s="4" t="n"/>
      <c r="F54" s="4" t="n"/>
      <c r="G54" s="4" t="n"/>
      <c r="H54" s="4" t="n"/>
      <c r="I54" s="4" t="n"/>
      <c r="J54" s="4" t="n"/>
      <c r="K54" s="4" t="n"/>
      <c r="L54" s="4" t="n"/>
      <c r="M54" s="4" t="n"/>
      <c r="N54" s="4" t="n"/>
      <c r="O54" s="4" t="n"/>
      <c r="P54" s="4" t="n"/>
      <c r="Q54" s="4" t="n"/>
      <c r="R54" s="10" t="n"/>
      <c r="S54" s="10" t="n"/>
    </row>
    <row r="55">
      <c r="A55" s="4" t="n"/>
      <c r="B55" s="4" t="n"/>
      <c r="C55" s="4" t="n"/>
      <c r="D55" s="4" t="n"/>
      <c r="E55" s="4" t="n"/>
      <c r="F55" s="4" t="n"/>
      <c r="G55" s="4" t="n"/>
      <c r="H55" s="4" t="n"/>
      <c r="I55" s="4" t="n"/>
      <c r="J55" s="4" t="n"/>
      <c r="K55" s="4" t="n"/>
      <c r="L55" s="4" t="n"/>
      <c r="M55" s="4" t="n"/>
      <c r="N55" s="4" t="n"/>
      <c r="O55" s="4" t="n"/>
      <c r="P55" s="4" t="n"/>
      <c r="Q55" s="4" t="n"/>
      <c r="R55" s="10" t="n"/>
      <c r="S55" s="10" t="n"/>
    </row>
    <row r="56">
      <c r="A56" s="4" t="n"/>
      <c r="B56" s="4" t="n"/>
      <c r="C56" s="4" t="n"/>
      <c r="D56" s="4" t="n"/>
      <c r="E56" s="4" t="n"/>
      <c r="F56" s="4" t="n"/>
      <c r="G56" s="4" t="n"/>
      <c r="H56" s="4" t="n"/>
      <c r="I56" s="4" t="n"/>
      <c r="J56" s="4" t="n"/>
      <c r="K56" s="4" t="n"/>
      <c r="L56" s="4" t="n"/>
      <c r="M56" s="4" t="n"/>
      <c r="N56" s="4" t="n"/>
      <c r="O56" s="4" t="n"/>
      <c r="P56" s="4" t="n"/>
      <c r="Q56" s="4" t="n"/>
      <c r="R56" s="10" t="n"/>
      <c r="S56" s="10" t="n"/>
    </row>
    <row r="57">
      <c r="A57" s="4" t="n"/>
      <c r="B57" s="4" t="n"/>
      <c r="C57" s="4" t="n"/>
      <c r="D57" s="4" t="n"/>
      <c r="E57" s="4" t="n"/>
      <c r="F57" s="4" t="n"/>
      <c r="G57" s="4" t="n"/>
      <c r="H57" s="4" t="n"/>
      <c r="I57" s="4" t="n"/>
      <c r="J57" s="4" t="n"/>
      <c r="K57" s="4" t="n"/>
      <c r="L57" s="4" t="n"/>
      <c r="M57" s="4" t="n"/>
      <c r="N57" s="4" t="n"/>
      <c r="O57" s="4" t="n"/>
      <c r="P57" s="4" t="n"/>
      <c r="Q57" s="4" t="n"/>
      <c r="R57" s="10" t="n"/>
      <c r="S57" s="10" t="n"/>
    </row>
    <row r="58">
      <c r="A58" s="4" t="n"/>
      <c r="B58" s="4" t="n"/>
      <c r="C58" s="4" t="n"/>
      <c r="D58" s="4" t="n"/>
      <c r="E58" s="4" t="n"/>
      <c r="F58" s="4" t="n"/>
      <c r="G58" s="4" t="n"/>
      <c r="H58" s="4" t="n"/>
      <c r="I58" s="4" t="n"/>
      <c r="J58" s="4" t="n"/>
      <c r="K58" s="4" t="n"/>
      <c r="L58" s="4" t="n"/>
      <c r="M58" s="4" t="n"/>
      <c r="N58" s="4" t="n"/>
      <c r="O58" s="4" t="n"/>
      <c r="P58" s="4" t="n"/>
      <c r="Q58" s="4" t="n"/>
      <c r="R58" s="10" t="n"/>
      <c r="S58" s="10" t="n"/>
    </row>
    <row r="59">
      <c r="A59" s="4" t="n"/>
      <c r="B59" s="4" t="n"/>
      <c r="C59" s="4" t="n"/>
      <c r="D59" s="4" t="n"/>
      <c r="E59" s="4" t="n"/>
      <c r="F59" s="4" t="n"/>
      <c r="G59" s="4" t="n"/>
      <c r="H59" s="4" t="n"/>
      <c r="I59" s="4" t="n"/>
      <c r="J59" s="4" t="n"/>
      <c r="K59" s="4" t="n"/>
      <c r="L59" s="4" t="n"/>
      <c r="M59" s="4" t="n"/>
      <c r="N59" s="4" t="n"/>
      <c r="O59" s="4" t="n"/>
      <c r="P59" s="4" t="n"/>
      <c r="Q59" s="4" t="n"/>
      <c r="R59" s="10" t="n"/>
      <c r="S59" s="10" t="n"/>
    </row>
    <row r="60">
      <c r="A60" s="4" t="n"/>
      <c r="B60" s="4" t="n"/>
      <c r="C60" s="4" t="n"/>
      <c r="D60" s="4" t="n"/>
      <c r="E60" s="4" t="n"/>
      <c r="F60" s="4" t="n"/>
      <c r="G60" s="4" t="n"/>
      <c r="H60" s="4" t="n"/>
      <c r="I60" s="4" t="n"/>
      <c r="J60" s="4" t="n"/>
      <c r="K60" s="4" t="n"/>
      <c r="L60" s="4" t="n"/>
      <c r="M60" s="4" t="n"/>
      <c r="N60" s="4" t="n"/>
      <c r="O60" s="4" t="n"/>
      <c r="P60" s="4" t="n"/>
      <c r="Q60" s="4" t="n"/>
      <c r="R60" s="10" t="n"/>
      <c r="S60" s="10" t="n"/>
    </row>
  </sheetData>
  <dataValidations count="2">
    <dataValidation sqref="T3:T60" showDropDown="0" showInputMessage="1" showErrorMessage="1" allowBlank="1" type="list">
      <formula1>"EMAIL (SMTP),SITA,AFTN,FAX,PORTAL"</formula1>
    </dataValidation>
    <dataValidation sqref="Y3:Y60" showDropDown="0" showInputMessage="1" showErrorMessage="1" allowBlank="1" type="list">
      <formula1>"PLAIN TEXT UPPERCASE,PLAIN TEXT,HTML"</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R92"/>
  <sheetViews>
    <sheetView workbookViewId="0">
      <pane ySplit="2" topLeftCell="A15" activePane="bottomLeft" state="frozen"/>
      <selection pane="bottomLeft" activeCell="B35" sqref="B35"/>
    </sheetView>
  </sheetViews>
  <sheetFormatPr baseColWidth="8" defaultRowHeight="14.4"/>
  <cols>
    <col width="38.88671875" customWidth="1" min="1" max="1"/>
    <col width="27.77734375" customWidth="1" min="2" max="2"/>
    <col width="14.77734375" customWidth="1" min="3" max="3"/>
    <col width="29.6640625" customWidth="1" min="4" max="4"/>
    <col width="33.33203125" customWidth="1" min="5" max="5"/>
    <col width="35.21875" customWidth="1" min="6" max="6"/>
    <col width="24.109375" customWidth="1" min="7" max="7"/>
    <col width="31.44140625" customWidth="1" min="8" max="10"/>
    <col width="37" customWidth="1" min="11" max="11"/>
  </cols>
  <sheetData>
    <row r="1" ht="21" customHeight="1">
      <c r="A1" s="30" t="inlineStr">
        <is>
          <t>FEASIBILITY IQ — TRIP ENQUIRY</t>
        </is>
      </c>
    </row>
    <row r="2">
      <c r="A2" s="32" t="inlineStr">
        <is>
          <t>Complete the blue cells. The sheet returns the route, the states overflown, the permits and services required and whether the trip can still be filed in time. When you are happy, set SUBMIT STATUS to SUBMITTED and send to JTL.</t>
        </is>
      </c>
    </row>
    <row r="4">
      <c r="A4" s="25" t="inlineStr">
        <is>
          <t>1 · FLIGHT ENQUIRY</t>
        </is>
      </c>
      <c r="B4" s="25" t="n"/>
      <c r="C4" s="25" t="n"/>
      <c r="E4" s="25" t="inlineStr">
        <is>
          <t>2 · WHO IS ASKING</t>
        </is>
      </c>
      <c r="F4" s="25" t="n"/>
      <c r="G4" s="25" t="n"/>
      <c r="H4" s="25" t="inlineStr">
        <is>
          <t>3 · WHO IS ON BOARD   (nationalities drive the visa check below)</t>
        </is>
      </c>
      <c r="I4" s="25" t="n"/>
      <c r="J4" s="25" t="n"/>
      <c r="Z4" t="inlineStr">
        <is>
          <t>dep lat</t>
        </is>
      </c>
      <c r="AA4">
        <f>IFERROR(INDEX(airports!$O:$O,MATCH($B$7,airports!$A:$A,0)),"")</f>
        <v/>
      </c>
    </row>
    <row r="5">
      <c r="A5" s="1" t="inlineStr">
        <is>
          <t>AIRCRAFT TYPE (ICAO type designator)</t>
        </is>
      </c>
      <c r="B5" s="4" t="inlineStr">
        <is>
          <t>GLF6</t>
        </is>
      </c>
      <c r="E5" s="1" t="inlineStr">
        <is>
          <t>COMPANY</t>
        </is>
      </c>
      <c r="F5" s="4" t="inlineStr">
        <is>
          <t>EXAMPLE CHARTER LTD</t>
        </is>
      </c>
      <c r="H5" s="33" t="inlineStr">
        <is>
          <t>ROLE</t>
        </is>
      </c>
      <c r="I5" s="33" t="inlineStr">
        <is>
          <t>NATIONALITY</t>
        </is>
      </c>
      <c r="J5" s="33" t="inlineStr">
        <is>
          <t>NAME (optional)</t>
        </is>
      </c>
      <c r="Z5" t="inlineStr">
        <is>
          <t>dep lon</t>
        </is>
      </c>
      <c r="AA5">
        <f>IFERROR(INDEX(airports!$P:$P,MATCH($B$7,airports!$A:$A,0)),"")</f>
        <v/>
      </c>
      <c r="AC5" t="inlineStr">
        <is>
          <t>nationality</t>
        </is>
      </c>
      <c r="AD5" t="inlineStr">
        <is>
          <t>first?</t>
        </is>
      </c>
      <c r="AE5" t="inlineStr">
        <is>
          <t>rank</t>
        </is>
      </c>
      <c r="AG5" t="inlineStr">
        <is>
          <t>state iso</t>
        </is>
      </c>
      <c r="AH5" t="inlineStr">
        <is>
          <t>state name</t>
        </is>
      </c>
    </row>
    <row r="6">
      <c r="A6" s="1" t="inlineStr">
        <is>
          <t>REGISTRATION (if known)</t>
        </is>
      </c>
      <c r="B6" s="4" t="inlineStr">
        <is>
          <t>5HLUX</t>
        </is>
      </c>
      <c r="E6" s="1" t="inlineStr">
        <is>
          <t>CONTACT NAME</t>
        </is>
      </c>
      <c r="F6" s="4" t="inlineStr">
        <is>
          <t>A REQUESTER</t>
        </is>
      </c>
      <c r="H6" s="4" t="inlineStr">
        <is>
          <t>CREW</t>
        </is>
      </c>
      <c r="I6" s="4" t="inlineStr">
        <is>
          <t>United States</t>
        </is>
      </c>
      <c r="J6" s="4" t="inlineStr">
        <is>
          <t>J THOMPSON</t>
        </is>
      </c>
      <c r="Z6" t="inlineStr">
        <is>
          <t>arr lat</t>
        </is>
      </c>
      <c r="AA6">
        <f>IFERROR(INDEX(airports!$O:$O,MATCH($B$11,airports!$A:$A,0)),"")</f>
        <v/>
      </c>
      <c r="AC6">
        <f>IF($I6="","",$I6)</f>
        <v/>
      </c>
      <c r="AD6">
        <f>IF($AC6="","",IF(COUNTIF($AC$6:$AC6,$AC6)=1,1,0))</f>
        <v/>
      </c>
      <c r="AE6">
        <f>IF($AD6=1,SUM($AD$6:$AD6),"")</f>
        <v/>
      </c>
      <c r="AG6">
        <f>IF($AA$9="","",$AA$9)</f>
        <v/>
      </c>
      <c r="AH6">
        <f>IF($AG6="","",IFERROR(INDEX(countries!$B:$B,MATCH($AG6,countries!$D:$D,0)),$AG6))</f>
        <v/>
      </c>
    </row>
    <row r="7">
      <c r="A7" s="1" t="inlineStr">
        <is>
          <t>DEP AIRPORT (ICAO)</t>
        </is>
      </c>
      <c r="B7" s="4" t="inlineStr">
        <is>
          <t>HECA</t>
        </is>
      </c>
      <c r="E7" s="1" t="inlineStr">
        <is>
          <t>EMAIL</t>
        </is>
      </c>
      <c r="F7" s="4" t="inlineStr">
        <is>
          <t>ops@example.com</t>
        </is>
      </c>
      <c r="H7" s="4" t="inlineStr">
        <is>
          <t>CREW</t>
        </is>
      </c>
      <c r="I7" s="4" t="inlineStr">
        <is>
          <t>South Africa</t>
        </is>
      </c>
      <c r="J7" s="4" t="inlineStr">
        <is>
          <t>T MBEKI</t>
        </is>
      </c>
      <c r="Z7" t="inlineStr">
        <is>
          <t>arr lon</t>
        </is>
      </c>
      <c r="AA7">
        <f>IFERROR(INDEX(airports!$P:$P,MATCH($B$11,airports!$A:$A,0)),"")</f>
        <v/>
      </c>
      <c r="AC7">
        <f>IF($I7="","",$I7)</f>
        <v/>
      </c>
      <c r="AD7">
        <f>IF($AC7="","",IF(COUNTIF($AC$6:$AC7,$AC7)=1,1,0))</f>
        <v/>
      </c>
      <c r="AE7">
        <f>IF($AD7=1,SUM($AD$6:$AD7),"")</f>
        <v/>
      </c>
      <c r="AG7">
        <f>IF(OR($AA$10="",$AA$10=$AA$9),"",$AA$10)</f>
        <v/>
      </c>
      <c r="AH7">
        <f>IF($AG7="","",IFERROR(INDEX(countries!$B:$B,MATCH($AG7,countries!$D:$D,0)),$AG7))</f>
        <v/>
      </c>
    </row>
    <row r="8">
      <c r="A8" s="1" t="inlineStr">
        <is>
          <t>DEP DATE</t>
        </is>
      </c>
      <c r="B8" s="114" t="n">
        <v>46248</v>
      </c>
      <c r="E8" s="1" t="inlineStr">
        <is>
          <t>PHONE</t>
        </is>
      </c>
      <c r="F8" s="4" t="inlineStr">
        <is>
          <t>+27 11 000 0000</t>
        </is>
      </c>
      <c r="H8" s="4" t="inlineStr">
        <is>
          <t>PAX</t>
        </is>
      </c>
      <c r="I8" s="4" t="inlineStr">
        <is>
          <t>Oman</t>
        </is>
      </c>
      <c r="J8" s="4" t="inlineStr">
        <is>
          <t>O AL-FARSI</t>
        </is>
      </c>
      <c r="Z8" t="inlineStr">
        <is>
          <t>gc angle (rad)</t>
        </is>
      </c>
      <c r="AA8">
        <f>IF(OR($AA$4="",$AA$6=""),"",ACOS(MIN(1,SIN(RADIANS($AA$4))*SIN(RADIANS($AA$6))+COS(RADIANS($AA$4))*COS(RADIANS($AA$6))*COS(RADIANS($AA$7-$AA$5)))))</f>
        <v/>
      </c>
      <c r="AC8">
        <f>IF($I8="","",$I8)</f>
        <v/>
      </c>
      <c r="AD8">
        <f>IF($AC8="","",IF(COUNTIF($AC$6:$AC8,$AC8)=1,1,0))</f>
        <v/>
      </c>
      <c r="AE8">
        <f>IF($AD8=1,SUM($AD$6:$AD8),"")</f>
        <v/>
      </c>
    </row>
    <row r="9">
      <c r="A9" s="1" t="inlineStr">
        <is>
          <t>DEP TIME (Z)</t>
        </is>
      </c>
      <c r="B9" s="115" t="n">
        <v>0.375</v>
      </c>
      <c r="E9" s="1" t="inlineStr">
        <is>
          <t>OPERATOR (if known)</t>
        </is>
      </c>
      <c r="F9" s="4" t="n"/>
      <c r="H9" s="4" t="n"/>
      <c r="I9" s="4" t="n"/>
      <c r="J9" s="4" t="n"/>
      <c r="Z9" t="inlineStr">
        <is>
          <t>dep iso3</t>
        </is>
      </c>
      <c r="AA9">
        <f t="array" ref="AA9">IF($AA$4="","",IFERROR(IF(INDEX(geo_grid!$B$2:$JU$231,INT(($AA$4+40)/0.5)+1,INT(($AA$5+30)/0.5)+1)="","",INDEX(geo_grid!$B$2:$JU$231,INT(($AA$4+40)/0.5)+1,INT(($AA$5+30)/0.5)+1)),"OUTSIDE GRID"))</f>
        <v/>
      </c>
      <c r="AC9">
        <f>IF($I9="","",$I9)</f>
        <v/>
      </c>
      <c r="AD9">
        <f>IF($AC9="","",IF(COUNTIF($AC$6:$AC9,$AC9)=1,1,0))</f>
        <v/>
      </c>
      <c r="AE9">
        <f>IF($AD9=1,SUM($AD$6:$AD9),"")</f>
        <v/>
      </c>
    </row>
    <row r="10">
      <c r="A10" s="1" t="inlineStr">
        <is>
          <t>DEP FLEXIBILITY (+/- HRS)</t>
        </is>
      </c>
      <c r="B10" s="4" t="n">
        <v>2</v>
      </c>
      <c r="E10" s="1" t="inlineStr">
        <is>
          <t>YOUR REFERENCE</t>
        </is>
      </c>
      <c r="F10" s="4" t="n"/>
      <c r="H10" s="4" t="n"/>
      <c r="I10" s="4" t="n"/>
      <c r="J10" s="4" t="n"/>
      <c r="Z10" t="inlineStr">
        <is>
          <t>arr iso3</t>
        </is>
      </c>
      <c r="AA10">
        <f t="array" ref="AA10">IF($AA$6="","",IFERROR(IF(INDEX(geo_grid!$B$2:$JU$231,INT(($AA$6+40)/0.5)+1,INT(($AA$7+30)/0.5)+1)="","",INDEX(geo_grid!$B$2:$JU$231,INT(($AA$6+40)/0.5)+1,INT(($AA$7+30)/0.5)+1)),"OUTSIDE GRID"))</f>
        <v/>
      </c>
      <c r="AC10">
        <f>IF($I10="","",$I10)</f>
        <v/>
      </c>
      <c r="AD10">
        <f>IF($AC10="","",IF(COUNTIF($AC$6:$AC10,$AC10)=1,1,0))</f>
        <v/>
      </c>
      <c r="AE10">
        <f>IF($AD10=1,SUM($AD$6:$AD10),"")</f>
        <v/>
      </c>
    </row>
    <row r="11">
      <c r="A11" s="1" t="inlineStr">
        <is>
          <t>DEST AIRPORT (ICAO)</t>
        </is>
      </c>
      <c r="B11" s="4" t="inlineStr">
        <is>
          <t>FALA</t>
        </is>
      </c>
      <c r="H11" s="4" t="n"/>
      <c r="I11" s="4" t="n"/>
      <c r="J11" s="4" t="n"/>
      <c r="AC11">
        <f>IF($I11="","",$I11)</f>
        <v/>
      </c>
      <c r="AD11">
        <f>IF($AC11="","",IF(COUNTIF($AC$6:$AC11,$AC11)=1,1,0))</f>
        <v/>
      </c>
      <c r="AE11">
        <f>IF($AD11=1,SUM($AD$6:$AD11),"")</f>
        <v/>
      </c>
    </row>
    <row r="12">
      <c r="A12" s="1" t="inlineStr">
        <is>
          <t>ARR DATE (optional)</t>
        </is>
      </c>
      <c r="B12" s="114" t="n">
        <v>46248</v>
      </c>
      <c r="H12" s="4" t="n"/>
      <c r="I12" s="4" t="n"/>
      <c r="J12" s="4" t="n"/>
      <c r="AC12">
        <f>IF($I12="","",$I12)</f>
        <v/>
      </c>
      <c r="AD12">
        <f>IF($AC12="","",IF(COUNTIF($AC$6:$AC12,$AC12)=1,1,0))</f>
        <v/>
      </c>
      <c r="AE12">
        <f>IF($AD12=1,SUM($AD$6:$AD12),"")</f>
        <v/>
      </c>
    </row>
    <row r="13">
      <c r="A13" s="1" t="inlineStr">
        <is>
          <t>ARR TIME (Z, optional)</t>
        </is>
      </c>
      <c r="B13" s="115" t="n"/>
      <c r="H13" s="4" t="n"/>
      <c r="I13" s="4" t="n"/>
      <c r="J13" s="4" t="n"/>
      <c r="AC13">
        <f>IF($I13="","",$I13)</f>
        <v/>
      </c>
      <c r="AD13">
        <f>IF($AC13="","",IF(COUNTIF($AC$6:$AC13,$AC13)=1,1,0))</f>
        <v/>
      </c>
      <c r="AE13">
        <f>IF($AD13=1,SUM($AD$6:$AD13),"")</f>
        <v/>
      </c>
    </row>
    <row r="14">
      <c r="A14" s="1" t="inlineStr">
        <is>
          <t>ARR FLEXIBILITY (+/- HRS)</t>
        </is>
      </c>
      <c r="B14" s="4" t="n">
        <v>2</v>
      </c>
    </row>
    <row r="15">
      <c r="A15" s="1" t="inlineStr">
        <is>
          <t>PAX ON BOARD</t>
        </is>
      </c>
      <c r="B15" s="4" t="n">
        <v>3</v>
      </c>
      <c r="H15" s="25" t="inlineStr">
        <is>
          <t>4 · VISA &amp; IMMIGRATION</t>
        </is>
      </c>
      <c r="I15" s="25" t="n"/>
      <c r="J15" s="25" t="n"/>
      <c r="K15" s="25" t="n"/>
    </row>
    <row r="16">
      <c r="A16" s="1" t="inlineStr">
        <is>
          <t>CREW ON BOARD</t>
        </is>
      </c>
      <c r="B16" s="4" t="n">
        <v>2</v>
      </c>
      <c r="H16" s="33" t="inlineStr">
        <is>
          <t>STATE</t>
        </is>
      </c>
      <c r="I16" s="33" t="inlineStr">
        <is>
          <t>NATIONALITY</t>
        </is>
      </c>
      <c r="J16" s="33" t="inlineStr">
        <is>
          <t>PEOPLE</t>
        </is>
      </c>
      <c r="K16" s="33" t="inlineStr">
        <is>
          <t>VISA REQUIREMENT</t>
        </is>
      </c>
    </row>
    <row r="17">
      <c r="A17" s="1" t="inlineStr">
        <is>
          <t>AVOID STATES / FIR (country name)</t>
        </is>
      </c>
      <c r="B17" s="4" t="inlineStr">
        <is>
          <t>SUDAN, SOUTH SUDAN</t>
        </is>
      </c>
      <c r="H17">
        <f t="array" ref="H17">IF(OR(MAX($AE$6:$AE$13)=0,ROW()-16&gt;MAX($AE$6:$AE$13)*IF($AG$7="",1,2)),"",INDEX($AH$6:$AH$7,INT((ROW()-16-1)/MAX($AE$6:$AE$13))+1))</f>
        <v/>
      </c>
      <c r="I17">
        <f>IF($H17="","",INDEX($AC$6:$AC$13,MATCH(MOD(ROW()-16-1,MAX($AE$6:$AE$13))+1,$AE$6:$AE$13,0)))</f>
        <v/>
      </c>
      <c r="J17">
        <f>IF($H17="","",COUNTIFS($I$6:$I$13,$I17))</f>
        <v/>
      </c>
      <c r="K17">
        <f t="array" ref="K17">IF($H17="","",IF(IFERROR(INDEX('VISA MATRIX'!$B$4:$FS$145,MATCH($H17,'VISA MATRIX'!$A$4:$A$145,0),MATCH($I17,'VISA MATRIX'!$B$3:$FS$3,0))&amp;"","")&lt;&gt;"",IFERROR(INDEX('VISA MATRIX'!$B$4:$FS$145,MATCH($H17,'VISA MATRIX'!$A$4:$A$145,0),MATCH($I17,'VISA MATRIX'!$B$3:$FS$3,0))&amp;"",""),IF(IFERROR(INDEX('VISA RULES'!$E$2:$E$400,SUMPRODUCT(MATCH(1,($H17='VISA RULES'!$B$2:$B$400)*($I17='VISA RULES'!$C$2:$C$400),0)))&amp;"","")&lt;&gt;"",IFERROR(INDEX('VISA RULES'!$E$2:$E$400,SUMPRODUCT(MATCH(1,($H17='VISA RULES'!$B$2:$B$400)*($I17='VISA RULES'!$C$2:$C$400),0)))&amp;"",""),"NOT ON FILE - VERIFY")))</f>
        <v/>
      </c>
    </row>
    <row r="18">
      <c r="A18" s="1" t="inlineStr">
        <is>
          <t>INCLUDE STATES / FIR (country name)</t>
        </is>
      </c>
      <c r="B18" s="4" t="inlineStr">
        <is>
          <t>KENYA, TANZANIA, ZAMBIA</t>
        </is>
      </c>
      <c r="H18">
        <f t="array" ref="H18">IF(OR(MAX($AE$6:$AE$13)=0,ROW()-16&gt;MAX($AE$6:$AE$13)*IF($AG$7="",1,2)),"",INDEX($AH$6:$AH$7,INT((ROW()-16-1)/MAX($AE$6:$AE$13))+1))</f>
        <v/>
      </c>
      <c r="I18">
        <f>IF($H18="","",INDEX($AC$6:$AC$13,MATCH(MOD(ROW()-16-1,MAX($AE$6:$AE$13))+1,$AE$6:$AE$13,0)))</f>
        <v/>
      </c>
      <c r="J18">
        <f>IF($H18="","",COUNTIFS($I$6:$I$13,$I18))</f>
        <v/>
      </c>
      <c r="K18">
        <f t="array" ref="K18">IF($H18="","",IF(IFERROR(INDEX('VISA MATRIX'!$B$4:$FS$145,MATCH($H18,'VISA MATRIX'!$A$4:$A$145,0),MATCH($I18,'VISA MATRIX'!$B$3:$FS$3,0))&amp;"","")&lt;&gt;"",IFERROR(INDEX('VISA MATRIX'!$B$4:$FS$145,MATCH($H18,'VISA MATRIX'!$A$4:$A$145,0),MATCH($I18,'VISA MATRIX'!$B$3:$FS$3,0))&amp;"",""),IF(IFERROR(INDEX('VISA RULES'!$E$2:$E$400,SUMPRODUCT(MATCH(1,($H18='VISA RULES'!$B$2:$B$400)*($I18='VISA RULES'!$C$2:$C$400),0)))&amp;"","")&lt;&gt;"",IFERROR(INDEX('VISA RULES'!$E$2:$E$400,SUMPRODUCT(MATCH(1,($H18='VISA RULES'!$B$2:$B$400)*($I18='VISA RULES'!$C$2:$C$400),0)))&amp;"",""),"NOT ON FILE - VERIFY")))</f>
        <v/>
      </c>
    </row>
    <row r="19">
      <c r="A19" s="1" t="inlineStr">
        <is>
          <t>CARGO / SPECIAL REQUIREMENTS</t>
        </is>
      </c>
      <c r="B19" s="4" t="inlineStr">
        <is>
          <t>NIL</t>
        </is>
      </c>
      <c r="H19">
        <f t="array" ref="H19">IF(OR(MAX($AE$6:$AE$13)=0,ROW()-16&gt;MAX($AE$6:$AE$13)*IF($AG$7="",1,2)),"",INDEX($AH$6:$AH$7,INT((ROW()-16-1)/MAX($AE$6:$AE$13))+1))</f>
        <v/>
      </c>
      <c r="I19">
        <f>IF($H19="","",INDEX($AC$6:$AC$13,MATCH(MOD(ROW()-16-1,MAX($AE$6:$AE$13))+1,$AE$6:$AE$13,0)))</f>
        <v/>
      </c>
      <c r="J19">
        <f>IF($H19="","",COUNTIFS($I$6:$I$13,$I19))</f>
        <v/>
      </c>
      <c r="K19">
        <f t="array" ref="K19">IF($H19="","",IF(IFERROR(INDEX('VISA MATRIX'!$B$4:$FS$145,MATCH($H19,'VISA MATRIX'!$A$4:$A$145,0),MATCH($I19,'VISA MATRIX'!$B$3:$FS$3,0))&amp;"","")&lt;&gt;"",IFERROR(INDEX('VISA MATRIX'!$B$4:$FS$145,MATCH($H19,'VISA MATRIX'!$A$4:$A$145,0),MATCH($I19,'VISA MATRIX'!$B$3:$FS$3,0))&amp;"",""),IF(IFERROR(INDEX('VISA RULES'!$E$2:$E$400,SUMPRODUCT(MATCH(1,($H19='VISA RULES'!$B$2:$B$400)*($I19='VISA RULES'!$C$2:$C$400),0)))&amp;"","")&lt;&gt;"",IFERROR(INDEX('VISA RULES'!$E$2:$E$400,SUMPRODUCT(MATCH(1,($H19='VISA RULES'!$B$2:$B$400)*($I19='VISA RULES'!$C$2:$C$400),0)))&amp;"",""),"NOT ON FILE - VERIFY")))</f>
        <v/>
      </c>
    </row>
    <row r="20">
      <c r="A20" s="1" t="inlineStr">
        <is>
          <t>DEFAULT PERMIT LEAD TIME (HRS)</t>
        </is>
      </c>
      <c r="B20" s="4" t="n">
        <v>72</v>
      </c>
      <c r="H20">
        <f t="array" ref="H20">IF(OR(MAX($AE$6:$AE$13)=0,ROW()-16&gt;MAX($AE$6:$AE$13)*IF($AG$7="",1,2)),"",INDEX($AH$6:$AH$7,INT((ROW()-16-1)/MAX($AE$6:$AE$13))+1))</f>
        <v/>
      </c>
      <c r="I20">
        <f>IF($H20="","",INDEX($AC$6:$AC$13,MATCH(MOD(ROW()-16-1,MAX($AE$6:$AE$13))+1,$AE$6:$AE$13,0)))</f>
        <v/>
      </c>
      <c r="J20">
        <f>IF($H20="","",COUNTIFS($I$6:$I$13,$I20))</f>
        <v/>
      </c>
      <c r="K20">
        <f t="array" ref="K20">IF($H20="","",IF(IFERROR(INDEX('VISA MATRIX'!$B$4:$FS$145,MATCH($H20,'VISA MATRIX'!$A$4:$A$145,0),MATCH($I20,'VISA MATRIX'!$B$3:$FS$3,0))&amp;"","")&lt;&gt;"",IFERROR(INDEX('VISA MATRIX'!$B$4:$FS$145,MATCH($H20,'VISA MATRIX'!$A$4:$A$145,0),MATCH($I20,'VISA MATRIX'!$B$3:$FS$3,0))&amp;"",""),IF(IFERROR(INDEX('VISA RULES'!$E$2:$E$400,SUMPRODUCT(MATCH(1,($H20='VISA RULES'!$B$2:$B$400)*($I20='VISA RULES'!$C$2:$C$400),0)))&amp;"","")&lt;&gt;"",IFERROR(INDEX('VISA RULES'!$E$2:$E$400,SUMPRODUCT(MATCH(1,($H20='VISA RULES'!$B$2:$B$400)*($I20='VISA RULES'!$C$2:$C$400),0)))&amp;"",""),"NOT ON FILE - VERIFY")))</f>
        <v/>
      </c>
    </row>
    <row r="21">
      <c r="A21" s="1" t="inlineStr">
        <is>
          <t>GROUND SERVICE NOTICE (HRS)</t>
        </is>
      </c>
      <c r="B21" s="4" t="n">
        <v>24</v>
      </c>
      <c r="H21">
        <f t="array" ref="H21">IF(OR(MAX($AE$6:$AE$13)=0,ROW()-16&gt;MAX($AE$6:$AE$13)*IF($AG$7="",1,2)),"",INDEX($AH$6:$AH$7,INT((ROW()-16-1)/MAX($AE$6:$AE$13))+1))</f>
        <v/>
      </c>
      <c r="I21">
        <f>IF($H21="","",INDEX($AC$6:$AC$13,MATCH(MOD(ROW()-16-1,MAX($AE$6:$AE$13))+1,$AE$6:$AE$13,0)))</f>
        <v/>
      </c>
      <c r="J21">
        <f>IF($H21="","",COUNTIFS($I$6:$I$13,$I21))</f>
        <v/>
      </c>
      <c r="K21">
        <f t="array" ref="K21">IF($H21="","",IF(IFERROR(INDEX('VISA MATRIX'!$B$4:$FS$145,MATCH($H21,'VISA MATRIX'!$A$4:$A$145,0),MATCH($I21,'VISA MATRIX'!$B$3:$FS$3,0))&amp;"","")&lt;&gt;"",IFERROR(INDEX('VISA MATRIX'!$B$4:$FS$145,MATCH($H21,'VISA MATRIX'!$A$4:$A$145,0),MATCH($I21,'VISA MATRIX'!$B$3:$FS$3,0))&amp;"",""),IF(IFERROR(INDEX('VISA RULES'!$E$2:$E$400,SUMPRODUCT(MATCH(1,($H21='VISA RULES'!$B$2:$B$400)*($I21='VISA RULES'!$C$2:$C$400),0)))&amp;"","")&lt;&gt;"",IFERROR(INDEX('VISA RULES'!$E$2:$E$400,SUMPRODUCT(MATCH(1,($H21='VISA RULES'!$B$2:$B$400)*($I21='VISA RULES'!$C$2:$C$400),0)))&amp;"",""),"NOT ON FILE - VERIFY")))</f>
        <v/>
      </c>
    </row>
    <row r="22">
      <c r="A22" s="25" t="inlineStr">
        <is>
          <t>3 · ROUTE &amp; FEASIBILITY</t>
        </is>
      </c>
      <c r="B22" s="25" t="n"/>
      <c r="C22" s="25" t="n"/>
      <c r="H22">
        <f t="array" ref="H22">IF(OR(MAX($AE$6:$AE$13)=0,ROW()-16&gt;MAX($AE$6:$AE$13)*IF($AG$7="",1,2)),"",INDEX($AH$6:$AH$7,INT((ROW()-16-1)/MAX($AE$6:$AE$13))+1))</f>
        <v/>
      </c>
      <c r="I22">
        <f>IF($H22="","",INDEX($AC$6:$AC$13,MATCH(MOD(ROW()-16-1,MAX($AE$6:$AE$13))+1,$AE$6:$AE$13,0)))</f>
        <v/>
      </c>
      <c r="J22">
        <f>IF($H22="","",COUNTIFS($I$6:$I$13,$I22))</f>
        <v/>
      </c>
      <c r="K22">
        <f t="array" ref="K22">IF($H22="","",IF(IFERROR(INDEX('VISA MATRIX'!$B$4:$FS$145,MATCH($H22,'VISA MATRIX'!$A$4:$A$145,0),MATCH($I22,'VISA MATRIX'!$B$3:$FS$3,0))&amp;"","")&lt;&gt;"",IFERROR(INDEX('VISA MATRIX'!$B$4:$FS$145,MATCH($H22,'VISA MATRIX'!$A$4:$A$145,0),MATCH($I22,'VISA MATRIX'!$B$3:$FS$3,0))&amp;"",""),IF(IFERROR(INDEX('VISA RULES'!$E$2:$E$400,SUMPRODUCT(MATCH(1,($H22='VISA RULES'!$B$2:$B$400)*($I22='VISA RULES'!$C$2:$C$400),0)))&amp;"","")&lt;&gt;"",IFERROR(INDEX('VISA RULES'!$E$2:$E$400,SUMPRODUCT(MATCH(1,($H22='VISA RULES'!$B$2:$B$400)*($I22='VISA RULES'!$C$2:$C$400),0)))&amp;"",""),"NOT ON FILE - VERIFY")))</f>
        <v/>
      </c>
    </row>
    <row r="23">
      <c r="A23" s="1" t="inlineStr">
        <is>
          <t>DEP AIRPORT</t>
        </is>
      </c>
      <c r="B23">
        <f>IF($B$7="","",IFERROR(INDEX(airports!$E:$E,MATCH($B$7,airports!$A:$A,0))&amp;" ("&amp;INDEX(airports!$H:$H,MATCH($B$7,airports!$A:$A,0))&amp;")","ICAO NOT IN AIRPORTS"))</f>
        <v/>
      </c>
      <c r="H23">
        <f t="array" ref="H23">IF(OR(MAX($AE$6:$AE$13)=0,ROW()-16&gt;MAX($AE$6:$AE$13)*IF($AG$7="",1,2)),"",INDEX($AH$6:$AH$7,INT((ROW()-16-1)/MAX($AE$6:$AE$13))+1))</f>
        <v/>
      </c>
      <c r="I23">
        <f>IF($H23="","",INDEX($AC$6:$AC$13,MATCH(MOD(ROW()-16-1,MAX($AE$6:$AE$13))+1,$AE$6:$AE$13,0)))</f>
        <v/>
      </c>
      <c r="J23">
        <f>IF($H23="","",COUNTIFS($I$6:$I$13,$I23))</f>
        <v/>
      </c>
      <c r="K23">
        <f t="array" ref="K23">IF($H23="","",IF(IFERROR(INDEX('VISA MATRIX'!$B$4:$FS$145,MATCH($H23,'VISA MATRIX'!$A$4:$A$145,0),MATCH($I23,'VISA MATRIX'!$B$3:$FS$3,0))&amp;"","")&lt;&gt;"",IFERROR(INDEX('VISA MATRIX'!$B$4:$FS$145,MATCH($H23,'VISA MATRIX'!$A$4:$A$145,0),MATCH($I23,'VISA MATRIX'!$B$3:$FS$3,0))&amp;"",""),IF(IFERROR(INDEX('VISA RULES'!$E$2:$E$400,SUMPRODUCT(MATCH(1,($H23='VISA RULES'!$B$2:$B$400)*($I23='VISA RULES'!$C$2:$C$400),0)))&amp;"","")&lt;&gt;"",IFERROR(INDEX('VISA RULES'!$E$2:$E$400,SUMPRODUCT(MATCH(1,($H23='VISA RULES'!$B$2:$B$400)*($I23='VISA RULES'!$C$2:$C$400),0)))&amp;"",""),"NOT ON FILE - VERIFY")))</f>
        <v/>
      </c>
    </row>
    <row r="24">
      <c r="A24" s="1" t="inlineStr">
        <is>
          <t>DEST AIRPORT</t>
        </is>
      </c>
      <c r="B24">
        <f>IF($B$11="","",IFERROR(INDEX(airports!$E:$E,MATCH($B$11,airports!$A:$A,0))&amp;" ("&amp;INDEX(airports!$H:$H,MATCH($B$11,airports!$A:$A,0))&amp;")","ICAO NOT IN AIRPORTS"))</f>
        <v/>
      </c>
      <c r="H24">
        <f t="array" ref="H24">IF(OR(MAX($AE$6:$AE$13)=0,ROW()-16&gt;MAX($AE$6:$AE$13)*IF($AG$7="",1,2)),"",INDEX($AH$6:$AH$7,INT((ROW()-16-1)/MAX($AE$6:$AE$13))+1))</f>
        <v/>
      </c>
      <c r="I24">
        <f>IF($H24="","",INDEX($AC$6:$AC$13,MATCH(MOD(ROW()-16-1,MAX($AE$6:$AE$13))+1,$AE$6:$AE$13,0)))</f>
        <v/>
      </c>
      <c r="J24">
        <f>IF($H24="","",COUNTIFS($I$6:$I$13,$I24))</f>
        <v/>
      </c>
      <c r="K24">
        <f t="array" ref="K24">IF($H24="","",IF(IFERROR(INDEX('VISA MATRIX'!$B$4:$FS$145,MATCH($H24,'VISA MATRIX'!$A$4:$A$145,0),MATCH($I24,'VISA MATRIX'!$B$3:$FS$3,0))&amp;"","")&lt;&gt;"",IFERROR(INDEX('VISA MATRIX'!$B$4:$FS$145,MATCH($H24,'VISA MATRIX'!$A$4:$A$145,0),MATCH($I24,'VISA MATRIX'!$B$3:$FS$3,0))&amp;"",""),IF(IFERROR(INDEX('VISA RULES'!$E$2:$E$400,SUMPRODUCT(MATCH(1,($H24='VISA RULES'!$B$2:$B$400)*($I24='VISA RULES'!$C$2:$C$400),0)))&amp;"","")&lt;&gt;"",IFERROR(INDEX('VISA RULES'!$E$2:$E$400,SUMPRODUCT(MATCH(1,($H24='VISA RULES'!$B$2:$B$400)*($I24='VISA RULES'!$C$2:$C$400),0)))&amp;"",""),"NOT ON FILE - VERIFY")))</f>
        <v/>
      </c>
    </row>
    <row r="25">
      <c r="A25" s="1" t="inlineStr">
        <is>
          <t>GREAT-CIRCLE DISTANCE (NM)</t>
        </is>
      </c>
      <c r="B25">
        <f>IF($AA$8="","",ROUND($AA$8*3440.065,0))</f>
        <v/>
      </c>
      <c r="H25">
        <f t="array" ref="H25">IF(OR(MAX($AE$6:$AE$13)=0,ROW()-16&gt;MAX($AE$6:$AE$13)*IF($AG$7="",1,2)),"",INDEX($AH$6:$AH$7,INT((ROW()-16-1)/MAX($AE$6:$AE$13))+1))</f>
        <v/>
      </c>
      <c r="I25">
        <f>IF($H25="","",INDEX($AC$6:$AC$13,MATCH(MOD(ROW()-16-1,MAX($AE$6:$AE$13))+1,$AE$6:$AE$13,0)))</f>
        <v/>
      </c>
      <c r="J25">
        <f>IF($H25="","",COUNTIFS($I$6:$I$13,$I25))</f>
        <v/>
      </c>
      <c r="K25">
        <f t="array" ref="K25">IF($H25="","",IF(IFERROR(INDEX('VISA MATRIX'!$B$4:$FS$145,MATCH($H25,'VISA MATRIX'!$A$4:$A$145,0),MATCH($I25,'VISA MATRIX'!$B$3:$FS$3,0))&amp;"","")&lt;&gt;"",IFERROR(INDEX('VISA MATRIX'!$B$4:$FS$145,MATCH($H25,'VISA MATRIX'!$A$4:$A$145,0),MATCH($I25,'VISA MATRIX'!$B$3:$FS$3,0))&amp;"",""),IF(IFERROR(INDEX('VISA RULES'!$E$2:$E$400,SUMPRODUCT(MATCH(1,($H25='VISA RULES'!$B$2:$B$400)*($I25='VISA RULES'!$C$2:$C$400),0)))&amp;"","")&lt;&gt;"",IFERROR(INDEX('VISA RULES'!$E$2:$E$400,SUMPRODUCT(MATCH(1,($H25='VISA RULES'!$B$2:$B$400)*($I25='VISA RULES'!$C$2:$C$400),0)))&amp;"",""),"NOT ON FILE - VERIFY")))</f>
        <v/>
      </c>
    </row>
    <row r="26">
      <c r="A26" s="1" t="inlineStr">
        <is>
          <t>BLOCK SPEED (KTS)</t>
        </is>
      </c>
      <c r="B26" s="4" t="n">
        <v>470</v>
      </c>
      <c r="H26">
        <f t="array" ref="H26">IF(OR(MAX($AE$6:$AE$13)=0,ROW()-16&gt;MAX($AE$6:$AE$13)*IF($AG$7="",1,2)),"",INDEX($AH$6:$AH$7,INT((ROW()-16-1)/MAX($AE$6:$AE$13))+1))</f>
        <v/>
      </c>
      <c r="I26">
        <f>IF($H26="","",INDEX($AC$6:$AC$13,MATCH(MOD(ROW()-16-1,MAX($AE$6:$AE$13))+1,$AE$6:$AE$13,0)))</f>
        <v/>
      </c>
      <c r="J26">
        <f>IF($H26="","",COUNTIFS($I$6:$I$13,$I26))</f>
        <v/>
      </c>
      <c r="K26">
        <f t="array" ref="K26">IF($H26="","",IF(IFERROR(INDEX('VISA MATRIX'!$B$4:$FS$145,MATCH($H26,'VISA MATRIX'!$A$4:$A$145,0),MATCH($I26,'VISA MATRIX'!$B$3:$FS$3,0))&amp;"","")&lt;&gt;"",IFERROR(INDEX('VISA MATRIX'!$B$4:$FS$145,MATCH($H26,'VISA MATRIX'!$A$4:$A$145,0),MATCH($I26,'VISA MATRIX'!$B$3:$FS$3,0))&amp;"",""),IF(IFERROR(INDEX('VISA RULES'!$E$2:$E$400,SUMPRODUCT(MATCH(1,($H26='VISA RULES'!$B$2:$B$400)*($I26='VISA RULES'!$C$2:$C$400),0)))&amp;"","")&lt;&gt;"",IFERROR(INDEX('VISA RULES'!$E$2:$E$400,SUMPRODUCT(MATCH(1,($H26='VISA RULES'!$B$2:$B$400)*($I26='VISA RULES'!$C$2:$C$400),0)))&amp;"",""),"NOT ON FILE - VERIFY")))</f>
        <v/>
      </c>
    </row>
    <row r="27">
      <c r="A27" s="1" t="inlineStr">
        <is>
          <t>TAXI / CLIMB ALLOWANCE (HRS)</t>
        </is>
      </c>
      <c r="B27" s="4" t="n">
        <v>0.4</v>
      </c>
      <c r="H27">
        <f t="array" ref="H27">IF(OR(MAX($AE$6:$AE$13)=0,ROW()-16&gt;MAX($AE$6:$AE$13)*IF($AG$7="",1,2)),"",INDEX($AH$6:$AH$7,INT((ROW()-16-1)/MAX($AE$6:$AE$13))+1))</f>
        <v/>
      </c>
      <c r="I27">
        <f>IF($H27="","",INDEX($AC$6:$AC$13,MATCH(MOD(ROW()-16-1,MAX($AE$6:$AE$13))+1,$AE$6:$AE$13,0)))</f>
        <v/>
      </c>
      <c r="J27">
        <f>IF($H27="","",COUNTIFS($I$6:$I$13,$I27))</f>
        <v/>
      </c>
      <c r="K27">
        <f t="array" ref="K27">IF($H27="","",IF(IFERROR(INDEX('VISA MATRIX'!$B$4:$FS$145,MATCH($H27,'VISA MATRIX'!$A$4:$A$145,0),MATCH($I27,'VISA MATRIX'!$B$3:$FS$3,0))&amp;"","")&lt;&gt;"",IFERROR(INDEX('VISA MATRIX'!$B$4:$FS$145,MATCH($H27,'VISA MATRIX'!$A$4:$A$145,0),MATCH($I27,'VISA MATRIX'!$B$3:$FS$3,0))&amp;"",""),IF(IFERROR(INDEX('VISA RULES'!$E$2:$E$400,SUMPRODUCT(MATCH(1,($H27='VISA RULES'!$B$2:$B$400)*($I27='VISA RULES'!$C$2:$C$400),0)))&amp;"","")&lt;&gt;"",IFERROR(INDEX('VISA RULES'!$E$2:$E$400,SUMPRODUCT(MATCH(1,($H27='VISA RULES'!$B$2:$B$400)*($I27='VISA RULES'!$C$2:$C$400),0)))&amp;"",""),"NOT ON FILE - VERIFY")))</f>
        <v/>
      </c>
    </row>
    <row r="28">
      <c r="A28" s="1" t="inlineStr">
        <is>
          <t>ESTIMATED EET (HRS)</t>
        </is>
      </c>
      <c r="B28">
        <f>IF($B$25="","",ROUND($B$25/$B$26+$B$27,2))</f>
        <v/>
      </c>
      <c r="H28">
        <f t="array" ref="H28">IF(OR(MAX($AE$6:$AE$13)=0,ROW()-16&gt;MAX($AE$6:$AE$13)*IF($AG$7="",1,2)),"",INDEX($AH$6:$AH$7,INT((ROW()-16-1)/MAX($AE$6:$AE$13))+1))</f>
        <v/>
      </c>
      <c r="I28">
        <f>IF($H28="","",INDEX($AC$6:$AC$13,MATCH(MOD(ROW()-16-1,MAX($AE$6:$AE$13))+1,$AE$6:$AE$13,0)))</f>
        <v/>
      </c>
      <c r="J28">
        <f>IF($H28="","",COUNTIFS($I$6:$I$13,$I28))</f>
        <v/>
      </c>
      <c r="K28">
        <f t="array" ref="K28">IF($H28="","",IF(IFERROR(INDEX('VISA MATRIX'!$B$4:$FS$145,MATCH($H28,'VISA MATRIX'!$A$4:$A$145,0),MATCH($I28,'VISA MATRIX'!$B$3:$FS$3,0))&amp;"","")&lt;&gt;"",IFERROR(INDEX('VISA MATRIX'!$B$4:$FS$145,MATCH($H28,'VISA MATRIX'!$A$4:$A$145,0),MATCH($I28,'VISA MATRIX'!$B$3:$FS$3,0))&amp;"",""),IF(IFERROR(INDEX('VISA RULES'!$E$2:$E$400,SUMPRODUCT(MATCH(1,($H28='VISA RULES'!$B$2:$B$400)*($I28='VISA RULES'!$C$2:$C$400),0)))&amp;"","")&lt;&gt;"",IFERROR(INDEX('VISA RULES'!$E$2:$E$400,SUMPRODUCT(MATCH(1,($H28='VISA RULES'!$B$2:$B$400)*($I28='VISA RULES'!$C$2:$C$400),0)))&amp;"",""),"NOT ON FILE - VERIFY")))</f>
        <v/>
      </c>
    </row>
    <row r="29">
      <c r="A29" s="1" t="inlineStr">
        <is>
          <t>ETD (UTC)</t>
        </is>
      </c>
      <c r="B29" s="41">
        <f>IF($B$8="","",$B$8+$B$9)</f>
        <v/>
      </c>
      <c r="H29">
        <f t="array" ref="H29">IF(OR(MAX($AE$6:$AE$13)=0,ROW()-16&gt;MAX($AE$6:$AE$13)*IF($AG$7="",1,2)),"",INDEX($AH$6:$AH$7,INT((ROW()-16-1)/MAX($AE$6:$AE$13))+1))</f>
        <v/>
      </c>
      <c r="I29">
        <f>IF($H29="","",INDEX($AC$6:$AC$13,MATCH(MOD(ROW()-16-1,MAX($AE$6:$AE$13))+1,$AE$6:$AE$13,0)))</f>
        <v/>
      </c>
      <c r="J29">
        <f>IF($H29="","",COUNTIFS($I$6:$I$13,$I29))</f>
        <v/>
      </c>
      <c r="K29">
        <f t="array" ref="K29">IF($H29="","",IF(IFERROR(INDEX('VISA MATRIX'!$B$4:$FS$145,MATCH($H29,'VISA MATRIX'!$A$4:$A$145,0),MATCH($I29,'VISA MATRIX'!$B$3:$FS$3,0))&amp;"","")&lt;&gt;"",IFERROR(INDEX('VISA MATRIX'!$B$4:$FS$145,MATCH($H29,'VISA MATRIX'!$A$4:$A$145,0),MATCH($I29,'VISA MATRIX'!$B$3:$FS$3,0))&amp;"",""),IF(IFERROR(INDEX('VISA RULES'!$E$2:$E$400,SUMPRODUCT(MATCH(1,($H29='VISA RULES'!$B$2:$B$400)*($I29='VISA RULES'!$C$2:$C$400),0)))&amp;"","")&lt;&gt;"",IFERROR(INDEX('VISA RULES'!$E$2:$E$400,SUMPRODUCT(MATCH(1,($H29='VISA RULES'!$B$2:$B$400)*($I29='VISA RULES'!$C$2:$C$400),0)))&amp;"",""),"NOT ON FILE - VERIFY")))</f>
        <v/>
      </c>
    </row>
    <row r="30">
      <c r="A30" s="1" t="inlineStr">
        <is>
          <t>ETA (UTC)</t>
        </is>
      </c>
      <c r="B30" s="41">
        <f>IF(OR($B$29="",$B$28=""),"",$B$29+$B$28/24)</f>
        <v/>
      </c>
      <c r="H30">
        <f t="array" ref="H30">IF(OR(MAX($AE$6:$AE$13)=0,ROW()-16&gt;MAX($AE$6:$AE$13)*IF($AG$7="",1,2)),"",INDEX($AH$6:$AH$7,INT((ROW()-16-1)/MAX($AE$6:$AE$13))+1))</f>
        <v/>
      </c>
      <c r="I30">
        <f>IF($H30="","",INDEX($AC$6:$AC$13,MATCH(MOD(ROW()-16-1,MAX($AE$6:$AE$13))+1,$AE$6:$AE$13,0)))</f>
        <v/>
      </c>
      <c r="J30">
        <f>IF($H30="","",COUNTIFS($I$6:$I$13,$I30))</f>
        <v/>
      </c>
      <c r="K30">
        <f t="array" ref="K30">IF($H30="","",IF(IFERROR(INDEX('VISA MATRIX'!$B$4:$FS$145,MATCH($H30,'VISA MATRIX'!$A$4:$A$145,0),MATCH($I30,'VISA MATRIX'!$B$3:$FS$3,0))&amp;"","")&lt;&gt;"",IFERROR(INDEX('VISA MATRIX'!$B$4:$FS$145,MATCH($H30,'VISA MATRIX'!$A$4:$A$145,0),MATCH($I30,'VISA MATRIX'!$B$3:$FS$3,0))&amp;"",""),IF(IFERROR(INDEX('VISA RULES'!$E$2:$E$400,SUMPRODUCT(MATCH(1,($H30='VISA RULES'!$B$2:$B$400)*($I30='VISA RULES'!$C$2:$C$400),0)))&amp;"","")&lt;&gt;"",IFERROR(INDEX('VISA RULES'!$E$2:$E$400,SUMPRODUCT(MATCH(1,($H30='VISA RULES'!$B$2:$B$400)*($I30='VISA RULES'!$C$2:$C$400),0)))&amp;"",""),"NOT ON FILE - VERIFY")))</f>
        <v/>
      </c>
    </row>
    <row r="31">
      <c r="A31" s="1" t="inlineStr">
        <is>
          <t>STATES OVERFLOWN</t>
        </is>
      </c>
      <c r="B31">
        <f>COUNTIF(fiq_calc!$S$2:$S$143,"&gt;0")</f>
        <v/>
      </c>
    </row>
    <row r="32">
      <c r="A32" s="1" t="inlineStr">
        <is>
          <t>ROUTE CHECK</t>
        </is>
      </c>
      <c r="B32">
        <f t="array" ref="B32">IF($B$25="","",IF(AND($B$17="",$B$18=""),"NO CONSTRAINT",TRIM(IF($B$17="","",IF(SUMPRODUCT(--((ISNUMBER(SEARCH(","&amp;fiq_calc!$Q$2:$Q$143&amp;",",","&amp;SUBSTITUTE(UPPER($B$17)," ","")&amp;","))+ISNUMBER(SEARCH(","&amp;SUBSTITUTE(UPPER(fiq_calc!$R$2:$R$143)," ","")&amp;",",","&amp;SUBSTITUTE(UPPER($B$17)," ","")&amp;",")))&gt;0),--(fiq_calc!$S$2:$S$143&gt;0))&gt;0,"AVOID CONFLICT - track crosses an excluded state. ",""))&amp;IF($B$18="","",IF(SUMPRODUCT(--((ISNUMBER(SEARCH(","&amp;fiq_calc!$Q$2:$Q$143&amp;",",","&amp;SUBSTITUTE(UPPER($B$18)," ","")&amp;","))+ISNUMBER(SEARCH(","&amp;SUBSTITUTE(UPPER(fiq_calc!$R$2:$R$143)," ","")&amp;",",","&amp;SUBSTITUTE(UPPER($B$18)," ","")&amp;",")))&gt;0),--(fiq_calc!$S$2:$S$143&gt;0))&lt;LEN($B$18)-LEN(SUBSTITUTE($B$18,",",""))+1,"INCLUDE NOT ON TRACK. ","")))))</f>
        <v/>
      </c>
    </row>
    <row r="33">
      <c r="A33" s="1" t="inlineStr">
        <is>
          <t>EARLIEST PERMIT DEADLINE (UTC)</t>
        </is>
      </c>
      <c r="B33" s="41">
        <f>IF(COUNT($F$39:$F$78)=0,"",MIN($F$39:$F$78))</f>
        <v/>
      </c>
    </row>
    <row r="34">
      <c r="A34" s="1" t="inlineStr">
        <is>
          <t>FEASIBILITY</t>
        </is>
      </c>
      <c r="B34" s="1">
        <f>IF($B$33="","",IF($B$33&lt;NOW(),"NOT FEASIBLE - permit lead time already passed",IF(AND($B$32&lt;&gt;"NO CONSTRAINT",$B$32&lt;&gt;""),"NOT FEASIBLE AS ROUTED - see ROUTE CHECK",IF(($B$33-NOW())*24&lt;24,"TIGHT - short-notice filing required","FEASIBLE"))))</f>
        <v/>
      </c>
    </row>
    <row r="37">
      <c r="A37" s="25" t="inlineStr">
        <is>
          <t>4 · PERMITS &amp; SERVICES REQUIRED</t>
        </is>
      </c>
      <c r="B37" s="25" t="n"/>
      <c r="C37" s="25" t="n"/>
      <c r="D37" s="25" t="n"/>
      <c r="E37" s="25" t="n"/>
      <c r="F37" s="25" t="n"/>
      <c r="G37" s="25" t="n"/>
      <c r="H37" s="25" t="n"/>
    </row>
    <row r="38">
      <c r="A38" s="33" t="inlineStr">
        <is>
          <t>#</t>
        </is>
      </c>
      <c r="B38" s="33" t="inlineStr">
        <is>
          <t>COUNTRY</t>
        </is>
      </c>
      <c r="C38" s="33" t="inlineStr">
        <is>
          <t>ISO3</t>
        </is>
      </c>
      <c r="D38" s="33" t="inlineStr">
        <is>
          <t>TYPE</t>
        </is>
      </c>
      <c r="E38" s="33" t="inlineStr">
        <is>
          <t>LEAD TIME (HRS)</t>
        </is>
      </c>
      <c r="F38" s="33" t="inlineStr">
        <is>
          <t>FILE BY (UTC)</t>
        </is>
      </c>
      <c r="G38" s="33" t="inlineStr">
        <is>
          <t>HOURS REMAINING</t>
        </is>
      </c>
      <c r="H38" s="33" t="inlineStr">
        <is>
          <t>STATUS</t>
        </is>
      </c>
      <c r="J38" s="27" t="inlineStr">
        <is>
          <t>ROW KIND</t>
        </is>
      </c>
    </row>
    <row r="39">
      <c r="A39">
        <f>IF(ROW()-38&gt;$B$31+2+IF($AA$9&lt;&gt;$AA$10,1,0),"",ROW()-38)</f>
        <v/>
      </c>
      <c r="B39">
        <f>IF($A39="","",IFERROR(INDEX(countries!$B:$B,MATCH($C39,countries!$D:$D,0)),$C39))</f>
        <v/>
      </c>
      <c r="C39">
        <f>IF($A39="","",IF($J39="OVF",INDEX(fiq_calc!$Q$2:$Q$143,MATCH($A39,fiq_calc!$U$2:$U$143,0)),IF($J39="GH (DEPARTURE)",$AA$9,$AA$10)))</f>
        <v/>
      </c>
      <c r="D39">
        <f>IF($A39="","",$J39)</f>
        <v/>
      </c>
      <c r="E39" s="43">
        <f>IF($A39="","",IF(LEFT($J39,2)="GH",$B$21,IFERROR(IF(INDEX(countries!$I:$I,MATCH($C39,countries!$D:$D,0))=0,$B$20,INDEX(countries!$I:$I,MATCH($C39,countries!$D:$D,0))),$B$20)))</f>
        <v/>
      </c>
      <c r="F39" s="41">
        <f>IF(OR($A39="",$B$29=""),"",$B$29-$E39/24)</f>
        <v/>
      </c>
      <c r="G39" s="42">
        <f>IF($F39="","",ROUND(($F39-NOW())*24,1))</f>
        <v/>
      </c>
      <c r="H39">
        <f>IF($A39="","",IF($G39&lt;0,"TOO LATE FOR STANDARD FILING",IF($G39&lt;24,"URGENT - SHORT NOTICE","OK")))</f>
        <v/>
      </c>
      <c r="J39">
        <f>IF($A39="","",IF($A39&lt;=$B$31,"OVF",IF($A39=$B$31+1,"LDG",IF($A39=$B$31+2,"GH (DESTINATION)","GH (DEPARTURE)"))))</f>
        <v/>
      </c>
    </row>
    <row r="40">
      <c r="A40">
        <f>IF(ROW()-38&gt;$B$31+2+IF($AA$9&lt;&gt;$AA$10,1,0),"",ROW()-38)</f>
        <v/>
      </c>
      <c r="B40">
        <f>IF($A40="","",IFERROR(INDEX(countries!$B:$B,MATCH($C40,countries!$D:$D,0)),$C40))</f>
        <v/>
      </c>
      <c r="C40">
        <f>IF($A40="","",IF($J40="OVF",INDEX(fiq_calc!$Q$2:$Q$143,MATCH($A40,fiq_calc!$U$2:$U$143,0)),IF($J40="GH (DEPARTURE)",$AA$9,$AA$10)))</f>
        <v/>
      </c>
      <c r="D40">
        <f>IF($A40="","",$J40)</f>
        <v/>
      </c>
      <c r="E40" s="43">
        <f>IF($A40="","",IF(LEFT($J40,2)="GH",$B$21,IFERROR(IF(INDEX(countries!$I:$I,MATCH($C40,countries!$D:$D,0))=0,$B$20,INDEX(countries!$I:$I,MATCH($C40,countries!$D:$D,0))),$B$20)))</f>
        <v/>
      </c>
      <c r="F40" s="41">
        <f>IF(OR($A40="",$B$29=""),"",$B$29-$E40/24)</f>
        <v/>
      </c>
      <c r="G40" s="42">
        <f>IF($F40="","",ROUND(($F40-NOW())*24,1))</f>
        <v/>
      </c>
      <c r="H40">
        <f>IF($A40="","",IF($G40&lt;0,"TOO LATE FOR STANDARD FILING",IF($G40&lt;24,"URGENT - SHORT NOTICE","OK")))</f>
        <v/>
      </c>
      <c r="J40">
        <f>IF($A40="","",IF($A40&lt;=$B$31,"OVF",IF($A40=$B$31+1,"LDG",IF($A40=$B$31+2,"GH (DESTINATION)","GH (DEPARTURE)"))))</f>
        <v/>
      </c>
    </row>
    <row r="41">
      <c r="A41">
        <f>IF(ROW()-38&gt;$B$31+2+IF($AA$9&lt;&gt;$AA$10,1,0),"",ROW()-38)</f>
        <v/>
      </c>
      <c r="B41">
        <f>IF($A41="","",IFERROR(INDEX(countries!$B:$B,MATCH($C41,countries!$D:$D,0)),$C41))</f>
        <v/>
      </c>
      <c r="C41">
        <f>IF($A41="","",IF($J41="OVF",INDEX(fiq_calc!$Q$2:$Q$143,MATCH($A41,fiq_calc!$U$2:$U$143,0)),IF($J41="GH (DEPARTURE)",$AA$9,$AA$10)))</f>
        <v/>
      </c>
      <c r="D41">
        <f>IF($A41="","",$J41)</f>
        <v/>
      </c>
      <c r="E41" s="43">
        <f>IF($A41="","",IF(LEFT($J41,2)="GH",$B$21,IFERROR(IF(INDEX(countries!$I:$I,MATCH($C41,countries!$D:$D,0))=0,$B$20,INDEX(countries!$I:$I,MATCH($C41,countries!$D:$D,0))),$B$20)))</f>
        <v/>
      </c>
      <c r="F41" s="41">
        <f>IF(OR($A41="",$B$29=""),"",$B$29-$E41/24)</f>
        <v/>
      </c>
      <c r="G41" s="42">
        <f>IF($F41="","",ROUND(($F41-NOW())*24,1))</f>
        <v/>
      </c>
      <c r="H41">
        <f>IF($A41="","",IF($G41&lt;0,"TOO LATE FOR STANDARD FILING",IF($G41&lt;24,"URGENT - SHORT NOTICE","OK")))</f>
        <v/>
      </c>
      <c r="J41">
        <f>IF($A41="","",IF($A41&lt;=$B$31,"OVF",IF($A41=$B$31+1,"LDG",IF($A41=$B$31+2,"GH (DESTINATION)","GH (DEPARTURE)"))))</f>
        <v/>
      </c>
    </row>
    <row r="42">
      <c r="A42">
        <f>IF(ROW()-38&gt;$B$31+2+IF($AA$9&lt;&gt;$AA$10,1,0),"",ROW()-38)</f>
        <v/>
      </c>
      <c r="B42">
        <f>IF($A42="","",IFERROR(INDEX(countries!$B:$B,MATCH($C42,countries!$D:$D,0)),$C42))</f>
        <v/>
      </c>
      <c r="C42">
        <f>IF($A42="","",IF($J42="OVF",INDEX(fiq_calc!$Q$2:$Q$143,MATCH($A42,fiq_calc!$U$2:$U$143,0)),IF($J42="GH (DEPARTURE)",$AA$9,$AA$10)))</f>
        <v/>
      </c>
      <c r="D42">
        <f>IF($A42="","",$J42)</f>
        <v/>
      </c>
      <c r="E42" s="43">
        <f>IF($A42="","",IF(LEFT($J42,2)="GH",$B$21,IFERROR(IF(INDEX(countries!$I:$I,MATCH($C42,countries!$D:$D,0))=0,$B$20,INDEX(countries!$I:$I,MATCH($C42,countries!$D:$D,0))),$B$20)))</f>
        <v/>
      </c>
      <c r="F42" s="41">
        <f>IF(OR($A42="",$B$29=""),"",$B$29-$E42/24)</f>
        <v/>
      </c>
      <c r="G42" s="42">
        <f>IF($F42="","",ROUND(($F42-NOW())*24,1))</f>
        <v/>
      </c>
      <c r="H42">
        <f>IF($A42="","",IF($G42&lt;0,"TOO LATE FOR STANDARD FILING",IF($G42&lt;24,"URGENT - SHORT NOTICE","OK")))</f>
        <v/>
      </c>
      <c r="J42">
        <f>IF($A42="","",IF($A42&lt;=$B$31,"OVF",IF($A42=$B$31+1,"LDG",IF($A42=$B$31+2,"GH (DESTINATION)","GH (DEPARTURE)"))))</f>
        <v/>
      </c>
    </row>
    <row r="43">
      <c r="A43">
        <f>IF(ROW()-38&gt;$B$31+2+IF($AA$9&lt;&gt;$AA$10,1,0),"",ROW()-38)</f>
        <v/>
      </c>
      <c r="B43">
        <f>IF($A43="","",IFERROR(INDEX(countries!$B:$B,MATCH($C43,countries!$D:$D,0)),$C43))</f>
        <v/>
      </c>
      <c r="C43">
        <f>IF($A43="","",IF($J43="OVF",INDEX(fiq_calc!$Q$2:$Q$143,MATCH($A43,fiq_calc!$U$2:$U$143,0)),IF($J43="GH (DEPARTURE)",$AA$9,$AA$10)))</f>
        <v/>
      </c>
      <c r="D43">
        <f>IF($A43="","",$J43)</f>
        <v/>
      </c>
      <c r="E43" s="43">
        <f>IF($A43="","",IF(LEFT($J43,2)="GH",$B$21,IFERROR(IF(INDEX(countries!$I:$I,MATCH($C43,countries!$D:$D,0))=0,$B$20,INDEX(countries!$I:$I,MATCH($C43,countries!$D:$D,0))),$B$20)))</f>
        <v/>
      </c>
      <c r="F43" s="41">
        <f>IF(OR($A43="",$B$29=""),"",$B$29-$E43/24)</f>
        <v/>
      </c>
      <c r="G43" s="42">
        <f>IF($F43="","",ROUND(($F43-NOW())*24,1))</f>
        <v/>
      </c>
      <c r="H43">
        <f>IF($A43="","",IF($G43&lt;0,"TOO LATE FOR STANDARD FILING",IF($G43&lt;24,"URGENT - SHORT NOTICE","OK")))</f>
        <v/>
      </c>
      <c r="J43">
        <f>IF($A43="","",IF($A43&lt;=$B$31,"OVF",IF($A43=$B$31+1,"LDG",IF($A43=$B$31+2,"GH (DESTINATION)","GH (DEPARTURE)"))))</f>
        <v/>
      </c>
    </row>
    <row r="44">
      <c r="A44">
        <f>IF(ROW()-38&gt;$B$31+2+IF($AA$9&lt;&gt;$AA$10,1,0),"",ROW()-38)</f>
        <v/>
      </c>
      <c r="B44">
        <f>IF($A44="","",IFERROR(INDEX(countries!$B:$B,MATCH($C44,countries!$D:$D,0)),$C44))</f>
        <v/>
      </c>
      <c r="C44">
        <f>IF($A44="","",IF($J44="OVF",INDEX(fiq_calc!$Q$2:$Q$143,MATCH($A44,fiq_calc!$U$2:$U$143,0)),IF($J44="GH (DEPARTURE)",$AA$9,$AA$10)))</f>
        <v/>
      </c>
      <c r="D44">
        <f>IF($A44="","",$J44)</f>
        <v/>
      </c>
      <c r="E44" s="43">
        <f>IF($A44="","",IF(LEFT($J44,2)="GH",$B$21,IFERROR(IF(INDEX(countries!$I:$I,MATCH($C44,countries!$D:$D,0))=0,$B$20,INDEX(countries!$I:$I,MATCH($C44,countries!$D:$D,0))),$B$20)))</f>
        <v/>
      </c>
      <c r="F44" s="41">
        <f>IF(OR($A44="",$B$29=""),"",$B$29-$E44/24)</f>
        <v/>
      </c>
      <c r="G44" s="42">
        <f>IF($F44="","",ROUND(($F44-NOW())*24,1))</f>
        <v/>
      </c>
      <c r="H44">
        <f>IF($A44="","",IF($G44&lt;0,"TOO LATE FOR STANDARD FILING",IF($G44&lt;24,"URGENT - SHORT NOTICE","OK")))</f>
        <v/>
      </c>
      <c r="J44">
        <f>IF($A44="","",IF($A44&lt;=$B$31,"OVF",IF($A44=$B$31+1,"LDG",IF($A44=$B$31+2,"GH (DESTINATION)","GH (DEPARTURE)"))))</f>
        <v/>
      </c>
    </row>
    <row r="45">
      <c r="A45">
        <f>IF(ROW()-38&gt;$B$31+2+IF($AA$9&lt;&gt;$AA$10,1,0),"",ROW()-38)</f>
        <v/>
      </c>
      <c r="B45">
        <f>IF($A45="","",IFERROR(INDEX(countries!$B:$B,MATCH($C45,countries!$D:$D,0)),$C45))</f>
        <v/>
      </c>
      <c r="C45">
        <f>IF($A45="","",IF($J45="OVF",INDEX(fiq_calc!$Q$2:$Q$143,MATCH($A45,fiq_calc!$U$2:$U$143,0)),IF($J45="GH (DEPARTURE)",$AA$9,$AA$10)))</f>
        <v/>
      </c>
      <c r="D45">
        <f>IF($A45="","",$J45)</f>
        <v/>
      </c>
      <c r="E45" s="43">
        <f>IF($A45="","",IF(LEFT($J45,2)="GH",$B$21,IFERROR(IF(INDEX(countries!$I:$I,MATCH($C45,countries!$D:$D,0))=0,$B$20,INDEX(countries!$I:$I,MATCH($C45,countries!$D:$D,0))),$B$20)))</f>
        <v/>
      </c>
      <c r="F45" s="41">
        <f>IF(OR($A45="",$B$29=""),"",$B$29-$E45/24)</f>
        <v/>
      </c>
      <c r="G45" s="42">
        <f>IF($F45="","",ROUND(($F45-NOW())*24,1))</f>
        <v/>
      </c>
      <c r="H45">
        <f>IF($A45="","",IF($G45&lt;0,"TOO LATE FOR STANDARD FILING",IF($G45&lt;24,"URGENT - SHORT NOTICE","OK")))</f>
        <v/>
      </c>
      <c r="J45">
        <f>IF($A45="","",IF($A45&lt;=$B$31,"OVF",IF($A45=$B$31+1,"LDG",IF($A45=$B$31+2,"GH (DESTINATION)","GH (DEPARTURE)"))))</f>
        <v/>
      </c>
    </row>
    <row r="46">
      <c r="A46">
        <f>IF(ROW()-38&gt;$B$31+2+IF($AA$9&lt;&gt;$AA$10,1,0),"",ROW()-38)</f>
        <v/>
      </c>
      <c r="B46">
        <f>IF($A46="","",IFERROR(INDEX(countries!$B:$B,MATCH($C46,countries!$D:$D,0)),$C46))</f>
        <v/>
      </c>
      <c r="C46">
        <f>IF($A46="","",IF($J46="OVF",INDEX(fiq_calc!$Q$2:$Q$143,MATCH($A46,fiq_calc!$U$2:$U$143,0)),IF($J46="GH (DEPARTURE)",$AA$9,$AA$10)))</f>
        <v/>
      </c>
      <c r="D46">
        <f>IF($A46="","",$J46)</f>
        <v/>
      </c>
      <c r="E46" s="43">
        <f>IF($A46="","",IF(LEFT($J46,2)="GH",$B$21,IFERROR(IF(INDEX(countries!$I:$I,MATCH($C46,countries!$D:$D,0))=0,$B$20,INDEX(countries!$I:$I,MATCH($C46,countries!$D:$D,0))),$B$20)))</f>
        <v/>
      </c>
      <c r="F46" s="41">
        <f>IF(OR($A46="",$B$29=""),"",$B$29-$E46/24)</f>
        <v/>
      </c>
      <c r="G46" s="42">
        <f>IF($F46="","",ROUND(($F46-NOW())*24,1))</f>
        <v/>
      </c>
      <c r="H46">
        <f>IF($A46="","",IF($G46&lt;0,"TOO LATE FOR STANDARD FILING",IF($G46&lt;24,"URGENT - SHORT NOTICE","OK")))</f>
        <v/>
      </c>
      <c r="J46">
        <f>IF($A46="","",IF($A46&lt;=$B$31,"OVF",IF($A46=$B$31+1,"LDG",IF($A46=$B$31+2,"GH (DESTINATION)","GH (DEPARTURE)"))))</f>
        <v/>
      </c>
    </row>
    <row r="47">
      <c r="A47">
        <f>IF(ROW()-38&gt;$B$31+2+IF($AA$9&lt;&gt;$AA$10,1,0),"",ROW()-38)</f>
        <v/>
      </c>
      <c r="B47">
        <f>IF($A47="","",IFERROR(INDEX(countries!$B:$B,MATCH($C47,countries!$D:$D,0)),$C47))</f>
        <v/>
      </c>
      <c r="C47">
        <f>IF($A47="","",IF($J47="OVF",INDEX(fiq_calc!$Q$2:$Q$143,MATCH($A47,fiq_calc!$U$2:$U$143,0)),IF($J47="GH (DEPARTURE)",$AA$9,$AA$10)))</f>
        <v/>
      </c>
      <c r="D47">
        <f>IF($A47="","",$J47)</f>
        <v/>
      </c>
      <c r="E47" s="43">
        <f>IF($A47="","",IF(LEFT($J47,2)="GH",$B$21,IFERROR(IF(INDEX(countries!$I:$I,MATCH($C47,countries!$D:$D,0))=0,$B$20,INDEX(countries!$I:$I,MATCH($C47,countries!$D:$D,0))),$B$20)))</f>
        <v/>
      </c>
      <c r="F47" s="41">
        <f>IF(OR($A47="",$B$29=""),"",$B$29-$E47/24)</f>
        <v/>
      </c>
      <c r="G47" s="42">
        <f>IF($F47="","",ROUND(($F47-NOW())*24,1))</f>
        <v/>
      </c>
      <c r="H47">
        <f>IF($A47="","",IF($G47&lt;0,"TOO LATE FOR STANDARD FILING",IF($G47&lt;24,"URGENT - SHORT NOTICE","OK")))</f>
        <v/>
      </c>
      <c r="J47">
        <f>IF($A47="","",IF($A47&lt;=$B$31,"OVF",IF($A47=$B$31+1,"LDG",IF($A47=$B$31+2,"GH (DESTINATION)","GH (DEPARTURE)"))))</f>
        <v/>
      </c>
    </row>
    <row r="48">
      <c r="A48">
        <f>IF(ROW()-38&gt;$B$31+2+IF($AA$9&lt;&gt;$AA$10,1,0),"",ROW()-38)</f>
        <v/>
      </c>
      <c r="B48">
        <f>IF($A48="","",IFERROR(INDEX(countries!$B:$B,MATCH($C48,countries!$D:$D,0)),$C48))</f>
        <v/>
      </c>
      <c r="C48">
        <f>IF($A48="","",IF($J48="OVF",INDEX(fiq_calc!$Q$2:$Q$143,MATCH($A48,fiq_calc!$U$2:$U$143,0)),IF($J48="GH (DEPARTURE)",$AA$9,$AA$10)))</f>
        <v/>
      </c>
      <c r="D48">
        <f>IF($A48="","",$J48)</f>
        <v/>
      </c>
      <c r="E48" s="43">
        <f>IF($A48="","",IF(LEFT($J48,2)="GH",$B$21,IFERROR(IF(INDEX(countries!$I:$I,MATCH($C48,countries!$D:$D,0))=0,$B$20,INDEX(countries!$I:$I,MATCH($C48,countries!$D:$D,0))),$B$20)))</f>
        <v/>
      </c>
      <c r="F48" s="41">
        <f>IF(OR($A48="",$B$29=""),"",$B$29-$E48/24)</f>
        <v/>
      </c>
      <c r="G48" s="42">
        <f>IF($F48="","",ROUND(($F48-NOW())*24,1))</f>
        <v/>
      </c>
      <c r="H48">
        <f>IF($A48="","",IF($G48&lt;0,"TOO LATE FOR STANDARD FILING",IF($G48&lt;24,"URGENT - SHORT NOTICE","OK")))</f>
        <v/>
      </c>
      <c r="J48">
        <f>IF($A48="","",IF($A48&lt;=$B$31,"OVF",IF($A48=$B$31+1,"LDG",IF($A48=$B$31+2,"GH (DESTINATION)","GH (DEPARTURE)"))))</f>
        <v/>
      </c>
    </row>
    <row r="49">
      <c r="A49">
        <f>IF(ROW()-38&gt;$B$31+2+IF($AA$9&lt;&gt;$AA$10,1,0),"",ROW()-38)</f>
        <v/>
      </c>
      <c r="B49">
        <f>IF($A49="","",IFERROR(INDEX(countries!$B:$B,MATCH($C49,countries!$D:$D,0)),$C49))</f>
        <v/>
      </c>
      <c r="C49">
        <f>IF($A49="","",IF($J49="OVF",INDEX(fiq_calc!$Q$2:$Q$143,MATCH($A49,fiq_calc!$U$2:$U$143,0)),IF($J49="GH (DEPARTURE)",$AA$9,$AA$10)))</f>
        <v/>
      </c>
      <c r="D49">
        <f>IF($A49="","",$J49)</f>
        <v/>
      </c>
      <c r="E49" s="43">
        <f>IF($A49="","",IF(LEFT($J49,2)="GH",$B$21,IFERROR(IF(INDEX(countries!$I:$I,MATCH($C49,countries!$D:$D,0))=0,$B$20,INDEX(countries!$I:$I,MATCH($C49,countries!$D:$D,0))),$B$20)))</f>
        <v/>
      </c>
      <c r="F49" s="41">
        <f>IF(OR($A49="",$B$29=""),"",$B$29-$E49/24)</f>
        <v/>
      </c>
      <c r="G49" s="42">
        <f>IF($F49="","",ROUND(($F49-NOW())*24,1))</f>
        <v/>
      </c>
      <c r="H49">
        <f>IF($A49="","",IF($G49&lt;0,"TOO LATE FOR STANDARD FILING",IF($G49&lt;24,"URGENT - SHORT NOTICE","OK")))</f>
        <v/>
      </c>
      <c r="J49">
        <f>IF($A49="","",IF($A49&lt;=$B$31,"OVF",IF($A49=$B$31+1,"LDG",IF($A49=$B$31+2,"GH (DESTINATION)","GH (DEPARTURE)"))))</f>
        <v/>
      </c>
    </row>
    <row r="50">
      <c r="A50">
        <f>IF(ROW()-38&gt;$B$31+2+IF($AA$9&lt;&gt;$AA$10,1,0),"",ROW()-38)</f>
        <v/>
      </c>
      <c r="B50">
        <f>IF($A50="","",IFERROR(INDEX(countries!$B:$B,MATCH($C50,countries!$D:$D,0)),$C50))</f>
        <v/>
      </c>
      <c r="C50">
        <f>IF($A50="","",IF($J50="OVF",INDEX(fiq_calc!$Q$2:$Q$143,MATCH($A50,fiq_calc!$U$2:$U$143,0)),IF($J50="GH (DEPARTURE)",$AA$9,$AA$10)))</f>
        <v/>
      </c>
      <c r="D50">
        <f>IF($A50="","",$J50)</f>
        <v/>
      </c>
      <c r="E50" s="43">
        <f>IF($A50="","",IF(LEFT($J50,2)="GH",$B$21,IFERROR(IF(INDEX(countries!$I:$I,MATCH($C50,countries!$D:$D,0))=0,$B$20,INDEX(countries!$I:$I,MATCH($C50,countries!$D:$D,0))),$B$20)))</f>
        <v/>
      </c>
      <c r="F50" s="41">
        <f>IF(OR($A50="",$B$29=""),"",$B$29-$E50/24)</f>
        <v/>
      </c>
      <c r="G50" s="42">
        <f>IF($F50="","",ROUND(($F50-NOW())*24,1))</f>
        <v/>
      </c>
      <c r="H50">
        <f>IF($A50="","",IF($G50&lt;0,"TOO LATE FOR STANDARD FILING",IF($G50&lt;24,"URGENT - SHORT NOTICE","OK")))</f>
        <v/>
      </c>
      <c r="J50">
        <f>IF($A50="","",IF($A50&lt;=$B$31,"OVF",IF($A50=$B$31+1,"LDG",IF($A50=$B$31+2,"GH (DESTINATION)","GH (DEPARTURE)"))))</f>
        <v/>
      </c>
    </row>
    <row r="51">
      <c r="A51">
        <f>IF(ROW()-38&gt;$B$31+2+IF($AA$9&lt;&gt;$AA$10,1,0),"",ROW()-38)</f>
        <v/>
      </c>
      <c r="B51">
        <f>IF($A51="","",IFERROR(INDEX(countries!$B:$B,MATCH($C51,countries!$D:$D,0)),$C51))</f>
        <v/>
      </c>
      <c r="C51">
        <f>IF($A51="","",IF($J51="OVF",INDEX(fiq_calc!$Q$2:$Q$143,MATCH($A51,fiq_calc!$U$2:$U$143,0)),IF($J51="GH (DEPARTURE)",$AA$9,$AA$10)))</f>
        <v/>
      </c>
      <c r="D51">
        <f>IF($A51="","",$J51)</f>
        <v/>
      </c>
      <c r="E51" s="43">
        <f>IF($A51="","",IF(LEFT($J51,2)="GH",$B$21,IFERROR(IF(INDEX(countries!$I:$I,MATCH($C51,countries!$D:$D,0))=0,$B$20,INDEX(countries!$I:$I,MATCH($C51,countries!$D:$D,0))),$B$20)))</f>
        <v/>
      </c>
      <c r="F51" s="41">
        <f>IF(OR($A51="",$B$29=""),"",$B$29-$E51/24)</f>
        <v/>
      </c>
      <c r="G51" s="42">
        <f>IF($F51="","",ROUND(($F51-NOW())*24,1))</f>
        <v/>
      </c>
      <c r="H51">
        <f>IF($A51="","",IF($G51&lt;0,"TOO LATE FOR STANDARD FILING",IF($G51&lt;24,"URGENT - SHORT NOTICE","OK")))</f>
        <v/>
      </c>
      <c r="J51">
        <f>IF($A51="","",IF($A51&lt;=$B$31,"OVF",IF($A51=$B$31+1,"LDG",IF($A51=$B$31+2,"GH (DESTINATION)","GH (DEPARTURE)"))))</f>
        <v/>
      </c>
    </row>
    <row r="52">
      <c r="A52">
        <f>IF(ROW()-38&gt;$B$31+2+IF($AA$9&lt;&gt;$AA$10,1,0),"",ROW()-38)</f>
        <v/>
      </c>
      <c r="B52">
        <f>IF($A52="","",IFERROR(INDEX(countries!$B:$B,MATCH($C52,countries!$D:$D,0)),$C52))</f>
        <v/>
      </c>
      <c r="C52">
        <f>IF($A52="","",IF($J52="OVF",INDEX(fiq_calc!$Q$2:$Q$143,MATCH($A52,fiq_calc!$U$2:$U$143,0)),IF($J52="GH (DEPARTURE)",$AA$9,$AA$10)))</f>
        <v/>
      </c>
      <c r="D52">
        <f>IF($A52="","",$J52)</f>
        <v/>
      </c>
      <c r="E52" s="43">
        <f>IF($A52="","",IF(LEFT($J52,2)="GH",$B$21,IFERROR(IF(INDEX(countries!$I:$I,MATCH($C52,countries!$D:$D,0))=0,$B$20,INDEX(countries!$I:$I,MATCH($C52,countries!$D:$D,0))),$B$20)))</f>
        <v/>
      </c>
      <c r="F52" s="41">
        <f>IF(OR($A52="",$B$29=""),"",$B$29-$E52/24)</f>
        <v/>
      </c>
      <c r="G52" s="42">
        <f>IF($F52="","",ROUND(($F52-NOW())*24,1))</f>
        <v/>
      </c>
      <c r="H52">
        <f>IF($A52="","",IF($G52&lt;0,"TOO LATE FOR STANDARD FILING",IF($G52&lt;24,"URGENT - SHORT NOTICE","OK")))</f>
        <v/>
      </c>
      <c r="J52">
        <f>IF($A52="","",IF($A52&lt;=$B$31,"OVF",IF($A52=$B$31+1,"LDG",IF($A52=$B$31+2,"GH (DESTINATION)","GH (DEPARTURE)"))))</f>
        <v/>
      </c>
    </row>
    <row r="53">
      <c r="A53">
        <f>IF(ROW()-38&gt;$B$31+2+IF($AA$9&lt;&gt;$AA$10,1,0),"",ROW()-38)</f>
        <v/>
      </c>
      <c r="B53">
        <f>IF($A53="","",IFERROR(INDEX(countries!$B:$B,MATCH($C53,countries!$D:$D,0)),$C53))</f>
        <v/>
      </c>
      <c r="C53">
        <f>IF($A53="","",IF($J53="OVF",INDEX(fiq_calc!$Q$2:$Q$143,MATCH($A53,fiq_calc!$U$2:$U$143,0)),IF($J53="GH (DEPARTURE)",$AA$9,$AA$10)))</f>
        <v/>
      </c>
      <c r="D53">
        <f>IF($A53="","",$J53)</f>
        <v/>
      </c>
      <c r="E53" s="43">
        <f>IF($A53="","",IF(LEFT($J53,2)="GH",$B$21,IFERROR(IF(INDEX(countries!$I:$I,MATCH($C53,countries!$D:$D,0))=0,$B$20,INDEX(countries!$I:$I,MATCH($C53,countries!$D:$D,0))),$B$20)))</f>
        <v/>
      </c>
      <c r="F53" s="41">
        <f>IF(OR($A53="",$B$29=""),"",$B$29-$E53/24)</f>
        <v/>
      </c>
      <c r="G53" s="42">
        <f>IF($F53="","",ROUND(($F53-NOW())*24,1))</f>
        <v/>
      </c>
      <c r="H53">
        <f>IF($A53="","",IF($G53&lt;0,"TOO LATE FOR STANDARD FILING",IF($G53&lt;24,"URGENT - SHORT NOTICE","OK")))</f>
        <v/>
      </c>
      <c r="J53">
        <f>IF($A53="","",IF($A53&lt;=$B$31,"OVF",IF($A53=$B$31+1,"LDG",IF($A53=$B$31+2,"GH (DESTINATION)","GH (DEPARTURE)"))))</f>
        <v/>
      </c>
    </row>
    <row r="54">
      <c r="A54">
        <f>IF(ROW()-38&gt;$B$31+2+IF($AA$9&lt;&gt;$AA$10,1,0),"",ROW()-38)</f>
        <v/>
      </c>
      <c r="B54">
        <f>IF($A54="","",IFERROR(INDEX(countries!$B:$B,MATCH($C54,countries!$D:$D,0)),$C54))</f>
        <v/>
      </c>
      <c r="C54">
        <f>IF($A54="","",IF($J54="OVF",INDEX(fiq_calc!$Q$2:$Q$143,MATCH($A54,fiq_calc!$U$2:$U$143,0)),IF($J54="GH (DEPARTURE)",$AA$9,$AA$10)))</f>
        <v/>
      </c>
      <c r="D54">
        <f>IF($A54="","",$J54)</f>
        <v/>
      </c>
      <c r="E54" s="43">
        <f>IF($A54="","",IF(LEFT($J54,2)="GH",$B$21,IFERROR(IF(INDEX(countries!$I:$I,MATCH($C54,countries!$D:$D,0))=0,$B$20,INDEX(countries!$I:$I,MATCH($C54,countries!$D:$D,0))),$B$20)))</f>
        <v/>
      </c>
      <c r="F54" s="41">
        <f>IF(OR($A54="",$B$29=""),"",$B$29-$E54/24)</f>
        <v/>
      </c>
      <c r="G54" s="42">
        <f>IF($F54="","",ROUND(($F54-NOW())*24,1))</f>
        <v/>
      </c>
      <c r="H54">
        <f>IF($A54="","",IF($G54&lt;0,"TOO LATE FOR STANDARD FILING",IF($G54&lt;24,"URGENT - SHORT NOTICE","OK")))</f>
        <v/>
      </c>
      <c r="J54">
        <f>IF($A54="","",IF($A54&lt;=$B$31,"OVF",IF($A54=$B$31+1,"LDG",IF($A54=$B$31+2,"GH (DESTINATION)","GH (DEPARTURE)"))))</f>
        <v/>
      </c>
    </row>
    <row r="55">
      <c r="A55">
        <f>IF(ROW()-38&gt;$B$31+2+IF($AA$9&lt;&gt;$AA$10,1,0),"",ROW()-38)</f>
        <v/>
      </c>
      <c r="B55">
        <f>IF($A55="","",IFERROR(INDEX(countries!$B:$B,MATCH($C55,countries!$D:$D,0)),$C55))</f>
        <v/>
      </c>
      <c r="C55">
        <f>IF($A55="","",IF($J55="OVF",INDEX(fiq_calc!$Q$2:$Q$143,MATCH($A55,fiq_calc!$U$2:$U$143,0)),IF($J55="GH (DEPARTURE)",$AA$9,$AA$10)))</f>
        <v/>
      </c>
      <c r="D55">
        <f>IF($A55="","",$J55)</f>
        <v/>
      </c>
      <c r="E55" s="43">
        <f>IF($A55="","",IF(LEFT($J55,2)="GH",$B$21,IFERROR(IF(INDEX(countries!$I:$I,MATCH($C55,countries!$D:$D,0))=0,$B$20,INDEX(countries!$I:$I,MATCH($C55,countries!$D:$D,0))),$B$20)))</f>
        <v/>
      </c>
      <c r="F55" s="41">
        <f>IF(OR($A55="",$B$29=""),"",$B$29-$E55/24)</f>
        <v/>
      </c>
      <c r="G55" s="42">
        <f>IF($F55="","",ROUND(($F55-NOW())*24,1))</f>
        <v/>
      </c>
      <c r="H55">
        <f>IF($A55="","",IF($G55&lt;0,"TOO LATE FOR STANDARD FILING",IF($G55&lt;24,"URGENT - SHORT NOTICE","OK")))</f>
        <v/>
      </c>
      <c r="J55">
        <f>IF($A55="","",IF($A55&lt;=$B$31,"OVF",IF($A55=$B$31+1,"LDG",IF($A55=$B$31+2,"GH (DESTINATION)","GH (DEPARTURE)"))))</f>
        <v/>
      </c>
    </row>
    <row r="56">
      <c r="A56">
        <f>IF(ROW()-38&gt;$B$31+2+IF($AA$9&lt;&gt;$AA$10,1,0),"",ROW()-38)</f>
        <v/>
      </c>
      <c r="B56">
        <f>IF($A56="","",IFERROR(INDEX(countries!$B:$B,MATCH($C56,countries!$D:$D,0)),$C56))</f>
        <v/>
      </c>
      <c r="C56">
        <f>IF($A56="","",IF($J56="OVF",INDEX(fiq_calc!$Q$2:$Q$143,MATCH($A56,fiq_calc!$U$2:$U$143,0)),IF($J56="GH (DEPARTURE)",$AA$9,$AA$10)))</f>
        <v/>
      </c>
      <c r="D56">
        <f>IF($A56="","",$J56)</f>
        <v/>
      </c>
      <c r="E56" s="43">
        <f>IF($A56="","",IF(LEFT($J56,2)="GH",$B$21,IFERROR(IF(INDEX(countries!$I:$I,MATCH($C56,countries!$D:$D,0))=0,$B$20,INDEX(countries!$I:$I,MATCH($C56,countries!$D:$D,0))),$B$20)))</f>
        <v/>
      </c>
      <c r="F56" s="41">
        <f>IF(OR($A56="",$B$29=""),"",$B$29-$E56/24)</f>
        <v/>
      </c>
      <c r="G56" s="42">
        <f>IF($F56="","",ROUND(($F56-NOW())*24,1))</f>
        <v/>
      </c>
      <c r="H56">
        <f>IF($A56="","",IF($G56&lt;0,"TOO LATE FOR STANDARD FILING",IF($G56&lt;24,"URGENT - SHORT NOTICE","OK")))</f>
        <v/>
      </c>
      <c r="J56">
        <f>IF($A56="","",IF($A56&lt;=$B$31,"OVF",IF($A56=$B$31+1,"LDG",IF($A56=$B$31+2,"GH (DESTINATION)","GH (DEPARTURE)"))))</f>
        <v/>
      </c>
    </row>
    <row r="57">
      <c r="A57">
        <f>IF(ROW()-38&gt;$B$31+2+IF($AA$9&lt;&gt;$AA$10,1,0),"",ROW()-38)</f>
        <v/>
      </c>
      <c r="B57">
        <f>IF($A57="","",IFERROR(INDEX(countries!$B:$B,MATCH($C57,countries!$D:$D,0)),$C57))</f>
        <v/>
      </c>
      <c r="C57">
        <f>IF($A57="","",IF($J57="OVF",INDEX(fiq_calc!$Q$2:$Q$143,MATCH($A57,fiq_calc!$U$2:$U$143,0)),IF($J57="GH (DEPARTURE)",$AA$9,$AA$10)))</f>
        <v/>
      </c>
      <c r="D57">
        <f>IF($A57="","",$J57)</f>
        <v/>
      </c>
      <c r="E57" s="43">
        <f>IF($A57="","",IF(LEFT($J57,2)="GH",$B$21,IFERROR(IF(INDEX(countries!$I:$I,MATCH($C57,countries!$D:$D,0))=0,$B$20,INDEX(countries!$I:$I,MATCH($C57,countries!$D:$D,0))),$B$20)))</f>
        <v/>
      </c>
      <c r="F57" s="41">
        <f>IF(OR($A57="",$B$29=""),"",$B$29-$E57/24)</f>
        <v/>
      </c>
      <c r="G57" s="42">
        <f>IF($F57="","",ROUND(($F57-NOW())*24,1))</f>
        <v/>
      </c>
      <c r="H57">
        <f>IF($A57="","",IF($G57&lt;0,"TOO LATE FOR STANDARD FILING",IF($G57&lt;24,"URGENT - SHORT NOTICE","OK")))</f>
        <v/>
      </c>
      <c r="J57">
        <f>IF($A57="","",IF($A57&lt;=$B$31,"OVF",IF($A57=$B$31+1,"LDG",IF($A57=$B$31+2,"GH (DESTINATION)","GH (DEPARTURE)"))))</f>
        <v/>
      </c>
    </row>
    <row r="58">
      <c r="A58">
        <f>IF(ROW()-38&gt;$B$31+2+IF($AA$9&lt;&gt;$AA$10,1,0),"",ROW()-38)</f>
        <v/>
      </c>
      <c r="B58">
        <f>IF($A58="","",IFERROR(INDEX(countries!$B:$B,MATCH($C58,countries!$D:$D,0)),$C58))</f>
        <v/>
      </c>
      <c r="C58">
        <f>IF($A58="","",IF($J58="OVF",INDEX(fiq_calc!$Q$2:$Q$143,MATCH($A58,fiq_calc!$U$2:$U$143,0)),IF($J58="GH (DEPARTURE)",$AA$9,$AA$10)))</f>
        <v/>
      </c>
      <c r="D58">
        <f>IF($A58="","",$J58)</f>
        <v/>
      </c>
      <c r="E58" s="43">
        <f>IF($A58="","",IF(LEFT($J58,2)="GH",$B$21,IFERROR(IF(INDEX(countries!$I:$I,MATCH($C58,countries!$D:$D,0))=0,$B$20,INDEX(countries!$I:$I,MATCH($C58,countries!$D:$D,0))),$B$20)))</f>
        <v/>
      </c>
      <c r="F58" s="41">
        <f>IF(OR($A58="",$B$29=""),"",$B$29-$E58/24)</f>
        <v/>
      </c>
      <c r="G58" s="42">
        <f>IF($F58="","",ROUND(($F58-NOW())*24,1))</f>
        <v/>
      </c>
      <c r="H58">
        <f>IF($A58="","",IF($G58&lt;0,"TOO LATE FOR STANDARD FILING",IF($G58&lt;24,"URGENT - SHORT NOTICE","OK")))</f>
        <v/>
      </c>
      <c r="J58">
        <f>IF($A58="","",IF($A58&lt;=$B$31,"OVF",IF($A58=$B$31+1,"LDG",IF($A58=$B$31+2,"GH (DESTINATION)","GH (DEPARTURE)"))))</f>
        <v/>
      </c>
    </row>
    <row r="59">
      <c r="A59">
        <f>IF(ROW()-38&gt;$B$31+2+IF($AA$9&lt;&gt;$AA$10,1,0),"",ROW()-38)</f>
        <v/>
      </c>
      <c r="B59">
        <f>IF($A59="","",IFERROR(INDEX(countries!$B:$B,MATCH($C59,countries!$D:$D,0)),$C59))</f>
        <v/>
      </c>
      <c r="C59">
        <f>IF($A59="","",IF($J59="OVF",INDEX(fiq_calc!$Q$2:$Q$143,MATCH($A59,fiq_calc!$U$2:$U$143,0)),IF($J59="GH (DEPARTURE)",$AA$9,$AA$10)))</f>
        <v/>
      </c>
      <c r="D59">
        <f>IF($A59="","",$J59)</f>
        <v/>
      </c>
      <c r="E59" s="43">
        <f>IF($A59="","",IF(LEFT($J59,2)="GH",$B$21,IFERROR(IF(INDEX(countries!$I:$I,MATCH($C59,countries!$D:$D,0))=0,$B$20,INDEX(countries!$I:$I,MATCH($C59,countries!$D:$D,0))),$B$20)))</f>
        <v/>
      </c>
      <c r="F59" s="41">
        <f>IF(OR($A59="",$B$29=""),"",$B$29-$E59/24)</f>
        <v/>
      </c>
      <c r="G59" s="42">
        <f>IF($F59="","",ROUND(($F59-NOW())*24,1))</f>
        <v/>
      </c>
      <c r="H59">
        <f>IF($A59="","",IF($G59&lt;0,"TOO LATE FOR STANDARD FILING",IF($G59&lt;24,"URGENT - SHORT NOTICE","OK")))</f>
        <v/>
      </c>
      <c r="J59">
        <f>IF($A59="","",IF($A59&lt;=$B$31,"OVF",IF($A59=$B$31+1,"LDG",IF($A59=$B$31+2,"GH (DESTINATION)","GH (DEPARTURE)"))))</f>
        <v/>
      </c>
    </row>
    <row r="60">
      <c r="A60">
        <f>IF(ROW()-38&gt;$B$31+2+IF($AA$9&lt;&gt;$AA$10,1,0),"",ROW()-38)</f>
        <v/>
      </c>
      <c r="B60">
        <f>IF($A60="","",IFERROR(INDEX(countries!$B:$B,MATCH($C60,countries!$D:$D,0)),$C60))</f>
        <v/>
      </c>
      <c r="C60">
        <f>IF($A60="","",IF($J60="OVF",INDEX(fiq_calc!$Q$2:$Q$143,MATCH($A60,fiq_calc!$U$2:$U$143,0)),IF($J60="GH (DEPARTURE)",$AA$9,$AA$10)))</f>
        <v/>
      </c>
      <c r="D60">
        <f>IF($A60="","",$J60)</f>
        <v/>
      </c>
      <c r="E60" s="43">
        <f>IF($A60="","",IF(LEFT($J60,2)="GH",$B$21,IFERROR(IF(INDEX(countries!$I:$I,MATCH($C60,countries!$D:$D,0))=0,$B$20,INDEX(countries!$I:$I,MATCH($C60,countries!$D:$D,0))),$B$20)))</f>
        <v/>
      </c>
      <c r="F60" s="41">
        <f>IF(OR($A60="",$B$29=""),"",$B$29-$E60/24)</f>
        <v/>
      </c>
      <c r="G60" s="42">
        <f>IF($F60="","",ROUND(($F60-NOW())*24,1))</f>
        <v/>
      </c>
      <c r="H60">
        <f>IF($A60="","",IF($G60&lt;0,"TOO LATE FOR STANDARD FILING",IF($G60&lt;24,"URGENT - SHORT NOTICE","OK")))</f>
        <v/>
      </c>
      <c r="J60">
        <f>IF($A60="","",IF($A60&lt;=$B$31,"OVF",IF($A60=$B$31+1,"LDG",IF($A60=$B$31+2,"GH (DESTINATION)","GH (DEPARTURE)"))))</f>
        <v/>
      </c>
    </row>
    <row r="61">
      <c r="A61">
        <f>IF(ROW()-38&gt;$B$31+2+IF($AA$9&lt;&gt;$AA$10,1,0),"",ROW()-38)</f>
        <v/>
      </c>
      <c r="B61">
        <f>IF($A61="","",IFERROR(INDEX(countries!$B:$B,MATCH($C61,countries!$D:$D,0)),$C61))</f>
        <v/>
      </c>
      <c r="C61">
        <f>IF($A61="","",IF($J61="OVF",INDEX(fiq_calc!$Q$2:$Q$143,MATCH($A61,fiq_calc!$U$2:$U$143,0)),IF($J61="GH (DEPARTURE)",$AA$9,$AA$10)))</f>
        <v/>
      </c>
      <c r="D61">
        <f>IF($A61="","",$J61)</f>
        <v/>
      </c>
      <c r="E61" s="43">
        <f>IF($A61="","",IF(LEFT($J61,2)="GH",$B$21,IFERROR(IF(INDEX(countries!$I:$I,MATCH($C61,countries!$D:$D,0))=0,$B$20,INDEX(countries!$I:$I,MATCH($C61,countries!$D:$D,0))),$B$20)))</f>
        <v/>
      </c>
      <c r="F61" s="41">
        <f>IF(OR($A61="",$B$29=""),"",$B$29-$E61/24)</f>
        <v/>
      </c>
      <c r="G61" s="42">
        <f>IF($F61="","",ROUND(($F61-NOW())*24,1))</f>
        <v/>
      </c>
      <c r="H61">
        <f>IF($A61="","",IF($G61&lt;0,"TOO LATE FOR STANDARD FILING",IF($G61&lt;24,"URGENT - SHORT NOTICE","OK")))</f>
        <v/>
      </c>
      <c r="J61">
        <f>IF($A61="","",IF($A61&lt;=$B$31,"OVF",IF($A61=$B$31+1,"LDG",IF($A61=$B$31+2,"GH (DESTINATION)","GH (DEPARTURE)"))))</f>
        <v/>
      </c>
    </row>
    <row r="62">
      <c r="A62">
        <f>IF(ROW()-38&gt;$B$31+2+IF($AA$9&lt;&gt;$AA$10,1,0),"",ROW()-38)</f>
        <v/>
      </c>
      <c r="B62">
        <f>IF($A62="","",IFERROR(INDEX(countries!$B:$B,MATCH($C62,countries!$D:$D,0)),$C62))</f>
        <v/>
      </c>
      <c r="C62">
        <f>IF($A62="","",IF($J62="OVF",INDEX(fiq_calc!$Q$2:$Q$143,MATCH($A62,fiq_calc!$U$2:$U$143,0)),IF($J62="GH (DEPARTURE)",$AA$9,$AA$10)))</f>
        <v/>
      </c>
      <c r="D62">
        <f>IF($A62="","",$J62)</f>
        <v/>
      </c>
      <c r="E62" s="43">
        <f>IF($A62="","",IF(LEFT($J62,2)="GH",$B$21,IFERROR(IF(INDEX(countries!$I:$I,MATCH($C62,countries!$D:$D,0))=0,$B$20,INDEX(countries!$I:$I,MATCH($C62,countries!$D:$D,0))),$B$20)))</f>
        <v/>
      </c>
      <c r="F62" s="41">
        <f>IF(OR($A62="",$B$29=""),"",$B$29-$E62/24)</f>
        <v/>
      </c>
      <c r="G62" s="42">
        <f>IF($F62="","",ROUND(($F62-NOW())*24,1))</f>
        <v/>
      </c>
      <c r="H62">
        <f>IF($A62="","",IF($G62&lt;0,"TOO LATE FOR STANDARD FILING",IF($G62&lt;24,"URGENT - SHORT NOTICE","OK")))</f>
        <v/>
      </c>
      <c r="J62">
        <f>IF($A62="","",IF($A62&lt;=$B$31,"OVF",IF($A62=$B$31+1,"LDG",IF($A62=$B$31+2,"GH (DESTINATION)","GH (DEPARTURE)"))))</f>
        <v/>
      </c>
    </row>
    <row r="63">
      <c r="A63">
        <f>IF(ROW()-38&gt;$B$31+2+IF($AA$9&lt;&gt;$AA$10,1,0),"",ROW()-38)</f>
        <v/>
      </c>
      <c r="B63">
        <f>IF($A63="","",IFERROR(INDEX(countries!$B:$B,MATCH($C63,countries!$D:$D,0)),$C63))</f>
        <v/>
      </c>
      <c r="C63">
        <f>IF($A63="","",IF($J63="OVF",INDEX(fiq_calc!$Q$2:$Q$143,MATCH($A63,fiq_calc!$U$2:$U$143,0)),IF($J63="GH (DEPARTURE)",$AA$9,$AA$10)))</f>
        <v/>
      </c>
      <c r="D63">
        <f>IF($A63="","",$J63)</f>
        <v/>
      </c>
      <c r="E63" s="43">
        <f>IF($A63="","",IF(LEFT($J63,2)="GH",$B$21,IFERROR(IF(INDEX(countries!$I:$I,MATCH($C63,countries!$D:$D,0))=0,$B$20,INDEX(countries!$I:$I,MATCH($C63,countries!$D:$D,0))),$B$20)))</f>
        <v/>
      </c>
      <c r="F63" s="41">
        <f>IF(OR($A63="",$B$29=""),"",$B$29-$E63/24)</f>
        <v/>
      </c>
      <c r="G63" s="42">
        <f>IF($F63="","",ROUND(($F63-NOW())*24,1))</f>
        <v/>
      </c>
      <c r="H63">
        <f>IF($A63="","",IF($G63&lt;0,"TOO LATE FOR STANDARD FILING",IF($G63&lt;24,"URGENT - SHORT NOTICE","OK")))</f>
        <v/>
      </c>
      <c r="J63">
        <f>IF($A63="","",IF($A63&lt;=$B$31,"OVF",IF($A63=$B$31+1,"LDG",IF($A63=$B$31+2,"GH (DESTINATION)","GH (DEPARTURE)"))))</f>
        <v/>
      </c>
    </row>
    <row r="64">
      <c r="A64">
        <f>IF(ROW()-38&gt;$B$31+2+IF($AA$9&lt;&gt;$AA$10,1,0),"",ROW()-38)</f>
        <v/>
      </c>
      <c r="B64">
        <f>IF($A64="","",IFERROR(INDEX(countries!$B:$B,MATCH($C64,countries!$D:$D,0)),$C64))</f>
        <v/>
      </c>
      <c r="C64">
        <f>IF($A64="","",IF($J64="OVF",INDEX(fiq_calc!$Q$2:$Q$143,MATCH($A64,fiq_calc!$U$2:$U$143,0)),IF($J64="GH (DEPARTURE)",$AA$9,$AA$10)))</f>
        <v/>
      </c>
      <c r="D64">
        <f>IF($A64="","",$J64)</f>
        <v/>
      </c>
      <c r="E64" s="43">
        <f>IF($A64="","",IF(LEFT($J64,2)="GH",$B$21,IFERROR(IF(INDEX(countries!$I:$I,MATCH($C64,countries!$D:$D,0))=0,$B$20,INDEX(countries!$I:$I,MATCH($C64,countries!$D:$D,0))),$B$20)))</f>
        <v/>
      </c>
      <c r="F64" s="41">
        <f>IF(OR($A64="",$B$29=""),"",$B$29-$E64/24)</f>
        <v/>
      </c>
      <c r="G64" s="42">
        <f>IF($F64="","",ROUND(($F64-NOW())*24,1))</f>
        <v/>
      </c>
      <c r="H64">
        <f>IF($A64="","",IF($G64&lt;0,"TOO LATE FOR STANDARD FILING",IF($G64&lt;24,"URGENT - SHORT NOTICE","OK")))</f>
        <v/>
      </c>
      <c r="J64">
        <f>IF($A64="","",IF($A64&lt;=$B$31,"OVF",IF($A64=$B$31+1,"LDG",IF($A64=$B$31+2,"GH (DESTINATION)","GH (DEPARTURE)"))))</f>
        <v/>
      </c>
    </row>
    <row r="65">
      <c r="A65">
        <f>IF(ROW()-38&gt;$B$31+2+IF($AA$9&lt;&gt;$AA$10,1,0),"",ROW()-38)</f>
        <v/>
      </c>
      <c r="B65">
        <f>IF($A65="","",IFERROR(INDEX(countries!$B:$B,MATCH($C65,countries!$D:$D,0)),$C65))</f>
        <v/>
      </c>
      <c r="C65">
        <f>IF($A65="","",IF($J65="OVF",INDEX(fiq_calc!$Q$2:$Q$143,MATCH($A65,fiq_calc!$U$2:$U$143,0)),IF($J65="GH (DEPARTURE)",$AA$9,$AA$10)))</f>
        <v/>
      </c>
      <c r="D65">
        <f>IF($A65="","",$J65)</f>
        <v/>
      </c>
      <c r="E65" s="43">
        <f>IF($A65="","",IF(LEFT($J65,2)="GH",$B$21,IFERROR(IF(INDEX(countries!$I:$I,MATCH($C65,countries!$D:$D,0))=0,$B$20,INDEX(countries!$I:$I,MATCH($C65,countries!$D:$D,0))),$B$20)))</f>
        <v/>
      </c>
      <c r="F65" s="41">
        <f>IF(OR($A65="",$B$29=""),"",$B$29-$E65/24)</f>
        <v/>
      </c>
      <c r="G65" s="42">
        <f>IF($F65="","",ROUND(($F65-NOW())*24,1))</f>
        <v/>
      </c>
      <c r="H65">
        <f>IF($A65="","",IF($G65&lt;0,"TOO LATE FOR STANDARD FILING",IF($G65&lt;24,"URGENT - SHORT NOTICE","OK")))</f>
        <v/>
      </c>
      <c r="J65">
        <f>IF($A65="","",IF($A65&lt;=$B$31,"OVF",IF($A65=$B$31+1,"LDG",IF($A65=$B$31+2,"GH (DESTINATION)","GH (DEPARTURE)"))))</f>
        <v/>
      </c>
    </row>
    <row r="66">
      <c r="A66">
        <f>IF(ROW()-38&gt;$B$31+2+IF($AA$9&lt;&gt;$AA$10,1,0),"",ROW()-38)</f>
        <v/>
      </c>
      <c r="B66">
        <f>IF($A66="","",IFERROR(INDEX(countries!$B:$B,MATCH($C66,countries!$D:$D,0)),$C66))</f>
        <v/>
      </c>
      <c r="C66">
        <f>IF($A66="","",IF($J66="OVF",INDEX(fiq_calc!$Q$2:$Q$143,MATCH($A66,fiq_calc!$U$2:$U$143,0)),IF($J66="GH (DEPARTURE)",$AA$9,$AA$10)))</f>
        <v/>
      </c>
      <c r="D66">
        <f>IF($A66="","",$J66)</f>
        <v/>
      </c>
      <c r="E66" s="43">
        <f>IF($A66="","",IF(LEFT($J66,2)="GH",$B$21,IFERROR(IF(INDEX(countries!$I:$I,MATCH($C66,countries!$D:$D,0))=0,$B$20,INDEX(countries!$I:$I,MATCH($C66,countries!$D:$D,0))),$B$20)))</f>
        <v/>
      </c>
      <c r="F66" s="41">
        <f>IF(OR($A66="",$B$29=""),"",$B$29-$E66/24)</f>
        <v/>
      </c>
      <c r="G66" s="42">
        <f>IF($F66="","",ROUND(($F66-NOW())*24,1))</f>
        <v/>
      </c>
      <c r="H66">
        <f>IF($A66="","",IF($G66&lt;0,"TOO LATE FOR STANDARD FILING",IF($G66&lt;24,"URGENT - SHORT NOTICE","OK")))</f>
        <v/>
      </c>
      <c r="J66">
        <f>IF($A66="","",IF($A66&lt;=$B$31,"OVF",IF($A66=$B$31+1,"LDG",IF($A66=$B$31+2,"GH (DESTINATION)","GH (DEPARTURE)"))))</f>
        <v/>
      </c>
    </row>
    <row r="67">
      <c r="A67">
        <f>IF(ROW()-38&gt;$B$31+2+IF($AA$9&lt;&gt;$AA$10,1,0),"",ROW()-38)</f>
        <v/>
      </c>
      <c r="B67">
        <f>IF($A67="","",IFERROR(INDEX(countries!$B:$B,MATCH($C67,countries!$D:$D,0)),$C67))</f>
        <v/>
      </c>
      <c r="C67">
        <f>IF($A67="","",IF($J67="OVF",INDEX(fiq_calc!$Q$2:$Q$143,MATCH($A67,fiq_calc!$U$2:$U$143,0)),IF($J67="GH (DEPARTURE)",$AA$9,$AA$10)))</f>
        <v/>
      </c>
      <c r="D67">
        <f>IF($A67="","",$J67)</f>
        <v/>
      </c>
      <c r="E67" s="43">
        <f>IF($A67="","",IF(LEFT($J67,2)="GH",$B$21,IFERROR(IF(INDEX(countries!$I:$I,MATCH($C67,countries!$D:$D,0))=0,$B$20,INDEX(countries!$I:$I,MATCH($C67,countries!$D:$D,0))),$B$20)))</f>
        <v/>
      </c>
      <c r="F67" s="41">
        <f>IF(OR($A67="",$B$29=""),"",$B$29-$E67/24)</f>
        <v/>
      </c>
      <c r="G67" s="42">
        <f>IF($F67="","",ROUND(($F67-NOW())*24,1))</f>
        <v/>
      </c>
      <c r="H67">
        <f>IF($A67="","",IF($G67&lt;0,"TOO LATE FOR STANDARD FILING",IF($G67&lt;24,"URGENT - SHORT NOTICE","OK")))</f>
        <v/>
      </c>
      <c r="J67">
        <f>IF($A67="","",IF($A67&lt;=$B$31,"OVF",IF($A67=$B$31+1,"LDG",IF($A67=$B$31+2,"GH (DESTINATION)","GH (DEPARTURE)"))))</f>
        <v/>
      </c>
    </row>
    <row r="68">
      <c r="A68">
        <f>IF(ROW()-38&gt;$B$31+2+IF($AA$9&lt;&gt;$AA$10,1,0),"",ROW()-38)</f>
        <v/>
      </c>
      <c r="B68">
        <f>IF($A68="","",IFERROR(INDEX(countries!$B:$B,MATCH($C68,countries!$D:$D,0)),$C68))</f>
        <v/>
      </c>
      <c r="C68">
        <f>IF($A68="","",IF($J68="OVF",INDEX(fiq_calc!$Q$2:$Q$143,MATCH($A68,fiq_calc!$U$2:$U$143,0)),IF($J68="GH (DEPARTURE)",$AA$9,$AA$10)))</f>
        <v/>
      </c>
      <c r="D68">
        <f>IF($A68="","",$J68)</f>
        <v/>
      </c>
      <c r="E68" s="43">
        <f>IF($A68="","",IF(LEFT($J68,2)="GH",$B$21,IFERROR(IF(INDEX(countries!$I:$I,MATCH($C68,countries!$D:$D,0))=0,$B$20,INDEX(countries!$I:$I,MATCH($C68,countries!$D:$D,0))),$B$20)))</f>
        <v/>
      </c>
      <c r="F68" s="41">
        <f>IF(OR($A68="",$B$29=""),"",$B$29-$E68/24)</f>
        <v/>
      </c>
      <c r="G68" s="42">
        <f>IF($F68="","",ROUND(($F68-NOW())*24,1))</f>
        <v/>
      </c>
      <c r="H68">
        <f>IF($A68="","",IF($G68&lt;0,"TOO LATE FOR STANDARD FILING",IF($G68&lt;24,"URGENT - SHORT NOTICE","OK")))</f>
        <v/>
      </c>
      <c r="J68">
        <f>IF($A68="","",IF($A68&lt;=$B$31,"OVF",IF($A68=$B$31+1,"LDG",IF($A68=$B$31+2,"GH (DESTINATION)","GH (DEPARTURE)"))))</f>
        <v/>
      </c>
    </row>
    <row r="69">
      <c r="A69">
        <f>IF(ROW()-38&gt;$B$31+2+IF($AA$9&lt;&gt;$AA$10,1,0),"",ROW()-38)</f>
        <v/>
      </c>
      <c r="B69">
        <f>IF($A69="","",IFERROR(INDEX(countries!$B:$B,MATCH($C69,countries!$D:$D,0)),$C69))</f>
        <v/>
      </c>
      <c r="C69">
        <f>IF($A69="","",IF($J69="OVF",INDEX(fiq_calc!$Q$2:$Q$143,MATCH($A69,fiq_calc!$U$2:$U$143,0)),IF($J69="GH (DEPARTURE)",$AA$9,$AA$10)))</f>
        <v/>
      </c>
      <c r="D69">
        <f>IF($A69="","",$J69)</f>
        <v/>
      </c>
      <c r="E69" s="43">
        <f>IF($A69="","",IF(LEFT($J69,2)="GH",$B$21,IFERROR(IF(INDEX(countries!$I:$I,MATCH($C69,countries!$D:$D,0))=0,$B$20,INDEX(countries!$I:$I,MATCH($C69,countries!$D:$D,0))),$B$20)))</f>
        <v/>
      </c>
      <c r="F69" s="41">
        <f>IF(OR($A69="",$B$29=""),"",$B$29-$E69/24)</f>
        <v/>
      </c>
      <c r="G69" s="42">
        <f>IF($F69="","",ROUND(($F69-NOW())*24,1))</f>
        <v/>
      </c>
      <c r="H69">
        <f>IF($A69="","",IF($G69&lt;0,"TOO LATE FOR STANDARD FILING",IF($G69&lt;24,"URGENT - SHORT NOTICE","OK")))</f>
        <v/>
      </c>
      <c r="J69">
        <f>IF($A69="","",IF($A69&lt;=$B$31,"OVF",IF($A69=$B$31+1,"LDG",IF($A69=$B$31+2,"GH (DESTINATION)","GH (DEPARTURE)"))))</f>
        <v/>
      </c>
    </row>
    <row r="70">
      <c r="A70">
        <f>IF(ROW()-38&gt;$B$31+2+IF($AA$9&lt;&gt;$AA$10,1,0),"",ROW()-38)</f>
        <v/>
      </c>
      <c r="B70">
        <f>IF($A70="","",IFERROR(INDEX(countries!$B:$B,MATCH($C70,countries!$D:$D,0)),$C70))</f>
        <v/>
      </c>
      <c r="C70">
        <f>IF($A70="","",IF($J70="OVF",INDEX(fiq_calc!$Q$2:$Q$143,MATCH($A70,fiq_calc!$U$2:$U$143,0)),IF($J70="GH (DEPARTURE)",$AA$9,$AA$10)))</f>
        <v/>
      </c>
      <c r="D70">
        <f>IF($A70="","",$J70)</f>
        <v/>
      </c>
      <c r="E70" s="43">
        <f>IF($A70="","",IF(LEFT($J70,2)="GH",$B$21,IFERROR(IF(INDEX(countries!$I:$I,MATCH($C70,countries!$D:$D,0))=0,$B$20,INDEX(countries!$I:$I,MATCH($C70,countries!$D:$D,0))),$B$20)))</f>
        <v/>
      </c>
      <c r="F70" s="41">
        <f>IF(OR($A70="",$B$29=""),"",$B$29-$E70/24)</f>
        <v/>
      </c>
      <c r="G70" s="42">
        <f>IF($F70="","",ROUND(($F70-NOW())*24,1))</f>
        <v/>
      </c>
      <c r="H70">
        <f>IF($A70="","",IF($G70&lt;0,"TOO LATE FOR STANDARD FILING",IF($G70&lt;24,"URGENT - SHORT NOTICE","OK")))</f>
        <v/>
      </c>
      <c r="J70">
        <f>IF($A70="","",IF($A70&lt;=$B$31,"OVF",IF($A70=$B$31+1,"LDG",IF($A70=$B$31+2,"GH (DESTINATION)","GH (DEPARTURE)"))))</f>
        <v/>
      </c>
    </row>
    <row r="71">
      <c r="A71">
        <f>IF(ROW()-38&gt;$B$31+2+IF($AA$9&lt;&gt;$AA$10,1,0),"",ROW()-38)</f>
        <v/>
      </c>
      <c r="B71">
        <f>IF($A71="","",IFERROR(INDEX(countries!$B:$B,MATCH($C71,countries!$D:$D,0)),$C71))</f>
        <v/>
      </c>
      <c r="C71">
        <f>IF($A71="","",IF($J71="OVF",INDEX(fiq_calc!$Q$2:$Q$143,MATCH($A71,fiq_calc!$U$2:$U$143,0)),IF($J71="GH (DEPARTURE)",$AA$9,$AA$10)))</f>
        <v/>
      </c>
      <c r="D71">
        <f>IF($A71="","",$J71)</f>
        <v/>
      </c>
      <c r="E71" s="43">
        <f>IF($A71="","",IF(LEFT($J71,2)="GH",$B$21,IFERROR(IF(INDEX(countries!$I:$I,MATCH($C71,countries!$D:$D,0))=0,$B$20,INDEX(countries!$I:$I,MATCH($C71,countries!$D:$D,0))),$B$20)))</f>
        <v/>
      </c>
      <c r="F71" s="41">
        <f>IF(OR($A71="",$B$29=""),"",$B$29-$E71/24)</f>
        <v/>
      </c>
      <c r="G71" s="42">
        <f>IF($F71="","",ROUND(($F71-NOW())*24,1))</f>
        <v/>
      </c>
      <c r="H71">
        <f>IF($A71="","",IF($G71&lt;0,"TOO LATE FOR STANDARD FILING",IF($G71&lt;24,"URGENT - SHORT NOTICE","OK")))</f>
        <v/>
      </c>
      <c r="J71">
        <f>IF($A71="","",IF($A71&lt;=$B$31,"OVF",IF($A71=$B$31+1,"LDG",IF($A71=$B$31+2,"GH (DESTINATION)","GH (DEPARTURE)"))))</f>
        <v/>
      </c>
    </row>
    <row r="72">
      <c r="A72">
        <f>IF(ROW()-38&gt;$B$31+2+IF($AA$9&lt;&gt;$AA$10,1,0),"",ROW()-38)</f>
        <v/>
      </c>
      <c r="B72">
        <f>IF($A72="","",IFERROR(INDEX(countries!$B:$B,MATCH($C72,countries!$D:$D,0)),$C72))</f>
        <v/>
      </c>
      <c r="C72">
        <f>IF($A72="","",IF($J72="OVF",INDEX(fiq_calc!$Q$2:$Q$143,MATCH($A72,fiq_calc!$U$2:$U$143,0)),IF($J72="GH (DEPARTURE)",$AA$9,$AA$10)))</f>
        <v/>
      </c>
      <c r="D72">
        <f>IF($A72="","",$J72)</f>
        <v/>
      </c>
      <c r="E72" s="43">
        <f>IF($A72="","",IF(LEFT($J72,2)="GH",$B$21,IFERROR(IF(INDEX(countries!$I:$I,MATCH($C72,countries!$D:$D,0))=0,$B$20,INDEX(countries!$I:$I,MATCH($C72,countries!$D:$D,0))),$B$20)))</f>
        <v/>
      </c>
      <c r="F72" s="41">
        <f>IF(OR($A72="",$B$29=""),"",$B$29-$E72/24)</f>
        <v/>
      </c>
      <c r="G72" s="42">
        <f>IF($F72="","",ROUND(($F72-NOW())*24,1))</f>
        <v/>
      </c>
      <c r="H72">
        <f>IF($A72="","",IF($G72&lt;0,"TOO LATE FOR STANDARD FILING",IF($G72&lt;24,"URGENT - SHORT NOTICE","OK")))</f>
        <v/>
      </c>
      <c r="J72">
        <f>IF($A72="","",IF($A72&lt;=$B$31,"OVF",IF($A72=$B$31+1,"LDG",IF($A72=$B$31+2,"GH (DESTINATION)","GH (DEPARTURE)"))))</f>
        <v/>
      </c>
    </row>
    <row r="73">
      <c r="A73">
        <f>IF(ROW()-38&gt;$B$31+2+IF($AA$9&lt;&gt;$AA$10,1,0),"",ROW()-38)</f>
        <v/>
      </c>
      <c r="B73">
        <f>IF($A73="","",IFERROR(INDEX(countries!$B:$B,MATCH($C73,countries!$D:$D,0)),$C73))</f>
        <v/>
      </c>
      <c r="C73">
        <f>IF($A73="","",IF($J73="OVF",INDEX(fiq_calc!$Q$2:$Q$143,MATCH($A73,fiq_calc!$U$2:$U$143,0)),IF($J73="GH (DEPARTURE)",$AA$9,$AA$10)))</f>
        <v/>
      </c>
      <c r="D73">
        <f>IF($A73="","",$J73)</f>
        <v/>
      </c>
      <c r="E73" s="43">
        <f>IF($A73="","",IF(LEFT($J73,2)="GH",$B$21,IFERROR(IF(INDEX(countries!$I:$I,MATCH($C73,countries!$D:$D,0))=0,$B$20,INDEX(countries!$I:$I,MATCH($C73,countries!$D:$D,0))),$B$20)))</f>
        <v/>
      </c>
      <c r="F73" s="41">
        <f>IF(OR($A73="",$B$29=""),"",$B$29-$E73/24)</f>
        <v/>
      </c>
      <c r="G73" s="42">
        <f>IF($F73="","",ROUND(($F73-NOW())*24,1))</f>
        <v/>
      </c>
      <c r="H73">
        <f>IF($A73="","",IF($G73&lt;0,"TOO LATE FOR STANDARD FILING",IF($G73&lt;24,"URGENT - SHORT NOTICE","OK")))</f>
        <v/>
      </c>
      <c r="J73">
        <f>IF($A73="","",IF($A73&lt;=$B$31,"OVF",IF($A73=$B$31+1,"LDG",IF($A73=$B$31+2,"GH (DESTINATION)","GH (DEPARTURE)"))))</f>
        <v/>
      </c>
    </row>
    <row r="74">
      <c r="A74">
        <f>IF(ROW()-38&gt;$B$31+2+IF($AA$9&lt;&gt;$AA$10,1,0),"",ROW()-38)</f>
        <v/>
      </c>
      <c r="B74">
        <f>IF($A74="","",IFERROR(INDEX(countries!$B:$B,MATCH($C74,countries!$D:$D,0)),$C74))</f>
        <v/>
      </c>
      <c r="C74">
        <f>IF($A74="","",IF($J74="OVF",INDEX(fiq_calc!$Q$2:$Q$143,MATCH($A74,fiq_calc!$U$2:$U$143,0)),IF($J74="GH (DEPARTURE)",$AA$9,$AA$10)))</f>
        <v/>
      </c>
      <c r="D74">
        <f>IF($A74="","",$J74)</f>
        <v/>
      </c>
      <c r="E74" s="43">
        <f>IF($A74="","",IF(LEFT($J74,2)="GH",$B$21,IFERROR(IF(INDEX(countries!$I:$I,MATCH($C74,countries!$D:$D,0))=0,$B$20,INDEX(countries!$I:$I,MATCH($C74,countries!$D:$D,0))),$B$20)))</f>
        <v/>
      </c>
      <c r="F74" s="41">
        <f>IF(OR($A74="",$B$29=""),"",$B$29-$E74/24)</f>
        <v/>
      </c>
      <c r="G74" s="42">
        <f>IF($F74="","",ROUND(($F74-NOW())*24,1))</f>
        <v/>
      </c>
      <c r="H74">
        <f>IF($A74="","",IF($G74&lt;0,"TOO LATE FOR STANDARD FILING",IF($G74&lt;24,"URGENT - SHORT NOTICE","OK")))</f>
        <v/>
      </c>
      <c r="J74">
        <f>IF($A74="","",IF($A74&lt;=$B$31,"OVF",IF($A74=$B$31+1,"LDG",IF($A74=$B$31+2,"GH (DESTINATION)","GH (DEPARTURE)"))))</f>
        <v/>
      </c>
    </row>
    <row r="75">
      <c r="A75">
        <f>IF(ROW()-38&gt;$B$31+2+IF($AA$9&lt;&gt;$AA$10,1,0),"",ROW()-38)</f>
        <v/>
      </c>
      <c r="B75">
        <f>IF($A75="","",IFERROR(INDEX(countries!$B:$B,MATCH($C75,countries!$D:$D,0)),$C75))</f>
        <v/>
      </c>
      <c r="C75">
        <f>IF($A75="","",IF($J75="OVF",INDEX(fiq_calc!$Q$2:$Q$143,MATCH($A75,fiq_calc!$U$2:$U$143,0)),IF($J75="GH (DEPARTURE)",$AA$9,$AA$10)))</f>
        <v/>
      </c>
      <c r="D75">
        <f>IF($A75="","",$J75)</f>
        <v/>
      </c>
      <c r="E75" s="43">
        <f>IF($A75="","",IF(LEFT($J75,2)="GH",$B$21,IFERROR(IF(INDEX(countries!$I:$I,MATCH($C75,countries!$D:$D,0))=0,$B$20,INDEX(countries!$I:$I,MATCH($C75,countries!$D:$D,0))),$B$20)))</f>
        <v/>
      </c>
      <c r="F75" s="41">
        <f>IF(OR($A75="",$B$29=""),"",$B$29-$E75/24)</f>
        <v/>
      </c>
      <c r="G75" s="42">
        <f>IF($F75="","",ROUND(($F75-NOW())*24,1))</f>
        <v/>
      </c>
      <c r="H75">
        <f>IF($A75="","",IF($G75&lt;0,"TOO LATE FOR STANDARD FILING",IF($G75&lt;24,"URGENT - SHORT NOTICE","OK")))</f>
        <v/>
      </c>
      <c r="J75">
        <f>IF($A75="","",IF($A75&lt;=$B$31,"OVF",IF($A75=$B$31+1,"LDG",IF($A75=$B$31+2,"GH (DESTINATION)","GH (DEPARTURE)"))))</f>
        <v/>
      </c>
    </row>
    <row r="76">
      <c r="A76">
        <f>IF(ROW()-38&gt;$B$31+2+IF($AA$9&lt;&gt;$AA$10,1,0),"",ROW()-38)</f>
        <v/>
      </c>
      <c r="B76">
        <f>IF($A76="","",IFERROR(INDEX(countries!$B:$B,MATCH($C76,countries!$D:$D,0)),$C76))</f>
        <v/>
      </c>
      <c r="C76">
        <f>IF($A76="","",IF($J76="OVF",INDEX(fiq_calc!$Q$2:$Q$143,MATCH($A76,fiq_calc!$U$2:$U$143,0)),IF($J76="GH (DEPARTURE)",$AA$9,$AA$10)))</f>
        <v/>
      </c>
      <c r="D76">
        <f>IF($A76="","",$J76)</f>
        <v/>
      </c>
      <c r="E76" s="43">
        <f>IF($A76="","",IF(LEFT($J76,2)="GH",$B$21,IFERROR(IF(INDEX(countries!$I:$I,MATCH($C76,countries!$D:$D,0))=0,$B$20,INDEX(countries!$I:$I,MATCH($C76,countries!$D:$D,0))),$B$20)))</f>
        <v/>
      </c>
      <c r="F76" s="41">
        <f>IF(OR($A76="",$B$29=""),"",$B$29-$E76/24)</f>
        <v/>
      </c>
      <c r="G76" s="42">
        <f>IF($F76="","",ROUND(($F76-NOW())*24,1))</f>
        <v/>
      </c>
      <c r="H76">
        <f>IF($A76="","",IF($G76&lt;0,"TOO LATE FOR STANDARD FILING",IF($G76&lt;24,"URGENT - SHORT NOTICE","OK")))</f>
        <v/>
      </c>
      <c r="J76">
        <f>IF($A76="","",IF($A76&lt;=$B$31,"OVF",IF($A76=$B$31+1,"LDG",IF($A76=$B$31+2,"GH (DESTINATION)","GH (DEPARTURE)"))))</f>
        <v/>
      </c>
    </row>
    <row r="77">
      <c r="A77">
        <f>IF(ROW()-38&gt;$B$31+2+IF($AA$9&lt;&gt;$AA$10,1,0),"",ROW()-38)</f>
        <v/>
      </c>
      <c r="B77">
        <f>IF($A77="","",IFERROR(INDEX(countries!$B:$B,MATCH($C77,countries!$D:$D,0)),$C77))</f>
        <v/>
      </c>
      <c r="C77">
        <f>IF($A77="","",IF($J77="OVF",INDEX(fiq_calc!$Q$2:$Q$143,MATCH($A77,fiq_calc!$U$2:$U$143,0)),IF($J77="GH (DEPARTURE)",$AA$9,$AA$10)))</f>
        <v/>
      </c>
      <c r="D77">
        <f>IF($A77="","",$J77)</f>
        <v/>
      </c>
      <c r="E77" s="43">
        <f>IF($A77="","",IF(LEFT($J77,2)="GH",$B$21,IFERROR(IF(INDEX(countries!$I:$I,MATCH($C77,countries!$D:$D,0))=0,$B$20,INDEX(countries!$I:$I,MATCH($C77,countries!$D:$D,0))),$B$20)))</f>
        <v/>
      </c>
      <c r="F77" s="41">
        <f>IF(OR($A77="",$B$29=""),"",$B$29-$E77/24)</f>
        <v/>
      </c>
      <c r="G77" s="42">
        <f>IF($F77="","",ROUND(($F77-NOW())*24,1))</f>
        <v/>
      </c>
      <c r="H77">
        <f>IF($A77="","",IF($G77&lt;0,"TOO LATE FOR STANDARD FILING",IF($G77&lt;24,"URGENT - SHORT NOTICE","OK")))</f>
        <v/>
      </c>
      <c r="J77">
        <f>IF($A77="","",IF($A77&lt;=$B$31,"OVF",IF($A77=$B$31+1,"LDG",IF($A77=$B$31+2,"GH (DESTINATION)","GH (DEPARTURE)"))))</f>
        <v/>
      </c>
    </row>
    <row r="78">
      <c r="A78">
        <f>IF(ROW()-38&gt;$B$31+2+IF($AA$9&lt;&gt;$AA$10,1,0),"",ROW()-38)</f>
        <v/>
      </c>
      <c r="B78">
        <f>IF($A78="","",IFERROR(INDEX(countries!$B:$B,MATCH($C78,countries!$D:$D,0)),$C78))</f>
        <v/>
      </c>
      <c r="C78">
        <f>IF($A78="","",IF($J78="OVF",INDEX(fiq_calc!$Q$2:$Q$143,MATCH($A78,fiq_calc!$U$2:$U$143,0)),IF($J78="GH (DEPARTURE)",$AA$9,$AA$10)))</f>
        <v/>
      </c>
      <c r="D78">
        <f>IF($A78="","",$J78)</f>
        <v/>
      </c>
      <c r="E78" s="43">
        <f>IF($A78="","",IF(LEFT($J78,2)="GH",$B$21,IFERROR(IF(INDEX(countries!$I:$I,MATCH($C78,countries!$D:$D,0))=0,$B$20,INDEX(countries!$I:$I,MATCH($C78,countries!$D:$D,0))),$B$20)))</f>
        <v/>
      </c>
      <c r="F78" s="41">
        <f>IF(OR($A78="",$B$29=""),"",$B$29-$E78/24)</f>
        <v/>
      </c>
      <c r="G78" s="42">
        <f>IF($F78="","",ROUND(($F78-NOW())*24,1))</f>
        <v/>
      </c>
      <c r="H78">
        <f>IF($A78="","",IF($G78&lt;0,"TOO LATE FOR STANDARD FILING",IF($G78&lt;24,"URGENT - SHORT NOTICE","OK")))</f>
        <v/>
      </c>
      <c r="J78">
        <f>IF($A78="","",IF($A78&lt;=$B$31,"OVF",IF($A78=$B$31+1,"LDG",IF($A78=$B$31+2,"GH (DESTINATION)","GH (DEPARTURE)"))))</f>
        <v/>
      </c>
    </row>
    <row r="81">
      <c r="A81" s="25" t="inlineStr">
        <is>
          <t>5 · SUBMIT TO JTL</t>
        </is>
      </c>
      <c r="B81" s="25" t="n"/>
      <c r="C81" s="25" t="n"/>
      <c r="D81" s="25" t="n"/>
      <c r="E81" s="25" t="n"/>
      <c r="F81" s="25" t="n"/>
      <c r="G81" s="25" t="n"/>
      <c r="H81" s="25" t="n"/>
    </row>
    <row r="82">
      <c r="A82" s="1" t="inlineStr">
        <is>
          <t>REQUEST ID</t>
        </is>
      </c>
      <c r="B82">
        <f>IF(OR($B$7="",$B$11="",$B$8=""),"","FIQ-"&amp;TEXT($B$8,"yymmdd")&amp;"-"&amp;UPPER($B$7)&amp;UPPER($B$11))</f>
        <v/>
      </c>
    </row>
    <row r="83">
      <c r="A83" s="1" t="inlineStr">
        <is>
          <t>SUBMIT STATUS</t>
        </is>
      </c>
      <c r="B83" s="4" t="inlineStr">
        <is>
          <t>DRAFT</t>
        </is>
      </c>
    </row>
    <row r="84">
      <c r="A84" s="1" t="inlineStr">
        <is>
          <t>SUBMITTED ON (UTC)</t>
        </is>
      </c>
      <c r="B84" s="50" t="n"/>
    </row>
    <row r="85">
      <c r="A85" s="1" t="inlineStr">
        <is>
          <t>JTL REFERENCE (filled by JTL)</t>
        </is>
      </c>
      <c r="B85" s="4" t="n"/>
    </row>
    <row r="86">
      <c r="A86" s="1" t="inlineStr">
        <is>
          <t>JTL STATUS (filled by JTL)</t>
        </is>
      </c>
      <c r="B86" s="4" t="n"/>
    </row>
    <row r="87">
      <c r="A87" s="1" t="inlineStr">
        <is>
          <t>MESSAGE TO JTL</t>
        </is>
      </c>
      <c r="B87" s="4" t="n"/>
    </row>
    <row r="89">
      <c r="A89" s="55" t="inlineStr">
        <is>
          <t>REGISTER RECORD — when SUBMIT STATUS is SUBMITTED, copy row 92 and paste-special as VALUES into the next free row on the mayfly sheet. An Excel add-in cannot post this automatically.</t>
        </is>
      </c>
    </row>
    <row r="90">
      <c r="A90" s="25" t="inlineStr">
        <is>
          <t>TRIP INFORMATION</t>
        </is>
      </c>
      <c r="B90" s="24" t="n"/>
      <c r="C90" s="24" t="n"/>
      <c r="D90" s="24" t="n"/>
      <c r="E90" s="24" t="n"/>
      <c r="F90" s="24" t="n"/>
      <c r="G90" s="24" t="n"/>
      <c r="H90" s="24" t="n"/>
      <c r="I90" s="24" t="n"/>
      <c r="J90" s="24" t="n"/>
      <c r="K90" s="24" t="n"/>
      <c r="L90" s="24" t="n"/>
      <c r="M90" s="24" t="n"/>
      <c r="N90" s="24" t="n"/>
      <c r="O90" s="24" t="n"/>
      <c r="P90" s="24" t="n"/>
      <c r="Q90" s="24" t="n"/>
      <c r="R90" s="24" t="n"/>
      <c r="S90" s="56" t="inlineStr">
        <is>
          <t>LEG INFORMATION</t>
        </is>
      </c>
      <c r="T90" s="56" t="n"/>
      <c r="U90" s="56" t="n"/>
      <c r="V90" s="56" t="n"/>
      <c r="W90" s="56" t="n"/>
      <c r="X90" s="56" t="n"/>
      <c r="Y90" s="56" t="n"/>
      <c r="Z90" s="56" t="n"/>
      <c r="AA90" s="56" t="n"/>
      <c r="AB90" s="56" t="n"/>
      <c r="AC90" s="56" t="n"/>
      <c r="AD90" s="56" t="n"/>
      <c r="AE90" s="56" t="n"/>
      <c r="AF90" s="56" t="n"/>
      <c r="AG90" s="56" t="n"/>
      <c r="AH90" s="56" t="n"/>
      <c r="AI90" s="56" t="n"/>
      <c r="AJ90" s="56" t="n"/>
      <c r="AK90" s="56" t="n"/>
      <c r="AL90" s="56" t="n"/>
      <c r="AM90" s="56" t="n"/>
      <c r="AN90" s="56" t="n"/>
      <c r="AO90" s="56" t="n"/>
      <c r="AP90" s="56" t="n"/>
      <c r="AQ90" s="56" t="n"/>
      <c r="AR90" s="56" t="n"/>
    </row>
    <row r="91">
      <c r="A91" s="33" t="inlineStr">
        <is>
          <t>trip_ref</t>
        </is>
      </c>
      <c r="B91" s="33" t="inlineStr">
        <is>
          <t>source</t>
        </is>
      </c>
      <c r="C91" s="33" t="inlineStr">
        <is>
          <t>trip_status</t>
        </is>
      </c>
      <c r="D91" s="33" t="inlineStr">
        <is>
          <t>owner</t>
        </is>
      </c>
      <c r="E91" s="33" t="inlineStr">
        <is>
          <t>request_date</t>
        </is>
      </c>
      <c r="F91" s="33" t="inlineStr">
        <is>
          <t>requester_company</t>
        </is>
      </c>
      <c r="G91" s="33" t="inlineStr">
        <is>
          <t>requester_name</t>
        </is>
      </c>
      <c r="H91" s="33" t="inlineStr">
        <is>
          <t>requester_email</t>
        </is>
      </c>
      <c r="I91" s="33" t="inlineStr">
        <is>
          <t>requester_phone</t>
        </is>
      </c>
      <c r="J91" s="33" t="inlineStr">
        <is>
          <t>operator_id</t>
        </is>
      </c>
      <c r="K91" s="33" t="inlineStr">
        <is>
          <t>operator_name</t>
        </is>
      </c>
      <c r="L91" s="33" t="inlineStr">
        <is>
          <t>bill_to_client_id</t>
        </is>
      </c>
      <c r="M91" s="33" t="inlineStr">
        <is>
          <t>aircraft_type</t>
        </is>
      </c>
      <c r="N91" s="33" t="inlineStr">
        <is>
          <t>registration</t>
        </is>
      </c>
      <c r="O91" s="33" t="inlineStr">
        <is>
          <t>total_legs</t>
        </is>
      </c>
      <c r="P91" s="33" t="inlineStr">
        <is>
          <t>trip_feasibility</t>
        </is>
      </c>
      <c r="Q91" s="33" t="inlineStr">
        <is>
          <t>last_update</t>
        </is>
      </c>
      <c r="R91" s="33" t="inlineStr">
        <is>
          <t>trip_notes</t>
        </is>
      </c>
      <c r="S91" s="58" t="inlineStr">
        <is>
          <t>leg_no</t>
        </is>
      </c>
      <c r="T91" s="58" t="inlineStr">
        <is>
          <t>leg_ref</t>
        </is>
      </c>
      <c r="U91" s="58" t="inlineStr">
        <is>
          <t>dep_icao</t>
        </is>
      </c>
      <c r="V91" s="58" t="inlineStr">
        <is>
          <t>dep_name</t>
        </is>
      </c>
      <c r="W91" s="58" t="inlineStr">
        <is>
          <t>dep_country</t>
        </is>
      </c>
      <c r="X91" s="58" t="inlineStr">
        <is>
          <t>etd_utc</t>
        </is>
      </c>
      <c r="Y91" s="58" t="inlineStr">
        <is>
          <t>arr_icao</t>
        </is>
      </c>
      <c r="Z91" s="58" t="inlineStr">
        <is>
          <t>arr_name</t>
        </is>
      </c>
      <c r="AA91" s="58" t="inlineStr">
        <is>
          <t>arr_country</t>
        </is>
      </c>
      <c r="AB91" s="58" t="inlineStr">
        <is>
          <t>eta_utc</t>
        </is>
      </c>
      <c r="AC91" s="58" t="inlineStr">
        <is>
          <t>dist_nm</t>
        </is>
      </c>
      <c r="AD91" s="58" t="inlineStr">
        <is>
          <t>eet_hrs</t>
        </is>
      </c>
      <c r="AE91" s="58" t="inlineStr">
        <is>
          <t>pax</t>
        </is>
      </c>
      <c r="AF91" s="58" t="inlineStr">
        <is>
          <t>crew</t>
        </is>
      </c>
      <c r="AG91" s="58" t="inlineStr">
        <is>
          <t>souls</t>
        </is>
      </c>
      <c r="AH91" s="58" t="inlineStr">
        <is>
          <t>avoid_fir</t>
        </is>
      </c>
      <c r="AI91" s="58" t="inlineStr">
        <is>
          <t>include_fir</t>
        </is>
      </c>
      <c r="AJ91" s="58" t="inlineStr">
        <is>
          <t>route_check</t>
        </is>
      </c>
      <c r="AK91" s="58" t="inlineStr">
        <is>
          <t>ovf_count</t>
        </is>
      </c>
      <c r="AL91" s="58" t="inlineStr">
        <is>
          <t>ovf_states</t>
        </is>
      </c>
      <c r="AM91" s="58" t="inlineStr">
        <is>
          <t>ldg_permit_state</t>
        </is>
      </c>
      <c r="AN91" s="58" t="inlineStr">
        <is>
          <t>gh_state</t>
        </is>
      </c>
      <c r="AO91" s="58" t="inlineStr">
        <is>
          <t>permit_status</t>
        </is>
      </c>
      <c r="AP91" s="58" t="inlineStr">
        <is>
          <t>leg_status</t>
        </is>
      </c>
      <c r="AQ91" s="58" t="inlineStr">
        <is>
          <t>bill_to_leg</t>
        </is>
      </c>
      <c r="AR91" s="58" t="inlineStr">
        <is>
          <t>leg_notes</t>
        </is>
      </c>
    </row>
    <row r="92">
      <c r="A92">
        <f>$B$82</f>
        <v/>
      </c>
      <c r="B92">
        <f>"FEASIBILITY IQ"</f>
        <v/>
      </c>
      <c r="C92">
        <f>IF($B$83="SUBMITTED","SUBMITTED","ENQUIRY")</f>
        <v/>
      </c>
      <c r="D92">
        <f>"UNASSIGNED"</f>
        <v/>
      </c>
      <c r="E92" s="118">
        <f>TODAY()</f>
        <v/>
      </c>
      <c r="F92">
        <f>IF($F$5="","",$F$5)</f>
        <v/>
      </c>
      <c r="G92">
        <f>IF($F$6="","",$F$6)</f>
        <v/>
      </c>
      <c r="H92">
        <f>IF($F$7="","",$F$7)</f>
        <v/>
      </c>
      <c r="I92">
        <f>IF($F$8="","",$F$8)</f>
        <v/>
      </c>
      <c r="J92">
        <f>IF($F$9="","",$F$9)</f>
        <v/>
      </c>
      <c r="K92">
        <f>""</f>
        <v/>
      </c>
      <c r="L92">
        <f>""</f>
        <v/>
      </c>
      <c r="M92">
        <f>IF($B$5="","",$B$5)</f>
        <v/>
      </c>
      <c r="N92">
        <f>IF($B$6="","",$B$6)</f>
        <v/>
      </c>
      <c r="O92">
        <f>1</f>
        <v/>
      </c>
      <c r="P92">
        <f>$B$34</f>
        <v/>
      </c>
      <c r="Q92" s="118">
        <f>TODAY()</f>
        <v/>
      </c>
      <c r="R92">
        <f>IF($F$10="","","Your ref: "&amp;$F$10)</f>
        <v/>
      </c>
      <c r="S92">
        <f>1</f>
        <v/>
      </c>
      <c r="T92">
        <f>$B$82&amp;"-L1"</f>
        <v/>
      </c>
      <c r="U92">
        <f>IF($B$7="","",$B$7)</f>
        <v/>
      </c>
      <c r="V92">
        <f>IF($B$7="","",IFERROR(INDEX(airports!$E:$E,MATCH($B$7,airports!$A:$A,0)),""))</f>
        <v/>
      </c>
      <c r="W92">
        <f>IF($B$7="","",IFERROR(INDEX(airports!$H:$H,MATCH($B$7,airports!$A:$A,0)),""))</f>
        <v/>
      </c>
      <c r="X92" s="41">
        <f>$B$29</f>
        <v/>
      </c>
      <c r="Y92">
        <f>IF($B$11="","",$B$11)</f>
        <v/>
      </c>
      <c r="Z92">
        <f>IF($B$11="","",IFERROR(INDEX(airports!$E:$E,MATCH($B$11,airports!$A:$A,0)),""))</f>
        <v/>
      </c>
      <c r="AA92">
        <f>IF($B$11="","",IFERROR(INDEX(airports!$H:$H,MATCH($B$11,airports!$A:$A,0)),""))</f>
        <v/>
      </c>
      <c r="AB92" s="41">
        <f>$B$30</f>
        <v/>
      </c>
      <c r="AC92">
        <f>$B$25</f>
        <v/>
      </c>
      <c r="AD92">
        <f>$B$28</f>
        <v/>
      </c>
      <c r="AE92">
        <f>IF($B$15="","",$B$15)</f>
        <v/>
      </c>
      <c r="AF92">
        <f>IF($B$16="","",$B$16)</f>
        <v/>
      </c>
      <c r="AG92">
        <f>IF(OR($B$15="",$B$16=""),"",$B$15+$B$16)</f>
        <v/>
      </c>
      <c r="AH92">
        <f>IF($B$17="","",$B$17)</f>
        <v/>
      </c>
      <c r="AI92">
        <f>IF($B$18="","",$B$18)</f>
        <v/>
      </c>
      <c r="AJ92">
        <f>$B$32</f>
        <v/>
      </c>
      <c r="AK92">
        <f>$B$31</f>
        <v/>
      </c>
      <c r="AL92">
        <f t="array" ref="AL92">_xlfn.TEXTJOIN(", ",TRUE,IF(fiq_calc!$S$2:$S$143&gt;0,fiq_calc!$R$2:$R$143,""))</f>
        <v/>
      </c>
      <c r="AM92">
        <f>IFERROR(INDEX(countries!$B:$B,MATCH($AA$10,countries!$D:$D,0)),$AA$10)</f>
        <v/>
      </c>
      <c r="AN92">
        <f>IF($AA$9=$AA$10,IFERROR(INDEX(countries!$B:$B,MATCH($AA$9,countries!$D:$D,0)),$AA$9),IFERROR(INDEX(countries!$B:$B,MATCH($AA$9,countries!$D:$D,0)),$AA$9)&amp;", "&amp;IFERROR(INDEX(countries!$B:$B,MATCH($AA$10,countries!$D:$D,0)),$AA$10))</f>
        <v/>
      </c>
      <c r="AO92">
        <f>"NOT FILED"</f>
        <v/>
      </c>
      <c r="AP92">
        <f>"ENQUIRY"</f>
        <v/>
      </c>
      <c r="AQ92">
        <f>""</f>
        <v/>
      </c>
      <c r="AR92">
        <f>IF($B$19="","",$B$19)</f>
        <v/>
      </c>
    </row>
  </sheetData>
  <dataValidations count="1">
    <dataValidation sqref="B83" showDropDown="0" showInputMessage="1" showErrorMessage="1" allowBlank="1" type="list">
      <formula1>"DRAFT,SUBMITTED,WITHDRAWN"</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U152"/>
  <sheetViews>
    <sheetView workbookViewId="0">
      <selection activeCell="A1" sqref="A1"/>
    </sheetView>
  </sheetViews>
  <sheetFormatPr baseColWidth="8" defaultRowHeight="14.4"/>
  <sheetData>
    <row r="1">
      <c r="A1" s="25" t="inlineStr">
        <is>
          <t>step</t>
        </is>
      </c>
      <c r="B1" s="25" t="inlineStr">
        <is>
          <t>f</t>
        </is>
      </c>
      <c r="C1" s="25" t="inlineStr">
        <is>
          <t>lat1</t>
        </is>
      </c>
      <c r="D1" s="25" t="inlineStr">
        <is>
          <t>lon1</t>
        </is>
      </c>
      <c r="E1" s="25" t="inlineStr">
        <is>
          <t>lat2</t>
        </is>
      </c>
      <c r="F1" s="25" t="inlineStr">
        <is>
          <t>lon2</t>
        </is>
      </c>
      <c r="G1" s="25" t="inlineStr">
        <is>
          <t>d (rad)</t>
        </is>
      </c>
      <c r="H1" s="25" t="inlineStr">
        <is>
          <t>A</t>
        </is>
      </c>
      <c r="I1" s="25" t="inlineStr">
        <is>
          <t>B</t>
        </is>
      </c>
      <c r="J1" s="25" t="inlineStr">
        <is>
          <t>x</t>
        </is>
      </c>
      <c r="K1" s="25" t="inlineStr">
        <is>
          <t>y</t>
        </is>
      </c>
      <c r="L1" s="25" t="inlineStr">
        <is>
          <t>z</t>
        </is>
      </c>
      <c r="M1" s="25" t="inlineStr">
        <is>
          <t>lat</t>
        </is>
      </c>
      <c r="N1" s="25" t="inlineStr">
        <is>
          <t>lon</t>
        </is>
      </c>
      <c r="O1" s="25" t="inlineStr">
        <is>
          <t>iso3</t>
        </is>
      </c>
      <c r="Q1" s="25" t="inlineStr">
        <is>
          <t>iso3</t>
        </is>
      </c>
      <c r="R1" s="25" t="inlineStr">
        <is>
          <t>country</t>
        </is>
      </c>
      <c r="S1" s="25" t="inlineStr">
        <is>
          <t>samples</t>
        </is>
      </c>
      <c r="T1" s="25" t="inlineStr">
        <is>
          <t>first order</t>
        </is>
      </c>
      <c r="U1" s="25" t="inlineStr">
        <is>
          <t>rank</t>
        </is>
      </c>
    </row>
    <row r="2">
      <c r="A2">
        <f>ROW()-2</f>
        <v/>
      </c>
      <c r="B2">
        <f>$A2/150</f>
        <v/>
      </c>
      <c r="C2">
        <f>'Feasibility IQ'!$AA$4</f>
        <v/>
      </c>
      <c r="D2">
        <f>'Feasibility IQ'!$AA$5</f>
        <v/>
      </c>
      <c r="E2">
        <f>'Feasibility IQ'!$AA$6</f>
        <v/>
      </c>
      <c r="F2">
        <f>'Feasibility IQ'!$AA$7</f>
        <v/>
      </c>
      <c r="G2">
        <f>'Feasibility IQ'!$AA$8</f>
        <v/>
      </c>
      <c r="H2">
        <f>IF(OR($G2="",$G2=0),"",SIN((1-$B2)*$G2)/SIN($G2))</f>
        <v/>
      </c>
      <c r="I2">
        <f>IF($H2="","",SIN($B2*$G2)/SIN($G2))</f>
        <v/>
      </c>
      <c r="J2">
        <f>IF($H2="","",$H2*COS(RADIANS($C2))*COS(RADIANS($D2))+$I2*COS(RADIANS($E2))*COS(RADIANS($F2)))</f>
        <v/>
      </c>
      <c r="K2">
        <f>IF($H2="","",$H2*COS(RADIANS($C2))*SIN(RADIANS($D2))+$I2*COS(RADIANS($E2))*SIN(RADIANS($F2)))</f>
        <v/>
      </c>
      <c r="L2">
        <f>IF($H2="","",$H2*SIN(RADIANS($C2))+$I2*SIN(RADIANS($E2)))</f>
        <v/>
      </c>
      <c r="M2">
        <f>IF($L2="","",DEGREES(ATAN2(SQRT($J2^2+$K2^2),$L2)))</f>
        <v/>
      </c>
      <c r="N2">
        <f>IF($L2="","",DEGREES(ATAN2($J2,$K2)))</f>
        <v/>
      </c>
      <c r="O2">
        <f t="array" ref="O2">IF($M2="","",IFERROR(IF(INDEX(geo_grid!$B$2:$JU$231,INT(($M2+40)/0.5)+1,INT(($N2+30)/0.5)+1)="","",INDEX(geo_grid!$B$2:$JU$231,INT(($M2+40)/0.5)+1,INT(($N2+30)/0.5)+1)),"OUTSIDE GRID"))</f>
        <v/>
      </c>
      <c r="Q2">
        <f>IF(countries!$D2="","",countries!$D2)</f>
        <v/>
      </c>
      <c r="R2">
        <f>IF($Q2="","",countries!$B2)</f>
        <v/>
      </c>
      <c r="S2">
        <f>IF($Q2="","",IF(OR($Q2='Feasibility IQ'!$AA$9,$Q2='Feasibility IQ'!$AA$10),0,COUNTIF($O$2:$O$152,$Q2)))</f>
        <v/>
      </c>
      <c r="T2">
        <f>IF($S2=0,"",_xlfn.MINIFS($A$2:$A$152,$O$2:$O$152,$Q2))</f>
        <v/>
      </c>
      <c r="U2">
        <f t="array" ref="U2">IF($S2=0,"",SUMPRODUCT(($S$2:$S$143&gt;0)*($T$2:$T$143&lt;$T2))+1)</f>
        <v/>
      </c>
    </row>
    <row r="3">
      <c r="A3">
        <f>ROW()-2</f>
        <v/>
      </c>
      <c r="B3">
        <f>$A3/150</f>
        <v/>
      </c>
      <c r="C3">
        <f>'Feasibility IQ'!$AA$4</f>
        <v/>
      </c>
      <c r="D3">
        <f>'Feasibility IQ'!$AA$5</f>
        <v/>
      </c>
      <c r="E3">
        <f>'Feasibility IQ'!$AA$6</f>
        <v/>
      </c>
      <c r="F3">
        <f>'Feasibility IQ'!$AA$7</f>
        <v/>
      </c>
      <c r="G3">
        <f>'Feasibility IQ'!$AA$8</f>
        <v/>
      </c>
      <c r="H3">
        <f>IF(OR($G3="",$G3=0),"",SIN((1-$B3)*$G3)/SIN($G3))</f>
        <v/>
      </c>
      <c r="I3">
        <f>IF($H3="","",SIN($B3*$G3)/SIN($G3))</f>
        <v/>
      </c>
      <c r="J3">
        <f>IF($H3="","",$H3*COS(RADIANS($C3))*COS(RADIANS($D3))+$I3*COS(RADIANS($E3))*COS(RADIANS($F3)))</f>
        <v/>
      </c>
      <c r="K3">
        <f>IF($H3="","",$H3*COS(RADIANS($C3))*SIN(RADIANS($D3))+$I3*COS(RADIANS($E3))*SIN(RADIANS($F3)))</f>
        <v/>
      </c>
      <c r="L3">
        <f>IF($H3="","",$H3*SIN(RADIANS($C3))+$I3*SIN(RADIANS($E3)))</f>
        <v/>
      </c>
      <c r="M3">
        <f>IF($L3="","",DEGREES(ATAN2(SQRT($J3^2+$K3^2),$L3)))</f>
        <v/>
      </c>
      <c r="N3">
        <f>IF($L3="","",DEGREES(ATAN2($J3,$K3)))</f>
        <v/>
      </c>
      <c r="O3">
        <f t="array" ref="O3">IF($M3="","",IFERROR(IF(INDEX(geo_grid!$B$2:$JU$231,INT(($M3+40)/0.5)+1,INT(($N3+30)/0.5)+1)="","",INDEX(geo_grid!$B$2:$JU$231,INT(($M3+40)/0.5)+1,INT(($N3+30)/0.5)+1)),"OUTSIDE GRID"))</f>
        <v/>
      </c>
      <c r="Q3">
        <f>IF(countries!$D3="","",countries!$D3)</f>
        <v/>
      </c>
      <c r="R3">
        <f>IF($Q3="","",countries!$B3)</f>
        <v/>
      </c>
      <c r="S3">
        <f>IF($Q3="","",IF(OR($Q3='Feasibility IQ'!$AA$9,$Q3='Feasibility IQ'!$AA$10),0,COUNTIF($O$2:$O$152,$Q3)))</f>
        <v/>
      </c>
      <c r="T3">
        <f>IF($S3=0,"",_xlfn.MINIFS($A$2:$A$152,$O$2:$O$152,$Q3))</f>
        <v/>
      </c>
      <c r="U3">
        <f t="array" ref="U3">IF($S3=0,"",SUMPRODUCT(($S$2:$S$143&gt;0)*($T$2:$T$143&lt;$T3))+1)</f>
        <v/>
      </c>
    </row>
    <row r="4">
      <c r="A4">
        <f>ROW()-2</f>
        <v/>
      </c>
      <c r="B4">
        <f>$A4/150</f>
        <v/>
      </c>
      <c r="C4">
        <f>'Feasibility IQ'!$AA$4</f>
        <v/>
      </c>
      <c r="D4">
        <f>'Feasibility IQ'!$AA$5</f>
        <v/>
      </c>
      <c r="E4">
        <f>'Feasibility IQ'!$AA$6</f>
        <v/>
      </c>
      <c r="F4">
        <f>'Feasibility IQ'!$AA$7</f>
        <v/>
      </c>
      <c r="G4">
        <f>'Feasibility IQ'!$AA$8</f>
        <v/>
      </c>
      <c r="H4">
        <f>IF(OR($G4="",$G4=0),"",SIN((1-$B4)*$G4)/SIN($G4))</f>
        <v/>
      </c>
      <c r="I4">
        <f>IF($H4="","",SIN($B4*$G4)/SIN($G4))</f>
        <v/>
      </c>
      <c r="J4">
        <f>IF($H4="","",$H4*COS(RADIANS($C4))*COS(RADIANS($D4))+$I4*COS(RADIANS($E4))*COS(RADIANS($F4)))</f>
        <v/>
      </c>
      <c r="K4">
        <f>IF($H4="","",$H4*COS(RADIANS($C4))*SIN(RADIANS($D4))+$I4*COS(RADIANS($E4))*SIN(RADIANS($F4)))</f>
        <v/>
      </c>
      <c r="L4">
        <f>IF($H4="","",$H4*SIN(RADIANS($C4))+$I4*SIN(RADIANS($E4)))</f>
        <v/>
      </c>
      <c r="M4">
        <f>IF($L4="","",DEGREES(ATAN2(SQRT($J4^2+$K4^2),$L4)))</f>
        <v/>
      </c>
      <c r="N4">
        <f>IF($L4="","",DEGREES(ATAN2($J4,$K4)))</f>
        <v/>
      </c>
      <c r="O4">
        <f t="array" ref="O4">IF($M4="","",IFERROR(IF(INDEX(geo_grid!$B$2:$JU$231,INT(($M4+40)/0.5)+1,INT(($N4+30)/0.5)+1)="","",INDEX(geo_grid!$B$2:$JU$231,INT(($M4+40)/0.5)+1,INT(($N4+30)/0.5)+1)),"OUTSIDE GRID"))</f>
        <v/>
      </c>
      <c r="Q4">
        <f>IF(countries!$D4="","",countries!$D4)</f>
        <v/>
      </c>
      <c r="R4">
        <f>IF($Q4="","",countries!$B4)</f>
        <v/>
      </c>
      <c r="S4">
        <f>IF($Q4="","",IF(OR($Q4='Feasibility IQ'!$AA$9,$Q4='Feasibility IQ'!$AA$10),0,COUNTIF($O$2:$O$152,$Q4)))</f>
        <v/>
      </c>
      <c r="T4">
        <f>IF($S4=0,"",_xlfn.MINIFS($A$2:$A$152,$O$2:$O$152,$Q4))</f>
        <v/>
      </c>
      <c r="U4">
        <f t="array" ref="U4">IF($S4=0,"",SUMPRODUCT(($S$2:$S$143&gt;0)*($T$2:$T$143&lt;$T4))+1)</f>
        <v/>
      </c>
    </row>
    <row r="5">
      <c r="A5">
        <f>ROW()-2</f>
        <v/>
      </c>
      <c r="B5">
        <f>$A5/150</f>
        <v/>
      </c>
      <c r="C5">
        <f>'Feasibility IQ'!$AA$4</f>
        <v/>
      </c>
      <c r="D5">
        <f>'Feasibility IQ'!$AA$5</f>
        <v/>
      </c>
      <c r="E5">
        <f>'Feasibility IQ'!$AA$6</f>
        <v/>
      </c>
      <c r="F5">
        <f>'Feasibility IQ'!$AA$7</f>
        <v/>
      </c>
      <c r="G5">
        <f>'Feasibility IQ'!$AA$8</f>
        <v/>
      </c>
      <c r="H5">
        <f>IF(OR($G5="",$G5=0),"",SIN((1-$B5)*$G5)/SIN($G5))</f>
        <v/>
      </c>
      <c r="I5">
        <f>IF($H5="","",SIN($B5*$G5)/SIN($G5))</f>
        <v/>
      </c>
      <c r="J5">
        <f>IF($H5="","",$H5*COS(RADIANS($C5))*COS(RADIANS($D5))+$I5*COS(RADIANS($E5))*COS(RADIANS($F5)))</f>
        <v/>
      </c>
      <c r="K5">
        <f>IF($H5="","",$H5*COS(RADIANS($C5))*SIN(RADIANS($D5))+$I5*COS(RADIANS($E5))*SIN(RADIANS($F5)))</f>
        <v/>
      </c>
      <c r="L5">
        <f>IF($H5="","",$H5*SIN(RADIANS($C5))+$I5*SIN(RADIANS($E5)))</f>
        <v/>
      </c>
      <c r="M5">
        <f>IF($L5="","",DEGREES(ATAN2(SQRT($J5^2+$K5^2),$L5)))</f>
        <v/>
      </c>
      <c r="N5">
        <f>IF($L5="","",DEGREES(ATAN2($J5,$K5)))</f>
        <v/>
      </c>
      <c r="O5">
        <f t="array" ref="O5">IF($M5="","",IFERROR(IF(INDEX(geo_grid!$B$2:$JU$231,INT(($M5+40)/0.5)+1,INT(($N5+30)/0.5)+1)="","",INDEX(geo_grid!$B$2:$JU$231,INT(($M5+40)/0.5)+1,INT(($N5+30)/0.5)+1)),"OUTSIDE GRID"))</f>
        <v/>
      </c>
      <c r="Q5">
        <f>IF(countries!$D5="","",countries!$D5)</f>
        <v/>
      </c>
      <c r="R5">
        <f>IF($Q5="","",countries!$B5)</f>
        <v/>
      </c>
      <c r="S5">
        <f>IF($Q5="","",IF(OR($Q5='Feasibility IQ'!$AA$9,$Q5='Feasibility IQ'!$AA$10),0,COUNTIF($O$2:$O$152,$Q5)))</f>
        <v/>
      </c>
      <c r="T5">
        <f>IF($S5=0,"",_xlfn.MINIFS($A$2:$A$152,$O$2:$O$152,$Q5))</f>
        <v/>
      </c>
      <c r="U5">
        <f t="array" ref="U5">IF($S5=0,"",SUMPRODUCT(($S$2:$S$143&gt;0)*($T$2:$T$143&lt;$T5))+1)</f>
        <v/>
      </c>
    </row>
    <row r="6">
      <c r="A6">
        <f>ROW()-2</f>
        <v/>
      </c>
      <c r="B6">
        <f>$A6/150</f>
        <v/>
      </c>
      <c r="C6">
        <f>'Feasibility IQ'!$AA$4</f>
        <v/>
      </c>
      <c r="D6">
        <f>'Feasibility IQ'!$AA$5</f>
        <v/>
      </c>
      <c r="E6">
        <f>'Feasibility IQ'!$AA$6</f>
        <v/>
      </c>
      <c r="F6">
        <f>'Feasibility IQ'!$AA$7</f>
        <v/>
      </c>
      <c r="G6">
        <f>'Feasibility IQ'!$AA$8</f>
        <v/>
      </c>
      <c r="H6">
        <f>IF(OR($G6="",$G6=0),"",SIN((1-$B6)*$G6)/SIN($G6))</f>
        <v/>
      </c>
      <c r="I6">
        <f>IF($H6="","",SIN($B6*$G6)/SIN($G6))</f>
        <v/>
      </c>
      <c r="J6">
        <f>IF($H6="","",$H6*COS(RADIANS($C6))*COS(RADIANS($D6))+$I6*COS(RADIANS($E6))*COS(RADIANS($F6)))</f>
        <v/>
      </c>
      <c r="K6">
        <f>IF($H6="","",$H6*COS(RADIANS($C6))*SIN(RADIANS($D6))+$I6*COS(RADIANS($E6))*SIN(RADIANS($F6)))</f>
        <v/>
      </c>
      <c r="L6">
        <f>IF($H6="","",$H6*SIN(RADIANS($C6))+$I6*SIN(RADIANS($E6)))</f>
        <v/>
      </c>
      <c r="M6">
        <f>IF($L6="","",DEGREES(ATAN2(SQRT($J6^2+$K6^2),$L6)))</f>
        <v/>
      </c>
      <c r="N6">
        <f>IF($L6="","",DEGREES(ATAN2($J6,$K6)))</f>
        <v/>
      </c>
      <c r="O6">
        <f t="array" ref="O6">IF($M6="","",IFERROR(IF(INDEX(geo_grid!$B$2:$JU$231,INT(($M6+40)/0.5)+1,INT(($N6+30)/0.5)+1)="","",INDEX(geo_grid!$B$2:$JU$231,INT(($M6+40)/0.5)+1,INT(($N6+30)/0.5)+1)),"OUTSIDE GRID"))</f>
        <v/>
      </c>
      <c r="Q6">
        <f>IF(countries!$D6="","",countries!$D6)</f>
        <v/>
      </c>
      <c r="R6">
        <f>IF($Q6="","",countries!$B6)</f>
        <v/>
      </c>
      <c r="S6">
        <f>IF($Q6="","",IF(OR($Q6='Feasibility IQ'!$AA$9,$Q6='Feasibility IQ'!$AA$10),0,COUNTIF($O$2:$O$152,$Q6)))</f>
        <v/>
      </c>
      <c r="T6">
        <f>IF($S6=0,"",_xlfn.MINIFS($A$2:$A$152,$O$2:$O$152,$Q6))</f>
        <v/>
      </c>
      <c r="U6">
        <f t="array" ref="U6">IF($S6=0,"",SUMPRODUCT(($S$2:$S$143&gt;0)*($T$2:$T$143&lt;$T6))+1)</f>
        <v/>
      </c>
    </row>
    <row r="7">
      <c r="A7">
        <f>ROW()-2</f>
        <v/>
      </c>
      <c r="B7">
        <f>$A7/150</f>
        <v/>
      </c>
      <c r="C7">
        <f>'Feasibility IQ'!$AA$4</f>
        <v/>
      </c>
      <c r="D7">
        <f>'Feasibility IQ'!$AA$5</f>
        <v/>
      </c>
      <c r="E7">
        <f>'Feasibility IQ'!$AA$6</f>
        <v/>
      </c>
      <c r="F7">
        <f>'Feasibility IQ'!$AA$7</f>
        <v/>
      </c>
      <c r="G7">
        <f>'Feasibility IQ'!$AA$8</f>
        <v/>
      </c>
      <c r="H7">
        <f>IF(OR($G7="",$G7=0),"",SIN((1-$B7)*$G7)/SIN($G7))</f>
        <v/>
      </c>
      <c r="I7">
        <f>IF($H7="","",SIN($B7*$G7)/SIN($G7))</f>
        <v/>
      </c>
      <c r="J7">
        <f>IF($H7="","",$H7*COS(RADIANS($C7))*COS(RADIANS($D7))+$I7*COS(RADIANS($E7))*COS(RADIANS($F7)))</f>
        <v/>
      </c>
      <c r="K7">
        <f>IF($H7="","",$H7*COS(RADIANS($C7))*SIN(RADIANS($D7))+$I7*COS(RADIANS($E7))*SIN(RADIANS($F7)))</f>
        <v/>
      </c>
      <c r="L7">
        <f>IF($H7="","",$H7*SIN(RADIANS($C7))+$I7*SIN(RADIANS($E7)))</f>
        <v/>
      </c>
      <c r="M7">
        <f>IF($L7="","",DEGREES(ATAN2(SQRT($J7^2+$K7^2),$L7)))</f>
        <v/>
      </c>
      <c r="N7">
        <f>IF($L7="","",DEGREES(ATAN2($J7,$K7)))</f>
        <v/>
      </c>
      <c r="O7">
        <f t="array" ref="O7">IF($M7="","",IFERROR(IF(INDEX(geo_grid!$B$2:$JU$231,INT(($M7+40)/0.5)+1,INT(($N7+30)/0.5)+1)="","",INDEX(geo_grid!$B$2:$JU$231,INT(($M7+40)/0.5)+1,INT(($N7+30)/0.5)+1)),"OUTSIDE GRID"))</f>
        <v/>
      </c>
      <c r="Q7">
        <f>IF(countries!$D7="","",countries!$D7)</f>
        <v/>
      </c>
      <c r="R7">
        <f>IF($Q7="","",countries!$B7)</f>
        <v/>
      </c>
      <c r="S7">
        <f>IF($Q7="","",IF(OR($Q7='Feasibility IQ'!$AA$9,$Q7='Feasibility IQ'!$AA$10),0,COUNTIF($O$2:$O$152,$Q7)))</f>
        <v/>
      </c>
      <c r="T7">
        <f>IF($S7=0,"",_xlfn.MINIFS($A$2:$A$152,$O$2:$O$152,$Q7))</f>
        <v/>
      </c>
      <c r="U7">
        <f t="array" ref="U7">IF($S7=0,"",SUMPRODUCT(($S$2:$S$143&gt;0)*($T$2:$T$143&lt;$T7))+1)</f>
        <v/>
      </c>
    </row>
    <row r="8">
      <c r="A8">
        <f>ROW()-2</f>
        <v/>
      </c>
      <c r="B8">
        <f>$A8/150</f>
        <v/>
      </c>
      <c r="C8">
        <f>'Feasibility IQ'!$AA$4</f>
        <v/>
      </c>
      <c r="D8">
        <f>'Feasibility IQ'!$AA$5</f>
        <v/>
      </c>
      <c r="E8">
        <f>'Feasibility IQ'!$AA$6</f>
        <v/>
      </c>
      <c r="F8">
        <f>'Feasibility IQ'!$AA$7</f>
        <v/>
      </c>
      <c r="G8">
        <f>'Feasibility IQ'!$AA$8</f>
        <v/>
      </c>
      <c r="H8">
        <f>IF(OR($G8="",$G8=0),"",SIN((1-$B8)*$G8)/SIN($G8))</f>
        <v/>
      </c>
      <c r="I8">
        <f>IF($H8="","",SIN($B8*$G8)/SIN($G8))</f>
        <v/>
      </c>
      <c r="J8">
        <f>IF($H8="","",$H8*COS(RADIANS($C8))*COS(RADIANS($D8))+$I8*COS(RADIANS($E8))*COS(RADIANS($F8)))</f>
        <v/>
      </c>
      <c r="K8">
        <f>IF($H8="","",$H8*COS(RADIANS($C8))*SIN(RADIANS($D8))+$I8*COS(RADIANS($E8))*SIN(RADIANS($F8)))</f>
        <v/>
      </c>
      <c r="L8">
        <f>IF($H8="","",$H8*SIN(RADIANS($C8))+$I8*SIN(RADIANS($E8)))</f>
        <v/>
      </c>
      <c r="M8">
        <f>IF($L8="","",DEGREES(ATAN2(SQRT($J8^2+$K8^2),$L8)))</f>
        <v/>
      </c>
      <c r="N8">
        <f>IF($L8="","",DEGREES(ATAN2($J8,$K8)))</f>
        <v/>
      </c>
      <c r="O8">
        <f t="array" ref="O8">IF($M8="","",IFERROR(IF(INDEX(geo_grid!$B$2:$JU$231,INT(($M8+40)/0.5)+1,INT(($N8+30)/0.5)+1)="","",INDEX(geo_grid!$B$2:$JU$231,INT(($M8+40)/0.5)+1,INT(($N8+30)/0.5)+1)),"OUTSIDE GRID"))</f>
        <v/>
      </c>
      <c r="Q8">
        <f>IF(countries!$D8="","",countries!$D8)</f>
        <v/>
      </c>
      <c r="R8">
        <f>IF($Q8="","",countries!$B8)</f>
        <v/>
      </c>
      <c r="S8">
        <f>IF($Q8="","",IF(OR($Q8='Feasibility IQ'!$AA$9,$Q8='Feasibility IQ'!$AA$10),0,COUNTIF($O$2:$O$152,$Q8)))</f>
        <v/>
      </c>
      <c r="T8">
        <f>IF($S8=0,"",_xlfn.MINIFS($A$2:$A$152,$O$2:$O$152,$Q8))</f>
        <v/>
      </c>
      <c r="U8">
        <f t="array" ref="U8">IF($S8=0,"",SUMPRODUCT(($S$2:$S$143&gt;0)*($T$2:$T$143&lt;$T8))+1)</f>
        <v/>
      </c>
    </row>
    <row r="9">
      <c r="A9">
        <f>ROW()-2</f>
        <v/>
      </c>
      <c r="B9">
        <f>$A9/150</f>
        <v/>
      </c>
      <c r="C9">
        <f>'Feasibility IQ'!$AA$4</f>
        <v/>
      </c>
      <c r="D9">
        <f>'Feasibility IQ'!$AA$5</f>
        <v/>
      </c>
      <c r="E9">
        <f>'Feasibility IQ'!$AA$6</f>
        <v/>
      </c>
      <c r="F9">
        <f>'Feasibility IQ'!$AA$7</f>
        <v/>
      </c>
      <c r="G9">
        <f>'Feasibility IQ'!$AA$8</f>
        <v/>
      </c>
      <c r="H9">
        <f>IF(OR($G9="",$G9=0),"",SIN((1-$B9)*$G9)/SIN($G9))</f>
        <v/>
      </c>
      <c r="I9">
        <f>IF($H9="","",SIN($B9*$G9)/SIN($G9))</f>
        <v/>
      </c>
      <c r="J9">
        <f>IF($H9="","",$H9*COS(RADIANS($C9))*COS(RADIANS($D9))+$I9*COS(RADIANS($E9))*COS(RADIANS($F9)))</f>
        <v/>
      </c>
      <c r="K9">
        <f>IF($H9="","",$H9*COS(RADIANS($C9))*SIN(RADIANS($D9))+$I9*COS(RADIANS($E9))*SIN(RADIANS($F9)))</f>
        <v/>
      </c>
      <c r="L9">
        <f>IF($H9="","",$H9*SIN(RADIANS($C9))+$I9*SIN(RADIANS($E9)))</f>
        <v/>
      </c>
      <c r="M9">
        <f>IF($L9="","",DEGREES(ATAN2(SQRT($J9^2+$K9^2),$L9)))</f>
        <v/>
      </c>
      <c r="N9">
        <f>IF($L9="","",DEGREES(ATAN2($J9,$K9)))</f>
        <v/>
      </c>
      <c r="O9">
        <f t="array" ref="O9">IF($M9="","",IFERROR(IF(INDEX(geo_grid!$B$2:$JU$231,INT(($M9+40)/0.5)+1,INT(($N9+30)/0.5)+1)="","",INDEX(geo_grid!$B$2:$JU$231,INT(($M9+40)/0.5)+1,INT(($N9+30)/0.5)+1)),"OUTSIDE GRID"))</f>
        <v/>
      </c>
      <c r="Q9">
        <f>IF(countries!$D9="","",countries!$D9)</f>
        <v/>
      </c>
      <c r="R9">
        <f>IF($Q9="","",countries!$B9)</f>
        <v/>
      </c>
      <c r="S9">
        <f>IF($Q9="","",IF(OR($Q9='Feasibility IQ'!$AA$9,$Q9='Feasibility IQ'!$AA$10),0,COUNTIF($O$2:$O$152,$Q9)))</f>
        <v/>
      </c>
      <c r="T9">
        <f>IF($S9=0,"",_xlfn.MINIFS($A$2:$A$152,$O$2:$O$152,$Q9))</f>
        <v/>
      </c>
      <c r="U9">
        <f t="array" ref="U9">IF($S9=0,"",SUMPRODUCT(($S$2:$S$143&gt;0)*($T$2:$T$143&lt;$T9))+1)</f>
        <v/>
      </c>
    </row>
    <row r="10">
      <c r="A10">
        <f>ROW()-2</f>
        <v/>
      </c>
      <c r="B10">
        <f>$A10/150</f>
        <v/>
      </c>
      <c r="C10">
        <f>'Feasibility IQ'!$AA$4</f>
        <v/>
      </c>
      <c r="D10">
        <f>'Feasibility IQ'!$AA$5</f>
        <v/>
      </c>
      <c r="E10">
        <f>'Feasibility IQ'!$AA$6</f>
        <v/>
      </c>
      <c r="F10">
        <f>'Feasibility IQ'!$AA$7</f>
        <v/>
      </c>
      <c r="G10">
        <f>'Feasibility IQ'!$AA$8</f>
        <v/>
      </c>
      <c r="H10">
        <f>IF(OR($G10="",$G10=0),"",SIN((1-$B10)*$G10)/SIN($G10))</f>
        <v/>
      </c>
      <c r="I10">
        <f>IF($H10="","",SIN($B10*$G10)/SIN($G10))</f>
        <v/>
      </c>
      <c r="J10">
        <f>IF($H10="","",$H10*COS(RADIANS($C10))*COS(RADIANS($D10))+$I10*COS(RADIANS($E10))*COS(RADIANS($F10)))</f>
        <v/>
      </c>
      <c r="K10">
        <f>IF($H10="","",$H10*COS(RADIANS($C10))*SIN(RADIANS($D10))+$I10*COS(RADIANS($E10))*SIN(RADIANS($F10)))</f>
        <v/>
      </c>
      <c r="L10">
        <f>IF($H10="","",$H10*SIN(RADIANS($C10))+$I10*SIN(RADIANS($E10)))</f>
        <v/>
      </c>
      <c r="M10">
        <f>IF($L10="","",DEGREES(ATAN2(SQRT($J10^2+$K10^2),$L10)))</f>
        <v/>
      </c>
      <c r="N10">
        <f>IF($L10="","",DEGREES(ATAN2($J10,$K10)))</f>
        <v/>
      </c>
      <c r="O10">
        <f t="array" ref="O10">IF($M10="","",IFERROR(IF(INDEX(geo_grid!$B$2:$JU$231,INT(($M10+40)/0.5)+1,INT(($N10+30)/0.5)+1)="","",INDEX(geo_grid!$B$2:$JU$231,INT(($M10+40)/0.5)+1,INT(($N10+30)/0.5)+1)),"OUTSIDE GRID"))</f>
        <v/>
      </c>
      <c r="Q10">
        <f>IF(countries!$D10="","",countries!$D10)</f>
        <v/>
      </c>
      <c r="R10">
        <f>IF($Q10="","",countries!$B10)</f>
        <v/>
      </c>
      <c r="S10">
        <f>IF($Q10="","",IF(OR($Q10='Feasibility IQ'!$AA$9,$Q10='Feasibility IQ'!$AA$10),0,COUNTIF($O$2:$O$152,$Q10)))</f>
        <v/>
      </c>
      <c r="T10">
        <f>IF($S10=0,"",_xlfn.MINIFS($A$2:$A$152,$O$2:$O$152,$Q10))</f>
        <v/>
      </c>
      <c r="U10">
        <f t="array" ref="U10">IF($S10=0,"",SUMPRODUCT(($S$2:$S$143&gt;0)*($T$2:$T$143&lt;$T10))+1)</f>
        <v/>
      </c>
    </row>
    <row r="11">
      <c r="A11">
        <f>ROW()-2</f>
        <v/>
      </c>
      <c r="B11">
        <f>$A11/150</f>
        <v/>
      </c>
      <c r="C11">
        <f>'Feasibility IQ'!$AA$4</f>
        <v/>
      </c>
      <c r="D11">
        <f>'Feasibility IQ'!$AA$5</f>
        <v/>
      </c>
      <c r="E11">
        <f>'Feasibility IQ'!$AA$6</f>
        <v/>
      </c>
      <c r="F11">
        <f>'Feasibility IQ'!$AA$7</f>
        <v/>
      </c>
      <c r="G11">
        <f>'Feasibility IQ'!$AA$8</f>
        <v/>
      </c>
      <c r="H11">
        <f>IF(OR($G11="",$G11=0),"",SIN((1-$B11)*$G11)/SIN($G11))</f>
        <v/>
      </c>
      <c r="I11">
        <f>IF($H11="","",SIN($B11*$G11)/SIN($G11))</f>
        <v/>
      </c>
      <c r="J11">
        <f>IF($H11="","",$H11*COS(RADIANS($C11))*COS(RADIANS($D11))+$I11*COS(RADIANS($E11))*COS(RADIANS($F11)))</f>
        <v/>
      </c>
      <c r="K11">
        <f>IF($H11="","",$H11*COS(RADIANS($C11))*SIN(RADIANS($D11))+$I11*COS(RADIANS($E11))*SIN(RADIANS($F11)))</f>
        <v/>
      </c>
      <c r="L11">
        <f>IF($H11="","",$H11*SIN(RADIANS($C11))+$I11*SIN(RADIANS($E11)))</f>
        <v/>
      </c>
      <c r="M11">
        <f>IF($L11="","",DEGREES(ATAN2(SQRT($J11^2+$K11^2),$L11)))</f>
        <v/>
      </c>
      <c r="N11">
        <f>IF($L11="","",DEGREES(ATAN2($J11,$K11)))</f>
        <v/>
      </c>
      <c r="O11">
        <f t="array" ref="O11">IF($M11="","",IFERROR(IF(INDEX(geo_grid!$B$2:$JU$231,INT(($M11+40)/0.5)+1,INT(($N11+30)/0.5)+1)="","",INDEX(geo_grid!$B$2:$JU$231,INT(($M11+40)/0.5)+1,INT(($N11+30)/0.5)+1)),"OUTSIDE GRID"))</f>
        <v/>
      </c>
      <c r="Q11">
        <f>IF(countries!$D11="","",countries!$D11)</f>
        <v/>
      </c>
      <c r="R11">
        <f>IF($Q11="","",countries!$B11)</f>
        <v/>
      </c>
      <c r="S11">
        <f>IF($Q11="","",IF(OR($Q11='Feasibility IQ'!$AA$9,$Q11='Feasibility IQ'!$AA$10),0,COUNTIF($O$2:$O$152,$Q11)))</f>
        <v/>
      </c>
      <c r="T11">
        <f>IF($S11=0,"",_xlfn.MINIFS($A$2:$A$152,$O$2:$O$152,$Q11))</f>
        <v/>
      </c>
      <c r="U11">
        <f t="array" ref="U11">IF($S11=0,"",SUMPRODUCT(($S$2:$S$143&gt;0)*($T$2:$T$143&lt;$T11))+1)</f>
        <v/>
      </c>
    </row>
    <row r="12">
      <c r="A12">
        <f>ROW()-2</f>
        <v/>
      </c>
      <c r="B12">
        <f>$A12/150</f>
        <v/>
      </c>
      <c r="C12">
        <f>'Feasibility IQ'!$AA$4</f>
        <v/>
      </c>
      <c r="D12">
        <f>'Feasibility IQ'!$AA$5</f>
        <v/>
      </c>
      <c r="E12">
        <f>'Feasibility IQ'!$AA$6</f>
        <v/>
      </c>
      <c r="F12">
        <f>'Feasibility IQ'!$AA$7</f>
        <v/>
      </c>
      <c r="G12">
        <f>'Feasibility IQ'!$AA$8</f>
        <v/>
      </c>
      <c r="H12">
        <f>IF(OR($G12="",$G12=0),"",SIN((1-$B12)*$G12)/SIN($G12))</f>
        <v/>
      </c>
      <c r="I12">
        <f>IF($H12="","",SIN($B12*$G12)/SIN($G12))</f>
        <v/>
      </c>
      <c r="J12">
        <f>IF($H12="","",$H12*COS(RADIANS($C12))*COS(RADIANS($D12))+$I12*COS(RADIANS($E12))*COS(RADIANS($F12)))</f>
        <v/>
      </c>
      <c r="K12">
        <f>IF($H12="","",$H12*COS(RADIANS($C12))*SIN(RADIANS($D12))+$I12*COS(RADIANS($E12))*SIN(RADIANS($F12)))</f>
        <v/>
      </c>
      <c r="L12">
        <f>IF($H12="","",$H12*SIN(RADIANS($C12))+$I12*SIN(RADIANS($E12)))</f>
        <v/>
      </c>
      <c r="M12">
        <f>IF($L12="","",DEGREES(ATAN2(SQRT($J12^2+$K12^2),$L12)))</f>
        <v/>
      </c>
      <c r="N12">
        <f>IF($L12="","",DEGREES(ATAN2($J12,$K12)))</f>
        <v/>
      </c>
      <c r="O12">
        <f t="array" ref="O12">IF($M12="","",IFERROR(IF(INDEX(geo_grid!$B$2:$JU$231,INT(($M12+40)/0.5)+1,INT(($N12+30)/0.5)+1)="","",INDEX(geo_grid!$B$2:$JU$231,INT(($M12+40)/0.5)+1,INT(($N12+30)/0.5)+1)),"OUTSIDE GRID"))</f>
        <v/>
      </c>
      <c r="Q12">
        <f>IF(countries!$D12="","",countries!$D12)</f>
        <v/>
      </c>
      <c r="R12">
        <f>IF($Q12="","",countries!$B12)</f>
        <v/>
      </c>
      <c r="S12">
        <f>IF($Q12="","",IF(OR($Q12='Feasibility IQ'!$AA$9,$Q12='Feasibility IQ'!$AA$10),0,COUNTIF($O$2:$O$152,$Q12)))</f>
        <v/>
      </c>
      <c r="T12">
        <f>IF($S12=0,"",_xlfn.MINIFS($A$2:$A$152,$O$2:$O$152,$Q12))</f>
        <v/>
      </c>
      <c r="U12">
        <f t="array" ref="U12">IF($S12=0,"",SUMPRODUCT(($S$2:$S$143&gt;0)*($T$2:$T$143&lt;$T12))+1)</f>
        <v/>
      </c>
    </row>
    <row r="13">
      <c r="A13">
        <f>ROW()-2</f>
        <v/>
      </c>
      <c r="B13">
        <f>$A13/150</f>
        <v/>
      </c>
      <c r="C13">
        <f>'Feasibility IQ'!$AA$4</f>
        <v/>
      </c>
      <c r="D13">
        <f>'Feasibility IQ'!$AA$5</f>
        <v/>
      </c>
      <c r="E13">
        <f>'Feasibility IQ'!$AA$6</f>
        <v/>
      </c>
      <c r="F13">
        <f>'Feasibility IQ'!$AA$7</f>
        <v/>
      </c>
      <c r="G13">
        <f>'Feasibility IQ'!$AA$8</f>
        <v/>
      </c>
      <c r="H13">
        <f>IF(OR($G13="",$G13=0),"",SIN((1-$B13)*$G13)/SIN($G13))</f>
        <v/>
      </c>
      <c r="I13">
        <f>IF($H13="","",SIN($B13*$G13)/SIN($G13))</f>
        <v/>
      </c>
      <c r="J13">
        <f>IF($H13="","",$H13*COS(RADIANS($C13))*COS(RADIANS($D13))+$I13*COS(RADIANS($E13))*COS(RADIANS($F13)))</f>
        <v/>
      </c>
      <c r="K13">
        <f>IF($H13="","",$H13*COS(RADIANS($C13))*SIN(RADIANS($D13))+$I13*COS(RADIANS($E13))*SIN(RADIANS($F13)))</f>
        <v/>
      </c>
      <c r="L13">
        <f>IF($H13="","",$H13*SIN(RADIANS($C13))+$I13*SIN(RADIANS($E13)))</f>
        <v/>
      </c>
      <c r="M13">
        <f>IF($L13="","",DEGREES(ATAN2(SQRT($J13^2+$K13^2),$L13)))</f>
        <v/>
      </c>
      <c r="N13">
        <f>IF($L13="","",DEGREES(ATAN2($J13,$K13)))</f>
        <v/>
      </c>
      <c r="O13">
        <f t="array" ref="O13">IF($M13="","",IFERROR(IF(INDEX(geo_grid!$B$2:$JU$231,INT(($M13+40)/0.5)+1,INT(($N13+30)/0.5)+1)="","",INDEX(geo_grid!$B$2:$JU$231,INT(($M13+40)/0.5)+1,INT(($N13+30)/0.5)+1)),"OUTSIDE GRID"))</f>
        <v/>
      </c>
      <c r="Q13">
        <f>IF(countries!$D13="","",countries!$D13)</f>
        <v/>
      </c>
      <c r="R13">
        <f>IF($Q13="","",countries!$B13)</f>
        <v/>
      </c>
      <c r="S13">
        <f>IF($Q13="","",IF(OR($Q13='Feasibility IQ'!$AA$9,$Q13='Feasibility IQ'!$AA$10),0,COUNTIF($O$2:$O$152,$Q13)))</f>
        <v/>
      </c>
      <c r="T13">
        <f>IF($S13=0,"",_xlfn.MINIFS($A$2:$A$152,$O$2:$O$152,$Q13))</f>
        <v/>
      </c>
      <c r="U13">
        <f t="array" ref="U13">IF($S13=0,"",SUMPRODUCT(($S$2:$S$143&gt;0)*($T$2:$T$143&lt;$T13))+1)</f>
        <v/>
      </c>
    </row>
    <row r="14">
      <c r="A14">
        <f>ROW()-2</f>
        <v/>
      </c>
      <c r="B14">
        <f>$A14/150</f>
        <v/>
      </c>
      <c r="C14">
        <f>'Feasibility IQ'!$AA$4</f>
        <v/>
      </c>
      <c r="D14">
        <f>'Feasibility IQ'!$AA$5</f>
        <v/>
      </c>
      <c r="E14">
        <f>'Feasibility IQ'!$AA$6</f>
        <v/>
      </c>
      <c r="F14">
        <f>'Feasibility IQ'!$AA$7</f>
        <v/>
      </c>
      <c r="G14">
        <f>'Feasibility IQ'!$AA$8</f>
        <v/>
      </c>
      <c r="H14">
        <f>IF(OR($G14="",$G14=0),"",SIN((1-$B14)*$G14)/SIN($G14))</f>
        <v/>
      </c>
      <c r="I14">
        <f>IF($H14="","",SIN($B14*$G14)/SIN($G14))</f>
        <v/>
      </c>
      <c r="J14">
        <f>IF($H14="","",$H14*COS(RADIANS($C14))*COS(RADIANS($D14))+$I14*COS(RADIANS($E14))*COS(RADIANS($F14)))</f>
        <v/>
      </c>
      <c r="K14">
        <f>IF($H14="","",$H14*COS(RADIANS($C14))*SIN(RADIANS($D14))+$I14*COS(RADIANS($E14))*SIN(RADIANS($F14)))</f>
        <v/>
      </c>
      <c r="L14">
        <f>IF($H14="","",$H14*SIN(RADIANS($C14))+$I14*SIN(RADIANS($E14)))</f>
        <v/>
      </c>
      <c r="M14">
        <f>IF($L14="","",DEGREES(ATAN2(SQRT($J14^2+$K14^2),$L14)))</f>
        <v/>
      </c>
      <c r="N14">
        <f>IF($L14="","",DEGREES(ATAN2($J14,$K14)))</f>
        <v/>
      </c>
      <c r="O14">
        <f t="array" ref="O14">IF($M14="","",IFERROR(IF(INDEX(geo_grid!$B$2:$JU$231,INT(($M14+40)/0.5)+1,INT(($N14+30)/0.5)+1)="","",INDEX(geo_grid!$B$2:$JU$231,INT(($M14+40)/0.5)+1,INT(($N14+30)/0.5)+1)),"OUTSIDE GRID"))</f>
        <v/>
      </c>
      <c r="Q14">
        <f>IF(countries!$D14="","",countries!$D14)</f>
        <v/>
      </c>
      <c r="R14">
        <f>IF($Q14="","",countries!$B14)</f>
        <v/>
      </c>
      <c r="S14">
        <f>IF($Q14="","",IF(OR($Q14='Feasibility IQ'!$AA$9,$Q14='Feasibility IQ'!$AA$10),0,COUNTIF($O$2:$O$152,$Q14)))</f>
        <v/>
      </c>
      <c r="T14">
        <f>IF($S14=0,"",_xlfn.MINIFS($A$2:$A$152,$O$2:$O$152,$Q14))</f>
        <v/>
      </c>
      <c r="U14">
        <f t="array" ref="U14">IF($S14=0,"",SUMPRODUCT(($S$2:$S$143&gt;0)*($T$2:$T$143&lt;$T14))+1)</f>
        <v/>
      </c>
    </row>
    <row r="15">
      <c r="A15">
        <f>ROW()-2</f>
        <v/>
      </c>
      <c r="B15">
        <f>$A15/150</f>
        <v/>
      </c>
      <c r="C15">
        <f>'Feasibility IQ'!$AA$4</f>
        <v/>
      </c>
      <c r="D15">
        <f>'Feasibility IQ'!$AA$5</f>
        <v/>
      </c>
      <c r="E15">
        <f>'Feasibility IQ'!$AA$6</f>
        <v/>
      </c>
      <c r="F15">
        <f>'Feasibility IQ'!$AA$7</f>
        <v/>
      </c>
      <c r="G15">
        <f>'Feasibility IQ'!$AA$8</f>
        <v/>
      </c>
      <c r="H15">
        <f>IF(OR($G15="",$G15=0),"",SIN((1-$B15)*$G15)/SIN($G15))</f>
        <v/>
      </c>
      <c r="I15">
        <f>IF($H15="","",SIN($B15*$G15)/SIN($G15))</f>
        <v/>
      </c>
      <c r="J15">
        <f>IF($H15="","",$H15*COS(RADIANS($C15))*COS(RADIANS($D15))+$I15*COS(RADIANS($E15))*COS(RADIANS($F15)))</f>
        <v/>
      </c>
      <c r="K15">
        <f>IF($H15="","",$H15*COS(RADIANS($C15))*SIN(RADIANS($D15))+$I15*COS(RADIANS($E15))*SIN(RADIANS($F15)))</f>
        <v/>
      </c>
      <c r="L15">
        <f>IF($H15="","",$H15*SIN(RADIANS($C15))+$I15*SIN(RADIANS($E15)))</f>
        <v/>
      </c>
      <c r="M15">
        <f>IF($L15="","",DEGREES(ATAN2(SQRT($J15^2+$K15^2),$L15)))</f>
        <v/>
      </c>
      <c r="N15">
        <f>IF($L15="","",DEGREES(ATAN2($J15,$K15)))</f>
        <v/>
      </c>
      <c r="O15">
        <f t="array" ref="O15">IF($M15="","",IFERROR(IF(INDEX(geo_grid!$B$2:$JU$231,INT(($M15+40)/0.5)+1,INT(($N15+30)/0.5)+1)="","",INDEX(geo_grid!$B$2:$JU$231,INT(($M15+40)/0.5)+1,INT(($N15+30)/0.5)+1)),"OUTSIDE GRID"))</f>
        <v/>
      </c>
      <c r="Q15">
        <f>IF(countries!$D15="","",countries!$D15)</f>
        <v/>
      </c>
      <c r="R15">
        <f>IF($Q15="","",countries!$B15)</f>
        <v/>
      </c>
      <c r="S15">
        <f>IF($Q15="","",IF(OR($Q15='Feasibility IQ'!$AA$9,$Q15='Feasibility IQ'!$AA$10),0,COUNTIF($O$2:$O$152,$Q15)))</f>
        <v/>
      </c>
      <c r="T15">
        <f>IF($S15=0,"",_xlfn.MINIFS($A$2:$A$152,$O$2:$O$152,$Q15))</f>
        <v/>
      </c>
      <c r="U15">
        <f t="array" ref="U15">IF($S15=0,"",SUMPRODUCT(($S$2:$S$143&gt;0)*($T$2:$T$143&lt;$T15))+1)</f>
        <v/>
      </c>
    </row>
    <row r="16">
      <c r="A16">
        <f>ROW()-2</f>
        <v/>
      </c>
      <c r="B16">
        <f>$A16/150</f>
        <v/>
      </c>
      <c r="C16">
        <f>'Feasibility IQ'!$AA$4</f>
        <v/>
      </c>
      <c r="D16">
        <f>'Feasibility IQ'!$AA$5</f>
        <v/>
      </c>
      <c r="E16">
        <f>'Feasibility IQ'!$AA$6</f>
        <v/>
      </c>
      <c r="F16">
        <f>'Feasibility IQ'!$AA$7</f>
        <v/>
      </c>
      <c r="G16">
        <f>'Feasibility IQ'!$AA$8</f>
        <v/>
      </c>
      <c r="H16">
        <f>IF(OR($G16="",$G16=0),"",SIN((1-$B16)*$G16)/SIN($G16))</f>
        <v/>
      </c>
      <c r="I16">
        <f>IF($H16="","",SIN($B16*$G16)/SIN($G16))</f>
        <v/>
      </c>
      <c r="J16">
        <f>IF($H16="","",$H16*COS(RADIANS($C16))*COS(RADIANS($D16))+$I16*COS(RADIANS($E16))*COS(RADIANS($F16)))</f>
        <v/>
      </c>
      <c r="K16">
        <f>IF($H16="","",$H16*COS(RADIANS($C16))*SIN(RADIANS($D16))+$I16*COS(RADIANS($E16))*SIN(RADIANS($F16)))</f>
        <v/>
      </c>
      <c r="L16">
        <f>IF($H16="","",$H16*SIN(RADIANS($C16))+$I16*SIN(RADIANS($E16)))</f>
        <v/>
      </c>
      <c r="M16">
        <f>IF($L16="","",DEGREES(ATAN2(SQRT($J16^2+$K16^2),$L16)))</f>
        <v/>
      </c>
      <c r="N16">
        <f>IF($L16="","",DEGREES(ATAN2($J16,$K16)))</f>
        <v/>
      </c>
      <c r="O16">
        <f t="array" ref="O16">IF($M16="","",IFERROR(IF(INDEX(geo_grid!$B$2:$JU$231,INT(($M16+40)/0.5)+1,INT(($N16+30)/0.5)+1)="","",INDEX(geo_grid!$B$2:$JU$231,INT(($M16+40)/0.5)+1,INT(($N16+30)/0.5)+1)),"OUTSIDE GRID"))</f>
        <v/>
      </c>
      <c r="Q16">
        <f>IF(countries!$D16="","",countries!$D16)</f>
        <v/>
      </c>
      <c r="R16">
        <f>IF($Q16="","",countries!$B16)</f>
        <v/>
      </c>
      <c r="S16">
        <f>IF($Q16="","",IF(OR($Q16='Feasibility IQ'!$AA$9,$Q16='Feasibility IQ'!$AA$10),0,COUNTIF($O$2:$O$152,$Q16)))</f>
        <v/>
      </c>
      <c r="T16">
        <f>IF($S16=0,"",_xlfn.MINIFS($A$2:$A$152,$O$2:$O$152,$Q16))</f>
        <v/>
      </c>
      <c r="U16">
        <f t="array" ref="U16">IF($S16=0,"",SUMPRODUCT(($S$2:$S$143&gt;0)*($T$2:$T$143&lt;$T16))+1)</f>
        <v/>
      </c>
    </row>
    <row r="17">
      <c r="A17">
        <f>ROW()-2</f>
        <v/>
      </c>
      <c r="B17">
        <f>$A17/150</f>
        <v/>
      </c>
      <c r="C17">
        <f>'Feasibility IQ'!$AA$4</f>
        <v/>
      </c>
      <c r="D17">
        <f>'Feasibility IQ'!$AA$5</f>
        <v/>
      </c>
      <c r="E17">
        <f>'Feasibility IQ'!$AA$6</f>
        <v/>
      </c>
      <c r="F17">
        <f>'Feasibility IQ'!$AA$7</f>
        <v/>
      </c>
      <c r="G17">
        <f>'Feasibility IQ'!$AA$8</f>
        <v/>
      </c>
      <c r="H17">
        <f>IF(OR($G17="",$G17=0),"",SIN((1-$B17)*$G17)/SIN($G17))</f>
        <v/>
      </c>
      <c r="I17">
        <f>IF($H17="","",SIN($B17*$G17)/SIN($G17))</f>
        <v/>
      </c>
      <c r="J17">
        <f>IF($H17="","",$H17*COS(RADIANS($C17))*COS(RADIANS($D17))+$I17*COS(RADIANS($E17))*COS(RADIANS($F17)))</f>
        <v/>
      </c>
      <c r="K17">
        <f>IF($H17="","",$H17*COS(RADIANS($C17))*SIN(RADIANS($D17))+$I17*COS(RADIANS($E17))*SIN(RADIANS($F17)))</f>
        <v/>
      </c>
      <c r="L17">
        <f>IF($H17="","",$H17*SIN(RADIANS($C17))+$I17*SIN(RADIANS($E17)))</f>
        <v/>
      </c>
      <c r="M17">
        <f>IF($L17="","",DEGREES(ATAN2(SQRT($J17^2+$K17^2),$L17)))</f>
        <v/>
      </c>
      <c r="N17">
        <f>IF($L17="","",DEGREES(ATAN2($J17,$K17)))</f>
        <v/>
      </c>
      <c r="O17">
        <f t="array" ref="O17">IF($M17="","",IFERROR(IF(INDEX(geo_grid!$B$2:$JU$231,INT(($M17+40)/0.5)+1,INT(($N17+30)/0.5)+1)="","",INDEX(geo_grid!$B$2:$JU$231,INT(($M17+40)/0.5)+1,INT(($N17+30)/0.5)+1)),"OUTSIDE GRID"))</f>
        <v/>
      </c>
      <c r="Q17">
        <f>IF(countries!$D17="","",countries!$D17)</f>
        <v/>
      </c>
      <c r="R17">
        <f>IF($Q17="","",countries!$B17)</f>
        <v/>
      </c>
      <c r="S17">
        <f>IF($Q17="","",IF(OR($Q17='Feasibility IQ'!$AA$9,$Q17='Feasibility IQ'!$AA$10),0,COUNTIF($O$2:$O$152,$Q17)))</f>
        <v/>
      </c>
      <c r="T17">
        <f>IF($S17=0,"",_xlfn.MINIFS($A$2:$A$152,$O$2:$O$152,$Q17))</f>
        <v/>
      </c>
      <c r="U17">
        <f t="array" ref="U17">IF($S17=0,"",SUMPRODUCT(($S$2:$S$143&gt;0)*($T$2:$T$143&lt;$T17))+1)</f>
        <v/>
      </c>
    </row>
    <row r="18">
      <c r="A18">
        <f>ROW()-2</f>
        <v/>
      </c>
      <c r="B18">
        <f>$A18/150</f>
        <v/>
      </c>
      <c r="C18">
        <f>'Feasibility IQ'!$AA$4</f>
        <v/>
      </c>
      <c r="D18">
        <f>'Feasibility IQ'!$AA$5</f>
        <v/>
      </c>
      <c r="E18">
        <f>'Feasibility IQ'!$AA$6</f>
        <v/>
      </c>
      <c r="F18">
        <f>'Feasibility IQ'!$AA$7</f>
        <v/>
      </c>
      <c r="G18">
        <f>'Feasibility IQ'!$AA$8</f>
        <v/>
      </c>
      <c r="H18">
        <f>IF(OR($G18="",$G18=0),"",SIN((1-$B18)*$G18)/SIN($G18))</f>
        <v/>
      </c>
      <c r="I18">
        <f>IF($H18="","",SIN($B18*$G18)/SIN($G18))</f>
        <v/>
      </c>
      <c r="J18">
        <f>IF($H18="","",$H18*COS(RADIANS($C18))*COS(RADIANS($D18))+$I18*COS(RADIANS($E18))*COS(RADIANS($F18)))</f>
        <v/>
      </c>
      <c r="K18">
        <f>IF($H18="","",$H18*COS(RADIANS($C18))*SIN(RADIANS($D18))+$I18*COS(RADIANS($E18))*SIN(RADIANS($F18)))</f>
        <v/>
      </c>
      <c r="L18">
        <f>IF($H18="","",$H18*SIN(RADIANS($C18))+$I18*SIN(RADIANS($E18)))</f>
        <v/>
      </c>
      <c r="M18">
        <f>IF($L18="","",DEGREES(ATAN2(SQRT($J18^2+$K18^2),$L18)))</f>
        <v/>
      </c>
      <c r="N18">
        <f>IF($L18="","",DEGREES(ATAN2($J18,$K18)))</f>
        <v/>
      </c>
      <c r="O18">
        <f t="array" ref="O18">IF($M18="","",IFERROR(IF(INDEX(geo_grid!$B$2:$JU$231,INT(($M18+40)/0.5)+1,INT(($N18+30)/0.5)+1)="","",INDEX(geo_grid!$B$2:$JU$231,INT(($M18+40)/0.5)+1,INT(($N18+30)/0.5)+1)),"OUTSIDE GRID"))</f>
        <v/>
      </c>
      <c r="Q18">
        <f>IF(countries!$D18="","",countries!$D18)</f>
        <v/>
      </c>
      <c r="R18">
        <f>IF($Q18="","",countries!$B18)</f>
        <v/>
      </c>
      <c r="S18">
        <f>IF($Q18="","",IF(OR($Q18='Feasibility IQ'!$AA$9,$Q18='Feasibility IQ'!$AA$10),0,COUNTIF($O$2:$O$152,$Q18)))</f>
        <v/>
      </c>
      <c r="T18">
        <f>IF($S18=0,"",_xlfn.MINIFS($A$2:$A$152,$O$2:$O$152,$Q18))</f>
        <v/>
      </c>
      <c r="U18">
        <f t="array" ref="U18">IF($S18=0,"",SUMPRODUCT(($S$2:$S$143&gt;0)*($T$2:$T$143&lt;$T18))+1)</f>
        <v/>
      </c>
    </row>
    <row r="19">
      <c r="A19">
        <f>ROW()-2</f>
        <v/>
      </c>
      <c r="B19">
        <f>$A19/150</f>
        <v/>
      </c>
      <c r="C19">
        <f>'Feasibility IQ'!$AA$4</f>
        <v/>
      </c>
      <c r="D19">
        <f>'Feasibility IQ'!$AA$5</f>
        <v/>
      </c>
      <c r="E19">
        <f>'Feasibility IQ'!$AA$6</f>
        <v/>
      </c>
      <c r="F19">
        <f>'Feasibility IQ'!$AA$7</f>
        <v/>
      </c>
      <c r="G19">
        <f>'Feasibility IQ'!$AA$8</f>
        <v/>
      </c>
      <c r="H19">
        <f>IF(OR($G19="",$G19=0),"",SIN((1-$B19)*$G19)/SIN($G19))</f>
        <v/>
      </c>
      <c r="I19">
        <f>IF($H19="","",SIN($B19*$G19)/SIN($G19))</f>
        <v/>
      </c>
      <c r="J19">
        <f>IF($H19="","",$H19*COS(RADIANS($C19))*COS(RADIANS($D19))+$I19*COS(RADIANS($E19))*COS(RADIANS($F19)))</f>
        <v/>
      </c>
      <c r="K19">
        <f>IF($H19="","",$H19*COS(RADIANS($C19))*SIN(RADIANS($D19))+$I19*COS(RADIANS($E19))*SIN(RADIANS($F19)))</f>
        <v/>
      </c>
      <c r="L19">
        <f>IF($H19="","",$H19*SIN(RADIANS($C19))+$I19*SIN(RADIANS($E19)))</f>
        <v/>
      </c>
      <c r="M19">
        <f>IF($L19="","",DEGREES(ATAN2(SQRT($J19^2+$K19^2),$L19)))</f>
        <v/>
      </c>
      <c r="N19">
        <f>IF($L19="","",DEGREES(ATAN2($J19,$K19)))</f>
        <v/>
      </c>
      <c r="O19">
        <f t="array" ref="O19">IF($M19="","",IFERROR(IF(INDEX(geo_grid!$B$2:$JU$231,INT(($M19+40)/0.5)+1,INT(($N19+30)/0.5)+1)="","",INDEX(geo_grid!$B$2:$JU$231,INT(($M19+40)/0.5)+1,INT(($N19+30)/0.5)+1)),"OUTSIDE GRID"))</f>
        <v/>
      </c>
      <c r="Q19">
        <f>IF(countries!$D19="","",countries!$D19)</f>
        <v/>
      </c>
      <c r="R19">
        <f>IF($Q19="","",countries!$B19)</f>
        <v/>
      </c>
      <c r="S19">
        <f>IF($Q19="","",IF(OR($Q19='Feasibility IQ'!$AA$9,$Q19='Feasibility IQ'!$AA$10),0,COUNTIF($O$2:$O$152,$Q19)))</f>
        <v/>
      </c>
      <c r="T19">
        <f>IF($S19=0,"",_xlfn.MINIFS($A$2:$A$152,$O$2:$O$152,$Q19))</f>
        <v/>
      </c>
      <c r="U19">
        <f t="array" ref="U19">IF($S19=0,"",SUMPRODUCT(($S$2:$S$143&gt;0)*($T$2:$T$143&lt;$T19))+1)</f>
        <v/>
      </c>
    </row>
    <row r="20">
      <c r="A20">
        <f>ROW()-2</f>
        <v/>
      </c>
      <c r="B20">
        <f>$A20/150</f>
        <v/>
      </c>
      <c r="C20">
        <f>'Feasibility IQ'!$AA$4</f>
        <v/>
      </c>
      <c r="D20">
        <f>'Feasibility IQ'!$AA$5</f>
        <v/>
      </c>
      <c r="E20">
        <f>'Feasibility IQ'!$AA$6</f>
        <v/>
      </c>
      <c r="F20">
        <f>'Feasibility IQ'!$AA$7</f>
        <v/>
      </c>
      <c r="G20">
        <f>'Feasibility IQ'!$AA$8</f>
        <v/>
      </c>
      <c r="H20">
        <f>IF(OR($G20="",$G20=0),"",SIN((1-$B20)*$G20)/SIN($G20))</f>
        <v/>
      </c>
      <c r="I20">
        <f>IF($H20="","",SIN($B20*$G20)/SIN($G20))</f>
        <v/>
      </c>
      <c r="J20">
        <f>IF($H20="","",$H20*COS(RADIANS($C20))*COS(RADIANS($D20))+$I20*COS(RADIANS($E20))*COS(RADIANS($F20)))</f>
        <v/>
      </c>
      <c r="K20">
        <f>IF($H20="","",$H20*COS(RADIANS($C20))*SIN(RADIANS($D20))+$I20*COS(RADIANS($E20))*SIN(RADIANS($F20)))</f>
        <v/>
      </c>
      <c r="L20">
        <f>IF($H20="","",$H20*SIN(RADIANS($C20))+$I20*SIN(RADIANS($E20)))</f>
        <v/>
      </c>
      <c r="M20">
        <f>IF($L20="","",DEGREES(ATAN2(SQRT($J20^2+$K20^2),$L20)))</f>
        <v/>
      </c>
      <c r="N20">
        <f>IF($L20="","",DEGREES(ATAN2($J20,$K20)))</f>
        <v/>
      </c>
      <c r="O20">
        <f t="array" ref="O20">IF($M20="","",IFERROR(IF(INDEX(geo_grid!$B$2:$JU$231,INT(($M20+40)/0.5)+1,INT(($N20+30)/0.5)+1)="","",INDEX(geo_grid!$B$2:$JU$231,INT(($M20+40)/0.5)+1,INT(($N20+30)/0.5)+1)),"OUTSIDE GRID"))</f>
        <v/>
      </c>
      <c r="Q20">
        <f>IF(countries!$D20="","",countries!$D20)</f>
        <v/>
      </c>
      <c r="R20">
        <f>IF($Q20="","",countries!$B20)</f>
        <v/>
      </c>
      <c r="S20">
        <f>IF($Q20="","",IF(OR($Q20='Feasibility IQ'!$AA$9,$Q20='Feasibility IQ'!$AA$10),0,COUNTIF($O$2:$O$152,$Q20)))</f>
        <v/>
      </c>
      <c r="T20">
        <f>IF($S20=0,"",_xlfn.MINIFS($A$2:$A$152,$O$2:$O$152,$Q20))</f>
        <v/>
      </c>
      <c r="U20">
        <f t="array" ref="U20">IF($S20=0,"",SUMPRODUCT(($S$2:$S$143&gt;0)*($T$2:$T$143&lt;$T20))+1)</f>
        <v/>
      </c>
    </row>
    <row r="21">
      <c r="A21">
        <f>ROW()-2</f>
        <v/>
      </c>
      <c r="B21">
        <f>$A21/150</f>
        <v/>
      </c>
      <c r="C21">
        <f>'Feasibility IQ'!$AA$4</f>
        <v/>
      </c>
      <c r="D21">
        <f>'Feasibility IQ'!$AA$5</f>
        <v/>
      </c>
      <c r="E21">
        <f>'Feasibility IQ'!$AA$6</f>
        <v/>
      </c>
      <c r="F21">
        <f>'Feasibility IQ'!$AA$7</f>
        <v/>
      </c>
      <c r="G21">
        <f>'Feasibility IQ'!$AA$8</f>
        <v/>
      </c>
      <c r="H21">
        <f>IF(OR($G21="",$G21=0),"",SIN((1-$B21)*$G21)/SIN($G21))</f>
        <v/>
      </c>
      <c r="I21">
        <f>IF($H21="","",SIN($B21*$G21)/SIN($G21))</f>
        <v/>
      </c>
      <c r="J21">
        <f>IF($H21="","",$H21*COS(RADIANS($C21))*COS(RADIANS($D21))+$I21*COS(RADIANS($E21))*COS(RADIANS($F21)))</f>
        <v/>
      </c>
      <c r="K21">
        <f>IF($H21="","",$H21*COS(RADIANS($C21))*SIN(RADIANS($D21))+$I21*COS(RADIANS($E21))*SIN(RADIANS($F21)))</f>
        <v/>
      </c>
      <c r="L21">
        <f>IF($H21="","",$H21*SIN(RADIANS($C21))+$I21*SIN(RADIANS($E21)))</f>
        <v/>
      </c>
      <c r="M21">
        <f>IF($L21="","",DEGREES(ATAN2(SQRT($J21^2+$K21^2),$L21)))</f>
        <v/>
      </c>
      <c r="N21">
        <f>IF($L21="","",DEGREES(ATAN2($J21,$K21)))</f>
        <v/>
      </c>
      <c r="O21">
        <f t="array" ref="O21">IF($M21="","",IFERROR(IF(INDEX(geo_grid!$B$2:$JU$231,INT(($M21+40)/0.5)+1,INT(($N21+30)/0.5)+1)="","",INDEX(geo_grid!$B$2:$JU$231,INT(($M21+40)/0.5)+1,INT(($N21+30)/0.5)+1)),"OUTSIDE GRID"))</f>
        <v/>
      </c>
      <c r="Q21">
        <f>IF(countries!$D21="","",countries!$D21)</f>
        <v/>
      </c>
      <c r="R21">
        <f>IF($Q21="","",countries!$B21)</f>
        <v/>
      </c>
      <c r="S21">
        <f>IF($Q21="","",IF(OR($Q21='Feasibility IQ'!$AA$9,$Q21='Feasibility IQ'!$AA$10),0,COUNTIF($O$2:$O$152,$Q21)))</f>
        <v/>
      </c>
      <c r="T21">
        <f>IF($S21=0,"",_xlfn.MINIFS($A$2:$A$152,$O$2:$O$152,$Q21))</f>
        <v/>
      </c>
      <c r="U21">
        <f t="array" ref="U21">IF($S21=0,"",SUMPRODUCT(($S$2:$S$143&gt;0)*($T$2:$T$143&lt;$T21))+1)</f>
        <v/>
      </c>
    </row>
    <row r="22">
      <c r="A22">
        <f>ROW()-2</f>
        <v/>
      </c>
      <c r="B22">
        <f>$A22/150</f>
        <v/>
      </c>
      <c r="C22">
        <f>'Feasibility IQ'!$AA$4</f>
        <v/>
      </c>
      <c r="D22">
        <f>'Feasibility IQ'!$AA$5</f>
        <v/>
      </c>
      <c r="E22">
        <f>'Feasibility IQ'!$AA$6</f>
        <v/>
      </c>
      <c r="F22">
        <f>'Feasibility IQ'!$AA$7</f>
        <v/>
      </c>
      <c r="G22">
        <f>'Feasibility IQ'!$AA$8</f>
        <v/>
      </c>
      <c r="H22">
        <f>IF(OR($G22="",$G22=0),"",SIN((1-$B22)*$G22)/SIN($G22))</f>
        <v/>
      </c>
      <c r="I22">
        <f>IF($H22="","",SIN($B22*$G22)/SIN($G22))</f>
        <v/>
      </c>
      <c r="J22">
        <f>IF($H22="","",$H22*COS(RADIANS($C22))*COS(RADIANS($D22))+$I22*COS(RADIANS($E22))*COS(RADIANS($F22)))</f>
        <v/>
      </c>
      <c r="K22">
        <f>IF($H22="","",$H22*COS(RADIANS($C22))*SIN(RADIANS($D22))+$I22*COS(RADIANS($E22))*SIN(RADIANS($F22)))</f>
        <v/>
      </c>
      <c r="L22">
        <f>IF($H22="","",$H22*SIN(RADIANS($C22))+$I22*SIN(RADIANS($E22)))</f>
        <v/>
      </c>
      <c r="M22">
        <f>IF($L22="","",DEGREES(ATAN2(SQRT($J22^2+$K22^2),$L22)))</f>
        <v/>
      </c>
      <c r="N22">
        <f>IF($L22="","",DEGREES(ATAN2($J22,$K22)))</f>
        <v/>
      </c>
      <c r="O22">
        <f t="array" ref="O22">IF($M22="","",IFERROR(IF(INDEX(geo_grid!$B$2:$JU$231,INT(($M22+40)/0.5)+1,INT(($N22+30)/0.5)+1)="","",INDEX(geo_grid!$B$2:$JU$231,INT(($M22+40)/0.5)+1,INT(($N22+30)/0.5)+1)),"OUTSIDE GRID"))</f>
        <v/>
      </c>
      <c r="Q22">
        <f>IF(countries!$D22="","",countries!$D22)</f>
        <v/>
      </c>
      <c r="R22">
        <f>IF($Q22="","",countries!$B22)</f>
        <v/>
      </c>
      <c r="S22">
        <f>IF($Q22="","",IF(OR($Q22='Feasibility IQ'!$AA$9,$Q22='Feasibility IQ'!$AA$10),0,COUNTIF($O$2:$O$152,$Q22)))</f>
        <v/>
      </c>
      <c r="T22">
        <f>IF($S22=0,"",_xlfn.MINIFS($A$2:$A$152,$O$2:$O$152,$Q22))</f>
        <v/>
      </c>
      <c r="U22">
        <f t="array" ref="U22">IF($S22=0,"",SUMPRODUCT(($S$2:$S$143&gt;0)*($T$2:$T$143&lt;$T22))+1)</f>
        <v/>
      </c>
    </row>
    <row r="23">
      <c r="A23">
        <f>ROW()-2</f>
        <v/>
      </c>
      <c r="B23">
        <f>$A23/150</f>
        <v/>
      </c>
      <c r="C23">
        <f>'Feasibility IQ'!$AA$4</f>
        <v/>
      </c>
      <c r="D23">
        <f>'Feasibility IQ'!$AA$5</f>
        <v/>
      </c>
      <c r="E23">
        <f>'Feasibility IQ'!$AA$6</f>
        <v/>
      </c>
      <c r="F23">
        <f>'Feasibility IQ'!$AA$7</f>
        <v/>
      </c>
      <c r="G23">
        <f>'Feasibility IQ'!$AA$8</f>
        <v/>
      </c>
      <c r="H23">
        <f>IF(OR($G23="",$G23=0),"",SIN((1-$B23)*$G23)/SIN($G23))</f>
        <v/>
      </c>
      <c r="I23">
        <f>IF($H23="","",SIN($B23*$G23)/SIN($G23))</f>
        <v/>
      </c>
      <c r="J23">
        <f>IF($H23="","",$H23*COS(RADIANS($C23))*COS(RADIANS($D23))+$I23*COS(RADIANS($E23))*COS(RADIANS($F23)))</f>
        <v/>
      </c>
      <c r="K23">
        <f>IF($H23="","",$H23*COS(RADIANS($C23))*SIN(RADIANS($D23))+$I23*COS(RADIANS($E23))*SIN(RADIANS($F23)))</f>
        <v/>
      </c>
      <c r="L23">
        <f>IF($H23="","",$H23*SIN(RADIANS($C23))+$I23*SIN(RADIANS($E23)))</f>
        <v/>
      </c>
      <c r="M23">
        <f>IF($L23="","",DEGREES(ATAN2(SQRT($J23^2+$K23^2),$L23)))</f>
        <v/>
      </c>
      <c r="N23">
        <f>IF($L23="","",DEGREES(ATAN2($J23,$K23)))</f>
        <v/>
      </c>
      <c r="O23">
        <f t="array" ref="O23">IF($M23="","",IFERROR(IF(INDEX(geo_grid!$B$2:$JU$231,INT(($M23+40)/0.5)+1,INT(($N23+30)/0.5)+1)="","",INDEX(geo_grid!$B$2:$JU$231,INT(($M23+40)/0.5)+1,INT(($N23+30)/0.5)+1)),"OUTSIDE GRID"))</f>
        <v/>
      </c>
      <c r="Q23">
        <f>IF(countries!$D23="","",countries!$D23)</f>
        <v/>
      </c>
      <c r="R23">
        <f>IF($Q23="","",countries!$B23)</f>
        <v/>
      </c>
      <c r="S23">
        <f>IF($Q23="","",IF(OR($Q23='Feasibility IQ'!$AA$9,$Q23='Feasibility IQ'!$AA$10),0,COUNTIF($O$2:$O$152,$Q23)))</f>
        <v/>
      </c>
      <c r="T23">
        <f>IF($S23=0,"",_xlfn.MINIFS($A$2:$A$152,$O$2:$O$152,$Q23))</f>
        <v/>
      </c>
      <c r="U23">
        <f t="array" ref="U23">IF($S23=0,"",SUMPRODUCT(($S$2:$S$143&gt;0)*($T$2:$T$143&lt;$T23))+1)</f>
        <v/>
      </c>
    </row>
    <row r="24">
      <c r="A24">
        <f>ROW()-2</f>
        <v/>
      </c>
      <c r="B24">
        <f>$A24/150</f>
        <v/>
      </c>
      <c r="C24">
        <f>'Feasibility IQ'!$AA$4</f>
        <v/>
      </c>
      <c r="D24">
        <f>'Feasibility IQ'!$AA$5</f>
        <v/>
      </c>
      <c r="E24">
        <f>'Feasibility IQ'!$AA$6</f>
        <v/>
      </c>
      <c r="F24">
        <f>'Feasibility IQ'!$AA$7</f>
        <v/>
      </c>
      <c r="G24">
        <f>'Feasibility IQ'!$AA$8</f>
        <v/>
      </c>
      <c r="H24">
        <f>IF(OR($G24="",$G24=0),"",SIN((1-$B24)*$G24)/SIN($G24))</f>
        <v/>
      </c>
      <c r="I24">
        <f>IF($H24="","",SIN($B24*$G24)/SIN($G24))</f>
        <v/>
      </c>
      <c r="J24">
        <f>IF($H24="","",$H24*COS(RADIANS($C24))*COS(RADIANS($D24))+$I24*COS(RADIANS($E24))*COS(RADIANS($F24)))</f>
        <v/>
      </c>
      <c r="K24">
        <f>IF($H24="","",$H24*COS(RADIANS($C24))*SIN(RADIANS($D24))+$I24*COS(RADIANS($E24))*SIN(RADIANS($F24)))</f>
        <v/>
      </c>
      <c r="L24">
        <f>IF($H24="","",$H24*SIN(RADIANS($C24))+$I24*SIN(RADIANS($E24)))</f>
        <v/>
      </c>
      <c r="M24">
        <f>IF($L24="","",DEGREES(ATAN2(SQRT($J24^2+$K24^2),$L24)))</f>
        <v/>
      </c>
      <c r="N24">
        <f>IF($L24="","",DEGREES(ATAN2($J24,$K24)))</f>
        <v/>
      </c>
      <c r="O24">
        <f t="array" ref="O24">IF($M24="","",IFERROR(IF(INDEX(geo_grid!$B$2:$JU$231,INT(($M24+40)/0.5)+1,INT(($N24+30)/0.5)+1)="","",INDEX(geo_grid!$B$2:$JU$231,INT(($M24+40)/0.5)+1,INT(($N24+30)/0.5)+1)),"OUTSIDE GRID"))</f>
        <v/>
      </c>
      <c r="Q24">
        <f>IF(countries!$D24="","",countries!$D24)</f>
        <v/>
      </c>
      <c r="R24">
        <f>IF($Q24="","",countries!$B24)</f>
        <v/>
      </c>
      <c r="S24">
        <f>IF($Q24="","",IF(OR($Q24='Feasibility IQ'!$AA$9,$Q24='Feasibility IQ'!$AA$10),0,COUNTIF($O$2:$O$152,$Q24)))</f>
        <v/>
      </c>
      <c r="T24">
        <f>IF($S24=0,"",_xlfn.MINIFS($A$2:$A$152,$O$2:$O$152,$Q24))</f>
        <v/>
      </c>
      <c r="U24">
        <f t="array" ref="U24">IF($S24=0,"",SUMPRODUCT(($S$2:$S$143&gt;0)*($T$2:$T$143&lt;$T24))+1)</f>
        <v/>
      </c>
    </row>
    <row r="25">
      <c r="A25">
        <f>ROW()-2</f>
        <v/>
      </c>
      <c r="B25">
        <f>$A25/150</f>
        <v/>
      </c>
      <c r="C25">
        <f>'Feasibility IQ'!$AA$4</f>
        <v/>
      </c>
      <c r="D25">
        <f>'Feasibility IQ'!$AA$5</f>
        <v/>
      </c>
      <c r="E25">
        <f>'Feasibility IQ'!$AA$6</f>
        <v/>
      </c>
      <c r="F25">
        <f>'Feasibility IQ'!$AA$7</f>
        <v/>
      </c>
      <c r="G25">
        <f>'Feasibility IQ'!$AA$8</f>
        <v/>
      </c>
      <c r="H25">
        <f>IF(OR($G25="",$G25=0),"",SIN((1-$B25)*$G25)/SIN($G25))</f>
        <v/>
      </c>
      <c r="I25">
        <f>IF($H25="","",SIN($B25*$G25)/SIN($G25))</f>
        <v/>
      </c>
      <c r="J25">
        <f>IF($H25="","",$H25*COS(RADIANS($C25))*COS(RADIANS($D25))+$I25*COS(RADIANS($E25))*COS(RADIANS($F25)))</f>
        <v/>
      </c>
      <c r="K25">
        <f>IF($H25="","",$H25*COS(RADIANS($C25))*SIN(RADIANS($D25))+$I25*COS(RADIANS($E25))*SIN(RADIANS($F25)))</f>
        <v/>
      </c>
      <c r="L25">
        <f>IF($H25="","",$H25*SIN(RADIANS($C25))+$I25*SIN(RADIANS($E25)))</f>
        <v/>
      </c>
      <c r="M25">
        <f>IF($L25="","",DEGREES(ATAN2(SQRT($J25^2+$K25^2),$L25)))</f>
        <v/>
      </c>
      <c r="N25">
        <f>IF($L25="","",DEGREES(ATAN2($J25,$K25)))</f>
        <v/>
      </c>
      <c r="O25">
        <f t="array" ref="O25">IF($M25="","",IFERROR(IF(INDEX(geo_grid!$B$2:$JU$231,INT(($M25+40)/0.5)+1,INT(($N25+30)/0.5)+1)="","",INDEX(geo_grid!$B$2:$JU$231,INT(($M25+40)/0.5)+1,INT(($N25+30)/0.5)+1)),"OUTSIDE GRID"))</f>
        <v/>
      </c>
      <c r="Q25">
        <f>IF(countries!$D25="","",countries!$D25)</f>
        <v/>
      </c>
      <c r="R25">
        <f>IF($Q25="","",countries!$B25)</f>
        <v/>
      </c>
      <c r="S25">
        <f>IF($Q25="","",IF(OR($Q25='Feasibility IQ'!$AA$9,$Q25='Feasibility IQ'!$AA$10),0,COUNTIF($O$2:$O$152,$Q25)))</f>
        <v/>
      </c>
      <c r="T25">
        <f>IF($S25=0,"",_xlfn.MINIFS($A$2:$A$152,$O$2:$O$152,$Q25))</f>
        <v/>
      </c>
      <c r="U25">
        <f t="array" ref="U25">IF($S25=0,"",SUMPRODUCT(($S$2:$S$143&gt;0)*($T$2:$T$143&lt;$T25))+1)</f>
        <v/>
      </c>
    </row>
    <row r="26">
      <c r="A26">
        <f>ROW()-2</f>
        <v/>
      </c>
      <c r="B26">
        <f>$A26/150</f>
        <v/>
      </c>
      <c r="C26">
        <f>'Feasibility IQ'!$AA$4</f>
        <v/>
      </c>
      <c r="D26">
        <f>'Feasibility IQ'!$AA$5</f>
        <v/>
      </c>
      <c r="E26">
        <f>'Feasibility IQ'!$AA$6</f>
        <v/>
      </c>
      <c r="F26">
        <f>'Feasibility IQ'!$AA$7</f>
        <v/>
      </c>
      <c r="G26">
        <f>'Feasibility IQ'!$AA$8</f>
        <v/>
      </c>
      <c r="H26">
        <f>IF(OR($G26="",$G26=0),"",SIN((1-$B26)*$G26)/SIN($G26))</f>
        <v/>
      </c>
      <c r="I26">
        <f>IF($H26="","",SIN($B26*$G26)/SIN($G26))</f>
        <v/>
      </c>
      <c r="J26">
        <f>IF($H26="","",$H26*COS(RADIANS($C26))*COS(RADIANS($D26))+$I26*COS(RADIANS($E26))*COS(RADIANS($F26)))</f>
        <v/>
      </c>
      <c r="K26">
        <f>IF($H26="","",$H26*COS(RADIANS($C26))*SIN(RADIANS($D26))+$I26*COS(RADIANS($E26))*SIN(RADIANS($F26)))</f>
        <v/>
      </c>
      <c r="L26">
        <f>IF($H26="","",$H26*SIN(RADIANS($C26))+$I26*SIN(RADIANS($E26)))</f>
        <v/>
      </c>
      <c r="M26">
        <f>IF($L26="","",DEGREES(ATAN2(SQRT($J26^2+$K26^2),$L26)))</f>
        <v/>
      </c>
      <c r="N26">
        <f>IF($L26="","",DEGREES(ATAN2($J26,$K26)))</f>
        <v/>
      </c>
      <c r="O26">
        <f t="array" ref="O26">IF($M26="","",IFERROR(IF(INDEX(geo_grid!$B$2:$JU$231,INT(($M26+40)/0.5)+1,INT(($N26+30)/0.5)+1)="","",INDEX(geo_grid!$B$2:$JU$231,INT(($M26+40)/0.5)+1,INT(($N26+30)/0.5)+1)),"OUTSIDE GRID"))</f>
        <v/>
      </c>
      <c r="Q26">
        <f>IF(countries!$D26="","",countries!$D26)</f>
        <v/>
      </c>
      <c r="R26">
        <f>IF($Q26="","",countries!$B26)</f>
        <v/>
      </c>
      <c r="S26">
        <f>IF($Q26="","",IF(OR($Q26='Feasibility IQ'!$AA$9,$Q26='Feasibility IQ'!$AA$10),0,COUNTIF($O$2:$O$152,$Q26)))</f>
        <v/>
      </c>
      <c r="T26">
        <f>IF($S26=0,"",_xlfn.MINIFS($A$2:$A$152,$O$2:$O$152,$Q26))</f>
        <v/>
      </c>
      <c r="U26">
        <f t="array" ref="U26">IF($S26=0,"",SUMPRODUCT(($S$2:$S$143&gt;0)*($T$2:$T$143&lt;$T26))+1)</f>
        <v/>
      </c>
    </row>
    <row r="27">
      <c r="A27">
        <f>ROW()-2</f>
        <v/>
      </c>
      <c r="B27">
        <f>$A27/150</f>
        <v/>
      </c>
      <c r="C27">
        <f>'Feasibility IQ'!$AA$4</f>
        <v/>
      </c>
      <c r="D27">
        <f>'Feasibility IQ'!$AA$5</f>
        <v/>
      </c>
      <c r="E27">
        <f>'Feasibility IQ'!$AA$6</f>
        <v/>
      </c>
      <c r="F27">
        <f>'Feasibility IQ'!$AA$7</f>
        <v/>
      </c>
      <c r="G27">
        <f>'Feasibility IQ'!$AA$8</f>
        <v/>
      </c>
      <c r="H27">
        <f>IF(OR($G27="",$G27=0),"",SIN((1-$B27)*$G27)/SIN($G27))</f>
        <v/>
      </c>
      <c r="I27">
        <f>IF($H27="","",SIN($B27*$G27)/SIN($G27))</f>
        <v/>
      </c>
      <c r="J27">
        <f>IF($H27="","",$H27*COS(RADIANS($C27))*COS(RADIANS($D27))+$I27*COS(RADIANS($E27))*COS(RADIANS($F27)))</f>
        <v/>
      </c>
      <c r="K27">
        <f>IF($H27="","",$H27*COS(RADIANS($C27))*SIN(RADIANS($D27))+$I27*COS(RADIANS($E27))*SIN(RADIANS($F27)))</f>
        <v/>
      </c>
      <c r="L27">
        <f>IF($H27="","",$H27*SIN(RADIANS($C27))+$I27*SIN(RADIANS($E27)))</f>
        <v/>
      </c>
      <c r="M27">
        <f>IF($L27="","",DEGREES(ATAN2(SQRT($J27^2+$K27^2),$L27)))</f>
        <v/>
      </c>
      <c r="N27">
        <f>IF($L27="","",DEGREES(ATAN2($J27,$K27)))</f>
        <v/>
      </c>
      <c r="O27">
        <f t="array" ref="O27">IF($M27="","",IFERROR(IF(INDEX(geo_grid!$B$2:$JU$231,INT(($M27+40)/0.5)+1,INT(($N27+30)/0.5)+1)="","",INDEX(geo_grid!$B$2:$JU$231,INT(($M27+40)/0.5)+1,INT(($N27+30)/0.5)+1)),"OUTSIDE GRID"))</f>
        <v/>
      </c>
      <c r="Q27">
        <f>IF(countries!$D27="","",countries!$D27)</f>
        <v/>
      </c>
      <c r="R27">
        <f>IF($Q27="","",countries!$B27)</f>
        <v/>
      </c>
      <c r="S27">
        <f>IF($Q27="","",IF(OR($Q27='Feasibility IQ'!$AA$9,$Q27='Feasibility IQ'!$AA$10),0,COUNTIF($O$2:$O$152,$Q27)))</f>
        <v/>
      </c>
      <c r="T27">
        <f>IF($S27=0,"",_xlfn.MINIFS($A$2:$A$152,$O$2:$O$152,$Q27))</f>
        <v/>
      </c>
      <c r="U27">
        <f t="array" ref="U27">IF($S27=0,"",SUMPRODUCT(($S$2:$S$143&gt;0)*($T$2:$T$143&lt;$T27))+1)</f>
        <v/>
      </c>
    </row>
    <row r="28">
      <c r="A28">
        <f>ROW()-2</f>
        <v/>
      </c>
      <c r="B28">
        <f>$A28/150</f>
        <v/>
      </c>
      <c r="C28">
        <f>'Feasibility IQ'!$AA$4</f>
        <v/>
      </c>
      <c r="D28">
        <f>'Feasibility IQ'!$AA$5</f>
        <v/>
      </c>
      <c r="E28">
        <f>'Feasibility IQ'!$AA$6</f>
        <v/>
      </c>
      <c r="F28">
        <f>'Feasibility IQ'!$AA$7</f>
        <v/>
      </c>
      <c r="G28">
        <f>'Feasibility IQ'!$AA$8</f>
        <v/>
      </c>
      <c r="H28">
        <f>IF(OR($G28="",$G28=0),"",SIN((1-$B28)*$G28)/SIN($G28))</f>
        <v/>
      </c>
      <c r="I28">
        <f>IF($H28="","",SIN($B28*$G28)/SIN($G28))</f>
        <v/>
      </c>
      <c r="J28">
        <f>IF($H28="","",$H28*COS(RADIANS($C28))*COS(RADIANS($D28))+$I28*COS(RADIANS($E28))*COS(RADIANS($F28)))</f>
        <v/>
      </c>
      <c r="K28">
        <f>IF($H28="","",$H28*COS(RADIANS($C28))*SIN(RADIANS($D28))+$I28*COS(RADIANS($E28))*SIN(RADIANS($F28)))</f>
        <v/>
      </c>
      <c r="L28">
        <f>IF($H28="","",$H28*SIN(RADIANS($C28))+$I28*SIN(RADIANS($E28)))</f>
        <v/>
      </c>
      <c r="M28">
        <f>IF($L28="","",DEGREES(ATAN2(SQRT($J28^2+$K28^2),$L28)))</f>
        <v/>
      </c>
      <c r="N28">
        <f>IF($L28="","",DEGREES(ATAN2($J28,$K28)))</f>
        <v/>
      </c>
      <c r="O28">
        <f t="array" ref="O28">IF($M28="","",IFERROR(IF(INDEX(geo_grid!$B$2:$JU$231,INT(($M28+40)/0.5)+1,INT(($N28+30)/0.5)+1)="","",INDEX(geo_grid!$B$2:$JU$231,INT(($M28+40)/0.5)+1,INT(($N28+30)/0.5)+1)),"OUTSIDE GRID"))</f>
        <v/>
      </c>
      <c r="Q28">
        <f>IF(countries!$D28="","",countries!$D28)</f>
        <v/>
      </c>
      <c r="R28">
        <f>IF($Q28="","",countries!$B28)</f>
        <v/>
      </c>
      <c r="S28">
        <f>IF($Q28="","",IF(OR($Q28='Feasibility IQ'!$AA$9,$Q28='Feasibility IQ'!$AA$10),0,COUNTIF($O$2:$O$152,$Q28)))</f>
        <v/>
      </c>
      <c r="T28">
        <f>IF($S28=0,"",_xlfn.MINIFS($A$2:$A$152,$O$2:$O$152,$Q28))</f>
        <v/>
      </c>
      <c r="U28">
        <f t="array" ref="U28">IF($S28=0,"",SUMPRODUCT(($S$2:$S$143&gt;0)*($T$2:$T$143&lt;$T28))+1)</f>
        <v/>
      </c>
    </row>
    <row r="29">
      <c r="A29">
        <f>ROW()-2</f>
        <v/>
      </c>
      <c r="B29">
        <f>$A29/150</f>
        <v/>
      </c>
      <c r="C29">
        <f>'Feasibility IQ'!$AA$4</f>
        <v/>
      </c>
      <c r="D29">
        <f>'Feasibility IQ'!$AA$5</f>
        <v/>
      </c>
      <c r="E29">
        <f>'Feasibility IQ'!$AA$6</f>
        <v/>
      </c>
      <c r="F29">
        <f>'Feasibility IQ'!$AA$7</f>
        <v/>
      </c>
      <c r="G29">
        <f>'Feasibility IQ'!$AA$8</f>
        <v/>
      </c>
      <c r="H29">
        <f>IF(OR($G29="",$G29=0),"",SIN((1-$B29)*$G29)/SIN($G29))</f>
        <v/>
      </c>
      <c r="I29">
        <f>IF($H29="","",SIN($B29*$G29)/SIN($G29))</f>
        <v/>
      </c>
      <c r="J29">
        <f>IF($H29="","",$H29*COS(RADIANS($C29))*COS(RADIANS($D29))+$I29*COS(RADIANS($E29))*COS(RADIANS($F29)))</f>
        <v/>
      </c>
      <c r="K29">
        <f>IF($H29="","",$H29*COS(RADIANS($C29))*SIN(RADIANS($D29))+$I29*COS(RADIANS($E29))*SIN(RADIANS($F29)))</f>
        <v/>
      </c>
      <c r="L29">
        <f>IF($H29="","",$H29*SIN(RADIANS($C29))+$I29*SIN(RADIANS($E29)))</f>
        <v/>
      </c>
      <c r="M29">
        <f>IF($L29="","",DEGREES(ATAN2(SQRT($J29^2+$K29^2),$L29)))</f>
        <v/>
      </c>
      <c r="N29">
        <f>IF($L29="","",DEGREES(ATAN2($J29,$K29)))</f>
        <v/>
      </c>
      <c r="O29">
        <f t="array" ref="O29">IF($M29="","",IFERROR(IF(INDEX(geo_grid!$B$2:$JU$231,INT(($M29+40)/0.5)+1,INT(($N29+30)/0.5)+1)="","",INDEX(geo_grid!$B$2:$JU$231,INT(($M29+40)/0.5)+1,INT(($N29+30)/0.5)+1)),"OUTSIDE GRID"))</f>
        <v/>
      </c>
      <c r="Q29">
        <f>IF(countries!$D29="","",countries!$D29)</f>
        <v/>
      </c>
      <c r="R29">
        <f>IF($Q29="","",countries!$B29)</f>
        <v/>
      </c>
      <c r="S29">
        <f>IF($Q29="","",IF(OR($Q29='Feasibility IQ'!$AA$9,$Q29='Feasibility IQ'!$AA$10),0,COUNTIF($O$2:$O$152,$Q29)))</f>
        <v/>
      </c>
      <c r="T29">
        <f>IF($S29=0,"",_xlfn.MINIFS($A$2:$A$152,$O$2:$O$152,$Q29))</f>
        <v/>
      </c>
      <c r="U29">
        <f t="array" ref="U29">IF($S29=0,"",SUMPRODUCT(($S$2:$S$143&gt;0)*($T$2:$T$143&lt;$T29))+1)</f>
        <v/>
      </c>
    </row>
    <row r="30">
      <c r="A30">
        <f>ROW()-2</f>
        <v/>
      </c>
      <c r="B30">
        <f>$A30/150</f>
        <v/>
      </c>
      <c r="C30">
        <f>'Feasibility IQ'!$AA$4</f>
        <v/>
      </c>
      <c r="D30">
        <f>'Feasibility IQ'!$AA$5</f>
        <v/>
      </c>
      <c r="E30">
        <f>'Feasibility IQ'!$AA$6</f>
        <v/>
      </c>
      <c r="F30">
        <f>'Feasibility IQ'!$AA$7</f>
        <v/>
      </c>
      <c r="G30">
        <f>'Feasibility IQ'!$AA$8</f>
        <v/>
      </c>
      <c r="H30">
        <f>IF(OR($G30="",$G30=0),"",SIN((1-$B30)*$G30)/SIN($G30))</f>
        <v/>
      </c>
      <c r="I30">
        <f>IF($H30="","",SIN($B30*$G30)/SIN($G30))</f>
        <v/>
      </c>
      <c r="J30">
        <f>IF($H30="","",$H30*COS(RADIANS($C30))*COS(RADIANS($D30))+$I30*COS(RADIANS($E30))*COS(RADIANS($F30)))</f>
        <v/>
      </c>
      <c r="K30">
        <f>IF($H30="","",$H30*COS(RADIANS($C30))*SIN(RADIANS($D30))+$I30*COS(RADIANS($E30))*SIN(RADIANS($F30)))</f>
        <v/>
      </c>
      <c r="L30">
        <f>IF($H30="","",$H30*SIN(RADIANS($C30))+$I30*SIN(RADIANS($E30)))</f>
        <v/>
      </c>
      <c r="M30">
        <f>IF($L30="","",DEGREES(ATAN2(SQRT($J30^2+$K30^2),$L30)))</f>
        <v/>
      </c>
      <c r="N30">
        <f>IF($L30="","",DEGREES(ATAN2($J30,$K30)))</f>
        <v/>
      </c>
      <c r="O30">
        <f t="array" ref="O30">IF($M30="","",IFERROR(IF(INDEX(geo_grid!$B$2:$JU$231,INT(($M30+40)/0.5)+1,INT(($N30+30)/0.5)+1)="","",INDEX(geo_grid!$B$2:$JU$231,INT(($M30+40)/0.5)+1,INT(($N30+30)/0.5)+1)),"OUTSIDE GRID"))</f>
        <v/>
      </c>
      <c r="Q30">
        <f>IF(countries!$D30="","",countries!$D30)</f>
        <v/>
      </c>
      <c r="R30">
        <f>IF($Q30="","",countries!$B30)</f>
        <v/>
      </c>
      <c r="S30">
        <f>IF($Q30="","",IF(OR($Q30='Feasibility IQ'!$AA$9,$Q30='Feasibility IQ'!$AA$10),0,COUNTIF($O$2:$O$152,$Q30)))</f>
        <v/>
      </c>
      <c r="T30">
        <f>IF($S30=0,"",_xlfn.MINIFS($A$2:$A$152,$O$2:$O$152,$Q30))</f>
        <v/>
      </c>
      <c r="U30">
        <f t="array" ref="U30">IF($S30=0,"",SUMPRODUCT(($S$2:$S$143&gt;0)*($T$2:$T$143&lt;$T30))+1)</f>
        <v/>
      </c>
    </row>
    <row r="31">
      <c r="A31">
        <f>ROW()-2</f>
        <v/>
      </c>
      <c r="B31">
        <f>$A31/150</f>
        <v/>
      </c>
      <c r="C31">
        <f>'Feasibility IQ'!$AA$4</f>
        <v/>
      </c>
      <c r="D31">
        <f>'Feasibility IQ'!$AA$5</f>
        <v/>
      </c>
      <c r="E31">
        <f>'Feasibility IQ'!$AA$6</f>
        <v/>
      </c>
      <c r="F31">
        <f>'Feasibility IQ'!$AA$7</f>
        <v/>
      </c>
      <c r="G31">
        <f>'Feasibility IQ'!$AA$8</f>
        <v/>
      </c>
      <c r="H31">
        <f>IF(OR($G31="",$G31=0),"",SIN((1-$B31)*$G31)/SIN($G31))</f>
        <v/>
      </c>
      <c r="I31">
        <f>IF($H31="","",SIN($B31*$G31)/SIN($G31))</f>
        <v/>
      </c>
      <c r="J31">
        <f>IF($H31="","",$H31*COS(RADIANS($C31))*COS(RADIANS($D31))+$I31*COS(RADIANS($E31))*COS(RADIANS($F31)))</f>
        <v/>
      </c>
      <c r="K31">
        <f>IF($H31="","",$H31*COS(RADIANS($C31))*SIN(RADIANS($D31))+$I31*COS(RADIANS($E31))*SIN(RADIANS($F31)))</f>
        <v/>
      </c>
      <c r="L31">
        <f>IF($H31="","",$H31*SIN(RADIANS($C31))+$I31*SIN(RADIANS($E31)))</f>
        <v/>
      </c>
      <c r="M31">
        <f>IF($L31="","",DEGREES(ATAN2(SQRT($J31^2+$K31^2),$L31)))</f>
        <v/>
      </c>
      <c r="N31">
        <f>IF($L31="","",DEGREES(ATAN2($J31,$K31)))</f>
        <v/>
      </c>
      <c r="O31">
        <f t="array" ref="O31">IF($M31="","",IFERROR(IF(INDEX(geo_grid!$B$2:$JU$231,INT(($M31+40)/0.5)+1,INT(($N31+30)/0.5)+1)="","",INDEX(geo_grid!$B$2:$JU$231,INT(($M31+40)/0.5)+1,INT(($N31+30)/0.5)+1)),"OUTSIDE GRID"))</f>
        <v/>
      </c>
      <c r="Q31">
        <f>IF(countries!$D31="","",countries!$D31)</f>
        <v/>
      </c>
      <c r="R31">
        <f>IF($Q31="","",countries!$B31)</f>
        <v/>
      </c>
      <c r="S31">
        <f>IF($Q31="","",IF(OR($Q31='Feasibility IQ'!$AA$9,$Q31='Feasibility IQ'!$AA$10),0,COUNTIF($O$2:$O$152,$Q31)))</f>
        <v/>
      </c>
      <c r="T31">
        <f>IF($S31=0,"",_xlfn.MINIFS($A$2:$A$152,$O$2:$O$152,$Q31))</f>
        <v/>
      </c>
      <c r="U31">
        <f t="array" ref="U31">IF($S31=0,"",SUMPRODUCT(($S$2:$S$143&gt;0)*($T$2:$T$143&lt;$T31))+1)</f>
        <v/>
      </c>
    </row>
    <row r="32">
      <c r="A32">
        <f>ROW()-2</f>
        <v/>
      </c>
      <c r="B32">
        <f>$A32/150</f>
        <v/>
      </c>
      <c r="C32">
        <f>'Feasibility IQ'!$AA$4</f>
        <v/>
      </c>
      <c r="D32">
        <f>'Feasibility IQ'!$AA$5</f>
        <v/>
      </c>
      <c r="E32">
        <f>'Feasibility IQ'!$AA$6</f>
        <v/>
      </c>
      <c r="F32">
        <f>'Feasibility IQ'!$AA$7</f>
        <v/>
      </c>
      <c r="G32">
        <f>'Feasibility IQ'!$AA$8</f>
        <v/>
      </c>
      <c r="H32">
        <f>IF(OR($G32="",$G32=0),"",SIN((1-$B32)*$G32)/SIN($G32))</f>
        <v/>
      </c>
      <c r="I32">
        <f>IF($H32="","",SIN($B32*$G32)/SIN($G32))</f>
        <v/>
      </c>
      <c r="J32">
        <f>IF($H32="","",$H32*COS(RADIANS($C32))*COS(RADIANS($D32))+$I32*COS(RADIANS($E32))*COS(RADIANS($F32)))</f>
        <v/>
      </c>
      <c r="K32">
        <f>IF($H32="","",$H32*COS(RADIANS($C32))*SIN(RADIANS($D32))+$I32*COS(RADIANS($E32))*SIN(RADIANS($F32)))</f>
        <v/>
      </c>
      <c r="L32">
        <f>IF($H32="","",$H32*SIN(RADIANS($C32))+$I32*SIN(RADIANS($E32)))</f>
        <v/>
      </c>
      <c r="M32">
        <f>IF($L32="","",DEGREES(ATAN2(SQRT($J32^2+$K32^2),$L32)))</f>
        <v/>
      </c>
      <c r="N32">
        <f>IF($L32="","",DEGREES(ATAN2($J32,$K32)))</f>
        <v/>
      </c>
      <c r="O32">
        <f t="array" ref="O32">IF($M32="","",IFERROR(IF(INDEX(geo_grid!$B$2:$JU$231,INT(($M32+40)/0.5)+1,INT(($N32+30)/0.5)+1)="","",INDEX(geo_grid!$B$2:$JU$231,INT(($M32+40)/0.5)+1,INT(($N32+30)/0.5)+1)),"OUTSIDE GRID"))</f>
        <v/>
      </c>
      <c r="Q32">
        <f>IF(countries!$D32="","",countries!$D32)</f>
        <v/>
      </c>
      <c r="R32">
        <f>IF($Q32="","",countries!$B32)</f>
        <v/>
      </c>
      <c r="S32">
        <f>IF($Q32="","",IF(OR($Q32='Feasibility IQ'!$AA$9,$Q32='Feasibility IQ'!$AA$10),0,COUNTIF($O$2:$O$152,$Q32)))</f>
        <v/>
      </c>
      <c r="T32">
        <f>IF($S32=0,"",_xlfn.MINIFS($A$2:$A$152,$O$2:$O$152,$Q32))</f>
        <v/>
      </c>
      <c r="U32">
        <f t="array" ref="U32">IF($S32=0,"",SUMPRODUCT(($S$2:$S$143&gt;0)*($T$2:$T$143&lt;$T32))+1)</f>
        <v/>
      </c>
    </row>
    <row r="33">
      <c r="A33">
        <f>ROW()-2</f>
        <v/>
      </c>
      <c r="B33">
        <f>$A33/150</f>
        <v/>
      </c>
      <c r="C33">
        <f>'Feasibility IQ'!$AA$4</f>
        <v/>
      </c>
      <c r="D33">
        <f>'Feasibility IQ'!$AA$5</f>
        <v/>
      </c>
      <c r="E33">
        <f>'Feasibility IQ'!$AA$6</f>
        <v/>
      </c>
      <c r="F33">
        <f>'Feasibility IQ'!$AA$7</f>
        <v/>
      </c>
      <c r="G33">
        <f>'Feasibility IQ'!$AA$8</f>
        <v/>
      </c>
      <c r="H33">
        <f>IF(OR($G33="",$G33=0),"",SIN((1-$B33)*$G33)/SIN($G33))</f>
        <v/>
      </c>
      <c r="I33">
        <f>IF($H33="","",SIN($B33*$G33)/SIN($G33))</f>
        <v/>
      </c>
      <c r="J33">
        <f>IF($H33="","",$H33*COS(RADIANS($C33))*COS(RADIANS($D33))+$I33*COS(RADIANS($E33))*COS(RADIANS($F33)))</f>
        <v/>
      </c>
      <c r="K33">
        <f>IF($H33="","",$H33*COS(RADIANS($C33))*SIN(RADIANS($D33))+$I33*COS(RADIANS($E33))*SIN(RADIANS($F33)))</f>
        <v/>
      </c>
      <c r="L33">
        <f>IF($H33="","",$H33*SIN(RADIANS($C33))+$I33*SIN(RADIANS($E33)))</f>
        <v/>
      </c>
      <c r="M33">
        <f>IF($L33="","",DEGREES(ATAN2(SQRT($J33^2+$K33^2),$L33)))</f>
        <v/>
      </c>
      <c r="N33">
        <f>IF($L33="","",DEGREES(ATAN2($J33,$K33)))</f>
        <v/>
      </c>
      <c r="O33">
        <f t="array" ref="O33">IF($M33="","",IFERROR(IF(INDEX(geo_grid!$B$2:$JU$231,INT(($M33+40)/0.5)+1,INT(($N33+30)/0.5)+1)="","",INDEX(geo_grid!$B$2:$JU$231,INT(($M33+40)/0.5)+1,INT(($N33+30)/0.5)+1)),"OUTSIDE GRID"))</f>
        <v/>
      </c>
      <c r="Q33">
        <f>IF(countries!$D33="","",countries!$D33)</f>
        <v/>
      </c>
      <c r="R33">
        <f>IF($Q33="","",countries!$B33)</f>
        <v/>
      </c>
      <c r="S33">
        <f>IF($Q33="","",IF(OR($Q33='Feasibility IQ'!$AA$9,$Q33='Feasibility IQ'!$AA$10),0,COUNTIF($O$2:$O$152,$Q33)))</f>
        <v/>
      </c>
      <c r="T33">
        <f>IF($S33=0,"",_xlfn.MINIFS($A$2:$A$152,$O$2:$O$152,$Q33))</f>
        <v/>
      </c>
      <c r="U33">
        <f t="array" ref="U33">IF($S33=0,"",SUMPRODUCT(($S$2:$S$143&gt;0)*($T$2:$T$143&lt;$T33))+1)</f>
        <v/>
      </c>
    </row>
    <row r="34">
      <c r="A34">
        <f>ROW()-2</f>
        <v/>
      </c>
      <c r="B34">
        <f>$A34/150</f>
        <v/>
      </c>
      <c r="C34">
        <f>'Feasibility IQ'!$AA$4</f>
        <v/>
      </c>
      <c r="D34">
        <f>'Feasibility IQ'!$AA$5</f>
        <v/>
      </c>
      <c r="E34">
        <f>'Feasibility IQ'!$AA$6</f>
        <v/>
      </c>
      <c r="F34">
        <f>'Feasibility IQ'!$AA$7</f>
        <v/>
      </c>
      <c r="G34">
        <f>'Feasibility IQ'!$AA$8</f>
        <v/>
      </c>
      <c r="H34">
        <f>IF(OR($G34="",$G34=0),"",SIN((1-$B34)*$G34)/SIN($G34))</f>
        <v/>
      </c>
      <c r="I34">
        <f>IF($H34="","",SIN($B34*$G34)/SIN($G34))</f>
        <v/>
      </c>
      <c r="J34">
        <f>IF($H34="","",$H34*COS(RADIANS($C34))*COS(RADIANS($D34))+$I34*COS(RADIANS($E34))*COS(RADIANS($F34)))</f>
        <v/>
      </c>
      <c r="K34">
        <f>IF($H34="","",$H34*COS(RADIANS($C34))*SIN(RADIANS($D34))+$I34*COS(RADIANS($E34))*SIN(RADIANS($F34)))</f>
        <v/>
      </c>
      <c r="L34">
        <f>IF($H34="","",$H34*SIN(RADIANS($C34))+$I34*SIN(RADIANS($E34)))</f>
        <v/>
      </c>
      <c r="M34">
        <f>IF($L34="","",DEGREES(ATAN2(SQRT($J34^2+$K34^2),$L34)))</f>
        <v/>
      </c>
      <c r="N34">
        <f>IF($L34="","",DEGREES(ATAN2($J34,$K34)))</f>
        <v/>
      </c>
      <c r="O34">
        <f t="array" ref="O34">IF($M34="","",IFERROR(IF(INDEX(geo_grid!$B$2:$JU$231,INT(($M34+40)/0.5)+1,INT(($N34+30)/0.5)+1)="","",INDEX(geo_grid!$B$2:$JU$231,INT(($M34+40)/0.5)+1,INT(($N34+30)/0.5)+1)),"OUTSIDE GRID"))</f>
        <v/>
      </c>
      <c r="Q34">
        <f>IF(countries!$D34="","",countries!$D34)</f>
        <v/>
      </c>
      <c r="R34">
        <f>IF($Q34="","",countries!$B34)</f>
        <v/>
      </c>
      <c r="S34">
        <f>IF($Q34="","",IF(OR($Q34='Feasibility IQ'!$AA$9,$Q34='Feasibility IQ'!$AA$10),0,COUNTIF($O$2:$O$152,$Q34)))</f>
        <v/>
      </c>
      <c r="T34">
        <f>IF($S34=0,"",_xlfn.MINIFS($A$2:$A$152,$O$2:$O$152,$Q34))</f>
        <v/>
      </c>
      <c r="U34">
        <f t="array" ref="U34">IF($S34=0,"",SUMPRODUCT(($S$2:$S$143&gt;0)*($T$2:$T$143&lt;$T34))+1)</f>
        <v/>
      </c>
    </row>
    <row r="35">
      <c r="A35">
        <f>ROW()-2</f>
        <v/>
      </c>
      <c r="B35">
        <f>$A35/150</f>
        <v/>
      </c>
      <c r="C35">
        <f>'Feasibility IQ'!$AA$4</f>
        <v/>
      </c>
      <c r="D35">
        <f>'Feasibility IQ'!$AA$5</f>
        <v/>
      </c>
      <c r="E35">
        <f>'Feasibility IQ'!$AA$6</f>
        <v/>
      </c>
      <c r="F35">
        <f>'Feasibility IQ'!$AA$7</f>
        <v/>
      </c>
      <c r="G35">
        <f>'Feasibility IQ'!$AA$8</f>
        <v/>
      </c>
      <c r="H35">
        <f>IF(OR($G35="",$G35=0),"",SIN((1-$B35)*$G35)/SIN($G35))</f>
        <v/>
      </c>
      <c r="I35">
        <f>IF($H35="","",SIN($B35*$G35)/SIN($G35))</f>
        <v/>
      </c>
      <c r="J35">
        <f>IF($H35="","",$H35*COS(RADIANS($C35))*COS(RADIANS($D35))+$I35*COS(RADIANS($E35))*COS(RADIANS($F35)))</f>
        <v/>
      </c>
      <c r="K35">
        <f>IF($H35="","",$H35*COS(RADIANS($C35))*SIN(RADIANS($D35))+$I35*COS(RADIANS($E35))*SIN(RADIANS($F35)))</f>
        <v/>
      </c>
      <c r="L35">
        <f>IF($H35="","",$H35*SIN(RADIANS($C35))+$I35*SIN(RADIANS($E35)))</f>
        <v/>
      </c>
      <c r="M35">
        <f>IF($L35="","",DEGREES(ATAN2(SQRT($J35^2+$K35^2),$L35)))</f>
        <v/>
      </c>
      <c r="N35">
        <f>IF($L35="","",DEGREES(ATAN2($J35,$K35)))</f>
        <v/>
      </c>
      <c r="O35">
        <f t="array" ref="O35">IF($M35="","",IFERROR(IF(INDEX(geo_grid!$B$2:$JU$231,INT(($M35+40)/0.5)+1,INT(($N35+30)/0.5)+1)="","",INDEX(geo_grid!$B$2:$JU$231,INT(($M35+40)/0.5)+1,INT(($N35+30)/0.5)+1)),"OUTSIDE GRID"))</f>
        <v/>
      </c>
      <c r="Q35">
        <f>IF(countries!$D35="","",countries!$D35)</f>
        <v/>
      </c>
      <c r="R35">
        <f>IF($Q35="","",countries!$B35)</f>
        <v/>
      </c>
      <c r="S35">
        <f>IF($Q35="","",IF(OR($Q35='Feasibility IQ'!$AA$9,$Q35='Feasibility IQ'!$AA$10),0,COUNTIF($O$2:$O$152,$Q35)))</f>
        <v/>
      </c>
      <c r="T35">
        <f>IF($S35=0,"",_xlfn.MINIFS($A$2:$A$152,$O$2:$O$152,$Q35))</f>
        <v/>
      </c>
      <c r="U35">
        <f t="array" ref="U35">IF($S35=0,"",SUMPRODUCT(($S$2:$S$143&gt;0)*($T$2:$T$143&lt;$T35))+1)</f>
        <v/>
      </c>
    </row>
    <row r="36">
      <c r="A36">
        <f>ROW()-2</f>
        <v/>
      </c>
      <c r="B36">
        <f>$A36/150</f>
        <v/>
      </c>
      <c r="C36">
        <f>'Feasibility IQ'!$AA$4</f>
        <v/>
      </c>
      <c r="D36">
        <f>'Feasibility IQ'!$AA$5</f>
        <v/>
      </c>
      <c r="E36">
        <f>'Feasibility IQ'!$AA$6</f>
        <v/>
      </c>
      <c r="F36">
        <f>'Feasibility IQ'!$AA$7</f>
        <v/>
      </c>
      <c r="G36">
        <f>'Feasibility IQ'!$AA$8</f>
        <v/>
      </c>
      <c r="H36">
        <f>IF(OR($G36="",$G36=0),"",SIN((1-$B36)*$G36)/SIN($G36))</f>
        <v/>
      </c>
      <c r="I36">
        <f>IF($H36="","",SIN($B36*$G36)/SIN($G36))</f>
        <v/>
      </c>
      <c r="J36">
        <f>IF($H36="","",$H36*COS(RADIANS($C36))*COS(RADIANS($D36))+$I36*COS(RADIANS($E36))*COS(RADIANS($F36)))</f>
        <v/>
      </c>
      <c r="K36">
        <f>IF($H36="","",$H36*COS(RADIANS($C36))*SIN(RADIANS($D36))+$I36*COS(RADIANS($E36))*SIN(RADIANS($F36)))</f>
        <v/>
      </c>
      <c r="L36">
        <f>IF($H36="","",$H36*SIN(RADIANS($C36))+$I36*SIN(RADIANS($E36)))</f>
        <v/>
      </c>
      <c r="M36">
        <f>IF($L36="","",DEGREES(ATAN2(SQRT($J36^2+$K36^2),$L36)))</f>
        <v/>
      </c>
      <c r="N36">
        <f>IF($L36="","",DEGREES(ATAN2($J36,$K36)))</f>
        <v/>
      </c>
      <c r="O36">
        <f t="array" ref="O36">IF($M36="","",IFERROR(IF(INDEX(geo_grid!$B$2:$JU$231,INT(($M36+40)/0.5)+1,INT(($N36+30)/0.5)+1)="","",INDEX(geo_grid!$B$2:$JU$231,INT(($M36+40)/0.5)+1,INT(($N36+30)/0.5)+1)),"OUTSIDE GRID"))</f>
        <v/>
      </c>
      <c r="Q36">
        <f>IF(countries!$D36="","",countries!$D36)</f>
        <v/>
      </c>
      <c r="R36">
        <f>IF($Q36="","",countries!$B36)</f>
        <v/>
      </c>
      <c r="S36">
        <f>IF($Q36="","",IF(OR($Q36='Feasibility IQ'!$AA$9,$Q36='Feasibility IQ'!$AA$10),0,COUNTIF($O$2:$O$152,$Q36)))</f>
        <v/>
      </c>
      <c r="T36">
        <f>IF($S36=0,"",_xlfn.MINIFS($A$2:$A$152,$O$2:$O$152,$Q36))</f>
        <v/>
      </c>
      <c r="U36">
        <f t="array" ref="U36">IF($S36=0,"",SUMPRODUCT(($S$2:$S$143&gt;0)*($T$2:$T$143&lt;$T36))+1)</f>
        <v/>
      </c>
    </row>
    <row r="37">
      <c r="A37">
        <f>ROW()-2</f>
        <v/>
      </c>
      <c r="B37">
        <f>$A37/150</f>
        <v/>
      </c>
      <c r="C37">
        <f>'Feasibility IQ'!$AA$4</f>
        <v/>
      </c>
      <c r="D37">
        <f>'Feasibility IQ'!$AA$5</f>
        <v/>
      </c>
      <c r="E37">
        <f>'Feasibility IQ'!$AA$6</f>
        <v/>
      </c>
      <c r="F37">
        <f>'Feasibility IQ'!$AA$7</f>
        <v/>
      </c>
      <c r="G37">
        <f>'Feasibility IQ'!$AA$8</f>
        <v/>
      </c>
      <c r="H37">
        <f>IF(OR($G37="",$G37=0),"",SIN((1-$B37)*$G37)/SIN($G37))</f>
        <v/>
      </c>
      <c r="I37">
        <f>IF($H37="","",SIN($B37*$G37)/SIN($G37))</f>
        <v/>
      </c>
      <c r="J37">
        <f>IF($H37="","",$H37*COS(RADIANS($C37))*COS(RADIANS($D37))+$I37*COS(RADIANS($E37))*COS(RADIANS($F37)))</f>
        <v/>
      </c>
      <c r="K37">
        <f>IF($H37="","",$H37*COS(RADIANS($C37))*SIN(RADIANS($D37))+$I37*COS(RADIANS($E37))*SIN(RADIANS($F37)))</f>
        <v/>
      </c>
      <c r="L37">
        <f>IF($H37="","",$H37*SIN(RADIANS($C37))+$I37*SIN(RADIANS($E37)))</f>
        <v/>
      </c>
      <c r="M37">
        <f>IF($L37="","",DEGREES(ATAN2(SQRT($J37^2+$K37^2),$L37)))</f>
        <v/>
      </c>
      <c r="N37">
        <f>IF($L37="","",DEGREES(ATAN2($J37,$K37)))</f>
        <v/>
      </c>
      <c r="O37">
        <f t="array" ref="O37">IF($M37="","",IFERROR(IF(INDEX(geo_grid!$B$2:$JU$231,INT(($M37+40)/0.5)+1,INT(($N37+30)/0.5)+1)="","",INDEX(geo_grid!$B$2:$JU$231,INT(($M37+40)/0.5)+1,INT(($N37+30)/0.5)+1)),"OUTSIDE GRID"))</f>
        <v/>
      </c>
      <c r="Q37">
        <f>IF(countries!$D37="","",countries!$D37)</f>
        <v/>
      </c>
      <c r="R37">
        <f>IF($Q37="","",countries!$B37)</f>
        <v/>
      </c>
      <c r="S37">
        <f>IF($Q37="","",IF(OR($Q37='Feasibility IQ'!$AA$9,$Q37='Feasibility IQ'!$AA$10),0,COUNTIF($O$2:$O$152,$Q37)))</f>
        <v/>
      </c>
      <c r="T37">
        <f>IF($S37=0,"",_xlfn.MINIFS($A$2:$A$152,$O$2:$O$152,$Q37))</f>
        <v/>
      </c>
      <c r="U37">
        <f t="array" ref="U37">IF($S37=0,"",SUMPRODUCT(($S$2:$S$143&gt;0)*($T$2:$T$143&lt;$T37))+1)</f>
        <v/>
      </c>
    </row>
    <row r="38">
      <c r="A38">
        <f>ROW()-2</f>
        <v/>
      </c>
      <c r="B38">
        <f>$A38/150</f>
        <v/>
      </c>
      <c r="C38">
        <f>'Feasibility IQ'!$AA$4</f>
        <v/>
      </c>
      <c r="D38">
        <f>'Feasibility IQ'!$AA$5</f>
        <v/>
      </c>
      <c r="E38">
        <f>'Feasibility IQ'!$AA$6</f>
        <v/>
      </c>
      <c r="F38">
        <f>'Feasibility IQ'!$AA$7</f>
        <v/>
      </c>
      <c r="G38">
        <f>'Feasibility IQ'!$AA$8</f>
        <v/>
      </c>
      <c r="H38">
        <f>IF(OR($G38="",$G38=0),"",SIN((1-$B38)*$G38)/SIN($G38))</f>
        <v/>
      </c>
      <c r="I38">
        <f>IF($H38="","",SIN($B38*$G38)/SIN($G38))</f>
        <v/>
      </c>
      <c r="J38">
        <f>IF($H38="","",$H38*COS(RADIANS($C38))*COS(RADIANS($D38))+$I38*COS(RADIANS($E38))*COS(RADIANS($F38)))</f>
        <v/>
      </c>
      <c r="K38">
        <f>IF($H38="","",$H38*COS(RADIANS($C38))*SIN(RADIANS($D38))+$I38*COS(RADIANS($E38))*SIN(RADIANS($F38)))</f>
        <v/>
      </c>
      <c r="L38">
        <f>IF($H38="","",$H38*SIN(RADIANS($C38))+$I38*SIN(RADIANS($E38)))</f>
        <v/>
      </c>
      <c r="M38">
        <f>IF($L38="","",DEGREES(ATAN2(SQRT($J38^2+$K38^2),$L38)))</f>
        <v/>
      </c>
      <c r="N38">
        <f>IF($L38="","",DEGREES(ATAN2($J38,$K38)))</f>
        <v/>
      </c>
      <c r="O38">
        <f t="array" ref="O38">IF($M38="","",IFERROR(IF(INDEX(geo_grid!$B$2:$JU$231,INT(($M38+40)/0.5)+1,INT(($N38+30)/0.5)+1)="","",INDEX(geo_grid!$B$2:$JU$231,INT(($M38+40)/0.5)+1,INT(($N38+30)/0.5)+1)),"OUTSIDE GRID"))</f>
        <v/>
      </c>
      <c r="Q38">
        <f>IF(countries!$D38="","",countries!$D38)</f>
        <v/>
      </c>
      <c r="R38">
        <f>IF($Q38="","",countries!$B38)</f>
        <v/>
      </c>
      <c r="S38">
        <f>IF($Q38="","",IF(OR($Q38='Feasibility IQ'!$AA$9,$Q38='Feasibility IQ'!$AA$10),0,COUNTIF($O$2:$O$152,$Q38)))</f>
        <v/>
      </c>
      <c r="T38">
        <f>IF($S38=0,"",_xlfn.MINIFS($A$2:$A$152,$O$2:$O$152,$Q38))</f>
        <v/>
      </c>
      <c r="U38">
        <f t="array" ref="U38">IF($S38=0,"",SUMPRODUCT(($S$2:$S$143&gt;0)*($T$2:$T$143&lt;$T38))+1)</f>
        <v/>
      </c>
    </row>
    <row r="39">
      <c r="A39">
        <f>ROW()-2</f>
        <v/>
      </c>
      <c r="B39">
        <f>$A39/150</f>
        <v/>
      </c>
      <c r="C39">
        <f>'Feasibility IQ'!$AA$4</f>
        <v/>
      </c>
      <c r="D39">
        <f>'Feasibility IQ'!$AA$5</f>
        <v/>
      </c>
      <c r="E39">
        <f>'Feasibility IQ'!$AA$6</f>
        <v/>
      </c>
      <c r="F39">
        <f>'Feasibility IQ'!$AA$7</f>
        <v/>
      </c>
      <c r="G39">
        <f>'Feasibility IQ'!$AA$8</f>
        <v/>
      </c>
      <c r="H39">
        <f>IF(OR($G39="",$G39=0),"",SIN((1-$B39)*$G39)/SIN($G39))</f>
        <v/>
      </c>
      <c r="I39">
        <f>IF($H39="","",SIN($B39*$G39)/SIN($G39))</f>
        <v/>
      </c>
      <c r="J39">
        <f>IF($H39="","",$H39*COS(RADIANS($C39))*COS(RADIANS($D39))+$I39*COS(RADIANS($E39))*COS(RADIANS($F39)))</f>
        <v/>
      </c>
      <c r="K39">
        <f>IF($H39="","",$H39*COS(RADIANS($C39))*SIN(RADIANS($D39))+$I39*COS(RADIANS($E39))*SIN(RADIANS($F39)))</f>
        <v/>
      </c>
      <c r="L39">
        <f>IF($H39="","",$H39*SIN(RADIANS($C39))+$I39*SIN(RADIANS($E39)))</f>
        <v/>
      </c>
      <c r="M39">
        <f>IF($L39="","",DEGREES(ATAN2(SQRT($J39^2+$K39^2),$L39)))</f>
        <v/>
      </c>
      <c r="N39">
        <f>IF($L39="","",DEGREES(ATAN2($J39,$K39)))</f>
        <v/>
      </c>
      <c r="O39">
        <f t="array" ref="O39">IF($M39="","",IFERROR(IF(INDEX(geo_grid!$B$2:$JU$231,INT(($M39+40)/0.5)+1,INT(($N39+30)/0.5)+1)="","",INDEX(geo_grid!$B$2:$JU$231,INT(($M39+40)/0.5)+1,INT(($N39+30)/0.5)+1)),"OUTSIDE GRID"))</f>
        <v/>
      </c>
      <c r="Q39">
        <f>IF(countries!$D39="","",countries!$D39)</f>
        <v/>
      </c>
      <c r="R39">
        <f>IF($Q39="","",countries!$B39)</f>
        <v/>
      </c>
      <c r="S39">
        <f>IF($Q39="","",IF(OR($Q39='Feasibility IQ'!$AA$9,$Q39='Feasibility IQ'!$AA$10),0,COUNTIF($O$2:$O$152,$Q39)))</f>
        <v/>
      </c>
      <c r="T39">
        <f>IF($S39=0,"",_xlfn.MINIFS($A$2:$A$152,$O$2:$O$152,$Q39))</f>
        <v/>
      </c>
      <c r="U39">
        <f t="array" ref="U39">IF($S39=0,"",SUMPRODUCT(($S$2:$S$143&gt;0)*($T$2:$T$143&lt;$T39))+1)</f>
        <v/>
      </c>
    </row>
    <row r="40">
      <c r="A40">
        <f>ROW()-2</f>
        <v/>
      </c>
      <c r="B40">
        <f>$A40/150</f>
        <v/>
      </c>
      <c r="C40">
        <f>'Feasibility IQ'!$AA$4</f>
        <v/>
      </c>
      <c r="D40">
        <f>'Feasibility IQ'!$AA$5</f>
        <v/>
      </c>
      <c r="E40">
        <f>'Feasibility IQ'!$AA$6</f>
        <v/>
      </c>
      <c r="F40">
        <f>'Feasibility IQ'!$AA$7</f>
        <v/>
      </c>
      <c r="G40">
        <f>'Feasibility IQ'!$AA$8</f>
        <v/>
      </c>
      <c r="H40">
        <f>IF(OR($G40="",$G40=0),"",SIN((1-$B40)*$G40)/SIN($G40))</f>
        <v/>
      </c>
      <c r="I40">
        <f>IF($H40="","",SIN($B40*$G40)/SIN($G40))</f>
        <v/>
      </c>
      <c r="J40">
        <f>IF($H40="","",$H40*COS(RADIANS($C40))*COS(RADIANS($D40))+$I40*COS(RADIANS($E40))*COS(RADIANS($F40)))</f>
        <v/>
      </c>
      <c r="K40">
        <f>IF($H40="","",$H40*COS(RADIANS($C40))*SIN(RADIANS($D40))+$I40*COS(RADIANS($E40))*SIN(RADIANS($F40)))</f>
        <v/>
      </c>
      <c r="L40">
        <f>IF($H40="","",$H40*SIN(RADIANS($C40))+$I40*SIN(RADIANS($E40)))</f>
        <v/>
      </c>
      <c r="M40">
        <f>IF($L40="","",DEGREES(ATAN2(SQRT($J40^2+$K40^2),$L40)))</f>
        <v/>
      </c>
      <c r="N40">
        <f>IF($L40="","",DEGREES(ATAN2($J40,$K40)))</f>
        <v/>
      </c>
      <c r="O40">
        <f t="array" ref="O40">IF($M40="","",IFERROR(IF(INDEX(geo_grid!$B$2:$JU$231,INT(($M40+40)/0.5)+1,INT(($N40+30)/0.5)+1)="","",INDEX(geo_grid!$B$2:$JU$231,INT(($M40+40)/0.5)+1,INT(($N40+30)/0.5)+1)),"OUTSIDE GRID"))</f>
        <v/>
      </c>
      <c r="Q40">
        <f>IF(countries!$D40="","",countries!$D40)</f>
        <v/>
      </c>
      <c r="R40">
        <f>IF($Q40="","",countries!$B40)</f>
        <v/>
      </c>
      <c r="S40">
        <f>IF($Q40="","",IF(OR($Q40='Feasibility IQ'!$AA$9,$Q40='Feasibility IQ'!$AA$10),0,COUNTIF($O$2:$O$152,$Q40)))</f>
        <v/>
      </c>
      <c r="T40">
        <f>IF($S40=0,"",_xlfn.MINIFS($A$2:$A$152,$O$2:$O$152,$Q40))</f>
        <v/>
      </c>
      <c r="U40">
        <f t="array" ref="U40">IF($S40=0,"",SUMPRODUCT(($S$2:$S$143&gt;0)*($T$2:$T$143&lt;$T40))+1)</f>
        <v/>
      </c>
    </row>
    <row r="41">
      <c r="A41">
        <f>ROW()-2</f>
        <v/>
      </c>
      <c r="B41">
        <f>$A41/150</f>
        <v/>
      </c>
      <c r="C41">
        <f>'Feasibility IQ'!$AA$4</f>
        <v/>
      </c>
      <c r="D41">
        <f>'Feasibility IQ'!$AA$5</f>
        <v/>
      </c>
      <c r="E41">
        <f>'Feasibility IQ'!$AA$6</f>
        <v/>
      </c>
      <c r="F41">
        <f>'Feasibility IQ'!$AA$7</f>
        <v/>
      </c>
      <c r="G41">
        <f>'Feasibility IQ'!$AA$8</f>
        <v/>
      </c>
      <c r="H41">
        <f>IF(OR($G41="",$G41=0),"",SIN((1-$B41)*$G41)/SIN($G41))</f>
        <v/>
      </c>
      <c r="I41">
        <f>IF($H41="","",SIN($B41*$G41)/SIN($G41))</f>
        <v/>
      </c>
      <c r="J41">
        <f>IF($H41="","",$H41*COS(RADIANS($C41))*COS(RADIANS($D41))+$I41*COS(RADIANS($E41))*COS(RADIANS($F41)))</f>
        <v/>
      </c>
      <c r="K41">
        <f>IF($H41="","",$H41*COS(RADIANS($C41))*SIN(RADIANS($D41))+$I41*COS(RADIANS($E41))*SIN(RADIANS($F41)))</f>
        <v/>
      </c>
      <c r="L41">
        <f>IF($H41="","",$H41*SIN(RADIANS($C41))+$I41*SIN(RADIANS($E41)))</f>
        <v/>
      </c>
      <c r="M41">
        <f>IF($L41="","",DEGREES(ATAN2(SQRT($J41^2+$K41^2),$L41)))</f>
        <v/>
      </c>
      <c r="N41">
        <f>IF($L41="","",DEGREES(ATAN2($J41,$K41)))</f>
        <v/>
      </c>
      <c r="O41">
        <f t="array" ref="O41">IF($M41="","",IFERROR(IF(INDEX(geo_grid!$B$2:$JU$231,INT(($M41+40)/0.5)+1,INT(($N41+30)/0.5)+1)="","",INDEX(geo_grid!$B$2:$JU$231,INT(($M41+40)/0.5)+1,INT(($N41+30)/0.5)+1)),"OUTSIDE GRID"))</f>
        <v/>
      </c>
      <c r="Q41">
        <f>IF(countries!$D41="","",countries!$D41)</f>
        <v/>
      </c>
      <c r="R41">
        <f>IF($Q41="","",countries!$B41)</f>
        <v/>
      </c>
      <c r="S41">
        <f>IF($Q41="","",IF(OR($Q41='Feasibility IQ'!$AA$9,$Q41='Feasibility IQ'!$AA$10),0,COUNTIF($O$2:$O$152,$Q41)))</f>
        <v/>
      </c>
      <c r="T41">
        <f>IF($S41=0,"",_xlfn.MINIFS($A$2:$A$152,$O$2:$O$152,$Q41))</f>
        <v/>
      </c>
      <c r="U41">
        <f t="array" ref="U41">IF($S41=0,"",SUMPRODUCT(($S$2:$S$143&gt;0)*($T$2:$T$143&lt;$T41))+1)</f>
        <v/>
      </c>
    </row>
    <row r="42">
      <c r="A42">
        <f>ROW()-2</f>
        <v/>
      </c>
      <c r="B42">
        <f>$A42/150</f>
        <v/>
      </c>
      <c r="C42">
        <f>'Feasibility IQ'!$AA$4</f>
        <v/>
      </c>
      <c r="D42">
        <f>'Feasibility IQ'!$AA$5</f>
        <v/>
      </c>
      <c r="E42">
        <f>'Feasibility IQ'!$AA$6</f>
        <v/>
      </c>
      <c r="F42">
        <f>'Feasibility IQ'!$AA$7</f>
        <v/>
      </c>
      <c r="G42">
        <f>'Feasibility IQ'!$AA$8</f>
        <v/>
      </c>
      <c r="H42">
        <f>IF(OR($G42="",$G42=0),"",SIN((1-$B42)*$G42)/SIN($G42))</f>
        <v/>
      </c>
      <c r="I42">
        <f>IF($H42="","",SIN($B42*$G42)/SIN($G42))</f>
        <v/>
      </c>
      <c r="J42">
        <f>IF($H42="","",$H42*COS(RADIANS($C42))*COS(RADIANS($D42))+$I42*COS(RADIANS($E42))*COS(RADIANS($F42)))</f>
        <v/>
      </c>
      <c r="K42">
        <f>IF($H42="","",$H42*COS(RADIANS($C42))*SIN(RADIANS($D42))+$I42*COS(RADIANS($E42))*SIN(RADIANS($F42)))</f>
        <v/>
      </c>
      <c r="L42">
        <f>IF($H42="","",$H42*SIN(RADIANS($C42))+$I42*SIN(RADIANS($E42)))</f>
        <v/>
      </c>
      <c r="M42">
        <f>IF($L42="","",DEGREES(ATAN2(SQRT($J42^2+$K42^2),$L42)))</f>
        <v/>
      </c>
      <c r="N42">
        <f>IF($L42="","",DEGREES(ATAN2($J42,$K42)))</f>
        <v/>
      </c>
      <c r="O42">
        <f t="array" ref="O42">IF($M42="","",IFERROR(IF(INDEX(geo_grid!$B$2:$JU$231,INT(($M42+40)/0.5)+1,INT(($N42+30)/0.5)+1)="","",INDEX(geo_grid!$B$2:$JU$231,INT(($M42+40)/0.5)+1,INT(($N42+30)/0.5)+1)),"OUTSIDE GRID"))</f>
        <v/>
      </c>
      <c r="Q42">
        <f>IF(countries!$D42="","",countries!$D42)</f>
        <v/>
      </c>
      <c r="R42">
        <f>IF($Q42="","",countries!$B42)</f>
        <v/>
      </c>
      <c r="S42">
        <f>IF($Q42="","",IF(OR($Q42='Feasibility IQ'!$AA$9,$Q42='Feasibility IQ'!$AA$10),0,COUNTIF($O$2:$O$152,$Q42)))</f>
        <v/>
      </c>
      <c r="T42">
        <f>IF($S42=0,"",_xlfn.MINIFS($A$2:$A$152,$O$2:$O$152,$Q42))</f>
        <v/>
      </c>
      <c r="U42">
        <f t="array" ref="U42">IF($S42=0,"",SUMPRODUCT(($S$2:$S$143&gt;0)*($T$2:$T$143&lt;$T42))+1)</f>
        <v/>
      </c>
    </row>
    <row r="43">
      <c r="A43">
        <f>ROW()-2</f>
        <v/>
      </c>
      <c r="B43">
        <f>$A43/150</f>
        <v/>
      </c>
      <c r="C43">
        <f>'Feasibility IQ'!$AA$4</f>
        <v/>
      </c>
      <c r="D43">
        <f>'Feasibility IQ'!$AA$5</f>
        <v/>
      </c>
      <c r="E43">
        <f>'Feasibility IQ'!$AA$6</f>
        <v/>
      </c>
      <c r="F43">
        <f>'Feasibility IQ'!$AA$7</f>
        <v/>
      </c>
      <c r="G43">
        <f>'Feasibility IQ'!$AA$8</f>
        <v/>
      </c>
      <c r="H43">
        <f>IF(OR($G43="",$G43=0),"",SIN((1-$B43)*$G43)/SIN($G43))</f>
        <v/>
      </c>
      <c r="I43">
        <f>IF($H43="","",SIN($B43*$G43)/SIN($G43))</f>
        <v/>
      </c>
      <c r="J43">
        <f>IF($H43="","",$H43*COS(RADIANS($C43))*COS(RADIANS($D43))+$I43*COS(RADIANS($E43))*COS(RADIANS($F43)))</f>
        <v/>
      </c>
      <c r="K43">
        <f>IF($H43="","",$H43*COS(RADIANS($C43))*SIN(RADIANS($D43))+$I43*COS(RADIANS($E43))*SIN(RADIANS($F43)))</f>
        <v/>
      </c>
      <c r="L43">
        <f>IF($H43="","",$H43*SIN(RADIANS($C43))+$I43*SIN(RADIANS($E43)))</f>
        <v/>
      </c>
      <c r="M43">
        <f>IF($L43="","",DEGREES(ATAN2(SQRT($J43^2+$K43^2),$L43)))</f>
        <v/>
      </c>
      <c r="N43">
        <f>IF($L43="","",DEGREES(ATAN2($J43,$K43)))</f>
        <v/>
      </c>
      <c r="O43">
        <f t="array" ref="O43">IF($M43="","",IFERROR(IF(INDEX(geo_grid!$B$2:$JU$231,INT(($M43+40)/0.5)+1,INT(($N43+30)/0.5)+1)="","",INDEX(geo_grid!$B$2:$JU$231,INT(($M43+40)/0.5)+1,INT(($N43+30)/0.5)+1)),"OUTSIDE GRID"))</f>
        <v/>
      </c>
      <c r="Q43">
        <f>IF(countries!$D43="","",countries!$D43)</f>
        <v/>
      </c>
      <c r="R43">
        <f>IF($Q43="","",countries!$B43)</f>
        <v/>
      </c>
      <c r="S43">
        <f>IF($Q43="","",IF(OR($Q43='Feasibility IQ'!$AA$9,$Q43='Feasibility IQ'!$AA$10),0,COUNTIF($O$2:$O$152,$Q43)))</f>
        <v/>
      </c>
      <c r="T43">
        <f>IF($S43=0,"",_xlfn.MINIFS($A$2:$A$152,$O$2:$O$152,$Q43))</f>
        <v/>
      </c>
      <c r="U43">
        <f t="array" ref="U43">IF($S43=0,"",SUMPRODUCT(($S$2:$S$143&gt;0)*($T$2:$T$143&lt;$T43))+1)</f>
        <v/>
      </c>
    </row>
    <row r="44">
      <c r="A44">
        <f>ROW()-2</f>
        <v/>
      </c>
      <c r="B44">
        <f>$A44/150</f>
        <v/>
      </c>
      <c r="C44">
        <f>'Feasibility IQ'!$AA$4</f>
        <v/>
      </c>
      <c r="D44">
        <f>'Feasibility IQ'!$AA$5</f>
        <v/>
      </c>
      <c r="E44">
        <f>'Feasibility IQ'!$AA$6</f>
        <v/>
      </c>
      <c r="F44">
        <f>'Feasibility IQ'!$AA$7</f>
        <v/>
      </c>
      <c r="G44">
        <f>'Feasibility IQ'!$AA$8</f>
        <v/>
      </c>
      <c r="H44">
        <f>IF(OR($G44="",$G44=0),"",SIN((1-$B44)*$G44)/SIN($G44))</f>
        <v/>
      </c>
      <c r="I44">
        <f>IF($H44="","",SIN($B44*$G44)/SIN($G44))</f>
        <v/>
      </c>
      <c r="J44">
        <f>IF($H44="","",$H44*COS(RADIANS($C44))*COS(RADIANS($D44))+$I44*COS(RADIANS($E44))*COS(RADIANS($F44)))</f>
        <v/>
      </c>
      <c r="K44">
        <f>IF($H44="","",$H44*COS(RADIANS($C44))*SIN(RADIANS($D44))+$I44*COS(RADIANS($E44))*SIN(RADIANS($F44)))</f>
        <v/>
      </c>
      <c r="L44">
        <f>IF($H44="","",$H44*SIN(RADIANS($C44))+$I44*SIN(RADIANS($E44)))</f>
        <v/>
      </c>
      <c r="M44">
        <f>IF($L44="","",DEGREES(ATAN2(SQRT($J44^2+$K44^2),$L44)))</f>
        <v/>
      </c>
      <c r="N44">
        <f>IF($L44="","",DEGREES(ATAN2($J44,$K44)))</f>
        <v/>
      </c>
      <c r="O44">
        <f t="array" ref="O44">IF($M44="","",IFERROR(IF(INDEX(geo_grid!$B$2:$JU$231,INT(($M44+40)/0.5)+1,INT(($N44+30)/0.5)+1)="","",INDEX(geo_grid!$B$2:$JU$231,INT(($M44+40)/0.5)+1,INT(($N44+30)/0.5)+1)),"OUTSIDE GRID"))</f>
        <v/>
      </c>
      <c r="Q44">
        <f>IF(countries!$D44="","",countries!$D44)</f>
        <v/>
      </c>
      <c r="R44">
        <f>IF($Q44="","",countries!$B44)</f>
        <v/>
      </c>
      <c r="S44">
        <f>IF($Q44="","",IF(OR($Q44='Feasibility IQ'!$AA$9,$Q44='Feasibility IQ'!$AA$10),0,COUNTIF($O$2:$O$152,$Q44)))</f>
        <v/>
      </c>
      <c r="T44">
        <f>IF($S44=0,"",_xlfn.MINIFS($A$2:$A$152,$O$2:$O$152,$Q44))</f>
        <v/>
      </c>
      <c r="U44">
        <f t="array" ref="U44">IF($S44=0,"",SUMPRODUCT(($S$2:$S$143&gt;0)*($T$2:$T$143&lt;$T44))+1)</f>
        <v/>
      </c>
    </row>
    <row r="45">
      <c r="A45">
        <f>ROW()-2</f>
        <v/>
      </c>
      <c r="B45">
        <f>$A45/150</f>
        <v/>
      </c>
      <c r="C45">
        <f>'Feasibility IQ'!$AA$4</f>
        <v/>
      </c>
      <c r="D45">
        <f>'Feasibility IQ'!$AA$5</f>
        <v/>
      </c>
      <c r="E45">
        <f>'Feasibility IQ'!$AA$6</f>
        <v/>
      </c>
      <c r="F45">
        <f>'Feasibility IQ'!$AA$7</f>
        <v/>
      </c>
      <c r="G45">
        <f>'Feasibility IQ'!$AA$8</f>
        <v/>
      </c>
      <c r="H45">
        <f>IF(OR($G45="",$G45=0),"",SIN((1-$B45)*$G45)/SIN($G45))</f>
        <v/>
      </c>
      <c r="I45">
        <f>IF($H45="","",SIN($B45*$G45)/SIN($G45))</f>
        <v/>
      </c>
      <c r="J45">
        <f>IF($H45="","",$H45*COS(RADIANS($C45))*COS(RADIANS($D45))+$I45*COS(RADIANS($E45))*COS(RADIANS($F45)))</f>
        <v/>
      </c>
      <c r="K45">
        <f>IF($H45="","",$H45*COS(RADIANS($C45))*SIN(RADIANS($D45))+$I45*COS(RADIANS($E45))*SIN(RADIANS($F45)))</f>
        <v/>
      </c>
      <c r="L45">
        <f>IF($H45="","",$H45*SIN(RADIANS($C45))+$I45*SIN(RADIANS($E45)))</f>
        <v/>
      </c>
      <c r="M45">
        <f>IF($L45="","",DEGREES(ATAN2(SQRT($J45^2+$K45^2),$L45)))</f>
        <v/>
      </c>
      <c r="N45">
        <f>IF($L45="","",DEGREES(ATAN2($J45,$K45)))</f>
        <v/>
      </c>
      <c r="O45">
        <f t="array" ref="O45">IF($M45="","",IFERROR(IF(INDEX(geo_grid!$B$2:$JU$231,INT(($M45+40)/0.5)+1,INT(($N45+30)/0.5)+1)="","",INDEX(geo_grid!$B$2:$JU$231,INT(($M45+40)/0.5)+1,INT(($N45+30)/0.5)+1)),"OUTSIDE GRID"))</f>
        <v/>
      </c>
      <c r="Q45">
        <f>IF(countries!$D45="","",countries!$D45)</f>
        <v/>
      </c>
      <c r="R45">
        <f>IF($Q45="","",countries!$B45)</f>
        <v/>
      </c>
      <c r="S45">
        <f>IF($Q45="","",IF(OR($Q45='Feasibility IQ'!$AA$9,$Q45='Feasibility IQ'!$AA$10),0,COUNTIF($O$2:$O$152,$Q45)))</f>
        <v/>
      </c>
      <c r="T45">
        <f>IF($S45=0,"",_xlfn.MINIFS($A$2:$A$152,$O$2:$O$152,$Q45))</f>
        <v/>
      </c>
      <c r="U45">
        <f t="array" ref="U45">IF($S45=0,"",SUMPRODUCT(($S$2:$S$143&gt;0)*($T$2:$T$143&lt;$T45))+1)</f>
        <v/>
      </c>
    </row>
    <row r="46">
      <c r="A46">
        <f>ROW()-2</f>
        <v/>
      </c>
      <c r="B46">
        <f>$A46/150</f>
        <v/>
      </c>
      <c r="C46">
        <f>'Feasibility IQ'!$AA$4</f>
        <v/>
      </c>
      <c r="D46">
        <f>'Feasibility IQ'!$AA$5</f>
        <v/>
      </c>
      <c r="E46">
        <f>'Feasibility IQ'!$AA$6</f>
        <v/>
      </c>
      <c r="F46">
        <f>'Feasibility IQ'!$AA$7</f>
        <v/>
      </c>
      <c r="G46">
        <f>'Feasibility IQ'!$AA$8</f>
        <v/>
      </c>
      <c r="H46">
        <f>IF(OR($G46="",$G46=0),"",SIN((1-$B46)*$G46)/SIN($G46))</f>
        <v/>
      </c>
      <c r="I46">
        <f>IF($H46="","",SIN($B46*$G46)/SIN($G46))</f>
        <v/>
      </c>
      <c r="J46">
        <f>IF($H46="","",$H46*COS(RADIANS($C46))*COS(RADIANS($D46))+$I46*COS(RADIANS($E46))*COS(RADIANS($F46)))</f>
        <v/>
      </c>
      <c r="K46">
        <f>IF($H46="","",$H46*COS(RADIANS($C46))*SIN(RADIANS($D46))+$I46*COS(RADIANS($E46))*SIN(RADIANS($F46)))</f>
        <v/>
      </c>
      <c r="L46">
        <f>IF($H46="","",$H46*SIN(RADIANS($C46))+$I46*SIN(RADIANS($E46)))</f>
        <v/>
      </c>
      <c r="M46">
        <f>IF($L46="","",DEGREES(ATAN2(SQRT($J46^2+$K46^2),$L46)))</f>
        <v/>
      </c>
      <c r="N46">
        <f>IF($L46="","",DEGREES(ATAN2($J46,$K46)))</f>
        <v/>
      </c>
      <c r="O46">
        <f t="array" ref="O46">IF($M46="","",IFERROR(IF(INDEX(geo_grid!$B$2:$JU$231,INT(($M46+40)/0.5)+1,INT(($N46+30)/0.5)+1)="","",INDEX(geo_grid!$B$2:$JU$231,INT(($M46+40)/0.5)+1,INT(($N46+30)/0.5)+1)),"OUTSIDE GRID"))</f>
        <v/>
      </c>
      <c r="Q46">
        <f>IF(countries!$D46="","",countries!$D46)</f>
        <v/>
      </c>
      <c r="R46">
        <f>IF($Q46="","",countries!$B46)</f>
        <v/>
      </c>
      <c r="S46">
        <f>IF($Q46="","",IF(OR($Q46='Feasibility IQ'!$AA$9,$Q46='Feasibility IQ'!$AA$10),0,COUNTIF($O$2:$O$152,$Q46)))</f>
        <v/>
      </c>
      <c r="T46">
        <f>IF($S46=0,"",_xlfn.MINIFS($A$2:$A$152,$O$2:$O$152,$Q46))</f>
        <v/>
      </c>
      <c r="U46">
        <f t="array" ref="U46">IF($S46=0,"",SUMPRODUCT(($S$2:$S$143&gt;0)*($T$2:$T$143&lt;$T46))+1)</f>
        <v/>
      </c>
    </row>
    <row r="47">
      <c r="A47">
        <f>ROW()-2</f>
        <v/>
      </c>
      <c r="B47">
        <f>$A47/150</f>
        <v/>
      </c>
      <c r="C47">
        <f>'Feasibility IQ'!$AA$4</f>
        <v/>
      </c>
      <c r="D47">
        <f>'Feasibility IQ'!$AA$5</f>
        <v/>
      </c>
      <c r="E47">
        <f>'Feasibility IQ'!$AA$6</f>
        <v/>
      </c>
      <c r="F47">
        <f>'Feasibility IQ'!$AA$7</f>
        <v/>
      </c>
      <c r="G47">
        <f>'Feasibility IQ'!$AA$8</f>
        <v/>
      </c>
      <c r="H47">
        <f>IF(OR($G47="",$G47=0),"",SIN((1-$B47)*$G47)/SIN($G47))</f>
        <v/>
      </c>
      <c r="I47">
        <f>IF($H47="","",SIN($B47*$G47)/SIN($G47))</f>
        <v/>
      </c>
      <c r="J47">
        <f>IF($H47="","",$H47*COS(RADIANS($C47))*COS(RADIANS($D47))+$I47*COS(RADIANS($E47))*COS(RADIANS($F47)))</f>
        <v/>
      </c>
      <c r="K47">
        <f>IF($H47="","",$H47*COS(RADIANS($C47))*SIN(RADIANS($D47))+$I47*COS(RADIANS($E47))*SIN(RADIANS($F47)))</f>
        <v/>
      </c>
      <c r="L47">
        <f>IF($H47="","",$H47*SIN(RADIANS($C47))+$I47*SIN(RADIANS($E47)))</f>
        <v/>
      </c>
      <c r="M47">
        <f>IF($L47="","",DEGREES(ATAN2(SQRT($J47^2+$K47^2),$L47)))</f>
        <v/>
      </c>
      <c r="N47">
        <f>IF($L47="","",DEGREES(ATAN2($J47,$K47)))</f>
        <v/>
      </c>
      <c r="O47">
        <f t="array" ref="O47">IF($M47="","",IFERROR(IF(INDEX(geo_grid!$B$2:$JU$231,INT(($M47+40)/0.5)+1,INT(($N47+30)/0.5)+1)="","",INDEX(geo_grid!$B$2:$JU$231,INT(($M47+40)/0.5)+1,INT(($N47+30)/0.5)+1)),"OUTSIDE GRID"))</f>
        <v/>
      </c>
      <c r="Q47">
        <f>IF(countries!$D47="","",countries!$D47)</f>
        <v/>
      </c>
      <c r="R47">
        <f>IF($Q47="","",countries!$B47)</f>
        <v/>
      </c>
      <c r="S47">
        <f>IF($Q47="","",IF(OR($Q47='Feasibility IQ'!$AA$9,$Q47='Feasibility IQ'!$AA$10),0,COUNTIF($O$2:$O$152,$Q47)))</f>
        <v/>
      </c>
      <c r="T47">
        <f>IF($S47=0,"",_xlfn.MINIFS($A$2:$A$152,$O$2:$O$152,$Q47))</f>
        <v/>
      </c>
      <c r="U47">
        <f t="array" ref="U47">IF($S47=0,"",SUMPRODUCT(($S$2:$S$143&gt;0)*($T$2:$T$143&lt;$T47))+1)</f>
        <v/>
      </c>
    </row>
    <row r="48">
      <c r="A48">
        <f>ROW()-2</f>
        <v/>
      </c>
      <c r="B48">
        <f>$A48/150</f>
        <v/>
      </c>
      <c r="C48">
        <f>'Feasibility IQ'!$AA$4</f>
        <v/>
      </c>
      <c r="D48">
        <f>'Feasibility IQ'!$AA$5</f>
        <v/>
      </c>
      <c r="E48">
        <f>'Feasibility IQ'!$AA$6</f>
        <v/>
      </c>
      <c r="F48">
        <f>'Feasibility IQ'!$AA$7</f>
        <v/>
      </c>
      <c r="G48">
        <f>'Feasibility IQ'!$AA$8</f>
        <v/>
      </c>
      <c r="H48">
        <f>IF(OR($G48="",$G48=0),"",SIN((1-$B48)*$G48)/SIN($G48))</f>
        <v/>
      </c>
      <c r="I48">
        <f>IF($H48="","",SIN($B48*$G48)/SIN($G48))</f>
        <v/>
      </c>
      <c r="J48">
        <f>IF($H48="","",$H48*COS(RADIANS($C48))*COS(RADIANS($D48))+$I48*COS(RADIANS($E48))*COS(RADIANS($F48)))</f>
        <v/>
      </c>
      <c r="K48">
        <f>IF($H48="","",$H48*COS(RADIANS($C48))*SIN(RADIANS($D48))+$I48*COS(RADIANS($E48))*SIN(RADIANS($F48)))</f>
        <v/>
      </c>
      <c r="L48">
        <f>IF($H48="","",$H48*SIN(RADIANS($C48))+$I48*SIN(RADIANS($E48)))</f>
        <v/>
      </c>
      <c r="M48">
        <f>IF($L48="","",DEGREES(ATAN2(SQRT($J48^2+$K48^2),$L48)))</f>
        <v/>
      </c>
      <c r="N48">
        <f>IF($L48="","",DEGREES(ATAN2($J48,$K48)))</f>
        <v/>
      </c>
      <c r="O48">
        <f t="array" ref="O48">IF($M48="","",IFERROR(IF(INDEX(geo_grid!$B$2:$JU$231,INT(($M48+40)/0.5)+1,INT(($N48+30)/0.5)+1)="","",INDEX(geo_grid!$B$2:$JU$231,INT(($M48+40)/0.5)+1,INT(($N48+30)/0.5)+1)),"OUTSIDE GRID"))</f>
        <v/>
      </c>
      <c r="Q48">
        <f>IF(countries!$D48="","",countries!$D48)</f>
        <v/>
      </c>
      <c r="R48">
        <f>IF($Q48="","",countries!$B48)</f>
        <v/>
      </c>
      <c r="S48">
        <f>IF($Q48="","",IF(OR($Q48='Feasibility IQ'!$AA$9,$Q48='Feasibility IQ'!$AA$10),0,COUNTIF($O$2:$O$152,$Q48)))</f>
        <v/>
      </c>
      <c r="T48">
        <f>IF($S48=0,"",_xlfn.MINIFS($A$2:$A$152,$O$2:$O$152,$Q48))</f>
        <v/>
      </c>
      <c r="U48">
        <f t="array" ref="U48">IF($S48=0,"",SUMPRODUCT(($S$2:$S$143&gt;0)*($T$2:$T$143&lt;$T48))+1)</f>
        <v/>
      </c>
    </row>
    <row r="49">
      <c r="A49">
        <f>ROW()-2</f>
        <v/>
      </c>
      <c r="B49">
        <f>$A49/150</f>
        <v/>
      </c>
      <c r="C49">
        <f>'Feasibility IQ'!$AA$4</f>
        <v/>
      </c>
      <c r="D49">
        <f>'Feasibility IQ'!$AA$5</f>
        <v/>
      </c>
      <c r="E49">
        <f>'Feasibility IQ'!$AA$6</f>
        <v/>
      </c>
      <c r="F49">
        <f>'Feasibility IQ'!$AA$7</f>
        <v/>
      </c>
      <c r="G49">
        <f>'Feasibility IQ'!$AA$8</f>
        <v/>
      </c>
      <c r="H49">
        <f>IF(OR($G49="",$G49=0),"",SIN((1-$B49)*$G49)/SIN($G49))</f>
        <v/>
      </c>
      <c r="I49">
        <f>IF($H49="","",SIN($B49*$G49)/SIN($G49))</f>
        <v/>
      </c>
      <c r="J49">
        <f>IF($H49="","",$H49*COS(RADIANS($C49))*COS(RADIANS($D49))+$I49*COS(RADIANS($E49))*COS(RADIANS($F49)))</f>
        <v/>
      </c>
      <c r="K49">
        <f>IF($H49="","",$H49*COS(RADIANS($C49))*SIN(RADIANS($D49))+$I49*COS(RADIANS($E49))*SIN(RADIANS($F49)))</f>
        <v/>
      </c>
      <c r="L49">
        <f>IF($H49="","",$H49*SIN(RADIANS($C49))+$I49*SIN(RADIANS($E49)))</f>
        <v/>
      </c>
      <c r="M49">
        <f>IF($L49="","",DEGREES(ATAN2(SQRT($J49^2+$K49^2),$L49)))</f>
        <v/>
      </c>
      <c r="N49">
        <f>IF($L49="","",DEGREES(ATAN2($J49,$K49)))</f>
        <v/>
      </c>
      <c r="O49">
        <f t="array" ref="O49">IF($M49="","",IFERROR(IF(INDEX(geo_grid!$B$2:$JU$231,INT(($M49+40)/0.5)+1,INT(($N49+30)/0.5)+1)="","",INDEX(geo_grid!$B$2:$JU$231,INT(($M49+40)/0.5)+1,INT(($N49+30)/0.5)+1)),"OUTSIDE GRID"))</f>
        <v/>
      </c>
      <c r="Q49">
        <f>IF(countries!$D49="","",countries!$D49)</f>
        <v/>
      </c>
      <c r="R49">
        <f>IF($Q49="","",countries!$B49)</f>
        <v/>
      </c>
      <c r="S49">
        <f>IF($Q49="","",IF(OR($Q49='Feasibility IQ'!$AA$9,$Q49='Feasibility IQ'!$AA$10),0,COUNTIF($O$2:$O$152,$Q49)))</f>
        <v/>
      </c>
      <c r="T49">
        <f>IF($S49=0,"",_xlfn.MINIFS($A$2:$A$152,$O$2:$O$152,$Q49))</f>
        <v/>
      </c>
      <c r="U49">
        <f t="array" ref="U49">IF($S49=0,"",SUMPRODUCT(($S$2:$S$143&gt;0)*($T$2:$T$143&lt;$T49))+1)</f>
        <v/>
      </c>
    </row>
    <row r="50">
      <c r="A50">
        <f>ROW()-2</f>
        <v/>
      </c>
      <c r="B50">
        <f>$A50/150</f>
        <v/>
      </c>
      <c r="C50">
        <f>'Feasibility IQ'!$AA$4</f>
        <v/>
      </c>
      <c r="D50">
        <f>'Feasibility IQ'!$AA$5</f>
        <v/>
      </c>
      <c r="E50">
        <f>'Feasibility IQ'!$AA$6</f>
        <v/>
      </c>
      <c r="F50">
        <f>'Feasibility IQ'!$AA$7</f>
        <v/>
      </c>
      <c r="G50">
        <f>'Feasibility IQ'!$AA$8</f>
        <v/>
      </c>
      <c r="H50">
        <f>IF(OR($G50="",$G50=0),"",SIN((1-$B50)*$G50)/SIN($G50))</f>
        <v/>
      </c>
      <c r="I50">
        <f>IF($H50="","",SIN($B50*$G50)/SIN($G50))</f>
        <v/>
      </c>
      <c r="J50">
        <f>IF($H50="","",$H50*COS(RADIANS($C50))*COS(RADIANS($D50))+$I50*COS(RADIANS($E50))*COS(RADIANS($F50)))</f>
        <v/>
      </c>
      <c r="K50">
        <f>IF($H50="","",$H50*COS(RADIANS($C50))*SIN(RADIANS($D50))+$I50*COS(RADIANS($E50))*SIN(RADIANS($F50)))</f>
        <v/>
      </c>
      <c r="L50">
        <f>IF($H50="","",$H50*SIN(RADIANS($C50))+$I50*SIN(RADIANS($E50)))</f>
        <v/>
      </c>
      <c r="M50">
        <f>IF($L50="","",DEGREES(ATAN2(SQRT($J50^2+$K50^2),$L50)))</f>
        <v/>
      </c>
      <c r="N50">
        <f>IF($L50="","",DEGREES(ATAN2($J50,$K50)))</f>
        <v/>
      </c>
      <c r="O50">
        <f t="array" ref="O50">IF($M50="","",IFERROR(IF(INDEX(geo_grid!$B$2:$JU$231,INT(($M50+40)/0.5)+1,INT(($N50+30)/0.5)+1)="","",INDEX(geo_grid!$B$2:$JU$231,INT(($M50+40)/0.5)+1,INT(($N50+30)/0.5)+1)),"OUTSIDE GRID"))</f>
        <v/>
      </c>
      <c r="Q50">
        <f>IF(countries!$D50="","",countries!$D50)</f>
        <v/>
      </c>
      <c r="R50">
        <f>IF($Q50="","",countries!$B50)</f>
        <v/>
      </c>
      <c r="S50">
        <f>IF($Q50="","",IF(OR($Q50='Feasibility IQ'!$AA$9,$Q50='Feasibility IQ'!$AA$10),0,COUNTIF($O$2:$O$152,$Q50)))</f>
        <v/>
      </c>
      <c r="T50">
        <f>IF($S50=0,"",_xlfn.MINIFS($A$2:$A$152,$O$2:$O$152,$Q50))</f>
        <v/>
      </c>
      <c r="U50">
        <f t="array" ref="U50">IF($S50=0,"",SUMPRODUCT(($S$2:$S$143&gt;0)*($T$2:$T$143&lt;$T50))+1)</f>
        <v/>
      </c>
    </row>
    <row r="51">
      <c r="A51">
        <f>ROW()-2</f>
        <v/>
      </c>
      <c r="B51">
        <f>$A51/150</f>
        <v/>
      </c>
      <c r="C51">
        <f>'Feasibility IQ'!$AA$4</f>
        <v/>
      </c>
      <c r="D51">
        <f>'Feasibility IQ'!$AA$5</f>
        <v/>
      </c>
      <c r="E51">
        <f>'Feasibility IQ'!$AA$6</f>
        <v/>
      </c>
      <c r="F51">
        <f>'Feasibility IQ'!$AA$7</f>
        <v/>
      </c>
      <c r="G51">
        <f>'Feasibility IQ'!$AA$8</f>
        <v/>
      </c>
      <c r="H51">
        <f>IF(OR($G51="",$G51=0),"",SIN((1-$B51)*$G51)/SIN($G51))</f>
        <v/>
      </c>
      <c r="I51">
        <f>IF($H51="","",SIN($B51*$G51)/SIN($G51))</f>
        <v/>
      </c>
      <c r="J51">
        <f>IF($H51="","",$H51*COS(RADIANS($C51))*COS(RADIANS($D51))+$I51*COS(RADIANS($E51))*COS(RADIANS($F51)))</f>
        <v/>
      </c>
      <c r="K51">
        <f>IF($H51="","",$H51*COS(RADIANS($C51))*SIN(RADIANS($D51))+$I51*COS(RADIANS($E51))*SIN(RADIANS($F51)))</f>
        <v/>
      </c>
      <c r="L51">
        <f>IF($H51="","",$H51*SIN(RADIANS($C51))+$I51*SIN(RADIANS($E51)))</f>
        <v/>
      </c>
      <c r="M51">
        <f>IF($L51="","",DEGREES(ATAN2(SQRT($J51^2+$K51^2),$L51)))</f>
        <v/>
      </c>
      <c r="N51">
        <f>IF($L51="","",DEGREES(ATAN2($J51,$K51)))</f>
        <v/>
      </c>
      <c r="O51">
        <f t="array" ref="O51">IF($M51="","",IFERROR(IF(INDEX(geo_grid!$B$2:$JU$231,INT(($M51+40)/0.5)+1,INT(($N51+30)/0.5)+1)="","",INDEX(geo_grid!$B$2:$JU$231,INT(($M51+40)/0.5)+1,INT(($N51+30)/0.5)+1)),"OUTSIDE GRID"))</f>
        <v/>
      </c>
      <c r="Q51">
        <f>IF(countries!$D51="","",countries!$D51)</f>
        <v/>
      </c>
      <c r="R51">
        <f>IF($Q51="","",countries!$B51)</f>
        <v/>
      </c>
      <c r="S51">
        <f>IF($Q51="","",IF(OR($Q51='Feasibility IQ'!$AA$9,$Q51='Feasibility IQ'!$AA$10),0,COUNTIF($O$2:$O$152,$Q51)))</f>
        <v/>
      </c>
      <c r="T51">
        <f>IF($S51=0,"",_xlfn.MINIFS($A$2:$A$152,$O$2:$O$152,$Q51))</f>
        <v/>
      </c>
      <c r="U51">
        <f t="array" ref="U51">IF($S51=0,"",SUMPRODUCT(($S$2:$S$143&gt;0)*($T$2:$T$143&lt;$T51))+1)</f>
        <v/>
      </c>
    </row>
    <row r="52">
      <c r="A52">
        <f>ROW()-2</f>
        <v/>
      </c>
      <c r="B52">
        <f>$A52/150</f>
        <v/>
      </c>
      <c r="C52">
        <f>'Feasibility IQ'!$AA$4</f>
        <v/>
      </c>
      <c r="D52">
        <f>'Feasibility IQ'!$AA$5</f>
        <v/>
      </c>
      <c r="E52">
        <f>'Feasibility IQ'!$AA$6</f>
        <v/>
      </c>
      <c r="F52">
        <f>'Feasibility IQ'!$AA$7</f>
        <v/>
      </c>
      <c r="G52">
        <f>'Feasibility IQ'!$AA$8</f>
        <v/>
      </c>
      <c r="H52">
        <f>IF(OR($G52="",$G52=0),"",SIN((1-$B52)*$G52)/SIN($G52))</f>
        <v/>
      </c>
      <c r="I52">
        <f>IF($H52="","",SIN($B52*$G52)/SIN($G52))</f>
        <v/>
      </c>
      <c r="J52">
        <f>IF($H52="","",$H52*COS(RADIANS($C52))*COS(RADIANS($D52))+$I52*COS(RADIANS($E52))*COS(RADIANS($F52)))</f>
        <v/>
      </c>
      <c r="K52">
        <f>IF($H52="","",$H52*COS(RADIANS($C52))*SIN(RADIANS($D52))+$I52*COS(RADIANS($E52))*SIN(RADIANS($F52)))</f>
        <v/>
      </c>
      <c r="L52">
        <f>IF($H52="","",$H52*SIN(RADIANS($C52))+$I52*SIN(RADIANS($E52)))</f>
        <v/>
      </c>
      <c r="M52">
        <f>IF($L52="","",DEGREES(ATAN2(SQRT($J52^2+$K52^2),$L52)))</f>
        <v/>
      </c>
      <c r="N52">
        <f>IF($L52="","",DEGREES(ATAN2($J52,$K52)))</f>
        <v/>
      </c>
      <c r="O52">
        <f t="array" ref="O52">IF($M52="","",IFERROR(IF(INDEX(geo_grid!$B$2:$JU$231,INT(($M52+40)/0.5)+1,INT(($N52+30)/0.5)+1)="","",INDEX(geo_grid!$B$2:$JU$231,INT(($M52+40)/0.5)+1,INT(($N52+30)/0.5)+1)),"OUTSIDE GRID"))</f>
        <v/>
      </c>
      <c r="Q52">
        <f>IF(countries!$D52="","",countries!$D52)</f>
        <v/>
      </c>
      <c r="R52">
        <f>IF($Q52="","",countries!$B52)</f>
        <v/>
      </c>
      <c r="S52">
        <f>IF($Q52="","",IF(OR($Q52='Feasibility IQ'!$AA$9,$Q52='Feasibility IQ'!$AA$10),0,COUNTIF($O$2:$O$152,$Q52)))</f>
        <v/>
      </c>
      <c r="T52">
        <f>IF($S52=0,"",_xlfn.MINIFS($A$2:$A$152,$O$2:$O$152,$Q52))</f>
        <v/>
      </c>
      <c r="U52">
        <f t="array" ref="U52">IF($S52=0,"",SUMPRODUCT(($S$2:$S$143&gt;0)*($T$2:$T$143&lt;$T52))+1)</f>
        <v/>
      </c>
    </row>
    <row r="53">
      <c r="A53">
        <f>ROW()-2</f>
        <v/>
      </c>
      <c r="B53">
        <f>$A53/150</f>
        <v/>
      </c>
      <c r="C53">
        <f>'Feasibility IQ'!$AA$4</f>
        <v/>
      </c>
      <c r="D53">
        <f>'Feasibility IQ'!$AA$5</f>
        <v/>
      </c>
      <c r="E53">
        <f>'Feasibility IQ'!$AA$6</f>
        <v/>
      </c>
      <c r="F53">
        <f>'Feasibility IQ'!$AA$7</f>
        <v/>
      </c>
      <c r="G53">
        <f>'Feasibility IQ'!$AA$8</f>
        <v/>
      </c>
      <c r="H53">
        <f>IF(OR($G53="",$G53=0),"",SIN((1-$B53)*$G53)/SIN($G53))</f>
        <v/>
      </c>
      <c r="I53">
        <f>IF($H53="","",SIN($B53*$G53)/SIN($G53))</f>
        <v/>
      </c>
      <c r="J53">
        <f>IF($H53="","",$H53*COS(RADIANS($C53))*COS(RADIANS($D53))+$I53*COS(RADIANS($E53))*COS(RADIANS($F53)))</f>
        <v/>
      </c>
      <c r="K53">
        <f>IF($H53="","",$H53*COS(RADIANS($C53))*SIN(RADIANS($D53))+$I53*COS(RADIANS($E53))*SIN(RADIANS($F53)))</f>
        <v/>
      </c>
      <c r="L53">
        <f>IF($H53="","",$H53*SIN(RADIANS($C53))+$I53*SIN(RADIANS($E53)))</f>
        <v/>
      </c>
      <c r="M53">
        <f>IF($L53="","",DEGREES(ATAN2(SQRT($J53^2+$K53^2),$L53)))</f>
        <v/>
      </c>
      <c r="N53">
        <f>IF($L53="","",DEGREES(ATAN2($J53,$K53)))</f>
        <v/>
      </c>
      <c r="O53">
        <f t="array" ref="O53">IF($M53="","",IFERROR(IF(INDEX(geo_grid!$B$2:$JU$231,INT(($M53+40)/0.5)+1,INT(($N53+30)/0.5)+1)="","",INDEX(geo_grid!$B$2:$JU$231,INT(($M53+40)/0.5)+1,INT(($N53+30)/0.5)+1)),"OUTSIDE GRID"))</f>
        <v/>
      </c>
      <c r="Q53">
        <f>IF(countries!$D53="","",countries!$D53)</f>
        <v/>
      </c>
      <c r="R53">
        <f>IF($Q53="","",countries!$B53)</f>
        <v/>
      </c>
      <c r="S53">
        <f>IF($Q53="","",IF(OR($Q53='Feasibility IQ'!$AA$9,$Q53='Feasibility IQ'!$AA$10),0,COUNTIF($O$2:$O$152,$Q53)))</f>
        <v/>
      </c>
      <c r="T53">
        <f>IF($S53=0,"",_xlfn.MINIFS($A$2:$A$152,$O$2:$O$152,$Q53))</f>
        <v/>
      </c>
      <c r="U53">
        <f t="array" ref="U53">IF($S53=0,"",SUMPRODUCT(($S$2:$S$143&gt;0)*($T$2:$T$143&lt;$T53))+1)</f>
        <v/>
      </c>
    </row>
    <row r="54">
      <c r="A54">
        <f>ROW()-2</f>
        <v/>
      </c>
      <c r="B54">
        <f>$A54/150</f>
        <v/>
      </c>
      <c r="C54">
        <f>'Feasibility IQ'!$AA$4</f>
        <v/>
      </c>
      <c r="D54">
        <f>'Feasibility IQ'!$AA$5</f>
        <v/>
      </c>
      <c r="E54">
        <f>'Feasibility IQ'!$AA$6</f>
        <v/>
      </c>
      <c r="F54">
        <f>'Feasibility IQ'!$AA$7</f>
        <v/>
      </c>
      <c r="G54">
        <f>'Feasibility IQ'!$AA$8</f>
        <v/>
      </c>
      <c r="H54">
        <f>IF(OR($G54="",$G54=0),"",SIN((1-$B54)*$G54)/SIN($G54))</f>
        <v/>
      </c>
      <c r="I54">
        <f>IF($H54="","",SIN($B54*$G54)/SIN($G54))</f>
        <v/>
      </c>
      <c r="J54">
        <f>IF($H54="","",$H54*COS(RADIANS($C54))*COS(RADIANS($D54))+$I54*COS(RADIANS($E54))*COS(RADIANS($F54)))</f>
        <v/>
      </c>
      <c r="K54">
        <f>IF($H54="","",$H54*COS(RADIANS($C54))*SIN(RADIANS($D54))+$I54*COS(RADIANS($E54))*SIN(RADIANS($F54)))</f>
        <v/>
      </c>
      <c r="L54">
        <f>IF($H54="","",$H54*SIN(RADIANS($C54))+$I54*SIN(RADIANS($E54)))</f>
        <v/>
      </c>
      <c r="M54">
        <f>IF($L54="","",DEGREES(ATAN2(SQRT($J54^2+$K54^2),$L54)))</f>
        <v/>
      </c>
      <c r="N54">
        <f>IF($L54="","",DEGREES(ATAN2($J54,$K54)))</f>
        <v/>
      </c>
      <c r="O54">
        <f t="array" ref="O54">IF($M54="","",IFERROR(IF(INDEX(geo_grid!$B$2:$JU$231,INT(($M54+40)/0.5)+1,INT(($N54+30)/0.5)+1)="","",INDEX(geo_grid!$B$2:$JU$231,INT(($M54+40)/0.5)+1,INT(($N54+30)/0.5)+1)),"OUTSIDE GRID"))</f>
        <v/>
      </c>
      <c r="Q54">
        <f>IF(countries!$D54="","",countries!$D54)</f>
        <v/>
      </c>
      <c r="R54">
        <f>IF($Q54="","",countries!$B54)</f>
        <v/>
      </c>
      <c r="S54">
        <f>IF($Q54="","",IF(OR($Q54='Feasibility IQ'!$AA$9,$Q54='Feasibility IQ'!$AA$10),0,COUNTIF($O$2:$O$152,$Q54)))</f>
        <v/>
      </c>
      <c r="T54">
        <f>IF($S54=0,"",_xlfn.MINIFS($A$2:$A$152,$O$2:$O$152,$Q54))</f>
        <v/>
      </c>
      <c r="U54">
        <f t="array" ref="U54">IF($S54=0,"",SUMPRODUCT(($S$2:$S$143&gt;0)*($T$2:$T$143&lt;$T54))+1)</f>
        <v/>
      </c>
    </row>
    <row r="55">
      <c r="A55">
        <f>ROW()-2</f>
        <v/>
      </c>
      <c r="B55">
        <f>$A55/150</f>
        <v/>
      </c>
      <c r="C55">
        <f>'Feasibility IQ'!$AA$4</f>
        <v/>
      </c>
      <c r="D55">
        <f>'Feasibility IQ'!$AA$5</f>
        <v/>
      </c>
      <c r="E55">
        <f>'Feasibility IQ'!$AA$6</f>
        <v/>
      </c>
      <c r="F55">
        <f>'Feasibility IQ'!$AA$7</f>
        <v/>
      </c>
      <c r="G55">
        <f>'Feasibility IQ'!$AA$8</f>
        <v/>
      </c>
      <c r="H55">
        <f>IF(OR($G55="",$G55=0),"",SIN((1-$B55)*$G55)/SIN($G55))</f>
        <v/>
      </c>
      <c r="I55">
        <f>IF($H55="","",SIN($B55*$G55)/SIN($G55))</f>
        <v/>
      </c>
      <c r="J55">
        <f>IF($H55="","",$H55*COS(RADIANS($C55))*COS(RADIANS($D55))+$I55*COS(RADIANS($E55))*COS(RADIANS($F55)))</f>
        <v/>
      </c>
      <c r="K55">
        <f>IF($H55="","",$H55*COS(RADIANS($C55))*SIN(RADIANS($D55))+$I55*COS(RADIANS($E55))*SIN(RADIANS($F55)))</f>
        <v/>
      </c>
      <c r="L55">
        <f>IF($H55="","",$H55*SIN(RADIANS($C55))+$I55*SIN(RADIANS($E55)))</f>
        <v/>
      </c>
      <c r="M55">
        <f>IF($L55="","",DEGREES(ATAN2(SQRT($J55^2+$K55^2),$L55)))</f>
        <v/>
      </c>
      <c r="N55">
        <f>IF($L55="","",DEGREES(ATAN2($J55,$K55)))</f>
        <v/>
      </c>
      <c r="O55">
        <f t="array" ref="O55">IF($M55="","",IFERROR(IF(INDEX(geo_grid!$B$2:$JU$231,INT(($M55+40)/0.5)+1,INT(($N55+30)/0.5)+1)="","",INDEX(geo_grid!$B$2:$JU$231,INT(($M55+40)/0.5)+1,INT(($N55+30)/0.5)+1)),"OUTSIDE GRID"))</f>
        <v/>
      </c>
      <c r="Q55">
        <f>IF(countries!$D55="","",countries!$D55)</f>
        <v/>
      </c>
      <c r="R55">
        <f>IF($Q55="","",countries!$B55)</f>
        <v/>
      </c>
      <c r="S55">
        <f>IF($Q55="","",IF(OR($Q55='Feasibility IQ'!$AA$9,$Q55='Feasibility IQ'!$AA$10),0,COUNTIF($O$2:$O$152,$Q55)))</f>
        <v/>
      </c>
      <c r="T55">
        <f>IF($S55=0,"",_xlfn.MINIFS($A$2:$A$152,$O$2:$O$152,$Q55))</f>
        <v/>
      </c>
      <c r="U55">
        <f t="array" ref="U55">IF($S55=0,"",SUMPRODUCT(($S$2:$S$143&gt;0)*($T$2:$T$143&lt;$T55))+1)</f>
        <v/>
      </c>
    </row>
    <row r="56">
      <c r="A56">
        <f>ROW()-2</f>
        <v/>
      </c>
      <c r="B56">
        <f>$A56/150</f>
        <v/>
      </c>
      <c r="C56">
        <f>'Feasibility IQ'!$AA$4</f>
        <v/>
      </c>
      <c r="D56">
        <f>'Feasibility IQ'!$AA$5</f>
        <v/>
      </c>
      <c r="E56">
        <f>'Feasibility IQ'!$AA$6</f>
        <v/>
      </c>
      <c r="F56">
        <f>'Feasibility IQ'!$AA$7</f>
        <v/>
      </c>
      <c r="G56">
        <f>'Feasibility IQ'!$AA$8</f>
        <v/>
      </c>
      <c r="H56">
        <f>IF(OR($G56="",$G56=0),"",SIN((1-$B56)*$G56)/SIN($G56))</f>
        <v/>
      </c>
      <c r="I56">
        <f>IF($H56="","",SIN($B56*$G56)/SIN($G56))</f>
        <v/>
      </c>
      <c r="J56">
        <f>IF($H56="","",$H56*COS(RADIANS($C56))*COS(RADIANS($D56))+$I56*COS(RADIANS($E56))*COS(RADIANS($F56)))</f>
        <v/>
      </c>
      <c r="K56">
        <f>IF($H56="","",$H56*COS(RADIANS($C56))*SIN(RADIANS($D56))+$I56*COS(RADIANS($E56))*SIN(RADIANS($F56)))</f>
        <v/>
      </c>
      <c r="L56">
        <f>IF($H56="","",$H56*SIN(RADIANS($C56))+$I56*SIN(RADIANS($E56)))</f>
        <v/>
      </c>
      <c r="M56">
        <f>IF($L56="","",DEGREES(ATAN2(SQRT($J56^2+$K56^2),$L56)))</f>
        <v/>
      </c>
      <c r="N56">
        <f>IF($L56="","",DEGREES(ATAN2($J56,$K56)))</f>
        <v/>
      </c>
      <c r="O56">
        <f t="array" ref="O56">IF($M56="","",IFERROR(IF(INDEX(geo_grid!$B$2:$JU$231,INT(($M56+40)/0.5)+1,INT(($N56+30)/0.5)+1)="","",INDEX(geo_grid!$B$2:$JU$231,INT(($M56+40)/0.5)+1,INT(($N56+30)/0.5)+1)),"OUTSIDE GRID"))</f>
        <v/>
      </c>
      <c r="Q56">
        <f>IF(countries!$D56="","",countries!$D56)</f>
        <v/>
      </c>
      <c r="R56">
        <f>IF($Q56="","",countries!$B56)</f>
        <v/>
      </c>
      <c r="S56">
        <f>IF($Q56="","",IF(OR($Q56='Feasibility IQ'!$AA$9,$Q56='Feasibility IQ'!$AA$10),0,COUNTIF($O$2:$O$152,$Q56)))</f>
        <v/>
      </c>
      <c r="T56">
        <f>IF($S56=0,"",_xlfn.MINIFS($A$2:$A$152,$O$2:$O$152,$Q56))</f>
        <v/>
      </c>
      <c r="U56">
        <f t="array" ref="U56">IF($S56=0,"",SUMPRODUCT(($S$2:$S$143&gt;0)*($T$2:$T$143&lt;$T56))+1)</f>
        <v/>
      </c>
    </row>
    <row r="57">
      <c r="A57">
        <f>ROW()-2</f>
        <v/>
      </c>
      <c r="B57">
        <f>$A57/150</f>
        <v/>
      </c>
      <c r="C57">
        <f>'Feasibility IQ'!$AA$4</f>
        <v/>
      </c>
      <c r="D57">
        <f>'Feasibility IQ'!$AA$5</f>
        <v/>
      </c>
      <c r="E57">
        <f>'Feasibility IQ'!$AA$6</f>
        <v/>
      </c>
      <c r="F57">
        <f>'Feasibility IQ'!$AA$7</f>
        <v/>
      </c>
      <c r="G57">
        <f>'Feasibility IQ'!$AA$8</f>
        <v/>
      </c>
      <c r="H57">
        <f>IF(OR($G57="",$G57=0),"",SIN((1-$B57)*$G57)/SIN($G57))</f>
        <v/>
      </c>
      <c r="I57">
        <f>IF($H57="","",SIN($B57*$G57)/SIN($G57))</f>
        <v/>
      </c>
      <c r="J57">
        <f>IF($H57="","",$H57*COS(RADIANS($C57))*COS(RADIANS($D57))+$I57*COS(RADIANS($E57))*COS(RADIANS($F57)))</f>
        <v/>
      </c>
      <c r="K57">
        <f>IF($H57="","",$H57*COS(RADIANS($C57))*SIN(RADIANS($D57))+$I57*COS(RADIANS($E57))*SIN(RADIANS($F57)))</f>
        <v/>
      </c>
      <c r="L57">
        <f>IF($H57="","",$H57*SIN(RADIANS($C57))+$I57*SIN(RADIANS($E57)))</f>
        <v/>
      </c>
      <c r="M57">
        <f>IF($L57="","",DEGREES(ATAN2(SQRT($J57^2+$K57^2),$L57)))</f>
        <v/>
      </c>
      <c r="N57">
        <f>IF($L57="","",DEGREES(ATAN2($J57,$K57)))</f>
        <v/>
      </c>
      <c r="O57">
        <f t="array" ref="O57">IF($M57="","",IFERROR(IF(INDEX(geo_grid!$B$2:$JU$231,INT(($M57+40)/0.5)+1,INT(($N57+30)/0.5)+1)="","",INDEX(geo_grid!$B$2:$JU$231,INT(($M57+40)/0.5)+1,INT(($N57+30)/0.5)+1)),"OUTSIDE GRID"))</f>
        <v/>
      </c>
      <c r="Q57">
        <f>IF(countries!$D57="","",countries!$D57)</f>
        <v/>
      </c>
      <c r="R57">
        <f>IF($Q57="","",countries!$B57)</f>
        <v/>
      </c>
      <c r="S57">
        <f>IF($Q57="","",IF(OR($Q57='Feasibility IQ'!$AA$9,$Q57='Feasibility IQ'!$AA$10),0,COUNTIF($O$2:$O$152,$Q57)))</f>
        <v/>
      </c>
      <c r="T57">
        <f>IF($S57=0,"",_xlfn.MINIFS($A$2:$A$152,$O$2:$O$152,$Q57))</f>
        <v/>
      </c>
      <c r="U57">
        <f t="array" ref="U57">IF($S57=0,"",SUMPRODUCT(($S$2:$S$143&gt;0)*($T$2:$T$143&lt;$T57))+1)</f>
        <v/>
      </c>
    </row>
    <row r="58">
      <c r="A58">
        <f>ROW()-2</f>
        <v/>
      </c>
      <c r="B58">
        <f>$A58/150</f>
        <v/>
      </c>
      <c r="C58">
        <f>'Feasibility IQ'!$AA$4</f>
        <v/>
      </c>
      <c r="D58">
        <f>'Feasibility IQ'!$AA$5</f>
        <v/>
      </c>
      <c r="E58">
        <f>'Feasibility IQ'!$AA$6</f>
        <v/>
      </c>
      <c r="F58">
        <f>'Feasibility IQ'!$AA$7</f>
        <v/>
      </c>
      <c r="G58">
        <f>'Feasibility IQ'!$AA$8</f>
        <v/>
      </c>
      <c r="H58">
        <f>IF(OR($G58="",$G58=0),"",SIN((1-$B58)*$G58)/SIN($G58))</f>
        <v/>
      </c>
      <c r="I58">
        <f>IF($H58="","",SIN($B58*$G58)/SIN($G58))</f>
        <v/>
      </c>
      <c r="J58">
        <f>IF($H58="","",$H58*COS(RADIANS($C58))*COS(RADIANS($D58))+$I58*COS(RADIANS($E58))*COS(RADIANS($F58)))</f>
        <v/>
      </c>
      <c r="K58">
        <f>IF($H58="","",$H58*COS(RADIANS($C58))*SIN(RADIANS($D58))+$I58*COS(RADIANS($E58))*SIN(RADIANS($F58)))</f>
        <v/>
      </c>
      <c r="L58">
        <f>IF($H58="","",$H58*SIN(RADIANS($C58))+$I58*SIN(RADIANS($E58)))</f>
        <v/>
      </c>
      <c r="M58">
        <f>IF($L58="","",DEGREES(ATAN2(SQRT($J58^2+$K58^2),$L58)))</f>
        <v/>
      </c>
      <c r="N58">
        <f>IF($L58="","",DEGREES(ATAN2($J58,$K58)))</f>
        <v/>
      </c>
      <c r="O58">
        <f t="array" ref="O58">IF($M58="","",IFERROR(IF(INDEX(geo_grid!$B$2:$JU$231,INT(($M58+40)/0.5)+1,INT(($N58+30)/0.5)+1)="","",INDEX(geo_grid!$B$2:$JU$231,INT(($M58+40)/0.5)+1,INT(($N58+30)/0.5)+1)),"OUTSIDE GRID"))</f>
        <v/>
      </c>
      <c r="Q58">
        <f>IF(countries!$D58="","",countries!$D58)</f>
        <v/>
      </c>
      <c r="R58">
        <f>IF($Q58="","",countries!$B58)</f>
        <v/>
      </c>
      <c r="S58">
        <f>IF($Q58="","",IF(OR($Q58='Feasibility IQ'!$AA$9,$Q58='Feasibility IQ'!$AA$10),0,COUNTIF($O$2:$O$152,$Q58)))</f>
        <v/>
      </c>
      <c r="T58">
        <f>IF($S58=0,"",_xlfn.MINIFS($A$2:$A$152,$O$2:$O$152,$Q58))</f>
        <v/>
      </c>
      <c r="U58">
        <f t="array" ref="U58">IF($S58=0,"",SUMPRODUCT(($S$2:$S$143&gt;0)*($T$2:$T$143&lt;$T58))+1)</f>
        <v/>
      </c>
    </row>
    <row r="59">
      <c r="A59">
        <f>ROW()-2</f>
        <v/>
      </c>
      <c r="B59">
        <f>$A59/150</f>
        <v/>
      </c>
      <c r="C59">
        <f>'Feasibility IQ'!$AA$4</f>
        <v/>
      </c>
      <c r="D59">
        <f>'Feasibility IQ'!$AA$5</f>
        <v/>
      </c>
      <c r="E59">
        <f>'Feasibility IQ'!$AA$6</f>
        <v/>
      </c>
      <c r="F59">
        <f>'Feasibility IQ'!$AA$7</f>
        <v/>
      </c>
      <c r="G59">
        <f>'Feasibility IQ'!$AA$8</f>
        <v/>
      </c>
      <c r="H59">
        <f>IF(OR($G59="",$G59=0),"",SIN((1-$B59)*$G59)/SIN($G59))</f>
        <v/>
      </c>
      <c r="I59">
        <f>IF($H59="","",SIN($B59*$G59)/SIN($G59))</f>
        <v/>
      </c>
      <c r="J59">
        <f>IF($H59="","",$H59*COS(RADIANS($C59))*COS(RADIANS($D59))+$I59*COS(RADIANS($E59))*COS(RADIANS($F59)))</f>
        <v/>
      </c>
      <c r="K59">
        <f>IF($H59="","",$H59*COS(RADIANS($C59))*SIN(RADIANS($D59))+$I59*COS(RADIANS($E59))*SIN(RADIANS($F59)))</f>
        <v/>
      </c>
      <c r="L59">
        <f>IF($H59="","",$H59*SIN(RADIANS($C59))+$I59*SIN(RADIANS($E59)))</f>
        <v/>
      </c>
      <c r="M59">
        <f>IF($L59="","",DEGREES(ATAN2(SQRT($J59^2+$K59^2),$L59)))</f>
        <v/>
      </c>
      <c r="N59">
        <f>IF($L59="","",DEGREES(ATAN2($J59,$K59)))</f>
        <v/>
      </c>
      <c r="O59">
        <f t="array" ref="O59">IF($M59="","",IFERROR(IF(INDEX(geo_grid!$B$2:$JU$231,INT(($M59+40)/0.5)+1,INT(($N59+30)/0.5)+1)="","",INDEX(geo_grid!$B$2:$JU$231,INT(($M59+40)/0.5)+1,INT(($N59+30)/0.5)+1)),"OUTSIDE GRID"))</f>
        <v/>
      </c>
      <c r="Q59">
        <f>IF(countries!$D59="","",countries!$D59)</f>
        <v/>
      </c>
      <c r="R59">
        <f>IF($Q59="","",countries!$B59)</f>
        <v/>
      </c>
      <c r="S59">
        <f>IF($Q59="","",IF(OR($Q59='Feasibility IQ'!$AA$9,$Q59='Feasibility IQ'!$AA$10),0,COUNTIF($O$2:$O$152,$Q59)))</f>
        <v/>
      </c>
      <c r="T59">
        <f>IF($S59=0,"",_xlfn.MINIFS($A$2:$A$152,$O$2:$O$152,$Q59))</f>
        <v/>
      </c>
      <c r="U59">
        <f t="array" ref="U59">IF($S59=0,"",SUMPRODUCT(($S$2:$S$143&gt;0)*($T$2:$T$143&lt;$T59))+1)</f>
        <v/>
      </c>
    </row>
    <row r="60">
      <c r="A60">
        <f>ROW()-2</f>
        <v/>
      </c>
      <c r="B60">
        <f>$A60/150</f>
        <v/>
      </c>
      <c r="C60">
        <f>'Feasibility IQ'!$AA$4</f>
        <v/>
      </c>
      <c r="D60">
        <f>'Feasibility IQ'!$AA$5</f>
        <v/>
      </c>
      <c r="E60">
        <f>'Feasibility IQ'!$AA$6</f>
        <v/>
      </c>
      <c r="F60">
        <f>'Feasibility IQ'!$AA$7</f>
        <v/>
      </c>
      <c r="G60">
        <f>'Feasibility IQ'!$AA$8</f>
        <v/>
      </c>
      <c r="H60">
        <f>IF(OR($G60="",$G60=0),"",SIN((1-$B60)*$G60)/SIN($G60))</f>
        <v/>
      </c>
      <c r="I60">
        <f>IF($H60="","",SIN($B60*$G60)/SIN($G60))</f>
        <v/>
      </c>
      <c r="J60">
        <f>IF($H60="","",$H60*COS(RADIANS($C60))*COS(RADIANS($D60))+$I60*COS(RADIANS($E60))*COS(RADIANS($F60)))</f>
        <v/>
      </c>
      <c r="K60">
        <f>IF($H60="","",$H60*COS(RADIANS($C60))*SIN(RADIANS($D60))+$I60*COS(RADIANS($E60))*SIN(RADIANS($F60)))</f>
        <v/>
      </c>
      <c r="L60">
        <f>IF($H60="","",$H60*SIN(RADIANS($C60))+$I60*SIN(RADIANS($E60)))</f>
        <v/>
      </c>
      <c r="M60">
        <f>IF($L60="","",DEGREES(ATAN2(SQRT($J60^2+$K60^2),$L60)))</f>
        <v/>
      </c>
      <c r="N60">
        <f>IF($L60="","",DEGREES(ATAN2($J60,$K60)))</f>
        <v/>
      </c>
      <c r="O60">
        <f t="array" ref="O60">IF($M60="","",IFERROR(IF(INDEX(geo_grid!$B$2:$JU$231,INT(($M60+40)/0.5)+1,INT(($N60+30)/0.5)+1)="","",INDEX(geo_grid!$B$2:$JU$231,INT(($M60+40)/0.5)+1,INT(($N60+30)/0.5)+1)),"OUTSIDE GRID"))</f>
        <v/>
      </c>
      <c r="Q60">
        <f>IF(countries!$D60="","",countries!$D60)</f>
        <v/>
      </c>
      <c r="R60">
        <f>IF($Q60="","",countries!$B60)</f>
        <v/>
      </c>
      <c r="S60">
        <f>IF($Q60="","",IF(OR($Q60='Feasibility IQ'!$AA$9,$Q60='Feasibility IQ'!$AA$10),0,COUNTIF($O$2:$O$152,$Q60)))</f>
        <v/>
      </c>
      <c r="T60">
        <f>IF($S60=0,"",_xlfn.MINIFS($A$2:$A$152,$O$2:$O$152,$Q60))</f>
        <v/>
      </c>
      <c r="U60">
        <f t="array" ref="U60">IF($S60=0,"",SUMPRODUCT(($S$2:$S$143&gt;0)*($T$2:$T$143&lt;$T60))+1)</f>
        <v/>
      </c>
    </row>
    <row r="61">
      <c r="A61">
        <f>ROW()-2</f>
        <v/>
      </c>
      <c r="B61">
        <f>$A61/150</f>
        <v/>
      </c>
      <c r="C61">
        <f>'Feasibility IQ'!$AA$4</f>
        <v/>
      </c>
      <c r="D61">
        <f>'Feasibility IQ'!$AA$5</f>
        <v/>
      </c>
      <c r="E61">
        <f>'Feasibility IQ'!$AA$6</f>
        <v/>
      </c>
      <c r="F61">
        <f>'Feasibility IQ'!$AA$7</f>
        <v/>
      </c>
      <c r="G61">
        <f>'Feasibility IQ'!$AA$8</f>
        <v/>
      </c>
      <c r="H61">
        <f>IF(OR($G61="",$G61=0),"",SIN((1-$B61)*$G61)/SIN($G61))</f>
        <v/>
      </c>
      <c r="I61">
        <f>IF($H61="","",SIN($B61*$G61)/SIN($G61))</f>
        <v/>
      </c>
      <c r="J61">
        <f>IF($H61="","",$H61*COS(RADIANS($C61))*COS(RADIANS($D61))+$I61*COS(RADIANS($E61))*COS(RADIANS($F61)))</f>
        <v/>
      </c>
      <c r="K61">
        <f>IF($H61="","",$H61*COS(RADIANS($C61))*SIN(RADIANS($D61))+$I61*COS(RADIANS($E61))*SIN(RADIANS($F61)))</f>
        <v/>
      </c>
      <c r="L61">
        <f>IF($H61="","",$H61*SIN(RADIANS($C61))+$I61*SIN(RADIANS($E61)))</f>
        <v/>
      </c>
      <c r="M61">
        <f>IF($L61="","",DEGREES(ATAN2(SQRT($J61^2+$K61^2),$L61)))</f>
        <v/>
      </c>
      <c r="N61">
        <f>IF($L61="","",DEGREES(ATAN2($J61,$K61)))</f>
        <v/>
      </c>
      <c r="O61">
        <f t="array" ref="O61">IF($M61="","",IFERROR(IF(INDEX(geo_grid!$B$2:$JU$231,INT(($M61+40)/0.5)+1,INT(($N61+30)/0.5)+1)="","",INDEX(geo_grid!$B$2:$JU$231,INT(($M61+40)/0.5)+1,INT(($N61+30)/0.5)+1)),"OUTSIDE GRID"))</f>
        <v/>
      </c>
      <c r="Q61">
        <f>IF(countries!$D61="","",countries!$D61)</f>
        <v/>
      </c>
      <c r="R61">
        <f>IF($Q61="","",countries!$B61)</f>
        <v/>
      </c>
      <c r="S61">
        <f>IF($Q61="","",IF(OR($Q61='Feasibility IQ'!$AA$9,$Q61='Feasibility IQ'!$AA$10),0,COUNTIF($O$2:$O$152,$Q61)))</f>
        <v/>
      </c>
      <c r="T61">
        <f>IF($S61=0,"",_xlfn.MINIFS($A$2:$A$152,$O$2:$O$152,$Q61))</f>
        <v/>
      </c>
      <c r="U61">
        <f t="array" ref="U61">IF($S61=0,"",SUMPRODUCT(($S$2:$S$143&gt;0)*($T$2:$T$143&lt;$T61))+1)</f>
        <v/>
      </c>
    </row>
    <row r="62">
      <c r="A62">
        <f>ROW()-2</f>
        <v/>
      </c>
      <c r="B62">
        <f>$A62/150</f>
        <v/>
      </c>
      <c r="C62">
        <f>'Feasibility IQ'!$AA$4</f>
        <v/>
      </c>
      <c r="D62">
        <f>'Feasibility IQ'!$AA$5</f>
        <v/>
      </c>
      <c r="E62">
        <f>'Feasibility IQ'!$AA$6</f>
        <v/>
      </c>
      <c r="F62">
        <f>'Feasibility IQ'!$AA$7</f>
        <v/>
      </c>
      <c r="G62">
        <f>'Feasibility IQ'!$AA$8</f>
        <v/>
      </c>
      <c r="H62">
        <f>IF(OR($G62="",$G62=0),"",SIN((1-$B62)*$G62)/SIN($G62))</f>
        <v/>
      </c>
      <c r="I62">
        <f>IF($H62="","",SIN($B62*$G62)/SIN($G62))</f>
        <v/>
      </c>
      <c r="J62">
        <f>IF($H62="","",$H62*COS(RADIANS($C62))*COS(RADIANS($D62))+$I62*COS(RADIANS($E62))*COS(RADIANS($F62)))</f>
        <v/>
      </c>
      <c r="K62">
        <f>IF($H62="","",$H62*COS(RADIANS($C62))*SIN(RADIANS($D62))+$I62*COS(RADIANS($E62))*SIN(RADIANS($F62)))</f>
        <v/>
      </c>
      <c r="L62">
        <f>IF($H62="","",$H62*SIN(RADIANS($C62))+$I62*SIN(RADIANS($E62)))</f>
        <v/>
      </c>
      <c r="M62">
        <f>IF($L62="","",DEGREES(ATAN2(SQRT($J62^2+$K62^2),$L62)))</f>
        <v/>
      </c>
      <c r="N62">
        <f>IF($L62="","",DEGREES(ATAN2($J62,$K62)))</f>
        <v/>
      </c>
      <c r="O62">
        <f t="array" ref="O62">IF($M62="","",IFERROR(IF(INDEX(geo_grid!$B$2:$JU$231,INT(($M62+40)/0.5)+1,INT(($N62+30)/0.5)+1)="","",INDEX(geo_grid!$B$2:$JU$231,INT(($M62+40)/0.5)+1,INT(($N62+30)/0.5)+1)),"OUTSIDE GRID"))</f>
        <v/>
      </c>
      <c r="Q62">
        <f>IF(countries!$D62="","",countries!$D62)</f>
        <v/>
      </c>
      <c r="R62">
        <f>IF($Q62="","",countries!$B62)</f>
        <v/>
      </c>
      <c r="S62">
        <f>IF($Q62="","",IF(OR($Q62='Feasibility IQ'!$AA$9,$Q62='Feasibility IQ'!$AA$10),0,COUNTIF($O$2:$O$152,$Q62)))</f>
        <v/>
      </c>
      <c r="T62">
        <f>IF($S62=0,"",_xlfn.MINIFS($A$2:$A$152,$O$2:$O$152,$Q62))</f>
        <v/>
      </c>
      <c r="U62">
        <f t="array" ref="U62">IF($S62=0,"",SUMPRODUCT(($S$2:$S$143&gt;0)*($T$2:$T$143&lt;$T62))+1)</f>
        <v/>
      </c>
    </row>
    <row r="63">
      <c r="A63">
        <f>ROW()-2</f>
        <v/>
      </c>
      <c r="B63">
        <f>$A63/150</f>
        <v/>
      </c>
      <c r="C63">
        <f>'Feasibility IQ'!$AA$4</f>
        <v/>
      </c>
      <c r="D63">
        <f>'Feasibility IQ'!$AA$5</f>
        <v/>
      </c>
      <c r="E63">
        <f>'Feasibility IQ'!$AA$6</f>
        <v/>
      </c>
      <c r="F63">
        <f>'Feasibility IQ'!$AA$7</f>
        <v/>
      </c>
      <c r="G63">
        <f>'Feasibility IQ'!$AA$8</f>
        <v/>
      </c>
      <c r="H63">
        <f>IF(OR($G63="",$G63=0),"",SIN((1-$B63)*$G63)/SIN($G63))</f>
        <v/>
      </c>
      <c r="I63">
        <f>IF($H63="","",SIN($B63*$G63)/SIN($G63))</f>
        <v/>
      </c>
      <c r="J63">
        <f>IF($H63="","",$H63*COS(RADIANS($C63))*COS(RADIANS($D63))+$I63*COS(RADIANS($E63))*COS(RADIANS($F63)))</f>
        <v/>
      </c>
      <c r="K63">
        <f>IF($H63="","",$H63*COS(RADIANS($C63))*SIN(RADIANS($D63))+$I63*COS(RADIANS($E63))*SIN(RADIANS($F63)))</f>
        <v/>
      </c>
      <c r="L63">
        <f>IF($H63="","",$H63*SIN(RADIANS($C63))+$I63*SIN(RADIANS($E63)))</f>
        <v/>
      </c>
      <c r="M63">
        <f>IF($L63="","",DEGREES(ATAN2(SQRT($J63^2+$K63^2),$L63)))</f>
        <v/>
      </c>
      <c r="N63">
        <f>IF($L63="","",DEGREES(ATAN2($J63,$K63)))</f>
        <v/>
      </c>
      <c r="O63">
        <f t="array" ref="O63">IF($M63="","",IFERROR(IF(INDEX(geo_grid!$B$2:$JU$231,INT(($M63+40)/0.5)+1,INT(($N63+30)/0.5)+1)="","",INDEX(geo_grid!$B$2:$JU$231,INT(($M63+40)/0.5)+1,INT(($N63+30)/0.5)+1)),"OUTSIDE GRID"))</f>
        <v/>
      </c>
      <c r="Q63">
        <f>IF(countries!$D63="","",countries!$D63)</f>
        <v/>
      </c>
      <c r="R63">
        <f>IF($Q63="","",countries!$B63)</f>
        <v/>
      </c>
      <c r="S63">
        <f>IF($Q63="","",IF(OR($Q63='Feasibility IQ'!$AA$9,$Q63='Feasibility IQ'!$AA$10),0,COUNTIF($O$2:$O$152,$Q63)))</f>
        <v/>
      </c>
      <c r="T63">
        <f>IF($S63=0,"",_xlfn.MINIFS($A$2:$A$152,$O$2:$O$152,$Q63))</f>
        <v/>
      </c>
      <c r="U63">
        <f t="array" ref="U63">IF($S63=0,"",SUMPRODUCT(($S$2:$S$143&gt;0)*($T$2:$T$143&lt;$T63))+1)</f>
        <v/>
      </c>
    </row>
    <row r="64">
      <c r="A64">
        <f>ROW()-2</f>
        <v/>
      </c>
      <c r="B64">
        <f>$A64/150</f>
        <v/>
      </c>
      <c r="C64">
        <f>'Feasibility IQ'!$AA$4</f>
        <v/>
      </c>
      <c r="D64">
        <f>'Feasibility IQ'!$AA$5</f>
        <v/>
      </c>
      <c r="E64">
        <f>'Feasibility IQ'!$AA$6</f>
        <v/>
      </c>
      <c r="F64">
        <f>'Feasibility IQ'!$AA$7</f>
        <v/>
      </c>
      <c r="G64">
        <f>'Feasibility IQ'!$AA$8</f>
        <v/>
      </c>
      <c r="H64">
        <f>IF(OR($G64="",$G64=0),"",SIN((1-$B64)*$G64)/SIN($G64))</f>
        <v/>
      </c>
      <c r="I64">
        <f>IF($H64="","",SIN($B64*$G64)/SIN($G64))</f>
        <v/>
      </c>
      <c r="J64">
        <f>IF($H64="","",$H64*COS(RADIANS($C64))*COS(RADIANS($D64))+$I64*COS(RADIANS($E64))*COS(RADIANS($F64)))</f>
        <v/>
      </c>
      <c r="K64">
        <f>IF($H64="","",$H64*COS(RADIANS($C64))*SIN(RADIANS($D64))+$I64*COS(RADIANS($E64))*SIN(RADIANS($F64)))</f>
        <v/>
      </c>
      <c r="L64">
        <f>IF($H64="","",$H64*SIN(RADIANS($C64))+$I64*SIN(RADIANS($E64)))</f>
        <v/>
      </c>
      <c r="M64">
        <f>IF($L64="","",DEGREES(ATAN2(SQRT($J64^2+$K64^2),$L64)))</f>
        <v/>
      </c>
      <c r="N64">
        <f>IF($L64="","",DEGREES(ATAN2($J64,$K64)))</f>
        <v/>
      </c>
      <c r="O64">
        <f t="array" ref="O64">IF($M64="","",IFERROR(IF(INDEX(geo_grid!$B$2:$JU$231,INT(($M64+40)/0.5)+1,INT(($N64+30)/0.5)+1)="","",INDEX(geo_grid!$B$2:$JU$231,INT(($M64+40)/0.5)+1,INT(($N64+30)/0.5)+1)),"OUTSIDE GRID"))</f>
        <v/>
      </c>
      <c r="Q64">
        <f>IF(countries!$D64="","",countries!$D64)</f>
        <v/>
      </c>
      <c r="R64">
        <f>IF($Q64="","",countries!$B64)</f>
        <v/>
      </c>
      <c r="S64">
        <f>IF($Q64="","",IF(OR($Q64='Feasibility IQ'!$AA$9,$Q64='Feasibility IQ'!$AA$10),0,COUNTIF($O$2:$O$152,$Q64)))</f>
        <v/>
      </c>
      <c r="T64">
        <f>IF($S64=0,"",_xlfn.MINIFS($A$2:$A$152,$O$2:$O$152,$Q64))</f>
        <v/>
      </c>
      <c r="U64">
        <f t="array" ref="U64">IF($S64=0,"",SUMPRODUCT(($S$2:$S$143&gt;0)*($T$2:$T$143&lt;$T64))+1)</f>
        <v/>
      </c>
    </row>
    <row r="65">
      <c r="A65">
        <f>ROW()-2</f>
        <v/>
      </c>
      <c r="B65">
        <f>$A65/150</f>
        <v/>
      </c>
      <c r="C65">
        <f>'Feasibility IQ'!$AA$4</f>
        <v/>
      </c>
      <c r="D65">
        <f>'Feasibility IQ'!$AA$5</f>
        <v/>
      </c>
      <c r="E65">
        <f>'Feasibility IQ'!$AA$6</f>
        <v/>
      </c>
      <c r="F65">
        <f>'Feasibility IQ'!$AA$7</f>
        <v/>
      </c>
      <c r="G65">
        <f>'Feasibility IQ'!$AA$8</f>
        <v/>
      </c>
      <c r="H65">
        <f>IF(OR($G65="",$G65=0),"",SIN((1-$B65)*$G65)/SIN($G65))</f>
        <v/>
      </c>
      <c r="I65">
        <f>IF($H65="","",SIN($B65*$G65)/SIN($G65))</f>
        <v/>
      </c>
      <c r="J65">
        <f>IF($H65="","",$H65*COS(RADIANS($C65))*COS(RADIANS($D65))+$I65*COS(RADIANS($E65))*COS(RADIANS($F65)))</f>
        <v/>
      </c>
      <c r="K65">
        <f>IF($H65="","",$H65*COS(RADIANS($C65))*SIN(RADIANS($D65))+$I65*COS(RADIANS($E65))*SIN(RADIANS($F65)))</f>
        <v/>
      </c>
      <c r="L65">
        <f>IF($H65="","",$H65*SIN(RADIANS($C65))+$I65*SIN(RADIANS($E65)))</f>
        <v/>
      </c>
      <c r="M65">
        <f>IF($L65="","",DEGREES(ATAN2(SQRT($J65^2+$K65^2),$L65)))</f>
        <v/>
      </c>
      <c r="N65">
        <f>IF($L65="","",DEGREES(ATAN2($J65,$K65)))</f>
        <v/>
      </c>
      <c r="O65">
        <f t="array" ref="O65">IF($M65="","",IFERROR(IF(INDEX(geo_grid!$B$2:$JU$231,INT(($M65+40)/0.5)+1,INT(($N65+30)/0.5)+1)="","",INDEX(geo_grid!$B$2:$JU$231,INT(($M65+40)/0.5)+1,INT(($N65+30)/0.5)+1)),"OUTSIDE GRID"))</f>
        <v/>
      </c>
      <c r="Q65">
        <f>IF(countries!$D65="","",countries!$D65)</f>
        <v/>
      </c>
      <c r="R65">
        <f>IF($Q65="","",countries!$B65)</f>
        <v/>
      </c>
      <c r="S65">
        <f>IF($Q65="","",IF(OR($Q65='Feasibility IQ'!$AA$9,$Q65='Feasibility IQ'!$AA$10),0,COUNTIF($O$2:$O$152,$Q65)))</f>
        <v/>
      </c>
      <c r="T65">
        <f>IF($S65=0,"",_xlfn.MINIFS($A$2:$A$152,$O$2:$O$152,$Q65))</f>
        <v/>
      </c>
      <c r="U65">
        <f t="array" ref="U65">IF($S65=0,"",SUMPRODUCT(($S$2:$S$143&gt;0)*($T$2:$T$143&lt;$T65))+1)</f>
        <v/>
      </c>
    </row>
    <row r="66">
      <c r="A66">
        <f>ROW()-2</f>
        <v/>
      </c>
      <c r="B66">
        <f>$A66/150</f>
        <v/>
      </c>
      <c r="C66">
        <f>'Feasibility IQ'!$AA$4</f>
        <v/>
      </c>
      <c r="D66">
        <f>'Feasibility IQ'!$AA$5</f>
        <v/>
      </c>
      <c r="E66">
        <f>'Feasibility IQ'!$AA$6</f>
        <v/>
      </c>
      <c r="F66">
        <f>'Feasibility IQ'!$AA$7</f>
        <v/>
      </c>
      <c r="G66">
        <f>'Feasibility IQ'!$AA$8</f>
        <v/>
      </c>
      <c r="H66">
        <f>IF(OR($G66="",$G66=0),"",SIN((1-$B66)*$G66)/SIN($G66))</f>
        <v/>
      </c>
      <c r="I66">
        <f>IF($H66="","",SIN($B66*$G66)/SIN($G66))</f>
        <v/>
      </c>
      <c r="J66">
        <f>IF($H66="","",$H66*COS(RADIANS($C66))*COS(RADIANS($D66))+$I66*COS(RADIANS($E66))*COS(RADIANS($F66)))</f>
        <v/>
      </c>
      <c r="K66">
        <f>IF($H66="","",$H66*COS(RADIANS($C66))*SIN(RADIANS($D66))+$I66*COS(RADIANS($E66))*SIN(RADIANS($F66)))</f>
        <v/>
      </c>
      <c r="L66">
        <f>IF($H66="","",$H66*SIN(RADIANS($C66))+$I66*SIN(RADIANS($E66)))</f>
        <v/>
      </c>
      <c r="M66">
        <f>IF($L66="","",DEGREES(ATAN2(SQRT($J66^2+$K66^2),$L66)))</f>
        <v/>
      </c>
      <c r="N66">
        <f>IF($L66="","",DEGREES(ATAN2($J66,$K66)))</f>
        <v/>
      </c>
      <c r="O66">
        <f t="array" ref="O66">IF($M66="","",IFERROR(IF(INDEX(geo_grid!$B$2:$JU$231,INT(($M66+40)/0.5)+1,INT(($N66+30)/0.5)+1)="","",INDEX(geo_grid!$B$2:$JU$231,INT(($M66+40)/0.5)+1,INT(($N66+30)/0.5)+1)),"OUTSIDE GRID"))</f>
        <v/>
      </c>
      <c r="Q66">
        <f>IF(countries!$D66="","",countries!$D66)</f>
        <v/>
      </c>
      <c r="R66">
        <f>IF($Q66="","",countries!$B66)</f>
        <v/>
      </c>
      <c r="S66">
        <f>IF($Q66="","",IF(OR($Q66='Feasibility IQ'!$AA$9,$Q66='Feasibility IQ'!$AA$10),0,COUNTIF($O$2:$O$152,$Q66)))</f>
        <v/>
      </c>
      <c r="T66">
        <f>IF($S66=0,"",_xlfn.MINIFS($A$2:$A$152,$O$2:$O$152,$Q66))</f>
        <v/>
      </c>
      <c r="U66">
        <f t="array" ref="U66">IF($S66=0,"",SUMPRODUCT(($S$2:$S$143&gt;0)*($T$2:$T$143&lt;$T66))+1)</f>
        <v/>
      </c>
    </row>
    <row r="67">
      <c r="A67">
        <f>ROW()-2</f>
        <v/>
      </c>
      <c r="B67">
        <f>$A67/150</f>
        <v/>
      </c>
      <c r="C67">
        <f>'Feasibility IQ'!$AA$4</f>
        <v/>
      </c>
      <c r="D67">
        <f>'Feasibility IQ'!$AA$5</f>
        <v/>
      </c>
      <c r="E67">
        <f>'Feasibility IQ'!$AA$6</f>
        <v/>
      </c>
      <c r="F67">
        <f>'Feasibility IQ'!$AA$7</f>
        <v/>
      </c>
      <c r="G67">
        <f>'Feasibility IQ'!$AA$8</f>
        <v/>
      </c>
      <c r="H67">
        <f>IF(OR($G67="",$G67=0),"",SIN((1-$B67)*$G67)/SIN($G67))</f>
        <v/>
      </c>
      <c r="I67">
        <f>IF($H67="","",SIN($B67*$G67)/SIN($G67))</f>
        <v/>
      </c>
      <c r="J67">
        <f>IF($H67="","",$H67*COS(RADIANS($C67))*COS(RADIANS($D67))+$I67*COS(RADIANS($E67))*COS(RADIANS($F67)))</f>
        <v/>
      </c>
      <c r="K67">
        <f>IF($H67="","",$H67*COS(RADIANS($C67))*SIN(RADIANS($D67))+$I67*COS(RADIANS($E67))*SIN(RADIANS($F67)))</f>
        <v/>
      </c>
      <c r="L67">
        <f>IF($H67="","",$H67*SIN(RADIANS($C67))+$I67*SIN(RADIANS($E67)))</f>
        <v/>
      </c>
      <c r="M67">
        <f>IF($L67="","",DEGREES(ATAN2(SQRT($J67^2+$K67^2),$L67)))</f>
        <v/>
      </c>
      <c r="N67">
        <f>IF($L67="","",DEGREES(ATAN2($J67,$K67)))</f>
        <v/>
      </c>
      <c r="O67">
        <f t="array" ref="O67">IF($M67="","",IFERROR(IF(INDEX(geo_grid!$B$2:$JU$231,INT(($M67+40)/0.5)+1,INT(($N67+30)/0.5)+1)="","",INDEX(geo_grid!$B$2:$JU$231,INT(($M67+40)/0.5)+1,INT(($N67+30)/0.5)+1)),"OUTSIDE GRID"))</f>
        <v/>
      </c>
      <c r="Q67">
        <f>IF(countries!$D67="","",countries!$D67)</f>
        <v/>
      </c>
      <c r="R67">
        <f>IF($Q67="","",countries!$B67)</f>
        <v/>
      </c>
      <c r="S67">
        <f>IF($Q67="","",IF(OR($Q67='Feasibility IQ'!$AA$9,$Q67='Feasibility IQ'!$AA$10),0,COUNTIF($O$2:$O$152,$Q67)))</f>
        <v/>
      </c>
      <c r="T67">
        <f>IF($S67=0,"",_xlfn.MINIFS($A$2:$A$152,$O$2:$O$152,$Q67))</f>
        <v/>
      </c>
      <c r="U67">
        <f t="array" ref="U67">IF($S67=0,"",SUMPRODUCT(($S$2:$S$143&gt;0)*($T$2:$T$143&lt;$T67))+1)</f>
        <v/>
      </c>
    </row>
    <row r="68">
      <c r="A68">
        <f>ROW()-2</f>
        <v/>
      </c>
      <c r="B68">
        <f>$A68/150</f>
        <v/>
      </c>
      <c r="C68">
        <f>'Feasibility IQ'!$AA$4</f>
        <v/>
      </c>
      <c r="D68">
        <f>'Feasibility IQ'!$AA$5</f>
        <v/>
      </c>
      <c r="E68">
        <f>'Feasibility IQ'!$AA$6</f>
        <v/>
      </c>
      <c r="F68">
        <f>'Feasibility IQ'!$AA$7</f>
        <v/>
      </c>
      <c r="G68">
        <f>'Feasibility IQ'!$AA$8</f>
        <v/>
      </c>
      <c r="H68">
        <f>IF(OR($G68="",$G68=0),"",SIN((1-$B68)*$G68)/SIN($G68))</f>
        <v/>
      </c>
      <c r="I68">
        <f>IF($H68="","",SIN($B68*$G68)/SIN($G68))</f>
        <v/>
      </c>
      <c r="J68">
        <f>IF($H68="","",$H68*COS(RADIANS($C68))*COS(RADIANS($D68))+$I68*COS(RADIANS($E68))*COS(RADIANS($F68)))</f>
        <v/>
      </c>
      <c r="K68">
        <f>IF($H68="","",$H68*COS(RADIANS($C68))*SIN(RADIANS($D68))+$I68*COS(RADIANS($E68))*SIN(RADIANS($F68)))</f>
        <v/>
      </c>
      <c r="L68">
        <f>IF($H68="","",$H68*SIN(RADIANS($C68))+$I68*SIN(RADIANS($E68)))</f>
        <v/>
      </c>
      <c r="M68">
        <f>IF($L68="","",DEGREES(ATAN2(SQRT($J68^2+$K68^2),$L68)))</f>
        <v/>
      </c>
      <c r="N68">
        <f>IF($L68="","",DEGREES(ATAN2($J68,$K68)))</f>
        <v/>
      </c>
      <c r="O68">
        <f t="array" ref="O68">IF($M68="","",IFERROR(IF(INDEX(geo_grid!$B$2:$JU$231,INT(($M68+40)/0.5)+1,INT(($N68+30)/0.5)+1)="","",INDEX(geo_grid!$B$2:$JU$231,INT(($M68+40)/0.5)+1,INT(($N68+30)/0.5)+1)),"OUTSIDE GRID"))</f>
        <v/>
      </c>
      <c r="Q68">
        <f>IF(countries!$D68="","",countries!$D68)</f>
        <v/>
      </c>
      <c r="R68">
        <f>IF($Q68="","",countries!$B68)</f>
        <v/>
      </c>
      <c r="S68">
        <f>IF($Q68="","",IF(OR($Q68='Feasibility IQ'!$AA$9,$Q68='Feasibility IQ'!$AA$10),0,COUNTIF($O$2:$O$152,$Q68)))</f>
        <v/>
      </c>
      <c r="T68">
        <f>IF($S68=0,"",_xlfn.MINIFS($A$2:$A$152,$O$2:$O$152,$Q68))</f>
        <v/>
      </c>
      <c r="U68">
        <f t="array" ref="U68">IF($S68=0,"",SUMPRODUCT(($S$2:$S$143&gt;0)*($T$2:$T$143&lt;$T68))+1)</f>
        <v/>
      </c>
    </row>
    <row r="69">
      <c r="A69">
        <f>ROW()-2</f>
        <v/>
      </c>
      <c r="B69">
        <f>$A69/150</f>
        <v/>
      </c>
      <c r="C69">
        <f>'Feasibility IQ'!$AA$4</f>
        <v/>
      </c>
      <c r="D69">
        <f>'Feasibility IQ'!$AA$5</f>
        <v/>
      </c>
      <c r="E69">
        <f>'Feasibility IQ'!$AA$6</f>
        <v/>
      </c>
      <c r="F69">
        <f>'Feasibility IQ'!$AA$7</f>
        <v/>
      </c>
      <c r="G69">
        <f>'Feasibility IQ'!$AA$8</f>
        <v/>
      </c>
      <c r="H69">
        <f>IF(OR($G69="",$G69=0),"",SIN((1-$B69)*$G69)/SIN($G69))</f>
        <v/>
      </c>
      <c r="I69">
        <f>IF($H69="","",SIN($B69*$G69)/SIN($G69))</f>
        <v/>
      </c>
      <c r="J69">
        <f>IF($H69="","",$H69*COS(RADIANS($C69))*COS(RADIANS($D69))+$I69*COS(RADIANS($E69))*COS(RADIANS($F69)))</f>
        <v/>
      </c>
      <c r="K69">
        <f>IF($H69="","",$H69*COS(RADIANS($C69))*SIN(RADIANS($D69))+$I69*COS(RADIANS($E69))*SIN(RADIANS($F69)))</f>
        <v/>
      </c>
      <c r="L69">
        <f>IF($H69="","",$H69*SIN(RADIANS($C69))+$I69*SIN(RADIANS($E69)))</f>
        <v/>
      </c>
      <c r="M69">
        <f>IF($L69="","",DEGREES(ATAN2(SQRT($J69^2+$K69^2),$L69)))</f>
        <v/>
      </c>
      <c r="N69">
        <f>IF($L69="","",DEGREES(ATAN2($J69,$K69)))</f>
        <v/>
      </c>
      <c r="O69">
        <f t="array" ref="O69">IF($M69="","",IFERROR(IF(INDEX(geo_grid!$B$2:$JU$231,INT(($M69+40)/0.5)+1,INT(($N69+30)/0.5)+1)="","",INDEX(geo_grid!$B$2:$JU$231,INT(($M69+40)/0.5)+1,INT(($N69+30)/0.5)+1)),"OUTSIDE GRID"))</f>
        <v/>
      </c>
      <c r="Q69">
        <f>IF(countries!$D69="","",countries!$D69)</f>
        <v/>
      </c>
      <c r="R69">
        <f>IF($Q69="","",countries!$B69)</f>
        <v/>
      </c>
      <c r="S69">
        <f>IF($Q69="","",IF(OR($Q69='Feasibility IQ'!$AA$9,$Q69='Feasibility IQ'!$AA$10),0,COUNTIF($O$2:$O$152,$Q69)))</f>
        <v/>
      </c>
      <c r="T69">
        <f>IF($S69=0,"",_xlfn.MINIFS($A$2:$A$152,$O$2:$O$152,$Q69))</f>
        <v/>
      </c>
      <c r="U69">
        <f t="array" ref="U69">IF($S69=0,"",SUMPRODUCT(($S$2:$S$143&gt;0)*($T$2:$T$143&lt;$T69))+1)</f>
        <v/>
      </c>
    </row>
    <row r="70">
      <c r="A70">
        <f>ROW()-2</f>
        <v/>
      </c>
      <c r="B70">
        <f>$A70/150</f>
        <v/>
      </c>
      <c r="C70">
        <f>'Feasibility IQ'!$AA$4</f>
        <v/>
      </c>
      <c r="D70">
        <f>'Feasibility IQ'!$AA$5</f>
        <v/>
      </c>
      <c r="E70">
        <f>'Feasibility IQ'!$AA$6</f>
        <v/>
      </c>
      <c r="F70">
        <f>'Feasibility IQ'!$AA$7</f>
        <v/>
      </c>
      <c r="G70">
        <f>'Feasibility IQ'!$AA$8</f>
        <v/>
      </c>
      <c r="H70">
        <f>IF(OR($G70="",$G70=0),"",SIN((1-$B70)*$G70)/SIN($G70))</f>
        <v/>
      </c>
      <c r="I70">
        <f>IF($H70="","",SIN($B70*$G70)/SIN($G70))</f>
        <v/>
      </c>
      <c r="J70">
        <f>IF($H70="","",$H70*COS(RADIANS($C70))*COS(RADIANS($D70))+$I70*COS(RADIANS($E70))*COS(RADIANS($F70)))</f>
        <v/>
      </c>
      <c r="K70">
        <f>IF($H70="","",$H70*COS(RADIANS($C70))*SIN(RADIANS($D70))+$I70*COS(RADIANS($E70))*SIN(RADIANS($F70)))</f>
        <v/>
      </c>
      <c r="L70">
        <f>IF($H70="","",$H70*SIN(RADIANS($C70))+$I70*SIN(RADIANS($E70)))</f>
        <v/>
      </c>
      <c r="M70">
        <f>IF($L70="","",DEGREES(ATAN2(SQRT($J70^2+$K70^2),$L70)))</f>
        <v/>
      </c>
      <c r="N70">
        <f>IF($L70="","",DEGREES(ATAN2($J70,$K70)))</f>
        <v/>
      </c>
      <c r="O70">
        <f t="array" ref="O70">IF($M70="","",IFERROR(IF(INDEX(geo_grid!$B$2:$JU$231,INT(($M70+40)/0.5)+1,INT(($N70+30)/0.5)+1)="","",INDEX(geo_grid!$B$2:$JU$231,INT(($M70+40)/0.5)+1,INT(($N70+30)/0.5)+1)),"OUTSIDE GRID"))</f>
        <v/>
      </c>
      <c r="Q70">
        <f>IF(countries!$D70="","",countries!$D70)</f>
        <v/>
      </c>
      <c r="R70">
        <f>IF($Q70="","",countries!$B70)</f>
        <v/>
      </c>
      <c r="S70">
        <f>IF($Q70="","",IF(OR($Q70='Feasibility IQ'!$AA$9,$Q70='Feasibility IQ'!$AA$10),0,COUNTIF($O$2:$O$152,$Q70)))</f>
        <v/>
      </c>
      <c r="T70">
        <f>IF($S70=0,"",_xlfn.MINIFS($A$2:$A$152,$O$2:$O$152,$Q70))</f>
        <v/>
      </c>
      <c r="U70">
        <f t="array" ref="U70">IF($S70=0,"",SUMPRODUCT(($S$2:$S$143&gt;0)*($T$2:$T$143&lt;$T70))+1)</f>
        <v/>
      </c>
    </row>
    <row r="71">
      <c r="A71">
        <f>ROW()-2</f>
        <v/>
      </c>
      <c r="B71">
        <f>$A71/150</f>
        <v/>
      </c>
      <c r="C71">
        <f>'Feasibility IQ'!$AA$4</f>
        <v/>
      </c>
      <c r="D71">
        <f>'Feasibility IQ'!$AA$5</f>
        <v/>
      </c>
      <c r="E71">
        <f>'Feasibility IQ'!$AA$6</f>
        <v/>
      </c>
      <c r="F71">
        <f>'Feasibility IQ'!$AA$7</f>
        <v/>
      </c>
      <c r="G71">
        <f>'Feasibility IQ'!$AA$8</f>
        <v/>
      </c>
      <c r="H71">
        <f>IF(OR($G71="",$G71=0),"",SIN((1-$B71)*$G71)/SIN($G71))</f>
        <v/>
      </c>
      <c r="I71">
        <f>IF($H71="","",SIN($B71*$G71)/SIN($G71))</f>
        <v/>
      </c>
      <c r="J71">
        <f>IF($H71="","",$H71*COS(RADIANS($C71))*COS(RADIANS($D71))+$I71*COS(RADIANS($E71))*COS(RADIANS($F71)))</f>
        <v/>
      </c>
      <c r="K71">
        <f>IF($H71="","",$H71*COS(RADIANS($C71))*SIN(RADIANS($D71))+$I71*COS(RADIANS($E71))*SIN(RADIANS($F71)))</f>
        <v/>
      </c>
      <c r="L71">
        <f>IF($H71="","",$H71*SIN(RADIANS($C71))+$I71*SIN(RADIANS($E71)))</f>
        <v/>
      </c>
      <c r="M71">
        <f>IF($L71="","",DEGREES(ATAN2(SQRT($J71^2+$K71^2),$L71)))</f>
        <v/>
      </c>
      <c r="N71">
        <f>IF($L71="","",DEGREES(ATAN2($J71,$K71)))</f>
        <v/>
      </c>
      <c r="O71">
        <f t="array" ref="O71">IF($M71="","",IFERROR(IF(INDEX(geo_grid!$B$2:$JU$231,INT(($M71+40)/0.5)+1,INT(($N71+30)/0.5)+1)="","",INDEX(geo_grid!$B$2:$JU$231,INT(($M71+40)/0.5)+1,INT(($N71+30)/0.5)+1)),"OUTSIDE GRID"))</f>
        <v/>
      </c>
      <c r="Q71">
        <f>IF(countries!$D71="","",countries!$D71)</f>
        <v/>
      </c>
      <c r="R71">
        <f>IF($Q71="","",countries!$B71)</f>
        <v/>
      </c>
      <c r="S71">
        <f>IF($Q71="","",IF(OR($Q71='Feasibility IQ'!$AA$9,$Q71='Feasibility IQ'!$AA$10),0,COUNTIF($O$2:$O$152,$Q71)))</f>
        <v/>
      </c>
      <c r="T71">
        <f>IF($S71=0,"",_xlfn.MINIFS($A$2:$A$152,$O$2:$O$152,$Q71))</f>
        <v/>
      </c>
      <c r="U71">
        <f t="array" ref="U71">IF($S71=0,"",SUMPRODUCT(($S$2:$S$143&gt;0)*($T$2:$T$143&lt;$T71))+1)</f>
        <v/>
      </c>
    </row>
    <row r="72">
      <c r="A72">
        <f>ROW()-2</f>
        <v/>
      </c>
      <c r="B72">
        <f>$A72/150</f>
        <v/>
      </c>
      <c r="C72">
        <f>'Feasibility IQ'!$AA$4</f>
        <v/>
      </c>
      <c r="D72">
        <f>'Feasibility IQ'!$AA$5</f>
        <v/>
      </c>
      <c r="E72">
        <f>'Feasibility IQ'!$AA$6</f>
        <v/>
      </c>
      <c r="F72">
        <f>'Feasibility IQ'!$AA$7</f>
        <v/>
      </c>
      <c r="G72">
        <f>'Feasibility IQ'!$AA$8</f>
        <v/>
      </c>
      <c r="H72">
        <f>IF(OR($G72="",$G72=0),"",SIN((1-$B72)*$G72)/SIN($G72))</f>
        <v/>
      </c>
      <c r="I72">
        <f>IF($H72="","",SIN($B72*$G72)/SIN($G72))</f>
        <v/>
      </c>
      <c r="J72">
        <f>IF($H72="","",$H72*COS(RADIANS($C72))*COS(RADIANS($D72))+$I72*COS(RADIANS($E72))*COS(RADIANS($F72)))</f>
        <v/>
      </c>
      <c r="K72">
        <f>IF($H72="","",$H72*COS(RADIANS($C72))*SIN(RADIANS($D72))+$I72*COS(RADIANS($E72))*SIN(RADIANS($F72)))</f>
        <v/>
      </c>
      <c r="L72">
        <f>IF($H72="","",$H72*SIN(RADIANS($C72))+$I72*SIN(RADIANS($E72)))</f>
        <v/>
      </c>
      <c r="M72">
        <f>IF($L72="","",DEGREES(ATAN2(SQRT($J72^2+$K72^2),$L72)))</f>
        <v/>
      </c>
      <c r="N72">
        <f>IF($L72="","",DEGREES(ATAN2($J72,$K72)))</f>
        <v/>
      </c>
      <c r="O72">
        <f t="array" ref="O72">IF($M72="","",IFERROR(IF(INDEX(geo_grid!$B$2:$JU$231,INT(($M72+40)/0.5)+1,INT(($N72+30)/0.5)+1)="","",INDEX(geo_grid!$B$2:$JU$231,INT(($M72+40)/0.5)+1,INT(($N72+30)/0.5)+1)),"OUTSIDE GRID"))</f>
        <v/>
      </c>
      <c r="Q72">
        <f>IF(countries!$D72="","",countries!$D72)</f>
        <v/>
      </c>
      <c r="R72">
        <f>IF($Q72="","",countries!$B72)</f>
        <v/>
      </c>
      <c r="S72">
        <f>IF($Q72="","",IF(OR($Q72='Feasibility IQ'!$AA$9,$Q72='Feasibility IQ'!$AA$10),0,COUNTIF($O$2:$O$152,$Q72)))</f>
        <v/>
      </c>
      <c r="T72">
        <f>IF($S72=0,"",_xlfn.MINIFS($A$2:$A$152,$O$2:$O$152,$Q72))</f>
        <v/>
      </c>
      <c r="U72">
        <f t="array" ref="U72">IF($S72=0,"",SUMPRODUCT(($S$2:$S$143&gt;0)*($T$2:$T$143&lt;$T72))+1)</f>
        <v/>
      </c>
    </row>
    <row r="73">
      <c r="A73">
        <f>ROW()-2</f>
        <v/>
      </c>
      <c r="B73">
        <f>$A73/150</f>
        <v/>
      </c>
      <c r="C73">
        <f>'Feasibility IQ'!$AA$4</f>
        <v/>
      </c>
      <c r="D73">
        <f>'Feasibility IQ'!$AA$5</f>
        <v/>
      </c>
      <c r="E73">
        <f>'Feasibility IQ'!$AA$6</f>
        <v/>
      </c>
      <c r="F73">
        <f>'Feasibility IQ'!$AA$7</f>
        <v/>
      </c>
      <c r="G73">
        <f>'Feasibility IQ'!$AA$8</f>
        <v/>
      </c>
      <c r="H73">
        <f>IF(OR($G73="",$G73=0),"",SIN((1-$B73)*$G73)/SIN($G73))</f>
        <v/>
      </c>
      <c r="I73">
        <f>IF($H73="","",SIN($B73*$G73)/SIN($G73))</f>
        <v/>
      </c>
      <c r="J73">
        <f>IF($H73="","",$H73*COS(RADIANS($C73))*COS(RADIANS($D73))+$I73*COS(RADIANS($E73))*COS(RADIANS($F73)))</f>
        <v/>
      </c>
      <c r="K73">
        <f>IF($H73="","",$H73*COS(RADIANS($C73))*SIN(RADIANS($D73))+$I73*COS(RADIANS($E73))*SIN(RADIANS($F73)))</f>
        <v/>
      </c>
      <c r="L73">
        <f>IF($H73="","",$H73*SIN(RADIANS($C73))+$I73*SIN(RADIANS($E73)))</f>
        <v/>
      </c>
      <c r="M73">
        <f>IF($L73="","",DEGREES(ATAN2(SQRT($J73^2+$K73^2),$L73)))</f>
        <v/>
      </c>
      <c r="N73">
        <f>IF($L73="","",DEGREES(ATAN2($J73,$K73)))</f>
        <v/>
      </c>
      <c r="O73">
        <f t="array" ref="O73">IF($M73="","",IFERROR(IF(INDEX(geo_grid!$B$2:$JU$231,INT(($M73+40)/0.5)+1,INT(($N73+30)/0.5)+1)="","",INDEX(geo_grid!$B$2:$JU$231,INT(($M73+40)/0.5)+1,INT(($N73+30)/0.5)+1)),"OUTSIDE GRID"))</f>
        <v/>
      </c>
      <c r="Q73">
        <f>IF(countries!$D73="","",countries!$D73)</f>
        <v/>
      </c>
      <c r="R73">
        <f>IF($Q73="","",countries!$B73)</f>
        <v/>
      </c>
      <c r="S73">
        <f>IF($Q73="","",IF(OR($Q73='Feasibility IQ'!$AA$9,$Q73='Feasibility IQ'!$AA$10),0,COUNTIF($O$2:$O$152,$Q73)))</f>
        <v/>
      </c>
      <c r="T73">
        <f>IF($S73=0,"",_xlfn.MINIFS($A$2:$A$152,$O$2:$O$152,$Q73))</f>
        <v/>
      </c>
      <c r="U73">
        <f t="array" ref="U73">IF($S73=0,"",SUMPRODUCT(($S$2:$S$143&gt;0)*($T$2:$T$143&lt;$T73))+1)</f>
        <v/>
      </c>
    </row>
    <row r="74">
      <c r="A74">
        <f>ROW()-2</f>
        <v/>
      </c>
      <c r="B74">
        <f>$A74/150</f>
        <v/>
      </c>
      <c r="C74">
        <f>'Feasibility IQ'!$AA$4</f>
        <v/>
      </c>
      <c r="D74">
        <f>'Feasibility IQ'!$AA$5</f>
        <v/>
      </c>
      <c r="E74">
        <f>'Feasibility IQ'!$AA$6</f>
        <v/>
      </c>
      <c r="F74">
        <f>'Feasibility IQ'!$AA$7</f>
        <v/>
      </c>
      <c r="G74">
        <f>'Feasibility IQ'!$AA$8</f>
        <v/>
      </c>
      <c r="H74">
        <f>IF(OR($G74="",$G74=0),"",SIN((1-$B74)*$G74)/SIN($G74))</f>
        <v/>
      </c>
      <c r="I74">
        <f>IF($H74="","",SIN($B74*$G74)/SIN($G74))</f>
        <v/>
      </c>
      <c r="J74">
        <f>IF($H74="","",$H74*COS(RADIANS($C74))*COS(RADIANS($D74))+$I74*COS(RADIANS($E74))*COS(RADIANS($F74)))</f>
        <v/>
      </c>
      <c r="K74">
        <f>IF($H74="","",$H74*COS(RADIANS($C74))*SIN(RADIANS($D74))+$I74*COS(RADIANS($E74))*SIN(RADIANS($F74)))</f>
        <v/>
      </c>
      <c r="L74">
        <f>IF($H74="","",$H74*SIN(RADIANS($C74))+$I74*SIN(RADIANS($E74)))</f>
        <v/>
      </c>
      <c r="M74">
        <f>IF($L74="","",DEGREES(ATAN2(SQRT($J74^2+$K74^2),$L74)))</f>
        <v/>
      </c>
      <c r="N74">
        <f>IF($L74="","",DEGREES(ATAN2($J74,$K74)))</f>
        <v/>
      </c>
      <c r="O74">
        <f t="array" ref="O74">IF($M74="","",IFERROR(IF(INDEX(geo_grid!$B$2:$JU$231,INT(($M74+40)/0.5)+1,INT(($N74+30)/0.5)+1)="","",INDEX(geo_grid!$B$2:$JU$231,INT(($M74+40)/0.5)+1,INT(($N74+30)/0.5)+1)),"OUTSIDE GRID"))</f>
        <v/>
      </c>
      <c r="Q74">
        <f>IF(countries!$D74="","",countries!$D74)</f>
        <v/>
      </c>
      <c r="R74">
        <f>IF($Q74="","",countries!$B74)</f>
        <v/>
      </c>
      <c r="S74">
        <f>IF($Q74="","",IF(OR($Q74='Feasibility IQ'!$AA$9,$Q74='Feasibility IQ'!$AA$10),0,COUNTIF($O$2:$O$152,$Q74)))</f>
        <v/>
      </c>
      <c r="T74">
        <f>IF($S74=0,"",_xlfn.MINIFS($A$2:$A$152,$O$2:$O$152,$Q74))</f>
        <v/>
      </c>
      <c r="U74">
        <f t="array" ref="U74">IF($S74=0,"",SUMPRODUCT(($S$2:$S$143&gt;0)*($T$2:$T$143&lt;$T74))+1)</f>
        <v/>
      </c>
    </row>
    <row r="75">
      <c r="A75">
        <f>ROW()-2</f>
        <v/>
      </c>
      <c r="B75">
        <f>$A75/150</f>
        <v/>
      </c>
      <c r="C75">
        <f>'Feasibility IQ'!$AA$4</f>
        <v/>
      </c>
      <c r="D75">
        <f>'Feasibility IQ'!$AA$5</f>
        <v/>
      </c>
      <c r="E75">
        <f>'Feasibility IQ'!$AA$6</f>
        <v/>
      </c>
      <c r="F75">
        <f>'Feasibility IQ'!$AA$7</f>
        <v/>
      </c>
      <c r="G75">
        <f>'Feasibility IQ'!$AA$8</f>
        <v/>
      </c>
      <c r="H75">
        <f>IF(OR($G75="",$G75=0),"",SIN((1-$B75)*$G75)/SIN($G75))</f>
        <v/>
      </c>
      <c r="I75">
        <f>IF($H75="","",SIN($B75*$G75)/SIN($G75))</f>
        <v/>
      </c>
      <c r="J75">
        <f>IF($H75="","",$H75*COS(RADIANS($C75))*COS(RADIANS($D75))+$I75*COS(RADIANS($E75))*COS(RADIANS($F75)))</f>
        <v/>
      </c>
      <c r="K75">
        <f>IF($H75="","",$H75*COS(RADIANS($C75))*SIN(RADIANS($D75))+$I75*COS(RADIANS($E75))*SIN(RADIANS($F75)))</f>
        <v/>
      </c>
      <c r="L75">
        <f>IF($H75="","",$H75*SIN(RADIANS($C75))+$I75*SIN(RADIANS($E75)))</f>
        <v/>
      </c>
      <c r="M75">
        <f>IF($L75="","",DEGREES(ATAN2(SQRT($J75^2+$K75^2),$L75)))</f>
        <v/>
      </c>
      <c r="N75">
        <f>IF($L75="","",DEGREES(ATAN2($J75,$K75)))</f>
        <v/>
      </c>
      <c r="O75">
        <f t="array" ref="O75">IF($M75="","",IFERROR(IF(INDEX(geo_grid!$B$2:$JU$231,INT(($M75+40)/0.5)+1,INT(($N75+30)/0.5)+1)="","",INDEX(geo_grid!$B$2:$JU$231,INT(($M75+40)/0.5)+1,INT(($N75+30)/0.5)+1)),"OUTSIDE GRID"))</f>
        <v/>
      </c>
      <c r="Q75">
        <f>IF(countries!$D75="","",countries!$D75)</f>
        <v/>
      </c>
      <c r="R75">
        <f>IF($Q75="","",countries!$B75)</f>
        <v/>
      </c>
      <c r="S75">
        <f>IF($Q75="","",IF(OR($Q75='Feasibility IQ'!$AA$9,$Q75='Feasibility IQ'!$AA$10),0,COUNTIF($O$2:$O$152,$Q75)))</f>
        <v/>
      </c>
      <c r="T75">
        <f>IF($S75=0,"",_xlfn.MINIFS($A$2:$A$152,$O$2:$O$152,$Q75))</f>
        <v/>
      </c>
      <c r="U75">
        <f t="array" ref="U75">IF($S75=0,"",SUMPRODUCT(($S$2:$S$143&gt;0)*($T$2:$T$143&lt;$T75))+1)</f>
        <v/>
      </c>
    </row>
    <row r="76">
      <c r="A76">
        <f>ROW()-2</f>
        <v/>
      </c>
      <c r="B76">
        <f>$A76/150</f>
        <v/>
      </c>
      <c r="C76">
        <f>'Feasibility IQ'!$AA$4</f>
        <v/>
      </c>
      <c r="D76">
        <f>'Feasibility IQ'!$AA$5</f>
        <v/>
      </c>
      <c r="E76">
        <f>'Feasibility IQ'!$AA$6</f>
        <v/>
      </c>
      <c r="F76">
        <f>'Feasibility IQ'!$AA$7</f>
        <v/>
      </c>
      <c r="G76">
        <f>'Feasibility IQ'!$AA$8</f>
        <v/>
      </c>
      <c r="H76">
        <f>IF(OR($G76="",$G76=0),"",SIN((1-$B76)*$G76)/SIN($G76))</f>
        <v/>
      </c>
      <c r="I76">
        <f>IF($H76="","",SIN($B76*$G76)/SIN($G76))</f>
        <v/>
      </c>
      <c r="J76">
        <f>IF($H76="","",$H76*COS(RADIANS($C76))*COS(RADIANS($D76))+$I76*COS(RADIANS($E76))*COS(RADIANS($F76)))</f>
        <v/>
      </c>
      <c r="K76">
        <f>IF($H76="","",$H76*COS(RADIANS($C76))*SIN(RADIANS($D76))+$I76*COS(RADIANS($E76))*SIN(RADIANS($F76)))</f>
        <v/>
      </c>
      <c r="L76">
        <f>IF($H76="","",$H76*SIN(RADIANS($C76))+$I76*SIN(RADIANS($E76)))</f>
        <v/>
      </c>
      <c r="M76">
        <f>IF($L76="","",DEGREES(ATAN2(SQRT($J76^2+$K76^2),$L76)))</f>
        <v/>
      </c>
      <c r="N76">
        <f>IF($L76="","",DEGREES(ATAN2($J76,$K76)))</f>
        <v/>
      </c>
      <c r="O76">
        <f t="array" ref="O76">IF($M76="","",IFERROR(IF(INDEX(geo_grid!$B$2:$JU$231,INT(($M76+40)/0.5)+1,INT(($N76+30)/0.5)+1)="","",INDEX(geo_grid!$B$2:$JU$231,INT(($M76+40)/0.5)+1,INT(($N76+30)/0.5)+1)),"OUTSIDE GRID"))</f>
        <v/>
      </c>
      <c r="Q76">
        <f>IF(countries!$D76="","",countries!$D76)</f>
        <v/>
      </c>
      <c r="R76">
        <f>IF($Q76="","",countries!$B76)</f>
        <v/>
      </c>
      <c r="S76">
        <f>IF($Q76="","",IF(OR($Q76='Feasibility IQ'!$AA$9,$Q76='Feasibility IQ'!$AA$10),0,COUNTIF($O$2:$O$152,$Q76)))</f>
        <v/>
      </c>
      <c r="T76">
        <f>IF($S76=0,"",_xlfn.MINIFS($A$2:$A$152,$O$2:$O$152,$Q76))</f>
        <v/>
      </c>
      <c r="U76">
        <f t="array" ref="U76">IF($S76=0,"",SUMPRODUCT(($S$2:$S$143&gt;0)*($T$2:$T$143&lt;$T76))+1)</f>
        <v/>
      </c>
    </row>
    <row r="77">
      <c r="A77">
        <f>ROW()-2</f>
        <v/>
      </c>
      <c r="B77">
        <f>$A77/150</f>
        <v/>
      </c>
      <c r="C77">
        <f>'Feasibility IQ'!$AA$4</f>
        <v/>
      </c>
      <c r="D77">
        <f>'Feasibility IQ'!$AA$5</f>
        <v/>
      </c>
      <c r="E77">
        <f>'Feasibility IQ'!$AA$6</f>
        <v/>
      </c>
      <c r="F77">
        <f>'Feasibility IQ'!$AA$7</f>
        <v/>
      </c>
      <c r="G77">
        <f>'Feasibility IQ'!$AA$8</f>
        <v/>
      </c>
      <c r="H77">
        <f>IF(OR($G77="",$G77=0),"",SIN((1-$B77)*$G77)/SIN($G77))</f>
        <v/>
      </c>
      <c r="I77">
        <f>IF($H77="","",SIN($B77*$G77)/SIN($G77))</f>
        <v/>
      </c>
      <c r="J77">
        <f>IF($H77="","",$H77*COS(RADIANS($C77))*COS(RADIANS($D77))+$I77*COS(RADIANS($E77))*COS(RADIANS($F77)))</f>
        <v/>
      </c>
      <c r="K77">
        <f>IF($H77="","",$H77*COS(RADIANS($C77))*SIN(RADIANS($D77))+$I77*COS(RADIANS($E77))*SIN(RADIANS($F77)))</f>
        <v/>
      </c>
      <c r="L77">
        <f>IF($H77="","",$H77*SIN(RADIANS($C77))+$I77*SIN(RADIANS($E77)))</f>
        <v/>
      </c>
      <c r="M77">
        <f>IF($L77="","",DEGREES(ATAN2(SQRT($J77^2+$K77^2),$L77)))</f>
        <v/>
      </c>
      <c r="N77">
        <f>IF($L77="","",DEGREES(ATAN2($J77,$K77)))</f>
        <v/>
      </c>
      <c r="O77">
        <f t="array" ref="O77">IF($M77="","",IFERROR(IF(INDEX(geo_grid!$B$2:$JU$231,INT(($M77+40)/0.5)+1,INT(($N77+30)/0.5)+1)="","",INDEX(geo_grid!$B$2:$JU$231,INT(($M77+40)/0.5)+1,INT(($N77+30)/0.5)+1)),"OUTSIDE GRID"))</f>
        <v/>
      </c>
      <c r="Q77">
        <f>IF(countries!$D77="","",countries!$D77)</f>
        <v/>
      </c>
      <c r="R77">
        <f>IF($Q77="","",countries!$B77)</f>
        <v/>
      </c>
      <c r="S77">
        <f>IF($Q77="","",IF(OR($Q77='Feasibility IQ'!$AA$9,$Q77='Feasibility IQ'!$AA$10),0,COUNTIF($O$2:$O$152,$Q77)))</f>
        <v/>
      </c>
      <c r="T77">
        <f>IF($S77=0,"",_xlfn.MINIFS($A$2:$A$152,$O$2:$O$152,$Q77))</f>
        <v/>
      </c>
      <c r="U77">
        <f t="array" ref="U77">IF($S77=0,"",SUMPRODUCT(($S$2:$S$143&gt;0)*($T$2:$T$143&lt;$T77))+1)</f>
        <v/>
      </c>
    </row>
    <row r="78">
      <c r="A78">
        <f>ROW()-2</f>
        <v/>
      </c>
      <c r="B78">
        <f>$A78/150</f>
        <v/>
      </c>
      <c r="C78">
        <f>'Feasibility IQ'!$AA$4</f>
        <v/>
      </c>
      <c r="D78">
        <f>'Feasibility IQ'!$AA$5</f>
        <v/>
      </c>
      <c r="E78">
        <f>'Feasibility IQ'!$AA$6</f>
        <v/>
      </c>
      <c r="F78">
        <f>'Feasibility IQ'!$AA$7</f>
        <v/>
      </c>
      <c r="G78">
        <f>'Feasibility IQ'!$AA$8</f>
        <v/>
      </c>
      <c r="H78">
        <f>IF(OR($G78="",$G78=0),"",SIN((1-$B78)*$G78)/SIN($G78))</f>
        <v/>
      </c>
      <c r="I78">
        <f>IF($H78="","",SIN($B78*$G78)/SIN($G78))</f>
        <v/>
      </c>
      <c r="J78">
        <f>IF($H78="","",$H78*COS(RADIANS($C78))*COS(RADIANS($D78))+$I78*COS(RADIANS($E78))*COS(RADIANS($F78)))</f>
        <v/>
      </c>
      <c r="K78">
        <f>IF($H78="","",$H78*COS(RADIANS($C78))*SIN(RADIANS($D78))+$I78*COS(RADIANS($E78))*SIN(RADIANS($F78)))</f>
        <v/>
      </c>
      <c r="L78">
        <f>IF($H78="","",$H78*SIN(RADIANS($C78))+$I78*SIN(RADIANS($E78)))</f>
        <v/>
      </c>
      <c r="M78">
        <f>IF($L78="","",DEGREES(ATAN2(SQRT($J78^2+$K78^2),$L78)))</f>
        <v/>
      </c>
      <c r="N78">
        <f>IF($L78="","",DEGREES(ATAN2($J78,$K78)))</f>
        <v/>
      </c>
      <c r="O78">
        <f t="array" ref="O78">IF($M78="","",IFERROR(IF(INDEX(geo_grid!$B$2:$JU$231,INT(($M78+40)/0.5)+1,INT(($N78+30)/0.5)+1)="","",INDEX(geo_grid!$B$2:$JU$231,INT(($M78+40)/0.5)+1,INT(($N78+30)/0.5)+1)),"OUTSIDE GRID"))</f>
        <v/>
      </c>
      <c r="Q78">
        <f>IF(countries!$D78="","",countries!$D78)</f>
        <v/>
      </c>
      <c r="R78">
        <f>IF($Q78="","",countries!$B78)</f>
        <v/>
      </c>
      <c r="S78">
        <f>IF($Q78="","",IF(OR($Q78='Feasibility IQ'!$AA$9,$Q78='Feasibility IQ'!$AA$10),0,COUNTIF($O$2:$O$152,$Q78)))</f>
        <v/>
      </c>
      <c r="T78">
        <f>IF($S78=0,"",_xlfn.MINIFS($A$2:$A$152,$O$2:$O$152,$Q78))</f>
        <v/>
      </c>
      <c r="U78">
        <f t="array" ref="U78">IF($S78=0,"",SUMPRODUCT(($S$2:$S$143&gt;0)*($T$2:$T$143&lt;$T78))+1)</f>
        <v/>
      </c>
    </row>
    <row r="79">
      <c r="A79">
        <f>ROW()-2</f>
        <v/>
      </c>
      <c r="B79">
        <f>$A79/150</f>
        <v/>
      </c>
      <c r="C79">
        <f>'Feasibility IQ'!$AA$4</f>
        <v/>
      </c>
      <c r="D79">
        <f>'Feasibility IQ'!$AA$5</f>
        <v/>
      </c>
      <c r="E79">
        <f>'Feasibility IQ'!$AA$6</f>
        <v/>
      </c>
      <c r="F79">
        <f>'Feasibility IQ'!$AA$7</f>
        <v/>
      </c>
      <c r="G79">
        <f>'Feasibility IQ'!$AA$8</f>
        <v/>
      </c>
      <c r="H79">
        <f>IF(OR($G79="",$G79=0),"",SIN((1-$B79)*$G79)/SIN($G79))</f>
        <v/>
      </c>
      <c r="I79">
        <f>IF($H79="","",SIN($B79*$G79)/SIN($G79))</f>
        <v/>
      </c>
      <c r="J79">
        <f>IF($H79="","",$H79*COS(RADIANS($C79))*COS(RADIANS($D79))+$I79*COS(RADIANS($E79))*COS(RADIANS($F79)))</f>
        <v/>
      </c>
      <c r="K79">
        <f>IF($H79="","",$H79*COS(RADIANS($C79))*SIN(RADIANS($D79))+$I79*COS(RADIANS($E79))*SIN(RADIANS($F79)))</f>
        <v/>
      </c>
      <c r="L79">
        <f>IF($H79="","",$H79*SIN(RADIANS($C79))+$I79*SIN(RADIANS($E79)))</f>
        <v/>
      </c>
      <c r="M79">
        <f>IF($L79="","",DEGREES(ATAN2(SQRT($J79^2+$K79^2),$L79)))</f>
        <v/>
      </c>
      <c r="N79">
        <f>IF($L79="","",DEGREES(ATAN2($J79,$K79)))</f>
        <v/>
      </c>
      <c r="O79">
        <f t="array" ref="O79">IF($M79="","",IFERROR(IF(INDEX(geo_grid!$B$2:$JU$231,INT(($M79+40)/0.5)+1,INT(($N79+30)/0.5)+1)="","",INDEX(geo_grid!$B$2:$JU$231,INT(($M79+40)/0.5)+1,INT(($N79+30)/0.5)+1)),"OUTSIDE GRID"))</f>
        <v/>
      </c>
      <c r="Q79">
        <f>IF(countries!$D79="","",countries!$D79)</f>
        <v/>
      </c>
      <c r="R79">
        <f>IF($Q79="","",countries!$B79)</f>
        <v/>
      </c>
      <c r="S79">
        <f>IF($Q79="","",IF(OR($Q79='Feasibility IQ'!$AA$9,$Q79='Feasibility IQ'!$AA$10),0,COUNTIF($O$2:$O$152,$Q79)))</f>
        <v/>
      </c>
      <c r="T79">
        <f>IF($S79=0,"",_xlfn.MINIFS($A$2:$A$152,$O$2:$O$152,$Q79))</f>
        <v/>
      </c>
      <c r="U79">
        <f t="array" ref="U79">IF($S79=0,"",SUMPRODUCT(($S$2:$S$143&gt;0)*($T$2:$T$143&lt;$T79))+1)</f>
        <v/>
      </c>
    </row>
    <row r="80">
      <c r="A80">
        <f>ROW()-2</f>
        <v/>
      </c>
      <c r="B80">
        <f>$A80/150</f>
        <v/>
      </c>
      <c r="C80">
        <f>'Feasibility IQ'!$AA$4</f>
        <v/>
      </c>
      <c r="D80">
        <f>'Feasibility IQ'!$AA$5</f>
        <v/>
      </c>
      <c r="E80">
        <f>'Feasibility IQ'!$AA$6</f>
        <v/>
      </c>
      <c r="F80">
        <f>'Feasibility IQ'!$AA$7</f>
        <v/>
      </c>
      <c r="G80">
        <f>'Feasibility IQ'!$AA$8</f>
        <v/>
      </c>
      <c r="H80">
        <f>IF(OR($G80="",$G80=0),"",SIN((1-$B80)*$G80)/SIN($G80))</f>
        <v/>
      </c>
      <c r="I80">
        <f>IF($H80="","",SIN($B80*$G80)/SIN($G80))</f>
        <v/>
      </c>
      <c r="J80">
        <f>IF($H80="","",$H80*COS(RADIANS($C80))*COS(RADIANS($D80))+$I80*COS(RADIANS($E80))*COS(RADIANS($F80)))</f>
        <v/>
      </c>
      <c r="K80">
        <f>IF($H80="","",$H80*COS(RADIANS($C80))*SIN(RADIANS($D80))+$I80*COS(RADIANS($E80))*SIN(RADIANS($F80)))</f>
        <v/>
      </c>
      <c r="L80">
        <f>IF($H80="","",$H80*SIN(RADIANS($C80))+$I80*SIN(RADIANS($E80)))</f>
        <v/>
      </c>
      <c r="M80">
        <f>IF($L80="","",DEGREES(ATAN2(SQRT($J80^2+$K80^2),$L80)))</f>
        <v/>
      </c>
      <c r="N80">
        <f>IF($L80="","",DEGREES(ATAN2($J80,$K80)))</f>
        <v/>
      </c>
      <c r="O80">
        <f t="array" ref="O80">IF($M80="","",IFERROR(IF(INDEX(geo_grid!$B$2:$JU$231,INT(($M80+40)/0.5)+1,INT(($N80+30)/0.5)+1)="","",INDEX(geo_grid!$B$2:$JU$231,INT(($M80+40)/0.5)+1,INT(($N80+30)/0.5)+1)),"OUTSIDE GRID"))</f>
        <v/>
      </c>
      <c r="Q80">
        <f>IF(countries!$D80="","",countries!$D80)</f>
        <v/>
      </c>
      <c r="R80">
        <f>IF($Q80="","",countries!$B80)</f>
        <v/>
      </c>
      <c r="S80">
        <f>IF($Q80="","",IF(OR($Q80='Feasibility IQ'!$AA$9,$Q80='Feasibility IQ'!$AA$10),0,COUNTIF($O$2:$O$152,$Q80)))</f>
        <v/>
      </c>
      <c r="T80">
        <f>IF($S80=0,"",_xlfn.MINIFS($A$2:$A$152,$O$2:$O$152,$Q80))</f>
        <v/>
      </c>
      <c r="U80">
        <f t="array" ref="U80">IF($S80=0,"",SUMPRODUCT(($S$2:$S$143&gt;0)*($T$2:$T$143&lt;$T80))+1)</f>
        <v/>
      </c>
    </row>
    <row r="81">
      <c r="A81">
        <f>ROW()-2</f>
        <v/>
      </c>
      <c r="B81">
        <f>$A81/150</f>
        <v/>
      </c>
      <c r="C81">
        <f>'Feasibility IQ'!$AA$4</f>
        <v/>
      </c>
      <c r="D81">
        <f>'Feasibility IQ'!$AA$5</f>
        <v/>
      </c>
      <c r="E81">
        <f>'Feasibility IQ'!$AA$6</f>
        <v/>
      </c>
      <c r="F81">
        <f>'Feasibility IQ'!$AA$7</f>
        <v/>
      </c>
      <c r="G81">
        <f>'Feasibility IQ'!$AA$8</f>
        <v/>
      </c>
      <c r="H81">
        <f>IF(OR($G81="",$G81=0),"",SIN((1-$B81)*$G81)/SIN($G81))</f>
        <v/>
      </c>
      <c r="I81">
        <f>IF($H81="","",SIN($B81*$G81)/SIN($G81))</f>
        <v/>
      </c>
      <c r="J81">
        <f>IF($H81="","",$H81*COS(RADIANS($C81))*COS(RADIANS($D81))+$I81*COS(RADIANS($E81))*COS(RADIANS($F81)))</f>
        <v/>
      </c>
      <c r="K81">
        <f>IF($H81="","",$H81*COS(RADIANS($C81))*SIN(RADIANS($D81))+$I81*COS(RADIANS($E81))*SIN(RADIANS($F81)))</f>
        <v/>
      </c>
      <c r="L81">
        <f>IF($H81="","",$H81*SIN(RADIANS($C81))+$I81*SIN(RADIANS($E81)))</f>
        <v/>
      </c>
      <c r="M81">
        <f>IF($L81="","",DEGREES(ATAN2(SQRT($J81^2+$K81^2),$L81)))</f>
        <v/>
      </c>
      <c r="N81">
        <f>IF($L81="","",DEGREES(ATAN2($J81,$K81)))</f>
        <v/>
      </c>
      <c r="O81">
        <f t="array" ref="O81">IF($M81="","",IFERROR(IF(INDEX(geo_grid!$B$2:$JU$231,INT(($M81+40)/0.5)+1,INT(($N81+30)/0.5)+1)="","",INDEX(geo_grid!$B$2:$JU$231,INT(($M81+40)/0.5)+1,INT(($N81+30)/0.5)+1)),"OUTSIDE GRID"))</f>
        <v/>
      </c>
      <c r="Q81">
        <f>IF(countries!$D81="","",countries!$D81)</f>
        <v/>
      </c>
      <c r="R81">
        <f>IF($Q81="","",countries!$B81)</f>
        <v/>
      </c>
      <c r="S81">
        <f>IF($Q81="","",IF(OR($Q81='Feasibility IQ'!$AA$9,$Q81='Feasibility IQ'!$AA$10),0,COUNTIF($O$2:$O$152,$Q81)))</f>
        <v/>
      </c>
      <c r="T81">
        <f>IF($S81=0,"",_xlfn.MINIFS($A$2:$A$152,$O$2:$O$152,$Q81))</f>
        <v/>
      </c>
      <c r="U81">
        <f t="array" ref="U81">IF($S81=0,"",SUMPRODUCT(($S$2:$S$143&gt;0)*($T$2:$T$143&lt;$T81))+1)</f>
        <v/>
      </c>
    </row>
    <row r="82">
      <c r="A82">
        <f>ROW()-2</f>
        <v/>
      </c>
      <c r="B82">
        <f>$A82/150</f>
        <v/>
      </c>
      <c r="C82">
        <f>'Feasibility IQ'!$AA$4</f>
        <v/>
      </c>
      <c r="D82">
        <f>'Feasibility IQ'!$AA$5</f>
        <v/>
      </c>
      <c r="E82">
        <f>'Feasibility IQ'!$AA$6</f>
        <v/>
      </c>
      <c r="F82">
        <f>'Feasibility IQ'!$AA$7</f>
        <v/>
      </c>
      <c r="G82">
        <f>'Feasibility IQ'!$AA$8</f>
        <v/>
      </c>
      <c r="H82">
        <f>IF(OR($G82="",$G82=0),"",SIN((1-$B82)*$G82)/SIN($G82))</f>
        <v/>
      </c>
      <c r="I82">
        <f>IF($H82="","",SIN($B82*$G82)/SIN($G82))</f>
        <v/>
      </c>
      <c r="J82">
        <f>IF($H82="","",$H82*COS(RADIANS($C82))*COS(RADIANS($D82))+$I82*COS(RADIANS($E82))*COS(RADIANS($F82)))</f>
        <v/>
      </c>
      <c r="K82">
        <f>IF($H82="","",$H82*COS(RADIANS($C82))*SIN(RADIANS($D82))+$I82*COS(RADIANS($E82))*SIN(RADIANS($F82)))</f>
        <v/>
      </c>
      <c r="L82">
        <f>IF($H82="","",$H82*SIN(RADIANS($C82))+$I82*SIN(RADIANS($E82)))</f>
        <v/>
      </c>
      <c r="M82">
        <f>IF($L82="","",DEGREES(ATAN2(SQRT($J82^2+$K82^2),$L82)))</f>
        <v/>
      </c>
      <c r="N82">
        <f>IF($L82="","",DEGREES(ATAN2($J82,$K82)))</f>
        <v/>
      </c>
      <c r="O82">
        <f t="array" ref="O82">IF($M82="","",IFERROR(IF(INDEX(geo_grid!$B$2:$JU$231,INT(($M82+40)/0.5)+1,INT(($N82+30)/0.5)+1)="","",INDEX(geo_grid!$B$2:$JU$231,INT(($M82+40)/0.5)+1,INT(($N82+30)/0.5)+1)),"OUTSIDE GRID"))</f>
        <v/>
      </c>
      <c r="Q82">
        <f>IF(countries!$D82="","",countries!$D82)</f>
        <v/>
      </c>
      <c r="R82">
        <f>IF($Q82="","",countries!$B82)</f>
        <v/>
      </c>
      <c r="S82">
        <f>IF($Q82="","",IF(OR($Q82='Feasibility IQ'!$AA$9,$Q82='Feasibility IQ'!$AA$10),0,COUNTIF($O$2:$O$152,$Q82)))</f>
        <v/>
      </c>
      <c r="T82">
        <f>IF($S82=0,"",_xlfn.MINIFS($A$2:$A$152,$O$2:$O$152,$Q82))</f>
        <v/>
      </c>
      <c r="U82">
        <f t="array" ref="U82">IF($S82=0,"",SUMPRODUCT(($S$2:$S$143&gt;0)*($T$2:$T$143&lt;$T82))+1)</f>
        <v/>
      </c>
    </row>
    <row r="83">
      <c r="A83">
        <f>ROW()-2</f>
        <v/>
      </c>
      <c r="B83">
        <f>$A83/150</f>
        <v/>
      </c>
      <c r="C83">
        <f>'Feasibility IQ'!$AA$4</f>
        <v/>
      </c>
      <c r="D83">
        <f>'Feasibility IQ'!$AA$5</f>
        <v/>
      </c>
      <c r="E83">
        <f>'Feasibility IQ'!$AA$6</f>
        <v/>
      </c>
      <c r="F83">
        <f>'Feasibility IQ'!$AA$7</f>
        <v/>
      </c>
      <c r="G83">
        <f>'Feasibility IQ'!$AA$8</f>
        <v/>
      </c>
      <c r="H83">
        <f>IF(OR($G83="",$G83=0),"",SIN((1-$B83)*$G83)/SIN($G83))</f>
        <v/>
      </c>
      <c r="I83">
        <f>IF($H83="","",SIN($B83*$G83)/SIN($G83))</f>
        <v/>
      </c>
      <c r="J83">
        <f>IF($H83="","",$H83*COS(RADIANS($C83))*COS(RADIANS($D83))+$I83*COS(RADIANS($E83))*COS(RADIANS($F83)))</f>
        <v/>
      </c>
      <c r="K83">
        <f>IF($H83="","",$H83*COS(RADIANS($C83))*SIN(RADIANS($D83))+$I83*COS(RADIANS($E83))*SIN(RADIANS($F83)))</f>
        <v/>
      </c>
      <c r="L83">
        <f>IF($H83="","",$H83*SIN(RADIANS($C83))+$I83*SIN(RADIANS($E83)))</f>
        <v/>
      </c>
      <c r="M83">
        <f>IF($L83="","",DEGREES(ATAN2(SQRT($J83^2+$K83^2),$L83)))</f>
        <v/>
      </c>
      <c r="N83">
        <f>IF($L83="","",DEGREES(ATAN2($J83,$K83)))</f>
        <v/>
      </c>
      <c r="O83">
        <f t="array" ref="O83">IF($M83="","",IFERROR(IF(INDEX(geo_grid!$B$2:$JU$231,INT(($M83+40)/0.5)+1,INT(($N83+30)/0.5)+1)="","",INDEX(geo_grid!$B$2:$JU$231,INT(($M83+40)/0.5)+1,INT(($N83+30)/0.5)+1)),"OUTSIDE GRID"))</f>
        <v/>
      </c>
      <c r="Q83">
        <f>IF(countries!$D83="","",countries!$D83)</f>
        <v/>
      </c>
      <c r="R83">
        <f>IF($Q83="","",countries!$B83)</f>
        <v/>
      </c>
      <c r="S83">
        <f>IF($Q83="","",IF(OR($Q83='Feasibility IQ'!$AA$9,$Q83='Feasibility IQ'!$AA$10),0,COUNTIF($O$2:$O$152,$Q83)))</f>
        <v/>
      </c>
      <c r="T83">
        <f>IF($S83=0,"",_xlfn.MINIFS($A$2:$A$152,$O$2:$O$152,$Q83))</f>
        <v/>
      </c>
      <c r="U83">
        <f t="array" ref="U83">IF($S83=0,"",SUMPRODUCT(($S$2:$S$143&gt;0)*($T$2:$T$143&lt;$T83))+1)</f>
        <v/>
      </c>
    </row>
    <row r="84">
      <c r="A84">
        <f>ROW()-2</f>
        <v/>
      </c>
      <c r="B84">
        <f>$A84/150</f>
        <v/>
      </c>
      <c r="C84">
        <f>'Feasibility IQ'!$AA$4</f>
        <v/>
      </c>
      <c r="D84">
        <f>'Feasibility IQ'!$AA$5</f>
        <v/>
      </c>
      <c r="E84">
        <f>'Feasibility IQ'!$AA$6</f>
        <v/>
      </c>
      <c r="F84">
        <f>'Feasibility IQ'!$AA$7</f>
        <v/>
      </c>
      <c r="G84">
        <f>'Feasibility IQ'!$AA$8</f>
        <v/>
      </c>
      <c r="H84">
        <f>IF(OR($G84="",$G84=0),"",SIN((1-$B84)*$G84)/SIN($G84))</f>
        <v/>
      </c>
      <c r="I84">
        <f>IF($H84="","",SIN($B84*$G84)/SIN($G84))</f>
        <v/>
      </c>
      <c r="J84">
        <f>IF($H84="","",$H84*COS(RADIANS($C84))*COS(RADIANS($D84))+$I84*COS(RADIANS($E84))*COS(RADIANS($F84)))</f>
        <v/>
      </c>
      <c r="K84">
        <f>IF($H84="","",$H84*COS(RADIANS($C84))*SIN(RADIANS($D84))+$I84*COS(RADIANS($E84))*SIN(RADIANS($F84)))</f>
        <v/>
      </c>
      <c r="L84">
        <f>IF($H84="","",$H84*SIN(RADIANS($C84))+$I84*SIN(RADIANS($E84)))</f>
        <v/>
      </c>
      <c r="M84">
        <f>IF($L84="","",DEGREES(ATAN2(SQRT($J84^2+$K84^2),$L84)))</f>
        <v/>
      </c>
      <c r="N84">
        <f>IF($L84="","",DEGREES(ATAN2($J84,$K84)))</f>
        <v/>
      </c>
      <c r="O84">
        <f t="array" ref="O84">IF($M84="","",IFERROR(IF(INDEX(geo_grid!$B$2:$JU$231,INT(($M84+40)/0.5)+1,INT(($N84+30)/0.5)+1)="","",INDEX(geo_grid!$B$2:$JU$231,INT(($M84+40)/0.5)+1,INT(($N84+30)/0.5)+1)),"OUTSIDE GRID"))</f>
        <v/>
      </c>
      <c r="Q84">
        <f>IF(countries!$D84="","",countries!$D84)</f>
        <v/>
      </c>
      <c r="R84">
        <f>IF($Q84="","",countries!$B84)</f>
        <v/>
      </c>
      <c r="S84">
        <f>IF($Q84="","",IF(OR($Q84='Feasibility IQ'!$AA$9,$Q84='Feasibility IQ'!$AA$10),0,COUNTIF($O$2:$O$152,$Q84)))</f>
        <v/>
      </c>
      <c r="T84">
        <f>IF($S84=0,"",_xlfn.MINIFS($A$2:$A$152,$O$2:$O$152,$Q84))</f>
        <v/>
      </c>
      <c r="U84">
        <f t="array" ref="U84">IF($S84=0,"",SUMPRODUCT(($S$2:$S$143&gt;0)*($T$2:$T$143&lt;$T84))+1)</f>
        <v/>
      </c>
    </row>
    <row r="85">
      <c r="A85">
        <f>ROW()-2</f>
        <v/>
      </c>
      <c r="B85">
        <f>$A85/150</f>
        <v/>
      </c>
      <c r="C85">
        <f>'Feasibility IQ'!$AA$4</f>
        <v/>
      </c>
      <c r="D85">
        <f>'Feasibility IQ'!$AA$5</f>
        <v/>
      </c>
      <c r="E85">
        <f>'Feasibility IQ'!$AA$6</f>
        <v/>
      </c>
      <c r="F85">
        <f>'Feasibility IQ'!$AA$7</f>
        <v/>
      </c>
      <c r="G85">
        <f>'Feasibility IQ'!$AA$8</f>
        <v/>
      </c>
      <c r="H85">
        <f>IF(OR($G85="",$G85=0),"",SIN((1-$B85)*$G85)/SIN($G85))</f>
        <v/>
      </c>
      <c r="I85">
        <f>IF($H85="","",SIN($B85*$G85)/SIN($G85))</f>
        <v/>
      </c>
      <c r="J85">
        <f>IF($H85="","",$H85*COS(RADIANS($C85))*COS(RADIANS($D85))+$I85*COS(RADIANS($E85))*COS(RADIANS($F85)))</f>
        <v/>
      </c>
      <c r="K85">
        <f>IF($H85="","",$H85*COS(RADIANS($C85))*SIN(RADIANS($D85))+$I85*COS(RADIANS($E85))*SIN(RADIANS($F85)))</f>
        <v/>
      </c>
      <c r="L85">
        <f>IF($H85="","",$H85*SIN(RADIANS($C85))+$I85*SIN(RADIANS($E85)))</f>
        <v/>
      </c>
      <c r="M85">
        <f>IF($L85="","",DEGREES(ATAN2(SQRT($J85^2+$K85^2),$L85)))</f>
        <v/>
      </c>
      <c r="N85">
        <f>IF($L85="","",DEGREES(ATAN2($J85,$K85)))</f>
        <v/>
      </c>
      <c r="O85">
        <f t="array" ref="O85">IF($M85="","",IFERROR(IF(INDEX(geo_grid!$B$2:$JU$231,INT(($M85+40)/0.5)+1,INT(($N85+30)/0.5)+1)="","",INDEX(geo_grid!$B$2:$JU$231,INT(($M85+40)/0.5)+1,INT(($N85+30)/0.5)+1)),"OUTSIDE GRID"))</f>
        <v/>
      </c>
      <c r="Q85">
        <f>IF(countries!$D85="","",countries!$D85)</f>
        <v/>
      </c>
      <c r="R85">
        <f>IF($Q85="","",countries!$B85)</f>
        <v/>
      </c>
      <c r="S85">
        <f>IF($Q85="","",IF(OR($Q85='Feasibility IQ'!$AA$9,$Q85='Feasibility IQ'!$AA$10),0,COUNTIF($O$2:$O$152,$Q85)))</f>
        <v/>
      </c>
      <c r="T85">
        <f>IF($S85=0,"",_xlfn.MINIFS($A$2:$A$152,$O$2:$O$152,$Q85))</f>
        <v/>
      </c>
      <c r="U85">
        <f t="array" ref="U85">IF($S85=0,"",SUMPRODUCT(($S$2:$S$143&gt;0)*($T$2:$T$143&lt;$T85))+1)</f>
        <v/>
      </c>
    </row>
    <row r="86">
      <c r="A86">
        <f>ROW()-2</f>
        <v/>
      </c>
      <c r="B86">
        <f>$A86/150</f>
        <v/>
      </c>
      <c r="C86">
        <f>'Feasibility IQ'!$AA$4</f>
        <v/>
      </c>
      <c r="D86">
        <f>'Feasibility IQ'!$AA$5</f>
        <v/>
      </c>
      <c r="E86">
        <f>'Feasibility IQ'!$AA$6</f>
        <v/>
      </c>
      <c r="F86">
        <f>'Feasibility IQ'!$AA$7</f>
        <v/>
      </c>
      <c r="G86">
        <f>'Feasibility IQ'!$AA$8</f>
        <v/>
      </c>
      <c r="H86">
        <f>IF(OR($G86="",$G86=0),"",SIN((1-$B86)*$G86)/SIN($G86))</f>
        <v/>
      </c>
      <c r="I86">
        <f>IF($H86="","",SIN($B86*$G86)/SIN($G86))</f>
        <v/>
      </c>
      <c r="J86">
        <f>IF($H86="","",$H86*COS(RADIANS($C86))*COS(RADIANS($D86))+$I86*COS(RADIANS($E86))*COS(RADIANS($F86)))</f>
        <v/>
      </c>
      <c r="K86">
        <f>IF($H86="","",$H86*COS(RADIANS($C86))*SIN(RADIANS($D86))+$I86*COS(RADIANS($E86))*SIN(RADIANS($F86)))</f>
        <v/>
      </c>
      <c r="L86">
        <f>IF($H86="","",$H86*SIN(RADIANS($C86))+$I86*SIN(RADIANS($E86)))</f>
        <v/>
      </c>
      <c r="M86">
        <f>IF($L86="","",DEGREES(ATAN2(SQRT($J86^2+$K86^2),$L86)))</f>
        <v/>
      </c>
      <c r="N86">
        <f>IF($L86="","",DEGREES(ATAN2($J86,$K86)))</f>
        <v/>
      </c>
      <c r="O86">
        <f t="array" ref="O86">IF($M86="","",IFERROR(IF(INDEX(geo_grid!$B$2:$JU$231,INT(($M86+40)/0.5)+1,INT(($N86+30)/0.5)+1)="","",INDEX(geo_grid!$B$2:$JU$231,INT(($M86+40)/0.5)+1,INT(($N86+30)/0.5)+1)),"OUTSIDE GRID"))</f>
        <v/>
      </c>
      <c r="Q86">
        <f>IF(countries!$D86="","",countries!$D86)</f>
        <v/>
      </c>
      <c r="R86">
        <f>IF($Q86="","",countries!$B86)</f>
        <v/>
      </c>
      <c r="S86">
        <f>IF($Q86="","",IF(OR($Q86='Feasibility IQ'!$AA$9,$Q86='Feasibility IQ'!$AA$10),0,COUNTIF($O$2:$O$152,$Q86)))</f>
        <v/>
      </c>
      <c r="T86">
        <f>IF($S86=0,"",_xlfn.MINIFS($A$2:$A$152,$O$2:$O$152,$Q86))</f>
        <v/>
      </c>
      <c r="U86">
        <f t="array" ref="U86">IF($S86=0,"",SUMPRODUCT(($S$2:$S$143&gt;0)*($T$2:$T$143&lt;$T86))+1)</f>
        <v/>
      </c>
    </row>
    <row r="87">
      <c r="A87">
        <f>ROW()-2</f>
        <v/>
      </c>
      <c r="B87">
        <f>$A87/150</f>
        <v/>
      </c>
      <c r="C87">
        <f>'Feasibility IQ'!$AA$4</f>
        <v/>
      </c>
      <c r="D87">
        <f>'Feasibility IQ'!$AA$5</f>
        <v/>
      </c>
      <c r="E87">
        <f>'Feasibility IQ'!$AA$6</f>
        <v/>
      </c>
      <c r="F87">
        <f>'Feasibility IQ'!$AA$7</f>
        <v/>
      </c>
      <c r="G87">
        <f>'Feasibility IQ'!$AA$8</f>
        <v/>
      </c>
      <c r="H87">
        <f>IF(OR($G87="",$G87=0),"",SIN((1-$B87)*$G87)/SIN($G87))</f>
        <v/>
      </c>
      <c r="I87">
        <f>IF($H87="","",SIN($B87*$G87)/SIN($G87))</f>
        <v/>
      </c>
      <c r="J87">
        <f>IF($H87="","",$H87*COS(RADIANS($C87))*COS(RADIANS($D87))+$I87*COS(RADIANS($E87))*COS(RADIANS($F87)))</f>
        <v/>
      </c>
      <c r="K87">
        <f>IF($H87="","",$H87*COS(RADIANS($C87))*SIN(RADIANS($D87))+$I87*COS(RADIANS($E87))*SIN(RADIANS($F87)))</f>
        <v/>
      </c>
      <c r="L87">
        <f>IF($H87="","",$H87*SIN(RADIANS($C87))+$I87*SIN(RADIANS($E87)))</f>
        <v/>
      </c>
      <c r="M87">
        <f>IF($L87="","",DEGREES(ATAN2(SQRT($J87^2+$K87^2),$L87)))</f>
        <v/>
      </c>
      <c r="N87">
        <f>IF($L87="","",DEGREES(ATAN2($J87,$K87)))</f>
        <v/>
      </c>
      <c r="O87">
        <f t="array" ref="O87">IF($M87="","",IFERROR(IF(INDEX(geo_grid!$B$2:$JU$231,INT(($M87+40)/0.5)+1,INT(($N87+30)/0.5)+1)="","",INDEX(geo_grid!$B$2:$JU$231,INT(($M87+40)/0.5)+1,INT(($N87+30)/0.5)+1)),"OUTSIDE GRID"))</f>
        <v/>
      </c>
      <c r="Q87">
        <f>IF(countries!$D87="","",countries!$D87)</f>
        <v/>
      </c>
      <c r="R87">
        <f>IF($Q87="","",countries!$B87)</f>
        <v/>
      </c>
      <c r="S87">
        <f>IF($Q87="","",IF(OR($Q87='Feasibility IQ'!$AA$9,$Q87='Feasibility IQ'!$AA$10),0,COUNTIF($O$2:$O$152,$Q87)))</f>
        <v/>
      </c>
      <c r="T87">
        <f>IF($S87=0,"",_xlfn.MINIFS($A$2:$A$152,$O$2:$O$152,$Q87))</f>
        <v/>
      </c>
      <c r="U87">
        <f t="array" ref="U87">IF($S87=0,"",SUMPRODUCT(($S$2:$S$143&gt;0)*($T$2:$T$143&lt;$T87))+1)</f>
        <v/>
      </c>
    </row>
    <row r="88">
      <c r="A88">
        <f>ROW()-2</f>
        <v/>
      </c>
      <c r="B88">
        <f>$A88/150</f>
        <v/>
      </c>
      <c r="C88">
        <f>'Feasibility IQ'!$AA$4</f>
        <v/>
      </c>
      <c r="D88">
        <f>'Feasibility IQ'!$AA$5</f>
        <v/>
      </c>
      <c r="E88">
        <f>'Feasibility IQ'!$AA$6</f>
        <v/>
      </c>
      <c r="F88">
        <f>'Feasibility IQ'!$AA$7</f>
        <v/>
      </c>
      <c r="G88">
        <f>'Feasibility IQ'!$AA$8</f>
        <v/>
      </c>
      <c r="H88">
        <f>IF(OR($G88="",$G88=0),"",SIN((1-$B88)*$G88)/SIN($G88))</f>
        <v/>
      </c>
      <c r="I88">
        <f>IF($H88="","",SIN($B88*$G88)/SIN($G88))</f>
        <v/>
      </c>
      <c r="J88">
        <f>IF($H88="","",$H88*COS(RADIANS($C88))*COS(RADIANS($D88))+$I88*COS(RADIANS($E88))*COS(RADIANS($F88)))</f>
        <v/>
      </c>
      <c r="K88">
        <f>IF($H88="","",$H88*COS(RADIANS($C88))*SIN(RADIANS($D88))+$I88*COS(RADIANS($E88))*SIN(RADIANS($F88)))</f>
        <v/>
      </c>
      <c r="L88">
        <f>IF($H88="","",$H88*SIN(RADIANS($C88))+$I88*SIN(RADIANS($E88)))</f>
        <v/>
      </c>
      <c r="M88">
        <f>IF($L88="","",DEGREES(ATAN2(SQRT($J88^2+$K88^2),$L88)))</f>
        <v/>
      </c>
      <c r="N88">
        <f>IF($L88="","",DEGREES(ATAN2($J88,$K88)))</f>
        <v/>
      </c>
      <c r="O88">
        <f t="array" ref="O88">IF($M88="","",IFERROR(IF(INDEX(geo_grid!$B$2:$JU$231,INT(($M88+40)/0.5)+1,INT(($N88+30)/0.5)+1)="","",INDEX(geo_grid!$B$2:$JU$231,INT(($M88+40)/0.5)+1,INT(($N88+30)/0.5)+1)),"OUTSIDE GRID"))</f>
        <v/>
      </c>
      <c r="Q88">
        <f>IF(countries!$D88="","",countries!$D88)</f>
        <v/>
      </c>
      <c r="R88">
        <f>IF($Q88="","",countries!$B88)</f>
        <v/>
      </c>
      <c r="S88">
        <f>IF($Q88="","",IF(OR($Q88='Feasibility IQ'!$AA$9,$Q88='Feasibility IQ'!$AA$10),0,COUNTIF($O$2:$O$152,$Q88)))</f>
        <v/>
      </c>
      <c r="T88">
        <f>IF($S88=0,"",_xlfn.MINIFS($A$2:$A$152,$O$2:$O$152,$Q88))</f>
        <v/>
      </c>
      <c r="U88">
        <f t="array" ref="U88">IF($S88=0,"",SUMPRODUCT(($S$2:$S$143&gt;0)*($T$2:$T$143&lt;$T88))+1)</f>
        <v/>
      </c>
    </row>
    <row r="89">
      <c r="A89">
        <f>ROW()-2</f>
        <v/>
      </c>
      <c r="B89">
        <f>$A89/150</f>
        <v/>
      </c>
      <c r="C89">
        <f>'Feasibility IQ'!$AA$4</f>
        <v/>
      </c>
      <c r="D89">
        <f>'Feasibility IQ'!$AA$5</f>
        <v/>
      </c>
      <c r="E89">
        <f>'Feasibility IQ'!$AA$6</f>
        <v/>
      </c>
      <c r="F89">
        <f>'Feasibility IQ'!$AA$7</f>
        <v/>
      </c>
      <c r="G89">
        <f>'Feasibility IQ'!$AA$8</f>
        <v/>
      </c>
      <c r="H89">
        <f>IF(OR($G89="",$G89=0),"",SIN((1-$B89)*$G89)/SIN($G89))</f>
        <v/>
      </c>
      <c r="I89">
        <f>IF($H89="","",SIN($B89*$G89)/SIN($G89))</f>
        <v/>
      </c>
      <c r="J89">
        <f>IF($H89="","",$H89*COS(RADIANS($C89))*COS(RADIANS($D89))+$I89*COS(RADIANS($E89))*COS(RADIANS($F89)))</f>
        <v/>
      </c>
      <c r="K89">
        <f>IF($H89="","",$H89*COS(RADIANS($C89))*SIN(RADIANS($D89))+$I89*COS(RADIANS($E89))*SIN(RADIANS($F89)))</f>
        <v/>
      </c>
      <c r="L89">
        <f>IF($H89="","",$H89*SIN(RADIANS($C89))+$I89*SIN(RADIANS($E89)))</f>
        <v/>
      </c>
      <c r="M89">
        <f>IF($L89="","",DEGREES(ATAN2(SQRT($J89^2+$K89^2),$L89)))</f>
        <v/>
      </c>
      <c r="N89">
        <f>IF($L89="","",DEGREES(ATAN2($J89,$K89)))</f>
        <v/>
      </c>
      <c r="O89">
        <f t="array" ref="O89">IF($M89="","",IFERROR(IF(INDEX(geo_grid!$B$2:$JU$231,INT(($M89+40)/0.5)+1,INT(($N89+30)/0.5)+1)="","",INDEX(geo_grid!$B$2:$JU$231,INT(($M89+40)/0.5)+1,INT(($N89+30)/0.5)+1)),"OUTSIDE GRID"))</f>
        <v/>
      </c>
      <c r="Q89">
        <f>IF(countries!$D89="","",countries!$D89)</f>
        <v/>
      </c>
      <c r="R89">
        <f>IF($Q89="","",countries!$B89)</f>
        <v/>
      </c>
      <c r="S89">
        <f>IF($Q89="","",IF(OR($Q89='Feasibility IQ'!$AA$9,$Q89='Feasibility IQ'!$AA$10),0,COUNTIF($O$2:$O$152,$Q89)))</f>
        <v/>
      </c>
      <c r="T89">
        <f>IF($S89=0,"",_xlfn.MINIFS($A$2:$A$152,$O$2:$O$152,$Q89))</f>
        <v/>
      </c>
      <c r="U89">
        <f t="array" ref="U89">IF($S89=0,"",SUMPRODUCT(($S$2:$S$143&gt;0)*($T$2:$T$143&lt;$T89))+1)</f>
        <v/>
      </c>
    </row>
    <row r="90">
      <c r="A90">
        <f>ROW()-2</f>
        <v/>
      </c>
      <c r="B90">
        <f>$A90/150</f>
        <v/>
      </c>
      <c r="C90">
        <f>'Feasibility IQ'!$AA$4</f>
        <v/>
      </c>
      <c r="D90">
        <f>'Feasibility IQ'!$AA$5</f>
        <v/>
      </c>
      <c r="E90">
        <f>'Feasibility IQ'!$AA$6</f>
        <v/>
      </c>
      <c r="F90">
        <f>'Feasibility IQ'!$AA$7</f>
        <v/>
      </c>
      <c r="G90">
        <f>'Feasibility IQ'!$AA$8</f>
        <v/>
      </c>
      <c r="H90">
        <f>IF(OR($G90="",$G90=0),"",SIN((1-$B90)*$G90)/SIN($G90))</f>
        <v/>
      </c>
      <c r="I90">
        <f>IF($H90="","",SIN($B90*$G90)/SIN($G90))</f>
        <v/>
      </c>
      <c r="J90">
        <f>IF($H90="","",$H90*COS(RADIANS($C90))*COS(RADIANS($D90))+$I90*COS(RADIANS($E90))*COS(RADIANS($F90)))</f>
        <v/>
      </c>
      <c r="K90">
        <f>IF($H90="","",$H90*COS(RADIANS($C90))*SIN(RADIANS($D90))+$I90*COS(RADIANS($E90))*SIN(RADIANS($F90)))</f>
        <v/>
      </c>
      <c r="L90">
        <f>IF($H90="","",$H90*SIN(RADIANS($C90))+$I90*SIN(RADIANS($E90)))</f>
        <v/>
      </c>
      <c r="M90">
        <f>IF($L90="","",DEGREES(ATAN2(SQRT($J90^2+$K90^2),$L90)))</f>
        <v/>
      </c>
      <c r="N90">
        <f>IF($L90="","",DEGREES(ATAN2($J90,$K90)))</f>
        <v/>
      </c>
      <c r="O90">
        <f t="array" ref="O90">IF($M90="","",IFERROR(IF(INDEX(geo_grid!$B$2:$JU$231,INT(($M90+40)/0.5)+1,INT(($N90+30)/0.5)+1)="","",INDEX(geo_grid!$B$2:$JU$231,INT(($M90+40)/0.5)+1,INT(($N90+30)/0.5)+1)),"OUTSIDE GRID"))</f>
        <v/>
      </c>
      <c r="Q90">
        <f>IF(countries!$D90="","",countries!$D90)</f>
        <v/>
      </c>
      <c r="R90">
        <f>IF($Q90="","",countries!$B90)</f>
        <v/>
      </c>
      <c r="S90">
        <f>IF($Q90="","",IF(OR($Q90='Feasibility IQ'!$AA$9,$Q90='Feasibility IQ'!$AA$10),0,COUNTIF($O$2:$O$152,$Q90)))</f>
        <v/>
      </c>
      <c r="T90">
        <f>IF($S90=0,"",_xlfn.MINIFS($A$2:$A$152,$O$2:$O$152,$Q90))</f>
        <v/>
      </c>
      <c r="U90">
        <f t="array" ref="U90">IF($S90=0,"",SUMPRODUCT(($S$2:$S$143&gt;0)*($T$2:$T$143&lt;$T90))+1)</f>
        <v/>
      </c>
    </row>
    <row r="91">
      <c r="A91">
        <f>ROW()-2</f>
        <v/>
      </c>
      <c r="B91">
        <f>$A91/150</f>
        <v/>
      </c>
      <c r="C91">
        <f>'Feasibility IQ'!$AA$4</f>
        <v/>
      </c>
      <c r="D91">
        <f>'Feasibility IQ'!$AA$5</f>
        <v/>
      </c>
      <c r="E91">
        <f>'Feasibility IQ'!$AA$6</f>
        <v/>
      </c>
      <c r="F91">
        <f>'Feasibility IQ'!$AA$7</f>
        <v/>
      </c>
      <c r="G91">
        <f>'Feasibility IQ'!$AA$8</f>
        <v/>
      </c>
      <c r="H91">
        <f>IF(OR($G91="",$G91=0),"",SIN((1-$B91)*$G91)/SIN($G91))</f>
        <v/>
      </c>
      <c r="I91">
        <f>IF($H91="","",SIN($B91*$G91)/SIN($G91))</f>
        <v/>
      </c>
      <c r="J91">
        <f>IF($H91="","",$H91*COS(RADIANS($C91))*COS(RADIANS($D91))+$I91*COS(RADIANS($E91))*COS(RADIANS($F91)))</f>
        <v/>
      </c>
      <c r="K91">
        <f>IF($H91="","",$H91*COS(RADIANS($C91))*SIN(RADIANS($D91))+$I91*COS(RADIANS($E91))*SIN(RADIANS($F91)))</f>
        <v/>
      </c>
      <c r="L91">
        <f>IF($H91="","",$H91*SIN(RADIANS($C91))+$I91*SIN(RADIANS($E91)))</f>
        <v/>
      </c>
      <c r="M91">
        <f>IF($L91="","",DEGREES(ATAN2(SQRT($J91^2+$K91^2),$L91)))</f>
        <v/>
      </c>
      <c r="N91">
        <f>IF($L91="","",DEGREES(ATAN2($J91,$K91)))</f>
        <v/>
      </c>
      <c r="O91">
        <f t="array" ref="O91">IF($M91="","",IFERROR(IF(INDEX(geo_grid!$B$2:$JU$231,INT(($M91+40)/0.5)+1,INT(($N91+30)/0.5)+1)="","",INDEX(geo_grid!$B$2:$JU$231,INT(($M91+40)/0.5)+1,INT(($N91+30)/0.5)+1)),"OUTSIDE GRID"))</f>
        <v/>
      </c>
      <c r="Q91">
        <f>IF(countries!$D91="","",countries!$D91)</f>
        <v/>
      </c>
      <c r="R91">
        <f>IF($Q91="","",countries!$B91)</f>
        <v/>
      </c>
      <c r="S91">
        <f>IF($Q91="","",IF(OR($Q91='Feasibility IQ'!$AA$9,$Q91='Feasibility IQ'!$AA$10),0,COUNTIF($O$2:$O$152,$Q91)))</f>
        <v/>
      </c>
      <c r="T91">
        <f>IF($S91=0,"",_xlfn.MINIFS($A$2:$A$152,$O$2:$O$152,$Q91))</f>
        <v/>
      </c>
      <c r="U91">
        <f t="array" ref="U91">IF($S91=0,"",SUMPRODUCT(($S$2:$S$143&gt;0)*($T$2:$T$143&lt;$T91))+1)</f>
        <v/>
      </c>
    </row>
    <row r="92">
      <c r="A92">
        <f>ROW()-2</f>
        <v/>
      </c>
      <c r="B92">
        <f>$A92/150</f>
        <v/>
      </c>
      <c r="C92">
        <f>'Feasibility IQ'!$AA$4</f>
        <v/>
      </c>
      <c r="D92">
        <f>'Feasibility IQ'!$AA$5</f>
        <v/>
      </c>
      <c r="E92">
        <f>'Feasibility IQ'!$AA$6</f>
        <v/>
      </c>
      <c r="F92">
        <f>'Feasibility IQ'!$AA$7</f>
        <v/>
      </c>
      <c r="G92">
        <f>'Feasibility IQ'!$AA$8</f>
        <v/>
      </c>
      <c r="H92">
        <f>IF(OR($G92="",$G92=0),"",SIN((1-$B92)*$G92)/SIN($G92))</f>
        <v/>
      </c>
      <c r="I92">
        <f>IF($H92="","",SIN($B92*$G92)/SIN($G92))</f>
        <v/>
      </c>
      <c r="J92">
        <f>IF($H92="","",$H92*COS(RADIANS($C92))*COS(RADIANS($D92))+$I92*COS(RADIANS($E92))*COS(RADIANS($F92)))</f>
        <v/>
      </c>
      <c r="K92">
        <f>IF($H92="","",$H92*COS(RADIANS($C92))*SIN(RADIANS($D92))+$I92*COS(RADIANS($E92))*SIN(RADIANS($F92)))</f>
        <v/>
      </c>
      <c r="L92">
        <f>IF($H92="","",$H92*SIN(RADIANS($C92))+$I92*SIN(RADIANS($E92)))</f>
        <v/>
      </c>
      <c r="M92">
        <f>IF($L92="","",DEGREES(ATAN2(SQRT($J92^2+$K92^2),$L92)))</f>
        <v/>
      </c>
      <c r="N92">
        <f>IF($L92="","",DEGREES(ATAN2($J92,$K92)))</f>
        <v/>
      </c>
      <c r="O92">
        <f t="array" ref="O92">IF($M92="","",IFERROR(IF(INDEX(geo_grid!$B$2:$JU$231,INT(($M92+40)/0.5)+1,INT(($N92+30)/0.5)+1)="","",INDEX(geo_grid!$B$2:$JU$231,INT(($M92+40)/0.5)+1,INT(($N92+30)/0.5)+1)),"OUTSIDE GRID"))</f>
        <v/>
      </c>
      <c r="Q92">
        <f>IF(countries!$D92="","",countries!$D92)</f>
        <v/>
      </c>
      <c r="R92">
        <f>IF($Q92="","",countries!$B92)</f>
        <v/>
      </c>
      <c r="S92">
        <f>IF($Q92="","",IF(OR($Q92='Feasibility IQ'!$AA$9,$Q92='Feasibility IQ'!$AA$10),0,COUNTIF($O$2:$O$152,$Q92)))</f>
        <v/>
      </c>
      <c r="T92">
        <f>IF($S92=0,"",_xlfn.MINIFS($A$2:$A$152,$O$2:$O$152,$Q92))</f>
        <v/>
      </c>
      <c r="U92">
        <f t="array" ref="U92">IF($S92=0,"",SUMPRODUCT(($S$2:$S$143&gt;0)*($T$2:$T$143&lt;$T92))+1)</f>
        <v/>
      </c>
    </row>
    <row r="93">
      <c r="A93">
        <f>ROW()-2</f>
        <v/>
      </c>
      <c r="B93">
        <f>$A93/150</f>
        <v/>
      </c>
      <c r="C93">
        <f>'Feasibility IQ'!$AA$4</f>
        <v/>
      </c>
      <c r="D93">
        <f>'Feasibility IQ'!$AA$5</f>
        <v/>
      </c>
      <c r="E93">
        <f>'Feasibility IQ'!$AA$6</f>
        <v/>
      </c>
      <c r="F93">
        <f>'Feasibility IQ'!$AA$7</f>
        <v/>
      </c>
      <c r="G93">
        <f>'Feasibility IQ'!$AA$8</f>
        <v/>
      </c>
      <c r="H93">
        <f>IF(OR($G93="",$G93=0),"",SIN((1-$B93)*$G93)/SIN($G93))</f>
        <v/>
      </c>
      <c r="I93">
        <f>IF($H93="","",SIN($B93*$G93)/SIN($G93))</f>
        <v/>
      </c>
      <c r="J93">
        <f>IF($H93="","",$H93*COS(RADIANS($C93))*COS(RADIANS($D93))+$I93*COS(RADIANS($E93))*COS(RADIANS($F93)))</f>
        <v/>
      </c>
      <c r="K93">
        <f>IF($H93="","",$H93*COS(RADIANS($C93))*SIN(RADIANS($D93))+$I93*COS(RADIANS($E93))*SIN(RADIANS($F93)))</f>
        <v/>
      </c>
      <c r="L93">
        <f>IF($H93="","",$H93*SIN(RADIANS($C93))+$I93*SIN(RADIANS($E93)))</f>
        <v/>
      </c>
      <c r="M93">
        <f>IF($L93="","",DEGREES(ATAN2(SQRT($J93^2+$K93^2),$L93)))</f>
        <v/>
      </c>
      <c r="N93">
        <f>IF($L93="","",DEGREES(ATAN2($J93,$K93)))</f>
        <v/>
      </c>
      <c r="O93">
        <f t="array" ref="O93">IF($M93="","",IFERROR(IF(INDEX(geo_grid!$B$2:$JU$231,INT(($M93+40)/0.5)+1,INT(($N93+30)/0.5)+1)="","",INDEX(geo_grid!$B$2:$JU$231,INT(($M93+40)/0.5)+1,INT(($N93+30)/0.5)+1)),"OUTSIDE GRID"))</f>
        <v/>
      </c>
      <c r="Q93">
        <f>IF(countries!$D93="","",countries!$D93)</f>
        <v/>
      </c>
      <c r="R93">
        <f>IF($Q93="","",countries!$B93)</f>
        <v/>
      </c>
      <c r="S93">
        <f>IF($Q93="","",IF(OR($Q93='Feasibility IQ'!$AA$9,$Q93='Feasibility IQ'!$AA$10),0,COUNTIF($O$2:$O$152,$Q93)))</f>
        <v/>
      </c>
      <c r="T93">
        <f>IF($S93=0,"",_xlfn.MINIFS($A$2:$A$152,$O$2:$O$152,$Q93))</f>
        <v/>
      </c>
      <c r="U93">
        <f t="array" ref="U93">IF($S93=0,"",SUMPRODUCT(($S$2:$S$143&gt;0)*($T$2:$T$143&lt;$T93))+1)</f>
        <v/>
      </c>
    </row>
    <row r="94">
      <c r="A94">
        <f>ROW()-2</f>
        <v/>
      </c>
      <c r="B94">
        <f>$A94/150</f>
        <v/>
      </c>
      <c r="C94">
        <f>'Feasibility IQ'!$AA$4</f>
        <v/>
      </c>
      <c r="D94">
        <f>'Feasibility IQ'!$AA$5</f>
        <v/>
      </c>
      <c r="E94">
        <f>'Feasibility IQ'!$AA$6</f>
        <v/>
      </c>
      <c r="F94">
        <f>'Feasibility IQ'!$AA$7</f>
        <v/>
      </c>
      <c r="G94">
        <f>'Feasibility IQ'!$AA$8</f>
        <v/>
      </c>
      <c r="H94">
        <f>IF(OR($G94="",$G94=0),"",SIN((1-$B94)*$G94)/SIN($G94))</f>
        <v/>
      </c>
      <c r="I94">
        <f>IF($H94="","",SIN($B94*$G94)/SIN($G94))</f>
        <v/>
      </c>
      <c r="J94">
        <f>IF($H94="","",$H94*COS(RADIANS($C94))*COS(RADIANS($D94))+$I94*COS(RADIANS($E94))*COS(RADIANS($F94)))</f>
        <v/>
      </c>
      <c r="K94">
        <f>IF($H94="","",$H94*COS(RADIANS($C94))*SIN(RADIANS($D94))+$I94*COS(RADIANS($E94))*SIN(RADIANS($F94)))</f>
        <v/>
      </c>
      <c r="L94">
        <f>IF($H94="","",$H94*SIN(RADIANS($C94))+$I94*SIN(RADIANS($E94)))</f>
        <v/>
      </c>
      <c r="M94">
        <f>IF($L94="","",DEGREES(ATAN2(SQRT($J94^2+$K94^2),$L94)))</f>
        <v/>
      </c>
      <c r="N94">
        <f>IF($L94="","",DEGREES(ATAN2($J94,$K94)))</f>
        <v/>
      </c>
      <c r="O94">
        <f t="array" ref="O94">IF($M94="","",IFERROR(IF(INDEX(geo_grid!$B$2:$JU$231,INT(($M94+40)/0.5)+1,INT(($N94+30)/0.5)+1)="","",INDEX(geo_grid!$B$2:$JU$231,INT(($M94+40)/0.5)+1,INT(($N94+30)/0.5)+1)),"OUTSIDE GRID"))</f>
        <v/>
      </c>
      <c r="Q94">
        <f>IF(countries!$D94="","",countries!$D94)</f>
        <v/>
      </c>
      <c r="R94">
        <f>IF($Q94="","",countries!$B94)</f>
        <v/>
      </c>
      <c r="S94">
        <f>IF($Q94="","",IF(OR($Q94='Feasibility IQ'!$AA$9,$Q94='Feasibility IQ'!$AA$10),0,COUNTIF($O$2:$O$152,$Q94)))</f>
        <v/>
      </c>
      <c r="T94">
        <f>IF($S94=0,"",_xlfn.MINIFS($A$2:$A$152,$O$2:$O$152,$Q94))</f>
        <v/>
      </c>
      <c r="U94">
        <f t="array" ref="U94">IF($S94=0,"",SUMPRODUCT(($S$2:$S$143&gt;0)*($T$2:$T$143&lt;$T94))+1)</f>
        <v/>
      </c>
    </row>
    <row r="95">
      <c r="A95">
        <f>ROW()-2</f>
        <v/>
      </c>
      <c r="B95">
        <f>$A95/150</f>
        <v/>
      </c>
      <c r="C95">
        <f>'Feasibility IQ'!$AA$4</f>
        <v/>
      </c>
      <c r="D95">
        <f>'Feasibility IQ'!$AA$5</f>
        <v/>
      </c>
      <c r="E95">
        <f>'Feasibility IQ'!$AA$6</f>
        <v/>
      </c>
      <c r="F95">
        <f>'Feasibility IQ'!$AA$7</f>
        <v/>
      </c>
      <c r="G95">
        <f>'Feasibility IQ'!$AA$8</f>
        <v/>
      </c>
      <c r="H95">
        <f>IF(OR($G95="",$G95=0),"",SIN((1-$B95)*$G95)/SIN($G95))</f>
        <v/>
      </c>
      <c r="I95">
        <f>IF($H95="","",SIN($B95*$G95)/SIN($G95))</f>
        <v/>
      </c>
      <c r="J95">
        <f>IF($H95="","",$H95*COS(RADIANS($C95))*COS(RADIANS($D95))+$I95*COS(RADIANS($E95))*COS(RADIANS($F95)))</f>
        <v/>
      </c>
      <c r="K95">
        <f>IF($H95="","",$H95*COS(RADIANS($C95))*SIN(RADIANS($D95))+$I95*COS(RADIANS($E95))*SIN(RADIANS($F95)))</f>
        <v/>
      </c>
      <c r="L95">
        <f>IF($H95="","",$H95*SIN(RADIANS($C95))+$I95*SIN(RADIANS($E95)))</f>
        <v/>
      </c>
      <c r="M95">
        <f>IF($L95="","",DEGREES(ATAN2(SQRT($J95^2+$K95^2),$L95)))</f>
        <v/>
      </c>
      <c r="N95">
        <f>IF($L95="","",DEGREES(ATAN2($J95,$K95)))</f>
        <v/>
      </c>
      <c r="O95">
        <f t="array" ref="O95">IF($M95="","",IFERROR(IF(INDEX(geo_grid!$B$2:$JU$231,INT(($M95+40)/0.5)+1,INT(($N95+30)/0.5)+1)="","",INDEX(geo_grid!$B$2:$JU$231,INT(($M95+40)/0.5)+1,INT(($N95+30)/0.5)+1)),"OUTSIDE GRID"))</f>
        <v/>
      </c>
      <c r="Q95">
        <f>IF(countries!$D95="","",countries!$D95)</f>
        <v/>
      </c>
      <c r="R95">
        <f>IF($Q95="","",countries!$B95)</f>
        <v/>
      </c>
      <c r="S95">
        <f>IF($Q95="","",IF(OR($Q95='Feasibility IQ'!$AA$9,$Q95='Feasibility IQ'!$AA$10),0,COUNTIF($O$2:$O$152,$Q95)))</f>
        <v/>
      </c>
      <c r="T95">
        <f>IF($S95=0,"",_xlfn.MINIFS($A$2:$A$152,$O$2:$O$152,$Q95))</f>
        <v/>
      </c>
      <c r="U95">
        <f t="array" ref="U95">IF($S95=0,"",SUMPRODUCT(($S$2:$S$143&gt;0)*($T$2:$T$143&lt;$T95))+1)</f>
        <v/>
      </c>
    </row>
    <row r="96">
      <c r="A96">
        <f>ROW()-2</f>
        <v/>
      </c>
      <c r="B96">
        <f>$A96/150</f>
        <v/>
      </c>
      <c r="C96">
        <f>'Feasibility IQ'!$AA$4</f>
        <v/>
      </c>
      <c r="D96">
        <f>'Feasibility IQ'!$AA$5</f>
        <v/>
      </c>
      <c r="E96">
        <f>'Feasibility IQ'!$AA$6</f>
        <v/>
      </c>
      <c r="F96">
        <f>'Feasibility IQ'!$AA$7</f>
        <v/>
      </c>
      <c r="G96">
        <f>'Feasibility IQ'!$AA$8</f>
        <v/>
      </c>
      <c r="H96">
        <f>IF(OR($G96="",$G96=0),"",SIN((1-$B96)*$G96)/SIN($G96))</f>
        <v/>
      </c>
      <c r="I96">
        <f>IF($H96="","",SIN($B96*$G96)/SIN($G96))</f>
        <v/>
      </c>
      <c r="J96">
        <f>IF($H96="","",$H96*COS(RADIANS($C96))*COS(RADIANS($D96))+$I96*COS(RADIANS($E96))*COS(RADIANS($F96)))</f>
        <v/>
      </c>
      <c r="K96">
        <f>IF($H96="","",$H96*COS(RADIANS($C96))*SIN(RADIANS($D96))+$I96*COS(RADIANS($E96))*SIN(RADIANS($F96)))</f>
        <v/>
      </c>
      <c r="L96">
        <f>IF($H96="","",$H96*SIN(RADIANS($C96))+$I96*SIN(RADIANS($E96)))</f>
        <v/>
      </c>
      <c r="M96">
        <f>IF($L96="","",DEGREES(ATAN2(SQRT($J96^2+$K96^2),$L96)))</f>
        <v/>
      </c>
      <c r="N96">
        <f>IF($L96="","",DEGREES(ATAN2($J96,$K96)))</f>
        <v/>
      </c>
      <c r="O96">
        <f t="array" ref="O96">IF($M96="","",IFERROR(IF(INDEX(geo_grid!$B$2:$JU$231,INT(($M96+40)/0.5)+1,INT(($N96+30)/0.5)+1)="","",INDEX(geo_grid!$B$2:$JU$231,INT(($M96+40)/0.5)+1,INT(($N96+30)/0.5)+1)),"OUTSIDE GRID"))</f>
        <v/>
      </c>
      <c r="Q96">
        <f>IF(countries!$D96="","",countries!$D96)</f>
        <v/>
      </c>
      <c r="R96">
        <f>IF($Q96="","",countries!$B96)</f>
        <v/>
      </c>
      <c r="S96">
        <f>IF($Q96="","",IF(OR($Q96='Feasibility IQ'!$AA$9,$Q96='Feasibility IQ'!$AA$10),0,COUNTIF($O$2:$O$152,$Q96)))</f>
        <v/>
      </c>
      <c r="T96">
        <f>IF($S96=0,"",_xlfn.MINIFS($A$2:$A$152,$O$2:$O$152,$Q96))</f>
        <v/>
      </c>
      <c r="U96">
        <f t="array" ref="U96">IF($S96=0,"",SUMPRODUCT(($S$2:$S$143&gt;0)*($T$2:$T$143&lt;$T96))+1)</f>
        <v/>
      </c>
    </row>
    <row r="97">
      <c r="A97">
        <f>ROW()-2</f>
        <v/>
      </c>
      <c r="B97">
        <f>$A97/150</f>
        <v/>
      </c>
      <c r="C97">
        <f>'Feasibility IQ'!$AA$4</f>
        <v/>
      </c>
      <c r="D97">
        <f>'Feasibility IQ'!$AA$5</f>
        <v/>
      </c>
      <c r="E97">
        <f>'Feasibility IQ'!$AA$6</f>
        <v/>
      </c>
      <c r="F97">
        <f>'Feasibility IQ'!$AA$7</f>
        <v/>
      </c>
      <c r="G97">
        <f>'Feasibility IQ'!$AA$8</f>
        <v/>
      </c>
      <c r="H97">
        <f>IF(OR($G97="",$G97=0),"",SIN((1-$B97)*$G97)/SIN($G97))</f>
        <v/>
      </c>
      <c r="I97">
        <f>IF($H97="","",SIN($B97*$G97)/SIN($G97))</f>
        <v/>
      </c>
      <c r="J97">
        <f>IF($H97="","",$H97*COS(RADIANS($C97))*COS(RADIANS($D97))+$I97*COS(RADIANS($E97))*COS(RADIANS($F97)))</f>
        <v/>
      </c>
      <c r="K97">
        <f>IF($H97="","",$H97*COS(RADIANS($C97))*SIN(RADIANS($D97))+$I97*COS(RADIANS($E97))*SIN(RADIANS($F97)))</f>
        <v/>
      </c>
      <c r="L97">
        <f>IF($H97="","",$H97*SIN(RADIANS($C97))+$I97*SIN(RADIANS($E97)))</f>
        <v/>
      </c>
      <c r="M97">
        <f>IF($L97="","",DEGREES(ATAN2(SQRT($J97^2+$K97^2),$L97)))</f>
        <v/>
      </c>
      <c r="N97">
        <f>IF($L97="","",DEGREES(ATAN2($J97,$K97)))</f>
        <v/>
      </c>
      <c r="O97">
        <f t="array" ref="O97">IF($M97="","",IFERROR(IF(INDEX(geo_grid!$B$2:$JU$231,INT(($M97+40)/0.5)+1,INT(($N97+30)/0.5)+1)="","",INDEX(geo_grid!$B$2:$JU$231,INT(($M97+40)/0.5)+1,INT(($N97+30)/0.5)+1)),"OUTSIDE GRID"))</f>
        <v/>
      </c>
      <c r="Q97">
        <f>IF(countries!$D97="","",countries!$D97)</f>
        <v/>
      </c>
      <c r="R97">
        <f>IF($Q97="","",countries!$B97)</f>
        <v/>
      </c>
      <c r="S97">
        <f>IF($Q97="","",IF(OR($Q97='Feasibility IQ'!$AA$9,$Q97='Feasibility IQ'!$AA$10),0,COUNTIF($O$2:$O$152,$Q97)))</f>
        <v/>
      </c>
      <c r="T97">
        <f>IF($S97=0,"",_xlfn.MINIFS($A$2:$A$152,$O$2:$O$152,$Q97))</f>
        <v/>
      </c>
      <c r="U97">
        <f t="array" ref="U97">IF($S97=0,"",SUMPRODUCT(($S$2:$S$143&gt;0)*($T$2:$T$143&lt;$T97))+1)</f>
        <v/>
      </c>
    </row>
    <row r="98">
      <c r="A98">
        <f>ROW()-2</f>
        <v/>
      </c>
      <c r="B98">
        <f>$A98/150</f>
        <v/>
      </c>
      <c r="C98">
        <f>'Feasibility IQ'!$AA$4</f>
        <v/>
      </c>
      <c r="D98">
        <f>'Feasibility IQ'!$AA$5</f>
        <v/>
      </c>
      <c r="E98">
        <f>'Feasibility IQ'!$AA$6</f>
        <v/>
      </c>
      <c r="F98">
        <f>'Feasibility IQ'!$AA$7</f>
        <v/>
      </c>
      <c r="G98">
        <f>'Feasibility IQ'!$AA$8</f>
        <v/>
      </c>
      <c r="H98">
        <f>IF(OR($G98="",$G98=0),"",SIN((1-$B98)*$G98)/SIN($G98))</f>
        <v/>
      </c>
      <c r="I98">
        <f>IF($H98="","",SIN($B98*$G98)/SIN($G98))</f>
        <v/>
      </c>
      <c r="J98">
        <f>IF($H98="","",$H98*COS(RADIANS($C98))*COS(RADIANS($D98))+$I98*COS(RADIANS($E98))*COS(RADIANS($F98)))</f>
        <v/>
      </c>
      <c r="K98">
        <f>IF($H98="","",$H98*COS(RADIANS($C98))*SIN(RADIANS($D98))+$I98*COS(RADIANS($E98))*SIN(RADIANS($F98)))</f>
        <v/>
      </c>
      <c r="L98">
        <f>IF($H98="","",$H98*SIN(RADIANS($C98))+$I98*SIN(RADIANS($E98)))</f>
        <v/>
      </c>
      <c r="M98">
        <f>IF($L98="","",DEGREES(ATAN2(SQRT($J98^2+$K98^2),$L98)))</f>
        <v/>
      </c>
      <c r="N98">
        <f>IF($L98="","",DEGREES(ATAN2($J98,$K98)))</f>
        <v/>
      </c>
      <c r="O98">
        <f t="array" ref="O98">IF($M98="","",IFERROR(IF(INDEX(geo_grid!$B$2:$JU$231,INT(($M98+40)/0.5)+1,INT(($N98+30)/0.5)+1)="","",INDEX(geo_grid!$B$2:$JU$231,INT(($M98+40)/0.5)+1,INT(($N98+30)/0.5)+1)),"OUTSIDE GRID"))</f>
        <v/>
      </c>
      <c r="Q98">
        <f>IF(countries!$D98="","",countries!$D98)</f>
        <v/>
      </c>
      <c r="R98">
        <f>IF($Q98="","",countries!$B98)</f>
        <v/>
      </c>
      <c r="S98">
        <f>IF($Q98="","",IF(OR($Q98='Feasibility IQ'!$AA$9,$Q98='Feasibility IQ'!$AA$10),0,COUNTIF($O$2:$O$152,$Q98)))</f>
        <v/>
      </c>
      <c r="T98">
        <f>IF($S98=0,"",_xlfn.MINIFS($A$2:$A$152,$O$2:$O$152,$Q98))</f>
        <v/>
      </c>
      <c r="U98">
        <f t="array" ref="U98">IF($S98=0,"",SUMPRODUCT(($S$2:$S$143&gt;0)*($T$2:$T$143&lt;$T98))+1)</f>
        <v/>
      </c>
    </row>
    <row r="99">
      <c r="A99">
        <f>ROW()-2</f>
        <v/>
      </c>
      <c r="B99">
        <f>$A99/150</f>
        <v/>
      </c>
      <c r="C99">
        <f>'Feasibility IQ'!$AA$4</f>
        <v/>
      </c>
      <c r="D99">
        <f>'Feasibility IQ'!$AA$5</f>
        <v/>
      </c>
      <c r="E99">
        <f>'Feasibility IQ'!$AA$6</f>
        <v/>
      </c>
      <c r="F99">
        <f>'Feasibility IQ'!$AA$7</f>
        <v/>
      </c>
      <c r="G99">
        <f>'Feasibility IQ'!$AA$8</f>
        <v/>
      </c>
      <c r="H99">
        <f>IF(OR($G99="",$G99=0),"",SIN((1-$B99)*$G99)/SIN($G99))</f>
        <v/>
      </c>
      <c r="I99">
        <f>IF($H99="","",SIN($B99*$G99)/SIN($G99))</f>
        <v/>
      </c>
      <c r="J99">
        <f>IF($H99="","",$H99*COS(RADIANS($C99))*COS(RADIANS($D99))+$I99*COS(RADIANS($E99))*COS(RADIANS($F99)))</f>
        <v/>
      </c>
      <c r="K99">
        <f>IF($H99="","",$H99*COS(RADIANS($C99))*SIN(RADIANS($D99))+$I99*COS(RADIANS($E99))*SIN(RADIANS($F99)))</f>
        <v/>
      </c>
      <c r="L99">
        <f>IF($H99="","",$H99*SIN(RADIANS($C99))+$I99*SIN(RADIANS($E99)))</f>
        <v/>
      </c>
      <c r="M99">
        <f>IF($L99="","",DEGREES(ATAN2(SQRT($J99^2+$K99^2),$L99)))</f>
        <v/>
      </c>
      <c r="N99">
        <f>IF($L99="","",DEGREES(ATAN2($J99,$K99)))</f>
        <v/>
      </c>
      <c r="O99">
        <f t="array" ref="O99">IF($M99="","",IFERROR(IF(INDEX(geo_grid!$B$2:$JU$231,INT(($M99+40)/0.5)+1,INT(($N99+30)/0.5)+1)="","",INDEX(geo_grid!$B$2:$JU$231,INT(($M99+40)/0.5)+1,INT(($N99+30)/0.5)+1)),"OUTSIDE GRID"))</f>
        <v/>
      </c>
      <c r="Q99">
        <f>IF(countries!$D99="","",countries!$D99)</f>
        <v/>
      </c>
      <c r="R99">
        <f>IF($Q99="","",countries!$B99)</f>
        <v/>
      </c>
      <c r="S99">
        <f>IF($Q99="","",IF(OR($Q99='Feasibility IQ'!$AA$9,$Q99='Feasibility IQ'!$AA$10),0,COUNTIF($O$2:$O$152,$Q99)))</f>
        <v/>
      </c>
      <c r="T99">
        <f>IF($S99=0,"",_xlfn.MINIFS($A$2:$A$152,$O$2:$O$152,$Q99))</f>
        <v/>
      </c>
      <c r="U99">
        <f t="array" ref="U99">IF($S99=0,"",SUMPRODUCT(($S$2:$S$143&gt;0)*($T$2:$T$143&lt;$T99))+1)</f>
        <v/>
      </c>
    </row>
    <row r="100">
      <c r="A100">
        <f>ROW()-2</f>
        <v/>
      </c>
      <c r="B100">
        <f>$A100/150</f>
        <v/>
      </c>
      <c r="C100">
        <f>'Feasibility IQ'!$AA$4</f>
        <v/>
      </c>
      <c r="D100">
        <f>'Feasibility IQ'!$AA$5</f>
        <v/>
      </c>
      <c r="E100">
        <f>'Feasibility IQ'!$AA$6</f>
        <v/>
      </c>
      <c r="F100">
        <f>'Feasibility IQ'!$AA$7</f>
        <v/>
      </c>
      <c r="G100">
        <f>'Feasibility IQ'!$AA$8</f>
        <v/>
      </c>
      <c r="H100">
        <f>IF(OR($G100="",$G100=0),"",SIN((1-$B100)*$G100)/SIN($G100))</f>
        <v/>
      </c>
      <c r="I100">
        <f>IF($H100="","",SIN($B100*$G100)/SIN($G100))</f>
        <v/>
      </c>
      <c r="J100">
        <f>IF($H100="","",$H100*COS(RADIANS($C100))*COS(RADIANS($D100))+$I100*COS(RADIANS($E100))*COS(RADIANS($F100)))</f>
        <v/>
      </c>
      <c r="K100">
        <f>IF($H100="","",$H100*COS(RADIANS($C100))*SIN(RADIANS($D100))+$I100*COS(RADIANS($E100))*SIN(RADIANS($F100)))</f>
        <v/>
      </c>
      <c r="L100">
        <f>IF($H100="","",$H100*SIN(RADIANS($C100))+$I100*SIN(RADIANS($E100)))</f>
        <v/>
      </c>
      <c r="M100">
        <f>IF($L100="","",DEGREES(ATAN2(SQRT($J100^2+$K100^2),$L100)))</f>
        <v/>
      </c>
      <c r="N100">
        <f>IF($L100="","",DEGREES(ATAN2($J100,$K100)))</f>
        <v/>
      </c>
      <c r="O100">
        <f t="array" ref="O100">IF($M100="","",IFERROR(IF(INDEX(geo_grid!$B$2:$JU$231,INT(($M100+40)/0.5)+1,INT(($N100+30)/0.5)+1)="","",INDEX(geo_grid!$B$2:$JU$231,INT(($M100+40)/0.5)+1,INT(($N100+30)/0.5)+1)),"OUTSIDE GRID"))</f>
        <v/>
      </c>
      <c r="Q100">
        <f>IF(countries!$D100="","",countries!$D100)</f>
        <v/>
      </c>
      <c r="R100">
        <f>IF($Q100="","",countries!$B100)</f>
        <v/>
      </c>
      <c r="S100">
        <f>IF($Q100="","",IF(OR($Q100='Feasibility IQ'!$AA$9,$Q100='Feasibility IQ'!$AA$10),0,COUNTIF($O$2:$O$152,$Q100)))</f>
        <v/>
      </c>
      <c r="T100">
        <f>IF($S100=0,"",_xlfn.MINIFS($A$2:$A$152,$O$2:$O$152,$Q100))</f>
        <v/>
      </c>
      <c r="U100">
        <f t="array" ref="U100">IF($S100=0,"",SUMPRODUCT(($S$2:$S$143&gt;0)*($T$2:$T$143&lt;$T100))+1)</f>
        <v/>
      </c>
    </row>
    <row r="101">
      <c r="A101">
        <f>ROW()-2</f>
        <v/>
      </c>
      <c r="B101">
        <f>$A101/150</f>
        <v/>
      </c>
      <c r="C101">
        <f>'Feasibility IQ'!$AA$4</f>
        <v/>
      </c>
      <c r="D101">
        <f>'Feasibility IQ'!$AA$5</f>
        <v/>
      </c>
      <c r="E101">
        <f>'Feasibility IQ'!$AA$6</f>
        <v/>
      </c>
      <c r="F101">
        <f>'Feasibility IQ'!$AA$7</f>
        <v/>
      </c>
      <c r="G101">
        <f>'Feasibility IQ'!$AA$8</f>
        <v/>
      </c>
      <c r="H101">
        <f>IF(OR($G101="",$G101=0),"",SIN((1-$B101)*$G101)/SIN($G101))</f>
        <v/>
      </c>
      <c r="I101">
        <f>IF($H101="","",SIN($B101*$G101)/SIN($G101))</f>
        <v/>
      </c>
      <c r="J101">
        <f>IF($H101="","",$H101*COS(RADIANS($C101))*COS(RADIANS($D101))+$I101*COS(RADIANS($E101))*COS(RADIANS($F101)))</f>
        <v/>
      </c>
      <c r="K101">
        <f>IF($H101="","",$H101*COS(RADIANS($C101))*SIN(RADIANS($D101))+$I101*COS(RADIANS($E101))*SIN(RADIANS($F101)))</f>
        <v/>
      </c>
      <c r="L101">
        <f>IF($H101="","",$H101*SIN(RADIANS($C101))+$I101*SIN(RADIANS($E101)))</f>
        <v/>
      </c>
      <c r="M101">
        <f>IF($L101="","",DEGREES(ATAN2(SQRT($J101^2+$K101^2),$L101)))</f>
        <v/>
      </c>
      <c r="N101">
        <f>IF($L101="","",DEGREES(ATAN2($J101,$K101)))</f>
        <v/>
      </c>
      <c r="O101">
        <f t="array" ref="O101">IF($M101="","",IFERROR(IF(INDEX(geo_grid!$B$2:$JU$231,INT(($M101+40)/0.5)+1,INT(($N101+30)/0.5)+1)="","",INDEX(geo_grid!$B$2:$JU$231,INT(($M101+40)/0.5)+1,INT(($N101+30)/0.5)+1)),"OUTSIDE GRID"))</f>
        <v/>
      </c>
      <c r="Q101">
        <f>IF(countries!$D101="","",countries!$D101)</f>
        <v/>
      </c>
      <c r="R101">
        <f>IF($Q101="","",countries!$B101)</f>
        <v/>
      </c>
      <c r="S101">
        <f>IF($Q101="","",IF(OR($Q101='Feasibility IQ'!$AA$9,$Q101='Feasibility IQ'!$AA$10),0,COUNTIF($O$2:$O$152,$Q101)))</f>
        <v/>
      </c>
      <c r="T101">
        <f>IF($S101=0,"",_xlfn.MINIFS($A$2:$A$152,$O$2:$O$152,$Q101))</f>
        <v/>
      </c>
      <c r="U101">
        <f t="array" ref="U101">IF($S101=0,"",SUMPRODUCT(($S$2:$S$143&gt;0)*($T$2:$T$143&lt;$T101))+1)</f>
        <v/>
      </c>
    </row>
    <row r="102">
      <c r="A102">
        <f>ROW()-2</f>
        <v/>
      </c>
      <c r="B102">
        <f>$A102/150</f>
        <v/>
      </c>
      <c r="C102">
        <f>'Feasibility IQ'!$AA$4</f>
        <v/>
      </c>
      <c r="D102">
        <f>'Feasibility IQ'!$AA$5</f>
        <v/>
      </c>
      <c r="E102">
        <f>'Feasibility IQ'!$AA$6</f>
        <v/>
      </c>
      <c r="F102">
        <f>'Feasibility IQ'!$AA$7</f>
        <v/>
      </c>
      <c r="G102">
        <f>'Feasibility IQ'!$AA$8</f>
        <v/>
      </c>
      <c r="H102">
        <f>IF(OR($G102="",$G102=0),"",SIN((1-$B102)*$G102)/SIN($G102))</f>
        <v/>
      </c>
      <c r="I102">
        <f>IF($H102="","",SIN($B102*$G102)/SIN($G102))</f>
        <v/>
      </c>
      <c r="J102">
        <f>IF($H102="","",$H102*COS(RADIANS($C102))*COS(RADIANS($D102))+$I102*COS(RADIANS($E102))*COS(RADIANS($F102)))</f>
        <v/>
      </c>
      <c r="K102">
        <f>IF($H102="","",$H102*COS(RADIANS($C102))*SIN(RADIANS($D102))+$I102*COS(RADIANS($E102))*SIN(RADIANS($F102)))</f>
        <v/>
      </c>
      <c r="L102">
        <f>IF($H102="","",$H102*SIN(RADIANS($C102))+$I102*SIN(RADIANS($E102)))</f>
        <v/>
      </c>
      <c r="M102">
        <f>IF($L102="","",DEGREES(ATAN2(SQRT($J102^2+$K102^2),$L102)))</f>
        <v/>
      </c>
      <c r="N102">
        <f>IF($L102="","",DEGREES(ATAN2($J102,$K102)))</f>
        <v/>
      </c>
      <c r="O102">
        <f t="array" ref="O102">IF($M102="","",IFERROR(IF(INDEX(geo_grid!$B$2:$JU$231,INT(($M102+40)/0.5)+1,INT(($N102+30)/0.5)+1)="","",INDEX(geo_grid!$B$2:$JU$231,INT(($M102+40)/0.5)+1,INT(($N102+30)/0.5)+1)),"OUTSIDE GRID"))</f>
        <v/>
      </c>
      <c r="Q102">
        <f>IF(countries!$D102="","",countries!$D102)</f>
        <v/>
      </c>
      <c r="R102">
        <f>IF($Q102="","",countries!$B102)</f>
        <v/>
      </c>
      <c r="S102">
        <f>IF($Q102="","",IF(OR($Q102='Feasibility IQ'!$AA$9,$Q102='Feasibility IQ'!$AA$10),0,COUNTIF($O$2:$O$152,$Q102)))</f>
        <v/>
      </c>
      <c r="T102">
        <f>IF($S102=0,"",_xlfn.MINIFS($A$2:$A$152,$O$2:$O$152,$Q102))</f>
        <v/>
      </c>
      <c r="U102">
        <f t="array" ref="U102">IF($S102=0,"",SUMPRODUCT(($S$2:$S$143&gt;0)*($T$2:$T$143&lt;$T102))+1)</f>
        <v/>
      </c>
    </row>
    <row r="103">
      <c r="A103">
        <f>ROW()-2</f>
        <v/>
      </c>
      <c r="B103">
        <f>$A103/150</f>
        <v/>
      </c>
      <c r="C103">
        <f>'Feasibility IQ'!$AA$4</f>
        <v/>
      </c>
      <c r="D103">
        <f>'Feasibility IQ'!$AA$5</f>
        <v/>
      </c>
      <c r="E103">
        <f>'Feasibility IQ'!$AA$6</f>
        <v/>
      </c>
      <c r="F103">
        <f>'Feasibility IQ'!$AA$7</f>
        <v/>
      </c>
      <c r="G103">
        <f>'Feasibility IQ'!$AA$8</f>
        <v/>
      </c>
      <c r="H103">
        <f>IF(OR($G103="",$G103=0),"",SIN((1-$B103)*$G103)/SIN($G103))</f>
        <v/>
      </c>
      <c r="I103">
        <f>IF($H103="","",SIN($B103*$G103)/SIN($G103))</f>
        <v/>
      </c>
      <c r="J103">
        <f>IF($H103="","",$H103*COS(RADIANS($C103))*COS(RADIANS($D103))+$I103*COS(RADIANS($E103))*COS(RADIANS($F103)))</f>
        <v/>
      </c>
      <c r="K103">
        <f>IF($H103="","",$H103*COS(RADIANS($C103))*SIN(RADIANS($D103))+$I103*COS(RADIANS($E103))*SIN(RADIANS($F103)))</f>
        <v/>
      </c>
      <c r="L103">
        <f>IF($H103="","",$H103*SIN(RADIANS($C103))+$I103*SIN(RADIANS($E103)))</f>
        <v/>
      </c>
      <c r="M103">
        <f>IF($L103="","",DEGREES(ATAN2(SQRT($J103^2+$K103^2),$L103)))</f>
        <v/>
      </c>
      <c r="N103">
        <f>IF($L103="","",DEGREES(ATAN2($J103,$K103)))</f>
        <v/>
      </c>
      <c r="O103">
        <f t="array" ref="O103">IF($M103="","",IFERROR(IF(INDEX(geo_grid!$B$2:$JU$231,INT(($M103+40)/0.5)+1,INT(($N103+30)/0.5)+1)="","",INDEX(geo_grid!$B$2:$JU$231,INT(($M103+40)/0.5)+1,INT(($N103+30)/0.5)+1)),"OUTSIDE GRID"))</f>
        <v/>
      </c>
      <c r="Q103">
        <f>IF(countries!$D103="","",countries!$D103)</f>
        <v/>
      </c>
      <c r="R103">
        <f>IF($Q103="","",countries!$B103)</f>
        <v/>
      </c>
      <c r="S103">
        <f>IF($Q103="","",IF(OR($Q103='Feasibility IQ'!$AA$9,$Q103='Feasibility IQ'!$AA$10),0,COUNTIF($O$2:$O$152,$Q103)))</f>
        <v/>
      </c>
      <c r="T103">
        <f>IF($S103=0,"",_xlfn.MINIFS($A$2:$A$152,$O$2:$O$152,$Q103))</f>
        <v/>
      </c>
      <c r="U103">
        <f t="array" ref="U103">IF($S103=0,"",SUMPRODUCT(($S$2:$S$143&gt;0)*($T$2:$T$143&lt;$T103))+1)</f>
        <v/>
      </c>
    </row>
    <row r="104">
      <c r="A104">
        <f>ROW()-2</f>
        <v/>
      </c>
      <c r="B104">
        <f>$A104/150</f>
        <v/>
      </c>
      <c r="C104">
        <f>'Feasibility IQ'!$AA$4</f>
        <v/>
      </c>
      <c r="D104">
        <f>'Feasibility IQ'!$AA$5</f>
        <v/>
      </c>
      <c r="E104">
        <f>'Feasibility IQ'!$AA$6</f>
        <v/>
      </c>
      <c r="F104">
        <f>'Feasibility IQ'!$AA$7</f>
        <v/>
      </c>
      <c r="G104">
        <f>'Feasibility IQ'!$AA$8</f>
        <v/>
      </c>
      <c r="H104">
        <f>IF(OR($G104="",$G104=0),"",SIN((1-$B104)*$G104)/SIN($G104))</f>
        <v/>
      </c>
      <c r="I104">
        <f>IF($H104="","",SIN($B104*$G104)/SIN($G104))</f>
        <v/>
      </c>
      <c r="J104">
        <f>IF($H104="","",$H104*COS(RADIANS($C104))*COS(RADIANS($D104))+$I104*COS(RADIANS($E104))*COS(RADIANS($F104)))</f>
        <v/>
      </c>
      <c r="K104">
        <f>IF($H104="","",$H104*COS(RADIANS($C104))*SIN(RADIANS($D104))+$I104*COS(RADIANS($E104))*SIN(RADIANS($F104)))</f>
        <v/>
      </c>
      <c r="L104">
        <f>IF($H104="","",$H104*SIN(RADIANS($C104))+$I104*SIN(RADIANS($E104)))</f>
        <v/>
      </c>
      <c r="M104">
        <f>IF($L104="","",DEGREES(ATAN2(SQRT($J104^2+$K104^2),$L104)))</f>
        <v/>
      </c>
      <c r="N104">
        <f>IF($L104="","",DEGREES(ATAN2($J104,$K104)))</f>
        <v/>
      </c>
      <c r="O104">
        <f t="array" ref="O104">IF($M104="","",IFERROR(IF(INDEX(geo_grid!$B$2:$JU$231,INT(($M104+40)/0.5)+1,INT(($N104+30)/0.5)+1)="","",INDEX(geo_grid!$B$2:$JU$231,INT(($M104+40)/0.5)+1,INT(($N104+30)/0.5)+1)),"OUTSIDE GRID"))</f>
        <v/>
      </c>
      <c r="Q104">
        <f>IF(countries!$D104="","",countries!$D104)</f>
        <v/>
      </c>
      <c r="R104">
        <f>IF($Q104="","",countries!$B104)</f>
        <v/>
      </c>
      <c r="S104">
        <f>IF($Q104="","",IF(OR($Q104='Feasibility IQ'!$AA$9,$Q104='Feasibility IQ'!$AA$10),0,COUNTIF($O$2:$O$152,$Q104)))</f>
        <v/>
      </c>
      <c r="T104">
        <f>IF($S104=0,"",_xlfn.MINIFS($A$2:$A$152,$O$2:$O$152,$Q104))</f>
        <v/>
      </c>
      <c r="U104">
        <f t="array" ref="U104">IF($S104=0,"",SUMPRODUCT(($S$2:$S$143&gt;0)*($T$2:$T$143&lt;$T104))+1)</f>
        <v/>
      </c>
    </row>
    <row r="105">
      <c r="A105">
        <f>ROW()-2</f>
        <v/>
      </c>
      <c r="B105">
        <f>$A105/150</f>
        <v/>
      </c>
      <c r="C105">
        <f>'Feasibility IQ'!$AA$4</f>
        <v/>
      </c>
      <c r="D105">
        <f>'Feasibility IQ'!$AA$5</f>
        <v/>
      </c>
      <c r="E105">
        <f>'Feasibility IQ'!$AA$6</f>
        <v/>
      </c>
      <c r="F105">
        <f>'Feasibility IQ'!$AA$7</f>
        <v/>
      </c>
      <c r="G105">
        <f>'Feasibility IQ'!$AA$8</f>
        <v/>
      </c>
      <c r="H105">
        <f>IF(OR($G105="",$G105=0),"",SIN((1-$B105)*$G105)/SIN($G105))</f>
        <v/>
      </c>
      <c r="I105">
        <f>IF($H105="","",SIN($B105*$G105)/SIN($G105))</f>
        <v/>
      </c>
      <c r="J105">
        <f>IF($H105="","",$H105*COS(RADIANS($C105))*COS(RADIANS($D105))+$I105*COS(RADIANS($E105))*COS(RADIANS($F105)))</f>
        <v/>
      </c>
      <c r="K105">
        <f>IF($H105="","",$H105*COS(RADIANS($C105))*SIN(RADIANS($D105))+$I105*COS(RADIANS($E105))*SIN(RADIANS($F105)))</f>
        <v/>
      </c>
      <c r="L105">
        <f>IF($H105="","",$H105*SIN(RADIANS($C105))+$I105*SIN(RADIANS($E105)))</f>
        <v/>
      </c>
      <c r="M105">
        <f>IF($L105="","",DEGREES(ATAN2(SQRT($J105^2+$K105^2),$L105)))</f>
        <v/>
      </c>
      <c r="N105">
        <f>IF($L105="","",DEGREES(ATAN2($J105,$K105)))</f>
        <v/>
      </c>
      <c r="O105">
        <f t="array" ref="O105">IF($M105="","",IFERROR(IF(INDEX(geo_grid!$B$2:$JU$231,INT(($M105+40)/0.5)+1,INT(($N105+30)/0.5)+1)="","",INDEX(geo_grid!$B$2:$JU$231,INT(($M105+40)/0.5)+1,INT(($N105+30)/0.5)+1)),"OUTSIDE GRID"))</f>
        <v/>
      </c>
      <c r="Q105">
        <f>IF(countries!$D105="","",countries!$D105)</f>
        <v/>
      </c>
      <c r="R105">
        <f>IF($Q105="","",countries!$B105)</f>
        <v/>
      </c>
      <c r="S105">
        <f>IF($Q105="","",IF(OR($Q105='Feasibility IQ'!$AA$9,$Q105='Feasibility IQ'!$AA$10),0,COUNTIF($O$2:$O$152,$Q105)))</f>
        <v/>
      </c>
      <c r="T105">
        <f>IF($S105=0,"",_xlfn.MINIFS($A$2:$A$152,$O$2:$O$152,$Q105))</f>
        <v/>
      </c>
      <c r="U105">
        <f t="array" ref="U105">IF($S105=0,"",SUMPRODUCT(($S$2:$S$143&gt;0)*($T$2:$T$143&lt;$T105))+1)</f>
        <v/>
      </c>
    </row>
    <row r="106">
      <c r="A106">
        <f>ROW()-2</f>
        <v/>
      </c>
      <c r="B106">
        <f>$A106/150</f>
        <v/>
      </c>
      <c r="C106">
        <f>'Feasibility IQ'!$AA$4</f>
        <v/>
      </c>
      <c r="D106">
        <f>'Feasibility IQ'!$AA$5</f>
        <v/>
      </c>
      <c r="E106">
        <f>'Feasibility IQ'!$AA$6</f>
        <v/>
      </c>
      <c r="F106">
        <f>'Feasibility IQ'!$AA$7</f>
        <v/>
      </c>
      <c r="G106">
        <f>'Feasibility IQ'!$AA$8</f>
        <v/>
      </c>
      <c r="H106">
        <f>IF(OR($G106="",$G106=0),"",SIN((1-$B106)*$G106)/SIN($G106))</f>
        <v/>
      </c>
      <c r="I106">
        <f>IF($H106="","",SIN($B106*$G106)/SIN($G106))</f>
        <v/>
      </c>
      <c r="J106">
        <f>IF($H106="","",$H106*COS(RADIANS($C106))*COS(RADIANS($D106))+$I106*COS(RADIANS($E106))*COS(RADIANS($F106)))</f>
        <v/>
      </c>
      <c r="K106">
        <f>IF($H106="","",$H106*COS(RADIANS($C106))*SIN(RADIANS($D106))+$I106*COS(RADIANS($E106))*SIN(RADIANS($F106)))</f>
        <v/>
      </c>
      <c r="L106">
        <f>IF($H106="","",$H106*SIN(RADIANS($C106))+$I106*SIN(RADIANS($E106)))</f>
        <v/>
      </c>
      <c r="M106">
        <f>IF($L106="","",DEGREES(ATAN2(SQRT($J106^2+$K106^2),$L106)))</f>
        <v/>
      </c>
      <c r="N106">
        <f>IF($L106="","",DEGREES(ATAN2($J106,$K106)))</f>
        <v/>
      </c>
      <c r="O106">
        <f t="array" ref="O106">IF($M106="","",IFERROR(IF(INDEX(geo_grid!$B$2:$JU$231,INT(($M106+40)/0.5)+1,INT(($N106+30)/0.5)+1)="","",INDEX(geo_grid!$B$2:$JU$231,INT(($M106+40)/0.5)+1,INT(($N106+30)/0.5)+1)),"OUTSIDE GRID"))</f>
        <v/>
      </c>
      <c r="Q106">
        <f>IF(countries!$D106="","",countries!$D106)</f>
        <v/>
      </c>
      <c r="R106">
        <f>IF($Q106="","",countries!$B106)</f>
        <v/>
      </c>
      <c r="S106">
        <f>IF($Q106="","",IF(OR($Q106='Feasibility IQ'!$AA$9,$Q106='Feasibility IQ'!$AA$10),0,COUNTIF($O$2:$O$152,$Q106)))</f>
        <v/>
      </c>
      <c r="T106">
        <f>IF($S106=0,"",_xlfn.MINIFS($A$2:$A$152,$O$2:$O$152,$Q106))</f>
        <v/>
      </c>
      <c r="U106">
        <f t="array" ref="U106">IF($S106=0,"",SUMPRODUCT(($S$2:$S$143&gt;0)*($T$2:$T$143&lt;$T106))+1)</f>
        <v/>
      </c>
    </row>
    <row r="107">
      <c r="A107">
        <f>ROW()-2</f>
        <v/>
      </c>
      <c r="B107">
        <f>$A107/150</f>
        <v/>
      </c>
      <c r="C107">
        <f>'Feasibility IQ'!$AA$4</f>
        <v/>
      </c>
      <c r="D107">
        <f>'Feasibility IQ'!$AA$5</f>
        <v/>
      </c>
      <c r="E107">
        <f>'Feasibility IQ'!$AA$6</f>
        <v/>
      </c>
      <c r="F107">
        <f>'Feasibility IQ'!$AA$7</f>
        <v/>
      </c>
      <c r="G107">
        <f>'Feasibility IQ'!$AA$8</f>
        <v/>
      </c>
      <c r="H107">
        <f>IF(OR($G107="",$G107=0),"",SIN((1-$B107)*$G107)/SIN($G107))</f>
        <v/>
      </c>
      <c r="I107">
        <f>IF($H107="","",SIN($B107*$G107)/SIN($G107))</f>
        <v/>
      </c>
      <c r="J107">
        <f>IF($H107="","",$H107*COS(RADIANS($C107))*COS(RADIANS($D107))+$I107*COS(RADIANS($E107))*COS(RADIANS($F107)))</f>
        <v/>
      </c>
      <c r="K107">
        <f>IF($H107="","",$H107*COS(RADIANS($C107))*SIN(RADIANS($D107))+$I107*COS(RADIANS($E107))*SIN(RADIANS($F107)))</f>
        <v/>
      </c>
      <c r="L107">
        <f>IF($H107="","",$H107*SIN(RADIANS($C107))+$I107*SIN(RADIANS($E107)))</f>
        <v/>
      </c>
      <c r="M107">
        <f>IF($L107="","",DEGREES(ATAN2(SQRT($J107^2+$K107^2),$L107)))</f>
        <v/>
      </c>
      <c r="N107">
        <f>IF($L107="","",DEGREES(ATAN2($J107,$K107)))</f>
        <v/>
      </c>
      <c r="O107">
        <f t="array" ref="O107">IF($M107="","",IFERROR(IF(INDEX(geo_grid!$B$2:$JU$231,INT(($M107+40)/0.5)+1,INT(($N107+30)/0.5)+1)="","",INDEX(geo_grid!$B$2:$JU$231,INT(($M107+40)/0.5)+1,INT(($N107+30)/0.5)+1)),"OUTSIDE GRID"))</f>
        <v/>
      </c>
      <c r="Q107">
        <f>IF(countries!$D107="","",countries!$D107)</f>
        <v/>
      </c>
      <c r="R107">
        <f>IF($Q107="","",countries!$B107)</f>
        <v/>
      </c>
      <c r="S107">
        <f>IF($Q107="","",IF(OR($Q107='Feasibility IQ'!$AA$9,$Q107='Feasibility IQ'!$AA$10),0,COUNTIF($O$2:$O$152,$Q107)))</f>
        <v/>
      </c>
      <c r="T107">
        <f>IF($S107=0,"",_xlfn.MINIFS($A$2:$A$152,$O$2:$O$152,$Q107))</f>
        <v/>
      </c>
      <c r="U107">
        <f t="array" ref="U107">IF($S107=0,"",SUMPRODUCT(($S$2:$S$143&gt;0)*($T$2:$T$143&lt;$T107))+1)</f>
        <v/>
      </c>
    </row>
    <row r="108">
      <c r="A108">
        <f>ROW()-2</f>
        <v/>
      </c>
      <c r="B108">
        <f>$A108/150</f>
        <v/>
      </c>
      <c r="C108">
        <f>'Feasibility IQ'!$AA$4</f>
        <v/>
      </c>
      <c r="D108">
        <f>'Feasibility IQ'!$AA$5</f>
        <v/>
      </c>
      <c r="E108">
        <f>'Feasibility IQ'!$AA$6</f>
        <v/>
      </c>
      <c r="F108">
        <f>'Feasibility IQ'!$AA$7</f>
        <v/>
      </c>
      <c r="G108">
        <f>'Feasibility IQ'!$AA$8</f>
        <v/>
      </c>
      <c r="H108">
        <f>IF(OR($G108="",$G108=0),"",SIN((1-$B108)*$G108)/SIN($G108))</f>
        <v/>
      </c>
      <c r="I108">
        <f>IF($H108="","",SIN($B108*$G108)/SIN($G108))</f>
        <v/>
      </c>
      <c r="J108">
        <f>IF($H108="","",$H108*COS(RADIANS($C108))*COS(RADIANS($D108))+$I108*COS(RADIANS($E108))*COS(RADIANS($F108)))</f>
        <v/>
      </c>
      <c r="K108">
        <f>IF($H108="","",$H108*COS(RADIANS($C108))*SIN(RADIANS($D108))+$I108*COS(RADIANS($E108))*SIN(RADIANS($F108)))</f>
        <v/>
      </c>
      <c r="L108">
        <f>IF($H108="","",$H108*SIN(RADIANS($C108))+$I108*SIN(RADIANS($E108)))</f>
        <v/>
      </c>
      <c r="M108">
        <f>IF($L108="","",DEGREES(ATAN2(SQRT($J108^2+$K108^2),$L108)))</f>
        <v/>
      </c>
      <c r="N108">
        <f>IF($L108="","",DEGREES(ATAN2($J108,$K108)))</f>
        <v/>
      </c>
      <c r="O108">
        <f t="array" ref="O108">IF($M108="","",IFERROR(IF(INDEX(geo_grid!$B$2:$JU$231,INT(($M108+40)/0.5)+1,INT(($N108+30)/0.5)+1)="","",INDEX(geo_grid!$B$2:$JU$231,INT(($M108+40)/0.5)+1,INT(($N108+30)/0.5)+1)),"OUTSIDE GRID"))</f>
        <v/>
      </c>
      <c r="Q108">
        <f>IF(countries!$D108="","",countries!$D108)</f>
        <v/>
      </c>
      <c r="R108">
        <f>IF($Q108="","",countries!$B108)</f>
        <v/>
      </c>
      <c r="S108">
        <f>IF($Q108="","",IF(OR($Q108='Feasibility IQ'!$AA$9,$Q108='Feasibility IQ'!$AA$10),0,COUNTIF($O$2:$O$152,$Q108)))</f>
        <v/>
      </c>
      <c r="T108">
        <f>IF($S108=0,"",_xlfn.MINIFS($A$2:$A$152,$O$2:$O$152,$Q108))</f>
        <v/>
      </c>
      <c r="U108">
        <f t="array" ref="U108">IF($S108=0,"",SUMPRODUCT(($S$2:$S$143&gt;0)*($T$2:$T$143&lt;$T108))+1)</f>
        <v/>
      </c>
    </row>
    <row r="109">
      <c r="A109">
        <f>ROW()-2</f>
        <v/>
      </c>
      <c r="B109">
        <f>$A109/150</f>
        <v/>
      </c>
      <c r="C109">
        <f>'Feasibility IQ'!$AA$4</f>
        <v/>
      </c>
      <c r="D109">
        <f>'Feasibility IQ'!$AA$5</f>
        <v/>
      </c>
      <c r="E109">
        <f>'Feasibility IQ'!$AA$6</f>
        <v/>
      </c>
      <c r="F109">
        <f>'Feasibility IQ'!$AA$7</f>
        <v/>
      </c>
      <c r="G109">
        <f>'Feasibility IQ'!$AA$8</f>
        <v/>
      </c>
      <c r="H109">
        <f>IF(OR($G109="",$G109=0),"",SIN((1-$B109)*$G109)/SIN($G109))</f>
        <v/>
      </c>
      <c r="I109">
        <f>IF($H109="","",SIN($B109*$G109)/SIN($G109))</f>
        <v/>
      </c>
      <c r="J109">
        <f>IF($H109="","",$H109*COS(RADIANS($C109))*COS(RADIANS($D109))+$I109*COS(RADIANS($E109))*COS(RADIANS($F109)))</f>
        <v/>
      </c>
      <c r="K109">
        <f>IF($H109="","",$H109*COS(RADIANS($C109))*SIN(RADIANS($D109))+$I109*COS(RADIANS($E109))*SIN(RADIANS($F109)))</f>
        <v/>
      </c>
      <c r="L109">
        <f>IF($H109="","",$H109*SIN(RADIANS($C109))+$I109*SIN(RADIANS($E109)))</f>
        <v/>
      </c>
      <c r="M109">
        <f>IF($L109="","",DEGREES(ATAN2(SQRT($J109^2+$K109^2),$L109)))</f>
        <v/>
      </c>
      <c r="N109">
        <f>IF($L109="","",DEGREES(ATAN2($J109,$K109)))</f>
        <v/>
      </c>
      <c r="O109">
        <f t="array" ref="O109">IF($M109="","",IFERROR(IF(INDEX(geo_grid!$B$2:$JU$231,INT(($M109+40)/0.5)+1,INT(($N109+30)/0.5)+1)="","",INDEX(geo_grid!$B$2:$JU$231,INT(($M109+40)/0.5)+1,INT(($N109+30)/0.5)+1)),"OUTSIDE GRID"))</f>
        <v/>
      </c>
      <c r="Q109">
        <f>IF(countries!$D109="","",countries!$D109)</f>
        <v/>
      </c>
      <c r="R109">
        <f>IF($Q109="","",countries!$B109)</f>
        <v/>
      </c>
      <c r="S109">
        <f>IF($Q109="","",IF(OR($Q109='Feasibility IQ'!$AA$9,$Q109='Feasibility IQ'!$AA$10),0,COUNTIF($O$2:$O$152,$Q109)))</f>
        <v/>
      </c>
      <c r="T109">
        <f>IF($S109=0,"",_xlfn.MINIFS($A$2:$A$152,$O$2:$O$152,$Q109))</f>
        <v/>
      </c>
      <c r="U109">
        <f t="array" ref="U109">IF($S109=0,"",SUMPRODUCT(($S$2:$S$143&gt;0)*($T$2:$T$143&lt;$T109))+1)</f>
        <v/>
      </c>
    </row>
    <row r="110">
      <c r="A110">
        <f>ROW()-2</f>
        <v/>
      </c>
      <c r="B110">
        <f>$A110/150</f>
        <v/>
      </c>
      <c r="C110">
        <f>'Feasibility IQ'!$AA$4</f>
        <v/>
      </c>
      <c r="D110">
        <f>'Feasibility IQ'!$AA$5</f>
        <v/>
      </c>
      <c r="E110">
        <f>'Feasibility IQ'!$AA$6</f>
        <v/>
      </c>
      <c r="F110">
        <f>'Feasibility IQ'!$AA$7</f>
        <v/>
      </c>
      <c r="G110">
        <f>'Feasibility IQ'!$AA$8</f>
        <v/>
      </c>
      <c r="H110">
        <f>IF(OR($G110="",$G110=0),"",SIN((1-$B110)*$G110)/SIN($G110))</f>
        <v/>
      </c>
      <c r="I110">
        <f>IF($H110="","",SIN($B110*$G110)/SIN($G110))</f>
        <v/>
      </c>
      <c r="J110">
        <f>IF($H110="","",$H110*COS(RADIANS($C110))*COS(RADIANS($D110))+$I110*COS(RADIANS($E110))*COS(RADIANS($F110)))</f>
        <v/>
      </c>
      <c r="K110">
        <f>IF($H110="","",$H110*COS(RADIANS($C110))*SIN(RADIANS($D110))+$I110*COS(RADIANS($E110))*SIN(RADIANS($F110)))</f>
        <v/>
      </c>
      <c r="L110">
        <f>IF($H110="","",$H110*SIN(RADIANS($C110))+$I110*SIN(RADIANS($E110)))</f>
        <v/>
      </c>
      <c r="M110">
        <f>IF($L110="","",DEGREES(ATAN2(SQRT($J110^2+$K110^2),$L110)))</f>
        <v/>
      </c>
      <c r="N110">
        <f>IF($L110="","",DEGREES(ATAN2($J110,$K110)))</f>
        <v/>
      </c>
      <c r="O110">
        <f t="array" ref="O110">IF($M110="","",IFERROR(IF(INDEX(geo_grid!$B$2:$JU$231,INT(($M110+40)/0.5)+1,INT(($N110+30)/0.5)+1)="","",INDEX(geo_grid!$B$2:$JU$231,INT(($M110+40)/0.5)+1,INT(($N110+30)/0.5)+1)),"OUTSIDE GRID"))</f>
        <v/>
      </c>
      <c r="Q110">
        <f>IF(countries!$D110="","",countries!$D110)</f>
        <v/>
      </c>
      <c r="R110">
        <f>IF($Q110="","",countries!$B110)</f>
        <v/>
      </c>
      <c r="S110">
        <f>IF($Q110="","",IF(OR($Q110='Feasibility IQ'!$AA$9,$Q110='Feasibility IQ'!$AA$10),0,COUNTIF($O$2:$O$152,$Q110)))</f>
        <v/>
      </c>
      <c r="T110">
        <f>IF($S110=0,"",_xlfn.MINIFS($A$2:$A$152,$O$2:$O$152,$Q110))</f>
        <v/>
      </c>
      <c r="U110">
        <f t="array" ref="U110">IF($S110=0,"",SUMPRODUCT(($S$2:$S$143&gt;0)*($T$2:$T$143&lt;$T110))+1)</f>
        <v/>
      </c>
    </row>
    <row r="111">
      <c r="A111">
        <f>ROW()-2</f>
        <v/>
      </c>
      <c r="B111">
        <f>$A111/150</f>
        <v/>
      </c>
      <c r="C111">
        <f>'Feasibility IQ'!$AA$4</f>
        <v/>
      </c>
      <c r="D111">
        <f>'Feasibility IQ'!$AA$5</f>
        <v/>
      </c>
      <c r="E111">
        <f>'Feasibility IQ'!$AA$6</f>
        <v/>
      </c>
      <c r="F111">
        <f>'Feasibility IQ'!$AA$7</f>
        <v/>
      </c>
      <c r="G111">
        <f>'Feasibility IQ'!$AA$8</f>
        <v/>
      </c>
      <c r="H111">
        <f>IF(OR($G111="",$G111=0),"",SIN((1-$B111)*$G111)/SIN($G111))</f>
        <v/>
      </c>
      <c r="I111">
        <f>IF($H111="","",SIN($B111*$G111)/SIN($G111))</f>
        <v/>
      </c>
      <c r="J111">
        <f>IF($H111="","",$H111*COS(RADIANS($C111))*COS(RADIANS($D111))+$I111*COS(RADIANS($E111))*COS(RADIANS($F111)))</f>
        <v/>
      </c>
      <c r="K111">
        <f>IF($H111="","",$H111*COS(RADIANS($C111))*SIN(RADIANS($D111))+$I111*COS(RADIANS($E111))*SIN(RADIANS($F111)))</f>
        <v/>
      </c>
      <c r="L111">
        <f>IF($H111="","",$H111*SIN(RADIANS($C111))+$I111*SIN(RADIANS($E111)))</f>
        <v/>
      </c>
      <c r="M111">
        <f>IF($L111="","",DEGREES(ATAN2(SQRT($J111^2+$K111^2),$L111)))</f>
        <v/>
      </c>
      <c r="N111">
        <f>IF($L111="","",DEGREES(ATAN2($J111,$K111)))</f>
        <v/>
      </c>
      <c r="O111">
        <f t="array" ref="O111">IF($M111="","",IFERROR(IF(INDEX(geo_grid!$B$2:$JU$231,INT(($M111+40)/0.5)+1,INT(($N111+30)/0.5)+1)="","",INDEX(geo_grid!$B$2:$JU$231,INT(($M111+40)/0.5)+1,INT(($N111+30)/0.5)+1)),"OUTSIDE GRID"))</f>
        <v/>
      </c>
      <c r="Q111">
        <f>IF(countries!$D111="","",countries!$D111)</f>
        <v/>
      </c>
      <c r="R111">
        <f>IF($Q111="","",countries!$B111)</f>
        <v/>
      </c>
      <c r="S111">
        <f>IF($Q111="","",IF(OR($Q111='Feasibility IQ'!$AA$9,$Q111='Feasibility IQ'!$AA$10),0,COUNTIF($O$2:$O$152,$Q111)))</f>
        <v/>
      </c>
      <c r="T111">
        <f>IF($S111=0,"",_xlfn.MINIFS($A$2:$A$152,$O$2:$O$152,$Q111))</f>
        <v/>
      </c>
      <c r="U111">
        <f t="array" ref="U111">IF($S111=0,"",SUMPRODUCT(($S$2:$S$143&gt;0)*($T$2:$T$143&lt;$T111))+1)</f>
        <v/>
      </c>
    </row>
    <row r="112">
      <c r="A112">
        <f>ROW()-2</f>
        <v/>
      </c>
      <c r="B112">
        <f>$A112/150</f>
        <v/>
      </c>
      <c r="C112">
        <f>'Feasibility IQ'!$AA$4</f>
        <v/>
      </c>
      <c r="D112">
        <f>'Feasibility IQ'!$AA$5</f>
        <v/>
      </c>
      <c r="E112">
        <f>'Feasibility IQ'!$AA$6</f>
        <v/>
      </c>
      <c r="F112">
        <f>'Feasibility IQ'!$AA$7</f>
        <v/>
      </c>
      <c r="G112">
        <f>'Feasibility IQ'!$AA$8</f>
        <v/>
      </c>
      <c r="H112">
        <f>IF(OR($G112="",$G112=0),"",SIN((1-$B112)*$G112)/SIN($G112))</f>
        <v/>
      </c>
      <c r="I112">
        <f>IF($H112="","",SIN($B112*$G112)/SIN($G112))</f>
        <v/>
      </c>
      <c r="J112">
        <f>IF($H112="","",$H112*COS(RADIANS($C112))*COS(RADIANS($D112))+$I112*COS(RADIANS($E112))*COS(RADIANS($F112)))</f>
        <v/>
      </c>
      <c r="K112">
        <f>IF($H112="","",$H112*COS(RADIANS($C112))*SIN(RADIANS($D112))+$I112*COS(RADIANS($E112))*SIN(RADIANS($F112)))</f>
        <v/>
      </c>
      <c r="L112">
        <f>IF($H112="","",$H112*SIN(RADIANS($C112))+$I112*SIN(RADIANS($E112)))</f>
        <v/>
      </c>
      <c r="M112">
        <f>IF($L112="","",DEGREES(ATAN2(SQRT($J112^2+$K112^2),$L112)))</f>
        <v/>
      </c>
      <c r="N112">
        <f>IF($L112="","",DEGREES(ATAN2($J112,$K112)))</f>
        <v/>
      </c>
      <c r="O112">
        <f t="array" ref="O112">IF($M112="","",IFERROR(IF(INDEX(geo_grid!$B$2:$JU$231,INT(($M112+40)/0.5)+1,INT(($N112+30)/0.5)+1)="","",INDEX(geo_grid!$B$2:$JU$231,INT(($M112+40)/0.5)+1,INT(($N112+30)/0.5)+1)),"OUTSIDE GRID"))</f>
        <v/>
      </c>
      <c r="Q112">
        <f>IF(countries!$D112="","",countries!$D112)</f>
        <v/>
      </c>
      <c r="R112">
        <f>IF($Q112="","",countries!$B112)</f>
        <v/>
      </c>
      <c r="S112">
        <f>IF($Q112="","",IF(OR($Q112='Feasibility IQ'!$AA$9,$Q112='Feasibility IQ'!$AA$10),0,COUNTIF($O$2:$O$152,$Q112)))</f>
        <v/>
      </c>
      <c r="T112">
        <f>IF($S112=0,"",_xlfn.MINIFS($A$2:$A$152,$O$2:$O$152,$Q112))</f>
        <v/>
      </c>
      <c r="U112">
        <f t="array" ref="U112">IF($S112=0,"",SUMPRODUCT(($S$2:$S$143&gt;0)*($T$2:$T$143&lt;$T112))+1)</f>
        <v/>
      </c>
    </row>
    <row r="113">
      <c r="A113">
        <f>ROW()-2</f>
        <v/>
      </c>
      <c r="B113">
        <f>$A113/150</f>
        <v/>
      </c>
      <c r="C113">
        <f>'Feasibility IQ'!$AA$4</f>
        <v/>
      </c>
      <c r="D113">
        <f>'Feasibility IQ'!$AA$5</f>
        <v/>
      </c>
      <c r="E113">
        <f>'Feasibility IQ'!$AA$6</f>
        <v/>
      </c>
      <c r="F113">
        <f>'Feasibility IQ'!$AA$7</f>
        <v/>
      </c>
      <c r="G113">
        <f>'Feasibility IQ'!$AA$8</f>
        <v/>
      </c>
      <c r="H113">
        <f>IF(OR($G113="",$G113=0),"",SIN((1-$B113)*$G113)/SIN($G113))</f>
        <v/>
      </c>
      <c r="I113">
        <f>IF($H113="","",SIN($B113*$G113)/SIN($G113))</f>
        <v/>
      </c>
      <c r="J113">
        <f>IF($H113="","",$H113*COS(RADIANS($C113))*COS(RADIANS($D113))+$I113*COS(RADIANS($E113))*COS(RADIANS($F113)))</f>
        <v/>
      </c>
      <c r="K113">
        <f>IF($H113="","",$H113*COS(RADIANS($C113))*SIN(RADIANS($D113))+$I113*COS(RADIANS($E113))*SIN(RADIANS($F113)))</f>
        <v/>
      </c>
      <c r="L113">
        <f>IF($H113="","",$H113*SIN(RADIANS($C113))+$I113*SIN(RADIANS($E113)))</f>
        <v/>
      </c>
      <c r="M113">
        <f>IF($L113="","",DEGREES(ATAN2(SQRT($J113^2+$K113^2),$L113)))</f>
        <v/>
      </c>
      <c r="N113">
        <f>IF($L113="","",DEGREES(ATAN2($J113,$K113)))</f>
        <v/>
      </c>
      <c r="O113">
        <f t="array" ref="O113">IF($M113="","",IFERROR(IF(INDEX(geo_grid!$B$2:$JU$231,INT(($M113+40)/0.5)+1,INT(($N113+30)/0.5)+1)="","",INDEX(geo_grid!$B$2:$JU$231,INT(($M113+40)/0.5)+1,INT(($N113+30)/0.5)+1)),"OUTSIDE GRID"))</f>
        <v/>
      </c>
      <c r="Q113">
        <f>IF(countries!$D113="","",countries!$D113)</f>
        <v/>
      </c>
      <c r="R113">
        <f>IF($Q113="","",countries!$B113)</f>
        <v/>
      </c>
      <c r="S113">
        <f>IF($Q113="","",IF(OR($Q113='Feasibility IQ'!$AA$9,$Q113='Feasibility IQ'!$AA$10),0,COUNTIF($O$2:$O$152,$Q113)))</f>
        <v/>
      </c>
      <c r="T113">
        <f>IF($S113=0,"",_xlfn.MINIFS($A$2:$A$152,$O$2:$O$152,$Q113))</f>
        <v/>
      </c>
      <c r="U113">
        <f t="array" ref="U113">IF($S113=0,"",SUMPRODUCT(($S$2:$S$143&gt;0)*($T$2:$T$143&lt;$T113))+1)</f>
        <v/>
      </c>
    </row>
    <row r="114">
      <c r="A114">
        <f>ROW()-2</f>
        <v/>
      </c>
      <c r="B114">
        <f>$A114/150</f>
        <v/>
      </c>
      <c r="C114">
        <f>'Feasibility IQ'!$AA$4</f>
        <v/>
      </c>
      <c r="D114">
        <f>'Feasibility IQ'!$AA$5</f>
        <v/>
      </c>
      <c r="E114">
        <f>'Feasibility IQ'!$AA$6</f>
        <v/>
      </c>
      <c r="F114">
        <f>'Feasibility IQ'!$AA$7</f>
        <v/>
      </c>
      <c r="G114">
        <f>'Feasibility IQ'!$AA$8</f>
        <v/>
      </c>
      <c r="H114">
        <f>IF(OR($G114="",$G114=0),"",SIN((1-$B114)*$G114)/SIN($G114))</f>
        <v/>
      </c>
      <c r="I114">
        <f>IF($H114="","",SIN($B114*$G114)/SIN($G114))</f>
        <v/>
      </c>
      <c r="J114">
        <f>IF($H114="","",$H114*COS(RADIANS($C114))*COS(RADIANS($D114))+$I114*COS(RADIANS($E114))*COS(RADIANS($F114)))</f>
        <v/>
      </c>
      <c r="K114">
        <f>IF($H114="","",$H114*COS(RADIANS($C114))*SIN(RADIANS($D114))+$I114*COS(RADIANS($E114))*SIN(RADIANS($F114)))</f>
        <v/>
      </c>
      <c r="L114">
        <f>IF($H114="","",$H114*SIN(RADIANS($C114))+$I114*SIN(RADIANS($E114)))</f>
        <v/>
      </c>
      <c r="M114">
        <f>IF($L114="","",DEGREES(ATAN2(SQRT($J114^2+$K114^2),$L114)))</f>
        <v/>
      </c>
      <c r="N114">
        <f>IF($L114="","",DEGREES(ATAN2($J114,$K114)))</f>
        <v/>
      </c>
      <c r="O114">
        <f t="array" ref="O114">IF($M114="","",IFERROR(IF(INDEX(geo_grid!$B$2:$JU$231,INT(($M114+40)/0.5)+1,INT(($N114+30)/0.5)+1)="","",INDEX(geo_grid!$B$2:$JU$231,INT(($M114+40)/0.5)+1,INT(($N114+30)/0.5)+1)),"OUTSIDE GRID"))</f>
        <v/>
      </c>
      <c r="Q114">
        <f>IF(countries!$D114="","",countries!$D114)</f>
        <v/>
      </c>
      <c r="R114">
        <f>IF($Q114="","",countries!$B114)</f>
        <v/>
      </c>
      <c r="S114">
        <f>IF($Q114="","",IF(OR($Q114='Feasibility IQ'!$AA$9,$Q114='Feasibility IQ'!$AA$10),0,COUNTIF($O$2:$O$152,$Q114)))</f>
        <v/>
      </c>
      <c r="T114">
        <f>IF($S114=0,"",_xlfn.MINIFS($A$2:$A$152,$O$2:$O$152,$Q114))</f>
        <v/>
      </c>
      <c r="U114">
        <f t="array" ref="U114">IF($S114=0,"",SUMPRODUCT(($S$2:$S$143&gt;0)*($T$2:$T$143&lt;$T114))+1)</f>
        <v/>
      </c>
    </row>
    <row r="115">
      <c r="A115">
        <f>ROW()-2</f>
        <v/>
      </c>
      <c r="B115">
        <f>$A115/150</f>
        <v/>
      </c>
      <c r="C115">
        <f>'Feasibility IQ'!$AA$4</f>
        <v/>
      </c>
      <c r="D115">
        <f>'Feasibility IQ'!$AA$5</f>
        <v/>
      </c>
      <c r="E115">
        <f>'Feasibility IQ'!$AA$6</f>
        <v/>
      </c>
      <c r="F115">
        <f>'Feasibility IQ'!$AA$7</f>
        <v/>
      </c>
      <c r="G115">
        <f>'Feasibility IQ'!$AA$8</f>
        <v/>
      </c>
      <c r="H115">
        <f>IF(OR($G115="",$G115=0),"",SIN((1-$B115)*$G115)/SIN($G115))</f>
        <v/>
      </c>
      <c r="I115">
        <f>IF($H115="","",SIN($B115*$G115)/SIN($G115))</f>
        <v/>
      </c>
      <c r="J115">
        <f>IF($H115="","",$H115*COS(RADIANS($C115))*COS(RADIANS($D115))+$I115*COS(RADIANS($E115))*COS(RADIANS($F115)))</f>
        <v/>
      </c>
      <c r="K115">
        <f>IF($H115="","",$H115*COS(RADIANS($C115))*SIN(RADIANS($D115))+$I115*COS(RADIANS($E115))*SIN(RADIANS($F115)))</f>
        <v/>
      </c>
      <c r="L115">
        <f>IF($H115="","",$H115*SIN(RADIANS($C115))+$I115*SIN(RADIANS($E115)))</f>
        <v/>
      </c>
      <c r="M115">
        <f>IF($L115="","",DEGREES(ATAN2(SQRT($J115^2+$K115^2),$L115)))</f>
        <v/>
      </c>
      <c r="N115">
        <f>IF($L115="","",DEGREES(ATAN2($J115,$K115)))</f>
        <v/>
      </c>
      <c r="O115">
        <f t="array" ref="O115">IF($M115="","",IFERROR(IF(INDEX(geo_grid!$B$2:$JU$231,INT(($M115+40)/0.5)+1,INT(($N115+30)/0.5)+1)="","",INDEX(geo_grid!$B$2:$JU$231,INT(($M115+40)/0.5)+1,INT(($N115+30)/0.5)+1)),"OUTSIDE GRID"))</f>
        <v/>
      </c>
      <c r="Q115">
        <f>IF(countries!$D115="","",countries!$D115)</f>
        <v/>
      </c>
      <c r="R115">
        <f>IF($Q115="","",countries!$B115)</f>
        <v/>
      </c>
      <c r="S115">
        <f>IF($Q115="","",IF(OR($Q115='Feasibility IQ'!$AA$9,$Q115='Feasibility IQ'!$AA$10),0,COUNTIF($O$2:$O$152,$Q115)))</f>
        <v/>
      </c>
      <c r="T115">
        <f>IF($S115=0,"",_xlfn.MINIFS($A$2:$A$152,$O$2:$O$152,$Q115))</f>
        <v/>
      </c>
      <c r="U115">
        <f t="array" ref="U115">IF($S115=0,"",SUMPRODUCT(($S$2:$S$143&gt;0)*($T$2:$T$143&lt;$T115))+1)</f>
        <v/>
      </c>
    </row>
    <row r="116">
      <c r="A116">
        <f>ROW()-2</f>
        <v/>
      </c>
      <c r="B116">
        <f>$A116/150</f>
        <v/>
      </c>
      <c r="C116">
        <f>'Feasibility IQ'!$AA$4</f>
        <v/>
      </c>
      <c r="D116">
        <f>'Feasibility IQ'!$AA$5</f>
        <v/>
      </c>
      <c r="E116">
        <f>'Feasibility IQ'!$AA$6</f>
        <v/>
      </c>
      <c r="F116">
        <f>'Feasibility IQ'!$AA$7</f>
        <v/>
      </c>
      <c r="G116">
        <f>'Feasibility IQ'!$AA$8</f>
        <v/>
      </c>
      <c r="H116">
        <f>IF(OR($G116="",$G116=0),"",SIN((1-$B116)*$G116)/SIN($G116))</f>
        <v/>
      </c>
      <c r="I116">
        <f>IF($H116="","",SIN($B116*$G116)/SIN($G116))</f>
        <v/>
      </c>
      <c r="J116">
        <f>IF($H116="","",$H116*COS(RADIANS($C116))*COS(RADIANS($D116))+$I116*COS(RADIANS($E116))*COS(RADIANS($F116)))</f>
        <v/>
      </c>
      <c r="K116">
        <f>IF($H116="","",$H116*COS(RADIANS($C116))*SIN(RADIANS($D116))+$I116*COS(RADIANS($E116))*SIN(RADIANS($F116)))</f>
        <v/>
      </c>
      <c r="L116">
        <f>IF($H116="","",$H116*SIN(RADIANS($C116))+$I116*SIN(RADIANS($E116)))</f>
        <v/>
      </c>
      <c r="M116">
        <f>IF($L116="","",DEGREES(ATAN2(SQRT($J116^2+$K116^2),$L116)))</f>
        <v/>
      </c>
      <c r="N116">
        <f>IF($L116="","",DEGREES(ATAN2($J116,$K116)))</f>
        <v/>
      </c>
      <c r="O116">
        <f t="array" ref="O116">IF($M116="","",IFERROR(IF(INDEX(geo_grid!$B$2:$JU$231,INT(($M116+40)/0.5)+1,INT(($N116+30)/0.5)+1)="","",INDEX(geo_grid!$B$2:$JU$231,INT(($M116+40)/0.5)+1,INT(($N116+30)/0.5)+1)),"OUTSIDE GRID"))</f>
        <v/>
      </c>
      <c r="Q116">
        <f>IF(countries!$D116="","",countries!$D116)</f>
        <v/>
      </c>
      <c r="R116">
        <f>IF($Q116="","",countries!$B116)</f>
        <v/>
      </c>
      <c r="S116">
        <f>IF($Q116="","",IF(OR($Q116='Feasibility IQ'!$AA$9,$Q116='Feasibility IQ'!$AA$10),0,COUNTIF($O$2:$O$152,$Q116)))</f>
        <v/>
      </c>
      <c r="T116">
        <f>IF($S116=0,"",_xlfn.MINIFS($A$2:$A$152,$O$2:$O$152,$Q116))</f>
        <v/>
      </c>
      <c r="U116">
        <f t="array" ref="U116">IF($S116=0,"",SUMPRODUCT(($S$2:$S$143&gt;0)*($T$2:$T$143&lt;$T116))+1)</f>
        <v/>
      </c>
    </row>
    <row r="117">
      <c r="A117">
        <f>ROW()-2</f>
        <v/>
      </c>
      <c r="B117">
        <f>$A117/150</f>
        <v/>
      </c>
      <c r="C117">
        <f>'Feasibility IQ'!$AA$4</f>
        <v/>
      </c>
      <c r="D117">
        <f>'Feasibility IQ'!$AA$5</f>
        <v/>
      </c>
      <c r="E117">
        <f>'Feasibility IQ'!$AA$6</f>
        <v/>
      </c>
      <c r="F117">
        <f>'Feasibility IQ'!$AA$7</f>
        <v/>
      </c>
      <c r="G117">
        <f>'Feasibility IQ'!$AA$8</f>
        <v/>
      </c>
      <c r="H117">
        <f>IF(OR($G117="",$G117=0),"",SIN((1-$B117)*$G117)/SIN($G117))</f>
        <v/>
      </c>
      <c r="I117">
        <f>IF($H117="","",SIN($B117*$G117)/SIN($G117))</f>
        <v/>
      </c>
      <c r="J117">
        <f>IF($H117="","",$H117*COS(RADIANS($C117))*COS(RADIANS($D117))+$I117*COS(RADIANS($E117))*COS(RADIANS($F117)))</f>
        <v/>
      </c>
      <c r="K117">
        <f>IF($H117="","",$H117*COS(RADIANS($C117))*SIN(RADIANS($D117))+$I117*COS(RADIANS($E117))*SIN(RADIANS($F117)))</f>
        <v/>
      </c>
      <c r="L117">
        <f>IF($H117="","",$H117*SIN(RADIANS($C117))+$I117*SIN(RADIANS($E117)))</f>
        <v/>
      </c>
      <c r="M117">
        <f>IF($L117="","",DEGREES(ATAN2(SQRT($J117^2+$K117^2),$L117)))</f>
        <v/>
      </c>
      <c r="N117">
        <f>IF($L117="","",DEGREES(ATAN2($J117,$K117)))</f>
        <v/>
      </c>
      <c r="O117">
        <f t="array" ref="O117">IF($M117="","",IFERROR(IF(INDEX(geo_grid!$B$2:$JU$231,INT(($M117+40)/0.5)+1,INT(($N117+30)/0.5)+1)="","",INDEX(geo_grid!$B$2:$JU$231,INT(($M117+40)/0.5)+1,INT(($N117+30)/0.5)+1)),"OUTSIDE GRID"))</f>
        <v/>
      </c>
      <c r="Q117">
        <f>IF(countries!$D117="","",countries!$D117)</f>
        <v/>
      </c>
      <c r="R117">
        <f>IF($Q117="","",countries!$B117)</f>
        <v/>
      </c>
      <c r="S117">
        <f>IF($Q117="","",IF(OR($Q117='Feasibility IQ'!$AA$9,$Q117='Feasibility IQ'!$AA$10),0,COUNTIF($O$2:$O$152,$Q117)))</f>
        <v/>
      </c>
      <c r="T117">
        <f>IF($S117=0,"",_xlfn.MINIFS($A$2:$A$152,$O$2:$O$152,$Q117))</f>
        <v/>
      </c>
      <c r="U117">
        <f t="array" ref="U117">IF($S117=0,"",SUMPRODUCT(($S$2:$S$143&gt;0)*($T$2:$T$143&lt;$T117))+1)</f>
        <v/>
      </c>
    </row>
    <row r="118">
      <c r="A118">
        <f>ROW()-2</f>
        <v/>
      </c>
      <c r="B118">
        <f>$A118/150</f>
        <v/>
      </c>
      <c r="C118">
        <f>'Feasibility IQ'!$AA$4</f>
        <v/>
      </c>
      <c r="D118">
        <f>'Feasibility IQ'!$AA$5</f>
        <v/>
      </c>
      <c r="E118">
        <f>'Feasibility IQ'!$AA$6</f>
        <v/>
      </c>
      <c r="F118">
        <f>'Feasibility IQ'!$AA$7</f>
        <v/>
      </c>
      <c r="G118">
        <f>'Feasibility IQ'!$AA$8</f>
        <v/>
      </c>
      <c r="H118">
        <f>IF(OR($G118="",$G118=0),"",SIN((1-$B118)*$G118)/SIN($G118))</f>
        <v/>
      </c>
      <c r="I118">
        <f>IF($H118="","",SIN($B118*$G118)/SIN($G118))</f>
        <v/>
      </c>
      <c r="J118">
        <f>IF($H118="","",$H118*COS(RADIANS($C118))*COS(RADIANS($D118))+$I118*COS(RADIANS($E118))*COS(RADIANS($F118)))</f>
        <v/>
      </c>
      <c r="K118">
        <f>IF($H118="","",$H118*COS(RADIANS($C118))*SIN(RADIANS($D118))+$I118*COS(RADIANS($E118))*SIN(RADIANS($F118)))</f>
        <v/>
      </c>
      <c r="L118">
        <f>IF($H118="","",$H118*SIN(RADIANS($C118))+$I118*SIN(RADIANS($E118)))</f>
        <v/>
      </c>
      <c r="M118">
        <f>IF($L118="","",DEGREES(ATAN2(SQRT($J118^2+$K118^2),$L118)))</f>
        <v/>
      </c>
      <c r="N118">
        <f>IF($L118="","",DEGREES(ATAN2($J118,$K118)))</f>
        <v/>
      </c>
      <c r="O118">
        <f t="array" ref="O118">IF($M118="","",IFERROR(IF(INDEX(geo_grid!$B$2:$JU$231,INT(($M118+40)/0.5)+1,INT(($N118+30)/0.5)+1)="","",INDEX(geo_grid!$B$2:$JU$231,INT(($M118+40)/0.5)+1,INT(($N118+30)/0.5)+1)),"OUTSIDE GRID"))</f>
        <v/>
      </c>
      <c r="Q118">
        <f>IF(countries!$D118="","",countries!$D118)</f>
        <v/>
      </c>
      <c r="R118">
        <f>IF($Q118="","",countries!$B118)</f>
        <v/>
      </c>
      <c r="S118">
        <f>IF($Q118="","",IF(OR($Q118='Feasibility IQ'!$AA$9,$Q118='Feasibility IQ'!$AA$10),0,COUNTIF($O$2:$O$152,$Q118)))</f>
        <v/>
      </c>
      <c r="T118">
        <f>IF($S118=0,"",_xlfn.MINIFS($A$2:$A$152,$O$2:$O$152,$Q118))</f>
        <v/>
      </c>
      <c r="U118">
        <f t="array" ref="U118">IF($S118=0,"",SUMPRODUCT(($S$2:$S$143&gt;0)*($T$2:$T$143&lt;$T118))+1)</f>
        <v/>
      </c>
    </row>
    <row r="119">
      <c r="A119">
        <f>ROW()-2</f>
        <v/>
      </c>
      <c r="B119">
        <f>$A119/150</f>
        <v/>
      </c>
      <c r="C119">
        <f>'Feasibility IQ'!$AA$4</f>
        <v/>
      </c>
      <c r="D119">
        <f>'Feasibility IQ'!$AA$5</f>
        <v/>
      </c>
      <c r="E119">
        <f>'Feasibility IQ'!$AA$6</f>
        <v/>
      </c>
      <c r="F119">
        <f>'Feasibility IQ'!$AA$7</f>
        <v/>
      </c>
      <c r="G119">
        <f>'Feasibility IQ'!$AA$8</f>
        <v/>
      </c>
      <c r="H119">
        <f>IF(OR($G119="",$G119=0),"",SIN((1-$B119)*$G119)/SIN($G119))</f>
        <v/>
      </c>
      <c r="I119">
        <f>IF($H119="","",SIN($B119*$G119)/SIN($G119))</f>
        <v/>
      </c>
      <c r="J119">
        <f>IF($H119="","",$H119*COS(RADIANS($C119))*COS(RADIANS($D119))+$I119*COS(RADIANS($E119))*COS(RADIANS($F119)))</f>
        <v/>
      </c>
      <c r="K119">
        <f>IF($H119="","",$H119*COS(RADIANS($C119))*SIN(RADIANS($D119))+$I119*COS(RADIANS($E119))*SIN(RADIANS($F119)))</f>
        <v/>
      </c>
      <c r="L119">
        <f>IF($H119="","",$H119*SIN(RADIANS($C119))+$I119*SIN(RADIANS($E119)))</f>
        <v/>
      </c>
      <c r="M119">
        <f>IF($L119="","",DEGREES(ATAN2(SQRT($J119^2+$K119^2),$L119)))</f>
        <v/>
      </c>
      <c r="N119">
        <f>IF($L119="","",DEGREES(ATAN2($J119,$K119)))</f>
        <v/>
      </c>
      <c r="O119">
        <f t="array" ref="O119">IF($M119="","",IFERROR(IF(INDEX(geo_grid!$B$2:$JU$231,INT(($M119+40)/0.5)+1,INT(($N119+30)/0.5)+1)="","",INDEX(geo_grid!$B$2:$JU$231,INT(($M119+40)/0.5)+1,INT(($N119+30)/0.5)+1)),"OUTSIDE GRID"))</f>
        <v/>
      </c>
      <c r="Q119">
        <f>IF(countries!$D119="","",countries!$D119)</f>
        <v/>
      </c>
      <c r="R119">
        <f>IF($Q119="","",countries!$B119)</f>
        <v/>
      </c>
      <c r="S119">
        <f>IF($Q119="","",IF(OR($Q119='Feasibility IQ'!$AA$9,$Q119='Feasibility IQ'!$AA$10),0,COUNTIF($O$2:$O$152,$Q119)))</f>
        <v/>
      </c>
      <c r="T119">
        <f>IF($S119=0,"",_xlfn.MINIFS($A$2:$A$152,$O$2:$O$152,$Q119))</f>
        <v/>
      </c>
      <c r="U119">
        <f t="array" ref="U119">IF($S119=0,"",SUMPRODUCT(($S$2:$S$143&gt;0)*($T$2:$T$143&lt;$T119))+1)</f>
        <v/>
      </c>
    </row>
    <row r="120">
      <c r="A120">
        <f>ROW()-2</f>
        <v/>
      </c>
      <c r="B120">
        <f>$A120/150</f>
        <v/>
      </c>
      <c r="C120">
        <f>'Feasibility IQ'!$AA$4</f>
        <v/>
      </c>
      <c r="D120">
        <f>'Feasibility IQ'!$AA$5</f>
        <v/>
      </c>
      <c r="E120">
        <f>'Feasibility IQ'!$AA$6</f>
        <v/>
      </c>
      <c r="F120">
        <f>'Feasibility IQ'!$AA$7</f>
        <v/>
      </c>
      <c r="G120">
        <f>'Feasibility IQ'!$AA$8</f>
        <v/>
      </c>
      <c r="H120">
        <f>IF(OR($G120="",$G120=0),"",SIN((1-$B120)*$G120)/SIN($G120))</f>
        <v/>
      </c>
      <c r="I120">
        <f>IF($H120="","",SIN($B120*$G120)/SIN($G120))</f>
        <v/>
      </c>
      <c r="J120">
        <f>IF($H120="","",$H120*COS(RADIANS($C120))*COS(RADIANS($D120))+$I120*COS(RADIANS($E120))*COS(RADIANS($F120)))</f>
        <v/>
      </c>
      <c r="K120">
        <f>IF($H120="","",$H120*COS(RADIANS($C120))*SIN(RADIANS($D120))+$I120*COS(RADIANS($E120))*SIN(RADIANS($F120)))</f>
        <v/>
      </c>
      <c r="L120">
        <f>IF($H120="","",$H120*SIN(RADIANS($C120))+$I120*SIN(RADIANS($E120)))</f>
        <v/>
      </c>
      <c r="M120">
        <f>IF($L120="","",DEGREES(ATAN2(SQRT($J120^2+$K120^2),$L120)))</f>
        <v/>
      </c>
      <c r="N120">
        <f>IF($L120="","",DEGREES(ATAN2($J120,$K120)))</f>
        <v/>
      </c>
      <c r="O120">
        <f t="array" ref="O120">IF($M120="","",IFERROR(IF(INDEX(geo_grid!$B$2:$JU$231,INT(($M120+40)/0.5)+1,INT(($N120+30)/0.5)+1)="","",INDEX(geo_grid!$B$2:$JU$231,INT(($M120+40)/0.5)+1,INT(($N120+30)/0.5)+1)),"OUTSIDE GRID"))</f>
        <v/>
      </c>
      <c r="Q120">
        <f>IF(countries!$D120="","",countries!$D120)</f>
        <v/>
      </c>
      <c r="R120">
        <f>IF($Q120="","",countries!$B120)</f>
        <v/>
      </c>
      <c r="S120">
        <f>IF($Q120="","",IF(OR($Q120='Feasibility IQ'!$AA$9,$Q120='Feasibility IQ'!$AA$10),0,COUNTIF($O$2:$O$152,$Q120)))</f>
        <v/>
      </c>
      <c r="T120">
        <f>IF($S120=0,"",_xlfn.MINIFS($A$2:$A$152,$O$2:$O$152,$Q120))</f>
        <v/>
      </c>
      <c r="U120">
        <f t="array" ref="U120">IF($S120=0,"",SUMPRODUCT(($S$2:$S$143&gt;0)*($T$2:$T$143&lt;$T120))+1)</f>
        <v/>
      </c>
    </row>
    <row r="121">
      <c r="A121">
        <f>ROW()-2</f>
        <v/>
      </c>
      <c r="B121">
        <f>$A121/150</f>
        <v/>
      </c>
      <c r="C121">
        <f>'Feasibility IQ'!$AA$4</f>
        <v/>
      </c>
      <c r="D121">
        <f>'Feasibility IQ'!$AA$5</f>
        <v/>
      </c>
      <c r="E121">
        <f>'Feasibility IQ'!$AA$6</f>
        <v/>
      </c>
      <c r="F121">
        <f>'Feasibility IQ'!$AA$7</f>
        <v/>
      </c>
      <c r="G121">
        <f>'Feasibility IQ'!$AA$8</f>
        <v/>
      </c>
      <c r="H121">
        <f>IF(OR($G121="",$G121=0),"",SIN((1-$B121)*$G121)/SIN($G121))</f>
        <v/>
      </c>
      <c r="I121">
        <f>IF($H121="","",SIN($B121*$G121)/SIN($G121))</f>
        <v/>
      </c>
      <c r="J121">
        <f>IF($H121="","",$H121*COS(RADIANS($C121))*COS(RADIANS($D121))+$I121*COS(RADIANS($E121))*COS(RADIANS($F121)))</f>
        <v/>
      </c>
      <c r="K121">
        <f>IF($H121="","",$H121*COS(RADIANS($C121))*SIN(RADIANS($D121))+$I121*COS(RADIANS($E121))*SIN(RADIANS($F121)))</f>
        <v/>
      </c>
      <c r="L121">
        <f>IF($H121="","",$H121*SIN(RADIANS($C121))+$I121*SIN(RADIANS($E121)))</f>
        <v/>
      </c>
      <c r="M121">
        <f>IF($L121="","",DEGREES(ATAN2(SQRT($J121^2+$K121^2),$L121)))</f>
        <v/>
      </c>
      <c r="N121">
        <f>IF($L121="","",DEGREES(ATAN2($J121,$K121)))</f>
        <v/>
      </c>
      <c r="O121">
        <f t="array" ref="O121">IF($M121="","",IFERROR(IF(INDEX(geo_grid!$B$2:$JU$231,INT(($M121+40)/0.5)+1,INT(($N121+30)/0.5)+1)="","",INDEX(geo_grid!$B$2:$JU$231,INT(($M121+40)/0.5)+1,INT(($N121+30)/0.5)+1)),"OUTSIDE GRID"))</f>
        <v/>
      </c>
      <c r="Q121">
        <f>IF(countries!$D121="","",countries!$D121)</f>
        <v/>
      </c>
      <c r="R121">
        <f>IF($Q121="","",countries!$B121)</f>
        <v/>
      </c>
      <c r="S121">
        <f>IF($Q121="","",IF(OR($Q121='Feasibility IQ'!$AA$9,$Q121='Feasibility IQ'!$AA$10),0,COUNTIF($O$2:$O$152,$Q121)))</f>
        <v/>
      </c>
      <c r="T121">
        <f>IF($S121=0,"",_xlfn.MINIFS($A$2:$A$152,$O$2:$O$152,$Q121))</f>
        <v/>
      </c>
      <c r="U121">
        <f t="array" ref="U121">IF($S121=0,"",SUMPRODUCT(($S$2:$S$143&gt;0)*($T$2:$T$143&lt;$T121))+1)</f>
        <v/>
      </c>
    </row>
    <row r="122">
      <c r="A122">
        <f>ROW()-2</f>
        <v/>
      </c>
      <c r="B122">
        <f>$A122/150</f>
        <v/>
      </c>
      <c r="C122">
        <f>'Feasibility IQ'!$AA$4</f>
        <v/>
      </c>
      <c r="D122">
        <f>'Feasibility IQ'!$AA$5</f>
        <v/>
      </c>
      <c r="E122">
        <f>'Feasibility IQ'!$AA$6</f>
        <v/>
      </c>
      <c r="F122">
        <f>'Feasibility IQ'!$AA$7</f>
        <v/>
      </c>
      <c r="G122">
        <f>'Feasibility IQ'!$AA$8</f>
        <v/>
      </c>
      <c r="H122">
        <f>IF(OR($G122="",$G122=0),"",SIN((1-$B122)*$G122)/SIN($G122))</f>
        <v/>
      </c>
      <c r="I122">
        <f>IF($H122="","",SIN($B122*$G122)/SIN($G122))</f>
        <v/>
      </c>
      <c r="J122">
        <f>IF($H122="","",$H122*COS(RADIANS($C122))*COS(RADIANS($D122))+$I122*COS(RADIANS($E122))*COS(RADIANS($F122)))</f>
        <v/>
      </c>
      <c r="K122">
        <f>IF($H122="","",$H122*COS(RADIANS($C122))*SIN(RADIANS($D122))+$I122*COS(RADIANS($E122))*SIN(RADIANS($F122)))</f>
        <v/>
      </c>
      <c r="L122">
        <f>IF($H122="","",$H122*SIN(RADIANS($C122))+$I122*SIN(RADIANS($E122)))</f>
        <v/>
      </c>
      <c r="M122">
        <f>IF($L122="","",DEGREES(ATAN2(SQRT($J122^2+$K122^2),$L122)))</f>
        <v/>
      </c>
      <c r="N122">
        <f>IF($L122="","",DEGREES(ATAN2($J122,$K122)))</f>
        <v/>
      </c>
      <c r="O122">
        <f t="array" ref="O122">IF($M122="","",IFERROR(IF(INDEX(geo_grid!$B$2:$JU$231,INT(($M122+40)/0.5)+1,INT(($N122+30)/0.5)+1)="","",INDEX(geo_grid!$B$2:$JU$231,INT(($M122+40)/0.5)+1,INT(($N122+30)/0.5)+1)),"OUTSIDE GRID"))</f>
        <v/>
      </c>
      <c r="Q122">
        <f>IF(countries!$D122="","",countries!$D122)</f>
        <v/>
      </c>
      <c r="R122">
        <f>IF($Q122="","",countries!$B122)</f>
        <v/>
      </c>
      <c r="S122">
        <f>IF($Q122="","",IF(OR($Q122='Feasibility IQ'!$AA$9,$Q122='Feasibility IQ'!$AA$10),0,COUNTIF($O$2:$O$152,$Q122)))</f>
        <v/>
      </c>
      <c r="T122">
        <f>IF($S122=0,"",_xlfn.MINIFS($A$2:$A$152,$O$2:$O$152,$Q122))</f>
        <v/>
      </c>
      <c r="U122">
        <f t="array" ref="U122">IF($S122=0,"",SUMPRODUCT(($S$2:$S$143&gt;0)*($T$2:$T$143&lt;$T122))+1)</f>
        <v/>
      </c>
    </row>
    <row r="123">
      <c r="A123">
        <f>ROW()-2</f>
        <v/>
      </c>
      <c r="B123">
        <f>$A123/150</f>
        <v/>
      </c>
      <c r="C123">
        <f>'Feasibility IQ'!$AA$4</f>
        <v/>
      </c>
      <c r="D123">
        <f>'Feasibility IQ'!$AA$5</f>
        <v/>
      </c>
      <c r="E123">
        <f>'Feasibility IQ'!$AA$6</f>
        <v/>
      </c>
      <c r="F123">
        <f>'Feasibility IQ'!$AA$7</f>
        <v/>
      </c>
      <c r="G123">
        <f>'Feasibility IQ'!$AA$8</f>
        <v/>
      </c>
      <c r="H123">
        <f>IF(OR($G123="",$G123=0),"",SIN((1-$B123)*$G123)/SIN($G123))</f>
        <v/>
      </c>
      <c r="I123">
        <f>IF($H123="","",SIN($B123*$G123)/SIN($G123))</f>
        <v/>
      </c>
      <c r="J123">
        <f>IF($H123="","",$H123*COS(RADIANS($C123))*COS(RADIANS($D123))+$I123*COS(RADIANS($E123))*COS(RADIANS($F123)))</f>
        <v/>
      </c>
      <c r="K123">
        <f>IF($H123="","",$H123*COS(RADIANS($C123))*SIN(RADIANS($D123))+$I123*COS(RADIANS($E123))*SIN(RADIANS($F123)))</f>
        <v/>
      </c>
      <c r="L123">
        <f>IF($H123="","",$H123*SIN(RADIANS($C123))+$I123*SIN(RADIANS($E123)))</f>
        <v/>
      </c>
      <c r="M123">
        <f>IF($L123="","",DEGREES(ATAN2(SQRT($J123^2+$K123^2),$L123)))</f>
        <v/>
      </c>
      <c r="N123">
        <f>IF($L123="","",DEGREES(ATAN2($J123,$K123)))</f>
        <v/>
      </c>
      <c r="O123">
        <f t="array" ref="O123">IF($M123="","",IFERROR(IF(INDEX(geo_grid!$B$2:$JU$231,INT(($M123+40)/0.5)+1,INT(($N123+30)/0.5)+1)="","",INDEX(geo_grid!$B$2:$JU$231,INT(($M123+40)/0.5)+1,INT(($N123+30)/0.5)+1)),"OUTSIDE GRID"))</f>
        <v/>
      </c>
      <c r="Q123">
        <f>IF(countries!$D123="","",countries!$D123)</f>
        <v/>
      </c>
      <c r="R123">
        <f>IF($Q123="","",countries!$B123)</f>
        <v/>
      </c>
      <c r="S123">
        <f>IF($Q123="","",IF(OR($Q123='Feasibility IQ'!$AA$9,$Q123='Feasibility IQ'!$AA$10),0,COUNTIF($O$2:$O$152,$Q123)))</f>
        <v/>
      </c>
      <c r="T123">
        <f>IF($S123=0,"",_xlfn.MINIFS($A$2:$A$152,$O$2:$O$152,$Q123))</f>
        <v/>
      </c>
      <c r="U123">
        <f t="array" ref="U123">IF($S123=0,"",SUMPRODUCT(($S$2:$S$143&gt;0)*($T$2:$T$143&lt;$T123))+1)</f>
        <v/>
      </c>
    </row>
    <row r="124">
      <c r="A124">
        <f>ROW()-2</f>
        <v/>
      </c>
      <c r="B124">
        <f>$A124/150</f>
        <v/>
      </c>
      <c r="C124">
        <f>'Feasibility IQ'!$AA$4</f>
        <v/>
      </c>
      <c r="D124">
        <f>'Feasibility IQ'!$AA$5</f>
        <v/>
      </c>
      <c r="E124">
        <f>'Feasibility IQ'!$AA$6</f>
        <v/>
      </c>
      <c r="F124">
        <f>'Feasibility IQ'!$AA$7</f>
        <v/>
      </c>
      <c r="G124">
        <f>'Feasibility IQ'!$AA$8</f>
        <v/>
      </c>
      <c r="H124">
        <f>IF(OR($G124="",$G124=0),"",SIN((1-$B124)*$G124)/SIN($G124))</f>
        <v/>
      </c>
      <c r="I124">
        <f>IF($H124="","",SIN($B124*$G124)/SIN($G124))</f>
        <v/>
      </c>
      <c r="J124">
        <f>IF($H124="","",$H124*COS(RADIANS($C124))*COS(RADIANS($D124))+$I124*COS(RADIANS($E124))*COS(RADIANS($F124)))</f>
        <v/>
      </c>
      <c r="K124">
        <f>IF($H124="","",$H124*COS(RADIANS($C124))*SIN(RADIANS($D124))+$I124*COS(RADIANS($E124))*SIN(RADIANS($F124)))</f>
        <v/>
      </c>
      <c r="L124">
        <f>IF($H124="","",$H124*SIN(RADIANS($C124))+$I124*SIN(RADIANS($E124)))</f>
        <v/>
      </c>
      <c r="M124">
        <f>IF($L124="","",DEGREES(ATAN2(SQRT($J124^2+$K124^2),$L124)))</f>
        <v/>
      </c>
      <c r="N124">
        <f>IF($L124="","",DEGREES(ATAN2($J124,$K124)))</f>
        <v/>
      </c>
      <c r="O124">
        <f t="array" ref="O124">IF($M124="","",IFERROR(IF(INDEX(geo_grid!$B$2:$JU$231,INT(($M124+40)/0.5)+1,INT(($N124+30)/0.5)+1)="","",INDEX(geo_grid!$B$2:$JU$231,INT(($M124+40)/0.5)+1,INT(($N124+30)/0.5)+1)),"OUTSIDE GRID"))</f>
        <v/>
      </c>
      <c r="Q124">
        <f>IF(countries!$D124="","",countries!$D124)</f>
        <v/>
      </c>
      <c r="R124">
        <f>IF($Q124="","",countries!$B124)</f>
        <v/>
      </c>
      <c r="S124">
        <f>IF($Q124="","",IF(OR($Q124='Feasibility IQ'!$AA$9,$Q124='Feasibility IQ'!$AA$10),0,COUNTIF($O$2:$O$152,$Q124)))</f>
        <v/>
      </c>
      <c r="T124">
        <f>IF($S124=0,"",_xlfn.MINIFS($A$2:$A$152,$O$2:$O$152,$Q124))</f>
        <v/>
      </c>
      <c r="U124">
        <f t="array" ref="U124">IF($S124=0,"",SUMPRODUCT(($S$2:$S$143&gt;0)*($T$2:$T$143&lt;$T124))+1)</f>
        <v/>
      </c>
    </row>
    <row r="125">
      <c r="A125">
        <f>ROW()-2</f>
        <v/>
      </c>
      <c r="B125">
        <f>$A125/150</f>
        <v/>
      </c>
      <c r="C125">
        <f>'Feasibility IQ'!$AA$4</f>
        <v/>
      </c>
      <c r="D125">
        <f>'Feasibility IQ'!$AA$5</f>
        <v/>
      </c>
      <c r="E125">
        <f>'Feasibility IQ'!$AA$6</f>
        <v/>
      </c>
      <c r="F125">
        <f>'Feasibility IQ'!$AA$7</f>
        <v/>
      </c>
      <c r="G125">
        <f>'Feasibility IQ'!$AA$8</f>
        <v/>
      </c>
      <c r="H125">
        <f>IF(OR($G125="",$G125=0),"",SIN((1-$B125)*$G125)/SIN($G125))</f>
        <v/>
      </c>
      <c r="I125">
        <f>IF($H125="","",SIN($B125*$G125)/SIN($G125))</f>
        <v/>
      </c>
      <c r="J125">
        <f>IF($H125="","",$H125*COS(RADIANS($C125))*COS(RADIANS($D125))+$I125*COS(RADIANS($E125))*COS(RADIANS($F125)))</f>
        <v/>
      </c>
      <c r="K125">
        <f>IF($H125="","",$H125*COS(RADIANS($C125))*SIN(RADIANS($D125))+$I125*COS(RADIANS($E125))*SIN(RADIANS($F125)))</f>
        <v/>
      </c>
      <c r="L125">
        <f>IF($H125="","",$H125*SIN(RADIANS($C125))+$I125*SIN(RADIANS($E125)))</f>
        <v/>
      </c>
      <c r="M125">
        <f>IF($L125="","",DEGREES(ATAN2(SQRT($J125^2+$K125^2),$L125)))</f>
        <v/>
      </c>
      <c r="N125">
        <f>IF($L125="","",DEGREES(ATAN2($J125,$K125)))</f>
        <v/>
      </c>
      <c r="O125">
        <f t="array" ref="O125">IF($M125="","",IFERROR(IF(INDEX(geo_grid!$B$2:$JU$231,INT(($M125+40)/0.5)+1,INT(($N125+30)/0.5)+1)="","",INDEX(geo_grid!$B$2:$JU$231,INT(($M125+40)/0.5)+1,INT(($N125+30)/0.5)+1)),"OUTSIDE GRID"))</f>
        <v/>
      </c>
      <c r="Q125">
        <f>IF(countries!$D125="","",countries!$D125)</f>
        <v/>
      </c>
      <c r="R125">
        <f>IF($Q125="","",countries!$B125)</f>
        <v/>
      </c>
      <c r="S125">
        <f>IF($Q125="","",IF(OR($Q125='Feasibility IQ'!$AA$9,$Q125='Feasibility IQ'!$AA$10),0,COUNTIF($O$2:$O$152,$Q125)))</f>
        <v/>
      </c>
      <c r="T125">
        <f>IF($S125=0,"",_xlfn.MINIFS($A$2:$A$152,$O$2:$O$152,$Q125))</f>
        <v/>
      </c>
      <c r="U125">
        <f t="array" ref="U125">IF($S125=0,"",SUMPRODUCT(($S$2:$S$143&gt;0)*($T$2:$T$143&lt;$T125))+1)</f>
        <v/>
      </c>
    </row>
    <row r="126">
      <c r="A126">
        <f>ROW()-2</f>
        <v/>
      </c>
      <c r="B126">
        <f>$A126/150</f>
        <v/>
      </c>
      <c r="C126">
        <f>'Feasibility IQ'!$AA$4</f>
        <v/>
      </c>
      <c r="D126">
        <f>'Feasibility IQ'!$AA$5</f>
        <v/>
      </c>
      <c r="E126">
        <f>'Feasibility IQ'!$AA$6</f>
        <v/>
      </c>
      <c r="F126">
        <f>'Feasibility IQ'!$AA$7</f>
        <v/>
      </c>
      <c r="G126">
        <f>'Feasibility IQ'!$AA$8</f>
        <v/>
      </c>
      <c r="H126">
        <f>IF(OR($G126="",$G126=0),"",SIN((1-$B126)*$G126)/SIN($G126))</f>
        <v/>
      </c>
      <c r="I126">
        <f>IF($H126="","",SIN($B126*$G126)/SIN($G126))</f>
        <v/>
      </c>
      <c r="J126">
        <f>IF($H126="","",$H126*COS(RADIANS($C126))*COS(RADIANS($D126))+$I126*COS(RADIANS($E126))*COS(RADIANS($F126)))</f>
        <v/>
      </c>
      <c r="K126">
        <f>IF($H126="","",$H126*COS(RADIANS($C126))*SIN(RADIANS($D126))+$I126*COS(RADIANS($E126))*SIN(RADIANS($F126)))</f>
        <v/>
      </c>
      <c r="L126">
        <f>IF($H126="","",$H126*SIN(RADIANS($C126))+$I126*SIN(RADIANS($E126)))</f>
        <v/>
      </c>
      <c r="M126">
        <f>IF($L126="","",DEGREES(ATAN2(SQRT($J126^2+$K126^2),$L126)))</f>
        <v/>
      </c>
      <c r="N126">
        <f>IF($L126="","",DEGREES(ATAN2($J126,$K126)))</f>
        <v/>
      </c>
      <c r="O126">
        <f t="array" ref="O126">IF($M126="","",IFERROR(IF(INDEX(geo_grid!$B$2:$JU$231,INT(($M126+40)/0.5)+1,INT(($N126+30)/0.5)+1)="","",INDEX(geo_grid!$B$2:$JU$231,INT(($M126+40)/0.5)+1,INT(($N126+30)/0.5)+1)),"OUTSIDE GRID"))</f>
        <v/>
      </c>
      <c r="Q126">
        <f>IF(countries!$D126="","",countries!$D126)</f>
        <v/>
      </c>
      <c r="R126">
        <f>IF($Q126="","",countries!$B126)</f>
        <v/>
      </c>
      <c r="S126">
        <f>IF($Q126="","",IF(OR($Q126='Feasibility IQ'!$AA$9,$Q126='Feasibility IQ'!$AA$10),0,COUNTIF($O$2:$O$152,$Q126)))</f>
        <v/>
      </c>
      <c r="T126">
        <f>IF($S126=0,"",_xlfn.MINIFS($A$2:$A$152,$O$2:$O$152,$Q126))</f>
        <v/>
      </c>
      <c r="U126">
        <f t="array" ref="U126">IF($S126=0,"",SUMPRODUCT(($S$2:$S$143&gt;0)*($T$2:$T$143&lt;$T126))+1)</f>
        <v/>
      </c>
    </row>
    <row r="127">
      <c r="A127">
        <f>ROW()-2</f>
        <v/>
      </c>
      <c r="B127">
        <f>$A127/150</f>
        <v/>
      </c>
      <c r="C127">
        <f>'Feasibility IQ'!$AA$4</f>
        <v/>
      </c>
      <c r="D127">
        <f>'Feasibility IQ'!$AA$5</f>
        <v/>
      </c>
      <c r="E127">
        <f>'Feasibility IQ'!$AA$6</f>
        <v/>
      </c>
      <c r="F127">
        <f>'Feasibility IQ'!$AA$7</f>
        <v/>
      </c>
      <c r="G127">
        <f>'Feasibility IQ'!$AA$8</f>
        <v/>
      </c>
      <c r="H127">
        <f>IF(OR($G127="",$G127=0),"",SIN((1-$B127)*$G127)/SIN($G127))</f>
        <v/>
      </c>
      <c r="I127">
        <f>IF($H127="","",SIN($B127*$G127)/SIN($G127))</f>
        <v/>
      </c>
      <c r="J127">
        <f>IF($H127="","",$H127*COS(RADIANS($C127))*COS(RADIANS($D127))+$I127*COS(RADIANS($E127))*COS(RADIANS($F127)))</f>
        <v/>
      </c>
      <c r="K127">
        <f>IF($H127="","",$H127*COS(RADIANS($C127))*SIN(RADIANS($D127))+$I127*COS(RADIANS($E127))*SIN(RADIANS($F127)))</f>
        <v/>
      </c>
      <c r="L127">
        <f>IF($H127="","",$H127*SIN(RADIANS($C127))+$I127*SIN(RADIANS($E127)))</f>
        <v/>
      </c>
      <c r="M127">
        <f>IF($L127="","",DEGREES(ATAN2(SQRT($J127^2+$K127^2),$L127)))</f>
        <v/>
      </c>
      <c r="N127">
        <f>IF($L127="","",DEGREES(ATAN2($J127,$K127)))</f>
        <v/>
      </c>
      <c r="O127">
        <f t="array" ref="O127">IF($M127="","",IFERROR(IF(INDEX(geo_grid!$B$2:$JU$231,INT(($M127+40)/0.5)+1,INT(($N127+30)/0.5)+1)="","",INDEX(geo_grid!$B$2:$JU$231,INT(($M127+40)/0.5)+1,INT(($N127+30)/0.5)+1)),"OUTSIDE GRID"))</f>
        <v/>
      </c>
      <c r="Q127">
        <f>IF(countries!$D127="","",countries!$D127)</f>
        <v/>
      </c>
      <c r="R127">
        <f>IF($Q127="","",countries!$B127)</f>
        <v/>
      </c>
      <c r="S127">
        <f>IF($Q127="","",IF(OR($Q127='Feasibility IQ'!$AA$9,$Q127='Feasibility IQ'!$AA$10),0,COUNTIF($O$2:$O$152,$Q127)))</f>
        <v/>
      </c>
      <c r="T127">
        <f>IF($S127=0,"",_xlfn.MINIFS($A$2:$A$152,$O$2:$O$152,$Q127))</f>
        <v/>
      </c>
      <c r="U127">
        <f t="array" ref="U127">IF($S127=0,"",SUMPRODUCT(($S$2:$S$143&gt;0)*($T$2:$T$143&lt;$T127))+1)</f>
        <v/>
      </c>
    </row>
    <row r="128">
      <c r="A128">
        <f>ROW()-2</f>
        <v/>
      </c>
      <c r="B128">
        <f>$A128/150</f>
        <v/>
      </c>
      <c r="C128">
        <f>'Feasibility IQ'!$AA$4</f>
        <v/>
      </c>
      <c r="D128">
        <f>'Feasibility IQ'!$AA$5</f>
        <v/>
      </c>
      <c r="E128">
        <f>'Feasibility IQ'!$AA$6</f>
        <v/>
      </c>
      <c r="F128">
        <f>'Feasibility IQ'!$AA$7</f>
        <v/>
      </c>
      <c r="G128">
        <f>'Feasibility IQ'!$AA$8</f>
        <v/>
      </c>
      <c r="H128">
        <f>IF(OR($G128="",$G128=0),"",SIN((1-$B128)*$G128)/SIN($G128))</f>
        <v/>
      </c>
      <c r="I128">
        <f>IF($H128="","",SIN($B128*$G128)/SIN($G128))</f>
        <v/>
      </c>
      <c r="J128">
        <f>IF($H128="","",$H128*COS(RADIANS($C128))*COS(RADIANS($D128))+$I128*COS(RADIANS($E128))*COS(RADIANS($F128)))</f>
        <v/>
      </c>
      <c r="K128">
        <f>IF($H128="","",$H128*COS(RADIANS($C128))*SIN(RADIANS($D128))+$I128*COS(RADIANS($E128))*SIN(RADIANS($F128)))</f>
        <v/>
      </c>
      <c r="L128">
        <f>IF($H128="","",$H128*SIN(RADIANS($C128))+$I128*SIN(RADIANS($E128)))</f>
        <v/>
      </c>
      <c r="M128">
        <f>IF($L128="","",DEGREES(ATAN2(SQRT($J128^2+$K128^2),$L128)))</f>
        <v/>
      </c>
      <c r="N128">
        <f>IF($L128="","",DEGREES(ATAN2($J128,$K128)))</f>
        <v/>
      </c>
      <c r="O128">
        <f t="array" ref="O128">IF($M128="","",IFERROR(IF(INDEX(geo_grid!$B$2:$JU$231,INT(($M128+40)/0.5)+1,INT(($N128+30)/0.5)+1)="","",INDEX(geo_grid!$B$2:$JU$231,INT(($M128+40)/0.5)+1,INT(($N128+30)/0.5)+1)),"OUTSIDE GRID"))</f>
        <v/>
      </c>
      <c r="Q128">
        <f>IF(countries!$D128="","",countries!$D128)</f>
        <v/>
      </c>
      <c r="R128">
        <f>IF($Q128="","",countries!$B128)</f>
        <v/>
      </c>
      <c r="S128">
        <f>IF($Q128="","",IF(OR($Q128='Feasibility IQ'!$AA$9,$Q128='Feasibility IQ'!$AA$10),0,COUNTIF($O$2:$O$152,$Q128)))</f>
        <v/>
      </c>
      <c r="T128">
        <f>IF($S128=0,"",_xlfn.MINIFS($A$2:$A$152,$O$2:$O$152,$Q128))</f>
        <v/>
      </c>
      <c r="U128">
        <f t="array" ref="U128">IF($S128=0,"",SUMPRODUCT(($S$2:$S$143&gt;0)*($T$2:$T$143&lt;$T128))+1)</f>
        <v/>
      </c>
    </row>
    <row r="129">
      <c r="A129">
        <f>ROW()-2</f>
        <v/>
      </c>
      <c r="B129">
        <f>$A129/150</f>
        <v/>
      </c>
      <c r="C129">
        <f>'Feasibility IQ'!$AA$4</f>
        <v/>
      </c>
      <c r="D129">
        <f>'Feasibility IQ'!$AA$5</f>
        <v/>
      </c>
      <c r="E129">
        <f>'Feasibility IQ'!$AA$6</f>
        <v/>
      </c>
      <c r="F129">
        <f>'Feasibility IQ'!$AA$7</f>
        <v/>
      </c>
      <c r="G129">
        <f>'Feasibility IQ'!$AA$8</f>
        <v/>
      </c>
      <c r="H129">
        <f>IF(OR($G129="",$G129=0),"",SIN((1-$B129)*$G129)/SIN($G129))</f>
        <v/>
      </c>
      <c r="I129">
        <f>IF($H129="","",SIN($B129*$G129)/SIN($G129))</f>
        <v/>
      </c>
      <c r="J129">
        <f>IF($H129="","",$H129*COS(RADIANS($C129))*COS(RADIANS($D129))+$I129*COS(RADIANS($E129))*COS(RADIANS($F129)))</f>
        <v/>
      </c>
      <c r="K129">
        <f>IF($H129="","",$H129*COS(RADIANS($C129))*SIN(RADIANS($D129))+$I129*COS(RADIANS($E129))*SIN(RADIANS($F129)))</f>
        <v/>
      </c>
      <c r="L129">
        <f>IF($H129="","",$H129*SIN(RADIANS($C129))+$I129*SIN(RADIANS($E129)))</f>
        <v/>
      </c>
      <c r="M129">
        <f>IF($L129="","",DEGREES(ATAN2(SQRT($J129^2+$K129^2),$L129)))</f>
        <v/>
      </c>
      <c r="N129">
        <f>IF($L129="","",DEGREES(ATAN2($J129,$K129)))</f>
        <v/>
      </c>
      <c r="O129">
        <f t="array" ref="O129">IF($M129="","",IFERROR(IF(INDEX(geo_grid!$B$2:$JU$231,INT(($M129+40)/0.5)+1,INT(($N129+30)/0.5)+1)="","",INDEX(geo_grid!$B$2:$JU$231,INT(($M129+40)/0.5)+1,INT(($N129+30)/0.5)+1)),"OUTSIDE GRID"))</f>
        <v/>
      </c>
      <c r="Q129">
        <f>IF(countries!$D129="","",countries!$D129)</f>
        <v/>
      </c>
      <c r="R129">
        <f>IF($Q129="","",countries!$B129)</f>
        <v/>
      </c>
      <c r="S129">
        <f>IF($Q129="","",IF(OR($Q129='Feasibility IQ'!$AA$9,$Q129='Feasibility IQ'!$AA$10),0,COUNTIF($O$2:$O$152,$Q129)))</f>
        <v/>
      </c>
      <c r="T129">
        <f>IF($S129=0,"",_xlfn.MINIFS($A$2:$A$152,$O$2:$O$152,$Q129))</f>
        <v/>
      </c>
      <c r="U129">
        <f t="array" ref="U129">IF($S129=0,"",SUMPRODUCT(($S$2:$S$143&gt;0)*($T$2:$T$143&lt;$T129))+1)</f>
        <v/>
      </c>
    </row>
    <row r="130">
      <c r="A130">
        <f>ROW()-2</f>
        <v/>
      </c>
      <c r="B130">
        <f>$A130/150</f>
        <v/>
      </c>
      <c r="C130">
        <f>'Feasibility IQ'!$AA$4</f>
        <v/>
      </c>
      <c r="D130">
        <f>'Feasibility IQ'!$AA$5</f>
        <v/>
      </c>
      <c r="E130">
        <f>'Feasibility IQ'!$AA$6</f>
        <v/>
      </c>
      <c r="F130">
        <f>'Feasibility IQ'!$AA$7</f>
        <v/>
      </c>
      <c r="G130">
        <f>'Feasibility IQ'!$AA$8</f>
        <v/>
      </c>
      <c r="H130">
        <f>IF(OR($G130="",$G130=0),"",SIN((1-$B130)*$G130)/SIN($G130))</f>
        <v/>
      </c>
      <c r="I130">
        <f>IF($H130="","",SIN($B130*$G130)/SIN($G130))</f>
        <v/>
      </c>
      <c r="J130">
        <f>IF($H130="","",$H130*COS(RADIANS($C130))*COS(RADIANS($D130))+$I130*COS(RADIANS($E130))*COS(RADIANS($F130)))</f>
        <v/>
      </c>
      <c r="K130">
        <f>IF($H130="","",$H130*COS(RADIANS($C130))*SIN(RADIANS($D130))+$I130*COS(RADIANS($E130))*SIN(RADIANS($F130)))</f>
        <v/>
      </c>
      <c r="L130">
        <f>IF($H130="","",$H130*SIN(RADIANS($C130))+$I130*SIN(RADIANS($E130)))</f>
        <v/>
      </c>
      <c r="M130">
        <f>IF($L130="","",DEGREES(ATAN2(SQRT($J130^2+$K130^2),$L130)))</f>
        <v/>
      </c>
      <c r="N130">
        <f>IF($L130="","",DEGREES(ATAN2($J130,$K130)))</f>
        <v/>
      </c>
      <c r="O130">
        <f t="array" ref="O130">IF($M130="","",IFERROR(IF(INDEX(geo_grid!$B$2:$JU$231,INT(($M130+40)/0.5)+1,INT(($N130+30)/0.5)+1)="","",INDEX(geo_grid!$B$2:$JU$231,INT(($M130+40)/0.5)+1,INT(($N130+30)/0.5)+1)),"OUTSIDE GRID"))</f>
        <v/>
      </c>
      <c r="Q130">
        <f>IF(countries!$D130="","",countries!$D130)</f>
        <v/>
      </c>
      <c r="R130">
        <f>IF($Q130="","",countries!$B130)</f>
        <v/>
      </c>
      <c r="S130">
        <f>IF($Q130="","",IF(OR($Q130='Feasibility IQ'!$AA$9,$Q130='Feasibility IQ'!$AA$10),0,COUNTIF($O$2:$O$152,$Q130)))</f>
        <v/>
      </c>
      <c r="T130">
        <f>IF($S130=0,"",_xlfn.MINIFS($A$2:$A$152,$O$2:$O$152,$Q130))</f>
        <v/>
      </c>
      <c r="U130">
        <f t="array" ref="U130">IF($S130=0,"",SUMPRODUCT(($S$2:$S$143&gt;0)*($T$2:$T$143&lt;$T130))+1)</f>
        <v/>
      </c>
    </row>
    <row r="131">
      <c r="A131">
        <f>ROW()-2</f>
        <v/>
      </c>
      <c r="B131">
        <f>$A131/150</f>
        <v/>
      </c>
      <c r="C131">
        <f>'Feasibility IQ'!$AA$4</f>
        <v/>
      </c>
      <c r="D131">
        <f>'Feasibility IQ'!$AA$5</f>
        <v/>
      </c>
      <c r="E131">
        <f>'Feasibility IQ'!$AA$6</f>
        <v/>
      </c>
      <c r="F131">
        <f>'Feasibility IQ'!$AA$7</f>
        <v/>
      </c>
      <c r="G131">
        <f>'Feasibility IQ'!$AA$8</f>
        <v/>
      </c>
      <c r="H131">
        <f>IF(OR($G131="",$G131=0),"",SIN((1-$B131)*$G131)/SIN($G131))</f>
        <v/>
      </c>
      <c r="I131">
        <f>IF($H131="","",SIN($B131*$G131)/SIN($G131))</f>
        <v/>
      </c>
      <c r="J131">
        <f>IF($H131="","",$H131*COS(RADIANS($C131))*COS(RADIANS($D131))+$I131*COS(RADIANS($E131))*COS(RADIANS($F131)))</f>
        <v/>
      </c>
      <c r="K131">
        <f>IF($H131="","",$H131*COS(RADIANS($C131))*SIN(RADIANS($D131))+$I131*COS(RADIANS($E131))*SIN(RADIANS($F131)))</f>
        <v/>
      </c>
      <c r="L131">
        <f>IF($H131="","",$H131*SIN(RADIANS($C131))+$I131*SIN(RADIANS($E131)))</f>
        <v/>
      </c>
      <c r="M131">
        <f>IF($L131="","",DEGREES(ATAN2(SQRT($J131^2+$K131^2),$L131)))</f>
        <v/>
      </c>
      <c r="N131">
        <f>IF($L131="","",DEGREES(ATAN2($J131,$K131)))</f>
        <v/>
      </c>
      <c r="O131">
        <f t="array" ref="O131">IF($M131="","",IFERROR(IF(INDEX(geo_grid!$B$2:$JU$231,INT(($M131+40)/0.5)+1,INT(($N131+30)/0.5)+1)="","",INDEX(geo_grid!$B$2:$JU$231,INT(($M131+40)/0.5)+1,INT(($N131+30)/0.5)+1)),"OUTSIDE GRID"))</f>
        <v/>
      </c>
      <c r="Q131">
        <f>IF(countries!$D131="","",countries!$D131)</f>
        <v/>
      </c>
      <c r="R131">
        <f>IF($Q131="","",countries!$B131)</f>
        <v/>
      </c>
      <c r="S131">
        <f>IF($Q131="","",IF(OR($Q131='Feasibility IQ'!$AA$9,$Q131='Feasibility IQ'!$AA$10),0,COUNTIF($O$2:$O$152,$Q131)))</f>
        <v/>
      </c>
      <c r="T131">
        <f>IF($S131=0,"",_xlfn.MINIFS($A$2:$A$152,$O$2:$O$152,$Q131))</f>
        <v/>
      </c>
      <c r="U131">
        <f t="array" ref="U131">IF($S131=0,"",SUMPRODUCT(($S$2:$S$143&gt;0)*($T$2:$T$143&lt;$T131))+1)</f>
        <v/>
      </c>
    </row>
    <row r="132">
      <c r="A132">
        <f>ROW()-2</f>
        <v/>
      </c>
      <c r="B132">
        <f>$A132/150</f>
        <v/>
      </c>
      <c r="C132">
        <f>'Feasibility IQ'!$AA$4</f>
        <v/>
      </c>
      <c r="D132">
        <f>'Feasibility IQ'!$AA$5</f>
        <v/>
      </c>
      <c r="E132">
        <f>'Feasibility IQ'!$AA$6</f>
        <v/>
      </c>
      <c r="F132">
        <f>'Feasibility IQ'!$AA$7</f>
        <v/>
      </c>
      <c r="G132">
        <f>'Feasibility IQ'!$AA$8</f>
        <v/>
      </c>
      <c r="H132">
        <f>IF(OR($G132="",$G132=0),"",SIN((1-$B132)*$G132)/SIN($G132))</f>
        <v/>
      </c>
      <c r="I132">
        <f>IF($H132="","",SIN($B132*$G132)/SIN($G132))</f>
        <v/>
      </c>
      <c r="J132">
        <f>IF($H132="","",$H132*COS(RADIANS($C132))*COS(RADIANS($D132))+$I132*COS(RADIANS($E132))*COS(RADIANS($F132)))</f>
        <v/>
      </c>
      <c r="K132">
        <f>IF($H132="","",$H132*COS(RADIANS($C132))*SIN(RADIANS($D132))+$I132*COS(RADIANS($E132))*SIN(RADIANS($F132)))</f>
        <v/>
      </c>
      <c r="L132">
        <f>IF($H132="","",$H132*SIN(RADIANS($C132))+$I132*SIN(RADIANS($E132)))</f>
        <v/>
      </c>
      <c r="M132">
        <f>IF($L132="","",DEGREES(ATAN2(SQRT($J132^2+$K132^2),$L132)))</f>
        <v/>
      </c>
      <c r="N132">
        <f>IF($L132="","",DEGREES(ATAN2($J132,$K132)))</f>
        <v/>
      </c>
      <c r="O132">
        <f t="array" ref="O132">IF($M132="","",IFERROR(IF(INDEX(geo_grid!$B$2:$JU$231,INT(($M132+40)/0.5)+1,INT(($N132+30)/0.5)+1)="","",INDEX(geo_grid!$B$2:$JU$231,INT(($M132+40)/0.5)+1,INT(($N132+30)/0.5)+1)),"OUTSIDE GRID"))</f>
        <v/>
      </c>
      <c r="Q132">
        <f>IF(countries!$D132="","",countries!$D132)</f>
        <v/>
      </c>
      <c r="R132">
        <f>IF($Q132="","",countries!$B132)</f>
        <v/>
      </c>
      <c r="S132">
        <f>IF($Q132="","",IF(OR($Q132='Feasibility IQ'!$AA$9,$Q132='Feasibility IQ'!$AA$10),0,COUNTIF($O$2:$O$152,$Q132)))</f>
        <v/>
      </c>
      <c r="T132">
        <f>IF($S132=0,"",_xlfn.MINIFS($A$2:$A$152,$O$2:$O$152,$Q132))</f>
        <v/>
      </c>
      <c r="U132">
        <f t="array" ref="U132">IF($S132=0,"",SUMPRODUCT(($S$2:$S$143&gt;0)*($T$2:$T$143&lt;$T132))+1)</f>
        <v/>
      </c>
    </row>
    <row r="133">
      <c r="A133">
        <f>ROW()-2</f>
        <v/>
      </c>
      <c r="B133">
        <f>$A133/150</f>
        <v/>
      </c>
      <c r="C133">
        <f>'Feasibility IQ'!$AA$4</f>
        <v/>
      </c>
      <c r="D133">
        <f>'Feasibility IQ'!$AA$5</f>
        <v/>
      </c>
      <c r="E133">
        <f>'Feasibility IQ'!$AA$6</f>
        <v/>
      </c>
      <c r="F133">
        <f>'Feasibility IQ'!$AA$7</f>
        <v/>
      </c>
      <c r="G133">
        <f>'Feasibility IQ'!$AA$8</f>
        <v/>
      </c>
      <c r="H133">
        <f>IF(OR($G133="",$G133=0),"",SIN((1-$B133)*$G133)/SIN($G133))</f>
        <v/>
      </c>
      <c r="I133">
        <f>IF($H133="","",SIN($B133*$G133)/SIN($G133))</f>
        <v/>
      </c>
      <c r="J133">
        <f>IF($H133="","",$H133*COS(RADIANS($C133))*COS(RADIANS($D133))+$I133*COS(RADIANS($E133))*COS(RADIANS($F133)))</f>
        <v/>
      </c>
      <c r="K133">
        <f>IF($H133="","",$H133*COS(RADIANS($C133))*SIN(RADIANS($D133))+$I133*COS(RADIANS($E133))*SIN(RADIANS($F133)))</f>
        <v/>
      </c>
      <c r="L133">
        <f>IF($H133="","",$H133*SIN(RADIANS($C133))+$I133*SIN(RADIANS($E133)))</f>
        <v/>
      </c>
      <c r="M133">
        <f>IF($L133="","",DEGREES(ATAN2(SQRT($J133^2+$K133^2),$L133)))</f>
        <v/>
      </c>
      <c r="N133">
        <f>IF($L133="","",DEGREES(ATAN2($J133,$K133)))</f>
        <v/>
      </c>
      <c r="O133">
        <f t="array" ref="O133">IF($M133="","",IFERROR(IF(INDEX(geo_grid!$B$2:$JU$231,INT(($M133+40)/0.5)+1,INT(($N133+30)/0.5)+1)="","",INDEX(geo_grid!$B$2:$JU$231,INT(($M133+40)/0.5)+1,INT(($N133+30)/0.5)+1)),"OUTSIDE GRID"))</f>
        <v/>
      </c>
      <c r="Q133">
        <f>IF(countries!$D133="","",countries!$D133)</f>
        <v/>
      </c>
      <c r="R133">
        <f>IF($Q133="","",countries!$B133)</f>
        <v/>
      </c>
      <c r="S133">
        <f>IF($Q133="","",IF(OR($Q133='Feasibility IQ'!$AA$9,$Q133='Feasibility IQ'!$AA$10),0,COUNTIF($O$2:$O$152,$Q133)))</f>
        <v/>
      </c>
      <c r="T133">
        <f>IF($S133=0,"",_xlfn.MINIFS($A$2:$A$152,$O$2:$O$152,$Q133))</f>
        <v/>
      </c>
      <c r="U133">
        <f t="array" ref="U133">IF($S133=0,"",SUMPRODUCT(($S$2:$S$143&gt;0)*($T$2:$T$143&lt;$T133))+1)</f>
        <v/>
      </c>
    </row>
    <row r="134">
      <c r="A134">
        <f>ROW()-2</f>
        <v/>
      </c>
      <c r="B134">
        <f>$A134/150</f>
        <v/>
      </c>
      <c r="C134">
        <f>'Feasibility IQ'!$AA$4</f>
        <v/>
      </c>
      <c r="D134">
        <f>'Feasibility IQ'!$AA$5</f>
        <v/>
      </c>
      <c r="E134">
        <f>'Feasibility IQ'!$AA$6</f>
        <v/>
      </c>
      <c r="F134">
        <f>'Feasibility IQ'!$AA$7</f>
        <v/>
      </c>
      <c r="G134">
        <f>'Feasibility IQ'!$AA$8</f>
        <v/>
      </c>
      <c r="H134">
        <f>IF(OR($G134="",$G134=0),"",SIN((1-$B134)*$G134)/SIN($G134))</f>
        <v/>
      </c>
      <c r="I134">
        <f>IF($H134="","",SIN($B134*$G134)/SIN($G134))</f>
        <v/>
      </c>
      <c r="J134">
        <f>IF($H134="","",$H134*COS(RADIANS($C134))*COS(RADIANS($D134))+$I134*COS(RADIANS($E134))*COS(RADIANS($F134)))</f>
        <v/>
      </c>
      <c r="K134">
        <f>IF($H134="","",$H134*COS(RADIANS($C134))*SIN(RADIANS($D134))+$I134*COS(RADIANS($E134))*SIN(RADIANS($F134)))</f>
        <v/>
      </c>
      <c r="L134">
        <f>IF($H134="","",$H134*SIN(RADIANS($C134))+$I134*SIN(RADIANS($E134)))</f>
        <v/>
      </c>
      <c r="M134">
        <f>IF($L134="","",DEGREES(ATAN2(SQRT($J134^2+$K134^2),$L134)))</f>
        <v/>
      </c>
      <c r="N134">
        <f>IF($L134="","",DEGREES(ATAN2($J134,$K134)))</f>
        <v/>
      </c>
      <c r="O134">
        <f t="array" ref="O134">IF($M134="","",IFERROR(IF(INDEX(geo_grid!$B$2:$JU$231,INT(($M134+40)/0.5)+1,INT(($N134+30)/0.5)+1)="","",INDEX(geo_grid!$B$2:$JU$231,INT(($M134+40)/0.5)+1,INT(($N134+30)/0.5)+1)),"OUTSIDE GRID"))</f>
        <v/>
      </c>
      <c r="Q134">
        <f>IF(countries!$D134="","",countries!$D134)</f>
        <v/>
      </c>
      <c r="R134">
        <f>IF($Q134="","",countries!$B134)</f>
        <v/>
      </c>
      <c r="S134">
        <f>IF($Q134="","",IF(OR($Q134='Feasibility IQ'!$AA$9,$Q134='Feasibility IQ'!$AA$10),0,COUNTIF($O$2:$O$152,$Q134)))</f>
        <v/>
      </c>
      <c r="T134">
        <f>IF($S134=0,"",_xlfn.MINIFS($A$2:$A$152,$O$2:$O$152,$Q134))</f>
        <v/>
      </c>
      <c r="U134">
        <f t="array" ref="U134">IF($S134=0,"",SUMPRODUCT(($S$2:$S$143&gt;0)*($T$2:$T$143&lt;$T134))+1)</f>
        <v/>
      </c>
    </row>
    <row r="135">
      <c r="A135">
        <f>ROW()-2</f>
        <v/>
      </c>
      <c r="B135">
        <f>$A135/150</f>
        <v/>
      </c>
      <c r="C135">
        <f>'Feasibility IQ'!$AA$4</f>
        <v/>
      </c>
      <c r="D135">
        <f>'Feasibility IQ'!$AA$5</f>
        <v/>
      </c>
      <c r="E135">
        <f>'Feasibility IQ'!$AA$6</f>
        <v/>
      </c>
      <c r="F135">
        <f>'Feasibility IQ'!$AA$7</f>
        <v/>
      </c>
      <c r="G135">
        <f>'Feasibility IQ'!$AA$8</f>
        <v/>
      </c>
      <c r="H135">
        <f>IF(OR($G135="",$G135=0),"",SIN((1-$B135)*$G135)/SIN($G135))</f>
        <v/>
      </c>
      <c r="I135">
        <f>IF($H135="","",SIN($B135*$G135)/SIN($G135))</f>
        <v/>
      </c>
      <c r="J135">
        <f>IF($H135="","",$H135*COS(RADIANS($C135))*COS(RADIANS($D135))+$I135*COS(RADIANS($E135))*COS(RADIANS($F135)))</f>
        <v/>
      </c>
      <c r="K135">
        <f>IF($H135="","",$H135*COS(RADIANS($C135))*SIN(RADIANS($D135))+$I135*COS(RADIANS($E135))*SIN(RADIANS($F135)))</f>
        <v/>
      </c>
      <c r="L135">
        <f>IF($H135="","",$H135*SIN(RADIANS($C135))+$I135*SIN(RADIANS($E135)))</f>
        <v/>
      </c>
      <c r="M135">
        <f>IF($L135="","",DEGREES(ATAN2(SQRT($J135^2+$K135^2),$L135)))</f>
        <v/>
      </c>
      <c r="N135">
        <f>IF($L135="","",DEGREES(ATAN2($J135,$K135)))</f>
        <v/>
      </c>
      <c r="O135">
        <f t="array" ref="O135">IF($M135="","",IFERROR(IF(INDEX(geo_grid!$B$2:$JU$231,INT(($M135+40)/0.5)+1,INT(($N135+30)/0.5)+1)="","",INDEX(geo_grid!$B$2:$JU$231,INT(($M135+40)/0.5)+1,INT(($N135+30)/0.5)+1)),"OUTSIDE GRID"))</f>
        <v/>
      </c>
      <c r="Q135">
        <f>IF(countries!$D135="","",countries!$D135)</f>
        <v/>
      </c>
      <c r="R135">
        <f>IF($Q135="","",countries!$B135)</f>
        <v/>
      </c>
      <c r="S135">
        <f>IF($Q135="","",IF(OR($Q135='Feasibility IQ'!$AA$9,$Q135='Feasibility IQ'!$AA$10),0,COUNTIF($O$2:$O$152,$Q135)))</f>
        <v/>
      </c>
      <c r="T135">
        <f>IF($S135=0,"",_xlfn.MINIFS($A$2:$A$152,$O$2:$O$152,$Q135))</f>
        <v/>
      </c>
      <c r="U135">
        <f t="array" ref="U135">IF($S135=0,"",SUMPRODUCT(($S$2:$S$143&gt;0)*($T$2:$T$143&lt;$T135))+1)</f>
        <v/>
      </c>
    </row>
    <row r="136">
      <c r="A136">
        <f>ROW()-2</f>
        <v/>
      </c>
      <c r="B136">
        <f>$A136/150</f>
        <v/>
      </c>
      <c r="C136">
        <f>'Feasibility IQ'!$AA$4</f>
        <v/>
      </c>
      <c r="D136">
        <f>'Feasibility IQ'!$AA$5</f>
        <v/>
      </c>
      <c r="E136">
        <f>'Feasibility IQ'!$AA$6</f>
        <v/>
      </c>
      <c r="F136">
        <f>'Feasibility IQ'!$AA$7</f>
        <v/>
      </c>
      <c r="G136">
        <f>'Feasibility IQ'!$AA$8</f>
        <v/>
      </c>
      <c r="H136">
        <f>IF(OR($G136="",$G136=0),"",SIN((1-$B136)*$G136)/SIN($G136))</f>
        <v/>
      </c>
      <c r="I136">
        <f>IF($H136="","",SIN($B136*$G136)/SIN($G136))</f>
        <v/>
      </c>
      <c r="J136">
        <f>IF($H136="","",$H136*COS(RADIANS($C136))*COS(RADIANS($D136))+$I136*COS(RADIANS($E136))*COS(RADIANS($F136)))</f>
        <v/>
      </c>
      <c r="K136">
        <f>IF($H136="","",$H136*COS(RADIANS($C136))*SIN(RADIANS($D136))+$I136*COS(RADIANS($E136))*SIN(RADIANS($F136)))</f>
        <v/>
      </c>
      <c r="L136">
        <f>IF($H136="","",$H136*SIN(RADIANS($C136))+$I136*SIN(RADIANS($E136)))</f>
        <v/>
      </c>
      <c r="M136">
        <f>IF($L136="","",DEGREES(ATAN2(SQRT($J136^2+$K136^2),$L136)))</f>
        <v/>
      </c>
      <c r="N136">
        <f>IF($L136="","",DEGREES(ATAN2($J136,$K136)))</f>
        <v/>
      </c>
      <c r="O136">
        <f t="array" ref="O136">IF($M136="","",IFERROR(IF(INDEX(geo_grid!$B$2:$JU$231,INT(($M136+40)/0.5)+1,INT(($N136+30)/0.5)+1)="","",INDEX(geo_grid!$B$2:$JU$231,INT(($M136+40)/0.5)+1,INT(($N136+30)/0.5)+1)),"OUTSIDE GRID"))</f>
        <v/>
      </c>
      <c r="Q136">
        <f>IF(countries!$D136="","",countries!$D136)</f>
        <v/>
      </c>
      <c r="R136">
        <f>IF($Q136="","",countries!$B136)</f>
        <v/>
      </c>
      <c r="S136">
        <f>IF($Q136="","",IF(OR($Q136='Feasibility IQ'!$AA$9,$Q136='Feasibility IQ'!$AA$10),0,COUNTIF($O$2:$O$152,$Q136)))</f>
        <v/>
      </c>
      <c r="T136">
        <f>IF($S136=0,"",_xlfn.MINIFS($A$2:$A$152,$O$2:$O$152,$Q136))</f>
        <v/>
      </c>
      <c r="U136">
        <f t="array" ref="U136">IF($S136=0,"",SUMPRODUCT(($S$2:$S$143&gt;0)*($T$2:$T$143&lt;$T136))+1)</f>
        <v/>
      </c>
    </row>
    <row r="137">
      <c r="A137">
        <f>ROW()-2</f>
        <v/>
      </c>
      <c r="B137">
        <f>$A137/150</f>
        <v/>
      </c>
      <c r="C137">
        <f>'Feasibility IQ'!$AA$4</f>
        <v/>
      </c>
      <c r="D137">
        <f>'Feasibility IQ'!$AA$5</f>
        <v/>
      </c>
      <c r="E137">
        <f>'Feasibility IQ'!$AA$6</f>
        <v/>
      </c>
      <c r="F137">
        <f>'Feasibility IQ'!$AA$7</f>
        <v/>
      </c>
      <c r="G137">
        <f>'Feasibility IQ'!$AA$8</f>
        <v/>
      </c>
      <c r="H137">
        <f>IF(OR($G137="",$G137=0),"",SIN((1-$B137)*$G137)/SIN($G137))</f>
        <v/>
      </c>
      <c r="I137">
        <f>IF($H137="","",SIN($B137*$G137)/SIN($G137))</f>
        <v/>
      </c>
      <c r="J137">
        <f>IF($H137="","",$H137*COS(RADIANS($C137))*COS(RADIANS($D137))+$I137*COS(RADIANS($E137))*COS(RADIANS($F137)))</f>
        <v/>
      </c>
      <c r="K137">
        <f>IF($H137="","",$H137*COS(RADIANS($C137))*SIN(RADIANS($D137))+$I137*COS(RADIANS($E137))*SIN(RADIANS($F137)))</f>
        <v/>
      </c>
      <c r="L137">
        <f>IF($H137="","",$H137*SIN(RADIANS($C137))+$I137*SIN(RADIANS($E137)))</f>
        <v/>
      </c>
      <c r="M137">
        <f>IF($L137="","",DEGREES(ATAN2(SQRT($J137^2+$K137^2),$L137)))</f>
        <v/>
      </c>
      <c r="N137">
        <f>IF($L137="","",DEGREES(ATAN2($J137,$K137)))</f>
        <v/>
      </c>
      <c r="O137">
        <f t="array" ref="O137">IF($M137="","",IFERROR(IF(INDEX(geo_grid!$B$2:$JU$231,INT(($M137+40)/0.5)+1,INT(($N137+30)/0.5)+1)="","",INDEX(geo_grid!$B$2:$JU$231,INT(($M137+40)/0.5)+1,INT(($N137+30)/0.5)+1)),"OUTSIDE GRID"))</f>
        <v/>
      </c>
      <c r="Q137">
        <f>IF(countries!$D137="","",countries!$D137)</f>
        <v/>
      </c>
      <c r="R137">
        <f>IF($Q137="","",countries!$B137)</f>
        <v/>
      </c>
      <c r="S137">
        <f>IF($Q137="","",IF(OR($Q137='Feasibility IQ'!$AA$9,$Q137='Feasibility IQ'!$AA$10),0,COUNTIF($O$2:$O$152,$Q137)))</f>
        <v/>
      </c>
      <c r="T137">
        <f>IF($S137=0,"",_xlfn.MINIFS($A$2:$A$152,$O$2:$O$152,$Q137))</f>
        <v/>
      </c>
      <c r="U137">
        <f t="array" ref="U137">IF($S137=0,"",SUMPRODUCT(($S$2:$S$143&gt;0)*($T$2:$T$143&lt;$T137))+1)</f>
        <v/>
      </c>
    </row>
    <row r="138">
      <c r="A138">
        <f>ROW()-2</f>
        <v/>
      </c>
      <c r="B138">
        <f>$A138/150</f>
        <v/>
      </c>
      <c r="C138">
        <f>'Feasibility IQ'!$AA$4</f>
        <v/>
      </c>
      <c r="D138">
        <f>'Feasibility IQ'!$AA$5</f>
        <v/>
      </c>
      <c r="E138">
        <f>'Feasibility IQ'!$AA$6</f>
        <v/>
      </c>
      <c r="F138">
        <f>'Feasibility IQ'!$AA$7</f>
        <v/>
      </c>
      <c r="G138">
        <f>'Feasibility IQ'!$AA$8</f>
        <v/>
      </c>
      <c r="H138">
        <f>IF(OR($G138="",$G138=0),"",SIN((1-$B138)*$G138)/SIN($G138))</f>
        <v/>
      </c>
      <c r="I138">
        <f>IF($H138="","",SIN($B138*$G138)/SIN($G138))</f>
        <v/>
      </c>
      <c r="J138">
        <f>IF($H138="","",$H138*COS(RADIANS($C138))*COS(RADIANS($D138))+$I138*COS(RADIANS($E138))*COS(RADIANS($F138)))</f>
        <v/>
      </c>
      <c r="K138">
        <f>IF($H138="","",$H138*COS(RADIANS($C138))*SIN(RADIANS($D138))+$I138*COS(RADIANS($E138))*SIN(RADIANS($F138)))</f>
        <v/>
      </c>
      <c r="L138">
        <f>IF($H138="","",$H138*SIN(RADIANS($C138))+$I138*SIN(RADIANS($E138)))</f>
        <v/>
      </c>
      <c r="M138">
        <f>IF($L138="","",DEGREES(ATAN2(SQRT($J138^2+$K138^2),$L138)))</f>
        <v/>
      </c>
      <c r="N138">
        <f>IF($L138="","",DEGREES(ATAN2($J138,$K138)))</f>
        <v/>
      </c>
      <c r="O138">
        <f t="array" ref="O138">IF($M138="","",IFERROR(IF(INDEX(geo_grid!$B$2:$JU$231,INT(($M138+40)/0.5)+1,INT(($N138+30)/0.5)+1)="","",INDEX(geo_grid!$B$2:$JU$231,INT(($M138+40)/0.5)+1,INT(($N138+30)/0.5)+1)),"OUTSIDE GRID"))</f>
        <v/>
      </c>
      <c r="Q138">
        <f>IF(countries!$D138="","",countries!$D138)</f>
        <v/>
      </c>
      <c r="R138">
        <f>IF($Q138="","",countries!$B138)</f>
        <v/>
      </c>
      <c r="S138">
        <f>IF($Q138="","",IF(OR($Q138='Feasibility IQ'!$AA$9,$Q138='Feasibility IQ'!$AA$10),0,COUNTIF($O$2:$O$152,$Q138)))</f>
        <v/>
      </c>
      <c r="T138">
        <f>IF($S138=0,"",_xlfn.MINIFS($A$2:$A$152,$O$2:$O$152,$Q138))</f>
        <v/>
      </c>
      <c r="U138">
        <f t="array" ref="U138">IF($S138=0,"",SUMPRODUCT(($S$2:$S$143&gt;0)*($T$2:$T$143&lt;$T138))+1)</f>
        <v/>
      </c>
    </row>
    <row r="139">
      <c r="A139">
        <f>ROW()-2</f>
        <v/>
      </c>
      <c r="B139">
        <f>$A139/150</f>
        <v/>
      </c>
      <c r="C139">
        <f>'Feasibility IQ'!$AA$4</f>
        <v/>
      </c>
      <c r="D139">
        <f>'Feasibility IQ'!$AA$5</f>
        <v/>
      </c>
      <c r="E139">
        <f>'Feasibility IQ'!$AA$6</f>
        <v/>
      </c>
      <c r="F139">
        <f>'Feasibility IQ'!$AA$7</f>
        <v/>
      </c>
      <c r="G139">
        <f>'Feasibility IQ'!$AA$8</f>
        <v/>
      </c>
      <c r="H139">
        <f>IF(OR($G139="",$G139=0),"",SIN((1-$B139)*$G139)/SIN($G139))</f>
        <v/>
      </c>
      <c r="I139">
        <f>IF($H139="","",SIN($B139*$G139)/SIN($G139))</f>
        <v/>
      </c>
      <c r="J139">
        <f>IF($H139="","",$H139*COS(RADIANS($C139))*COS(RADIANS($D139))+$I139*COS(RADIANS($E139))*COS(RADIANS($F139)))</f>
        <v/>
      </c>
      <c r="K139">
        <f>IF($H139="","",$H139*COS(RADIANS($C139))*SIN(RADIANS($D139))+$I139*COS(RADIANS($E139))*SIN(RADIANS($F139)))</f>
        <v/>
      </c>
      <c r="L139">
        <f>IF($H139="","",$H139*SIN(RADIANS($C139))+$I139*SIN(RADIANS($E139)))</f>
        <v/>
      </c>
      <c r="M139">
        <f>IF($L139="","",DEGREES(ATAN2(SQRT($J139^2+$K139^2),$L139)))</f>
        <v/>
      </c>
      <c r="N139">
        <f>IF($L139="","",DEGREES(ATAN2($J139,$K139)))</f>
        <v/>
      </c>
      <c r="O139">
        <f t="array" ref="O139">IF($M139="","",IFERROR(IF(INDEX(geo_grid!$B$2:$JU$231,INT(($M139+40)/0.5)+1,INT(($N139+30)/0.5)+1)="","",INDEX(geo_grid!$B$2:$JU$231,INT(($M139+40)/0.5)+1,INT(($N139+30)/0.5)+1)),"OUTSIDE GRID"))</f>
        <v/>
      </c>
      <c r="Q139">
        <f>IF(countries!$D139="","",countries!$D139)</f>
        <v/>
      </c>
      <c r="R139">
        <f>IF($Q139="","",countries!$B139)</f>
        <v/>
      </c>
      <c r="S139">
        <f>IF($Q139="","",IF(OR($Q139='Feasibility IQ'!$AA$9,$Q139='Feasibility IQ'!$AA$10),0,COUNTIF($O$2:$O$152,$Q139)))</f>
        <v/>
      </c>
      <c r="T139">
        <f>IF($S139=0,"",_xlfn.MINIFS($A$2:$A$152,$O$2:$O$152,$Q139))</f>
        <v/>
      </c>
      <c r="U139">
        <f t="array" ref="U139">IF($S139=0,"",SUMPRODUCT(($S$2:$S$143&gt;0)*($T$2:$T$143&lt;$T139))+1)</f>
        <v/>
      </c>
    </row>
    <row r="140">
      <c r="A140">
        <f>ROW()-2</f>
        <v/>
      </c>
      <c r="B140">
        <f>$A140/150</f>
        <v/>
      </c>
      <c r="C140">
        <f>'Feasibility IQ'!$AA$4</f>
        <v/>
      </c>
      <c r="D140">
        <f>'Feasibility IQ'!$AA$5</f>
        <v/>
      </c>
      <c r="E140">
        <f>'Feasibility IQ'!$AA$6</f>
        <v/>
      </c>
      <c r="F140">
        <f>'Feasibility IQ'!$AA$7</f>
        <v/>
      </c>
      <c r="G140">
        <f>'Feasibility IQ'!$AA$8</f>
        <v/>
      </c>
      <c r="H140">
        <f>IF(OR($G140="",$G140=0),"",SIN((1-$B140)*$G140)/SIN($G140))</f>
        <v/>
      </c>
      <c r="I140">
        <f>IF($H140="","",SIN($B140*$G140)/SIN($G140))</f>
        <v/>
      </c>
      <c r="J140">
        <f>IF($H140="","",$H140*COS(RADIANS($C140))*COS(RADIANS($D140))+$I140*COS(RADIANS($E140))*COS(RADIANS($F140)))</f>
        <v/>
      </c>
      <c r="K140">
        <f>IF($H140="","",$H140*COS(RADIANS($C140))*SIN(RADIANS($D140))+$I140*COS(RADIANS($E140))*SIN(RADIANS($F140)))</f>
        <v/>
      </c>
      <c r="L140">
        <f>IF($H140="","",$H140*SIN(RADIANS($C140))+$I140*SIN(RADIANS($E140)))</f>
        <v/>
      </c>
      <c r="M140">
        <f>IF($L140="","",DEGREES(ATAN2(SQRT($J140^2+$K140^2),$L140)))</f>
        <v/>
      </c>
      <c r="N140">
        <f>IF($L140="","",DEGREES(ATAN2($J140,$K140)))</f>
        <v/>
      </c>
      <c r="O140">
        <f t="array" ref="O140">IF($M140="","",IFERROR(IF(INDEX(geo_grid!$B$2:$JU$231,INT(($M140+40)/0.5)+1,INT(($N140+30)/0.5)+1)="","",INDEX(geo_grid!$B$2:$JU$231,INT(($M140+40)/0.5)+1,INT(($N140+30)/0.5)+1)),"OUTSIDE GRID"))</f>
        <v/>
      </c>
      <c r="Q140">
        <f>IF(countries!$D140="","",countries!$D140)</f>
        <v/>
      </c>
      <c r="R140">
        <f>IF($Q140="","",countries!$B140)</f>
        <v/>
      </c>
      <c r="S140">
        <f>IF($Q140="","",IF(OR($Q140='Feasibility IQ'!$AA$9,$Q140='Feasibility IQ'!$AA$10),0,COUNTIF($O$2:$O$152,$Q140)))</f>
        <v/>
      </c>
      <c r="T140">
        <f>IF($S140=0,"",_xlfn.MINIFS($A$2:$A$152,$O$2:$O$152,$Q140))</f>
        <v/>
      </c>
      <c r="U140">
        <f t="array" ref="U140">IF($S140=0,"",SUMPRODUCT(($S$2:$S$143&gt;0)*($T$2:$T$143&lt;$T140))+1)</f>
        <v/>
      </c>
    </row>
    <row r="141">
      <c r="A141">
        <f>ROW()-2</f>
        <v/>
      </c>
      <c r="B141">
        <f>$A141/150</f>
        <v/>
      </c>
      <c r="C141">
        <f>'Feasibility IQ'!$AA$4</f>
        <v/>
      </c>
      <c r="D141">
        <f>'Feasibility IQ'!$AA$5</f>
        <v/>
      </c>
      <c r="E141">
        <f>'Feasibility IQ'!$AA$6</f>
        <v/>
      </c>
      <c r="F141">
        <f>'Feasibility IQ'!$AA$7</f>
        <v/>
      </c>
      <c r="G141">
        <f>'Feasibility IQ'!$AA$8</f>
        <v/>
      </c>
      <c r="H141">
        <f>IF(OR($G141="",$G141=0),"",SIN((1-$B141)*$G141)/SIN($G141))</f>
        <v/>
      </c>
      <c r="I141">
        <f>IF($H141="","",SIN($B141*$G141)/SIN($G141))</f>
        <v/>
      </c>
      <c r="J141">
        <f>IF($H141="","",$H141*COS(RADIANS($C141))*COS(RADIANS($D141))+$I141*COS(RADIANS($E141))*COS(RADIANS($F141)))</f>
        <v/>
      </c>
      <c r="K141">
        <f>IF($H141="","",$H141*COS(RADIANS($C141))*SIN(RADIANS($D141))+$I141*COS(RADIANS($E141))*SIN(RADIANS($F141)))</f>
        <v/>
      </c>
      <c r="L141">
        <f>IF($H141="","",$H141*SIN(RADIANS($C141))+$I141*SIN(RADIANS($E141)))</f>
        <v/>
      </c>
      <c r="M141">
        <f>IF($L141="","",DEGREES(ATAN2(SQRT($J141^2+$K141^2),$L141)))</f>
        <v/>
      </c>
      <c r="N141">
        <f>IF($L141="","",DEGREES(ATAN2($J141,$K141)))</f>
        <v/>
      </c>
      <c r="O141">
        <f t="array" ref="O141">IF($M141="","",IFERROR(IF(INDEX(geo_grid!$B$2:$JU$231,INT(($M141+40)/0.5)+1,INT(($N141+30)/0.5)+1)="","",INDEX(geo_grid!$B$2:$JU$231,INT(($M141+40)/0.5)+1,INT(($N141+30)/0.5)+1)),"OUTSIDE GRID"))</f>
        <v/>
      </c>
      <c r="Q141">
        <f>IF(countries!$D141="","",countries!$D141)</f>
        <v/>
      </c>
      <c r="R141">
        <f>IF($Q141="","",countries!$B141)</f>
        <v/>
      </c>
      <c r="S141">
        <f>IF($Q141="","",IF(OR($Q141='Feasibility IQ'!$AA$9,$Q141='Feasibility IQ'!$AA$10),0,COUNTIF($O$2:$O$152,$Q141)))</f>
        <v/>
      </c>
      <c r="T141">
        <f>IF($S141=0,"",_xlfn.MINIFS($A$2:$A$152,$O$2:$O$152,$Q141))</f>
        <v/>
      </c>
      <c r="U141">
        <f t="array" ref="U141">IF($S141=0,"",SUMPRODUCT(($S$2:$S$143&gt;0)*($T$2:$T$143&lt;$T141))+1)</f>
        <v/>
      </c>
    </row>
    <row r="142">
      <c r="A142">
        <f>ROW()-2</f>
        <v/>
      </c>
      <c r="B142">
        <f>$A142/150</f>
        <v/>
      </c>
      <c r="C142">
        <f>'Feasibility IQ'!$AA$4</f>
        <v/>
      </c>
      <c r="D142">
        <f>'Feasibility IQ'!$AA$5</f>
        <v/>
      </c>
      <c r="E142">
        <f>'Feasibility IQ'!$AA$6</f>
        <v/>
      </c>
      <c r="F142">
        <f>'Feasibility IQ'!$AA$7</f>
        <v/>
      </c>
      <c r="G142">
        <f>'Feasibility IQ'!$AA$8</f>
        <v/>
      </c>
      <c r="H142">
        <f>IF(OR($G142="",$G142=0),"",SIN((1-$B142)*$G142)/SIN($G142))</f>
        <v/>
      </c>
      <c r="I142">
        <f>IF($H142="","",SIN($B142*$G142)/SIN($G142))</f>
        <v/>
      </c>
      <c r="J142">
        <f>IF($H142="","",$H142*COS(RADIANS($C142))*COS(RADIANS($D142))+$I142*COS(RADIANS($E142))*COS(RADIANS($F142)))</f>
        <v/>
      </c>
      <c r="K142">
        <f>IF($H142="","",$H142*COS(RADIANS($C142))*SIN(RADIANS($D142))+$I142*COS(RADIANS($E142))*SIN(RADIANS($F142)))</f>
        <v/>
      </c>
      <c r="L142">
        <f>IF($H142="","",$H142*SIN(RADIANS($C142))+$I142*SIN(RADIANS($E142)))</f>
        <v/>
      </c>
      <c r="M142">
        <f>IF($L142="","",DEGREES(ATAN2(SQRT($J142^2+$K142^2),$L142)))</f>
        <v/>
      </c>
      <c r="N142">
        <f>IF($L142="","",DEGREES(ATAN2($J142,$K142)))</f>
        <v/>
      </c>
      <c r="O142">
        <f t="array" ref="O142">IF($M142="","",IFERROR(IF(INDEX(geo_grid!$B$2:$JU$231,INT(($M142+40)/0.5)+1,INT(($N142+30)/0.5)+1)="","",INDEX(geo_grid!$B$2:$JU$231,INT(($M142+40)/0.5)+1,INT(($N142+30)/0.5)+1)),"OUTSIDE GRID"))</f>
        <v/>
      </c>
      <c r="Q142">
        <f>IF(countries!$D142="","",countries!$D142)</f>
        <v/>
      </c>
      <c r="R142">
        <f>IF($Q142="","",countries!$B142)</f>
        <v/>
      </c>
      <c r="S142">
        <f>IF($Q142="","",IF(OR($Q142='Feasibility IQ'!$AA$9,$Q142='Feasibility IQ'!$AA$10),0,COUNTIF($O$2:$O$152,$Q142)))</f>
        <v/>
      </c>
      <c r="T142">
        <f>IF($S142=0,"",_xlfn.MINIFS($A$2:$A$152,$O$2:$O$152,$Q142))</f>
        <v/>
      </c>
      <c r="U142">
        <f t="array" ref="U142">IF($S142=0,"",SUMPRODUCT(($S$2:$S$143&gt;0)*($T$2:$T$143&lt;$T142))+1)</f>
        <v/>
      </c>
    </row>
    <row r="143">
      <c r="A143">
        <f>ROW()-2</f>
        <v/>
      </c>
      <c r="B143">
        <f>$A143/150</f>
        <v/>
      </c>
      <c r="C143">
        <f>'Feasibility IQ'!$AA$4</f>
        <v/>
      </c>
      <c r="D143">
        <f>'Feasibility IQ'!$AA$5</f>
        <v/>
      </c>
      <c r="E143">
        <f>'Feasibility IQ'!$AA$6</f>
        <v/>
      </c>
      <c r="F143">
        <f>'Feasibility IQ'!$AA$7</f>
        <v/>
      </c>
      <c r="G143">
        <f>'Feasibility IQ'!$AA$8</f>
        <v/>
      </c>
      <c r="H143">
        <f>IF(OR($G143="",$G143=0),"",SIN((1-$B143)*$G143)/SIN($G143))</f>
        <v/>
      </c>
      <c r="I143">
        <f>IF($H143="","",SIN($B143*$G143)/SIN($G143))</f>
        <v/>
      </c>
      <c r="J143">
        <f>IF($H143="","",$H143*COS(RADIANS($C143))*COS(RADIANS($D143))+$I143*COS(RADIANS($E143))*COS(RADIANS($F143)))</f>
        <v/>
      </c>
      <c r="K143">
        <f>IF($H143="","",$H143*COS(RADIANS($C143))*SIN(RADIANS($D143))+$I143*COS(RADIANS($E143))*SIN(RADIANS($F143)))</f>
        <v/>
      </c>
      <c r="L143">
        <f>IF($H143="","",$H143*SIN(RADIANS($C143))+$I143*SIN(RADIANS($E143)))</f>
        <v/>
      </c>
      <c r="M143">
        <f>IF($L143="","",DEGREES(ATAN2(SQRT($J143^2+$K143^2),$L143)))</f>
        <v/>
      </c>
      <c r="N143">
        <f>IF($L143="","",DEGREES(ATAN2($J143,$K143)))</f>
        <v/>
      </c>
      <c r="O143">
        <f t="array" ref="O143">IF($M143="","",IFERROR(IF(INDEX(geo_grid!$B$2:$JU$231,INT(($M143+40)/0.5)+1,INT(($N143+30)/0.5)+1)="","",INDEX(geo_grid!$B$2:$JU$231,INT(($M143+40)/0.5)+1,INT(($N143+30)/0.5)+1)),"OUTSIDE GRID"))</f>
        <v/>
      </c>
      <c r="Q143">
        <f>IF(countries!$D143="","",countries!$D143)</f>
        <v/>
      </c>
      <c r="R143">
        <f>IF($Q143="","",countries!$B143)</f>
        <v/>
      </c>
      <c r="S143">
        <f>IF($Q143="","",IF(OR($Q143='Feasibility IQ'!$AA$9,$Q143='Feasibility IQ'!$AA$10),0,COUNTIF($O$2:$O$152,$Q143)))</f>
        <v/>
      </c>
      <c r="T143">
        <f>IF($S143=0,"",_xlfn.MINIFS($A$2:$A$152,$O$2:$O$152,$Q143))</f>
        <v/>
      </c>
      <c r="U143">
        <f t="array" ref="U143">IF($S143=0,"",SUMPRODUCT(($S$2:$S$143&gt;0)*($T$2:$T$143&lt;$T143))+1)</f>
        <v/>
      </c>
    </row>
    <row r="144">
      <c r="A144">
        <f>ROW()-2</f>
        <v/>
      </c>
      <c r="B144">
        <f>$A144/150</f>
        <v/>
      </c>
      <c r="C144">
        <f>'Feasibility IQ'!$AA$4</f>
        <v/>
      </c>
      <c r="D144">
        <f>'Feasibility IQ'!$AA$5</f>
        <v/>
      </c>
      <c r="E144">
        <f>'Feasibility IQ'!$AA$6</f>
        <v/>
      </c>
      <c r="F144">
        <f>'Feasibility IQ'!$AA$7</f>
        <v/>
      </c>
      <c r="G144">
        <f>'Feasibility IQ'!$AA$8</f>
        <v/>
      </c>
      <c r="H144">
        <f>IF(OR($G144="",$G144=0),"",SIN((1-$B144)*$G144)/SIN($G144))</f>
        <v/>
      </c>
      <c r="I144">
        <f>IF($H144="","",SIN($B144*$G144)/SIN($G144))</f>
        <v/>
      </c>
      <c r="J144">
        <f>IF($H144="","",$H144*COS(RADIANS($C144))*COS(RADIANS($D144))+$I144*COS(RADIANS($E144))*COS(RADIANS($F144)))</f>
        <v/>
      </c>
      <c r="K144">
        <f>IF($H144="","",$H144*COS(RADIANS($C144))*SIN(RADIANS($D144))+$I144*COS(RADIANS($E144))*SIN(RADIANS($F144)))</f>
        <v/>
      </c>
      <c r="L144">
        <f>IF($H144="","",$H144*SIN(RADIANS($C144))+$I144*SIN(RADIANS($E144)))</f>
        <v/>
      </c>
      <c r="M144">
        <f>IF($L144="","",DEGREES(ATAN2(SQRT($J144^2+$K144^2),$L144)))</f>
        <v/>
      </c>
      <c r="N144">
        <f>IF($L144="","",DEGREES(ATAN2($J144,$K144)))</f>
        <v/>
      </c>
      <c r="O144">
        <f t="array" ref="O144">IF($M144="","",IFERROR(IF(INDEX(geo_grid!$B$2:$JU$231,INT(($M144+40)/0.5)+1,INT(($N144+30)/0.5)+1)="","",INDEX(geo_grid!$B$2:$JU$231,INT(($M144+40)/0.5)+1,INT(($N144+30)/0.5)+1)),"OUTSIDE GRID"))</f>
        <v/>
      </c>
    </row>
    <row r="145">
      <c r="A145">
        <f>ROW()-2</f>
        <v/>
      </c>
      <c r="B145">
        <f>$A145/150</f>
        <v/>
      </c>
      <c r="C145">
        <f>'Feasibility IQ'!$AA$4</f>
        <v/>
      </c>
      <c r="D145">
        <f>'Feasibility IQ'!$AA$5</f>
        <v/>
      </c>
      <c r="E145">
        <f>'Feasibility IQ'!$AA$6</f>
        <v/>
      </c>
      <c r="F145">
        <f>'Feasibility IQ'!$AA$7</f>
        <v/>
      </c>
      <c r="G145">
        <f>'Feasibility IQ'!$AA$8</f>
        <v/>
      </c>
      <c r="H145">
        <f>IF(OR($G145="",$G145=0),"",SIN((1-$B145)*$G145)/SIN($G145))</f>
        <v/>
      </c>
      <c r="I145">
        <f>IF($H145="","",SIN($B145*$G145)/SIN($G145))</f>
        <v/>
      </c>
      <c r="J145">
        <f>IF($H145="","",$H145*COS(RADIANS($C145))*COS(RADIANS($D145))+$I145*COS(RADIANS($E145))*COS(RADIANS($F145)))</f>
        <v/>
      </c>
      <c r="K145">
        <f>IF($H145="","",$H145*COS(RADIANS($C145))*SIN(RADIANS($D145))+$I145*COS(RADIANS($E145))*SIN(RADIANS($F145)))</f>
        <v/>
      </c>
      <c r="L145">
        <f>IF($H145="","",$H145*SIN(RADIANS($C145))+$I145*SIN(RADIANS($E145)))</f>
        <v/>
      </c>
      <c r="M145">
        <f>IF($L145="","",DEGREES(ATAN2(SQRT($J145^2+$K145^2),$L145)))</f>
        <v/>
      </c>
      <c r="N145">
        <f>IF($L145="","",DEGREES(ATAN2($J145,$K145)))</f>
        <v/>
      </c>
      <c r="O145">
        <f t="array" ref="O145">IF($M145="","",IFERROR(IF(INDEX(geo_grid!$B$2:$JU$231,INT(($M145+40)/0.5)+1,INT(($N145+30)/0.5)+1)="","",INDEX(geo_grid!$B$2:$JU$231,INT(($M145+40)/0.5)+1,INT(($N145+30)/0.5)+1)),"OUTSIDE GRID"))</f>
        <v/>
      </c>
    </row>
    <row r="146">
      <c r="A146">
        <f>ROW()-2</f>
        <v/>
      </c>
      <c r="B146">
        <f>$A146/150</f>
        <v/>
      </c>
      <c r="C146">
        <f>'Feasibility IQ'!$AA$4</f>
        <v/>
      </c>
      <c r="D146">
        <f>'Feasibility IQ'!$AA$5</f>
        <v/>
      </c>
      <c r="E146">
        <f>'Feasibility IQ'!$AA$6</f>
        <v/>
      </c>
      <c r="F146">
        <f>'Feasibility IQ'!$AA$7</f>
        <v/>
      </c>
      <c r="G146">
        <f>'Feasibility IQ'!$AA$8</f>
        <v/>
      </c>
      <c r="H146">
        <f>IF(OR($G146="",$G146=0),"",SIN((1-$B146)*$G146)/SIN($G146))</f>
        <v/>
      </c>
      <c r="I146">
        <f>IF($H146="","",SIN($B146*$G146)/SIN($G146))</f>
        <v/>
      </c>
      <c r="J146">
        <f>IF($H146="","",$H146*COS(RADIANS($C146))*COS(RADIANS($D146))+$I146*COS(RADIANS($E146))*COS(RADIANS($F146)))</f>
        <v/>
      </c>
      <c r="K146">
        <f>IF($H146="","",$H146*COS(RADIANS($C146))*SIN(RADIANS($D146))+$I146*COS(RADIANS($E146))*SIN(RADIANS($F146)))</f>
        <v/>
      </c>
      <c r="L146">
        <f>IF($H146="","",$H146*SIN(RADIANS($C146))+$I146*SIN(RADIANS($E146)))</f>
        <v/>
      </c>
      <c r="M146">
        <f>IF($L146="","",DEGREES(ATAN2(SQRT($J146^2+$K146^2),$L146)))</f>
        <v/>
      </c>
      <c r="N146">
        <f>IF($L146="","",DEGREES(ATAN2($J146,$K146)))</f>
        <v/>
      </c>
      <c r="O146">
        <f t="array" ref="O146">IF($M146="","",IFERROR(IF(INDEX(geo_grid!$B$2:$JU$231,INT(($M146+40)/0.5)+1,INT(($N146+30)/0.5)+1)="","",INDEX(geo_grid!$B$2:$JU$231,INT(($M146+40)/0.5)+1,INT(($N146+30)/0.5)+1)),"OUTSIDE GRID"))</f>
        <v/>
      </c>
    </row>
    <row r="147">
      <c r="A147">
        <f>ROW()-2</f>
        <v/>
      </c>
      <c r="B147">
        <f>$A147/150</f>
        <v/>
      </c>
      <c r="C147">
        <f>'Feasibility IQ'!$AA$4</f>
        <v/>
      </c>
      <c r="D147">
        <f>'Feasibility IQ'!$AA$5</f>
        <v/>
      </c>
      <c r="E147">
        <f>'Feasibility IQ'!$AA$6</f>
        <v/>
      </c>
      <c r="F147">
        <f>'Feasibility IQ'!$AA$7</f>
        <v/>
      </c>
      <c r="G147">
        <f>'Feasibility IQ'!$AA$8</f>
        <v/>
      </c>
      <c r="H147">
        <f>IF(OR($G147="",$G147=0),"",SIN((1-$B147)*$G147)/SIN($G147))</f>
        <v/>
      </c>
      <c r="I147">
        <f>IF($H147="","",SIN($B147*$G147)/SIN($G147))</f>
        <v/>
      </c>
      <c r="J147">
        <f>IF($H147="","",$H147*COS(RADIANS($C147))*COS(RADIANS($D147))+$I147*COS(RADIANS($E147))*COS(RADIANS($F147)))</f>
        <v/>
      </c>
      <c r="K147">
        <f>IF($H147="","",$H147*COS(RADIANS($C147))*SIN(RADIANS($D147))+$I147*COS(RADIANS($E147))*SIN(RADIANS($F147)))</f>
        <v/>
      </c>
      <c r="L147">
        <f>IF($H147="","",$H147*SIN(RADIANS($C147))+$I147*SIN(RADIANS($E147)))</f>
        <v/>
      </c>
      <c r="M147">
        <f>IF($L147="","",DEGREES(ATAN2(SQRT($J147^2+$K147^2),$L147)))</f>
        <v/>
      </c>
      <c r="N147">
        <f>IF($L147="","",DEGREES(ATAN2($J147,$K147)))</f>
        <v/>
      </c>
      <c r="O147">
        <f t="array" ref="O147">IF($M147="","",IFERROR(IF(INDEX(geo_grid!$B$2:$JU$231,INT(($M147+40)/0.5)+1,INT(($N147+30)/0.5)+1)="","",INDEX(geo_grid!$B$2:$JU$231,INT(($M147+40)/0.5)+1,INT(($N147+30)/0.5)+1)),"OUTSIDE GRID"))</f>
        <v/>
      </c>
    </row>
    <row r="148">
      <c r="A148">
        <f>ROW()-2</f>
        <v/>
      </c>
      <c r="B148">
        <f>$A148/150</f>
        <v/>
      </c>
      <c r="C148">
        <f>'Feasibility IQ'!$AA$4</f>
        <v/>
      </c>
      <c r="D148">
        <f>'Feasibility IQ'!$AA$5</f>
        <v/>
      </c>
      <c r="E148">
        <f>'Feasibility IQ'!$AA$6</f>
        <v/>
      </c>
      <c r="F148">
        <f>'Feasibility IQ'!$AA$7</f>
        <v/>
      </c>
      <c r="G148">
        <f>'Feasibility IQ'!$AA$8</f>
        <v/>
      </c>
      <c r="H148">
        <f>IF(OR($G148="",$G148=0),"",SIN((1-$B148)*$G148)/SIN($G148))</f>
        <v/>
      </c>
      <c r="I148">
        <f>IF($H148="","",SIN($B148*$G148)/SIN($G148))</f>
        <v/>
      </c>
      <c r="J148">
        <f>IF($H148="","",$H148*COS(RADIANS($C148))*COS(RADIANS($D148))+$I148*COS(RADIANS($E148))*COS(RADIANS($F148)))</f>
        <v/>
      </c>
      <c r="K148">
        <f>IF($H148="","",$H148*COS(RADIANS($C148))*SIN(RADIANS($D148))+$I148*COS(RADIANS($E148))*SIN(RADIANS($F148)))</f>
        <v/>
      </c>
      <c r="L148">
        <f>IF($H148="","",$H148*SIN(RADIANS($C148))+$I148*SIN(RADIANS($E148)))</f>
        <v/>
      </c>
      <c r="M148">
        <f>IF($L148="","",DEGREES(ATAN2(SQRT($J148^2+$K148^2),$L148)))</f>
        <v/>
      </c>
      <c r="N148">
        <f>IF($L148="","",DEGREES(ATAN2($J148,$K148)))</f>
        <v/>
      </c>
      <c r="O148">
        <f t="array" ref="O148">IF($M148="","",IFERROR(IF(INDEX(geo_grid!$B$2:$JU$231,INT(($M148+40)/0.5)+1,INT(($N148+30)/0.5)+1)="","",INDEX(geo_grid!$B$2:$JU$231,INT(($M148+40)/0.5)+1,INT(($N148+30)/0.5)+1)),"OUTSIDE GRID"))</f>
        <v/>
      </c>
    </row>
    <row r="149">
      <c r="A149">
        <f>ROW()-2</f>
        <v/>
      </c>
      <c r="B149">
        <f>$A149/150</f>
        <v/>
      </c>
      <c r="C149">
        <f>'Feasibility IQ'!$AA$4</f>
        <v/>
      </c>
      <c r="D149">
        <f>'Feasibility IQ'!$AA$5</f>
        <v/>
      </c>
      <c r="E149">
        <f>'Feasibility IQ'!$AA$6</f>
        <v/>
      </c>
      <c r="F149">
        <f>'Feasibility IQ'!$AA$7</f>
        <v/>
      </c>
      <c r="G149">
        <f>'Feasibility IQ'!$AA$8</f>
        <v/>
      </c>
      <c r="H149">
        <f>IF(OR($G149="",$G149=0),"",SIN((1-$B149)*$G149)/SIN($G149))</f>
        <v/>
      </c>
      <c r="I149">
        <f>IF($H149="","",SIN($B149*$G149)/SIN($G149))</f>
        <v/>
      </c>
      <c r="J149">
        <f>IF($H149="","",$H149*COS(RADIANS($C149))*COS(RADIANS($D149))+$I149*COS(RADIANS($E149))*COS(RADIANS($F149)))</f>
        <v/>
      </c>
      <c r="K149">
        <f>IF($H149="","",$H149*COS(RADIANS($C149))*SIN(RADIANS($D149))+$I149*COS(RADIANS($E149))*SIN(RADIANS($F149)))</f>
        <v/>
      </c>
      <c r="L149">
        <f>IF($H149="","",$H149*SIN(RADIANS($C149))+$I149*SIN(RADIANS($E149)))</f>
        <v/>
      </c>
      <c r="M149">
        <f>IF($L149="","",DEGREES(ATAN2(SQRT($J149^2+$K149^2),$L149)))</f>
        <v/>
      </c>
      <c r="N149">
        <f>IF($L149="","",DEGREES(ATAN2($J149,$K149)))</f>
        <v/>
      </c>
      <c r="O149">
        <f t="array" ref="O149">IF($M149="","",IFERROR(IF(INDEX(geo_grid!$B$2:$JU$231,INT(($M149+40)/0.5)+1,INT(($N149+30)/0.5)+1)="","",INDEX(geo_grid!$B$2:$JU$231,INT(($M149+40)/0.5)+1,INT(($N149+30)/0.5)+1)),"OUTSIDE GRID"))</f>
        <v/>
      </c>
    </row>
    <row r="150">
      <c r="A150">
        <f>ROW()-2</f>
        <v/>
      </c>
      <c r="B150">
        <f>$A150/150</f>
        <v/>
      </c>
      <c r="C150">
        <f>'Feasibility IQ'!$AA$4</f>
        <v/>
      </c>
      <c r="D150">
        <f>'Feasibility IQ'!$AA$5</f>
        <v/>
      </c>
      <c r="E150">
        <f>'Feasibility IQ'!$AA$6</f>
        <v/>
      </c>
      <c r="F150">
        <f>'Feasibility IQ'!$AA$7</f>
        <v/>
      </c>
      <c r="G150">
        <f>'Feasibility IQ'!$AA$8</f>
        <v/>
      </c>
      <c r="H150">
        <f>IF(OR($G150="",$G150=0),"",SIN((1-$B150)*$G150)/SIN($G150))</f>
        <v/>
      </c>
      <c r="I150">
        <f>IF($H150="","",SIN($B150*$G150)/SIN($G150))</f>
        <v/>
      </c>
      <c r="J150">
        <f>IF($H150="","",$H150*COS(RADIANS($C150))*COS(RADIANS($D150))+$I150*COS(RADIANS($E150))*COS(RADIANS($F150)))</f>
        <v/>
      </c>
      <c r="K150">
        <f>IF($H150="","",$H150*COS(RADIANS($C150))*SIN(RADIANS($D150))+$I150*COS(RADIANS($E150))*SIN(RADIANS($F150)))</f>
        <v/>
      </c>
      <c r="L150">
        <f>IF($H150="","",$H150*SIN(RADIANS($C150))+$I150*SIN(RADIANS($E150)))</f>
        <v/>
      </c>
      <c r="M150">
        <f>IF($L150="","",DEGREES(ATAN2(SQRT($J150^2+$K150^2),$L150)))</f>
        <v/>
      </c>
      <c r="N150">
        <f>IF($L150="","",DEGREES(ATAN2($J150,$K150)))</f>
        <v/>
      </c>
      <c r="O150">
        <f t="array" ref="O150">IF($M150="","",IFERROR(IF(INDEX(geo_grid!$B$2:$JU$231,INT(($M150+40)/0.5)+1,INT(($N150+30)/0.5)+1)="","",INDEX(geo_grid!$B$2:$JU$231,INT(($M150+40)/0.5)+1,INT(($N150+30)/0.5)+1)),"OUTSIDE GRID"))</f>
        <v/>
      </c>
    </row>
    <row r="151">
      <c r="A151">
        <f>ROW()-2</f>
        <v/>
      </c>
      <c r="B151">
        <f>$A151/150</f>
        <v/>
      </c>
      <c r="C151">
        <f>'Feasibility IQ'!$AA$4</f>
        <v/>
      </c>
      <c r="D151">
        <f>'Feasibility IQ'!$AA$5</f>
        <v/>
      </c>
      <c r="E151">
        <f>'Feasibility IQ'!$AA$6</f>
        <v/>
      </c>
      <c r="F151">
        <f>'Feasibility IQ'!$AA$7</f>
        <v/>
      </c>
      <c r="G151">
        <f>'Feasibility IQ'!$AA$8</f>
        <v/>
      </c>
      <c r="H151">
        <f>IF(OR($G151="",$G151=0),"",SIN((1-$B151)*$G151)/SIN($G151))</f>
        <v/>
      </c>
      <c r="I151">
        <f>IF($H151="","",SIN($B151*$G151)/SIN($G151))</f>
        <v/>
      </c>
      <c r="J151">
        <f>IF($H151="","",$H151*COS(RADIANS($C151))*COS(RADIANS($D151))+$I151*COS(RADIANS($E151))*COS(RADIANS($F151)))</f>
        <v/>
      </c>
      <c r="K151">
        <f>IF($H151="","",$H151*COS(RADIANS($C151))*SIN(RADIANS($D151))+$I151*COS(RADIANS($E151))*SIN(RADIANS($F151)))</f>
        <v/>
      </c>
      <c r="L151">
        <f>IF($H151="","",$H151*SIN(RADIANS($C151))+$I151*SIN(RADIANS($E151)))</f>
        <v/>
      </c>
      <c r="M151">
        <f>IF($L151="","",DEGREES(ATAN2(SQRT($J151^2+$K151^2),$L151)))</f>
        <v/>
      </c>
      <c r="N151">
        <f>IF($L151="","",DEGREES(ATAN2($J151,$K151)))</f>
        <v/>
      </c>
      <c r="O151">
        <f t="array" ref="O151">IF($M151="","",IFERROR(IF(INDEX(geo_grid!$B$2:$JU$231,INT(($M151+40)/0.5)+1,INT(($N151+30)/0.5)+1)="","",INDEX(geo_grid!$B$2:$JU$231,INT(($M151+40)/0.5)+1,INT(($N151+30)/0.5)+1)),"OUTSIDE GRID"))</f>
        <v/>
      </c>
    </row>
    <row r="152">
      <c r="A152">
        <f>ROW()-2</f>
        <v/>
      </c>
      <c r="B152">
        <f>$A152/150</f>
        <v/>
      </c>
      <c r="C152">
        <f>'Feasibility IQ'!$AA$4</f>
        <v/>
      </c>
      <c r="D152">
        <f>'Feasibility IQ'!$AA$5</f>
        <v/>
      </c>
      <c r="E152">
        <f>'Feasibility IQ'!$AA$6</f>
        <v/>
      </c>
      <c r="F152">
        <f>'Feasibility IQ'!$AA$7</f>
        <v/>
      </c>
      <c r="G152">
        <f>'Feasibility IQ'!$AA$8</f>
        <v/>
      </c>
      <c r="H152">
        <f>IF(OR($G152="",$G152=0),"",SIN((1-$B152)*$G152)/SIN($G152))</f>
        <v/>
      </c>
      <c r="I152">
        <f>IF($H152="","",SIN($B152*$G152)/SIN($G152))</f>
        <v/>
      </c>
      <c r="J152">
        <f>IF($H152="","",$H152*COS(RADIANS($C152))*COS(RADIANS($D152))+$I152*COS(RADIANS($E152))*COS(RADIANS($F152)))</f>
        <v/>
      </c>
      <c r="K152">
        <f>IF($H152="","",$H152*COS(RADIANS($C152))*SIN(RADIANS($D152))+$I152*COS(RADIANS($E152))*SIN(RADIANS($F152)))</f>
        <v/>
      </c>
      <c r="L152">
        <f>IF($H152="","",$H152*SIN(RADIANS($C152))+$I152*SIN(RADIANS($E152)))</f>
        <v/>
      </c>
      <c r="M152">
        <f>IF($L152="","",DEGREES(ATAN2(SQRT($J152^2+$K152^2),$L152)))</f>
        <v/>
      </c>
      <c r="N152">
        <f>IF($L152="","",DEGREES(ATAN2($J152,$K152)))</f>
        <v/>
      </c>
      <c r="O152">
        <f t="array" ref="O152">IF($M152="","",IFERROR(IF(INDEX(geo_grid!$B$2:$JU$231,INT(($M152+40)/0.5)+1,INT(($N152+30)/0.5)+1)="","",INDEX(geo_grid!$B$2:$JU$231,INT(($M152+40)/0.5)+1,INT(($N152+30)/0.5)+1)),"OUTSIDE GRID"))</f>
        <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U15"/>
  <sheetViews>
    <sheetView topLeftCell="AN1" workbookViewId="0">
      <pane ySplit="3" topLeftCell="A4" activePane="bottomLeft" state="frozen"/>
      <selection pane="bottomLeft" activeCell="AP8" sqref="AP8"/>
    </sheetView>
  </sheetViews>
  <sheetFormatPr baseColWidth="8" defaultRowHeight="14.4"/>
  <cols>
    <col width="25" customWidth="1" min="1" max="37"/>
    <col width="125.21875" bestFit="1" customWidth="1" min="38" max="38"/>
    <col width="25" customWidth="1" min="39" max="44"/>
    <col width="27.77734375" customWidth="1" min="46" max="47"/>
  </cols>
  <sheetData>
    <row r="1" ht="18" customHeight="1">
      <c r="A1" s="44" t="inlineStr">
        <is>
          <t>MAYFLY — MASTER LEG REGISTER   (one row per leg · trip information repeats on every leg of the same trip)</t>
        </is>
      </c>
    </row>
    <row r="2">
      <c r="A2" s="25" t="inlineStr">
        <is>
          <t>TRIP INFORMATION (identical on every leg of the trip)</t>
        </is>
      </c>
      <c r="B2" s="25" t="n"/>
      <c r="C2" s="25" t="n"/>
      <c r="D2" s="25" t="n"/>
      <c r="E2" s="25" t="n"/>
      <c r="F2" s="25" t="n"/>
      <c r="G2" s="25" t="n"/>
      <c r="H2" s="25" t="n"/>
      <c r="I2" s="25" t="n"/>
      <c r="J2" s="25" t="n"/>
      <c r="K2" s="25" t="n"/>
      <c r="L2" s="25" t="n"/>
      <c r="M2" s="25" t="n"/>
      <c r="N2" s="25" t="n"/>
      <c r="O2" s="25" t="n"/>
      <c r="P2" s="25" t="n"/>
      <c r="Q2" s="25" t="n"/>
      <c r="R2" s="25" t="n"/>
      <c r="S2" s="57" t="inlineStr">
        <is>
          <t>LEG INFORMATION (unique to this leg)</t>
        </is>
      </c>
      <c r="T2" s="57" t="n"/>
      <c r="U2" s="57" t="n"/>
      <c r="V2" s="57" t="n"/>
      <c r="W2" s="57" t="n"/>
      <c r="X2" s="57" t="n"/>
      <c r="Y2" s="57" t="n"/>
      <c r="Z2" s="57" t="n"/>
      <c r="AA2" s="57" t="n"/>
      <c r="AB2" s="57" t="n"/>
      <c r="AC2" s="57" t="n"/>
      <c r="AD2" s="57" t="n"/>
      <c r="AE2" s="57" t="n"/>
      <c r="AF2" s="57" t="n"/>
      <c r="AG2" s="57" t="n"/>
      <c r="AH2" s="57" t="n"/>
      <c r="AI2" s="57" t="n"/>
      <c r="AJ2" s="57" t="n"/>
      <c r="AK2" s="57" t="n"/>
      <c r="AL2" s="57" t="n"/>
      <c r="AM2" s="57" t="n"/>
      <c r="AN2" s="57" t="n"/>
      <c r="AO2" s="57" t="n"/>
      <c r="AP2" s="57" t="n"/>
      <c r="AQ2" s="57" t="n"/>
      <c r="AR2" s="57" t="n"/>
    </row>
    <row r="3">
      <c r="A3" s="33" t="inlineStr">
        <is>
          <t>trip_ref</t>
        </is>
      </c>
      <c r="B3" s="33" t="inlineStr">
        <is>
          <t>source</t>
        </is>
      </c>
      <c r="C3" s="33" t="inlineStr">
        <is>
          <t>trip_status</t>
        </is>
      </c>
      <c r="D3" s="33" t="inlineStr">
        <is>
          <t>owner</t>
        </is>
      </c>
      <c r="E3" s="33" t="inlineStr">
        <is>
          <t>request_date</t>
        </is>
      </c>
      <c r="F3" s="33" t="inlineStr">
        <is>
          <t>requester_company</t>
        </is>
      </c>
      <c r="G3" s="33" t="inlineStr">
        <is>
          <t>requester_name</t>
        </is>
      </c>
      <c r="H3" s="33" t="inlineStr">
        <is>
          <t>requester_email</t>
        </is>
      </c>
      <c r="I3" s="33" t="inlineStr">
        <is>
          <t>requester_phone</t>
        </is>
      </c>
      <c r="J3" s="33" t="inlineStr">
        <is>
          <t>operator_id</t>
        </is>
      </c>
      <c r="K3" s="33" t="inlineStr">
        <is>
          <t>operator_name</t>
        </is>
      </c>
      <c r="L3" s="33" t="inlineStr">
        <is>
          <t>bill_to_client_id</t>
        </is>
      </c>
      <c r="M3" s="33" t="inlineStr">
        <is>
          <t>aircraft_type</t>
        </is>
      </c>
      <c r="N3" s="33" t="inlineStr">
        <is>
          <t>registration</t>
        </is>
      </c>
      <c r="O3" s="33" t="inlineStr">
        <is>
          <t>total_legs</t>
        </is>
      </c>
      <c r="P3" s="33" t="inlineStr">
        <is>
          <t>trip_feasibility</t>
        </is>
      </c>
      <c r="Q3" s="33" t="inlineStr">
        <is>
          <t>last_update</t>
        </is>
      </c>
      <c r="R3" s="33" t="inlineStr">
        <is>
          <t>trip_notes</t>
        </is>
      </c>
      <c r="S3" s="58" t="inlineStr">
        <is>
          <t>leg_no</t>
        </is>
      </c>
      <c r="T3" s="58" t="inlineStr">
        <is>
          <t>leg_ref</t>
        </is>
      </c>
      <c r="U3" s="58" t="inlineStr">
        <is>
          <t>dep_icao</t>
        </is>
      </c>
      <c r="V3" s="58" t="inlineStr">
        <is>
          <t>dep_name</t>
        </is>
      </c>
      <c r="W3" s="58" t="inlineStr">
        <is>
          <t>dep_country</t>
        </is>
      </c>
      <c r="X3" s="58" t="inlineStr">
        <is>
          <t>etd_utc</t>
        </is>
      </c>
      <c r="Y3" s="58" t="inlineStr">
        <is>
          <t>arr_icao</t>
        </is>
      </c>
      <c r="Z3" s="58" t="inlineStr">
        <is>
          <t>arr_name</t>
        </is>
      </c>
      <c r="AA3" s="58" t="inlineStr">
        <is>
          <t>arr_country</t>
        </is>
      </c>
      <c r="AB3" s="58" t="inlineStr">
        <is>
          <t>eta_utc</t>
        </is>
      </c>
      <c r="AC3" s="58" t="inlineStr">
        <is>
          <t>dist_nm</t>
        </is>
      </c>
      <c r="AD3" s="58" t="inlineStr">
        <is>
          <t>eet_hrs</t>
        </is>
      </c>
      <c r="AE3" s="58" t="inlineStr">
        <is>
          <t>pax</t>
        </is>
      </c>
      <c r="AF3" s="58" t="inlineStr">
        <is>
          <t>crew</t>
        </is>
      </c>
      <c r="AG3" s="58" t="inlineStr">
        <is>
          <t>souls</t>
        </is>
      </c>
      <c r="AH3" s="58" t="inlineStr">
        <is>
          <t>avoid_fir</t>
        </is>
      </c>
      <c r="AI3" s="58" t="inlineStr">
        <is>
          <t>include_fir</t>
        </is>
      </c>
      <c r="AJ3" s="58" t="inlineStr">
        <is>
          <t>route_check</t>
        </is>
      </c>
      <c r="AK3" s="58" t="inlineStr">
        <is>
          <t>ovf_count</t>
        </is>
      </c>
      <c r="AL3" s="58" t="inlineStr">
        <is>
          <t>ovf_states</t>
        </is>
      </c>
      <c r="AM3" s="58" t="inlineStr">
        <is>
          <t>ldg_permit_state</t>
        </is>
      </c>
      <c r="AN3" s="58" t="inlineStr">
        <is>
          <t>gh_state</t>
        </is>
      </c>
      <c r="AO3" s="58" t="inlineStr">
        <is>
          <t>permit_status</t>
        </is>
      </c>
      <c r="AP3" s="58" t="inlineStr">
        <is>
          <t>leg_status</t>
        </is>
      </c>
      <c r="AQ3" s="58" t="inlineStr">
        <is>
          <t>bill_to_leg</t>
        </is>
      </c>
      <c r="AR3" s="58" t="inlineStr">
        <is>
          <t>leg_notes</t>
        </is>
      </c>
      <c r="AT3" s="33" t="inlineStr">
        <is>
          <t>REGISTER SUMMARY</t>
        </is>
      </c>
      <c r="AU3" s="33" t="n"/>
    </row>
    <row r="4">
      <c r="A4" t="inlineStr">
        <is>
          <t>JTL-2608-001</t>
        </is>
      </c>
      <c r="B4" t="inlineStr">
        <is>
          <t>JTL</t>
        </is>
      </c>
      <c r="C4" t="inlineStr">
        <is>
          <t>ACTIVE</t>
        </is>
      </c>
      <c r="D4" t="inlineStr">
        <is>
          <t>OPS DESK</t>
        </is>
      </c>
      <c r="E4" s="118" t="n">
        <v>46242</v>
      </c>
      <c r="F4" t="inlineStr">
        <is>
          <t>JTL AVIATION, INC</t>
        </is>
      </c>
      <c r="G4" t="inlineStr">
        <is>
          <t>OPS DESK</t>
        </is>
      </c>
      <c r="H4" t="inlineStr">
        <is>
          <t>ops@jetelio.com</t>
        </is>
      </c>
      <c r="I4" t="inlineStr">
        <is>
          <t>+1 208 134 6478</t>
        </is>
      </c>
      <c r="J4" t="inlineStr">
        <is>
          <t>OPV-20</t>
        </is>
      </c>
      <c r="L4" t="inlineStr">
        <is>
          <t>CLI-001</t>
        </is>
      </c>
      <c r="M4" t="inlineStr">
        <is>
          <t>C510</t>
        </is>
      </c>
      <c r="N4" t="inlineStr">
        <is>
          <t>5HLUX</t>
        </is>
      </c>
      <c r="O4" t="n">
        <v>4</v>
      </c>
      <c r="P4" t="inlineStr">
        <is>
          <t>FEASIBLE</t>
        </is>
      </c>
      <c r="Q4" s="118" t="n">
        <v>46242</v>
      </c>
      <c r="R4" t="inlineStr">
        <is>
          <t>Multi-leg trip built in TRIP MANAGER</t>
        </is>
      </c>
      <c r="S4" t="n">
        <v>1</v>
      </c>
      <c r="T4" t="inlineStr">
        <is>
          <t>JTL-2608-001-L1</t>
        </is>
      </c>
      <c r="U4" t="inlineStr">
        <is>
          <t>FALA</t>
        </is>
      </c>
      <c r="V4" t="inlineStr">
        <is>
          <t>Lanseria International Airport</t>
        </is>
      </c>
      <c r="W4" t="inlineStr">
        <is>
          <t>South Africa</t>
        </is>
      </c>
      <c r="X4" s="41" t="n">
        <v>46248.375</v>
      </c>
      <c r="Y4" t="inlineStr">
        <is>
          <t>FTTJ</t>
        </is>
      </c>
      <c r="Z4" t="inlineStr">
        <is>
          <t>N'Djamena International Airport</t>
        </is>
      </c>
      <c r="AA4" t="inlineStr">
        <is>
          <t>Chad</t>
        </is>
      </c>
      <c r="AB4" s="41" t="n">
        <v>46248.605</v>
      </c>
      <c r="AC4" t="n">
        <v>2407</v>
      </c>
      <c r="AD4" t="n">
        <v>5.52</v>
      </c>
      <c r="AE4" t="n">
        <v>2</v>
      </c>
      <c r="AF4" t="n">
        <v>2</v>
      </c>
      <c r="AG4" t="n">
        <v>4</v>
      </c>
      <c r="AJ4" t="inlineStr">
        <is>
          <t>NO CONSTRAINT</t>
        </is>
      </c>
      <c r="AK4" t="n">
        <v>7</v>
      </c>
      <c r="AL4" t="inlineStr">
        <is>
          <t>Angola, Botswana, Central African Republic, Democratic Republic of the Congo, Namibia, Republic of the Congo, Zambia</t>
        </is>
      </c>
      <c r="AM4" t="inlineStr">
        <is>
          <t>Chad</t>
        </is>
      </c>
      <c r="AN4" t="inlineStr">
        <is>
          <t>South Africa, Chad</t>
        </is>
      </c>
      <c r="AO4" t="inlineStr">
        <is>
          <t>PENDING</t>
        </is>
      </c>
      <c r="AP4" t="inlineStr">
        <is>
          <t>PLANNED</t>
        </is>
      </c>
      <c r="AQ4" t="inlineStr">
        <is>
          <t>CLI-001</t>
        </is>
      </c>
      <c r="AT4" t="inlineStr">
        <is>
          <t>TOTAL LEG ROWS</t>
        </is>
      </c>
      <c r="AU4">
        <f>COUNTA($A$4:$A$400)</f>
        <v/>
      </c>
    </row>
    <row r="5">
      <c r="A5" t="inlineStr">
        <is>
          <t>JTL-2608-001</t>
        </is>
      </c>
      <c r="B5" t="inlineStr">
        <is>
          <t>JTL</t>
        </is>
      </c>
      <c r="C5" t="inlineStr">
        <is>
          <t>ACTIVE</t>
        </is>
      </c>
      <c r="D5" t="inlineStr">
        <is>
          <t>OPS DESK</t>
        </is>
      </c>
      <c r="E5" s="118" t="n">
        <v>46242</v>
      </c>
      <c r="F5" t="inlineStr">
        <is>
          <t>JTL AVIATION, INC</t>
        </is>
      </c>
      <c r="G5" t="inlineStr">
        <is>
          <t>OPS DESK</t>
        </is>
      </c>
      <c r="H5" t="inlineStr">
        <is>
          <t>ops@jetelio.com</t>
        </is>
      </c>
      <c r="I5" t="inlineStr">
        <is>
          <t>+1 208 134 6478</t>
        </is>
      </c>
      <c r="J5" t="inlineStr">
        <is>
          <t>OPV-20</t>
        </is>
      </c>
      <c r="L5" t="inlineStr">
        <is>
          <t>CLI-001</t>
        </is>
      </c>
      <c r="M5" t="inlineStr">
        <is>
          <t>C510</t>
        </is>
      </c>
      <c r="N5" t="inlineStr">
        <is>
          <t>5HLUX</t>
        </is>
      </c>
      <c r="O5" t="n">
        <v>4</v>
      </c>
      <c r="P5" t="inlineStr">
        <is>
          <t>FEASIBLE</t>
        </is>
      </c>
      <c r="Q5" s="118" t="n">
        <v>46242</v>
      </c>
      <c r="R5" t="inlineStr">
        <is>
          <t>Multi-leg trip built in TRIP MANAGER</t>
        </is>
      </c>
      <c r="S5" t="n">
        <v>2</v>
      </c>
      <c r="T5" t="inlineStr">
        <is>
          <t>JTL-2608-001-L2</t>
        </is>
      </c>
      <c r="U5" t="inlineStr">
        <is>
          <t>FTTJ</t>
        </is>
      </c>
      <c r="V5" t="inlineStr">
        <is>
          <t>N'Djamena International Airport</t>
        </is>
      </c>
      <c r="W5" t="inlineStr">
        <is>
          <t>Chad</t>
        </is>
      </c>
      <c r="X5" s="41" t="n">
        <v>46250.25</v>
      </c>
      <c r="Y5" t="inlineStr">
        <is>
          <t>HECA</t>
        </is>
      </c>
      <c r="Z5" t="inlineStr">
        <is>
          <t>Cairo International Airport</t>
        </is>
      </c>
      <c r="AA5" t="inlineStr">
        <is>
          <t>Egypt</t>
        </is>
      </c>
      <c r="AB5" s="41" t="n">
        <v>46250.3917</v>
      </c>
      <c r="AC5" t="n">
        <v>1412</v>
      </c>
      <c r="AD5" t="n">
        <v>3.4</v>
      </c>
      <c r="AE5" t="n">
        <v>1</v>
      </c>
      <c r="AF5" t="n">
        <v>2</v>
      </c>
      <c r="AG5" t="n">
        <v>3</v>
      </c>
      <c r="AJ5" t="inlineStr">
        <is>
          <t>NO CONSTRAINT</t>
        </is>
      </c>
      <c r="AK5" t="n">
        <v>1</v>
      </c>
      <c r="AL5" t="inlineStr">
        <is>
          <t>Libya</t>
        </is>
      </c>
      <c r="AM5" t="inlineStr">
        <is>
          <t>Egypt</t>
        </is>
      </c>
      <c r="AN5" t="inlineStr">
        <is>
          <t>Chad, Egypt</t>
        </is>
      </c>
      <c r="AO5" t="inlineStr">
        <is>
          <t>PENDING</t>
        </is>
      </c>
      <c r="AP5" t="inlineStr">
        <is>
          <t>PLANNED</t>
        </is>
      </c>
      <c r="AQ5" t="inlineStr">
        <is>
          <t>CLI-001</t>
        </is>
      </c>
      <c r="AT5" t="inlineStr">
        <is>
          <t>DISTINCT TRIPS</t>
        </is>
      </c>
      <c r="AU5">
        <f t="array" ref="AU5">SUMPRODUCT(($A$4:$A$400&lt;&gt;"")/COUNTIF($A$4:$A$400,$A$4:$A$400&amp;""))</f>
        <v/>
      </c>
    </row>
    <row r="6">
      <c r="A6" t="inlineStr">
        <is>
          <t>JTL-2608-001</t>
        </is>
      </c>
      <c r="B6" t="inlineStr">
        <is>
          <t>JTL</t>
        </is>
      </c>
      <c r="C6" t="inlineStr">
        <is>
          <t>ACTIVE</t>
        </is>
      </c>
      <c r="D6" t="inlineStr">
        <is>
          <t>OPS DESK</t>
        </is>
      </c>
      <c r="E6" s="118" t="n">
        <v>46242</v>
      </c>
      <c r="F6" t="inlineStr">
        <is>
          <t>JTL AVIATION, INC</t>
        </is>
      </c>
      <c r="G6" t="inlineStr">
        <is>
          <t>OPS DESK</t>
        </is>
      </c>
      <c r="H6" t="inlineStr">
        <is>
          <t>ops@jetelio.com</t>
        </is>
      </c>
      <c r="I6" t="inlineStr">
        <is>
          <t>+1 208 134 6478</t>
        </is>
      </c>
      <c r="J6" t="inlineStr">
        <is>
          <t>OPV-20</t>
        </is>
      </c>
      <c r="L6" t="inlineStr">
        <is>
          <t>CLI-001</t>
        </is>
      </c>
      <c r="M6" t="inlineStr">
        <is>
          <t>C510</t>
        </is>
      </c>
      <c r="N6" t="inlineStr">
        <is>
          <t>5HLUX</t>
        </is>
      </c>
      <c r="O6" t="n">
        <v>4</v>
      </c>
      <c r="P6" t="inlineStr">
        <is>
          <t>FEASIBLE</t>
        </is>
      </c>
      <c r="Q6" s="118" t="n">
        <v>46242</v>
      </c>
      <c r="R6" t="inlineStr">
        <is>
          <t>Multi-leg trip built in TRIP MANAGER</t>
        </is>
      </c>
      <c r="S6" t="n">
        <v>3</v>
      </c>
      <c r="T6" t="inlineStr">
        <is>
          <t>JTL-2608-001-L3</t>
        </is>
      </c>
      <c r="U6" t="inlineStr">
        <is>
          <t>HECA</t>
        </is>
      </c>
      <c r="V6" t="inlineStr">
        <is>
          <t>Cairo International Airport</t>
        </is>
      </c>
      <c r="W6" t="inlineStr">
        <is>
          <t>Egypt</t>
        </is>
      </c>
      <c r="X6" s="41" t="n">
        <v>46251.1667</v>
      </c>
      <c r="Y6" t="inlineStr">
        <is>
          <t>GMAD</t>
        </is>
      </c>
      <c r="Z6" t="inlineStr">
        <is>
          <t>Al Massira Airport</t>
        </is>
      </c>
      <c r="AA6" t="inlineStr">
        <is>
          <t>Morocco</t>
        </is>
      </c>
      <c r="AB6" s="41" t="n">
        <v>46251.37</v>
      </c>
      <c r="AC6" t="n">
        <v>2106</v>
      </c>
      <c r="AD6" t="n">
        <v>4.88</v>
      </c>
      <c r="AE6" t="n">
        <v>0</v>
      </c>
      <c r="AF6" t="n">
        <v>2</v>
      </c>
      <c r="AG6" t="n">
        <v>2</v>
      </c>
      <c r="AJ6" t="inlineStr">
        <is>
          <t>NO CONSTRAINT</t>
        </is>
      </c>
      <c r="AK6" t="n">
        <v>3</v>
      </c>
      <c r="AL6" t="inlineStr">
        <is>
          <t>Algeria, Libya, Tunisia</t>
        </is>
      </c>
      <c r="AM6" t="inlineStr">
        <is>
          <t>Morocco</t>
        </is>
      </c>
      <c r="AN6" t="inlineStr">
        <is>
          <t>Egypt, Morocco</t>
        </is>
      </c>
      <c r="AO6" t="inlineStr">
        <is>
          <t>PENDING</t>
        </is>
      </c>
      <c r="AP6" t="inlineStr">
        <is>
          <t>PLANNED</t>
        </is>
      </c>
      <c r="AQ6" t="inlineStr">
        <is>
          <t>CLI-001</t>
        </is>
      </c>
      <c r="AT6" t="inlineStr">
        <is>
          <t>ENQUIRY</t>
        </is>
      </c>
      <c r="AU6">
        <f>COUNTIF($C$4:$C$400,$AT6)</f>
        <v/>
      </c>
    </row>
    <row r="7">
      <c r="A7" t="inlineStr">
        <is>
          <t>JTL-2608-001</t>
        </is>
      </c>
      <c r="B7" t="inlineStr">
        <is>
          <t>JTL</t>
        </is>
      </c>
      <c r="C7" t="inlineStr">
        <is>
          <t>ACTIVE</t>
        </is>
      </c>
      <c r="D7" t="inlineStr">
        <is>
          <t>OPS DESK</t>
        </is>
      </c>
      <c r="E7" s="118" t="n">
        <v>46242</v>
      </c>
      <c r="F7" t="inlineStr">
        <is>
          <t>JTL AVIATION, INC</t>
        </is>
      </c>
      <c r="G7" t="inlineStr">
        <is>
          <t>OPS DESK</t>
        </is>
      </c>
      <c r="H7" t="inlineStr">
        <is>
          <t>ops@jetelio.com</t>
        </is>
      </c>
      <c r="I7" t="inlineStr">
        <is>
          <t>+1 208 134 6478</t>
        </is>
      </c>
      <c r="J7" t="inlineStr">
        <is>
          <t>OPV-20</t>
        </is>
      </c>
      <c r="L7" t="inlineStr">
        <is>
          <t>CLI-001</t>
        </is>
      </c>
      <c r="M7" t="inlineStr">
        <is>
          <t>C510</t>
        </is>
      </c>
      <c r="N7" t="inlineStr">
        <is>
          <t>5HLUX</t>
        </is>
      </c>
      <c r="O7" t="n">
        <v>4</v>
      </c>
      <c r="P7" t="inlineStr">
        <is>
          <t>FEASIBLE</t>
        </is>
      </c>
      <c r="Q7" s="118" t="n">
        <v>46242</v>
      </c>
      <c r="R7" t="inlineStr">
        <is>
          <t>Multi-leg trip built in TRIP MANAGER</t>
        </is>
      </c>
      <c r="S7" t="n">
        <v>4</v>
      </c>
      <c r="T7" t="inlineStr">
        <is>
          <t>JTL-2608-001-L4</t>
        </is>
      </c>
      <c r="U7" t="inlineStr">
        <is>
          <t>GMAD</t>
        </is>
      </c>
      <c r="V7" t="inlineStr">
        <is>
          <t>Al Massira Airport</t>
        </is>
      </c>
      <c r="W7" t="inlineStr">
        <is>
          <t>Morocco</t>
        </is>
      </c>
      <c r="X7" s="41" t="n">
        <v>46253.0417</v>
      </c>
      <c r="Y7" t="inlineStr">
        <is>
          <t>FAOR</t>
        </is>
      </c>
      <c r="Z7" t="inlineStr">
        <is>
          <t>O.R. Tambo International Airport</t>
        </is>
      </c>
      <c r="AA7" t="inlineStr">
        <is>
          <t>South Africa</t>
        </is>
      </c>
      <c r="AB7" s="41" t="n">
        <v>46253.415</v>
      </c>
      <c r="AC7" t="n">
        <v>4022</v>
      </c>
      <c r="AD7" t="n">
        <v>8.960000000000001</v>
      </c>
      <c r="AE7" t="n">
        <v>0</v>
      </c>
      <c r="AF7" t="n">
        <v>2</v>
      </c>
      <c r="AG7" t="n">
        <v>2</v>
      </c>
      <c r="AJ7" t="inlineStr">
        <is>
          <t>NO CONSTRAINT</t>
        </is>
      </c>
      <c r="AK7" t="n">
        <v>12</v>
      </c>
      <c r="AL7" t="inlineStr">
        <is>
          <t>Algeria, Angola, Botswana, Cameroon, Democratic Republic of the Congo, Equatorial Guinea, Gabon, Mali, Namibia, Niger, Nigeria, Republic of the Congo</t>
        </is>
      </c>
      <c r="AM7" t="inlineStr">
        <is>
          <t>South Africa</t>
        </is>
      </c>
      <c r="AN7" t="inlineStr">
        <is>
          <t>Morocco, South Africa</t>
        </is>
      </c>
      <c r="AO7" t="inlineStr">
        <is>
          <t>PENDING</t>
        </is>
      </c>
      <c r="AP7" t="inlineStr">
        <is>
          <t>PLANNED</t>
        </is>
      </c>
      <c r="AQ7" t="inlineStr">
        <is>
          <t>CLI-002</t>
        </is>
      </c>
      <c r="AT7" t="inlineStr">
        <is>
          <t>SUBMITTED</t>
        </is>
      </c>
      <c r="AU7">
        <f>COUNTIF($C$4:$C$400,$AT7)</f>
        <v/>
      </c>
    </row>
    <row r="8">
      <c r="A8" t="inlineStr">
        <is>
          <t>FIQ-260814-HECAFALA</t>
        </is>
      </c>
      <c r="B8" t="inlineStr">
        <is>
          <t>FEASIBILITY IQ</t>
        </is>
      </c>
      <c r="C8" t="inlineStr">
        <is>
          <t>ENQUIRY</t>
        </is>
      </c>
      <c r="D8" t="inlineStr">
        <is>
          <t>UNASSIGNED</t>
        </is>
      </c>
      <c r="E8" s="118" t="n">
        <v>46242</v>
      </c>
      <c r="F8" t="inlineStr">
        <is>
          <t>EXAMPLE CHARTER LTD</t>
        </is>
      </c>
      <c r="G8" t="inlineStr">
        <is>
          <t>A REQUESTER</t>
        </is>
      </c>
      <c r="H8" t="inlineStr">
        <is>
          <t>ops@example.com</t>
        </is>
      </c>
      <c r="I8" t="inlineStr">
        <is>
          <t>+27 11 000 0000</t>
        </is>
      </c>
      <c r="M8" t="inlineStr">
        <is>
          <t>C510</t>
        </is>
      </c>
      <c r="N8" t="inlineStr">
        <is>
          <t>5HLUX</t>
        </is>
      </c>
      <c r="O8" t="n">
        <v>1</v>
      </c>
      <c r="P8" t="inlineStr">
        <is>
          <t>NOT FEASIBLE AS ROUTED</t>
        </is>
      </c>
      <c r="Q8" s="118" t="n">
        <v>46242</v>
      </c>
      <c r="R8" t="inlineStr">
        <is>
          <t>Public enquiry awaiting JTL review</t>
        </is>
      </c>
      <c r="S8" t="n">
        <v>1</v>
      </c>
      <c r="T8" t="inlineStr">
        <is>
          <t>FIQ-260814-HECAFALA-L1</t>
        </is>
      </c>
      <c r="U8" t="inlineStr">
        <is>
          <t>HECA</t>
        </is>
      </c>
      <c r="V8" t="inlineStr">
        <is>
          <t>Cairo International Airport</t>
        </is>
      </c>
      <c r="W8" t="inlineStr">
        <is>
          <t>Egypt</t>
        </is>
      </c>
      <c r="X8" s="41" t="n">
        <v>46248.375</v>
      </c>
      <c r="Y8" t="inlineStr">
        <is>
          <t>FALA</t>
        </is>
      </c>
      <c r="Z8" t="inlineStr">
        <is>
          <t>Lanseria International Airport</t>
        </is>
      </c>
      <c r="AA8" t="inlineStr">
        <is>
          <t>South Africa</t>
        </is>
      </c>
      <c r="AB8" s="41" t="n"/>
      <c r="AC8" t="n">
        <v>0</v>
      </c>
      <c r="AD8" t="n">
        <v>0</v>
      </c>
      <c r="AE8" t="n">
        <v>3</v>
      </c>
      <c r="AF8" t="n">
        <v>2</v>
      </c>
      <c r="AG8" t="n">
        <v>5</v>
      </c>
      <c r="AH8" t="inlineStr">
        <is>
          <t>SUDAN, SOUTH SUDAN</t>
        </is>
      </c>
      <c r="AI8" t="inlineStr">
        <is>
          <t>KENYA, TANZANIA, ZAMBIA</t>
        </is>
      </c>
      <c r="AJ8" t="inlineStr">
        <is>
          <t>AVOID CONFLICT / INCLUDE NOT ON TRACK</t>
        </is>
      </c>
      <c r="AK8" t="n">
        <v>0</v>
      </c>
      <c r="AM8" t="inlineStr">
        <is>
          <t>South Africa</t>
        </is>
      </c>
      <c r="AN8" t="inlineStr">
        <is>
          <t>Egypt, South Africa</t>
        </is>
      </c>
      <c r="AO8" t="inlineStr">
        <is>
          <t>NOT FILED</t>
        </is>
      </c>
      <c r="AP8" t="inlineStr">
        <is>
          <t>ENQUIRY</t>
        </is>
      </c>
      <c r="AT8" t="inlineStr">
        <is>
          <t>QUOTED</t>
        </is>
      </c>
      <c r="AU8">
        <f>COUNTIF($C$4:$C$400,$AT8)</f>
        <v/>
      </c>
    </row>
    <row r="9">
      <c r="AT9" t="inlineStr">
        <is>
          <t>CONFIRMED</t>
        </is>
      </c>
      <c r="AU9">
        <f>COUNTIF($C$4:$C$400,$AT9)</f>
        <v/>
      </c>
    </row>
    <row r="10">
      <c r="AT10" t="inlineStr">
        <is>
          <t>ACTIVE</t>
        </is>
      </c>
      <c r="AU10">
        <f>COUNTIF($C$4:$C$400,$AT10)</f>
        <v/>
      </c>
    </row>
    <row r="11">
      <c r="AT11" t="inlineStr">
        <is>
          <t>IN PROGRESS</t>
        </is>
      </c>
      <c r="AU11">
        <f>COUNTIF($C$4:$C$400,$AT11)</f>
        <v/>
      </c>
    </row>
    <row r="12">
      <c r="AT12" t="inlineStr">
        <is>
          <t>SUSPENDED</t>
        </is>
      </c>
      <c r="AU12">
        <f>COUNTIF($C$4:$C$400,$AT12)</f>
        <v/>
      </c>
    </row>
    <row r="13">
      <c r="AT13" t="inlineStr">
        <is>
          <t>COMPLETED</t>
        </is>
      </c>
      <c r="AU13">
        <f>COUNTIF($C$4:$C$400,$AT13)</f>
        <v/>
      </c>
    </row>
    <row r="14">
      <c r="AT14" t="inlineStr">
        <is>
          <t>CLOSED</t>
        </is>
      </c>
      <c r="AU14">
        <f>COUNTIF($C$4:$C$400,$AT14)</f>
        <v/>
      </c>
    </row>
    <row r="15">
      <c r="AT15" t="inlineStr">
        <is>
          <t>CANCELLED</t>
        </is>
      </c>
      <c r="AU15">
        <f>COUNTIF($C$4:$C$400,$AT15)</f>
        <v/>
      </c>
    </row>
  </sheetData>
  <dataValidations count="3">
    <dataValidation sqref="C4:C400" showDropDown="0" showInputMessage="1" showErrorMessage="1" allowBlank="1" type="list">
      <formula1>"ENQUIRY,SUBMITTED,QUOTED,CONFIRMED,ACTIVE,IN PROGRESS,SUSPENDED,COMPLETED,CLOSED,CANCELLED,DECLINED"</formula1>
    </dataValidation>
    <dataValidation sqref="AP4:AP400" showDropDown="0" showInputMessage="1" showErrorMessage="1" allowBlank="1" type="list">
      <formula1>"ENQUIRY,PLANNED,PERMITS FILED,CLEARED,FLOWN,SUSPENDED,CANCELLED,CLOSED"</formula1>
    </dataValidation>
    <dataValidation sqref="B4:B400" showDropDown="0" showInputMessage="1" showErrorMessage="1" allowBlank="1" type="list">
      <formula1>"JTL,FEASIBILITY IQ"</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A291"/>
  <sheetViews>
    <sheetView topLeftCell="A249" zoomScale="120" zoomScaleNormal="120" workbookViewId="0">
      <selection activeCell="A126" sqref="A126"/>
    </sheetView>
  </sheetViews>
  <sheetFormatPr baseColWidth="8" defaultRowHeight="14.4"/>
  <cols>
    <col width="140.77734375" customWidth="1" min="1" max="1"/>
  </cols>
  <sheetData>
    <row r="1" ht="21" customHeight="1">
      <c r="A1" s="61" t="inlineStr">
        <is>
          <t>JTL TRIP &amp; PERMIT PLATFORM — BUILD PROMPT FOR A DOCKER COMPOSE WEB APP</t>
        </is>
      </c>
    </row>
    <row r="2" ht="28.8" customHeight="1">
      <c r="A2" s="62" t="inlineStr">
        <is>
          <t>Copy everything from row 4 down into your AI coding agent (Claude Code, Cursor, Aider) or hand it to a development team. It is a complete specification derived from this workbook.</t>
        </is>
      </c>
    </row>
    <row r="3">
      <c r="A3" s="63" t="n"/>
    </row>
    <row r="4" ht="15.6" customHeight="1">
      <c r="A4" s="64" t="inlineStr">
        <is>
          <t>## ROLE</t>
        </is>
      </c>
    </row>
    <row r="5" ht="28.8" customHeight="1">
      <c r="A5" s="63" t="inlineStr">
        <is>
          <t>You are a senior full-stack engineer. Build a production-ready, containerised web application that replaces an Excel-based flight-operations trip and permit planning workbook. The whole stack must come up with a single `docker compose up`. Do not ask me to run anything outside Docker.</t>
        </is>
      </c>
    </row>
    <row r="6">
      <c r="A6" s="63" t="n"/>
    </row>
    <row r="7" ht="15.6" customHeight="1">
      <c r="A7" s="64" t="inlineStr">
        <is>
          <t>## PRODUCT IN ONE PARAGRAPH</t>
        </is>
      </c>
    </row>
    <row r="8" ht="57.6" customHeight="1">
      <c r="A8" s="63" t="inlineStr">
        <is>
          <t>JTL is a flight-support company. Operators fly business jets and charters across Africa, the Middle East, Europe and India. For every flight leg, JTL must work out which countries the aircraft overflies, which regulatory permits are needed (overflight per en-route state, landing per destination state), which ground services are needed at each stop, what the filing deadlines are, whether crew and passengers hold valid documents and visas, and who gets billed. Today all of this lives in an Excel workbook. Turn it into a web app with two front doors: a public self-service feasibility checker, and an internal operations console.</t>
        </is>
      </c>
    </row>
    <row r="9">
      <c r="A9" s="63" t="n"/>
    </row>
    <row r="10" ht="15.6" customHeight="1">
      <c r="A10" s="64" t="inlineStr">
        <is>
          <t>## DELIVERABLES</t>
        </is>
      </c>
    </row>
    <row r="11">
      <c r="A11" s="63" t="inlineStr">
        <is>
          <t>1. `docker-compose.yml` bringing up every service below with healthchecks, named volumes and a single shared network.</t>
        </is>
      </c>
    </row>
    <row r="12">
      <c r="A12" s="63" t="inlineStr">
        <is>
          <t>2. A `Dockerfile` per service, multi-stage, non-root user, pinned base images.</t>
        </is>
      </c>
    </row>
    <row r="13">
      <c r="A13" s="63" t="inlineStr">
        <is>
          <t>3. `.env.example` with every variable documented. No secrets committed.</t>
        </is>
      </c>
    </row>
    <row r="14">
      <c r="A14" s="63" t="inlineStr">
        <is>
          <t>4. Database migrations (Alembic) and an idempotent seed script that ingests the source .xlsx.</t>
        </is>
      </c>
    </row>
    <row r="15">
      <c r="A15" s="63" t="inlineStr">
        <is>
          <t>5. OpenAPI 3 schema auto-generated, plus a Postman/Bruno collection.</t>
        </is>
      </c>
    </row>
    <row r="16">
      <c r="A16" s="63" t="inlineStr">
        <is>
          <t>6. `README.md`: quickstart, architecture diagram, env vars, how to run tests, how to load seed data.</t>
        </is>
      </c>
    </row>
    <row r="17">
      <c r="A17" s="63" t="inlineStr">
        <is>
          <t>7. Test suite: unit tests for the routing and permit engines, integration tests for the API, one end-to-end happy path.</t>
        </is>
      </c>
    </row>
    <row r="18">
      <c r="A18" s="63" t="inlineStr">
        <is>
          <t>8. `Makefile` with up / down / logs / migrate / seed / test / lint targets.</t>
        </is>
      </c>
    </row>
    <row r="19">
      <c r="A19" s="63" t="n"/>
    </row>
    <row r="20" ht="15.6" customHeight="1">
      <c r="A20" s="64" t="inlineStr">
        <is>
          <t>## SERVICES IN docker-compose</t>
        </is>
      </c>
    </row>
    <row r="21">
      <c r="A21" s="63" t="inlineStr">
        <is>
          <t>- `db` — PostgreSQL 16 with the PostGIS extension. Holds all reference and transactional data plus country geometry.</t>
        </is>
      </c>
    </row>
    <row r="22">
      <c r="A22" s="63" t="inlineStr">
        <is>
          <t>- `api` — Python 3.12 + FastAPI + SQLAlchemy 2 + Pydantic v2 + Alembic. Serves REST and the OpenAPI schema.</t>
        </is>
      </c>
    </row>
    <row r="23">
      <c r="A23" s="63" t="inlineStr">
        <is>
          <t>- `worker` — Celery (or arq) worker for deadline recomputation, notification e-mails and scheduled permit-expiry sweeps.</t>
        </is>
      </c>
    </row>
    <row r="24">
      <c r="A24" s="63" t="inlineStr">
        <is>
          <t>- `redis` — broker and cache.</t>
        </is>
      </c>
    </row>
    <row r="25">
      <c r="A25" s="63" t="inlineStr">
        <is>
          <t>- `web` — Next.js 14 (App Router) + TypeScript + TailwindCSS + TanStack Query. Server components for reads, client components for the editors.</t>
        </is>
      </c>
    </row>
    <row r="26">
      <c r="A26" s="63" t="inlineStr">
        <is>
          <t>- `minio` — S3-compatible object storage for crew/passenger documents (passports, visas, licences, medicals) and generated PDFs.</t>
        </is>
      </c>
    </row>
    <row r="27">
      <c r="A27" s="63" t="inlineStr">
        <is>
          <t>- `mailhog` — SMTP catcher in dev; swap for a real SMTP relay via env in production.</t>
        </is>
      </c>
    </row>
    <row r="28">
      <c r="A28" s="63" t="inlineStr">
        <is>
          <t>- `nginx` — reverse proxy, TLS termination, routes `/api` to api and everything else to web.</t>
        </is>
      </c>
    </row>
    <row r="29">
      <c r="A29" s="63" t="n"/>
    </row>
    <row r="30" ht="15.6" customHeight="1">
      <c r="A30" s="64" t="inlineStr">
        <is>
          <t>## DOMAIN MODEL (tables mirror the workbook sheets)</t>
        </is>
      </c>
    </row>
    <row r="31" ht="28.8" customHeight="1">
      <c r="A31" s="63" t="inlineStr">
        <is>
          <t>`airports` — icao (PK), iata, name, city, country_iso2, latitude, longitude, elevation, timezone, airport_type, is_airport_of_entry, ppr_required, curfew, runway data, fuel types, handler notes. ~380 rows today, must scale to a full worldwide set.</t>
        </is>
      </c>
    </row>
    <row r="32" ht="28.8" customHeight="1">
      <c r="A32" s="63" t="inlineStr">
        <is>
          <t>`countries` — iso3 (PK), iso2, name, calling_code, civil_aviation_authority, overflight_permit_required, landing_permit_required, standard_lead_time_hours, region, notes. 142 rows.</t>
        </is>
      </c>
    </row>
    <row r="33" ht="28.8" customHeight="1">
      <c r="A33" s="63" t="inlineStr">
        <is>
          <t>`country_geometry` — iso3, PostGIS MULTIPOLYGON, spatial GiST index. Load from Natural Earth 10m (better than the 110m used in the spreadsheet). This replaces the workbook's 0.5-degree raster lookup.</t>
        </is>
      </c>
    </row>
    <row r="34" ht="28.8" customHeight="1">
      <c r="A34" s="63" t="inlineStr">
        <is>
          <t>`fir_boundaries` — icao_fir_code, name, PostGIS MULTIPOLYGON. The spreadsheet approximates FIRs with state borders; the web app must use real FIR polygons and fall back to state airspace when a FIR is unmapped.</t>
        </is>
      </c>
    </row>
    <row r="35" ht="28.8" customHeight="1">
      <c r="A35" s="63" t="inlineStr">
        <is>
          <t>`operators` — operator_id (PK), operator_name, trading_name, aoc_number, icao/iata designator, country, home_base_icao, addresses, contacts, occ_email, billing_email, default_currency, tax_id, credit_approved, status. Every aircraft MUST reference a valid operator (enforce with a NOT NULL foreign key).</t>
        </is>
      </c>
    </row>
    <row r="36" ht="28.8" customHeight="1">
      <c r="A36" s="63" t="inlineStr">
        <is>
          <t>`aircraft` — registration (unique), icao_type, manufacturer, model_series, home_base_icao, mtow_kg, max_pax, serial_number, status, is_active, operator_id FK, cofa_expiry, insurance_expiry, airframe_hours, landings.</t>
        </is>
      </c>
    </row>
    <row r="37" ht="28.8" customHeight="1">
      <c r="A37" s="63" t="inlineStr">
        <is>
          <t>`clients` — client_id (PK), operator_id FK, client_name, bill_to_legal_name, address lines, city, country, tax_vat_id, billing contact, email, phone, currency, payment_terms, credit_limit, status. An operator has MANY billing entities; a trip and each individual leg can point at a different one.</t>
        </is>
      </c>
    </row>
    <row r="38" ht="43.2" customHeight="1">
      <c r="A38" s="63" t="inlineStr">
        <is>
          <t>`vendors` — vendor_id, company_name, legal_name, tax_id, website, account_type, credit_status, contacts, sita, aftn, payment_terms, currency. Plus `vendor_coverage_airports` (vendor, icao, is_primary_handler, fbo_name, sita, aftn, vhf) and `vendor_coverage_countries` (vendor, country_iso, has_caa_direct_account, service_scope).</t>
        </is>
      </c>
    </row>
    <row r="39" ht="43.2" customHeight="1">
      <c r="A39" s="63" t="inlineStr">
        <is>
          <t>`services` and `sub_services` — the service catalogue: GH ground handling, FUL fuel, CAT catering, NAV nav charges, SLT slots/PPR/parking, SEC security, CRW crew services, FPL flight planning, MRO maintenance, MED medical, CIQ customs &amp; immigration, CRT crew transport, PXT pax transport, CRH crew hotel, PXH pax hotel, plus permits OVF and LDG. Sub-services hang off each service (e.g. GH-DIC de-icing, CAT-SPL special dietary).</t>
        </is>
      </c>
    </row>
    <row r="40" ht="28.8" customHeight="1">
      <c r="A40" s="63" t="inlineStr">
        <is>
          <t>`trips` — trip_ref (unique), source (JTL or FEASIBILITY IQ), status, owner_user_id, request/quote timestamps, requester contact block, operator_id, bill_to_client_id, aircraft_id, feasibility verdict, notes.</t>
        </is>
      </c>
    </row>
    <row r="41" ht="28.8" customHeight="1">
      <c r="A41" s="63" t="inlineStr">
        <is>
          <t>`legs` — leg_id, trip_id FK, leg_no, dep_icao, etd_utc, arr_icao, eta_utc, distance_nm, eet_hours, block_speed_kts, taxi_allowance_hrs, pax_count, crew_count, avoid_fir[], include_fir[], route_check, bill_to_client_id, leg_status. The register view is one row per leg with the trip block repeated — model it as a join, not duplicated storage.</t>
        </is>
      </c>
    </row>
    <row r="42">
      <c r="A42" s="63" t="inlineStr">
        <is>
          <t>`leg_countries` — leg_id, iso3, sequence, first_sample_index, is_departure_state, is_destination_state, requires_overflight. Materialised by the routing engine.</t>
        </is>
      </c>
    </row>
    <row r="43" ht="28.8" customHeight="1">
      <c r="A43" s="63" t="inlineStr">
        <is>
          <t>`permits` — permit_id, leg_id (nullable for country-level), trip_id, country_iso3, permit_type (OVF or LDG), provider (JTL / OWN / THIRD PARTY), lead_time_hours, reference_datetime_utc, file_by_utc, filed_at, permit_number, status, cost, currency, vendor_id.</t>
        </is>
      </c>
    </row>
    <row r="44" ht="28.8" customHeight="1">
      <c r="A44" s="63" t="inlineStr">
        <is>
          <t>`service_orders` — trip_id, country_iso3, airports[], legs[], service_code, sub_service_code, provider, vendor_id, notice_hours, due_utc, status, cost, currency. GROUND HANDLING IS ORDERED ONCE PER COUNTRY even when several airports in that country are used; all other services may be per stop.</t>
        </is>
      </c>
    </row>
    <row r="45" ht="43.2" customHeight="1">
      <c r="A45" s="63" t="inlineStr">
        <is>
          <t>`people` — person_id, trip_id, role (CREW or PAX), position, applies_to_legs[], title, surname, given_names, gender, date_of_birth, nationality_iso3, passport_number, passport_issuing_state, passport_issue, passport_expiry, visa fields, licence_number, licence_expiry, medical_expiry, crew_id_arc, email, phone, emergency_contact, dietary_medical_notes.</t>
        </is>
      </c>
    </row>
    <row r="46" ht="28.8" customHeight="1">
      <c r="A46" s="63" t="inlineStr">
        <is>
          <t>`documents` — document_id, person_id FK, doc_type (PASSPORT / VISA / LICENCE / MEDICAL / OTHER), object_key in MinIO, filename, mime, size, uploaded_by, uploaded_at, expires_on, verified_by, verified_at. REAL FILE UPLOAD replaces the workbook's folder-path columns.</t>
        </is>
      </c>
    </row>
    <row r="47">
      <c r="A47" s="63" t="inlineStr">
        <is>
          <t>`visa_rules` — country_iso3, nationality_iso3, visa_type, required (yes/no/on-arrival/eVisa/transit), lead_time_days, max_stay_days, notes.</t>
        </is>
      </c>
    </row>
    <row r="48">
      <c r="A48" s="63" t="inlineStr">
        <is>
          <t>`users`, `roles`, `audit_log` — see Security below.</t>
        </is>
      </c>
    </row>
    <row r="49">
      <c r="A49" s="63" t="n"/>
    </row>
    <row r="50" ht="15.6" customHeight="1">
      <c r="A50" s="64" t="inlineStr">
        <is>
          <t>## CORE ALGORITHM 1 — GREAT-CIRCLE ROUTE SAMPLING</t>
        </is>
      </c>
    </row>
    <row r="51">
      <c r="A51" s="63" t="inlineStr">
        <is>
          <t>For every leg, compute the great-circle track between departure and destination coordinates and sample it at a fixed resolution.</t>
        </is>
      </c>
    </row>
    <row r="52">
      <c r="A52" s="63" t="inlineStr">
        <is>
          <t>Angular distance: d = acos( sin(lat1)sin(lat2) + cos(lat1)cos(lat2)cos(lon2-lon1) ). Distance in NM = d * 3440.065.</t>
        </is>
      </c>
    </row>
    <row r="53" ht="28.8" customHeight="1">
      <c r="A53" s="63" t="inlineStr">
        <is>
          <t>Intermediate point at fraction f in [0,1]: A = sin((1-f)d)/sin(d); B = sin(fd)/sin(d); x = A*cos(lat1)cos(lon1) + B*cos(lat2)cos(lon2); y = A*cos(lat1)sin(lon1) + B*cos(lat2)sin(lon2); z = A*sin(lat1) + B*sin(lat2); lat = atan2(z, sqrt(x^2+y^2)); lon = atan2(y, x).</t>
        </is>
      </c>
    </row>
    <row r="54" ht="43.2" customHeight="1">
      <c r="A54" s="63" t="inlineStr">
        <is>
          <t>The spreadsheet uses 151 samples per leg (~22 NM spacing on a 3,400 NM leg). In the web app, sample adaptively: every 10 NM, minimum 50 points. Resolve each sample to a country with a PostGIS ST_Contains query against country_geometry, and to a FIR against fir_boundaries. Return the ordered, de-duplicated list of states and FIRs entered, with the sample index of first entry so ordering is chronological.</t>
        </is>
      </c>
    </row>
    <row r="55" ht="28.8" customHeight="1">
      <c r="A55" s="63" t="inlineStr">
        <is>
          <t>Estimated elapsed time = distance_nm / block_speed_kts + taxi_climb_allowance. Defaults: 470 kts and 0.4 hours, both overridable per aircraft type and per leg. ETA = ETD + EET.</t>
        </is>
      </c>
    </row>
    <row r="56">
      <c r="A56" s="63" t="n"/>
    </row>
    <row r="57" ht="15.6" customHeight="1">
      <c r="A57" s="64" t="inlineStr">
        <is>
          <t>## CORE ALGORITHM 2 — PERMIT RULE ENGINE (port these rules exactly)</t>
        </is>
      </c>
    </row>
    <row r="58" ht="43.2" customHeight="1">
      <c r="A58" s="63" t="inlineStr">
        <is>
          <t>RULE 1 — Overflight. For each leg, every state whose airspace the track enters requires an overflight permit, EXCEPT (a) the leg's departure state, because clearance to depart is already held, and (b) the leg's destination state, which is covered by its landing permit. A state overflown on one leg and landed in on another still needs an overflight permit for the overflight legs only.</t>
        </is>
      </c>
    </row>
    <row r="59">
      <c r="A59" s="63" t="inlineStr">
        <is>
          <t>RULE 2 — Landing. Each leg's destination state requires one landing permit. A state landed in twice on the same trip requires two landing permits (one per arrival).</t>
        </is>
      </c>
    </row>
    <row r="60" ht="28.8" customHeight="1">
      <c r="A60" s="63" t="inlineStr">
        <is>
          <t>RULE 3 — Ground handling. Ground handling is ONE service per country per trip, not per airport and not per leg. If a trip touches Lanseria and O.R. Tambo, South Africa gets a single ground-handling order listing both airports and both legs. Its due date is the EARLIEST ground event in that country.</t>
        </is>
      </c>
    </row>
    <row r="61" ht="28.8" customHeight="1">
      <c r="A61" s="63" t="inlineStr">
        <is>
          <t>RULE 4 — Other ground services. Fuel, catering, security, transport, hotels, customs and the rest may be ordered per stop or per country as the user chooses. Each order carries a provider of JTL, OWN (client arranges it) or THIRD PARTY. Orders marked OWN or EXCLUDED drop out of JTL's action list but stay visible on the trip.</t>
        </is>
      </c>
    </row>
    <row r="62" ht="28.8" customHeight="1">
      <c r="A62" s="63" t="inlineStr">
        <is>
          <t>RULE 5 — Deadlines. file_by = reference_datetime - lead_time_hours. Overflight and landing lead times come from countries.standard_lead_time_hours, falling back to a configurable default (72 hours). Ground services use a separate default notice (24 hours). Status ladder: OVERDUE (&lt; now), URGENT (&lt; 24h), DUE SOON (&lt; 72h), PENDING.</t>
        </is>
      </c>
    </row>
    <row r="63" ht="57.6" customHeight="1">
      <c r="A63" s="63" t="inlineStr">
        <is>
          <t>RULE 6 — Avoid / include constraints. A leg may carry AVOID and INCLUDE lists of states or FIRs, accepted as ISO3 codes or country names. If the computed track enters an avoided state, flag AVOID CONFLICT. If a required state is not on the track, flag INCLUDE NOT ON TRACK. In the web app go further than the spreadsheet: offer an actual re-route that respects the constraints, by penalising avoided polygons and running a shortest-path search over a great-circle waypoint graph, and report the extra distance and fuel burn.</t>
        </is>
      </c>
    </row>
    <row r="64" ht="28.8" customHeight="1">
      <c r="A64" s="63" t="inlineStr">
        <is>
          <t>RULE 7 — Feasibility verdict. NOT FEASIBLE if the earliest permit deadline has already passed; NOT FEASIBLE AS ROUTED if any avoid/include constraint is violated; TIGHT if the earliest deadline is inside 24 hours; otherwise FEASIBLE.</t>
        </is>
      </c>
    </row>
    <row r="65">
      <c r="A65" s="63" t="n"/>
    </row>
    <row r="66" ht="15.6" customHeight="1">
      <c r="A66" s="64" t="inlineStr">
        <is>
          <t>## CORE ALGORITHM 3 — CREW, PASSENGER AND DOCUMENT VALIDATION</t>
        </is>
      </c>
    </row>
    <row r="67" ht="28.8" customHeight="1">
      <c r="A67" s="63" t="inlineStr">
        <is>
          <t>A person counts on a leg when their applies_to_legs list is ALL or names that leg. Compute per-leg crew count, pax count and souls on board, and check pax against aircraft.max_pax.</t>
        </is>
      </c>
    </row>
    <row r="68">
      <c r="A68" s="63" t="inlineStr">
        <is>
          <t>Passport status against the trip's last arrival date: MISSING, EXPIRES BEFORE TRIP, UNDER 6 MONTHS (expiry within 180 days of trip end), VALID.</t>
        </is>
      </c>
    </row>
    <row r="69" ht="28.8" customHeight="1">
      <c r="A69" s="63" t="inlineStr">
        <is>
          <t>Visa status: N/A when not required, else MISSING / EXPIRED / VALID. Cross-reference visa_rules by (destination or overflown country, nationality) and auto-populate the requirement rather than making the user type it.</t>
        </is>
      </c>
    </row>
    <row r="70">
      <c r="A70" s="63" t="inlineStr">
        <is>
          <t>Crew document status: licence and medical must both be present and unexpired at trip end.</t>
        </is>
      </c>
    </row>
    <row r="71" ht="28.8" customHeight="1">
      <c r="A71" s="63" t="inlineStr">
        <is>
          <t>Overall document status per person: ACTION REQUIRED / CHECK / OK. Surface a trip-level count and block a trip from moving to CONFIRMED while any ACTION REQUIRED remains, unless a supervisor overrides with a logged reason.</t>
        </is>
      </c>
    </row>
    <row r="72">
      <c r="A72" s="63" t="n"/>
    </row>
    <row r="73" ht="15.6" customHeight="1">
      <c r="A73" s="64" t="inlineStr">
        <is>
          <t>## THE TWO FRONT DOORS</t>
        </is>
      </c>
    </row>
    <row r="74" ht="72" customHeight="1">
      <c r="A74" s="63" t="inlineStr">
        <is>
          <t>A) FEASIBILITY IQ — public, unauthenticated, single leg. Form: aircraft type, registration (optional), departure ICAO with date, time and flexibility window, destination ICAO with optional date, time and flexibility, pax, crew, avoid FIR/states, include FIR/states, cargo or special requirements, plus requester company, name, e-mail, phone and their own reference. On submit it returns, live: route summary, distance, EET, ETD and ETA, states overflown, every permit and service required with lead time and file-by, and a feasibility verdict. A REQUEST QUOTE button converts the enquiry into a trip in the register with status ENQUIRY and e-mails JTL. Rate-limit by IP, add a captcha, and never expose internal cost or vendor data.</t>
        </is>
      </c>
    </row>
    <row r="75" ht="43.2" customHeight="1">
      <c r="A75" s="63" t="inlineStr">
        <is>
          <t>B) TRIP MANAGER — authenticated JTL console. Pick an existing trip from the register or create a new one. Edit up to N legs (the workbook caps at 8; the app must not cap). Everything from section 3 to section 9 of the workbook becomes a tab: Permits, Ground services, Visa &amp; immigration, Crew &amp; pax, Billing. Inline editing, optimistic updates, and a right-hand panel showing the live deadline ladder.</t>
        </is>
      </c>
    </row>
    <row r="76">
      <c r="A76" s="63" t="n"/>
    </row>
    <row r="77" ht="15.6" customHeight="1">
      <c r="A77" s="64" t="inlineStr">
        <is>
          <t>## THE REGISTER (mayfly)</t>
        </is>
      </c>
    </row>
    <row r="78" ht="57.6" customHeight="1">
      <c r="A78" s="63" t="inlineStr">
        <is>
          <t>One row per LEG. Every leg of a trip repeats the identical trip block (trip_ref, source, status, owner, request date, requester contact, operator, bill-to, aircraft type, registration, total legs, feasibility, last update, notes) and carries its own leg block (leg no, leg ref, departure and arrival ICAO/name/country, ETD, ETA, distance, EET, pax, crew, souls, avoid, include, route check, overflight count and states, landing permit state, ground handling states, permit status, leg status, bill-to for the leg, notes). A ten-leg trip produces ten rows. Store normalised (trips + legs) and expose this as a flattened view with server-side filtering, sorting, saved views and CSV/XLSX export.</t>
        </is>
      </c>
    </row>
    <row r="79" ht="28.8" customHeight="1">
      <c r="A79" s="63" t="inlineStr">
        <is>
          <t>Trip statuses: ENQUIRY, SUBMITTED, QUOTED, CONFIRMED, ACTIVE, IN PROGRESS, SUSPENDED, COMPLETED, CLOSED, CANCELLED, DECLINED. Leg statuses: ENQUIRY, PLANNED, PERMITS FILED, CLEARED, FLOWN, SUSPENDED, CANCELLED, CLOSED. Every status change is written to audit_log with actor, timestamp, from, to and reason.</t>
        </is>
      </c>
    </row>
    <row r="80">
      <c r="A80" s="63" t="n"/>
    </row>
    <row r="81" ht="15.6" customHeight="1">
      <c r="A81" s="64" t="inlineStr">
        <is>
          <t>## API SURFACE (indicative)</t>
        </is>
      </c>
    </row>
    <row r="82">
      <c r="A82" s="63" t="inlineStr">
        <is>
          <t>POST /api/feasibility — body: leg enquiry. Returns route, countries, permits, services, verdict. No auth, rate-limited.</t>
        </is>
      </c>
    </row>
    <row r="83">
      <c r="A83" s="63" t="inlineStr">
        <is>
          <t>POST /api/trips, GET /api/trips, GET /api/trips/{id}, PATCH /api/trips/{id}, POST /api/trips/{id}/legs, PATCH /api/legs/{id}, POST /api/legs/{id}/recompute</t>
        </is>
      </c>
    </row>
    <row r="84">
      <c r="A84" s="63" t="inlineStr">
        <is>
          <t>GET /api/trips/{id}/permits, PATCH /api/permits/{id} (file, set reference number, attach approval PDF)</t>
        </is>
      </c>
    </row>
    <row r="85">
      <c r="A85" s="63" t="inlineStr">
        <is>
          <t>GET/POST /api/trips/{id}/services, GET/POST /api/trips/{id}/people, POST /api/people/{id}/documents (multipart to MinIO, presigned download)</t>
        </is>
      </c>
    </row>
    <row r="86">
      <c r="A86" s="63" t="inlineStr">
        <is>
          <t>GET /api/register?status=&amp;operator=&amp;from=&amp;to=&amp;q= — the flattened leg register with pagination</t>
        </is>
      </c>
    </row>
    <row r="87">
      <c r="A87" s="63" t="inlineStr">
        <is>
          <t>GET /api/reference/{airports|countries|operators|aircraft|clients|vendors|services}</t>
        </is>
      </c>
    </row>
    <row r="88">
      <c r="A88" s="63" t="inlineStr">
        <is>
          <t>POST /api/trips/{id}/documents/trip-sheet — render a PDF trip sheet and permit pack</t>
        </is>
      </c>
    </row>
    <row r="89">
      <c r="A89" s="63" t="n"/>
    </row>
    <row r="90" ht="15.6" customHeight="1">
      <c r="A90" s="64" t="inlineStr">
        <is>
          <t>## SECURITY, ROLES AND AUDIT</t>
        </is>
      </c>
    </row>
    <row r="91" ht="28.8" customHeight="1">
      <c r="A91" s="63" t="inlineStr">
        <is>
          <t>Roles: PUBLIC (feasibility only), OPS (create and edit trips, file permits), SUPERVISOR (override document blocks, approve credit), FINANCE (billing and cost fields), ADMIN (reference data, users). JWT access tokens with refresh, argon2 password hashing, optional SSO via OIDC.</t>
        </is>
      </c>
    </row>
    <row r="92">
      <c r="A92" s="63" t="inlineStr">
        <is>
          <t>Row-level scoping so an operator portal user only ever sees their own trips. Full audit log on every write: actor, entity, field, old value, new value, timestamp, IP.</t>
        </is>
      </c>
    </row>
    <row r="93" ht="28.8" customHeight="1">
      <c r="A93" s="63" t="inlineStr">
        <is>
          <t>Personal data (passport numbers, dates of birth, scans) is sensitive: encrypt at rest, presigned time-limited download URLs, configurable retention and a purge job, and never log it.</t>
        </is>
      </c>
    </row>
    <row r="94">
      <c r="A94" s="63" t="n"/>
    </row>
    <row r="95" ht="15.6" customHeight="1">
      <c r="A95" s="64" t="inlineStr">
        <is>
          <t>## DATA MIGRATION FROM THE WORKBOOK</t>
        </is>
      </c>
    </row>
    <row r="96" ht="28.8" customHeight="1">
      <c r="A96" s="63" t="inlineStr">
        <is>
          <t>Write a one-shot importer that reads the .xlsx with openpyxl and loads: airports, countries, operators, aircraft, clients, vendors and their coverage tables, services, sub_services, visa rules, and any existing trips, legs and people. Idempotent, re-runnable, with a written report of rows loaded, rows skipped and why.</t>
        </is>
      </c>
    </row>
    <row r="97" ht="28.8" customHeight="1">
      <c r="A97" s="63" t="inlineStr">
        <is>
          <t>Do NOT port the spreadsheet's 0.5-degree country raster. Load Natural Earth 10m country polygons and a proper FIR dataset into PostGIS instead; the raster was only a workaround for Excel's lack of spatial functions and is accurate to roughly 30 NM.</t>
        </is>
      </c>
    </row>
    <row r="98">
      <c r="A98" s="63" t="n"/>
    </row>
    <row r="99" ht="15.6" customHeight="1">
      <c r="A99" s="64" t="inlineStr">
        <is>
          <t>## KNOWN DATA-QUALITY ISSUES — FIX DURING MIGRATION, DO NOT SILENTLY CARRY THEM OVER</t>
        </is>
      </c>
    </row>
    <row r="100" ht="43.2" customHeight="1">
      <c r="A100" s="63" t="inlineStr">
        <is>
          <t>1. `sub_services.service_id` was shifted by one from SS-017 onward (Jet A-1 Uplift pointed at Landing Permits, Crew Catering at Fuel). THIS HAS NOW BEEN CORRECTED IN THE SOURCE WORKBOOK — 38 rows were remapped from the sub_service_code prefix, with an audit column recording each change. Re-derive the mapping from the code prefix on import anyway and fail loudly on anything that does not resolve.</t>
        </is>
      </c>
    </row>
    <row r="101" ht="28.8" customHeight="1">
      <c r="A101" s="63" t="inlineStr">
        <is>
          <t>2. 44 operator records exist only as IDs (OPV-01 to OPV-44) with no operator_name. They were auto-created from aircraft.operator_ref. Require a name before the operator can be used on a trip.</t>
        </is>
      </c>
    </row>
    <row r="102" ht="28.8" customHeight="1">
      <c r="A102" s="63" t="inlineStr">
        <is>
          <t>3. Six aircraft have no operator at all (mostly STORAGE or RETIRED airframes). The schema must make operator mandatory; quarantine these rows on import for a human to resolve.</t>
        </is>
      </c>
    </row>
    <row r="103">
      <c r="A103" s="63" t="inlineStr">
        <is>
          <t>4. Duplicate aircraft registrations exist (N750QS twice, ZSRZA twice) flagged 'DUPLICATE REGISTRATION - verify'. Registration must be unique; quarantine and report.</t>
        </is>
      </c>
    </row>
    <row r="104" ht="28.8" customHeight="1">
      <c r="A104" s="63" t="inlineStr">
        <is>
          <t>5. `countries.standard_lead_time_hours` is empty for all 142 countries and the spreadsheet falls back to a global 72-hour default. Source real per-state lead times from the AIPs before go-live; keep the default as a labelled fallback and mark any permit using it as UNVERIFIED in the UI.</t>
        </is>
      </c>
    </row>
    <row r="105" ht="28.8" customHeight="1">
      <c r="A105" s="63" t="inlineStr">
        <is>
          <t>6. `overflight_permit_required` and `landing_permit_required` were bulk-seeded to REQUIRED for every country. Verify per state; some states are exempt or have bilateral arrangements.</t>
        </is>
      </c>
    </row>
    <row r="106">
      <c r="A106" s="63" t="inlineStr">
        <is>
          <t>7. The VISA sheet holds a single row. The visa_rules table needs real population by (country, nationality) before the visa module is trustworthy.</t>
        </is>
      </c>
    </row>
    <row r="107">
      <c r="A107" s="63" t="n"/>
    </row>
    <row r="108" ht="15.6" customHeight="1">
      <c r="A108" s="64" t="inlineStr">
        <is>
          <t>## NON-FUNCTIONAL REQUIREMENTS</t>
        </is>
      </c>
    </row>
    <row r="109">
      <c r="A109" s="63" t="inlineStr">
        <is>
          <t>Everything in UTC in the database; render local time with the airport timezone alongside. Never store naive datetimes.</t>
        </is>
      </c>
    </row>
    <row r="110">
      <c r="A110" s="63" t="inlineStr">
        <is>
          <t>Money as integer minor units with an explicit currency column. Never floats.</t>
        </is>
      </c>
    </row>
    <row r="111">
      <c r="A111" s="63" t="inlineStr">
        <is>
          <t>Distances in nautical miles, mass in kilograms, times in hours to two decimals — match the workbook's conventions.</t>
        </is>
      </c>
    </row>
    <row r="112">
      <c r="A112" s="63" t="inlineStr">
        <is>
          <t>Structured JSON logging, OpenTelemetry traces, /health and /ready endpoints on every service, Sentry hook via env.</t>
        </is>
      </c>
    </row>
    <row r="113" ht="28.8" customHeight="1">
      <c r="A113" s="63" t="inlineStr">
        <is>
          <t>Route and permit computation must be pure, deterministic and unit-tested independently of the database, so results can be diffed against the workbook during parallel running.</t>
        </is>
      </c>
    </row>
    <row r="114">
      <c r="A114" s="63" t="inlineStr">
        <is>
          <t>Target: a 10-leg trip fully recomputed in under 500 ms server-side.</t>
        </is>
      </c>
    </row>
    <row r="115">
      <c r="A115" s="63" t="n"/>
    </row>
    <row r="116" ht="15.6" customHeight="1">
      <c r="A116" s="64" t="inlineStr">
        <is>
          <t>## ACCEPTANCE TESTS (these must pass)</t>
        </is>
      </c>
    </row>
    <row r="117" ht="28.8" customHeight="1">
      <c r="A117" s="63" t="inlineStr">
        <is>
          <t>T1. FALA to FTTJ great-circle returns approximately 2,407 NM and enters Botswana, Namibia, Zambia, Angola, DR Congo, Republic of the Congo and Central African Republic; South Africa and Chad are excluded from overflight because they are the departure and destination states.</t>
        </is>
      </c>
    </row>
    <row r="118" ht="28.8" customHeight="1">
      <c r="A118" s="63" t="inlineStr">
        <is>
          <t>T2. A four-leg trip FALA-FTTJ-HECA-GMAD-FAOR produces exactly four landing permits (Chad, Egypt, Morocco, South Africa) and exactly four ground-handling orders (South Africa, Chad, Egypt, Morocco), with South Africa's single order listing both FALA and FAOR.</t>
        </is>
      </c>
    </row>
    <row r="119">
      <c r="A119" s="63" t="inlineStr">
        <is>
          <t>T3. Setting a ground-handling provider to OWN removes it from JTL's action list but keeps it on the trip with status CLIENT ARRANGING.</t>
        </is>
      </c>
    </row>
    <row r="120" ht="28.8" customHeight="1">
      <c r="A120" s="63" t="inlineStr">
        <is>
          <t>T4. A leg with AVOID = Sudan, South Sudan on a HECA to FALA track returns AVOID CONFLICT and a trip feasibility of NOT FEASIBLE AS ROUTED, and the re-router returns an alternative with the extra distance quantified.</t>
        </is>
      </c>
    </row>
    <row r="121">
      <c r="A121" s="63" t="inlineStr">
        <is>
          <t>T5. A passenger with no visa recorded for a state that requires one yields document status ACTION REQUIRED and blocks the trip from reaching CONFIRMED.</t>
        </is>
      </c>
    </row>
    <row r="122">
      <c r="A122" s="63" t="inlineStr">
        <is>
          <t>T6. A ten-leg trip renders exactly ten rows in the register, each repeating the identical trip block.</t>
        </is>
      </c>
    </row>
    <row r="123">
      <c r="A123" s="63" t="inlineStr">
        <is>
          <t>T7. Two legs billed to different client accounts under the same operator produce two separate billing lines with the correct currencies and payment terms.</t>
        </is>
      </c>
    </row>
    <row r="124">
      <c r="A124" s="63" t="n"/>
    </row>
    <row r="125" ht="15.6" customHeight="1">
      <c r="A125" s="64" t="inlineStr">
        <is>
          <t>## BUILD ORDER</t>
        </is>
      </c>
    </row>
    <row r="126" ht="28.8" customHeight="1">
      <c r="A126" s="63" t="inlineStr">
        <is>
          <t>Phase 1: compose skeleton, database, migrations, importer, reference-data CRUD and API. Phase 2: routing and permit engines with their unit tests. Phase 3: Feasibility IQ public form. Phase 4: Trip Manager console. Phase 5: documents, visas, billing. Phase 6: PDF trip sheet, notifications, audit and role hardening.</t>
        </is>
      </c>
    </row>
    <row r="127">
      <c r="A127" s="63" t="inlineStr">
        <is>
          <t>Start by printing the file tree you intend to create and the docker-compose service list, then build phase 1 in full before moving on.</t>
        </is>
      </c>
    </row>
    <row r="128">
      <c r="A128" s="63" t="n"/>
    </row>
    <row r="129" ht="15.6" customHeight="1">
      <c r="A129" s="64" t="inlineStr">
        <is>
          <t>## DISPLAY AND DATA CONVENTIONS — APPLY THROUGHOUT THE UI AND ALL EXPORTS</t>
        </is>
      </c>
    </row>
    <row r="130" ht="43.2" customHeight="1">
      <c r="A130" s="63" t="inlineStr">
        <is>
          <t>States and airspace: show the COUNTRY NAME to the user, always. ISO3 is a technical key only — keep it in the API payload and the database, never as the primary thing a human reads. Lists of overflown states render as 'Angola, Botswana, Central African Republic', not 'AGO, BWA, CAF'. Free-text constraint fields must accept either and resolve to the canonical name.</t>
        </is>
      </c>
    </row>
    <row r="131" ht="28.8" customHeight="1">
      <c r="A131" s="63" t="inlineStr">
        <is>
          <t>Airports: ICAO is the primary identifier everywhere — routing, permits, handling, exports. IATA may be shown as a secondary label in brackets for passenger-facing output only. Never key any record on IATA.</t>
        </is>
      </c>
    </row>
    <row r="132" ht="28.8" customHeight="1">
      <c r="A132" s="63" t="inlineStr">
        <is>
          <t>Times: everything is UTC and rendered with a Z suffix (14-Aug-2026 09:00Z). Local time may appear as a secondary, greyed value next to it using the airport timezone. Never store or exchange naive local times. All deadlines, lead times and status calculations run in UTC.</t>
        </is>
      </c>
    </row>
    <row r="133" ht="28.8" customHeight="1">
      <c r="A133" s="63" t="inlineStr">
        <is>
          <t>Aircraft: the ICAO type designator is the primary identifier (GLF6, C510, B738). Manufacturer and model series are descriptive secondary fields shown after the type. Registration is the unique key for a specific airframe; type is the key for performance and permit rules.</t>
        </is>
      </c>
    </row>
    <row r="134">
      <c r="A134" s="63" t="inlineStr">
        <is>
          <t>Dates: dd-mmm-yyyy to remove all day/month ambiguity across regions.</t>
        </is>
      </c>
    </row>
    <row r="135">
      <c r="A135" s="63" t="n"/>
    </row>
    <row r="136" ht="15.6" customHeight="1">
      <c r="A136" s="64" t="inlineStr">
        <is>
          <t>## DOCUMENT CAPTURE, OCR AND HUMAN VERIFICATION (this replaces the folder-path approach entirely)</t>
        </is>
      </c>
    </row>
    <row r="137">
      <c r="A137" s="63" t="inlineStr">
        <is>
          <t>The workbook can only point at a file path. The web app must implement the full pipeline below; it is a first-class feature, not an attachment field.</t>
        </is>
      </c>
    </row>
    <row r="138" ht="28.8" customHeight="1">
      <c r="A138" s="63" t="inlineStr">
        <is>
          <t>STEP 1 — CHOOSE TYPE. Before uploading, the user selects a document type: PASSPORT, VISA, LICENCE, MEDICAL, CREW ID / ARC, INSURANCE, AOC, OTHER. The type determines which fields OCR will look for and which record fields it will be compared against.</t>
        </is>
      </c>
    </row>
    <row r="139" ht="28.8" customHeight="1">
      <c r="A139" s="63" t="inlineStr">
        <is>
          <t>STEP 2 — UPLOAD. Drag-and-drop or camera capture, accepting PDF, JPG, PNG, HEIC. Store the original immutably in object storage under a content-addressed key. Record uploader, timestamp, mime, size and a SHA-256 hash. Reject duplicates by hash with a pointer to the existing document. Run a virus scan before the file becomes visible.</t>
        </is>
      </c>
    </row>
    <row r="140" ht="57.6" customHeight="1">
      <c r="A140" s="63" t="inlineStr">
        <is>
          <t>STEP 3 — OCR. Queue an asynchronous extraction job. For passports and many visas, parse the ICAO 9303 Machine Readable Zone first — it is checksum-protected and far more reliable than free-text OCR. Fall back to a general OCR engine (Tesseract self-hosted, or AWS Textract / Google Document AI / Azure Document Intelligence behind a provider interface) for licences, medicals and non-MRZ documents. Extract: document number, surname, given names, nationality, date of birth, sex, issuing state, issue date, expiry date. Return a per-field confidence score and the bounding box of each field so the UI can highlight where each value came from.</t>
        </is>
      </c>
    </row>
    <row r="141" ht="43.2" customHeight="1">
      <c r="A141" s="63" t="inlineStr">
        <is>
          <t>STEP 4 — HUMAN COMPARISON. Present a side-by-side review screen: the document image with detected fields highlighted on the left, and two columns on the right — OCR EXTRACTED versus ON FILE (what the person record already holds). Compare field by field and mark each MATCH, MISMATCH or NOT COMPARABLE. Show an overall summary such as '3 of 6 compared fields match — 3 MISMATCH'. Any field below a configurable confidence threshold is flagged for attention even when it matches.</t>
        </is>
      </c>
    </row>
    <row r="142" ht="43.2" customHeight="1">
      <c r="A142" s="63" t="inlineStr">
        <is>
          <t>STEP 5 — DECISION. A human must choose per document: ACCEPT OCR (write the extracted values onto the person record), KEEP ON FILE (ignore OCR, the existing record is correct), CORRECTED MANUALLY (the reviewer types the truth, with the corrected values captured), or REJECT DOCUMENT (illegible, wrong person, expired, suspected forgery — with a mandatory reason). Record reviewer identity and timestamp. NEVER auto-write OCR output onto a person record without this step.</t>
        </is>
      </c>
    </row>
    <row r="143" ht="28.8" customHeight="1">
      <c r="A143" s="63" t="inlineStr">
        <is>
          <t>STEP 6 — ASSIGN. Only after a decision is the document assigned to the person and, through them, to the trip and the legs they are travelling on. Assignment status must be explicit: AWAITING OCR, AWAITING HUMAN REVIEW, REVIEW INCOMPLETE, ASSIGNED, REJECTED.</t>
        </is>
      </c>
    </row>
    <row r="144" ht="28.8" customHeight="1">
      <c r="A144" s="63" t="inlineStr">
        <is>
          <t>ONGOING — the document's expiry date drives the credential status engine. A scheduled job re-evaluates every assigned document against every future trip and raises alerts at 180, 90, 30 and 7 days before expiry, and immediately when a new trip is created that ends after a document expires.</t>
        </is>
      </c>
    </row>
    <row r="145" ht="28.8" customHeight="1">
      <c r="A145" s="63" t="inlineStr">
        <is>
          <t>ACCESS — presigned, short-lived, single-use download URLs. Every view and download written to the audit log. Passport numbers, dates of birth and images are sensitive personal data: encrypt at rest, redact in logs, apply a retention policy with automatic purge, and support a subject erasure request.</t>
        </is>
      </c>
    </row>
    <row r="146">
      <c r="A146" s="63" t="n"/>
    </row>
    <row r="147" ht="15.6" customHeight="1">
      <c r="A147" s="64" t="inlineStr">
        <is>
          <t>## REFERENCE DATA MUST DRIVE BEHAVIOUR, NOT BE DECORATION</t>
        </is>
      </c>
    </row>
    <row r="148" ht="43.2" customHeight="1">
      <c r="A148" s="63" t="inlineStr">
        <is>
          <t>The service catalogue drives the UI. `services` carries a category (PERMIT or GROUND) and a display order; the ground services grid renders its columns from that table. Adding a service is a data change, never a code change. `sub_services` hangs off each service by code prefix and lets an order carry finer detail (GH-DIC de-icing, CAT-SPL special dietary, SEC-EP executive protection).</t>
        </is>
      </c>
    </row>
    <row r="149" ht="43.2" customHeight="1">
      <c r="A149" s="63" t="inlineStr">
        <is>
          <t>The visa rules table drives visa status. Keyed on (country, nationality) with an optional airport-specific override, returning requirement, visa type, lead time in days, maximum stay and conditions. The trip screen never asks a human to type a visa requirement it could have looked up; it only asks them to confirm or override, and it flags NOT ON FILE when the pair is missing so the reference data gets completed.</t>
        </is>
      </c>
    </row>
    <row r="150" ht="28.8" customHeight="1">
      <c r="A150" s="63" t="inlineStr">
        <is>
          <t>The countries table drives permits: whether overflight and landing permits are required per state, and the standard lead time in hours. Any permit computed from a fallback default rather than a real per-state value must be visibly marked UNVERIFIED.</t>
        </is>
      </c>
    </row>
    <row r="151" ht="28.8" customHeight="1">
      <c r="A151" s="63" t="inlineStr">
        <is>
          <t>Vendor coverage drives sourcing. When a service is ordered at a station, auto-suggest vendors from vendor_coverage_airports (primary handler first) and vendor_coverage_countries (states with a direct CAA account first, which matters for permits). Never make the user remember who covers where.</t>
        </is>
      </c>
    </row>
    <row r="152">
      <c r="A152" s="63" t="n"/>
    </row>
    <row r="153" ht="15.6" customHeight="1">
      <c r="A153" s="64" t="inlineStr">
        <is>
          <t>## HOW TO IMPROVE ON THE SPREADSHEET WIRING — DO THESE, THEY ARE NOT OPTIONAL EXTRAS</t>
        </is>
      </c>
    </row>
    <row r="154" ht="43.2" customHeight="1">
      <c r="A154" s="63" t="inlineStr">
        <is>
          <t>1. EVENT-DRIVEN RECOMPUTE. The workbook recalculates everything on every keystroke. The app should emit domain events (LegCreated, LegRouteChanged, AircraftChanged, PersonAdded, DocumentVerified) and recompute only the affected aggregate. Route sampling and country resolution are the expensive part — cache them keyed on (dep_icao, arr_icao, rounded coordinates) because the same city pair recurs constantly across trips.</t>
        </is>
      </c>
    </row>
    <row r="155" ht="28.8" customHeight="1">
      <c r="A155" s="63" t="inlineStr">
        <is>
          <t>2. MATERIALISE THE REGISTER. Keep trips and legs normalised, and expose the flattened one-row-per-leg register as a materialised view refreshed on write. The spreadsheet duplicates trip data onto every leg row physically; the app must never do that in storage, only in presentation and export.</t>
        </is>
      </c>
    </row>
    <row r="156" ht="28.8" customHeight="1">
      <c r="A156" s="63" t="inlineStr">
        <is>
          <t>3. AUTO-ASSIGN VENDORS AND PRE-FILL ORDERS. When a leg is added, generate the permit and service orders immediately with vendor, lead time and deadline pre-filled, in a DRAFT state for the ops user to confirm. The spreadsheet computes what is needed but still leaves a human to arrange every line.</t>
        </is>
      </c>
    </row>
    <row r="157" ht="28.8" customHeight="1">
      <c r="A157" s="63" t="inlineStr">
        <is>
          <t>4. DEADLINE SCHEDULER AND NOTIFICATIONS. A worker sweeps for permits and services approaching their file-by time and sends e-mail/Slack/Teams alerts at configurable thresholds, escalating to a supervisor when overdue. Statuses in the spreadsheet only change when someone opens the file.</t>
        </is>
      </c>
    </row>
    <row r="158" ht="43.2" customHeight="1">
      <c r="A158" s="63" t="inlineStr">
        <is>
          <t>5. REAL RE-ROUTING, NOT JUST CONFLICT FLAGS. When an avoid constraint is violated, compute an alternative: build a waypoint graph over the great-circle corridor, penalise or forbid excluded polygons, run A*, and return the new track with the extra distance, extra fuel, extra time and the revised permit list. Let the user compare options side by side.</t>
        </is>
      </c>
    </row>
    <row r="159" ht="28.8" customHeight="1">
      <c r="A159" s="63" t="inlineStr">
        <is>
          <t>6. VERSIONING AND WHAT-IF. Every trip should support named scenarios (different aircraft, different routing, different dates) that can be costed and compared, with one promoted to the live plan. Keep an immutable revision history so you can answer 'what did we file and when'.</t>
        </is>
      </c>
    </row>
    <row r="160" ht="28.8" customHeight="1">
      <c r="A160" s="63" t="inlineStr">
        <is>
          <t>7. COSTING AND MARGIN. Attach cost and sell price to every permit and service line, roll up per leg, per trip and per billing account, and produce the invoice directly from the same lines. The workbook stops at 'what is required' and never reaches 'what does it cost and what do we charge'.</t>
        </is>
      </c>
    </row>
    <row r="161" ht="28.8" customHeight="1">
      <c r="A161" s="63" t="inlineStr">
        <is>
          <t>8. INTEGRATIONS. Expose webhooks and build adapters for flight planning and ops systems (Leon, FL3XX, Schedaero), NOTAM and weather feeds, Eurocontrol B2B for European slots and route validation, ADS-B for actual movement times to close legs automatically, and accounting (Xero, QuickBooks, Sage) for invoices.</t>
        </is>
      </c>
    </row>
    <row r="162" ht="28.8" customHeight="1">
      <c r="A162" s="63" t="inlineStr">
        <is>
          <t>9. OFFLINE AND MOBILE. Crew and ops staff work from airports with poor connectivity. Ship a responsive PWA with an offline-readable trip sheet, cached permit approvals and document images, and queued writes that sync on reconnect.</t>
        </is>
      </c>
    </row>
    <row r="163" ht="28.8" customHeight="1">
      <c r="A163" s="63" t="inlineStr">
        <is>
          <t>10. IDEMPOTENCY AND CONCURRENCY. Every mutating endpoint takes an Idempotency-Key. Trips and legs carry a version for optimistic locking so two ops users editing the same trip cannot silently overwrite each other — something the shared workbook cannot prevent at all.</t>
        </is>
      </c>
    </row>
    <row r="164" ht="28.8" customHeight="1">
      <c r="A164" s="63" t="inlineStr">
        <is>
          <t>11. VALIDATION AT THE EDGE. Reject an unknown ICAO, an aircraft without an operator, a bill-to account belonging to a different operator, and a pax count above the aircraft's certified seats — at the API boundary, with clear field-level errors. The workbook can only warn after the fact.</t>
        </is>
      </c>
    </row>
    <row r="165" ht="28.8" customHeight="1">
      <c r="A165" s="63" t="inlineStr">
        <is>
          <t>12. OBSERVABILITY OF THE ENGINE. Log every route computation with its inputs and outputs and a version number for the rule engine, so a permit list filed six months ago can be reproduced exactly. Regulatory work needs that audit trail.</t>
        </is>
      </c>
    </row>
    <row r="166" ht="28.8" customHeight="1">
      <c r="A166" s="63" t="inlineStr">
        <is>
          <t>13. PARALLEL-RUN HARNESS. Build a comparison mode that ingests a workbook trip and diffs the app's computed permits, services and deadlines against the spreadsheet's, reporting any divergence. Run it for a month before switching the team over.</t>
        </is>
      </c>
    </row>
    <row r="167">
      <c r="A167" s="63" t="n"/>
    </row>
    <row r="168" ht="15.6" customHeight="1">
      <c r="A168" s="64" t="inlineStr">
        <is>
          <t>## MESSAGING AND OUTBOUND COMMUNICATION</t>
        </is>
      </c>
    </row>
    <row r="169" ht="43.2" customHeight="1">
      <c r="A169" s="63" t="inlineStr">
        <is>
          <t>Every outbound service request, revision, cancellation and permit application is generated from a versioned template, never typed by hand. Start with SMTP e-mail using the library bundled in the app (aiosmtplib behind a provider interface so SES/SendGrid/Postmark can be swapped in later without touching the templates). Design the channel as an interface from day one — SITA, AFTN, fax gateway and a vendor portal all become additional adapters.</t>
        </is>
      </c>
    </row>
    <row r="170" ht="43.2" customHeight="1">
      <c r="A170" s="63" t="inlineStr">
        <is>
          <t>MESSAGING PREFERENCE lives on every counterparty — operator, client and vendor. Fields: preferred_channel (EMAIL SMTP / SITA / AFTN / FAX / PORTAL), messaging_to (list), messaging_cc (list), sita_address, aftn_address, message_format (PLAIN TEXT UPPERCASE / PLAIN TEXT / HTML) and sending_team_signature. Validate that the chosen channel has an address; block sending and show a clear error if it does not.</t>
        </is>
      </c>
    </row>
    <row r="171" ht="57.6" customHeight="1">
      <c r="A171" s="63" t="inlineStr">
        <is>
          <t>FORMAT MATTERS. Handlers and civil aviation authorities expect fixed-width, upper-case teletype-style plain text with aligned columns and a strict block order. Do not send HTML to these recipients by default. Preserve the exact block structure: ATTN, REF (registry / type / captain / reference number), ITINERARY, PLEASE SPECIFICALLY CONFIRM THE FOLLOWING, CHANGES, PENDING CONFIRMATION, CANCEL, ALL OTHER INFORMATION REMAINS UNCHANGED, acknowledgement request, legal block, signature, CONFIDENTIAL marker, REQUEST SENT TO, T/N, contact and teletype addresses.</t>
        </is>
      </c>
    </row>
    <row r="172" ht="28.8" customHeight="1">
      <c r="A172" s="63" t="inlineStr">
        <is>
          <t>ITINERARY LINES render as: DEPART &lt;STATION NAME&gt; / &lt;ICAO&gt;   &lt;DDMMM&gt;/&lt;HHMM&gt; UTC, and ARRIVE likewise, with local time appended only at stations where the aircraft is on the ground. Always ICAO, always UTC first, dates as DDMMM in upper case.</t>
        </is>
      </c>
    </row>
    <row r="173" ht="57.6" customHeight="1">
      <c r="A173" s="63" t="inlineStr">
        <is>
          <t>TEMPLATE ENGINE. Templates are database rows, not code: template_id, name, message_type, recipient_role, channel, subject_line, body with {{tokens}}, footer/legal block, active flag and a version number. Ship with: handling request, handling revision, service cancellation, overflight permit request, landing permit request. Render with a sandboxed engine (Jinja2 with autoescape off for plain text), and store the fully rendered body against the message record so what was sent can always be reproduced exactly.</t>
        </is>
      </c>
    </row>
    <row r="174" ht="28.8" customHeight="1">
      <c r="A174" s="63" t="inlineStr">
        <is>
          <t>REVISIONS ARE DIFFS. A revision message must show PREVIOUS ITINERARY and NEW ITINERARY and an explicit numbered CHANGES list, computed automatically by diffing the current trip against the last version actually sent to that recipient. Never make an ops user hand-write what changed — that is where mistakes get made.</t>
        </is>
      </c>
    </row>
    <row r="175" ht="43.2" customHeight="1">
      <c r="A175" s="63" t="inlineStr">
        <is>
          <t>THREADING AND ACKNOWLEDGEMENT. One conversation thread per trip per counterparty. Set a Message-ID and In-Reply-To, and use a plus-addressed or tagged reply address (ops+&lt;trip_ref&gt;.&lt;vendor_id&gt;@...) so inbound replies match automatically to the trip, the vendor and the service order. Track state per message: DRAFT, QUEUED, SENT, DELIVERED, BOUNCED, ACKNOWLEDGED, CONFIRMED, DECLINED. Chase unacknowledged requests automatically as the service due time approaches.</t>
        </is>
      </c>
    </row>
    <row r="176" ht="43.2" customHeight="1">
      <c r="A176" s="63" t="inlineStr">
        <is>
          <t>ATTACHMENTS. Permit applications frequently need supporting documents: aircraft registration certificate, airworthiness certificate, insurance certificate, noise certificate, AOC, crew licences and passports, general declaration. Let a template declare its required attachment set, pull them from the document store, and refuse to send when a required document is missing or expired.</t>
        </is>
      </c>
    </row>
    <row r="177" ht="28.8" customHeight="1">
      <c r="A177" s="63" t="inlineStr">
        <is>
          <t>AUDIT. Store every message: template and version used, resolved token values, recipients, channel, timestamps, provider message id, delivery events and the raw rendered body. This is the evidence trail when a handler claims they were never told.</t>
        </is>
      </c>
    </row>
    <row r="178">
      <c r="A178" s="63" t="n"/>
    </row>
    <row r="179" ht="15.6" customHeight="1">
      <c r="A179" s="64" t="inlineStr">
        <is>
          <t>## VISA REFERENCE DATA</t>
        </is>
      </c>
    </row>
    <row r="180" ht="43.2" customHeight="1">
      <c r="A180" s="63" t="inlineStr">
        <is>
          <t>Maintain a complete destination-state x nationality matrix, not a sparse list of exceptions. The workbook now carries all 142 in-region states down the rows and 174 nationalities across the columns; the app should hold the same as a table of (country_iso3, nationality_iso3, requirement, visa_type, lead_time_days, max_stay_days, conditions, source, verified_by, verified_on, expires_on).</t>
        </is>
      </c>
    </row>
    <row r="181" ht="28.8" customHeight="1">
      <c r="A181" s="63" t="inlineStr">
        <is>
          <t>Resolution precedence: airport-specific override, then the exact (country, nationality) rule, then the matrix cell, then NOT ON FILE. Never guess and never silently default to NOT REQUIRED — an unanswered pair must surface as NOT ON FILE so the reference data gets completed.</t>
        </is>
      </c>
    </row>
    <row r="182">
      <c r="A182" s="63" t="inlineStr">
        <is>
          <t>Requirement values: NOT REQUIRED, REQUIRED, VISA ON ARRIVAL, eVISA, TRANSIT ONLY, TIWB (transit in without boarding).</t>
        </is>
      </c>
    </row>
    <row r="183" ht="28.8" customHeight="1">
      <c r="A183" s="63" t="inlineStr">
        <is>
          <t>Every rule carries provenance and an expiry: who verified it, when, and against which source. Visa policy changes constantly; a rule older than a configurable age is shown as STALE and re-verification is queued.</t>
        </is>
      </c>
    </row>
    <row r="184" ht="28.8" customHeight="1">
      <c r="A184" s="63" t="inlineStr">
        <is>
          <t>The public feasibility form collects role and nationality per person on board, so the visa answer is returned in the enquiry response rather than after a human touches it. Ask only for role and nationality at enquiry stage — never passport numbers from an unauthenticated form.</t>
        </is>
      </c>
    </row>
    <row r="185">
      <c r="A185" s="63" t="inlineStr">
        <is>
          <t>Feed the visa outcome into the trip-level document blocker: a person with a REQUIRED visa and no valid visa document on file prevents the trip reaching CONFIRMED.</t>
        </is>
      </c>
    </row>
    <row r="186">
      <c r="A186" s="63" t="n"/>
    </row>
    <row r="187" ht="15.6" customHeight="1">
      <c r="A187" s="64" t="inlineStr">
        <is>
          <t>## FURTHER WIRING IMPROVEMENTS (in addition to the thirteen above)</t>
        </is>
      </c>
    </row>
    <row r="188" ht="28.8" customHeight="1">
      <c r="A188" s="63" t="inlineStr">
        <is>
          <t>14. MESSAGE PREVIEW AND APPROVAL. Show the rendered message exactly as it will be sent, with token values highlighted, and require an explicit send action. Support a supervisor approval step for permit applications and for any message to a new counterparty.</t>
        </is>
      </c>
    </row>
    <row r="189" ht="28.8" customHeight="1">
      <c r="A189" s="63" t="inlineStr">
        <is>
          <t>15. BULK DISPATCH. One click should send every pending request for a trip — each handler, each fueller, each CAA — using the correct template and channel per recipient, then track the acknowledgements on a single board.</t>
        </is>
      </c>
    </row>
    <row r="190" ht="28.8" customHeight="1">
      <c r="A190" s="63" t="inlineStr">
        <is>
          <t>16. VISA AND PERMIT DATA CROWDSOURCING. Every time ops confirms a real lead time or a visa outcome from a CAA response, offer to write it back to the reference tables with provenance. The dataset should improve with use rather than decay.</t>
        </is>
      </c>
    </row>
    <row r="191" ht="28.8" customHeight="1">
      <c r="A191" s="63" t="inlineStr">
        <is>
          <t>17. INBOUND PARSING. Handler and CAA replies often contain the permit number and validity in a predictable position. Parse inbound e-mail for permit numbers, approval references and refusals, propose the update, and let a human confirm — the same accept/reject pattern used for document OCR.</t>
        </is>
      </c>
    </row>
    <row r="192">
      <c r="A192" s="63" t="n"/>
    </row>
    <row r="193" ht="15.6" customHeight="1">
      <c r="A193" s="64" t="inlineStr">
        <is>
          <t>## PLATFORM SHAPE — INSTALLABLE PWA, ONE CODEBASE, THREE FORM FACTORS</t>
        </is>
      </c>
    </row>
    <row r="194" ht="57.6" customHeight="1">
      <c r="A194" s="63" t="inlineStr">
        <is>
          <t>Ship a Progressive Web App, not a desktop site that happens to shrink. Web app manifest with name, short_name, description, theme_color, background_color, display standalone, orientation any, and a full maskable icon set generated from the branding settings. Service worker via Workbox: app shell precached, reference data (airports, countries, services, vendors) cached stale-while-revalidate, trip reads network-first with cache fallback, and writes queued in IndexedDB through Background Sync so an ops user on an airport wifi drop-out does not lose work. Show an explicit offline banner and a pending-changes count; never fail silently.</t>
        </is>
      </c>
    </row>
    <row r="195" ht="57.6" customHeight="1">
      <c r="A195" s="63" t="inlineStr">
        <is>
          <t>Breakpoints and layout: MOBILE (under 640px) — single column, bottom tab bar (Trips, Permits, Services, Crew, More), cards instead of tables, sticky action bar, thumb-reachable primary buttons, and a trip sheet that reads well on a phone at an FBO desk. TABLET (640-1024px) — two-pane master/detail, collapsible left rail, tables with the three most important columns plus an expand row. DESKTOP (1024px and up) — full data grid with frozen first column, multi-pane trip workspace, keyboard shortcuts, and a right-hand deadline rail always visible.</t>
        </is>
      </c>
    </row>
    <row r="196" ht="28.8" customHeight="1">
      <c r="A196" s="63" t="inlineStr">
        <is>
          <t>Tables are the hard part on small screens. Use a column-priority system: every column declares a priority (1 always visible, 2 tablet and up, 3 desktop only) and the grid hides by priority as width shrinks, with a per-row expander revealing the rest. Never horizontally scroll a permit list on a phone.</t>
        </is>
      </c>
    </row>
    <row r="197" ht="28.8" customHeight="1">
      <c r="A197" s="63" t="inlineStr">
        <is>
          <t>Accessibility and field conditions: WCAG 2.2 AA, minimum 44px touch targets, contrast that survives direct sunlight on a ramp, full keyboard navigation, screen-reader labels on every status chip, and respect for prefers-reduced-motion and prefers-color-scheme.</t>
        </is>
      </c>
    </row>
    <row r="198" ht="28.8" customHeight="1">
      <c r="A198" s="63" t="inlineStr">
        <is>
          <t>Also install-ready: add-to-home-screen prompt after the second session, push notifications for permit deadlines and vendor replies (Web Push with VAPID), and share-target support so a crew member can share a PDF straight into the document uploader.</t>
        </is>
      </c>
    </row>
    <row r="199">
      <c r="A199" s="63" t="n"/>
    </row>
    <row r="200" ht="15.6" customHeight="1">
      <c r="A200" s="64" t="inlineStr">
        <is>
          <t>## DYNAMIC BRANDING AND SETTINGS PANEL</t>
        </is>
      </c>
    </row>
    <row r="201" ht="43.2" customHeight="1">
      <c r="A201" s="63" t="inlineStr">
        <is>
          <t>An admin settings screen edits application identity without a deploy: app_name, app_short_name, logo (light and dark variants), favicon and PWA icon upload, SEO title/description/keywords/Open Graph image, default theme, and the colour tokens. Settings are database rows read at runtime; the front end consumes them as CSS custom properties so a change takes effect on next paint.</t>
        </is>
      </c>
    </row>
    <row r="202" ht="43.2" customHeight="1">
      <c r="A202" s="63" t="inlineStr">
        <is>
          <t>Design language: red as primary (#C8102E), light grey as surface (#D9D9D9), black as base (#111111), with semantic tokens layered on top — success green, warning amber, danger red. Both LIGHT and DARK themes must be first-class, not an afterthought; DARK is the default because most ops work happens at night. Respect the OS preference on first visit, remember the user's explicit choice afterwards.</t>
        </is>
      </c>
    </row>
    <row r="203" ht="28.8" customHeight="1">
      <c r="A203" s="63" t="inlineStr">
        <is>
          <t>Uploaded logos are validated (SVG or PNG, size and dimension limits, SVG sanitised against embedded script), stored in object storage, and served through a CDN path. Generate the full PWA icon set and favicon variants automatically from a single upload.</t>
        </is>
      </c>
    </row>
    <row r="204">
      <c r="A204" s="63" t="inlineStr">
        <is>
          <t>Settings are versioned and audited — who changed the brand colour and when — and a preview mode lets an admin see changes before publishing.</t>
        </is>
      </c>
    </row>
    <row r="205">
      <c r="A205" s="63" t="n"/>
    </row>
    <row r="206" ht="15.6" customHeight="1">
      <c r="A206" s="64" t="inlineStr">
        <is>
          <t>## ROLE-BASED ACCESS CONTROL</t>
        </is>
      </c>
    </row>
    <row r="207" ht="43.2" customHeight="1">
      <c r="A207" s="63" t="inlineStr">
        <is>
          <t>Roles: SUPER ADMIN (full access including delete and reference data), OPERATIONS SPECIALIST (create, modify, permit management, trip suspension — explicitly NO delete), AUDITOR (read-only across everything, including the audit log), CLIENT - MODIFY (own trips only: create and edit, no delete, no cost visibility), CLIENT - VIEW ONLY (own trips only, read-only), FINANCE (read-all, edit billing fields only).</t>
        </is>
      </c>
    </row>
    <row r="208" ht="28.8" customHeight="1">
      <c r="A208" s="63" t="inlineStr">
        <is>
          <t>Enforce at three layers: route guards in the UI so forbidden actions are not rendered, a permission decorator on every API endpoint, and row-level security in the database so a client token can never read another operator's trip even if the API is bypassed. Scope every client user to an operator_id and/or client_id.</t>
        </is>
      </c>
    </row>
    <row r="209" ht="28.8" customHeight="1">
      <c r="A209" s="63" t="inlineStr">
        <is>
          <t>Deletion is a soft delete with a retention window and an audit entry; only SUPER ADMIN sees the restore and purge actions. Trip suspension is a status change available to OPERATIONS SPECIALIST and is fully reversible — it is deliberately not a delete.</t>
        </is>
      </c>
    </row>
    <row r="210" ht="28.8" customHeight="1">
      <c r="A210" s="63" t="inlineStr">
        <is>
          <t>MFA mandatory for SUPER ADMIN, OPERATIONS SPECIALIST and FINANCE. Session timeout configurable, refresh-token rotation, and immediate revocation when a user is disabled. Every permission denial is logged, not silently swallowed.</t>
        </is>
      </c>
    </row>
    <row r="211">
      <c r="A211" s="63" t="n"/>
    </row>
    <row r="212" ht="15.6" customHeight="1">
      <c r="A212" s="64" t="inlineStr">
        <is>
          <t>## FLEET AND DOCUMENT MANAGEMENT MODULE</t>
        </is>
      </c>
    </row>
    <row r="213" ht="28.8" customHeight="1">
      <c r="A213" s="63" t="inlineStr">
        <is>
          <t>Both client and admin views manage fleets. Aircraft are identified by registration and always displayed with the ICAO type designator first (N450GA / GLF6); manufacturer and model series are secondary. Every aircraft must belong to an operator.</t>
        </is>
      </c>
    </row>
    <row r="214" ht="43.2" customHeight="1">
      <c r="A214" s="63" t="inlineStr">
        <is>
          <t>The document repository accepts single and multiple file upload, classified by preset type: Certificate of Registration, Certificate of Airworthiness, Airworthiness Review Certificate (ARC), Insurance (hull, liability and war risk as separate policies — an airframe may carry several concurrently), Noise Certificate, Weight and Balance Report, Radio Station Licence, AOC, Operations Specifications, MEL, RVSM and RNP/PBN approvals, Maintenance Programme, Other.</t>
        </is>
      </c>
    </row>
    <row r="215" ht="43.2" customHeight="1">
      <c r="A215" s="63" t="inlineStr">
        <is>
          <t>Every document carries issue date, expiry date and a separate review-due date (ARC reviews and W&amp;B revisions are reviewed before they expire). Status is derived: VALID, EXPIRES WITHIN 90 DAYS, EXPIRES WITHIN 30 DAYS, REVIEW OVERDUE, EXPIRED, NO EXPIRY RECORDED. Roll up to the aircraft: documents on file, expired count, expiring count and next expiry date.</t>
        </is>
      </c>
    </row>
    <row r="216" ht="28.8" customHeight="1">
      <c r="A216" s="63" t="inlineStr">
        <is>
          <t>Fleet documents feed the trip engine. A trip may not be confirmed if a required aircraft document expires before the last arrival. Permit applications pull their attachment set from this repository automatically.</t>
        </is>
      </c>
    </row>
    <row r="217" ht="28.8" customHeight="1">
      <c r="A217" s="63" t="inlineStr">
        <is>
          <t>Aircraft documents use the same OCR and human-verification flow as crew documents where the document type has machine-readable fields; where it does not, the reviewer simply confirms the key dates.</t>
        </is>
      </c>
    </row>
    <row r="218">
      <c r="A218" s="63" t="n"/>
    </row>
    <row r="219" ht="15.6" customHeight="1">
      <c r="A219" s="64" t="inlineStr">
        <is>
          <t>## TRIP AND PERMIT ROUTING ENGINE — STOP TYPES AND AIRCRAFT CAPABILITY</t>
        </is>
      </c>
    </row>
    <row r="220" ht="28.8" customHeight="1">
      <c r="A220" s="63" t="inlineStr">
        <is>
          <t>Trip creation maps legs by ICAO airport code. The engine derives overflight versus landing permits from the route (every en-route state except the leg's departure and destination), and both are influenced by aircraft type.</t>
        </is>
      </c>
    </row>
    <row r="221" ht="57.6" customHeight="1">
      <c r="A221" s="63" t="inlineStr">
        <is>
          <t>AIRCRAFT CAPABILITY DRIVES THE ROUTE. Hold range, cruise speed, service ceiling and fuel burn per ICAO type. A short-range type such as a C208 cannot fly FALA to FTTJ non-stop; the engine must detect that leg distance exceeds practical range (with reserves and a configurable safety margin), refuse to plan it silently, and propose technical stops at suitable en-route airports — filtered by runway length, fuel availability, customs status and airport of entry flag. This changes the permit picture entirely: each tech stop adds a landing permit and possibly a new overflight state.</t>
        </is>
      </c>
    </row>
    <row r="222" ht="43.2" customHeight="1">
      <c r="A222" s="63" t="inlineStr">
        <is>
          <t>STOP TYPES on every ground stop: TURNAROUND, TECH STOP (fuel or crew only, often no customs), RON (remaining overnight), CREW REST STOP, MAINTENANCE STOP, DIVERSION. Stop type drives what is ordered: a tech stop typically needs fuel and minimal handling; a RON adds parking, hotel, transport and security; a crew rest stop adds duty-time implications. Stop type also drives which permits are needed — some states treat a technical stop differently from a commercial landing.</t>
        </is>
      </c>
    </row>
    <row r="223" ht="43.2" customHeight="1">
      <c r="A223" s="63" t="inlineStr">
        <is>
          <t>GROUND HANDLING POLICY per state: mandatory, not mandatory, or self-handling permitted. Many African and Middle Eastern states mandate an approved handler; others allow self-handling for private non-revenue flights. Hold this on the country record with an airport-level override, default to VERIFY when unknown, and never assume handling can be skipped.</t>
        </is>
      </c>
    </row>
    <row r="224" ht="28.8" customHeight="1">
      <c r="A224" s="63" t="inlineStr">
        <is>
          <t>VENDOR PREFERENCE. When a service is required, rank candidate vendors: preferred vendor for that operator or client first, then the primary handler at that airport, then vendors with a direct CAA account in that state (which matters for permits), then by past performance and price. Show the ranking and let ops override with a logged reason.</t>
        </is>
      </c>
    </row>
    <row r="225">
      <c r="A225" s="63" t="n"/>
    </row>
    <row r="226" ht="15.6" customHeight="1">
      <c r="A226" s="64" t="inlineStr">
        <is>
          <t>## VENDOR MANAGEMENT AND CONSOLIDATED INVOICING</t>
        </is>
      </c>
    </row>
    <row r="227" ht="28.8" customHeight="1">
      <c r="A227" s="63" t="inlineStr">
        <is>
          <t>A vendor directory where one vendor may supply many service types across many stations and states. Coverage is held at both airport level (with FBO name, SITA, AFTN, VHF, primary-handler flag) and country level (with a has-CAA-direct-account flag and service scope).</t>
        </is>
      </c>
    </row>
    <row r="228" ht="43.2" customHeight="1">
      <c r="A228" s="63" t="inlineStr">
        <is>
          <t>CAPABILITY QUESTIONNAIRE. Send a vendor a structured questionnaire — services offered, stations covered, states with direct CAA accounts, hours of operation, payment terms, currencies, insurance and certifications, escalation contacts. The vendor completes it through a tokenised link. Their answers stay in a pending state until an admin approves them; only on approval do they update system availability and become assignable. Track questionnaire sent, returned and approved dates, and re-send annually.</t>
        </is>
      </c>
    </row>
    <row r="229" ht="57.6" customHeight="1">
      <c r="A229" s="63" t="inlineStr">
        <is>
          <t>CONSOLIDATED INVOICING. JTL bills the client once per trip while paying many third parties. Model disbursements explicitly: CAA permit fees, navigation and enroute charges, landing and parking fees, handling, fuel, catering, transport, hotels, utilities and airport charges. Each line carries cost, currency, FX rate and date, mark-up or handling fee, sell price, the vendor invoice reference and the supporting document. Roll up into a single client invoice grouped by leg and by service, with disbursements shown at cost and JTL's fee shown separately.</t>
        </is>
      </c>
    </row>
    <row r="230" ht="28.8" customHeight="1">
      <c r="A230" s="63" t="inlineStr">
        <is>
          <t>Support multi-currency (cost in vendor currency, billed in the client's currency with the FX rate recorded), part-billing, credit notes, and per-leg billing to different client accounts on the same trip. Reconcile vendor invoices against the ordered services and flag anything charged that was never ordered.</t>
        </is>
      </c>
    </row>
    <row r="231">
      <c r="A231" s="63" t="n"/>
    </row>
    <row r="232" ht="15.6" customHeight="1">
      <c r="A232" s="64" t="inlineStr">
        <is>
          <t>## OPERATIONAL REQUEST FLOWS</t>
        </is>
      </c>
    </row>
    <row r="233" ht="28.8" customHeight="1">
      <c r="A233" s="63" t="inlineStr">
        <is>
          <t>Dedicated request flows per airport location for: overflight permit, landing permit, ground handling, fuel, crew ground transportation, passenger transportation, catering, security, slots and PPR, customs and immigration. Each flow knows its own required fields, lead time, template and recipient type.</t>
        </is>
      </c>
    </row>
    <row r="234" ht="43.2" customHeight="1">
      <c r="A234" s="63" t="inlineStr">
        <is>
          <t>Behind them sits a country requirements database: what each state demands for each request type — forms, supporting documents, lead time, working hours of the authority, accepted channels, fee structure, whether a local agent or CAA direct account is required, and known quirks. This is the institutional knowledge that currently lives in people's heads; make it a first-class, versioned, sourced dataset.</t>
        </is>
      </c>
    </row>
    <row r="235" ht="43.2" customHeight="1">
      <c r="A235" s="63" t="inlineStr">
        <is>
          <t>Crew ground transportation deserves its own flow because it carries specific data: pick-up point, commercial flight number and ETA for positioning crew, destination hotel, driver name, driver mobile, vehicle make, model and plate number, and confirmation back to the crew member. Require the driver and vehicle details before the request can be marked confirmed.</t>
        </is>
      </c>
    </row>
    <row r="236">
      <c r="A236" s="63" t="n"/>
    </row>
    <row r="237" ht="15.6" customHeight="1">
      <c r="A237" s="64" t="inlineStr">
        <is>
          <t>## SIMPLIFY WITHOUT LOSING FUNCTION OR PRECISION</t>
        </is>
      </c>
    </row>
    <row r="238">
      <c r="A238" s="63" t="inlineStr">
        <is>
          <t>The spreadsheet's complexity is accidental, not essential. The domain needs precision; the interface does not need to expose it all at once. Apply these:</t>
        </is>
      </c>
    </row>
    <row r="239" ht="28.8" customHeight="1">
      <c r="A239" s="63" t="inlineStr">
        <is>
          <t>1. ONE OBJECT, NOT NINE SECTIONS. The workbook has nine numbered sections because a sheet is flat. The app should present a single Trip object with progressive disclosure: a summary header, then tabs (Route, Permits, Services, Crew &amp; Pax, Documents, Billing, Messages). Nothing is removed — it is revealed when relevant.</t>
        </is>
      </c>
    </row>
    <row r="240" ht="43.2" customHeight="1">
      <c r="A240" s="63" t="inlineStr">
        <is>
          <t>2. DELETE THE SCRATCH LAYER ENTIRELY. geo_grid, route_calc, permit_calc and fiq_calc exist only because Excel cannot do spatial queries or hold intermediate state. In the app they become three pure functions and one PostGIS query. That is roughly 1,700 rows of formulas and four tabs gone with zero loss of precision — in fact precision improves.</t>
        </is>
      </c>
    </row>
    <row r="241" ht="43.2" customHeight="1">
      <c r="A241" s="63" t="inlineStr">
        <is>
          <t>3. COMPUTE, DO NOT ASK. Every field the system can derive should be derived: visa requirement from the matrix, lead time from the state, handler from coverage, permit type from the route, souls on board from the manifest, deadlines from lead times. The user should only be asked for what is genuinely unknowable: the route, the dates, the aircraft, the people and the commercial decisions.</t>
        </is>
      </c>
    </row>
    <row r="242" ht="28.8" customHeight="1">
      <c r="A242" s="63" t="inlineStr">
        <is>
          <t>4. DEFAULT AGGRESSIVELY, OVERRIDE EASILY. Pre-generate every permit and service order in DRAFT with vendor, lead time and deadline filled. The common case becomes a review-and-confirm rather than a build-from-scratch. Every default is visibly a default and one click from being changed.</t>
        </is>
      </c>
    </row>
    <row r="243" ht="28.8" customHeight="1">
      <c r="A243" s="63" t="inlineStr">
        <is>
          <t>5. ONE STATUS LANGUAGE. The workbook uses several overlapping status vocabularies. Standardise on a single ladder with consistent colour: OK / PENDING / DUE SOON / URGENT / OVERDUE / BLOCKED, and one blocked-reason list. Learn it once, read it everywhere.</t>
        </is>
      </c>
    </row>
    <row r="244" ht="28.8" customHeight="1">
      <c r="A244" s="63" t="inlineStr">
        <is>
          <t>6. ACTION-FIRST HOME SCREEN. Not a list of trips, but a list of things that need doing today, ordered by deadline: permits to file, documents expiring, vendors who have not acknowledged, visas not on file. The register is available but is not the front door.</t>
        </is>
      </c>
    </row>
    <row r="245" ht="28.8" customHeight="1">
      <c r="A245" s="63" t="inlineStr">
        <is>
          <t>7. REFERENCE DATA BEHIND ONE ADMIN AREA. Airports, countries, services, vendors, visa rules, templates and settings all share one CRUD pattern with search, import, export, validation and audit. One component, many tables — far less code and one thing for admins to learn.</t>
        </is>
      </c>
    </row>
    <row r="246">
      <c r="A246" s="63" t="inlineStr">
        <is>
          <t>8. TWO ENTRY POINTS ONLY. Public Feasibility IQ and the internal console. Everything else is a view within them. Resist building a third surface.</t>
        </is>
      </c>
    </row>
    <row r="247" ht="28.8" customHeight="1">
      <c r="A247" s="63" t="inlineStr">
        <is>
          <t>9. FEWER, RICHER RECORDS. Ground handling is one order per country, not per airport. Trip information lives once and is joined to legs, never duplicated. One document record with a verification state rather than parallel path columns.</t>
        </is>
      </c>
    </row>
    <row r="248" ht="28.8" customHeight="1">
      <c r="A248" s="63" t="inlineStr">
        <is>
          <t>10. PRECISION LIVES IN THE ENGINE, NOT THE FORM. Keep the routing and permit logic exhaustive and unit-tested; keep the form short. The user types six things and gets twenty-five correct outputs — that is the whole product.</t>
        </is>
      </c>
    </row>
    <row r="249">
      <c r="A249" s="63" t="n"/>
    </row>
    <row r="250" ht="15.6" customHeight="1">
      <c r="A250" s="64" t="inlineStr">
        <is>
          <t>## CODE ARCHITECTURE AND QUALITY BAR</t>
        </is>
      </c>
    </row>
    <row r="251" ht="28.8" customHeight="1">
      <c r="A251" s="63" t="inlineStr">
        <is>
          <t>Layered and testable: api routers → service layer (use cases) → domain (pure functions: routing, permits, deadlines, credentials) → repositories → database. The domain layer imports nothing from FastAPI or SQLAlchemy and is tested in isolation. No business logic in route handlers, no SQL in the domain.</t>
        </is>
      </c>
    </row>
    <row r="252" ht="28.8" customHeight="1">
      <c r="A252" s="63" t="inlineStr">
        <is>
          <t>Validation twice: Pydantic v2 schemas at the API boundary and matching Zod schemas on the client, generated from the same OpenAPI document so they cannot drift. Field-level errors, inline and specific. Never a generic 'invalid input'.</t>
        </is>
      </c>
    </row>
    <row r="253" ht="43.2" customHeight="1">
      <c r="A253" s="63" t="inlineStr">
        <is>
          <t>Seed and mock data: a deterministic seed script producing a realistic mock database — the full airport and country tables, a sample fleet with documents, several operators each with multiple billing accounts, a vendor directory with coverage, and three trips in different states (enquiry, active, closed). Every screen must be demonstrable without a human typing anything first.</t>
        </is>
      </c>
    </row>
    <row r="254" ht="28.8" customHeight="1">
      <c r="A254" s="63" t="inlineStr">
        <is>
          <t>Interface quality: aviation-grade means dense but calm — monospace for identifiers and teletype messages, tabular figures for times and distances, no decorative animation, status conveyed by colour AND text (never colour alone), instant optimistic feedback, and destructive actions behind an explicit confirm naming what will be affected.</t>
        </is>
      </c>
    </row>
    <row r="255" ht="28.8" customHeight="1">
      <c r="A255" s="63" t="inlineStr">
        <is>
          <t>Testing: pytest with coverage gates on the domain layer, Playwright for the critical end-to-end paths (enquiry to trip, permit filing, document verification), visual regression on the three breakpoints, and Lighthouse thresholds enforced in CI for performance, accessibility and PWA installability.</t>
        </is>
      </c>
    </row>
    <row r="256">
      <c r="A256" s="63" t="n"/>
    </row>
    <row r="257" ht="15.6" customHeight="1">
      <c r="A257" s="64" t="inlineStr">
        <is>
          <t>## REFERENCE DATA SHIPPED WITH THIS BLUEPRINT — AND WHAT IS STILL MISSING</t>
        </is>
      </c>
    </row>
    <row r="258" ht="43.2" customHeight="1">
      <c r="A258" s="63" t="inlineStr">
        <is>
          <t>The workbook now carries a DATA READINESS sheet that computes, live, how much of each reference dataset is actually populated. Read it before quoting a delivery date. At the time of writing roughly 45% of tracked reference data is populated and five blocker datasets are incomplete. The importer must surface the same percentages after every load, and the app should refuse to leave pilot until the blockers clear.</t>
        </is>
      </c>
    </row>
    <row r="259" ht="43.2" customHeight="1">
      <c r="A259" s="63" t="inlineStr">
        <is>
          <t>SHIPPED AND USABLE: 380 airports with coordinates; 245 ground-handler station records covering 204 ICAOs and 59 handlers, each with a named contact, e-mail and phone; 46 ICAO aircraft types with indicative performance; a service catalogue of 17 services and 52 sub-services with the historic mapping defect corrected; 20 sending desks with team mailboxes; 5 message templates; 6 roles and 33 branding/application settings; a 172 x 174 visa matrix structure.</t>
        </is>
      </c>
    </row>
    <row r="260" ht="43.2" customHeight="1">
      <c r="A260" s="63" t="inlineStr">
        <is>
          <t>STILL MISSING AND BLOCKING: per-state permit lead times (0 of 142); verification of the overflight and landing flags, which are bulk-seeded REQUIRED with no source (0 of 142 verified); operator names (1 of 45); engineer sign-off on the aircraft performance figures (0 of 46). Also thin: airport of entry, fuel availability and operating hours (each 1 of 380), country requirement records (2 of 142), and the visa matrix itself (1 cell answered).</t>
        </is>
      </c>
    </row>
    <row r="261">
      <c r="A261" s="63" t="n"/>
    </row>
    <row r="262" ht="15.6" customHeight="1">
      <c r="A262" s="64" t="inlineStr">
        <is>
          <t>## AIRCRAFT PERFORMANCE AND TECHNICAL STOPS</t>
        </is>
      </c>
    </row>
    <row r="263" ht="43.2" customHeight="1">
      <c r="A263" s="63" t="inlineStr">
        <is>
          <t>Hold per ICAO type: maximum range, cruise TAS, fuel burn, maximum passengers, MTOW, and a derived practical range = maximum range less a configurable reserve and safety margin (default 15%). Every leg is checked against the practical range of the assigned type and flagged EXCEEDS PRACTICAL RANGE - TECHNICAL STOP REQUIRED when it does not fit.</t>
        </is>
      </c>
    </row>
    <row r="264" ht="57.6" customHeight="1">
      <c r="A264" s="63" t="inlineStr">
        <is>
          <t>CRITICAL SAFETY BOUNDARY. Published manufacturer range and cruise figures ignore payload, temperature, altitude, wind and operator procedure. They are adequate to say 'a C208 cannot cross the Sahara' and inadequate to say 'this specific sector is legal today'. The app must therefore: label every unverified figure clearly in the UI, require an engineer or operations manager to mark a type verified before it can be used for planning, and always present the range check as advisory with a link to the AFM figures. Never let a green tick from this table be mistaken for a performance calculation.</t>
        </is>
      </c>
    </row>
    <row r="265" ht="43.2" customHeight="1">
      <c r="A265" s="63" t="inlineStr">
        <is>
          <t>The technical-stop suggester filters candidate airports by: within practical range of both the origin and the destination, runway length adequate for the type, fuel of the correct grade available, airport of entry status if customs is needed, operating hours covering the planned arrival, and political acceptability. Each inserted stop then regenerates the permit and service picture for the whole trip.</t>
        </is>
      </c>
    </row>
    <row r="266">
      <c r="A266" s="63" t="n"/>
    </row>
    <row r="267" ht="15.6" customHeight="1">
      <c r="A267" s="64" t="inlineStr">
        <is>
          <t>## VISA DATA — A DELIBERATE DESIGN DECISION</t>
        </is>
      </c>
    </row>
    <row r="268" ht="43.2" customHeight="1">
      <c r="A268" s="63" t="inlineStr">
        <is>
          <t>The matrix is structured for every destination state against every nationality and is deliberately shipped EMPTY rather than pre-filled from a public tourist-visa dataset. Open datasets such as the Passport Index are community-maintained tourist policy; crew visas, operational visas, transit-without-visa and airport-transit rules differ materially, and a wrong 'NOT REQUIRED' in a flight-support system is an operational failure, not a cosmetic one. Blank therefore resolves to NOT ON FILE, which is visible and safe.</t>
        </is>
      </c>
    </row>
    <row r="269" ht="28.8" customHeight="1">
      <c r="A269" s="63" t="inlineStr">
        <is>
          <t>If you later license an authoritative feed (IATA Timatic is the industry standard), import it into a REFERENCE layer with its own provenance and effective date, and keep the verified layer above it in the precedence chain. Show the user which layer answered. Never overwrite a human-verified rule with a feed value.</t>
        </is>
      </c>
    </row>
    <row r="270">
      <c r="A270" s="63" t="n"/>
    </row>
    <row r="271" ht="15.6" customHeight="1">
      <c r="A271" s="64" t="inlineStr">
        <is>
          <t>## GROUND HANDLER COVERAGE</t>
        </is>
      </c>
    </row>
    <row r="272" ht="43.2" customHeight="1">
      <c r="A272" s="63" t="inlineStr">
        <is>
          <t>Handler coverage is held per station, not only per country: ICAO, handler, primary contact name, e-mail, phone, and a count of additional contacts. Assignment resolves station-first, then falls back to country coverage, then reports NO VENDOR ON FILE. The trip sheet shows which layer answered so an ops user can see whether they are getting the named FBO contact at that airport or a generic country agent.</t>
        </is>
      </c>
    </row>
    <row r="273" ht="28.8" customHeight="1">
      <c r="A273" s="63" t="inlineStr">
        <is>
          <t>Import the full contact lists rather than one primary per station — the source data holds several named contacts per FBO and ops will want all of them, with a per-contact role (duty manager, ramp, billing) and hours of availability.</t>
        </is>
      </c>
    </row>
    <row r="275">
      <c r="A275" s="63" t="n"/>
    </row>
    <row r="276">
      <c r="A276" s="89" t="inlineStr">
        <is>
          <t>## AMENDMENT — WORKBOOK CONSOLIDATION AND THE VERIFICATION CONTRACT</t>
        </is>
      </c>
    </row>
    <row r="277" ht="28.8" customHeight="1">
      <c r="A277" s="63" t="inlineStr">
        <is>
          <t>The source workbook has been consolidated and hardened. Everything below supersedes the corresponding statements earlier in this brief. The full rebuild prompt now lives on the JETELIO V3 PROMPT sheet; this section records what changed in the workbook and why it matters to the build.</t>
        </is>
      </c>
    </row>
    <row r="278">
      <c r="A278" s="63" t="n"/>
    </row>
    <row r="279" ht="43.2" customHeight="1">
      <c r="A279" s="63" t="inlineStr">
        <is>
          <t>SHEETS MERGED. `services` and `sub_services` are now a single SERVICE CATALOGUE sheet: 17 services in rows 3-19 and 52 sub-services in rows 20-71, with columns for id, name, code, description, category, ground_grid_order, level (SERVICE or SUB-SERVICE), parent_service_id and mapping_audit. Parentage is derived from the sub_service_code prefix, so the historic SS-017 off-by-one defect cannot recur. Model it as one table with a self-referencing parent_service_id, not two tables.</t>
        </is>
      </c>
    </row>
    <row r="280" ht="28.8" customHeight="1">
      <c r="A280" s="63" t="inlineStr">
        <is>
          <t>A LATENT BUG WAS FIXED IN THE MERGE. The ground-services grid on TRIP MANAGER was indexing a 17-row catalogue through a 16-row range and silently dropping the last service, Pax Hotel (PXH). All 15 ground columns now resolve. Any port of this grid must be driven off the catalogue's ground_grid_order column, never a fixed offset.</t>
        </is>
      </c>
    </row>
    <row r="281">
      <c r="A281" s="63" t="n"/>
    </row>
    <row r="282" ht="72" customHeight="1">
      <c r="A282" s="63" t="inlineStr">
        <is>
          <t>SHEETS THAT LOOK MERGEABLE AND ARE NOT. `VISA` has been renamed VISA RULES to make its role explicit. It is NOT a legacy version of VISA MATRIX and must not be folded into it. The matrix is a two-dimensional grid of (destination state x nationality) and can physically hold one value per cell. VISA RULES is the attribute and override layer: airport-level ICAO override, visa type, lead time in days, maximum stay and conditions. Two different shapes serving two different tiers of the same precedence chain. Likewise geo_grid, route_calc, permit_calc and fiq_calc remain load-bearing in the workbook and are only deleted in the web app, where they become three pure functions and one PostGIS query.</t>
        </is>
      </c>
    </row>
    <row r="283" ht="57.6" customHeight="1">
      <c r="A283" s="63" t="inlineStr">
        <is>
          <t>THE VISA PRECEDENCE WAS INVERTED AND IS NOW CORRECT. The workbook previously answered from the bulk matrix cell first and only fell back to the specific rule — the wrong way round — and airport-specific rows leaked into country-level answers. TRIP MANAGER now resolves airport override, then the exact (country, nationality) rule where the ICAO column is blank, then the matrix cell, then NOT ON FILE - VERIFY, with airport-sourced answers labelled (APT OVERRIDE). Implement exactly this order and surface which tier answered.</t>
        </is>
      </c>
    </row>
    <row r="284">
      <c r="A284" s="63" t="n"/>
    </row>
    <row r="285" ht="57.6" customHeight="1">
      <c r="A285" s="63" t="inlineStr">
        <is>
          <t>OPERATIONAL DEFAULTS ARE NOW A SINGLE SOURCE OF TRUTH. admin!A14:B21 holds default permit lead time (72 h), ground service notice (24 h), range reserve margin (15%), passport validity buffer (180 days), document expiry alert thresholds, visa rule staleness limit (365 days) and a master allow_unverified_for_planning switch defaulting to NO. AIRCRAFT PERFORMANCE now reads its reserve margin from admin rather than holding its own copy, and countries reads the lead-time fallback from admin. These become rows in a settings table; no engine may hard-code any of them.</t>
        </is>
      </c>
    </row>
    <row r="286">
      <c r="A286" s="63" t="n"/>
    </row>
    <row r="287" ht="72" customHeight="1">
      <c r="A287" s="63" t="inlineStr">
        <is>
          <t>PROVENANCE COLUMNS ADDED. countries gains lead_time_source, lead_time_verified_by, lead_time_verified_on, permit_flags_verified_by, a derived reference_status and a derived effective_lead_time_hours. AIRCRAFT PERFORMANCE gains verified_by, verified_on and a derived planning_status. airports gains ops_data_source, ops_data_verified_on and a derived tech_stop_readiness. Operators gains a derived ASSIGNABLE TO A TRIP column that blocks all 44 unnamed records. Vendors already carried the questionnaire and capability_status fields. Presence is not verification: a value with no source and no verification date is UNVERIFIED, and the derived status columns enforce that mechanically rather than by convention.</t>
        </is>
      </c>
    </row>
    <row r="288">
      <c r="A288" s="63" t="n"/>
    </row>
    <row r="289" ht="72" customHeight="1">
      <c r="A289" s="63" t="inlineStr">
        <is>
          <t>PILOT-EXIT GATE ADDED. DATA READINESS rows 28-42 now compute nine live gates against those verification columns — country lead times, permit flags, ground-handling policy, operators assignable, aircraft types approved for planning, airports usable as a technical stop, visa matrix cells, vendor questionnaires and country requirement records — each showing verified, required and a CLEAR or BLOCKED status, with an overall verdict. All nine are blocked today. The web app must implement the same nine gates as an endpoint and run in PILOT mode while any is blocked: persistent banner, ADVISORY watermark on generated PDFs, supervisor approval on outbound permit applications.</t>
        </is>
      </c>
    </row>
    <row r="290">
      <c r="A290" s="63" t="n"/>
    </row>
    <row r="291" ht="86.40000000000001" customHeight="1">
      <c r="A291" s="63" t="inlineStr">
        <is>
          <t>WHAT OPERATIONAL USABILITY ACTUALLY MEANS HERE. The workbook is now structurally sound, internally consistent and honest about its own gaps. It is not yet operationally complete, and no amount of software can make it so, because four datasets can only come from authoritative external sources: per-state permit lead times and flag verification from the AIPs or direct CAA confirmation; aircraft performance sign-off from an engineer against the AFM; airport of entry, fuel grade and operating hours from the AIP or Jeppesen; and the visa matrix verified per (state, nationality) pair or licensed from an authoritative feed. None of these may be generated, inferred or backfilled from a public dataset or a language model. A wrong lead time files a permit too late, a wrong NOT REQUIRED strands a passenger, and a wrong range figure is a safety event. Build the machinery now; fill these four with sourced data before go-live.</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AM44"/>
  <sheetViews>
    <sheetView workbookViewId="0">
      <pane ySplit="4" topLeftCell="A5" activePane="bottomLeft" state="frozen"/>
      <selection pane="bottomLeft" activeCell="D5" sqref="D5"/>
    </sheetView>
  </sheetViews>
  <sheetFormatPr baseColWidth="8" defaultRowHeight="14.4"/>
  <cols>
    <col width="25" customWidth="1" min="1" max="6"/>
    <col width="51.88671875" customWidth="1" min="7" max="7"/>
    <col width="25" customWidth="1" min="8" max="33"/>
    <col width="55.5546875" customWidth="1" min="34" max="34"/>
    <col width="25" customWidth="1" min="35" max="37"/>
    <col width="51.88671875" customWidth="1" min="38" max="38"/>
    <col width="25" customWidth="1" min="39" max="39"/>
  </cols>
  <sheetData>
    <row r="1" ht="18" customHeight="1">
      <c r="A1" s="44" t="inlineStr">
        <is>
          <t>DOCUMENT REGISTER — choose type, upload, OCR, compare, verify, assign</t>
        </is>
      </c>
    </row>
    <row r="2">
      <c r="A2" s="32" t="inlineStr">
        <is>
          <t>Workflow: 1) pick the person and DOC TYPE  2) drop the file in the person's folder and record the file name  3) run OCR externally and paste the extracted fields into the OCR block  4) the MATCH block compares OCR against what is on file  5) a human sets REVIEW DECISION  6) the document is then assigned to the person and trip.</t>
        </is>
      </c>
    </row>
    <row r="3">
      <c r="A3" s="25" t="inlineStr">
        <is>
          <t>UPLOAD</t>
        </is>
      </c>
      <c r="B3" s="25" t="n"/>
      <c r="C3" s="25" t="n"/>
      <c r="D3" s="25" t="n"/>
      <c r="E3" s="25" t="n"/>
      <c r="F3" s="25" t="n"/>
      <c r="G3" s="25" t="n"/>
      <c r="H3" s="25" t="n"/>
      <c r="I3" s="25" t="n"/>
      <c r="J3" s="67" t="inlineStr">
        <is>
          <t>OCR EXTRACTION (from the scanned file)</t>
        </is>
      </c>
      <c r="K3" s="67" t="n"/>
      <c r="L3" s="67" t="n"/>
      <c r="M3" s="67" t="n"/>
      <c r="N3" s="67" t="n"/>
      <c r="O3" s="67" t="n"/>
      <c r="P3" s="67" t="n"/>
      <c r="Q3" s="67" t="n"/>
      <c r="R3" s="67" t="n"/>
      <c r="S3" s="67" t="n"/>
      <c r="T3" s="57" t="inlineStr">
        <is>
          <t>ON FILE (from PAX &amp; CREW)</t>
        </is>
      </c>
      <c r="U3" s="57" t="n"/>
      <c r="V3" s="57" t="n"/>
      <c r="W3" s="57" t="n"/>
      <c r="X3" s="57" t="n"/>
      <c r="Y3" s="57" t="n"/>
      <c r="Z3" s="57" t="n"/>
      <c r="AA3" s="57" t="n"/>
      <c r="AB3" s="68" t="inlineStr">
        <is>
          <t>MATCH CHECK</t>
        </is>
      </c>
      <c r="AC3" s="68" t="n"/>
      <c r="AD3" s="68" t="n"/>
      <c r="AE3" s="68" t="n"/>
      <c r="AF3" s="68" t="n"/>
      <c r="AG3" s="68" t="n"/>
      <c r="AH3" s="68" t="inlineStr">
        <is>
          <t>HUMAN REVIEW &amp; ASSIGNMENT</t>
        </is>
      </c>
      <c r="AI3" s="59" t="inlineStr">
        <is>
          <t>HUMAN REVIEW &amp; ASSIGNMENT</t>
        </is>
      </c>
      <c r="AJ3" s="59" t="n"/>
      <c r="AK3" s="59" t="n"/>
      <c r="AL3" s="59" t="n"/>
      <c r="AM3" s="59" t="n"/>
    </row>
    <row r="4">
      <c r="A4" s="33" t="inlineStr">
        <is>
          <t>doc_id</t>
        </is>
      </c>
      <c r="B4" s="33" t="inlineStr">
        <is>
          <t>trip_ref</t>
        </is>
      </c>
      <c r="C4" s="33" t="inlineStr">
        <is>
          <t>person_id</t>
        </is>
      </c>
      <c r="D4" s="33" t="inlineStr">
        <is>
          <t>person_name</t>
        </is>
      </c>
      <c r="E4" s="33" t="inlineStr">
        <is>
          <t>doc_type</t>
        </is>
      </c>
      <c r="F4" s="33" t="inlineStr">
        <is>
          <t>file_name</t>
        </is>
      </c>
      <c r="G4" s="33" t="inlineStr">
        <is>
          <t>file_path</t>
        </is>
      </c>
      <c r="H4" s="33" t="inlineStr">
        <is>
          <t>uploaded_by</t>
        </is>
      </c>
      <c r="I4" s="33" t="inlineStr">
        <is>
          <t>uploaded_at</t>
        </is>
      </c>
      <c r="J4" s="33" t="inlineStr">
        <is>
          <t>ocr_status</t>
        </is>
      </c>
      <c r="K4" s="33" t="inlineStr">
        <is>
          <t>ocr_doc_number</t>
        </is>
      </c>
      <c r="L4" s="33" t="inlineStr">
        <is>
          <t>ocr_surname</t>
        </is>
      </c>
      <c r="M4" s="33" t="inlineStr">
        <is>
          <t>ocr_given_names</t>
        </is>
      </c>
      <c r="N4" s="33" t="inlineStr">
        <is>
          <t>ocr_nationality</t>
        </is>
      </c>
      <c r="O4" s="33" t="inlineStr">
        <is>
          <t>ocr_date_of_birth</t>
        </is>
      </c>
      <c r="P4" s="33" t="inlineStr">
        <is>
          <t>ocr_issue_date</t>
        </is>
      </c>
      <c r="Q4" s="33" t="inlineStr">
        <is>
          <t>ocr_expiry_date</t>
        </is>
      </c>
      <c r="R4" s="33" t="inlineStr">
        <is>
          <t>ocr_issuing_state</t>
        </is>
      </c>
      <c r="S4" s="33" t="inlineStr">
        <is>
          <t>ocr_confidence_%</t>
        </is>
      </c>
      <c r="T4" s="33" t="inlineStr">
        <is>
          <t>on_file_doc_number</t>
        </is>
      </c>
      <c r="U4" s="33" t="inlineStr">
        <is>
          <t>on_file_surname</t>
        </is>
      </c>
      <c r="V4" s="33" t="inlineStr">
        <is>
          <t>on_file_given_names</t>
        </is>
      </c>
      <c r="W4" s="33" t="inlineStr">
        <is>
          <t>on_file_nationality</t>
        </is>
      </c>
      <c r="X4" s="33" t="inlineStr">
        <is>
          <t>on_file_date_of_birth</t>
        </is>
      </c>
      <c r="Y4" s="33" t="inlineStr">
        <is>
          <t>on_file_issue_date</t>
        </is>
      </c>
      <c r="Z4" s="33" t="inlineStr">
        <is>
          <t>on_file_expiry_date</t>
        </is>
      </c>
      <c r="AA4" s="33" t="inlineStr">
        <is>
          <t>on_file_issuing_state</t>
        </is>
      </c>
      <c r="AB4" s="33" t="inlineStr">
        <is>
          <t>match_doc_number</t>
        </is>
      </c>
      <c r="AC4" s="33" t="inlineStr">
        <is>
          <t>match_surname</t>
        </is>
      </c>
      <c r="AD4" s="33" t="inlineStr">
        <is>
          <t>match_given_names</t>
        </is>
      </c>
      <c r="AE4" s="33" t="inlineStr">
        <is>
          <t>match_nationality</t>
        </is>
      </c>
      <c r="AF4" s="33" t="inlineStr">
        <is>
          <t>match_dob</t>
        </is>
      </c>
      <c r="AG4" s="33" t="inlineStr">
        <is>
          <t>match_expiry</t>
        </is>
      </c>
      <c r="AH4" s="33" t="inlineStr">
        <is>
          <t>match_summary</t>
        </is>
      </c>
      <c r="AI4" s="33" t="inlineStr">
        <is>
          <t>review_decision</t>
        </is>
      </c>
      <c r="AJ4" s="33" t="inlineStr">
        <is>
          <t>reviewed_by</t>
        </is>
      </c>
      <c r="AK4" s="33" t="inlineStr">
        <is>
          <t>reviewed_at</t>
        </is>
      </c>
      <c r="AL4" s="33" t="inlineStr">
        <is>
          <t>assignment_status</t>
        </is>
      </c>
      <c r="AM4" s="33" t="inlineStr">
        <is>
          <t>notes</t>
        </is>
      </c>
    </row>
    <row r="5">
      <c r="A5">
        <f>IF($C5="","","DOC-"&amp;TEXT(ROW()-4,"000"))</f>
        <v/>
      </c>
      <c r="B5">
        <f>IF($C5="","",IFERROR(INDEX('PAX &amp; CREW'!$B$3:$B$62,MATCH($C5,'PAX &amp; CREW'!$A$3:$A$62,0)),""))</f>
        <v/>
      </c>
      <c r="C5" s="4" t="inlineStr">
        <is>
          <t>P-001</t>
        </is>
      </c>
      <c r="D5">
        <f>IF($C5="","",IFERROR(INDEX('PAX &amp; CREW'!$G$3:$G$62,MATCH($C5,'PAX &amp; CREW'!$A$3:$A$62,0))&amp;", "&amp;INDEX('PAX &amp; CREW'!$H$3:$H$62,MATCH($C5,'PAX &amp; CREW'!$A$3:$A$62,0)),"PERSON NOT FOUND"))</f>
        <v/>
      </c>
      <c r="E5" s="4" t="inlineStr">
        <is>
          <t>PASSPORT</t>
        </is>
      </c>
      <c r="F5" s="4" t="inlineStr">
        <is>
          <t>passport.pdf</t>
        </is>
      </c>
      <c r="G5">
        <f>IF(OR($C5="",$F5=""),"",IFERROR(INDEX('PAX &amp; CREW'!$AE$3:$AE$62,MATCH($C5,'PAX &amp; CREW'!$A$3:$A$62,0))&amp;"\"&amp;$F5,""))</f>
        <v/>
      </c>
      <c r="H5" s="4" t="inlineStr">
        <is>
          <t>A DESK</t>
        </is>
      </c>
      <c r="I5" s="50" t="n">
        <v>46242</v>
      </c>
      <c r="J5" s="4" t="inlineStr">
        <is>
          <t>DONE</t>
        </is>
      </c>
      <c r="K5" s="4" t="n">
        <v>512889301</v>
      </c>
      <c r="L5" s="4" t="inlineStr">
        <is>
          <t>WATSON</t>
        </is>
      </c>
      <c r="M5" s="4" t="inlineStr">
        <is>
          <t>CHARLES JAMES</t>
        </is>
      </c>
      <c r="N5" s="4" t="inlineStr">
        <is>
          <t>United States</t>
        </is>
      </c>
      <c r="O5" s="114" t="n">
        <v>25569</v>
      </c>
      <c r="P5" s="114" t="n">
        <v>44927</v>
      </c>
      <c r="Q5" s="114" t="n">
        <v>48945</v>
      </c>
      <c r="R5" s="4" t="inlineStr">
        <is>
          <t>United States</t>
        </is>
      </c>
      <c r="S5" s="4" t="n">
        <v>97</v>
      </c>
      <c r="T5">
        <f>IF($C5="","",IFERROR(IF($E5="PASSPORT",INDEX('PAX &amp; CREW'!$M$3:$M$62,MATCH($C5,'PAX &amp; CREW'!$A$3:$A$62,0)),IF($E5="VISA",INDEX('PAX &amp; CREW'!$S$3:$S$62,MATCH($C5,'PAX &amp; CREW'!$A$3:$A$62,0)),IF($E5="LICENCE",INDEX('PAX &amp; CREW'!$V$3:$V$62,MATCH($C5,'PAX &amp; CREW'!$A$3:$A$62,0)),IF($E5="CREW ID",INDEX('PAX &amp; CREW'!$Y$3:$Y$62,MATCH($C5,'PAX &amp; CREW'!$A$3:$A$62,0)),"")))),""))</f>
        <v/>
      </c>
      <c r="U5">
        <f>IF($C5="","",IFERROR(INDEX('PAX &amp; CREW'!$G$3:$G$62,MATCH($C5,'PAX &amp; CREW'!$A$3:$A$62,0)),""))</f>
        <v/>
      </c>
      <c r="V5">
        <f>IF($C5="","",IFERROR(INDEX('PAX &amp; CREW'!$H$3:$H$62,MATCH($C5,'PAX &amp; CREW'!$A$3:$A$62,0)),""))</f>
        <v/>
      </c>
      <c r="W5">
        <f>IF($C5="","",IFERROR(INDEX('PAX &amp; CREW'!$L$3:$L$62,MATCH($C5,'PAX &amp; CREW'!$A$3:$A$62,0)),""))</f>
        <v/>
      </c>
      <c r="X5" s="118">
        <f>IF($C5="","",IFERROR(INDEX('PAX &amp; CREW'!$J$3:$J$62,MATCH($C5,'PAX &amp; CREW'!$A$3:$A$62,0)),""))</f>
        <v/>
      </c>
      <c r="Y5" s="118">
        <f>IF($C5="","",IFERROR(IF($E5="PASSPORT",INDEX('PAX &amp; CREW'!$O$3:$O$62,MATCH($C5,'PAX &amp; CREW'!$A$3:$A$62,0)),""),""))</f>
        <v/>
      </c>
      <c r="Z5" s="118">
        <f>IF($C5="","",IFERROR(IF($E5="PASSPORT",INDEX('PAX &amp; CREW'!$P$3:$P$62,MATCH($C5,'PAX &amp; CREW'!$A$3:$A$62,0)),IF($E5="VISA",INDEX('PAX &amp; CREW'!$T$3:$T$62,MATCH($C5,'PAX &amp; CREW'!$A$3:$A$62,0)),IF($E5="LICENCE",INDEX('PAX &amp; CREW'!$W$3:$W$62,MATCH($C5,'PAX &amp; CREW'!$A$3:$A$62,0)),IF($E5="MEDICAL",INDEX('PAX &amp; CREW'!$X$3:$X$62,MATCH($C5,'PAX &amp; CREW'!$A$3:$A$62,0)),"")))),""))</f>
        <v/>
      </c>
      <c r="AA5">
        <f>IF($C5="","",IFERROR(IF($E5="PASSPORT",INDEX('PAX &amp; CREW'!$N$3:$N$62,MATCH($C5,'PAX &amp; CREW'!$A$3:$A$62,0)),INDEX('PAX &amp; CREW'!$L$3:$L$62,MATCH($C5,'PAX &amp; CREW'!$A$3:$A$62,0))),""))</f>
        <v/>
      </c>
      <c r="AB5">
        <f>IF($A5="","",IF(OR($K5="",$T5=""),"-",IF(UPPER(TRIM($K5&amp;""))=UPPER(TRIM($T5&amp;"")),"MATCH","MISMATCH")))</f>
        <v/>
      </c>
      <c r="AC5">
        <f>IF($A5="","",IF(OR($L5="",$U5=""),"-",IF(UPPER(TRIM($L5&amp;""))=UPPER(TRIM($U5&amp;"")),"MATCH","MISMATCH")))</f>
        <v/>
      </c>
      <c r="AD5">
        <f>IF($A5="","",IF(OR($M5="",$V5=""),"-",IF(UPPER(TRIM($M5&amp;""))=UPPER(TRIM($V5&amp;"")),"MATCH","MISMATCH")))</f>
        <v/>
      </c>
      <c r="AE5">
        <f>IF($A5="","",IF(OR($N5="",$W5=""),"-",IF(UPPER(TRIM($N5&amp;""))=UPPER(TRIM($W5&amp;"")),"MATCH","MISMATCH")))</f>
        <v/>
      </c>
      <c r="AF5">
        <f>IF($A5="","",IF(OR($O5="",$X5=""),"-",IF(UPPER(TRIM($O5&amp;""))=UPPER(TRIM($X5&amp;"")),"MATCH","MISMATCH")))</f>
        <v/>
      </c>
      <c r="AG5">
        <f>IF($A5="","",IF(OR($Q5="",$Z5=""),"-",IF(UPPER(TRIM($Q5&amp;""))=UPPER(TRIM($Z5&amp;"")),"MATCH","MISMATCH")))</f>
        <v/>
      </c>
      <c r="AH5">
        <f>IF($A5="","",COUNTIF($AB5:$AG5,"MATCH")&amp;" of "&amp;(6-COUNTIF($AB5:$AG5,"-"))&amp;" compared fields match"&amp;IF(COUNTIF($AB5:$AG5,"MISMATCH")&gt;0," — "&amp;COUNTIF($AB5:$AG5,"MISMATCH")&amp;" MISMATCH, DO NOT ACCEPT WITHOUT REVIEW",""))</f>
        <v/>
      </c>
      <c r="AI5" s="4" t="n"/>
      <c r="AJ5" s="4" t="n"/>
      <c r="AK5" s="50" t="n"/>
      <c r="AL5">
        <f>IF($A5="","",IF($J5&lt;&gt;"DONE","AWAITING OCR",IF($AI5="","AWAITING HUMAN REVIEW",IF($AI5="REJECT DOCUMENT","REJECTED - NOT ASSIGNED",IF(OR($AJ5="",$AK5=""),"REVIEW INCOMPLETE - name and date the review",$AI5&amp;" - ASSIGNED TO "&amp;$C5&amp;" ON "&amp;$B5)))))</f>
        <v/>
      </c>
      <c r="AM5" s="4" t="n"/>
    </row>
    <row r="6">
      <c r="A6">
        <f>IF($C6="","","DOC-"&amp;TEXT(ROW()-4,"000"))</f>
        <v/>
      </c>
      <c r="B6">
        <f>IF($C6="","",IFERROR(INDEX('PAX &amp; CREW'!$B$3:$B$62,MATCH($C6,'PAX &amp; CREW'!$A$3:$A$62,0)),""))</f>
        <v/>
      </c>
      <c r="C6" s="4" t="inlineStr">
        <is>
          <t>P-004</t>
        </is>
      </c>
      <c r="D6">
        <f>IF($C6="","",IFERROR(INDEX('PAX &amp; CREW'!$G$3:$G$62,MATCH($C6,'PAX &amp; CREW'!$A$3:$A$62,0))&amp;", "&amp;INDEX('PAX &amp; CREW'!$H$3:$H$62,MATCH($C6,'PAX &amp; CREW'!$A$3:$A$62,0)),"PERSON NOT FOUND"))</f>
        <v/>
      </c>
      <c r="E6" s="4" t="inlineStr">
        <is>
          <t>VISA</t>
        </is>
      </c>
      <c r="F6" s="4" t="inlineStr">
        <is>
          <t>visa.pdf</t>
        </is>
      </c>
      <c r="G6">
        <f>IF(OR($C6="",$F6=""),"",IFERROR(INDEX('PAX &amp; CREW'!$AE$3:$AE$62,MATCH($C6,'PAX &amp; CREW'!$A$3:$A$62,0))&amp;"\"&amp;$F6,""))</f>
        <v/>
      </c>
      <c r="H6" s="4" t="inlineStr">
        <is>
          <t>A DESK</t>
        </is>
      </c>
      <c r="I6" s="50" t="n">
        <v>46242</v>
      </c>
      <c r="J6" s="4" t="inlineStr">
        <is>
          <t>DONE</t>
        </is>
      </c>
      <c r="K6" s="4" t="inlineStr">
        <is>
          <t>V-99881</t>
        </is>
      </c>
      <c r="L6" s="4" t="inlineStr">
        <is>
          <t>NKOSI</t>
        </is>
      </c>
      <c r="M6" s="4" t="inlineStr">
        <is>
          <t>LERATO M</t>
        </is>
      </c>
      <c r="N6" s="4" t="inlineStr">
        <is>
          <t>South Africa</t>
        </is>
      </c>
      <c r="O6" s="114" t="n">
        <v>33420</v>
      </c>
      <c r="P6" s="114" t="n"/>
      <c r="Q6" s="114" t="n">
        <v>46800</v>
      </c>
      <c r="R6" s="4" t="inlineStr">
        <is>
          <t>South Africa</t>
        </is>
      </c>
      <c r="S6" s="4" t="n">
        <v>88</v>
      </c>
      <c r="T6">
        <f>IF($C6="","",IFERROR(IF($E6="PASSPORT",INDEX('PAX &amp; CREW'!$M$3:$M$62,MATCH($C6,'PAX &amp; CREW'!$A$3:$A$62,0)),IF($E6="VISA",INDEX('PAX &amp; CREW'!$S$3:$S$62,MATCH($C6,'PAX &amp; CREW'!$A$3:$A$62,0)),IF($E6="LICENCE",INDEX('PAX &amp; CREW'!$V$3:$V$62,MATCH($C6,'PAX &amp; CREW'!$A$3:$A$62,0)),IF($E6="CREW ID",INDEX('PAX &amp; CREW'!$Y$3:$Y$62,MATCH($C6,'PAX &amp; CREW'!$A$3:$A$62,0)),"")))),""))</f>
        <v/>
      </c>
      <c r="U6">
        <f>IF($C6="","",IFERROR(INDEX('PAX &amp; CREW'!$G$3:$G$62,MATCH($C6,'PAX &amp; CREW'!$A$3:$A$62,0)),""))</f>
        <v/>
      </c>
      <c r="V6">
        <f>IF($C6="","",IFERROR(INDEX('PAX &amp; CREW'!$H$3:$H$62,MATCH($C6,'PAX &amp; CREW'!$A$3:$A$62,0)),""))</f>
        <v/>
      </c>
      <c r="W6">
        <f>IF($C6="","",IFERROR(INDEX('PAX &amp; CREW'!$L$3:$L$62,MATCH($C6,'PAX &amp; CREW'!$A$3:$A$62,0)),""))</f>
        <v/>
      </c>
      <c r="X6" s="118">
        <f>IF($C6="","",IFERROR(INDEX('PAX &amp; CREW'!$J$3:$J$62,MATCH($C6,'PAX &amp; CREW'!$A$3:$A$62,0)),""))</f>
        <v/>
      </c>
      <c r="Y6" s="118">
        <f>IF($C6="","",IFERROR(IF($E6="PASSPORT",INDEX('PAX &amp; CREW'!$O$3:$O$62,MATCH($C6,'PAX &amp; CREW'!$A$3:$A$62,0)),""),""))</f>
        <v/>
      </c>
      <c r="Z6" s="118">
        <f>IF($C6="","",IFERROR(IF($E6="PASSPORT",INDEX('PAX &amp; CREW'!$P$3:$P$62,MATCH($C6,'PAX &amp; CREW'!$A$3:$A$62,0)),IF($E6="VISA",INDEX('PAX &amp; CREW'!$T$3:$T$62,MATCH($C6,'PAX &amp; CREW'!$A$3:$A$62,0)),IF($E6="LICENCE",INDEX('PAX &amp; CREW'!$W$3:$W$62,MATCH($C6,'PAX &amp; CREW'!$A$3:$A$62,0)),IF($E6="MEDICAL",INDEX('PAX &amp; CREW'!$X$3:$X$62,MATCH($C6,'PAX &amp; CREW'!$A$3:$A$62,0)),"")))),""))</f>
        <v/>
      </c>
      <c r="AA6">
        <f>IF($C6="","",IFERROR(IF($E6="PASSPORT",INDEX('PAX &amp; CREW'!$N$3:$N$62,MATCH($C6,'PAX &amp; CREW'!$A$3:$A$62,0)),INDEX('PAX &amp; CREW'!$L$3:$L$62,MATCH($C6,'PAX &amp; CREW'!$A$3:$A$62,0))),""))</f>
        <v/>
      </c>
      <c r="AB6">
        <f>IF($A6="","",IF(OR($K6="",$T6=""),"-",IF(UPPER(TRIM($K6&amp;""))=UPPER(TRIM($T6&amp;"")),"MATCH","MISMATCH")))</f>
        <v/>
      </c>
      <c r="AC6">
        <f>IF($A6="","",IF(OR($L6="",$U6=""),"-",IF(UPPER(TRIM($L6&amp;""))=UPPER(TRIM($U6&amp;"")),"MATCH","MISMATCH")))</f>
        <v/>
      </c>
      <c r="AD6">
        <f>IF($A6="","",IF(OR($M6="",$V6=""),"-",IF(UPPER(TRIM($M6&amp;""))=UPPER(TRIM($V6&amp;"")),"MATCH","MISMATCH")))</f>
        <v/>
      </c>
      <c r="AE6">
        <f>IF($A6="","",IF(OR($N6="",$W6=""),"-",IF(UPPER(TRIM($N6&amp;""))=UPPER(TRIM($W6&amp;"")),"MATCH","MISMATCH")))</f>
        <v/>
      </c>
      <c r="AF6">
        <f>IF($A6="","",IF(OR($O6="",$X6=""),"-",IF(UPPER(TRIM($O6&amp;""))=UPPER(TRIM($X6&amp;"")),"MATCH","MISMATCH")))</f>
        <v/>
      </c>
      <c r="AG6">
        <f>IF($A6="","",IF(OR($Q6="",$Z6=""),"-",IF(UPPER(TRIM($Q6&amp;""))=UPPER(TRIM($Z6&amp;"")),"MATCH","MISMATCH")))</f>
        <v/>
      </c>
      <c r="AH6">
        <f>IF($A6="","",COUNTIF($AB6:$AG6,"MATCH")&amp;" of "&amp;(6-COUNTIF($AB6:$AG6,"-"))&amp;" compared fields match"&amp;IF(COUNTIF($AB6:$AG6,"MISMATCH")&gt;0," — "&amp;COUNTIF($AB6:$AG6,"MISMATCH")&amp;" MISMATCH, DO NOT ACCEPT WITHOUT REVIEW",""))</f>
        <v/>
      </c>
      <c r="AI6" s="4" t="n"/>
      <c r="AJ6" s="4" t="n"/>
      <c r="AK6" s="50" t="n"/>
      <c r="AL6">
        <f>IF($A6="","",IF($J6&lt;&gt;"DONE","AWAITING OCR",IF($AI6="","AWAITING HUMAN REVIEW",IF($AI6="REJECT DOCUMENT","REJECTED - NOT ASSIGNED",IF(OR($AJ6="",$AK6=""),"REVIEW INCOMPLETE - name and date the review",$AI6&amp;" - ASSIGNED TO "&amp;$C6&amp;" ON "&amp;$B6)))))</f>
        <v/>
      </c>
      <c r="AM6" s="4" t="n"/>
    </row>
    <row r="7">
      <c r="A7">
        <f>IF($C7="","","DOC-"&amp;TEXT(ROW()-4,"000"))</f>
        <v/>
      </c>
      <c r="B7">
        <f>IF($C7="","",IFERROR(INDEX('PAX &amp; CREW'!$B$3:$B$62,MATCH($C7,'PAX &amp; CREW'!$A$3:$A$62,0)),""))</f>
        <v/>
      </c>
      <c r="C7" s="4" t="n"/>
      <c r="D7">
        <f>IF($C7="","",IFERROR(INDEX('PAX &amp; CREW'!$G$3:$G$62,MATCH($C7,'PAX &amp; CREW'!$A$3:$A$62,0))&amp;", "&amp;INDEX('PAX &amp; CREW'!$H$3:$H$62,MATCH($C7,'PAX &amp; CREW'!$A$3:$A$62,0)),"PERSON NOT FOUND"))</f>
        <v/>
      </c>
      <c r="E7" s="4" t="n"/>
      <c r="F7" s="4" t="n"/>
      <c r="G7">
        <f>IF(OR($C7="",$F7=""),"",IFERROR(INDEX('PAX &amp; CREW'!$AE$3:$AE$62,MATCH($C7,'PAX &amp; CREW'!$A$3:$A$62,0))&amp;"\"&amp;$F7,""))</f>
        <v/>
      </c>
      <c r="H7" s="4" t="n"/>
      <c r="I7" s="50" t="n"/>
      <c r="J7" s="4" t="n"/>
      <c r="K7" s="4" t="n"/>
      <c r="L7" s="4" t="n"/>
      <c r="M7" s="4" t="n"/>
      <c r="N7" s="4" t="n"/>
      <c r="O7" s="114" t="n"/>
      <c r="P7" s="114" t="n"/>
      <c r="Q7" s="114" t="n"/>
      <c r="R7" s="4" t="n"/>
      <c r="S7" s="4" t="n"/>
      <c r="T7">
        <f>IF($C7="","",IFERROR(IF($E7="PASSPORT",INDEX('PAX &amp; CREW'!$M$3:$M$62,MATCH($C7,'PAX &amp; CREW'!$A$3:$A$62,0)),IF($E7="VISA",INDEX('PAX &amp; CREW'!$S$3:$S$62,MATCH($C7,'PAX &amp; CREW'!$A$3:$A$62,0)),IF($E7="LICENCE",INDEX('PAX &amp; CREW'!$V$3:$V$62,MATCH($C7,'PAX &amp; CREW'!$A$3:$A$62,0)),IF($E7="CREW ID",INDEX('PAX &amp; CREW'!$Y$3:$Y$62,MATCH($C7,'PAX &amp; CREW'!$A$3:$A$62,0)),"")))),""))</f>
        <v/>
      </c>
      <c r="U7">
        <f>IF($C7="","",IFERROR(INDEX('PAX &amp; CREW'!$G$3:$G$62,MATCH($C7,'PAX &amp; CREW'!$A$3:$A$62,0)),""))</f>
        <v/>
      </c>
      <c r="V7">
        <f>IF($C7="","",IFERROR(INDEX('PAX &amp; CREW'!$H$3:$H$62,MATCH($C7,'PAX &amp; CREW'!$A$3:$A$62,0)),""))</f>
        <v/>
      </c>
      <c r="W7">
        <f>IF($C7="","",IFERROR(INDEX('PAX &amp; CREW'!$L$3:$L$62,MATCH($C7,'PAX &amp; CREW'!$A$3:$A$62,0)),""))</f>
        <v/>
      </c>
      <c r="X7" s="118">
        <f>IF($C7="","",IFERROR(INDEX('PAX &amp; CREW'!$J$3:$J$62,MATCH($C7,'PAX &amp; CREW'!$A$3:$A$62,0)),""))</f>
        <v/>
      </c>
      <c r="Y7" s="118">
        <f>IF($C7="","",IFERROR(IF($E7="PASSPORT",INDEX('PAX &amp; CREW'!$O$3:$O$62,MATCH($C7,'PAX &amp; CREW'!$A$3:$A$62,0)),""),""))</f>
        <v/>
      </c>
      <c r="Z7" s="118">
        <f>IF($C7="","",IFERROR(IF($E7="PASSPORT",INDEX('PAX &amp; CREW'!$P$3:$P$62,MATCH($C7,'PAX &amp; CREW'!$A$3:$A$62,0)),IF($E7="VISA",INDEX('PAX &amp; CREW'!$T$3:$T$62,MATCH($C7,'PAX &amp; CREW'!$A$3:$A$62,0)),IF($E7="LICENCE",INDEX('PAX &amp; CREW'!$W$3:$W$62,MATCH($C7,'PAX &amp; CREW'!$A$3:$A$62,0)),IF($E7="MEDICAL",INDEX('PAX &amp; CREW'!$X$3:$X$62,MATCH($C7,'PAX &amp; CREW'!$A$3:$A$62,0)),"")))),""))</f>
        <v/>
      </c>
      <c r="AA7">
        <f>IF($C7="","",IFERROR(IF($E7="PASSPORT",INDEX('PAX &amp; CREW'!$N$3:$N$62,MATCH($C7,'PAX &amp; CREW'!$A$3:$A$62,0)),INDEX('PAX &amp; CREW'!$L$3:$L$62,MATCH($C7,'PAX &amp; CREW'!$A$3:$A$62,0))),""))</f>
        <v/>
      </c>
      <c r="AB7">
        <f>IF($A7="","",IF(OR($K7="",$T7=""),"-",IF(UPPER(TRIM($K7&amp;""))=UPPER(TRIM($T7&amp;"")),"MATCH","MISMATCH")))</f>
        <v/>
      </c>
      <c r="AC7">
        <f>IF($A7="","",IF(OR($L7="",$U7=""),"-",IF(UPPER(TRIM($L7&amp;""))=UPPER(TRIM($U7&amp;"")),"MATCH","MISMATCH")))</f>
        <v/>
      </c>
      <c r="AD7">
        <f>IF($A7="","",IF(OR($M7="",$V7=""),"-",IF(UPPER(TRIM($M7&amp;""))=UPPER(TRIM($V7&amp;"")),"MATCH","MISMATCH")))</f>
        <v/>
      </c>
      <c r="AE7">
        <f>IF($A7="","",IF(OR($N7="",$W7=""),"-",IF(UPPER(TRIM($N7&amp;""))=UPPER(TRIM($W7&amp;"")),"MATCH","MISMATCH")))</f>
        <v/>
      </c>
      <c r="AF7">
        <f>IF($A7="","",IF(OR($O7="",$X7=""),"-",IF(UPPER(TRIM($O7&amp;""))=UPPER(TRIM($X7&amp;"")),"MATCH","MISMATCH")))</f>
        <v/>
      </c>
      <c r="AG7">
        <f>IF($A7="","",IF(OR($Q7="",$Z7=""),"-",IF(UPPER(TRIM($Q7&amp;""))=UPPER(TRIM($Z7&amp;"")),"MATCH","MISMATCH")))</f>
        <v/>
      </c>
      <c r="AH7">
        <f>IF($A7="","",COUNTIF($AB7:$AG7,"MATCH")&amp;" of "&amp;(6-COUNTIF($AB7:$AG7,"-"))&amp;" compared fields match"&amp;IF(COUNTIF($AB7:$AG7,"MISMATCH")&gt;0," — "&amp;COUNTIF($AB7:$AG7,"MISMATCH")&amp;" MISMATCH, DO NOT ACCEPT WITHOUT REVIEW",""))</f>
        <v/>
      </c>
      <c r="AI7" s="4" t="n"/>
      <c r="AJ7" s="4" t="n"/>
      <c r="AK7" s="50" t="n"/>
      <c r="AL7">
        <f>IF($A7="","",IF($J7&lt;&gt;"DONE","AWAITING OCR",IF($AI7="","AWAITING HUMAN REVIEW",IF($AI7="REJECT DOCUMENT","REJECTED - NOT ASSIGNED",IF(OR($AJ7="",$AK7=""),"REVIEW INCOMPLETE - name and date the review",$AI7&amp;" - ASSIGNED TO "&amp;$C7&amp;" ON "&amp;$B7)))))</f>
        <v/>
      </c>
      <c r="AM7" s="4" t="n"/>
    </row>
    <row r="8">
      <c r="A8">
        <f>IF($C8="","","DOC-"&amp;TEXT(ROW()-4,"000"))</f>
        <v/>
      </c>
      <c r="B8">
        <f>IF($C8="","",IFERROR(INDEX('PAX &amp; CREW'!$B$3:$B$62,MATCH($C8,'PAX &amp; CREW'!$A$3:$A$62,0)),""))</f>
        <v/>
      </c>
      <c r="C8" s="4" t="n"/>
      <c r="D8">
        <f>IF($C8="","",IFERROR(INDEX('PAX &amp; CREW'!$G$3:$G$62,MATCH($C8,'PAX &amp; CREW'!$A$3:$A$62,0))&amp;", "&amp;INDEX('PAX &amp; CREW'!$H$3:$H$62,MATCH($C8,'PAX &amp; CREW'!$A$3:$A$62,0)),"PERSON NOT FOUND"))</f>
        <v/>
      </c>
      <c r="E8" s="4" t="n"/>
      <c r="F8" s="4" t="n"/>
      <c r="G8">
        <f>IF(OR($C8="",$F8=""),"",IFERROR(INDEX('PAX &amp; CREW'!$AE$3:$AE$62,MATCH($C8,'PAX &amp; CREW'!$A$3:$A$62,0))&amp;"\"&amp;$F8,""))</f>
        <v/>
      </c>
      <c r="H8" s="4" t="n"/>
      <c r="I8" s="50" t="n"/>
      <c r="J8" s="4" t="n"/>
      <c r="K8" s="4" t="n"/>
      <c r="L8" s="4" t="n"/>
      <c r="M8" s="4" t="n"/>
      <c r="N8" s="4" t="n"/>
      <c r="O8" s="114" t="n"/>
      <c r="P8" s="114" t="n"/>
      <c r="Q8" s="114" t="n"/>
      <c r="R8" s="4" t="n"/>
      <c r="S8" s="4" t="n"/>
      <c r="T8">
        <f>IF($C8="","",IFERROR(IF($E8="PASSPORT",INDEX('PAX &amp; CREW'!$M$3:$M$62,MATCH($C8,'PAX &amp; CREW'!$A$3:$A$62,0)),IF($E8="VISA",INDEX('PAX &amp; CREW'!$S$3:$S$62,MATCH($C8,'PAX &amp; CREW'!$A$3:$A$62,0)),IF($E8="LICENCE",INDEX('PAX &amp; CREW'!$V$3:$V$62,MATCH($C8,'PAX &amp; CREW'!$A$3:$A$62,0)),IF($E8="CREW ID",INDEX('PAX &amp; CREW'!$Y$3:$Y$62,MATCH($C8,'PAX &amp; CREW'!$A$3:$A$62,0)),"")))),""))</f>
        <v/>
      </c>
      <c r="U8">
        <f>IF($C8="","",IFERROR(INDEX('PAX &amp; CREW'!$G$3:$G$62,MATCH($C8,'PAX &amp; CREW'!$A$3:$A$62,0)),""))</f>
        <v/>
      </c>
      <c r="V8">
        <f>IF($C8="","",IFERROR(INDEX('PAX &amp; CREW'!$H$3:$H$62,MATCH($C8,'PAX &amp; CREW'!$A$3:$A$62,0)),""))</f>
        <v/>
      </c>
      <c r="W8">
        <f>IF($C8="","",IFERROR(INDEX('PAX &amp; CREW'!$L$3:$L$62,MATCH($C8,'PAX &amp; CREW'!$A$3:$A$62,0)),""))</f>
        <v/>
      </c>
      <c r="X8" s="118">
        <f>IF($C8="","",IFERROR(INDEX('PAX &amp; CREW'!$J$3:$J$62,MATCH($C8,'PAX &amp; CREW'!$A$3:$A$62,0)),""))</f>
        <v/>
      </c>
      <c r="Y8" s="118">
        <f>IF($C8="","",IFERROR(IF($E8="PASSPORT",INDEX('PAX &amp; CREW'!$O$3:$O$62,MATCH($C8,'PAX &amp; CREW'!$A$3:$A$62,0)),""),""))</f>
        <v/>
      </c>
      <c r="Z8" s="118">
        <f>IF($C8="","",IFERROR(IF($E8="PASSPORT",INDEX('PAX &amp; CREW'!$P$3:$P$62,MATCH($C8,'PAX &amp; CREW'!$A$3:$A$62,0)),IF($E8="VISA",INDEX('PAX &amp; CREW'!$T$3:$T$62,MATCH($C8,'PAX &amp; CREW'!$A$3:$A$62,0)),IF($E8="LICENCE",INDEX('PAX &amp; CREW'!$W$3:$W$62,MATCH($C8,'PAX &amp; CREW'!$A$3:$A$62,0)),IF($E8="MEDICAL",INDEX('PAX &amp; CREW'!$X$3:$X$62,MATCH($C8,'PAX &amp; CREW'!$A$3:$A$62,0)),"")))),""))</f>
        <v/>
      </c>
      <c r="AA8">
        <f>IF($C8="","",IFERROR(IF($E8="PASSPORT",INDEX('PAX &amp; CREW'!$N$3:$N$62,MATCH($C8,'PAX &amp; CREW'!$A$3:$A$62,0)),INDEX('PAX &amp; CREW'!$L$3:$L$62,MATCH($C8,'PAX &amp; CREW'!$A$3:$A$62,0))),""))</f>
        <v/>
      </c>
      <c r="AB8">
        <f>IF($A8="","",IF(OR($K8="",$T8=""),"-",IF(UPPER(TRIM($K8&amp;""))=UPPER(TRIM($T8&amp;"")),"MATCH","MISMATCH")))</f>
        <v/>
      </c>
      <c r="AC8">
        <f>IF($A8="","",IF(OR($L8="",$U8=""),"-",IF(UPPER(TRIM($L8&amp;""))=UPPER(TRIM($U8&amp;"")),"MATCH","MISMATCH")))</f>
        <v/>
      </c>
      <c r="AD8">
        <f>IF($A8="","",IF(OR($M8="",$V8=""),"-",IF(UPPER(TRIM($M8&amp;""))=UPPER(TRIM($V8&amp;"")),"MATCH","MISMATCH")))</f>
        <v/>
      </c>
      <c r="AE8">
        <f>IF($A8="","",IF(OR($N8="",$W8=""),"-",IF(UPPER(TRIM($N8&amp;""))=UPPER(TRIM($W8&amp;"")),"MATCH","MISMATCH")))</f>
        <v/>
      </c>
      <c r="AF8">
        <f>IF($A8="","",IF(OR($O8="",$X8=""),"-",IF(UPPER(TRIM($O8&amp;""))=UPPER(TRIM($X8&amp;"")),"MATCH","MISMATCH")))</f>
        <v/>
      </c>
      <c r="AG8">
        <f>IF($A8="","",IF(OR($Q8="",$Z8=""),"-",IF(UPPER(TRIM($Q8&amp;""))=UPPER(TRIM($Z8&amp;"")),"MATCH","MISMATCH")))</f>
        <v/>
      </c>
      <c r="AH8">
        <f>IF($A8="","",COUNTIF($AB8:$AG8,"MATCH")&amp;" of "&amp;(6-COUNTIF($AB8:$AG8,"-"))&amp;" compared fields match"&amp;IF(COUNTIF($AB8:$AG8,"MISMATCH")&gt;0," — "&amp;COUNTIF($AB8:$AG8,"MISMATCH")&amp;" MISMATCH, DO NOT ACCEPT WITHOUT REVIEW",""))</f>
        <v/>
      </c>
      <c r="AI8" s="4" t="n"/>
      <c r="AJ8" s="4" t="n"/>
      <c r="AK8" s="50" t="n"/>
      <c r="AL8">
        <f>IF($A8="","",IF($J8&lt;&gt;"DONE","AWAITING OCR",IF($AI8="","AWAITING HUMAN REVIEW",IF($AI8="REJECT DOCUMENT","REJECTED - NOT ASSIGNED",IF(OR($AJ8="",$AK8=""),"REVIEW INCOMPLETE - name and date the review",$AI8&amp;" - ASSIGNED TO "&amp;$C8&amp;" ON "&amp;$B8)))))</f>
        <v/>
      </c>
      <c r="AM8" s="4" t="n"/>
    </row>
    <row r="9">
      <c r="A9">
        <f>IF($C9="","","DOC-"&amp;TEXT(ROW()-4,"000"))</f>
        <v/>
      </c>
      <c r="B9">
        <f>IF($C9="","",IFERROR(INDEX('PAX &amp; CREW'!$B$3:$B$62,MATCH($C9,'PAX &amp; CREW'!$A$3:$A$62,0)),""))</f>
        <v/>
      </c>
      <c r="C9" s="4" t="n"/>
      <c r="D9">
        <f>IF($C9="","",IFERROR(INDEX('PAX &amp; CREW'!$G$3:$G$62,MATCH($C9,'PAX &amp; CREW'!$A$3:$A$62,0))&amp;", "&amp;INDEX('PAX &amp; CREW'!$H$3:$H$62,MATCH($C9,'PAX &amp; CREW'!$A$3:$A$62,0)),"PERSON NOT FOUND"))</f>
        <v/>
      </c>
      <c r="E9" s="4" t="n"/>
      <c r="F9" s="4" t="n"/>
      <c r="G9">
        <f>IF(OR($C9="",$F9=""),"",IFERROR(INDEX('PAX &amp; CREW'!$AE$3:$AE$62,MATCH($C9,'PAX &amp; CREW'!$A$3:$A$62,0))&amp;"\"&amp;$F9,""))</f>
        <v/>
      </c>
      <c r="H9" s="4" t="n"/>
      <c r="I9" s="50" t="n"/>
      <c r="J9" s="4" t="n"/>
      <c r="K9" s="4" t="n"/>
      <c r="L9" s="4" t="n"/>
      <c r="M9" s="4" t="n"/>
      <c r="N9" s="4" t="n"/>
      <c r="O9" s="114" t="n"/>
      <c r="P9" s="114" t="n"/>
      <c r="Q9" s="114" t="n"/>
      <c r="R9" s="4" t="n"/>
      <c r="S9" s="4" t="n"/>
      <c r="T9">
        <f>IF($C9="","",IFERROR(IF($E9="PASSPORT",INDEX('PAX &amp; CREW'!$M$3:$M$62,MATCH($C9,'PAX &amp; CREW'!$A$3:$A$62,0)),IF($E9="VISA",INDEX('PAX &amp; CREW'!$S$3:$S$62,MATCH($C9,'PAX &amp; CREW'!$A$3:$A$62,0)),IF($E9="LICENCE",INDEX('PAX &amp; CREW'!$V$3:$V$62,MATCH($C9,'PAX &amp; CREW'!$A$3:$A$62,0)),IF($E9="CREW ID",INDEX('PAX &amp; CREW'!$Y$3:$Y$62,MATCH($C9,'PAX &amp; CREW'!$A$3:$A$62,0)),"")))),""))</f>
        <v/>
      </c>
      <c r="U9">
        <f>IF($C9="","",IFERROR(INDEX('PAX &amp; CREW'!$G$3:$G$62,MATCH($C9,'PAX &amp; CREW'!$A$3:$A$62,0)),""))</f>
        <v/>
      </c>
      <c r="V9">
        <f>IF($C9="","",IFERROR(INDEX('PAX &amp; CREW'!$H$3:$H$62,MATCH($C9,'PAX &amp; CREW'!$A$3:$A$62,0)),""))</f>
        <v/>
      </c>
      <c r="W9">
        <f>IF($C9="","",IFERROR(INDEX('PAX &amp; CREW'!$L$3:$L$62,MATCH($C9,'PAX &amp; CREW'!$A$3:$A$62,0)),""))</f>
        <v/>
      </c>
      <c r="X9" s="118">
        <f>IF($C9="","",IFERROR(INDEX('PAX &amp; CREW'!$J$3:$J$62,MATCH($C9,'PAX &amp; CREW'!$A$3:$A$62,0)),""))</f>
        <v/>
      </c>
      <c r="Y9" s="118">
        <f>IF($C9="","",IFERROR(IF($E9="PASSPORT",INDEX('PAX &amp; CREW'!$O$3:$O$62,MATCH($C9,'PAX &amp; CREW'!$A$3:$A$62,0)),""),""))</f>
        <v/>
      </c>
      <c r="Z9" s="118">
        <f>IF($C9="","",IFERROR(IF($E9="PASSPORT",INDEX('PAX &amp; CREW'!$P$3:$P$62,MATCH($C9,'PAX &amp; CREW'!$A$3:$A$62,0)),IF($E9="VISA",INDEX('PAX &amp; CREW'!$T$3:$T$62,MATCH($C9,'PAX &amp; CREW'!$A$3:$A$62,0)),IF($E9="LICENCE",INDEX('PAX &amp; CREW'!$W$3:$W$62,MATCH($C9,'PAX &amp; CREW'!$A$3:$A$62,0)),IF($E9="MEDICAL",INDEX('PAX &amp; CREW'!$X$3:$X$62,MATCH($C9,'PAX &amp; CREW'!$A$3:$A$62,0)),"")))),""))</f>
        <v/>
      </c>
      <c r="AA9">
        <f>IF($C9="","",IFERROR(IF($E9="PASSPORT",INDEX('PAX &amp; CREW'!$N$3:$N$62,MATCH($C9,'PAX &amp; CREW'!$A$3:$A$62,0)),INDEX('PAX &amp; CREW'!$L$3:$L$62,MATCH($C9,'PAX &amp; CREW'!$A$3:$A$62,0))),""))</f>
        <v/>
      </c>
      <c r="AB9">
        <f>IF($A9="","",IF(OR($K9="",$T9=""),"-",IF(UPPER(TRIM($K9&amp;""))=UPPER(TRIM($T9&amp;"")),"MATCH","MISMATCH")))</f>
        <v/>
      </c>
      <c r="AC9">
        <f>IF($A9="","",IF(OR($L9="",$U9=""),"-",IF(UPPER(TRIM($L9&amp;""))=UPPER(TRIM($U9&amp;"")),"MATCH","MISMATCH")))</f>
        <v/>
      </c>
      <c r="AD9">
        <f>IF($A9="","",IF(OR($M9="",$V9=""),"-",IF(UPPER(TRIM($M9&amp;""))=UPPER(TRIM($V9&amp;"")),"MATCH","MISMATCH")))</f>
        <v/>
      </c>
      <c r="AE9">
        <f>IF($A9="","",IF(OR($N9="",$W9=""),"-",IF(UPPER(TRIM($N9&amp;""))=UPPER(TRIM($W9&amp;"")),"MATCH","MISMATCH")))</f>
        <v/>
      </c>
      <c r="AF9">
        <f>IF($A9="","",IF(OR($O9="",$X9=""),"-",IF(UPPER(TRIM($O9&amp;""))=UPPER(TRIM($X9&amp;"")),"MATCH","MISMATCH")))</f>
        <v/>
      </c>
      <c r="AG9">
        <f>IF($A9="","",IF(OR($Q9="",$Z9=""),"-",IF(UPPER(TRIM($Q9&amp;""))=UPPER(TRIM($Z9&amp;"")),"MATCH","MISMATCH")))</f>
        <v/>
      </c>
      <c r="AH9">
        <f>IF($A9="","",COUNTIF($AB9:$AG9,"MATCH")&amp;" of "&amp;(6-COUNTIF($AB9:$AG9,"-"))&amp;" compared fields match"&amp;IF(COUNTIF($AB9:$AG9,"MISMATCH")&gt;0," — "&amp;COUNTIF($AB9:$AG9,"MISMATCH")&amp;" MISMATCH, DO NOT ACCEPT WITHOUT REVIEW",""))</f>
        <v/>
      </c>
      <c r="AI9" s="4" t="n"/>
      <c r="AJ9" s="4" t="n"/>
      <c r="AK9" s="50" t="n"/>
      <c r="AL9">
        <f>IF($A9="","",IF($J9&lt;&gt;"DONE","AWAITING OCR",IF($AI9="","AWAITING HUMAN REVIEW",IF($AI9="REJECT DOCUMENT","REJECTED - NOT ASSIGNED",IF(OR($AJ9="",$AK9=""),"REVIEW INCOMPLETE - name and date the review",$AI9&amp;" - ASSIGNED TO "&amp;$C9&amp;" ON "&amp;$B9)))))</f>
        <v/>
      </c>
      <c r="AM9" s="4" t="n"/>
    </row>
    <row r="10">
      <c r="A10">
        <f>IF($C10="","","DOC-"&amp;TEXT(ROW()-4,"000"))</f>
        <v/>
      </c>
      <c r="B10">
        <f>IF($C10="","",IFERROR(INDEX('PAX &amp; CREW'!$B$3:$B$62,MATCH($C10,'PAX &amp; CREW'!$A$3:$A$62,0)),""))</f>
        <v/>
      </c>
      <c r="C10" s="4" t="n"/>
      <c r="D10">
        <f>IF($C10="","",IFERROR(INDEX('PAX &amp; CREW'!$G$3:$G$62,MATCH($C10,'PAX &amp; CREW'!$A$3:$A$62,0))&amp;", "&amp;INDEX('PAX &amp; CREW'!$H$3:$H$62,MATCH($C10,'PAX &amp; CREW'!$A$3:$A$62,0)),"PERSON NOT FOUND"))</f>
        <v/>
      </c>
      <c r="E10" s="4" t="n"/>
      <c r="F10" s="4" t="n"/>
      <c r="G10">
        <f>IF(OR($C10="",$F10=""),"",IFERROR(INDEX('PAX &amp; CREW'!$AE$3:$AE$62,MATCH($C10,'PAX &amp; CREW'!$A$3:$A$62,0))&amp;"\"&amp;$F10,""))</f>
        <v/>
      </c>
      <c r="H10" s="4" t="n"/>
      <c r="I10" s="50" t="n"/>
      <c r="J10" s="4" t="n"/>
      <c r="K10" s="4" t="n"/>
      <c r="L10" s="4" t="n"/>
      <c r="M10" s="4" t="n"/>
      <c r="N10" s="4" t="n"/>
      <c r="O10" s="114" t="n"/>
      <c r="P10" s="114" t="n"/>
      <c r="Q10" s="114" t="n"/>
      <c r="R10" s="4" t="n"/>
      <c r="S10" s="4" t="n"/>
      <c r="T10">
        <f>IF($C10="","",IFERROR(IF($E10="PASSPORT",INDEX('PAX &amp; CREW'!$M$3:$M$62,MATCH($C10,'PAX &amp; CREW'!$A$3:$A$62,0)),IF($E10="VISA",INDEX('PAX &amp; CREW'!$S$3:$S$62,MATCH($C10,'PAX &amp; CREW'!$A$3:$A$62,0)),IF($E10="LICENCE",INDEX('PAX &amp; CREW'!$V$3:$V$62,MATCH($C10,'PAX &amp; CREW'!$A$3:$A$62,0)),IF($E10="CREW ID",INDEX('PAX &amp; CREW'!$Y$3:$Y$62,MATCH($C10,'PAX &amp; CREW'!$A$3:$A$62,0)),"")))),""))</f>
        <v/>
      </c>
      <c r="U10">
        <f>IF($C10="","",IFERROR(INDEX('PAX &amp; CREW'!$G$3:$G$62,MATCH($C10,'PAX &amp; CREW'!$A$3:$A$62,0)),""))</f>
        <v/>
      </c>
      <c r="V10">
        <f>IF($C10="","",IFERROR(INDEX('PAX &amp; CREW'!$H$3:$H$62,MATCH($C10,'PAX &amp; CREW'!$A$3:$A$62,0)),""))</f>
        <v/>
      </c>
      <c r="W10">
        <f>IF($C10="","",IFERROR(INDEX('PAX &amp; CREW'!$L$3:$L$62,MATCH($C10,'PAX &amp; CREW'!$A$3:$A$62,0)),""))</f>
        <v/>
      </c>
      <c r="X10" s="118">
        <f>IF($C10="","",IFERROR(INDEX('PAX &amp; CREW'!$J$3:$J$62,MATCH($C10,'PAX &amp; CREW'!$A$3:$A$62,0)),""))</f>
        <v/>
      </c>
      <c r="Y10" s="118">
        <f>IF($C10="","",IFERROR(IF($E10="PASSPORT",INDEX('PAX &amp; CREW'!$O$3:$O$62,MATCH($C10,'PAX &amp; CREW'!$A$3:$A$62,0)),""),""))</f>
        <v/>
      </c>
      <c r="Z10" s="118">
        <f>IF($C10="","",IFERROR(IF($E10="PASSPORT",INDEX('PAX &amp; CREW'!$P$3:$P$62,MATCH($C10,'PAX &amp; CREW'!$A$3:$A$62,0)),IF($E10="VISA",INDEX('PAX &amp; CREW'!$T$3:$T$62,MATCH($C10,'PAX &amp; CREW'!$A$3:$A$62,0)),IF($E10="LICENCE",INDEX('PAX &amp; CREW'!$W$3:$W$62,MATCH($C10,'PAX &amp; CREW'!$A$3:$A$62,0)),IF($E10="MEDICAL",INDEX('PAX &amp; CREW'!$X$3:$X$62,MATCH($C10,'PAX &amp; CREW'!$A$3:$A$62,0)),"")))),""))</f>
        <v/>
      </c>
      <c r="AA10">
        <f>IF($C10="","",IFERROR(IF($E10="PASSPORT",INDEX('PAX &amp; CREW'!$N$3:$N$62,MATCH($C10,'PAX &amp; CREW'!$A$3:$A$62,0)),INDEX('PAX &amp; CREW'!$L$3:$L$62,MATCH($C10,'PAX &amp; CREW'!$A$3:$A$62,0))),""))</f>
        <v/>
      </c>
      <c r="AB10">
        <f>IF($A10="","",IF(OR($K10="",$T10=""),"-",IF(UPPER(TRIM($K10&amp;""))=UPPER(TRIM($T10&amp;"")),"MATCH","MISMATCH")))</f>
        <v/>
      </c>
      <c r="AC10">
        <f>IF($A10="","",IF(OR($L10="",$U10=""),"-",IF(UPPER(TRIM($L10&amp;""))=UPPER(TRIM($U10&amp;"")),"MATCH","MISMATCH")))</f>
        <v/>
      </c>
      <c r="AD10">
        <f>IF($A10="","",IF(OR($M10="",$V10=""),"-",IF(UPPER(TRIM($M10&amp;""))=UPPER(TRIM($V10&amp;"")),"MATCH","MISMATCH")))</f>
        <v/>
      </c>
      <c r="AE10">
        <f>IF($A10="","",IF(OR($N10="",$W10=""),"-",IF(UPPER(TRIM($N10&amp;""))=UPPER(TRIM($W10&amp;"")),"MATCH","MISMATCH")))</f>
        <v/>
      </c>
      <c r="AF10">
        <f>IF($A10="","",IF(OR($O10="",$X10=""),"-",IF(UPPER(TRIM($O10&amp;""))=UPPER(TRIM($X10&amp;"")),"MATCH","MISMATCH")))</f>
        <v/>
      </c>
      <c r="AG10">
        <f>IF($A10="","",IF(OR($Q10="",$Z10=""),"-",IF(UPPER(TRIM($Q10&amp;""))=UPPER(TRIM($Z10&amp;"")),"MATCH","MISMATCH")))</f>
        <v/>
      </c>
      <c r="AH10">
        <f>IF($A10="","",COUNTIF($AB10:$AG10,"MATCH")&amp;" of "&amp;(6-COUNTIF($AB10:$AG10,"-"))&amp;" compared fields match"&amp;IF(COUNTIF($AB10:$AG10,"MISMATCH")&gt;0," — "&amp;COUNTIF($AB10:$AG10,"MISMATCH")&amp;" MISMATCH, DO NOT ACCEPT WITHOUT REVIEW",""))</f>
        <v/>
      </c>
      <c r="AI10" s="4" t="n"/>
      <c r="AJ10" s="4" t="n"/>
      <c r="AK10" s="50" t="n"/>
      <c r="AL10">
        <f>IF($A10="","",IF($J10&lt;&gt;"DONE","AWAITING OCR",IF($AI10="","AWAITING HUMAN REVIEW",IF($AI10="REJECT DOCUMENT","REJECTED - NOT ASSIGNED",IF(OR($AJ10="",$AK10=""),"REVIEW INCOMPLETE - name and date the review",$AI10&amp;" - ASSIGNED TO "&amp;$C10&amp;" ON "&amp;$B10)))))</f>
        <v/>
      </c>
      <c r="AM10" s="4" t="n"/>
    </row>
    <row r="11">
      <c r="A11">
        <f>IF($C11="","","DOC-"&amp;TEXT(ROW()-4,"000"))</f>
        <v/>
      </c>
      <c r="B11">
        <f>IF($C11="","",IFERROR(INDEX('PAX &amp; CREW'!$B$3:$B$62,MATCH($C11,'PAX &amp; CREW'!$A$3:$A$62,0)),""))</f>
        <v/>
      </c>
      <c r="C11" s="4" t="n"/>
      <c r="D11">
        <f>IF($C11="","",IFERROR(INDEX('PAX &amp; CREW'!$G$3:$G$62,MATCH($C11,'PAX &amp; CREW'!$A$3:$A$62,0))&amp;", "&amp;INDEX('PAX &amp; CREW'!$H$3:$H$62,MATCH($C11,'PAX &amp; CREW'!$A$3:$A$62,0)),"PERSON NOT FOUND"))</f>
        <v/>
      </c>
      <c r="E11" s="4" t="n"/>
      <c r="F11" s="4" t="n"/>
      <c r="G11">
        <f>IF(OR($C11="",$F11=""),"",IFERROR(INDEX('PAX &amp; CREW'!$AE$3:$AE$62,MATCH($C11,'PAX &amp; CREW'!$A$3:$A$62,0))&amp;"\"&amp;$F11,""))</f>
        <v/>
      </c>
      <c r="H11" s="4" t="n"/>
      <c r="I11" s="50" t="n"/>
      <c r="J11" s="4" t="n"/>
      <c r="K11" s="4" t="n"/>
      <c r="L11" s="4" t="n"/>
      <c r="M11" s="4" t="n"/>
      <c r="N11" s="4" t="n"/>
      <c r="O11" s="114" t="n"/>
      <c r="P11" s="114" t="n"/>
      <c r="Q11" s="114" t="n"/>
      <c r="R11" s="4" t="n"/>
      <c r="S11" s="4" t="n"/>
      <c r="T11">
        <f>IF($C11="","",IFERROR(IF($E11="PASSPORT",INDEX('PAX &amp; CREW'!$M$3:$M$62,MATCH($C11,'PAX &amp; CREW'!$A$3:$A$62,0)),IF($E11="VISA",INDEX('PAX &amp; CREW'!$S$3:$S$62,MATCH($C11,'PAX &amp; CREW'!$A$3:$A$62,0)),IF($E11="LICENCE",INDEX('PAX &amp; CREW'!$V$3:$V$62,MATCH($C11,'PAX &amp; CREW'!$A$3:$A$62,0)),IF($E11="CREW ID",INDEX('PAX &amp; CREW'!$Y$3:$Y$62,MATCH($C11,'PAX &amp; CREW'!$A$3:$A$62,0)),"")))),""))</f>
        <v/>
      </c>
      <c r="U11">
        <f>IF($C11="","",IFERROR(INDEX('PAX &amp; CREW'!$G$3:$G$62,MATCH($C11,'PAX &amp; CREW'!$A$3:$A$62,0)),""))</f>
        <v/>
      </c>
      <c r="V11">
        <f>IF($C11="","",IFERROR(INDEX('PAX &amp; CREW'!$H$3:$H$62,MATCH($C11,'PAX &amp; CREW'!$A$3:$A$62,0)),""))</f>
        <v/>
      </c>
      <c r="W11">
        <f>IF($C11="","",IFERROR(INDEX('PAX &amp; CREW'!$L$3:$L$62,MATCH($C11,'PAX &amp; CREW'!$A$3:$A$62,0)),""))</f>
        <v/>
      </c>
      <c r="X11" s="118">
        <f>IF($C11="","",IFERROR(INDEX('PAX &amp; CREW'!$J$3:$J$62,MATCH($C11,'PAX &amp; CREW'!$A$3:$A$62,0)),""))</f>
        <v/>
      </c>
      <c r="Y11" s="118">
        <f>IF($C11="","",IFERROR(IF($E11="PASSPORT",INDEX('PAX &amp; CREW'!$O$3:$O$62,MATCH($C11,'PAX &amp; CREW'!$A$3:$A$62,0)),""),""))</f>
        <v/>
      </c>
      <c r="Z11" s="118">
        <f>IF($C11="","",IFERROR(IF($E11="PASSPORT",INDEX('PAX &amp; CREW'!$P$3:$P$62,MATCH($C11,'PAX &amp; CREW'!$A$3:$A$62,0)),IF($E11="VISA",INDEX('PAX &amp; CREW'!$T$3:$T$62,MATCH($C11,'PAX &amp; CREW'!$A$3:$A$62,0)),IF($E11="LICENCE",INDEX('PAX &amp; CREW'!$W$3:$W$62,MATCH($C11,'PAX &amp; CREW'!$A$3:$A$62,0)),IF($E11="MEDICAL",INDEX('PAX &amp; CREW'!$X$3:$X$62,MATCH($C11,'PAX &amp; CREW'!$A$3:$A$62,0)),"")))),""))</f>
        <v/>
      </c>
      <c r="AA11">
        <f>IF($C11="","",IFERROR(IF($E11="PASSPORT",INDEX('PAX &amp; CREW'!$N$3:$N$62,MATCH($C11,'PAX &amp; CREW'!$A$3:$A$62,0)),INDEX('PAX &amp; CREW'!$L$3:$L$62,MATCH($C11,'PAX &amp; CREW'!$A$3:$A$62,0))),""))</f>
        <v/>
      </c>
      <c r="AB11">
        <f>IF($A11="","",IF(OR($K11="",$T11=""),"-",IF(UPPER(TRIM($K11&amp;""))=UPPER(TRIM($T11&amp;"")),"MATCH","MISMATCH")))</f>
        <v/>
      </c>
      <c r="AC11">
        <f>IF($A11="","",IF(OR($L11="",$U11=""),"-",IF(UPPER(TRIM($L11&amp;""))=UPPER(TRIM($U11&amp;"")),"MATCH","MISMATCH")))</f>
        <v/>
      </c>
      <c r="AD11">
        <f>IF($A11="","",IF(OR($M11="",$V11=""),"-",IF(UPPER(TRIM($M11&amp;""))=UPPER(TRIM($V11&amp;"")),"MATCH","MISMATCH")))</f>
        <v/>
      </c>
      <c r="AE11">
        <f>IF($A11="","",IF(OR($N11="",$W11=""),"-",IF(UPPER(TRIM($N11&amp;""))=UPPER(TRIM($W11&amp;"")),"MATCH","MISMATCH")))</f>
        <v/>
      </c>
      <c r="AF11">
        <f>IF($A11="","",IF(OR($O11="",$X11=""),"-",IF(UPPER(TRIM($O11&amp;""))=UPPER(TRIM($X11&amp;"")),"MATCH","MISMATCH")))</f>
        <v/>
      </c>
      <c r="AG11">
        <f>IF($A11="","",IF(OR($Q11="",$Z11=""),"-",IF(UPPER(TRIM($Q11&amp;""))=UPPER(TRIM($Z11&amp;"")),"MATCH","MISMATCH")))</f>
        <v/>
      </c>
      <c r="AH11">
        <f>IF($A11="","",COUNTIF($AB11:$AG11,"MATCH")&amp;" of "&amp;(6-COUNTIF($AB11:$AG11,"-"))&amp;" compared fields match"&amp;IF(COUNTIF($AB11:$AG11,"MISMATCH")&gt;0," — "&amp;COUNTIF($AB11:$AG11,"MISMATCH")&amp;" MISMATCH, DO NOT ACCEPT WITHOUT REVIEW",""))</f>
        <v/>
      </c>
      <c r="AI11" s="4" t="n"/>
      <c r="AJ11" s="4" t="n"/>
      <c r="AK11" s="50" t="n"/>
      <c r="AL11">
        <f>IF($A11="","",IF($J11&lt;&gt;"DONE","AWAITING OCR",IF($AI11="","AWAITING HUMAN REVIEW",IF($AI11="REJECT DOCUMENT","REJECTED - NOT ASSIGNED",IF(OR($AJ11="",$AK11=""),"REVIEW INCOMPLETE - name and date the review",$AI11&amp;" - ASSIGNED TO "&amp;$C11&amp;" ON "&amp;$B11)))))</f>
        <v/>
      </c>
      <c r="AM11" s="4" t="n"/>
    </row>
    <row r="12">
      <c r="A12">
        <f>IF($C12="","","DOC-"&amp;TEXT(ROW()-4,"000"))</f>
        <v/>
      </c>
      <c r="B12">
        <f>IF($C12="","",IFERROR(INDEX('PAX &amp; CREW'!$B$3:$B$62,MATCH($C12,'PAX &amp; CREW'!$A$3:$A$62,0)),""))</f>
        <v/>
      </c>
      <c r="C12" s="4" t="n"/>
      <c r="D12">
        <f>IF($C12="","",IFERROR(INDEX('PAX &amp; CREW'!$G$3:$G$62,MATCH($C12,'PAX &amp; CREW'!$A$3:$A$62,0))&amp;", "&amp;INDEX('PAX &amp; CREW'!$H$3:$H$62,MATCH($C12,'PAX &amp; CREW'!$A$3:$A$62,0)),"PERSON NOT FOUND"))</f>
        <v/>
      </c>
      <c r="E12" s="4" t="n"/>
      <c r="F12" s="4" t="n"/>
      <c r="G12">
        <f>IF(OR($C12="",$F12=""),"",IFERROR(INDEX('PAX &amp; CREW'!$AE$3:$AE$62,MATCH($C12,'PAX &amp; CREW'!$A$3:$A$62,0))&amp;"\"&amp;$F12,""))</f>
        <v/>
      </c>
      <c r="H12" s="4" t="n"/>
      <c r="I12" s="50" t="n"/>
      <c r="J12" s="4" t="n"/>
      <c r="K12" s="4" t="n"/>
      <c r="L12" s="4" t="n"/>
      <c r="M12" s="4" t="n"/>
      <c r="N12" s="4" t="n"/>
      <c r="O12" s="114" t="n"/>
      <c r="P12" s="114" t="n"/>
      <c r="Q12" s="114" t="n"/>
      <c r="R12" s="4" t="n"/>
      <c r="S12" s="4" t="n"/>
      <c r="T12">
        <f>IF($C12="","",IFERROR(IF($E12="PASSPORT",INDEX('PAX &amp; CREW'!$M$3:$M$62,MATCH($C12,'PAX &amp; CREW'!$A$3:$A$62,0)),IF($E12="VISA",INDEX('PAX &amp; CREW'!$S$3:$S$62,MATCH($C12,'PAX &amp; CREW'!$A$3:$A$62,0)),IF($E12="LICENCE",INDEX('PAX &amp; CREW'!$V$3:$V$62,MATCH($C12,'PAX &amp; CREW'!$A$3:$A$62,0)),IF($E12="CREW ID",INDEX('PAX &amp; CREW'!$Y$3:$Y$62,MATCH($C12,'PAX &amp; CREW'!$A$3:$A$62,0)),"")))),""))</f>
        <v/>
      </c>
      <c r="U12">
        <f>IF($C12="","",IFERROR(INDEX('PAX &amp; CREW'!$G$3:$G$62,MATCH($C12,'PAX &amp; CREW'!$A$3:$A$62,0)),""))</f>
        <v/>
      </c>
      <c r="V12">
        <f>IF($C12="","",IFERROR(INDEX('PAX &amp; CREW'!$H$3:$H$62,MATCH($C12,'PAX &amp; CREW'!$A$3:$A$62,0)),""))</f>
        <v/>
      </c>
      <c r="W12">
        <f>IF($C12="","",IFERROR(INDEX('PAX &amp; CREW'!$L$3:$L$62,MATCH($C12,'PAX &amp; CREW'!$A$3:$A$62,0)),""))</f>
        <v/>
      </c>
      <c r="X12" s="118">
        <f>IF($C12="","",IFERROR(INDEX('PAX &amp; CREW'!$J$3:$J$62,MATCH($C12,'PAX &amp; CREW'!$A$3:$A$62,0)),""))</f>
        <v/>
      </c>
      <c r="Y12" s="118">
        <f>IF($C12="","",IFERROR(IF($E12="PASSPORT",INDEX('PAX &amp; CREW'!$O$3:$O$62,MATCH($C12,'PAX &amp; CREW'!$A$3:$A$62,0)),""),""))</f>
        <v/>
      </c>
      <c r="Z12" s="118">
        <f>IF($C12="","",IFERROR(IF($E12="PASSPORT",INDEX('PAX &amp; CREW'!$P$3:$P$62,MATCH($C12,'PAX &amp; CREW'!$A$3:$A$62,0)),IF($E12="VISA",INDEX('PAX &amp; CREW'!$T$3:$T$62,MATCH($C12,'PAX &amp; CREW'!$A$3:$A$62,0)),IF($E12="LICENCE",INDEX('PAX &amp; CREW'!$W$3:$W$62,MATCH($C12,'PAX &amp; CREW'!$A$3:$A$62,0)),IF($E12="MEDICAL",INDEX('PAX &amp; CREW'!$X$3:$X$62,MATCH($C12,'PAX &amp; CREW'!$A$3:$A$62,0)),"")))),""))</f>
        <v/>
      </c>
      <c r="AA12">
        <f>IF($C12="","",IFERROR(IF($E12="PASSPORT",INDEX('PAX &amp; CREW'!$N$3:$N$62,MATCH($C12,'PAX &amp; CREW'!$A$3:$A$62,0)),INDEX('PAX &amp; CREW'!$L$3:$L$62,MATCH($C12,'PAX &amp; CREW'!$A$3:$A$62,0))),""))</f>
        <v/>
      </c>
      <c r="AB12">
        <f>IF($A12="","",IF(OR($K12="",$T12=""),"-",IF(UPPER(TRIM($K12&amp;""))=UPPER(TRIM($T12&amp;"")),"MATCH","MISMATCH")))</f>
        <v/>
      </c>
      <c r="AC12">
        <f>IF($A12="","",IF(OR($L12="",$U12=""),"-",IF(UPPER(TRIM($L12&amp;""))=UPPER(TRIM($U12&amp;"")),"MATCH","MISMATCH")))</f>
        <v/>
      </c>
      <c r="AD12">
        <f>IF($A12="","",IF(OR($M12="",$V12=""),"-",IF(UPPER(TRIM($M12&amp;""))=UPPER(TRIM($V12&amp;"")),"MATCH","MISMATCH")))</f>
        <v/>
      </c>
      <c r="AE12">
        <f>IF($A12="","",IF(OR($N12="",$W12=""),"-",IF(UPPER(TRIM($N12&amp;""))=UPPER(TRIM($W12&amp;"")),"MATCH","MISMATCH")))</f>
        <v/>
      </c>
      <c r="AF12">
        <f>IF($A12="","",IF(OR($O12="",$X12=""),"-",IF(UPPER(TRIM($O12&amp;""))=UPPER(TRIM($X12&amp;"")),"MATCH","MISMATCH")))</f>
        <v/>
      </c>
      <c r="AG12">
        <f>IF($A12="","",IF(OR($Q12="",$Z12=""),"-",IF(UPPER(TRIM($Q12&amp;""))=UPPER(TRIM($Z12&amp;"")),"MATCH","MISMATCH")))</f>
        <v/>
      </c>
      <c r="AH12">
        <f>IF($A12="","",COUNTIF($AB12:$AG12,"MATCH")&amp;" of "&amp;(6-COUNTIF($AB12:$AG12,"-"))&amp;" compared fields match"&amp;IF(COUNTIF($AB12:$AG12,"MISMATCH")&gt;0," — "&amp;COUNTIF($AB12:$AG12,"MISMATCH")&amp;" MISMATCH, DO NOT ACCEPT WITHOUT REVIEW",""))</f>
        <v/>
      </c>
      <c r="AI12" s="4" t="n"/>
      <c r="AJ12" s="4" t="n"/>
      <c r="AK12" s="50" t="n"/>
      <c r="AL12">
        <f>IF($A12="","",IF($J12&lt;&gt;"DONE","AWAITING OCR",IF($AI12="","AWAITING HUMAN REVIEW",IF($AI12="REJECT DOCUMENT","REJECTED - NOT ASSIGNED",IF(OR($AJ12="",$AK12=""),"REVIEW INCOMPLETE - name and date the review",$AI12&amp;" - ASSIGNED TO "&amp;$C12&amp;" ON "&amp;$B12)))))</f>
        <v/>
      </c>
      <c r="AM12" s="4" t="n"/>
    </row>
    <row r="13">
      <c r="A13">
        <f>IF($C13="","","DOC-"&amp;TEXT(ROW()-4,"000"))</f>
        <v/>
      </c>
      <c r="B13">
        <f>IF($C13="","",IFERROR(INDEX('PAX &amp; CREW'!$B$3:$B$62,MATCH($C13,'PAX &amp; CREW'!$A$3:$A$62,0)),""))</f>
        <v/>
      </c>
      <c r="C13" s="4" t="n"/>
      <c r="D13">
        <f>IF($C13="","",IFERROR(INDEX('PAX &amp; CREW'!$G$3:$G$62,MATCH($C13,'PAX &amp; CREW'!$A$3:$A$62,0))&amp;", "&amp;INDEX('PAX &amp; CREW'!$H$3:$H$62,MATCH($C13,'PAX &amp; CREW'!$A$3:$A$62,0)),"PERSON NOT FOUND"))</f>
        <v/>
      </c>
      <c r="E13" s="4" t="n"/>
      <c r="F13" s="4" t="n"/>
      <c r="G13">
        <f>IF(OR($C13="",$F13=""),"",IFERROR(INDEX('PAX &amp; CREW'!$AE$3:$AE$62,MATCH($C13,'PAX &amp; CREW'!$A$3:$A$62,0))&amp;"\"&amp;$F13,""))</f>
        <v/>
      </c>
      <c r="H13" s="4" t="n"/>
      <c r="I13" s="50" t="n"/>
      <c r="J13" s="4" t="n"/>
      <c r="K13" s="4" t="n"/>
      <c r="L13" s="4" t="n"/>
      <c r="M13" s="4" t="n"/>
      <c r="N13" s="4" t="n"/>
      <c r="O13" s="114" t="n"/>
      <c r="P13" s="114" t="n"/>
      <c r="Q13" s="114" t="n"/>
      <c r="R13" s="4" t="n"/>
      <c r="S13" s="4" t="n"/>
      <c r="T13">
        <f>IF($C13="","",IFERROR(IF($E13="PASSPORT",INDEX('PAX &amp; CREW'!$M$3:$M$62,MATCH($C13,'PAX &amp; CREW'!$A$3:$A$62,0)),IF($E13="VISA",INDEX('PAX &amp; CREW'!$S$3:$S$62,MATCH($C13,'PAX &amp; CREW'!$A$3:$A$62,0)),IF($E13="LICENCE",INDEX('PAX &amp; CREW'!$V$3:$V$62,MATCH($C13,'PAX &amp; CREW'!$A$3:$A$62,0)),IF($E13="CREW ID",INDEX('PAX &amp; CREW'!$Y$3:$Y$62,MATCH($C13,'PAX &amp; CREW'!$A$3:$A$62,0)),"")))),""))</f>
        <v/>
      </c>
      <c r="U13">
        <f>IF($C13="","",IFERROR(INDEX('PAX &amp; CREW'!$G$3:$G$62,MATCH($C13,'PAX &amp; CREW'!$A$3:$A$62,0)),""))</f>
        <v/>
      </c>
      <c r="V13">
        <f>IF($C13="","",IFERROR(INDEX('PAX &amp; CREW'!$H$3:$H$62,MATCH($C13,'PAX &amp; CREW'!$A$3:$A$62,0)),""))</f>
        <v/>
      </c>
      <c r="W13">
        <f>IF($C13="","",IFERROR(INDEX('PAX &amp; CREW'!$L$3:$L$62,MATCH($C13,'PAX &amp; CREW'!$A$3:$A$62,0)),""))</f>
        <v/>
      </c>
      <c r="X13" s="118">
        <f>IF($C13="","",IFERROR(INDEX('PAX &amp; CREW'!$J$3:$J$62,MATCH($C13,'PAX &amp; CREW'!$A$3:$A$62,0)),""))</f>
        <v/>
      </c>
      <c r="Y13" s="118">
        <f>IF($C13="","",IFERROR(IF($E13="PASSPORT",INDEX('PAX &amp; CREW'!$O$3:$O$62,MATCH($C13,'PAX &amp; CREW'!$A$3:$A$62,0)),""),""))</f>
        <v/>
      </c>
      <c r="Z13" s="118">
        <f>IF($C13="","",IFERROR(IF($E13="PASSPORT",INDEX('PAX &amp; CREW'!$P$3:$P$62,MATCH($C13,'PAX &amp; CREW'!$A$3:$A$62,0)),IF($E13="VISA",INDEX('PAX &amp; CREW'!$T$3:$T$62,MATCH($C13,'PAX &amp; CREW'!$A$3:$A$62,0)),IF($E13="LICENCE",INDEX('PAX &amp; CREW'!$W$3:$W$62,MATCH($C13,'PAX &amp; CREW'!$A$3:$A$62,0)),IF($E13="MEDICAL",INDEX('PAX &amp; CREW'!$X$3:$X$62,MATCH($C13,'PAX &amp; CREW'!$A$3:$A$62,0)),"")))),""))</f>
        <v/>
      </c>
      <c r="AA13">
        <f>IF($C13="","",IFERROR(IF($E13="PASSPORT",INDEX('PAX &amp; CREW'!$N$3:$N$62,MATCH($C13,'PAX &amp; CREW'!$A$3:$A$62,0)),INDEX('PAX &amp; CREW'!$L$3:$L$62,MATCH($C13,'PAX &amp; CREW'!$A$3:$A$62,0))),""))</f>
        <v/>
      </c>
      <c r="AB13">
        <f>IF($A13="","",IF(OR($K13="",$T13=""),"-",IF(UPPER(TRIM($K13&amp;""))=UPPER(TRIM($T13&amp;"")),"MATCH","MISMATCH")))</f>
        <v/>
      </c>
      <c r="AC13">
        <f>IF($A13="","",IF(OR($L13="",$U13=""),"-",IF(UPPER(TRIM($L13&amp;""))=UPPER(TRIM($U13&amp;"")),"MATCH","MISMATCH")))</f>
        <v/>
      </c>
      <c r="AD13">
        <f>IF($A13="","",IF(OR($M13="",$V13=""),"-",IF(UPPER(TRIM($M13&amp;""))=UPPER(TRIM($V13&amp;"")),"MATCH","MISMATCH")))</f>
        <v/>
      </c>
      <c r="AE13">
        <f>IF($A13="","",IF(OR($N13="",$W13=""),"-",IF(UPPER(TRIM($N13&amp;""))=UPPER(TRIM($W13&amp;"")),"MATCH","MISMATCH")))</f>
        <v/>
      </c>
      <c r="AF13">
        <f>IF($A13="","",IF(OR($O13="",$X13=""),"-",IF(UPPER(TRIM($O13&amp;""))=UPPER(TRIM($X13&amp;"")),"MATCH","MISMATCH")))</f>
        <v/>
      </c>
      <c r="AG13">
        <f>IF($A13="","",IF(OR($Q13="",$Z13=""),"-",IF(UPPER(TRIM($Q13&amp;""))=UPPER(TRIM($Z13&amp;"")),"MATCH","MISMATCH")))</f>
        <v/>
      </c>
      <c r="AH13">
        <f>IF($A13="","",COUNTIF($AB13:$AG13,"MATCH")&amp;" of "&amp;(6-COUNTIF($AB13:$AG13,"-"))&amp;" compared fields match"&amp;IF(COUNTIF($AB13:$AG13,"MISMATCH")&gt;0," — "&amp;COUNTIF($AB13:$AG13,"MISMATCH")&amp;" MISMATCH, DO NOT ACCEPT WITHOUT REVIEW",""))</f>
        <v/>
      </c>
      <c r="AI13" s="4" t="n"/>
      <c r="AJ13" s="4" t="n"/>
      <c r="AK13" s="50" t="n"/>
      <c r="AL13">
        <f>IF($A13="","",IF($J13&lt;&gt;"DONE","AWAITING OCR",IF($AI13="","AWAITING HUMAN REVIEW",IF($AI13="REJECT DOCUMENT","REJECTED - NOT ASSIGNED",IF(OR($AJ13="",$AK13=""),"REVIEW INCOMPLETE - name and date the review",$AI13&amp;" - ASSIGNED TO "&amp;$C13&amp;" ON "&amp;$B13)))))</f>
        <v/>
      </c>
      <c r="AM13" s="4" t="n"/>
    </row>
    <row r="14">
      <c r="A14">
        <f>IF($C14="","","DOC-"&amp;TEXT(ROW()-4,"000"))</f>
        <v/>
      </c>
      <c r="B14">
        <f>IF($C14="","",IFERROR(INDEX('PAX &amp; CREW'!$B$3:$B$62,MATCH($C14,'PAX &amp; CREW'!$A$3:$A$62,0)),""))</f>
        <v/>
      </c>
      <c r="C14" s="4" t="n"/>
      <c r="D14">
        <f>IF($C14="","",IFERROR(INDEX('PAX &amp; CREW'!$G$3:$G$62,MATCH($C14,'PAX &amp; CREW'!$A$3:$A$62,0))&amp;", "&amp;INDEX('PAX &amp; CREW'!$H$3:$H$62,MATCH($C14,'PAX &amp; CREW'!$A$3:$A$62,0)),"PERSON NOT FOUND"))</f>
        <v/>
      </c>
      <c r="E14" s="4" t="n"/>
      <c r="F14" s="4" t="n"/>
      <c r="G14">
        <f>IF(OR($C14="",$F14=""),"",IFERROR(INDEX('PAX &amp; CREW'!$AE$3:$AE$62,MATCH($C14,'PAX &amp; CREW'!$A$3:$A$62,0))&amp;"\"&amp;$F14,""))</f>
        <v/>
      </c>
      <c r="H14" s="4" t="n"/>
      <c r="I14" s="50" t="n"/>
      <c r="J14" s="4" t="n"/>
      <c r="K14" s="4" t="n"/>
      <c r="L14" s="4" t="n"/>
      <c r="M14" s="4" t="n"/>
      <c r="N14" s="4" t="n"/>
      <c r="O14" s="114" t="n"/>
      <c r="P14" s="114" t="n"/>
      <c r="Q14" s="114" t="n"/>
      <c r="R14" s="4" t="n"/>
      <c r="S14" s="4" t="n"/>
      <c r="T14">
        <f>IF($C14="","",IFERROR(IF($E14="PASSPORT",INDEX('PAX &amp; CREW'!$M$3:$M$62,MATCH($C14,'PAX &amp; CREW'!$A$3:$A$62,0)),IF($E14="VISA",INDEX('PAX &amp; CREW'!$S$3:$S$62,MATCH($C14,'PAX &amp; CREW'!$A$3:$A$62,0)),IF($E14="LICENCE",INDEX('PAX &amp; CREW'!$V$3:$V$62,MATCH($C14,'PAX &amp; CREW'!$A$3:$A$62,0)),IF($E14="CREW ID",INDEX('PAX &amp; CREW'!$Y$3:$Y$62,MATCH($C14,'PAX &amp; CREW'!$A$3:$A$62,0)),"")))),""))</f>
        <v/>
      </c>
      <c r="U14">
        <f>IF($C14="","",IFERROR(INDEX('PAX &amp; CREW'!$G$3:$G$62,MATCH($C14,'PAX &amp; CREW'!$A$3:$A$62,0)),""))</f>
        <v/>
      </c>
      <c r="V14">
        <f>IF($C14="","",IFERROR(INDEX('PAX &amp; CREW'!$H$3:$H$62,MATCH($C14,'PAX &amp; CREW'!$A$3:$A$62,0)),""))</f>
        <v/>
      </c>
      <c r="W14">
        <f>IF($C14="","",IFERROR(INDEX('PAX &amp; CREW'!$L$3:$L$62,MATCH($C14,'PAX &amp; CREW'!$A$3:$A$62,0)),""))</f>
        <v/>
      </c>
      <c r="X14" s="118">
        <f>IF($C14="","",IFERROR(INDEX('PAX &amp; CREW'!$J$3:$J$62,MATCH($C14,'PAX &amp; CREW'!$A$3:$A$62,0)),""))</f>
        <v/>
      </c>
      <c r="Y14" s="118">
        <f>IF($C14="","",IFERROR(IF($E14="PASSPORT",INDEX('PAX &amp; CREW'!$O$3:$O$62,MATCH($C14,'PAX &amp; CREW'!$A$3:$A$62,0)),""),""))</f>
        <v/>
      </c>
      <c r="Z14" s="118">
        <f>IF($C14="","",IFERROR(IF($E14="PASSPORT",INDEX('PAX &amp; CREW'!$P$3:$P$62,MATCH($C14,'PAX &amp; CREW'!$A$3:$A$62,0)),IF($E14="VISA",INDEX('PAX &amp; CREW'!$T$3:$T$62,MATCH($C14,'PAX &amp; CREW'!$A$3:$A$62,0)),IF($E14="LICENCE",INDEX('PAX &amp; CREW'!$W$3:$W$62,MATCH($C14,'PAX &amp; CREW'!$A$3:$A$62,0)),IF($E14="MEDICAL",INDEX('PAX &amp; CREW'!$X$3:$X$62,MATCH($C14,'PAX &amp; CREW'!$A$3:$A$62,0)),"")))),""))</f>
        <v/>
      </c>
      <c r="AA14">
        <f>IF($C14="","",IFERROR(IF($E14="PASSPORT",INDEX('PAX &amp; CREW'!$N$3:$N$62,MATCH($C14,'PAX &amp; CREW'!$A$3:$A$62,0)),INDEX('PAX &amp; CREW'!$L$3:$L$62,MATCH($C14,'PAX &amp; CREW'!$A$3:$A$62,0))),""))</f>
        <v/>
      </c>
      <c r="AB14">
        <f>IF($A14="","",IF(OR($K14="",$T14=""),"-",IF(UPPER(TRIM($K14&amp;""))=UPPER(TRIM($T14&amp;"")),"MATCH","MISMATCH")))</f>
        <v/>
      </c>
      <c r="AC14">
        <f>IF($A14="","",IF(OR($L14="",$U14=""),"-",IF(UPPER(TRIM($L14&amp;""))=UPPER(TRIM($U14&amp;"")),"MATCH","MISMATCH")))</f>
        <v/>
      </c>
      <c r="AD14">
        <f>IF($A14="","",IF(OR($M14="",$V14=""),"-",IF(UPPER(TRIM($M14&amp;""))=UPPER(TRIM($V14&amp;"")),"MATCH","MISMATCH")))</f>
        <v/>
      </c>
      <c r="AE14">
        <f>IF($A14="","",IF(OR($N14="",$W14=""),"-",IF(UPPER(TRIM($N14&amp;""))=UPPER(TRIM($W14&amp;"")),"MATCH","MISMATCH")))</f>
        <v/>
      </c>
      <c r="AF14">
        <f>IF($A14="","",IF(OR($O14="",$X14=""),"-",IF(UPPER(TRIM($O14&amp;""))=UPPER(TRIM($X14&amp;"")),"MATCH","MISMATCH")))</f>
        <v/>
      </c>
      <c r="AG14">
        <f>IF($A14="","",IF(OR($Q14="",$Z14=""),"-",IF(UPPER(TRIM($Q14&amp;""))=UPPER(TRIM($Z14&amp;"")),"MATCH","MISMATCH")))</f>
        <v/>
      </c>
      <c r="AH14">
        <f>IF($A14="","",COUNTIF($AB14:$AG14,"MATCH")&amp;" of "&amp;(6-COUNTIF($AB14:$AG14,"-"))&amp;" compared fields match"&amp;IF(COUNTIF($AB14:$AG14,"MISMATCH")&gt;0," — "&amp;COUNTIF($AB14:$AG14,"MISMATCH")&amp;" MISMATCH, DO NOT ACCEPT WITHOUT REVIEW",""))</f>
        <v/>
      </c>
      <c r="AI14" s="4" t="n"/>
      <c r="AJ14" s="4" t="n"/>
      <c r="AK14" s="50" t="n"/>
      <c r="AL14">
        <f>IF($A14="","",IF($J14&lt;&gt;"DONE","AWAITING OCR",IF($AI14="","AWAITING HUMAN REVIEW",IF($AI14="REJECT DOCUMENT","REJECTED - NOT ASSIGNED",IF(OR($AJ14="",$AK14=""),"REVIEW INCOMPLETE - name and date the review",$AI14&amp;" - ASSIGNED TO "&amp;$C14&amp;" ON "&amp;$B14)))))</f>
        <v/>
      </c>
      <c r="AM14" s="4" t="n"/>
    </row>
    <row r="15">
      <c r="A15">
        <f>IF($C15="","","DOC-"&amp;TEXT(ROW()-4,"000"))</f>
        <v/>
      </c>
      <c r="B15">
        <f>IF($C15="","",IFERROR(INDEX('PAX &amp; CREW'!$B$3:$B$62,MATCH($C15,'PAX &amp; CREW'!$A$3:$A$62,0)),""))</f>
        <v/>
      </c>
      <c r="C15" s="4" t="n"/>
      <c r="D15">
        <f>IF($C15="","",IFERROR(INDEX('PAX &amp; CREW'!$G$3:$G$62,MATCH($C15,'PAX &amp; CREW'!$A$3:$A$62,0))&amp;", "&amp;INDEX('PAX &amp; CREW'!$H$3:$H$62,MATCH($C15,'PAX &amp; CREW'!$A$3:$A$62,0)),"PERSON NOT FOUND"))</f>
        <v/>
      </c>
      <c r="E15" s="4" t="n"/>
      <c r="F15" s="4" t="n"/>
      <c r="G15">
        <f>IF(OR($C15="",$F15=""),"",IFERROR(INDEX('PAX &amp; CREW'!$AE$3:$AE$62,MATCH($C15,'PAX &amp; CREW'!$A$3:$A$62,0))&amp;"\"&amp;$F15,""))</f>
        <v/>
      </c>
      <c r="H15" s="4" t="n"/>
      <c r="I15" s="50" t="n"/>
      <c r="J15" s="4" t="n"/>
      <c r="K15" s="4" t="n"/>
      <c r="L15" s="4" t="n"/>
      <c r="M15" s="4" t="n"/>
      <c r="N15" s="4" t="n"/>
      <c r="O15" s="114" t="n"/>
      <c r="P15" s="114" t="n"/>
      <c r="Q15" s="114" t="n"/>
      <c r="R15" s="4" t="n"/>
      <c r="S15" s="4" t="n"/>
      <c r="T15">
        <f>IF($C15="","",IFERROR(IF($E15="PASSPORT",INDEX('PAX &amp; CREW'!$M$3:$M$62,MATCH($C15,'PAX &amp; CREW'!$A$3:$A$62,0)),IF($E15="VISA",INDEX('PAX &amp; CREW'!$S$3:$S$62,MATCH($C15,'PAX &amp; CREW'!$A$3:$A$62,0)),IF($E15="LICENCE",INDEX('PAX &amp; CREW'!$V$3:$V$62,MATCH($C15,'PAX &amp; CREW'!$A$3:$A$62,0)),IF($E15="CREW ID",INDEX('PAX &amp; CREW'!$Y$3:$Y$62,MATCH($C15,'PAX &amp; CREW'!$A$3:$A$62,0)),"")))),""))</f>
        <v/>
      </c>
      <c r="U15">
        <f>IF($C15="","",IFERROR(INDEX('PAX &amp; CREW'!$G$3:$G$62,MATCH($C15,'PAX &amp; CREW'!$A$3:$A$62,0)),""))</f>
        <v/>
      </c>
      <c r="V15">
        <f>IF($C15="","",IFERROR(INDEX('PAX &amp; CREW'!$H$3:$H$62,MATCH($C15,'PAX &amp; CREW'!$A$3:$A$62,0)),""))</f>
        <v/>
      </c>
      <c r="W15">
        <f>IF($C15="","",IFERROR(INDEX('PAX &amp; CREW'!$L$3:$L$62,MATCH($C15,'PAX &amp; CREW'!$A$3:$A$62,0)),""))</f>
        <v/>
      </c>
      <c r="X15" s="118">
        <f>IF($C15="","",IFERROR(INDEX('PAX &amp; CREW'!$J$3:$J$62,MATCH($C15,'PAX &amp; CREW'!$A$3:$A$62,0)),""))</f>
        <v/>
      </c>
      <c r="Y15" s="118">
        <f>IF($C15="","",IFERROR(IF($E15="PASSPORT",INDEX('PAX &amp; CREW'!$O$3:$O$62,MATCH($C15,'PAX &amp; CREW'!$A$3:$A$62,0)),""),""))</f>
        <v/>
      </c>
      <c r="Z15" s="118">
        <f>IF($C15="","",IFERROR(IF($E15="PASSPORT",INDEX('PAX &amp; CREW'!$P$3:$P$62,MATCH($C15,'PAX &amp; CREW'!$A$3:$A$62,0)),IF($E15="VISA",INDEX('PAX &amp; CREW'!$T$3:$T$62,MATCH($C15,'PAX &amp; CREW'!$A$3:$A$62,0)),IF($E15="LICENCE",INDEX('PAX &amp; CREW'!$W$3:$W$62,MATCH($C15,'PAX &amp; CREW'!$A$3:$A$62,0)),IF($E15="MEDICAL",INDEX('PAX &amp; CREW'!$X$3:$X$62,MATCH($C15,'PAX &amp; CREW'!$A$3:$A$62,0)),"")))),""))</f>
        <v/>
      </c>
      <c r="AA15">
        <f>IF($C15="","",IFERROR(IF($E15="PASSPORT",INDEX('PAX &amp; CREW'!$N$3:$N$62,MATCH($C15,'PAX &amp; CREW'!$A$3:$A$62,0)),INDEX('PAX &amp; CREW'!$L$3:$L$62,MATCH($C15,'PAX &amp; CREW'!$A$3:$A$62,0))),""))</f>
        <v/>
      </c>
      <c r="AB15">
        <f>IF($A15="","",IF(OR($K15="",$T15=""),"-",IF(UPPER(TRIM($K15&amp;""))=UPPER(TRIM($T15&amp;"")),"MATCH","MISMATCH")))</f>
        <v/>
      </c>
      <c r="AC15">
        <f>IF($A15="","",IF(OR($L15="",$U15=""),"-",IF(UPPER(TRIM($L15&amp;""))=UPPER(TRIM($U15&amp;"")),"MATCH","MISMATCH")))</f>
        <v/>
      </c>
      <c r="AD15">
        <f>IF($A15="","",IF(OR($M15="",$V15=""),"-",IF(UPPER(TRIM($M15&amp;""))=UPPER(TRIM($V15&amp;"")),"MATCH","MISMATCH")))</f>
        <v/>
      </c>
      <c r="AE15">
        <f>IF($A15="","",IF(OR($N15="",$W15=""),"-",IF(UPPER(TRIM($N15&amp;""))=UPPER(TRIM($W15&amp;"")),"MATCH","MISMATCH")))</f>
        <v/>
      </c>
      <c r="AF15">
        <f>IF($A15="","",IF(OR($O15="",$X15=""),"-",IF(UPPER(TRIM($O15&amp;""))=UPPER(TRIM($X15&amp;"")),"MATCH","MISMATCH")))</f>
        <v/>
      </c>
      <c r="AG15">
        <f>IF($A15="","",IF(OR($Q15="",$Z15=""),"-",IF(UPPER(TRIM($Q15&amp;""))=UPPER(TRIM($Z15&amp;"")),"MATCH","MISMATCH")))</f>
        <v/>
      </c>
      <c r="AH15">
        <f>IF($A15="","",COUNTIF($AB15:$AG15,"MATCH")&amp;" of "&amp;(6-COUNTIF($AB15:$AG15,"-"))&amp;" compared fields match"&amp;IF(COUNTIF($AB15:$AG15,"MISMATCH")&gt;0," — "&amp;COUNTIF($AB15:$AG15,"MISMATCH")&amp;" MISMATCH, DO NOT ACCEPT WITHOUT REVIEW",""))</f>
        <v/>
      </c>
      <c r="AI15" s="4" t="n"/>
      <c r="AJ15" s="4" t="n"/>
      <c r="AK15" s="50" t="n"/>
      <c r="AL15">
        <f>IF($A15="","",IF($J15&lt;&gt;"DONE","AWAITING OCR",IF($AI15="","AWAITING HUMAN REVIEW",IF($AI15="REJECT DOCUMENT","REJECTED - NOT ASSIGNED",IF(OR($AJ15="",$AK15=""),"REVIEW INCOMPLETE - name and date the review",$AI15&amp;" - ASSIGNED TO "&amp;$C15&amp;" ON "&amp;$B15)))))</f>
        <v/>
      </c>
      <c r="AM15" s="4" t="n"/>
    </row>
    <row r="16">
      <c r="A16">
        <f>IF($C16="","","DOC-"&amp;TEXT(ROW()-4,"000"))</f>
        <v/>
      </c>
      <c r="B16">
        <f>IF($C16="","",IFERROR(INDEX('PAX &amp; CREW'!$B$3:$B$62,MATCH($C16,'PAX &amp; CREW'!$A$3:$A$62,0)),""))</f>
        <v/>
      </c>
      <c r="C16" s="4" t="n"/>
      <c r="D16">
        <f>IF($C16="","",IFERROR(INDEX('PAX &amp; CREW'!$G$3:$G$62,MATCH($C16,'PAX &amp; CREW'!$A$3:$A$62,0))&amp;", "&amp;INDEX('PAX &amp; CREW'!$H$3:$H$62,MATCH($C16,'PAX &amp; CREW'!$A$3:$A$62,0)),"PERSON NOT FOUND"))</f>
        <v/>
      </c>
      <c r="E16" s="4" t="n"/>
      <c r="F16" s="4" t="n"/>
      <c r="G16">
        <f>IF(OR($C16="",$F16=""),"",IFERROR(INDEX('PAX &amp; CREW'!$AE$3:$AE$62,MATCH($C16,'PAX &amp; CREW'!$A$3:$A$62,0))&amp;"\"&amp;$F16,""))</f>
        <v/>
      </c>
      <c r="H16" s="4" t="n"/>
      <c r="I16" s="50" t="n"/>
      <c r="J16" s="4" t="n"/>
      <c r="K16" s="4" t="n"/>
      <c r="L16" s="4" t="n"/>
      <c r="M16" s="4" t="n"/>
      <c r="N16" s="4" t="n"/>
      <c r="O16" s="114" t="n"/>
      <c r="P16" s="114" t="n"/>
      <c r="Q16" s="114" t="n"/>
      <c r="R16" s="4" t="n"/>
      <c r="S16" s="4" t="n"/>
      <c r="T16">
        <f>IF($C16="","",IFERROR(IF($E16="PASSPORT",INDEX('PAX &amp; CREW'!$M$3:$M$62,MATCH($C16,'PAX &amp; CREW'!$A$3:$A$62,0)),IF($E16="VISA",INDEX('PAX &amp; CREW'!$S$3:$S$62,MATCH($C16,'PAX &amp; CREW'!$A$3:$A$62,0)),IF($E16="LICENCE",INDEX('PAX &amp; CREW'!$V$3:$V$62,MATCH($C16,'PAX &amp; CREW'!$A$3:$A$62,0)),IF($E16="CREW ID",INDEX('PAX &amp; CREW'!$Y$3:$Y$62,MATCH($C16,'PAX &amp; CREW'!$A$3:$A$62,0)),"")))),""))</f>
        <v/>
      </c>
      <c r="U16">
        <f>IF($C16="","",IFERROR(INDEX('PAX &amp; CREW'!$G$3:$G$62,MATCH($C16,'PAX &amp; CREW'!$A$3:$A$62,0)),""))</f>
        <v/>
      </c>
      <c r="V16">
        <f>IF($C16="","",IFERROR(INDEX('PAX &amp; CREW'!$H$3:$H$62,MATCH($C16,'PAX &amp; CREW'!$A$3:$A$62,0)),""))</f>
        <v/>
      </c>
      <c r="W16">
        <f>IF($C16="","",IFERROR(INDEX('PAX &amp; CREW'!$L$3:$L$62,MATCH($C16,'PAX &amp; CREW'!$A$3:$A$62,0)),""))</f>
        <v/>
      </c>
      <c r="X16" s="118">
        <f>IF($C16="","",IFERROR(INDEX('PAX &amp; CREW'!$J$3:$J$62,MATCH($C16,'PAX &amp; CREW'!$A$3:$A$62,0)),""))</f>
        <v/>
      </c>
      <c r="Y16" s="118">
        <f>IF($C16="","",IFERROR(IF($E16="PASSPORT",INDEX('PAX &amp; CREW'!$O$3:$O$62,MATCH($C16,'PAX &amp; CREW'!$A$3:$A$62,0)),""),""))</f>
        <v/>
      </c>
      <c r="Z16" s="118">
        <f>IF($C16="","",IFERROR(IF($E16="PASSPORT",INDEX('PAX &amp; CREW'!$P$3:$P$62,MATCH($C16,'PAX &amp; CREW'!$A$3:$A$62,0)),IF($E16="VISA",INDEX('PAX &amp; CREW'!$T$3:$T$62,MATCH($C16,'PAX &amp; CREW'!$A$3:$A$62,0)),IF($E16="LICENCE",INDEX('PAX &amp; CREW'!$W$3:$W$62,MATCH($C16,'PAX &amp; CREW'!$A$3:$A$62,0)),IF($E16="MEDICAL",INDEX('PAX &amp; CREW'!$X$3:$X$62,MATCH($C16,'PAX &amp; CREW'!$A$3:$A$62,0)),"")))),""))</f>
        <v/>
      </c>
      <c r="AA16">
        <f>IF($C16="","",IFERROR(IF($E16="PASSPORT",INDEX('PAX &amp; CREW'!$N$3:$N$62,MATCH($C16,'PAX &amp; CREW'!$A$3:$A$62,0)),INDEX('PAX &amp; CREW'!$L$3:$L$62,MATCH($C16,'PAX &amp; CREW'!$A$3:$A$62,0))),""))</f>
        <v/>
      </c>
      <c r="AB16">
        <f>IF($A16="","",IF(OR($K16="",$T16=""),"-",IF(UPPER(TRIM($K16&amp;""))=UPPER(TRIM($T16&amp;"")),"MATCH","MISMATCH")))</f>
        <v/>
      </c>
      <c r="AC16">
        <f>IF($A16="","",IF(OR($L16="",$U16=""),"-",IF(UPPER(TRIM($L16&amp;""))=UPPER(TRIM($U16&amp;"")),"MATCH","MISMATCH")))</f>
        <v/>
      </c>
      <c r="AD16">
        <f>IF($A16="","",IF(OR($M16="",$V16=""),"-",IF(UPPER(TRIM($M16&amp;""))=UPPER(TRIM($V16&amp;"")),"MATCH","MISMATCH")))</f>
        <v/>
      </c>
      <c r="AE16">
        <f>IF($A16="","",IF(OR($N16="",$W16=""),"-",IF(UPPER(TRIM($N16&amp;""))=UPPER(TRIM($W16&amp;"")),"MATCH","MISMATCH")))</f>
        <v/>
      </c>
      <c r="AF16">
        <f>IF($A16="","",IF(OR($O16="",$X16=""),"-",IF(UPPER(TRIM($O16&amp;""))=UPPER(TRIM($X16&amp;"")),"MATCH","MISMATCH")))</f>
        <v/>
      </c>
      <c r="AG16">
        <f>IF($A16="","",IF(OR($Q16="",$Z16=""),"-",IF(UPPER(TRIM($Q16&amp;""))=UPPER(TRIM($Z16&amp;"")),"MATCH","MISMATCH")))</f>
        <v/>
      </c>
      <c r="AH16">
        <f>IF($A16="","",COUNTIF($AB16:$AG16,"MATCH")&amp;" of "&amp;(6-COUNTIF($AB16:$AG16,"-"))&amp;" compared fields match"&amp;IF(COUNTIF($AB16:$AG16,"MISMATCH")&gt;0," — "&amp;COUNTIF($AB16:$AG16,"MISMATCH")&amp;" MISMATCH, DO NOT ACCEPT WITHOUT REVIEW",""))</f>
        <v/>
      </c>
      <c r="AI16" s="4" t="n"/>
      <c r="AJ16" s="4" t="n"/>
      <c r="AK16" s="50" t="n"/>
      <c r="AL16">
        <f>IF($A16="","",IF($J16&lt;&gt;"DONE","AWAITING OCR",IF($AI16="","AWAITING HUMAN REVIEW",IF($AI16="REJECT DOCUMENT","REJECTED - NOT ASSIGNED",IF(OR($AJ16="",$AK16=""),"REVIEW INCOMPLETE - name and date the review",$AI16&amp;" - ASSIGNED TO "&amp;$C16&amp;" ON "&amp;$B16)))))</f>
        <v/>
      </c>
      <c r="AM16" s="4" t="n"/>
    </row>
    <row r="17">
      <c r="A17">
        <f>IF($C17="","","DOC-"&amp;TEXT(ROW()-4,"000"))</f>
        <v/>
      </c>
      <c r="B17">
        <f>IF($C17="","",IFERROR(INDEX('PAX &amp; CREW'!$B$3:$B$62,MATCH($C17,'PAX &amp; CREW'!$A$3:$A$62,0)),""))</f>
        <v/>
      </c>
      <c r="C17" s="4" t="n"/>
      <c r="D17">
        <f>IF($C17="","",IFERROR(INDEX('PAX &amp; CREW'!$G$3:$G$62,MATCH($C17,'PAX &amp; CREW'!$A$3:$A$62,0))&amp;", "&amp;INDEX('PAX &amp; CREW'!$H$3:$H$62,MATCH($C17,'PAX &amp; CREW'!$A$3:$A$62,0)),"PERSON NOT FOUND"))</f>
        <v/>
      </c>
      <c r="E17" s="4" t="n"/>
      <c r="F17" s="4" t="n"/>
      <c r="G17">
        <f>IF(OR($C17="",$F17=""),"",IFERROR(INDEX('PAX &amp; CREW'!$AE$3:$AE$62,MATCH($C17,'PAX &amp; CREW'!$A$3:$A$62,0))&amp;"\"&amp;$F17,""))</f>
        <v/>
      </c>
      <c r="H17" s="4" t="n"/>
      <c r="I17" s="50" t="n"/>
      <c r="J17" s="4" t="n"/>
      <c r="K17" s="4" t="n"/>
      <c r="L17" s="4" t="n"/>
      <c r="M17" s="4" t="n"/>
      <c r="N17" s="4" t="n"/>
      <c r="O17" s="114" t="n"/>
      <c r="P17" s="114" t="n"/>
      <c r="Q17" s="114" t="n"/>
      <c r="R17" s="4" t="n"/>
      <c r="S17" s="4" t="n"/>
      <c r="T17">
        <f>IF($C17="","",IFERROR(IF($E17="PASSPORT",INDEX('PAX &amp; CREW'!$M$3:$M$62,MATCH($C17,'PAX &amp; CREW'!$A$3:$A$62,0)),IF($E17="VISA",INDEX('PAX &amp; CREW'!$S$3:$S$62,MATCH($C17,'PAX &amp; CREW'!$A$3:$A$62,0)),IF($E17="LICENCE",INDEX('PAX &amp; CREW'!$V$3:$V$62,MATCH($C17,'PAX &amp; CREW'!$A$3:$A$62,0)),IF($E17="CREW ID",INDEX('PAX &amp; CREW'!$Y$3:$Y$62,MATCH($C17,'PAX &amp; CREW'!$A$3:$A$62,0)),"")))),""))</f>
        <v/>
      </c>
      <c r="U17">
        <f>IF($C17="","",IFERROR(INDEX('PAX &amp; CREW'!$G$3:$G$62,MATCH($C17,'PAX &amp; CREW'!$A$3:$A$62,0)),""))</f>
        <v/>
      </c>
      <c r="V17">
        <f>IF($C17="","",IFERROR(INDEX('PAX &amp; CREW'!$H$3:$H$62,MATCH($C17,'PAX &amp; CREW'!$A$3:$A$62,0)),""))</f>
        <v/>
      </c>
      <c r="W17">
        <f>IF($C17="","",IFERROR(INDEX('PAX &amp; CREW'!$L$3:$L$62,MATCH($C17,'PAX &amp; CREW'!$A$3:$A$62,0)),""))</f>
        <v/>
      </c>
      <c r="X17" s="118">
        <f>IF($C17="","",IFERROR(INDEX('PAX &amp; CREW'!$J$3:$J$62,MATCH($C17,'PAX &amp; CREW'!$A$3:$A$62,0)),""))</f>
        <v/>
      </c>
      <c r="Y17" s="118">
        <f>IF($C17="","",IFERROR(IF($E17="PASSPORT",INDEX('PAX &amp; CREW'!$O$3:$O$62,MATCH($C17,'PAX &amp; CREW'!$A$3:$A$62,0)),""),""))</f>
        <v/>
      </c>
      <c r="Z17" s="118">
        <f>IF($C17="","",IFERROR(IF($E17="PASSPORT",INDEX('PAX &amp; CREW'!$P$3:$P$62,MATCH($C17,'PAX &amp; CREW'!$A$3:$A$62,0)),IF($E17="VISA",INDEX('PAX &amp; CREW'!$T$3:$T$62,MATCH($C17,'PAX &amp; CREW'!$A$3:$A$62,0)),IF($E17="LICENCE",INDEX('PAX &amp; CREW'!$W$3:$W$62,MATCH($C17,'PAX &amp; CREW'!$A$3:$A$62,0)),IF($E17="MEDICAL",INDEX('PAX &amp; CREW'!$X$3:$X$62,MATCH($C17,'PAX &amp; CREW'!$A$3:$A$62,0)),"")))),""))</f>
        <v/>
      </c>
      <c r="AA17">
        <f>IF($C17="","",IFERROR(IF($E17="PASSPORT",INDEX('PAX &amp; CREW'!$N$3:$N$62,MATCH($C17,'PAX &amp; CREW'!$A$3:$A$62,0)),INDEX('PAX &amp; CREW'!$L$3:$L$62,MATCH($C17,'PAX &amp; CREW'!$A$3:$A$62,0))),""))</f>
        <v/>
      </c>
      <c r="AB17">
        <f>IF($A17="","",IF(OR($K17="",$T17=""),"-",IF(UPPER(TRIM($K17&amp;""))=UPPER(TRIM($T17&amp;"")),"MATCH","MISMATCH")))</f>
        <v/>
      </c>
      <c r="AC17">
        <f>IF($A17="","",IF(OR($L17="",$U17=""),"-",IF(UPPER(TRIM($L17&amp;""))=UPPER(TRIM($U17&amp;"")),"MATCH","MISMATCH")))</f>
        <v/>
      </c>
      <c r="AD17">
        <f>IF($A17="","",IF(OR($M17="",$V17=""),"-",IF(UPPER(TRIM($M17&amp;""))=UPPER(TRIM($V17&amp;"")),"MATCH","MISMATCH")))</f>
        <v/>
      </c>
      <c r="AE17">
        <f>IF($A17="","",IF(OR($N17="",$W17=""),"-",IF(UPPER(TRIM($N17&amp;""))=UPPER(TRIM($W17&amp;"")),"MATCH","MISMATCH")))</f>
        <v/>
      </c>
      <c r="AF17">
        <f>IF($A17="","",IF(OR($O17="",$X17=""),"-",IF(UPPER(TRIM($O17&amp;""))=UPPER(TRIM($X17&amp;"")),"MATCH","MISMATCH")))</f>
        <v/>
      </c>
      <c r="AG17">
        <f>IF($A17="","",IF(OR($Q17="",$Z17=""),"-",IF(UPPER(TRIM($Q17&amp;""))=UPPER(TRIM($Z17&amp;"")),"MATCH","MISMATCH")))</f>
        <v/>
      </c>
      <c r="AH17">
        <f>IF($A17="","",COUNTIF($AB17:$AG17,"MATCH")&amp;" of "&amp;(6-COUNTIF($AB17:$AG17,"-"))&amp;" compared fields match"&amp;IF(COUNTIF($AB17:$AG17,"MISMATCH")&gt;0," — "&amp;COUNTIF($AB17:$AG17,"MISMATCH")&amp;" MISMATCH, DO NOT ACCEPT WITHOUT REVIEW",""))</f>
        <v/>
      </c>
      <c r="AI17" s="4" t="n"/>
      <c r="AJ17" s="4" t="n"/>
      <c r="AK17" s="50" t="n"/>
      <c r="AL17">
        <f>IF($A17="","",IF($J17&lt;&gt;"DONE","AWAITING OCR",IF($AI17="","AWAITING HUMAN REVIEW",IF($AI17="REJECT DOCUMENT","REJECTED - NOT ASSIGNED",IF(OR($AJ17="",$AK17=""),"REVIEW INCOMPLETE - name and date the review",$AI17&amp;" - ASSIGNED TO "&amp;$C17&amp;" ON "&amp;$B17)))))</f>
        <v/>
      </c>
      <c r="AM17" s="4" t="n"/>
    </row>
    <row r="18">
      <c r="A18">
        <f>IF($C18="","","DOC-"&amp;TEXT(ROW()-4,"000"))</f>
        <v/>
      </c>
      <c r="B18">
        <f>IF($C18="","",IFERROR(INDEX('PAX &amp; CREW'!$B$3:$B$62,MATCH($C18,'PAX &amp; CREW'!$A$3:$A$62,0)),""))</f>
        <v/>
      </c>
      <c r="C18" s="4" t="n"/>
      <c r="D18">
        <f>IF($C18="","",IFERROR(INDEX('PAX &amp; CREW'!$G$3:$G$62,MATCH($C18,'PAX &amp; CREW'!$A$3:$A$62,0))&amp;", "&amp;INDEX('PAX &amp; CREW'!$H$3:$H$62,MATCH($C18,'PAX &amp; CREW'!$A$3:$A$62,0)),"PERSON NOT FOUND"))</f>
        <v/>
      </c>
      <c r="E18" s="4" t="n"/>
      <c r="F18" s="4" t="n"/>
      <c r="G18">
        <f>IF(OR($C18="",$F18=""),"",IFERROR(INDEX('PAX &amp; CREW'!$AE$3:$AE$62,MATCH($C18,'PAX &amp; CREW'!$A$3:$A$62,0))&amp;"\"&amp;$F18,""))</f>
        <v/>
      </c>
      <c r="H18" s="4" t="n"/>
      <c r="I18" s="50" t="n"/>
      <c r="J18" s="4" t="n"/>
      <c r="K18" s="4" t="n"/>
      <c r="L18" s="4" t="n"/>
      <c r="M18" s="4" t="n"/>
      <c r="N18" s="4" t="n"/>
      <c r="O18" s="114" t="n"/>
      <c r="P18" s="114" t="n"/>
      <c r="Q18" s="114" t="n"/>
      <c r="R18" s="4" t="n"/>
      <c r="S18" s="4" t="n"/>
      <c r="T18">
        <f>IF($C18="","",IFERROR(IF($E18="PASSPORT",INDEX('PAX &amp; CREW'!$M$3:$M$62,MATCH($C18,'PAX &amp; CREW'!$A$3:$A$62,0)),IF($E18="VISA",INDEX('PAX &amp; CREW'!$S$3:$S$62,MATCH($C18,'PAX &amp; CREW'!$A$3:$A$62,0)),IF($E18="LICENCE",INDEX('PAX &amp; CREW'!$V$3:$V$62,MATCH($C18,'PAX &amp; CREW'!$A$3:$A$62,0)),IF($E18="CREW ID",INDEX('PAX &amp; CREW'!$Y$3:$Y$62,MATCH($C18,'PAX &amp; CREW'!$A$3:$A$62,0)),"")))),""))</f>
        <v/>
      </c>
      <c r="U18">
        <f>IF($C18="","",IFERROR(INDEX('PAX &amp; CREW'!$G$3:$G$62,MATCH($C18,'PAX &amp; CREW'!$A$3:$A$62,0)),""))</f>
        <v/>
      </c>
      <c r="V18">
        <f>IF($C18="","",IFERROR(INDEX('PAX &amp; CREW'!$H$3:$H$62,MATCH($C18,'PAX &amp; CREW'!$A$3:$A$62,0)),""))</f>
        <v/>
      </c>
      <c r="W18">
        <f>IF($C18="","",IFERROR(INDEX('PAX &amp; CREW'!$L$3:$L$62,MATCH($C18,'PAX &amp; CREW'!$A$3:$A$62,0)),""))</f>
        <v/>
      </c>
      <c r="X18" s="118">
        <f>IF($C18="","",IFERROR(INDEX('PAX &amp; CREW'!$J$3:$J$62,MATCH($C18,'PAX &amp; CREW'!$A$3:$A$62,0)),""))</f>
        <v/>
      </c>
      <c r="Y18" s="118">
        <f>IF($C18="","",IFERROR(IF($E18="PASSPORT",INDEX('PAX &amp; CREW'!$O$3:$O$62,MATCH($C18,'PAX &amp; CREW'!$A$3:$A$62,0)),""),""))</f>
        <v/>
      </c>
      <c r="Z18" s="118">
        <f>IF($C18="","",IFERROR(IF($E18="PASSPORT",INDEX('PAX &amp; CREW'!$P$3:$P$62,MATCH($C18,'PAX &amp; CREW'!$A$3:$A$62,0)),IF($E18="VISA",INDEX('PAX &amp; CREW'!$T$3:$T$62,MATCH($C18,'PAX &amp; CREW'!$A$3:$A$62,0)),IF($E18="LICENCE",INDEX('PAX &amp; CREW'!$W$3:$W$62,MATCH($C18,'PAX &amp; CREW'!$A$3:$A$62,0)),IF($E18="MEDICAL",INDEX('PAX &amp; CREW'!$X$3:$X$62,MATCH($C18,'PAX &amp; CREW'!$A$3:$A$62,0)),"")))),""))</f>
        <v/>
      </c>
      <c r="AA18">
        <f>IF($C18="","",IFERROR(IF($E18="PASSPORT",INDEX('PAX &amp; CREW'!$N$3:$N$62,MATCH($C18,'PAX &amp; CREW'!$A$3:$A$62,0)),INDEX('PAX &amp; CREW'!$L$3:$L$62,MATCH($C18,'PAX &amp; CREW'!$A$3:$A$62,0))),""))</f>
        <v/>
      </c>
      <c r="AB18">
        <f>IF($A18="","",IF(OR($K18="",$T18=""),"-",IF(UPPER(TRIM($K18&amp;""))=UPPER(TRIM($T18&amp;"")),"MATCH","MISMATCH")))</f>
        <v/>
      </c>
      <c r="AC18">
        <f>IF($A18="","",IF(OR($L18="",$U18=""),"-",IF(UPPER(TRIM($L18&amp;""))=UPPER(TRIM($U18&amp;"")),"MATCH","MISMATCH")))</f>
        <v/>
      </c>
      <c r="AD18">
        <f>IF($A18="","",IF(OR($M18="",$V18=""),"-",IF(UPPER(TRIM($M18&amp;""))=UPPER(TRIM($V18&amp;"")),"MATCH","MISMATCH")))</f>
        <v/>
      </c>
      <c r="AE18">
        <f>IF($A18="","",IF(OR($N18="",$W18=""),"-",IF(UPPER(TRIM($N18&amp;""))=UPPER(TRIM($W18&amp;"")),"MATCH","MISMATCH")))</f>
        <v/>
      </c>
      <c r="AF18">
        <f>IF($A18="","",IF(OR($O18="",$X18=""),"-",IF(UPPER(TRIM($O18&amp;""))=UPPER(TRIM($X18&amp;"")),"MATCH","MISMATCH")))</f>
        <v/>
      </c>
      <c r="AG18">
        <f>IF($A18="","",IF(OR($Q18="",$Z18=""),"-",IF(UPPER(TRIM($Q18&amp;""))=UPPER(TRIM($Z18&amp;"")),"MATCH","MISMATCH")))</f>
        <v/>
      </c>
      <c r="AH18">
        <f>IF($A18="","",COUNTIF($AB18:$AG18,"MATCH")&amp;" of "&amp;(6-COUNTIF($AB18:$AG18,"-"))&amp;" compared fields match"&amp;IF(COUNTIF($AB18:$AG18,"MISMATCH")&gt;0," — "&amp;COUNTIF($AB18:$AG18,"MISMATCH")&amp;" MISMATCH, DO NOT ACCEPT WITHOUT REVIEW",""))</f>
        <v/>
      </c>
      <c r="AI18" s="4" t="n"/>
      <c r="AJ18" s="4" t="n"/>
      <c r="AK18" s="50" t="n"/>
      <c r="AL18">
        <f>IF($A18="","",IF($J18&lt;&gt;"DONE","AWAITING OCR",IF($AI18="","AWAITING HUMAN REVIEW",IF($AI18="REJECT DOCUMENT","REJECTED - NOT ASSIGNED",IF(OR($AJ18="",$AK18=""),"REVIEW INCOMPLETE - name and date the review",$AI18&amp;" - ASSIGNED TO "&amp;$C18&amp;" ON "&amp;$B18)))))</f>
        <v/>
      </c>
      <c r="AM18" s="4" t="n"/>
    </row>
    <row r="19">
      <c r="A19">
        <f>IF($C19="","","DOC-"&amp;TEXT(ROW()-4,"000"))</f>
        <v/>
      </c>
      <c r="B19">
        <f>IF($C19="","",IFERROR(INDEX('PAX &amp; CREW'!$B$3:$B$62,MATCH($C19,'PAX &amp; CREW'!$A$3:$A$62,0)),""))</f>
        <v/>
      </c>
      <c r="C19" s="4" t="n"/>
      <c r="D19">
        <f>IF($C19="","",IFERROR(INDEX('PAX &amp; CREW'!$G$3:$G$62,MATCH($C19,'PAX &amp; CREW'!$A$3:$A$62,0))&amp;", "&amp;INDEX('PAX &amp; CREW'!$H$3:$H$62,MATCH($C19,'PAX &amp; CREW'!$A$3:$A$62,0)),"PERSON NOT FOUND"))</f>
        <v/>
      </c>
      <c r="E19" s="4" t="n"/>
      <c r="F19" s="4" t="n"/>
      <c r="G19">
        <f>IF(OR($C19="",$F19=""),"",IFERROR(INDEX('PAX &amp; CREW'!$AE$3:$AE$62,MATCH($C19,'PAX &amp; CREW'!$A$3:$A$62,0))&amp;"\"&amp;$F19,""))</f>
        <v/>
      </c>
      <c r="H19" s="4" t="n"/>
      <c r="I19" s="50" t="n"/>
      <c r="J19" s="4" t="n"/>
      <c r="K19" s="4" t="n"/>
      <c r="L19" s="4" t="n"/>
      <c r="M19" s="4" t="n"/>
      <c r="N19" s="4" t="n"/>
      <c r="O19" s="114" t="n"/>
      <c r="P19" s="114" t="n"/>
      <c r="Q19" s="114" t="n"/>
      <c r="R19" s="4" t="n"/>
      <c r="S19" s="4" t="n"/>
      <c r="T19">
        <f>IF($C19="","",IFERROR(IF($E19="PASSPORT",INDEX('PAX &amp; CREW'!$M$3:$M$62,MATCH($C19,'PAX &amp; CREW'!$A$3:$A$62,0)),IF($E19="VISA",INDEX('PAX &amp; CREW'!$S$3:$S$62,MATCH($C19,'PAX &amp; CREW'!$A$3:$A$62,0)),IF($E19="LICENCE",INDEX('PAX &amp; CREW'!$V$3:$V$62,MATCH($C19,'PAX &amp; CREW'!$A$3:$A$62,0)),IF($E19="CREW ID",INDEX('PAX &amp; CREW'!$Y$3:$Y$62,MATCH($C19,'PAX &amp; CREW'!$A$3:$A$62,0)),"")))),""))</f>
        <v/>
      </c>
      <c r="U19">
        <f>IF($C19="","",IFERROR(INDEX('PAX &amp; CREW'!$G$3:$G$62,MATCH($C19,'PAX &amp; CREW'!$A$3:$A$62,0)),""))</f>
        <v/>
      </c>
      <c r="V19">
        <f>IF($C19="","",IFERROR(INDEX('PAX &amp; CREW'!$H$3:$H$62,MATCH($C19,'PAX &amp; CREW'!$A$3:$A$62,0)),""))</f>
        <v/>
      </c>
      <c r="W19">
        <f>IF($C19="","",IFERROR(INDEX('PAX &amp; CREW'!$L$3:$L$62,MATCH($C19,'PAX &amp; CREW'!$A$3:$A$62,0)),""))</f>
        <v/>
      </c>
      <c r="X19" s="118">
        <f>IF($C19="","",IFERROR(INDEX('PAX &amp; CREW'!$J$3:$J$62,MATCH($C19,'PAX &amp; CREW'!$A$3:$A$62,0)),""))</f>
        <v/>
      </c>
      <c r="Y19" s="118">
        <f>IF($C19="","",IFERROR(IF($E19="PASSPORT",INDEX('PAX &amp; CREW'!$O$3:$O$62,MATCH($C19,'PAX &amp; CREW'!$A$3:$A$62,0)),""),""))</f>
        <v/>
      </c>
      <c r="Z19" s="118">
        <f>IF($C19="","",IFERROR(IF($E19="PASSPORT",INDEX('PAX &amp; CREW'!$P$3:$P$62,MATCH($C19,'PAX &amp; CREW'!$A$3:$A$62,0)),IF($E19="VISA",INDEX('PAX &amp; CREW'!$T$3:$T$62,MATCH($C19,'PAX &amp; CREW'!$A$3:$A$62,0)),IF($E19="LICENCE",INDEX('PAX &amp; CREW'!$W$3:$W$62,MATCH($C19,'PAX &amp; CREW'!$A$3:$A$62,0)),IF($E19="MEDICAL",INDEX('PAX &amp; CREW'!$X$3:$X$62,MATCH($C19,'PAX &amp; CREW'!$A$3:$A$62,0)),"")))),""))</f>
        <v/>
      </c>
      <c r="AA19">
        <f>IF($C19="","",IFERROR(IF($E19="PASSPORT",INDEX('PAX &amp; CREW'!$N$3:$N$62,MATCH($C19,'PAX &amp; CREW'!$A$3:$A$62,0)),INDEX('PAX &amp; CREW'!$L$3:$L$62,MATCH($C19,'PAX &amp; CREW'!$A$3:$A$62,0))),""))</f>
        <v/>
      </c>
      <c r="AB19">
        <f>IF($A19="","",IF(OR($K19="",$T19=""),"-",IF(UPPER(TRIM($K19&amp;""))=UPPER(TRIM($T19&amp;"")),"MATCH","MISMATCH")))</f>
        <v/>
      </c>
      <c r="AC19">
        <f>IF($A19="","",IF(OR($L19="",$U19=""),"-",IF(UPPER(TRIM($L19&amp;""))=UPPER(TRIM($U19&amp;"")),"MATCH","MISMATCH")))</f>
        <v/>
      </c>
      <c r="AD19">
        <f>IF($A19="","",IF(OR($M19="",$V19=""),"-",IF(UPPER(TRIM($M19&amp;""))=UPPER(TRIM($V19&amp;"")),"MATCH","MISMATCH")))</f>
        <v/>
      </c>
      <c r="AE19">
        <f>IF($A19="","",IF(OR($N19="",$W19=""),"-",IF(UPPER(TRIM($N19&amp;""))=UPPER(TRIM($W19&amp;"")),"MATCH","MISMATCH")))</f>
        <v/>
      </c>
      <c r="AF19">
        <f>IF($A19="","",IF(OR($O19="",$X19=""),"-",IF(UPPER(TRIM($O19&amp;""))=UPPER(TRIM($X19&amp;"")),"MATCH","MISMATCH")))</f>
        <v/>
      </c>
      <c r="AG19">
        <f>IF($A19="","",IF(OR($Q19="",$Z19=""),"-",IF(UPPER(TRIM($Q19&amp;""))=UPPER(TRIM($Z19&amp;"")),"MATCH","MISMATCH")))</f>
        <v/>
      </c>
      <c r="AH19">
        <f>IF($A19="","",COUNTIF($AB19:$AG19,"MATCH")&amp;" of "&amp;(6-COUNTIF($AB19:$AG19,"-"))&amp;" compared fields match"&amp;IF(COUNTIF($AB19:$AG19,"MISMATCH")&gt;0," — "&amp;COUNTIF($AB19:$AG19,"MISMATCH")&amp;" MISMATCH, DO NOT ACCEPT WITHOUT REVIEW",""))</f>
        <v/>
      </c>
      <c r="AI19" s="4" t="n"/>
      <c r="AJ19" s="4" t="n"/>
      <c r="AK19" s="50" t="n"/>
      <c r="AL19">
        <f>IF($A19="","",IF($J19&lt;&gt;"DONE","AWAITING OCR",IF($AI19="","AWAITING HUMAN REVIEW",IF($AI19="REJECT DOCUMENT","REJECTED - NOT ASSIGNED",IF(OR($AJ19="",$AK19=""),"REVIEW INCOMPLETE - name and date the review",$AI19&amp;" - ASSIGNED TO "&amp;$C19&amp;" ON "&amp;$B19)))))</f>
        <v/>
      </c>
      <c r="AM19" s="4" t="n"/>
    </row>
    <row r="20">
      <c r="A20">
        <f>IF($C20="","","DOC-"&amp;TEXT(ROW()-4,"000"))</f>
        <v/>
      </c>
      <c r="B20">
        <f>IF($C20="","",IFERROR(INDEX('PAX &amp; CREW'!$B$3:$B$62,MATCH($C20,'PAX &amp; CREW'!$A$3:$A$62,0)),""))</f>
        <v/>
      </c>
      <c r="C20" s="4" t="n"/>
      <c r="D20">
        <f>IF($C20="","",IFERROR(INDEX('PAX &amp; CREW'!$G$3:$G$62,MATCH($C20,'PAX &amp; CREW'!$A$3:$A$62,0))&amp;", "&amp;INDEX('PAX &amp; CREW'!$H$3:$H$62,MATCH($C20,'PAX &amp; CREW'!$A$3:$A$62,0)),"PERSON NOT FOUND"))</f>
        <v/>
      </c>
      <c r="E20" s="4" t="n"/>
      <c r="F20" s="4" t="n"/>
      <c r="G20">
        <f>IF(OR($C20="",$F20=""),"",IFERROR(INDEX('PAX &amp; CREW'!$AE$3:$AE$62,MATCH($C20,'PAX &amp; CREW'!$A$3:$A$62,0))&amp;"\"&amp;$F20,""))</f>
        <v/>
      </c>
      <c r="H20" s="4" t="n"/>
      <c r="I20" s="50" t="n"/>
      <c r="J20" s="4" t="n"/>
      <c r="K20" s="4" t="n"/>
      <c r="L20" s="4" t="n"/>
      <c r="M20" s="4" t="n"/>
      <c r="N20" s="4" t="n"/>
      <c r="O20" s="114" t="n"/>
      <c r="P20" s="114" t="n"/>
      <c r="Q20" s="114" t="n"/>
      <c r="R20" s="4" t="n"/>
      <c r="S20" s="4" t="n"/>
      <c r="T20">
        <f>IF($C20="","",IFERROR(IF($E20="PASSPORT",INDEX('PAX &amp; CREW'!$M$3:$M$62,MATCH($C20,'PAX &amp; CREW'!$A$3:$A$62,0)),IF($E20="VISA",INDEX('PAX &amp; CREW'!$S$3:$S$62,MATCH($C20,'PAX &amp; CREW'!$A$3:$A$62,0)),IF($E20="LICENCE",INDEX('PAX &amp; CREW'!$V$3:$V$62,MATCH($C20,'PAX &amp; CREW'!$A$3:$A$62,0)),IF($E20="CREW ID",INDEX('PAX &amp; CREW'!$Y$3:$Y$62,MATCH($C20,'PAX &amp; CREW'!$A$3:$A$62,0)),"")))),""))</f>
        <v/>
      </c>
      <c r="U20">
        <f>IF($C20="","",IFERROR(INDEX('PAX &amp; CREW'!$G$3:$G$62,MATCH($C20,'PAX &amp; CREW'!$A$3:$A$62,0)),""))</f>
        <v/>
      </c>
      <c r="V20">
        <f>IF($C20="","",IFERROR(INDEX('PAX &amp; CREW'!$H$3:$H$62,MATCH($C20,'PAX &amp; CREW'!$A$3:$A$62,0)),""))</f>
        <v/>
      </c>
      <c r="W20">
        <f>IF($C20="","",IFERROR(INDEX('PAX &amp; CREW'!$L$3:$L$62,MATCH($C20,'PAX &amp; CREW'!$A$3:$A$62,0)),""))</f>
        <v/>
      </c>
      <c r="X20" s="118">
        <f>IF($C20="","",IFERROR(INDEX('PAX &amp; CREW'!$J$3:$J$62,MATCH($C20,'PAX &amp; CREW'!$A$3:$A$62,0)),""))</f>
        <v/>
      </c>
      <c r="Y20" s="118">
        <f>IF($C20="","",IFERROR(IF($E20="PASSPORT",INDEX('PAX &amp; CREW'!$O$3:$O$62,MATCH($C20,'PAX &amp; CREW'!$A$3:$A$62,0)),""),""))</f>
        <v/>
      </c>
      <c r="Z20" s="118">
        <f>IF($C20="","",IFERROR(IF($E20="PASSPORT",INDEX('PAX &amp; CREW'!$P$3:$P$62,MATCH($C20,'PAX &amp; CREW'!$A$3:$A$62,0)),IF($E20="VISA",INDEX('PAX &amp; CREW'!$T$3:$T$62,MATCH($C20,'PAX &amp; CREW'!$A$3:$A$62,0)),IF($E20="LICENCE",INDEX('PAX &amp; CREW'!$W$3:$W$62,MATCH($C20,'PAX &amp; CREW'!$A$3:$A$62,0)),IF($E20="MEDICAL",INDEX('PAX &amp; CREW'!$X$3:$X$62,MATCH($C20,'PAX &amp; CREW'!$A$3:$A$62,0)),"")))),""))</f>
        <v/>
      </c>
      <c r="AA20">
        <f>IF($C20="","",IFERROR(IF($E20="PASSPORT",INDEX('PAX &amp; CREW'!$N$3:$N$62,MATCH($C20,'PAX &amp; CREW'!$A$3:$A$62,0)),INDEX('PAX &amp; CREW'!$L$3:$L$62,MATCH($C20,'PAX &amp; CREW'!$A$3:$A$62,0))),""))</f>
        <v/>
      </c>
      <c r="AB20">
        <f>IF($A20="","",IF(OR($K20="",$T20=""),"-",IF(UPPER(TRIM($K20&amp;""))=UPPER(TRIM($T20&amp;"")),"MATCH","MISMATCH")))</f>
        <v/>
      </c>
      <c r="AC20">
        <f>IF($A20="","",IF(OR($L20="",$U20=""),"-",IF(UPPER(TRIM($L20&amp;""))=UPPER(TRIM($U20&amp;"")),"MATCH","MISMATCH")))</f>
        <v/>
      </c>
      <c r="AD20">
        <f>IF($A20="","",IF(OR($M20="",$V20=""),"-",IF(UPPER(TRIM($M20&amp;""))=UPPER(TRIM($V20&amp;"")),"MATCH","MISMATCH")))</f>
        <v/>
      </c>
      <c r="AE20">
        <f>IF($A20="","",IF(OR($N20="",$W20=""),"-",IF(UPPER(TRIM($N20&amp;""))=UPPER(TRIM($W20&amp;"")),"MATCH","MISMATCH")))</f>
        <v/>
      </c>
      <c r="AF20">
        <f>IF($A20="","",IF(OR($O20="",$X20=""),"-",IF(UPPER(TRIM($O20&amp;""))=UPPER(TRIM($X20&amp;"")),"MATCH","MISMATCH")))</f>
        <v/>
      </c>
      <c r="AG20">
        <f>IF($A20="","",IF(OR($Q20="",$Z20=""),"-",IF(UPPER(TRIM($Q20&amp;""))=UPPER(TRIM($Z20&amp;"")),"MATCH","MISMATCH")))</f>
        <v/>
      </c>
      <c r="AH20">
        <f>IF($A20="","",COUNTIF($AB20:$AG20,"MATCH")&amp;" of "&amp;(6-COUNTIF($AB20:$AG20,"-"))&amp;" compared fields match"&amp;IF(COUNTIF($AB20:$AG20,"MISMATCH")&gt;0," — "&amp;COUNTIF($AB20:$AG20,"MISMATCH")&amp;" MISMATCH, DO NOT ACCEPT WITHOUT REVIEW",""))</f>
        <v/>
      </c>
      <c r="AI20" s="4" t="n"/>
      <c r="AJ20" s="4" t="n"/>
      <c r="AK20" s="50" t="n"/>
      <c r="AL20">
        <f>IF($A20="","",IF($J20&lt;&gt;"DONE","AWAITING OCR",IF($AI20="","AWAITING HUMAN REVIEW",IF($AI20="REJECT DOCUMENT","REJECTED - NOT ASSIGNED",IF(OR($AJ20="",$AK20=""),"REVIEW INCOMPLETE - name and date the review",$AI20&amp;" - ASSIGNED TO "&amp;$C20&amp;" ON "&amp;$B20)))))</f>
        <v/>
      </c>
      <c r="AM20" s="4" t="n"/>
    </row>
    <row r="21">
      <c r="A21">
        <f>IF($C21="","","DOC-"&amp;TEXT(ROW()-4,"000"))</f>
        <v/>
      </c>
      <c r="B21">
        <f>IF($C21="","",IFERROR(INDEX('PAX &amp; CREW'!$B$3:$B$62,MATCH($C21,'PAX &amp; CREW'!$A$3:$A$62,0)),""))</f>
        <v/>
      </c>
      <c r="C21" s="4" t="n"/>
      <c r="D21">
        <f>IF($C21="","",IFERROR(INDEX('PAX &amp; CREW'!$G$3:$G$62,MATCH($C21,'PAX &amp; CREW'!$A$3:$A$62,0))&amp;", "&amp;INDEX('PAX &amp; CREW'!$H$3:$H$62,MATCH($C21,'PAX &amp; CREW'!$A$3:$A$62,0)),"PERSON NOT FOUND"))</f>
        <v/>
      </c>
      <c r="E21" s="4" t="n"/>
      <c r="F21" s="4" t="n"/>
      <c r="G21">
        <f>IF(OR($C21="",$F21=""),"",IFERROR(INDEX('PAX &amp; CREW'!$AE$3:$AE$62,MATCH($C21,'PAX &amp; CREW'!$A$3:$A$62,0))&amp;"\"&amp;$F21,""))</f>
        <v/>
      </c>
      <c r="H21" s="4" t="n"/>
      <c r="I21" s="50" t="n"/>
      <c r="J21" s="4" t="n"/>
      <c r="K21" s="4" t="n"/>
      <c r="L21" s="4" t="n"/>
      <c r="M21" s="4" t="n"/>
      <c r="N21" s="4" t="n"/>
      <c r="O21" s="114" t="n"/>
      <c r="P21" s="114" t="n"/>
      <c r="Q21" s="114" t="n"/>
      <c r="R21" s="4" t="n"/>
      <c r="S21" s="4" t="n"/>
      <c r="T21">
        <f>IF($C21="","",IFERROR(IF($E21="PASSPORT",INDEX('PAX &amp; CREW'!$M$3:$M$62,MATCH($C21,'PAX &amp; CREW'!$A$3:$A$62,0)),IF($E21="VISA",INDEX('PAX &amp; CREW'!$S$3:$S$62,MATCH($C21,'PAX &amp; CREW'!$A$3:$A$62,0)),IF($E21="LICENCE",INDEX('PAX &amp; CREW'!$V$3:$V$62,MATCH($C21,'PAX &amp; CREW'!$A$3:$A$62,0)),IF($E21="CREW ID",INDEX('PAX &amp; CREW'!$Y$3:$Y$62,MATCH($C21,'PAX &amp; CREW'!$A$3:$A$62,0)),"")))),""))</f>
        <v/>
      </c>
      <c r="U21">
        <f>IF($C21="","",IFERROR(INDEX('PAX &amp; CREW'!$G$3:$G$62,MATCH($C21,'PAX &amp; CREW'!$A$3:$A$62,0)),""))</f>
        <v/>
      </c>
      <c r="V21">
        <f>IF($C21="","",IFERROR(INDEX('PAX &amp; CREW'!$H$3:$H$62,MATCH($C21,'PAX &amp; CREW'!$A$3:$A$62,0)),""))</f>
        <v/>
      </c>
      <c r="W21">
        <f>IF($C21="","",IFERROR(INDEX('PAX &amp; CREW'!$L$3:$L$62,MATCH($C21,'PAX &amp; CREW'!$A$3:$A$62,0)),""))</f>
        <v/>
      </c>
      <c r="X21" s="118">
        <f>IF($C21="","",IFERROR(INDEX('PAX &amp; CREW'!$J$3:$J$62,MATCH($C21,'PAX &amp; CREW'!$A$3:$A$62,0)),""))</f>
        <v/>
      </c>
      <c r="Y21" s="118">
        <f>IF($C21="","",IFERROR(IF($E21="PASSPORT",INDEX('PAX &amp; CREW'!$O$3:$O$62,MATCH($C21,'PAX &amp; CREW'!$A$3:$A$62,0)),""),""))</f>
        <v/>
      </c>
      <c r="Z21" s="118">
        <f>IF($C21="","",IFERROR(IF($E21="PASSPORT",INDEX('PAX &amp; CREW'!$P$3:$P$62,MATCH($C21,'PAX &amp; CREW'!$A$3:$A$62,0)),IF($E21="VISA",INDEX('PAX &amp; CREW'!$T$3:$T$62,MATCH($C21,'PAX &amp; CREW'!$A$3:$A$62,0)),IF($E21="LICENCE",INDEX('PAX &amp; CREW'!$W$3:$W$62,MATCH($C21,'PAX &amp; CREW'!$A$3:$A$62,0)),IF($E21="MEDICAL",INDEX('PAX &amp; CREW'!$X$3:$X$62,MATCH($C21,'PAX &amp; CREW'!$A$3:$A$62,0)),"")))),""))</f>
        <v/>
      </c>
      <c r="AA21">
        <f>IF($C21="","",IFERROR(IF($E21="PASSPORT",INDEX('PAX &amp; CREW'!$N$3:$N$62,MATCH($C21,'PAX &amp; CREW'!$A$3:$A$62,0)),INDEX('PAX &amp; CREW'!$L$3:$L$62,MATCH($C21,'PAX &amp; CREW'!$A$3:$A$62,0))),""))</f>
        <v/>
      </c>
      <c r="AB21">
        <f>IF($A21="","",IF(OR($K21="",$T21=""),"-",IF(UPPER(TRIM($K21&amp;""))=UPPER(TRIM($T21&amp;"")),"MATCH","MISMATCH")))</f>
        <v/>
      </c>
      <c r="AC21">
        <f>IF($A21="","",IF(OR($L21="",$U21=""),"-",IF(UPPER(TRIM($L21&amp;""))=UPPER(TRIM($U21&amp;"")),"MATCH","MISMATCH")))</f>
        <v/>
      </c>
      <c r="AD21">
        <f>IF($A21="","",IF(OR($M21="",$V21=""),"-",IF(UPPER(TRIM($M21&amp;""))=UPPER(TRIM($V21&amp;"")),"MATCH","MISMATCH")))</f>
        <v/>
      </c>
      <c r="AE21">
        <f>IF($A21="","",IF(OR($N21="",$W21=""),"-",IF(UPPER(TRIM($N21&amp;""))=UPPER(TRIM($W21&amp;"")),"MATCH","MISMATCH")))</f>
        <v/>
      </c>
      <c r="AF21">
        <f>IF($A21="","",IF(OR($O21="",$X21=""),"-",IF(UPPER(TRIM($O21&amp;""))=UPPER(TRIM($X21&amp;"")),"MATCH","MISMATCH")))</f>
        <v/>
      </c>
      <c r="AG21">
        <f>IF($A21="","",IF(OR($Q21="",$Z21=""),"-",IF(UPPER(TRIM($Q21&amp;""))=UPPER(TRIM($Z21&amp;"")),"MATCH","MISMATCH")))</f>
        <v/>
      </c>
      <c r="AH21">
        <f>IF($A21="","",COUNTIF($AB21:$AG21,"MATCH")&amp;" of "&amp;(6-COUNTIF($AB21:$AG21,"-"))&amp;" compared fields match"&amp;IF(COUNTIF($AB21:$AG21,"MISMATCH")&gt;0," — "&amp;COUNTIF($AB21:$AG21,"MISMATCH")&amp;" MISMATCH, DO NOT ACCEPT WITHOUT REVIEW",""))</f>
        <v/>
      </c>
      <c r="AI21" s="4" t="n"/>
      <c r="AJ21" s="4" t="n"/>
      <c r="AK21" s="50" t="n"/>
      <c r="AL21">
        <f>IF($A21="","",IF($J21&lt;&gt;"DONE","AWAITING OCR",IF($AI21="","AWAITING HUMAN REVIEW",IF($AI21="REJECT DOCUMENT","REJECTED - NOT ASSIGNED",IF(OR($AJ21="",$AK21=""),"REVIEW INCOMPLETE - name and date the review",$AI21&amp;" - ASSIGNED TO "&amp;$C21&amp;" ON "&amp;$B21)))))</f>
        <v/>
      </c>
      <c r="AM21" s="4" t="n"/>
    </row>
    <row r="22">
      <c r="A22">
        <f>IF($C22="","","DOC-"&amp;TEXT(ROW()-4,"000"))</f>
        <v/>
      </c>
      <c r="B22">
        <f>IF($C22="","",IFERROR(INDEX('PAX &amp; CREW'!$B$3:$B$62,MATCH($C22,'PAX &amp; CREW'!$A$3:$A$62,0)),""))</f>
        <v/>
      </c>
      <c r="C22" s="4" t="n"/>
      <c r="D22">
        <f>IF($C22="","",IFERROR(INDEX('PAX &amp; CREW'!$G$3:$G$62,MATCH($C22,'PAX &amp; CREW'!$A$3:$A$62,0))&amp;", "&amp;INDEX('PAX &amp; CREW'!$H$3:$H$62,MATCH($C22,'PAX &amp; CREW'!$A$3:$A$62,0)),"PERSON NOT FOUND"))</f>
        <v/>
      </c>
      <c r="E22" s="4" t="n"/>
      <c r="F22" s="4" t="n"/>
      <c r="G22">
        <f>IF(OR($C22="",$F22=""),"",IFERROR(INDEX('PAX &amp; CREW'!$AE$3:$AE$62,MATCH($C22,'PAX &amp; CREW'!$A$3:$A$62,0))&amp;"\"&amp;$F22,""))</f>
        <v/>
      </c>
      <c r="H22" s="4" t="n"/>
      <c r="I22" s="50" t="n"/>
      <c r="J22" s="4" t="n"/>
      <c r="K22" s="4" t="n"/>
      <c r="L22" s="4" t="n"/>
      <c r="M22" s="4" t="n"/>
      <c r="N22" s="4" t="n"/>
      <c r="O22" s="114" t="n"/>
      <c r="P22" s="114" t="n"/>
      <c r="Q22" s="114" t="n"/>
      <c r="R22" s="4" t="n"/>
      <c r="S22" s="4" t="n"/>
      <c r="T22">
        <f>IF($C22="","",IFERROR(IF($E22="PASSPORT",INDEX('PAX &amp; CREW'!$M$3:$M$62,MATCH($C22,'PAX &amp; CREW'!$A$3:$A$62,0)),IF($E22="VISA",INDEX('PAX &amp; CREW'!$S$3:$S$62,MATCH($C22,'PAX &amp; CREW'!$A$3:$A$62,0)),IF($E22="LICENCE",INDEX('PAX &amp; CREW'!$V$3:$V$62,MATCH($C22,'PAX &amp; CREW'!$A$3:$A$62,0)),IF($E22="CREW ID",INDEX('PAX &amp; CREW'!$Y$3:$Y$62,MATCH($C22,'PAX &amp; CREW'!$A$3:$A$62,0)),"")))),""))</f>
        <v/>
      </c>
      <c r="U22">
        <f>IF($C22="","",IFERROR(INDEX('PAX &amp; CREW'!$G$3:$G$62,MATCH($C22,'PAX &amp; CREW'!$A$3:$A$62,0)),""))</f>
        <v/>
      </c>
      <c r="V22">
        <f>IF($C22="","",IFERROR(INDEX('PAX &amp; CREW'!$H$3:$H$62,MATCH($C22,'PAX &amp; CREW'!$A$3:$A$62,0)),""))</f>
        <v/>
      </c>
      <c r="W22">
        <f>IF($C22="","",IFERROR(INDEX('PAX &amp; CREW'!$L$3:$L$62,MATCH($C22,'PAX &amp; CREW'!$A$3:$A$62,0)),""))</f>
        <v/>
      </c>
      <c r="X22" s="118">
        <f>IF($C22="","",IFERROR(INDEX('PAX &amp; CREW'!$J$3:$J$62,MATCH($C22,'PAX &amp; CREW'!$A$3:$A$62,0)),""))</f>
        <v/>
      </c>
      <c r="Y22" s="118">
        <f>IF($C22="","",IFERROR(IF($E22="PASSPORT",INDEX('PAX &amp; CREW'!$O$3:$O$62,MATCH($C22,'PAX &amp; CREW'!$A$3:$A$62,0)),""),""))</f>
        <v/>
      </c>
      <c r="Z22" s="118">
        <f>IF($C22="","",IFERROR(IF($E22="PASSPORT",INDEX('PAX &amp; CREW'!$P$3:$P$62,MATCH($C22,'PAX &amp; CREW'!$A$3:$A$62,0)),IF($E22="VISA",INDEX('PAX &amp; CREW'!$T$3:$T$62,MATCH($C22,'PAX &amp; CREW'!$A$3:$A$62,0)),IF($E22="LICENCE",INDEX('PAX &amp; CREW'!$W$3:$W$62,MATCH($C22,'PAX &amp; CREW'!$A$3:$A$62,0)),IF($E22="MEDICAL",INDEX('PAX &amp; CREW'!$X$3:$X$62,MATCH($C22,'PAX &amp; CREW'!$A$3:$A$62,0)),"")))),""))</f>
        <v/>
      </c>
      <c r="AA22">
        <f>IF($C22="","",IFERROR(IF($E22="PASSPORT",INDEX('PAX &amp; CREW'!$N$3:$N$62,MATCH($C22,'PAX &amp; CREW'!$A$3:$A$62,0)),INDEX('PAX &amp; CREW'!$L$3:$L$62,MATCH($C22,'PAX &amp; CREW'!$A$3:$A$62,0))),""))</f>
        <v/>
      </c>
      <c r="AB22">
        <f>IF($A22="","",IF(OR($K22="",$T22=""),"-",IF(UPPER(TRIM($K22&amp;""))=UPPER(TRIM($T22&amp;"")),"MATCH","MISMATCH")))</f>
        <v/>
      </c>
      <c r="AC22">
        <f>IF($A22="","",IF(OR($L22="",$U22=""),"-",IF(UPPER(TRIM($L22&amp;""))=UPPER(TRIM($U22&amp;"")),"MATCH","MISMATCH")))</f>
        <v/>
      </c>
      <c r="AD22">
        <f>IF($A22="","",IF(OR($M22="",$V22=""),"-",IF(UPPER(TRIM($M22&amp;""))=UPPER(TRIM($V22&amp;"")),"MATCH","MISMATCH")))</f>
        <v/>
      </c>
      <c r="AE22">
        <f>IF($A22="","",IF(OR($N22="",$W22=""),"-",IF(UPPER(TRIM($N22&amp;""))=UPPER(TRIM($W22&amp;"")),"MATCH","MISMATCH")))</f>
        <v/>
      </c>
      <c r="AF22">
        <f>IF($A22="","",IF(OR($O22="",$X22=""),"-",IF(UPPER(TRIM($O22&amp;""))=UPPER(TRIM($X22&amp;"")),"MATCH","MISMATCH")))</f>
        <v/>
      </c>
      <c r="AG22">
        <f>IF($A22="","",IF(OR($Q22="",$Z22=""),"-",IF(UPPER(TRIM($Q22&amp;""))=UPPER(TRIM($Z22&amp;"")),"MATCH","MISMATCH")))</f>
        <v/>
      </c>
      <c r="AH22">
        <f>IF($A22="","",COUNTIF($AB22:$AG22,"MATCH")&amp;" of "&amp;(6-COUNTIF($AB22:$AG22,"-"))&amp;" compared fields match"&amp;IF(COUNTIF($AB22:$AG22,"MISMATCH")&gt;0," — "&amp;COUNTIF($AB22:$AG22,"MISMATCH")&amp;" MISMATCH, DO NOT ACCEPT WITHOUT REVIEW",""))</f>
        <v/>
      </c>
      <c r="AI22" s="4" t="n"/>
      <c r="AJ22" s="4" t="n"/>
      <c r="AK22" s="50" t="n"/>
      <c r="AL22">
        <f>IF($A22="","",IF($J22&lt;&gt;"DONE","AWAITING OCR",IF($AI22="","AWAITING HUMAN REVIEW",IF($AI22="REJECT DOCUMENT","REJECTED - NOT ASSIGNED",IF(OR($AJ22="",$AK22=""),"REVIEW INCOMPLETE - name and date the review",$AI22&amp;" - ASSIGNED TO "&amp;$C22&amp;" ON "&amp;$B22)))))</f>
        <v/>
      </c>
      <c r="AM22" s="4" t="n"/>
    </row>
    <row r="23">
      <c r="A23">
        <f>IF($C23="","","DOC-"&amp;TEXT(ROW()-4,"000"))</f>
        <v/>
      </c>
      <c r="B23">
        <f>IF($C23="","",IFERROR(INDEX('PAX &amp; CREW'!$B$3:$B$62,MATCH($C23,'PAX &amp; CREW'!$A$3:$A$62,0)),""))</f>
        <v/>
      </c>
      <c r="C23" s="4" t="n"/>
      <c r="D23">
        <f>IF($C23="","",IFERROR(INDEX('PAX &amp; CREW'!$G$3:$G$62,MATCH($C23,'PAX &amp; CREW'!$A$3:$A$62,0))&amp;", "&amp;INDEX('PAX &amp; CREW'!$H$3:$H$62,MATCH($C23,'PAX &amp; CREW'!$A$3:$A$62,0)),"PERSON NOT FOUND"))</f>
        <v/>
      </c>
      <c r="E23" s="4" t="n"/>
      <c r="F23" s="4" t="n"/>
      <c r="G23">
        <f>IF(OR($C23="",$F23=""),"",IFERROR(INDEX('PAX &amp; CREW'!$AE$3:$AE$62,MATCH($C23,'PAX &amp; CREW'!$A$3:$A$62,0))&amp;"\"&amp;$F23,""))</f>
        <v/>
      </c>
      <c r="H23" s="4" t="n"/>
      <c r="I23" s="50" t="n"/>
      <c r="J23" s="4" t="n"/>
      <c r="K23" s="4" t="n"/>
      <c r="L23" s="4" t="n"/>
      <c r="M23" s="4" t="n"/>
      <c r="N23" s="4" t="n"/>
      <c r="O23" s="114" t="n"/>
      <c r="P23" s="114" t="n"/>
      <c r="Q23" s="114" t="n"/>
      <c r="R23" s="4" t="n"/>
      <c r="S23" s="4" t="n"/>
      <c r="T23">
        <f>IF($C23="","",IFERROR(IF($E23="PASSPORT",INDEX('PAX &amp; CREW'!$M$3:$M$62,MATCH($C23,'PAX &amp; CREW'!$A$3:$A$62,0)),IF($E23="VISA",INDEX('PAX &amp; CREW'!$S$3:$S$62,MATCH($C23,'PAX &amp; CREW'!$A$3:$A$62,0)),IF($E23="LICENCE",INDEX('PAX &amp; CREW'!$V$3:$V$62,MATCH($C23,'PAX &amp; CREW'!$A$3:$A$62,0)),IF($E23="CREW ID",INDEX('PAX &amp; CREW'!$Y$3:$Y$62,MATCH($C23,'PAX &amp; CREW'!$A$3:$A$62,0)),"")))),""))</f>
        <v/>
      </c>
      <c r="U23">
        <f>IF($C23="","",IFERROR(INDEX('PAX &amp; CREW'!$G$3:$G$62,MATCH($C23,'PAX &amp; CREW'!$A$3:$A$62,0)),""))</f>
        <v/>
      </c>
      <c r="V23">
        <f>IF($C23="","",IFERROR(INDEX('PAX &amp; CREW'!$H$3:$H$62,MATCH($C23,'PAX &amp; CREW'!$A$3:$A$62,0)),""))</f>
        <v/>
      </c>
      <c r="W23">
        <f>IF($C23="","",IFERROR(INDEX('PAX &amp; CREW'!$L$3:$L$62,MATCH($C23,'PAX &amp; CREW'!$A$3:$A$62,0)),""))</f>
        <v/>
      </c>
      <c r="X23" s="118">
        <f>IF($C23="","",IFERROR(INDEX('PAX &amp; CREW'!$J$3:$J$62,MATCH($C23,'PAX &amp; CREW'!$A$3:$A$62,0)),""))</f>
        <v/>
      </c>
      <c r="Y23" s="118">
        <f>IF($C23="","",IFERROR(IF($E23="PASSPORT",INDEX('PAX &amp; CREW'!$O$3:$O$62,MATCH($C23,'PAX &amp; CREW'!$A$3:$A$62,0)),""),""))</f>
        <v/>
      </c>
      <c r="Z23" s="118">
        <f>IF($C23="","",IFERROR(IF($E23="PASSPORT",INDEX('PAX &amp; CREW'!$P$3:$P$62,MATCH($C23,'PAX &amp; CREW'!$A$3:$A$62,0)),IF($E23="VISA",INDEX('PAX &amp; CREW'!$T$3:$T$62,MATCH($C23,'PAX &amp; CREW'!$A$3:$A$62,0)),IF($E23="LICENCE",INDEX('PAX &amp; CREW'!$W$3:$W$62,MATCH($C23,'PAX &amp; CREW'!$A$3:$A$62,0)),IF($E23="MEDICAL",INDEX('PAX &amp; CREW'!$X$3:$X$62,MATCH($C23,'PAX &amp; CREW'!$A$3:$A$62,0)),"")))),""))</f>
        <v/>
      </c>
      <c r="AA23">
        <f>IF($C23="","",IFERROR(IF($E23="PASSPORT",INDEX('PAX &amp; CREW'!$N$3:$N$62,MATCH($C23,'PAX &amp; CREW'!$A$3:$A$62,0)),INDEX('PAX &amp; CREW'!$L$3:$L$62,MATCH($C23,'PAX &amp; CREW'!$A$3:$A$62,0))),""))</f>
        <v/>
      </c>
      <c r="AB23">
        <f>IF($A23="","",IF(OR($K23="",$T23=""),"-",IF(UPPER(TRIM($K23&amp;""))=UPPER(TRIM($T23&amp;"")),"MATCH","MISMATCH")))</f>
        <v/>
      </c>
      <c r="AC23">
        <f>IF($A23="","",IF(OR($L23="",$U23=""),"-",IF(UPPER(TRIM($L23&amp;""))=UPPER(TRIM($U23&amp;"")),"MATCH","MISMATCH")))</f>
        <v/>
      </c>
      <c r="AD23">
        <f>IF($A23="","",IF(OR($M23="",$V23=""),"-",IF(UPPER(TRIM($M23&amp;""))=UPPER(TRIM($V23&amp;"")),"MATCH","MISMATCH")))</f>
        <v/>
      </c>
      <c r="AE23">
        <f>IF($A23="","",IF(OR($N23="",$W23=""),"-",IF(UPPER(TRIM($N23&amp;""))=UPPER(TRIM($W23&amp;"")),"MATCH","MISMATCH")))</f>
        <v/>
      </c>
      <c r="AF23">
        <f>IF($A23="","",IF(OR($O23="",$X23=""),"-",IF(UPPER(TRIM($O23&amp;""))=UPPER(TRIM($X23&amp;"")),"MATCH","MISMATCH")))</f>
        <v/>
      </c>
      <c r="AG23">
        <f>IF($A23="","",IF(OR($Q23="",$Z23=""),"-",IF(UPPER(TRIM($Q23&amp;""))=UPPER(TRIM($Z23&amp;"")),"MATCH","MISMATCH")))</f>
        <v/>
      </c>
      <c r="AH23">
        <f>IF($A23="","",COUNTIF($AB23:$AG23,"MATCH")&amp;" of "&amp;(6-COUNTIF($AB23:$AG23,"-"))&amp;" compared fields match"&amp;IF(COUNTIF($AB23:$AG23,"MISMATCH")&gt;0," — "&amp;COUNTIF($AB23:$AG23,"MISMATCH")&amp;" MISMATCH, DO NOT ACCEPT WITHOUT REVIEW",""))</f>
        <v/>
      </c>
      <c r="AI23" s="4" t="n"/>
      <c r="AJ23" s="4" t="n"/>
      <c r="AK23" s="50" t="n"/>
      <c r="AL23">
        <f>IF($A23="","",IF($J23&lt;&gt;"DONE","AWAITING OCR",IF($AI23="","AWAITING HUMAN REVIEW",IF($AI23="REJECT DOCUMENT","REJECTED - NOT ASSIGNED",IF(OR($AJ23="",$AK23=""),"REVIEW INCOMPLETE - name and date the review",$AI23&amp;" - ASSIGNED TO "&amp;$C23&amp;" ON "&amp;$B23)))))</f>
        <v/>
      </c>
      <c r="AM23" s="4" t="n"/>
    </row>
    <row r="24">
      <c r="A24">
        <f>IF($C24="","","DOC-"&amp;TEXT(ROW()-4,"000"))</f>
        <v/>
      </c>
      <c r="B24">
        <f>IF($C24="","",IFERROR(INDEX('PAX &amp; CREW'!$B$3:$B$62,MATCH($C24,'PAX &amp; CREW'!$A$3:$A$62,0)),""))</f>
        <v/>
      </c>
      <c r="C24" s="4" t="n"/>
      <c r="D24">
        <f>IF($C24="","",IFERROR(INDEX('PAX &amp; CREW'!$G$3:$G$62,MATCH($C24,'PAX &amp; CREW'!$A$3:$A$62,0))&amp;", "&amp;INDEX('PAX &amp; CREW'!$H$3:$H$62,MATCH($C24,'PAX &amp; CREW'!$A$3:$A$62,0)),"PERSON NOT FOUND"))</f>
        <v/>
      </c>
      <c r="E24" s="4" t="n"/>
      <c r="F24" s="4" t="n"/>
      <c r="G24">
        <f>IF(OR($C24="",$F24=""),"",IFERROR(INDEX('PAX &amp; CREW'!$AE$3:$AE$62,MATCH($C24,'PAX &amp; CREW'!$A$3:$A$62,0))&amp;"\"&amp;$F24,""))</f>
        <v/>
      </c>
      <c r="H24" s="4" t="n"/>
      <c r="I24" s="50" t="n"/>
      <c r="J24" s="4" t="n"/>
      <c r="K24" s="4" t="n"/>
      <c r="L24" s="4" t="n"/>
      <c r="M24" s="4" t="n"/>
      <c r="N24" s="4" t="n"/>
      <c r="O24" s="114" t="n"/>
      <c r="P24" s="114" t="n"/>
      <c r="Q24" s="114" t="n"/>
      <c r="R24" s="4" t="n"/>
      <c r="S24" s="4" t="n"/>
      <c r="T24">
        <f>IF($C24="","",IFERROR(IF($E24="PASSPORT",INDEX('PAX &amp; CREW'!$M$3:$M$62,MATCH($C24,'PAX &amp; CREW'!$A$3:$A$62,0)),IF($E24="VISA",INDEX('PAX &amp; CREW'!$S$3:$S$62,MATCH($C24,'PAX &amp; CREW'!$A$3:$A$62,0)),IF($E24="LICENCE",INDEX('PAX &amp; CREW'!$V$3:$V$62,MATCH($C24,'PAX &amp; CREW'!$A$3:$A$62,0)),IF($E24="CREW ID",INDEX('PAX &amp; CREW'!$Y$3:$Y$62,MATCH($C24,'PAX &amp; CREW'!$A$3:$A$62,0)),"")))),""))</f>
        <v/>
      </c>
      <c r="U24">
        <f>IF($C24="","",IFERROR(INDEX('PAX &amp; CREW'!$G$3:$G$62,MATCH($C24,'PAX &amp; CREW'!$A$3:$A$62,0)),""))</f>
        <v/>
      </c>
      <c r="V24">
        <f>IF($C24="","",IFERROR(INDEX('PAX &amp; CREW'!$H$3:$H$62,MATCH($C24,'PAX &amp; CREW'!$A$3:$A$62,0)),""))</f>
        <v/>
      </c>
      <c r="W24">
        <f>IF($C24="","",IFERROR(INDEX('PAX &amp; CREW'!$L$3:$L$62,MATCH($C24,'PAX &amp; CREW'!$A$3:$A$62,0)),""))</f>
        <v/>
      </c>
      <c r="X24" s="118">
        <f>IF($C24="","",IFERROR(INDEX('PAX &amp; CREW'!$J$3:$J$62,MATCH($C24,'PAX &amp; CREW'!$A$3:$A$62,0)),""))</f>
        <v/>
      </c>
      <c r="Y24" s="118">
        <f>IF($C24="","",IFERROR(IF($E24="PASSPORT",INDEX('PAX &amp; CREW'!$O$3:$O$62,MATCH($C24,'PAX &amp; CREW'!$A$3:$A$62,0)),""),""))</f>
        <v/>
      </c>
      <c r="Z24" s="118">
        <f>IF($C24="","",IFERROR(IF($E24="PASSPORT",INDEX('PAX &amp; CREW'!$P$3:$P$62,MATCH($C24,'PAX &amp; CREW'!$A$3:$A$62,0)),IF($E24="VISA",INDEX('PAX &amp; CREW'!$T$3:$T$62,MATCH($C24,'PAX &amp; CREW'!$A$3:$A$62,0)),IF($E24="LICENCE",INDEX('PAX &amp; CREW'!$W$3:$W$62,MATCH($C24,'PAX &amp; CREW'!$A$3:$A$62,0)),IF($E24="MEDICAL",INDEX('PAX &amp; CREW'!$X$3:$X$62,MATCH($C24,'PAX &amp; CREW'!$A$3:$A$62,0)),"")))),""))</f>
        <v/>
      </c>
      <c r="AA24">
        <f>IF($C24="","",IFERROR(IF($E24="PASSPORT",INDEX('PAX &amp; CREW'!$N$3:$N$62,MATCH($C24,'PAX &amp; CREW'!$A$3:$A$62,0)),INDEX('PAX &amp; CREW'!$L$3:$L$62,MATCH($C24,'PAX &amp; CREW'!$A$3:$A$62,0))),""))</f>
        <v/>
      </c>
      <c r="AB24">
        <f>IF($A24="","",IF(OR($K24="",$T24=""),"-",IF(UPPER(TRIM($K24&amp;""))=UPPER(TRIM($T24&amp;"")),"MATCH","MISMATCH")))</f>
        <v/>
      </c>
      <c r="AC24">
        <f>IF($A24="","",IF(OR($L24="",$U24=""),"-",IF(UPPER(TRIM($L24&amp;""))=UPPER(TRIM($U24&amp;"")),"MATCH","MISMATCH")))</f>
        <v/>
      </c>
      <c r="AD24">
        <f>IF($A24="","",IF(OR($M24="",$V24=""),"-",IF(UPPER(TRIM($M24&amp;""))=UPPER(TRIM($V24&amp;"")),"MATCH","MISMATCH")))</f>
        <v/>
      </c>
      <c r="AE24">
        <f>IF($A24="","",IF(OR($N24="",$W24=""),"-",IF(UPPER(TRIM($N24&amp;""))=UPPER(TRIM($W24&amp;"")),"MATCH","MISMATCH")))</f>
        <v/>
      </c>
      <c r="AF24">
        <f>IF($A24="","",IF(OR($O24="",$X24=""),"-",IF(UPPER(TRIM($O24&amp;""))=UPPER(TRIM($X24&amp;"")),"MATCH","MISMATCH")))</f>
        <v/>
      </c>
      <c r="AG24">
        <f>IF($A24="","",IF(OR($Q24="",$Z24=""),"-",IF(UPPER(TRIM($Q24&amp;""))=UPPER(TRIM($Z24&amp;"")),"MATCH","MISMATCH")))</f>
        <v/>
      </c>
      <c r="AH24">
        <f>IF($A24="","",COUNTIF($AB24:$AG24,"MATCH")&amp;" of "&amp;(6-COUNTIF($AB24:$AG24,"-"))&amp;" compared fields match"&amp;IF(COUNTIF($AB24:$AG24,"MISMATCH")&gt;0," — "&amp;COUNTIF($AB24:$AG24,"MISMATCH")&amp;" MISMATCH, DO NOT ACCEPT WITHOUT REVIEW",""))</f>
        <v/>
      </c>
      <c r="AI24" s="4" t="n"/>
      <c r="AJ24" s="4" t="n"/>
      <c r="AK24" s="50" t="n"/>
      <c r="AL24">
        <f>IF($A24="","",IF($J24&lt;&gt;"DONE","AWAITING OCR",IF($AI24="","AWAITING HUMAN REVIEW",IF($AI24="REJECT DOCUMENT","REJECTED - NOT ASSIGNED",IF(OR($AJ24="",$AK24=""),"REVIEW INCOMPLETE - name and date the review",$AI24&amp;" - ASSIGNED TO "&amp;$C24&amp;" ON "&amp;$B24)))))</f>
        <v/>
      </c>
      <c r="AM24" s="4" t="n"/>
    </row>
    <row r="25">
      <c r="A25">
        <f>IF($C25="","","DOC-"&amp;TEXT(ROW()-4,"000"))</f>
        <v/>
      </c>
      <c r="B25">
        <f>IF($C25="","",IFERROR(INDEX('PAX &amp; CREW'!$B$3:$B$62,MATCH($C25,'PAX &amp; CREW'!$A$3:$A$62,0)),""))</f>
        <v/>
      </c>
      <c r="C25" s="4" t="n"/>
      <c r="D25">
        <f>IF($C25="","",IFERROR(INDEX('PAX &amp; CREW'!$G$3:$G$62,MATCH($C25,'PAX &amp; CREW'!$A$3:$A$62,0))&amp;", "&amp;INDEX('PAX &amp; CREW'!$H$3:$H$62,MATCH($C25,'PAX &amp; CREW'!$A$3:$A$62,0)),"PERSON NOT FOUND"))</f>
        <v/>
      </c>
      <c r="E25" s="4" t="n"/>
      <c r="F25" s="4" t="n"/>
      <c r="G25">
        <f>IF(OR($C25="",$F25=""),"",IFERROR(INDEX('PAX &amp; CREW'!$AE$3:$AE$62,MATCH($C25,'PAX &amp; CREW'!$A$3:$A$62,0))&amp;"\"&amp;$F25,""))</f>
        <v/>
      </c>
      <c r="H25" s="4" t="n"/>
      <c r="I25" s="50" t="n"/>
      <c r="J25" s="4" t="n"/>
      <c r="K25" s="4" t="n"/>
      <c r="L25" s="4" t="n"/>
      <c r="M25" s="4" t="n"/>
      <c r="N25" s="4" t="n"/>
      <c r="O25" s="114" t="n"/>
      <c r="P25" s="114" t="n"/>
      <c r="Q25" s="114" t="n"/>
      <c r="R25" s="4" t="n"/>
      <c r="S25" s="4" t="n"/>
      <c r="T25">
        <f>IF($C25="","",IFERROR(IF($E25="PASSPORT",INDEX('PAX &amp; CREW'!$M$3:$M$62,MATCH($C25,'PAX &amp; CREW'!$A$3:$A$62,0)),IF($E25="VISA",INDEX('PAX &amp; CREW'!$S$3:$S$62,MATCH($C25,'PAX &amp; CREW'!$A$3:$A$62,0)),IF($E25="LICENCE",INDEX('PAX &amp; CREW'!$V$3:$V$62,MATCH($C25,'PAX &amp; CREW'!$A$3:$A$62,0)),IF($E25="CREW ID",INDEX('PAX &amp; CREW'!$Y$3:$Y$62,MATCH($C25,'PAX &amp; CREW'!$A$3:$A$62,0)),"")))),""))</f>
        <v/>
      </c>
      <c r="U25">
        <f>IF($C25="","",IFERROR(INDEX('PAX &amp; CREW'!$G$3:$G$62,MATCH($C25,'PAX &amp; CREW'!$A$3:$A$62,0)),""))</f>
        <v/>
      </c>
      <c r="V25">
        <f>IF($C25="","",IFERROR(INDEX('PAX &amp; CREW'!$H$3:$H$62,MATCH($C25,'PAX &amp; CREW'!$A$3:$A$62,0)),""))</f>
        <v/>
      </c>
      <c r="W25">
        <f>IF($C25="","",IFERROR(INDEX('PAX &amp; CREW'!$L$3:$L$62,MATCH($C25,'PAX &amp; CREW'!$A$3:$A$62,0)),""))</f>
        <v/>
      </c>
      <c r="X25" s="118">
        <f>IF($C25="","",IFERROR(INDEX('PAX &amp; CREW'!$J$3:$J$62,MATCH($C25,'PAX &amp; CREW'!$A$3:$A$62,0)),""))</f>
        <v/>
      </c>
      <c r="Y25" s="118">
        <f>IF($C25="","",IFERROR(IF($E25="PASSPORT",INDEX('PAX &amp; CREW'!$O$3:$O$62,MATCH($C25,'PAX &amp; CREW'!$A$3:$A$62,0)),""),""))</f>
        <v/>
      </c>
      <c r="Z25" s="118">
        <f>IF($C25="","",IFERROR(IF($E25="PASSPORT",INDEX('PAX &amp; CREW'!$P$3:$P$62,MATCH($C25,'PAX &amp; CREW'!$A$3:$A$62,0)),IF($E25="VISA",INDEX('PAX &amp; CREW'!$T$3:$T$62,MATCH($C25,'PAX &amp; CREW'!$A$3:$A$62,0)),IF($E25="LICENCE",INDEX('PAX &amp; CREW'!$W$3:$W$62,MATCH($C25,'PAX &amp; CREW'!$A$3:$A$62,0)),IF($E25="MEDICAL",INDEX('PAX &amp; CREW'!$X$3:$X$62,MATCH($C25,'PAX &amp; CREW'!$A$3:$A$62,0)),"")))),""))</f>
        <v/>
      </c>
      <c r="AA25">
        <f>IF($C25="","",IFERROR(IF($E25="PASSPORT",INDEX('PAX &amp; CREW'!$N$3:$N$62,MATCH($C25,'PAX &amp; CREW'!$A$3:$A$62,0)),INDEX('PAX &amp; CREW'!$L$3:$L$62,MATCH($C25,'PAX &amp; CREW'!$A$3:$A$62,0))),""))</f>
        <v/>
      </c>
      <c r="AB25">
        <f>IF($A25="","",IF(OR($K25="",$T25=""),"-",IF(UPPER(TRIM($K25&amp;""))=UPPER(TRIM($T25&amp;"")),"MATCH","MISMATCH")))</f>
        <v/>
      </c>
      <c r="AC25">
        <f>IF($A25="","",IF(OR($L25="",$U25=""),"-",IF(UPPER(TRIM($L25&amp;""))=UPPER(TRIM($U25&amp;"")),"MATCH","MISMATCH")))</f>
        <v/>
      </c>
      <c r="AD25">
        <f>IF($A25="","",IF(OR($M25="",$V25=""),"-",IF(UPPER(TRIM($M25&amp;""))=UPPER(TRIM($V25&amp;"")),"MATCH","MISMATCH")))</f>
        <v/>
      </c>
      <c r="AE25">
        <f>IF($A25="","",IF(OR($N25="",$W25=""),"-",IF(UPPER(TRIM($N25&amp;""))=UPPER(TRIM($W25&amp;"")),"MATCH","MISMATCH")))</f>
        <v/>
      </c>
      <c r="AF25">
        <f>IF($A25="","",IF(OR($O25="",$X25=""),"-",IF(UPPER(TRIM($O25&amp;""))=UPPER(TRIM($X25&amp;"")),"MATCH","MISMATCH")))</f>
        <v/>
      </c>
      <c r="AG25">
        <f>IF($A25="","",IF(OR($Q25="",$Z25=""),"-",IF(UPPER(TRIM($Q25&amp;""))=UPPER(TRIM($Z25&amp;"")),"MATCH","MISMATCH")))</f>
        <v/>
      </c>
      <c r="AH25">
        <f>IF($A25="","",COUNTIF($AB25:$AG25,"MATCH")&amp;" of "&amp;(6-COUNTIF($AB25:$AG25,"-"))&amp;" compared fields match"&amp;IF(COUNTIF($AB25:$AG25,"MISMATCH")&gt;0," — "&amp;COUNTIF($AB25:$AG25,"MISMATCH")&amp;" MISMATCH, DO NOT ACCEPT WITHOUT REVIEW",""))</f>
        <v/>
      </c>
      <c r="AI25" s="4" t="n"/>
      <c r="AJ25" s="4" t="n"/>
      <c r="AK25" s="50" t="n"/>
      <c r="AL25">
        <f>IF($A25="","",IF($J25&lt;&gt;"DONE","AWAITING OCR",IF($AI25="","AWAITING HUMAN REVIEW",IF($AI25="REJECT DOCUMENT","REJECTED - NOT ASSIGNED",IF(OR($AJ25="",$AK25=""),"REVIEW INCOMPLETE - name and date the review",$AI25&amp;" - ASSIGNED TO "&amp;$C25&amp;" ON "&amp;$B25)))))</f>
        <v/>
      </c>
      <c r="AM25" s="4" t="n"/>
    </row>
    <row r="26">
      <c r="A26">
        <f>IF($C26="","","DOC-"&amp;TEXT(ROW()-4,"000"))</f>
        <v/>
      </c>
      <c r="B26">
        <f>IF($C26="","",IFERROR(INDEX('PAX &amp; CREW'!$B$3:$B$62,MATCH($C26,'PAX &amp; CREW'!$A$3:$A$62,0)),""))</f>
        <v/>
      </c>
      <c r="C26" s="4" t="n"/>
      <c r="D26">
        <f>IF($C26="","",IFERROR(INDEX('PAX &amp; CREW'!$G$3:$G$62,MATCH($C26,'PAX &amp; CREW'!$A$3:$A$62,0))&amp;", "&amp;INDEX('PAX &amp; CREW'!$H$3:$H$62,MATCH($C26,'PAX &amp; CREW'!$A$3:$A$62,0)),"PERSON NOT FOUND"))</f>
        <v/>
      </c>
      <c r="E26" s="4" t="n"/>
      <c r="F26" s="4" t="n"/>
      <c r="G26">
        <f>IF(OR($C26="",$F26=""),"",IFERROR(INDEX('PAX &amp; CREW'!$AE$3:$AE$62,MATCH($C26,'PAX &amp; CREW'!$A$3:$A$62,0))&amp;"\"&amp;$F26,""))</f>
        <v/>
      </c>
      <c r="H26" s="4" t="n"/>
      <c r="I26" s="50" t="n"/>
      <c r="J26" s="4" t="n"/>
      <c r="K26" s="4" t="n"/>
      <c r="L26" s="4" t="n"/>
      <c r="M26" s="4" t="n"/>
      <c r="N26" s="4" t="n"/>
      <c r="O26" s="114" t="n"/>
      <c r="P26" s="114" t="n"/>
      <c r="Q26" s="114" t="n"/>
      <c r="R26" s="4" t="n"/>
      <c r="S26" s="4" t="n"/>
      <c r="T26">
        <f>IF($C26="","",IFERROR(IF($E26="PASSPORT",INDEX('PAX &amp; CREW'!$M$3:$M$62,MATCH($C26,'PAX &amp; CREW'!$A$3:$A$62,0)),IF($E26="VISA",INDEX('PAX &amp; CREW'!$S$3:$S$62,MATCH($C26,'PAX &amp; CREW'!$A$3:$A$62,0)),IF($E26="LICENCE",INDEX('PAX &amp; CREW'!$V$3:$V$62,MATCH($C26,'PAX &amp; CREW'!$A$3:$A$62,0)),IF($E26="CREW ID",INDEX('PAX &amp; CREW'!$Y$3:$Y$62,MATCH($C26,'PAX &amp; CREW'!$A$3:$A$62,0)),"")))),""))</f>
        <v/>
      </c>
      <c r="U26">
        <f>IF($C26="","",IFERROR(INDEX('PAX &amp; CREW'!$G$3:$G$62,MATCH($C26,'PAX &amp; CREW'!$A$3:$A$62,0)),""))</f>
        <v/>
      </c>
      <c r="V26">
        <f>IF($C26="","",IFERROR(INDEX('PAX &amp; CREW'!$H$3:$H$62,MATCH($C26,'PAX &amp; CREW'!$A$3:$A$62,0)),""))</f>
        <v/>
      </c>
      <c r="W26">
        <f>IF($C26="","",IFERROR(INDEX('PAX &amp; CREW'!$L$3:$L$62,MATCH($C26,'PAX &amp; CREW'!$A$3:$A$62,0)),""))</f>
        <v/>
      </c>
      <c r="X26" s="118">
        <f>IF($C26="","",IFERROR(INDEX('PAX &amp; CREW'!$J$3:$J$62,MATCH($C26,'PAX &amp; CREW'!$A$3:$A$62,0)),""))</f>
        <v/>
      </c>
      <c r="Y26" s="118">
        <f>IF($C26="","",IFERROR(IF($E26="PASSPORT",INDEX('PAX &amp; CREW'!$O$3:$O$62,MATCH($C26,'PAX &amp; CREW'!$A$3:$A$62,0)),""),""))</f>
        <v/>
      </c>
      <c r="Z26" s="118">
        <f>IF($C26="","",IFERROR(IF($E26="PASSPORT",INDEX('PAX &amp; CREW'!$P$3:$P$62,MATCH($C26,'PAX &amp; CREW'!$A$3:$A$62,0)),IF($E26="VISA",INDEX('PAX &amp; CREW'!$T$3:$T$62,MATCH($C26,'PAX &amp; CREW'!$A$3:$A$62,0)),IF($E26="LICENCE",INDEX('PAX &amp; CREW'!$W$3:$W$62,MATCH($C26,'PAX &amp; CREW'!$A$3:$A$62,0)),IF($E26="MEDICAL",INDEX('PAX &amp; CREW'!$X$3:$X$62,MATCH($C26,'PAX &amp; CREW'!$A$3:$A$62,0)),"")))),""))</f>
        <v/>
      </c>
      <c r="AA26">
        <f>IF($C26="","",IFERROR(IF($E26="PASSPORT",INDEX('PAX &amp; CREW'!$N$3:$N$62,MATCH($C26,'PAX &amp; CREW'!$A$3:$A$62,0)),INDEX('PAX &amp; CREW'!$L$3:$L$62,MATCH($C26,'PAX &amp; CREW'!$A$3:$A$62,0))),""))</f>
        <v/>
      </c>
      <c r="AB26">
        <f>IF($A26="","",IF(OR($K26="",$T26=""),"-",IF(UPPER(TRIM($K26&amp;""))=UPPER(TRIM($T26&amp;"")),"MATCH","MISMATCH")))</f>
        <v/>
      </c>
      <c r="AC26">
        <f>IF($A26="","",IF(OR($L26="",$U26=""),"-",IF(UPPER(TRIM($L26&amp;""))=UPPER(TRIM($U26&amp;"")),"MATCH","MISMATCH")))</f>
        <v/>
      </c>
      <c r="AD26">
        <f>IF($A26="","",IF(OR($M26="",$V26=""),"-",IF(UPPER(TRIM($M26&amp;""))=UPPER(TRIM($V26&amp;"")),"MATCH","MISMATCH")))</f>
        <v/>
      </c>
      <c r="AE26">
        <f>IF($A26="","",IF(OR($N26="",$W26=""),"-",IF(UPPER(TRIM($N26&amp;""))=UPPER(TRIM($W26&amp;"")),"MATCH","MISMATCH")))</f>
        <v/>
      </c>
      <c r="AF26">
        <f>IF($A26="","",IF(OR($O26="",$X26=""),"-",IF(UPPER(TRIM($O26&amp;""))=UPPER(TRIM($X26&amp;"")),"MATCH","MISMATCH")))</f>
        <v/>
      </c>
      <c r="AG26">
        <f>IF($A26="","",IF(OR($Q26="",$Z26=""),"-",IF(UPPER(TRIM($Q26&amp;""))=UPPER(TRIM($Z26&amp;"")),"MATCH","MISMATCH")))</f>
        <v/>
      </c>
      <c r="AH26">
        <f>IF($A26="","",COUNTIF($AB26:$AG26,"MATCH")&amp;" of "&amp;(6-COUNTIF($AB26:$AG26,"-"))&amp;" compared fields match"&amp;IF(COUNTIF($AB26:$AG26,"MISMATCH")&gt;0," — "&amp;COUNTIF($AB26:$AG26,"MISMATCH")&amp;" MISMATCH, DO NOT ACCEPT WITHOUT REVIEW",""))</f>
        <v/>
      </c>
      <c r="AI26" s="4" t="n"/>
      <c r="AJ26" s="4" t="n"/>
      <c r="AK26" s="50" t="n"/>
      <c r="AL26">
        <f>IF($A26="","",IF($J26&lt;&gt;"DONE","AWAITING OCR",IF($AI26="","AWAITING HUMAN REVIEW",IF($AI26="REJECT DOCUMENT","REJECTED - NOT ASSIGNED",IF(OR($AJ26="",$AK26=""),"REVIEW INCOMPLETE - name and date the review",$AI26&amp;" - ASSIGNED TO "&amp;$C26&amp;" ON "&amp;$B26)))))</f>
        <v/>
      </c>
      <c r="AM26" s="4" t="n"/>
    </row>
    <row r="27">
      <c r="A27">
        <f>IF($C27="","","DOC-"&amp;TEXT(ROW()-4,"000"))</f>
        <v/>
      </c>
      <c r="B27">
        <f>IF($C27="","",IFERROR(INDEX('PAX &amp; CREW'!$B$3:$B$62,MATCH($C27,'PAX &amp; CREW'!$A$3:$A$62,0)),""))</f>
        <v/>
      </c>
      <c r="C27" s="4" t="n"/>
      <c r="D27">
        <f>IF($C27="","",IFERROR(INDEX('PAX &amp; CREW'!$G$3:$G$62,MATCH($C27,'PAX &amp; CREW'!$A$3:$A$62,0))&amp;", "&amp;INDEX('PAX &amp; CREW'!$H$3:$H$62,MATCH($C27,'PAX &amp; CREW'!$A$3:$A$62,0)),"PERSON NOT FOUND"))</f>
        <v/>
      </c>
      <c r="E27" s="4" t="n"/>
      <c r="F27" s="4" t="n"/>
      <c r="G27">
        <f>IF(OR($C27="",$F27=""),"",IFERROR(INDEX('PAX &amp; CREW'!$AE$3:$AE$62,MATCH($C27,'PAX &amp; CREW'!$A$3:$A$62,0))&amp;"\"&amp;$F27,""))</f>
        <v/>
      </c>
      <c r="H27" s="4" t="n"/>
      <c r="I27" s="50" t="n"/>
      <c r="J27" s="4" t="n"/>
      <c r="K27" s="4" t="n"/>
      <c r="L27" s="4" t="n"/>
      <c r="M27" s="4" t="n"/>
      <c r="N27" s="4" t="n"/>
      <c r="O27" s="114" t="n"/>
      <c r="P27" s="114" t="n"/>
      <c r="Q27" s="114" t="n"/>
      <c r="R27" s="4" t="n"/>
      <c r="S27" s="4" t="n"/>
      <c r="T27">
        <f>IF($C27="","",IFERROR(IF($E27="PASSPORT",INDEX('PAX &amp; CREW'!$M$3:$M$62,MATCH($C27,'PAX &amp; CREW'!$A$3:$A$62,0)),IF($E27="VISA",INDEX('PAX &amp; CREW'!$S$3:$S$62,MATCH($C27,'PAX &amp; CREW'!$A$3:$A$62,0)),IF($E27="LICENCE",INDEX('PAX &amp; CREW'!$V$3:$V$62,MATCH($C27,'PAX &amp; CREW'!$A$3:$A$62,0)),IF($E27="CREW ID",INDEX('PAX &amp; CREW'!$Y$3:$Y$62,MATCH($C27,'PAX &amp; CREW'!$A$3:$A$62,0)),"")))),""))</f>
        <v/>
      </c>
      <c r="U27">
        <f>IF($C27="","",IFERROR(INDEX('PAX &amp; CREW'!$G$3:$G$62,MATCH($C27,'PAX &amp; CREW'!$A$3:$A$62,0)),""))</f>
        <v/>
      </c>
      <c r="V27">
        <f>IF($C27="","",IFERROR(INDEX('PAX &amp; CREW'!$H$3:$H$62,MATCH($C27,'PAX &amp; CREW'!$A$3:$A$62,0)),""))</f>
        <v/>
      </c>
      <c r="W27">
        <f>IF($C27="","",IFERROR(INDEX('PAX &amp; CREW'!$L$3:$L$62,MATCH($C27,'PAX &amp; CREW'!$A$3:$A$62,0)),""))</f>
        <v/>
      </c>
      <c r="X27" s="118">
        <f>IF($C27="","",IFERROR(INDEX('PAX &amp; CREW'!$J$3:$J$62,MATCH($C27,'PAX &amp; CREW'!$A$3:$A$62,0)),""))</f>
        <v/>
      </c>
      <c r="Y27" s="118">
        <f>IF($C27="","",IFERROR(IF($E27="PASSPORT",INDEX('PAX &amp; CREW'!$O$3:$O$62,MATCH($C27,'PAX &amp; CREW'!$A$3:$A$62,0)),""),""))</f>
        <v/>
      </c>
      <c r="Z27" s="118">
        <f>IF($C27="","",IFERROR(IF($E27="PASSPORT",INDEX('PAX &amp; CREW'!$P$3:$P$62,MATCH($C27,'PAX &amp; CREW'!$A$3:$A$62,0)),IF($E27="VISA",INDEX('PAX &amp; CREW'!$T$3:$T$62,MATCH($C27,'PAX &amp; CREW'!$A$3:$A$62,0)),IF($E27="LICENCE",INDEX('PAX &amp; CREW'!$W$3:$W$62,MATCH($C27,'PAX &amp; CREW'!$A$3:$A$62,0)),IF($E27="MEDICAL",INDEX('PAX &amp; CREW'!$X$3:$X$62,MATCH($C27,'PAX &amp; CREW'!$A$3:$A$62,0)),"")))),""))</f>
        <v/>
      </c>
      <c r="AA27">
        <f>IF($C27="","",IFERROR(IF($E27="PASSPORT",INDEX('PAX &amp; CREW'!$N$3:$N$62,MATCH($C27,'PAX &amp; CREW'!$A$3:$A$62,0)),INDEX('PAX &amp; CREW'!$L$3:$L$62,MATCH($C27,'PAX &amp; CREW'!$A$3:$A$62,0))),""))</f>
        <v/>
      </c>
      <c r="AB27">
        <f>IF($A27="","",IF(OR($K27="",$T27=""),"-",IF(UPPER(TRIM($K27&amp;""))=UPPER(TRIM($T27&amp;"")),"MATCH","MISMATCH")))</f>
        <v/>
      </c>
      <c r="AC27">
        <f>IF($A27="","",IF(OR($L27="",$U27=""),"-",IF(UPPER(TRIM($L27&amp;""))=UPPER(TRIM($U27&amp;"")),"MATCH","MISMATCH")))</f>
        <v/>
      </c>
      <c r="AD27">
        <f>IF($A27="","",IF(OR($M27="",$V27=""),"-",IF(UPPER(TRIM($M27&amp;""))=UPPER(TRIM($V27&amp;"")),"MATCH","MISMATCH")))</f>
        <v/>
      </c>
      <c r="AE27">
        <f>IF($A27="","",IF(OR($N27="",$W27=""),"-",IF(UPPER(TRIM($N27&amp;""))=UPPER(TRIM($W27&amp;"")),"MATCH","MISMATCH")))</f>
        <v/>
      </c>
      <c r="AF27">
        <f>IF($A27="","",IF(OR($O27="",$X27=""),"-",IF(UPPER(TRIM($O27&amp;""))=UPPER(TRIM($X27&amp;"")),"MATCH","MISMATCH")))</f>
        <v/>
      </c>
      <c r="AG27">
        <f>IF($A27="","",IF(OR($Q27="",$Z27=""),"-",IF(UPPER(TRIM($Q27&amp;""))=UPPER(TRIM($Z27&amp;"")),"MATCH","MISMATCH")))</f>
        <v/>
      </c>
      <c r="AH27">
        <f>IF($A27="","",COUNTIF($AB27:$AG27,"MATCH")&amp;" of "&amp;(6-COUNTIF($AB27:$AG27,"-"))&amp;" compared fields match"&amp;IF(COUNTIF($AB27:$AG27,"MISMATCH")&gt;0," — "&amp;COUNTIF($AB27:$AG27,"MISMATCH")&amp;" MISMATCH, DO NOT ACCEPT WITHOUT REVIEW",""))</f>
        <v/>
      </c>
      <c r="AI27" s="4" t="n"/>
      <c r="AJ27" s="4" t="n"/>
      <c r="AK27" s="50" t="n"/>
      <c r="AL27">
        <f>IF($A27="","",IF($J27&lt;&gt;"DONE","AWAITING OCR",IF($AI27="","AWAITING HUMAN REVIEW",IF($AI27="REJECT DOCUMENT","REJECTED - NOT ASSIGNED",IF(OR($AJ27="",$AK27=""),"REVIEW INCOMPLETE - name and date the review",$AI27&amp;" - ASSIGNED TO "&amp;$C27&amp;" ON "&amp;$B27)))))</f>
        <v/>
      </c>
      <c r="AM27" s="4" t="n"/>
    </row>
    <row r="28">
      <c r="A28">
        <f>IF($C28="","","DOC-"&amp;TEXT(ROW()-4,"000"))</f>
        <v/>
      </c>
      <c r="B28">
        <f>IF($C28="","",IFERROR(INDEX('PAX &amp; CREW'!$B$3:$B$62,MATCH($C28,'PAX &amp; CREW'!$A$3:$A$62,0)),""))</f>
        <v/>
      </c>
      <c r="C28" s="4" t="n"/>
      <c r="D28">
        <f>IF($C28="","",IFERROR(INDEX('PAX &amp; CREW'!$G$3:$G$62,MATCH($C28,'PAX &amp; CREW'!$A$3:$A$62,0))&amp;", "&amp;INDEX('PAX &amp; CREW'!$H$3:$H$62,MATCH($C28,'PAX &amp; CREW'!$A$3:$A$62,0)),"PERSON NOT FOUND"))</f>
        <v/>
      </c>
      <c r="E28" s="4" t="n"/>
      <c r="F28" s="4" t="n"/>
      <c r="G28">
        <f>IF(OR($C28="",$F28=""),"",IFERROR(INDEX('PAX &amp; CREW'!$AE$3:$AE$62,MATCH($C28,'PAX &amp; CREW'!$A$3:$A$62,0))&amp;"\"&amp;$F28,""))</f>
        <v/>
      </c>
      <c r="H28" s="4" t="n"/>
      <c r="I28" s="50" t="n"/>
      <c r="J28" s="4" t="n"/>
      <c r="K28" s="4" t="n"/>
      <c r="L28" s="4" t="n"/>
      <c r="M28" s="4" t="n"/>
      <c r="N28" s="4" t="n"/>
      <c r="O28" s="114" t="n"/>
      <c r="P28" s="114" t="n"/>
      <c r="Q28" s="114" t="n"/>
      <c r="R28" s="4" t="n"/>
      <c r="S28" s="4" t="n"/>
      <c r="T28">
        <f>IF($C28="","",IFERROR(IF($E28="PASSPORT",INDEX('PAX &amp; CREW'!$M$3:$M$62,MATCH($C28,'PAX &amp; CREW'!$A$3:$A$62,0)),IF($E28="VISA",INDEX('PAX &amp; CREW'!$S$3:$S$62,MATCH($C28,'PAX &amp; CREW'!$A$3:$A$62,0)),IF($E28="LICENCE",INDEX('PAX &amp; CREW'!$V$3:$V$62,MATCH($C28,'PAX &amp; CREW'!$A$3:$A$62,0)),IF($E28="CREW ID",INDEX('PAX &amp; CREW'!$Y$3:$Y$62,MATCH($C28,'PAX &amp; CREW'!$A$3:$A$62,0)),"")))),""))</f>
        <v/>
      </c>
      <c r="U28">
        <f>IF($C28="","",IFERROR(INDEX('PAX &amp; CREW'!$G$3:$G$62,MATCH($C28,'PAX &amp; CREW'!$A$3:$A$62,0)),""))</f>
        <v/>
      </c>
      <c r="V28">
        <f>IF($C28="","",IFERROR(INDEX('PAX &amp; CREW'!$H$3:$H$62,MATCH($C28,'PAX &amp; CREW'!$A$3:$A$62,0)),""))</f>
        <v/>
      </c>
      <c r="W28">
        <f>IF($C28="","",IFERROR(INDEX('PAX &amp; CREW'!$L$3:$L$62,MATCH($C28,'PAX &amp; CREW'!$A$3:$A$62,0)),""))</f>
        <v/>
      </c>
      <c r="X28" s="118">
        <f>IF($C28="","",IFERROR(INDEX('PAX &amp; CREW'!$J$3:$J$62,MATCH($C28,'PAX &amp; CREW'!$A$3:$A$62,0)),""))</f>
        <v/>
      </c>
      <c r="Y28" s="118">
        <f>IF($C28="","",IFERROR(IF($E28="PASSPORT",INDEX('PAX &amp; CREW'!$O$3:$O$62,MATCH($C28,'PAX &amp; CREW'!$A$3:$A$62,0)),""),""))</f>
        <v/>
      </c>
      <c r="Z28" s="118">
        <f>IF($C28="","",IFERROR(IF($E28="PASSPORT",INDEX('PAX &amp; CREW'!$P$3:$P$62,MATCH($C28,'PAX &amp; CREW'!$A$3:$A$62,0)),IF($E28="VISA",INDEX('PAX &amp; CREW'!$T$3:$T$62,MATCH($C28,'PAX &amp; CREW'!$A$3:$A$62,0)),IF($E28="LICENCE",INDEX('PAX &amp; CREW'!$W$3:$W$62,MATCH($C28,'PAX &amp; CREW'!$A$3:$A$62,0)),IF($E28="MEDICAL",INDEX('PAX &amp; CREW'!$X$3:$X$62,MATCH($C28,'PAX &amp; CREW'!$A$3:$A$62,0)),"")))),""))</f>
        <v/>
      </c>
      <c r="AA28">
        <f>IF($C28="","",IFERROR(IF($E28="PASSPORT",INDEX('PAX &amp; CREW'!$N$3:$N$62,MATCH($C28,'PAX &amp; CREW'!$A$3:$A$62,0)),INDEX('PAX &amp; CREW'!$L$3:$L$62,MATCH($C28,'PAX &amp; CREW'!$A$3:$A$62,0))),""))</f>
        <v/>
      </c>
      <c r="AB28">
        <f>IF($A28="","",IF(OR($K28="",$T28=""),"-",IF(UPPER(TRIM($K28&amp;""))=UPPER(TRIM($T28&amp;"")),"MATCH","MISMATCH")))</f>
        <v/>
      </c>
      <c r="AC28">
        <f>IF($A28="","",IF(OR($L28="",$U28=""),"-",IF(UPPER(TRIM($L28&amp;""))=UPPER(TRIM($U28&amp;"")),"MATCH","MISMATCH")))</f>
        <v/>
      </c>
      <c r="AD28">
        <f>IF($A28="","",IF(OR($M28="",$V28=""),"-",IF(UPPER(TRIM($M28&amp;""))=UPPER(TRIM($V28&amp;"")),"MATCH","MISMATCH")))</f>
        <v/>
      </c>
      <c r="AE28">
        <f>IF($A28="","",IF(OR($N28="",$W28=""),"-",IF(UPPER(TRIM($N28&amp;""))=UPPER(TRIM($W28&amp;"")),"MATCH","MISMATCH")))</f>
        <v/>
      </c>
      <c r="AF28">
        <f>IF($A28="","",IF(OR($O28="",$X28=""),"-",IF(UPPER(TRIM($O28&amp;""))=UPPER(TRIM($X28&amp;"")),"MATCH","MISMATCH")))</f>
        <v/>
      </c>
      <c r="AG28">
        <f>IF($A28="","",IF(OR($Q28="",$Z28=""),"-",IF(UPPER(TRIM($Q28&amp;""))=UPPER(TRIM($Z28&amp;"")),"MATCH","MISMATCH")))</f>
        <v/>
      </c>
      <c r="AH28">
        <f>IF($A28="","",COUNTIF($AB28:$AG28,"MATCH")&amp;" of "&amp;(6-COUNTIF($AB28:$AG28,"-"))&amp;" compared fields match"&amp;IF(COUNTIF($AB28:$AG28,"MISMATCH")&gt;0," — "&amp;COUNTIF($AB28:$AG28,"MISMATCH")&amp;" MISMATCH, DO NOT ACCEPT WITHOUT REVIEW",""))</f>
        <v/>
      </c>
      <c r="AI28" s="4" t="n"/>
      <c r="AJ28" s="4" t="n"/>
      <c r="AK28" s="50" t="n"/>
      <c r="AL28">
        <f>IF($A28="","",IF($J28&lt;&gt;"DONE","AWAITING OCR",IF($AI28="","AWAITING HUMAN REVIEW",IF($AI28="REJECT DOCUMENT","REJECTED - NOT ASSIGNED",IF(OR($AJ28="",$AK28=""),"REVIEW INCOMPLETE - name and date the review",$AI28&amp;" - ASSIGNED TO "&amp;$C28&amp;" ON "&amp;$B28)))))</f>
        <v/>
      </c>
      <c r="AM28" s="4" t="n"/>
    </row>
    <row r="29">
      <c r="A29">
        <f>IF($C29="","","DOC-"&amp;TEXT(ROW()-4,"000"))</f>
        <v/>
      </c>
      <c r="B29">
        <f>IF($C29="","",IFERROR(INDEX('PAX &amp; CREW'!$B$3:$B$62,MATCH($C29,'PAX &amp; CREW'!$A$3:$A$62,0)),""))</f>
        <v/>
      </c>
      <c r="C29" s="4" t="n"/>
      <c r="D29">
        <f>IF($C29="","",IFERROR(INDEX('PAX &amp; CREW'!$G$3:$G$62,MATCH($C29,'PAX &amp; CREW'!$A$3:$A$62,0))&amp;", "&amp;INDEX('PAX &amp; CREW'!$H$3:$H$62,MATCH($C29,'PAX &amp; CREW'!$A$3:$A$62,0)),"PERSON NOT FOUND"))</f>
        <v/>
      </c>
      <c r="E29" s="4" t="n"/>
      <c r="F29" s="4" t="n"/>
      <c r="G29">
        <f>IF(OR($C29="",$F29=""),"",IFERROR(INDEX('PAX &amp; CREW'!$AE$3:$AE$62,MATCH($C29,'PAX &amp; CREW'!$A$3:$A$62,0))&amp;"\"&amp;$F29,""))</f>
        <v/>
      </c>
      <c r="H29" s="4" t="n"/>
      <c r="I29" s="50" t="n"/>
      <c r="J29" s="4" t="n"/>
      <c r="K29" s="4" t="n"/>
      <c r="L29" s="4" t="n"/>
      <c r="M29" s="4" t="n"/>
      <c r="N29" s="4" t="n"/>
      <c r="O29" s="114" t="n"/>
      <c r="P29" s="114" t="n"/>
      <c r="Q29" s="114" t="n"/>
      <c r="R29" s="4" t="n"/>
      <c r="S29" s="4" t="n"/>
      <c r="T29">
        <f>IF($C29="","",IFERROR(IF($E29="PASSPORT",INDEX('PAX &amp; CREW'!$M$3:$M$62,MATCH($C29,'PAX &amp; CREW'!$A$3:$A$62,0)),IF($E29="VISA",INDEX('PAX &amp; CREW'!$S$3:$S$62,MATCH($C29,'PAX &amp; CREW'!$A$3:$A$62,0)),IF($E29="LICENCE",INDEX('PAX &amp; CREW'!$V$3:$V$62,MATCH($C29,'PAX &amp; CREW'!$A$3:$A$62,0)),IF($E29="CREW ID",INDEX('PAX &amp; CREW'!$Y$3:$Y$62,MATCH($C29,'PAX &amp; CREW'!$A$3:$A$62,0)),"")))),""))</f>
        <v/>
      </c>
      <c r="U29">
        <f>IF($C29="","",IFERROR(INDEX('PAX &amp; CREW'!$G$3:$G$62,MATCH($C29,'PAX &amp; CREW'!$A$3:$A$62,0)),""))</f>
        <v/>
      </c>
      <c r="V29">
        <f>IF($C29="","",IFERROR(INDEX('PAX &amp; CREW'!$H$3:$H$62,MATCH($C29,'PAX &amp; CREW'!$A$3:$A$62,0)),""))</f>
        <v/>
      </c>
      <c r="W29">
        <f>IF($C29="","",IFERROR(INDEX('PAX &amp; CREW'!$L$3:$L$62,MATCH($C29,'PAX &amp; CREW'!$A$3:$A$62,0)),""))</f>
        <v/>
      </c>
      <c r="X29" s="118">
        <f>IF($C29="","",IFERROR(INDEX('PAX &amp; CREW'!$J$3:$J$62,MATCH($C29,'PAX &amp; CREW'!$A$3:$A$62,0)),""))</f>
        <v/>
      </c>
      <c r="Y29" s="118">
        <f>IF($C29="","",IFERROR(IF($E29="PASSPORT",INDEX('PAX &amp; CREW'!$O$3:$O$62,MATCH($C29,'PAX &amp; CREW'!$A$3:$A$62,0)),""),""))</f>
        <v/>
      </c>
      <c r="Z29" s="118">
        <f>IF($C29="","",IFERROR(IF($E29="PASSPORT",INDEX('PAX &amp; CREW'!$P$3:$P$62,MATCH($C29,'PAX &amp; CREW'!$A$3:$A$62,0)),IF($E29="VISA",INDEX('PAX &amp; CREW'!$T$3:$T$62,MATCH($C29,'PAX &amp; CREW'!$A$3:$A$62,0)),IF($E29="LICENCE",INDEX('PAX &amp; CREW'!$W$3:$W$62,MATCH($C29,'PAX &amp; CREW'!$A$3:$A$62,0)),IF($E29="MEDICAL",INDEX('PAX &amp; CREW'!$X$3:$X$62,MATCH($C29,'PAX &amp; CREW'!$A$3:$A$62,0)),"")))),""))</f>
        <v/>
      </c>
      <c r="AA29">
        <f>IF($C29="","",IFERROR(IF($E29="PASSPORT",INDEX('PAX &amp; CREW'!$N$3:$N$62,MATCH($C29,'PAX &amp; CREW'!$A$3:$A$62,0)),INDEX('PAX &amp; CREW'!$L$3:$L$62,MATCH($C29,'PAX &amp; CREW'!$A$3:$A$62,0))),""))</f>
        <v/>
      </c>
      <c r="AB29">
        <f>IF($A29="","",IF(OR($K29="",$T29=""),"-",IF(UPPER(TRIM($K29&amp;""))=UPPER(TRIM($T29&amp;"")),"MATCH","MISMATCH")))</f>
        <v/>
      </c>
      <c r="AC29">
        <f>IF($A29="","",IF(OR($L29="",$U29=""),"-",IF(UPPER(TRIM($L29&amp;""))=UPPER(TRIM($U29&amp;"")),"MATCH","MISMATCH")))</f>
        <v/>
      </c>
      <c r="AD29">
        <f>IF($A29="","",IF(OR($M29="",$V29=""),"-",IF(UPPER(TRIM($M29&amp;""))=UPPER(TRIM($V29&amp;"")),"MATCH","MISMATCH")))</f>
        <v/>
      </c>
      <c r="AE29">
        <f>IF($A29="","",IF(OR($N29="",$W29=""),"-",IF(UPPER(TRIM($N29&amp;""))=UPPER(TRIM($W29&amp;"")),"MATCH","MISMATCH")))</f>
        <v/>
      </c>
      <c r="AF29">
        <f>IF($A29="","",IF(OR($O29="",$X29=""),"-",IF(UPPER(TRIM($O29&amp;""))=UPPER(TRIM($X29&amp;"")),"MATCH","MISMATCH")))</f>
        <v/>
      </c>
      <c r="AG29">
        <f>IF($A29="","",IF(OR($Q29="",$Z29=""),"-",IF(UPPER(TRIM($Q29&amp;""))=UPPER(TRIM($Z29&amp;"")),"MATCH","MISMATCH")))</f>
        <v/>
      </c>
      <c r="AH29">
        <f>IF($A29="","",COUNTIF($AB29:$AG29,"MATCH")&amp;" of "&amp;(6-COUNTIF($AB29:$AG29,"-"))&amp;" compared fields match"&amp;IF(COUNTIF($AB29:$AG29,"MISMATCH")&gt;0," — "&amp;COUNTIF($AB29:$AG29,"MISMATCH")&amp;" MISMATCH, DO NOT ACCEPT WITHOUT REVIEW",""))</f>
        <v/>
      </c>
      <c r="AI29" s="4" t="n"/>
      <c r="AJ29" s="4" t="n"/>
      <c r="AK29" s="50" t="n"/>
      <c r="AL29">
        <f>IF($A29="","",IF($J29&lt;&gt;"DONE","AWAITING OCR",IF($AI29="","AWAITING HUMAN REVIEW",IF($AI29="REJECT DOCUMENT","REJECTED - NOT ASSIGNED",IF(OR($AJ29="",$AK29=""),"REVIEW INCOMPLETE - name and date the review",$AI29&amp;" - ASSIGNED TO "&amp;$C29&amp;" ON "&amp;$B29)))))</f>
        <v/>
      </c>
      <c r="AM29" s="4" t="n"/>
    </row>
    <row r="30">
      <c r="A30">
        <f>IF($C30="","","DOC-"&amp;TEXT(ROW()-4,"000"))</f>
        <v/>
      </c>
      <c r="B30">
        <f>IF($C30="","",IFERROR(INDEX('PAX &amp; CREW'!$B$3:$B$62,MATCH($C30,'PAX &amp; CREW'!$A$3:$A$62,0)),""))</f>
        <v/>
      </c>
      <c r="C30" s="4" t="n"/>
      <c r="D30">
        <f>IF($C30="","",IFERROR(INDEX('PAX &amp; CREW'!$G$3:$G$62,MATCH($C30,'PAX &amp; CREW'!$A$3:$A$62,0))&amp;", "&amp;INDEX('PAX &amp; CREW'!$H$3:$H$62,MATCH($C30,'PAX &amp; CREW'!$A$3:$A$62,0)),"PERSON NOT FOUND"))</f>
        <v/>
      </c>
      <c r="E30" s="4" t="n"/>
      <c r="F30" s="4" t="n"/>
      <c r="G30">
        <f>IF(OR($C30="",$F30=""),"",IFERROR(INDEX('PAX &amp; CREW'!$AE$3:$AE$62,MATCH($C30,'PAX &amp; CREW'!$A$3:$A$62,0))&amp;"\"&amp;$F30,""))</f>
        <v/>
      </c>
      <c r="H30" s="4" t="n"/>
      <c r="I30" s="50" t="n"/>
      <c r="J30" s="4" t="n"/>
      <c r="K30" s="4" t="n"/>
      <c r="L30" s="4" t="n"/>
      <c r="M30" s="4" t="n"/>
      <c r="N30" s="4" t="n"/>
      <c r="O30" s="114" t="n"/>
      <c r="P30" s="114" t="n"/>
      <c r="Q30" s="114" t="n"/>
      <c r="R30" s="4" t="n"/>
      <c r="S30" s="4" t="n"/>
      <c r="T30">
        <f>IF($C30="","",IFERROR(IF($E30="PASSPORT",INDEX('PAX &amp; CREW'!$M$3:$M$62,MATCH($C30,'PAX &amp; CREW'!$A$3:$A$62,0)),IF($E30="VISA",INDEX('PAX &amp; CREW'!$S$3:$S$62,MATCH($C30,'PAX &amp; CREW'!$A$3:$A$62,0)),IF($E30="LICENCE",INDEX('PAX &amp; CREW'!$V$3:$V$62,MATCH($C30,'PAX &amp; CREW'!$A$3:$A$62,0)),IF($E30="CREW ID",INDEX('PAX &amp; CREW'!$Y$3:$Y$62,MATCH($C30,'PAX &amp; CREW'!$A$3:$A$62,0)),"")))),""))</f>
        <v/>
      </c>
      <c r="U30">
        <f>IF($C30="","",IFERROR(INDEX('PAX &amp; CREW'!$G$3:$G$62,MATCH($C30,'PAX &amp; CREW'!$A$3:$A$62,0)),""))</f>
        <v/>
      </c>
      <c r="V30">
        <f>IF($C30="","",IFERROR(INDEX('PAX &amp; CREW'!$H$3:$H$62,MATCH($C30,'PAX &amp; CREW'!$A$3:$A$62,0)),""))</f>
        <v/>
      </c>
      <c r="W30">
        <f>IF($C30="","",IFERROR(INDEX('PAX &amp; CREW'!$L$3:$L$62,MATCH($C30,'PAX &amp; CREW'!$A$3:$A$62,0)),""))</f>
        <v/>
      </c>
      <c r="X30" s="118">
        <f>IF($C30="","",IFERROR(INDEX('PAX &amp; CREW'!$J$3:$J$62,MATCH($C30,'PAX &amp; CREW'!$A$3:$A$62,0)),""))</f>
        <v/>
      </c>
      <c r="Y30" s="118">
        <f>IF($C30="","",IFERROR(IF($E30="PASSPORT",INDEX('PAX &amp; CREW'!$O$3:$O$62,MATCH($C30,'PAX &amp; CREW'!$A$3:$A$62,0)),""),""))</f>
        <v/>
      </c>
      <c r="Z30" s="118">
        <f>IF($C30="","",IFERROR(IF($E30="PASSPORT",INDEX('PAX &amp; CREW'!$P$3:$P$62,MATCH($C30,'PAX &amp; CREW'!$A$3:$A$62,0)),IF($E30="VISA",INDEX('PAX &amp; CREW'!$T$3:$T$62,MATCH($C30,'PAX &amp; CREW'!$A$3:$A$62,0)),IF($E30="LICENCE",INDEX('PAX &amp; CREW'!$W$3:$W$62,MATCH($C30,'PAX &amp; CREW'!$A$3:$A$62,0)),IF($E30="MEDICAL",INDEX('PAX &amp; CREW'!$X$3:$X$62,MATCH($C30,'PAX &amp; CREW'!$A$3:$A$62,0)),"")))),""))</f>
        <v/>
      </c>
      <c r="AA30">
        <f>IF($C30="","",IFERROR(IF($E30="PASSPORT",INDEX('PAX &amp; CREW'!$N$3:$N$62,MATCH($C30,'PAX &amp; CREW'!$A$3:$A$62,0)),INDEX('PAX &amp; CREW'!$L$3:$L$62,MATCH($C30,'PAX &amp; CREW'!$A$3:$A$62,0))),""))</f>
        <v/>
      </c>
      <c r="AB30">
        <f>IF($A30="","",IF(OR($K30="",$T30=""),"-",IF(UPPER(TRIM($K30&amp;""))=UPPER(TRIM($T30&amp;"")),"MATCH","MISMATCH")))</f>
        <v/>
      </c>
      <c r="AC30">
        <f>IF($A30="","",IF(OR($L30="",$U30=""),"-",IF(UPPER(TRIM($L30&amp;""))=UPPER(TRIM($U30&amp;"")),"MATCH","MISMATCH")))</f>
        <v/>
      </c>
      <c r="AD30">
        <f>IF($A30="","",IF(OR($M30="",$V30=""),"-",IF(UPPER(TRIM($M30&amp;""))=UPPER(TRIM($V30&amp;"")),"MATCH","MISMATCH")))</f>
        <v/>
      </c>
      <c r="AE30">
        <f>IF($A30="","",IF(OR($N30="",$W30=""),"-",IF(UPPER(TRIM($N30&amp;""))=UPPER(TRIM($W30&amp;"")),"MATCH","MISMATCH")))</f>
        <v/>
      </c>
      <c r="AF30">
        <f>IF($A30="","",IF(OR($O30="",$X30=""),"-",IF(UPPER(TRIM($O30&amp;""))=UPPER(TRIM($X30&amp;"")),"MATCH","MISMATCH")))</f>
        <v/>
      </c>
      <c r="AG30">
        <f>IF($A30="","",IF(OR($Q30="",$Z30=""),"-",IF(UPPER(TRIM($Q30&amp;""))=UPPER(TRIM($Z30&amp;"")),"MATCH","MISMATCH")))</f>
        <v/>
      </c>
      <c r="AH30">
        <f>IF($A30="","",COUNTIF($AB30:$AG30,"MATCH")&amp;" of "&amp;(6-COUNTIF($AB30:$AG30,"-"))&amp;" compared fields match"&amp;IF(COUNTIF($AB30:$AG30,"MISMATCH")&gt;0," — "&amp;COUNTIF($AB30:$AG30,"MISMATCH")&amp;" MISMATCH, DO NOT ACCEPT WITHOUT REVIEW",""))</f>
        <v/>
      </c>
      <c r="AI30" s="4" t="n"/>
      <c r="AJ30" s="4" t="n"/>
      <c r="AK30" s="50" t="n"/>
      <c r="AL30">
        <f>IF($A30="","",IF($J30&lt;&gt;"DONE","AWAITING OCR",IF($AI30="","AWAITING HUMAN REVIEW",IF($AI30="REJECT DOCUMENT","REJECTED - NOT ASSIGNED",IF(OR($AJ30="",$AK30=""),"REVIEW INCOMPLETE - name and date the review",$AI30&amp;" - ASSIGNED TO "&amp;$C30&amp;" ON "&amp;$B30)))))</f>
        <v/>
      </c>
      <c r="AM30" s="4" t="n"/>
    </row>
    <row r="31">
      <c r="A31">
        <f>IF($C31="","","DOC-"&amp;TEXT(ROW()-4,"000"))</f>
        <v/>
      </c>
      <c r="B31">
        <f>IF($C31="","",IFERROR(INDEX('PAX &amp; CREW'!$B$3:$B$62,MATCH($C31,'PAX &amp; CREW'!$A$3:$A$62,0)),""))</f>
        <v/>
      </c>
      <c r="C31" s="4" t="n"/>
      <c r="D31">
        <f>IF($C31="","",IFERROR(INDEX('PAX &amp; CREW'!$G$3:$G$62,MATCH($C31,'PAX &amp; CREW'!$A$3:$A$62,0))&amp;", "&amp;INDEX('PAX &amp; CREW'!$H$3:$H$62,MATCH($C31,'PAX &amp; CREW'!$A$3:$A$62,0)),"PERSON NOT FOUND"))</f>
        <v/>
      </c>
      <c r="E31" s="4" t="n"/>
      <c r="F31" s="4" t="n"/>
      <c r="G31">
        <f>IF(OR($C31="",$F31=""),"",IFERROR(INDEX('PAX &amp; CREW'!$AE$3:$AE$62,MATCH($C31,'PAX &amp; CREW'!$A$3:$A$62,0))&amp;"\"&amp;$F31,""))</f>
        <v/>
      </c>
      <c r="H31" s="4" t="n"/>
      <c r="I31" s="50" t="n"/>
      <c r="J31" s="4" t="n"/>
      <c r="K31" s="4" t="n"/>
      <c r="L31" s="4" t="n"/>
      <c r="M31" s="4" t="n"/>
      <c r="N31" s="4" t="n"/>
      <c r="O31" s="114" t="n"/>
      <c r="P31" s="114" t="n"/>
      <c r="Q31" s="114" t="n"/>
      <c r="R31" s="4" t="n"/>
      <c r="S31" s="4" t="n"/>
      <c r="T31">
        <f>IF($C31="","",IFERROR(IF($E31="PASSPORT",INDEX('PAX &amp; CREW'!$M$3:$M$62,MATCH($C31,'PAX &amp; CREW'!$A$3:$A$62,0)),IF($E31="VISA",INDEX('PAX &amp; CREW'!$S$3:$S$62,MATCH($C31,'PAX &amp; CREW'!$A$3:$A$62,0)),IF($E31="LICENCE",INDEX('PAX &amp; CREW'!$V$3:$V$62,MATCH($C31,'PAX &amp; CREW'!$A$3:$A$62,0)),IF($E31="CREW ID",INDEX('PAX &amp; CREW'!$Y$3:$Y$62,MATCH($C31,'PAX &amp; CREW'!$A$3:$A$62,0)),"")))),""))</f>
        <v/>
      </c>
      <c r="U31">
        <f>IF($C31="","",IFERROR(INDEX('PAX &amp; CREW'!$G$3:$G$62,MATCH($C31,'PAX &amp; CREW'!$A$3:$A$62,0)),""))</f>
        <v/>
      </c>
      <c r="V31">
        <f>IF($C31="","",IFERROR(INDEX('PAX &amp; CREW'!$H$3:$H$62,MATCH($C31,'PAX &amp; CREW'!$A$3:$A$62,0)),""))</f>
        <v/>
      </c>
      <c r="W31">
        <f>IF($C31="","",IFERROR(INDEX('PAX &amp; CREW'!$L$3:$L$62,MATCH($C31,'PAX &amp; CREW'!$A$3:$A$62,0)),""))</f>
        <v/>
      </c>
      <c r="X31" s="118">
        <f>IF($C31="","",IFERROR(INDEX('PAX &amp; CREW'!$J$3:$J$62,MATCH($C31,'PAX &amp; CREW'!$A$3:$A$62,0)),""))</f>
        <v/>
      </c>
      <c r="Y31" s="118">
        <f>IF($C31="","",IFERROR(IF($E31="PASSPORT",INDEX('PAX &amp; CREW'!$O$3:$O$62,MATCH($C31,'PAX &amp; CREW'!$A$3:$A$62,0)),""),""))</f>
        <v/>
      </c>
      <c r="Z31" s="118">
        <f>IF($C31="","",IFERROR(IF($E31="PASSPORT",INDEX('PAX &amp; CREW'!$P$3:$P$62,MATCH($C31,'PAX &amp; CREW'!$A$3:$A$62,0)),IF($E31="VISA",INDEX('PAX &amp; CREW'!$T$3:$T$62,MATCH($C31,'PAX &amp; CREW'!$A$3:$A$62,0)),IF($E31="LICENCE",INDEX('PAX &amp; CREW'!$W$3:$W$62,MATCH($C31,'PAX &amp; CREW'!$A$3:$A$62,0)),IF($E31="MEDICAL",INDEX('PAX &amp; CREW'!$X$3:$X$62,MATCH($C31,'PAX &amp; CREW'!$A$3:$A$62,0)),"")))),""))</f>
        <v/>
      </c>
      <c r="AA31">
        <f>IF($C31="","",IFERROR(IF($E31="PASSPORT",INDEX('PAX &amp; CREW'!$N$3:$N$62,MATCH($C31,'PAX &amp; CREW'!$A$3:$A$62,0)),INDEX('PAX &amp; CREW'!$L$3:$L$62,MATCH($C31,'PAX &amp; CREW'!$A$3:$A$62,0))),""))</f>
        <v/>
      </c>
      <c r="AB31">
        <f>IF($A31="","",IF(OR($K31="",$T31=""),"-",IF(UPPER(TRIM($K31&amp;""))=UPPER(TRIM($T31&amp;"")),"MATCH","MISMATCH")))</f>
        <v/>
      </c>
      <c r="AC31">
        <f>IF($A31="","",IF(OR($L31="",$U31=""),"-",IF(UPPER(TRIM($L31&amp;""))=UPPER(TRIM($U31&amp;"")),"MATCH","MISMATCH")))</f>
        <v/>
      </c>
      <c r="AD31">
        <f>IF($A31="","",IF(OR($M31="",$V31=""),"-",IF(UPPER(TRIM($M31&amp;""))=UPPER(TRIM($V31&amp;"")),"MATCH","MISMATCH")))</f>
        <v/>
      </c>
      <c r="AE31">
        <f>IF($A31="","",IF(OR($N31="",$W31=""),"-",IF(UPPER(TRIM($N31&amp;""))=UPPER(TRIM($W31&amp;"")),"MATCH","MISMATCH")))</f>
        <v/>
      </c>
      <c r="AF31">
        <f>IF($A31="","",IF(OR($O31="",$X31=""),"-",IF(UPPER(TRIM($O31&amp;""))=UPPER(TRIM($X31&amp;"")),"MATCH","MISMATCH")))</f>
        <v/>
      </c>
      <c r="AG31">
        <f>IF($A31="","",IF(OR($Q31="",$Z31=""),"-",IF(UPPER(TRIM($Q31&amp;""))=UPPER(TRIM($Z31&amp;"")),"MATCH","MISMATCH")))</f>
        <v/>
      </c>
      <c r="AH31">
        <f>IF($A31="","",COUNTIF($AB31:$AG31,"MATCH")&amp;" of "&amp;(6-COUNTIF($AB31:$AG31,"-"))&amp;" compared fields match"&amp;IF(COUNTIF($AB31:$AG31,"MISMATCH")&gt;0," — "&amp;COUNTIF($AB31:$AG31,"MISMATCH")&amp;" MISMATCH, DO NOT ACCEPT WITHOUT REVIEW",""))</f>
        <v/>
      </c>
      <c r="AI31" s="4" t="n"/>
      <c r="AJ31" s="4" t="n"/>
      <c r="AK31" s="50" t="n"/>
      <c r="AL31">
        <f>IF($A31="","",IF($J31&lt;&gt;"DONE","AWAITING OCR",IF($AI31="","AWAITING HUMAN REVIEW",IF($AI31="REJECT DOCUMENT","REJECTED - NOT ASSIGNED",IF(OR($AJ31="",$AK31=""),"REVIEW INCOMPLETE - name and date the review",$AI31&amp;" - ASSIGNED TO "&amp;$C31&amp;" ON "&amp;$B31)))))</f>
        <v/>
      </c>
      <c r="AM31" s="4" t="n"/>
    </row>
    <row r="32">
      <c r="A32">
        <f>IF($C32="","","DOC-"&amp;TEXT(ROW()-4,"000"))</f>
        <v/>
      </c>
      <c r="B32">
        <f>IF($C32="","",IFERROR(INDEX('PAX &amp; CREW'!$B$3:$B$62,MATCH($C32,'PAX &amp; CREW'!$A$3:$A$62,0)),""))</f>
        <v/>
      </c>
      <c r="C32" s="4" t="n"/>
      <c r="D32">
        <f>IF($C32="","",IFERROR(INDEX('PAX &amp; CREW'!$G$3:$G$62,MATCH($C32,'PAX &amp; CREW'!$A$3:$A$62,0))&amp;", "&amp;INDEX('PAX &amp; CREW'!$H$3:$H$62,MATCH($C32,'PAX &amp; CREW'!$A$3:$A$62,0)),"PERSON NOT FOUND"))</f>
        <v/>
      </c>
      <c r="E32" s="4" t="n"/>
      <c r="F32" s="4" t="n"/>
      <c r="G32">
        <f>IF(OR($C32="",$F32=""),"",IFERROR(INDEX('PAX &amp; CREW'!$AE$3:$AE$62,MATCH($C32,'PAX &amp; CREW'!$A$3:$A$62,0))&amp;"\"&amp;$F32,""))</f>
        <v/>
      </c>
      <c r="H32" s="4" t="n"/>
      <c r="I32" s="50" t="n"/>
      <c r="J32" s="4" t="n"/>
      <c r="K32" s="4" t="n"/>
      <c r="L32" s="4" t="n"/>
      <c r="M32" s="4" t="n"/>
      <c r="N32" s="4" t="n"/>
      <c r="O32" s="114" t="n"/>
      <c r="P32" s="114" t="n"/>
      <c r="Q32" s="114" t="n"/>
      <c r="R32" s="4" t="n"/>
      <c r="S32" s="4" t="n"/>
      <c r="T32">
        <f>IF($C32="","",IFERROR(IF($E32="PASSPORT",INDEX('PAX &amp; CREW'!$M$3:$M$62,MATCH($C32,'PAX &amp; CREW'!$A$3:$A$62,0)),IF($E32="VISA",INDEX('PAX &amp; CREW'!$S$3:$S$62,MATCH($C32,'PAX &amp; CREW'!$A$3:$A$62,0)),IF($E32="LICENCE",INDEX('PAX &amp; CREW'!$V$3:$V$62,MATCH($C32,'PAX &amp; CREW'!$A$3:$A$62,0)),IF($E32="CREW ID",INDEX('PAX &amp; CREW'!$Y$3:$Y$62,MATCH($C32,'PAX &amp; CREW'!$A$3:$A$62,0)),"")))),""))</f>
        <v/>
      </c>
      <c r="U32">
        <f>IF($C32="","",IFERROR(INDEX('PAX &amp; CREW'!$G$3:$G$62,MATCH($C32,'PAX &amp; CREW'!$A$3:$A$62,0)),""))</f>
        <v/>
      </c>
      <c r="V32">
        <f>IF($C32="","",IFERROR(INDEX('PAX &amp; CREW'!$H$3:$H$62,MATCH($C32,'PAX &amp; CREW'!$A$3:$A$62,0)),""))</f>
        <v/>
      </c>
      <c r="W32">
        <f>IF($C32="","",IFERROR(INDEX('PAX &amp; CREW'!$L$3:$L$62,MATCH($C32,'PAX &amp; CREW'!$A$3:$A$62,0)),""))</f>
        <v/>
      </c>
      <c r="X32" s="118">
        <f>IF($C32="","",IFERROR(INDEX('PAX &amp; CREW'!$J$3:$J$62,MATCH($C32,'PAX &amp; CREW'!$A$3:$A$62,0)),""))</f>
        <v/>
      </c>
      <c r="Y32" s="118">
        <f>IF($C32="","",IFERROR(IF($E32="PASSPORT",INDEX('PAX &amp; CREW'!$O$3:$O$62,MATCH($C32,'PAX &amp; CREW'!$A$3:$A$62,0)),""),""))</f>
        <v/>
      </c>
      <c r="Z32" s="118">
        <f>IF($C32="","",IFERROR(IF($E32="PASSPORT",INDEX('PAX &amp; CREW'!$P$3:$P$62,MATCH($C32,'PAX &amp; CREW'!$A$3:$A$62,0)),IF($E32="VISA",INDEX('PAX &amp; CREW'!$T$3:$T$62,MATCH($C32,'PAX &amp; CREW'!$A$3:$A$62,0)),IF($E32="LICENCE",INDEX('PAX &amp; CREW'!$W$3:$W$62,MATCH($C32,'PAX &amp; CREW'!$A$3:$A$62,0)),IF($E32="MEDICAL",INDEX('PAX &amp; CREW'!$X$3:$X$62,MATCH($C32,'PAX &amp; CREW'!$A$3:$A$62,0)),"")))),""))</f>
        <v/>
      </c>
      <c r="AA32">
        <f>IF($C32="","",IFERROR(IF($E32="PASSPORT",INDEX('PAX &amp; CREW'!$N$3:$N$62,MATCH($C32,'PAX &amp; CREW'!$A$3:$A$62,0)),INDEX('PAX &amp; CREW'!$L$3:$L$62,MATCH($C32,'PAX &amp; CREW'!$A$3:$A$62,0))),""))</f>
        <v/>
      </c>
      <c r="AB32">
        <f>IF($A32="","",IF(OR($K32="",$T32=""),"-",IF(UPPER(TRIM($K32&amp;""))=UPPER(TRIM($T32&amp;"")),"MATCH","MISMATCH")))</f>
        <v/>
      </c>
      <c r="AC32">
        <f>IF($A32="","",IF(OR($L32="",$U32=""),"-",IF(UPPER(TRIM($L32&amp;""))=UPPER(TRIM($U32&amp;"")),"MATCH","MISMATCH")))</f>
        <v/>
      </c>
      <c r="AD32">
        <f>IF($A32="","",IF(OR($M32="",$V32=""),"-",IF(UPPER(TRIM($M32&amp;""))=UPPER(TRIM($V32&amp;"")),"MATCH","MISMATCH")))</f>
        <v/>
      </c>
      <c r="AE32">
        <f>IF($A32="","",IF(OR($N32="",$W32=""),"-",IF(UPPER(TRIM($N32&amp;""))=UPPER(TRIM($W32&amp;"")),"MATCH","MISMATCH")))</f>
        <v/>
      </c>
      <c r="AF32">
        <f>IF($A32="","",IF(OR($O32="",$X32=""),"-",IF(UPPER(TRIM($O32&amp;""))=UPPER(TRIM($X32&amp;"")),"MATCH","MISMATCH")))</f>
        <v/>
      </c>
      <c r="AG32">
        <f>IF($A32="","",IF(OR($Q32="",$Z32=""),"-",IF(UPPER(TRIM($Q32&amp;""))=UPPER(TRIM($Z32&amp;"")),"MATCH","MISMATCH")))</f>
        <v/>
      </c>
      <c r="AH32">
        <f>IF($A32="","",COUNTIF($AB32:$AG32,"MATCH")&amp;" of "&amp;(6-COUNTIF($AB32:$AG32,"-"))&amp;" compared fields match"&amp;IF(COUNTIF($AB32:$AG32,"MISMATCH")&gt;0," — "&amp;COUNTIF($AB32:$AG32,"MISMATCH")&amp;" MISMATCH, DO NOT ACCEPT WITHOUT REVIEW",""))</f>
        <v/>
      </c>
      <c r="AI32" s="4" t="n"/>
      <c r="AJ32" s="4" t="n"/>
      <c r="AK32" s="50" t="n"/>
      <c r="AL32">
        <f>IF($A32="","",IF($J32&lt;&gt;"DONE","AWAITING OCR",IF($AI32="","AWAITING HUMAN REVIEW",IF($AI32="REJECT DOCUMENT","REJECTED - NOT ASSIGNED",IF(OR($AJ32="",$AK32=""),"REVIEW INCOMPLETE - name and date the review",$AI32&amp;" - ASSIGNED TO "&amp;$C32&amp;" ON "&amp;$B32)))))</f>
        <v/>
      </c>
      <c r="AM32" s="4" t="n"/>
    </row>
    <row r="33">
      <c r="A33">
        <f>IF($C33="","","DOC-"&amp;TEXT(ROW()-4,"000"))</f>
        <v/>
      </c>
      <c r="B33">
        <f>IF($C33="","",IFERROR(INDEX('PAX &amp; CREW'!$B$3:$B$62,MATCH($C33,'PAX &amp; CREW'!$A$3:$A$62,0)),""))</f>
        <v/>
      </c>
      <c r="C33" s="4" t="n"/>
      <c r="D33">
        <f>IF($C33="","",IFERROR(INDEX('PAX &amp; CREW'!$G$3:$G$62,MATCH($C33,'PAX &amp; CREW'!$A$3:$A$62,0))&amp;", "&amp;INDEX('PAX &amp; CREW'!$H$3:$H$62,MATCH($C33,'PAX &amp; CREW'!$A$3:$A$62,0)),"PERSON NOT FOUND"))</f>
        <v/>
      </c>
      <c r="E33" s="4" t="n"/>
      <c r="F33" s="4" t="n"/>
      <c r="G33">
        <f>IF(OR($C33="",$F33=""),"",IFERROR(INDEX('PAX &amp; CREW'!$AE$3:$AE$62,MATCH($C33,'PAX &amp; CREW'!$A$3:$A$62,0))&amp;"\"&amp;$F33,""))</f>
        <v/>
      </c>
      <c r="H33" s="4" t="n"/>
      <c r="I33" s="50" t="n"/>
      <c r="J33" s="4" t="n"/>
      <c r="K33" s="4" t="n"/>
      <c r="L33" s="4" t="n"/>
      <c r="M33" s="4" t="n"/>
      <c r="N33" s="4" t="n"/>
      <c r="O33" s="114" t="n"/>
      <c r="P33" s="114" t="n"/>
      <c r="Q33" s="114" t="n"/>
      <c r="R33" s="4" t="n"/>
      <c r="S33" s="4" t="n"/>
      <c r="T33">
        <f>IF($C33="","",IFERROR(IF($E33="PASSPORT",INDEX('PAX &amp; CREW'!$M$3:$M$62,MATCH($C33,'PAX &amp; CREW'!$A$3:$A$62,0)),IF($E33="VISA",INDEX('PAX &amp; CREW'!$S$3:$S$62,MATCH($C33,'PAX &amp; CREW'!$A$3:$A$62,0)),IF($E33="LICENCE",INDEX('PAX &amp; CREW'!$V$3:$V$62,MATCH($C33,'PAX &amp; CREW'!$A$3:$A$62,0)),IF($E33="CREW ID",INDEX('PAX &amp; CREW'!$Y$3:$Y$62,MATCH($C33,'PAX &amp; CREW'!$A$3:$A$62,0)),"")))),""))</f>
        <v/>
      </c>
      <c r="U33">
        <f>IF($C33="","",IFERROR(INDEX('PAX &amp; CREW'!$G$3:$G$62,MATCH($C33,'PAX &amp; CREW'!$A$3:$A$62,0)),""))</f>
        <v/>
      </c>
      <c r="V33">
        <f>IF($C33="","",IFERROR(INDEX('PAX &amp; CREW'!$H$3:$H$62,MATCH($C33,'PAX &amp; CREW'!$A$3:$A$62,0)),""))</f>
        <v/>
      </c>
      <c r="W33">
        <f>IF($C33="","",IFERROR(INDEX('PAX &amp; CREW'!$L$3:$L$62,MATCH($C33,'PAX &amp; CREW'!$A$3:$A$62,0)),""))</f>
        <v/>
      </c>
      <c r="X33" s="118">
        <f>IF($C33="","",IFERROR(INDEX('PAX &amp; CREW'!$J$3:$J$62,MATCH($C33,'PAX &amp; CREW'!$A$3:$A$62,0)),""))</f>
        <v/>
      </c>
      <c r="Y33" s="118">
        <f>IF($C33="","",IFERROR(IF($E33="PASSPORT",INDEX('PAX &amp; CREW'!$O$3:$O$62,MATCH($C33,'PAX &amp; CREW'!$A$3:$A$62,0)),""),""))</f>
        <v/>
      </c>
      <c r="Z33" s="118">
        <f>IF($C33="","",IFERROR(IF($E33="PASSPORT",INDEX('PAX &amp; CREW'!$P$3:$P$62,MATCH($C33,'PAX &amp; CREW'!$A$3:$A$62,0)),IF($E33="VISA",INDEX('PAX &amp; CREW'!$T$3:$T$62,MATCH($C33,'PAX &amp; CREW'!$A$3:$A$62,0)),IF($E33="LICENCE",INDEX('PAX &amp; CREW'!$W$3:$W$62,MATCH($C33,'PAX &amp; CREW'!$A$3:$A$62,0)),IF($E33="MEDICAL",INDEX('PAX &amp; CREW'!$X$3:$X$62,MATCH($C33,'PAX &amp; CREW'!$A$3:$A$62,0)),"")))),""))</f>
        <v/>
      </c>
      <c r="AA33">
        <f>IF($C33="","",IFERROR(IF($E33="PASSPORT",INDEX('PAX &amp; CREW'!$N$3:$N$62,MATCH($C33,'PAX &amp; CREW'!$A$3:$A$62,0)),INDEX('PAX &amp; CREW'!$L$3:$L$62,MATCH($C33,'PAX &amp; CREW'!$A$3:$A$62,0))),""))</f>
        <v/>
      </c>
      <c r="AB33">
        <f>IF($A33="","",IF(OR($K33="",$T33=""),"-",IF(UPPER(TRIM($K33&amp;""))=UPPER(TRIM($T33&amp;"")),"MATCH","MISMATCH")))</f>
        <v/>
      </c>
      <c r="AC33">
        <f>IF($A33="","",IF(OR($L33="",$U33=""),"-",IF(UPPER(TRIM($L33&amp;""))=UPPER(TRIM($U33&amp;"")),"MATCH","MISMATCH")))</f>
        <v/>
      </c>
      <c r="AD33">
        <f>IF($A33="","",IF(OR($M33="",$V33=""),"-",IF(UPPER(TRIM($M33&amp;""))=UPPER(TRIM($V33&amp;"")),"MATCH","MISMATCH")))</f>
        <v/>
      </c>
      <c r="AE33">
        <f>IF($A33="","",IF(OR($N33="",$W33=""),"-",IF(UPPER(TRIM($N33&amp;""))=UPPER(TRIM($W33&amp;"")),"MATCH","MISMATCH")))</f>
        <v/>
      </c>
      <c r="AF33">
        <f>IF($A33="","",IF(OR($O33="",$X33=""),"-",IF(UPPER(TRIM($O33&amp;""))=UPPER(TRIM($X33&amp;"")),"MATCH","MISMATCH")))</f>
        <v/>
      </c>
      <c r="AG33">
        <f>IF($A33="","",IF(OR($Q33="",$Z33=""),"-",IF(UPPER(TRIM($Q33&amp;""))=UPPER(TRIM($Z33&amp;"")),"MATCH","MISMATCH")))</f>
        <v/>
      </c>
      <c r="AH33">
        <f>IF($A33="","",COUNTIF($AB33:$AG33,"MATCH")&amp;" of "&amp;(6-COUNTIF($AB33:$AG33,"-"))&amp;" compared fields match"&amp;IF(COUNTIF($AB33:$AG33,"MISMATCH")&gt;0," — "&amp;COUNTIF($AB33:$AG33,"MISMATCH")&amp;" MISMATCH, DO NOT ACCEPT WITHOUT REVIEW",""))</f>
        <v/>
      </c>
      <c r="AI33" s="4" t="n"/>
      <c r="AJ33" s="4" t="n"/>
      <c r="AK33" s="50" t="n"/>
      <c r="AL33">
        <f>IF($A33="","",IF($J33&lt;&gt;"DONE","AWAITING OCR",IF($AI33="","AWAITING HUMAN REVIEW",IF($AI33="REJECT DOCUMENT","REJECTED - NOT ASSIGNED",IF(OR($AJ33="",$AK33=""),"REVIEW INCOMPLETE - name and date the review",$AI33&amp;" - ASSIGNED TO "&amp;$C33&amp;" ON "&amp;$B33)))))</f>
        <v/>
      </c>
      <c r="AM33" s="4" t="n"/>
    </row>
    <row r="34">
      <c r="A34">
        <f>IF($C34="","","DOC-"&amp;TEXT(ROW()-4,"000"))</f>
        <v/>
      </c>
      <c r="B34">
        <f>IF($C34="","",IFERROR(INDEX('PAX &amp; CREW'!$B$3:$B$62,MATCH($C34,'PAX &amp; CREW'!$A$3:$A$62,0)),""))</f>
        <v/>
      </c>
      <c r="C34" s="4" t="n"/>
      <c r="D34">
        <f>IF($C34="","",IFERROR(INDEX('PAX &amp; CREW'!$G$3:$G$62,MATCH($C34,'PAX &amp; CREW'!$A$3:$A$62,0))&amp;", "&amp;INDEX('PAX &amp; CREW'!$H$3:$H$62,MATCH($C34,'PAX &amp; CREW'!$A$3:$A$62,0)),"PERSON NOT FOUND"))</f>
        <v/>
      </c>
      <c r="E34" s="4" t="n"/>
      <c r="F34" s="4" t="n"/>
      <c r="G34">
        <f>IF(OR($C34="",$F34=""),"",IFERROR(INDEX('PAX &amp; CREW'!$AE$3:$AE$62,MATCH($C34,'PAX &amp; CREW'!$A$3:$A$62,0))&amp;"\"&amp;$F34,""))</f>
        <v/>
      </c>
      <c r="H34" s="4" t="n"/>
      <c r="I34" s="50" t="n"/>
      <c r="J34" s="4" t="n"/>
      <c r="K34" s="4" t="n"/>
      <c r="L34" s="4" t="n"/>
      <c r="M34" s="4" t="n"/>
      <c r="N34" s="4" t="n"/>
      <c r="O34" s="114" t="n"/>
      <c r="P34" s="114" t="n"/>
      <c r="Q34" s="114" t="n"/>
      <c r="R34" s="4" t="n"/>
      <c r="S34" s="4" t="n"/>
      <c r="T34">
        <f>IF($C34="","",IFERROR(IF($E34="PASSPORT",INDEX('PAX &amp; CREW'!$M$3:$M$62,MATCH($C34,'PAX &amp; CREW'!$A$3:$A$62,0)),IF($E34="VISA",INDEX('PAX &amp; CREW'!$S$3:$S$62,MATCH($C34,'PAX &amp; CREW'!$A$3:$A$62,0)),IF($E34="LICENCE",INDEX('PAX &amp; CREW'!$V$3:$V$62,MATCH($C34,'PAX &amp; CREW'!$A$3:$A$62,0)),IF($E34="CREW ID",INDEX('PAX &amp; CREW'!$Y$3:$Y$62,MATCH($C34,'PAX &amp; CREW'!$A$3:$A$62,0)),"")))),""))</f>
        <v/>
      </c>
      <c r="U34">
        <f>IF($C34="","",IFERROR(INDEX('PAX &amp; CREW'!$G$3:$G$62,MATCH($C34,'PAX &amp; CREW'!$A$3:$A$62,0)),""))</f>
        <v/>
      </c>
      <c r="V34">
        <f>IF($C34="","",IFERROR(INDEX('PAX &amp; CREW'!$H$3:$H$62,MATCH($C34,'PAX &amp; CREW'!$A$3:$A$62,0)),""))</f>
        <v/>
      </c>
      <c r="W34">
        <f>IF($C34="","",IFERROR(INDEX('PAX &amp; CREW'!$L$3:$L$62,MATCH($C34,'PAX &amp; CREW'!$A$3:$A$62,0)),""))</f>
        <v/>
      </c>
      <c r="X34" s="118">
        <f>IF($C34="","",IFERROR(INDEX('PAX &amp; CREW'!$J$3:$J$62,MATCH($C34,'PAX &amp; CREW'!$A$3:$A$62,0)),""))</f>
        <v/>
      </c>
      <c r="Y34" s="118">
        <f>IF($C34="","",IFERROR(IF($E34="PASSPORT",INDEX('PAX &amp; CREW'!$O$3:$O$62,MATCH($C34,'PAX &amp; CREW'!$A$3:$A$62,0)),""),""))</f>
        <v/>
      </c>
      <c r="Z34" s="118">
        <f>IF($C34="","",IFERROR(IF($E34="PASSPORT",INDEX('PAX &amp; CREW'!$P$3:$P$62,MATCH($C34,'PAX &amp; CREW'!$A$3:$A$62,0)),IF($E34="VISA",INDEX('PAX &amp; CREW'!$T$3:$T$62,MATCH($C34,'PAX &amp; CREW'!$A$3:$A$62,0)),IF($E34="LICENCE",INDEX('PAX &amp; CREW'!$W$3:$W$62,MATCH($C34,'PAX &amp; CREW'!$A$3:$A$62,0)),IF($E34="MEDICAL",INDEX('PAX &amp; CREW'!$X$3:$X$62,MATCH($C34,'PAX &amp; CREW'!$A$3:$A$62,0)),"")))),""))</f>
        <v/>
      </c>
      <c r="AA34">
        <f>IF($C34="","",IFERROR(IF($E34="PASSPORT",INDEX('PAX &amp; CREW'!$N$3:$N$62,MATCH($C34,'PAX &amp; CREW'!$A$3:$A$62,0)),INDEX('PAX &amp; CREW'!$L$3:$L$62,MATCH($C34,'PAX &amp; CREW'!$A$3:$A$62,0))),""))</f>
        <v/>
      </c>
      <c r="AB34">
        <f>IF($A34="","",IF(OR($K34="",$T34=""),"-",IF(UPPER(TRIM($K34&amp;""))=UPPER(TRIM($T34&amp;"")),"MATCH","MISMATCH")))</f>
        <v/>
      </c>
      <c r="AC34">
        <f>IF($A34="","",IF(OR($L34="",$U34=""),"-",IF(UPPER(TRIM($L34&amp;""))=UPPER(TRIM($U34&amp;"")),"MATCH","MISMATCH")))</f>
        <v/>
      </c>
      <c r="AD34">
        <f>IF($A34="","",IF(OR($M34="",$V34=""),"-",IF(UPPER(TRIM($M34&amp;""))=UPPER(TRIM($V34&amp;"")),"MATCH","MISMATCH")))</f>
        <v/>
      </c>
      <c r="AE34">
        <f>IF($A34="","",IF(OR($N34="",$W34=""),"-",IF(UPPER(TRIM($N34&amp;""))=UPPER(TRIM($W34&amp;"")),"MATCH","MISMATCH")))</f>
        <v/>
      </c>
      <c r="AF34">
        <f>IF($A34="","",IF(OR($O34="",$X34=""),"-",IF(UPPER(TRIM($O34&amp;""))=UPPER(TRIM($X34&amp;"")),"MATCH","MISMATCH")))</f>
        <v/>
      </c>
      <c r="AG34">
        <f>IF($A34="","",IF(OR($Q34="",$Z34=""),"-",IF(UPPER(TRIM($Q34&amp;""))=UPPER(TRIM($Z34&amp;"")),"MATCH","MISMATCH")))</f>
        <v/>
      </c>
      <c r="AH34">
        <f>IF($A34="","",COUNTIF($AB34:$AG34,"MATCH")&amp;" of "&amp;(6-COUNTIF($AB34:$AG34,"-"))&amp;" compared fields match"&amp;IF(COUNTIF($AB34:$AG34,"MISMATCH")&gt;0," — "&amp;COUNTIF($AB34:$AG34,"MISMATCH")&amp;" MISMATCH, DO NOT ACCEPT WITHOUT REVIEW",""))</f>
        <v/>
      </c>
      <c r="AI34" s="4" t="n"/>
      <c r="AJ34" s="4" t="n"/>
      <c r="AK34" s="50" t="n"/>
      <c r="AL34">
        <f>IF($A34="","",IF($J34&lt;&gt;"DONE","AWAITING OCR",IF($AI34="","AWAITING HUMAN REVIEW",IF($AI34="REJECT DOCUMENT","REJECTED - NOT ASSIGNED",IF(OR($AJ34="",$AK34=""),"REVIEW INCOMPLETE - name and date the review",$AI34&amp;" - ASSIGNED TO "&amp;$C34&amp;" ON "&amp;$B34)))))</f>
        <v/>
      </c>
      <c r="AM34" s="4" t="n"/>
    </row>
    <row r="35">
      <c r="A35">
        <f>IF($C35="","","DOC-"&amp;TEXT(ROW()-4,"000"))</f>
        <v/>
      </c>
      <c r="B35">
        <f>IF($C35="","",IFERROR(INDEX('PAX &amp; CREW'!$B$3:$B$62,MATCH($C35,'PAX &amp; CREW'!$A$3:$A$62,0)),""))</f>
        <v/>
      </c>
      <c r="C35" s="4" t="n"/>
      <c r="D35">
        <f>IF($C35="","",IFERROR(INDEX('PAX &amp; CREW'!$G$3:$G$62,MATCH($C35,'PAX &amp; CREW'!$A$3:$A$62,0))&amp;", "&amp;INDEX('PAX &amp; CREW'!$H$3:$H$62,MATCH($C35,'PAX &amp; CREW'!$A$3:$A$62,0)),"PERSON NOT FOUND"))</f>
        <v/>
      </c>
      <c r="E35" s="4" t="n"/>
      <c r="F35" s="4" t="n"/>
      <c r="G35">
        <f>IF(OR($C35="",$F35=""),"",IFERROR(INDEX('PAX &amp; CREW'!$AE$3:$AE$62,MATCH($C35,'PAX &amp; CREW'!$A$3:$A$62,0))&amp;"\"&amp;$F35,""))</f>
        <v/>
      </c>
      <c r="H35" s="4" t="n"/>
      <c r="I35" s="50" t="n"/>
      <c r="J35" s="4" t="n"/>
      <c r="K35" s="4" t="n"/>
      <c r="L35" s="4" t="n"/>
      <c r="M35" s="4" t="n"/>
      <c r="N35" s="4" t="n"/>
      <c r="O35" s="114" t="n"/>
      <c r="P35" s="114" t="n"/>
      <c r="Q35" s="114" t="n"/>
      <c r="R35" s="4" t="n"/>
      <c r="S35" s="4" t="n"/>
      <c r="T35">
        <f>IF($C35="","",IFERROR(IF($E35="PASSPORT",INDEX('PAX &amp; CREW'!$M$3:$M$62,MATCH($C35,'PAX &amp; CREW'!$A$3:$A$62,0)),IF($E35="VISA",INDEX('PAX &amp; CREW'!$S$3:$S$62,MATCH($C35,'PAX &amp; CREW'!$A$3:$A$62,0)),IF($E35="LICENCE",INDEX('PAX &amp; CREW'!$V$3:$V$62,MATCH($C35,'PAX &amp; CREW'!$A$3:$A$62,0)),IF($E35="CREW ID",INDEX('PAX &amp; CREW'!$Y$3:$Y$62,MATCH($C35,'PAX &amp; CREW'!$A$3:$A$62,0)),"")))),""))</f>
        <v/>
      </c>
      <c r="U35">
        <f>IF($C35="","",IFERROR(INDEX('PAX &amp; CREW'!$G$3:$G$62,MATCH($C35,'PAX &amp; CREW'!$A$3:$A$62,0)),""))</f>
        <v/>
      </c>
      <c r="V35">
        <f>IF($C35="","",IFERROR(INDEX('PAX &amp; CREW'!$H$3:$H$62,MATCH($C35,'PAX &amp; CREW'!$A$3:$A$62,0)),""))</f>
        <v/>
      </c>
      <c r="W35">
        <f>IF($C35="","",IFERROR(INDEX('PAX &amp; CREW'!$L$3:$L$62,MATCH($C35,'PAX &amp; CREW'!$A$3:$A$62,0)),""))</f>
        <v/>
      </c>
      <c r="X35" s="118">
        <f>IF($C35="","",IFERROR(INDEX('PAX &amp; CREW'!$J$3:$J$62,MATCH($C35,'PAX &amp; CREW'!$A$3:$A$62,0)),""))</f>
        <v/>
      </c>
      <c r="Y35" s="118">
        <f>IF($C35="","",IFERROR(IF($E35="PASSPORT",INDEX('PAX &amp; CREW'!$O$3:$O$62,MATCH($C35,'PAX &amp; CREW'!$A$3:$A$62,0)),""),""))</f>
        <v/>
      </c>
      <c r="Z35" s="118">
        <f>IF($C35="","",IFERROR(IF($E35="PASSPORT",INDEX('PAX &amp; CREW'!$P$3:$P$62,MATCH($C35,'PAX &amp; CREW'!$A$3:$A$62,0)),IF($E35="VISA",INDEX('PAX &amp; CREW'!$T$3:$T$62,MATCH($C35,'PAX &amp; CREW'!$A$3:$A$62,0)),IF($E35="LICENCE",INDEX('PAX &amp; CREW'!$W$3:$W$62,MATCH($C35,'PAX &amp; CREW'!$A$3:$A$62,0)),IF($E35="MEDICAL",INDEX('PAX &amp; CREW'!$X$3:$X$62,MATCH($C35,'PAX &amp; CREW'!$A$3:$A$62,0)),"")))),""))</f>
        <v/>
      </c>
      <c r="AA35">
        <f>IF($C35="","",IFERROR(IF($E35="PASSPORT",INDEX('PAX &amp; CREW'!$N$3:$N$62,MATCH($C35,'PAX &amp; CREW'!$A$3:$A$62,0)),INDEX('PAX &amp; CREW'!$L$3:$L$62,MATCH($C35,'PAX &amp; CREW'!$A$3:$A$62,0))),""))</f>
        <v/>
      </c>
      <c r="AB35">
        <f>IF($A35="","",IF(OR($K35="",$T35=""),"-",IF(UPPER(TRIM($K35&amp;""))=UPPER(TRIM($T35&amp;"")),"MATCH","MISMATCH")))</f>
        <v/>
      </c>
      <c r="AC35">
        <f>IF($A35="","",IF(OR($L35="",$U35=""),"-",IF(UPPER(TRIM($L35&amp;""))=UPPER(TRIM($U35&amp;"")),"MATCH","MISMATCH")))</f>
        <v/>
      </c>
      <c r="AD35">
        <f>IF($A35="","",IF(OR($M35="",$V35=""),"-",IF(UPPER(TRIM($M35&amp;""))=UPPER(TRIM($V35&amp;"")),"MATCH","MISMATCH")))</f>
        <v/>
      </c>
      <c r="AE35">
        <f>IF($A35="","",IF(OR($N35="",$W35=""),"-",IF(UPPER(TRIM($N35&amp;""))=UPPER(TRIM($W35&amp;"")),"MATCH","MISMATCH")))</f>
        <v/>
      </c>
      <c r="AF35">
        <f>IF($A35="","",IF(OR($O35="",$X35=""),"-",IF(UPPER(TRIM($O35&amp;""))=UPPER(TRIM($X35&amp;"")),"MATCH","MISMATCH")))</f>
        <v/>
      </c>
      <c r="AG35">
        <f>IF($A35="","",IF(OR($Q35="",$Z35=""),"-",IF(UPPER(TRIM($Q35&amp;""))=UPPER(TRIM($Z35&amp;"")),"MATCH","MISMATCH")))</f>
        <v/>
      </c>
      <c r="AH35">
        <f>IF($A35="","",COUNTIF($AB35:$AG35,"MATCH")&amp;" of "&amp;(6-COUNTIF($AB35:$AG35,"-"))&amp;" compared fields match"&amp;IF(COUNTIF($AB35:$AG35,"MISMATCH")&gt;0," — "&amp;COUNTIF($AB35:$AG35,"MISMATCH")&amp;" MISMATCH, DO NOT ACCEPT WITHOUT REVIEW",""))</f>
        <v/>
      </c>
      <c r="AI35" s="4" t="n"/>
      <c r="AJ35" s="4" t="n"/>
      <c r="AK35" s="50" t="n"/>
      <c r="AL35">
        <f>IF($A35="","",IF($J35&lt;&gt;"DONE","AWAITING OCR",IF($AI35="","AWAITING HUMAN REVIEW",IF($AI35="REJECT DOCUMENT","REJECTED - NOT ASSIGNED",IF(OR($AJ35="",$AK35=""),"REVIEW INCOMPLETE - name and date the review",$AI35&amp;" - ASSIGNED TO "&amp;$C35&amp;" ON "&amp;$B35)))))</f>
        <v/>
      </c>
      <c r="AM35" s="4" t="n"/>
    </row>
    <row r="36">
      <c r="A36">
        <f>IF($C36="","","DOC-"&amp;TEXT(ROW()-4,"000"))</f>
        <v/>
      </c>
      <c r="B36">
        <f>IF($C36="","",IFERROR(INDEX('PAX &amp; CREW'!$B$3:$B$62,MATCH($C36,'PAX &amp; CREW'!$A$3:$A$62,0)),""))</f>
        <v/>
      </c>
      <c r="C36" s="4" t="n"/>
      <c r="D36">
        <f>IF($C36="","",IFERROR(INDEX('PAX &amp; CREW'!$G$3:$G$62,MATCH($C36,'PAX &amp; CREW'!$A$3:$A$62,0))&amp;", "&amp;INDEX('PAX &amp; CREW'!$H$3:$H$62,MATCH($C36,'PAX &amp; CREW'!$A$3:$A$62,0)),"PERSON NOT FOUND"))</f>
        <v/>
      </c>
      <c r="E36" s="4" t="n"/>
      <c r="F36" s="4" t="n"/>
      <c r="G36">
        <f>IF(OR($C36="",$F36=""),"",IFERROR(INDEX('PAX &amp; CREW'!$AE$3:$AE$62,MATCH($C36,'PAX &amp; CREW'!$A$3:$A$62,0))&amp;"\"&amp;$F36,""))</f>
        <v/>
      </c>
      <c r="H36" s="4" t="n"/>
      <c r="I36" s="50" t="n"/>
      <c r="J36" s="4" t="n"/>
      <c r="K36" s="4" t="n"/>
      <c r="L36" s="4" t="n"/>
      <c r="M36" s="4" t="n"/>
      <c r="N36" s="4" t="n"/>
      <c r="O36" s="114" t="n"/>
      <c r="P36" s="114" t="n"/>
      <c r="Q36" s="114" t="n"/>
      <c r="R36" s="4" t="n"/>
      <c r="S36" s="4" t="n"/>
      <c r="T36">
        <f>IF($C36="","",IFERROR(IF($E36="PASSPORT",INDEX('PAX &amp; CREW'!$M$3:$M$62,MATCH($C36,'PAX &amp; CREW'!$A$3:$A$62,0)),IF($E36="VISA",INDEX('PAX &amp; CREW'!$S$3:$S$62,MATCH($C36,'PAX &amp; CREW'!$A$3:$A$62,0)),IF($E36="LICENCE",INDEX('PAX &amp; CREW'!$V$3:$V$62,MATCH($C36,'PAX &amp; CREW'!$A$3:$A$62,0)),IF($E36="CREW ID",INDEX('PAX &amp; CREW'!$Y$3:$Y$62,MATCH($C36,'PAX &amp; CREW'!$A$3:$A$62,0)),"")))),""))</f>
        <v/>
      </c>
      <c r="U36">
        <f>IF($C36="","",IFERROR(INDEX('PAX &amp; CREW'!$G$3:$G$62,MATCH($C36,'PAX &amp; CREW'!$A$3:$A$62,0)),""))</f>
        <v/>
      </c>
      <c r="V36">
        <f>IF($C36="","",IFERROR(INDEX('PAX &amp; CREW'!$H$3:$H$62,MATCH($C36,'PAX &amp; CREW'!$A$3:$A$62,0)),""))</f>
        <v/>
      </c>
      <c r="W36">
        <f>IF($C36="","",IFERROR(INDEX('PAX &amp; CREW'!$L$3:$L$62,MATCH($C36,'PAX &amp; CREW'!$A$3:$A$62,0)),""))</f>
        <v/>
      </c>
      <c r="X36" s="118">
        <f>IF($C36="","",IFERROR(INDEX('PAX &amp; CREW'!$J$3:$J$62,MATCH($C36,'PAX &amp; CREW'!$A$3:$A$62,0)),""))</f>
        <v/>
      </c>
      <c r="Y36" s="118">
        <f>IF($C36="","",IFERROR(IF($E36="PASSPORT",INDEX('PAX &amp; CREW'!$O$3:$O$62,MATCH($C36,'PAX &amp; CREW'!$A$3:$A$62,0)),""),""))</f>
        <v/>
      </c>
      <c r="Z36" s="118">
        <f>IF($C36="","",IFERROR(IF($E36="PASSPORT",INDEX('PAX &amp; CREW'!$P$3:$P$62,MATCH($C36,'PAX &amp; CREW'!$A$3:$A$62,0)),IF($E36="VISA",INDEX('PAX &amp; CREW'!$T$3:$T$62,MATCH($C36,'PAX &amp; CREW'!$A$3:$A$62,0)),IF($E36="LICENCE",INDEX('PAX &amp; CREW'!$W$3:$W$62,MATCH($C36,'PAX &amp; CREW'!$A$3:$A$62,0)),IF($E36="MEDICAL",INDEX('PAX &amp; CREW'!$X$3:$X$62,MATCH($C36,'PAX &amp; CREW'!$A$3:$A$62,0)),"")))),""))</f>
        <v/>
      </c>
      <c r="AA36">
        <f>IF($C36="","",IFERROR(IF($E36="PASSPORT",INDEX('PAX &amp; CREW'!$N$3:$N$62,MATCH($C36,'PAX &amp; CREW'!$A$3:$A$62,0)),INDEX('PAX &amp; CREW'!$L$3:$L$62,MATCH($C36,'PAX &amp; CREW'!$A$3:$A$62,0))),""))</f>
        <v/>
      </c>
      <c r="AB36">
        <f>IF($A36="","",IF(OR($K36="",$T36=""),"-",IF(UPPER(TRIM($K36&amp;""))=UPPER(TRIM($T36&amp;"")),"MATCH","MISMATCH")))</f>
        <v/>
      </c>
      <c r="AC36">
        <f>IF($A36="","",IF(OR($L36="",$U36=""),"-",IF(UPPER(TRIM($L36&amp;""))=UPPER(TRIM($U36&amp;"")),"MATCH","MISMATCH")))</f>
        <v/>
      </c>
      <c r="AD36">
        <f>IF($A36="","",IF(OR($M36="",$V36=""),"-",IF(UPPER(TRIM($M36&amp;""))=UPPER(TRIM($V36&amp;"")),"MATCH","MISMATCH")))</f>
        <v/>
      </c>
      <c r="AE36">
        <f>IF($A36="","",IF(OR($N36="",$W36=""),"-",IF(UPPER(TRIM($N36&amp;""))=UPPER(TRIM($W36&amp;"")),"MATCH","MISMATCH")))</f>
        <v/>
      </c>
      <c r="AF36">
        <f>IF($A36="","",IF(OR($O36="",$X36=""),"-",IF(UPPER(TRIM($O36&amp;""))=UPPER(TRIM($X36&amp;"")),"MATCH","MISMATCH")))</f>
        <v/>
      </c>
      <c r="AG36">
        <f>IF($A36="","",IF(OR($Q36="",$Z36=""),"-",IF(UPPER(TRIM($Q36&amp;""))=UPPER(TRIM($Z36&amp;"")),"MATCH","MISMATCH")))</f>
        <v/>
      </c>
      <c r="AH36">
        <f>IF($A36="","",COUNTIF($AB36:$AG36,"MATCH")&amp;" of "&amp;(6-COUNTIF($AB36:$AG36,"-"))&amp;" compared fields match"&amp;IF(COUNTIF($AB36:$AG36,"MISMATCH")&gt;0," — "&amp;COUNTIF($AB36:$AG36,"MISMATCH")&amp;" MISMATCH, DO NOT ACCEPT WITHOUT REVIEW",""))</f>
        <v/>
      </c>
      <c r="AI36" s="4" t="n"/>
      <c r="AJ36" s="4" t="n"/>
      <c r="AK36" s="50" t="n"/>
      <c r="AL36">
        <f>IF($A36="","",IF($J36&lt;&gt;"DONE","AWAITING OCR",IF($AI36="","AWAITING HUMAN REVIEW",IF($AI36="REJECT DOCUMENT","REJECTED - NOT ASSIGNED",IF(OR($AJ36="",$AK36=""),"REVIEW INCOMPLETE - name and date the review",$AI36&amp;" - ASSIGNED TO "&amp;$C36&amp;" ON "&amp;$B36)))))</f>
        <v/>
      </c>
      <c r="AM36" s="4" t="n"/>
    </row>
    <row r="37">
      <c r="A37">
        <f>IF($C37="","","DOC-"&amp;TEXT(ROW()-4,"000"))</f>
        <v/>
      </c>
      <c r="B37">
        <f>IF($C37="","",IFERROR(INDEX('PAX &amp; CREW'!$B$3:$B$62,MATCH($C37,'PAX &amp; CREW'!$A$3:$A$62,0)),""))</f>
        <v/>
      </c>
      <c r="C37" s="4" t="n"/>
      <c r="D37">
        <f>IF($C37="","",IFERROR(INDEX('PAX &amp; CREW'!$G$3:$G$62,MATCH($C37,'PAX &amp; CREW'!$A$3:$A$62,0))&amp;", "&amp;INDEX('PAX &amp; CREW'!$H$3:$H$62,MATCH($C37,'PAX &amp; CREW'!$A$3:$A$62,0)),"PERSON NOT FOUND"))</f>
        <v/>
      </c>
      <c r="E37" s="4" t="n"/>
      <c r="F37" s="4" t="n"/>
      <c r="G37">
        <f>IF(OR($C37="",$F37=""),"",IFERROR(INDEX('PAX &amp; CREW'!$AE$3:$AE$62,MATCH($C37,'PAX &amp; CREW'!$A$3:$A$62,0))&amp;"\"&amp;$F37,""))</f>
        <v/>
      </c>
      <c r="H37" s="4" t="n"/>
      <c r="I37" s="50" t="n"/>
      <c r="J37" s="4" t="n"/>
      <c r="K37" s="4" t="n"/>
      <c r="L37" s="4" t="n"/>
      <c r="M37" s="4" t="n"/>
      <c r="N37" s="4" t="n"/>
      <c r="O37" s="114" t="n"/>
      <c r="P37" s="114" t="n"/>
      <c r="Q37" s="114" t="n"/>
      <c r="R37" s="4" t="n"/>
      <c r="S37" s="4" t="n"/>
      <c r="T37">
        <f>IF($C37="","",IFERROR(IF($E37="PASSPORT",INDEX('PAX &amp; CREW'!$M$3:$M$62,MATCH($C37,'PAX &amp; CREW'!$A$3:$A$62,0)),IF($E37="VISA",INDEX('PAX &amp; CREW'!$S$3:$S$62,MATCH($C37,'PAX &amp; CREW'!$A$3:$A$62,0)),IF($E37="LICENCE",INDEX('PAX &amp; CREW'!$V$3:$V$62,MATCH($C37,'PAX &amp; CREW'!$A$3:$A$62,0)),IF($E37="CREW ID",INDEX('PAX &amp; CREW'!$Y$3:$Y$62,MATCH($C37,'PAX &amp; CREW'!$A$3:$A$62,0)),"")))),""))</f>
        <v/>
      </c>
      <c r="U37">
        <f>IF($C37="","",IFERROR(INDEX('PAX &amp; CREW'!$G$3:$G$62,MATCH($C37,'PAX &amp; CREW'!$A$3:$A$62,0)),""))</f>
        <v/>
      </c>
      <c r="V37">
        <f>IF($C37="","",IFERROR(INDEX('PAX &amp; CREW'!$H$3:$H$62,MATCH($C37,'PAX &amp; CREW'!$A$3:$A$62,0)),""))</f>
        <v/>
      </c>
      <c r="W37">
        <f>IF($C37="","",IFERROR(INDEX('PAX &amp; CREW'!$L$3:$L$62,MATCH($C37,'PAX &amp; CREW'!$A$3:$A$62,0)),""))</f>
        <v/>
      </c>
      <c r="X37" s="118">
        <f>IF($C37="","",IFERROR(INDEX('PAX &amp; CREW'!$J$3:$J$62,MATCH($C37,'PAX &amp; CREW'!$A$3:$A$62,0)),""))</f>
        <v/>
      </c>
      <c r="Y37" s="118">
        <f>IF($C37="","",IFERROR(IF($E37="PASSPORT",INDEX('PAX &amp; CREW'!$O$3:$O$62,MATCH($C37,'PAX &amp; CREW'!$A$3:$A$62,0)),""),""))</f>
        <v/>
      </c>
      <c r="Z37" s="118">
        <f>IF($C37="","",IFERROR(IF($E37="PASSPORT",INDEX('PAX &amp; CREW'!$P$3:$P$62,MATCH($C37,'PAX &amp; CREW'!$A$3:$A$62,0)),IF($E37="VISA",INDEX('PAX &amp; CREW'!$T$3:$T$62,MATCH($C37,'PAX &amp; CREW'!$A$3:$A$62,0)),IF($E37="LICENCE",INDEX('PAX &amp; CREW'!$W$3:$W$62,MATCH($C37,'PAX &amp; CREW'!$A$3:$A$62,0)),IF($E37="MEDICAL",INDEX('PAX &amp; CREW'!$X$3:$X$62,MATCH($C37,'PAX &amp; CREW'!$A$3:$A$62,0)),"")))),""))</f>
        <v/>
      </c>
      <c r="AA37">
        <f>IF($C37="","",IFERROR(IF($E37="PASSPORT",INDEX('PAX &amp; CREW'!$N$3:$N$62,MATCH($C37,'PAX &amp; CREW'!$A$3:$A$62,0)),INDEX('PAX &amp; CREW'!$L$3:$L$62,MATCH($C37,'PAX &amp; CREW'!$A$3:$A$62,0))),""))</f>
        <v/>
      </c>
      <c r="AB37">
        <f>IF($A37="","",IF(OR($K37="",$T37=""),"-",IF(UPPER(TRIM($K37&amp;""))=UPPER(TRIM($T37&amp;"")),"MATCH","MISMATCH")))</f>
        <v/>
      </c>
      <c r="AC37">
        <f>IF($A37="","",IF(OR($L37="",$U37=""),"-",IF(UPPER(TRIM($L37&amp;""))=UPPER(TRIM($U37&amp;"")),"MATCH","MISMATCH")))</f>
        <v/>
      </c>
      <c r="AD37">
        <f>IF($A37="","",IF(OR($M37="",$V37=""),"-",IF(UPPER(TRIM($M37&amp;""))=UPPER(TRIM($V37&amp;"")),"MATCH","MISMATCH")))</f>
        <v/>
      </c>
      <c r="AE37">
        <f>IF($A37="","",IF(OR($N37="",$W37=""),"-",IF(UPPER(TRIM($N37&amp;""))=UPPER(TRIM($W37&amp;"")),"MATCH","MISMATCH")))</f>
        <v/>
      </c>
      <c r="AF37">
        <f>IF($A37="","",IF(OR($O37="",$X37=""),"-",IF(UPPER(TRIM($O37&amp;""))=UPPER(TRIM($X37&amp;"")),"MATCH","MISMATCH")))</f>
        <v/>
      </c>
      <c r="AG37">
        <f>IF($A37="","",IF(OR($Q37="",$Z37=""),"-",IF(UPPER(TRIM($Q37&amp;""))=UPPER(TRIM($Z37&amp;"")),"MATCH","MISMATCH")))</f>
        <v/>
      </c>
      <c r="AH37">
        <f>IF($A37="","",COUNTIF($AB37:$AG37,"MATCH")&amp;" of "&amp;(6-COUNTIF($AB37:$AG37,"-"))&amp;" compared fields match"&amp;IF(COUNTIF($AB37:$AG37,"MISMATCH")&gt;0," — "&amp;COUNTIF($AB37:$AG37,"MISMATCH")&amp;" MISMATCH, DO NOT ACCEPT WITHOUT REVIEW",""))</f>
        <v/>
      </c>
      <c r="AI37" s="4" t="n"/>
      <c r="AJ37" s="4" t="n"/>
      <c r="AK37" s="50" t="n"/>
      <c r="AL37">
        <f>IF($A37="","",IF($J37&lt;&gt;"DONE","AWAITING OCR",IF($AI37="","AWAITING HUMAN REVIEW",IF($AI37="REJECT DOCUMENT","REJECTED - NOT ASSIGNED",IF(OR($AJ37="",$AK37=""),"REVIEW INCOMPLETE - name and date the review",$AI37&amp;" - ASSIGNED TO "&amp;$C37&amp;" ON "&amp;$B37)))))</f>
        <v/>
      </c>
      <c r="AM37" s="4" t="n"/>
    </row>
    <row r="38">
      <c r="A38">
        <f>IF($C38="","","DOC-"&amp;TEXT(ROW()-4,"000"))</f>
        <v/>
      </c>
      <c r="B38">
        <f>IF($C38="","",IFERROR(INDEX('PAX &amp; CREW'!$B$3:$B$62,MATCH($C38,'PAX &amp; CREW'!$A$3:$A$62,0)),""))</f>
        <v/>
      </c>
      <c r="C38" s="4" t="n"/>
      <c r="D38">
        <f>IF($C38="","",IFERROR(INDEX('PAX &amp; CREW'!$G$3:$G$62,MATCH($C38,'PAX &amp; CREW'!$A$3:$A$62,0))&amp;", "&amp;INDEX('PAX &amp; CREW'!$H$3:$H$62,MATCH($C38,'PAX &amp; CREW'!$A$3:$A$62,0)),"PERSON NOT FOUND"))</f>
        <v/>
      </c>
      <c r="E38" s="4" t="n"/>
      <c r="F38" s="4" t="n"/>
      <c r="G38">
        <f>IF(OR($C38="",$F38=""),"",IFERROR(INDEX('PAX &amp; CREW'!$AE$3:$AE$62,MATCH($C38,'PAX &amp; CREW'!$A$3:$A$62,0))&amp;"\"&amp;$F38,""))</f>
        <v/>
      </c>
      <c r="H38" s="4" t="n"/>
      <c r="I38" s="50" t="n"/>
      <c r="J38" s="4" t="n"/>
      <c r="K38" s="4" t="n"/>
      <c r="L38" s="4" t="n"/>
      <c r="M38" s="4" t="n"/>
      <c r="N38" s="4" t="n"/>
      <c r="O38" s="114" t="n"/>
      <c r="P38" s="114" t="n"/>
      <c r="Q38" s="114" t="n"/>
      <c r="R38" s="4" t="n"/>
      <c r="S38" s="4" t="n"/>
      <c r="T38">
        <f>IF($C38="","",IFERROR(IF($E38="PASSPORT",INDEX('PAX &amp; CREW'!$M$3:$M$62,MATCH($C38,'PAX &amp; CREW'!$A$3:$A$62,0)),IF($E38="VISA",INDEX('PAX &amp; CREW'!$S$3:$S$62,MATCH($C38,'PAX &amp; CREW'!$A$3:$A$62,0)),IF($E38="LICENCE",INDEX('PAX &amp; CREW'!$V$3:$V$62,MATCH($C38,'PAX &amp; CREW'!$A$3:$A$62,0)),IF($E38="CREW ID",INDEX('PAX &amp; CREW'!$Y$3:$Y$62,MATCH($C38,'PAX &amp; CREW'!$A$3:$A$62,0)),"")))),""))</f>
        <v/>
      </c>
      <c r="U38">
        <f>IF($C38="","",IFERROR(INDEX('PAX &amp; CREW'!$G$3:$G$62,MATCH($C38,'PAX &amp; CREW'!$A$3:$A$62,0)),""))</f>
        <v/>
      </c>
      <c r="V38">
        <f>IF($C38="","",IFERROR(INDEX('PAX &amp; CREW'!$H$3:$H$62,MATCH($C38,'PAX &amp; CREW'!$A$3:$A$62,0)),""))</f>
        <v/>
      </c>
      <c r="W38">
        <f>IF($C38="","",IFERROR(INDEX('PAX &amp; CREW'!$L$3:$L$62,MATCH($C38,'PAX &amp; CREW'!$A$3:$A$62,0)),""))</f>
        <v/>
      </c>
      <c r="X38" s="118">
        <f>IF($C38="","",IFERROR(INDEX('PAX &amp; CREW'!$J$3:$J$62,MATCH($C38,'PAX &amp; CREW'!$A$3:$A$62,0)),""))</f>
        <v/>
      </c>
      <c r="Y38" s="118">
        <f>IF($C38="","",IFERROR(IF($E38="PASSPORT",INDEX('PAX &amp; CREW'!$O$3:$O$62,MATCH($C38,'PAX &amp; CREW'!$A$3:$A$62,0)),""),""))</f>
        <v/>
      </c>
      <c r="Z38" s="118">
        <f>IF($C38="","",IFERROR(IF($E38="PASSPORT",INDEX('PAX &amp; CREW'!$P$3:$P$62,MATCH($C38,'PAX &amp; CREW'!$A$3:$A$62,0)),IF($E38="VISA",INDEX('PAX &amp; CREW'!$T$3:$T$62,MATCH($C38,'PAX &amp; CREW'!$A$3:$A$62,0)),IF($E38="LICENCE",INDEX('PAX &amp; CREW'!$W$3:$W$62,MATCH($C38,'PAX &amp; CREW'!$A$3:$A$62,0)),IF($E38="MEDICAL",INDEX('PAX &amp; CREW'!$X$3:$X$62,MATCH($C38,'PAX &amp; CREW'!$A$3:$A$62,0)),"")))),""))</f>
        <v/>
      </c>
      <c r="AA38">
        <f>IF($C38="","",IFERROR(IF($E38="PASSPORT",INDEX('PAX &amp; CREW'!$N$3:$N$62,MATCH($C38,'PAX &amp; CREW'!$A$3:$A$62,0)),INDEX('PAX &amp; CREW'!$L$3:$L$62,MATCH($C38,'PAX &amp; CREW'!$A$3:$A$62,0))),""))</f>
        <v/>
      </c>
      <c r="AB38">
        <f>IF($A38="","",IF(OR($K38="",$T38=""),"-",IF(UPPER(TRIM($K38&amp;""))=UPPER(TRIM($T38&amp;"")),"MATCH","MISMATCH")))</f>
        <v/>
      </c>
      <c r="AC38">
        <f>IF($A38="","",IF(OR($L38="",$U38=""),"-",IF(UPPER(TRIM($L38&amp;""))=UPPER(TRIM($U38&amp;"")),"MATCH","MISMATCH")))</f>
        <v/>
      </c>
      <c r="AD38">
        <f>IF($A38="","",IF(OR($M38="",$V38=""),"-",IF(UPPER(TRIM($M38&amp;""))=UPPER(TRIM($V38&amp;"")),"MATCH","MISMATCH")))</f>
        <v/>
      </c>
      <c r="AE38">
        <f>IF($A38="","",IF(OR($N38="",$W38=""),"-",IF(UPPER(TRIM($N38&amp;""))=UPPER(TRIM($W38&amp;"")),"MATCH","MISMATCH")))</f>
        <v/>
      </c>
      <c r="AF38">
        <f>IF($A38="","",IF(OR($O38="",$X38=""),"-",IF(UPPER(TRIM($O38&amp;""))=UPPER(TRIM($X38&amp;"")),"MATCH","MISMATCH")))</f>
        <v/>
      </c>
      <c r="AG38">
        <f>IF($A38="","",IF(OR($Q38="",$Z38=""),"-",IF(UPPER(TRIM($Q38&amp;""))=UPPER(TRIM($Z38&amp;"")),"MATCH","MISMATCH")))</f>
        <v/>
      </c>
      <c r="AH38">
        <f>IF($A38="","",COUNTIF($AB38:$AG38,"MATCH")&amp;" of "&amp;(6-COUNTIF($AB38:$AG38,"-"))&amp;" compared fields match"&amp;IF(COUNTIF($AB38:$AG38,"MISMATCH")&gt;0," — "&amp;COUNTIF($AB38:$AG38,"MISMATCH")&amp;" MISMATCH, DO NOT ACCEPT WITHOUT REVIEW",""))</f>
        <v/>
      </c>
      <c r="AI38" s="4" t="n"/>
      <c r="AJ38" s="4" t="n"/>
      <c r="AK38" s="50" t="n"/>
      <c r="AL38">
        <f>IF($A38="","",IF($J38&lt;&gt;"DONE","AWAITING OCR",IF($AI38="","AWAITING HUMAN REVIEW",IF($AI38="REJECT DOCUMENT","REJECTED - NOT ASSIGNED",IF(OR($AJ38="",$AK38=""),"REVIEW INCOMPLETE - name and date the review",$AI38&amp;" - ASSIGNED TO "&amp;$C38&amp;" ON "&amp;$B38)))))</f>
        <v/>
      </c>
      <c r="AM38" s="4" t="n"/>
    </row>
    <row r="39">
      <c r="A39">
        <f>IF($C39="","","DOC-"&amp;TEXT(ROW()-4,"000"))</f>
        <v/>
      </c>
      <c r="B39">
        <f>IF($C39="","",IFERROR(INDEX('PAX &amp; CREW'!$B$3:$B$62,MATCH($C39,'PAX &amp; CREW'!$A$3:$A$62,0)),""))</f>
        <v/>
      </c>
      <c r="C39" s="4" t="n"/>
      <c r="D39">
        <f>IF($C39="","",IFERROR(INDEX('PAX &amp; CREW'!$G$3:$G$62,MATCH($C39,'PAX &amp; CREW'!$A$3:$A$62,0))&amp;", "&amp;INDEX('PAX &amp; CREW'!$H$3:$H$62,MATCH($C39,'PAX &amp; CREW'!$A$3:$A$62,0)),"PERSON NOT FOUND"))</f>
        <v/>
      </c>
      <c r="E39" s="4" t="n"/>
      <c r="F39" s="4" t="n"/>
      <c r="G39">
        <f>IF(OR($C39="",$F39=""),"",IFERROR(INDEX('PAX &amp; CREW'!$AE$3:$AE$62,MATCH($C39,'PAX &amp; CREW'!$A$3:$A$62,0))&amp;"\"&amp;$F39,""))</f>
        <v/>
      </c>
      <c r="H39" s="4" t="n"/>
      <c r="I39" s="50" t="n"/>
      <c r="J39" s="4" t="n"/>
      <c r="K39" s="4" t="n"/>
      <c r="L39" s="4" t="n"/>
      <c r="M39" s="4" t="n"/>
      <c r="N39" s="4" t="n"/>
      <c r="O39" s="114" t="n"/>
      <c r="P39" s="114" t="n"/>
      <c r="Q39" s="114" t="n"/>
      <c r="R39" s="4" t="n"/>
      <c r="S39" s="4" t="n"/>
      <c r="T39">
        <f>IF($C39="","",IFERROR(IF($E39="PASSPORT",INDEX('PAX &amp; CREW'!$M$3:$M$62,MATCH($C39,'PAX &amp; CREW'!$A$3:$A$62,0)),IF($E39="VISA",INDEX('PAX &amp; CREW'!$S$3:$S$62,MATCH($C39,'PAX &amp; CREW'!$A$3:$A$62,0)),IF($E39="LICENCE",INDEX('PAX &amp; CREW'!$V$3:$V$62,MATCH($C39,'PAX &amp; CREW'!$A$3:$A$62,0)),IF($E39="CREW ID",INDEX('PAX &amp; CREW'!$Y$3:$Y$62,MATCH($C39,'PAX &amp; CREW'!$A$3:$A$62,0)),"")))),""))</f>
        <v/>
      </c>
      <c r="U39">
        <f>IF($C39="","",IFERROR(INDEX('PAX &amp; CREW'!$G$3:$G$62,MATCH($C39,'PAX &amp; CREW'!$A$3:$A$62,0)),""))</f>
        <v/>
      </c>
      <c r="V39">
        <f>IF($C39="","",IFERROR(INDEX('PAX &amp; CREW'!$H$3:$H$62,MATCH($C39,'PAX &amp; CREW'!$A$3:$A$62,0)),""))</f>
        <v/>
      </c>
      <c r="W39">
        <f>IF($C39="","",IFERROR(INDEX('PAX &amp; CREW'!$L$3:$L$62,MATCH($C39,'PAX &amp; CREW'!$A$3:$A$62,0)),""))</f>
        <v/>
      </c>
      <c r="X39" s="118">
        <f>IF($C39="","",IFERROR(INDEX('PAX &amp; CREW'!$J$3:$J$62,MATCH($C39,'PAX &amp; CREW'!$A$3:$A$62,0)),""))</f>
        <v/>
      </c>
      <c r="Y39" s="118">
        <f>IF($C39="","",IFERROR(IF($E39="PASSPORT",INDEX('PAX &amp; CREW'!$O$3:$O$62,MATCH($C39,'PAX &amp; CREW'!$A$3:$A$62,0)),""),""))</f>
        <v/>
      </c>
      <c r="Z39" s="118">
        <f>IF($C39="","",IFERROR(IF($E39="PASSPORT",INDEX('PAX &amp; CREW'!$P$3:$P$62,MATCH($C39,'PAX &amp; CREW'!$A$3:$A$62,0)),IF($E39="VISA",INDEX('PAX &amp; CREW'!$T$3:$T$62,MATCH($C39,'PAX &amp; CREW'!$A$3:$A$62,0)),IF($E39="LICENCE",INDEX('PAX &amp; CREW'!$W$3:$W$62,MATCH($C39,'PAX &amp; CREW'!$A$3:$A$62,0)),IF($E39="MEDICAL",INDEX('PAX &amp; CREW'!$X$3:$X$62,MATCH($C39,'PAX &amp; CREW'!$A$3:$A$62,0)),"")))),""))</f>
        <v/>
      </c>
      <c r="AA39">
        <f>IF($C39="","",IFERROR(IF($E39="PASSPORT",INDEX('PAX &amp; CREW'!$N$3:$N$62,MATCH($C39,'PAX &amp; CREW'!$A$3:$A$62,0)),INDEX('PAX &amp; CREW'!$L$3:$L$62,MATCH($C39,'PAX &amp; CREW'!$A$3:$A$62,0))),""))</f>
        <v/>
      </c>
      <c r="AB39">
        <f>IF($A39="","",IF(OR($K39="",$T39=""),"-",IF(UPPER(TRIM($K39&amp;""))=UPPER(TRIM($T39&amp;"")),"MATCH","MISMATCH")))</f>
        <v/>
      </c>
      <c r="AC39">
        <f>IF($A39="","",IF(OR($L39="",$U39=""),"-",IF(UPPER(TRIM($L39&amp;""))=UPPER(TRIM($U39&amp;"")),"MATCH","MISMATCH")))</f>
        <v/>
      </c>
      <c r="AD39">
        <f>IF($A39="","",IF(OR($M39="",$V39=""),"-",IF(UPPER(TRIM($M39&amp;""))=UPPER(TRIM($V39&amp;"")),"MATCH","MISMATCH")))</f>
        <v/>
      </c>
      <c r="AE39">
        <f>IF($A39="","",IF(OR($N39="",$W39=""),"-",IF(UPPER(TRIM($N39&amp;""))=UPPER(TRIM($W39&amp;"")),"MATCH","MISMATCH")))</f>
        <v/>
      </c>
      <c r="AF39">
        <f>IF($A39="","",IF(OR($O39="",$X39=""),"-",IF(UPPER(TRIM($O39&amp;""))=UPPER(TRIM($X39&amp;"")),"MATCH","MISMATCH")))</f>
        <v/>
      </c>
      <c r="AG39">
        <f>IF($A39="","",IF(OR($Q39="",$Z39=""),"-",IF(UPPER(TRIM($Q39&amp;""))=UPPER(TRIM($Z39&amp;"")),"MATCH","MISMATCH")))</f>
        <v/>
      </c>
      <c r="AH39">
        <f>IF($A39="","",COUNTIF($AB39:$AG39,"MATCH")&amp;" of "&amp;(6-COUNTIF($AB39:$AG39,"-"))&amp;" compared fields match"&amp;IF(COUNTIF($AB39:$AG39,"MISMATCH")&gt;0," — "&amp;COUNTIF($AB39:$AG39,"MISMATCH")&amp;" MISMATCH, DO NOT ACCEPT WITHOUT REVIEW",""))</f>
        <v/>
      </c>
      <c r="AI39" s="4" t="n"/>
      <c r="AJ39" s="4" t="n"/>
      <c r="AK39" s="50" t="n"/>
      <c r="AL39">
        <f>IF($A39="","",IF($J39&lt;&gt;"DONE","AWAITING OCR",IF($AI39="","AWAITING HUMAN REVIEW",IF($AI39="REJECT DOCUMENT","REJECTED - NOT ASSIGNED",IF(OR($AJ39="",$AK39=""),"REVIEW INCOMPLETE - name and date the review",$AI39&amp;" - ASSIGNED TO "&amp;$C39&amp;" ON "&amp;$B39)))))</f>
        <v/>
      </c>
      <c r="AM39" s="4" t="n"/>
    </row>
    <row r="40">
      <c r="A40">
        <f>IF($C40="","","DOC-"&amp;TEXT(ROW()-4,"000"))</f>
        <v/>
      </c>
      <c r="B40">
        <f>IF($C40="","",IFERROR(INDEX('PAX &amp; CREW'!$B$3:$B$62,MATCH($C40,'PAX &amp; CREW'!$A$3:$A$62,0)),""))</f>
        <v/>
      </c>
      <c r="C40" s="4" t="n"/>
      <c r="D40">
        <f>IF($C40="","",IFERROR(INDEX('PAX &amp; CREW'!$G$3:$G$62,MATCH($C40,'PAX &amp; CREW'!$A$3:$A$62,0))&amp;", "&amp;INDEX('PAX &amp; CREW'!$H$3:$H$62,MATCH($C40,'PAX &amp; CREW'!$A$3:$A$62,0)),"PERSON NOT FOUND"))</f>
        <v/>
      </c>
      <c r="E40" s="4" t="n"/>
      <c r="F40" s="4" t="n"/>
      <c r="G40">
        <f>IF(OR($C40="",$F40=""),"",IFERROR(INDEX('PAX &amp; CREW'!$AE$3:$AE$62,MATCH($C40,'PAX &amp; CREW'!$A$3:$A$62,0))&amp;"\"&amp;$F40,""))</f>
        <v/>
      </c>
      <c r="H40" s="4" t="n"/>
      <c r="I40" s="50" t="n"/>
      <c r="J40" s="4" t="n"/>
      <c r="K40" s="4" t="n"/>
      <c r="L40" s="4" t="n"/>
      <c r="M40" s="4" t="n"/>
      <c r="N40" s="4" t="n"/>
      <c r="O40" s="114" t="n"/>
      <c r="P40" s="114" t="n"/>
      <c r="Q40" s="114" t="n"/>
      <c r="R40" s="4" t="n"/>
      <c r="S40" s="4" t="n"/>
      <c r="T40">
        <f>IF($C40="","",IFERROR(IF($E40="PASSPORT",INDEX('PAX &amp; CREW'!$M$3:$M$62,MATCH($C40,'PAX &amp; CREW'!$A$3:$A$62,0)),IF($E40="VISA",INDEX('PAX &amp; CREW'!$S$3:$S$62,MATCH($C40,'PAX &amp; CREW'!$A$3:$A$62,0)),IF($E40="LICENCE",INDEX('PAX &amp; CREW'!$V$3:$V$62,MATCH($C40,'PAX &amp; CREW'!$A$3:$A$62,0)),IF($E40="CREW ID",INDEX('PAX &amp; CREW'!$Y$3:$Y$62,MATCH($C40,'PAX &amp; CREW'!$A$3:$A$62,0)),"")))),""))</f>
        <v/>
      </c>
      <c r="U40">
        <f>IF($C40="","",IFERROR(INDEX('PAX &amp; CREW'!$G$3:$G$62,MATCH($C40,'PAX &amp; CREW'!$A$3:$A$62,0)),""))</f>
        <v/>
      </c>
      <c r="V40">
        <f>IF($C40="","",IFERROR(INDEX('PAX &amp; CREW'!$H$3:$H$62,MATCH($C40,'PAX &amp; CREW'!$A$3:$A$62,0)),""))</f>
        <v/>
      </c>
      <c r="W40">
        <f>IF($C40="","",IFERROR(INDEX('PAX &amp; CREW'!$L$3:$L$62,MATCH($C40,'PAX &amp; CREW'!$A$3:$A$62,0)),""))</f>
        <v/>
      </c>
      <c r="X40" s="118">
        <f>IF($C40="","",IFERROR(INDEX('PAX &amp; CREW'!$J$3:$J$62,MATCH($C40,'PAX &amp; CREW'!$A$3:$A$62,0)),""))</f>
        <v/>
      </c>
      <c r="Y40" s="118">
        <f>IF($C40="","",IFERROR(IF($E40="PASSPORT",INDEX('PAX &amp; CREW'!$O$3:$O$62,MATCH($C40,'PAX &amp; CREW'!$A$3:$A$62,0)),""),""))</f>
        <v/>
      </c>
      <c r="Z40" s="118">
        <f>IF($C40="","",IFERROR(IF($E40="PASSPORT",INDEX('PAX &amp; CREW'!$P$3:$P$62,MATCH($C40,'PAX &amp; CREW'!$A$3:$A$62,0)),IF($E40="VISA",INDEX('PAX &amp; CREW'!$T$3:$T$62,MATCH($C40,'PAX &amp; CREW'!$A$3:$A$62,0)),IF($E40="LICENCE",INDEX('PAX &amp; CREW'!$W$3:$W$62,MATCH($C40,'PAX &amp; CREW'!$A$3:$A$62,0)),IF($E40="MEDICAL",INDEX('PAX &amp; CREW'!$X$3:$X$62,MATCH($C40,'PAX &amp; CREW'!$A$3:$A$62,0)),"")))),""))</f>
        <v/>
      </c>
      <c r="AA40">
        <f>IF($C40="","",IFERROR(IF($E40="PASSPORT",INDEX('PAX &amp; CREW'!$N$3:$N$62,MATCH($C40,'PAX &amp; CREW'!$A$3:$A$62,0)),INDEX('PAX &amp; CREW'!$L$3:$L$62,MATCH($C40,'PAX &amp; CREW'!$A$3:$A$62,0))),""))</f>
        <v/>
      </c>
      <c r="AB40">
        <f>IF($A40="","",IF(OR($K40="",$T40=""),"-",IF(UPPER(TRIM($K40&amp;""))=UPPER(TRIM($T40&amp;"")),"MATCH","MISMATCH")))</f>
        <v/>
      </c>
      <c r="AC40">
        <f>IF($A40="","",IF(OR($L40="",$U40=""),"-",IF(UPPER(TRIM($L40&amp;""))=UPPER(TRIM($U40&amp;"")),"MATCH","MISMATCH")))</f>
        <v/>
      </c>
      <c r="AD40">
        <f>IF($A40="","",IF(OR($M40="",$V40=""),"-",IF(UPPER(TRIM($M40&amp;""))=UPPER(TRIM($V40&amp;"")),"MATCH","MISMATCH")))</f>
        <v/>
      </c>
      <c r="AE40">
        <f>IF($A40="","",IF(OR($N40="",$W40=""),"-",IF(UPPER(TRIM($N40&amp;""))=UPPER(TRIM($W40&amp;"")),"MATCH","MISMATCH")))</f>
        <v/>
      </c>
      <c r="AF40">
        <f>IF($A40="","",IF(OR($O40="",$X40=""),"-",IF(UPPER(TRIM($O40&amp;""))=UPPER(TRIM($X40&amp;"")),"MATCH","MISMATCH")))</f>
        <v/>
      </c>
      <c r="AG40">
        <f>IF($A40="","",IF(OR($Q40="",$Z40=""),"-",IF(UPPER(TRIM($Q40&amp;""))=UPPER(TRIM($Z40&amp;"")),"MATCH","MISMATCH")))</f>
        <v/>
      </c>
      <c r="AH40">
        <f>IF($A40="","",COUNTIF($AB40:$AG40,"MATCH")&amp;" of "&amp;(6-COUNTIF($AB40:$AG40,"-"))&amp;" compared fields match"&amp;IF(COUNTIF($AB40:$AG40,"MISMATCH")&gt;0," — "&amp;COUNTIF($AB40:$AG40,"MISMATCH")&amp;" MISMATCH, DO NOT ACCEPT WITHOUT REVIEW",""))</f>
        <v/>
      </c>
      <c r="AI40" s="4" t="n"/>
      <c r="AJ40" s="4" t="n"/>
      <c r="AK40" s="50" t="n"/>
      <c r="AL40">
        <f>IF($A40="","",IF($J40&lt;&gt;"DONE","AWAITING OCR",IF($AI40="","AWAITING HUMAN REVIEW",IF($AI40="REJECT DOCUMENT","REJECTED - NOT ASSIGNED",IF(OR($AJ40="",$AK40=""),"REVIEW INCOMPLETE - name and date the review",$AI40&amp;" - ASSIGNED TO "&amp;$C40&amp;" ON "&amp;$B40)))))</f>
        <v/>
      </c>
      <c r="AM40" s="4" t="n"/>
    </row>
    <row r="41">
      <c r="A41">
        <f>IF($C41="","","DOC-"&amp;TEXT(ROW()-4,"000"))</f>
        <v/>
      </c>
      <c r="B41">
        <f>IF($C41="","",IFERROR(INDEX('PAX &amp; CREW'!$B$3:$B$62,MATCH($C41,'PAX &amp; CREW'!$A$3:$A$62,0)),""))</f>
        <v/>
      </c>
      <c r="C41" s="4" t="n"/>
      <c r="D41">
        <f>IF($C41="","",IFERROR(INDEX('PAX &amp; CREW'!$G$3:$G$62,MATCH($C41,'PAX &amp; CREW'!$A$3:$A$62,0))&amp;", "&amp;INDEX('PAX &amp; CREW'!$H$3:$H$62,MATCH($C41,'PAX &amp; CREW'!$A$3:$A$62,0)),"PERSON NOT FOUND"))</f>
        <v/>
      </c>
      <c r="E41" s="4" t="n"/>
      <c r="F41" s="4" t="n"/>
      <c r="G41">
        <f>IF(OR($C41="",$F41=""),"",IFERROR(INDEX('PAX &amp; CREW'!$AE$3:$AE$62,MATCH($C41,'PAX &amp; CREW'!$A$3:$A$62,0))&amp;"\"&amp;$F41,""))</f>
        <v/>
      </c>
      <c r="H41" s="4" t="n"/>
      <c r="I41" s="50" t="n"/>
      <c r="J41" s="4" t="n"/>
      <c r="K41" s="4" t="n"/>
      <c r="L41" s="4" t="n"/>
      <c r="M41" s="4" t="n"/>
      <c r="N41" s="4" t="n"/>
      <c r="O41" s="114" t="n"/>
      <c r="P41" s="114" t="n"/>
      <c r="Q41" s="114" t="n"/>
      <c r="R41" s="4" t="n"/>
      <c r="S41" s="4" t="n"/>
      <c r="T41">
        <f>IF($C41="","",IFERROR(IF($E41="PASSPORT",INDEX('PAX &amp; CREW'!$M$3:$M$62,MATCH($C41,'PAX &amp; CREW'!$A$3:$A$62,0)),IF($E41="VISA",INDEX('PAX &amp; CREW'!$S$3:$S$62,MATCH($C41,'PAX &amp; CREW'!$A$3:$A$62,0)),IF($E41="LICENCE",INDEX('PAX &amp; CREW'!$V$3:$V$62,MATCH($C41,'PAX &amp; CREW'!$A$3:$A$62,0)),IF($E41="CREW ID",INDEX('PAX &amp; CREW'!$Y$3:$Y$62,MATCH($C41,'PAX &amp; CREW'!$A$3:$A$62,0)),"")))),""))</f>
        <v/>
      </c>
      <c r="U41">
        <f>IF($C41="","",IFERROR(INDEX('PAX &amp; CREW'!$G$3:$G$62,MATCH($C41,'PAX &amp; CREW'!$A$3:$A$62,0)),""))</f>
        <v/>
      </c>
      <c r="V41">
        <f>IF($C41="","",IFERROR(INDEX('PAX &amp; CREW'!$H$3:$H$62,MATCH($C41,'PAX &amp; CREW'!$A$3:$A$62,0)),""))</f>
        <v/>
      </c>
      <c r="W41">
        <f>IF($C41="","",IFERROR(INDEX('PAX &amp; CREW'!$L$3:$L$62,MATCH($C41,'PAX &amp; CREW'!$A$3:$A$62,0)),""))</f>
        <v/>
      </c>
      <c r="X41" s="118">
        <f>IF($C41="","",IFERROR(INDEX('PAX &amp; CREW'!$J$3:$J$62,MATCH($C41,'PAX &amp; CREW'!$A$3:$A$62,0)),""))</f>
        <v/>
      </c>
      <c r="Y41" s="118">
        <f>IF($C41="","",IFERROR(IF($E41="PASSPORT",INDEX('PAX &amp; CREW'!$O$3:$O$62,MATCH($C41,'PAX &amp; CREW'!$A$3:$A$62,0)),""),""))</f>
        <v/>
      </c>
      <c r="Z41" s="118">
        <f>IF($C41="","",IFERROR(IF($E41="PASSPORT",INDEX('PAX &amp; CREW'!$P$3:$P$62,MATCH($C41,'PAX &amp; CREW'!$A$3:$A$62,0)),IF($E41="VISA",INDEX('PAX &amp; CREW'!$T$3:$T$62,MATCH($C41,'PAX &amp; CREW'!$A$3:$A$62,0)),IF($E41="LICENCE",INDEX('PAX &amp; CREW'!$W$3:$W$62,MATCH($C41,'PAX &amp; CREW'!$A$3:$A$62,0)),IF($E41="MEDICAL",INDEX('PAX &amp; CREW'!$X$3:$X$62,MATCH($C41,'PAX &amp; CREW'!$A$3:$A$62,0)),"")))),""))</f>
        <v/>
      </c>
      <c r="AA41">
        <f>IF($C41="","",IFERROR(IF($E41="PASSPORT",INDEX('PAX &amp; CREW'!$N$3:$N$62,MATCH($C41,'PAX &amp; CREW'!$A$3:$A$62,0)),INDEX('PAX &amp; CREW'!$L$3:$L$62,MATCH($C41,'PAX &amp; CREW'!$A$3:$A$62,0))),""))</f>
        <v/>
      </c>
      <c r="AB41">
        <f>IF($A41="","",IF(OR($K41="",$T41=""),"-",IF(UPPER(TRIM($K41&amp;""))=UPPER(TRIM($T41&amp;"")),"MATCH","MISMATCH")))</f>
        <v/>
      </c>
      <c r="AC41">
        <f>IF($A41="","",IF(OR($L41="",$U41=""),"-",IF(UPPER(TRIM($L41&amp;""))=UPPER(TRIM($U41&amp;"")),"MATCH","MISMATCH")))</f>
        <v/>
      </c>
      <c r="AD41">
        <f>IF($A41="","",IF(OR($M41="",$V41=""),"-",IF(UPPER(TRIM($M41&amp;""))=UPPER(TRIM($V41&amp;"")),"MATCH","MISMATCH")))</f>
        <v/>
      </c>
      <c r="AE41">
        <f>IF($A41="","",IF(OR($N41="",$W41=""),"-",IF(UPPER(TRIM($N41&amp;""))=UPPER(TRIM($W41&amp;"")),"MATCH","MISMATCH")))</f>
        <v/>
      </c>
      <c r="AF41">
        <f>IF($A41="","",IF(OR($O41="",$X41=""),"-",IF(UPPER(TRIM($O41&amp;""))=UPPER(TRIM($X41&amp;"")),"MATCH","MISMATCH")))</f>
        <v/>
      </c>
      <c r="AG41">
        <f>IF($A41="","",IF(OR($Q41="",$Z41=""),"-",IF(UPPER(TRIM($Q41&amp;""))=UPPER(TRIM($Z41&amp;"")),"MATCH","MISMATCH")))</f>
        <v/>
      </c>
      <c r="AH41">
        <f>IF($A41="","",COUNTIF($AB41:$AG41,"MATCH")&amp;" of "&amp;(6-COUNTIF($AB41:$AG41,"-"))&amp;" compared fields match"&amp;IF(COUNTIF($AB41:$AG41,"MISMATCH")&gt;0," — "&amp;COUNTIF($AB41:$AG41,"MISMATCH")&amp;" MISMATCH, DO NOT ACCEPT WITHOUT REVIEW",""))</f>
        <v/>
      </c>
      <c r="AI41" s="4" t="n"/>
      <c r="AJ41" s="4" t="n"/>
      <c r="AK41" s="50" t="n"/>
      <c r="AL41">
        <f>IF($A41="","",IF($J41&lt;&gt;"DONE","AWAITING OCR",IF($AI41="","AWAITING HUMAN REVIEW",IF($AI41="REJECT DOCUMENT","REJECTED - NOT ASSIGNED",IF(OR($AJ41="",$AK41=""),"REVIEW INCOMPLETE - name and date the review",$AI41&amp;" - ASSIGNED TO "&amp;$C41&amp;" ON "&amp;$B41)))))</f>
        <v/>
      </c>
      <c r="AM41" s="4" t="n"/>
    </row>
    <row r="42">
      <c r="A42">
        <f>IF($C42="","","DOC-"&amp;TEXT(ROW()-4,"000"))</f>
        <v/>
      </c>
      <c r="B42">
        <f>IF($C42="","",IFERROR(INDEX('PAX &amp; CREW'!$B$3:$B$62,MATCH($C42,'PAX &amp; CREW'!$A$3:$A$62,0)),""))</f>
        <v/>
      </c>
      <c r="C42" s="4" t="n"/>
      <c r="D42">
        <f>IF($C42="","",IFERROR(INDEX('PAX &amp; CREW'!$G$3:$G$62,MATCH($C42,'PAX &amp; CREW'!$A$3:$A$62,0))&amp;", "&amp;INDEX('PAX &amp; CREW'!$H$3:$H$62,MATCH($C42,'PAX &amp; CREW'!$A$3:$A$62,0)),"PERSON NOT FOUND"))</f>
        <v/>
      </c>
      <c r="E42" s="4" t="n"/>
      <c r="F42" s="4" t="n"/>
      <c r="G42">
        <f>IF(OR($C42="",$F42=""),"",IFERROR(INDEX('PAX &amp; CREW'!$AE$3:$AE$62,MATCH($C42,'PAX &amp; CREW'!$A$3:$A$62,0))&amp;"\"&amp;$F42,""))</f>
        <v/>
      </c>
      <c r="H42" s="4" t="n"/>
      <c r="I42" s="50" t="n"/>
      <c r="J42" s="4" t="n"/>
      <c r="K42" s="4" t="n"/>
      <c r="L42" s="4" t="n"/>
      <c r="M42" s="4" t="n"/>
      <c r="N42" s="4" t="n"/>
      <c r="O42" s="114" t="n"/>
      <c r="P42" s="114" t="n"/>
      <c r="Q42" s="114" t="n"/>
      <c r="R42" s="4" t="n"/>
      <c r="S42" s="4" t="n"/>
      <c r="T42">
        <f>IF($C42="","",IFERROR(IF($E42="PASSPORT",INDEX('PAX &amp; CREW'!$M$3:$M$62,MATCH($C42,'PAX &amp; CREW'!$A$3:$A$62,0)),IF($E42="VISA",INDEX('PAX &amp; CREW'!$S$3:$S$62,MATCH($C42,'PAX &amp; CREW'!$A$3:$A$62,0)),IF($E42="LICENCE",INDEX('PAX &amp; CREW'!$V$3:$V$62,MATCH($C42,'PAX &amp; CREW'!$A$3:$A$62,0)),IF($E42="CREW ID",INDEX('PAX &amp; CREW'!$Y$3:$Y$62,MATCH($C42,'PAX &amp; CREW'!$A$3:$A$62,0)),"")))),""))</f>
        <v/>
      </c>
      <c r="U42">
        <f>IF($C42="","",IFERROR(INDEX('PAX &amp; CREW'!$G$3:$G$62,MATCH($C42,'PAX &amp; CREW'!$A$3:$A$62,0)),""))</f>
        <v/>
      </c>
      <c r="V42">
        <f>IF($C42="","",IFERROR(INDEX('PAX &amp; CREW'!$H$3:$H$62,MATCH($C42,'PAX &amp; CREW'!$A$3:$A$62,0)),""))</f>
        <v/>
      </c>
      <c r="W42">
        <f>IF($C42="","",IFERROR(INDEX('PAX &amp; CREW'!$L$3:$L$62,MATCH($C42,'PAX &amp; CREW'!$A$3:$A$62,0)),""))</f>
        <v/>
      </c>
      <c r="X42" s="118">
        <f>IF($C42="","",IFERROR(INDEX('PAX &amp; CREW'!$J$3:$J$62,MATCH($C42,'PAX &amp; CREW'!$A$3:$A$62,0)),""))</f>
        <v/>
      </c>
      <c r="Y42" s="118">
        <f>IF($C42="","",IFERROR(IF($E42="PASSPORT",INDEX('PAX &amp; CREW'!$O$3:$O$62,MATCH($C42,'PAX &amp; CREW'!$A$3:$A$62,0)),""),""))</f>
        <v/>
      </c>
      <c r="Z42" s="118">
        <f>IF($C42="","",IFERROR(IF($E42="PASSPORT",INDEX('PAX &amp; CREW'!$P$3:$P$62,MATCH($C42,'PAX &amp; CREW'!$A$3:$A$62,0)),IF($E42="VISA",INDEX('PAX &amp; CREW'!$T$3:$T$62,MATCH($C42,'PAX &amp; CREW'!$A$3:$A$62,0)),IF($E42="LICENCE",INDEX('PAX &amp; CREW'!$W$3:$W$62,MATCH($C42,'PAX &amp; CREW'!$A$3:$A$62,0)),IF($E42="MEDICAL",INDEX('PAX &amp; CREW'!$X$3:$X$62,MATCH($C42,'PAX &amp; CREW'!$A$3:$A$62,0)),"")))),""))</f>
        <v/>
      </c>
      <c r="AA42">
        <f>IF($C42="","",IFERROR(IF($E42="PASSPORT",INDEX('PAX &amp; CREW'!$N$3:$N$62,MATCH($C42,'PAX &amp; CREW'!$A$3:$A$62,0)),INDEX('PAX &amp; CREW'!$L$3:$L$62,MATCH($C42,'PAX &amp; CREW'!$A$3:$A$62,0))),""))</f>
        <v/>
      </c>
      <c r="AB42">
        <f>IF($A42="","",IF(OR($K42="",$T42=""),"-",IF(UPPER(TRIM($K42&amp;""))=UPPER(TRIM($T42&amp;"")),"MATCH","MISMATCH")))</f>
        <v/>
      </c>
      <c r="AC42">
        <f>IF($A42="","",IF(OR($L42="",$U42=""),"-",IF(UPPER(TRIM($L42&amp;""))=UPPER(TRIM($U42&amp;"")),"MATCH","MISMATCH")))</f>
        <v/>
      </c>
      <c r="AD42">
        <f>IF($A42="","",IF(OR($M42="",$V42=""),"-",IF(UPPER(TRIM($M42&amp;""))=UPPER(TRIM($V42&amp;"")),"MATCH","MISMATCH")))</f>
        <v/>
      </c>
      <c r="AE42">
        <f>IF($A42="","",IF(OR($N42="",$W42=""),"-",IF(UPPER(TRIM($N42&amp;""))=UPPER(TRIM($W42&amp;"")),"MATCH","MISMATCH")))</f>
        <v/>
      </c>
      <c r="AF42">
        <f>IF($A42="","",IF(OR($O42="",$X42=""),"-",IF(UPPER(TRIM($O42&amp;""))=UPPER(TRIM($X42&amp;"")),"MATCH","MISMATCH")))</f>
        <v/>
      </c>
      <c r="AG42">
        <f>IF($A42="","",IF(OR($Q42="",$Z42=""),"-",IF(UPPER(TRIM($Q42&amp;""))=UPPER(TRIM($Z42&amp;"")),"MATCH","MISMATCH")))</f>
        <v/>
      </c>
      <c r="AH42">
        <f>IF($A42="","",COUNTIF($AB42:$AG42,"MATCH")&amp;" of "&amp;(6-COUNTIF($AB42:$AG42,"-"))&amp;" compared fields match"&amp;IF(COUNTIF($AB42:$AG42,"MISMATCH")&gt;0," — "&amp;COUNTIF($AB42:$AG42,"MISMATCH")&amp;" MISMATCH, DO NOT ACCEPT WITHOUT REVIEW",""))</f>
        <v/>
      </c>
      <c r="AI42" s="4" t="n"/>
      <c r="AJ42" s="4" t="n"/>
      <c r="AK42" s="50" t="n"/>
      <c r="AL42">
        <f>IF($A42="","",IF($J42&lt;&gt;"DONE","AWAITING OCR",IF($AI42="","AWAITING HUMAN REVIEW",IF($AI42="REJECT DOCUMENT","REJECTED - NOT ASSIGNED",IF(OR($AJ42="",$AK42=""),"REVIEW INCOMPLETE - name and date the review",$AI42&amp;" - ASSIGNED TO "&amp;$C42&amp;" ON "&amp;$B42)))))</f>
        <v/>
      </c>
      <c r="AM42" s="4" t="n"/>
    </row>
    <row r="43">
      <c r="A43">
        <f>IF($C43="","","DOC-"&amp;TEXT(ROW()-4,"000"))</f>
        <v/>
      </c>
      <c r="B43">
        <f>IF($C43="","",IFERROR(INDEX('PAX &amp; CREW'!$B$3:$B$62,MATCH($C43,'PAX &amp; CREW'!$A$3:$A$62,0)),""))</f>
        <v/>
      </c>
      <c r="C43" s="4" t="n"/>
      <c r="D43">
        <f>IF($C43="","",IFERROR(INDEX('PAX &amp; CREW'!$G$3:$G$62,MATCH($C43,'PAX &amp; CREW'!$A$3:$A$62,0))&amp;", "&amp;INDEX('PAX &amp; CREW'!$H$3:$H$62,MATCH($C43,'PAX &amp; CREW'!$A$3:$A$62,0)),"PERSON NOT FOUND"))</f>
        <v/>
      </c>
      <c r="E43" s="4" t="n"/>
      <c r="F43" s="4" t="n"/>
      <c r="G43">
        <f>IF(OR($C43="",$F43=""),"",IFERROR(INDEX('PAX &amp; CREW'!$AE$3:$AE$62,MATCH($C43,'PAX &amp; CREW'!$A$3:$A$62,0))&amp;"\"&amp;$F43,""))</f>
        <v/>
      </c>
      <c r="H43" s="4" t="n"/>
      <c r="I43" s="50" t="n"/>
      <c r="J43" s="4" t="n"/>
      <c r="K43" s="4" t="n"/>
      <c r="L43" s="4" t="n"/>
      <c r="M43" s="4" t="n"/>
      <c r="N43" s="4" t="n"/>
      <c r="O43" s="114" t="n"/>
      <c r="P43" s="114" t="n"/>
      <c r="Q43" s="114" t="n"/>
      <c r="R43" s="4" t="n"/>
      <c r="S43" s="4" t="n"/>
      <c r="T43">
        <f>IF($C43="","",IFERROR(IF($E43="PASSPORT",INDEX('PAX &amp; CREW'!$M$3:$M$62,MATCH($C43,'PAX &amp; CREW'!$A$3:$A$62,0)),IF($E43="VISA",INDEX('PAX &amp; CREW'!$S$3:$S$62,MATCH($C43,'PAX &amp; CREW'!$A$3:$A$62,0)),IF($E43="LICENCE",INDEX('PAX &amp; CREW'!$V$3:$V$62,MATCH($C43,'PAX &amp; CREW'!$A$3:$A$62,0)),IF($E43="CREW ID",INDEX('PAX &amp; CREW'!$Y$3:$Y$62,MATCH($C43,'PAX &amp; CREW'!$A$3:$A$62,0)),"")))),""))</f>
        <v/>
      </c>
      <c r="U43">
        <f>IF($C43="","",IFERROR(INDEX('PAX &amp; CREW'!$G$3:$G$62,MATCH($C43,'PAX &amp; CREW'!$A$3:$A$62,0)),""))</f>
        <v/>
      </c>
      <c r="V43">
        <f>IF($C43="","",IFERROR(INDEX('PAX &amp; CREW'!$H$3:$H$62,MATCH($C43,'PAX &amp; CREW'!$A$3:$A$62,0)),""))</f>
        <v/>
      </c>
      <c r="W43">
        <f>IF($C43="","",IFERROR(INDEX('PAX &amp; CREW'!$L$3:$L$62,MATCH($C43,'PAX &amp; CREW'!$A$3:$A$62,0)),""))</f>
        <v/>
      </c>
      <c r="X43" s="118">
        <f>IF($C43="","",IFERROR(INDEX('PAX &amp; CREW'!$J$3:$J$62,MATCH($C43,'PAX &amp; CREW'!$A$3:$A$62,0)),""))</f>
        <v/>
      </c>
      <c r="Y43" s="118">
        <f>IF($C43="","",IFERROR(IF($E43="PASSPORT",INDEX('PAX &amp; CREW'!$O$3:$O$62,MATCH($C43,'PAX &amp; CREW'!$A$3:$A$62,0)),""),""))</f>
        <v/>
      </c>
      <c r="Z43" s="118">
        <f>IF($C43="","",IFERROR(IF($E43="PASSPORT",INDEX('PAX &amp; CREW'!$P$3:$P$62,MATCH($C43,'PAX &amp; CREW'!$A$3:$A$62,0)),IF($E43="VISA",INDEX('PAX &amp; CREW'!$T$3:$T$62,MATCH($C43,'PAX &amp; CREW'!$A$3:$A$62,0)),IF($E43="LICENCE",INDEX('PAX &amp; CREW'!$W$3:$W$62,MATCH($C43,'PAX &amp; CREW'!$A$3:$A$62,0)),IF($E43="MEDICAL",INDEX('PAX &amp; CREW'!$X$3:$X$62,MATCH($C43,'PAX &amp; CREW'!$A$3:$A$62,0)),"")))),""))</f>
        <v/>
      </c>
      <c r="AA43">
        <f>IF($C43="","",IFERROR(IF($E43="PASSPORT",INDEX('PAX &amp; CREW'!$N$3:$N$62,MATCH($C43,'PAX &amp; CREW'!$A$3:$A$62,0)),INDEX('PAX &amp; CREW'!$L$3:$L$62,MATCH($C43,'PAX &amp; CREW'!$A$3:$A$62,0))),""))</f>
        <v/>
      </c>
      <c r="AB43">
        <f>IF($A43="","",IF(OR($K43="",$T43=""),"-",IF(UPPER(TRIM($K43&amp;""))=UPPER(TRIM($T43&amp;"")),"MATCH","MISMATCH")))</f>
        <v/>
      </c>
      <c r="AC43">
        <f>IF($A43="","",IF(OR($L43="",$U43=""),"-",IF(UPPER(TRIM($L43&amp;""))=UPPER(TRIM($U43&amp;"")),"MATCH","MISMATCH")))</f>
        <v/>
      </c>
      <c r="AD43">
        <f>IF($A43="","",IF(OR($M43="",$V43=""),"-",IF(UPPER(TRIM($M43&amp;""))=UPPER(TRIM($V43&amp;"")),"MATCH","MISMATCH")))</f>
        <v/>
      </c>
      <c r="AE43">
        <f>IF($A43="","",IF(OR($N43="",$W43=""),"-",IF(UPPER(TRIM($N43&amp;""))=UPPER(TRIM($W43&amp;"")),"MATCH","MISMATCH")))</f>
        <v/>
      </c>
      <c r="AF43">
        <f>IF($A43="","",IF(OR($O43="",$X43=""),"-",IF(UPPER(TRIM($O43&amp;""))=UPPER(TRIM($X43&amp;"")),"MATCH","MISMATCH")))</f>
        <v/>
      </c>
      <c r="AG43">
        <f>IF($A43="","",IF(OR($Q43="",$Z43=""),"-",IF(UPPER(TRIM($Q43&amp;""))=UPPER(TRIM($Z43&amp;"")),"MATCH","MISMATCH")))</f>
        <v/>
      </c>
      <c r="AH43">
        <f>IF($A43="","",COUNTIF($AB43:$AG43,"MATCH")&amp;" of "&amp;(6-COUNTIF($AB43:$AG43,"-"))&amp;" compared fields match"&amp;IF(COUNTIF($AB43:$AG43,"MISMATCH")&gt;0," — "&amp;COUNTIF($AB43:$AG43,"MISMATCH")&amp;" MISMATCH, DO NOT ACCEPT WITHOUT REVIEW",""))</f>
        <v/>
      </c>
      <c r="AI43" s="4" t="n"/>
      <c r="AJ43" s="4" t="n"/>
      <c r="AK43" s="50" t="n"/>
      <c r="AL43">
        <f>IF($A43="","",IF($J43&lt;&gt;"DONE","AWAITING OCR",IF($AI43="","AWAITING HUMAN REVIEW",IF($AI43="REJECT DOCUMENT","REJECTED - NOT ASSIGNED",IF(OR($AJ43="",$AK43=""),"REVIEW INCOMPLETE - name and date the review",$AI43&amp;" - ASSIGNED TO "&amp;$C43&amp;" ON "&amp;$B43)))))</f>
        <v/>
      </c>
      <c r="AM43" s="4" t="n"/>
    </row>
    <row r="44">
      <c r="A44">
        <f>IF($C44="","","DOC-"&amp;TEXT(ROW()-4,"000"))</f>
        <v/>
      </c>
      <c r="B44">
        <f>IF($C44="","",IFERROR(INDEX('PAX &amp; CREW'!$B$3:$B$62,MATCH($C44,'PAX &amp; CREW'!$A$3:$A$62,0)),""))</f>
        <v/>
      </c>
      <c r="C44" s="4" t="n"/>
      <c r="D44">
        <f>IF($C44="","",IFERROR(INDEX('PAX &amp; CREW'!$G$3:$G$62,MATCH($C44,'PAX &amp; CREW'!$A$3:$A$62,0))&amp;", "&amp;INDEX('PAX &amp; CREW'!$H$3:$H$62,MATCH($C44,'PAX &amp; CREW'!$A$3:$A$62,0)),"PERSON NOT FOUND"))</f>
        <v/>
      </c>
      <c r="E44" s="4" t="n"/>
      <c r="F44" s="4" t="n"/>
      <c r="G44">
        <f>IF(OR($C44="",$F44=""),"",IFERROR(INDEX('PAX &amp; CREW'!$AE$3:$AE$62,MATCH($C44,'PAX &amp; CREW'!$A$3:$A$62,0))&amp;"\"&amp;$F44,""))</f>
        <v/>
      </c>
      <c r="H44" s="4" t="n"/>
      <c r="I44" s="50" t="n"/>
      <c r="J44" s="4" t="n"/>
      <c r="K44" s="4" t="n"/>
      <c r="L44" s="4" t="n"/>
      <c r="M44" s="4" t="n"/>
      <c r="N44" s="4" t="n"/>
      <c r="O44" s="114" t="n"/>
      <c r="P44" s="114" t="n"/>
      <c r="Q44" s="114" t="n"/>
      <c r="R44" s="4" t="n"/>
      <c r="S44" s="4" t="n"/>
      <c r="T44">
        <f>IF($C44="","",IFERROR(IF($E44="PASSPORT",INDEX('PAX &amp; CREW'!$M$3:$M$62,MATCH($C44,'PAX &amp; CREW'!$A$3:$A$62,0)),IF($E44="VISA",INDEX('PAX &amp; CREW'!$S$3:$S$62,MATCH($C44,'PAX &amp; CREW'!$A$3:$A$62,0)),IF($E44="LICENCE",INDEX('PAX &amp; CREW'!$V$3:$V$62,MATCH($C44,'PAX &amp; CREW'!$A$3:$A$62,0)),IF($E44="CREW ID",INDEX('PAX &amp; CREW'!$Y$3:$Y$62,MATCH($C44,'PAX &amp; CREW'!$A$3:$A$62,0)),"")))),""))</f>
        <v/>
      </c>
      <c r="U44">
        <f>IF($C44="","",IFERROR(INDEX('PAX &amp; CREW'!$G$3:$G$62,MATCH($C44,'PAX &amp; CREW'!$A$3:$A$62,0)),""))</f>
        <v/>
      </c>
      <c r="V44">
        <f>IF($C44="","",IFERROR(INDEX('PAX &amp; CREW'!$H$3:$H$62,MATCH($C44,'PAX &amp; CREW'!$A$3:$A$62,0)),""))</f>
        <v/>
      </c>
      <c r="W44">
        <f>IF($C44="","",IFERROR(INDEX('PAX &amp; CREW'!$L$3:$L$62,MATCH($C44,'PAX &amp; CREW'!$A$3:$A$62,0)),""))</f>
        <v/>
      </c>
      <c r="X44" s="118">
        <f>IF($C44="","",IFERROR(INDEX('PAX &amp; CREW'!$J$3:$J$62,MATCH($C44,'PAX &amp; CREW'!$A$3:$A$62,0)),""))</f>
        <v/>
      </c>
      <c r="Y44" s="118">
        <f>IF($C44="","",IFERROR(IF($E44="PASSPORT",INDEX('PAX &amp; CREW'!$O$3:$O$62,MATCH($C44,'PAX &amp; CREW'!$A$3:$A$62,0)),""),""))</f>
        <v/>
      </c>
      <c r="Z44" s="118">
        <f>IF($C44="","",IFERROR(IF($E44="PASSPORT",INDEX('PAX &amp; CREW'!$P$3:$P$62,MATCH($C44,'PAX &amp; CREW'!$A$3:$A$62,0)),IF($E44="VISA",INDEX('PAX &amp; CREW'!$T$3:$T$62,MATCH($C44,'PAX &amp; CREW'!$A$3:$A$62,0)),IF($E44="LICENCE",INDEX('PAX &amp; CREW'!$W$3:$W$62,MATCH($C44,'PAX &amp; CREW'!$A$3:$A$62,0)),IF($E44="MEDICAL",INDEX('PAX &amp; CREW'!$X$3:$X$62,MATCH($C44,'PAX &amp; CREW'!$A$3:$A$62,0)),"")))),""))</f>
        <v/>
      </c>
      <c r="AA44">
        <f>IF($C44="","",IFERROR(IF($E44="PASSPORT",INDEX('PAX &amp; CREW'!$N$3:$N$62,MATCH($C44,'PAX &amp; CREW'!$A$3:$A$62,0)),INDEX('PAX &amp; CREW'!$L$3:$L$62,MATCH($C44,'PAX &amp; CREW'!$A$3:$A$62,0))),""))</f>
        <v/>
      </c>
      <c r="AB44">
        <f>IF($A44="","",IF(OR($K44="",$T44=""),"-",IF(UPPER(TRIM($K44&amp;""))=UPPER(TRIM($T44&amp;"")),"MATCH","MISMATCH")))</f>
        <v/>
      </c>
      <c r="AC44">
        <f>IF($A44="","",IF(OR($L44="",$U44=""),"-",IF(UPPER(TRIM($L44&amp;""))=UPPER(TRIM($U44&amp;"")),"MATCH","MISMATCH")))</f>
        <v/>
      </c>
      <c r="AD44">
        <f>IF($A44="","",IF(OR($M44="",$V44=""),"-",IF(UPPER(TRIM($M44&amp;""))=UPPER(TRIM($V44&amp;"")),"MATCH","MISMATCH")))</f>
        <v/>
      </c>
      <c r="AE44">
        <f>IF($A44="","",IF(OR($N44="",$W44=""),"-",IF(UPPER(TRIM($N44&amp;""))=UPPER(TRIM($W44&amp;"")),"MATCH","MISMATCH")))</f>
        <v/>
      </c>
      <c r="AF44">
        <f>IF($A44="","",IF(OR($O44="",$X44=""),"-",IF(UPPER(TRIM($O44&amp;""))=UPPER(TRIM($X44&amp;"")),"MATCH","MISMATCH")))</f>
        <v/>
      </c>
      <c r="AG44">
        <f>IF($A44="","",IF(OR($Q44="",$Z44=""),"-",IF(UPPER(TRIM($Q44&amp;""))=UPPER(TRIM($Z44&amp;"")),"MATCH","MISMATCH")))</f>
        <v/>
      </c>
      <c r="AH44">
        <f>IF($A44="","",COUNTIF($AB44:$AG44,"MATCH")&amp;" of "&amp;(6-COUNTIF($AB44:$AG44,"-"))&amp;" compared fields match"&amp;IF(COUNTIF($AB44:$AG44,"MISMATCH")&gt;0," — "&amp;COUNTIF($AB44:$AG44,"MISMATCH")&amp;" MISMATCH, DO NOT ACCEPT WITHOUT REVIEW",""))</f>
        <v/>
      </c>
      <c r="AI44" s="4" t="n"/>
      <c r="AJ44" s="4" t="n"/>
      <c r="AK44" s="50" t="n"/>
      <c r="AL44">
        <f>IF($A44="","",IF($J44&lt;&gt;"DONE","AWAITING OCR",IF($AI44="","AWAITING HUMAN REVIEW",IF($AI44="REJECT DOCUMENT","REJECTED - NOT ASSIGNED",IF(OR($AJ44="",$AK44=""),"REVIEW INCOMPLETE - name and date the review",$AI44&amp;" - ASSIGNED TO "&amp;$C44&amp;" ON "&amp;$B44)))))</f>
        <v/>
      </c>
      <c r="AM44" s="4" t="n"/>
    </row>
  </sheetData>
  <dataValidations count="3">
    <dataValidation sqref="E5:E44" showDropDown="0" showInputMessage="1" showErrorMessage="1" allowBlank="1" type="list">
      <formula1>"PASSPORT,VISA,LICENCE,MEDICAL,CREW ID,INSURANCE,AOC,INSURANCE CERTIFICATE,OTHER"</formula1>
    </dataValidation>
    <dataValidation sqref="J5:J44" showDropDown="0" showInputMessage="1" showErrorMessage="1" allowBlank="1" type="list">
      <formula1>"PENDING,DONE,FAILED,NOT APPLICABLE"</formula1>
    </dataValidation>
    <dataValidation sqref="AI5:AI44" showDropDown="0" showInputMessage="1" showErrorMessage="1" allowBlank="1" type="list">
      <formula1>"ACCEPT OCR,KEEP ON FILE,CORRECTED MANUALLY,REJECT DOCUMENT"</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S175"/>
  <sheetViews>
    <sheetView workbookViewId="0">
      <pane xSplit="1" ySplit="3" topLeftCell="B7" activePane="bottomRight" state="frozen"/>
      <selection pane="topRight" activeCell="B1" sqref="B1"/>
      <selection pane="bottomLeft" activeCell="A4" sqref="A4"/>
      <selection pane="bottomRight" activeCell="C19" sqref="C19"/>
    </sheetView>
  </sheetViews>
  <sheetFormatPr baseColWidth="8" defaultRowHeight="14.4"/>
  <cols>
    <col width="42.5546875" customWidth="1" min="1" max="1"/>
    <col width="22.21875" customWidth="1" min="2" max="175"/>
  </cols>
  <sheetData>
    <row r="1" ht="18" customHeight="1">
      <c r="A1" s="44" t="inlineStr">
        <is>
          <t>VISA MATRIX — destination state (rows) x nationality of the traveller (columns)</t>
        </is>
      </c>
    </row>
    <row r="2">
      <c r="A2" s="32" t="inlineStr">
        <is>
          <t>Blank = not yet determined; the trip sheets show NOT ON FILE and fail safe. Enter one of: NOT REQUIRED, REQUIRED, VISA ON ARRIVAL, eVISA, TRANSIT ONLY, TIWB. Lead time, maximum stay, conditions and airport-specific overrides live on the VISA sheet. This is a CREW AND PASSENGER OPERATIONAL reference — tourist visa policy is not a substitute; verify with the state before filing.</t>
        </is>
      </c>
    </row>
    <row r="3">
      <c r="A3" s="25" t="inlineStr">
        <is>
          <t>DESTINATION STATE \ NATIONALITY</t>
        </is>
      </c>
      <c r="B3" s="25" t="inlineStr">
        <is>
          <t>Algeria</t>
        </is>
      </c>
      <c r="C3" s="25" t="inlineStr">
        <is>
          <t>Angola</t>
        </is>
      </c>
      <c r="D3" s="25" t="inlineStr">
        <is>
          <t>Benin</t>
        </is>
      </c>
      <c r="E3" s="25" t="inlineStr">
        <is>
          <t>Botswana</t>
        </is>
      </c>
      <c r="F3" s="25" t="inlineStr">
        <is>
          <t>Burkina Faso</t>
        </is>
      </c>
      <c r="G3" s="25" t="inlineStr">
        <is>
          <t>Burundi</t>
        </is>
      </c>
      <c r="H3" s="25" t="inlineStr">
        <is>
          <t>Cameroon</t>
        </is>
      </c>
      <c r="I3" s="25" t="inlineStr">
        <is>
          <t>Cape Verde</t>
        </is>
      </c>
      <c r="J3" s="25" t="inlineStr">
        <is>
          <t>Central African Republic</t>
        </is>
      </c>
      <c r="K3" s="25" t="inlineStr">
        <is>
          <t>Chad</t>
        </is>
      </c>
      <c r="L3" s="25" t="inlineStr">
        <is>
          <t>Comoros</t>
        </is>
      </c>
      <c r="M3" s="25" t="inlineStr">
        <is>
          <t>Côte d'Ivoire</t>
        </is>
      </c>
      <c r="N3" s="25" t="inlineStr">
        <is>
          <t>Democratic Republic of the Congo</t>
        </is>
      </c>
      <c r="O3" s="25" t="inlineStr">
        <is>
          <t>Djibouti</t>
        </is>
      </c>
      <c r="P3" s="25" t="inlineStr">
        <is>
          <t>Egypt</t>
        </is>
      </c>
      <c r="Q3" s="25" t="inlineStr">
        <is>
          <t>Equatorial Guinea</t>
        </is>
      </c>
      <c r="R3" s="25" t="inlineStr">
        <is>
          <t>Eritrea</t>
        </is>
      </c>
      <c r="S3" s="25" t="inlineStr">
        <is>
          <t>Eswatini</t>
        </is>
      </c>
      <c r="T3" s="25" t="inlineStr">
        <is>
          <t>Ethiopia</t>
        </is>
      </c>
      <c r="U3" s="25" t="inlineStr">
        <is>
          <t>Gabon</t>
        </is>
      </c>
      <c r="V3" s="25" t="inlineStr">
        <is>
          <t>Gambia</t>
        </is>
      </c>
      <c r="W3" s="25" t="inlineStr">
        <is>
          <t>Ghana</t>
        </is>
      </c>
      <c r="X3" s="25" t="inlineStr">
        <is>
          <t>Guinea</t>
        </is>
      </c>
      <c r="Y3" s="25" t="inlineStr">
        <is>
          <t>Guinea-Bissau</t>
        </is>
      </c>
      <c r="Z3" s="25" t="inlineStr">
        <is>
          <t>Kenya</t>
        </is>
      </c>
      <c r="AA3" s="25" t="inlineStr">
        <is>
          <t>Lesotho</t>
        </is>
      </c>
      <c r="AB3" s="25" t="inlineStr">
        <is>
          <t>Liberia</t>
        </is>
      </c>
      <c r="AC3" s="25" t="inlineStr">
        <is>
          <t>Libya</t>
        </is>
      </c>
      <c r="AD3" s="25" t="inlineStr">
        <is>
          <t>Madagascar</t>
        </is>
      </c>
      <c r="AE3" s="25" t="inlineStr">
        <is>
          <t>Malawi</t>
        </is>
      </c>
      <c r="AF3" s="25" t="inlineStr">
        <is>
          <t>Mali</t>
        </is>
      </c>
      <c r="AG3" s="25" t="inlineStr">
        <is>
          <t>Mauritania</t>
        </is>
      </c>
      <c r="AH3" s="25" t="inlineStr">
        <is>
          <t>Mauritius</t>
        </is>
      </c>
      <c r="AI3" s="25" t="inlineStr">
        <is>
          <t>Mayotte</t>
        </is>
      </c>
      <c r="AJ3" s="25" t="inlineStr">
        <is>
          <t>Morocco</t>
        </is>
      </c>
      <c r="AK3" s="25" t="inlineStr">
        <is>
          <t>Mozambique</t>
        </is>
      </c>
      <c r="AL3" s="25" t="inlineStr">
        <is>
          <t>Namibia</t>
        </is>
      </c>
      <c r="AM3" s="25" t="inlineStr">
        <is>
          <t>Niger</t>
        </is>
      </c>
      <c r="AN3" s="25" t="inlineStr">
        <is>
          <t>Nigeria</t>
        </is>
      </c>
      <c r="AO3" s="25" t="inlineStr">
        <is>
          <t>Republic of the Congo</t>
        </is>
      </c>
      <c r="AP3" s="25" t="inlineStr">
        <is>
          <t>Rwanda</t>
        </is>
      </c>
      <c r="AQ3" s="25" t="inlineStr">
        <is>
          <t>Réunion</t>
        </is>
      </c>
      <c r="AR3" s="25" t="inlineStr">
        <is>
          <t>Saint Helena, Ascension and Tristan da Cunha</t>
        </is>
      </c>
      <c r="AS3" s="25" t="inlineStr">
        <is>
          <t>São Tomé and Príncipe</t>
        </is>
      </c>
      <c r="AT3" s="25" t="inlineStr">
        <is>
          <t>Senegal</t>
        </is>
      </c>
      <c r="AU3" s="25" t="inlineStr">
        <is>
          <t>Seychelles</t>
        </is>
      </c>
      <c r="AV3" s="25" t="inlineStr">
        <is>
          <t>Sierra Leone</t>
        </is>
      </c>
      <c r="AW3" s="25" t="inlineStr">
        <is>
          <t>Somalia</t>
        </is>
      </c>
      <c r="AX3" s="25" t="inlineStr">
        <is>
          <t>South Africa</t>
        </is>
      </c>
      <c r="AY3" s="25" t="inlineStr">
        <is>
          <t>South Sudan</t>
        </is>
      </c>
      <c r="AZ3" s="25" t="inlineStr">
        <is>
          <t>Sudan</t>
        </is>
      </c>
      <c r="BA3" s="25" t="inlineStr">
        <is>
          <t>Tanzania</t>
        </is>
      </c>
      <c r="BB3" s="25" t="inlineStr">
        <is>
          <t>Togo</t>
        </is>
      </c>
      <c r="BC3" s="25" t="inlineStr">
        <is>
          <t>Tunisia</t>
        </is>
      </c>
      <c r="BD3" s="25" t="inlineStr">
        <is>
          <t>Uganda</t>
        </is>
      </c>
      <c r="BE3" s="25" t="inlineStr">
        <is>
          <t>Western Sahara</t>
        </is>
      </c>
      <c r="BF3" s="25" t="inlineStr">
        <is>
          <t>Zambia</t>
        </is>
      </c>
      <c r="BG3" s="25" t="inlineStr">
        <is>
          <t>Saudi Arabia</t>
        </is>
      </c>
      <c r="BH3" s="25" t="inlineStr">
        <is>
          <t>United Arab Emirates</t>
        </is>
      </c>
      <c r="BI3" s="25" t="inlineStr">
        <is>
          <t>Oman</t>
        </is>
      </c>
      <c r="BJ3" s="25" t="inlineStr">
        <is>
          <t>Israel</t>
        </is>
      </c>
      <c r="BK3" s="25" t="inlineStr">
        <is>
          <t>Qatar</t>
        </is>
      </c>
      <c r="BL3" s="25" t="inlineStr">
        <is>
          <t>Jordan</t>
        </is>
      </c>
      <c r="BM3" s="25" t="inlineStr">
        <is>
          <t>Kuwait</t>
        </is>
      </c>
      <c r="BN3" s="25" t="inlineStr">
        <is>
          <t>Bahrain</t>
        </is>
      </c>
      <c r="BO3" s="25" t="inlineStr">
        <is>
          <t>Lebanon</t>
        </is>
      </c>
      <c r="BP3" s="25" t="inlineStr">
        <is>
          <t>Iraq</t>
        </is>
      </c>
      <c r="BQ3" s="25" t="inlineStr">
        <is>
          <t>Yemen</t>
        </is>
      </c>
      <c r="BR3" s="25" t="inlineStr">
        <is>
          <t>Afghanistan</t>
        </is>
      </c>
      <c r="BS3" s="25" t="inlineStr">
        <is>
          <t>Zimbabwe</t>
        </is>
      </c>
      <c r="BT3" s="25" t="inlineStr">
        <is>
          <t>Kosovo</t>
        </is>
      </c>
      <c r="BU3" s="25" t="inlineStr">
        <is>
          <t>Albania</t>
        </is>
      </c>
      <c r="BV3" s="25" t="inlineStr">
        <is>
          <t>Armenia</t>
        </is>
      </c>
      <c r="BW3" s="25" t="inlineStr">
        <is>
          <t>Austria</t>
        </is>
      </c>
      <c r="BX3" s="25" t="inlineStr">
        <is>
          <t>Azerbaijan</t>
        </is>
      </c>
      <c r="BY3" s="25" t="inlineStr">
        <is>
          <t>Belgium</t>
        </is>
      </c>
      <c r="BZ3" s="25" t="inlineStr">
        <is>
          <t>Bangladesh</t>
        </is>
      </c>
      <c r="CA3" s="25" t="inlineStr">
        <is>
          <t>Bulgaria</t>
        </is>
      </c>
      <c r="CB3" s="25" t="inlineStr">
        <is>
          <t>Bosnia and Herzegovina</t>
        </is>
      </c>
      <c r="CC3" s="25" t="inlineStr">
        <is>
          <t>Belarus</t>
        </is>
      </c>
      <c r="CD3" s="25" t="inlineStr">
        <is>
          <t>Bhutan</t>
        </is>
      </c>
      <c r="CE3" s="25" t="inlineStr">
        <is>
          <t>Switzerland</t>
        </is>
      </c>
      <c r="CF3" s="25" t="inlineStr">
        <is>
          <t>China</t>
        </is>
      </c>
      <c r="CG3" s="25" t="inlineStr">
        <is>
          <t>Northern Cyprus</t>
        </is>
      </c>
      <c r="CH3" s="25" t="inlineStr">
        <is>
          <t>Cyprus</t>
        </is>
      </c>
      <c r="CI3" s="25" t="inlineStr">
        <is>
          <t>Czechia</t>
        </is>
      </c>
      <c r="CJ3" s="25" t="inlineStr">
        <is>
          <t>Germany</t>
        </is>
      </c>
      <c r="CK3" s="25" t="inlineStr">
        <is>
          <t>Denmark</t>
        </is>
      </c>
      <c r="CL3" s="25" t="inlineStr">
        <is>
          <t>Spain</t>
        </is>
      </c>
      <c r="CM3" s="25" t="inlineStr">
        <is>
          <t>Estonia</t>
        </is>
      </c>
      <c r="CN3" s="25" t="inlineStr">
        <is>
          <t>Finland</t>
        </is>
      </c>
      <c r="CO3" s="25" t="inlineStr">
        <is>
          <t>France</t>
        </is>
      </c>
      <c r="CP3" s="25" t="inlineStr">
        <is>
          <t>United Kingdom</t>
        </is>
      </c>
      <c r="CQ3" s="25" t="inlineStr">
        <is>
          <t>Georgia</t>
        </is>
      </c>
      <c r="CR3" s="25" t="inlineStr">
        <is>
          <t>Greece</t>
        </is>
      </c>
      <c r="CS3" s="25" t="inlineStr">
        <is>
          <t>Greenland</t>
        </is>
      </c>
      <c r="CT3" s="25" t="inlineStr">
        <is>
          <t>Croatia</t>
        </is>
      </c>
      <c r="CU3" s="25" t="inlineStr">
        <is>
          <t>Hungary</t>
        </is>
      </c>
      <c r="CV3" s="25" t="inlineStr">
        <is>
          <t>Indonesia</t>
        </is>
      </c>
      <c r="CW3" s="25" t="inlineStr">
        <is>
          <t>India</t>
        </is>
      </c>
      <c r="CX3" s="25" t="inlineStr">
        <is>
          <t>Ireland</t>
        </is>
      </c>
      <c r="CY3" s="25" t="inlineStr">
        <is>
          <t>Iran</t>
        </is>
      </c>
      <c r="CZ3" s="25" t="inlineStr">
        <is>
          <t>Iceland</t>
        </is>
      </c>
      <c r="DA3" s="25" t="inlineStr">
        <is>
          <t>Italy</t>
        </is>
      </c>
      <c r="DB3" s="25" t="inlineStr">
        <is>
          <t>Kazakhstan</t>
        </is>
      </c>
      <c r="DC3" s="25" t="inlineStr">
        <is>
          <t>Kyrgyzstan</t>
        </is>
      </c>
      <c r="DD3" s="25" t="inlineStr">
        <is>
          <t>Cambodia</t>
        </is>
      </c>
      <c r="DE3" s="25" t="inlineStr">
        <is>
          <t>Laos</t>
        </is>
      </c>
      <c r="DF3" s="25" t="inlineStr">
        <is>
          <t>Sri Lanka</t>
        </is>
      </c>
      <c r="DG3" s="25" t="inlineStr">
        <is>
          <t>Lithuania</t>
        </is>
      </c>
      <c r="DH3" s="25" t="inlineStr">
        <is>
          <t>Luxembourg</t>
        </is>
      </c>
      <c r="DI3" s="25" t="inlineStr">
        <is>
          <t>Latvia</t>
        </is>
      </c>
      <c r="DJ3" s="25" t="inlineStr">
        <is>
          <t>Moldova</t>
        </is>
      </c>
      <c r="DK3" s="25" t="inlineStr">
        <is>
          <t>Maldives</t>
        </is>
      </c>
      <c r="DL3" s="25" t="inlineStr">
        <is>
          <t>North Macedonia</t>
        </is>
      </c>
      <c r="DM3" s="25" t="inlineStr">
        <is>
          <t>Malta</t>
        </is>
      </c>
      <c r="DN3" s="25" t="inlineStr">
        <is>
          <t>Myanmar</t>
        </is>
      </c>
      <c r="DO3" s="25" t="inlineStr">
        <is>
          <t>Montenegro</t>
        </is>
      </c>
      <c r="DP3" s="25" t="inlineStr">
        <is>
          <t>Mongolia</t>
        </is>
      </c>
      <c r="DQ3" s="25" t="inlineStr">
        <is>
          <t>Malaysia</t>
        </is>
      </c>
      <c r="DR3" s="25" t="inlineStr">
        <is>
          <t>Netherlands</t>
        </is>
      </c>
      <c r="DS3" s="25" t="inlineStr">
        <is>
          <t>Norway</t>
        </is>
      </c>
      <c r="DT3" s="25" t="inlineStr">
        <is>
          <t>Nepal</t>
        </is>
      </c>
      <c r="DU3" s="25" t="inlineStr">
        <is>
          <t>Pakistan</t>
        </is>
      </c>
      <c r="DV3" s="25" t="inlineStr">
        <is>
          <t>Poland</t>
        </is>
      </c>
      <c r="DW3" s="25" t="inlineStr">
        <is>
          <t>Portugal</t>
        </is>
      </c>
      <c r="DX3" s="25" t="inlineStr">
        <is>
          <t>Palestine</t>
        </is>
      </c>
      <c r="DY3" s="25" t="inlineStr">
        <is>
          <t>Romania</t>
        </is>
      </c>
      <c r="DZ3" s="25" t="inlineStr">
        <is>
          <t>Russia</t>
        </is>
      </c>
      <c r="EA3" s="25" t="inlineStr">
        <is>
          <t>Somaliland</t>
        </is>
      </c>
      <c r="EB3" s="25" t="inlineStr">
        <is>
          <t>Serbia</t>
        </is>
      </c>
      <c r="EC3" s="25" t="inlineStr">
        <is>
          <t>Slovakia</t>
        </is>
      </c>
      <c r="ED3" s="25" t="inlineStr">
        <is>
          <t>Slovenia</t>
        </is>
      </c>
      <c r="EE3" s="25" t="inlineStr">
        <is>
          <t>Sweden</t>
        </is>
      </c>
      <c r="EF3" s="25" t="inlineStr">
        <is>
          <t>Syria</t>
        </is>
      </c>
      <c r="EG3" s="25" t="inlineStr">
        <is>
          <t>Thailand</t>
        </is>
      </c>
      <c r="EH3" s="25" t="inlineStr">
        <is>
          <t>Tajikistan</t>
        </is>
      </c>
      <c r="EI3" s="25" t="inlineStr">
        <is>
          <t>Turkmenistan</t>
        </is>
      </c>
      <c r="EJ3" s="25" t="inlineStr">
        <is>
          <t>Turkey</t>
        </is>
      </c>
      <c r="EK3" s="25" t="inlineStr">
        <is>
          <t>Ukraine</t>
        </is>
      </c>
      <c r="EL3" s="25" t="inlineStr">
        <is>
          <t>Uzbekistan</t>
        </is>
      </c>
      <c r="EM3" s="25" t="inlineStr">
        <is>
          <t>Vietnam</t>
        </is>
      </c>
      <c r="EN3" s="25" t="inlineStr">
        <is>
          <t>United States</t>
        </is>
      </c>
      <c r="EO3" s="25" t="inlineStr">
        <is>
          <t>Canada</t>
        </is>
      </c>
      <c r="EP3" s="25" t="inlineStr">
        <is>
          <t>Mexico</t>
        </is>
      </c>
      <c r="EQ3" s="25" t="inlineStr">
        <is>
          <t>Brazil</t>
        </is>
      </c>
      <c r="ER3" s="25" t="inlineStr">
        <is>
          <t>Argentina</t>
        </is>
      </c>
      <c r="ES3" s="25" t="inlineStr">
        <is>
          <t>Chile</t>
        </is>
      </c>
      <c r="ET3" s="25" t="inlineStr">
        <is>
          <t>Colombia</t>
        </is>
      </c>
      <c r="EU3" s="25" t="inlineStr">
        <is>
          <t>Peru</t>
        </is>
      </c>
      <c r="EV3" s="25" t="inlineStr">
        <is>
          <t>Venezuela</t>
        </is>
      </c>
      <c r="EW3" s="25" t="inlineStr">
        <is>
          <t>Panama</t>
        </is>
      </c>
      <c r="EX3" s="25" t="inlineStr">
        <is>
          <t>Cuba</t>
        </is>
      </c>
      <c r="EY3" s="25" t="inlineStr">
        <is>
          <t>Dominican Republic</t>
        </is>
      </c>
      <c r="EZ3" s="25" t="inlineStr">
        <is>
          <t>Jamaica</t>
        </is>
      </c>
      <c r="FA3" s="25" t="inlineStr">
        <is>
          <t>Trinidad and Tobago</t>
        </is>
      </c>
      <c r="FB3" s="25" t="inlineStr">
        <is>
          <t>Bahamas</t>
        </is>
      </c>
      <c r="FC3" s="25" t="inlineStr">
        <is>
          <t>Australia</t>
        </is>
      </c>
      <c r="FD3" s="25" t="inlineStr">
        <is>
          <t>New Zealand</t>
        </is>
      </c>
      <c r="FE3" s="25" t="inlineStr">
        <is>
          <t>Fiji</t>
        </is>
      </c>
      <c r="FF3" s="25" t="inlineStr">
        <is>
          <t>Papua New Guinea</t>
        </is>
      </c>
      <c r="FG3" s="25" t="inlineStr">
        <is>
          <t>Japan</t>
        </is>
      </c>
      <c r="FH3" s="25" t="inlineStr">
        <is>
          <t>South Korea</t>
        </is>
      </c>
      <c r="FI3" s="25" t="inlineStr">
        <is>
          <t>Taiwan</t>
        </is>
      </c>
      <c r="FJ3" s="25" t="inlineStr">
        <is>
          <t>Hong Kong SAR</t>
        </is>
      </c>
      <c r="FK3" s="25" t="inlineStr">
        <is>
          <t>Singapore</t>
        </is>
      </c>
      <c r="FL3" s="25" t="inlineStr">
        <is>
          <t>Philippines</t>
        </is>
      </c>
      <c r="FM3" s="25" t="inlineStr">
        <is>
          <t>Bahrain</t>
        </is>
      </c>
      <c r="FN3" s="25" t="inlineStr">
        <is>
          <t>Malta</t>
        </is>
      </c>
      <c r="FO3" s="25" t="inlineStr">
        <is>
          <t>Monaco</t>
        </is>
      </c>
      <c r="FP3" s="25" t="inlineStr">
        <is>
          <t>Liechtenstein</t>
        </is>
      </c>
      <c r="FQ3" s="25" t="inlineStr">
        <is>
          <t>Andorra</t>
        </is>
      </c>
      <c r="FR3" s="25" t="inlineStr">
        <is>
          <t>San Marino</t>
        </is>
      </c>
      <c r="FS3" s="25" t="inlineStr">
        <is>
          <t>Brunei</t>
        </is>
      </c>
    </row>
    <row r="4">
      <c r="A4" s="33" t="inlineStr">
        <is>
          <t>Algeria</t>
        </is>
      </c>
    </row>
    <row r="5">
      <c r="A5" s="33" t="inlineStr">
        <is>
          <t>Angola</t>
        </is>
      </c>
    </row>
    <row r="6">
      <c r="A6" s="33" t="inlineStr">
        <is>
          <t>Benin</t>
        </is>
      </c>
    </row>
    <row r="7">
      <c r="A7" s="33" t="inlineStr">
        <is>
          <t>Botswana</t>
        </is>
      </c>
    </row>
    <row r="8">
      <c r="A8" s="33" t="inlineStr">
        <is>
          <t>Burkina Faso</t>
        </is>
      </c>
    </row>
    <row r="9">
      <c r="A9" s="33" t="inlineStr">
        <is>
          <t>Burundi</t>
        </is>
      </c>
    </row>
    <row r="10">
      <c r="A10" s="33" t="inlineStr">
        <is>
          <t>Cameroon</t>
        </is>
      </c>
    </row>
    <row r="11">
      <c r="A11" s="33" t="inlineStr">
        <is>
          <t>Cape Verde</t>
        </is>
      </c>
    </row>
    <row r="12">
      <c r="A12" s="33" t="inlineStr">
        <is>
          <t>Central African Republic</t>
        </is>
      </c>
    </row>
    <row r="13">
      <c r="A13" s="33" t="inlineStr">
        <is>
          <t>Chad</t>
        </is>
      </c>
    </row>
    <row r="14">
      <c r="A14" s="33" t="inlineStr">
        <is>
          <t>Comoros</t>
        </is>
      </c>
    </row>
    <row r="15">
      <c r="A15" s="33" t="inlineStr">
        <is>
          <t>Côte d'Ivoire</t>
        </is>
      </c>
    </row>
    <row r="16">
      <c r="A16" s="33" t="inlineStr">
        <is>
          <t>Democratic Republic of the Congo</t>
        </is>
      </c>
    </row>
    <row r="17">
      <c r="A17" s="33" t="inlineStr">
        <is>
          <t>Djibouti</t>
        </is>
      </c>
    </row>
    <row r="18">
      <c r="A18" s="33" t="inlineStr">
        <is>
          <t>Egypt</t>
        </is>
      </c>
    </row>
    <row r="19">
      <c r="A19" s="33" t="inlineStr">
        <is>
          <t>Equatorial Guinea</t>
        </is>
      </c>
    </row>
    <row r="20">
      <c r="A20" s="33" t="inlineStr">
        <is>
          <t>Eritrea</t>
        </is>
      </c>
    </row>
    <row r="21">
      <c r="A21" s="33" t="inlineStr">
        <is>
          <t>Eswatini</t>
        </is>
      </c>
    </row>
    <row r="22">
      <c r="A22" s="33" t="inlineStr">
        <is>
          <t>Ethiopia</t>
        </is>
      </c>
    </row>
    <row r="23">
      <c r="A23" s="33" t="inlineStr">
        <is>
          <t>Gabon</t>
        </is>
      </c>
    </row>
    <row r="24">
      <c r="A24" s="33" t="inlineStr">
        <is>
          <t>Gambia</t>
        </is>
      </c>
    </row>
    <row r="25">
      <c r="A25" s="33" t="inlineStr">
        <is>
          <t>Ghana</t>
        </is>
      </c>
    </row>
    <row r="26">
      <c r="A26" s="33" t="inlineStr">
        <is>
          <t>Guinea</t>
        </is>
      </c>
    </row>
    <row r="27">
      <c r="A27" s="33" t="inlineStr">
        <is>
          <t>Guinea-Bissau</t>
        </is>
      </c>
    </row>
    <row r="28">
      <c r="A28" s="33" t="inlineStr">
        <is>
          <t>Kenya</t>
        </is>
      </c>
    </row>
    <row r="29">
      <c r="A29" s="33" t="inlineStr">
        <is>
          <t>Lesotho</t>
        </is>
      </c>
    </row>
    <row r="30">
      <c r="A30" s="33" t="inlineStr">
        <is>
          <t>Liberia</t>
        </is>
      </c>
    </row>
    <row r="31">
      <c r="A31" s="33" t="inlineStr">
        <is>
          <t>Libya</t>
        </is>
      </c>
    </row>
    <row r="32">
      <c r="A32" s="33" t="inlineStr">
        <is>
          <t>Madagascar</t>
        </is>
      </c>
    </row>
    <row r="33">
      <c r="A33" s="33" t="inlineStr">
        <is>
          <t>Malawi</t>
        </is>
      </c>
    </row>
    <row r="34">
      <c r="A34" s="33" t="inlineStr">
        <is>
          <t>Mali</t>
        </is>
      </c>
    </row>
    <row r="35">
      <c r="A35" s="33" t="inlineStr">
        <is>
          <t>Mauritania</t>
        </is>
      </c>
    </row>
    <row r="36">
      <c r="A36" s="33" t="inlineStr">
        <is>
          <t>Mauritius</t>
        </is>
      </c>
    </row>
    <row r="37">
      <c r="A37" s="33" t="inlineStr">
        <is>
          <t>Mayotte</t>
        </is>
      </c>
    </row>
    <row r="38">
      <c r="A38" s="33" t="inlineStr">
        <is>
          <t>Morocco</t>
        </is>
      </c>
    </row>
    <row r="39">
      <c r="A39" s="33" t="inlineStr">
        <is>
          <t>Mozambique</t>
        </is>
      </c>
    </row>
    <row r="40">
      <c r="A40" s="33" t="inlineStr">
        <is>
          <t>Namibia</t>
        </is>
      </c>
    </row>
    <row r="41">
      <c r="A41" s="33" t="inlineStr">
        <is>
          <t>Niger</t>
        </is>
      </c>
    </row>
    <row r="42">
      <c r="A42" s="33" t="inlineStr">
        <is>
          <t>Nigeria</t>
        </is>
      </c>
    </row>
    <row r="43">
      <c r="A43" s="33" t="inlineStr">
        <is>
          <t>Republic of the Congo</t>
        </is>
      </c>
    </row>
    <row r="44">
      <c r="A44" s="33" t="inlineStr">
        <is>
          <t>Rwanda</t>
        </is>
      </c>
    </row>
    <row r="45">
      <c r="A45" s="33" t="inlineStr">
        <is>
          <t>Réunion</t>
        </is>
      </c>
    </row>
    <row r="46">
      <c r="A46" s="33" t="inlineStr">
        <is>
          <t>Saint Helena, Ascension and Tristan da Cunha</t>
        </is>
      </c>
    </row>
    <row r="47">
      <c r="A47" s="33" t="inlineStr">
        <is>
          <t>São Tomé and Príncipe</t>
        </is>
      </c>
    </row>
    <row r="48">
      <c r="A48" s="33" t="inlineStr">
        <is>
          <t>Senegal</t>
        </is>
      </c>
    </row>
    <row r="49">
      <c r="A49" s="33" t="inlineStr">
        <is>
          <t>Seychelles</t>
        </is>
      </c>
    </row>
    <row r="50">
      <c r="A50" s="33" t="inlineStr">
        <is>
          <t>Sierra Leone</t>
        </is>
      </c>
    </row>
    <row r="51">
      <c r="A51" s="33" t="inlineStr">
        <is>
          <t>Somalia</t>
        </is>
      </c>
    </row>
    <row r="52">
      <c r="A52" s="33" t="inlineStr">
        <is>
          <t>South Africa</t>
        </is>
      </c>
      <c r="EN52" t="inlineStr">
        <is>
          <t>NOT REQUIRED</t>
        </is>
      </c>
    </row>
    <row r="53">
      <c r="A53" s="33" t="inlineStr">
        <is>
          <t>South Sudan</t>
        </is>
      </c>
    </row>
    <row r="54">
      <c r="A54" s="33" t="inlineStr">
        <is>
          <t>Sudan</t>
        </is>
      </c>
    </row>
    <row r="55">
      <c r="A55" s="33" t="inlineStr">
        <is>
          <t>Tanzania</t>
        </is>
      </c>
    </row>
    <row r="56">
      <c r="A56" s="33" t="inlineStr">
        <is>
          <t>Togo</t>
        </is>
      </c>
    </row>
    <row r="57">
      <c r="A57" s="33" t="inlineStr">
        <is>
          <t>Tunisia</t>
        </is>
      </c>
    </row>
    <row r="58">
      <c r="A58" s="33" t="inlineStr">
        <is>
          <t>Uganda</t>
        </is>
      </c>
    </row>
    <row r="59">
      <c r="A59" s="33" t="inlineStr">
        <is>
          <t>Western Sahara</t>
        </is>
      </c>
    </row>
    <row r="60">
      <c r="A60" s="33" t="inlineStr">
        <is>
          <t>Zambia</t>
        </is>
      </c>
    </row>
    <row r="61">
      <c r="A61" s="33" t="inlineStr">
        <is>
          <t>Saudi Arabia</t>
        </is>
      </c>
    </row>
    <row r="62">
      <c r="A62" s="33" t="inlineStr">
        <is>
          <t>United Arab Emirates</t>
        </is>
      </c>
    </row>
    <row r="63">
      <c r="A63" s="33" t="inlineStr">
        <is>
          <t>Oman</t>
        </is>
      </c>
    </row>
    <row r="64">
      <c r="A64" s="33" t="inlineStr">
        <is>
          <t>Israel</t>
        </is>
      </c>
    </row>
    <row r="65">
      <c r="A65" s="33" t="inlineStr">
        <is>
          <t>Qatar</t>
        </is>
      </c>
    </row>
    <row r="66">
      <c r="A66" s="33" t="inlineStr">
        <is>
          <t>Jordan</t>
        </is>
      </c>
    </row>
    <row r="67">
      <c r="A67" s="33" t="inlineStr">
        <is>
          <t>Kuwait</t>
        </is>
      </c>
    </row>
    <row r="68">
      <c r="A68" s="33" t="inlineStr">
        <is>
          <t>Bahrain</t>
        </is>
      </c>
    </row>
    <row r="69">
      <c r="A69" s="33" t="inlineStr">
        <is>
          <t>Lebanon</t>
        </is>
      </c>
    </row>
    <row r="70">
      <c r="A70" s="33" t="inlineStr">
        <is>
          <t>Iraq</t>
        </is>
      </c>
    </row>
    <row r="71">
      <c r="A71" s="33" t="inlineStr">
        <is>
          <t>Yemen</t>
        </is>
      </c>
    </row>
    <row r="72">
      <c r="A72" s="33" t="inlineStr">
        <is>
          <t>Afghanistan</t>
        </is>
      </c>
    </row>
    <row r="73">
      <c r="A73" s="33" t="inlineStr">
        <is>
          <t>Zimbabwe</t>
        </is>
      </c>
    </row>
    <row r="74">
      <c r="A74" s="33" t="inlineStr">
        <is>
          <t>Kosovo</t>
        </is>
      </c>
    </row>
    <row r="75">
      <c r="A75" s="33" t="inlineStr">
        <is>
          <t>Albania</t>
        </is>
      </c>
    </row>
    <row r="76">
      <c r="A76" s="33" t="inlineStr">
        <is>
          <t>Armenia</t>
        </is>
      </c>
    </row>
    <row r="77">
      <c r="A77" s="33" t="inlineStr">
        <is>
          <t>Austria</t>
        </is>
      </c>
    </row>
    <row r="78">
      <c r="A78" s="33" t="inlineStr">
        <is>
          <t>Azerbaijan</t>
        </is>
      </c>
    </row>
    <row r="79">
      <c r="A79" s="33" t="inlineStr">
        <is>
          <t>Belgium</t>
        </is>
      </c>
    </row>
    <row r="80">
      <c r="A80" s="33" t="inlineStr">
        <is>
          <t>Bangladesh</t>
        </is>
      </c>
    </row>
    <row r="81">
      <c r="A81" s="33" t="inlineStr">
        <is>
          <t>Bulgaria</t>
        </is>
      </c>
    </row>
    <row r="82">
      <c r="A82" s="33" t="inlineStr">
        <is>
          <t>Bosnia and Herzegovina</t>
        </is>
      </c>
    </row>
    <row r="83">
      <c r="A83" s="33" t="inlineStr">
        <is>
          <t>Belarus</t>
        </is>
      </c>
    </row>
    <row r="84">
      <c r="A84" s="33" t="inlineStr">
        <is>
          <t>Bhutan</t>
        </is>
      </c>
    </row>
    <row r="85">
      <c r="A85" s="33" t="inlineStr">
        <is>
          <t>Switzerland</t>
        </is>
      </c>
    </row>
    <row r="86">
      <c r="A86" s="33" t="inlineStr">
        <is>
          <t>China</t>
        </is>
      </c>
    </row>
    <row r="87">
      <c r="A87" s="33" t="inlineStr">
        <is>
          <t>Northern Cyprus</t>
        </is>
      </c>
    </row>
    <row r="88">
      <c r="A88" s="33" t="inlineStr">
        <is>
          <t>Cyprus</t>
        </is>
      </c>
    </row>
    <row r="89">
      <c r="A89" s="33" t="inlineStr">
        <is>
          <t>Czechia</t>
        </is>
      </c>
    </row>
    <row r="90">
      <c r="A90" s="33" t="inlineStr">
        <is>
          <t>Germany</t>
        </is>
      </c>
    </row>
    <row r="91">
      <c r="A91" s="33" t="inlineStr">
        <is>
          <t>Denmark</t>
        </is>
      </c>
    </row>
    <row r="92">
      <c r="A92" s="33" t="inlineStr">
        <is>
          <t>Spain</t>
        </is>
      </c>
    </row>
    <row r="93">
      <c r="A93" s="33" t="inlineStr">
        <is>
          <t>Estonia</t>
        </is>
      </c>
    </row>
    <row r="94">
      <c r="A94" s="33" t="inlineStr">
        <is>
          <t>Finland</t>
        </is>
      </c>
    </row>
    <row r="95">
      <c r="A95" s="33" t="inlineStr">
        <is>
          <t>France</t>
        </is>
      </c>
    </row>
    <row r="96">
      <c r="A96" s="33" t="inlineStr">
        <is>
          <t>United Kingdom</t>
        </is>
      </c>
    </row>
    <row r="97">
      <c r="A97" s="33" t="inlineStr">
        <is>
          <t>Georgia</t>
        </is>
      </c>
    </row>
    <row r="98">
      <c r="A98" s="33" t="inlineStr">
        <is>
          <t>Greece</t>
        </is>
      </c>
    </row>
    <row r="99">
      <c r="A99" s="33" t="inlineStr">
        <is>
          <t>Greenland</t>
        </is>
      </c>
    </row>
    <row r="100">
      <c r="A100" s="33" t="inlineStr">
        <is>
          <t>Croatia</t>
        </is>
      </c>
    </row>
    <row r="101">
      <c r="A101" s="33" t="inlineStr">
        <is>
          <t>Hungary</t>
        </is>
      </c>
    </row>
    <row r="102">
      <c r="A102" s="33" t="inlineStr">
        <is>
          <t>Indonesia</t>
        </is>
      </c>
    </row>
    <row r="103">
      <c r="A103" s="33" t="inlineStr">
        <is>
          <t>India</t>
        </is>
      </c>
    </row>
    <row r="104">
      <c r="A104" s="33" t="inlineStr">
        <is>
          <t>Ireland</t>
        </is>
      </c>
    </row>
    <row r="105">
      <c r="A105" s="33" t="inlineStr">
        <is>
          <t>Iran</t>
        </is>
      </c>
    </row>
    <row r="106">
      <c r="A106" s="33" t="inlineStr">
        <is>
          <t>Iceland</t>
        </is>
      </c>
    </row>
    <row r="107">
      <c r="A107" s="33" t="inlineStr">
        <is>
          <t>Italy</t>
        </is>
      </c>
    </row>
    <row r="108">
      <c r="A108" s="33" t="inlineStr">
        <is>
          <t>Kazakhstan</t>
        </is>
      </c>
    </row>
    <row r="109">
      <c r="A109" s="33" t="inlineStr">
        <is>
          <t>Kyrgyzstan</t>
        </is>
      </c>
    </row>
    <row r="110">
      <c r="A110" s="33" t="inlineStr">
        <is>
          <t>Cambodia</t>
        </is>
      </c>
    </row>
    <row r="111">
      <c r="A111" s="33" t="inlineStr">
        <is>
          <t>Laos</t>
        </is>
      </c>
    </row>
    <row r="112">
      <c r="A112" s="33" t="inlineStr">
        <is>
          <t>Sri Lanka</t>
        </is>
      </c>
    </row>
    <row r="113">
      <c r="A113" s="33" t="inlineStr">
        <is>
          <t>Lithuania</t>
        </is>
      </c>
    </row>
    <row r="114">
      <c r="A114" s="33" t="inlineStr">
        <is>
          <t>Luxembourg</t>
        </is>
      </c>
    </row>
    <row r="115">
      <c r="A115" s="33" t="inlineStr">
        <is>
          <t>Latvia</t>
        </is>
      </c>
    </row>
    <row r="116">
      <c r="A116" s="33" t="inlineStr">
        <is>
          <t>Moldova</t>
        </is>
      </c>
    </row>
    <row r="117">
      <c r="A117" s="33" t="inlineStr">
        <is>
          <t>Maldives</t>
        </is>
      </c>
    </row>
    <row r="118">
      <c r="A118" s="33" t="inlineStr">
        <is>
          <t>North Macedonia</t>
        </is>
      </c>
    </row>
    <row r="119">
      <c r="A119" s="33" t="inlineStr">
        <is>
          <t>Malta</t>
        </is>
      </c>
    </row>
    <row r="120">
      <c r="A120" s="33" t="inlineStr">
        <is>
          <t>Myanmar</t>
        </is>
      </c>
    </row>
    <row r="121">
      <c r="A121" s="33" t="inlineStr">
        <is>
          <t>Montenegro</t>
        </is>
      </c>
    </row>
    <row r="122">
      <c r="A122" s="33" t="inlineStr">
        <is>
          <t>Mongolia</t>
        </is>
      </c>
    </row>
    <row r="123">
      <c r="A123" s="33" t="inlineStr">
        <is>
          <t>Malaysia</t>
        </is>
      </c>
    </row>
    <row r="124">
      <c r="A124" s="33" t="inlineStr">
        <is>
          <t>Netherlands</t>
        </is>
      </c>
    </row>
    <row r="125">
      <c r="A125" s="33" t="inlineStr">
        <is>
          <t>Norway</t>
        </is>
      </c>
    </row>
    <row r="126">
      <c r="A126" s="33" t="inlineStr">
        <is>
          <t>Nepal</t>
        </is>
      </c>
    </row>
    <row r="127">
      <c r="A127" s="33" t="inlineStr">
        <is>
          <t>Pakistan</t>
        </is>
      </c>
    </row>
    <row r="128">
      <c r="A128" s="33" t="inlineStr">
        <is>
          <t>Poland</t>
        </is>
      </c>
    </row>
    <row r="129">
      <c r="A129" s="33" t="inlineStr">
        <is>
          <t>Portugal</t>
        </is>
      </c>
    </row>
    <row r="130">
      <c r="A130" s="33" t="inlineStr">
        <is>
          <t>Palestine</t>
        </is>
      </c>
    </row>
    <row r="131">
      <c r="A131" s="33" t="inlineStr">
        <is>
          <t>Romania</t>
        </is>
      </c>
    </row>
    <row r="132">
      <c r="A132" s="33" t="inlineStr">
        <is>
          <t>Russia</t>
        </is>
      </c>
    </row>
    <row r="133">
      <c r="A133" s="33" t="inlineStr">
        <is>
          <t>Somaliland</t>
        </is>
      </c>
    </row>
    <row r="134">
      <c r="A134" s="33" t="inlineStr">
        <is>
          <t>Serbia</t>
        </is>
      </c>
    </row>
    <row r="135">
      <c r="A135" s="33" t="inlineStr">
        <is>
          <t>Slovakia</t>
        </is>
      </c>
    </row>
    <row r="136">
      <c r="A136" s="33" t="inlineStr">
        <is>
          <t>Slovenia</t>
        </is>
      </c>
    </row>
    <row r="137">
      <c r="A137" s="33" t="inlineStr">
        <is>
          <t>Sweden</t>
        </is>
      </c>
    </row>
    <row r="138">
      <c r="A138" s="33" t="inlineStr">
        <is>
          <t>Syria</t>
        </is>
      </c>
    </row>
    <row r="139">
      <c r="A139" s="33" t="inlineStr">
        <is>
          <t>Thailand</t>
        </is>
      </c>
    </row>
    <row r="140">
      <c r="A140" s="33" t="inlineStr">
        <is>
          <t>Tajikistan</t>
        </is>
      </c>
    </row>
    <row r="141">
      <c r="A141" s="33" t="inlineStr">
        <is>
          <t>Turkmenistan</t>
        </is>
      </c>
    </row>
    <row r="142">
      <c r="A142" s="33" t="inlineStr">
        <is>
          <t>Turkey</t>
        </is>
      </c>
    </row>
    <row r="143">
      <c r="A143" s="33" t="inlineStr">
        <is>
          <t>Ukraine</t>
        </is>
      </c>
    </row>
    <row r="144">
      <c r="A144" s="33" t="inlineStr">
        <is>
          <t>Uzbekistan</t>
        </is>
      </c>
    </row>
    <row r="145">
      <c r="A145" s="33" t="inlineStr">
        <is>
          <t>Vietnam</t>
        </is>
      </c>
    </row>
    <row r="146">
      <c r="A146" s="33" t="inlineStr">
        <is>
          <t>United States</t>
        </is>
      </c>
    </row>
    <row r="147">
      <c r="A147" s="33" t="inlineStr">
        <is>
          <t>Canada</t>
        </is>
      </c>
    </row>
    <row r="148">
      <c r="A148" s="33" t="inlineStr">
        <is>
          <t>Mexico</t>
        </is>
      </c>
    </row>
    <row r="149">
      <c r="A149" s="33" t="inlineStr">
        <is>
          <t>Brazil</t>
        </is>
      </c>
    </row>
    <row r="150">
      <c r="A150" s="33" t="inlineStr">
        <is>
          <t>Argentina</t>
        </is>
      </c>
    </row>
    <row r="151">
      <c r="A151" s="33" t="inlineStr">
        <is>
          <t>Chile</t>
        </is>
      </c>
    </row>
    <row r="152">
      <c r="A152" s="33" t="inlineStr">
        <is>
          <t>Colombia</t>
        </is>
      </c>
    </row>
    <row r="153">
      <c r="A153" s="33" t="inlineStr">
        <is>
          <t>Peru</t>
        </is>
      </c>
    </row>
    <row r="154">
      <c r="A154" s="33" t="inlineStr">
        <is>
          <t>Venezuela</t>
        </is>
      </c>
    </row>
    <row r="155">
      <c r="A155" s="33" t="inlineStr">
        <is>
          <t>Panama</t>
        </is>
      </c>
    </row>
    <row r="156">
      <c r="A156" s="33" t="inlineStr">
        <is>
          <t>Cuba</t>
        </is>
      </c>
    </row>
    <row r="157">
      <c r="A157" s="33" t="inlineStr">
        <is>
          <t>Dominican Republic</t>
        </is>
      </c>
    </row>
    <row r="158">
      <c r="A158" s="33" t="inlineStr">
        <is>
          <t>Jamaica</t>
        </is>
      </c>
    </row>
    <row r="159">
      <c r="A159" s="33" t="inlineStr">
        <is>
          <t>Trinidad and Tobago</t>
        </is>
      </c>
    </row>
    <row r="160">
      <c r="A160" s="33" t="inlineStr">
        <is>
          <t>Bahamas</t>
        </is>
      </c>
    </row>
    <row r="161">
      <c r="A161" s="33" t="inlineStr">
        <is>
          <t>Australia</t>
        </is>
      </c>
    </row>
    <row r="162">
      <c r="A162" s="33" t="inlineStr">
        <is>
          <t>New Zealand</t>
        </is>
      </c>
    </row>
    <row r="163">
      <c r="A163" s="33" t="inlineStr">
        <is>
          <t>Fiji</t>
        </is>
      </c>
    </row>
    <row r="164">
      <c r="A164" s="33" t="inlineStr">
        <is>
          <t>Papua New Guinea</t>
        </is>
      </c>
    </row>
    <row r="165">
      <c r="A165" s="33" t="inlineStr">
        <is>
          <t>Japan</t>
        </is>
      </c>
    </row>
    <row r="166">
      <c r="A166" s="33" t="inlineStr">
        <is>
          <t>South Korea</t>
        </is>
      </c>
    </row>
    <row r="167">
      <c r="A167" s="33" t="inlineStr">
        <is>
          <t>Taiwan</t>
        </is>
      </c>
    </row>
    <row r="168">
      <c r="A168" s="33" t="inlineStr">
        <is>
          <t>Hong Kong SAR</t>
        </is>
      </c>
    </row>
    <row r="169">
      <c r="A169" s="33" t="inlineStr">
        <is>
          <t>Singapore</t>
        </is>
      </c>
    </row>
    <row r="170">
      <c r="A170" s="33" t="inlineStr">
        <is>
          <t>Philippines</t>
        </is>
      </c>
    </row>
    <row r="171">
      <c r="A171" s="33" t="inlineStr">
        <is>
          <t>Monaco</t>
        </is>
      </c>
    </row>
    <row r="172">
      <c r="A172" s="33" t="inlineStr">
        <is>
          <t>Liechtenstein</t>
        </is>
      </c>
    </row>
    <row r="173">
      <c r="A173" s="33" t="inlineStr">
        <is>
          <t>Andorra</t>
        </is>
      </c>
    </row>
    <row r="174">
      <c r="A174" s="33" t="inlineStr">
        <is>
          <t>San Marino</t>
        </is>
      </c>
    </row>
    <row r="175">
      <c r="A175" s="33" t="inlineStr">
        <is>
          <t>Brunei</t>
        </is>
      </c>
    </row>
  </sheetData>
  <dataValidations count="1">
    <dataValidation sqref="B4:FS145 B146:FS175" showDropDown="0" showInputMessage="1" showErrorMessage="1" allowBlank="1" type="list">
      <formula1>"NOT REQUIRED,REQUIRED,VISA ON ARRIVAL,eVISA,TRANSIT ONLY,TIWB"</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I117"/>
  <sheetViews>
    <sheetView topLeftCell="A39" workbookViewId="0">
      <selection activeCell="A39" sqref="A39"/>
    </sheetView>
  </sheetViews>
  <sheetFormatPr baseColWidth="8" defaultRowHeight="14.4"/>
  <cols>
    <col width="48.109375" customWidth="1" min="1" max="1"/>
    <col width="51.88671875" customWidth="1" min="2" max="2"/>
    <col width="70.33203125" customWidth="1" min="3" max="3"/>
    <col width="44.44140625" customWidth="1" min="4" max="4"/>
    <col width="25.88671875" customWidth="1" min="5" max="5"/>
    <col width="61.109375" customWidth="1" min="6" max="6"/>
    <col width="103.6640625" customWidth="1" min="7" max="8"/>
    <col width="13" customWidth="1" min="9" max="9"/>
  </cols>
  <sheetData>
    <row r="1" ht="18" customHeight="1">
      <c r="A1" s="44" t="inlineStr">
        <is>
          <t>MESSAGE TEMPLATES — outbound service requests, revisions and permit applications</t>
        </is>
      </c>
    </row>
    <row r="3">
      <c r="A3" s="25" t="inlineStr">
        <is>
          <t>1 · TOKEN DICTIONARY   (tokens are written {{like_this}} and resolved from the trip)</t>
        </is>
      </c>
      <c r="B3" s="25" t="n"/>
      <c r="C3" s="25" t="n"/>
      <c r="D3" s="25" t="n"/>
    </row>
    <row r="4">
      <c r="A4" s="33" t="inlineStr">
        <is>
          <t>token</t>
        </is>
      </c>
      <c r="B4" s="33" t="inlineStr">
        <is>
          <t>source</t>
        </is>
      </c>
      <c r="C4" s="33" t="inlineStr">
        <is>
          <t>notes</t>
        </is>
      </c>
      <c r="D4" s="33" t="inlineStr">
        <is>
          <t>example (live from the current trip)</t>
        </is>
      </c>
    </row>
    <row r="5">
      <c r="A5" t="inlineStr">
        <is>
          <t>{{vendor_name}}</t>
        </is>
      </c>
      <c r="B5" t="inlineStr">
        <is>
          <t>Vendors.company_name</t>
        </is>
      </c>
      <c r="C5" t="inlineStr">
        <is>
          <t>Recipient handler, FBO, fueller or CAA</t>
        </is>
      </c>
    </row>
    <row r="6">
      <c r="A6" t="inlineStr">
        <is>
          <t>{{station_icao}}</t>
        </is>
      </c>
      <c r="B6" t="inlineStr">
        <is>
          <t>leg dep/arr ICAO</t>
        </is>
      </c>
      <c r="C6" t="inlineStr">
        <is>
          <t>ICAO only, never IATA</t>
        </is>
      </c>
    </row>
    <row r="7">
      <c r="A7" t="inlineStr">
        <is>
          <t>{{client_ref}}</t>
        </is>
      </c>
      <c r="B7" t="inlineStr">
        <is>
          <t>Clients.client_name</t>
        </is>
      </c>
      <c r="C7" t="inlineStr">
        <is>
          <t>The account the trip is billed to</t>
        </is>
      </c>
    </row>
    <row r="8">
      <c r="A8" t="inlineStr">
        <is>
          <t>{{operator_name}}</t>
        </is>
      </c>
      <c r="B8" t="inlineStr">
        <is>
          <t>Operators.operator_name</t>
        </is>
      </c>
      <c r="C8" t="inlineStr">
        <is>
          <t>Aircraft operator</t>
        </is>
      </c>
    </row>
    <row r="9">
      <c r="A9" t="inlineStr">
        <is>
          <t>{{registration}}</t>
        </is>
      </c>
      <c r="B9" t="inlineStr">
        <is>
          <t>Aircraft.registration</t>
        </is>
      </c>
      <c r="C9" t="inlineStr">
        <is>
          <t>Unique airframe key</t>
        </is>
      </c>
    </row>
    <row r="10">
      <c r="A10" t="inlineStr">
        <is>
          <t>{{icao_type}}</t>
        </is>
      </c>
      <c r="B10" t="inlineStr">
        <is>
          <t>Aircraft.icao_type</t>
        </is>
      </c>
      <c r="C10" t="inlineStr">
        <is>
          <t>ICAO type designator, e.g. GLF6</t>
        </is>
      </c>
    </row>
    <row r="11">
      <c r="A11" t="inlineStr">
        <is>
          <t>{{mtow}}</t>
        </is>
      </c>
      <c r="B11" t="inlineStr">
        <is>
          <t>Aircraft.mtow_kg</t>
        </is>
      </c>
      <c r="C11" t="inlineStr">
        <is>
          <t>Include units; permits often want lb</t>
        </is>
      </c>
    </row>
    <row r="12">
      <c r="A12" t="inlineStr">
        <is>
          <t>{{pic_name}}</t>
        </is>
      </c>
      <c r="B12" t="inlineStr">
        <is>
          <t>PAX &amp; CREW where position = PIC</t>
        </is>
      </c>
      <c r="C12" t="inlineStr">
        <is>
          <t>Captain's name</t>
        </is>
      </c>
    </row>
    <row r="13">
      <c r="A13" t="inlineStr">
        <is>
          <t>{{trip_ref}}</t>
        </is>
      </c>
      <c r="B13" t="inlineStr">
        <is>
          <t>trips.trip_ref</t>
        </is>
      </c>
      <c r="C13" t="inlineStr">
        <is>
          <t>Quoted as the reference number</t>
        </is>
      </c>
    </row>
    <row r="14">
      <c r="A14" t="inlineStr">
        <is>
          <t>{{itinerary_block}}</t>
        </is>
      </c>
      <c r="B14" t="inlineStr">
        <is>
          <t>legs</t>
        </is>
      </c>
      <c r="C14" t="inlineStr">
        <is>
          <t>One DEPART and one ARRIVE line per leg, UTC with local in brackets at stations where the crew is on the ground</t>
        </is>
      </c>
    </row>
    <row r="15">
      <c r="A15" t="inlineStr">
        <is>
          <t>{{previous_itinerary_block}}</t>
        </is>
      </c>
      <c r="B15" t="inlineStr">
        <is>
          <t>legs revision history</t>
        </is>
      </c>
      <c r="C15" t="inlineStr">
        <is>
          <t>Revision messages only</t>
        </is>
      </c>
    </row>
    <row r="16">
      <c r="A16" t="inlineStr">
        <is>
          <t>{{service_list}}</t>
        </is>
      </c>
      <c r="B16" t="inlineStr">
        <is>
          <t>service_orders for this stop</t>
        </is>
      </c>
      <c r="C16" t="inlineStr">
        <is>
          <t>Numbered PENDING CONFIRMATION list</t>
        </is>
      </c>
    </row>
    <row r="17">
      <c r="A17" t="inlineStr">
        <is>
          <t>{{change_list}}</t>
        </is>
      </c>
      <c r="B17" t="inlineStr">
        <is>
          <t>diff between revisions</t>
        </is>
      </c>
      <c r="C17" t="inlineStr">
        <is>
          <t>Numbered CHANGES list</t>
        </is>
      </c>
    </row>
    <row r="18">
      <c r="A18" t="inlineStr">
        <is>
          <t>{{cancel_list}}</t>
        </is>
      </c>
      <c r="B18" t="inlineStr">
        <is>
          <t>cancelled service orders</t>
        </is>
      </c>
      <c r="C18" t="inlineStr">
        <is>
          <t>Numbered CANCEL list</t>
        </is>
      </c>
    </row>
    <row r="19">
      <c r="A19" t="inlineStr">
        <is>
          <t>{{billing_entity}}</t>
        </is>
      </c>
      <c r="B19" t="inlineStr">
        <is>
          <t>Clients.bill_to_legal_name</t>
        </is>
      </c>
      <c r="C19" t="inlineStr">
        <is>
          <t>Who invoices go to</t>
        </is>
      </c>
    </row>
    <row r="20">
      <c r="A20" t="inlineStr">
        <is>
          <t>{{billing_email}}</t>
        </is>
      </c>
      <c r="B20" t="inlineStr">
        <is>
          <t>Clients.billing_email</t>
        </is>
      </c>
      <c r="C20" t="inlineStr">
        <is>
          <t>Invoice destination</t>
        </is>
      </c>
    </row>
    <row r="21">
      <c r="A21" t="inlineStr">
        <is>
          <t>{{invoice_days}}</t>
        </is>
      </c>
      <c r="B21" t="inlineStr">
        <is>
          <t>settings</t>
        </is>
      </c>
      <c r="C21" t="inlineStr">
        <is>
          <t>Days after service to submit invoices, default 7</t>
        </is>
      </c>
    </row>
    <row r="22">
      <c r="A22" t="inlineStr">
        <is>
          <t>{{permit_type}}</t>
        </is>
      </c>
      <c r="B22" t="inlineStr">
        <is>
          <t>permits.permit_type</t>
        </is>
      </c>
      <c r="C22" t="inlineStr">
        <is>
          <t>OVERFLY or LANDING</t>
        </is>
      </c>
    </row>
    <row r="23">
      <c r="A23" t="inlineStr">
        <is>
          <t>{{permit_validity_hours}}</t>
        </is>
      </c>
      <c r="B23" t="inlineStr">
        <is>
          <t>settings</t>
        </is>
      </c>
      <c r="C23" t="inlineStr">
        <is>
          <t>Validity buffer requested, default 72</t>
        </is>
      </c>
    </row>
    <row r="24">
      <c r="A24" t="inlineStr">
        <is>
          <t>{{caa_name}}</t>
        </is>
      </c>
      <c r="B24" t="inlineStr">
        <is>
          <t>countries.civil_aviation_authority</t>
        </is>
      </c>
      <c r="C24" t="inlineStr">
        <is>
          <t>Addressee for permit requests</t>
        </is>
      </c>
    </row>
    <row r="25">
      <c r="A25" t="inlineStr">
        <is>
          <t>{{flight_purpose}}</t>
        </is>
      </c>
      <c r="B25" t="inlineStr">
        <is>
          <t>trips.flight_purpose</t>
        </is>
      </c>
      <c r="C25" t="inlineStr">
        <is>
          <t>BUSINESS, PRIVATE NON-REVENUE, CHARTER, MEDEVAC, STATE</t>
        </is>
      </c>
    </row>
    <row r="26">
      <c r="A26" t="inlineStr">
        <is>
          <t>{{aircraft_classification}}</t>
        </is>
      </c>
      <c r="B26" t="inlineStr">
        <is>
          <t>trips.aircraft_classification</t>
        </is>
      </c>
      <c r="C26" t="inlineStr">
        <is>
          <t>Private non-revenue, commercial charter, state, cargo</t>
        </is>
      </c>
    </row>
    <row r="27">
      <c r="A27" t="inlineStr">
        <is>
          <t>{{crew_pax_summary}}</t>
        </is>
      </c>
      <c r="B27" t="inlineStr">
        <is>
          <t>legs</t>
        </is>
      </c>
      <c r="C27" t="inlineStr">
        <is>
          <t>e.g. CAPTAIN X PLUS 2 CREW AND 1 PAX</t>
        </is>
      </c>
    </row>
    <row r="28">
      <c r="A28" t="inlineStr">
        <is>
          <t>{{sender_name}}</t>
        </is>
      </c>
      <c r="B28" t="inlineStr">
        <is>
          <t>users.full_name</t>
        </is>
      </c>
      <c r="C28" t="inlineStr">
        <is>
          <t>Person sending the message</t>
        </is>
      </c>
    </row>
    <row r="29">
      <c r="A29" t="inlineStr">
        <is>
          <t>{{sender_team}}</t>
        </is>
      </c>
      <c r="B29" t="inlineStr">
        <is>
          <t>users.team</t>
        </is>
      </c>
      <c r="C29" t="inlineStr">
        <is>
          <t>Desk or team name</t>
        </is>
      </c>
    </row>
    <row r="30">
      <c r="A30" t="inlineStr">
        <is>
          <t>{{sender_email}}</t>
        </is>
      </c>
      <c r="B30" t="inlineStr">
        <is>
          <t>settings</t>
        </is>
      </c>
      <c r="C30" t="inlineStr">
        <is>
          <t>Reply-to address</t>
        </is>
      </c>
    </row>
    <row r="31">
      <c r="A31" t="inlineStr">
        <is>
          <t>{{sender_phone}}</t>
        </is>
      </c>
      <c r="B31" t="inlineStr">
        <is>
          <t>settings</t>
        </is>
      </c>
      <c r="C31" t="inlineStr">
        <is>
          <t>Voice contact</t>
        </is>
      </c>
    </row>
    <row r="32">
      <c r="A32" t="inlineStr">
        <is>
          <t>{{sita}} {{aftn}} {{arinc}}</t>
        </is>
      </c>
      <c r="B32" t="inlineStr">
        <is>
          <t>settings</t>
        </is>
      </c>
      <c r="C32" t="inlineStr">
        <is>
          <t>Teletype addresses</t>
        </is>
      </c>
    </row>
    <row r="33">
      <c r="A33" t="inlineStr">
        <is>
          <t>{{recipients_to}} {{recipients_cc}}</t>
        </is>
      </c>
      <c r="B33" t="inlineStr">
        <is>
          <t>Vendors / Operators / Clients messaging preference</t>
        </is>
      </c>
      <c r="C33" t="inlineStr">
        <is>
          <t>Resolved from the messaging preference columns</t>
        </is>
      </c>
    </row>
    <row r="34">
      <c r="A34" t="inlineStr">
        <is>
          <t>{{legal_block}}</t>
        </is>
      </c>
      <c r="B34" t="inlineStr">
        <is>
          <t>settings</t>
        </is>
      </c>
      <c r="C34" t="inlineStr">
        <is>
          <t>Standing terms and conditions paragraph</t>
        </is>
      </c>
    </row>
    <row r="36">
      <c r="A36" s="25" t="inlineStr">
        <is>
          <t>2 · TEMPLATE LIBRARY   (plain text, upper case, teletype style — the format handlers and CAAs expect)</t>
        </is>
      </c>
      <c r="B36" s="25" t="n"/>
      <c r="C36" s="25" t="n"/>
      <c r="D36" s="25" t="n"/>
      <c r="E36" s="25" t="n"/>
      <c r="F36" s="25" t="n"/>
      <c r="G36" s="25" t="n"/>
      <c r="H36" s="25" t="n"/>
      <c r="I36" s="25" t="n"/>
    </row>
    <row r="37">
      <c r="A37" s="33" t="inlineStr">
        <is>
          <t>template_id</t>
        </is>
      </c>
      <c r="B37" s="33" t="inlineStr">
        <is>
          <t>template_name</t>
        </is>
      </c>
      <c r="C37" s="33" t="inlineStr">
        <is>
          <t>message_type</t>
        </is>
      </c>
      <c r="D37" s="33" t="inlineStr">
        <is>
          <t>recipient_role</t>
        </is>
      </c>
      <c r="E37" s="33" t="inlineStr">
        <is>
          <t>channel</t>
        </is>
      </c>
      <c r="F37" s="33" t="inlineStr">
        <is>
          <t>subject_line</t>
        </is>
      </c>
      <c r="G37" s="33" t="inlineStr">
        <is>
          <t>body_template</t>
        </is>
      </c>
      <c r="H37" s="33" t="inlineStr">
        <is>
          <t>footer_block</t>
        </is>
      </c>
      <c r="I37" s="33" t="inlineStr">
        <is>
          <t>active</t>
        </is>
      </c>
    </row>
    <row r="38" ht="360" customHeight="1">
      <c r="A38" s="63" t="inlineStr">
        <is>
          <t>TPL-001</t>
        </is>
      </c>
      <c r="B38" s="63" t="inlineStr">
        <is>
          <t>Handling request</t>
        </is>
      </c>
      <c r="C38" s="63" t="inlineStr">
        <is>
          <t>HANDLING REQUEST</t>
        </is>
      </c>
      <c r="D38" s="63" t="inlineStr">
        <is>
          <t>HANDLER / FBO</t>
        </is>
      </c>
      <c r="E38" s="63" t="inlineStr">
        <is>
          <t>EMAIL</t>
        </is>
      </c>
      <c r="F38" s="63" t="inlineStr">
        <is>
          <t>{{registration}} / {{station_icao}} / {{trip_ref}} - HANDLING REQUEST</t>
        </is>
      </c>
      <c r="G38" s="63" t="inlineStr">
        <is>
          <t>ATTN:      {{vendor_name}}/{{station_icao}}
REF:       {{client_ref}}
           REGISTRY {{registration}} / {{icao_type}}
           CAPTAIN {{pic_name}}
           JTL REFERENCE NBR {{trip_ref}}
ITINERARY:
{{itinerary_block}}
PLEASE SPECIFICALLY CONFIRM THE FOLLOWING:
PENDING CONFIRMATION
{{service_list}}
   {{next_index}}. INVOICE REQUIREMENT:
      PLS CONFIRM ALL INVOICES AND SUPPORTING DOCUMENTATION ARE SENT
      TO {{billing_entity}} WITHIN {{invoice_days}} DAYS AFTER THE DATE(S) OF SERVICE.
      ANY FUEL INVOICES SHOULD BE SENT TO THE FUELLER AS ARRANGED BY THE CUSTOMER.
      TO ENSURE PAYMENT, PLEASE ENSURE CREW SIGNATURES ON ALL 3RD PARTY INVOICES.
      SEND INVOICES TO: {{billing_email}}.
ALL OTHER INFORMATION REMAINS UNCHANGED.
PLEASE ACKNOWLEDGE AND CONFIRM RECEIPT OF THIS MESSAGE CONFIRMING ALL ITEMS CAN BE ARRANGED AS REQUESTED.</t>
        </is>
      </c>
      <c r="H38" s="63" t="inlineStr">
        <is>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is>
      </c>
      <c r="I38" s="63" t="inlineStr">
        <is>
          <t>YES</t>
        </is>
      </c>
    </row>
    <row r="39" ht="374.4" customHeight="1">
      <c r="A39" s="63" t="inlineStr">
        <is>
          <t>TPL-002</t>
        </is>
      </c>
      <c r="B39" s="63" t="inlineStr">
        <is>
          <t>Handling revision</t>
        </is>
      </c>
      <c r="C39" s="63" t="inlineStr">
        <is>
          <t>HANDLING REVISION</t>
        </is>
      </c>
      <c r="D39" s="63" t="inlineStr">
        <is>
          <t>HANDLER / FBO</t>
        </is>
      </c>
      <c r="E39" s="63" t="inlineStr">
        <is>
          <t>EMAIL</t>
        </is>
      </c>
      <c r="F39" s="63" t="inlineStr">
        <is>
          <t>{{registration}} / {{station_icao}} / {{trip_ref}} - REVISION</t>
        </is>
      </c>
      <c r="G39" s="63" t="inlineStr">
        <is>
          <t>ATTN:      {{vendor_name}}/{{station_icao}}
REF:       {{client_ref}}
           {{registration}} / {{icao_type}} / CAPTAIN {{pic_name}}
           JTL REFERENCE NBR {{trip_ref}}
PREVIOUS ITINERARY:
{{previous_itinerary_block}}
NEW ITINERARY:
{{itinerary_block}}
PLEASE SPECIFICALLY CONFIRM THE FOLLOWING:
CHANGES
{{change_list}}
PENDING CONFIRMATION
{{service_list}}
CANCEL
{{cancel_list}}
ALL OTHER INFORMATION REMAINS UNCHANGED.
PLEASE ACKNOWLEDGE AND CONFIRM RECEIPT OF THIS MESSAGE CONFIRMING ALL ITEMS CAN BE ARRANGED AS REQUESTED.</t>
        </is>
      </c>
      <c r="H39" s="63" t="inlineStr">
        <is>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is>
      </c>
      <c r="I39" s="63" t="inlineStr">
        <is>
          <t>YES</t>
        </is>
      </c>
    </row>
    <row r="40" ht="316.8" customHeight="1">
      <c r="A40" s="63" t="inlineStr">
        <is>
          <t>TPL-003</t>
        </is>
      </c>
      <c r="B40" s="63" t="inlineStr">
        <is>
          <t>Overflight permit request</t>
        </is>
      </c>
      <c r="C40" s="63" t="inlineStr">
        <is>
          <t>PERMIT REQUEST</t>
        </is>
      </c>
      <c r="D40" s="63" t="inlineStr">
        <is>
          <t>CIVIL AVIATION AUTHORITY</t>
        </is>
      </c>
      <c r="E40" s="63" t="inlineStr">
        <is>
          <t>EMAIL</t>
        </is>
      </c>
      <c r="F40" s="63" t="inlineStr">
        <is>
          <t>{{registration}} / {{icao_type}} - OVERFLIGHT PERMIT REQUEST</t>
        </is>
      </c>
      <c r="G40" s="63" t="inlineStr">
        <is>
          <t>ATTN: CIVIL AVIATION AUTHORITY: {{caa_name}}
RESPECTFULLY REQUEST OVERFLY PERMISSION WITH A {{permit_validity_hours}} HOUR VALIDITY IN CASE
OF DELAY BASED ON:
A. OPERATOR: {{operator_name}}
    ADDRESS: {{operator_address}}
             PHN: {{operator_phone}}
             AFTN: {{aftn}}
             SITA/ARINC: {{sita}}
   BILLING ADDRESS: {{billing_email}}
B. REGISTRY: {{registration}}  ACFT TYPE: {{icao_type}}   MTOW: {{mtow}}
C. AIRCRAFT CLASSIFICATION: {{aircraft_classification}}
D. ITINERARY:
{{itinerary_block}}
E. ROUTE: VIA APPROVED ATS ROUTES
F. PURPOSE OF FLIGHT: {{flight_purpose}}
G. CREW: {{crew_pax_summary}}
THANK YOU FOR YOUR CONSIDERATION OF THIS REQUEST AND AWAITING YOUR APPROVAL WE REMAIN VERY TRULY YOURS {{sender_name}} / {{sender_team}} / JTL TRIP SUPPORT FOR THE OPS OF {{operator_name}}/{{registration}}.</t>
        </is>
      </c>
      <c r="H40" s="63" t="inlineStr">
        <is>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is>
      </c>
      <c r="I40" s="63" t="inlineStr">
        <is>
          <t>YES</t>
        </is>
      </c>
    </row>
    <row r="41" ht="316.8" customHeight="1">
      <c r="A41" s="63" t="inlineStr">
        <is>
          <t>TPL-004</t>
        </is>
      </c>
      <c r="B41" s="63" t="inlineStr">
        <is>
          <t>Landing permit request</t>
        </is>
      </c>
      <c r="C41" s="63" t="inlineStr">
        <is>
          <t>PERMIT REQUEST</t>
        </is>
      </c>
      <c r="D41" s="63" t="inlineStr">
        <is>
          <t>CIVIL AVIATION AUTHORITY</t>
        </is>
      </c>
      <c r="E41" s="63" t="inlineStr">
        <is>
          <t>EMAIL</t>
        </is>
      </c>
      <c r="F41" s="63" t="inlineStr">
        <is>
          <t>{{registration}} / {{icao_type}} - LANDING PERMIT REQUEST</t>
        </is>
      </c>
      <c r="G41" s="63" t="inlineStr">
        <is>
          <t>ATTN: CIVIL AVIATION AUTHORITY: {{caa_name}}
RESPECTFULLY REQUEST LANDING PERMISSION WITH A {{permit_validity_hours}} HOUR VALIDITY IN CASE
OF DELAY BASED ON:
A. OPERATOR: {{operator_name}}
    ADDRESS: {{operator_address}}
             PHN: {{operator_phone}}
             AFTN: {{aftn}}
             SITA/ARINC: {{sita}}
   BILLING ADDRESS: {{billing_email}}
B. REGISTRY: {{registration}}  ACFT TYPE: {{icao_type}}   MTOW: {{mtow}}
C. AIRCRAFT CLASSIFICATION: {{aircraft_classification}}
D. ITINERARY:
{{itinerary_block}}
E. ROUTE: VIA APPROVED ATS ROUTES
F. PURPOSE OF FLIGHT: {{flight_purpose}}
G. CREW: {{crew_pax_summary}}
THANK YOU FOR YOUR CONSIDERATION OF THIS REQUEST AND AWAITING YOUR APPROVAL WE REMAIN VERY TRULY YOURS {{sender_name}} / {{sender_team}} / JTL TRIP SUPPORT FOR THE OPS OF {{operator_name}}/{{registration}}.</t>
        </is>
      </c>
      <c r="H41" s="63" t="inlineStr">
        <is>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is>
      </c>
      <c r="I41" s="63" t="inlineStr">
        <is>
          <t>YES</t>
        </is>
      </c>
    </row>
    <row r="42" ht="201.6" customHeight="1">
      <c r="A42" s="63" t="inlineStr">
        <is>
          <t>TPL-005</t>
        </is>
      </c>
      <c r="B42" s="63" t="inlineStr">
        <is>
          <t>Service cancellation</t>
        </is>
      </c>
      <c r="C42" s="63" t="inlineStr">
        <is>
          <t>CANCELLATION</t>
        </is>
      </c>
      <c r="D42" s="63" t="inlineStr">
        <is>
          <t>HANDLER / FBO / VENDOR</t>
        </is>
      </c>
      <c r="E42" s="63" t="inlineStr">
        <is>
          <t>EMAIL</t>
        </is>
      </c>
      <c r="F42" s="63" t="inlineStr">
        <is>
          <t>{{registration}} / {{station_icao}} / {{trip_ref}} - CANCELLATION</t>
        </is>
      </c>
      <c r="G42" s="63" t="inlineStr">
        <is>
          <t>ATTN:      {{vendor_name}}/{{station_icao}}
REF:       {{client_ref}} / {{registration}} / {{trip_ref}}
PLEASE CANCEL THE FOLLOWING SERVICES:
{{cancel_list}}
PLEASE CONFIRM CANCELLATION AND ADVISE ANY CANCELLATION CHARGES.</t>
        </is>
      </c>
      <c r="H42" s="63" t="inlineStr">
        <is>
          <t>ANY WRITTEN AGREEMENT SIGNED BY AND CURRENTLY IN EFFECT BETWEEN JTL AND YOU, AS JTL'S SERVICE PROVIDER TO WHOM THIS CONFIDENTIAL SERVICE REQUEST/NOTIFICATION HAS BEEN SENT, GOVERNS ALL ACTIVITIES PURSUANT TO THIS REQUEST/NOTIFICATION. IF NO SUCH AGREEMENT IS CURRENTLY IN EFFECT, THEN JTL'S GENERAL TERMS AND CONDITIONS SHALL GOVERN ALL ACTIVITIES REQUESTED BY JTL. BY PROVIDING THE SERVICES REQUESTED HEREIN, YOU HAVE AGREED THAT SUCH AGREEMENT OR GENERAL TERMS AND CONDITIONS APPLY.
THANK YOU AND BEST REGARDS - {{sender_name}} / {{sender_team}} / JTL TRIP SUPPORT SERVICES FOR THE OPERATIONS OF {{operator_name}} / {{registration}} / END
                           CONFIDENTIAL
REQUEST SENT TO: {{recipients_to}}
                 {{recipients_cc}}
T/N: {{trip_ref}}
PHONE: {{sender_phone}}   E-MAIL: {{sender_email}}
SITA: {{sita}}  ARINC: {{arinc}}  AFTN: {{aftn}} /END</t>
        </is>
      </c>
      <c r="I42" s="63" t="inlineStr">
        <is>
          <t>YES</t>
        </is>
      </c>
    </row>
    <row r="43"/>
    <row r="46">
      <c r="A46" s="25" t="inlineStr">
        <is>
          <t>3 · MESSAGE BUILDER   (renders a live handling request for one stop of the trip open in TRIP MANAGER)</t>
        </is>
      </c>
      <c r="B46" s="25" t="n"/>
      <c r="C46" s="25" t="n"/>
      <c r="D46" s="25" t="n"/>
    </row>
    <row r="47">
      <c r="A47" s="1" t="inlineStr">
        <is>
          <t>STOP # (from section 4 of TRIP MANAGER)</t>
        </is>
      </c>
      <c r="B47" s="4" t="n">
        <v>1</v>
      </c>
    </row>
    <row r="48">
      <c r="A48" s="1" t="inlineStr">
        <is>
          <t>VENDOR / RECIPIENT NAME</t>
        </is>
      </c>
      <c r="B48" s="4" t="inlineStr">
        <is>
          <t>FIREBLADE AVIATION</t>
        </is>
      </c>
    </row>
    <row r="49">
      <c r="A49" s="1" t="inlineStr">
        <is>
          <t>RECIPIENT EMAIL(S) — TO</t>
        </is>
      </c>
      <c r="B49" s="4" t="inlineStr">
        <is>
          <t>fbo.ops@firebladeaviation.example</t>
        </is>
      </c>
    </row>
    <row r="50">
      <c r="A50" s="1" t="inlineStr">
        <is>
          <t>RECIPIENT EMAIL(S) — CC</t>
        </is>
      </c>
      <c r="B50" s="4" t="inlineStr">
        <is>
          <t>ops@jetelio.com</t>
        </is>
      </c>
    </row>
    <row r="51">
      <c r="A51" s="1" t="inlineStr">
        <is>
          <t>SENDER NAME</t>
        </is>
      </c>
      <c r="B51" s="4" t="inlineStr">
        <is>
          <t>A DESK</t>
        </is>
      </c>
    </row>
    <row r="52">
      <c r="A52" s="1" t="inlineStr">
        <is>
          <t>SENDER TEAM</t>
        </is>
      </c>
      <c r="B52" s="4" t="inlineStr">
        <is>
          <t>ECHO TEAM</t>
        </is>
      </c>
    </row>
    <row r="53">
      <c r="A53" s="1" t="inlineStr">
        <is>
          <t>STATION ICAO (auto)</t>
        </is>
      </c>
      <c r="B53" s="28">
        <f t="array" ref="B53">IF($B$47="","",TRIM(LEFT(INDEX('TRIP MANAGER'!$D$74:$D$82,$B$47)&amp;",",FIND(",",INDEX('TRIP MANAGER'!$D$74:$D$82,$B$47)&amp;",")-1)))</f>
        <v/>
      </c>
    </row>
    <row r="54">
      <c r="A54" s="1" t="inlineStr">
        <is>
          <t>SUBJECT LINE (auto)</t>
        </is>
      </c>
      <c r="B54" s="28">
        <f>IF($B$47="","",'TRIP MANAGER'!$B$7&amp;" / "&amp;$B$53&amp;" / "&amp;'TRIP MANAGER'!$B$5&amp;" - HANDLING REQUEST")</f>
        <v/>
      </c>
    </row>
    <row r="56">
      <c r="A56" s="54" t="inlineStr">
        <is>
          <t>RENDERED MESSAGE — select A57:A110, copy, paste into the e-mail body</t>
        </is>
      </c>
    </row>
    <row r="57">
      <c r="A57" s="70">
        <f>"ATTN:      "&amp;$B$48&amp;"/"&amp;$B$53</f>
        <v/>
      </c>
    </row>
    <row r="58">
      <c r="A58" s="70">
        <f>"REF:       "&amp;'TRIP MANAGER'!$F$6</f>
        <v/>
      </c>
    </row>
    <row r="59">
      <c r="A59" s="70">
        <f>"           REGISTRY "&amp;'TRIP MANAGER'!$B$7&amp;" / "&amp;'TRIP MANAGER'!$B$8</f>
        <v/>
      </c>
    </row>
    <row r="60">
      <c r="A60" s="70">
        <f>"           CAPTAIN "&amp;IFERROR(INDEX('PAX &amp; CREW'!$G$3:$G$62,MATCH("PIC",'PAX &amp; CREW'!$D$3:$D$62,0))&amp;" "&amp;INDEX('PAX &amp; CREW'!$H$3:$H$62,MATCH("PIC",'PAX &amp; CREW'!$D$3:$D$62,0)),"TBA")</f>
        <v/>
      </c>
    </row>
    <row r="61">
      <c r="A61" s="70">
        <f>"           JTL REFERENCE NBR "&amp;'TRIP MANAGER'!$B$5</f>
        <v/>
      </c>
    </row>
    <row r="62">
      <c r="A62" s="70">
        <f>""</f>
        <v/>
      </c>
    </row>
    <row r="63">
      <c r="A63" s="70">
        <f>"ITINERARY:"</f>
        <v/>
      </c>
    </row>
    <row r="64">
      <c r="A64" s="70">
        <f t="array" ref="A64">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65">
      <c r="A65" s="70">
        <f t="array" ref="A65">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66">
      <c r="A66" s="70">
        <f t="array" ref="A66">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67">
      <c r="A67" s="70">
        <f t="array" ref="A67">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68">
      <c r="A68" s="70">
        <f t="array" ref="A68">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69">
      <c r="A69" s="70">
        <f t="array" ref="A69">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0">
      <c r="A70" s="70">
        <f t="array" ref="A70">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1">
      <c r="A71" s="70">
        <f t="array" ref="A71">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2">
      <c r="A72" s="70">
        <f t="array" ref="A72">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3">
      <c r="A73" s="70">
        <f t="array" ref="A73">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4">
      <c r="A74" s="70">
        <f t="array" ref="A74">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5">
      <c r="A75" s="70">
        <f t="array" ref="A75">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6">
      <c r="A76" s="70">
        <f t="array" ref="A76">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7">
      <c r="A77" s="70">
        <f t="array" ref="A77">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8">
      <c r="A78" s="70">
        <f t="array" ref="A78">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79">
      <c r="A79" s="70">
        <f t="array" ref="A79">IF(INT((ROW()-63-1)/2)+1&gt;COUNTA('TRIP MANAGER'!$G$18:$G$25),"",IF(MOD(ROW()-63,2)=1,"DEPART "&amp;UPPER(INDEX('TRIP MANAGER'!$C$18:$C$25,INT((ROW()-63-1)/2)+1))&amp;" / "&amp;INDEX('TRIP MANAGER'!$B$18:$B$25,INT((ROW()-63-1)/2)+1)&amp;"          "&amp;UPPER(TEXT(INDEX('TRIP MANAGER'!$E$18:$E$25,INT((ROW()-63-1)/2)+1)+INDEX('TRIP MANAGER'!$F$18:$F$25,INT((ROW()-63-1)/2)+1),"ddmmm"))&amp;"/"&amp;TEXT(INDEX('TRIP MANAGER'!$E$18:$E$25,INT((ROW()-63-1)/2)+1)+INDEX('TRIP MANAGER'!$F$18:$F$25,INT((ROW()-63-1)/2)+1),"hhmm")&amp;" UTC","ARRIVE "&amp;UPPER(INDEX('TRIP MANAGER'!$H$18:$H$25,INT((ROW()-63-1)/2)+1))&amp;" / "&amp;INDEX('TRIP MANAGER'!$G$18:$G$25,INT((ROW()-63-1)/2)+1)&amp;"          "&amp;UPPER(TEXT(INDEX('TRIP MANAGER'!$L$18:$L$25,INT((ROW()-63-1)/2)+1)+INDEX('TRIP MANAGER'!$M$18:$M$25,INT((ROW()-63-1)/2)+1),"ddmmm"))&amp;"/"&amp;TEXT(INDEX('TRIP MANAGER'!$L$18:$L$25,INT((ROW()-63-1)/2)+1)+INDEX('TRIP MANAGER'!$M$18:$M$25,INT((ROW()-63-1)/2)+1),"hhmm")&amp;" UTC"))</f>
        <v/>
      </c>
    </row>
    <row r="80">
      <c r="A80" s="70">
        <f>""</f>
        <v/>
      </c>
    </row>
    <row r="81">
      <c r="A81" s="70">
        <f>"PLEASE SPECIFICALLY CONFIRM THE FOLLOWING:"</f>
        <v/>
      </c>
    </row>
    <row r="82">
      <c r="A82" s="70">
        <f>""</f>
        <v/>
      </c>
    </row>
    <row r="83">
      <c r="A83" s="70">
        <f>"PENDING CONFIRMATION"</f>
        <v/>
      </c>
    </row>
    <row r="84">
      <c r="A84" s="70">
        <f t="array" ref="A84">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5">
      <c r="A85" s="70">
        <f t="array" ref="A85">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6">
      <c r="A86" s="70">
        <f t="array" ref="A86">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7">
      <c r="A87" s="70">
        <f t="array" ref="A87">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8">
      <c r="A88" s="70">
        <f t="array" ref="A88">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89">
      <c r="A89" s="70">
        <f t="array" ref="A89">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0">
      <c r="A90" s="70">
        <f t="array" ref="A90">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1">
      <c r="A91" s="70">
        <f t="array" ref="A91">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2">
      <c r="A92" s="70">
        <f t="array" ref="A92">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3">
      <c r="A93" s="70">
        <f t="array" ref="A93">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4">
      <c r="A94" s="70">
        <f t="array" ref="A94">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5">
      <c r="A95" s="70">
        <f t="array" ref="A95">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6">
      <c r="A96" s="70">
        <f t="array" ref="A96">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7">
      <c r="A97" s="70">
        <f t="array" ref="A97">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8">
      <c r="A98" s="70">
        <f t="array" ref="A98">IFERROR("   "&amp;ROW()-83&amp;". "&amp;UPPER(INDEX('TRIP MANAGER'!$H$72:$V$72,SMALL(IF(INDEX('TRIP MANAGER'!$H$74:$V$82,$B$47,0)&lt;&gt;"",COLUMN($H$1:$V$1)-7),ROW()-83)))&amp;": PLEASE ARRANGE FOR THE ARRIVAL AND DEPARTURE."&amp;IF(INDEX(INDEX('TRIP MANAGER'!$H$74:$V$82,$B$47,0),SMALL(IF(INDEX('TRIP MANAGER'!$H$74:$V$82,$B$47,0)&lt;&gt;"",COLUMN($H$1:$V$1)-7),ROW()-83))="THIRD PARTY"," (THIRD PARTY SUPPLIER)",""),"")</f>
        <v/>
      </c>
    </row>
    <row r="99">
      <c r="A99" s="70">
        <f>"   "&amp;(COUNTA(INDEX('TRIP MANAGER'!$H$74:$V$82,$B$47,0))+1)&amp;". INVOICE REQUIREMENT:"</f>
        <v/>
      </c>
    </row>
    <row r="100">
      <c r="A100" s="70">
        <f>"      PLS CONFIRM ALL INVOICES AND SUPPORTING DOCUMENTATION ARE SENT"</f>
        <v/>
      </c>
    </row>
    <row r="101">
      <c r="A101" s="70">
        <f>"      TO "&amp;UPPER('TRIP MANAGER'!$F$6)&amp;" WITHIN 7 DAYS AFTER THE DATE(S) OF SERVICE."</f>
        <v/>
      </c>
    </row>
    <row r="102">
      <c r="A102" s="70">
        <f>"      ANY FUEL INVOICES SHOULD BE SENT TO THE FUELLER AS ARRANGED BY THE CUSTOMER."</f>
        <v/>
      </c>
    </row>
    <row r="103">
      <c r="A103" s="70">
        <f>"      TO ENSURE PAYMENT, PLEASE ENSURE CREW SIGNATURES ON ALL 3RD PARTY INVOICES."</f>
        <v/>
      </c>
    </row>
    <row r="104">
      <c r="A104" s="70">
        <f>"      SEND INVOICES TO: "&amp;UPPER('TRIP MANAGER'!$F$8)&amp;"."</f>
        <v/>
      </c>
    </row>
    <row r="105">
      <c r="A105" s="70">
        <f>""</f>
        <v/>
      </c>
    </row>
    <row r="106">
      <c r="A106" s="70">
        <f>"ALL OTHER INFORMATION REMAINS UNCHANGED."</f>
        <v/>
      </c>
    </row>
    <row r="107">
      <c r="A107" s="70">
        <f>"PLEASE ACKNOWLEDGE AND CONFIRM RECEIPT OF THIS MESSAGE CONFIRMING ALL ITEMS CAN BE ARRANGED AS REQUESTED."</f>
        <v/>
      </c>
    </row>
    <row r="108">
      <c r="A108" s="70">
        <f>""</f>
        <v/>
      </c>
    </row>
    <row r="109">
      <c r="A109" s="70">
        <f>_xlfn._LONGTEXT("ANY WRITTEN AGREEMENT SIGNED BY AND CURRENTLY IN EFFECT BETWEEN JTL AND YOU, AS JTL'S SERVICE PROVIDER TO WHOM THIS CONFIDENTIAL SERVICE REQUEST HAS BEEN SENT, GOVERNS ALL ACTIVITIES PURSUANT TO THIS REQUEST. IF NO SUCH AGREEMENT IS IN EFFECT, JTL'S GENER","AL TERMS AND CONDITIONS SHALL GOVERN. BY PROVIDING THE SERVICES REQUESTED HEREIN, YOU HAVE AGREED THAT SUCH TERMS APPLY.")</f>
        <v/>
      </c>
    </row>
    <row r="110">
      <c r="A110" s="70">
        <f>""</f>
        <v/>
      </c>
    </row>
    <row r="111">
      <c r="A111" s="70">
        <f>"THANK YOU AND BEST REGARDS - "&amp;UPPER($B$51)&amp;" / "&amp;UPPER($B$52)&amp;" / JTL TRIP SUPPORT SERVICES FOR THE OPERATIONS OF "&amp;UPPER('TRIP MANAGER'!$F$6)&amp;" / "&amp;'TRIP MANAGER'!$B$7&amp;" / END"</f>
        <v/>
      </c>
    </row>
    <row r="112">
      <c r="A112" s="70">
        <f>"                           CONFIDENTIAL"</f>
        <v/>
      </c>
    </row>
    <row r="113">
      <c r="A113" s="70">
        <f>"REQUEST SENT TO: "&amp;UPPER($B$49)</f>
        <v/>
      </c>
    </row>
    <row r="114">
      <c r="A114" s="70">
        <f>"                 "&amp;UPPER($B$50)</f>
        <v/>
      </c>
    </row>
    <row r="115">
      <c r="A115" s="70">
        <f>"T/N: "&amp;'TRIP MANAGER'!$B$5</f>
        <v/>
      </c>
    </row>
    <row r="116">
      <c r="A116" s="70">
        <f>"PHONE: +1 208 134 6478   E-MAIL: ops@jetelio.com"</f>
        <v/>
      </c>
    </row>
    <row r="117">
      <c r="A117" s="70">
        <f>"SITA: TBA  ARINC: TBA  AFTN: TBA /END"</f>
        <v/>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T60"/>
  <sheetViews>
    <sheetView workbookViewId="0">
      <pane ySplit="4" topLeftCell="A5" activePane="bottomLeft" state="frozen"/>
      <selection pane="bottomLeft" activeCell="A1" sqref="A1"/>
    </sheetView>
  </sheetViews>
  <sheetFormatPr baseColWidth="8" defaultRowHeight="14.4"/>
  <cols>
    <col width="27.77734375" customWidth="1" min="1" max="12"/>
    <col width="55.5546875" customWidth="1" min="13" max="13"/>
    <col width="27.77734375" customWidth="1" min="14" max="18"/>
    <col width="37" customWidth="1" min="19" max="19"/>
    <col width="27.77734375" customWidth="1" min="20" max="20"/>
  </cols>
  <sheetData>
    <row r="1" ht="18" customHeight="1">
      <c r="A1" s="44" t="inlineStr">
        <is>
          <t>FLEET &amp; OPERATOR DOCUMENT REPOSITORY — expiry and review tracking</t>
        </is>
      </c>
    </row>
    <row r="2">
      <c r="A2" s="32" t="inlineStr">
        <is>
          <t>Aircraft are identified by registration; the ICAO type is shown for reference. One row per document. Multiple insurance policies per airframe are supported — add a row per policy.</t>
        </is>
      </c>
    </row>
    <row r="4">
      <c r="A4" s="25" t="inlineStr">
        <is>
          <t>doc_id</t>
        </is>
      </c>
      <c r="B4" s="25" t="inlineStr">
        <is>
          <t>entity_type</t>
        </is>
      </c>
      <c r="C4" s="25" t="inlineStr">
        <is>
          <t>entity_ref</t>
        </is>
      </c>
      <c r="D4" s="25" t="inlineStr">
        <is>
          <t>entity_name</t>
        </is>
      </c>
      <c r="E4" s="25" t="inlineStr">
        <is>
          <t>icao_type</t>
        </is>
      </c>
      <c r="F4" s="25" t="inlineStr">
        <is>
          <t>doc_type</t>
        </is>
      </c>
      <c r="G4" s="25" t="inlineStr">
        <is>
          <t>document_number</t>
        </is>
      </c>
      <c r="H4" s="25" t="inlineStr">
        <is>
          <t>issuer</t>
        </is>
      </c>
      <c r="I4" s="25" t="inlineStr">
        <is>
          <t>issue_date</t>
        </is>
      </c>
      <c r="J4" s="25" t="inlineStr">
        <is>
          <t>expiry_date</t>
        </is>
      </c>
      <c r="K4" s="25" t="inlineStr">
        <is>
          <t>review_due_date</t>
        </is>
      </c>
      <c r="L4" s="25" t="inlineStr">
        <is>
          <t>file_name</t>
        </is>
      </c>
      <c r="M4" s="25" t="inlineStr">
        <is>
          <t>file_path</t>
        </is>
      </c>
      <c r="N4" s="25" t="inlineStr">
        <is>
          <t>uploaded_by</t>
        </is>
      </c>
      <c r="O4" s="25" t="inlineStr">
        <is>
          <t>uploaded_at</t>
        </is>
      </c>
      <c r="P4" s="25" t="inlineStr">
        <is>
          <t>verified_by</t>
        </is>
      </c>
      <c r="Q4" s="25" t="inlineStr">
        <is>
          <t>verified_at</t>
        </is>
      </c>
      <c r="R4" s="25" t="inlineStr">
        <is>
          <t>days_to_expiry</t>
        </is>
      </c>
      <c r="S4" s="25" t="inlineStr">
        <is>
          <t>STATUS</t>
        </is>
      </c>
      <c r="T4" s="25" t="inlineStr">
        <is>
          <t>notes</t>
        </is>
      </c>
    </row>
    <row r="5">
      <c r="A5">
        <f>IF($C5="","","FDOC-"&amp;TEXT(ROW()-4,"000"))</f>
        <v/>
      </c>
      <c r="B5" s="4" t="inlineStr">
        <is>
          <t>AIRCRAFT</t>
        </is>
      </c>
      <c r="C5" s="4" t="inlineStr">
        <is>
          <t>N450GA</t>
        </is>
      </c>
      <c r="D5">
        <f>IF($C5="","",IF($B5="AIRCRAFT",IFERROR(IF(INDEX(Aircraft!$T:$T,MATCH($C5,Aircraft!$B:$B,0))="","OPERATOR NAME NOT SET",INDEX(Aircraft!$T:$T,MATCH($C5,Aircraft!$B:$B,0))),"AIRCRAFT NOT IN FLEET"),IFERROR(INDEX(Operators!$B:$B,MATCH($C5,Operators!$A:$A,0)),"OPERATOR NOT FOUND")))</f>
        <v/>
      </c>
      <c r="E5">
        <f>IF($C5="","",IF($B5="AIRCRAFT",IFERROR(INDEX(Aircraft!$C:$C,MATCH($C5,Aircraft!$B:$B,0)),"-"),"-"))</f>
        <v/>
      </c>
      <c r="F5" s="4" t="inlineStr">
        <is>
          <t>Certificate of Registration</t>
        </is>
      </c>
      <c r="G5" s="4" t="inlineStr">
        <is>
          <t>N450GA-REG-2024</t>
        </is>
      </c>
      <c r="H5" s="4" t="inlineStr">
        <is>
          <t>FAA</t>
        </is>
      </c>
      <c r="I5" s="114" t="n">
        <v>45292</v>
      </c>
      <c r="J5" s="114" t="n">
        <v>47118</v>
      </c>
      <c r="K5" s="114" t="n">
        <v>46753</v>
      </c>
      <c r="L5" s="4" t="inlineStr">
        <is>
          <t>registration.pdf</t>
        </is>
      </c>
      <c r="M5">
        <f>IF(OR($C5="",$L5=""),"",admin!$B$2&amp;"\FleetDocs\"&amp;$C5&amp;"\"&amp;$L5)</f>
        <v/>
      </c>
      <c r="N5" s="4" t="n"/>
      <c r="O5" s="50" t="n"/>
      <c r="P5" s="4" t="n"/>
      <c r="Q5" s="50" t="n"/>
      <c r="R5" s="43">
        <f>IF($J5="","",INT($J5-TODAY()))</f>
        <v/>
      </c>
      <c r="S5">
        <f>IF($C5="","",IF($J5="","NO EXPIRY RECORDED",IF($R5&lt;0,"EXPIRED",IF($R5&lt;=30,"EXPIRES WITHIN 30 DAYS",IF($R5&lt;=90,"EXPIRES WITHIN 90 DAYS",IF(AND($K5&lt;&gt;"",$K5&lt;TODAY()),"REVIEW OVERDUE","VALID"))))))</f>
        <v/>
      </c>
      <c r="T5" s="4" t="n"/>
    </row>
    <row r="6">
      <c r="A6">
        <f>IF($C6="","","FDOC-"&amp;TEXT(ROW()-4,"000"))</f>
        <v/>
      </c>
      <c r="B6" s="4" t="inlineStr">
        <is>
          <t>AIRCRAFT</t>
        </is>
      </c>
      <c r="C6" s="4" t="inlineStr">
        <is>
          <t>N450GA</t>
        </is>
      </c>
      <c r="D6">
        <f>IF($C6="","",IF($B6="AIRCRAFT",IFERROR(IF(INDEX(Aircraft!$T:$T,MATCH($C6,Aircraft!$B:$B,0))="","OPERATOR NAME NOT SET",INDEX(Aircraft!$T:$T,MATCH($C6,Aircraft!$B:$B,0))),"AIRCRAFT NOT IN FLEET"),IFERROR(INDEX(Operators!$B:$B,MATCH($C6,Operators!$A:$A,0)),"OPERATOR NOT FOUND")))</f>
        <v/>
      </c>
      <c r="E6">
        <f>IF($C6="","",IF($B6="AIRCRAFT",IFERROR(INDEX(Aircraft!$C:$C,MATCH($C6,Aircraft!$B:$B,0)),"-"),"-"))</f>
        <v/>
      </c>
      <c r="F6" s="4" t="inlineStr">
        <is>
          <t>Insurance - Hull</t>
        </is>
      </c>
      <c r="G6" s="4" t="inlineStr">
        <is>
          <t>HUL-2026-88120</t>
        </is>
      </c>
      <c r="H6" s="4" t="inlineStr">
        <is>
          <t>Global Aerospace</t>
        </is>
      </c>
      <c r="I6" s="114" t="n">
        <v>46023</v>
      </c>
      <c r="J6" s="114" t="n">
        <v>46388</v>
      </c>
      <c r="K6" s="114" t="n">
        <v>46358</v>
      </c>
      <c r="L6" s="4" t="inlineStr">
        <is>
          <t>insurance_hull.pdf</t>
        </is>
      </c>
      <c r="M6">
        <f>IF(OR($C6="",$L6=""),"",admin!$B$2&amp;"\FleetDocs\"&amp;$C6&amp;"\"&amp;$L6)</f>
        <v/>
      </c>
      <c r="N6" s="4" t="n"/>
      <c r="O6" s="50" t="n"/>
      <c r="P6" s="4" t="n"/>
      <c r="Q6" s="50" t="n"/>
      <c r="R6" s="43">
        <f>IF($J6="","",INT($J6-TODAY()))</f>
        <v/>
      </c>
      <c r="S6">
        <f>IF($C6="","",IF($J6="","NO EXPIRY RECORDED",IF($R6&lt;0,"EXPIRED",IF($R6&lt;=30,"EXPIRES WITHIN 30 DAYS",IF($R6&lt;=90,"EXPIRES WITHIN 90 DAYS",IF(AND($K6&lt;&gt;"",$K6&lt;TODAY()),"REVIEW OVERDUE","VALID"))))))</f>
        <v/>
      </c>
      <c r="T6" s="4" t="n"/>
    </row>
    <row r="7">
      <c r="A7">
        <f>IF($C7="","","FDOC-"&amp;TEXT(ROW()-4,"000"))</f>
        <v/>
      </c>
      <c r="B7" s="4" t="inlineStr">
        <is>
          <t>AIRCRAFT</t>
        </is>
      </c>
      <c r="C7" s="4" t="inlineStr">
        <is>
          <t>N450GA</t>
        </is>
      </c>
      <c r="D7">
        <f>IF($C7="","",IF($B7="AIRCRAFT",IFERROR(IF(INDEX(Aircraft!$T:$T,MATCH($C7,Aircraft!$B:$B,0))="","OPERATOR NAME NOT SET",INDEX(Aircraft!$T:$T,MATCH($C7,Aircraft!$B:$B,0))),"AIRCRAFT NOT IN FLEET"),IFERROR(INDEX(Operators!$B:$B,MATCH($C7,Operators!$A:$A,0)),"OPERATOR NOT FOUND")))</f>
        <v/>
      </c>
      <c r="E7">
        <f>IF($C7="","",IF($B7="AIRCRAFT",IFERROR(INDEX(Aircraft!$C:$C,MATCH($C7,Aircraft!$B:$B,0)),"-"),"-"))</f>
        <v/>
      </c>
      <c r="F7" s="4" t="inlineStr">
        <is>
          <t>Airworthiness Review Certificate (ARC)</t>
        </is>
      </c>
      <c r="G7" s="4" t="inlineStr">
        <is>
          <t>ARC-2025-4471</t>
        </is>
      </c>
      <c r="H7" s="4" t="inlineStr">
        <is>
          <t>FAA</t>
        </is>
      </c>
      <c r="I7" s="114" t="n">
        <v>45658</v>
      </c>
      <c r="J7" s="114" t="n">
        <v>46023</v>
      </c>
      <c r="K7" s="114" t="n">
        <v>45992</v>
      </c>
      <c r="L7" s="4" t="inlineStr">
        <is>
          <t>arc.pdf</t>
        </is>
      </c>
      <c r="M7">
        <f>IF(OR($C7="",$L7=""),"",admin!$B$2&amp;"\FleetDocs\"&amp;$C7&amp;"\"&amp;$L7)</f>
        <v/>
      </c>
      <c r="N7" s="4" t="n"/>
      <c r="O7" s="50" t="n"/>
      <c r="P7" s="4" t="n"/>
      <c r="Q7" s="50" t="n"/>
      <c r="R7" s="43">
        <f>IF($J7="","",INT($J7-TODAY()))</f>
        <v/>
      </c>
      <c r="S7">
        <f>IF($C7="","",IF($J7="","NO EXPIRY RECORDED",IF($R7&lt;0,"EXPIRED",IF($R7&lt;=30,"EXPIRES WITHIN 30 DAYS",IF($R7&lt;=90,"EXPIRES WITHIN 90 DAYS",IF(AND($K7&lt;&gt;"",$K7&lt;TODAY()),"REVIEW OVERDUE","VALID"))))))</f>
        <v/>
      </c>
      <c r="T7" s="4" t="n"/>
    </row>
    <row r="8">
      <c r="A8">
        <f>IF($C8="","","FDOC-"&amp;TEXT(ROW()-4,"000"))</f>
        <v/>
      </c>
      <c r="B8" s="4" t="n"/>
      <c r="C8" s="4" t="n"/>
      <c r="D8">
        <f>IF($C8="","",IF($B8="AIRCRAFT",IFERROR(IF(INDEX(Aircraft!$T:$T,MATCH($C8,Aircraft!$B:$B,0))="","OPERATOR NAME NOT SET",INDEX(Aircraft!$T:$T,MATCH($C8,Aircraft!$B:$B,0))),"AIRCRAFT NOT IN FLEET"),IFERROR(INDEX(Operators!$B:$B,MATCH($C8,Operators!$A:$A,0)),"OPERATOR NOT FOUND")))</f>
        <v/>
      </c>
      <c r="E8">
        <f>IF($C8="","",IF($B8="AIRCRAFT",IFERROR(INDEX(Aircraft!$C:$C,MATCH($C8,Aircraft!$B:$B,0)),"-"),"-"))</f>
        <v/>
      </c>
      <c r="F8" s="4" t="n"/>
      <c r="G8" s="4" t="n"/>
      <c r="H8" s="4" t="n"/>
      <c r="I8" s="114" t="n"/>
      <c r="J8" s="114" t="n"/>
      <c r="K8" s="114" t="n"/>
      <c r="L8" s="4" t="n"/>
      <c r="M8">
        <f>IF(OR($C8="",$L8=""),"",admin!$B$2&amp;"\FleetDocs\"&amp;$C8&amp;"\"&amp;$L8)</f>
        <v/>
      </c>
      <c r="N8" s="4" t="n"/>
      <c r="O8" s="50" t="n"/>
      <c r="P8" s="4" t="n"/>
      <c r="Q8" s="50" t="n"/>
      <c r="R8" s="43">
        <f>IF($J8="","",INT($J8-TODAY()))</f>
        <v/>
      </c>
      <c r="S8">
        <f>IF($C8="","",IF($J8="","NO EXPIRY RECORDED",IF($R8&lt;0,"EXPIRED",IF($R8&lt;=30,"EXPIRES WITHIN 30 DAYS",IF($R8&lt;=90,"EXPIRES WITHIN 90 DAYS",IF(AND($K8&lt;&gt;"",$K8&lt;TODAY()),"REVIEW OVERDUE","VALID"))))))</f>
        <v/>
      </c>
      <c r="T8" s="4" t="n"/>
    </row>
    <row r="9">
      <c r="A9">
        <f>IF($C9="","","FDOC-"&amp;TEXT(ROW()-4,"000"))</f>
        <v/>
      </c>
      <c r="B9" s="4" t="n"/>
      <c r="C9" s="4" t="n"/>
      <c r="D9">
        <f>IF($C9="","",IF($B9="AIRCRAFT",IFERROR(IF(INDEX(Aircraft!$T:$T,MATCH($C9,Aircraft!$B:$B,0))="","OPERATOR NAME NOT SET",INDEX(Aircraft!$T:$T,MATCH($C9,Aircraft!$B:$B,0))),"AIRCRAFT NOT IN FLEET"),IFERROR(INDEX(Operators!$B:$B,MATCH($C9,Operators!$A:$A,0)),"OPERATOR NOT FOUND")))</f>
        <v/>
      </c>
      <c r="E9">
        <f>IF($C9="","",IF($B9="AIRCRAFT",IFERROR(INDEX(Aircraft!$C:$C,MATCH($C9,Aircraft!$B:$B,0)),"-"),"-"))</f>
        <v/>
      </c>
      <c r="F9" s="4" t="n"/>
      <c r="G9" s="4" t="n"/>
      <c r="H9" s="4" t="n"/>
      <c r="I9" s="114" t="n"/>
      <c r="J9" s="114" t="n"/>
      <c r="K9" s="114" t="n"/>
      <c r="L9" s="4" t="n"/>
      <c r="M9">
        <f>IF(OR($C9="",$L9=""),"",admin!$B$2&amp;"\FleetDocs\"&amp;$C9&amp;"\"&amp;$L9)</f>
        <v/>
      </c>
      <c r="N9" s="4" t="n"/>
      <c r="O9" s="50" t="n"/>
      <c r="P9" s="4" t="n"/>
      <c r="Q9" s="50" t="n"/>
      <c r="R9" s="43">
        <f>IF($J9="","",INT($J9-TODAY()))</f>
        <v/>
      </c>
      <c r="S9">
        <f>IF($C9="","",IF($J9="","NO EXPIRY RECORDED",IF($R9&lt;0,"EXPIRED",IF($R9&lt;=30,"EXPIRES WITHIN 30 DAYS",IF($R9&lt;=90,"EXPIRES WITHIN 90 DAYS",IF(AND($K9&lt;&gt;"",$K9&lt;TODAY()),"REVIEW OVERDUE","VALID"))))))</f>
        <v/>
      </c>
      <c r="T9" s="4" t="n"/>
    </row>
    <row r="10">
      <c r="A10">
        <f>IF($C10="","","FDOC-"&amp;TEXT(ROW()-4,"000"))</f>
        <v/>
      </c>
      <c r="B10" s="4" t="n"/>
      <c r="C10" s="4" t="n"/>
      <c r="D10">
        <f>IF($C10="","",IF($B10="AIRCRAFT",IFERROR(IF(INDEX(Aircraft!$T:$T,MATCH($C10,Aircraft!$B:$B,0))="","OPERATOR NAME NOT SET",INDEX(Aircraft!$T:$T,MATCH($C10,Aircraft!$B:$B,0))),"AIRCRAFT NOT IN FLEET"),IFERROR(INDEX(Operators!$B:$B,MATCH($C10,Operators!$A:$A,0)),"OPERATOR NOT FOUND")))</f>
        <v/>
      </c>
      <c r="E10">
        <f>IF($C10="","",IF($B10="AIRCRAFT",IFERROR(INDEX(Aircraft!$C:$C,MATCH($C10,Aircraft!$B:$B,0)),"-"),"-"))</f>
        <v/>
      </c>
      <c r="F10" s="4" t="n"/>
      <c r="G10" s="4" t="n"/>
      <c r="H10" s="4" t="n"/>
      <c r="I10" s="114" t="n"/>
      <c r="J10" s="114" t="n"/>
      <c r="K10" s="114" t="n"/>
      <c r="L10" s="4" t="n"/>
      <c r="M10">
        <f>IF(OR($C10="",$L10=""),"",admin!$B$2&amp;"\FleetDocs\"&amp;$C10&amp;"\"&amp;$L10)</f>
        <v/>
      </c>
      <c r="N10" s="4" t="n"/>
      <c r="O10" s="50" t="n"/>
      <c r="P10" s="4" t="n"/>
      <c r="Q10" s="50" t="n"/>
      <c r="R10" s="43">
        <f>IF($J10="","",INT($J10-TODAY()))</f>
        <v/>
      </c>
      <c r="S10">
        <f>IF($C10="","",IF($J10="","NO EXPIRY RECORDED",IF($R10&lt;0,"EXPIRED",IF($R10&lt;=30,"EXPIRES WITHIN 30 DAYS",IF($R10&lt;=90,"EXPIRES WITHIN 90 DAYS",IF(AND($K10&lt;&gt;"",$K10&lt;TODAY()),"REVIEW OVERDUE","VALID"))))))</f>
        <v/>
      </c>
      <c r="T10" s="4" t="n"/>
    </row>
    <row r="11">
      <c r="A11">
        <f>IF($C11="","","FDOC-"&amp;TEXT(ROW()-4,"000"))</f>
        <v/>
      </c>
      <c r="B11" s="4" t="n"/>
      <c r="C11" s="4" t="n"/>
      <c r="D11">
        <f>IF($C11="","",IF($B11="AIRCRAFT",IFERROR(IF(INDEX(Aircraft!$T:$T,MATCH($C11,Aircraft!$B:$B,0))="","OPERATOR NAME NOT SET",INDEX(Aircraft!$T:$T,MATCH($C11,Aircraft!$B:$B,0))),"AIRCRAFT NOT IN FLEET"),IFERROR(INDEX(Operators!$B:$B,MATCH($C11,Operators!$A:$A,0)),"OPERATOR NOT FOUND")))</f>
        <v/>
      </c>
      <c r="E11">
        <f>IF($C11="","",IF($B11="AIRCRAFT",IFERROR(INDEX(Aircraft!$C:$C,MATCH($C11,Aircraft!$B:$B,0)),"-"),"-"))</f>
        <v/>
      </c>
      <c r="F11" s="4" t="n"/>
      <c r="G11" s="4" t="n"/>
      <c r="H11" s="4" t="n"/>
      <c r="I11" s="114" t="n"/>
      <c r="J11" s="114" t="n"/>
      <c r="K11" s="114" t="n"/>
      <c r="L11" s="4" t="n"/>
      <c r="M11">
        <f>IF(OR($C11="",$L11=""),"",admin!$B$2&amp;"\FleetDocs\"&amp;$C11&amp;"\"&amp;$L11)</f>
        <v/>
      </c>
      <c r="N11" s="4" t="n"/>
      <c r="O11" s="50" t="n"/>
      <c r="P11" s="4" t="n"/>
      <c r="Q11" s="50" t="n"/>
      <c r="R11" s="43">
        <f>IF($J11="","",INT($J11-TODAY()))</f>
        <v/>
      </c>
      <c r="S11">
        <f>IF($C11="","",IF($J11="","NO EXPIRY RECORDED",IF($R11&lt;0,"EXPIRED",IF($R11&lt;=30,"EXPIRES WITHIN 30 DAYS",IF($R11&lt;=90,"EXPIRES WITHIN 90 DAYS",IF(AND($K11&lt;&gt;"",$K11&lt;TODAY()),"REVIEW OVERDUE","VALID"))))))</f>
        <v/>
      </c>
      <c r="T11" s="4" t="n"/>
    </row>
    <row r="12">
      <c r="A12">
        <f>IF($C12="","","FDOC-"&amp;TEXT(ROW()-4,"000"))</f>
        <v/>
      </c>
      <c r="B12" s="4" t="n"/>
      <c r="C12" s="4" t="n"/>
      <c r="D12">
        <f>IF($C12="","",IF($B12="AIRCRAFT",IFERROR(IF(INDEX(Aircraft!$T:$T,MATCH($C12,Aircraft!$B:$B,0))="","OPERATOR NAME NOT SET",INDEX(Aircraft!$T:$T,MATCH($C12,Aircraft!$B:$B,0))),"AIRCRAFT NOT IN FLEET"),IFERROR(INDEX(Operators!$B:$B,MATCH($C12,Operators!$A:$A,0)),"OPERATOR NOT FOUND")))</f>
        <v/>
      </c>
      <c r="E12">
        <f>IF($C12="","",IF($B12="AIRCRAFT",IFERROR(INDEX(Aircraft!$C:$C,MATCH($C12,Aircraft!$B:$B,0)),"-"),"-"))</f>
        <v/>
      </c>
      <c r="F12" s="4" t="n"/>
      <c r="G12" s="4" t="n"/>
      <c r="H12" s="4" t="n"/>
      <c r="I12" s="114" t="n"/>
      <c r="J12" s="114" t="n"/>
      <c r="K12" s="114" t="n"/>
      <c r="L12" s="4" t="n"/>
      <c r="M12">
        <f>IF(OR($C12="",$L12=""),"",admin!$B$2&amp;"\FleetDocs\"&amp;$C12&amp;"\"&amp;$L12)</f>
        <v/>
      </c>
      <c r="N12" s="4" t="n"/>
      <c r="O12" s="50" t="n"/>
      <c r="P12" s="4" t="n"/>
      <c r="Q12" s="50" t="n"/>
      <c r="R12" s="43">
        <f>IF($J12="","",INT($J12-TODAY()))</f>
        <v/>
      </c>
      <c r="S12">
        <f>IF($C12="","",IF($J12="","NO EXPIRY RECORDED",IF($R12&lt;0,"EXPIRED",IF($R12&lt;=30,"EXPIRES WITHIN 30 DAYS",IF($R12&lt;=90,"EXPIRES WITHIN 90 DAYS",IF(AND($K12&lt;&gt;"",$K12&lt;TODAY()),"REVIEW OVERDUE","VALID"))))))</f>
        <v/>
      </c>
      <c r="T12" s="4" t="n"/>
    </row>
    <row r="13">
      <c r="A13">
        <f>IF($C13="","","FDOC-"&amp;TEXT(ROW()-4,"000"))</f>
        <v/>
      </c>
      <c r="B13" s="4" t="n"/>
      <c r="C13" s="4" t="n"/>
      <c r="D13">
        <f>IF($C13="","",IF($B13="AIRCRAFT",IFERROR(IF(INDEX(Aircraft!$T:$T,MATCH($C13,Aircraft!$B:$B,0))="","OPERATOR NAME NOT SET",INDEX(Aircraft!$T:$T,MATCH($C13,Aircraft!$B:$B,0))),"AIRCRAFT NOT IN FLEET"),IFERROR(INDEX(Operators!$B:$B,MATCH($C13,Operators!$A:$A,0)),"OPERATOR NOT FOUND")))</f>
        <v/>
      </c>
      <c r="E13">
        <f>IF($C13="","",IF($B13="AIRCRAFT",IFERROR(INDEX(Aircraft!$C:$C,MATCH($C13,Aircraft!$B:$B,0)),"-"),"-"))</f>
        <v/>
      </c>
      <c r="F13" s="4" t="n"/>
      <c r="G13" s="4" t="n"/>
      <c r="H13" s="4" t="n"/>
      <c r="I13" s="114" t="n"/>
      <c r="J13" s="114" t="n"/>
      <c r="K13" s="114" t="n"/>
      <c r="L13" s="4" t="n"/>
      <c r="M13">
        <f>IF(OR($C13="",$L13=""),"",admin!$B$2&amp;"\FleetDocs\"&amp;$C13&amp;"\"&amp;$L13)</f>
        <v/>
      </c>
      <c r="N13" s="4" t="n"/>
      <c r="O13" s="50" t="n"/>
      <c r="P13" s="4" t="n"/>
      <c r="Q13" s="50" t="n"/>
      <c r="R13" s="43">
        <f>IF($J13="","",INT($J13-TODAY()))</f>
        <v/>
      </c>
      <c r="S13">
        <f>IF($C13="","",IF($J13="","NO EXPIRY RECORDED",IF($R13&lt;0,"EXPIRED",IF($R13&lt;=30,"EXPIRES WITHIN 30 DAYS",IF($R13&lt;=90,"EXPIRES WITHIN 90 DAYS",IF(AND($K13&lt;&gt;"",$K13&lt;TODAY()),"REVIEW OVERDUE","VALID"))))))</f>
        <v/>
      </c>
      <c r="T13" s="4" t="n"/>
    </row>
    <row r="14">
      <c r="A14">
        <f>IF($C14="","","FDOC-"&amp;TEXT(ROW()-4,"000"))</f>
        <v/>
      </c>
      <c r="B14" s="4" t="n"/>
      <c r="C14" s="4" t="n"/>
      <c r="D14">
        <f>IF($C14="","",IF($B14="AIRCRAFT",IFERROR(IF(INDEX(Aircraft!$T:$T,MATCH($C14,Aircraft!$B:$B,0))="","OPERATOR NAME NOT SET",INDEX(Aircraft!$T:$T,MATCH($C14,Aircraft!$B:$B,0))),"AIRCRAFT NOT IN FLEET"),IFERROR(INDEX(Operators!$B:$B,MATCH($C14,Operators!$A:$A,0)),"OPERATOR NOT FOUND")))</f>
        <v/>
      </c>
      <c r="E14">
        <f>IF($C14="","",IF($B14="AIRCRAFT",IFERROR(INDEX(Aircraft!$C:$C,MATCH($C14,Aircraft!$B:$B,0)),"-"),"-"))</f>
        <v/>
      </c>
      <c r="F14" s="4" t="n"/>
      <c r="G14" s="4" t="n"/>
      <c r="H14" s="4" t="n"/>
      <c r="I14" s="114" t="n"/>
      <c r="J14" s="114" t="n"/>
      <c r="K14" s="114" t="n"/>
      <c r="L14" s="4" t="n"/>
      <c r="M14">
        <f>IF(OR($C14="",$L14=""),"",admin!$B$2&amp;"\FleetDocs\"&amp;$C14&amp;"\"&amp;$L14)</f>
        <v/>
      </c>
      <c r="N14" s="4" t="n"/>
      <c r="O14" s="50" t="n"/>
      <c r="P14" s="4" t="n"/>
      <c r="Q14" s="50" t="n"/>
      <c r="R14" s="43">
        <f>IF($J14="","",INT($J14-TODAY()))</f>
        <v/>
      </c>
      <c r="S14">
        <f>IF($C14="","",IF($J14="","NO EXPIRY RECORDED",IF($R14&lt;0,"EXPIRED",IF($R14&lt;=30,"EXPIRES WITHIN 30 DAYS",IF($R14&lt;=90,"EXPIRES WITHIN 90 DAYS",IF(AND($K14&lt;&gt;"",$K14&lt;TODAY()),"REVIEW OVERDUE","VALID"))))))</f>
        <v/>
      </c>
      <c r="T14" s="4" t="n"/>
    </row>
    <row r="15">
      <c r="A15">
        <f>IF($C15="","","FDOC-"&amp;TEXT(ROW()-4,"000"))</f>
        <v/>
      </c>
      <c r="B15" s="4" t="n"/>
      <c r="C15" s="4" t="n"/>
      <c r="D15">
        <f>IF($C15="","",IF($B15="AIRCRAFT",IFERROR(IF(INDEX(Aircraft!$T:$T,MATCH($C15,Aircraft!$B:$B,0))="","OPERATOR NAME NOT SET",INDEX(Aircraft!$T:$T,MATCH($C15,Aircraft!$B:$B,0))),"AIRCRAFT NOT IN FLEET"),IFERROR(INDEX(Operators!$B:$B,MATCH($C15,Operators!$A:$A,0)),"OPERATOR NOT FOUND")))</f>
        <v/>
      </c>
      <c r="E15">
        <f>IF($C15="","",IF($B15="AIRCRAFT",IFERROR(INDEX(Aircraft!$C:$C,MATCH($C15,Aircraft!$B:$B,0)),"-"),"-"))</f>
        <v/>
      </c>
      <c r="F15" s="4" t="n"/>
      <c r="G15" s="4" t="n"/>
      <c r="H15" s="4" t="n"/>
      <c r="I15" s="114" t="n"/>
      <c r="J15" s="114" t="n"/>
      <c r="K15" s="114" t="n"/>
      <c r="L15" s="4" t="n"/>
      <c r="M15">
        <f>IF(OR($C15="",$L15=""),"",admin!$B$2&amp;"\FleetDocs\"&amp;$C15&amp;"\"&amp;$L15)</f>
        <v/>
      </c>
      <c r="N15" s="4" t="n"/>
      <c r="O15" s="50" t="n"/>
      <c r="P15" s="4" t="n"/>
      <c r="Q15" s="50" t="n"/>
      <c r="R15" s="43">
        <f>IF($J15="","",INT($J15-TODAY()))</f>
        <v/>
      </c>
      <c r="S15">
        <f>IF($C15="","",IF($J15="","NO EXPIRY RECORDED",IF($R15&lt;0,"EXPIRED",IF($R15&lt;=30,"EXPIRES WITHIN 30 DAYS",IF($R15&lt;=90,"EXPIRES WITHIN 90 DAYS",IF(AND($K15&lt;&gt;"",$K15&lt;TODAY()),"REVIEW OVERDUE","VALID"))))))</f>
        <v/>
      </c>
      <c r="T15" s="4" t="n"/>
    </row>
    <row r="16">
      <c r="A16">
        <f>IF($C16="","","FDOC-"&amp;TEXT(ROW()-4,"000"))</f>
        <v/>
      </c>
      <c r="B16" s="4" t="n"/>
      <c r="C16" s="4" t="n"/>
      <c r="D16">
        <f>IF($C16="","",IF($B16="AIRCRAFT",IFERROR(IF(INDEX(Aircraft!$T:$T,MATCH($C16,Aircraft!$B:$B,0))="","OPERATOR NAME NOT SET",INDEX(Aircraft!$T:$T,MATCH($C16,Aircraft!$B:$B,0))),"AIRCRAFT NOT IN FLEET"),IFERROR(INDEX(Operators!$B:$B,MATCH($C16,Operators!$A:$A,0)),"OPERATOR NOT FOUND")))</f>
        <v/>
      </c>
      <c r="E16">
        <f>IF($C16="","",IF($B16="AIRCRAFT",IFERROR(INDEX(Aircraft!$C:$C,MATCH($C16,Aircraft!$B:$B,0)),"-"),"-"))</f>
        <v/>
      </c>
      <c r="F16" s="4" t="n"/>
      <c r="G16" s="4" t="n"/>
      <c r="H16" s="4" t="n"/>
      <c r="I16" s="114" t="n"/>
      <c r="J16" s="114" t="n"/>
      <c r="K16" s="114" t="n"/>
      <c r="L16" s="4" t="n"/>
      <c r="M16">
        <f>IF(OR($C16="",$L16=""),"",admin!$B$2&amp;"\FleetDocs\"&amp;$C16&amp;"\"&amp;$L16)</f>
        <v/>
      </c>
      <c r="N16" s="4" t="n"/>
      <c r="O16" s="50" t="n"/>
      <c r="P16" s="4" t="n"/>
      <c r="Q16" s="50" t="n"/>
      <c r="R16" s="43">
        <f>IF($J16="","",INT($J16-TODAY()))</f>
        <v/>
      </c>
      <c r="S16">
        <f>IF($C16="","",IF($J16="","NO EXPIRY RECORDED",IF($R16&lt;0,"EXPIRED",IF($R16&lt;=30,"EXPIRES WITHIN 30 DAYS",IF($R16&lt;=90,"EXPIRES WITHIN 90 DAYS",IF(AND($K16&lt;&gt;"",$K16&lt;TODAY()),"REVIEW OVERDUE","VALID"))))))</f>
        <v/>
      </c>
      <c r="T16" s="4" t="n"/>
    </row>
    <row r="17">
      <c r="A17">
        <f>IF($C17="","","FDOC-"&amp;TEXT(ROW()-4,"000"))</f>
        <v/>
      </c>
      <c r="B17" s="4" t="n"/>
      <c r="C17" s="4" t="n"/>
      <c r="D17">
        <f>IF($C17="","",IF($B17="AIRCRAFT",IFERROR(IF(INDEX(Aircraft!$T:$T,MATCH($C17,Aircraft!$B:$B,0))="","OPERATOR NAME NOT SET",INDEX(Aircraft!$T:$T,MATCH($C17,Aircraft!$B:$B,0))),"AIRCRAFT NOT IN FLEET"),IFERROR(INDEX(Operators!$B:$B,MATCH($C17,Operators!$A:$A,0)),"OPERATOR NOT FOUND")))</f>
        <v/>
      </c>
      <c r="E17">
        <f>IF($C17="","",IF($B17="AIRCRAFT",IFERROR(INDEX(Aircraft!$C:$C,MATCH($C17,Aircraft!$B:$B,0)),"-"),"-"))</f>
        <v/>
      </c>
      <c r="F17" s="4" t="n"/>
      <c r="G17" s="4" t="n"/>
      <c r="H17" s="4" t="n"/>
      <c r="I17" s="114" t="n"/>
      <c r="J17" s="114" t="n"/>
      <c r="K17" s="114" t="n"/>
      <c r="L17" s="4" t="n"/>
      <c r="M17">
        <f>IF(OR($C17="",$L17=""),"",admin!$B$2&amp;"\FleetDocs\"&amp;$C17&amp;"\"&amp;$L17)</f>
        <v/>
      </c>
      <c r="N17" s="4" t="n"/>
      <c r="O17" s="50" t="n"/>
      <c r="P17" s="4" t="n"/>
      <c r="Q17" s="50" t="n"/>
      <c r="R17" s="43">
        <f>IF($J17="","",INT($J17-TODAY()))</f>
        <v/>
      </c>
      <c r="S17">
        <f>IF($C17="","",IF($J17="","NO EXPIRY RECORDED",IF($R17&lt;0,"EXPIRED",IF($R17&lt;=30,"EXPIRES WITHIN 30 DAYS",IF($R17&lt;=90,"EXPIRES WITHIN 90 DAYS",IF(AND($K17&lt;&gt;"",$K17&lt;TODAY()),"REVIEW OVERDUE","VALID"))))))</f>
        <v/>
      </c>
      <c r="T17" s="4" t="n"/>
    </row>
    <row r="18">
      <c r="A18">
        <f>IF($C18="","","FDOC-"&amp;TEXT(ROW()-4,"000"))</f>
        <v/>
      </c>
      <c r="B18" s="4" t="n"/>
      <c r="C18" s="4" t="n"/>
      <c r="D18">
        <f>IF($C18="","",IF($B18="AIRCRAFT",IFERROR(IF(INDEX(Aircraft!$T:$T,MATCH($C18,Aircraft!$B:$B,0))="","OPERATOR NAME NOT SET",INDEX(Aircraft!$T:$T,MATCH($C18,Aircraft!$B:$B,0))),"AIRCRAFT NOT IN FLEET"),IFERROR(INDEX(Operators!$B:$B,MATCH($C18,Operators!$A:$A,0)),"OPERATOR NOT FOUND")))</f>
        <v/>
      </c>
      <c r="E18">
        <f>IF($C18="","",IF($B18="AIRCRAFT",IFERROR(INDEX(Aircraft!$C:$C,MATCH($C18,Aircraft!$B:$B,0)),"-"),"-"))</f>
        <v/>
      </c>
      <c r="F18" s="4" t="n"/>
      <c r="G18" s="4" t="n"/>
      <c r="H18" s="4" t="n"/>
      <c r="I18" s="114" t="n"/>
      <c r="J18" s="114" t="n"/>
      <c r="K18" s="114" t="n"/>
      <c r="L18" s="4" t="n"/>
      <c r="M18">
        <f>IF(OR($C18="",$L18=""),"",admin!$B$2&amp;"\FleetDocs\"&amp;$C18&amp;"\"&amp;$L18)</f>
        <v/>
      </c>
      <c r="N18" s="4" t="n"/>
      <c r="O18" s="50" t="n"/>
      <c r="P18" s="4" t="n"/>
      <c r="Q18" s="50" t="n"/>
      <c r="R18" s="43">
        <f>IF($J18="","",INT($J18-TODAY()))</f>
        <v/>
      </c>
      <c r="S18">
        <f>IF($C18="","",IF($J18="","NO EXPIRY RECORDED",IF($R18&lt;0,"EXPIRED",IF($R18&lt;=30,"EXPIRES WITHIN 30 DAYS",IF($R18&lt;=90,"EXPIRES WITHIN 90 DAYS",IF(AND($K18&lt;&gt;"",$K18&lt;TODAY()),"REVIEW OVERDUE","VALID"))))))</f>
        <v/>
      </c>
      <c r="T18" s="4" t="n"/>
    </row>
    <row r="19">
      <c r="A19">
        <f>IF($C19="","","FDOC-"&amp;TEXT(ROW()-4,"000"))</f>
        <v/>
      </c>
      <c r="B19" s="4" t="n"/>
      <c r="C19" s="4" t="n"/>
      <c r="D19">
        <f>IF($C19="","",IF($B19="AIRCRAFT",IFERROR(IF(INDEX(Aircraft!$T:$T,MATCH($C19,Aircraft!$B:$B,0))="","OPERATOR NAME NOT SET",INDEX(Aircraft!$T:$T,MATCH($C19,Aircraft!$B:$B,0))),"AIRCRAFT NOT IN FLEET"),IFERROR(INDEX(Operators!$B:$B,MATCH($C19,Operators!$A:$A,0)),"OPERATOR NOT FOUND")))</f>
        <v/>
      </c>
      <c r="E19">
        <f>IF($C19="","",IF($B19="AIRCRAFT",IFERROR(INDEX(Aircraft!$C:$C,MATCH($C19,Aircraft!$B:$B,0)),"-"),"-"))</f>
        <v/>
      </c>
      <c r="F19" s="4" t="n"/>
      <c r="G19" s="4" t="n"/>
      <c r="H19" s="4" t="n"/>
      <c r="I19" s="114" t="n"/>
      <c r="J19" s="114" t="n"/>
      <c r="K19" s="114" t="n"/>
      <c r="L19" s="4" t="n"/>
      <c r="M19">
        <f>IF(OR($C19="",$L19=""),"",admin!$B$2&amp;"\FleetDocs\"&amp;$C19&amp;"\"&amp;$L19)</f>
        <v/>
      </c>
      <c r="N19" s="4" t="n"/>
      <c r="O19" s="50" t="n"/>
      <c r="P19" s="4" t="n"/>
      <c r="Q19" s="50" t="n"/>
      <c r="R19" s="43">
        <f>IF($J19="","",INT($J19-TODAY()))</f>
        <v/>
      </c>
      <c r="S19">
        <f>IF($C19="","",IF($J19="","NO EXPIRY RECORDED",IF($R19&lt;0,"EXPIRED",IF($R19&lt;=30,"EXPIRES WITHIN 30 DAYS",IF($R19&lt;=90,"EXPIRES WITHIN 90 DAYS",IF(AND($K19&lt;&gt;"",$K19&lt;TODAY()),"REVIEW OVERDUE","VALID"))))))</f>
        <v/>
      </c>
      <c r="T19" s="4" t="n"/>
    </row>
    <row r="20">
      <c r="A20">
        <f>IF($C20="","","FDOC-"&amp;TEXT(ROW()-4,"000"))</f>
        <v/>
      </c>
      <c r="B20" s="4" t="n"/>
      <c r="C20" s="4" t="n"/>
      <c r="D20">
        <f>IF($C20="","",IF($B20="AIRCRAFT",IFERROR(IF(INDEX(Aircraft!$T:$T,MATCH($C20,Aircraft!$B:$B,0))="","OPERATOR NAME NOT SET",INDEX(Aircraft!$T:$T,MATCH($C20,Aircraft!$B:$B,0))),"AIRCRAFT NOT IN FLEET"),IFERROR(INDEX(Operators!$B:$B,MATCH($C20,Operators!$A:$A,0)),"OPERATOR NOT FOUND")))</f>
        <v/>
      </c>
      <c r="E20">
        <f>IF($C20="","",IF($B20="AIRCRAFT",IFERROR(INDEX(Aircraft!$C:$C,MATCH($C20,Aircraft!$B:$B,0)),"-"),"-"))</f>
        <v/>
      </c>
      <c r="F20" s="4" t="n"/>
      <c r="G20" s="4" t="n"/>
      <c r="H20" s="4" t="n"/>
      <c r="I20" s="114" t="n"/>
      <c r="J20" s="114" t="n"/>
      <c r="K20" s="114" t="n"/>
      <c r="L20" s="4" t="n"/>
      <c r="M20">
        <f>IF(OR($C20="",$L20=""),"",admin!$B$2&amp;"\FleetDocs\"&amp;$C20&amp;"\"&amp;$L20)</f>
        <v/>
      </c>
      <c r="N20" s="4" t="n"/>
      <c r="O20" s="50" t="n"/>
      <c r="P20" s="4" t="n"/>
      <c r="Q20" s="50" t="n"/>
      <c r="R20" s="43">
        <f>IF($J20="","",INT($J20-TODAY()))</f>
        <v/>
      </c>
      <c r="S20">
        <f>IF($C20="","",IF($J20="","NO EXPIRY RECORDED",IF($R20&lt;0,"EXPIRED",IF($R20&lt;=30,"EXPIRES WITHIN 30 DAYS",IF($R20&lt;=90,"EXPIRES WITHIN 90 DAYS",IF(AND($K20&lt;&gt;"",$K20&lt;TODAY()),"REVIEW OVERDUE","VALID"))))))</f>
        <v/>
      </c>
      <c r="T20" s="4" t="n"/>
    </row>
    <row r="21">
      <c r="A21">
        <f>IF($C21="","","FDOC-"&amp;TEXT(ROW()-4,"000"))</f>
        <v/>
      </c>
      <c r="B21" s="4" t="n"/>
      <c r="C21" s="4" t="n"/>
      <c r="D21">
        <f>IF($C21="","",IF($B21="AIRCRAFT",IFERROR(IF(INDEX(Aircraft!$T:$T,MATCH($C21,Aircraft!$B:$B,0))="","OPERATOR NAME NOT SET",INDEX(Aircraft!$T:$T,MATCH($C21,Aircraft!$B:$B,0))),"AIRCRAFT NOT IN FLEET"),IFERROR(INDEX(Operators!$B:$B,MATCH($C21,Operators!$A:$A,0)),"OPERATOR NOT FOUND")))</f>
        <v/>
      </c>
      <c r="E21">
        <f>IF($C21="","",IF($B21="AIRCRAFT",IFERROR(INDEX(Aircraft!$C:$C,MATCH($C21,Aircraft!$B:$B,0)),"-"),"-"))</f>
        <v/>
      </c>
      <c r="F21" s="4" t="n"/>
      <c r="G21" s="4" t="n"/>
      <c r="H21" s="4" t="n"/>
      <c r="I21" s="114" t="n"/>
      <c r="J21" s="114" t="n"/>
      <c r="K21" s="114" t="n"/>
      <c r="L21" s="4" t="n"/>
      <c r="M21">
        <f>IF(OR($C21="",$L21=""),"",admin!$B$2&amp;"\FleetDocs\"&amp;$C21&amp;"\"&amp;$L21)</f>
        <v/>
      </c>
      <c r="N21" s="4" t="n"/>
      <c r="O21" s="50" t="n"/>
      <c r="P21" s="4" t="n"/>
      <c r="Q21" s="50" t="n"/>
      <c r="R21" s="43">
        <f>IF($J21="","",INT($J21-TODAY()))</f>
        <v/>
      </c>
      <c r="S21">
        <f>IF($C21="","",IF($J21="","NO EXPIRY RECORDED",IF($R21&lt;0,"EXPIRED",IF($R21&lt;=30,"EXPIRES WITHIN 30 DAYS",IF($R21&lt;=90,"EXPIRES WITHIN 90 DAYS",IF(AND($K21&lt;&gt;"",$K21&lt;TODAY()),"REVIEW OVERDUE","VALID"))))))</f>
        <v/>
      </c>
      <c r="T21" s="4" t="n"/>
    </row>
    <row r="22">
      <c r="A22">
        <f>IF($C22="","","FDOC-"&amp;TEXT(ROW()-4,"000"))</f>
        <v/>
      </c>
      <c r="B22" s="4" t="n"/>
      <c r="C22" s="4" t="n"/>
      <c r="D22">
        <f>IF($C22="","",IF($B22="AIRCRAFT",IFERROR(IF(INDEX(Aircraft!$T:$T,MATCH($C22,Aircraft!$B:$B,0))="","OPERATOR NAME NOT SET",INDEX(Aircraft!$T:$T,MATCH($C22,Aircraft!$B:$B,0))),"AIRCRAFT NOT IN FLEET"),IFERROR(INDEX(Operators!$B:$B,MATCH($C22,Operators!$A:$A,0)),"OPERATOR NOT FOUND")))</f>
        <v/>
      </c>
      <c r="E22">
        <f>IF($C22="","",IF($B22="AIRCRAFT",IFERROR(INDEX(Aircraft!$C:$C,MATCH($C22,Aircraft!$B:$B,0)),"-"),"-"))</f>
        <v/>
      </c>
      <c r="F22" s="4" t="n"/>
      <c r="G22" s="4" t="n"/>
      <c r="H22" s="4" t="n"/>
      <c r="I22" s="114" t="n"/>
      <c r="J22" s="114" t="n"/>
      <c r="K22" s="114" t="n"/>
      <c r="L22" s="4" t="n"/>
      <c r="M22">
        <f>IF(OR($C22="",$L22=""),"",admin!$B$2&amp;"\FleetDocs\"&amp;$C22&amp;"\"&amp;$L22)</f>
        <v/>
      </c>
      <c r="N22" s="4" t="n"/>
      <c r="O22" s="50" t="n"/>
      <c r="P22" s="4" t="n"/>
      <c r="Q22" s="50" t="n"/>
      <c r="R22" s="43">
        <f>IF($J22="","",INT($J22-TODAY()))</f>
        <v/>
      </c>
      <c r="S22">
        <f>IF($C22="","",IF($J22="","NO EXPIRY RECORDED",IF($R22&lt;0,"EXPIRED",IF($R22&lt;=30,"EXPIRES WITHIN 30 DAYS",IF($R22&lt;=90,"EXPIRES WITHIN 90 DAYS",IF(AND($K22&lt;&gt;"",$K22&lt;TODAY()),"REVIEW OVERDUE","VALID"))))))</f>
        <v/>
      </c>
      <c r="T22" s="4" t="n"/>
    </row>
    <row r="23">
      <c r="A23">
        <f>IF($C23="","","FDOC-"&amp;TEXT(ROW()-4,"000"))</f>
        <v/>
      </c>
      <c r="B23" s="4" t="n"/>
      <c r="C23" s="4" t="n"/>
      <c r="D23">
        <f>IF($C23="","",IF($B23="AIRCRAFT",IFERROR(IF(INDEX(Aircraft!$T:$T,MATCH($C23,Aircraft!$B:$B,0))="","OPERATOR NAME NOT SET",INDEX(Aircraft!$T:$T,MATCH($C23,Aircraft!$B:$B,0))),"AIRCRAFT NOT IN FLEET"),IFERROR(INDEX(Operators!$B:$B,MATCH($C23,Operators!$A:$A,0)),"OPERATOR NOT FOUND")))</f>
        <v/>
      </c>
      <c r="E23">
        <f>IF($C23="","",IF($B23="AIRCRAFT",IFERROR(INDEX(Aircraft!$C:$C,MATCH($C23,Aircraft!$B:$B,0)),"-"),"-"))</f>
        <v/>
      </c>
      <c r="F23" s="4" t="n"/>
      <c r="G23" s="4" t="n"/>
      <c r="H23" s="4" t="n"/>
      <c r="I23" s="114" t="n"/>
      <c r="J23" s="114" t="n"/>
      <c r="K23" s="114" t="n"/>
      <c r="L23" s="4" t="n"/>
      <c r="M23">
        <f>IF(OR($C23="",$L23=""),"",admin!$B$2&amp;"\FleetDocs\"&amp;$C23&amp;"\"&amp;$L23)</f>
        <v/>
      </c>
      <c r="N23" s="4" t="n"/>
      <c r="O23" s="50" t="n"/>
      <c r="P23" s="4" t="n"/>
      <c r="Q23" s="50" t="n"/>
      <c r="R23" s="43">
        <f>IF($J23="","",INT($J23-TODAY()))</f>
        <v/>
      </c>
      <c r="S23">
        <f>IF($C23="","",IF($J23="","NO EXPIRY RECORDED",IF($R23&lt;0,"EXPIRED",IF($R23&lt;=30,"EXPIRES WITHIN 30 DAYS",IF($R23&lt;=90,"EXPIRES WITHIN 90 DAYS",IF(AND($K23&lt;&gt;"",$K23&lt;TODAY()),"REVIEW OVERDUE","VALID"))))))</f>
        <v/>
      </c>
      <c r="T23" s="4" t="n"/>
    </row>
    <row r="24">
      <c r="A24">
        <f>IF($C24="","","FDOC-"&amp;TEXT(ROW()-4,"000"))</f>
        <v/>
      </c>
      <c r="B24" s="4" t="n"/>
      <c r="C24" s="4" t="n"/>
      <c r="D24">
        <f>IF($C24="","",IF($B24="AIRCRAFT",IFERROR(IF(INDEX(Aircraft!$T:$T,MATCH($C24,Aircraft!$B:$B,0))="","OPERATOR NAME NOT SET",INDEX(Aircraft!$T:$T,MATCH($C24,Aircraft!$B:$B,0))),"AIRCRAFT NOT IN FLEET"),IFERROR(INDEX(Operators!$B:$B,MATCH($C24,Operators!$A:$A,0)),"OPERATOR NOT FOUND")))</f>
        <v/>
      </c>
      <c r="E24">
        <f>IF($C24="","",IF($B24="AIRCRAFT",IFERROR(INDEX(Aircraft!$C:$C,MATCH($C24,Aircraft!$B:$B,0)),"-"),"-"))</f>
        <v/>
      </c>
      <c r="F24" s="4" t="n"/>
      <c r="G24" s="4" t="n"/>
      <c r="H24" s="4" t="n"/>
      <c r="I24" s="114" t="n"/>
      <c r="J24" s="114" t="n"/>
      <c r="K24" s="114" t="n"/>
      <c r="L24" s="4" t="n"/>
      <c r="M24">
        <f>IF(OR($C24="",$L24=""),"",admin!$B$2&amp;"\FleetDocs\"&amp;$C24&amp;"\"&amp;$L24)</f>
        <v/>
      </c>
      <c r="N24" s="4" t="n"/>
      <c r="O24" s="50" t="n"/>
      <c r="P24" s="4" t="n"/>
      <c r="Q24" s="50" t="n"/>
      <c r="R24" s="43">
        <f>IF($J24="","",INT($J24-TODAY()))</f>
        <v/>
      </c>
      <c r="S24">
        <f>IF($C24="","",IF($J24="","NO EXPIRY RECORDED",IF($R24&lt;0,"EXPIRED",IF($R24&lt;=30,"EXPIRES WITHIN 30 DAYS",IF($R24&lt;=90,"EXPIRES WITHIN 90 DAYS",IF(AND($K24&lt;&gt;"",$K24&lt;TODAY()),"REVIEW OVERDUE","VALID"))))))</f>
        <v/>
      </c>
      <c r="T24" s="4" t="n"/>
    </row>
    <row r="25">
      <c r="A25">
        <f>IF($C25="","","FDOC-"&amp;TEXT(ROW()-4,"000"))</f>
        <v/>
      </c>
      <c r="B25" s="4" t="n"/>
      <c r="C25" s="4" t="n"/>
      <c r="D25">
        <f>IF($C25="","",IF($B25="AIRCRAFT",IFERROR(IF(INDEX(Aircraft!$T:$T,MATCH($C25,Aircraft!$B:$B,0))="","OPERATOR NAME NOT SET",INDEX(Aircraft!$T:$T,MATCH($C25,Aircraft!$B:$B,0))),"AIRCRAFT NOT IN FLEET"),IFERROR(INDEX(Operators!$B:$B,MATCH($C25,Operators!$A:$A,0)),"OPERATOR NOT FOUND")))</f>
        <v/>
      </c>
      <c r="E25">
        <f>IF($C25="","",IF($B25="AIRCRAFT",IFERROR(INDEX(Aircraft!$C:$C,MATCH($C25,Aircraft!$B:$B,0)),"-"),"-"))</f>
        <v/>
      </c>
      <c r="F25" s="4" t="n"/>
      <c r="G25" s="4" t="n"/>
      <c r="H25" s="4" t="n"/>
      <c r="I25" s="114" t="n"/>
      <c r="J25" s="114" t="n"/>
      <c r="K25" s="114" t="n"/>
      <c r="L25" s="4" t="n"/>
      <c r="M25">
        <f>IF(OR($C25="",$L25=""),"",admin!$B$2&amp;"\FleetDocs\"&amp;$C25&amp;"\"&amp;$L25)</f>
        <v/>
      </c>
      <c r="N25" s="4" t="n"/>
      <c r="O25" s="50" t="n"/>
      <c r="P25" s="4" t="n"/>
      <c r="Q25" s="50" t="n"/>
      <c r="R25" s="43">
        <f>IF($J25="","",INT($J25-TODAY()))</f>
        <v/>
      </c>
      <c r="S25">
        <f>IF($C25="","",IF($J25="","NO EXPIRY RECORDED",IF($R25&lt;0,"EXPIRED",IF($R25&lt;=30,"EXPIRES WITHIN 30 DAYS",IF($R25&lt;=90,"EXPIRES WITHIN 90 DAYS",IF(AND($K25&lt;&gt;"",$K25&lt;TODAY()),"REVIEW OVERDUE","VALID"))))))</f>
        <v/>
      </c>
      <c r="T25" s="4" t="n"/>
    </row>
    <row r="26">
      <c r="A26">
        <f>IF($C26="","","FDOC-"&amp;TEXT(ROW()-4,"000"))</f>
        <v/>
      </c>
      <c r="B26" s="4" t="n"/>
      <c r="C26" s="4" t="n"/>
      <c r="D26">
        <f>IF($C26="","",IF($B26="AIRCRAFT",IFERROR(IF(INDEX(Aircraft!$T:$T,MATCH($C26,Aircraft!$B:$B,0))="","OPERATOR NAME NOT SET",INDEX(Aircraft!$T:$T,MATCH($C26,Aircraft!$B:$B,0))),"AIRCRAFT NOT IN FLEET"),IFERROR(INDEX(Operators!$B:$B,MATCH($C26,Operators!$A:$A,0)),"OPERATOR NOT FOUND")))</f>
        <v/>
      </c>
      <c r="E26">
        <f>IF($C26="","",IF($B26="AIRCRAFT",IFERROR(INDEX(Aircraft!$C:$C,MATCH($C26,Aircraft!$B:$B,0)),"-"),"-"))</f>
        <v/>
      </c>
      <c r="F26" s="4" t="n"/>
      <c r="G26" s="4" t="n"/>
      <c r="H26" s="4" t="n"/>
      <c r="I26" s="114" t="n"/>
      <c r="J26" s="114" t="n"/>
      <c r="K26" s="114" t="n"/>
      <c r="L26" s="4" t="n"/>
      <c r="M26">
        <f>IF(OR($C26="",$L26=""),"",admin!$B$2&amp;"\FleetDocs\"&amp;$C26&amp;"\"&amp;$L26)</f>
        <v/>
      </c>
      <c r="N26" s="4" t="n"/>
      <c r="O26" s="50" t="n"/>
      <c r="P26" s="4" t="n"/>
      <c r="Q26" s="50" t="n"/>
      <c r="R26" s="43">
        <f>IF($J26="","",INT($J26-TODAY()))</f>
        <v/>
      </c>
      <c r="S26">
        <f>IF($C26="","",IF($J26="","NO EXPIRY RECORDED",IF($R26&lt;0,"EXPIRED",IF($R26&lt;=30,"EXPIRES WITHIN 30 DAYS",IF($R26&lt;=90,"EXPIRES WITHIN 90 DAYS",IF(AND($K26&lt;&gt;"",$K26&lt;TODAY()),"REVIEW OVERDUE","VALID"))))))</f>
        <v/>
      </c>
      <c r="T26" s="4" t="n"/>
    </row>
    <row r="27">
      <c r="A27">
        <f>IF($C27="","","FDOC-"&amp;TEXT(ROW()-4,"000"))</f>
        <v/>
      </c>
      <c r="B27" s="4" t="n"/>
      <c r="C27" s="4" t="n"/>
      <c r="D27">
        <f>IF($C27="","",IF($B27="AIRCRAFT",IFERROR(IF(INDEX(Aircraft!$T:$T,MATCH($C27,Aircraft!$B:$B,0))="","OPERATOR NAME NOT SET",INDEX(Aircraft!$T:$T,MATCH($C27,Aircraft!$B:$B,0))),"AIRCRAFT NOT IN FLEET"),IFERROR(INDEX(Operators!$B:$B,MATCH($C27,Operators!$A:$A,0)),"OPERATOR NOT FOUND")))</f>
        <v/>
      </c>
      <c r="E27">
        <f>IF($C27="","",IF($B27="AIRCRAFT",IFERROR(INDEX(Aircraft!$C:$C,MATCH($C27,Aircraft!$B:$B,0)),"-"),"-"))</f>
        <v/>
      </c>
      <c r="F27" s="4" t="n"/>
      <c r="G27" s="4" t="n"/>
      <c r="H27" s="4" t="n"/>
      <c r="I27" s="114" t="n"/>
      <c r="J27" s="114" t="n"/>
      <c r="K27" s="114" t="n"/>
      <c r="L27" s="4" t="n"/>
      <c r="M27">
        <f>IF(OR($C27="",$L27=""),"",admin!$B$2&amp;"\FleetDocs\"&amp;$C27&amp;"\"&amp;$L27)</f>
        <v/>
      </c>
      <c r="N27" s="4" t="n"/>
      <c r="O27" s="50" t="n"/>
      <c r="P27" s="4" t="n"/>
      <c r="Q27" s="50" t="n"/>
      <c r="R27" s="43">
        <f>IF($J27="","",INT($J27-TODAY()))</f>
        <v/>
      </c>
      <c r="S27">
        <f>IF($C27="","",IF($J27="","NO EXPIRY RECORDED",IF($R27&lt;0,"EXPIRED",IF($R27&lt;=30,"EXPIRES WITHIN 30 DAYS",IF($R27&lt;=90,"EXPIRES WITHIN 90 DAYS",IF(AND($K27&lt;&gt;"",$K27&lt;TODAY()),"REVIEW OVERDUE","VALID"))))))</f>
        <v/>
      </c>
      <c r="T27" s="4" t="n"/>
    </row>
    <row r="28">
      <c r="A28">
        <f>IF($C28="","","FDOC-"&amp;TEXT(ROW()-4,"000"))</f>
        <v/>
      </c>
      <c r="B28" s="4" t="n"/>
      <c r="C28" s="4" t="n"/>
      <c r="D28">
        <f>IF($C28="","",IF($B28="AIRCRAFT",IFERROR(IF(INDEX(Aircraft!$T:$T,MATCH($C28,Aircraft!$B:$B,0))="","OPERATOR NAME NOT SET",INDEX(Aircraft!$T:$T,MATCH($C28,Aircraft!$B:$B,0))),"AIRCRAFT NOT IN FLEET"),IFERROR(INDEX(Operators!$B:$B,MATCH($C28,Operators!$A:$A,0)),"OPERATOR NOT FOUND")))</f>
        <v/>
      </c>
      <c r="E28">
        <f>IF($C28="","",IF($B28="AIRCRAFT",IFERROR(INDEX(Aircraft!$C:$C,MATCH($C28,Aircraft!$B:$B,0)),"-"),"-"))</f>
        <v/>
      </c>
      <c r="F28" s="4" t="n"/>
      <c r="G28" s="4" t="n"/>
      <c r="H28" s="4" t="n"/>
      <c r="I28" s="114" t="n"/>
      <c r="J28" s="114" t="n"/>
      <c r="K28" s="114" t="n"/>
      <c r="L28" s="4" t="n"/>
      <c r="M28">
        <f>IF(OR($C28="",$L28=""),"",admin!$B$2&amp;"\FleetDocs\"&amp;$C28&amp;"\"&amp;$L28)</f>
        <v/>
      </c>
      <c r="N28" s="4" t="n"/>
      <c r="O28" s="50" t="n"/>
      <c r="P28" s="4" t="n"/>
      <c r="Q28" s="50" t="n"/>
      <c r="R28" s="43">
        <f>IF($J28="","",INT($J28-TODAY()))</f>
        <v/>
      </c>
      <c r="S28">
        <f>IF($C28="","",IF($J28="","NO EXPIRY RECORDED",IF($R28&lt;0,"EXPIRED",IF($R28&lt;=30,"EXPIRES WITHIN 30 DAYS",IF($R28&lt;=90,"EXPIRES WITHIN 90 DAYS",IF(AND($K28&lt;&gt;"",$K28&lt;TODAY()),"REVIEW OVERDUE","VALID"))))))</f>
        <v/>
      </c>
      <c r="T28" s="4" t="n"/>
    </row>
    <row r="29">
      <c r="A29">
        <f>IF($C29="","","FDOC-"&amp;TEXT(ROW()-4,"000"))</f>
        <v/>
      </c>
      <c r="B29" s="4" t="n"/>
      <c r="C29" s="4" t="n"/>
      <c r="D29">
        <f>IF($C29="","",IF($B29="AIRCRAFT",IFERROR(IF(INDEX(Aircraft!$T:$T,MATCH($C29,Aircraft!$B:$B,0))="","OPERATOR NAME NOT SET",INDEX(Aircraft!$T:$T,MATCH($C29,Aircraft!$B:$B,0))),"AIRCRAFT NOT IN FLEET"),IFERROR(INDEX(Operators!$B:$B,MATCH($C29,Operators!$A:$A,0)),"OPERATOR NOT FOUND")))</f>
        <v/>
      </c>
      <c r="E29">
        <f>IF($C29="","",IF($B29="AIRCRAFT",IFERROR(INDEX(Aircraft!$C:$C,MATCH($C29,Aircraft!$B:$B,0)),"-"),"-"))</f>
        <v/>
      </c>
      <c r="F29" s="4" t="n"/>
      <c r="G29" s="4" t="n"/>
      <c r="H29" s="4" t="n"/>
      <c r="I29" s="114" t="n"/>
      <c r="J29" s="114" t="n"/>
      <c r="K29" s="114" t="n"/>
      <c r="L29" s="4" t="n"/>
      <c r="M29">
        <f>IF(OR($C29="",$L29=""),"",admin!$B$2&amp;"\FleetDocs\"&amp;$C29&amp;"\"&amp;$L29)</f>
        <v/>
      </c>
      <c r="N29" s="4" t="n"/>
      <c r="O29" s="50" t="n"/>
      <c r="P29" s="4" t="n"/>
      <c r="Q29" s="50" t="n"/>
      <c r="R29" s="43">
        <f>IF($J29="","",INT($J29-TODAY()))</f>
        <v/>
      </c>
      <c r="S29">
        <f>IF($C29="","",IF($J29="","NO EXPIRY RECORDED",IF($R29&lt;0,"EXPIRED",IF($R29&lt;=30,"EXPIRES WITHIN 30 DAYS",IF($R29&lt;=90,"EXPIRES WITHIN 90 DAYS",IF(AND($K29&lt;&gt;"",$K29&lt;TODAY()),"REVIEW OVERDUE","VALID"))))))</f>
        <v/>
      </c>
      <c r="T29" s="4" t="n"/>
    </row>
    <row r="30">
      <c r="A30">
        <f>IF($C30="","","FDOC-"&amp;TEXT(ROW()-4,"000"))</f>
        <v/>
      </c>
      <c r="B30" s="4" t="n"/>
      <c r="C30" s="4" t="n"/>
      <c r="D30">
        <f>IF($C30="","",IF($B30="AIRCRAFT",IFERROR(IF(INDEX(Aircraft!$T:$T,MATCH($C30,Aircraft!$B:$B,0))="","OPERATOR NAME NOT SET",INDEX(Aircraft!$T:$T,MATCH($C30,Aircraft!$B:$B,0))),"AIRCRAFT NOT IN FLEET"),IFERROR(INDEX(Operators!$B:$B,MATCH($C30,Operators!$A:$A,0)),"OPERATOR NOT FOUND")))</f>
        <v/>
      </c>
      <c r="E30">
        <f>IF($C30="","",IF($B30="AIRCRAFT",IFERROR(INDEX(Aircraft!$C:$C,MATCH($C30,Aircraft!$B:$B,0)),"-"),"-"))</f>
        <v/>
      </c>
      <c r="F30" s="4" t="n"/>
      <c r="G30" s="4" t="n"/>
      <c r="H30" s="4" t="n"/>
      <c r="I30" s="114" t="n"/>
      <c r="J30" s="114" t="n"/>
      <c r="K30" s="114" t="n"/>
      <c r="L30" s="4" t="n"/>
      <c r="M30">
        <f>IF(OR($C30="",$L30=""),"",admin!$B$2&amp;"\FleetDocs\"&amp;$C30&amp;"\"&amp;$L30)</f>
        <v/>
      </c>
      <c r="N30" s="4" t="n"/>
      <c r="O30" s="50" t="n"/>
      <c r="P30" s="4" t="n"/>
      <c r="Q30" s="50" t="n"/>
      <c r="R30" s="43">
        <f>IF($J30="","",INT($J30-TODAY()))</f>
        <v/>
      </c>
      <c r="S30">
        <f>IF($C30="","",IF($J30="","NO EXPIRY RECORDED",IF($R30&lt;0,"EXPIRED",IF($R30&lt;=30,"EXPIRES WITHIN 30 DAYS",IF($R30&lt;=90,"EXPIRES WITHIN 90 DAYS",IF(AND($K30&lt;&gt;"",$K30&lt;TODAY()),"REVIEW OVERDUE","VALID"))))))</f>
        <v/>
      </c>
      <c r="T30" s="4" t="n"/>
    </row>
    <row r="31">
      <c r="A31">
        <f>IF($C31="","","FDOC-"&amp;TEXT(ROW()-4,"000"))</f>
        <v/>
      </c>
      <c r="B31" s="4" t="n"/>
      <c r="C31" s="4" t="n"/>
      <c r="D31">
        <f>IF($C31="","",IF($B31="AIRCRAFT",IFERROR(IF(INDEX(Aircraft!$T:$T,MATCH($C31,Aircraft!$B:$B,0))="","OPERATOR NAME NOT SET",INDEX(Aircraft!$T:$T,MATCH($C31,Aircraft!$B:$B,0))),"AIRCRAFT NOT IN FLEET"),IFERROR(INDEX(Operators!$B:$B,MATCH($C31,Operators!$A:$A,0)),"OPERATOR NOT FOUND")))</f>
        <v/>
      </c>
      <c r="E31">
        <f>IF($C31="","",IF($B31="AIRCRAFT",IFERROR(INDEX(Aircraft!$C:$C,MATCH($C31,Aircraft!$B:$B,0)),"-"),"-"))</f>
        <v/>
      </c>
      <c r="F31" s="4" t="n"/>
      <c r="G31" s="4" t="n"/>
      <c r="H31" s="4" t="n"/>
      <c r="I31" s="114" t="n"/>
      <c r="J31" s="114" t="n"/>
      <c r="K31" s="114" t="n"/>
      <c r="L31" s="4" t="n"/>
      <c r="M31">
        <f>IF(OR($C31="",$L31=""),"",admin!$B$2&amp;"\FleetDocs\"&amp;$C31&amp;"\"&amp;$L31)</f>
        <v/>
      </c>
      <c r="N31" s="4" t="n"/>
      <c r="O31" s="50" t="n"/>
      <c r="P31" s="4" t="n"/>
      <c r="Q31" s="50" t="n"/>
      <c r="R31" s="43">
        <f>IF($J31="","",INT($J31-TODAY()))</f>
        <v/>
      </c>
      <c r="S31">
        <f>IF($C31="","",IF($J31="","NO EXPIRY RECORDED",IF($R31&lt;0,"EXPIRED",IF($R31&lt;=30,"EXPIRES WITHIN 30 DAYS",IF($R31&lt;=90,"EXPIRES WITHIN 90 DAYS",IF(AND($K31&lt;&gt;"",$K31&lt;TODAY()),"REVIEW OVERDUE","VALID"))))))</f>
        <v/>
      </c>
      <c r="T31" s="4" t="n"/>
    </row>
    <row r="32">
      <c r="A32">
        <f>IF($C32="","","FDOC-"&amp;TEXT(ROW()-4,"000"))</f>
        <v/>
      </c>
      <c r="B32" s="4" t="n"/>
      <c r="C32" s="4" t="n"/>
      <c r="D32">
        <f>IF($C32="","",IF($B32="AIRCRAFT",IFERROR(IF(INDEX(Aircraft!$T:$T,MATCH($C32,Aircraft!$B:$B,0))="","OPERATOR NAME NOT SET",INDEX(Aircraft!$T:$T,MATCH($C32,Aircraft!$B:$B,0))),"AIRCRAFT NOT IN FLEET"),IFERROR(INDEX(Operators!$B:$B,MATCH($C32,Operators!$A:$A,0)),"OPERATOR NOT FOUND")))</f>
        <v/>
      </c>
      <c r="E32">
        <f>IF($C32="","",IF($B32="AIRCRAFT",IFERROR(INDEX(Aircraft!$C:$C,MATCH($C32,Aircraft!$B:$B,0)),"-"),"-"))</f>
        <v/>
      </c>
      <c r="F32" s="4" t="n"/>
      <c r="G32" s="4" t="n"/>
      <c r="H32" s="4" t="n"/>
      <c r="I32" s="114" t="n"/>
      <c r="J32" s="114" t="n"/>
      <c r="K32" s="114" t="n"/>
      <c r="L32" s="4" t="n"/>
      <c r="M32">
        <f>IF(OR($C32="",$L32=""),"",admin!$B$2&amp;"\FleetDocs\"&amp;$C32&amp;"\"&amp;$L32)</f>
        <v/>
      </c>
      <c r="N32" s="4" t="n"/>
      <c r="O32" s="50" t="n"/>
      <c r="P32" s="4" t="n"/>
      <c r="Q32" s="50" t="n"/>
      <c r="R32" s="43">
        <f>IF($J32="","",INT($J32-TODAY()))</f>
        <v/>
      </c>
      <c r="S32">
        <f>IF($C32="","",IF($J32="","NO EXPIRY RECORDED",IF($R32&lt;0,"EXPIRED",IF($R32&lt;=30,"EXPIRES WITHIN 30 DAYS",IF($R32&lt;=90,"EXPIRES WITHIN 90 DAYS",IF(AND($K32&lt;&gt;"",$K32&lt;TODAY()),"REVIEW OVERDUE","VALID"))))))</f>
        <v/>
      </c>
      <c r="T32" s="4" t="n"/>
    </row>
    <row r="33">
      <c r="A33">
        <f>IF($C33="","","FDOC-"&amp;TEXT(ROW()-4,"000"))</f>
        <v/>
      </c>
      <c r="B33" s="4" t="n"/>
      <c r="C33" s="4" t="n"/>
      <c r="D33">
        <f>IF($C33="","",IF($B33="AIRCRAFT",IFERROR(IF(INDEX(Aircraft!$T:$T,MATCH($C33,Aircraft!$B:$B,0))="","OPERATOR NAME NOT SET",INDEX(Aircraft!$T:$T,MATCH($C33,Aircraft!$B:$B,0))),"AIRCRAFT NOT IN FLEET"),IFERROR(INDEX(Operators!$B:$B,MATCH($C33,Operators!$A:$A,0)),"OPERATOR NOT FOUND")))</f>
        <v/>
      </c>
      <c r="E33">
        <f>IF($C33="","",IF($B33="AIRCRAFT",IFERROR(INDEX(Aircraft!$C:$C,MATCH($C33,Aircraft!$B:$B,0)),"-"),"-"))</f>
        <v/>
      </c>
      <c r="F33" s="4" t="n"/>
      <c r="G33" s="4" t="n"/>
      <c r="H33" s="4" t="n"/>
      <c r="I33" s="114" t="n"/>
      <c r="J33" s="114" t="n"/>
      <c r="K33" s="114" t="n"/>
      <c r="L33" s="4" t="n"/>
      <c r="M33">
        <f>IF(OR($C33="",$L33=""),"",admin!$B$2&amp;"\FleetDocs\"&amp;$C33&amp;"\"&amp;$L33)</f>
        <v/>
      </c>
      <c r="N33" s="4" t="n"/>
      <c r="O33" s="50" t="n"/>
      <c r="P33" s="4" t="n"/>
      <c r="Q33" s="50" t="n"/>
      <c r="R33" s="43">
        <f>IF($J33="","",INT($J33-TODAY()))</f>
        <v/>
      </c>
      <c r="S33">
        <f>IF($C33="","",IF($J33="","NO EXPIRY RECORDED",IF($R33&lt;0,"EXPIRED",IF($R33&lt;=30,"EXPIRES WITHIN 30 DAYS",IF($R33&lt;=90,"EXPIRES WITHIN 90 DAYS",IF(AND($K33&lt;&gt;"",$K33&lt;TODAY()),"REVIEW OVERDUE","VALID"))))))</f>
        <v/>
      </c>
      <c r="T33" s="4" t="n"/>
    </row>
    <row r="34">
      <c r="A34">
        <f>IF($C34="","","FDOC-"&amp;TEXT(ROW()-4,"000"))</f>
        <v/>
      </c>
      <c r="B34" s="4" t="n"/>
      <c r="C34" s="4" t="n"/>
      <c r="D34">
        <f>IF($C34="","",IF($B34="AIRCRAFT",IFERROR(IF(INDEX(Aircraft!$T:$T,MATCH($C34,Aircraft!$B:$B,0))="","OPERATOR NAME NOT SET",INDEX(Aircraft!$T:$T,MATCH($C34,Aircraft!$B:$B,0))),"AIRCRAFT NOT IN FLEET"),IFERROR(INDEX(Operators!$B:$B,MATCH($C34,Operators!$A:$A,0)),"OPERATOR NOT FOUND")))</f>
        <v/>
      </c>
      <c r="E34">
        <f>IF($C34="","",IF($B34="AIRCRAFT",IFERROR(INDEX(Aircraft!$C:$C,MATCH($C34,Aircraft!$B:$B,0)),"-"),"-"))</f>
        <v/>
      </c>
      <c r="F34" s="4" t="n"/>
      <c r="G34" s="4" t="n"/>
      <c r="H34" s="4" t="n"/>
      <c r="I34" s="114" t="n"/>
      <c r="J34" s="114" t="n"/>
      <c r="K34" s="114" t="n"/>
      <c r="L34" s="4" t="n"/>
      <c r="M34">
        <f>IF(OR($C34="",$L34=""),"",admin!$B$2&amp;"\FleetDocs\"&amp;$C34&amp;"\"&amp;$L34)</f>
        <v/>
      </c>
      <c r="N34" s="4" t="n"/>
      <c r="O34" s="50" t="n"/>
      <c r="P34" s="4" t="n"/>
      <c r="Q34" s="50" t="n"/>
      <c r="R34" s="43">
        <f>IF($J34="","",INT($J34-TODAY()))</f>
        <v/>
      </c>
      <c r="S34">
        <f>IF($C34="","",IF($J34="","NO EXPIRY RECORDED",IF($R34&lt;0,"EXPIRED",IF($R34&lt;=30,"EXPIRES WITHIN 30 DAYS",IF($R34&lt;=90,"EXPIRES WITHIN 90 DAYS",IF(AND($K34&lt;&gt;"",$K34&lt;TODAY()),"REVIEW OVERDUE","VALID"))))))</f>
        <v/>
      </c>
      <c r="T34" s="4" t="n"/>
    </row>
    <row r="35">
      <c r="A35">
        <f>IF($C35="","","FDOC-"&amp;TEXT(ROW()-4,"000"))</f>
        <v/>
      </c>
      <c r="B35" s="4" t="n"/>
      <c r="C35" s="4" t="n"/>
      <c r="D35">
        <f>IF($C35="","",IF($B35="AIRCRAFT",IFERROR(IF(INDEX(Aircraft!$T:$T,MATCH($C35,Aircraft!$B:$B,0))="","OPERATOR NAME NOT SET",INDEX(Aircraft!$T:$T,MATCH($C35,Aircraft!$B:$B,0))),"AIRCRAFT NOT IN FLEET"),IFERROR(INDEX(Operators!$B:$B,MATCH($C35,Operators!$A:$A,0)),"OPERATOR NOT FOUND")))</f>
        <v/>
      </c>
      <c r="E35">
        <f>IF($C35="","",IF($B35="AIRCRAFT",IFERROR(INDEX(Aircraft!$C:$C,MATCH($C35,Aircraft!$B:$B,0)),"-"),"-"))</f>
        <v/>
      </c>
      <c r="F35" s="4" t="n"/>
      <c r="G35" s="4" t="n"/>
      <c r="H35" s="4" t="n"/>
      <c r="I35" s="114" t="n"/>
      <c r="J35" s="114" t="n"/>
      <c r="K35" s="114" t="n"/>
      <c r="L35" s="4" t="n"/>
      <c r="M35">
        <f>IF(OR($C35="",$L35=""),"",admin!$B$2&amp;"\FleetDocs\"&amp;$C35&amp;"\"&amp;$L35)</f>
        <v/>
      </c>
      <c r="N35" s="4" t="n"/>
      <c r="O35" s="50" t="n"/>
      <c r="P35" s="4" t="n"/>
      <c r="Q35" s="50" t="n"/>
      <c r="R35" s="43">
        <f>IF($J35="","",INT($J35-TODAY()))</f>
        <v/>
      </c>
      <c r="S35">
        <f>IF($C35="","",IF($J35="","NO EXPIRY RECORDED",IF($R35&lt;0,"EXPIRED",IF($R35&lt;=30,"EXPIRES WITHIN 30 DAYS",IF($R35&lt;=90,"EXPIRES WITHIN 90 DAYS",IF(AND($K35&lt;&gt;"",$K35&lt;TODAY()),"REVIEW OVERDUE","VALID"))))))</f>
        <v/>
      </c>
      <c r="T35" s="4" t="n"/>
    </row>
    <row r="36">
      <c r="A36">
        <f>IF($C36="","","FDOC-"&amp;TEXT(ROW()-4,"000"))</f>
        <v/>
      </c>
      <c r="B36" s="4" t="n"/>
      <c r="C36" s="4" t="n"/>
      <c r="D36">
        <f>IF($C36="","",IF($B36="AIRCRAFT",IFERROR(IF(INDEX(Aircraft!$T:$T,MATCH($C36,Aircraft!$B:$B,0))="","OPERATOR NAME NOT SET",INDEX(Aircraft!$T:$T,MATCH($C36,Aircraft!$B:$B,0))),"AIRCRAFT NOT IN FLEET"),IFERROR(INDEX(Operators!$B:$B,MATCH($C36,Operators!$A:$A,0)),"OPERATOR NOT FOUND")))</f>
        <v/>
      </c>
      <c r="E36">
        <f>IF($C36="","",IF($B36="AIRCRAFT",IFERROR(INDEX(Aircraft!$C:$C,MATCH($C36,Aircraft!$B:$B,0)),"-"),"-"))</f>
        <v/>
      </c>
      <c r="F36" s="4" t="n"/>
      <c r="G36" s="4" t="n"/>
      <c r="H36" s="4" t="n"/>
      <c r="I36" s="114" t="n"/>
      <c r="J36" s="114" t="n"/>
      <c r="K36" s="114" t="n"/>
      <c r="L36" s="4" t="n"/>
      <c r="M36">
        <f>IF(OR($C36="",$L36=""),"",admin!$B$2&amp;"\FleetDocs\"&amp;$C36&amp;"\"&amp;$L36)</f>
        <v/>
      </c>
      <c r="N36" s="4" t="n"/>
      <c r="O36" s="50" t="n"/>
      <c r="P36" s="4" t="n"/>
      <c r="Q36" s="50" t="n"/>
      <c r="R36" s="43">
        <f>IF($J36="","",INT($J36-TODAY()))</f>
        <v/>
      </c>
      <c r="S36">
        <f>IF($C36="","",IF($J36="","NO EXPIRY RECORDED",IF($R36&lt;0,"EXPIRED",IF($R36&lt;=30,"EXPIRES WITHIN 30 DAYS",IF($R36&lt;=90,"EXPIRES WITHIN 90 DAYS",IF(AND($K36&lt;&gt;"",$K36&lt;TODAY()),"REVIEW OVERDUE","VALID"))))))</f>
        <v/>
      </c>
      <c r="T36" s="4" t="n"/>
    </row>
    <row r="37">
      <c r="A37">
        <f>IF($C37="","","FDOC-"&amp;TEXT(ROW()-4,"000"))</f>
        <v/>
      </c>
      <c r="B37" s="4" t="n"/>
      <c r="C37" s="4" t="n"/>
      <c r="D37">
        <f>IF($C37="","",IF($B37="AIRCRAFT",IFERROR(IF(INDEX(Aircraft!$T:$T,MATCH($C37,Aircraft!$B:$B,0))="","OPERATOR NAME NOT SET",INDEX(Aircraft!$T:$T,MATCH($C37,Aircraft!$B:$B,0))),"AIRCRAFT NOT IN FLEET"),IFERROR(INDEX(Operators!$B:$B,MATCH($C37,Operators!$A:$A,0)),"OPERATOR NOT FOUND")))</f>
        <v/>
      </c>
      <c r="E37">
        <f>IF($C37="","",IF($B37="AIRCRAFT",IFERROR(INDEX(Aircraft!$C:$C,MATCH($C37,Aircraft!$B:$B,0)),"-"),"-"))</f>
        <v/>
      </c>
      <c r="F37" s="4" t="n"/>
      <c r="G37" s="4" t="n"/>
      <c r="H37" s="4" t="n"/>
      <c r="I37" s="114" t="n"/>
      <c r="J37" s="114" t="n"/>
      <c r="K37" s="114" t="n"/>
      <c r="L37" s="4" t="n"/>
      <c r="M37">
        <f>IF(OR($C37="",$L37=""),"",admin!$B$2&amp;"\FleetDocs\"&amp;$C37&amp;"\"&amp;$L37)</f>
        <v/>
      </c>
      <c r="N37" s="4" t="n"/>
      <c r="O37" s="50" t="n"/>
      <c r="P37" s="4" t="n"/>
      <c r="Q37" s="50" t="n"/>
      <c r="R37" s="43">
        <f>IF($J37="","",INT($J37-TODAY()))</f>
        <v/>
      </c>
      <c r="S37">
        <f>IF($C37="","",IF($J37="","NO EXPIRY RECORDED",IF($R37&lt;0,"EXPIRED",IF($R37&lt;=30,"EXPIRES WITHIN 30 DAYS",IF($R37&lt;=90,"EXPIRES WITHIN 90 DAYS",IF(AND($K37&lt;&gt;"",$K37&lt;TODAY()),"REVIEW OVERDUE","VALID"))))))</f>
        <v/>
      </c>
      <c r="T37" s="4" t="n"/>
    </row>
    <row r="38">
      <c r="A38">
        <f>IF($C38="","","FDOC-"&amp;TEXT(ROW()-4,"000"))</f>
        <v/>
      </c>
      <c r="B38" s="4" t="n"/>
      <c r="C38" s="4" t="n"/>
      <c r="D38">
        <f>IF($C38="","",IF($B38="AIRCRAFT",IFERROR(IF(INDEX(Aircraft!$T:$T,MATCH($C38,Aircraft!$B:$B,0))="","OPERATOR NAME NOT SET",INDEX(Aircraft!$T:$T,MATCH($C38,Aircraft!$B:$B,0))),"AIRCRAFT NOT IN FLEET"),IFERROR(INDEX(Operators!$B:$B,MATCH($C38,Operators!$A:$A,0)),"OPERATOR NOT FOUND")))</f>
        <v/>
      </c>
      <c r="E38">
        <f>IF($C38="","",IF($B38="AIRCRAFT",IFERROR(INDEX(Aircraft!$C:$C,MATCH($C38,Aircraft!$B:$B,0)),"-"),"-"))</f>
        <v/>
      </c>
      <c r="F38" s="4" t="n"/>
      <c r="G38" s="4" t="n"/>
      <c r="H38" s="4" t="n"/>
      <c r="I38" s="114" t="n"/>
      <c r="J38" s="114" t="n"/>
      <c r="K38" s="114" t="n"/>
      <c r="L38" s="4" t="n"/>
      <c r="M38">
        <f>IF(OR($C38="",$L38=""),"",admin!$B$2&amp;"\FleetDocs\"&amp;$C38&amp;"\"&amp;$L38)</f>
        <v/>
      </c>
      <c r="N38" s="4" t="n"/>
      <c r="O38" s="50" t="n"/>
      <c r="P38" s="4" t="n"/>
      <c r="Q38" s="50" t="n"/>
      <c r="R38" s="43">
        <f>IF($J38="","",INT($J38-TODAY()))</f>
        <v/>
      </c>
      <c r="S38">
        <f>IF($C38="","",IF($J38="","NO EXPIRY RECORDED",IF($R38&lt;0,"EXPIRED",IF($R38&lt;=30,"EXPIRES WITHIN 30 DAYS",IF($R38&lt;=90,"EXPIRES WITHIN 90 DAYS",IF(AND($K38&lt;&gt;"",$K38&lt;TODAY()),"REVIEW OVERDUE","VALID"))))))</f>
        <v/>
      </c>
      <c r="T38" s="4" t="n"/>
    </row>
    <row r="39">
      <c r="A39">
        <f>IF($C39="","","FDOC-"&amp;TEXT(ROW()-4,"000"))</f>
        <v/>
      </c>
      <c r="B39" s="4" t="n"/>
      <c r="C39" s="4" t="n"/>
      <c r="D39">
        <f>IF($C39="","",IF($B39="AIRCRAFT",IFERROR(IF(INDEX(Aircraft!$T:$T,MATCH($C39,Aircraft!$B:$B,0))="","OPERATOR NAME NOT SET",INDEX(Aircraft!$T:$T,MATCH($C39,Aircraft!$B:$B,0))),"AIRCRAFT NOT IN FLEET"),IFERROR(INDEX(Operators!$B:$B,MATCH($C39,Operators!$A:$A,0)),"OPERATOR NOT FOUND")))</f>
        <v/>
      </c>
      <c r="E39">
        <f>IF($C39="","",IF($B39="AIRCRAFT",IFERROR(INDEX(Aircraft!$C:$C,MATCH($C39,Aircraft!$B:$B,0)),"-"),"-"))</f>
        <v/>
      </c>
      <c r="F39" s="4" t="n"/>
      <c r="G39" s="4" t="n"/>
      <c r="H39" s="4" t="n"/>
      <c r="I39" s="114" t="n"/>
      <c r="J39" s="114" t="n"/>
      <c r="K39" s="114" t="n"/>
      <c r="L39" s="4" t="n"/>
      <c r="M39">
        <f>IF(OR($C39="",$L39=""),"",admin!$B$2&amp;"\FleetDocs\"&amp;$C39&amp;"\"&amp;$L39)</f>
        <v/>
      </c>
      <c r="N39" s="4" t="n"/>
      <c r="O39" s="50" t="n"/>
      <c r="P39" s="4" t="n"/>
      <c r="Q39" s="50" t="n"/>
      <c r="R39" s="43">
        <f>IF($J39="","",INT($J39-TODAY()))</f>
        <v/>
      </c>
      <c r="S39">
        <f>IF($C39="","",IF($J39="","NO EXPIRY RECORDED",IF($R39&lt;0,"EXPIRED",IF($R39&lt;=30,"EXPIRES WITHIN 30 DAYS",IF($R39&lt;=90,"EXPIRES WITHIN 90 DAYS",IF(AND($K39&lt;&gt;"",$K39&lt;TODAY()),"REVIEW OVERDUE","VALID"))))))</f>
        <v/>
      </c>
      <c r="T39" s="4" t="n"/>
    </row>
    <row r="40">
      <c r="A40">
        <f>IF($C40="","","FDOC-"&amp;TEXT(ROW()-4,"000"))</f>
        <v/>
      </c>
      <c r="B40" s="4" t="n"/>
      <c r="C40" s="4" t="n"/>
      <c r="D40">
        <f>IF($C40="","",IF($B40="AIRCRAFT",IFERROR(IF(INDEX(Aircraft!$T:$T,MATCH($C40,Aircraft!$B:$B,0))="","OPERATOR NAME NOT SET",INDEX(Aircraft!$T:$T,MATCH($C40,Aircraft!$B:$B,0))),"AIRCRAFT NOT IN FLEET"),IFERROR(INDEX(Operators!$B:$B,MATCH($C40,Operators!$A:$A,0)),"OPERATOR NOT FOUND")))</f>
        <v/>
      </c>
      <c r="E40">
        <f>IF($C40="","",IF($B40="AIRCRAFT",IFERROR(INDEX(Aircraft!$C:$C,MATCH($C40,Aircraft!$B:$B,0)),"-"),"-"))</f>
        <v/>
      </c>
      <c r="F40" s="4" t="n"/>
      <c r="G40" s="4" t="n"/>
      <c r="H40" s="4" t="n"/>
      <c r="I40" s="114" t="n"/>
      <c r="J40" s="114" t="n"/>
      <c r="K40" s="114" t="n"/>
      <c r="L40" s="4" t="n"/>
      <c r="M40">
        <f>IF(OR($C40="",$L40=""),"",admin!$B$2&amp;"\FleetDocs\"&amp;$C40&amp;"\"&amp;$L40)</f>
        <v/>
      </c>
      <c r="N40" s="4" t="n"/>
      <c r="O40" s="50" t="n"/>
      <c r="P40" s="4" t="n"/>
      <c r="Q40" s="50" t="n"/>
      <c r="R40" s="43">
        <f>IF($J40="","",INT($J40-TODAY()))</f>
        <v/>
      </c>
      <c r="S40">
        <f>IF($C40="","",IF($J40="","NO EXPIRY RECORDED",IF($R40&lt;0,"EXPIRED",IF($R40&lt;=30,"EXPIRES WITHIN 30 DAYS",IF($R40&lt;=90,"EXPIRES WITHIN 90 DAYS",IF(AND($K40&lt;&gt;"",$K40&lt;TODAY()),"REVIEW OVERDUE","VALID"))))))</f>
        <v/>
      </c>
      <c r="T40" s="4" t="n"/>
    </row>
    <row r="41">
      <c r="A41">
        <f>IF($C41="","","FDOC-"&amp;TEXT(ROW()-4,"000"))</f>
        <v/>
      </c>
      <c r="B41" s="4" t="n"/>
      <c r="C41" s="4" t="n"/>
      <c r="D41">
        <f>IF($C41="","",IF($B41="AIRCRAFT",IFERROR(IF(INDEX(Aircraft!$T:$T,MATCH($C41,Aircraft!$B:$B,0))="","OPERATOR NAME NOT SET",INDEX(Aircraft!$T:$T,MATCH($C41,Aircraft!$B:$B,0))),"AIRCRAFT NOT IN FLEET"),IFERROR(INDEX(Operators!$B:$B,MATCH($C41,Operators!$A:$A,0)),"OPERATOR NOT FOUND")))</f>
        <v/>
      </c>
      <c r="E41">
        <f>IF($C41="","",IF($B41="AIRCRAFT",IFERROR(INDEX(Aircraft!$C:$C,MATCH($C41,Aircraft!$B:$B,0)),"-"),"-"))</f>
        <v/>
      </c>
      <c r="F41" s="4" t="n"/>
      <c r="G41" s="4" t="n"/>
      <c r="H41" s="4" t="n"/>
      <c r="I41" s="114" t="n"/>
      <c r="J41" s="114" t="n"/>
      <c r="K41" s="114" t="n"/>
      <c r="L41" s="4" t="n"/>
      <c r="M41">
        <f>IF(OR($C41="",$L41=""),"",admin!$B$2&amp;"\FleetDocs\"&amp;$C41&amp;"\"&amp;$L41)</f>
        <v/>
      </c>
      <c r="N41" s="4" t="n"/>
      <c r="O41" s="50" t="n"/>
      <c r="P41" s="4" t="n"/>
      <c r="Q41" s="50" t="n"/>
      <c r="R41" s="43">
        <f>IF($J41="","",INT($J41-TODAY()))</f>
        <v/>
      </c>
      <c r="S41">
        <f>IF($C41="","",IF($J41="","NO EXPIRY RECORDED",IF($R41&lt;0,"EXPIRED",IF($R41&lt;=30,"EXPIRES WITHIN 30 DAYS",IF($R41&lt;=90,"EXPIRES WITHIN 90 DAYS",IF(AND($K41&lt;&gt;"",$K41&lt;TODAY()),"REVIEW OVERDUE","VALID"))))))</f>
        <v/>
      </c>
      <c r="T41" s="4" t="n"/>
    </row>
    <row r="42">
      <c r="A42">
        <f>IF($C42="","","FDOC-"&amp;TEXT(ROW()-4,"000"))</f>
        <v/>
      </c>
      <c r="B42" s="4" t="n"/>
      <c r="C42" s="4" t="n"/>
      <c r="D42">
        <f>IF($C42="","",IF($B42="AIRCRAFT",IFERROR(IF(INDEX(Aircraft!$T:$T,MATCH($C42,Aircraft!$B:$B,0))="","OPERATOR NAME NOT SET",INDEX(Aircraft!$T:$T,MATCH($C42,Aircraft!$B:$B,0))),"AIRCRAFT NOT IN FLEET"),IFERROR(INDEX(Operators!$B:$B,MATCH($C42,Operators!$A:$A,0)),"OPERATOR NOT FOUND")))</f>
        <v/>
      </c>
      <c r="E42">
        <f>IF($C42="","",IF($B42="AIRCRAFT",IFERROR(INDEX(Aircraft!$C:$C,MATCH($C42,Aircraft!$B:$B,0)),"-"),"-"))</f>
        <v/>
      </c>
      <c r="F42" s="4" t="n"/>
      <c r="G42" s="4" t="n"/>
      <c r="H42" s="4" t="n"/>
      <c r="I42" s="114" t="n"/>
      <c r="J42" s="114" t="n"/>
      <c r="K42" s="114" t="n"/>
      <c r="L42" s="4" t="n"/>
      <c r="M42">
        <f>IF(OR($C42="",$L42=""),"",admin!$B$2&amp;"\FleetDocs\"&amp;$C42&amp;"\"&amp;$L42)</f>
        <v/>
      </c>
      <c r="N42" s="4" t="n"/>
      <c r="O42" s="50" t="n"/>
      <c r="P42" s="4" t="n"/>
      <c r="Q42" s="50" t="n"/>
      <c r="R42" s="43">
        <f>IF($J42="","",INT($J42-TODAY()))</f>
        <v/>
      </c>
      <c r="S42">
        <f>IF($C42="","",IF($J42="","NO EXPIRY RECORDED",IF($R42&lt;0,"EXPIRED",IF($R42&lt;=30,"EXPIRES WITHIN 30 DAYS",IF($R42&lt;=90,"EXPIRES WITHIN 90 DAYS",IF(AND($K42&lt;&gt;"",$K42&lt;TODAY()),"REVIEW OVERDUE","VALID"))))))</f>
        <v/>
      </c>
      <c r="T42" s="4" t="n"/>
    </row>
    <row r="43">
      <c r="A43">
        <f>IF($C43="","","FDOC-"&amp;TEXT(ROW()-4,"000"))</f>
        <v/>
      </c>
      <c r="B43" s="4" t="n"/>
      <c r="C43" s="4" t="n"/>
      <c r="D43">
        <f>IF($C43="","",IF($B43="AIRCRAFT",IFERROR(IF(INDEX(Aircraft!$T:$T,MATCH($C43,Aircraft!$B:$B,0))="","OPERATOR NAME NOT SET",INDEX(Aircraft!$T:$T,MATCH($C43,Aircraft!$B:$B,0))),"AIRCRAFT NOT IN FLEET"),IFERROR(INDEX(Operators!$B:$B,MATCH($C43,Operators!$A:$A,0)),"OPERATOR NOT FOUND")))</f>
        <v/>
      </c>
      <c r="E43">
        <f>IF($C43="","",IF($B43="AIRCRAFT",IFERROR(INDEX(Aircraft!$C:$C,MATCH($C43,Aircraft!$B:$B,0)),"-"),"-"))</f>
        <v/>
      </c>
      <c r="F43" s="4" t="n"/>
      <c r="G43" s="4" t="n"/>
      <c r="H43" s="4" t="n"/>
      <c r="I43" s="114" t="n"/>
      <c r="J43" s="114" t="n"/>
      <c r="K43" s="114" t="n"/>
      <c r="L43" s="4" t="n"/>
      <c r="M43">
        <f>IF(OR($C43="",$L43=""),"",admin!$B$2&amp;"\FleetDocs\"&amp;$C43&amp;"\"&amp;$L43)</f>
        <v/>
      </c>
      <c r="N43" s="4" t="n"/>
      <c r="O43" s="50" t="n"/>
      <c r="P43" s="4" t="n"/>
      <c r="Q43" s="50" t="n"/>
      <c r="R43" s="43">
        <f>IF($J43="","",INT($J43-TODAY()))</f>
        <v/>
      </c>
      <c r="S43">
        <f>IF($C43="","",IF($J43="","NO EXPIRY RECORDED",IF($R43&lt;0,"EXPIRED",IF($R43&lt;=30,"EXPIRES WITHIN 30 DAYS",IF($R43&lt;=90,"EXPIRES WITHIN 90 DAYS",IF(AND($K43&lt;&gt;"",$K43&lt;TODAY()),"REVIEW OVERDUE","VALID"))))))</f>
        <v/>
      </c>
      <c r="T43" s="4" t="n"/>
    </row>
    <row r="44">
      <c r="A44">
        <f>IF($C44="","","FDOC-"&amp;TEXT(ROW()-4,"000"))</f>
        <v/>
      </c>
      <c r="B44" s="4" t="n"/>
      <c r="C44" s="4" t="n"/>
      <c r="D44">
        <f>IF($C44="","",IF($B44="AIRCRAFT",IFERROR(IF(INDEX(Aircraft!$T:$T,MATCH($C44,Aircraft!$B:$B,0))="","OPERATOR NAME NOT SET",INDEX(Aircraft!$T:$T,MATCH($C44,Aircraft!$B:$B,0))),"AIRCRAFT NOT IN FLEET"),IFERROR(INDEX(Operators!$B:$B,MATCH($C44,Operators!$A:$A,0)),"OPERATOR NOT FOUND")))</f>
        <v/>
      </c>
      <c r="E44">
        <f>IF($C44="","",IF($B44="AIRCRAFT",IFERROR(INDEX(Aircraft!$C:$C,MATCH($C44,Aircraft!$B:$B,0)),"-"),"-"))</f>
        <v/>
      </c>
      <c r="F44" s="4" t="n"/>
      <c r="G44" s="4" t="n"/>
      <c r="H44" s="4" t="n"/>
      <c r="I44" s="114" t="n"/>
      <c r="J44" s="114" t="n"/>
      <c r="K44" s="114" t="n"/>
      <c r="L44" s="4" t="n"/>
      <c r="M44">
        <f>IF(OR($C44="",$L44=""),"",admin!$B$2&amp;"\FleetDocs\"&amp;$C44&amp;"\"&amp;$L44)</f>
        <v/>
      </c>
      <c r="N44" s="4" t="n"/>
      <c r="O44" s="50" t="n"/>
      <c r="P44" s="4" t="n"/>
      <c r="Q44" s="50" t="n"/>
      <c r="R44" s="43">
        <f>IF($J44="","",INT($J44-TODAY()))</f>
        <v/>
      </c>
      <c r="S44">
        <f>IF($C44="","",IF($J44="","NO EXPIRY RECORDED",IF($R44&lt;0,"EXPIRED",IF($R44&lt;=30,"EXPIRES WITHIN 30 DAYS",IF($R44&lt;=90,"EXPIRES WITHIN 90 DAYS",IF(AND($K44&lt;&gt;"",$K44&lt;TODAY()),"REVIEW OVERDUE","VALID"))))))</f>
        <v/>
      </c>
      <c r="T44" s="4" t="n"/>
    </row>
    <row r="45">
      <c r="A45">
        <f>IF($C45="","","FDOC-"&amp;TEXT(ROW()-4,"000"))</f>
        <v/>
      </c>
      <c r="B45" s="4" t="n"/>
      <c r="C45" s="4" t="n"/>
      <c r="D45">
        <f>IF($C45="","",IF($B45="AIRCRAFT",IFERROR(IF(INDEX(Aircraft!$T:$T,MATCH($C45,Aircraft!$B:$B,0))="","OPERATOR NAME NOT SET",INDEX(Aircraft!$T:$T,MATCH($C45,Aircraft!$B:$B,0))),"AIRCRAFT NOT IN FLEET"),IFERROR(INDEX(Operators!$B:$B,MATCH($C45,Operators!$A:$A,0)),"OPERATOR NOT FOUND")))</f>
        <v/>
      </c>
      <c r="E45">
        <f>IF($C45="","",IF($B45="AIRCRAFT",IFERROR(INDEX(Aircraft!$C:$C,MATCH($C45,Aircraft!$B:$B,0)),"-"),"-"))</f>
        <v/>
      </c>
      <c r="F45" s="4" t="n"/>
      <c r="G45" s="4" t="n"/>
      <c r="H45" s="4" t="n"/>
      <c r="I45" s="114" t="n"/>
      <c r="J45" s="114" t="n"/>
      <c r="K45" s="114" t="n"/>
      <c r="L45" s="4" t="n"/>
      <c r="M45">
        <f>IF(OR($C45="",$L45=""),"",admin!$B$2&amp;"\FleetDocs\"&amp;$C45&amp;"\"&amp;$L45)</f>
        <v/>
      </c>
      <c r="N45" s="4" t="n"/>
      <c r="O45" s="50" t="n"/>
      <c r="P45" s="4" t="n"/>
      <c r="Q45" s="50" t="n"/>
      <c r="R45" s="43">
        <f>IF($J45="","",INT($J45-TODAY()))</f>
        <v/>
      </c>
      <c r="S45">
        <f>IF($C45="","",IF($J45="","NO EXPIRY RECORDED",IF($R45&lt;0,"EXPIRED",IF($R45&lt;=30,"EXPIRES WITHIN 30 DAYS",IF($R45&lt;=90,"EXPIRES WITHIN 90 DAYS",IF(AND($K45&lt;&gt;"",$K45&lt;TODAY()),"REVIEW OVERDUE","VALID"))))))</f>
        <v/>
      </c>
      <c r="T45" s="4" t="n"/>
    </row>
    <row r="46">
      <c r="A46">
        <f>IF($C46="","","FDOC-"&amp;TEXT(ROW()-4,"000"))</f>
        <v/>
      </c>
      <c r="B46" s="4" t="n"/>
      <c r="C46" s="4" t="n"/>
      <c r="D46">
        <f>IF($C46="","",IF($B46="AIRCRAFT",IFERROR(IF(INDEX(Aircraft!$T:$T,MATCH($C46,Aircraft!$B:$B,0))="","OPERATOR NAME NOT SET",INDEX(Aircraft!$T:$T,MATCH($C46,Aircraft!$B:$B,0))),"AIRCRAFT NOT IN FLEET"),IFERROR(INDEX(Operators!$B:$B,MATCH($C46,Operators!$A:$A,0)),"OPERATOR NOT FOUND")))</f>
        <v/>
      </c>
      <c r="E46">
        <f>IF($C46="","",IF($B46="AIRCRAFT",IFERROR(INDEX(Aircraft!$C:$C,MATCH($C46,Aircraft!$B:$B,0)),"-"),"-"))</f>
        <v/>
      </c>
      <c r="F46" s="4" t="n"/>
      <c r="G46" s="4" t="n"/>
      <c r="H46" s="4" t="n"/>
      <c r="I46" s="114" t="n"/>
      <c r="J46" s="114" t="n"/>
      <c r="K46" s="114" t="n"/>
      <c r="L46" s="4" t="n"/>
      <c r="M46">
        <f>IF(OR($C46="",$L46=""),"",admin!$B$2&amp;"\FleetDocs\"&amp;$C46&amp;"\"&amp;$L46)</f>
        <v/>
      </c>
      <c r="N46" s="4" t="n"/>
      <c r="O46" s="50" t="n"/>
      <c r="P46" s="4" t="n"/>
      <c r="Q46" s="50" t="n"/>
      <c r="R46" s="43">
        <f>IF($J46="","",INT($J46-TODAY()))</f>
        <v/>
      </c>
      <c r="S46">
        <f>IF($C46="","",IF($J46="","NO EXPIRY RECORDED",IF($R46&lt;0,"EXPIRED",IF($R46&lt;=30,"EXPIRES WITHIN 30 DAYS",IF($R46&lt;=90,"EXPIRES WITHIN 90 DAYS",IF(AND($K46&lt;&gt;"",$K46&lt;TODAY()),"REVIEW OVERDUE","VALID"))))))</f>
        <v/>
      </c>
      <c r="T46" s="4" t="n"/>
    </row>
    <row r="47">
      <c r="A47">
        <f>IF($C47="","","FDOC-"&amp;TEXT(ROW()-4,"000"))</f>
        <v/>
      </c>
      <c r="B47" s="4" t="n"/>
      <c r="C47" s="4" t="n"/>
      <c r="D47">
        <f>IF($C47="","",IF($B47="AIRCRAFT",IFERROR(IF(INDEX(Aircraft!$T:$T,MATCH($C47,Aircraft!$B:$B,0))="","OPERATOR NAME NOT SET",INDEX(Aircraft!$T:$T,MATCH($C47,Aircraft!$B:$B,0))),"AIRCRAFT NOT IN FLEET"),IFERROR(INDEX(Operators!$B:$B,MATCH($C47,Operators!$A:$A,0)),"OPERATOR NOT FOUND")))</f>
        <v/>
      </c>
      <c r="E47">
        <f>IF($C47="","",IF($B47="AIRCRAFT",IFERROR(INDEX(Aircraft!$C:$C,MATCH($C47,Aircraft!$B:$B,0)),"-"),"-"))</f>
        <v/>
      </c>
      <c r="F47" s="4" t="n"/>
      <c r="G47" s="4" t="n"/>
      <c r="H47" s="4" t="n"/>
      <c r="I47" s="114" t="n"/>
      <c r="J47" s="114" t="n"/>
      <c r="K47" s="114" t="n"/>
      <c r="L47" s="4" t="n"/>
      <c r="M47">
        <f>IF(OR($C47="",$L47=""),"",admin!$B$2&amp;"\FleetDocs\"&amp;$C47&amp;"\"&amp;$L47)</f>
        <v/>
      </c>
      <c r="N47" s="4" t="n"/>
      <c r="O47" s="50" t="n"/>
      <c r="P47" s="4" t="n"/>
      <c r="Q47" s="50" t="n"/>
      <c r="R47" s="43">
        <f>IF($J47="","",INT($J47-TODAY()))</f>
        <v/>
      </c>
      <c r="S47">
        <f>IF($C47="","",IF($J47="","NO EXPIRY RECORDED",IF($R47&lt;0,"EXPIRED",IF($R47&lt;=30,"EXPIRES WITHIN 30 DAYS",IF($R47&lt;=90,"EXPIRES WITHIN 90 DAYS",IF(AND($K47&lt;&gt;"",$K47&lt;TODAY()),"REVIEW OVERDUE","VALID"))))))</f>
        <v/>
      </c>
      <c r="T47" s="4" t="n"/>
    </row>
    <row r="48">
      <c r="A48">
        <f>IF($C48="","","FDOC-"&amp;TEXT(ROW()-4,"000"))</f>
        <v/>
      </c>
      <c r="B48" s="4" t="n"/>
      <c r="C48" s="4" t="n"/>
      <c r="D48">
        <f>IF($C48="","",IF($B48="AIRCRAFT",IFERROR(IF(INDEX(Aircraft!$T:$T,MATCH($C48,Aircraft!$B:$B,0))="","OPERATOR NAME NOT SET",INDEX(Aircraft!$T:$T,MATCH($C48,Aircraft!$B:$B,0))),"AIRCRAFT NOT IN FLEET"),IFERROR(INDEX(Operators!$B:$B,MATCH($C48,Operators!$A:$A,0)),"OPERATOR NOT FOUND")))</f>
        <v/>
      </c>
      <c r="E48">
        <f>IF($C48="","",IF($B48="AIRCRAFT",IFERROR(INDEX(Aircraft!$C:$C,MATCH($C48,Aircraft!$B:$B,0)),"-"),"-"))</f>
        <v/>
      </c>
      <c r="F48" s="4" t="n"/>
      <c r="G48" s="4" t="n"/>
      <c r="H48" s="4" t="n"/>
      <c r="I48" s="114" t="n"/>
      <c r="J48" s="114" t="n"/>
      <c r="K48" s="114" t="n"/>
      <c r="L48" s="4" t="n"/>
      <c r="M48">
        <f>IF(OR($C48="",$L48=""),"",admin!$B$2&amp;"\FleetDocs\"&amp;$C48&amp;"\"&amp;$L48)</f>
        <v/>
      </c>
      <c r="N48" s="4" t="n"/>
      <c r="O48" s="50" t="n"/>
      <c r="P48" s="4" t="n"/>
      <c r="Q48" s="50" t="n"/>
      <c r="R48" s="43">
        <f>IF($J48="","",INT($J48-TODAY()))</f>
        <v/>
      </c>
      <c r="S48">
        <f>IF($C48="","",IF($J48="","NO EXPIRY RECORDED",IF($R48&lt;0,"EXPIRED",IF($R48&lt;=30,"EXPIRES WITHIN 30 DAYS",IF($R48&lt;=90,"EXPIRES WITHIN 90 DAYS",IF(AND($K48&lt;&gt;"",$K48&lt;TODAY()),"REVIEW OVERDUE","VALID"))))))</f>
        <v/>
      </c>
      <c r="T48" s="4" t="n"/>
    </row>
    <row r="49">
      <c r="A49">
        <f>IF($C49="","","FDOC-"&amp;TEXT(ROW()-4,"000"))</f>
        <v/>
      </c>
      <c r="B49" s="4" t="n"/>
      <c r="C49" s="4" t="n"/>
      <c r="D49">
        <f>IF($C49="","",IF($B49="AIRCRAFT",IFERROR(IF(INDEX(Aircraft!$T:$T,MATCH($C49,Aircraft!$B:$B,0))="","OPERATOR NAME NOT SET",INDEX(Aircraft!$T:$T,MATCH($C49,Aircraft!$B:$B,0))),"AIRCRAFT NOT IN FLEET"),IFERROR(INDEX(Operators!$B:$B,MATCH($C49,Operators!$A:$A,0)),"OPERATOR NOT FOUND")))</f>
        <v/>
      </c>
      <c r="E49">
        <f>IF($C49="","",IF($B49="AIRCRAFT",IFERROR(INDEX(Aircraft!$C:$C,MATCH($C49,Aircraft!$B:$B,0)),"-"),"-"))</f>
        <v/>
      </c>
      <c r="F49" s="4" t="n"/>
      <c r="G49" s="4" t="n"/>
      <c r="H49" s="4" t="n"/>
      <c r="I49" s="114" t="n"/>
      <c r="J49" s="114" t="n"/>
      <c r="K49" s="114" t="n"/>
      <c r="L49" s="4" t="n"/>
      <c r="M49">
        <f>IF(OR($C49="",$L49=""),"",admin!$B$2&amp;"\FleetDocs\"&amp;$C49&amp;"\"&amp;$L49)</f>
        <v/>
      </c>
      <c r="N49" s="4" t="n"/>
      <c r="O49" s="50" t="n"/>
      <c r="P49" s="4" t="n"/>
      <c r="Q49" s="50" t="n"/>
      <c r="R49" s="43">
        <f>IF($J49="","",INT($J49-TODAY()))</f>
        <v/>
      </c>
      <c r="S49">
        <f>IF($C49="","",IF($J49="","NO EXPIRY RECORDED",IF($R49&lt;0,"EXPIRED",IF($R49&lt;=30,"EXPIRES WITHIN 30 DAYS",IF($R49&lt;=90,"EXPIRES WITHIN 90 DAYS",IF(AND($K49&lt;&gt;"",$K49&lt;TODAY()),"REVIEW OVERDUE","VALID"))))))</f>
        <v/>
      </c>
      <c r="T49" s="4" t="n"/>
    </row>
    <row r="50">
      <c r="A50">
        <f>IF($C50="","","FDOC-"&amp;TEXT(ROW()-4,"000"))</f>
        <v/>
      </c>
      <c r="B50" s="4" t="n"/>
      <c r="C50" s="4" t="n"/>
      <c r="D50">
        <f>IF($C50="","",IF($B50="AIRCRAFT",IFERROR(IF(INDEX(Aircraft!$T:$T,MATCH($C50,Aircraft!$B:$B,0))="","OPERATOR NAME NOT SET",INDEX(Aircraft!$T:$T,MATCH($C50,Aircraft!$B:$B,0))),"AIRCRAFT NOT IN FLEET"),IFERROR(INDEX(Operators!$B:$B,MATCH($C50,Operators!$A:$A,0)),"OPERATOR NOT FOUND")))</f>
        <v/>
      </c>
      <c r="E50">
        <f>IF($C50="","",IF($B50="AIRCRAFT",IFERROR(INDEX(Aircraft!$C:$C,MATCH($C50,Aircraft!$B:$B,0)),"-"),"-"))</f>
        <v/>
      </c>
      <c r="F50" s="4" t="n"/>
      <c r="G50" s="4" t="n"/>
      <c r="H50" s="4" t="n"/>
      <c r="I50" s="114" t="n"/>
      <c r="J50" s="114" t="n"/>
      <c r="K50" s="114" t="n"/>
      <c r="L50" s="4" t="n"/>
      <c r="M50">
        <f>IF(OR($C50="",$L50=""),"",admin!$B$2&amp;"\FleetDocs\"&amp;$C50&amp;"\"&amp;$L50)</f>
        <v/>
      </c>
      <c r="N50" s="4" t="n"/>
      <c r="O50" s="50" t="n"/>
      <c r="P50" s="4" t="n"/>
      <c r="Q50" s="50" t="n"/>
      <c r="R50" s="43">
        <f>IF($J50="","",INT($J50-TODAY()))</f>
        <v/>
      </c>
      <c r="S50">
        <f>IF($C50="","",IF($J50="","NO EXPIRY RECORDED",IF($R50&lt;0,"EXPIRED",IF($R50&lt;=30,"EXPIRES WITHIN 30 DAYS",IF($R50&lt;=90,"EXPIRES WITHIN 90 DAYS",IF(AND($K50&lt;&gt;"",$K50&lt;TODAY()),"REVIEW OVERDUE","VALID"))))))</f>
        <v/>
      </c>
      <c r="T50" s="4" t="n"/>
    </row>
    <row r="51">
      <c r="A51">
        <f>IF($C51="","","FDOC-"&amp;TEXT(ROW()-4,"000"))</f>
        <v/>
      </c>
      <c r="B51" s="4" t="n"/>
      <c r="C51" s="4" t="n"/>
      <c r="D51">
        <f>IF($C51="","",IF($B51="AIRCRAFT",IFERROR(IF(INDEX(Aircraft!$T:$T,MATCH($C51,Aircraft!$B:$B,0))="","OPERATOR NAME NOT SET",INDEX(Aircraft!$T:$T,MATCH($C51,Aircraft!$B:$B,0))),"AIRCRAFT NOT IN FLEET"),IFERROR(INDEX(Operators!$B:$B,MATCH($C51,Operators!$A:$A,0)),"OPERATOR NOT FOUND")))</f>
        <v/>
      </c>
      <c r="E51">
        <f>IF($C51="","",IF($B51="AIRCRAFT",IFERROR(INDEX(Aircraft!$C:$C,MATCH($C51,Aircraft!$B:$B,0)),"-"),"-"))</f>
        <v/>
      </c>
      <c r="F51" s="4" t="n"/>
      <c r="G51" s="4" t="n"/>
      <c r="H51" s="4" t="n"/>
      <c r="I51" s="114" t="n"/>
      <c r="J51" s="114" t="n"/>
      <c r="K51" s="114" t="n"/>
      <c r="L51" s="4" t="n"/>
      <c r="M51">
        <f>IF(OR($C51="",$L51=""),"",admin!$B$2&amp;"\FleetDocs\"&amp;$C51&amp;"\"&amp;$L51)</f>
        <v/>
      </c>
      <c r="N51" s="4" t="n"/>
      <c r="O51" s="50" t="n"/>
      <c r="P51" s="4" t="n"/>
      <c r="Q51" s="50" t="n"/>
      <c r="R51" s="43">
        <f>IF($J51="","",INT($J51-TODAY()))</f>
        <v/>
      </c>
      <c r="S51">
        <f>IF($C51="","",IF($J51="","NO EXPIRY RECORDED",IF($R51&lt;0,"EXPIRED",IF($R51&lt;=30,"EXPIRES WITHIN 30 DAYS",IF($R51&lt;=90,"EXPIRES WITHIN 90 DAYS",IF(AND($K51&lt;&gt;"",$K51&lt;TODAY()),"REVIEW OVERDUE","VALID"))))))</f>
        <v/>
      </c>
      <c r="T51" s="4" t="n"/>
    </row>
    <row r="52">
      <c r="A52">
        <f>IF($C52="","","FDOC-"&amp;TEXT(ROW()-4,"000"))</f>
        <v/>
      </c>
      <c r="B52" s="4" t="n"/>
      <c r="C52" s="4" t="n"/>
      <c r="D52">
        <f>IF($C52="","",IF($B52="AIRCRAFT",IFERROR(IF(INDEX(Aircraft!$T:$T,MATCH($C52,Aircraft!$B:$B,0))="","OPERATOR NAME NOT SET",INDEX(Aircraft!$T:$T,MATCH($C52,Aircraft!$B:$B,0))),"AIRCRAFT NOT IN FLEET"),IFERROR(INDEX(Operators!$B:$B,MATCH($C52,Operators!$A:$A,0)),"OPERATOR NOT FOUND")))</f>
        <v/>
      </c>
      <c r="E52">
        <f>IF($C52="","",IF($B52="AIRCRAFT",IFERROR(INDEX(Aircraft!$C:$C,MATCH($C52,Aircraft!$B:$B,0)),"-"),"-"))</f>
        <v/>
      </c>
      <c r="F52" s="4" t="n"/>
      <c r="G52" s="4" t="n"/>
      <c r="H52" s="4" t="n"/>
      <c r="I52" s="114" t="n"/>
      <c r="J52" s="114" t="n"/>
      <c r="K52" s="114" t="n"/>
      <c r="L52" s="4" t="n"/>
      <c r="M52">
        <f>IF(OR($C52="",$L52=""),"",admin!$B$2&amp;"\FleetDocs\"&amp;$C52&amp;"\"&amp;$L52)</f>
        <v/>
      </c>
      <c r="N52" s="4" t="n"/>
      <c r="O52" s="50" t="n"/>
      <c r="P52" s="4" t="n"/>
      <c r="Q52" s="50" t="n"/>
      <c r="R52" s="43">
        <f>IF($J52="","",INT($J52-TODAY()))</f>
        <v/>
      </c>
      <c r="S52">
        <f>IF($C52="","",IF($J52="","NO EXPIRY RECORDED",IF($R52&lt;0,"EXPIRED",IF($R52&lt;=30,"EXPIRES WITHIN 30 DAYS",IF($R52&lt;=90,"EXPIRES WITHIN 90 DAYS",IF(AND($K52&lt;&gt;"",$K52&lt;TODAY()),"REVIEW OVERDUE","VALID"))))))</f>
        <v/>
      </c>
      <c r="T52" s="4" t="n"/>
    </row>
    <row r="53">
      <c r="A53">
        <f>IF($C53="","","FDOC-"&amp;TEXT(ROW()-4,"000"))</f>
        <v/>
      </c>
      <c r="B53" s="4" t="n"/>
      <c r="C53" s="4" t="n"/>
      <c r="D53">
        <f>IF($C53="","",IF($B53="AIRCRAFT",IFERROR(IF(INDEX(Aircraft!$T:$T,MATCH($C53,Aircraft!$B:$B,0))="","OPERATOR NAME NOT SET",INDEX(Aircraft!$T:$T,MATCH($C53,Aircraft!$B:$B,0))),"AIRCRAFT NOT IN FLEET"),IFERROR(INDEX(Operators!$B:$B,MATCH($C53,Operators!$A:$A,0)),"OPERATOR NOT FOUND")))</f>
        <v/>
      </c>
      <c r="E53">
        <f>IF($C53="","",IF($B53="AIRCRAFT",IFERROR(INDEX(Aircraft!$C:$C,MATCH($C53,Aircraft!$B:$B,0)),"-"),"-"))</f>
        <v/>
      </c>
      <c r="F53" s="4" t="n"/>
      <c r="G53" s="4" t="n"/>
      <c r="H53" s="4" t="n"/>
      <c r="I53" s="114" t="n"/>
      <c r="J53" s="114" t="n"/>
      <c r="K53" s="114" t="n"/>
      <c r="L53" s="4" t="n"/>
      <c r="M53">
        <f>IF(OR($C53="",$L53=""),"",admin!$B$2&amp;"\FleetDocs\"&amp;$C53&amp;"\"&amp;$L53)</f>
        <v/>
      </c>
      <c r="N53" s="4" t="n"/>
      <c r="O53" s="50" t="n"/>
      <c r="P53" s="4" t="n"/>
      <c r="Q53" s="50" t="n"/>
      <c r="R53" s="43">
        <f>IF($J53="","",INT($J53-TODAY()))</f>
        <v/>
      </c>
      <c r="S53">
        <f>IF($C53="","",IF($J53="","NO EXPIRY RECORDED",IF($R53&lt;0,"EXPIRED",IF($R53&lt;=30,"EXPIRES WITHIN 30 DAYS",IF($R53&lt;=90,"EXPIRES WITHIN 90 DAYS",IF(AND($K53&lt;&gt;"",$K53&lt;TODAY()),"REVIEW OVERDUE","VALID"))))))</f>
        <v/>
      </c>
      <c r="T53" s="4" t="n"/>
    </row>
    <row r="54">
      <c r="A54">
        <f>IF($C54="","","FDOC-"&amp;TEXT(ROW()-4,"000"))</f>
        <v/>
      </c>
      <c r="B54" s="4" t="n"/>
      <c r="C54" s="4" t="n"/>
      <c r="D54">
        <f>IF($C54="","",IF($B54="AIRCRAFT",IFERROR(IF(INDEX(Aircraft!$T:$T,MATCH($C54,Aircraft!$B:$B,0))="","OPERATOR NAME NOT SET",INDEX(Aircraft!$T:$T,MATCH($C54,Aircraft!$B:$B,0))),"AIRCRAFT NOT IN FLEET"),IFERROR(INDEX(Operators!$B:$B,MATCH($C54,Operators!$A:$A,0)),"OPERATOR NOT FOUND")))</f>
        <v/>
      </c>
      <c r="E54">
        <f>IF($C54="","",IF($B54="AIRCRAFT",IFERROR(INDEX(Aircraft!$C:$C,MATCH($C54,Aircraft!$B:$B,0)),"-"),"-"))</f>
        <v/>
      </c>
      <c r="F54" s="4" t="n"/>
      <c r="G54" s="4" t="n"/>
      <c r="H54" s="4" t="n"/>
      <c r="I54" s="114" t="n"/>
      <c r="J54" s="114" t="n"/>
      <c r="K54" s="114" t="n"/>
      <c r="L54" s="4" t="n"/>
      <c r="M54">
        <f>IF(OR($C54="",$L54=""),"",admin!$B$2&amp;"\FleetDocs\"&amp;$C54&amp;"\"&amp;$L54)</f>
        <v/>
      </c>
      <c r="N54" s="4" t="n"/>
      <c r="O54" s="50" t="n"/>
      <c r="P54" s="4" t="n"/>
      <c r="Q54" s="50" t="n"/>
      <c r="R54" s="43">
        <f>IF($J54="","",INT($J54-TODAY()))</f>
        <v/>
      </c>
      <c r="S54">
        <f>IF($C54="","",IF($J54="","NO EXPIRY RECORDED",IF($R54&lt;0,"EXPIRED",IF($R54&lt;=30,"EXPIRES WITHIN 30 DAYS",IF($R54&lt;=90,"EXPIRES WITHIN 90 DAYS",IF(AND($K54&lt;&gt;"",$K54&lt;TODAY()),"REVIEW OVERDUE","VALID"))))))</f>
        <v/>
      </c>
      <c r="T54" s="4" t="n"/>
    </row>
    <row r="55">
      <c r="A55">
        <f>IF($C55="","","FDOC-"&amp;TEXT(ROW()-4,"000"))</f>
        <v/>
      </c>
      <c r="B55" s="4" t="n"/>
      <c r="C55" s="4" t="n"/>
      <c r="D55">
        <f>IF($C55="","",IF($B55="AIRCRAFT",IFERROR(IF(INDEX(Aircraft!$T:$T,MATCH($C55,Aircraft!$B:$B,0))="","OPERATOR NAME NOT SET",INDEX(Aircraft!$T:$T,MATCH($C55,Aircraft!$B:$B,0))),"AIRCRAFT NOT IN FLEET"),IFERROR(INDEX(Operators!$B:$B,MATCH($C55,Operators!$A:$A,0)),"OPERATOR NOT FOUND")))</f>
        <v/>
      </c>
      <c r="E55">
        <f>IF($C55="","",IF($B55="AIRCRAFT",IFERROR(INDEX(Aircraft!$C:$C,MATCH($C55,Aircraft!$B:$B,0)),"-"),"-"))</f>
        <v/>
      </c>
      <c r="F55" s="4" t="n"/>
      <c r="G55" s="4" t="n"/>
      <c r="H55" s="4" t="n"/>
      <c r="I55" s="114" t="n"/>
      <c r="J55" s="114" t="n"/>
      <c r="K55" s="114" t="n"/>
      <c r="L55" s="4" t="n"/>
      <c r="M55">
        <f>IF(OR($C55="",$L55=""),"",admin!$B$2&amp;"\FleetDocs\"&amp;$C55&amp;"\"&amp;$L55)</f>
        <v/>
      </c>
      <c r="N55" s="4" t="n"/>
      <c r="O55" s="50" t="n"/>
      <c r="P55" s="4" t="n"/>
      <c r="Q55" s="50" t="n"/>
      <c r="R55" s="43">
        <f>IF($J55="","",INT($J55-TODAY()))</f>
        <v/>
      </c>
      <c r="S55">
        <f>IF($C55="","",IF($J55="","NO EXPIRY RECORDED",IF($R55&lt;0,"EXPIRED",IF($R55&lt;=30,"EXPIRES WITHIN 30 DAYS",IF($R55&lt;=90,"EXPIRES WITHIN 90 DAYS",IF(AND($K55&lt;&gt;"",$K55&lt;TODAY()),"REVIEW OVERDUE","VALID"))))))</f>
        <v/>
      </c>
      <c r="T55" s="4" t="n"/>
    </row>
    <row r="56">
      <c r="A56">
        <f>IF($C56="","","FDOC-"&amp;TEXT(ROW()-4,"000"))</f>
        <v/>
      </c>
      <c r="B56" s="4" t="n"/>
      <c r="C56" s="4" t="n"/>
      <c r="D56">
        <f>IF($C56="","",IF($B56="AIRCRAFT",IFERROR(IF(INDEX(Aircraft!$T:$T,MATCH($C56,Aircraft!$B:$B,0))="","OPERATOR NAME NOT SET",INDEX(Aircraft!$T:$T,MATCH($C56,Aircraft!$B:$B,0))),"AIRCRAFT NOT IN FLEET"),IFERROR(INDEX(Operators!$B:$B,MATCH($C56,Operators!$A:$A,0)),"OPERATOR NOT FOUND")))</f>
        <v/>
      </c>
      <c r="E56">
        <f>IF($C56="","",IF($B56="AIRCRAFT",IFERROR(INDEX(Aircraft!$C:$C,MATCH($C56,Aircraft!$B:$B,0)),"-"),"-"))</f>
        <v/>
      </c>
      <c r="F56" s="4" t="n"/>
      <c r="G56" s="4" t="n"/>
      <c r="H56" s="4" t="n"/>
      <c r="I56" s="114" t="n"/>
      <c r="J56" s="114" t="n"/>
      <c r="K56" s="114" t="n"/>
      <c r="L56" s="4" t="n"/>
      <c r="M56">
        <f>IF(OR($C56="",$L56=""),"",admin!$B$2&amp;"\FleetDocs\"&amp;$C56&amp;"\"&amp;$L56)</f>
        <v/>
      </c>
      <c r="N56" s="4" t="n"/>
      <c r="O56" s="50" t="n"/>
      <c r="P56" s="4" t="n"/>
      <c r="Q56" s="50" t="n"/>
      <c r="R56" s="43">
        <f>IF($J56="","",INT($J56-TODAY()))</f>
        <v/>
      </c>
      <c r="S56">
        <f>IF($C56="","",IF($J56="","NO EXPIRY RECORDED",IF($R56&lt;0,"EXPIRED",IF($R56&lt;=30,"EXPIRES WITHIN 30 DAYS",IF($R56&lt;=90,"EXPIRES WITHIN 90 DAYS",IF(AND($K56&lt;&gt;"",$K56&lt;TODAY()),"REVIEW OVERDUE","VALID"))))))</f>
        <v/>
      </c>
      <c r="T56" s="4" t="n"/>
    </row>
    <row r="57">
      <c r="A57">
        <f>IF($C57="","","FDOC-"&amp;TEXT(ROW()-4,"000"))</f>
        <v/>
      </c>
      <c r="B57" s="4" t="n"/>
      <c r="C57" s="4" t="n"/>
      <c r="D57">
        <f>IF($C57="","",IF($B57="AIRCRAFT",IFERROR(IF(INDEX(Aircraft!$T:$T,MATCH($C57,Aircraft!$B:$B,0))="","OPERATOR NAME NOT SET",INDEX(Aircraft!$T:$T,MATCH($C57,Aircraft!$B:$B,0))),"AIRCRAFT NOT IN FLEET"),IFERROR(INDEX(Operators!$B:$B,MATCH($C57,Operators!$A:$A,0)),"OPERATOR NOT FOUND")))</f>
        <v/>
      </c>
      <c r="E57">
        <f>IF($C57="","",IF($B57="AIRCRAFT",IFERROR(INDEX(Aircraft!$C:$C,MATCH($C57,Aircraft!$B:$B,0)),"-"),"-"))</f>
        <v/>
      </c>
      <c r="F57" s="4" t="n"/>
      <c r="G57" s="4" t="n"/>
      <c r="H57" s="4" t="n"/>
      <c r="I57" s="114" t="n"/>
      <c r="J57" s="114" t="n"/>
      <c r="K57" s="114" t="n"/>
      <c r="L57" s="4" t="n"/>
      <c r="M57">
        <f>IF(OR($C57="",$L57=""),"",admin!$B$2&amp;"\FleetDocs\"&amp;$C57&amp;"\"&amp;$L57)</f>
        <v/>
      </c>
      <c r="N57" s="4" t="n"/>
      <c r="O57" s="50" t="n"/>
      <c r="P57" s="4" t="n"/>
      <c r="Q57" s="50" t="n"/>
      <c r="R57" s="43">
        <f>IF($J57="","",INT($J57-TODAY()))</f>
        <v/>
      </c>
      <c r="S57">
        <f>IF($C57="","",IF($J57="","NO EXPIRY RECORDED",IF($R57&lt;0,"EXPIRED",IF($R57&lt;=30,"EXPIRES WITHIN 30 DAYS",IF($R57&lt;=90,"EXPIRES WITHIN 90 DAYS",IF(AND($K57&lt;&gt;"",$K57&lt;TODAY()),"REVIEW OVERDUE","VALID"))))))</f>
        <v/>
      </c>
      <c r="T57" s="4" t="n"/>
    </row>
    <row r="58">
      <c r="A58">
        <f>IF($C58="","","FDOC-"&amp;TEXT(ROW()-4,"000"))</f>
        <v/>
      </c>
      <c r="B58" s="4" t="n"/>
      <c r="C58" s="4" t="n"/>
      <c r="D58">
        <f>IF($C58="","",IF($B58="AIRCRAFT",IFERROR(IF(INDEX(Aircraft!$T:$T,MATCH($C58,Aircraft!$B:$B,0))="","OPERATOR NAME NOT SET",INDEX(Aircraft!$T:$T,MATCH($C58,Aircraft!$B:$B,0))),"AIRCRAFT NOT IN FLEET"),IFERROR(INDEX(Operators!$B:$B,MATCH($C58,Operators!$A:$A,0)),"OPERATOR NOT FOUND")))</f>
        <v/>
      </c>
      <c r="E58">
        <f>IF($C58="","",IF($B58="AIRCRAFT",IFERROR(INDEX(Aircraft!$C:$C,MATCH($C58,Aircraft!$B:$B,0)),"-"),"-"))</f>
        <v/>
      </c>
      <c r="F58" s="4" t="n"/>
      <c r="G58" s="4" t="n"/>
      <c r="H58" s="4" t="n"/>
      <c r="I58" s="114" t="n"/>
      <c r="J58" s="114" t="n"/>
      <c r="K58" s="114" t="n"/>
      <c r="L58" s="4" t="n"/>
      <c r="M58">
        <f>IF(OR($C58="",$L58=""),"",admin!$B$2&amp;"\FleetDocs\"&amp;$C58&amp;"\"&amp;$L58)</f>
        <v/>
      </c>
      <c r="N58" s="4" t="n"/>
      <c r="O58" s="50" t="n"/>
      <c r="P58" s="4" t="n"/>
      <c r="Q58" s="50" t="n"/>
      <c r="R58" s="43">
        <f>IF($J58="","",INT($J58-TODAY()))</f>
        <v/>
      </c>
      <c r="S58">
        <f>IF($C58="","",IF($J58="","NO EXPIRY RECORDED",IF($R58&lt;0,"EXPIRED",IF($R58&lt;=30,"EXPIRES WITHIN 30 DAYS",IF($R58&lt;=90,"EXPIRES WITHIN 90 DAYS",IF(AND($K58&lt;&gt;"",$K58&lt;TODAY()),"REVIEW OVERDUE","VALID"))))))</f>
        <v/>
      </c>
      <c r="T58" s="4" t="n"/>
    </row>
    <row r="59">
      <c r="A59">
        <f>IF($C59="","","FDOC-"&amp;TEXT(ROW()-4,"000"))</f>
        <v/>
      </c>
      <c r="B59" s="4" t="n"/>
      <c r="C59" s="4" t="n"/>
      <c r="D59">
        <f>IF($C59="","",IF($B59="AIRCRAFT",IFERROR(IF(INDEX(Aircraft!$T:$T,MATCH($C59,Aircraft!$B:$B,0))="","OPERATOR NAME NOT SET",INDEX(Aircraft!$T:$T,MATCH($C59,Aircraft!$B:$B,0))),"AIRCRAFT NOT IN FLEET"),IFERROR(INDEX(Operators!$B:$B,MATCH($C59,Operators!$A:$A,0)),"OPERATOR NOT FOUND")))</f>
        <v/>
      </c>
      <c r="E59">
        <f>IF($C59="","",IF($B59="AIRCRAFT",IFERROR(INDEX(Aircraft!$C:$C,MATCH($C59,Aircraft!$B:$B,0)),"-"),"-"))</f>
        <v/>
      </c>
      <c r="F59" s="4" t="n"/>
      <c r="G59" s="4" t="n"/>
      <c r="H59" s="4" t="n"/>
      <c r="I59" s="114" t="n"/>
      <c r="J59" s="114" t="n"/>
      <c r="K59" s="114" t="n"/>
      <c r="L59" s="4" t="n"/>
      <c r="M59">
        <f>IF(OR($C59="",$L59=""),"",admin!$B$2&amp;"\FleetDocs\"&amp;$C59&amp;"\"&amp;$L59)</f>
        <v/>
      </c>
      <c r="N59" s="4" t="n"/>
      <c r="O59" s="50" t="n"/>
      <c r="P59" s="4" t="n"/>
      <c r="Q59" s="50" t="n"/>
      <c r="R59" s="43">
        <f>IF($J59="","",INT($J59-TODAY()))</f>
        <v/>
      </c>
      <c r="S59">
        <f>IF($C59="","",IF($J59="","NO EXPIRY RECORDED",IF($R59&lt;0,"EXPIRED",IF($R59&lt;=30,"EXPIRES WITHIN 30 DAYS",IF($R59&lt;=90,"EXPIRES WITHIN 90 DAYS",IF(AND($K59&lt;&gt;"",$K59&lt;TODAY()),"REVIEW OVERDUE","VALID"))))))</f>
        <v/>
      </c>
      <c r="T59" s="4" t="n"/>
    </row>
    <row r="60">
      <c r="A60">
        <f>IF($C60="","","FDOC-"&amp;TEXT(ROW()-4,"000"))</f>
        <v/>
      </c>
      <c r="B60" s="4" t="n"/>
      <c r="C60" s="4" t="n"/>
      <c r="D60">
        <f>IF($C60="","",IF($B60="AIRCRAFT",IFERROR(IF(INDEX(Aircraft!$T:$T,MATCH($C60,Aircraft!$B:$B,0))="","OPERATOR NAME NOT SET",INDEX(Aircraft!$T:$T,MATCH($C60,Aircraft!$B:$B,0))),"AIRCRAFT NOT IN FLEET"),IFERROR(INDEX(Operators!$B:$B,MATCH($C60,Operators!$A:$A,0)),"OPERATOR NOT FOUND")))</f>
        <v/>
      </c>
      <c r="E60">
        <f>IF($C60="","",IF($B60="AIRCRAFT",IFERROR(INDEX(Aircraft!$C:$C,MATCH($C60,Aircraft!$B:$B,0)),"-"),"-"))</f>
        <v/>
      </c>
      <c r="F60" s="4" t="n"/>
      <c r="G60" s="4" t="n"/>
      <c r="H60" s="4" t="n"/>
      <c r="I60" s="114" t="n"/>
      <c r="J60" s="114" t="n"/>
      <c r="K60" s="114" t="n"/>
      <c r="L60" s="4" t="n"/>
      <c r="M60">
        <f>IF(OR($C60="",$L60=""),"",admin!$B$2&amp;"\FleetDocs\"&amp;$C60&amp;"\"&amp;$L60)</f>
        <v/>
      </c>
      <c r="N60" s="4" t="n"/>
      <c r="O60" s="50" t="n"/>
      <c r="P60" s="4" t="n"/>
      <c r="Q60" s="50" t="n"/>
      <c r="R60" s="43">
        <f>IF($J60="","",INT($J60-TODAY()))</f>
        <v/>
      </c>
      <c r="S60">
        <f>IF($C60="","",IF($J60="","NO EXPIRY RECORDED",IF($R60&lt;0,"EXPIRED",IF($R60&lt;=30,"EXPIRES WITHIN 30 DAYS",IF($R60&lt;=90,"EXPIRES WITHIN 90 DAYS",IF(AND($K60&lt;&gt;"",$K60&lt;TODAY()),"REVIEW OVERDUE","VALID"))))))</f>
        <v/>
      </c>
      <c r="T60" s="4" t="n"/>
    </row>
  </sheetData>
  <dataValidations count="2">
    <dataValidation sqref="B5:B60" showDropDown="0" showInputMessage="1" showErrorMessage="1" allowBlank="1" type="list">
      <formula1>"AIRCRAFT,OPERATOR"</formula1>
    </dataValidation>
    <dataValidation sqref="F5:F60" showDropDown="0" showInputMessage="1" showErrorMessage="1" allowBlank="1" type="list">
      <formula1>_xlfn._LONGTEXT("Certificate of Registration,Certificate of Airworthiness,Airworthiness Review Certificate (ARC),Insurance - Hull,Insurance - Liability,Insurance - War Risk,Noise Certificate,Weight and Balance Report,Radio Station Licence,Air Operator Certificate (AOC),Op","erations Specifications,MEL,RVSM Approval,RNP/PBN Approval,ETOPS Approval,Maintenance Programme,Other")</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K79"/>
  <sheetViews>
    <sheetView workbookViewId="0">
      <pane ySplit="1" topLeftCell="A2" activePane="bottomLeft" state="frozen"/>
      <selection pane="bottomLeft" activeCell="A1" sqref="A1"/>
    </sheetView>
  </sheetViews>
  <sheetFormatPr baseColWidth="8" defaultRowHeight="14.4"/>
  <cols>
    <col width="46.33203125" customWidth="1" min="1" max="1"/>
    <col width="79.6640625" customWidth="1" min="2" max="3"/>
    <col width="30.5546875" customWidth="1" min="4" max="11"/>
  </cols>
  <sheetData>
    <row r="1" ht="18" customHeight="1">
      <c r="A1" s="44" t="inlineStr">
        <is>
          <t>USERS, ROLES &amp; APPLICATION SETTINGS</t>
        </is>
      </c>
    </row>
    <row r="3">
      <c r="A3" s="25" t="inlineStr">
        <is>
          <t>1 · ROLE DEFINITIONS</t>
        </is>
      </c>
      <c r="B3" s="25" t="n"/>
      <c r="C3" s="25" t="n"/>
      <c r="D3" s="25" t="n"/>
      <c r="E3" s="25" t="n"/>
      <c r="F3" s="25" t="n"/>
      <c r="G3" s="25" t="n"/>
      <c r="H3" s="25" t="n"/>
    </row>
    <row r="4">
      <c r="A4" s="33" t="inlineStr">
        <is>
          <t>role</t>
        </is>
      </c>
      <c r="B4" s="33" t="inlineStr">
        <is>
          <t>view</t>
        </is>
      </c>
      <c r="C4" s="33" t="inlineStr">
        <is>
          <t>create</t>
        </is>
      </c>
      <c r="D4" s="33" t="inlineStr">
        <is>
          <t>modify</t>
        </is>
      </c>
      <c r="E4" s="33" t="inlineStr">
        <is>
          <t>delete</t>
        </is>
      </c>
      <c r="F4" s="33" t="inlineStr">
        <is>
          <t>suspend_trip</t>
        </is>
      </c>
      <c r="G4" s="33" t="inlineStr">
        <is>
          <t>manage_permits</t>
        </is>
      </c>
      <c r="H4" s="33" t="inlineStr">
        <is>
          <t>manage_reference_data</t>
        </is>
      </c>
    </row>
    <row r="5">
      <c r="A5" t="inlineStr">
        <is>
          <t>SUPER ADMIN</t>
        </is>
      </c>
      <c r="B5" t="inlineStr">
        <is>
          <t>ALL</t>
        </is>
      </c>
      <c r="C5" t="inlineStr">
        <is>
          <t>YES</t>
        </is>
      </c>
      <c r="D5" t="inlineStr">
        <is>
          <t>YES</t>
        </is>
      </c>
      <c r="E5" t="inlineStr">
        <is>
          <t>YES</t>
        </is>
      </c>
      <c r="F5" t="inlineStr">
        <is>
          <t>YES</t>
        </is>
      </c>
      <c r="G5" t="inlineStr">
        <is>
          <t>YES</t>
        </is>
      </c>
      <c r="H5" t="inlineStr">
        <is>
          <t>YES</t>
        </is>
      </c>
    </row>
    <row r="6">
      <c r="A6" t="inlineStr">
        <is>
          <t>OPERATIONS SPECIALIST</t>
        </is>
      </c>
      <c r="B6" t="inlineStr">
        <is>
          <t>ALL</t>
        </is>
      </c>
      <c r="C6" t="inlineStr">
        <is>
          <t>YES</t>
        </is>
      </c>
      <c r="D6" t="inlineStr">
        <is>
          <t>YES</t>
        </is>
      </c>
      <c r="E6" t="inlineStr">
        <is>
          <t>NO</t>
        </is>
      </c>
      <c r="F6" t="inlineStr">
        <is>
          <t>YES</t>
        </is>
      </c>
      <c r="G6" t="inlineStr">
        <is>
          <t>YES</t>
        </is>
      </c>
      <c r="H6" t="inlineStr">
        <is>
          <t>NO</t>
        </is>
      </c>
    </row>
    <row r="7">
      <c r="A7" t="inlineStr">
        <is>
          <t>AUDITOR</t>
        </is>
      </c>
      <c r="B7" t="inlineStr">
        <is>
          <t>ALL</t>
        </is>
      </c>
      <c r="C7" t="inlineStr">
        <is>
          <t>NO</t>
        </is>
      </c>
      <c r="D7" t="inlineStr">
        <is>
          <t>NO</t>
        </is>
      </c>
      <c r="E7" t="inlineStr">
        <is>
          <t>NO</t>
        </is>
      </c>
      <c r="F7" t="inlineStr">
        <is>
          <t>NO</t>
        </is>
      </c>
      <c r="G7" t="inlineStr">
        <is>
          <t>NO</t>
        </is>
      </c>
      <c r="H7" t="inlineStr">
        <is>
          <t>NO</t>
        </is>
      </c>
    </row>
    <row r="8">
      <c r="A8" t="inlineStr">
        <is>
          <t>CLIENT - MODIFY</t>
        </is>
      </c>
      <c r="B8" t="inlineStr">
        <is>
          <t>OWN TRIPS ONLY</t>
        </is>
      </c>
      <c r="C8" t="inlineStr">
        <is>
          <t>YES</t>
        </is>
      </c>
      <c r="D8" t="inlineStr">
        <is>
          <t>YES</t>
        </is>
      </c>
      <c r="E8" t="inlineStr">
        <is>
          <t>NO</t>
        </is>
      </c>
      <c r="F8" t="inlineStr">
        <is>
          <t>NO</t>
        </is>
      </c>
      <c r="G8" t="inlineStr">
        <is>
          <t>NO</t>
        </is>
      </c>
      <c r="H8" t="inlineStr">
        <is>
          <t>NO</t>
        </is>
      </c>
    </row>
    <row r="9">
      <c r="A9" t="inlineStr">
        <is>
          <t>CLIENT - VIEW ONLY</t>
        </is>
      </c>
      <c r="B9" t="inlineStr">
        <is>
          <t>OWN TRIPS ONLY</t>
        </is>
      </c>
      <c r="C9" t="inlineStr">
        <is>
          <t>NO</t>
        </is>
      </c>
      <c r="D9" t="inlineStr">
        <is>
          <t>NO</t>
        </is>
      </c>
      <c r="E9" t="inlineStr">
        <is>
          <t>NO</t>
        </is>
      </c>
      <c r="F9" t="inlineStr">
        <is>
          <t>NO</t>
        </is>
      </c>
      <c r="G9" t="inlineStr">
        <is>
          <t>NO</t>
        </is>
      </c>
      <c r="H9" t="inlineStr">
        <is>
          <t>NO</t>
        </is>
      </c>
    </row>
    <row r="10">
      <c r="A10" t="inlineStr">
        <is>
          <t>FINANCE</t>
        </is>
      </c>
      <c r="B10" t="inlineStr">
        <is>
          <t>ALL</t>
        </is>
      </c>
      <c r="C10" t="inlineStr">
        <is>
          <t>NO</t>
        </is>
      </c>
      <c r="D10" t="inlineStr">
        <is>
          <t>BILLING FIELDS ONLY</t>
        </is>
      </c>
      <c r="E10" t="inlineStr">
        <is>
          <t>NO</t>
        </is>
      </c>
      <c r="F10" t="inlineStr">
        <is>
          <t>NO</t>
        </is>
      </c>
      <c r="G10" t="inlineStr">
        <is>
          <t>NO</t>
        </is>
      </c>
      <c r="H10" t="inlineStr">
        <is>
          <t>NO</t>
        </is>
      </c>
    </row>
    <row r="13">
      <c r="A13" s="25" t="inlineStr">
        <is>
          <t>2 · USER REGISTER</t>
        </is>
      </c>
      <c r="B13" s="25" t="n"/>
      <c r="C13" s="25" t="n"/>
      <c r="D13" s="25" t="n"/>
      <c r="E13" s="25" t="n"/>
      <c r="F13" s="25" t="n"/>
      <c r="G13" s="25" t="n"/>
      <c r="H13" s="25" t="n"/>
      <c r="I13" s="25" t="n"/>
      <c r="J13" s="25" t="n"/>
      <c r="K13" s="25" t="n"/>
    </row>
    <row r="14">
      <c r="A14" s="33" t="inlineStr">
        <is>
          <t>user_id</t>
        </is>
      </c>
      <c r="B14" s="33" t="inlineStr">
        <is>
          <t>full_name</t>
        </is>
      </c>
      <c r="C14" s="33" t="inlineStr">
        <is>
          <t>email</t>
        </is>
      </c>
      <c r="D14" s="33" t="inlineStr">
        <is>
          <t>role</t>
        </is>
      </c>
      <c r="E14" s="33" t="inlineStr">
        <is>
          <t>operator_scope</t>
        </is>
      </c>
      <c r="F14" s="33" t="inlineStr">
        <is>
          <t>client_scope</t>
        </is>
      </c>
      <c r="G14" s="33" t="inlineStr">
        <is>
          <t>status</t>
        </is>
      </c>
      <c r="H14" s="33" t="inlineStr">
        <is>
          <t>mfa_enabled</t>
        </is>
      </c>
      <c r="I14" s="33" t="inlineStr">
        <is>
          <t>last_login_utc</t>
        </is>
      </c>
      <c r="J14" s="33" t="inlineStr">
        <is>
          <t>created_on</t>
        </is>
      </c>
      <c r="K14" s="33" t="inlineStr">
        <is>
          <t>notes</t>
        </is>
      </c>
    </row>
    <row r="15">
      <c r="B15" t="inlineStr">
        <is>
          <t>INTERNAL AUDIT</t>
        </is>
      </c>
      <c r="C15" t="inlineStr">
        <is>
          <t>audit@jetelio.com</t>
        </is>
      </c>
      <c r="D15" t="inlineStr">
        <is>
          <t>AUDITOR</t>
        </is>
      </c>
      <c r="E15" t="inlineStr">
        <is>
          <t>ALL</t>
        </is>
      </c>
      <c r="F15" t="inlineStr">
        <is>
          <t>ALL</t>
        </is>
      </c>
      <c r="G15" t="inlineStr">
        <is>
          <t>ACTIVE</t>
        </is>
      </c>
      <c r="H15" t="inlineStr">
        <is>
          <t>YES</t>
        </is>
      </c>
      <c r="I15" s="41" t="n"/>
      <c r="J15" s="118" t="n"/>
    </row>
    <row r="16">
      <c r="B16" t="inlineStr">
        <is>
          <t>Extra User One</t>
        </is>
      </c>
      <c r="C16" t="inlineStr">
        <is>
          <t>extra.user1@jetelio.com</t>
        </is>
      </c>
      <c r="D16" t="inlineStr">
        <is>
          <t>AUDITOR</t>
        </is>
      </c>
      <c r="E16" t="inlineStr">
        <is>
          <t>ALL</t>
        </is>
      </c>
      <c r="F16" t="inlineStr">
        <is>
          <t>ALL</t>
        </is>
      </c>
      <c r="G16" t="inlineStr">
        <is>
          <t>ACTIVE</t>
        </is>
      </c>
      <c r="H16" t="inlineStr">
        <is>
          <t>NO</t>
        </is>
      </c>
      <c r="I16" s="41" t="n"/>
      <c r="J16" s="118" t="n"/>
    </row>
    <row r="17">
      <c r="B17" t="inlineStr">
        <is>
          <t>Extra User Two</t>
        </is>
      </c>
      <c r="C17" t="inlineStr">
        <is>
          <t>extra.user2@jetelio.com</t>
        </is>
      </c>
      <c r="D17" t="inlineStr">
        <is>
          <t>AUDITOR</t>
        </is>
      </c>
      <c r="E17" t="inlineStr">
        <is>
          <t>ALL</t>
        </is>
      </c>
      <c r="F17" t="inlineStr">
        <is>
          <t>ALL</t>
        </is>
      </c>
      <c r="G17" t="inlineStr">
        <is>
          <t>ACTIVE</t>
        </is>
      </c>
      <c r="H17" t="inlineStr">
        <is>
          <t>NO</t>
        </is>
      </c>
      <c r="I17" s="41" t="n"/>
      <c r="J17" s="118" t="n"/>
    </row>
    <row r="18">
      <c r="B18" t="inlineStr">
        <is>
          <t>A DESK</t>
        </is>
      </c>
      <c r="C18" t="inlineStr">
        <is>
          <t>ops@jetelio.com</t>
        </is>
      </c>
      <c r="D18" t="inlineStr">
        <is>
          <t>SUPER ADMIN</t>
        </is>
      </c>
      <c r="E18" t="inlineStr">
        <is>
          <t>ALL</t>
        </is>
      </c>
      <c r="F18" t="inlineStr">
        <is>
          <t>ALL</t>
        </is>
      </c>
      <c r="G18" t="inlineStr">
        <is>
          <t>ACTIVE</t>
        </is>
      </c>
      <c r="H18" t="inlineStr">
        <is>
          <t>YES</t>
        </is>
      </c>
      <c r="I18" s="41" t="n"/>
      <c r="J18" s="118" t="n"/>
    </row>
    <row r="19">
      <c r="B19" t="inlineStr">
        <is>
          <t>OPS SPECIALIST</t>
        </is>
      </c>
      <c r="C19" t="inlineStr">
        <is>
          <t>specialist@jetelio.com</t>
        </is>
      </c>
      <c r="D19" t="inlineStr">
        <is>
          <t>OPERATIONS SPECIALIST</t>
        </is>
      </c>
      <c r="E19" t="inlineStr">
        <is>
          <t>ALL</t>
        </is>
      </c>
      <c r="F19" t="inlineStr">
        <is>
          <t>ALL</t>
        </is>
      </c>
      <c r="G19" t="inlineStr">
        <is>
          <t>ACTIVE</t>
        </is>
      </c>
      <c r="H19" t="inlineStr">
        <is>
          <t>YES</t>
        </is>
      </c>
    </row>
    <row r="20">
      <c r="I20" s="41" t="n"/>
    </row>
    <row r="21">
      <c r="I21" s="41" t="n"/>
    </row>
    <row r="22">
      <c r="A22" s="25" t="inlineStr">
        <is>
          <t>3 · BRANDING &amp; APPLICATION SETTINGS   (admin-editable, no code change)</t>
        </is>
      </c>
      <c r="B22" s="25" t="n"/>
      <c r="C22" s="25" t="n"/>
      <c r="I22" s="41" t="n"/>
    </row>
    <row r="23">
      <c r="A23" s="33" t="inlineStr">
        <is>
          <t>setting_key</t>
        </is>
      </c>
      <c r="B23" s="33" t="inlineStr">
        <is>
          <t>value</t>
        </is>
      </c>
      <c r="C23" s="33" t="inlineStr">
        <is>
          <t>notes</t>
        </is>
      </c>
      <c r="I23" s="41" t="n"/>
    </row>
    <row r="24">
      <c r="A24" t="inlineStr">
        <is>
          <t>app_name</t>
        </is>
      </c>
      <c r="B24" s="4" t="inlineStr">
        <is>
          <t>JTL Trip Support</t>
        </is>
      </c>
      <c r="C24" t="inlineStr">
        <is>
          <t>Shown in the header, page titles and outbound e-mail</t>
        </is>
      </c>
      <c r="I24" s="41" t="n"/>
    </row>
    <row r="25">
      <c r="A25" t="inlineStr">
        <is>
          <t>app_short_name</t>
        </is>
      </c>
      <c r="B25" s="4" t="inlineStr">
        <is>
          <t>JTL</t>
        </is>
      </c>
      <c r="C25" t="inlineStr">
        <is>
          <t>PWA short name on the home screen</t>
        </is>
      </c>
      <c r="I25" s="41" t="n"/>
    </row>
    <row r="26">
      <c r="A26" t="inlineStr">
        <is>
          <t>logo_light_path</t>
        </is>
      </c>
      <c r="B26" s="4" t="inlineStr">
        <is>
          <t>/branding/logo-light.svg</t>
        </is>
      </c>
      <c r="C26" t="inlineStr">
        <is>
          <t>Used on light backgrounds</t>
        </is>
      </c>
      <c r="I26" s="41" t="n"/>
    </row>
    <row r="27">
      <c r="A27" t="inlineStr">
        <is>
          <t>logo_dark_path</t>
        </is>
      </c>
      <c r="B27" s="4" t="inlineStr">
        <is>
          <t>/branding/logo-dark.svg</t>
        </is>
      </c>
      <c r="C27" t="inlineStr">
        <is>
          <t>Used on dark backgrounds</t>
        </is>
      </c>
      <c r="I27" s="41" t="n"/>
    </row>
    <row r="28">
      <c r="A28" t="inlineStr">
        <is>
          <t>favicon_path</t>
        </is>
      </c>
      <c r="B28" s="4" t="inlineStr">
        <is>
          <t>/branding/favicon.ico</t>
        </is>
      </c>
      <c r="C28" t="inlineStr">
        <is>
          <t>Also generates the PWA icon set</t>
        </is>
      </c>
      <c r="I28" s="41" t="n"/>
    </row>
    <row r="29">
      <c r="A29" t="inlineStr">
        <is>
          <t>pwa_icon_512_path</t>
        </is>
      </c>
      <c r="B29" s="4" t="inlineStr">
        <is>
          <t>/branding/icon-512.png</t>
        </is>
      </c>
      <c r="C29" t="inlineStr">
        <is>
          <t>Maskable icon for Android install</t>
        </is>
      </c>
      <c r="I29" s="41" t="n"/>
    </row>
    <row r="30">
      <c r="A30" t="inlineStr">
        <is>
          <t>theme_default</t>
        </is>
      </c>
      <c r="B30" s="4" t="inlineStr">
        <is>
          <t>DARK</t>
        </is>
      </c>
      <c r="C30" t="inlineStr">
        <is>
          <t>LIGHT or DARK; user preference overrides and is remembered</t>
        </is>
      </c>
      <c r="I30" s="41" t="n"/>
    </row>
    <row r="31">
      <c r="A31" t="inlineStr">
        <is>
          <t>colour_primary</t>
        </is>
      </c>
      <c r="B31" s="4" t="inlineStr">
        <is>
          <t>#C8102E</t>
        </is>
      </c>
      <c r="C31" t="inlineStr">
        <is>
          <t>Red — primary actions, alerts, active nav</t>
        </is>
      </c>
      <c r="I31" s="41" t="n"/>
    </row>
    <row r="32">
      <c r="A32" t="inlineStr">
        <is>
          <t>colour_secondary</t>
        </is>
      </c>
      <c r="B32" s="4" t="inlineStr">
        <is>
          <t>#D9D9D9</t>
        </is>
      </c>
      <c r="C32" t="inlineStr">
        <is>
          <t>Light grey — surfaces, borders, table banding</t>
        </is>
      </c>
      <c r="I32" s="41" t="n"/>
    </row>
    <row r="33">
      <c r="A33" t="inlineStr">
        <is>
          <t>colour_base</t>
        </is>
      </c>
      <c r="B33" s="4" t="inlineStr">
        <is>
          <t>#111111</t>
        </is>
      </c>
      <c r="C33" t="inlineStr">
        <is>
          <t>Black — text on light, background on dark</t>
        </is>
      </c>
      <c r="I33" s="41" t="n"/>
    </row>
    <row r="34">
      <c r="A34" t="inlineStr">
        <is>
          <t>colour_success</t>
        </is>
      </c>
      <c r="B34" s="4" t="inlineStr">
        <is>
          <t>#2E7D32</t>
        </is>
      </c>
      <c r="C34" t="inlineStr">
        <is>
          <t>Confirmations and VALID states</t>
        </is>
      </c>
      <c r="I34" s="41" t="n"/>
    </row>
    <row r="35">
      <c r="A35" t="inlineStr">
        <is>
          <t>colour_warning</t>
        </is>
      </c>
      <c r="B35" s="4" t="inlineStr">
        <is>
          <t>#ED7D31</t>
        </is>
      </c>
      <c r="C35" t="inlineStr">
        <is>
          <t>URGENT and expiring states</t>
        </is>
      </c>
      <c r="I35" s="41" t="n"/>
    </row>
    <row r="36">
      <c r="A36" t="inlineStr">
        <is>
          <t>colour_danger</t>
        </is>
      </c>
      <c r="B36" s="4" t="inlineStr">
        <is>
          <t>#C00000</t>
        </is>
      </c>
      <c r="C36" t="inlineStr">
        <is>
          <t>OVERDUE, EXPIRED and destructive actions</t>
        </is>
      </c>
      <c r="I36" s="41" t="n"/>
    </row>
    <row r="37">
      <c r="A37" t="inlineStr">
        <is>
          <t>font_family</t>
        </is>
      </c>
      <c r="B37" s="4" t="inlineStr">
        <is>
          <t>Inter, system-ui, sans-serif</t>
        </is>
      </c>
      <c r="C37" t="inlineStr">
        <is>
          <t>Interface font</t>
        </is>
      </c>
      <c r="I37" s="41" t="n"/>
    </row>
    <row r="38">
      <c r="A38" t="inlineStr">
        <is>
          <t>font_mono</t>
        </is>
      </c>
      <c r="B38" s="4" t="inlineStr">
        <is>
          <t>JetBrains Mono, Consolas, monospace</t>
        </is>
      </c>
      <c r="C38" t="inlineStr">
        <is>
          <t>Teletype message rendering</t>
        </is>
      </c>
      <c r="I38" s="41" t="n"/>
    </row>
    <row r="39">
      <c r="A39" t="inlineStr">
        <is>
          <t>seo_title</t>
        </is>
      </c>
      <c r="B39" s="4" t="inlineStr">
        <is>
          <t>JTL Trip Support — Overflight &amp; Landing Permits, Africa and the Middle East</t>
        </is>
      </c>
      <c r="C39" t="inlineStr">
        <is>
          <t>Default page title</t>
        </is>
      </c>
      <c r="I39" s="41" t="n"/>
    </row>
    <row r="40">
      <c r="A40" t="inlineStr">
        <is>
          <t>seo_description</t>
        </is>
      </c>
      <c r="B40" s="4" t="inlineStr">
        <is>
          <t>Plan a trip, see every overflight and landing permit, ground service and visa requirement, and file on time.</t>
        </is>
      </c>
      <c r="C40" t="inlineStr">
        <is>
          <t>Meta description</t>
        </is>
      </c>
      <c r="I40" s="41" t="n"/>
    </row>
    <row r="41">
      <c r="A41" t="inlineStr">
        <is>
          <t>seo_keywords</t>
        </is>
      </c>
      <c r="B41" s="4" t="inlineStr">
        <is>
          <t>overflight permit, landing permit, ground handling, flight support, Africa, Middle East</t>
        </is>
      </c>
      <c r="C41" t="inlineStr">
        <is>
          <t>Meta keywords</t>
        </is>
      </c>
      <c r="I41" s="41" t="n"/>
    </row>
    <row r="42">
      <c r="A42" t="inlineStr">
        <is>
          <t>seo_og_image</t>
        </is>
      </c>
      <c r="B42" s="4" t="inlineStr">
        <is>
          <t>/branding/og-image.png</t>
        </is>
      </c>
      <c r="C42" t="inlineStr">
        <is>
          <t>Open Graph / social preview</t>
        </is>
      </c>
    </row>
    <row r="43">
      <c r="A43" t="inlineStr">
        <is>
          <t>support_email</t>
        </is>
      </c>
      <c r="B43" s="4" t="inlineStr">
        <is>
          <t>ops@jetelio.com</t>
        </is>
      </c>
      <c r="C43" t="inlineStr">
        <is>
          <t>Reply-to on outbound messages</t>
        </is>
      </c>
    </row>
    <row r="44">
      <c r="A44" t="inlineStr">
        <is>
          <t>support_phone</t>
        </is>
      </c>
      <c r="B44" s="4" t="inlineStr">
        <is>
          <t>+1 208 134 6478</t>
        </is>
      </c>
      <c r="C44" t="inlineStr">
        <is>
          <t>Shown in the message footer</t>
        </is>
      </c>
    </row>
    <row r="45">
      <c r="A45" t="inlineStr">
        <is>
          <t>sita_address</t>
        </is>
      </c>
      <c r="B45" s="4" t="n"/>
      <c r="C45" t="inlineStr">
        <is>
          <t>Teletype address for outbound messages</t>
        </is>
      </c>
    </row>
    <row r="46">
      <c r="A46" t="inlineStr">
        <is>
          <t>aftn_address</t>
        </is>
      </c>
      <c r="B46" s="4" t="n"/>
      <c r="C46" t="inlineStr">
        <is>
          <t>Teletype address for outbound messages</t>
        </is>
      </c>
    </row>
    <row r="47">
      <c r="A47" t="inlineStr">
        <is>
          <t>default_permit_lead_hours</t>
        </is>
      </c>
      <c r="B47" s="4" t="n">
        <v>72</v>
      </c>
      <c r="C47" t="inlineStr">
        <is>
          <t>Fallback when a state has no lead time on file</t>
        </is>
      </c>
    </row>
    <row r="48">
      <c r="A48" t="inlineStr">
        <is>
          <t>default_ground_notice_hours</t>
        </is>
      </c>
      <c r="B48" s="4" t="n">
        <v>24</v>
      </c>
      <c r="C48" t="inlineStr">
        <is>
          <t>Fallback notice for ground services</t>
        </is>
      </c>
    </row>
    <row r="49">
      <c r="A49" t="inlineStr">
        <is>
          <t>default_block_speed_kts</t>
        </is>
      </c>
      <c r="B49" s="4" t="n">
        <v>470</v>
      </c>
      <c r="C49" t="inlineStr">
        <is>
          <t>Used when the aircraft type has no cruise figure</t>
        </is>
      </c>
    </row>
    <row r="50">
      <c r="A50" t="inlineStr">
        <is>
          <t>default_taxi_climb_hrs</t>
        </is>
      </c>
      <c r="B50" s="4" t="n">
        <v>0.4</v>
      </c>
      <c r="C50" t="inlineStr">
        <is>
          <t>Added to each leg</t>
        </is>
      </c>
    </row>
    <row r="51">
      <c r="A51" t="inlineStr">
        <is>
          <t>invoice_submission_days</t>
        </is>
      </c>
      <c r="B51" s="4" t="n">
        <v>7</v>
      </c>
      <c r="C51" t="inlineStr">
        <is>
          <t>Days after service for vendor invoices</t>
        </is>
      </c>
    </row>
    <row r="52">
      <c r="A52" t="inlineStr">
        <is>
          <t>permit_validity_buffer_hours</t>
        </is>
      </c>
      <c r="B52" s="4" t="n">
        <v>72</v>
      </c>
      <c r="C52" t="inlineStr">
        <is>
          <t>Requested validity window on permit applications</t>
        </is>
      </c>
    </row>
    <row r="53">
      <c r="A53" t="inlineStr">
        <is>
          <t>date_display_format</t>
        </is>
      </c>
      <c r="B53" s="4" t="inlineStr">
        <is>
          <t>dd-mmm-yyyy</t>
        </is>
      </c>
      <c r="C53" t="inlineStr">
        <is>
          <t>Removes day/month ambiguity</t>
        </is>
      </c>
    </row>
    <row r="54">
      <c r="A54" t="inlineStr">
        <is>
          <t>time_display</t>
        </is>
      </c>
      <c r="B54" s="4" t="inlineStr">
        <is>
          <t>UTC with Z suffix</t>
        </is>
      </c>
      <c r="C54" t="inlineStr">
        <is>
          <t>Local time shown only as a secondary value</t>
        </is>
      </c>
    </row>
    <row r="55">
      <c r="A55" t="inlineStr">
        <is>
          <t>session_timeout_minutes</t>
        </is>
      </c>
      <c r="B55" s="4" t="n">
        <v>30</v>
      </c>
      <c r="C55" t="inlineStr">
        <is>
          <t>Idle logout</t>
        </is>
      </c>
    </row>
    <row r="56">
      <c r="A56" t="inlineStr">
        <is>
          <t>mfa_required_for_roles</t>
        </is>
      </c>
      <c r="B56" s="4" t="inlineStr">
        <is>
          <t>SUPER ADMIN, OPERATIONS SPECIALIST, FINANCE</t>
        </is>
      </c>
      <c r="C56" t="inlineStr">
        <is>
          <t>Enforced at login</t>
        </is>
      </c>
    </row>
    <row r="57"/>
    <row r="58"/>
    <row r="59">
      <c r="A59" s="25" t="inlineStr">
        <is>
          <t>4 · TEAMS / SENDING DESKS   (imported from UAA_Coordinator_v5JTL)</t>
        </is>
      </c>
      <c r="B59" s="25" t="n"/>
      <c r="C59" s="25" t="n"/>
      <c r="D59" s="25" t="n"/>
    </row>
    <row r="60">
      <c r="A60" s="33" t="inlineStr">
        <is>
          <t>team</t>
        </is>
      </c>
      <c r="B60" s="33" t="inlineStr">
        <is>
          <t>rmp_email</t>
        </is>
      </c>
      <c r="C60" s="33" t="inlineStr">
        <is>
          <t>team_email</t>
        </is>
      </c>
      <c r="D60" s="33" t="inlineStr">
        <is>
          <t>common_email</t>
        </is>
      </c>
    </row>
    <row r="61">
      <c r="A61" t="inlineStr">
        <is>
          <t>Bravo</t>
        </is>
      </c>
      <c r="B61" t="inlineStr">
        <is>
          <t>bravoteam@univ-wea.com</t>
        </is>
      </c>
      <c r="C61" t="inlineStr">
        <is>
          <t>bravoteam@univ-wea.com</t>
        </is>
      </c>
      <c r="D61" t="inlineStr">
        <is>
          <t>bravoteam@common.univ-wea.com</t>
        </is>
      </c>
    </row>
    <row r="62">
      <c r="A62" t="inlineStr">
        <is>
          <t>Cavok</t>
        </is>
      </c>
      <c r="B62" t="inlineStr">
        <is>
          <t>cavok@univ-wea.com</t>
        </is>
      </c>
      <c r="C62" t="inlineStr">
        <is>
          <t>cavok@univ-wea.com</t>
        </is>
      </c>
      <c r="D62" t="inlineStr">
        <is>
          <t>cavok@common.univ-wea.com</t>
        </is>
      </c>
    </row>
    <row r="63">
      <c r="A63" t="inlineStr">
        <is>
          <t>CMB</t>
        </is>
      </c>
      <c r="B63" t="inlineStr">
        <is>
          <t>cmblue@univ-wea.com</t>
        </is>
      </c>
      <c r="C63" t="inlineStr">
        <is>
          <t>cmblue@univ-wea.com</t>
        </is>
      </c>
      <c r="D63" t="inlineStr">
        <is>
          <t>cmblue@common.univ-wea.com</t>
        </is>
      </c>
    </row>
    <row r="64">
      <c r="A64" t="inlineStr">
        <is>
          <t>CMO</t>
        </is>
      </c>
      <c r="B64" t="inlineStr">
        <is>
          <t>cmorange@univ-wea.com</t>
        </is>
      </c>
      <c r="C64" t="inlineStr">
        <is>
          <t>cmorange@univ-wea.com</t>
        </is>
      </c>
      <c r="D64" t="inlineStr">
        <is>
          <t>cmorange@common.univ-wea.com</t>
        </is>
      </c>
    </row>
    <row r="65">
      <c r="A65" t="inlineStr">
        <is>
          <t>Echo</t>
        </is>
      </c>
      <c r="B65" t="inlineStr">
        <is>
          <t>echo@univ-wea.com</t>
        </is>
      </c>
      <c r="C65" t="inlineStr">
        <is>
          <t>echo@univ-wea.com</t>
        </is>
      </c>
      <c r="D65" t="inlineStr">
        <is>
          <t>echo@common.univ-wea.com</t>
        </is>
      </c>
    </row>
    <row r="66">
      <c r="A66" t="inlineStr">
        <is>
          <t>EJM</t>
        </is>
      </c>
      <c r="B66" t="inlineStr">
        <is>
          <t>ejm@univ-wea.com</t>
        </is>
      </c>
      <c r="C66" t="inlineStr">
        <is>
          <t>ejm@univ-wea.com</t>
        </is>
      </c>
      <c r="D66" t="inlineStr">
        <is>
          <t>ejm@common.univ-wea.com</t>
        </is>
      </c>
    </row>
    <row r="67">
      <c r="A67" t="inlineStr">
        <is>
          <t>EOC</t>
        </is>
      </c>
      <c r="B67" t="inlineStr">
        <is>
          <t>eoc@univ-wea.com</t>
        </is>
      </c>
      <c r="C67" t="inlineStr">
        <is>
          <t>eoc@univ-wea.com</t>
        </is>
      </c>
      <c r="D67" t="inlineStr">
        <is>
          <t>eoc@common.univ-wea.com</t>
        </is>
      </c>
    </row>
    <row r="68">
      <c r="A68" t="inlineStr">
        <is>
          <t>Foxtrot</t>
        </is>
      </c>
      <c r="B68" t="inlineStr">
        <is>
          <t>foxtrotteam@univ-wea.com</t>
        </is>
      </c>
      <c r="C68" t="inlineStr">
        <is>
          <t>foxtrotteam@univ-wea.com</t>
        </is>
      </c>
      <c r="D68" t="inlineStr">
        <is>
          <t>foxtrotteam@common.univ-wea.com</t>
        </is>
      </c>
    </row>
    <row r="69">
      <c r="A69" t="inlineStr">
        <is>
          <t>JET EDGE</t>
        </is>
      </c>
      <c r="B69" t="inlineStr">
        <is>
          <t>jetedge@univ-wea.com</t>
        </is>
      </c>
      <c r="C69" t="inlineStr">
        <is>
          <t>jetedge@univ-wea.com</t>
        </is>
      </c>
      <c r="D69" t="inlineStr">
        <is>
          <t>jetedge@common.univ-wea.com</t>
        </is>
      </c>
    </row>
    <row r="70">
      <c r="A70" t="inlineStr">
        <is>
          <t>LRG</t>
        </is>
      </c>
      <c r="B70" t="inlineStr">
        <is>
          <t>tssbigjets@univ-wea.com</t>
        </is>
      </c>
      <c r="C70" t="inlineStr">
        <is>
          <t>tssbigjets@univ-wea.com</t>
        </is>
      </c>
      <c r="D70" t="inlineStr">
        <is>
          <t>tssbigjets@common.univ-wea.com</t>
        </is>
      </c>
    </row>
    <row r="71">
      <c r="A71" t="inlineStr">
        <is>
          <t>Solairus</t>
        </is>
      </c>
      <c r="B71" t="inlineStr">
        <is>
          <t>solairusuv@univ-wea.com</t>
        </is>
      </c>
      <c r="C71" t="inlineStr">
        <is>
          <t>solairusuv@univ-wea.com</t>
        </is>
      </c>
      <c r="D71" t="inlineStr">
        <is>
          <t>solairusuv@common.univ-wea.com</t>
        </is>
      </c>
    </row>
    <row r="72">
      <c r="A72" t="inlineStr">
        <is>
          <t>Tango</t>
        </is>
      </c>
      <c r="B72" t="inlineStr">
        <is>
          <t>tangoteam@univ-wea.com</t>
        </is>
      </c>
      <c r="C72" t="inlineStr">
        <is>
          <t>tangoteam@univ-wea.com</t>
        </is>
      </c>
      <c r="D72" t="inlineStr">
        <is>
          <t>tangoteam@common.univ-wea.com</t>
        </is>
      </c>
    </row>
    <row r="73">
      <c r="A73" t="inlineStr">
        <is>
          <t>TEU</t>
        </is>
      </c>
      <c r="B73" t="inlineStr">
        <is>
          <t>teameurope@univ-wea.com</t>
        </is>
      </c>
      <c r="C73" t="inlineStr">
        <is>
          <t>teameurope@univ-wea.com</t>
        </is>
      </c>
      <c r="D73" t="inlineStr">
        <is>
          <t>teameurope@common.univ-wea.com</t>
        </is>
      </c>
    </row>
    <row r="74">
      <c r="A74" t="inlineStr">
        <is>
          <t>TSS Asia</t>
        </is>
      </c>
      <c r="B74" t="inlineStr">
        <is>
          <t>tssasia@univ-wea.com</t>
        </is>
      </c>
      <c r="C74" t="inlineStr">
        <is>
          <t>tssasia@univ-wea.com</t>
        </is>
      </c>
      <c r="D74" t="inlineStr">
        <is>
          <t>tssasia@common.univ-wea.com</t>
        </is>
      </c>
    </row>
    <row r="75">
      <c r="A75" t="inlineStr">
        <is>
          <t>Victor</t>
        </is>
      </c>
      <c r="B75" t="inlineStr">
        <is>
          <t>victorteam@univ-wea.com</t>
        </is>
      </c>
      <c r="C75" t="inlineStr">
        <is>
          <t>victorteam@univ-wea.com</t>
        </is>
      </c>
      <c r="D75" t="inlineStr">
        <is>
          <t>victorteam@common.univ-wea.com</t>
        </is>
      </c>
    </row>
    <row r="76">
      <c r="A76" t="inlineStr">
        <is>
          <t>X-RAY</t>
        </is>
      </c>
      <c r="B76" t="inlineStr">
        <is>
          <t>xrayteam@univ-wea.com</t>
        </is>
      </c>
      <c r="C76" t="inlineStr">
        <is>
          <t>xrayteam@univ-wea.com</t>
        </is>
      </c>
      <c r="D76" t="inlineStr">
        <is>
          <t>xrayteam@common.univ-wea.com</t>
        </is>
      </c>
    </row>
    <row r="77">
      <c r="A77" t="inlineStr">
        <is>
          <t>Zulu</t>
        </is>
      </c>
      <c r="B77" t="inlineStr">
        <is>
          <t>zuluteam@univ-wea.com</t>
        </is>
      </c>
      <c r="C77" t="inlineStr">
        <is>
          <t>zuluteam@univ-wea.com</t>
        </is>
      </c>
      <c r="D77" t="inlineStr">
        <is>
          <t>zuluteam@common.univ-wea.com</t>
        </is>
      </c>
    </row>
    <row r="78">
      <c r="A78" t="inlineStr">
        <is>
          <t>CLY</t>
        </is>
      </c>
      <c r="B78" t="inlineStr">
        <is>
          <t>uvclaylacy@univ-wea.com</t>
        </is>
      </c>
      <c r="C78" t="inlineStr">
        <is>
          <t>uvclaylacy@univ-wea.com</t>
        </is>
      </c>
      <c r="D78" t="inlineStr">
        <is>
          <t>uvclaylacy@common.univ-wea.com</t>
        </is>
      </c>
    </row>
    <row r="79">
      <c r="A79" t="inlineStr">
        <is>
          <t>ORION</t>
        </is>
      </c>
      <c r="B79" t="inlineStr">
        <is>
          <t>orionteam@univ-wea.com</t>
        </is>
      </c>
      <c r="C79" t="inlineStr">
        <is>
          <t>orionteam@univ-wea.com</t>
        </is>
      </c>
      <c r="D79" t="inlineStr">
        <is>
          <t>orionteam@common.univ-wea.com</t>
        </is>
      </c>
    </row>
  </sheetData>
  <dataValidations count="2">
    <dataValidation sqref="D15:D40" showDropDown="0" showInputMessage="1" showErrorMessage="1" allowBlank="1" type="list">
      <formula1>"SUPER ADMIN,OPERATIONS SPECIALIST,AUDITOR,CLIENT - MODIFY,CLIENT - VIEW ONLY,FINANCE"</formula1>
    </dataValidation>
    <dataValidation sqref="G15:G40" showDropDown="0" showInputMessage="1" showErrorMessage="1" allowBlank="1" type="list">
      <formula1>"ACTIVE,SUSPENDED,INVITED,DISABLED"</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H250"/>
  <sheetViews>
    <sheetView workbookViewId="0">
      <pane ySplit="3" topLeftCell="A4" activePane="bottomLeft" state="frozen"/>
      <selection pane="bottomLeft" activeCell="A1" sqref="A1"/>
    </sheetView>
  </sheetViews>
  <sheetFormatPr baseColWidth="8" defaultRowHeight="14.4"/>
  <cols>
    <col width="34.21875" customWidth="1" min="1" max="3"/>
    <col width="42.5546875" customWidth="1" min="4" max="4"/>
    <col width="53.6640625" customWidth="1" min="5" max="5"/>
    <col width="34.21875" customWidth="1" min="6" max="8"/>
  </cols>
  <sheetData>
    <row r="1" ht="18" customHeight="1">
      <c r="A1" s="44" t="inlineStr">
        <is>
          <t>GROUND HANDLER / AGENT COVERAGE BY STATION — imported from UAA_Coordinator_v5JTL</t>
        </is>
      </c>
    </row>
    <row r="2">
      <c r="A2" s="32" t="inlineStr">
        <is>
          <t>One row per station and handler with the primary contact. 'other_contacts' counts additional named contacts held in the source file for the same station and handler.</t>
        </is>
      </c>
    </row>
    <row r="3">
      <c r="A3" s="25" t="inlineStr">
        <is>
          <t>country</t>
        </is>
      </c>
      <c r="B3" s="25" t="inlineStr">
        <is>
          <t>handler</t>
        </is>
      </c>
      <c r="C3" s="25" t="inlineStr">
        <is>
          <t>icao</t>
        </is>
      </c>
      <c r="D3" s="25" t="inlineStr">
        <is>
          <t>primary_contact</t>
        </is>
      </c>
      <c r="E3" s="25" t="inlineStr">
        <is>
          <t>email</t>
        </is>
      </c>
      <c r="F3" s="25" t="inlineStr">
        <is>
          <t>phone</t>
        </is>
      </c>
      <c r="G3" s="25" t="inlineStr">
        <is>
          <t>other_contacts</t>
        </is>
      </c>
      <c r="H3" s="25" t="inlineStr">
        <is>
          <t>preference_rank</t>
        </is>
      </c>
    </row>
    <row r="4">
      <c r="A4" t="inlineStr">
        <is>
          <t>Algeria</t>
        </is>
      </c>
      <c r="B4" t="inlineStr">
        <is>
          <t>GAS</t>
        </is>
      </c>
      <c r="C4" t="inlineStr">
        <is>
          <t>DAAG</t>
        </is>
      </c>
      <c r="D4" t="inlineStr">
        <is>
          <t>Smail Yahia</t>
        </is>
      </c>
      <c r="E4" t="inlineStr">
        <is>
          <t>algeria@gasaviation.com</t>
        </is>
      </c>
      <c r="F4" s="20" t="inlineStr">
        <is>
          <t>+213 770 63 27 09</t>
        </is>
      </c>
      <c r="G4" t="n">
        <v>0</v>
      </c>
    </row>
    <row r="5">
      <c r="A5" t="inlineStr">
        <is>
          <t>Algeria</t>
        </is>
      </c>
      <c r="B5" t="inlineStr">
        <is>
          <t>Swissport</t>
        </is>
      </c>
      <c r="C5" t="inlineStr">
        <is>
          <t>DAAG</t>
        </is>
      </c>
      <c r="D5" t="inlineStr">
        <is>
          <t>Guemmar Yacine</t>
        </is>
      </c>
      <c r="E5" t="inlineStr">
        <is>
          <t>ALG.SEA@swissportexecutive.com</t>
        </is>
      </c>
      <c r="F5" s="20" t="inlineStr">
        <is>
          <t>+213770632721</t>
        </is>
      </c>
      <c r="G5" t="n">
        <v>0</v>
      </c>
    </row>
    <row r="6">
      <c r="A6" t="inlineStr">
        <is>
          <t>Algeria</t>
        </is>
      </c>
      <c r="B6" t="inlineStr">
        <is>
          <t>Swissport</t>
        </is>
      </c>
      <c r="C6" t="inlineStr">
        <is>
          <t>DAOO</t>
        </is>
      </c>
      <c r="D6" t="inlineStr">
        <is>
          <t>Tarik</t>
        </is>
      </c>
      <c r="E6" t="inlineStr">
        <is>
          <t>ALG.SEA@swissportexecutive.com</t>
        </is>
      </c>
      <c r="F6" s="20" t="inlineStr">
        <is>
          <t>+213770633101</t>
        </is>
      </c>
      <c r="G6" t="n">
        <v>0</v>
      </c>
    </row>
    <row r="7">
      <c r="A7" t="inlineStr">
        <is>
          <t>Benin</t>
        </is>
      </c>
      <c r="B7" t="inlineStr">
        <is>
          <t>GAS</t>
        </is>
      </c>
      <c r="C7" t="inlineStr">
        <is>
          <t>DBBB</t>
        </is>
      </c>
      <c r="D7" t="inlineStr">
        <is>
          <t>Thomas Laourou</t>
        </is>
      </c>
      <c r="E7" t="inlineStr">
        <is>
          <t>laourouthomas@gmail.com</t>
        </is>
      </c>
      <c r="F7" s="20" t="inlineStr">
        <is>
          <t>+22995450104</t>
        </is>
      </c>
      <c r="G7" t="n">
        <v>0</v>
      </c>
    </row>
    <row r="8">
      <c r="A8" t="inlineStr">
        <is>
          <t>Burkina Faso</t>
        </is>
      </c>
      <c r="B8" t="inlineStr">
        <is>
          <t>AFSB</t>
        </is>
      </c>
      <c r="C8" t="inlineStr">
        <is>
          <t>DFFD</t>
        </is>
      </c>
      <c r="D8" t="inlineStr">
        <is>
          <t>Jean Claude</t>
        </is>
      </c>
      <c r="E8" t="inlineStr">
        <is>
          <t>claudebelembaogo2@gmail.com</t>
        </is>
      </c>
      <c r="F8" s="20" t="inlineStr">
        <is>
          <t>+226 71 68 75 99</t>
        </is>
      </c>
      <c r="G8" t="n">
        <v>0</v>
      </c>
    </row>
    <row r="9">
      <c r="A9" t="inlineStr">
        <is>
          <t>Burkina Faso</t>
        </is>
      </c>
      <c r="B9" t="inlineStr">
        <is>
          <t>Av Flt Support</t>
        </is>
      </c>
      <c r="C9" t="inlineStr">
        <is>
          <t>DFFD</t>
        </is>
      </c>
      <c r="D9" t="inlineStr">
        <is>
          <t>Mariam Zabda</t>
        </is>
      </c>
      <c r="E9" t="inlineStr">
        <is>
          <t>z.mariam@aviationflightsupport.net</t>
        </is>
      </c>
      <c r="F9" s="20" t="inlineStr">
        <is>
          <t>+226-71-001-221</t>
        </is>
      </c>
      <c r="G9" t="n">
        <v>0</v>
      </c>
    </row>
    <row r="10">
      <c r="A10" t="inlineStr">
        <is>
          <t>Ghana</t>
        </is>
      </c>
      <c r="B10" t="inlineStr">
        <is>
          <t>Aerogem</t>
        </is>
      </c>
      <c r="C10" t="inlineStr">
        <is>
          <t>DGAA</t>
        </is>
      </c>
      <c r="D10" t="inlineStr">
        <is>
          <t>Margaret Agblevor</t>
        </is>
      </c>
      <c r="E10" t="inlineStr">
        <is>
          <t>ops@aerogemaviation.com</t>
        </is>
      </c>
      <c r="F10" s="20" t="inlineStr">
        <is>
          <t>+233-543334430</t>
        </is>
      </c>
      <c r="G10" t="n">
        <v>0</v>
      </c>
    </row>
    <row r="11">
      <c r="A11" t="inlineStr">
        <is>
          <t>Ghana</t>
        </is>
      </c>
      <c r="B11" t="inlineStr">
        <is>
          <t>Aviance</t>
        </is>
      </c>
      <c r="C11" t="inlineStr">
        <is>
          <t>DGAA</t>
        </is>
      </c>
      <c r="D11" t="inlineStr">
        <is>
          <t>Eric</t>
        </is>
      </c>
      <c r="E11" t="inlineStr">
        <is>
          <t>odm@avianceghana.com</t>
        </is>
      </c>
      <c r="F11" s="20" t="inlineStr">
        <is>
          <t>+233544334077</t>
        </is>
      </c>
      <c r="G11" t="n">
        <v>1</v>
      </c>
    </row>
    <row r="12">
      <c r="A12" t="inlineStr">
        <is>
          <t>Ghana</t>
        </is>
      </c>
      <c r="B12" t="inlineStr">
        <is>
          <t>Aviance Ghana</t>
        </is>
      </c>
      <c r="C12" t="inlineStr">
        <is>
          <t>DGAA</t>
        </is>
      </c>
      <c r="D12" t="inlineStr">
        <is>
          <t>Emma Ellis Godfred Foli &amp; Bernard Quartey</t>
        </is>
      </c>
      <c r="E12" t="inlineStr">
        <is>
          <t>odm@avianceghana.com</t>
        </is>
      </c>
      <c r="F12" s="20" t="inlineStr">
        <is>
          <t>+233552769616</t>
        </is>
      </c>
      <c r="G12" t="n">
        <v>0</v>
      </c>
    </row>
    <row r="13">
      <c r="A13" t="inlineStr">
        <is>
          <t>Ghana</t>
        </is>
      </c>
      <c r="B13" t="inlineStr">
        <is>
          <t>GAS</t>
        </is>
      </c>
      <c r="C13" t="inlineStr">
        <is>
          <t>DGAA</t>
        </is>
      </c>
      <c r="D13" t="inlineStr">
        <is>
          <t>Ahmed B Adam</t>
        </is>
      </c>
      <c r="E13" t="inlineStr">
        <is>
          <t>adam@gasaviation.com</t>
        </is>
      </c>
      <c r="F13" s="20" t="inlineStr">
        <is>
          <t>+233 59 147 1084</t>
        </is>
      </c>
      <c r="G13" t="n">
        <v>1</v>
      </c>
    </row>
    <row r="14">
      <c r="A14" t="inlineStr">
        <is>
          <t>Ghana</t>
        </is>
      </c>
      <c r="B14" t="inlineStr">
        <is>
          <t>Aviance Ghana</t>
        </is>
      </c>
      <c r="C14" t="inlineStr">
        <is>
          <t>DGSI</t>
        </is>
      </c>
      <c r="D14" t="inlineStr">
        <is>
          <t>Emma Ellis Godfred Foli &amp; Bernard Quartey</t>
        </is>
      </c>
      <c r="E14" t="inlineStr">
        <is>
          <t>odm@avianceghana.com</t>
        </is>
      </c>
      <c r="F14" s="20" t="inlineStr">
        <is>
          <t>+233552769616</t>
        </is>
      </c>
      <c r="G14" t="n">
        <v>0</v>
      </c>
    </row>
    <row r="15">
      <c r="A15" t="inlineStr">
        <is>
          <t>Ghana</t>
        </is>
      </c>
      <c r="B15" t="inlineStr">
        <is>
          <t>Military Officer</t>
        </is>
      </c>
      <c r="C15" t="inlineStr">
        <is>
          <t>DGTK</t>
        </is>
      </c>
      <c r="D15" t="inlineStr">
        <is>
          <t>Nana Kwasi Nyarko</t>
        </is>
      </c>
      <c r="E15" t="inlineStr">
        <is>
          <t>ghana@gasaviation.com</t>
        </is>
      </c>
      <c r="F15" s="20" t="inlineStr">
        <is>
          <t>+233242247705</t>
        </is>
      </c>
      <c r="G15" t="n">
        <v>0</v>
      </c>
    </row>
    <row r="16">
      <c r="A16" t="inlineStr">
        <is>
          <t>Cote D'Ivoire</t>
        </is>
      </c>
      <c r="B16" t="inlineStr">
        <is>
          <t>GAS</t>
        </is>
      </c>
      <c r="C16" t="inlineStr">
        <is>
          <t>DIAP</t>
        </is>
      </c>
      <c r="D16" t="inlineStr">
        <is>
          <t>Aminata Kone</t>
        </is>
      </c>
      <c r="E16" t="inlineStr">
        <is>
          <t>akone@nas.aero</t>
        </is>
      </c>
      <c r="F16" s="20" t="inlineStr">
        <is>
          <t>+225 05 44 066 060</t>
        </is>
      </c>
      <c r="G16" t="n">
        <v>0</v>
      </c>
    </row>
    <row r="17">
      <c r="A17" t="inlineStr">
        <is>
          <t>Cote D'Ivoire</t>
        </is>
      </c>
      <c r="B17" t="inlineStr">
        <is>
          <t>GAS</t>
        </is>
      </c>
      <c r="C17" t="inlineStr">
        <is>
          <t>DIYO</t>
        </is>
      </c>
      <c r="D17" t="inlineStr">
        <is>
          <t>Aminata Kone</t>
        </is>
      </c>
      <c r="E17" t="inlineStr">
        <is>
          <t>akone@nas.aero</t>
        </is>
      </c>
      <c r="F17" s="20" t="inlineStr">
        <is>
          <t>225 05 44 066 060</t>
        </is>
      </c>
      <c r="G17" t="n">
        <v>0</v>
      </c>
    </row>
    <row r="18">
      <c r="A18" t="inlineStr">
        <is>
          <t>Nigeria</t>
        </is>
      </c>
      <c r="B18" t="inlineStr">
        <is>
          <t>ExecuJet</t>
        </is>
      </c>
      <c r="C18" t="inlineStr">
        <is>
          <t>DNAA</t>
        </is>
      </c>
      <c r="D18" t="inlineStr">
        <is>
          <t>Felix Ukueberuwa</t>
        </is>
      </c>
      <c r="E18" t="inlineStr">
        <is>
          <t>felixsalt77@gmail.com</t>
        </is>
      </c>
      <c r="F18" s="20" t="inlineStr">
        <is>
          <t>+234 7060404499</t>
        </is>
      </c>
      <c r="G18" t="n">
        <v>0</v>
      </c>
    </row>
    <row r="19">
      <c r="A19" t="inlineStr">
        <is>
          <t>Nigeria</t>
        </is>
      </c>
      <c r="B19" t="inlineStr">
        <is>
          <t>Landover</t>
        </is>
      </c>
      <c r="C19" t="inlineStr">
        <is>
          <t>DNAA</t>
        </is>
      </c>
      <c r="D19" t="inlineStr">
        <is>
          <t>Solomon Zamani</t>
        </is>
      </c>
      <c r="E19" t="inlineStr">
        <is>
          <t>aviation@landover.aero</t>
        </is>
      </c>
      <c r="F19" s="20" t="inlineStr">
        <is>
          <t>+23470 3822 5499</t>
        </is>
      </c>
      <c r="G19" t="n">
        <v>0</v>
      </c>
    </row>
    <row r="20">
      <c r="A20" t="inlineStr">
        <is>
          <t>Nigeria</t>
        </is>
      </c>
      <c r="B20" t="inlineStr">
        <is>
          <t>Execujet</t>
        </is>
      </c>
      <c r="C20" t="inlineStr">
        <is>
          <t>DNAK</t>
        </is>
      </c>
      <c r="D20" t="inlineStr">
        <is>
          <t>Thompson Adejumo</t>
        </is>
      </c>
      <c r="E20" t="inlineStr">
        <is>
          <t>Thompson.Adejumo@execujet.com.ng</t>
        </is>
      </c>
      <c r="F20" s="20" t="inlineStr">
        <is>
          <t>+234 704 608 4450</t>
        </is>
      </c>
      <c r="G20" t="n">
        <v>0</v>
      </c>
    </row>
    <row r="21">
      <c r="A21" t="inlineStr">
        <is>
          <t>Nigeria</t>
        </is>
      </c>
      <c r="B21" t="inlineStr">
        <is>
          <t>Execujet</t>
        </is>
      </c>
      <c r="C21" t="inlineStr">
        <is>
          <t>DNBE</t>
        </is>
      </c>
      <c r="D21" t="inlineStr">
        <is>
          <t>Thompson Adejumo</t>
        </is>
      </c>
      <c r="E21" t="inlineStr">
        <is>
          <t>Thompson.Adejumo@execujet.com.ng</t>
        </is>
      </c>
      <c r="F21" s="20" t="inlineStr">
        <is>
          <t>+234 704 608 4450</t>
        </is>
      </c>
      <c r="G21" t="n">
        <v>0</v>
      </c>
    </row>
    <row r="22">
      <c r="A22" t="inlineStr">
        <is>
          <t>Nigeria</t>
        </is>
      </c>
      <c r="B22" t="inlineStr">
        <is>
          <t>Execujet</t>
        </is>
      </c>
      <c r="C22" t="inlineStr">
        <is>
          <t>DNIB</t>
        </is>
      </c>
      <c r="D22" t="inlineStr">
        <is>
          <t>Thompson Adejumo</t>
        </is>
      </c>
      <c r="E22" t="inlineStr">
        <is>
          <t>Thompson.Adejumo@execujet.com.ng</t>
        </is>
      </c>
      <c r="F22" s="20" t="inlineStr">
        <is>
          <t>+234 704 608 4450</t>
        </is>
      </c>
      <c r="G22" t="n">
        <v>0</v>
      </c>
    </row>
    <row r="23">
      <c r="A23" t="inlineStr">
        <is>
          <t>Nigeria</t>
        </is>
      </c>
      <c r="B23" t="inlineStr">
        <is>
          <t>Execujet</t>
        </is>
      </c>
      <c r="C23" t="inlineStr">
        <is>
          <t>DNKA</t>
        </is>
      </c>
      <c r="D23" t="inlineStr">
        <is>
          <t>Thompson Adejumo</t>
        </is>
      </c>
      <c r="E23" t="inlineStr">
        <is>
          <t>Thompson.Adejumo@execujet.com.ng</t>
        </is>
      </c>
      <c r="F23" s="20" t="inlineStr">
        <is>
          <t>+234 704 608 4450</t>
        </is>
      </c>
      <c r="G23" t="n">
        <v>0</v>
      </c>
    </row>
    <row r="24">
      <c r="A24" t="inlineStr">
        <is>
          <t>Nigeria</t>
        </is>
      </c>
      <c r="B24" t="inlineStr">
        <is>
          <t>Execujet</t>
        </is>
      </c>
      <c r="C24" t="inlineStr">
        <is>
          <t>DNKN</t>
        </is>
      </c>
      <c r="D24" t="inlineStr">
        <is>
          <t>Thompson Adejumo</t>
        </is>
      </c>
      <c r="E24" t="inlineStr">
        <is>
          <t>Thompson.Adejumo@execujet.com.ng</t>
        </is>
      </c>
      <c r="F24" s="20" t="inlineStr">
        <is>
          <t>+234 704 608 4450</t>
        </is>
      </c>
      <c r="G24" t="n">
        <v>0</v>
      </c>
    </row>
    <row r="25">
      <c r="A25" t="inlineStr">
        <is>
          <t>Nigeria</t>
        </is>
      </c>
      <c r="B25" t="inlineStr">
        <is>
          <t>Execujet</t>
        </is>
      </c>
      <c r="C25" t="inlineStr">
        <is>
          <t>DNMA</t>
        </is>
      </c>
      <c r="D25" t="inlineStr">
        <is>
          <t>Thompson Adejumo</t>
        </is>
      </c>
      <c r="E25" t="inlineStr">
        <is>
          <t>Thompson.Adejumo@execujet.com.ng</t>
        </is>
      </c>
      <c r="F25" s="20" t="inlineStr">
        <is>
          <t>+234 704 608 4450</t>
        </is>
      </c>
      <c r="G25" t="n">
        <v>0</v>
      </c>
    </row>
    <row r="26">
      <c r="A26" t="inlineStr">
        <is>
          <t>Nigeria</t>
        </is>
      </c>
      <c r="B26" t="inlineStr">
        <is>
          <t>ExecuJet Nigeria</t>
        </is>
      </c>
      <c r="C26" t="inlineStr">
        <is>
          <t>DNMM</t>
        </is>
      </c>
      <c r="D26" t="inlineStr">
        <is>
          <t>Fidelia Agbaegbu</t>
        </is>
      </c>
      <c r="E26" t="inlineStr">
        <is>
          <t>fbo.dnmm@execujet.com.ng</t>
        </is>
      </c>
      <c r="F26" s="20" t="inlineStr">
        <is>
          <t>+234 7046084450</t>
        </is>
      </c>
      <c r="G26" t="n">
        <v>0</v>
      </c>
    </row>
    <row r="27">
      <c r="A27" t="inlineStr">
        <is>
          <t>Nigeria</t>
        </is>
      </c>
      <c r="B27" t="inlineStr">
        <is>
          <t>Execujet</t>
        </is>
      </c>
      <c r="C27" t="inlineStr">
        <is>
          <t>DNMM</t>
        </is>
      </c>
      <c r="D27" t="inlineStr">
        <is>
          <t>Thompson Adejumo</t>
        </is>
      </c>
      <c r="E27" t="inlineStr">
        <is>
          <t>Thompson.Adejumo@execujet.com.ng</t>
        </is>
      </c>
      <c r="F27" s="20" t="inlineStr">
        <is>
          <t>+234 704 608 4450</t>
        </is>
      </c>
      <c r="G27" t="n">
        <v>1</v>
      </c>
    </row>
    <row r="28">
      <c r="A28" t="inlineStr">
        <is>
          <t>Nigeria</t>
        </is>
      </c>
      <c r="B28" t="inlineStr">
        <is>
          <t>Execujet</t>
        </is>
      </c>
      <c r="C28" t="inlineStr">
        <is>
          <t>DNPO</t>
        </is>
      </c>
      <c r="D28" t="inlineStr">
        <is>
          <t>Thompson Adejumo</t>
        </is>
      </c>
      <c r="E28" t="inlineStr">
        <is>
          <t>Thompson.Adejumo@execujet.com.ng</t>
        </is>
      </c>
      <c r="F28" s="20" t="inlineStr">
        <is>
          <t>+234 704 608 4450</t>
        </is>
      </c>
      <c r="G28" t="n">
        <v>0</v>
      </c>
    </row>
    <row r="29">
      <c r="A29" t="inlineStr">
        <is>
          <t>Niger Rep</t>
        </is>
      </c>
      <c r="B29" t="inlineStr">
        <is>
          <t>GAS</t>
        </is>
      </c>
      <c r="C29" t="inlineStr">
        <is>
          <t>DRRN</t>
        </is>
      </c>
      <c r="D29" t="inlineStr">
        <is>
          <t>Abdou Rekia</t>
        </is>
      </c>
      <c r="E29" t="inlineStr">
        <is>
          <t>abdou.rekia@nshandling.com</t>
        </is>
      </c>
      <c r="F29" s="20" t="inlineStr">
        <is>
          <t>+227 97 52 34 88</t>
        </is>
      </c>
      <c r="G29" t="n">
        <v>0</v>
      </c>
    </row>
    <row r="30">
      <c r="A30" t="inlineStr">
        <is>
          <t>Niger Rep</t>
        </is>
      </c>
      <c r="B30" t="inlineStr">
        <is>
          <t>GAS</t>
        </is>
      </c>
      <c r="C30" t="inlineStr">
        <is>
          <t>DRZA</t>
        </is>
      </c>
      <c r="D30" t="inlineStr">
        <is>
          <t>Abdou Rekia</t>
        </is>
      </c>
      <c r="E30" t="inlineStr">
        <is>
          <t>abdou.rekia@nshandling.com</t>
        </is>
      </c>
      <c r="F30" s="20" t="inlineStr">
        <is>
          <t>+227 97 52 34 88</t>
        </is>
      </c>
      <c r="G30" t="n">
        <v>0</v>
      </c>
    </row>
    <row r="31">
      <c r="A31" t="inlineStr">
        <is>
          <t>Niger Rep</t>
        </is>
      </c>
      <c r="B31" t="inlineStr">
        <is>
          <t>GAS</t>
        </is>
      </c>
      <c r="C31" t="inlineStr">
        <is>
          <t>DRZR</t>
        </is>
      </c>
      <c r="D31" t="inlineStr">
        <is>
          <t>Abdou Rekia</t>
        </is>
      </c>
      <c r="E31" t="inlineStr">
        <is>
          <t>abdou.rekia@nshandling.com</t>
        </is>
      </c>
      <c r="F31" s="20" t="inlineStr">
        <is>
          <t>+227 97 52 34 88</t>
        </is>
      </c>
      <c r="G31" t="n">
        <v>0</v>
      </c>
    </row>
    <row r="32">
      <c r="A32" t="inlineStr">
        <is>
          <t>Tunisia</t>
        </is>
      </c>
      <c r="B32" t="inlineStr">
        <is>
          <t>Service Air Tunisia</t>
        </is>
      </c>
      <c r="C32" t="inlineStr">
        <is>
          <t>DTMB</t>
        </is>
      </c>
      <c r="D32" t="inlineStr">
        <is>
          <t>Karim Ben Abdellatif</t>
        </is>
      </c>
      <c r="E32" t="inlineStr">
        <is>
          <t>sat-mir@gnet.tn</t>
        </is>
      </c>
      <c r="F32" s="20" t="inlineStr">
        <is>
          <t>+216 22 336 179</t>
        </is>
      </c>
      <c r="G32" t="n">
        <v>0</v>
      </c>
    </row>
    <row r="33">
      <c r="A33" t="inlineStr">
        <is>
          <t>Tunisia</t>
        </is>
      </c>
      <c r="B33" t="inlineStr">
        <is>
          <t>Service Air Tunisia</t>
        </is>
      </c>
      <c r="C33" t="inlineStr">
        <is>
          <t>DTNH</t>
        </is>
      </c>
      <c r="D33" t="inlineStr">
        <is>
          <t>Karim Ben Abdellatif</t>
        </is>
      </c>
      <c r="E33" t="inlineStr">
        <is>
          <t>sat-mir@gnet.tn</t>
        </is>
      </c>
      <c r="F33" s="20" t="inlineStr">
        <is>
          <t>+216 22 336 179</t>
        </is>
      </c>
      <c r="G33" t="n">
        <v>0</v>
      </c>
    </row>
    <row r="34">
      <c r="A34" t="inlineStr">
        <is>
          <t>Tunisia</t>
        </is>
      </c>
      <c r="B34" t="inlineStr">
        <is>
          <t>Service Air Tunisia</t>
        </is>
      </c>
      <c r="C34" t="inlineStr">
        <is>
          <t>DTTA</t>
        </is>
      </c>
      <c r="D34" t="inlineStr">
        <is>
          <t>Chedly Khefifi</t>
        </is>
      </c>
      <c r="E34" t="inlineStr">
        <is>
          <t>sat.tun@gnet.tn</t>
        </is>
      </c>
      <c r="F34" s="20" t="inlineStr">
        <is>
          <t>+216 21 000 900</t>
        </is>
      </c>
      <c r="G34" t="n">
        <v>0</v>
      </c>
    </row>
    <row r="35">
      <c r="A35" t="inlineStr">
        <is>
          <t>Tunisia</t>
        </is>
      </c>
      <c r="B35" t="inlineStr">
        <is>
          <t>Service Air Tunisia</t>
        </is>
      </c>
      <c r="C35" t="inlineStr">
        <is>
          <t>DTTJ</t>
        </is>
      </c>
      <c r="D35" t="inlineStr">
        <is>
          <t>Noureddine Nagga</t>
        </is>
      </c>
      <c r="E35" t="inlineStr">
        <is>
          <t>sat-dje@gnet.tn</t>
        </is>
      </c>
      <c r="F35" s="20" t="inlineStr">
        <is>
          <t>+216 22 336 180</t>
        </is>
      </c>
      <c r="G35" t="n">
        <v>0</v>
      </c>
    </row>
    <row r="36">
      <c r="A36" t="inlineStr">
        <is>
          <t>Togo</t>
        </is>
      </c>
      <c r="B36" t="inlineStr">
        <is>
          <t>GAS</t>
        </is>
      </c>
      <c r="C36" t="inlineStr">
        <is>
          <t>DXNG</t>
        </is>
      </c>
      <c r="D36" t="inlineStr">
        <is>
          <t>Yves Wembou</t>
        </is>
      </c>
      <c r="E36" t="inlineStr">
        <is>
          <t>preciousnots@gmail.com</t>
        </is>
      </c>
      <c r="F36" s="20" t="inlineStr">
        <is>
          <t>+268 7692 7667</t>
        </is>
      </c>
      <c r="G36" t="n">
        <v>0</v>
      </c>
    </row>
    <row r="37">
      <c r="A37" t="inlineStr">
        <is>
          <t>Togo</t>
        </is>
      </c>
      <c r="B37" t="inlineStr">
        <is>
          <t>GAS</t>
        </is>
      </c>
      <c r="C37" t="inlineStr">
        <is>
          <t>DXXX</t>
        </is>
      </c>
      <c r="D37" t="inlineStr">
        <is>
          <t>Yves Wembou</t>
        </is>
      </c>
      <c r="E37" t="inlineStr">
        <is>
          <t>preciousnots@gmail.com</t>
        </is>
      </c>
      <c r="F37" s="20" t="inlineStr">
        <is>
          <t>+268 7692 7667</t>
        </is>
      </c>
      <c r="G37" t="n">
        <v>0</v>
      </c>
    </row>
    <row r="38">
      <c r="A38" t="inlineStr">
        <is>
          <t>South Africa</t>
        </is>
      </c>
      <c r="B38" t="inlineStr">
        <is>
          <t>ExecuJet</t>
        </is>
      </c>
      <c r="C38" t="inlineStr">
        <is>
          <t>FACT</t>
        </is>
      </c>
      <c r="D38" t="inlineStr">
        <is>
          <t>Luthando Mqingwane</t>
        </is>
      </c>
      <c r="E38" t="inlineStr">
        <is>
          <t>fact.africa@execujet.com</t>
        </is>
      </c>
      <c r="F38" s="20" t="inlineStr">
        <is>
          <t>+27 82 902 3719</t>
        </is>
      </c>
      <c r="G38" t="n">
        <v>0</v>
      </c>
    </row>
    <row r="39">
      <c r="A39" t="inlineStr">
        <is>
          <t>South Africa</t>
        </is>
      </c>
      <c r="B39" t="inlineStr">
        <is>
          <t>Execujet South Africa</t>
        </is>
      </c>
      <c r="C39" t="inlineStr">
        <is>
          <t>FACT</t>
        </is>
      </c>
      <c r="D39" t="inlineStr">
        <is>
          <t>Ridha Ryan</t>
        </is>
      </c>
      <c r="E39" t="inlineStr">
        <is>
          <t>fbo.fact.africa@execujet.com</t>
        </is>
      </c>
      <c r="F39" s="20" t="inlineStr">
        <is>
          <t>+27 82 902 3719</t>
        </is>
      </c>
      <c r="G39" t="n">
        <v>0</v>
      </c>
    </row>
    <row r="40">
      <c r="A40" t="inlineStr">
        <is>
          <t>South Africa</t>
        </is>
      </c>
      <c r="B40" t="inlineStr">
        <is>
          <t>Signature Aviation</t>
        </is>
      </c>
      <c r="C40" t="inlineStr">
        <is>
          <t>FACT</t>
        </is>
      </c>
      <c r="D40" t="inlineStr">
        <is>
          <t>Peter De Wee</t>
        </is>
      </c>
      <c r="E40" t="inlineStr">
        <is>
          <t>cpt@signatureflight.co.za</t>
        </is>
      </c>
      <c r="F40" s="20" t="inlineStr">
        <is>
          <t>+2778 352 6537</t>
        </is>
      </c>
      <c r="G40" t="n">
        <v>0</v>
      </c>
    </row>
    <row r="41">
      <c r="A41" t="inlineStr">
        <is>
          <t>South Africa</t>
        </is>
      </c>
      <c r="B41" t="inlineStr">
        <is>
          <t>ExecuJet</t>
        </is>
      </c>
      <c r="C41" t="inlineStr">
        <is>
          <t>FAKN</t>
        </is>
      </c>
      <c r="D41" t="inlineStr">
        <is>
          <t>Khulile Mudau</t>
        </is>
      </c>
      <c r="E41" t="inlineStr">
        <is>
          <t>khulile.mudau@execujet.com</t>
        </is>
      </c>
      <c r="F41" s="20" t="inlineStr">
        <is>
          <t>+27 821 3194</t>
        </is>
      </c>
      <c r="G41" t="n">
        <v>1</v>
      </c>
    </row>
    <row r="42">
      <c r="A42" t="inlineStr">
        <is>
          <t>South Africa</t>
        </is>
      </c>
      <c r="B42" t="inlineStr">
        <is>
          <t>ExecuJet</t>
        </is>
      </c>
      <c r="C42" t="inlineStr">
        <is>
          <t>FALA</t>
        </is>
      </c>
      <c r="D42" t="inlineStr">
        <is>
          <t>Wilson Thabetha</t>
        </is>
      </c>
      <c r="E42" t="inlineStr">
        <is>
          <t>wilson.thabetha@execujet.com</t>
        </is>
      </c>
      <c r="F42" s="20" t="inlineStr">
        <is>
          <t>+27829749946</t>
        </is>
      </c>
      <c r="G42" t="n">
        <v>1</v>
      </c>
    </row>
    <row r="43">
      <c r="A43" t="inlineStr">
        <is>
          <t>South Africa</t>
        </is>
      </c>
      <c r="B43" t="inlineStr">
        <is>
          <t>Execujet South Africa</t>
        </is>
      </c>
      <c r="C43" t="inlineStr">
        <is>
          <t>FALA</t>
        </is>
      </c>
      <c r="D43" t="inlineStr">
        <is>
          <t>Elizann Swanepoel</t>
        </is>
      </c>
      <c r="E43" t="inlineStr">
        <is>
          <t>fbo.fala.africa@execujet.com</t>
        </is>
      </c>
      <c r="F43" s="20" t="inlineStr">
        <is>
          <t>+27 833 269 395</t>
        </is>
      </c>
      <c r="G43" t="n">
        <v>0</v>
      </c>
    </row>
    <row r="44">
      <c r="A44" t="inlineStr">
        <is>
          <t>South Africa</t>
        </is>
      </c>
      <c r="B44" t="inlineStr">
        <is>
          <t>Fireblade</t>
        </is>
      </c>
      <c r="C44" t="inlineStr">
        <is>
          <t>FAOR</t>
        </is>
      </c>
      <c r="D44" t="inlineStr">
        <is>
          <t>Alexander Gerhardt &amp; George Van Greunen</t>
        </is>
      </c>
      <c r="E44" t="inlineStr">
        <is>
          <t>fbo.ops@firebladeaviation.com</t>
        </is>
      </c>
      <c r="F44" s="20" t="inlineStr">
        <is>
          <t>+27105953922</t>
        </is>
      </c>
      <c r="G44" t="n">
        <v>3</v>
      </c>
    </row>
    <row r="45">
      <c r="A45" t="inlineStr">
        <is>
          <t>South Africa</t>
        </is>
      </c>
      <c r="B45" t="inlineStr">
        <is>
          <t>Fireblade Aviation</t>
        </is>
      </c>
      <c r="C45" t="inlineStr">
        <is>
          <t>FAOR</t>
        </is>
      </c>
      <c r="D45" t="inlineStr">
        <is>
          <t>Karabo Makgokolo</t>
        </is>
      </c>
      <c r="E45" t="inlineStr">
        <is>
          <t>fbo.ops@Firebladeaviation.com</t>
        </is>
      </c>
      <c r="F45" s="20" t="inlineStr">
        <is>
          <t>+27 10 595 3922</t>
        </is>
      </c>
      <c r="G45" t="n">
        <v>1</v>
      </c>
    </row>
    <row r="46">
      <c r="A46" t="inlineStr">
        <is>
          <t>South Africa</t>
        </is>
      </c>
      <c r="B46" t="inlineStr">
        <is>
          <t>ExecuJet</t>
        </is>
      </c>
      <c r="C46" t="inlineStr">
        <is>
          <t>FAPE</t>
        </is>
      </c>
      <c r="D46" t="inlineStr">
        <is>
          <t>Asenathi Soetland</t>
        </is>
      </c>
      <c r="E46" t="inlineStr">
        <is>
          <t>ASoetland@colossalaviapartner.co.za</t>
        </is>
      </c>
      <c r="F46" s="20" t="inlineStr">
        <is>
          <t>+27611037151</t>
        </is>
      </c>
      <c r="G46" t="n">
        <v>0</v>
      </c>
    </row>
    <row r="47">
      <c r="A47" t="inlineStr">
        <is>
          <t>Botswana</t>
        </is>
      </c>
      <c r="B47" t="inlineStr">
        <is>
          <t>GAS</t>
        </is>
      </c>
      <c r="C47" t="inlineStr">
        <is>
          <t>FBFT</t>
        </is>
      </c>
      <c r="D47" t="inlineStr">
        <is>
          <t>Uneni Mogoma</t>
        </is>
      </c>
      <c r="E47" t="inlineStr">
        <is>
          <t>info@agh.co.bw</t>
        </is>
      </c>
      <c r="F47" s="20" t="inlineStr">
        <is>
          <t>+267 7517 9401</t>
        </is>
      </c>
      <c r="G47" t="n">
        <v>0</v>
      </c>
    </row>
    <row r="48">
      <c r="A48" t="inlineStr">
        <is>
          <t>Botswana</t>
        </is>
      </c>
      <c r="B48" t="inlineStr">
        <is>
          <t>GAS</t>
        </is>
      </c>
      <c r="C48" t="inlineStr">
        <is>
          <t>FBKE</t>
        </is>
      </c>
      <c r="D48" t="inlineStr">
        <is>
          <t>Uneni Mogoma</t>
        </is>
      </c>
      <c r="E48" t="inlineStr">
        <is>
          <t>info@agh.co.bw</t>
        </is>
      </c>
      <c r="F48" s="20" t="inlineStr">
        <is>
          <t>+267 7517 9401</t>
        </is>
      </c>
      <c r="G48" t="n">
        <v>0</v>
      </c>
    </row>
    <row r="49">
      <c r="A49" t="inlineStr">
        <is>
          <t>Botswana</t>
        </is>
      </c>
      <c r="B49" t="inlineStr">
        <is>
          <t>GAS</t>
        </is>
      </c>
      <c r="C49" t="inlineStr">
        <is>
          <t>FBMN</t>
        </is>
      </c>
      <c r="D49" t="inlineStr">
        <is>
          <t>Kabo Bagopi</t>
        </is>
      </c>
      <c r="E49" t="inlineStr">
        <is>
          <t>botswana@gasaviation.com</t>
        </is>
      </c>
      <c r="F49" s="20" t="inlineStr">
        <is>
          <t>+26775982250</t>
        </is>
      </c>
      <c r="G49" t="n">
        <v>0</v>
      </c>
    </row>
    <row r="50">
      <c r="A50" t="inlineStr">
        <is>
          <t>Botswana</t>
        </is>
      </c>
      <c r="B50" t="inlineStr">
        <is>
          <t>GAS</t>
        </is>
      </c>
      <c r="C50" t="inlineStr">
        <is>
          <t>FBSK</t>
        </is>
      </c>
      <c r="D50" t="inlineStr">
        <is>
          <t>Kabo Bagopi</t>
        </is>
      </c>
      <c r="E50" t="inlineStr">
        <is>
          <t>botswana@gasaviation.com</t>
        </is>
      </c>
      <c r="F50" s="20" t="inlineStr">
        <is>
          <t>+26775982250</t>
        </is>
      </c>
      <c r="G50" t="n">
        <v>0</v>
      </c>
    </row>
    <row r="51">
      <c r="A51" t="inlineStr">
        <is>
          <t>Botswana</t>
        </is>
      </c>
      <c r="B51" t="inlineStr">
        <is>
          <t>GAS</t>
        </is>
      </c>
      <c r="C51" t="inlineStr">
        <is>
          <t>FBSP</t>
        </is>
      </c>
      <c r="D51" t="inlineStr">
        <is>
          <t>Uneni Mogoma</t>
        </is>
      </c>
      <c r="E51" t="inlineStr">
        <is>
          <t>info@agh.co.bw</t>
        </is>
      </c>
      <c r="F51" s="20" t="inlineStr">
        <is>
          <t>+267 7517 9401</t>
        </is>
      </c>
      <c r="G51" t="n">
        <v>0</v>
      </c>
    </row>
    <row r="52">
      <c r="A52" t="inlineStr">
        <is>
          <t>Congo Rep</t>
        </is>
      </c>
      <c r="B52" t="inlineStr">
        <is>
          <t>GAS</t>
        </is>
      </c>
      <c r="C52" t="inlineStr">
        <is>
          <t>FCBB</t>
        </is>
      </c>
      <c r="D52" t="inlineStr">
        <is>
          <t>Herman NGOYO</t>
        </is>
      </c>
      <c r="E52" t="inlineStr">
        <is>
          <t>hermannngoyo1@gmail.com</t>
        </is>
      </c>
      <c r="F52" s="20" t="inlineStr">
        <is>
          <t>+242 06 511 71 41</t>
        </is>
      </c>
      <c r="G52" t="n">
        <v>0</v>
      </c>
    </row>
    <row r="53">
      <c r="A53" t="inlineStr">
        <is>
          <t>Congo Rep</t>
        </is>
      </c>
      <c r="B53" t="inlineStr">
        <is>
          <t>Herman</t>
        </is>
      </c>
      <c r="C53" t="inlineStr">
        <is>
          <t>FCBB</t>
        </is>
      </c>
      <c r="D53" t="inlineStr">
        <is>
          <t>Herman</t>
        </is>
      </c>
      <c r="E53" t="inlineStr">
        <is>
          <t>republicofcongo@gasaviation.com</t>
        </is>
      </c>
      <c r="F53" s="20" t="inlineStr">
        <is>
          <t>+242 06 951 0807</t>
        </is>
      </c>
      <c r="G53" t="n">
        <v>0</v>
      </c>
    </row>
    <row r="54">
      <c r="A54" t="inlineStr">
        <is>
          <t>Congo Rep</t>
        </is>
      </c>
      <c r="B54" t="inlineStr">
        <is>
          <t>GAS</t>
        </is>
      </c>
      <c r="C54" t="inlineStr">
        <is>
          <t>FCOD</t>
        </is>
      </c>
      <c r="D54" t="inlineStr">
        <is>
          <t>Herman NGOYO</t>
        </is>
      </c>
      <c r="E54" t="inlineStr">
        <is>
          <t>hermannngoyo1@gmail.com</t>
        </is>
      </c>
      <c r="F54" s="20" t="inlineStr">
        <is>
          <t>+242 06 511 71 41</t>
        </is>
      </c>
      <c r="G54" t="n">
        <v>0</v>
      </c>
    </row>
    <row r="55">
      <c r="A55" t="inlineStr">
        <is>
          <t>Congo Rep</t>
        </is>
      </c>
      <c r="B55" t="inlineStr">
        <is>
          <t>GAS</t>
        </is>
      </c>
      <c r="C55" t="inlineStr">
        <is>
          <t>FCPP</t>
        </is>
      </c>
      <c r="D55" t="inlineStr">
        <is>
          <t>Herman NGOYO</t>
        </is>
      </c>
      <c r="E55" t="inlineStr">
        <is>
          <t>hermannngoyo1@gmail.com</t>
        </is>
      </c>
      <c r="F55" s="20" t="inlineStr">
        <is>
          <t>+242 06 511 71 41</t>
        </is>
      </c>
      <c r="G55" t="n">
        <v>0</v>
      </c>
    </row>
    <row r="56">
      <c r="A56" t="inlineStr">
        <is>
          <t>Eswatini</t>
        </is>
      </c>
      <c r="B56" t="inlineStr">
        <is>
          <t>GAS</t>
        </is>
      </c>
      <c r="C56" t="inlineStr">
        <is>
          <t>FDMS</t>
        </is>
      </c>
      <c r="D56" t="inlineStr">
        <is>
          <t>Nothando Precious Ncongwane</t>
        </is>
      </c>
      <c r="E56" t="inlineStr">
        <is>
          <t>preciousnots@gmail.com</t>
        </is>
      </c>
      <c r="F56" s="20" t="inlineStr">
        <is>
          <t>+268 7692 7667</t>
        </is>
      </c>
      <c r="G56" t="n">
        <v>0</v>
      </c>
    </row>
    <row r="57">
      <c r="A57" t="inlineStr">
        <is>
          <t>Eswatini</t>
        </is>
      </c>
      <c r="B57" t="inlineStr">
        <is>
          <t>GAS</t>
        </is>
      </c>
      <c r="C57" t="inlineStr">
        <is>
          <t>FDSK</t>
        </is>
      </c>
      <c r="D57" t="inlineStr">
        <is>
          <t>Nothando Precious Ncongwane</t>
        </is>
      </c>
      <c r="E57" t="inlineStr">
        <is>
          <t>preciousnots@gmail.com</t>
        </is>
      </c>
      <c r="F57" s="20" t="inlineStr">
        <is>
          <t>+268 7692 7667</t>
        </is>
      </c>
      <c r="G57" t="n">
        <v>1</v>
      </c>
    </row>
    <row r="58">
      <c r="A58" t="inlineStr">
        <is>
          <t>Central Africa</t>
        </is>
      </c>
      <c r="B58" t="inlineStr">
        <is>
          <t>GAS</t>
        </is>
      </c>
      <c r="C58" t="inlineStr">
        <is>
          <t>FEFF</t>
        </is>
      </c>
      <c r="D58" t="inlineStr">
        <is>
          <t>KOUALET MBOYO Urbain</t>
        </is>
      </c>
      <c r="E58" t="inlineStr">
        <is>
          <t>u_fabrice@yahoo.fr</t>
        </is>
      </c>
      <c r="F58" s="20" t="inlineStr">
        <is>
          <t>+236 72 11 85 24</t>
        </is>
      </c>
      <c r="G58" t="n">
        <v>0</v>
      </c>
    </row>
    <row r="59">
      <c r="A59" t="inlineStr">
        <is>
          <t>Mauritius</t>
        </is>
      </c>
      <c r="B59" t="inlineStr">
        <is>
          <t>JET Prime</t>
        </is>
      </c>
      <c r="C59" t="inlineStr">
        <is>
          <t>FIMP</t>
        </is>
      </c>
      <c r="D59" t="inlineStr">
        <is>
          <t>Reetish Ackloo &amp; Sitam Bulloo</t>
        </is>
      </c>
      <c r="E59" t="inlineStr">
        <is>
          <t>rackloo@jetprime.mu</t>
        </is>
      </c>
      <c r="F59" s="20" t="inlineStr">
        <is>
          <t>+230 59408132</t>
        </is>
      </c>
      <c r="G59" t="n">
        <v>1</v>
      </c>
    </row>
    <row r="60">
      <c r="A60" t="inlineStr">
        <is>
          <t>Cameroon</t>
        </is>
      </c>
      <c r="B60" t="inlineStr">
        <is>
          <t>GAS</t>
        </is>
      </c>
      <c r="C60" t="inlineStr">
        <is>
          <t>FKKD</t>
        </is>
      </c>
      <c r="D60" t="inlineStr">
        <is>
          <t>Fanga Ermann</t>
        </is>
      </c>
      <c r="E60" t="inlineStr">
        <is>
          <t>cameroonhandling@yahoo.fr</t>
        </is>
      </c>
      <c r="F60" s="20" t="inlineStr">
        <is>
          <t>+237 694 28 92 86</t>
        </is>
      </c>
      <c r="G60" t="n">
        <v>0</v>
      </c>
    </row>
    <row r="61">
      <c r="A61" t="inlineStr">
        <is>
          <t>Cameroon</t>
        </is>
      </c>
      <c r="B61" t="inlineStr">
        <is>
          <t>GAS</t>
        </is>
      </c>
      <c r="C61" t="inlineStr">
        <is>
          <t>FKKL</t>
        </is>
      </c>
      <c r="D61" t="inlineStr">
        <is>
          <t>Fanga Ermann</t>
        </is>
      </c>
      <c r="E61" t="inlineStr">
        <is>
          <t>cameroonhandling@yahoo.fr</t>
        </is>
      </c>
      <c r="F61" s="20" t="inlineStr">
        <is>
          <t>+237 694 28 92 86</t>
        </is>
      </c>
      <c r="G61" t="n">
        <v>0</v>
      </c>
    </row>
    <row r="62">
      <c r="A62" t="inlineStr">
        <is>
          <t>Cameroon</t>
        </is>
      </c>
      <c r="B62" t="inlineStr">
        <is>
          <t>GAS</t>
        </is>
      </c>
      <c r="C62" t="inlineStr">
        <is>
          <t>FKKR</t>
        </is>
      </c>
      <c r="D62" t="inlineStr">
        <is>
          <t>Fanga Ermann</t>
        </is>
      </c>
      <c r="E62" t="inlineStr">
        <is>
          <t>cameroonhandling@yahoo.fr</t>
        </is>
      </c>
      <c r="F62" s="20" t="inlineStr">
        <is>
          <t>+237 694 28 92 86</t>
        </is>
      </c>
      <c r="G62" t="n">
        <v>0</v>
      </c>
    </row>
    <row r="63">
      <c r="A63" t="inlineStr">
        <is>
          <t>Cameroon</t>
        </is>
      </c>
      <c r="B63" t="inlineStr">
        <is>
          <t>GAS</t>
        </is>
      </c>
      <c r="C63" t="inlineStr">
        <is>
          <t>FKYS</t>
        </is>
      </c>
      <c r="D63" t="inlineStr">
        <is>
          <t>Fanga Ermann</t>
        </is>
      </c>
      <c r="E63" t="inlineStr">
        <is>
          <t>cameroonhandling@yahoo.fr</t>
        </is>
      </c>
      <c r="F63" s="20" t="inlineStr">
        <is>
          <t>+237 694 28 92 86</t>
        </is>
      </c>
      <c r="G63" t="n">
        <v>0</v>
      </c>
    </row>
    <row r="64">
      <c r="A64" t="inlineStr">
        <is>
          <t>Zambia</t>
        </is>
      </c>
      <c r="B64" t="inlineStr">
        <is>
          <t>GAS</t>
        </is>
      </c>
      <c r="C64" t="inlineStr">
        <is>
          <t>FLHN</t>
        </is>
      </c>
      <c r="D64" t="inlineStr">
        <is>
          <t>Eric Chifundo Banda</t>
        </is>
      </c>
      <c r="E64" t="inlineStr">
        <is>
          <t>er02ch@gmail.com</t>
        </is>
      </c>
      <c r="F64" s="20" t="inlineStr">
        <is>
          <t>+260 97 7576276</t>
        </is>
      </c>
      <c r="G64" t="n">
        <v>1</v>
      </c>
    </row>
    <row r="65">
      <c r="A65" t="inlineStr">
        <is>
          <t>Zambia</t>
        </is>
      </c>
      <c r="B65" t="inlineStr">
        <is>
          <t>GAS</t>
        </is>
      </c>
      <c r="C65" t="inlineStr">
        <is>
          <t>FLKK</t>
        </is>
      </c>
      <c r="D65" t="inlineStr">
        <is>
          <t>Eric Chifundo Banda</t>
        </is>
      </c>
      <c r="E65" t="inlineStr">
        <is>
          <t>er02ch@gmail.com</t>
        </is>
      </c>
      <c r="F65" s="20" t="inlineStr">
        <is>
          <t>+260 97 7576276</t>
        </is>
      </c>
      <c r="G65" t="n">
        <v>3</v>
      </c>
    </row>
    <row r="66">
      <c r="A66" t="inlineStr">
        <is>
          <t>Zambia</t>
        </is>
      </c>
      <c r="B66" t="inlineStr">
        <is>
          <t>NAC2000</t>
        </is>
      </c>
      <c r="C66" t="inlineStr">
        <is>
          <t>FLKK</t>
        </is>
      </c>
      <c r="D66" t="inlineStr">
        <is>
          <t>Dennis Makuya</t>
        </is>
      </c>
      <c r="E66" t="inlineStr">
        <is>
          <t>operations@nac2000.com.zm</t>
        </is>
      </c>
      <c r="F66" s="20" t="inlineStr">
        <is>
          <t>+260 973 230 605</t>
        </is>
      </c>
      <c r="G66" t="n">
        <v>2</v>
      </c>
    </row>
    <row r="67">
      <c r="A67" t="inlineStr">
        <is>
          <t>Zambia</t>
        </is>
      </c>
      <c r="B67" t="inlineStr">
        <is>
          <t>GAS</t>
        </is>
      </c>
      <c r="C67" t="inlineStr">
        <is>
          <t>FLKS</t>
        </is>
      </c>
      <c r="D67" t="inlineStr">
        <is>
          <t>Eric Chifundo Banda</t>
        </is>
      </c>
      <c r="E67" t="inlineStr">
        <is>
          <t>er02ch@gmail.com</t>
        </is>
      </c>
      <c r="F67" s="20" t="inlineStr">
        <is>
          <t>+260 97 7576276</t>
        </is>
      </c>
      <c r="G67" t="n">
        <v>0</v>
      </c>
    </row>
    <row r="68">
      <c r="A68" t="inlineStr">
        <is>
          <t>Zambia</t>
        </is>
      </c>
      <c r="B68" t="inlineStr">
        <is>
          <t>GAS</t>
        </is>
      </c>
      <c r="C68" t="inlineStr">
        <is>
          <t>FLMF</t>
        </is>
      </c>
      <c r="D68" t="inlineStr">
        <is>
          <t>Eric Chifundo Banda</t>
        </is>
      </c>
      <c r="E68" t="inlineStr">
        <is>
          <t>er02ch@gmail.com</t>
        </is>
      </c>
      <c r="F68" s="20" t="inlineStr">
        <is>
          <t>+260 97 7576276</t>
        </is>
      </c>
      <c r="G68" t="n">
        <v>0</v>
      </c>
    </row>
    <row r="69">
      <c r="A69" t="inlineStr">
        <is>
          <t>Zambia</t>
        </is>
      </c>
      <c r="B69" t="inlineStr">
        <is>
          <t>GAS</t>
        </is>
      </c>
      <c r="C69" t="inlineStr">
        <is>
          <t>FLSK</t>
        </is>
      </c>
      <c r="D69" t="inlineStr">
        <is>
          <t>Bradley Mwape</t>
        </is>
      </c>
      <c r="E69" t="inlineStr">
        <is>
          <t>zambia@gasaviation.com</t>
        </is>
      </c>
      <c r="F69" s="20" t="inlineStr">
        <is>
          <t>+260 967838067</t>
        </is>
      </c>
      <c r="G69" t="n">
        <v>0</v>
      </c>
    </row>
    <row r="70">
      <c r="A70" t="inlineStr">
        <is>
          <t>Comoros Islands</t>
        </is>
      </c>
      <c r="B70" t="inlineStr">
        <is>
          <t>GAS</t>
        </is>
      </c>
      <c r="C70" t="inlineStr">
        <is>
          <t>FMCH</t>
        </is>
      </c>
      <c r="D70" t="inlineStr">
        <is>
          <t>Hussein Qubah</t>
        </is>
      </c>
      <c r="E70" t="inlineStr">
        <is>
          <t>hqubah@gasaviation.com</t>
        </is>
      </c>
      <c r="F70" s="20" t="inlineStr">
        <is>
          <t>+255 743 775 439</t>
        </is>
      </c>
      <c r="G70" t="n">
        <v>1</v>
      </c>
    </row>
    <row r="71">
      <c r="A71" t="inlineStr">
        <is>
          <t>Mayotte Islands</t>
        </is>
      </c>
      <c r="B71" t="inlineStr">
        <is>
          <t>GAS</t>
        </is>
      </c>
      <c r="C71" t="inlineStr">
        <is>
          <t>FMCZ</t>
        </is>
      </c>
      <c r="D71" t="inlineStr">
        <is>
          <t>Hussein Qubah</t>
        </is>
      </c>
      <c r="E71" t="inlineStr">
        <is>
          <t>hqubah@gasaviation.com</t>
        </is>
      </c>
      <c r="F71" s="20" t="inlineStr">
        <is>
          <t>+255 743 775 439</t>
        </is>
      </c>
      <c r="G71" t="n">
        <v>0</v>
      </c>
    </row>
    <row r="72">
      <c r="A72" t="inlineStr">
        <is>
          <t>Reunion Islands</t>
        </is>
      </c>
      <c r="B72" t="inlineStr">
        <is>
          <t>GAS</t>
        </is>
      </c>
      <c r="C72" t="inlineStr">
        <is>
          <t>FMEE</t>
        </is>
      </c>
      <c r="D72" t="inlineStr">
        <is>
          <t>Hussein Qubah</t>
        </is>
      </c>
      <c r="E72" t="inlineStr">
        <is>
          <t>hqubah@gasaviation.com</t>
        </is>
      </c>
      <c r="F72" s="20" t="inlineStr">
        <is>
          <t>+255 743 775 439</t>
        </is>
      </c>
      <c r="G72" t="n">
        <v>0</v>
      </c>
    </row>
    <row r="73">
      <c r="A73" t="inlineStr">
        <is>
          <t>Reunion Islands</t>
        </is>
      </c>
      <c r="B73" t="inlineStr">
        <is>
          <t>GAS</t>
        </is>
      </c>
      <c r="C73" t="inlineStr">
        <is>
          <t>FMEP</t>
        </is>
      </c>
      <c r="D73" t="inlineStr">
        <is>
          <t>Hussein Qubah</t>
        </is>
      </c>
      <c r="E73" t="inlineStr">
        <is>
          <t>hqubah@gasaviation.com</t>
        </is>
      </c>
      <c r="F73" s="20" t="inlineStr">
        <is>
          <t>+255 743 775 439</t>
        </is>
      </c>
      <c r="G73" t="n">
        <v>0</v>
      </c>
    </row>
    <row r="74">
      <c r="A74" t="inlineStr">
        <is>
          <t>Madagascar</t>
        </is>
      </c>
      <c r="B74" t="inlineStr">
        <is>
          <t>GAS</t>
        </is>
      </c>
      <c r="C74" t="inlineStr">
        <is>
          <t>FMMI</t>
        </is>
      </c>
      <c r="D74" t="inlineStr">
        <is>
          <t>Solofo Ralamboarisoa</t>
        </is>
      </c>
      <c r="E74" t="inlineStr">
        <is>
          <t>occ@madajet.aero</t>
        </is>
      </c>
      <c r="F74" s="20" t="inlineStr">
        <is>
          <t>+261324434569</t>
        </is>
      </c>
      <c r="G74" t="n">
        <v>1</v>
      </c>
    </row>
    <row r="75">
      <c r="A75" t="inlineStr">
        <is>
          <t>Madagascar</t>
        </is>
      </c>
      <c r="B75" t="inlineStr">
        <is>
          <t>Madajet</t>
        </is>
      </c>
      <c r="C75" t="inlineStr">
        <is>
          <t>FMMI</t>
        </is>
      </c>
      <c r="D75" t="inlineStr">
        <is>
          <t>Dova</t>
        </is>
      </c>
      <c r="E75" t="inlineStr">
        <is>
          <t>occ@madajet.aero</t>
        </is>
      </c>
      <c r="F75" s="20" t="inlineStr">
        <is>
          <t>+261349526263</t>
        </is>
      </c>
      <c r="G75" t="n">
        <v>0</v>
      </c>
    </row>
    <row r="76">
      <c r="A76" t="inlineStr">
        <is>
          <t>Madagascar</t>
        </is>
      </c>
      <c r="B76" t="inlineStr">
        <is>
          <t>GAS</t>
        </is>
      </c>
      <c r="C76" t="inlineStr">
        <is>
          <t>FMMN</t>
        </is>
      </c>
      <c r="E76" t="inlineStr">
        <is>
          <t>madagascar@gasaviation.com</t>
        </is>
      </c>
      <c r="F76" s="20" t="inlineStr">
        <is>
          <t>+261 34 05 039 41</t>
        </is>
      </c>
      <c r="G76" t="n">
        <v>0</v>
      </c>
    </row>
    <row r="77">
      <c r="A77" t="inlineStr">
        <is>
          <t>Madagascar</t>
        </is>
      </c>
      <c r="B77" t="inlineStr">
        <is>
          <t>GAS</t>
        </is>
      </c>
      <c r="C77" t="inlineStr">
        <is>
          <t>FMMT</t>
        </is>
      </c>
      <c r="D77" t="inlineStr">
        <is>
          <t>Solofo Ralamboarisoa</t>
        </is>
      </c>
      <c r="E77" t="inlineStr">
        <is>
          <t>occ@madajet.aero</t>
        </is>
      </c>
      <c r="F77" s="20" t="inlineStr">
        <is>
          <t>+261324434569</t>
        </is>
      </c>
      <c r="G77" t="n">
        <v>0</v>
      </c>
    </row>
    <row r="78">
      <c r="A78" t="inlineStr">
        <is>
          <t>Madagascar</t>
        </is>
      </c>
      <c r="B78" t="inlineStr">
        <is>
          <t>GAS</t>
        </is>
      </c>
      <c r="C78" t="inlineStr">
        <is>
          <t>FMNA</t>
        </is>
      </c>
      <c r="D78" t="inlineStr">
        <is>
          <t>Solofo Ralamboarisoa</t>
        </is>
      </c>
      <c r="E78" t="inlineStr">
        <is>
          <t>occ@madajet.aero</t>
        </is>
      </c>
      <c r="F78" s="20" t="inlineStr">
        <is>
          <t>+261324434569</t>
        </is>
      </c>
      <c r="G78" t="n">
        <v>0</v>
      </c>
    </row>
    <row r="79">
      <c r="A79" t="inlineStr">
        <is>
          <t>Madagascar</t>
        </is>
      </c>
      <c r="B79" t="inlineStr">
        <is>
          <t>GAS</t>
        </is>
      </c>
      <c r="C79" t="inlineStr">
        <is>
          <t>FMNM</t>
        </is>
      </c>
      <c r="D79" t="inlineStr">
        <is>
          <t>Solofo Ralamboarisoa</t>
        </is>
      </c>
      <c r="E79" t="inlineStr">
        <is>
          <t>occ@madajet.aero</t>
        </is>
      </c>
      <c r="F79" s="20" t="inlineStr">
        <is>
          <t>+261324434569</t>
        </is>
      </c>
      <c r="G79" t="n">
        <v>0</v>
      </c>
    </row>
    <row r="80">
      <c r="A80" t="inlineStr">
        <is>
          <t>Madagascar</t>
        </is>
      </c>
      <c r="B80" t="inlineStr">
        <is>
          <t>GAS</t>
        </is>
      </c>
      <c r="C80" t="inlineStr">
        <is>
          <t>FMNN</t>
        </is>
      </c>
      <c r="D80" t="inlineStr">
        <is>
          <t>Solofo Ralamboarisoa</t>
        </is>
      </c>
      <c r="E80" t="inlineStr">
        <is>
          <t>occ@madajet.aero</t>
        </is>
      </c>
      <c r="F80" s="20" t="inlineStr">
        <is>
          <t>+261324434569</t>
        </is>
      </c>
      <c r="G80" t="n">
        <v>3</v>
      </c>
    </row>
    <row r="81">
      <c r="A81" t="inlineStr">
        <is>
          <t>Madagascar</t>
        </is>
      </c>
      <c r="B81" t="inlineStr">
        <is>
          <t>Madajet</t>
        </is>
      </c>
      <c r="C81" t="inlineStr">
        <is>
          <t>FMNN</t>
        </is>
      </c>
      <c r="D81" t="inlineStr">
        <is>
          <t>Rija Randriamasy</t>
        </is>
      </c>
      <c r="E81" t="inlineStr">
        <is>
          <t>occ@madajet.aero</t>
        </is>
      </c>
      <c r="F81" s="20" t="inlineStr">
        <is>
          <t>+261 340 981 400</t>
        </is>
      </c>
      <c r="G81" t="n">
        <v>0</v>
      </c>
    </row>
    <row r="82">
      <c r="A82" t="inlineStr">
        <is>
          <t>Madagascar</t>
        </is>
      </c>
      <c r="B82" t="inlineStr">
        <is>
          <t>GAS</t>
        </is>
      </c>
      <c r="C82" t="inlineStr">
        <is>
          <t>FMSD</t>
        </is>
      </c>
      <c r="D82" t="inlineStr">
        <is>
          <t>Solofo Ralamboarisoa</t>
        </is>
      </c>
      <c r="E82" t="inlineStr">
        <is>
          <t>occ@madajet.aero</t>
        </is>
      </c>
      <c r="F82" s="20" t="inlineStr">
        <is>
          <t>+261324434569</t>
        </is>
      </c>
      <c r="G82" t="n">
        <v>0</v>
      </c>
    </row>
    <row r="83">
      <c r="A83" t="inlineStr">
        <is>
          <t>Madagascar</t>
        </is>
      </c>
      <c r="B83" t="inlineStr">
        <is>
          <t>GAS</t>
        </is>
      </c>
      <c r="C83" t="inlineStr">
        <is>
          <t>FMST</t>
        </is>
      </c>
      <c r="D83" t="inlineStr">
        <is>
          <t>Solofo Ralamboarisoa</t>
        </is>
      </c>
      <c r="E83" t="inlineStr">
        <is>
          <t>occ@madajet.aero</t>
        </is>
      </c>
      <c r="F83" s="20" t="inlineStr">
        <is>
          <t>+261324434569</t>
        </is>
      </c>
      <c r="G83" t="n">
        <v>0</v>
      </c>
    </row>
    <row r="84">
      <c r="A84" t="inlineStr">
        <is>
          <t>Angola</t>
        </is>
      </c>
      <c r="B84" t="inlineStr">
        <is>
          <t>Best Fly</t>
        </is>
      </c>
      <c r="C84" t="inlineStr">
        <is>
          <t>FNCT</t>
        </is>
      </c>
      <c r="D84" t="inlineStr">
        <is>
          <t>Marco Santos</t>
        </is>
      </c>
      <c r="E84" t="inlineStr">
        <is>
          <t>msantos@bestfly.aero</t>
        </is>
      </c>
      <c r="F84" s="20" t="inlineStr">
        <is>
          <t>+244928449450</t>
        </is>
      </c>
      <c r="G84" t="n">
        <v>0</v>
      </c>
    </row>
    <row r="85">
      <c r="A85" t="inlineStr">
        <is>
          <t>Angola</t>
        </is>
      </c>
      <c r="B85" t="inlineStr">
        <is>
          <t>VIPAERO</t>
        </is>
      </c>
      <c r="C85" t="inlineStr">
        <is>
          <t>FNHU</t>
        </is>
      </c>
      <c r="D85" t="inlineStr">
        <is>
          <t>Vergete Sawily Kalembe</t>
        </is>
      </c>
      <c r="E85" t="inlineStr">
        <is>
          <t>Vkalembe22@gmail.com</t>
        </is>
      </c>
      <c r="F85" s="20" t="inlineStr">
        <is>
          <t>+244 923564450</t>
        </is>
      </c>
      <c r="G85" t="n">
        <v>0</v>
      </c>
    </row>
    <row r="86">
      <c r="A86" t="inlineStr">
        <is>
          <t>Angola</t>
        </is>
      </c>
      <c r="B86" t="inlineStr">
        <is>
          <t>Best Fly</t>
        </is>
      </c>
      <c r="C86" t="inlineStr">
        <is>
          <t>FNLU</t>
        </is>
      </c>
      <c r="D86" t="inlineStr">
        <is>
          <t>Marco Santos</t>
        </is>
      </c>
      <c r="E86" t="inlineStr">
        <is>
          <t>msantos@bestfly.aero</t>
        </is>
      </c>
      <c r="F86" s="20" t="inlineStr">
        <is>
          <t>+244928449450</t>
        </is>
      </c>
      <c r="G86" t="n">
        <v>0</v>
      </c>
    </row>
    <row r="87">
      <c r="A87" t="inlineStr">
        <is>
          <t>Angola</t>
        </is>
      </c>
      <c r="B87" t="inlineStr">
        <is>
          <t>Bestfly Flight Support</t>
        </is>
      </c>
      <c r="C87" t="inlineStr">
        <is>
          <t>FNLU</t>
        </is>
      </c>
      <c r="D87" t="inlineStr">
        <is>
          <t>Inocencio Canhanga</t>
        </is>
      </c>
      <c r="E87" t="inlineStr">
        <is>
          <t>ops@bestfly.aero</t>
        </is>
      </c>
      <c r="F87" s="20" t="inlineStr">
        <is>
          <t>+244931299129</t>
        </is>
      </c>
      <c r="G87" t="n">
        <v>0</v>
      </c>
    </row>
    <row r="88">
      <c r="A88" t="inlineStr">
        <is>
          <t>Angola</t>
        </is>
      </c>
      <c r="B88" t="inlineStr">
        <is>
          <t>VIPAERO</t>
        </is>
      </c>
      <c r="C88" t="inlineStr">
        <is>
          <t>FNLU</t>
        </is>
      </c>
      <c r="D88" t="inlineStr">
        <is>
          <t>Tomas Silva</t>
        </is>
      </c>
      <c r="E88" t="inlineStr">
        <is>
          <t>ops@ops-vipaero.com</t>
        </is>
      </c>
      <c r="F88" s="20" t="inlineStr">
        <is>
          <t>+244938791604</t>
        </is>
      </c>
      <c r="G88" t="n">
        <v>1</v>
      </c>
    </row>
    <row r="89">
      <c r="A89" t="inlineStr">
        <is>
          <t>Angola</t>
        </is>
      </c>
      <c r="B89" t="inlineStr">
        <is>
          <t>Best Fly</t>
        </is>
      </c>
      <c r="C89" t="inlineStr">
        <is>
          <t>FNSO</t>
        </is>
      </c>
      <c r="D89" t="inlineStr">
        <is>
          <t>Marco Santos</t>
        </is>
      </c>
      <c r="E89" t="inlineStr">
        <is>
          <t>msantos@bestfly.aero</t>
        </is>
      </c>
      <c r="F89" s="20" t="inlineStr">
        <is>
          <t>+244928449450</t>
        </is>
      </c>
      <c r="G89" t="n">
        <v>0</v>
      </c>
    </row>
    <row r="90">
      <c r="A90" t="inlineStr">
        <is>
          <t>Angola</t>
        </is>
      </c>
      <c r="B90" t="inlineStr">
        <is>
          <t>Best Fly</t>
        </is>
      </c>
      <c r="C90" t="inlineStr">
        <is>
          <t>FNUB</t>
        </is>
      </c>
      <c r="D90" t="inlineStr">
        <is>
          <t>Marco Santos</t>
        </is>
      </c>
      <c r="E90" t="inlineStr">
        <is>
          <t>msantos@bestfly.aero</t>
        </is>
      </c>
      <c r="F90" s="20" t="inlineStr">
        <is>
          <t>+244928449450</t>
        </is>
      </c>
      <c r="G90" t="n">
        <v>0</v>
      </c>
    </row>
    <row r="91">
      <c r="A91" t="inlineStr">
        <is>
          <t>Gabon</t>
        </is>
      </c>
      <c r="B91" t="inlineStr">
        <is>
          <t>GAS</t>
        </is>
      </c>
      <c r="C91" t="inlineStr">
        <is>
          <t>FOOL</t>
        </is>
      </c>
      <c r="D91" t="inlineStr">
        <is>
          <t>Maganga Kassa</t>
        </is>
      </c>
      <c r="E91" t="inlineStr">
        <is>
          <t>gabon@gasaviation.com</t>
        </is>
      </c>
      <c r="F91" s="20" t="inlineStr">
        <is>
          <t>+241 0758 4670</t>
        </is>
      </c>
      <c r="G91" t="n">
        <v>0</v>
      </c>
    </row>
    <row r="92">
      <c r="A92" t="inlineStr">
        <is>
          <t>Gabon</t>
        </is>
      </c>
      <c r="B92" t="inlineStr">
        <is>
          <t>GAS</t>
        </is>
      </c>
      <c r="C92" t="inlineStr">
        <is>
          <t>FOON</t>
        </is>
      </c>
      <c r="D92" t="inlineStr">
        <is>
          <t>Maganga Kassa</t>
        </is>
      </c>
      <c r="E92" t="inlineStr">
        <is>
          <t>gabon@gasaviation.com</t>
        </is>
      </c>
      <c r="F92" s="20" t="inlineStr">
        <is>
          <t>+241 0758 4670</t>
        </is>
      </c>
      <c r="G92" t="n">
        <v>0</v>
      </c>
    </row>
    <row r="93">
      <c r="A93" t="inlineStr">
        <is>
          <t>Sao Tome and Principe</t>
        </is>
      </c>
      <c r="B93" t="inlineStr">
        <is>
          <t>GAS</t>
        </is>
      </c>
      <c r="C93" t="inlineStr">
        <is>
          <t>FPPR</t>
        </is>
      </c>
      <c r="D93" t="inlineStr">
        <is>
          <t>Helcio Viegas</t>
        </is>
      </c>
      <c r="E93" t="inlineStr">
        <is>
          <t>hviegas78@gmail.com</t>
        </is>
      </c>
      <c r="F93" s="20" t="inlineStr">
        <is>
          <t>239 990 3282</t>
        </is>
      </c>
      <c r="G93" t="n">
        <v>0</v>
      </c>
    </row>
    <row r="94">
      <c r="A94" t="inlineStr">
        <is>
          <t>Sao Tome and Principe</t>
        </is>
      </c>
      <c r="B94" t="inlineStr">
        <is>
          <t>GAS</t>
        </is>
      </c>
      <c r="C94" t="inlineStr">
        <is>
          <t>FPST</t>
        </is>
      </c>
      <c r="D94" t="inlineStr">
        <is>
          <t>Helcio Viegas</t>
        </is>
      </c>
      <c r="E94" t="inlineStr">
        <is>
          <t>hviegas78@gmail.com</t>
        </is>
      </c>
      <c r="F94" s="20" t="inlineStr">
        <is>
          <t>239 990 3282</t>
        </is>
      </c>
      <c r="G94" t="n">
        <v>0</v>
      </c>
    </row>
    <row r="95">
      <c r="A95" t="inlineStr">
        <is>
          <t>Mozambique</t>
        </is>
      </c>
      <c r="B95" t="inlineStr">
        <is>
          <t>GAS</t>
        </is>
      </c>
      <c r="C95" t="inlineStr">
        <is>
          <t>FQBR</t>
        </is>
      </c>
      <c r="D95" t="inlineStr">
        <is>
          <t>Lucia Kupela</t>
        </is>
      </c>
      <c r="E95" t="inlineStr">
        <is>
          <t>mozambique@gasaviation.com</t>
        </is>
      </c>
      <c r="F95" s="20" t="inlineStr">
        <is>
          <t>+258 85 52 46 165</t>
        </is>
      </c>
      <c r="G95" t="n">
        <v>1</v>
      </c>
    </row>
    <row r="96">
      <c r="A96" t="inlineStr">
        <is>
          <t>Mozambique</t>
        </is>
      </c>
      <c r="B96" t="inlineStr">
        <is>
          <t>GAS</t>
        </is>
      </c>
      <c r="C96" t="inlineStr">
        <is>
          <t>FQMA</t>
        </is>
      </c>
      <c r="D96" t="inlineStr">
        <is>
          <t>Lucia Kupela</t>
        </is>
      </c>
      <c r="E96" t="inlineStr">
        <is>
          <t>mozambique@gasaviation.com</t>
        </is>
      </c>
      <c r="F96" s="20" t="inlineStr">
        <is>
          <t>+258 85 52 46 165</t>
        </is>
      </c>
      <c r="G96" t="n">
        <v>0</v>
      </c>
    </row>
    <row r="97">
      <c r="A97" t="inlineStr">
        <is>
          <t>Mozambique</t>
        </is>
      </c>
      <c r="B97" t="inlineStr">
        <is>
          <t>GAS</t>
        </is>
      </c>
      <c r="C97" t="inlineStr">
        <is>
          <t>FQNC</t>
        </is>
      </c>
      <c r="D97" t="inlineStr">
        <is>
          <t>Lucia Kupela</t>
        </is>
      </c>
      <c r="E97" t="inlineStr">
        <is>
          <t>mozambique@gasaviation.com</t>
        </is>
      </c>
      <c r="F97" s="20" t="inlineStr">
        <is>
          <t>+258 85 52 46 165</t>
        </is>
      </c>
      <c r="G97" t="n">
        <v>0</v>
      </c>
    </row>
    <row r="98">
      <c r="A98" t="inlineStr">
        <is>
          <t>Mozambique</t>
        </is>
      </c>
      <c r="B98" t="inlineStr">
        <is>
          <t>GAS</t>
        </is>
      </c>
      <c r="C98" t="inlineStr">
        <is>
          <t>FQNP</t>
        </is>
      </c>
      <c r="D98" t="inlineStr">
        <is>
          <t>Lucia Kupela</t>
        </is>
      </c>
      <c r="E98" t="inlineStr">
        <is>
          <t>mozambique@gasaviation.com</t>
        </is>
      </c>
      <c r="F98" s="20" t="inlineStr">
        <is>
          <t>+258 85 52 46 165</t>
        </is>
      </c>
      <c r="G98" t="n">
        <v>0</v>
      </c>
    </row>
    <row r="99">
      <c r="A99" t="inlineStr">
        <is>
          <t>Mozambique</t>
        </is>
      </c>
      <c r="B99" t="inlineStr">
        <is>
          <t>GAS</t>
        </is>
      </c>
      <c r="C99" t="inlineStr">
        <is>
          <t>FQPB</t>
        </is>
      </c>
      <c r="D99" t="inlineStr">
        <is>
          <t>Lucia Kupela</t>
        </is>
      </c>
      <c r="E99" t="inlineStr">
        <is>
          <t>mozambique@gasaviation.com</t>
        </is>
      </c>
      <c r="F99" s="20" t="inlineStr">
        <is>
          <t>+258 85 52 46 165</t>
        </is>
      </c>
      <c r="G99" t="n">
        <v>0</v>
      </c>
    </row>
    <row r="100">
      <c r="A100" t="inlineStr">
        <is>
          <t>Mozambique</t>
        </is>
      </c>
      <c r="B100" t="inlineStr">
        <is>
          <t>GAS</t>
        </is>
      </c>
      <c r="C100" t="inlineStr">
        <is>
          <t>FQVL</t>
        </is>
      </c>
      <c r="D100" t="inlineStr">
        <is>
          <t>Lucia Kupela</t>
        </is>
      </c>
      <c r="E100" t="inlineStr">
        <is>
          <t>mozambique@gasaviation.com</t>
        </is>
      </c>
      <c r="F100" s="20" t="inlineStr">
        <is>
          <t>+258 85 52 46 165</t>
        </is>
      </c>
      <c r="G100" t="n">
        <v>0</v>
      </c>
    </row>
    <row r="101">
      <c r="A101" t="inlineStr">
        <is>
          <t>Seychelles</t>
        </is>
      </c>
      <c r="B101" t="inlineStr">
        <is>
          <t>Air Seychelles</t>
        </is>
      </c>
      <c r="C101" t="inlineStr">
        <is>
          <t>FSIA</t>
        </is>
      </c>
      <c r="D101" t="inlineStr">
        <is>
          <t>Courtney Jackson</t>
        </is>
      </c>
      <c r="E101" t="inlineStr">
        <is>
          <t>fbo@airseychelles.com</t>
        </is>
      </c>
      <c r="F101" s="20" t="inlineStr">
        <is>
          <t>+248 2649172</t>
        </is>
      </c>
      <c r="G101" t="n">
        <v>5</v>
      </c>
    </row>
    <row r="102">
      <c r="A102" t="inlineStr">
        <is>
          <t>Chad Rep</t>
        </is>
      </c>
      <c r="B102" t="inlineStr">
        <is>
          <t>GAS</t>
        </is>
      </c>
      <c r="C102" t="inlineStr">
        <is>
          <t>FTTC</t>
        </is>
      </c>
      <c r="D102" t="inlineStr">
        <is>
          <t>Youssouf Alkhali</t>
        </is>
      </c>
      <c r="E102" t="inlineStr">
        <is>
          <t>alkhaliservice@gmail.com</t>
        </is>
      </c>
      <c r="F102" s="20" t="inlineStr">
        <is>
          <t>+235 66454586</t>
        </is>
      </c>
      <c r="G102" t="n">
        <v>0</v>
      </c>
    </row>
    <row r="103">
      <c r="A103" t="inlineStr">
        <is>
          <t>Chad Rep</t>
        </is>
      </c>
      <c r="B103" t="inlineStr">
        <is>
          <t>GAS</t>
        </is>
      </c>
      <c r="C103" t="inlineStr">
        <is>
          <t>FTTJ</t>
        </is>
      </c>
      <c r="D103" t="inlineStr">
        <is>
          <t>Youssouf Alkhali</t>
        </is>
      </c>
      <c r="E103" t="inlineStr">
        <is>
          <t>alkhaliservice@gmail.com</t>
        </is>
      </c>
      <c r="F103" s="20" t="inlineStr">
        <is>
          <t>+235 66454586</t>
        </is>
      </c>
      <c r="G103" t="n">
        <v>0</v>
      </c>
    </row>
    <row r="104">
      <c r="A104" t="inlineStr">
        <is>
          <t>Zimbabwe</t>
        </is>
      </c>
      <c r="B104" t="inlineStr">
        <is>
          <t>Zim Aviation</t>
        </is>
      </c>
      <c r="C104" t="inlineStr">
        <is>
          <t>FVBU</t>
        </is>
      </c>
      <c r="D104" t="inlineStr">
        <is>
          <t>Donald M. Sibindi</t>
        </is>
      </c>
      <c r="E104" t="inlineStr">
        <is>
          <t>dmsibindi@icloud.com</t>
        </is>
      </c>
      <c r="F104" s="20" t="inlineStr">
        <is>
          <t>+263 78 211 1111</t>
        </is>
      </c>
      <c r="G104" t="n">
        <v>0</v>
      </c>
    </row>
    <row r="105">
      <c r="A105" t="inlineStr">
        <is>
          <t>Zimbabwe</t>
        </is>
      </c>
      <c r="B105" t="inlineStr">
        <is>
          <t>Zim Aviation</t>
        </is>
      </c>
      <c r="C105" t="inlineStr">
        <is>
          <t>FVCZ</t>
        </is>
      </c>
      <c r="D105" t="inlineStr">
        <is>
          <t>Donald M. Sibindi</t>
        </is>
      </c>
      <c r="E105" t="inlineStr">
        <is>
          <t>dmsibindi@icloud.com</t>
        </is>
      </c>
      <c r="F105" s="20" t="inlineStr">
        <is>
          <t>+263 78 211 1111</t>
        </is>
      </c>
      <c r="G105" t="n">
        <v>1</v>
      </c>
    </row>
    <row r="106">
      <c r="A106" t="inlineStr">
        <is>
          <t>Zimbabwe</t>
        </is>
      </c>
      <c r="B106" t="inlineStr">
        <is>
          <t>Zim Aviation</t>
        </is>
      </c>
      <c r="C106" t="inlineStr">
        <is>
          <t>FVFA</t>
        </is>
      </c>
      <c r="D106" t="inlineStr">
        <is>
          <t>Donald M. Sibindi</t>
        </is>
      </c>
      <c r="E106" t="inlineStr">
        <is>
          <t>dmsibindi@icloud.com</t>
        </is>
      </c>
      <c r="F106" s="20" t="inlineStr">
        <is>
          <t>+263 78 211 1111</t>
        </is>
      </c>
      <c r="G106" t="n">
        <v>1</v>
      </c>
    </row>
    <row r="107">
      <c r="A107" t="inlineStr">
        <is>
          <t>Zimbabwe</t>
        </is>
      </c>
      <c r="B107" t="inlineStr">
        <is>
          <t>Zim Aviation</t>
        </is>
      </c>
      <c r="C107" t="inlineStr">
        <is>
          <t>FVJN</t>
        </is>
      </c>
      <c r="D107" t="inlineStr">
        <is>
          <t>Donald M. Sibindi</t>
        </is>
      </c>
      <c r="E107" t="inlineStr">
        <is>
          <t>dmsibindi@icloud.com</t>
        </is>
      </c>
      <c r="F107" s="20" t="inlineStr">
        <is>
          <t>+263 78 211 1111</t>
        </is>
      </c>
      <c r="G107" t="n">
        <v>1</v>
      </c>
    </row>
    <row r="108">
      <c r="A108" t="inlineStr">
        <is>
          <t>Zimbabwe</t>
        </is>
      </c>
      <c r="B108" t="inlineStr">
        <is>
          <t>Zim Aviation</t>
        </is>
      </c>
      <c r="C108" t="inlineStr">
        <is>
          <t>FVRG</t>
        </is>
      </c>
      <c r="D108" t="inlineStr">
        <is>
          <t>Donald M. Sibindi</t>
        </is>
      </c>
      <c r="E108" t="inlineStr">
        <is>
          <t>dmsibindi@icloud.com</t>
        </is>
      </c>
      <c r="F108" s="20" t="inlineStr">
        <is>
          <t>+263 78 211 1111</t>
        </is>
      </c>
      <c r="G108" t="n">
        <v>2</v>
      </c>
    </row>
    <row r="109">
      <c r="A109" t="inlineStr">
        <is>
          <t>Malawi</t>
        </is>
      </c>
      <c r="B109" t="inlineStr">
        <is>
          <t>GAS</t>
        </is>
      </c>
      <c r="C109" t="inlineStr">
        <is>
          <t>FWCL</t>
        </is>
      </c>
      <c r="D109" t="inlineStr">
        <is>
          <t>Stanley Mbughi</t>
        </is>
      </c>
      <c r="E109" t="inlineStr">
        <is>
          <t>smbughie@gmail.com</t>
        </is>
      </c>
      <c r="F109" s="20" t="inlineStr">
        <is>
          <t>+265 884 74 68 01</t>
        </is>
      </c>
      <c r="G109" t="n">
        <v>0</v>
      </c>
    </row>
    <row r="110">
      <c r="A110" t="inlineStr">
        <is>
          <t>Malawi</t>
        </is>
      </c>
      <c r="B110" t="inlineStr">
        <is>
          <t>GAS</t>
        </is>
      </c>
      <c r="C110" t="inlineStr">
        <is>
          <t>FWKA</t>
        </is>
      </c>
      <c r="D110" t="inlineStr">
        <is>
          <t>Stanley Mbughi</t>
        </is>
      </c>
      <c r="E110" t="inlineStr">
        <is>
          <t>smbughie@gmail.com</t>
        </is>
      </c>
      <c r="F110" s="20" t="inlineStr">
        <is>
          <t>+265 884 74 68 01</t>
        </is>
      </c>
      <c r="G110" t="n">
        <v>0</v>
      </c>
    </row>
    <row r="111">
      <c r="A111" t="inlineStr">
        <is>
          <t>Malawi</t>
        </is>
      </c>
      <c r="B111" t="inlineStr">
        <is>
          <t>GAS</t>
        </is>
      </c>
      <c r="C111" t="inlineStr">
        <is>
          <t>FWKI</t>
        </is>
      </c>
      <c r="D111" t="inlineStr">
        <is>
          <t>Stanley Mbughi</t>
        </is>
      </c>
      <c r="E111" t="inlineStr">
        <is>
          <t>smbughie@gmail.com</t>
        </is>
      </c>
      <c r="F111" s="20" t="inlineStr">
        <is>
          <t>+265 884 74 68 01</t>
        </is>
      </c>
      <c r="G111" t="n">
        <v>0</v>
      </c>
    </row>
    <row r="112">
      <c r="A112" t="inlineStr">
        <is>
          <t>Malawi</t>
        </is>
      </c>
      <c r="B112" t="inlineStr">
        <is>
          <t>GAS</t>
        </is>
      </c>
      <c r="C112" t="inlineStr">
        <is>
          <t>FWUU</t>
        </is>
      </c>
      <c r="D112" t="inlineStr">
        <is>
          <t>Stanley Mbughi</t>
        </is>
      </c>
      <c r="E112" t="inlineStr">
        <is>
          <t>smbughie@gmail.com</t>
        </is>
      </c>
      <c r="F112" s="20" t="inlineStr">
        <is>
          <t>+265 884 74 68 01</t>
        </is>
      </c>
      <c r="G112" t="n">
        <v>0</v>
      </c>
    </row>
    <row r="113">
      <c r="A113" t="inlineStr">
        <is>
          <t>Lesotho</t>
        </is>
      </c>
      <c r="B113" t="inlineStr">
        <is>
          <t>GAS</t>
        </is>
      </c>
      <c r="C113" t="inlineStr">
        <is>
          <t>FXMM</t>
        </is>
      </c>
      <c r="D113" t="inlineStr">
        <is>
          <t>Hussein Qubah</t>
        </is>
      </c>
      <c r="E113" t="inlineStr">
        <is>
          <t>hqubah@gasaviation.com</t>
        </is>
      </c>
      <c r="F113" s="20" t="inlineStr">
        <is>
          <t>+255 743 775 439</t>
        </is>
      </c>
      <c r="G113" t="n">
        <v>0</v>
      </c>
    </row>
    <row r="114">
      <c r="A114" t="inlineStr">
        <is>
          <t>Namibia</t>
        </is>
      </c>
      <c r="B114" t="inlineStr">
        <is>
          <t>Wings Over Africa</t>
        </is>
      </c>
      <c r="C114" t="inlineStr">
        <is>
          <t>FYOA</t>
        </is>
      </c>
      <c r="D114" t="inlineStr">
        <is>
          <t>Tania E. Beukes</t>
        </is>
      </c>
      <c r="E114" t="inlineStr">
        <is>
          <t>taniab984@gmail.com</t>
        </is>
      </c>
      <c r="F114" s="20" t="inlineStr">
        <is>
          <t>+264 81 358 5264</t>
        </is>
      </c>
      <c r="G114" t="n">
        <v>0</v>
      </c>
    </row>
    <row r="115">
      <c r="A115" t="inlineStr">
        <is>
          <t>Namibia</t>
        </is>
      </c>
      <c r="B115" t="inlineStr">
        <is>
          <t>Wings Over Africa</t>
        </is>
      </c>
      <c r="C115" t="inlineStr">
        <is>
          <t>FYWB</t>
        </is>
      </c>
      <c r="D115" t="inlineStr">
        <is>
          <t>Tania E. Beukes</t>
        </is>
      </c>
      <c r="E115" t="inlineStr">
        <is>
          <t>taniab984@gmail.com</t>
        </is>
      </c>
      <c r="F115" s="20" t="inlineStr">
        <is>
          <t>+264 81 358 5264</t>
        </is>
      </c>
      <c r="G115" t="n">
        <v>0</v>
      </c>
    </row>
    <row r="116">
      <c r="A116" t="inlineStr">
        <is>
          <t>Namibia</t>
        </is>
      </c>
      <c r="B116" t="inlineStr">
        <is>
          <t>Wings Over Africa</t>
        </is>
      </c>
      <c r="C116" t="inlineStr">
        <is>
          <t>FYWE</t>
        </is>
      </c>
      <c r="D116" t="inlineStr">
        <is>
          <t>Tania E. Beukes</t>
        </is>
      </c>
      <c r="E116" t="inlineStr">
        <is>
          <t>taniab984@gmail.com</t>
        </is>
      </c>
      <c r="F116" s="20" t="inlineStr">
        <is>
          <t>+264 81 358 5264</t>
        </is>
      </c>
      <c r="G116" t="n">
        <v>0</v>
      </c>
    </row>
    <row r="117">
      <c r="A117" t="inlineStr">
        <is>
          <t>Namibia</t>
        </is>
      </c>
      <c r="B117" t="inlineStr">
        <is>
          <t>GAS</t>
        </is>
      </c>
      <c r="C117" t="inlineStr">
        <is>
          <t>FYWH</t>
        </is>
      </c>
      <c r="D117" t="inlineStr">
        <is>
          <t>Henrich Schoemans Hauwanga</t>
        </is>
      </c>
      <c r="E117" t="inlineStr">
        <is>
          <t>namibia@gasaviation.com</t>
        </is>
      </c>
      <c r="F117" s="20" t="inlineStr">
        <is>
          <t>+264 81 222 2707</t>
        </is>
      </c>
      <c r="G117" t="n">
        <v>0</v>
      </c>
    </row>
    <row r="118">
      <c r="A118" t="inlineStr">
        <is>
          <t>Namibia</t>
        </is>
      </c>
      <c r="B118" t="inlineStr">
        <is>
          <t>Wings Over Africa</t>
        </is>
      </c>
      <c r="C118" t="inlineStr">
        <is>
          <t>FYWH</t>
        </is>
      </c>
      <c r="D118" t="inlineStr">
        <is>
          <t>Tania E. Beukes</t>
        </is>
      </c>
      <c r="E118" t="inlineStr">
        <is>
          <t>taniab984@gmail.com</t>
        </is>
      </c>
      <c r="F118" s="20" t="inlineStr">
        <is>
          <t>+264 81 358 5264</t>
        </is>
      </c>
      <c r="G118" t="n">
        <v>0</v>
      </c>
    </row>
    <row r="119">
      <c r="A119" t="inlineStr">
        <is>
          <t>Congo D. R</t>
        </is>
      </c>
      <c r="B119" t="inlineStr">
        <is>
          <t>GAS</t>
        </is>
      </c>
      <c r="C119" t="inlineStr">
        <is>
          <t>FZAA</t>
        </is>
      </c>
      <c r="D119" t="inlineStr">
        <is>
          <t>Vircain Galis</t>
        </is>
      </c>
      <c r="E119" t="inlineStr">
        <is>
          <t>vircainbhas@gmail.com</t>
        </is>
      </c>
      <c r="F119" s="20" t="inlineStr">
        <is>
          <t>+243 825 290 912</t>
        </is>
      </c>
      <c r="G119" t="n">
        <v>0</v>
      </c>
    </row>
    <row r="120">
      <c r="A120" t="inlineStr">
        <is>
          <t>Congo D. R</t>
        </is>
      </c>
      <c r="B120" t="inlineStr">
        <is>
          <t>GAS</t>
        </is>
      </c>
      <c r="C120" t="inlineStr">
        <is>
          <t>FZFD</t>
        </is>
      </c>
      <c r="D120" t="inlineStr">
        <is>
          <t>Vircain Galis</t>
        </is>
      </c>
      <c r="E120" t="inlineStr">
        <is>
          <t>vircainbhas@gmail.com</t>
        </is>
      </c>
      <c r="F120" s="20" t="inlineStr">
        <is>
          <t>+243 825 290 912</t>
        </is>
      </c>
      <c r="G120" t="n">
        <v>0</v>
      </c>
    </row>
    <row r="121">
      <c r="A121" t="inlineStr">
        <is>
          <t>Congo D. R</t>
        </is>
      </c>
      <c r="B121" t="inlineStr">
        <is>
          <t>GAS</t>
        </is>
      </c>
      <c r="C121" t="inlineStr">
        <is>
          <t>FZIC</t>
        </is>
      </c>
      <c r="D121" t="inlineStr">
        <is>
          <t>Vircain Galis</t>
        </is>
      </c>
      <c r="E121" t="inlineStr">
        <is>
          <t>vircainbhas@gmail.com</t>
        </is>
      </c>
      <c r="F121" s="20" t="inlineStr">
        <is>
          <t>+243 825 290 912</t>
        </is>
      </c>
      <c r="G121" t="n">
        <v>0</v>
      </c>
    </row>
    <row r="122">
      <c r="A122" t="inlineStr">
        <is>
          <t>Congo D. R</t>
        </is>
      </c>
      <c r="B122" t="inlineStr">
        <is>
          <t>GAS</t>
        </is>
      </c>
      <c r="C122" t="inlineStr">
        <is>
          <t>FZNA</t>
        </is>
      </c>
      <c r="D122" t="inlineStr">
        <is>
          <t>Vircain Galis</t>
        </is>
      </c>
      <c r="E122" t="inlineStr">
        <is>
          <t>vircainbhas@gmail.com</t>
        </is>
      </c>
      <c r="F122" s="20" t="inlineStr">
        <is>
          <t>+243 825 290 912</t>
        </is>
      </c>
      <c r="G122" t="n">
        <v>0</v>
      </c>
    </row>
    <row r="123">
      <c r="A123" t="inlineStr">
        <is>
          <t>Congo D. R</t>
        </is>
      </c>
      <c r="B123" t="inlineStr">
        <is>
          <t>GAS</t>
        </is>
      </c>
      <c r="C123" t="inlineStr">
        <is>
          <t>FZQA</t>
        </is>
      </c>
      <c r="D123" t="inlineStr">
        <is>
          <t>Vircain Galis</t>
        </is>
      </c>
      <c r="E123" t="inlineStr">
        <is>
          <t>vircainbhas@gmail.com</t>
        </is>
      </c>
      <c r="F123" s="20" t="inlineStr">
        <is>
          <t>+243 825 290 912</t>
        </is>
      </c>
      <c r="G123" t="n">
        <v>0</v>
      </c>
    </row>
    <row r="124">
      <c r="A124" t="inlineStr">
        <is>
          <t>Congo D. R</t>
        </is>
      </c>
      <c r="B124" t="inlineStr">
        <is>
          <t>GAS</t>
        </is>
      </c>
      <c r="C124" t="inlineStr">
        <is>
          <t>FZWA</t>
        </is>
      </c>
      <c r="D124" t="inlineStr">
        <is>
          <t>Vircain Galis</t>
        </is>
      </c>
      <c r="E124" t="inlineStr">
        <is>
          <t>vircainbhas@gmail.com</t>
        </is>
      </c>
      <c r="F124" s="20" t="inlineStr">
        <is>
          <t>+243 825 290 912</t>
        </is>
      </c>
      <c r="G124" t="n">
        <v>0</v>
      </c>
    </row>
    <row r="125">
      <c r="A125" t="inlineStr">
        <is>
          <t>Mali</t>
        </is>
      </c>
      <c r="B125" t="inlineStr">
        <is>
          <t>GAS</t>
        </is>
      </c>
      <c r="C125" t="inlineStr">
        <is>
          <t>GABS</t>
        </is>
      </c>
      <c r="D125" t="inlineStr">
        <is>
          <t>Moctar Thiam</t>
        </is>
      </c>
      <c r="E125" t="inlineStr">
        <is>
          <t>ops@westafricaviation.com</t>
        </is>
      </c>
      <c r="F125" s="20" t="inlineStr">
        <is>
          <t>+223 76 62 28 28</t>
        </is>
      </c>
      <c r="G125" t="n">
        <v>0</v>
      </c>
    </row>
    <row r="126">
      <c r="A126" t="inlineStr">
        <is>
          <t>Mali</t>
        </is>
      </c>
      <c r="B126" t="inlineStr">
        <is>
          <t>GAS</t>
        </is>
      </c>
      <c r="C126" t="inlineStr">
        <is>
          <t>GAGO</t>
        </is>
      </c>
      <c r="D126" t="inlineStr">
        <is>
          <t>Moctar Thiam</t>
        </is>
      </c>
      <c r="E126" t="inlineStr">
        <is>
          <t>ops@westafricaviation.com</t>
        </is>
      </c>
      <c r="F126" s="20" t="inlineStr">
        <is>
          <t>+223 76 62 28 28</t>
        </is>
      </c>
      <c r="G126" t="n">
        <v>0</v>
      </c>
    </row>
    <row r="127">
      <c r="A127" t="inlineStr">
        <is>
          <t>Mali</t>
        </is>
      </c>
      <c r="B127" t="inlineStr">
        <is>
          <t>GAS</t>
        </is>
      </c>
      <c r="C127" t="inlineStr">
        <is>
          <t>GAMB</t>
        </is>
      </c>
      <c r="D127" t="inlineStr">
        <is>
          <t>Moctar Thiam</t>
        </is>
      </c>
      <c r="E127" t="inlineStr">
        <is>
          <t>ops@westafricaviation.com</t>
        </is>
      </c>
      <c r="F127" s="20" t="inlineStr">
        <is>
          <t>+223 76 62 28 28</t>
        </is>
      </c>
      <c r="G127" t="n">
        <v>0</v>
      </c>
    </row>
    <row r="128">
      <c r="A128" t="inlineStr">
        <is>
          <t>Mali</t>
        </is>
      </c>
      <c r="B128" t="inlineStr">
        <is>
          <t>GAS</t>
        </is>
      </c>
      <c r="C128" t="inlineStr">
        <is>
          <t>GATB</t>
        </is>
      </c>
      <c r="D128" t="inlineStr">
        <is>
          <t>Moctar Thiam</t>
        </is>
      </c>
      <c r="E128" t="inlineStr">
        <is>
          <t>ops@westafricaviation.com</t>
        </is>
      </c>
      <c r="F128" s="20" t="inlineStr">
        <is>
          <t>+223 76 62 28 28</t>
        </is>
      </c>
      <c r="G128" t="n">
        <v>0</v>
      </c>
    </row>
    <row r="129">
      <c r="A129" t="inlineStr">
        <is>
          <t>Gambia</t>
        </is>
      </c>
      <c r="B129" t="inlineStr">
        <is>
          <t>GAS</t>
        </is>
      </c>
      <c r="C129" t="inlineStr">
        <is>
          <t>GBYD</t>
        </is>
      </c>
      <c r="D129" t="inlineStr">
        <is>
          <t>Omar B. Ceesay</t>
        </is>
      </c>
      <c r="E129" t="inlineStr">
        <is>
          <t>gambia@gasaviation.com</t>
        </is>
      </c>
      <c r="F129" s="20" t="inlineStr">
        <is>
          <t>+220 705 6044</t>
        </is>
      </c>
      <c r="G129" t="n">
        <v>2</v>
      </c>
    </row>
    <row r="130">
      <c r="A130" t="inlineStr">
        <is>
          <t>Sierra Leone</t>
        </is>
      </c>
      <c r="B130" t="inlineStr">
        <is>
          <t>GAS</t>
        </is>
      </c>
      <c r="C130" t="inlineStr">
        <is>
          <t>GFLL</t>
        </is>
      </c>
      <c r="D130" t="inlineStr">
        <is>
          <t>Franklyn Samuel Atarrah</t>
        </is>
      </c>
      <c r="E130" t="inlineStr">
        <is>
          <t>sierraleone@gasaviation.com</t>
        </is>
      </c>
      <c r="F130" s="20" t="inlineStr">
        <is>
          <t>+232 76 489 060</t>
        </is>
      </c>
      <c r="G130" t="n">
        <v>1</v>
      </c>
    </row>
    <row r="131">
      <c r="A131" t="inlineStr">
        <is>
          <t>Guinea Bissau</t>
        </is>
      </c>
      <c r="B131" t="inlineStr">
        <is>
          <t>GAS</t>
        </is>
      </c>
      <c r="C131" t="inlineStr">
        <is>
          <t>GGOV</t>
        </is>
      </c>
      <c r="D131" t="inlineStr">
        <is>
          <t>Umaro Demba Balde</t>
        </is>
      </c>
      <c r="E131" t="inlineStr">
        <is>
          <t>guinea@gasaviation.com</t>
        </is>
      </c>
      <c r="F131" s="20" t="inlineStr">
        <is>
          <t>+245 955 928 588</t>
        </is>
      </c>
      <c r="G131" t="n">
        <v>1</v>
      </c>
    </row>
    <row r="132">
      <c r="A132" t="inlineStr">
        <is>
          <t>Liberia</t>
        </is>
      </c>
      <c r="B132" t="inlineStr">
        <is>
          <t>GAS</t>
        </is>
      </c>
      <c r="C132" t="inlineStr">
        <is>
          <t>GLRB</t>
        </is>
      </c>
      <c r="D132" t="inlineStr">
        <is>
          <t>Eggbert Franklyn Hamilton</t>
        </is>
      </c>
      <c r="E132" t="inlineStr">
        <is>
          <t>eggberthamilton@yahoo.com</t>
        </is>
      </c>
      <c r="F132" s="20" t="inlineStr">
        <is>
          <t>+231 88 070 2117</t>
        </is>
      </c>
      <c r="G132" t="n">
        <v>0</v>
      </c>
    </row>
    <row r="133">
      <c r="A133" t="inlineStr">
        <is>
          <t>Morocco</t>
        </is>
      </c>
      <c r="B133" t="inlineStr">
        <is>
          <t>Swissport</t>
        </is>
      </c>
      <c r="C133" t="inlineStr">
        <is>
          <t>GMAD</t>
        </is>
      </c>
      <c r="D133" t="inlineStr">
        <is>
          <t>Abdellah Maaroufi</t>
        </is>
      </c>
      <c r="E133" t="inlineStr">
        <is>
          <t>Abdellah.Maaroufi@swissportexecutive.com</t>
        </is>
      </c>
      <c r="F133" s="20" t="inlineStr">
        <is>
          <t>+212 625 572 014</t>
        </is>
      </c>
      <c r="G133" t="n">
        <v>2</v>
      </c>
    </row>
    <row r="134">
      <c r="A134" t="inlineStr">
        <is>
          <t>Morocco</t>
        </is>
      </c>
      <c r="B134" t="inlineStr">
        <is>
          <t>Swissport</t>
        </is>
      </c>
      <c r="C134" t="inlineStr">
        <is>
          <t>GMFF</t>
        </is>
      </c>
      <c r="D134" t="inlineStr">
        <is>
          <t>Mouhieddine</t>
        </is>
      </c>
      <c r="E134" t="inlineStr">
        <is>
          <t>MA.OCC-SEA@swissportexecutive.com</t>
        </is>
      </c>
      <c r="F134" s="20" t="inlineStr">
        <is>
          <t>+212 610 452 304</t>
        </is>
      </c>
      <c r="G134" t="n">
        <v>0</v>
      </c>
    </row>
    <row r="135">
      <c r="A135" t="inlineStr">
        <is>
          <t>Morocco</t>
        </is>
      </c>
      <c r="B135" t="inlineStr">
        <is>
          <t>Swissport</t>
        </is>
      </c>
      <c r="C135" t="inlineStr">
        <is>
          <t>GMFK</t>
        </is>
      </c>
      <c r="D135" t="inlineStr">
        <is>
          <t>Frederic Perez</t>
        </is>
      </c>
      <c r="E135" t="inlineStr">
        <is>
          <t>frederic.perez@swissportexecutive.com</t>
        </is>
      </c>
      <c r="F135" s="20" t="inlineStr">
        <is>
          <t>+212 625 57 2049</t>
        </is>
      </c>
      <c r="G135" t="n">
        <v>3</v>
      </c>
    </row>
    <row r="136">
      <c r="A136" t="inlineStr">
        <is>
          <t>Morocco</t>
        </is>
      </c>
      <c r="B136" t="inlineStr">
        <is>
          <t>Swissport</t>
        </is>
      </c>
      <c r="C136" t="inlineStr">
        <is>
          <t>GMME</t>
        </is>
      </c>
      <c r="D136" t="inlineStr">
        <is>
          <t>Mohammed AIT Elbacha</t>
        </is>
      </c>
      <c r="E136" t="inlineStr">
        <is>
          <t>mohamed.ait-elbacha@swissportexecutive.com</t>
        </is>
      </c>
      <c r="F136" s="20" t="inlineStr">
        <is>
          <t>+212 625 57 2051</t>
        </is>
      </c>
      <c r="G136" t="n">
        <v>0</v>
      </c>
    </row>
    <row r="137">
      <c r="A137" t="inlineStr">
        <is>
          <t>Morocco</t>
        </is>
      </c>
      <c r="B137" t="inlineStr">
        <is>
          <t>Swissport</t>
        </is>
      </c>
      <c r="C137" t="inlineStr">
        <is>
          <t>GMMN</t>
        </is>
      </c>
      <c r="D137" t="inlineStr">
        <is>
          <t>Ahmed Amine El Bacha</t>
        </is>
      </c>
      <c r="E137" t="inlineStr">
        <is>
          <t>ahmed-amine.elbacha@swissportexecutive.com</t>
        </is>
      </c>
      <c r="F137" s="20" t="inlineStr">
        <is>
          <t>+212620572078</t>
        </is>
      </c>
      <c r="G137" t="n">
        <v>1</v>
      </c>
    </row>
    <row r="138">
      <c r="A138" t="inlineStr">
        <is>
          <t>Morocco</t>
        </is>
      </c>
      <c r="B138" t="inlineStr">
        <is>
          <t>Stars Aviation Services</t>
        </is>
      </c>
      <c r="C138" t="inlineStr">
        <is>
          <t>GMMX</t>
        </is>
      </c>
      <c r="D138" t="inlineStr">
        <is>
          <t>Karima</t>
        </is>
      </c>
      <c r="E138" t="inlineStr">
        <is>
          <t>starsrak@starsaviationservices.com</t>
        </is>
      </c>
      <c r="F138" s="20" t="inlineStr">
        <is>
          <t>+212 661 143 469</t>
        </is>
      </c>
      <c r="G138" t="n">
        <v>1</v>
      </c>
    </row>
    <row r="139">
      <c r="A139" t="inlineStr">
        <is>
          <t>Morocco</t>
        </is>
      </c>
      <c r="B139" t="inlineStr">
        <is>
          <t>Swissport</t>
        </is>
      </c>
      <c r="C139" t="inlineStr">
        <is>
          <t>GMMX</t>
        </is>
      </c>
      <c r="D139" t="inlineStr">
        <is>
          <t>Amine Ezzabour</t>
        </is>
      </c>
      <c r="E139" t="inlineStr">
        <is>
          <t>amine.ezzabour@swissportexecutive.com</t>
        </is>
      </c>
      <c r="F139" s="20" t="inlineStr">
        <is>
          <t>+212660572016</t>
        </is>
      </c>
      <c r="G139" t="n">
        <v>0</v>
      </c>
    </row>
    <row r="140">
      <c r="A140" t="inlineStr">
        <is>
          <t>Morocco</t>
        </is>
      </c>
      <c r="B140" t="inlineStr">
        <is>
          <t>Swissport</t>
        </is>
      </c>
      <c r="C140" t="inlineStr">
        <is>
          <t>GMMZ</t>
        </is>
      </c>
      <c r="D140" t="inlineStr">
        <is>
          <t>Ait Mbark Said</t>
        </is>
      </c>
      <c r="E140" t="inlineStr">
        <is>
          <t>Said.Aitmbarek@swissport.com</t>
        </is>
      </c>
      <c r="F140" s="20" t="inlineStr">
        <is>
          <t>+212 704443937</t>
        </is>
      </c>
      <c r="G140" t="n">
        <v>1</v>
      </c>
    </row>
    <row r="141">
      <c r="A141" t="inlineStr">
        <is>
          <t>Morocco</t>
        </is>
      </c>
      <c r="B141" t="inlineStr">
        <is>
          <t>Stars Aviation</t>
        </is>
      </c>
      <c r="C141" t="inlineStr">
        <is>
          <t>GMTT</t>
        </is>
      </c>
      <c r="D141" t="inlineStr">
        <is>
          <t>Nafea Harraj</t>
        </is>
      </c>
      <c r="E141" t="inlineStr">
        <is>
          <t>starstng@starsaviationservices.ma</t>
        </is>
      </c>
      <c r="F141" s="20" t="inlineStr">
        <is>
          <t>+212 661 801 497</t>
        </is>
      </c>
      <c r="G141" t="n">
        <v>0</v>
      </c>
    </row>
    <row r="142">
      <c r="A142" t="inlineStr">
        <is>
          <t>Morocco</t>
        </is>
      </c>
      <c r="B142" t="inlineStr">
        <is>
          <t>Swissport</t>
        </is>
      </c>
      <c r="C142" t="inlineStr">
        <is>
          <t>GMTT</t>
        </is>
      </c>
      <c r="D142" t="inlineStr">
        <is>
          <t>Narjice Chokairi</t>
        </is>
      </c>
      <c r="E142" t="inlineStr">
        <is>
          <t>narjice.chokairi@swissportexecutive.com</t>
        </is>
      </c>
      <c r="F142" s="20" t="inlineStr">
        <is>
          <t>+212 660 071 676</t>
        </is>
      </c>
      <c r="G142" t="n">
        <v>0</v>
      </c>
    </row>
    <row r="143">
      <c r="A143" t="inlineStr">
        <is>
          <t>Senegal</t>
        </is>
      </c>
      <c r="B143" t="inlineStr">
        <is>
          <t>GAS</t>
        </is>
      </c>
      <c r="C143" t="inlineStr">
        <is>
          <t>GOBD</t>
        </is>
      </c>
      <c r="D143" t="inlineStr">
        <is>
          <t>Francois Antoine Diouf</t>
        </is>
      </c>
      <c r="E143" t="inlineStr">
        <is>
          <t>senegal@gasaviation.com</t>
        </is>
      </c>
      <c r="F143" s="20" t="inlineStr">
        <is>
          <t>+221 77 658 00 37</t>
        </is>
      </c>
      <c r="G143" t="n">
        <v>1</v>
      </c>
    </row>
    <row r="144">
      <c r="A144" t="inlineStr">
        <is>
          <t>Senegal</t>
        </is>
      </c>
      <c r="B144" t="inlineStr">
        <is>
          <t>GAS</t>
        </is>
      </c>
      <c r="C144" t="inlineStr">
        <is>
          <t>GOGG</t>
        </is>
      </c>
      <c r="D144" t="inlineStr">
        <is>
          <t>Francois Antoine Diouf</t>
        </is>
      </c>
      <c r="E144" t="inlineStr">
        <is>
          <t>senegal@gasaviation.com</t>
        </is>
      </c>
      <c r="F144" s="20" t="inlineStr">
        <is>
          <t>+221 77 658 00 37</t>
        </is>
      </c>
      <c r="G144" t="n">
        <v>0</v>
      </c>
    </row>
    <row r="145">
      <c r="A145" t="inlineStr">
        <is>
          <t>Senegal</t>
        </is>
      </c>
      <c r="B145" t="inlineStr">
        <is>
          <t>GAS</t>
        </is>
      </c>
      <c r="C145" t="inlineStr">
        <is>
          <t>GOGS</t>
        </is>
      </c>
      <c r="D145" t="inlineStr">
        <is>
          <t>Francois Antoine Diouf</t>
        </is>
      </c>
      <c r="E145" t="inlineStr">
        <is>
          <t>senegal@gasaviation.com</t>
        </is>
      </c>
      <c r="F145" s="20" t="inlineStr">
        <is>
          <t>+221 77 658 00 37</t>
        </is>
      </c>
      <c r="G145" t="n">
        <v>0</v>
      </c>
    </row>
    <row r="146">
      <c r="A146" t="inlineStr">
        <is>
          <t>Senegal</t>
        </is>
      </c>
      <c r="B146" t="inlineStr">
        <is>
          <t>GAS</t>
        </is>
      </c>
      <c r="C146" t="inlineStr">
        <is>
          <t>GOOY</t>
        </is>
      </c>
      <c r="D146" t="inlineStr">
        <is>
          <t>Francois Antoine Diouf</t>
        </is>
      </c>
      <c r="E146" t="inlineStr">
        <is>
          <t>senegal@gasaviation.com</t>
        </is>
      </c>
      <c r="F146" s="20" t="inlineStr">
        <is>
          <t>+221 77 658 00 37</t>
        </is>
      </c>
      <c r="G146" t="n">
        <v>1</v>
      </c>
    </row>
    <row r="147">
      <c r="A147" t="inlineStr">
        <is>
          <t>Senegal</t>
        </is>
      </c>
      <c r="B147" t="inlineStr">
        <is>
          <t>Senegal Handling Service</t>
        </is>
      </c>
      <c r="C147" t="inlineStr">
        <is>
          <t>GOOY</t>
        </is>
      </c>
      <c r="D147" t="inlineStr">
        <is>
          <t>Moustapha Diop</t>
        </is>
      </c>
      <c r="E147" t="inlineStr">
        <is>
          <t>shs@shs.aero</t>
        </is>
      </c>
      <c r="F147" s="20" t="inlineStr">
        <is>
          <t>+221781533447</t>
        </is>
      </c>
      <c r="G147" t="n">
        <v>0</v>
      </c>
    </row>
    <row r="148">
      <c r="A148" t="inlineStr">
        <is>
          <t>Senegal</t>
        </is>
      </c>
      <c r="B148" t="inlineStr">
        <is>
          <t>GAS</t>
        </is>
      </c>
      <c r="C148" t="inlineStr">
        <is>
          <t>GOSS</t>
        </is>
      </c>
      <c r="D148" t="inlineStr">
        <is>
          <t>Francois Antoine Diouf</t>
        </is>
      </c>
      <c r="E148" t="inlineStr">
        <is>
          <t>senegal@gasaviation.com</t>
        </is>
      </c>
      <c r="F148" s="20" t="inlineStr">
        <is>
          <t>+221 77 658 00 37</t>
        </is>
      </c>
      <c r="G148" t="n">
        <v>0</v>
      </c>
    </row>
    <row r="149">
      <c r="A149" t="inlineStr">
        <is>
          <t>Senegal</t>
        </is>
      </c>
      <c r="B149" t="inlineStr">
        <is>
          <t>GAS</t>
        </is>
      </c>
      <c r="C149" t="inlineStr">
        <is>
          <t>GOTT</t>
        </is>
      </c>
      <c r="D149" t="inlineStr">
        <is>
          <t>Francois Antoine Diouf</t>
        </is>
      </c>
      <c r="E149" t="inlineStr">
        <is>
          <t>senegal@gasaviation.com</t>
        </is>
      </c>
      <c r="F149" s="20" t="inlineStr">
        <is>
          <t>+221 77 658 00 37</t>
        </is>
      </c>
      <c r="G149" t="n">
        <v>0</v>
      </c>
    </row>
    <row r="150">
      <c r="A150" t="inlineStr">
        <is>
          <t>Mauritania</t>
        </is>
      </c>
      <c r="B150" t="inlineStr">
        <is>
          <t>Air Service</t>
        </is>
      </c>
      <c r="C150" t="inlineStr">
        <is>
          <t>GQNK</t>
        </is>
      </c>
      <c r="D150" t="inlineStr">
        <is>
          <t>Cheikh Ahmed</t>
        </is>
      </c>
      <c r="E150" t="inlineStr">
        <is>
          <t>airsvh@yahoo.fr</t>
        </is>
      </c>
      <c r="F150" s="20" t="inlineStr">
        <is>
          <t>+22236301900</t>
        </is>
      </c>
      <c r="G150" t="n">
        <v>0</v>
      </c>
    </row>
    <row r="151">
      <c r="A151" t="inlineStr">
        <is>
          <t>Mauritania</t>
        </is>
      </c>
      <c r="B151" t="inlineStr">
        <is>
          <t>Air Service</t>
        </is>
      </c>
      <c r="C151" t="inlineStr">
        <is>
          <t>GQNO</t>
        </is>
      </c>
      <c r="D151" t="inlineStr">
        <is>
          <t>Cheikh Ahmed</t>
        </is>
      </c>
      <c r="E151" t="inlineStr">
        <is>
          <t>airsvh@yahoo.fr</t>
        </is>
      </c>
      <c r="F151" s="20" t="inlineStr">
        <is>
          <t>+22236301900</t>
        </is>
      </c>
      <c r="G151" t="n">
        <v>0</v>
      </c>
    </row>
    <row r="152">
      <c r="A152" t="inlineStr">
        <is>
          <t>Guinea</t>
        </is>
      </c>
      <c r="B152" t="inlineStr">
        <is>
          <t>GAS</t>
        </is>
      </c>
      <c r="C152" t="inlineStr">
        <is>
          <t>GUCY</t>
        </is>
      </c>
      <c r="D152" t="inlineStr">
        <is>
          <t>Abdoulaye Kouyate</t>
        </is>
      </c>
      <c r="E152" t="inlineStr">
        <is>
          <t>abdkouyate@yahoo.fr</t>
        </is>
      </c>
      <c r="F152" s="20" t="inlineStr">
        <is>
          <t>+224 655 25 04 26</t>
        </is>
      </c>
      <c r="G152" t="n">
        <v>0</v>
      </c>
    </row>
    <row r="153">
      <c r="A153" t="inlineStr">
        <is>
          <t>Cape Verde</t>
        </is>
      </c>
      <c r="B153" t="inlineStr">
        <is>
          <t>Safeport</t>
        </is>
      </c>
      <c r="C153" t="inlineStr">
        <is>
          <t>GVAC</t>
        </is>
      </c>
      <c r="D153" t="inlineStr">
        <is>
          <t>Marlice Centeio</t>
        </is>
      </c>
      <c r="E153" t="inlineStr">
        <is>
          <t>safeport.cv@sapo.cv</t>
        </is>
      </c>
      <c r="F153" s="20" t="inlineStr">
        <is>
          <t>+238 9978914</t>
        </is>
      </c>
      <c r="G153" t="n">
        <v>1</v>
      </c>
    </row>
    <row r="154">
      <c r="A154" t="inlineStr">
        <is>
          <t>Cape Verde</t>
        </is>
      </c>
      <c r="B154" t="inlineStr">
        <is>
          <t>Safeport</t>
        </is>
      </c>
      <c r="C154" t="inlineStr">
        <is>
          <t>GVNP</t>
        </is>
      </c>
      <c r="D154" t="inlineStr">
        <is>
          <t>Kevyn Ramos</t>
        </is>
      </c>
      <c r="E154" t="inlineStr">
        <is>
          <t>SAFEPORT.GVNP@SAPO.CV</t>
        </is>
      </c>
      <c r="F154" s="20" t="inlineStr">
        <is>
          <t>+2389921632</t>
        </is>
      </c>
      <c r="G154" t="n">
        <v>0</v>
      </c>
    </row>
    <row r="155">
      <c r="A155" t="inlineStr">
        <is>
          <t>Cape Verde</t>
        </is>
      </c>
      <c r="B155" t="inlineStr">
        <is>
          <t>Omni Handling</t>
        </is>
      </c>
      <c r="C155" t="inlineStr">
        <is>
          <t>GVSV</t>
        </is>
      </c>
      <c r="D155" t="inlineStr">
        <is>
          <t>Jean Marie De Faria</t>
        </is>
      </c>
      <c r="E155" t="inlineStr">
        <is>
          <t>caboverde@omnihandling.com</t>
        </is>
      </c>
      <c r="F155" s="20" t="inlineStr">
        <is>
          <t>+238 954 46 62</t>
        </is>
      </c>
      <c r="G155" t="n">
        <v>1</v>
      </c>
    </row>
    <row r="156">
      <c r="A156" t="inlineStr">
        <is>
          <t>Ethiopia</t>
        </is>
      </c>
      <c r="B156" t="inlineStr">
        <is>
          <t>ET</t>
        </is>
      </c>
      <c r="C156" t="inlineStr">
        <is>
          <t>HAAB</t>
        </is>
      </c>
      <c r="D156" t="inlineStr">
        <is>
          <t>Tigist Aberra</t>
        </is>
      </c>
      <c r="E156" t="inlineStr">
        <is>
          <t>operations@ytavia.com</t>
        </is>
      </c>
      <c r="F156" s="20" t="inlineStr">
        <is>
          <t>+251 91 179 6399</t>
        </is>
      </c>
      <c r="G156" t="n">
        <v>0</v>
      </c>
    </row>
    <row r="157">
      <c r="A157" t="inlineStr">
        <is>
          <t>Ethiopia</t>
        </is>
      </c>
      <c r="B157" t="inlineStr">
        <is>
          <t>ET</t>
        </is>
      </c>
      <c r="C157" t="inlineStr">
        <is>
          <t>HAAM</t>
        </is>
      </c>
      <c r="D157" t="inlineStr">
        <is>
          <t>Tigist Aberra</t>
        </is>
      </c>
      <c r="E157" t="inlineStr">
        <is>
          <t>operations@ytavia.com</t>
        </is>
      </c>
      <c r="F157" s="20" t="inlineStr">
        <is>
          <t>+251 91 179 6399</t>
        </is>
      </c>
      <c r="G157" t="n">
        <v>0</v>
      </c>
    </row>
    <row r="158">
      <c r="A158" t="inlineStr">
        <is>
          <t>Ethiopia</t>
        </is>
      </c>
      <c r="B158" t="inlineStr">
        <is>
          <t>ET</t>
        </is>
      </c>
      <c r="C158" t="inlineStr">
        <is>
          <t>HABD</t>
        </is>
      </c>
      <c r="D158" t="inlineStr">
        <is>
          <t>Tigist Aberra</t>
        </is>
      </c>
      <c r="E158" t="inlineStr">
        <is>
          <t>operations@ytavia.com</t>
        </is>
      </c>
      <c r="F158" s="20" t="inlineStr">
        <is>
          <t>+251 91 179 6399</t>
        </is>
      </c>
      <c r="G158" t="n">
        <v>0</v>
      </c>
    </row>
    <row r="159">
      <c r="A159" t="inlineStr">
        <is>
          <t>Ethiopia</t>
        </is>
      </c>
      <c r="B159" t="inlineStr">
        <is>
          <t>ET</t>
        </is>
      </c>
      <c r="C159" t="inlineStr">
        <is>
          <t>HADR</t>
        </is>
      </c>
      <c r="D159" t="inlineStr">
        <is>
          <t>Tigist Aberra</t>
        </is>
      </c>
      <c r="E159" t="inlineStr">
        <is>
          <t>operations@ytavia.com</t>
        </is>
      </c>
      <c r="F159" s="20" t="inlineStr">
        <is>
          <t>+251 91 179 6399</t>
        </is>
      </c>
      <c r="G159" t="n">
        <v>0</v>
      </c>
    </row>
    <row r="160">
      <c r="A160" t="inlineStr">
        <is>
          <t>Ethiopia</t>
        </is>
      </c>
      <c r="B160" t="inlineStr">
        <is>
          <t>ET</t>
        </is>
      </c>
      <c r="C160" t="inlineStr">
        <is>
          <t>HALL</t>
        </is>
      </c>
      <c r="D160" t="inlineStr">
        <is>
          <t>Tigist Aberra</t>
        </is>
      </c>
      <c r="E160" t="inlineStr">
        <is>
          <t>operations@ytavia.com</t>
        </is>
      </c>
      <c r="F160" s="20" t="inlineStr">
        <is>
          <t>+251 91 179 6399</t>
        </is>
      </c>
      <c r="G160" t="n">
        <v>0</v>
      </c>
    </row>
    <row r="161">
      <c r="A161" t="inlineStr">
        <is>
          <t>Ethiopia</t>
        </is>
      </c>
      <c r="B161" t="inlineStr">
        <is>
          <t>ET</t>
        </is>
      </c>
      <c r="C161" t="inlineStr">
        <is>
          <t>HAMK</t>
        </is>
      </c>
      <c r="D161" t="inlineStr">
        <is>
          <t>Tigist Aberra</t>
        </is>
      </c>
      <c r="E161" t="inlineStr">
        <is>
          <t>operations@ytavia.com</t>
        </is>
      </c>
      <c r="F161" s="20" t="inlineStr">
        <is>
          <t>+251 91 179 6399</t>
        </is>
      </c>
      <c r="G161" t="n">
        <v>0</v>
      </c>
    </row>
    <row r="162">
      <c r="A162" t="inlineStr">
        <is>
          <t>Burundi</t>
        </is>
      </c>
      <c r="B162" t="inlineStr">
        <is>
          <t>GAS</t>
        </is>
      </c>
      <c r="C162" t="inlineStr">
        <is>
          <t>HBBA</t>
        </is>
      </c>
      <c r="D162" t="inlineStr">
        <is>
          <t>John Rutakamize</t>
        </is>
      </c>
      <c r="E162" t="inlineStr">
        <is>
          <t>johnrutakamize@gmail.com</t>
        </is>
      </c>
      <c r="F162" s="20" t="inlineStr">
        <is>
          <t>+257 79 25 34 95</t>
        </is>
      </c>
      <c r="G162" t="n">
        <v>0</v>
      </c>
    </row>
    <row r="163">
      <c r="A163" t="inlineStr">
        <is>
          <t>Somalia</t>
        </is>
      </c>
      <c r="B163" t="inlineStr">
        <is>
          <t>GAS</t>
        </is>
      </c>
      <c r="C163" t="inlineStr">
        <is>
          <t>HCMF</t>
        </is>
      </c>
      <c r="D163" t="inlineStr">
        <is>
          <t>Hussien Qubah</t>
        </is>
      </c>
      <c r="E163" t="inlineStr">
        <is>
          <t>hqubah@gasaviation.com</t>
        </is>
      </c>
      <c r="F163" s="20" t="inlineStr">
        <is>
          <t>+255 743 775 439</t>
        </is>
      </c>
      <c r="G163" t="n">
        <v>0</v>
      </c>
    </row>
    <row r="164">
      <c r="A164" t="inlineStr">
        <is>
          <t>Somalia</t>
        </is>
      </c>
      <c r="B164" t="inlineStr">
        <is>
          <t>GAS</t>
        </is>
      </c>
      <c r="C164" t="inlineStr">
        <is>
          <t>HCMK</t>
        </is>
      </c>
      <c r="D164" t="inlineStr">
        <is>
          <t>Hussien Qubah</t>
        </is>
      </c>
      <c r="E164" t="inlineStr">
        <is>
          <t>hqubah@gasaviation.com</t>
        </is>
      </c>
      <c r="F164" s="20" t="inlineStr">
        <is>
          <t>+255 743 775 439</t>
        </is>
      </c>
      <c r="G164" t="n">
        <v>0</v>
      </c>
    </row>
    <row r="165">
      <c r="A165" t="inlineStr">
        <is>
          <t>Somalia</t>
        </is>
      </c>
      <c r="B165" t="inlineStr">
        <is>
          <t>GAS</t>
        </is>
      </c>
      <c r="C165" t="inlineStr">
        <is>
          <t>HCMM</t>
        </is>
      </c>
      <c r="D165" t="inlineStr">
        <is>
          <t>Daud Adawe</t>
        </is>
      </c>
      <c r="E165" t="inlineStr">
        <is>
          <t>somalia@gasaviation.com</t>
        </is>
      </c>
      <c r="F165" s="20" t="inlineStr">
        <is>
          <t>+252 610 111 111</t>
        </is>
      </c>
      <c r="G165" t="n">
        <v>2</v>
      </c>
    </row>
    <row r="166">
      <c r="A166" t="inlineStr">
        <is>
          <t>Djibouti</t>
        </is>
      </c>
      <c r="B166" t="inlineStr">
        <is>
          <t>GAS</t>
        </is>
      </c>
      <c r="C166" t="inlineStr">
        <is>
          <t>HDAM</t>
        </is>
      </c>
      <c r="D166" t="inlineStr">
        <is>
          <t>Okieh Nour</t>
        </is>
      </c>
      <c r="E166" t="inlineStr">
        <is>
          <t>djibouti@gasaviation.com</t>
        </is>
      </c>
      <c r="F166" s="20" t="inlineStr">
        <is>
          <t>+253 77 82 33 78</t>
        </is>
      </c>
      <c r="G166" t="n">
        <v>2</v>
      </c>
    </row>
    <row r="167">
      <c r="A167" t="inlineStr">
        <is>
          <t>Egypt</t>
        </is>
      </c>
      <c r="B167" t="inlineStr">
        <is>
          <t>National Aviation</t>
        </is>
      </c>
      <c r="C167" t="inlineStr">
        <is>
          <t>HEAL</t>
        </is>
      </c>
      <c r="D167" t="inlineStr">
        <is>
          <t>Hossam Mohy</t>
        </is>
      </c>
      <c r="E167" t="inlineStr">
        <is>
          <t>operation@nationalaviationeg.com</t>
        </is>
      </c>
      <c r="F167" s="20" t="inlineStr">
        <is>
          <t>+20100 381 6044</t>
        </is>
      </c>
      <c r="G167" t="n">
        <v>0</v>
      </c>
    </row>
    <row r="168">
      <c r="A168" t="inlineStr">
        <is>
          <t>Egypt</t>
        </is>
      </c>
      <c r="B168" t="inlineStr">
        <is>
          <t>Nile Valley</t>
        </is>
      </c>
      <c r="C168" t="inlineStr">
        <is>
          <t>HEAL</t>
        </is>
      </c>
      <c r="D168" t="inlineStr">
        <is>
          <t>Mohamed Adel</t>
        </is>
      </c>
      <c r="E168" t="inlineStr">
        <is>
          <t>ops@niva.aero</t>
        </is>
      </c>
      <c r="F168" s="20" t="inlineStr">
        <is>
          <t>+201062913984</t>
        </is>
      </c>
      <c r="G168" t="n">
        <v>1</v>
      </c>
    </row>
    <row r="169">
      <c r="A169" t="inlineStr">
        <is>
          <t>Egypt</t>
        </is>
      </c>
      <c r="B169" t="inlineStr">
        <is>
          <t>Tiger Aviation</t>
        </is>
      </c>
      <c r="C169" t="inlineStr">
        <is>
          <t>HEAL</t>
        </is>
      </c>
      <c r="D169" t="inlineStr">
        <is>
          <t>Mohamed Elsayed</t>
        </is>
      </c>
      <c r="E169" t="inlineStr">
        <is>
          <t>hbe@tigeraviation.aero</t>
        </is>
      </c>
      <c r="F169" s="20" t="inlineStr">
        <is>
          <t>+20 1002 2229 67</t>
        </is>
      </c>
      <c r="G169" t="n">
        <v>0</v>
      </c>
    </row>
    <row r="170">
      <c r="A170" t="inlineStr">
        <is>
          <t>Egypt</t>
        </is>
      </c>
      <c r="B170" t="inlineStr">
        <is>
          <t>Nile Valley</t>
        </is>
      </c>
      <c r="C170" t="inlineStr">
        <is>
          <t>HEAR</t>
        </is>
      </c>
      <c r="D170" t="inlineStr">
        <is>
          <t>Mahmoud Shoukry</t>
        </is>
      </c>
      <c r="E170" t="inlineStr">
        <is>
          <t>ops@niva.aero</t>
        </is>
      </c>
      <c r="F170" s="20" t="inlineStr">
        <is>
          <t>+201008666812</t>
        </is>
      </c>
      <c r="G170" t="n">
        <v>0</v>
      </c>
    </row>
    <row r="171">
      <c r="A171" t="inlineStr">
        <is>
          <t>Egypt</t>
        </is>
      </c>
      <c r="B171" t="inlineStr">
        <is>
          <t>Nile Valley</t>
        </is>
      </c>
      <c r="C171" t="inlineStr">
        <is>
          <t>HEAT</t>
        </is>
      </c>
      <c r="D171" t="inlineStr">
        <is>
          <t>Mahmoud Fouad</t>
        </is>
      </c>
      <c r="E171" t="inlineStr">
        <is>
          <t>ops@niva.aero</t>
        </is>
      </c>
      <c r="F171" s="20" t="inlineStr">
        <is>
          <t>+201555551855</t>
        </is>
      </c>
      <c r="G171" t="n">
        <v>0</v>
      </c>
    </row>
    <row r="172">
      <c r="A172" t="inlineStr">
        <is>
          <t>Egypt</t>
        </is>
      </c>
      <c r="B172" t="inlineStr">
        <is>
          <t>Nile Valley</t>
        </is>
      </c>
      <c r="C172" t="inlineStr">
        <is>
          <t>HEAX</t>
        </is>
      </c>
      <c r="D172" t="inlineStr">
        <is>
          <t>Mohamed Adel</t>
        </is>
      </c>
      <c r="E172" t="inlineStr">
        <is>
          <t>ops@niva.aero</t>
        </is>
      </c>
      <c r="F172" s="20" t="inlineStr">
        <is>
          <t>+201062913984</t>
        </is>
      </c>
      <c r="G172" t="n">
        <v>1</v>
      </c>
    </row>
    <row r="173">
      <c r="A173" t="inlineStr">
        <is>
          <t>Egypt</t>
        </is>
      </c>
      <c r="B173" t="inlineStr">
        <is>
          <t>Nile Valley</t>
        </is>
      </c>
      <c r="C173" t="inlineStr">
        <is>
          <t>HEBA</t>
        </is>
      </c>
      <c r="D173" t="inlineStr">
        <is>
          <t>Mohamed Adel</t>
        </is>
      </c>
      <c r="E173" t="inlineStr">
        <is>
          <t>ops@niva.aero</t>
        </is>
      </c>
      <c r="F173" s="20" t="inlineStr">
        <is>
          <t>+201062913984</t>
        </is>
      </c>
      <c r="G173" t="n">
        <v>0</v>
      </c>
    </row>
    <row r="174">
      <c r="A174" t="inlineStr">
        <is>
          <t>Egypt</t>
        </is>
      </c>
      <c r="B174" t="inlineStr">
        <is>
          <t>Nile Valley</t>
        </is>
      </c>
      <c r="C174" t="inlineStr">
        <is>
          <t>HEBL</t>
        </is>
      </c>
      <c r="D174" t="inlineStr">
        <is>
          <t>Mahmoud Fouad</t>
        </is>
      </c>
      <c r="E174" t="inlineStr">
        <is>
          <t>ops@niva.aero</t>
        </is>
      </c>
      <c r="F174" s="20" t="inlineStr">
        <is>
          <t>+201555551855</t>
        </is>
      </c>
      <c r="G174" t="n">
        <v>2</v>
      </c>
    </row>
    <row r="175">
      <c r="A175" t="inlineStr">
        <is>
          <t>Egypt</t>
        </is>
      </c>
      <c r="B175" t="inlineStr">
        <is>
          <t>Egypt Jet Aviation</t>
        </is>
      </c>
      <c r="C175" t="inlineStr">
        <is>
          <t>HECA</t>
        </is>
      </c>
      <c r="D175" t="inlineStr">
        <is>
          <t>Ahmed Hamdy</t>
        </is>
      </c>
      <c r="E175" t="inlineStr">
        <is>
          <t>ops@eja.com.eg</t>
        </is>
      </c>
      <c r="F175" s="20" t="inlineStr">
        <is>
          <t>+2 0100 6484 989</t>
        </is>
      </c>
      <c r="G175" t="n">
        <v>0</v>
      </c>
    </row>
    <row r="176">
      <c r="A176" t="inlineStr">
        <is>
          <t>Egypt</t>
        </is>
      </c>
      <c r="B176" t="inlineStr">
        <is>
          <t>National Aviation</t>
        </is>
      </c>
      <c r="C176" t="inlineStr">
        <is>
          <t>HECA</t>
        </is>
      </c>
      <c r="D176" t="inlineStr">
        <is>
          <t>Hossam Mohamed</t>
        </is>
      </c>
      <c r="E176" t="inlineStr">
        <is>
          <t>operation@nationalaviationeg.com</t>
        </is>
      </c>
      <c r="F176" s="20" t="inlineStr">
        <is>
          <t>+20122 787 9784</t>
        </is>
      </c>
      <c r="G176" t="n">
        <v>0</v>
      </c>
    </row>
    <row r="177">
      <c r="A177" t="inlineStr">
        <is>
          <t>Egypt</t>
        </is>
      </c>
      <c r="B177" t="inlineStr">
        <is>
          <t>Nile Valley</t>
        </is>
      </c>
      <c r="C177" t="inlineStr">
        <is>
          <t>HECA</t>
        </is>
      </c>
      <c r="D177" t="inlineStr">
        <is>
          <t>Mahmoud Essam</t>
        </is>
      </c>
      <c r="E177" t="inlineStr">
        <is>
          <t>ops@niva.aero</t>
        </is>
      </c>
      <c r="F177" s="20" t="inlineStr">
        <is>
          <t>+201010003637</t>
        </is>
      </c>
      <c r="G177" t="n">
        <v>0</v>
      </c>
    </row>
    <row r="178">
      <c r="A178" t="inlineStr">
        <is>
          <t>Egypt</t>
        </is>
      </c>
      <c r="B178" t="inlineStr">
        <is>
          <t>Tiger Aviation</t>
        </is>
      </c>
      <c r="C178" t="inlineStr">
        <is>
          <t>HECA</t>
        </is>
      </c>
      <c r="D178" t="inlineStr">
        <is>
          <t>Sameh Tolba</t>
        </is>
      </c>
      <c r="E178" t="inlineStr">
        <is>
          <t>cairo@tigeraviation.aero</t>
        </is>
      </c>
      <c r="F178" s="20" t="inlineStr">
        <is>
          <t>+2 0122 39 50 491</t>
        </is>
      </c>
      <c r="G178" t="n">
        <v>0</v>
      </c>
    </row>
    <row r="179">
      <c r="A179" t="inlineStr">
        <is>
          <t>Egypt</t>
        </is>
      </c>
      <c r="B179" t="inlineStr">
        <is>
          <t>Z-Aviation</t>
        </is>
      </c>
      <c r="C179" t="inlineStr">
        <is>
          <t>HECA</t>
        </is>
      </c>
      <c r="D179" t="inlineStr">
        <is>
          <t>Ahmed Amin</t>
        </is>
      </c>
      <c r="E179" t="inlineStr">
        <is>
          <t>executive.flights@zasair.com</t>
        </is>
      </c>
      <c r="F179" s="20" t="inlineStr">
        <is>
          <t>+201000401800</t>
        </is>
      </c>
      <c r="G179" t="n">
        <v>0</v>
      </c>
    </row>
    <row r="180">
      <c r="A180" t="inlineStr">
        <is>
          <t>Egypt</t>
        </is>
      </c>
      <c r="B180" t="inlineStr">
        <is>
          <t>Nile Valley</t>
        </is>
      </c>
      <c r="C180" t="inlineStr">
        <is>
          <t>HECP</t>
        </is>
      </c>
      <c r="D180" t="inlineStr">
        <is>
          <t>Mahmoud Essam</t>
        </is>
      </c>
      <c r="E180" t="inlineStr">
        <is>
          <t>ops@niva.aero</t>
        </is>
      </c>
      <c r="F180" s="20" t="inlineStr">
        <is>
          <t>+201010003637</t>
        </is>
      </c>
      <c r="G180" t="n">
        <v>0</v>
      </c>
    </row>
    <row r="181">
      <c r="A181" t="inlineStr">
        <is>
          <t>Egypt</t>
        </is>
      </c>
      <c r="B181" t="inlineStr">
        <is>
          <t>Nile Valley</t>
        </is>
      </c>
      <c r="C181" t="inlineStr">
        <is>
          <t>HEGN</t>
        </is>
      </c>
      <c r="D181" t="inlineStr">
        <is>
          <t>Mohamed Fouad</t>
        </is>
      </c>
      <c r="E181" t="inlineStr">
        <is>
          <t>ops@niva.aero</t>
        </is>
      </c>
      <c r="F181" s="20" t="inlineStr">
        <is>
          <t>+201008982186</t>
        </is>
      </c>
      <c r="G181" t="n">
        <v>2</v>
      </c>
    </row>
    <row r="182">
      <c r="A182" t="inlineStr">
        <is>
          <t>Egypt</t>
        </is>
      </c>
      <c r="B182" t="inlineStr">
        <is>
          <t>Nile Valley</t>
        </is>
      </c>
      <c r="C182" t="inlineStr">
        <is>
          <t>HEGO</t>
        </is>
      </c>
      <c r="D182" t="inlineStr">
        <is>
          <t>Mohamed Fouad</t>
        </is>
      </c>
      <c r="E182" t="inlineStr">
        <is>
          <t>ops@niva.aero</t>
        </is>
      </c>
      <c r="F182" s="20" t="inlineStr">
        <is>
          <t>+201008982186</t>
        </is>
      </c>
      <c r="G182" t="n">
        <v>0</v>
      </c>
    </row>
    <row r="183">
      <c r="A183" t="inlineStr">
        <is>
          <t>Egypt</t>
        </is>
      </c>
      <c r="B183" t="inlineStr">
        <is>
          <t>Tiger Aviation</t>
        </is>
      </c>
      <c r="C183" t="inlineStr">
        <is>
          <t>HEGO</t>
        </is>
      </c>
      <c r="D183" t="inlineStr">
        <is>
          <t>Hisham Seddik</t>
        </is>
      </c>
      <c r="E183" t="inlineStr">
        <is>
          <t>hurghada@tigeraviation.aero</t>
        </is>
      </c>
      <c r="F183" s="20" t="inlineStr">
        <is>
          <t>+201223190288</t>
        </is>
      </c>
      <c r="G183" t="n">
        <v>0</v>
      </c>
    </row>
    <row r="184">
      <c r="A184" t="inlineStr">
        <is>
          <t>Egypt</t>
        </is>
      </c>
      <c r="B184" t="inlineStr">
        <is>
          <t>Nile Valley</t>
        </is>
      </c>
      <c r="C184" t="inlineStr">
        <is>
          <t>HELX</t>
        </is>
      </c>
      <c r="D184" t="inlineStr">
        <is>
          <t>Mahmoud Fouad</t>
        </is>
      </c>
      <c r="E184" t="inlineStr">
        <is>
          <t>ops@niva.aero</t>
        </is>
      </c>
      <c r="F184" s="20" t="inlineStr">
        <is>
          <t>+201555551855</t>
        </is>
      </c>
      <c r="G184" t="n">
        <v>1</v>
      </c>
    </row>
    <row r="185">
      <c r="A185" t="inlineStr">
        <is>
          <t>Egypt</t>
        </is>
      </c>
      <c r="B185" t="inlineStr">
        <is>
          <t>Z-Aviation</t>
        </is>
      </c>
      <c r="C185" t="inlineStr">
        <is>
          <t>HELX</t>
        </is>
      </c>
      <c r="D185" t="inlineStr">
        <is>
          <t>Emad Salah</t>
        </is>
      </c>
      <c r="E185" t="inlineStr">
        <is>
          <t>lxr.manager@zasair.com</t>
        </is>
      </c>
      <c r="F185" s="20" t="inlineStr">
        <is>
          <t>+201068828370</t>
        </is>
      </c>
      <c r="G185" t="n">
        <v>0</v>
      </c>
    </row>
    <row r="186">
      <c r="A186" t="inlineStr">
        <is>
          <t>Egypt</t>
        </is>
      </c>
      <c r="B186" t="inlineStr">
        <is>
          <t>Nile Valley</t>
        </is>
      </c>
      <c r="C186" t="inlineStr">
        <is>
          <t>HEMA</t>
        </is>
      </c>
      <c r="D186" t="inlineStr">
        <is>
          <t>Mohamed Fouad</t>
        </is>
      </c>
      <c r="E186" t="inlineStr">
        <is>
          <t>ops@niva.aero</t>
        </is>
      </c>
      <c r="F186" s="20" t="inlineStr">
        <is>
          <t>+201008982186</t>
        </is>
      </c>
      <c r="G186" t="n">
        <v>0</v>
      </c>
    </row>
    <row r="187">
      <c r="A187" t="inlineStr">
        <is>
          <t>Egypt</t>
        </is>
      </c>
      <c r="B187" t="inlineStr">
        <is>
          <t>Nile Valley</t>
        </is>
      </c>
      <c r="C187" t="inlineStr">
        <is>
          <t>HEMM</t>
        </is>
      </c>
      <c r="D187" t="inlineStr">
        <is>
          <t>Mohamed Adel</t>
        </is>
      </c>
      <c r="E187" t="inlineStr">
        <is>
          <t>ops@niva.aero</t>
        </is>
      </c>
      <c r="F187" s="20" t="inlineStr">
        <is>
          <t>+201062913984</t>
        </is>
      </c>
      <c r="G187" t="n">
        <v>0</v>
      </c>
    </row>
    <row r="188">
      <c r="A188" t="inlineStr">
        <is>
          <t>Egypt</t>
        </is>
      </c>
      <c r="B188" t="inlineStr">
        <is>
          <t>Nile Valley</t>
        </is>
      </c>
      <c r="C188" t="inlineStr">
        <is>
          <t>HEPS</t>
        </is>
      </c>
      <c r="D188" t="inlineStr">
        <is>
          <t>Mahmoud Essam</t>
        </is>
      </c>
      <c r="E188" t="inlineStr">
        <is>
          <t>ops@niva.aero</t>
        </is>
      </c>
      <c r="F188" s="20" t="inlineStr">
        <is>
          <t>+201010003637</t>
        </is>
      </c>
      <c r="G188" t="n">
        <v>0</v>
      </c>
    </row>
    <row r="189">
      <c r="A189" t="inlineStr">
        <is>
          <t>Egypt</t>
        </is>
      </c>
      <c r="B189" t="inlineStr">
        <is>
          <t>Nile Valley</t>
        </is>
      </c>
      <c r="C189" t="inlineStr">
        <is>
          <t>HESG</t>
        </is>
      </c>
      <c r="D189" t="inlineStr">
        <is>
          <t>Mahmoud Fouad</t>
        </is>
      </c>
      <c r="E189" t="inlineStr">
        <is>
          <t>ops@niva.aero</t>
        </is>
      </c>
      <c r="F189" s="20" t="inlineStr">
        <is>
          <t>+201555551855</t>
        </is>
      </c>
      <c r="G189" t="n">
        <v>0</v>
      </c>
    </row>
    <row r="190">
      <c r="A190" t="inlineStr">
        <is>
          <t>Egypt</t>
        </is>
      </c>
      <c r="B190" t="inlineStr">
        <is>
          <t>Nile Valley</t>
        </is>
      </c>
      <c r="C190" t="inlineStr">
        <is>
          <t>HESH</t>
        </is>
      </c>
      <c r="D190" t="inlineStr">
        <is>
          <t>Mahmoud Shoukry</t>
        </is>
      </c>
      <c r="E190" t="inlineStr">
        <is>
          <t>ops@niva.aero</t>
        </is>
      </c>
      <c r="F190" s="20" t="inlineStr">
        <is>
          <t>+201008666812</t>
        </is>
      </c>
      <c r="G190" t="n">
        <v>0</v>
      </c>
    </row>
    <row r="191">
      <c r="A191" t="inlineStr">
        <is>
          <t>Egypt</t>
        </is>
      </c>
      <c r="B191" t="inlineStr">
        <is>
          <t>Z-Aviation</t>
        </is>
      </c>
      <c r="C191" t="inlineStr">
        <is>
          <t>HESH</t>
        </is>
      </c>
      <c r="D191" t="inlineStr">
        <is>
          <t>Ahmed El-Gendy</t>
        </is>
      </c>
      <c r="E191" t="inlineStr">
        <is>
          <t>ssh@zasair.com</t>
        </is>
      </c>
      <c r="F191" s="20" t="inlineStr">
        <is>
          <t>+201068828364</t>
        </is>
      </c>
      <c r="G191" t="n">
        <v>0</v>
      </c>
    </row>
    <row r="192">
      <c r="A192" t="inlineStr">
        <is>
          <t>Egypt</t>
        </is>
      </c>
      <c r="B192" t="inlineStr">
        <is>
          <t>Nile Valley</t>
        </is>
      </c>
      <c r="C192" t="inlineStr">
        <is>
          <t>HESN</t>
        </is>
      </c>
      <c r="D192" t="inlineStr">
        <is>
          <t>Mahmoud Fouad</t>
        </is>
      </c>
      <c r="E192" t="inlineStr">
        <is>
          <t>ops@niva.aero</t>
        </is>
      </c>
      <c r="F192" s="20" t="inlineStr">
        <is>
          <t>+201555551855</t>
        </is>
      </c>
      <c r="G192" t="n">
        <v>1</v>
      </c>
    </row>
    <row r="193">
      <c r="A193" t="inlineStr">
        <is>
          <t>Egypt</t>
        </is>
      </c>
      <c r="B193" t="inlineStr">
        <is>
          <t>Z-Aviation</t>
        </is>
      </c>
      <c r="C193" t="inlineStr">
        <is>
          <t>HESN</t>
        </is>
      </c>
      <c r="D193" t="inlineStr">
        <is>
          <t>Khaled Al-Khateeb</t>
        </is>
      </c>
      <c r="E193" t="inlineStr">
        <is>
          <t>asw@zasair.com</t>
        </is>
      </c>
      <c r="F193" s="20" t="inlineStr">
        <is>
          <t>+201007911100</t>
        </is>
      </c>
      <c r="G193" t="n">
        <v>0</v>
      </c>
    </row>
    <row r="194">
      <c r="A194" t="inlineStr">
        <is>
          <t>Egypt</t>
        </is>
      </c>
      <c r="B194" t="inlineStr">
        <is>
          <t>Nile Valley</t>
        </is>
      </c>
      <c r="C194" t="inlineStr">
        <is>
          <t>HESX</t>
        </is>
      </c>
      <c r="D194" t="inlineStr">
        <is>
          <t>Mohammed Fouad</t>
        </is>
      </c>
      <c r="E194" t="inlineStr">
        <is>
          <t>ops@niva.aero</t>
        </is>
      </c>
      <c r="F194" s="20" t="inlineStr">
        <is>
          <t>+201008982186</t>
        </is>
      </c>
      <c r="G194" t="n">
        <v>3</v>
      </c>
    </row>
    <row r="195">
      <c r="A195" t="inlineStr">
        <is>
          <t>Eritrea</t>
        </is>
      </c>
      <c r="B195" t="inlineStr">
        <is>
          <t>GAS</t>
        </is>
      </c>
      <c r="C195" t="inlineStr">
        <is>
          <t>HHAS</t>
        </is>
      </c>
      <c r="D195" t="inlineStr">
        <is>
          <t>Mohammed Daleel</t>
        </is>
      </c>
      <c r="E195" t="inlineStr">
        <is>
          <t>eritrea@gasaviation.com</t>
        </is>
      </c>
      <c r="F195" s="20" t="inlineStr">
        <is>
          <t>+291 7455008</t>
        </is>
      </c>
      <c r="G195" t="n">
        <v>1</v>
      </c>
    </row>
    <row r="196">
      <c r="A196" t="inlineStr">
        <is>
          <t>Eritrea</t>
        </is>
      </c>
      <c r="B196" t="inlineStr">
        <is>
          <t>GAS</t>
        </is>
      </c>
      <c r="C196" t="inlineStr">
        <is>
          <t>HHMS</t>
        </is>
      </c>
      <c r="D196" t="inlineStr">
        <is>
          <t>Mohammed Daleel</t>
        </is>
      </c>
      <c r="E196" t="inlineStr">
        <is>
          <t>asm.station@tarcoaviation.com</t>
        </is>
      </c>
      <c r="F196" s="20" t="inlineStr">
        <is>
          <t>+291 7455008</t>
        </is>
      </c>
      <c r="G196" t="n">
        <v>0</v>
      </c>
    </row>
    <row r="197">
      <c r="A197" t="inlineStr">
        <is>
          <t>Eritrea</t>
        </is>
      </c>
      <c r="B197" t="inlineStr">
        <is>
          <t>GAS</t>
        </is>
      </c>
      <c r="C197" t="inlineStr">
        <is>
          <t>HHSB</t>
        </is>
      </c>
      <c r="D197" t="inlineStr">
        <is>
          <t>Mohammed Daleel</t>
        </is>
      </c>
      <c r="E197" t="inlineStr">
        <is>
          <t>asm.station@tarcoaviation.com</t>
        </is>
      </c>
      <c r="F197" s="20" t="inlineStr">
        <is>
          <t>+291 7455008</t>
        </is>
      </c>
      <c r="G197" t="n">
        <v>0</v>
      </c>
    </row>
    <row r="198">
      <c r="A198" t="inlineStr">
        <is>
          <t>Kenya</t>
        </is>
      </c>
      <c r="B198" t="inlineStr">
        <is>
          <t>AGSC</t>
        </is>
      </c>
      <c r="C198" t="inlineStr">
        <is>
          <t>HKIS</t>
        </is>
      </c>
      <c r="D198" t="inlineStr">
        <is>
          <t>Maurice Adipo</t>
        </is>
      </c>
      <c r="E198" t="inlineStr">
        <is>
          <t>madipo@agsc-africa.com</t>
        </is>
      </c>
      <c r="F198" s="20" t="inlineStr">
        <is>
          <t>+25419172556</t>
        </is>
      </c>
      <c r="G198" t="n">
        <v>0</v>
      </c>
    </row>
    <row r="199">
      <c r="A199" t="inlineStr">
        <is>
          <t>Kenya</t>
        </is>
      </c>
      <c r="B199" t="inlineStr">
        <is>
          <t>AGSC Africa</t>
        </is>
      </c>
      <c r="C199" t="inlineStr">
        <is>
          <t>HKJK</t>
        </is>
      </c>
      <c r="D199" t="inlineStr">
        <is>
          <t>John Macharia</t>
        </is>
      </c>
      <c r="E199" t="inlineStr">
        <is>
          <t>john.m@agsc-africa.com</t>
        </is>
      </c>
      <c r="F199" s="20" t="inlineStr">
        <is>
          <t>+254 770 220578</t>
        </is>
      </c>
      <c r="G199" t="n">
        <v>0</v>
      </c>
    </row>
    <row r="200">
      <c r="A200" t="inlineStr">
        <is>
          <t>Kenya</t>
        </is>
      </c>
      <c r="B200" t="inlineStr">
        <is>
          <t>GAS</t>
        </is>
      </c>
      <c r="C200" t="inlineStr">
        <is>
          <t>HKJK</t>
        </is>
      </c>
      <c r="D200" t="inlineStr">
        <is>
          <t>Mike Nkwande</t>
        </is>
      </c>
      <c r="E200" t="inlineStr">
        <is>
          <t>kenya@gasaviation.com</t>
        </is>
      </c>
      <c r="F200" s="20" t="inlineStr">
        <is>
          <t>+254 785 887 766</t>
        </is>
      </c>
      <c r="G200" t="n">
        <v>3</v>
      </c>
    </row>
    <row r="201">
      <c r="A201" t="inlineStr">
        <is>
          <t>Kenya</t>
        </is>
      </c>
      <c r="B201" t="inlineStr">
        <is>
          <t>Trade Winds</t>
        </is>
      </c>
      <c r="C201" t="inlineStr">
        <is>
          <t>HKJK</t>
        </is>
      </c>
      <c r="D201" t="inlineStr">
        <is>
          <t>Collins</t>
        </is>
      </c>
      <c r="E201" t="inlineStr">
        <is>
          <t>operations@tradewindskenya.com</t>
        </is>
      </c>
      <c r="F201" s="20" t="inlineStr">
        <is>
          <t>+25722853784</t>
        </is>
      </c>
      <c r="G201" t="n">
        <v>1</v>
      </c>
    </row>
    <row r="202">
      <c r="A202" t="inlineStr">
        <is>
          <t>Kenya</t>
        </is>
      </c>
      <c r="B202" t="inlineStr">
        <is>
          <t>AGSC</t>
        </is>
      </c>
      <c r="C202" t="inlineStr">
        <is>
          <t>HKKI</t>
        </is>
      </c>
      <c r="D202" t="inlineStr">
        <is>
          <t>Maurice Adipo</t>
        </is>
      </c>
      <c r="E202" t="inlineStr">
        <is>
          <t>madipo@agsc-africa.com</t>
        </is>
      </c>
      <c r="F202" s="20" t="inlineStr">
        <is>
          <t>+25419172556</t>
        </is>
      </c>
      <c r="G202" t="n">
        <v>0</v>
      </c>
    </row>
    <row r="203">
      <c r="A203" t="inlineStr">
        <is>
          <t>Kenya</t>
        </is>
      </c>
      <c r="B203" t="inlineStr">
        <is>
          <t>AGSC</t>
        </is>
      </c>
      <c r="C203" t="inlineStr">
        <is>
          <t>HKMO</t>
        </is>
      </c>
      <c r="D203" t="inlineStr">
        <is>
          <t>Maurice Adipo</t>
        </is>
      </c>
      <c r="E203" t="inlineStr">
        <is>
          <t>madipo@agsc-africa.com</t>
        </is>
      </c>
      <c r="F203" s="20" t="inlineStr">
        <is>
          <t>+25419172556</t>
        </is>
      </c>
      <c r="G203" t="n">
        <v>0</v>
      </c>
    </row>
    <row r="204">
      <c r="A204" t="inlineStr">
        <is>
          <t>Kenya</t>
        </is>
      </c>
      <c r="B204" t="inlineStr">
        <is>
          <t>Tradewinds</t>
        </is>
      </c>
      <c r="C204" t="inlineStr">
        <is>
          <t>HKMO</t>
        </is>
      </c>
      <c r="D204" t="inlineStr">
        <is>
          <t>Peter Amukoa</t>
        </is>
      </c>
      <c r="E204" t="inlineStr">
        <is>
          <t>mbaops@tradewindskenya.com</t>
        </is>
      </c>
      <c r="F204" s="20" t="inlineStr">
        <is>
          <t>+254786311549</t>
        </is>
      </c>
      <c r="G204" t="n">
        <v>0</v>
      </c>
    </row>
    <row r="205">
      <c r="A205" t="inlineStr">
        <is>
          <t>Kenya</t>
        </is>
      </c>
      <c r="B205" t="inlineStr">
        <is>
          <t>AGSC</t>
        </is>
      </c>
      <c r="C205" t="inlineStr">
        <is>
          <t>HKNL</t>
        </is>
      </c>
      <c r="D205" t="inlineStr">
        <is>
          <t>Maurice Adipo</t>
        </is>
      </c>
      <c r="E205" t="inlineStr">
        <is>
          <t>madipo@agsc-africa.com</t>
        </is>
      </c>
      <c r="F205" s="20" t="inlineStr">
        <is>
          <t>+25419172556</t>
        </is>
      </c>
      <c r="G205" t="n">
        <v>0</v>
      </c>
    </row>
    <row r="206">
      <c r="A206" t="inlineStr">
        <is>
          <t>Kenya</t>
        </is>
      </c>
      <c r="B206" t="inlineStr">
        <is>
          <t>AGSC</t>
        </is>
      </c>
      <c r="C206" t="inlineStr">
        <is>
          <t>HKNW</t>
        </is>
      </c>
      <c r="D206" t="inlineStr">
        <is>
          <t>Maurice Adipo</t>
        </is>
      </c>
      <c r="E206" t="inlineStr">
        <is>
          <t>madipo@agsc-africa.com</t>
        </is>
      </c>
      <c r="F206" s="20" t="inlineStr">
        <is>
          <t>+25419172556</t>
        </is>
      </c>
      <c r="G206" t="n">
        <v>0</v>
      </c>
    </row>
    <row r="207">
      <c r="A207" t="inlineStr">
        <is>
          <t>Rwanda</t>
        </is>
      </c>
      <c r="B207" t="inlineStr">
        <is>
          <t>GAS</t>
        </is>
      </c>
      <c r="C207" t="inlineStr">
        <is>
          <t>HRYR</t>
        </is>
      </c>
      <c r="D207" t="inlineStr">
        <is>
          <t>Sam Manzi</t>
        </is>
      </c>
      <c r="E207" t="inlineStr">
        <is>
          <t>rwanda@gasaviation.com</t>
        </is>
      </c>
      <c r="F207" s="20" t="inlineStr">
        <is>
          <t>+250 789 491 820</t>
        </is>
      </c>
      <c r="G207" t="n">
        <v>4</v>
      </c>
    </row>
    <row r="208">
      <c r="A208" t="inlineStr">
        <is>
          <t>South Sudan</t>
        </is>
      </c>
      <c r="B208" t="inlineStr">
        <is>
          <t>GAS</t>
        </is>
      </c>
      <c r="C208" t="inlineStr">
        <is>
          <t>HSSJ</t>
        </is>
      </c>
      <c r="D208" t="inlineStr">
        <is>
          <t>Ceasar Gubang Michaya</t>
        </is>
      </c>
      <c r="E208" t="inlineStr">
        <is>
          <t>ontimeaviationservices@gmail.com</t>
        </is>
      </c>
      <c r="F208" s="20" t="inlineStr">
        <is>
          <t>+211 911 622 802</t>
        </is>
      </c>
      <c r="G208" t="n">
        <v>0</v>
      </c>
    </row>
    <row r="209">
      <c r="A209" t="inlineStr">
        <is>
          <t>Sudan</t>
        </is>
      </c>
      <c r="B209" t="inlineStr">
        <is>
          <t>GAS</t>
        </is>
      </c>
      <c r="C209" t="inlineStr">
        <is>
          <t>HSSK</t>
        </is>
      </c>
      <c r="D209" t="inlineStr">
        <is>
          <t>Fatah Hadi</t>
        </is>
      </c>
      <c r="E209" t="inlineStr">
        <is>
          <t>ops24@gasaviation.com</t>
        </is>
      </c>
      <c r="F209" s="20" t="inlineStr">
        <is>
          <t>+249 91 236 9548</t>
        </is>
      </c>
      <c r="G209" t="n">
        <v>0</v>
      </c>
    </row>
    <row r="210">
      <c r="A210" t="inlineStr">
        <is>
          <t>Tanzania</t>
        </is>
      </c>
      <c r="B210" t="inlineStr">
        <is>
          <t>VIA Aviation</t>
        </is>
      </c>
      <c r="C210" t="inlineStr">
        <is>
          <t>HTDA</t>
        </is>
      </c>
      <c r="D210" t="inlineStr">
        <is>
          <t>Patian Abdul Ally</t>
        </is>
      </c>
      <c r="E210" t="inlineStr">
        <is>
          <t>dar@viaaviation.com</t>
        </is>
      </c>
      <c r="F210" s="20" t="inlineStr">
        <is>
          <t>+255 745 333 666</t>
        </is>
      </c>
      <c r="G210" t="n">
        <v>1</v>
      </c>
    </row>
    <row r="211">
      <c r="A211" t="inlineStr">
        <is>
          <t>Tanzania</t>
        </is>
      </c>
      <c r="B211" t="inlineStr">
        <is>
          <t>VIA Aviation</t>
        </is>
      </c>
      <c r="C211" t="inlineStr">
        <is>
          <t>HTKJ</t>
        </is>
      </c>
      <c r="D211" t="inlineStr">
        <is>
          <t>Pauline Kimollo</t>
        </is>
      </c>
      <c r="E211" t="inlineStr">
        <is>
          <t>kilimanjaro@viaaviation.com</t>
        </is>
      </c>
      <c r="F211" s="20" t="inlineStr">
        <is>
          <t>+255 745 333 222</t>
        </is>
      </c>
      <c r="G211" t="n">
        <v>2</v>
      </c>
    </row>
    <row r="212">
      <c r="A212" t="inlineStr">
        <is>
          <t>Tanzania</t>
        </is>
      </c>
      <c r="B212" t="inlineStr">
        <is>
          <t>VIA</t>
        </is>
      </c>
      <c r="C212" t="inlineStr">
        <is>
          <t>HTMW</t>
        </is>
      </c>
      <c r="D212" t="inlineStr">
        <is>
          <t>Collen Muguyo</t>
        </is>
      </c>
      <c r="E212" t="inlineStr">
        <is>
          <t>mwanza@viaaviation.com</t>
        </is>
      </c>
      <c r="F212" s="20" t="inlineStr">
        <is>
          <t>+255 745 333 444</t>
        </is>
      </c>
      <c r="G212" t="n">
        <v>0</v>
      </c>
    </row>
    <row r="213">
      <c r="A213" t="inlineStr">
        <is>
          <t>Uganda</t>
        </is>
      </c>
      <c r="B213" t="inlineStr">
        <is>
          <t>GAS</t>
        </is>
      </c>
      <c r="C213" t="inlineStr">
        <is>
          <t>HUEN</t>
        </is>
      </c>
      <c r="D213" t="inlineStr">
        <is>
          <t>Ironi Tom</t>
        </is>
      </c>
      <c r="E213" t="inlineStr">
        <is>
          <t>ironi@dashandling.com</t>
        </is>
      </c>
      <c r="F213" s="20" t="inlineStr">
        <is>
          <t>+256705310206</t>
        </is>
      </c>
      <c r="G213" t="n">
        <v>0</v>
      </c>
    </row>
    <row r="214">
      <c r="A214" t="inlineStr">
        <is>
          <t>Uganda</t>
        </is>
      </c>
      <c r="B214" t="inlineStr">
        <is>
          <t>GAS</t>
        </is>
      </c>
      <c r="C214" t="inlineStr">
        <is>
          <t>HUGU</t>
        </is>
      </c>
      <c r="D214" t="inlineStr">
        <is>
          <t>Ironi Tom</t>
        </is>
      </c>
      <c r="E214" t="inlineStr">
        <is>
          <t>ironi@dashandling.com</t>
        </is>
      </c>
      <c r="F214" s="20" t="inlineStr">
        <is>
          <t>+256705310206</t>
        </is>
      </c>
      <c r="G214" t="n">
        <v>0</v>
      </c>
    </row>
    <row r="215">
      <c r="A215" t="inlineStr">
        <is>
          <t>Israel</t>
        </is>
      </c>
      <c r="B215" t="inlineStr">
        <is>
          <t>QAS</t>
        </is>
      </c>
      <c r="C215" t="inlineStr">
        <is>
          <t>LLBG</t>
        </is>
      </c>
      <c r="D215" t="inlineStr">
        <is>
          <t>Mark Kaufman</t>
        </is>
      </c>
      <c r="E215" t="inlineStr">
        <is>
          <t>pvt-uaa@qasisrael.co.il</t>
        </is>
      </c>
      <c r="F215" s="20" t="inlineStr">
        <is>
          <t>+972524475700</t>
        </is>
      </c>
      <c r="G215" t="n">
        <v>19</v>
      </c>
    </row>
    <row r="216">
      <c r="A216" t="inlineStr">
        <is>
          <t>Bahrain</t>
        </is>
      </c>
      <c r="B216" t="inlineStr">
        <is>
          <t>Blue Aviation</t>
        </is>
      </c>
      <c r="C216" t="inlineStr">
        <is>
          <t>OBBI</t>
        </is>
      </c>
      <c r="D216" t="inlineStr">
        <is>
          <t>Hajer Al-Qaed</t>
        </is>
      </c>
      <c r="E216" t="inlineStr">
        <is>
          <t>Hajer@blue-aviation.com</t>
        </is>
      </c>
      <c r="F216" s="20" t="inlineStr">
        <is>
          <t>+973 38000224</t>
        </is>
      </c>
      <c r="G216" t="n">
        <v>1</v>
      </c>
    </row>
    <row r="217">
      <c r="A217" t="inlineStr">
        <is>
          <t>Saudi Arabia</t>
        </is>
      </c>
      <c r="B217" t="inlineStr">
        <is>
          <t>Jet Aviation</t>
        </is>
      </c>
      <c r="C217" t="inlineStr">
        <is>
          <t>OEAO</t>
        </is>
      </c>
      <c r="D217" t="inlineStr">
        <is>
          <t>Naser Kurdi</t>
        </is>
      </c>
      <c r="E217" t="inlineStr">
        <is>
          <t>jedfbo@jetaviation.com</t>
        </is>
      </c>
      <c r="F217" s="20" t="inlineStr">
        <is>
          <t>+966505146276</t>
        </is>
      </c>
      <c r="G217" t="n">
        <v>1</v>
      </c>
    </row>
    <row r="218">
      <c r="A218" t="inlineStr">
        <is>
          <t>Saudi Arabia</t>
        </is>
      </c>
      <c r="B218" t="inlineStr">
        <is>
          <t>Saudi Private Aviation</t>
        </is>
      </c>
      <c r="C218" t="inlineStr">
        <is>
          <t>OEAO</t>
        </is>
      </c>
      <c r="D218" t="inlineStr">
        <is>
          <t>Majed Alqhtani</t>
        </is>
      </c>
      <c r="E218" t="inlineStr">
        <is>
          <t>majalqhtani@spa.sa</t>
        </is>
      </c>
      <c r="F218" s="20" t="inlineStr">
        <is>
          <t>+966 532529836</t>
        </is>
      </c>
      <c r="G218" t="n">
        <v>0</v>
      </c>
    </row>
    <row r="219">
      <c r="A219" t="inlineStr">
        <is>
          <t>Saudi Arabia</t>
        </is>
      </c>
      <c r="B219" t="inlineStr">
        <is>
          <t>Jet Aviation</t>
        </is>
      </c>
      <c r="C219" t="inlineStr">
        <is>
          <t>OEDF</t>
        </is>
      </c>
      <c r="E219" t="inlineStr">
        <is>
          <t>jdmm@jetaviation.com.sa</t>
        </is>
      </c>
      <c r="F219" s="20" t="inlineStr">
        <is>
          <t>+966 53 906 7032</t>
        </is>
      </c>
      <c r="G219" t="n">
        <v>0</v>
      </c>
    </row>
    <row r="220">
      <c r="A220" t="inlineStr">
        <is>
          <t>Saudi Arabia</t>
        </is>
      </c>
      <c r="B220" t="inlineStr">
        <is>
          <t>Jet Aviation</t>
        </is>
      </c>
      <c r="C220" t="inlineStr">
        <is>
          <t>OEJN</t>
        </is>
      </c>
      <c r="D220" t="inlineStr">
        <is>
          <t>Rasheed Alsomali</t>
        </is>
      </c>
      <c r="E220" t="inlineStr">
        <is>
          <t>jedfbo@jetaviation.com</t>
        </is>
      </c>
      <c r="F220" s="20" t="inlineStr">
        <is>
          <t>+966 505146276</t>
        </is>
      </c>
      <c r="G220" t="n">
        <v>11</v>
      </c>
    </row>
    <row r="221">
      <c r="A221" t="inlineStr">
        <is>
          <t>Saudi Arabia</t>
        </is>
      </c>
      <c r="B221" t="inlineStr">
        <is>
          <t>Universal Aviation</t>
        </is>
      </c>
      <c r="C221" t="inlineStr">
        <is>
          <t>OEJN</t>
        </is>
      </c>
      <c r="D221" t="inlineStr">
        <is>
          <t>Mohammed Albehery</t>
        </is>
      </c>
      <c r="E221" t="inlineStr">
        <is>
          <t>malbehery@univ-wea.com</t>
        </is>
      </c>
      <c r="F221" s="20" t="inlineStr">
        <is>
          <t>+966573578815</t>
        </is>
      </c>
      <c r="G221" t="n">
        <v>0</v>
      </c>
    </row>
    <row r="222">
      <c r="A222" t="inlineStr">
        <is>
          <t>Saudi Arabia</t>
        </is>
      </c>
      <c r="B222" t="inlineStr">
        <is>
          <t>Jet Aviation</t>
        </is>
      </c>
      <c r="C222" t="inlineStr">
        <is>
          <t>OEMA</t>
        </is>
      </c>
      <c r="D222" t="inlineStr">
        <is>
          <t>Masood Khan</t>
        </is>
      </c>
      <c r="E222" t="inlineStr">
        <is>
          <t>medfbo@jetaviation.com</t>
        </is>
      </c>
      <c r="F222" s="20" t="inlineStr">
        <is>
          <t>+966 500 169 446</t>
        </is>
      </c>
      <c r="G222" t="n">
        <v>2</v>
      </c>
    </row>
    <row r="223">
      <c r="A223" t="inlineStr">
        <is>
          <t>Saudi Arabia</t>
        </is>
      </c>
      <c r="B223" t="inlineStr">
        <is>
          <t>Jet Aviation</t>
        </is>
      </c>
      <c r="C223" t="inlineStr">
        <is>
          <t>OERK</t>
        </is>
      </c>
      <c r="D223" t="inlineStr">
        <is>
          <t>Abdulmajeed Mustafa</t>
        </is>
      </c>
      <c r="E223" t="inlineStr">
        <is>
          <t>ruhfbo@jetaviation.com</t>
        </is>
      </c>
      <c r="F223" s="20" t="inlineStr">
        <is>
          <t>+966 53 040 5336</t>
        </is>
      </c>
      <c r="G223" t="n">
        <v>26</v>
      </c>
    </row>
    <row r="224">
      <c r="A224" t="inlineStr">
        <is>
          <t>Saudi Arabia</t>
        </is>
      </c>
      <c r="B224" t="inlineStr">
        <is>
          <t>Universal Aviation</t>
        </is>
      </c>
      <c r="C224" t="inlineStr">
        <is>
          <t>OERK</t>
        </is>
      </c>
      <c r="D224" t="inlineStr">
        <is>
          <t>Hayel A. Altashkandi</t>
        </is>
      </c>
      <c r="E224" t="inlineStr">
        <is>
          <t>haltashkandi@univ-wea.com</t>
        </is>
      </c>
      <c r="F224" s="20" t="inlineStr">
        <is>
          <t>+966 57 357 9945</t>
        </is>
      </c>
      <c r="G224" t="n">
        <v>0</v>
      </c>
    </row>
    <row r="225">
      <c r="A225" t="inlineStr">
        <is>
          <t>Jordan</t>
        </is>
      </c>
      <c r="B225" t="inlineStr">
        <is>
          <t>Arab Wings</t>
        </is>
      </c>
      <c r="C225" t="inlineStr">
        <is>
          <t>OJAI</t>
        </is>
      </c>
      <c r="D225" t="inlineStr">
        <is>
          <t>Anas Shomaf</t>
        </is>
      </c>
      <c r="E225" t="inlineStr">
        <is>
          <t>handling@arabwings.com.jo</t>
        </is>
      </c>
      <c r="F225" s="20" t="inlineStr">
        <is>
          <t>+962 797 54 53 04</t>
        </is>
      </c>
      <c r="G225" t="n">
        <v>1</v>
      </c>
    </row>
    <row r="226">
      <c r="A226" t="inlineStr">
        <is>
          <t>Jordan</t>
        </is>
      </c>
      <c r="B226" t="inlineStr">
        <is>
          <t>Arab Wings</t>
        </is>
      </c>
      <c r="C226" t="inlineStr">
        <is>
          <t>OJAM</t>
        </is>
      </c>
      <c r="D226" t="inlineStr">
        <is>
          <t>Ashraf Jaser</t>
        </is>
      </c>
      <c r="E226" t="inlineStr">
        <is>
          <t>handling@arabwings.com.jo</t>
        </is>
      </c>
      <c r="F226" s="20" t="inlineStr">
        <is>
          <t>+962791554765</t>
        </is>
      </c>
      <c r="G226" t="n">
        <v>2</v>
      </c>
    </row>
    <row r="227">
      <c r="A227" t="inlineStr">
        <is>
          <t>Kuwait</t>
        </is>
      </c>
      <c r="B227" t="inlineStr">
        <is>
          <t>Blue Aviation</t>
        </is>
      </c>
      <c r="C227" t="inlineStr">
        <is>
          <t>OKKK</t>
        </is>
      </c>
      <c r="D227" t="inlineStr">
        <is>
          <t>Enrico Bautista</t>
        </is>
      </c>
      <c r="E227" t="inlineStr">
        <is>
          <t>ops@blue-aviation.com</t>
        </is>
      </c>
      <c r="F227" s="20" t="inlineStr">
        <is>
          <t>+965 98063013</t>
        </is>
      </c>
      <c r="G227" t="n">
        <v>7</v>
      </c>
    </row>
    <row r="228">
      <c r="A228" t="inlineStr">
        <is>
          <t>UAE</t>
        </is>
      </c>
      <c r="B228" t="inlineStr">
        <is>
          <t>Royal Jet</t>
        </is>
      </c>
      <c r="C228" t="inlineStr">
        <is>
          <t>OMAA</t>
        </is>
      </c>
      <c r="D228" t="inlineStr">
        <is>
          <t>Niraj Thapa</t>
        </is>
      </c>
      <c r="E228" t="inlineStr">
        <is>
          <t>fboauh@royaljetgroup.com</t>
        </is>
      </c>
      <c r="F228" s="20" t="inlineStr">
        <is>
          <t>+971504469730</t>
        </is>
      </c>
      <c r="G228" t="n">
        <v>2</v>
      </c>
    </row>
    <row r="229">
      <c r="A229" t="inlineStr">
        <is>
          <t>UAE</t>
        </is>
      </c>
      <c r="B229" t="inlineStr">
        <is>
          <t>Jetex</t>
        </is>
      </c>
      <c r="C229" t="inlineStr">
        <is>
          <t>OMAD</t>
        </is>
      </c>
      <c r="D229" t="inlineStr">
        <is>
          <t>Mahesh Kumar</t>
        </is>
      </c>
      <c r="E229" t="inlineStr">
        <is>
          <t>fbo-azi@jetex.com</t>
        </is>
      </c>
      <c r="F229" s="20" t="inlineStr">
        <is>
          <t>+971 56 804 7233</t>
        </is>
      </c>
      <c r="G229" t="n">
        <v>0</v>
      </c>
    </row>
    <row r="230">
      <c r="A230" t="inlineStr">
        <is>
          <t>UAE</t>
        </is>
      </c>
      <c r="B230" t="inlineStr">
        <is>
          <t>Royal Jet</t>
        </is>
      </c>
      <c r="C230" t="inlineStr">
        <is>
          <t>OMAD</t>
        </is>
      </c>
      <c r="D230" t="inlineStr">
        <is>
          <t>Arsalan Salam</t>
        </is>
      </c>
      <c r="E230" t="inlineStr">
        <is>
          <t>fboauh@royaljetgroup.com</t>
        </is>
      </c>
      <c r="F230" s="20" t="inlineStr">
        <is>
          <t>+971504469730</t>
        </is>
      </c>
      <c r="G230" t="n">
        <v>4</v>
      </c>
    </row>
    <row r="231">
      <c r="A231" t="inlineStr">
        <is>
          <t>UAE</t>
        </is>
      </c>
      <c r="B231" t="inlineStr">
        <is>
          <t>ExecuJet</t>
        </is>
      </c>
      <c r="C231" t="inlineStr">
        <is>
          <t>OMDB</t>
        </is>
      </c>
      <c r="D231" t="inlineStr">
        <is>
          <t>Mohan Kathet</t>
        </is>
      </c>
      <c r="E231" t="inlineStr">
        <is>
          <t>mohan.kathet@execujet-me.com</t>
        </is>
      </c>
      <c r="F231" s="20" t="inlineStr">
        <is>
          <t>+971 56 418 7275</t>
        </is>
      </c>
      <c r="G231" t="n">
        <v>1</v>
      </c>
    </row>
    <row r="232">
      <c r="A232" t="inlineStr">
        <is>
          <t>UAE</t>
        </is>
      </c>
      <c r="B232" t="inlineStr">
        <is>
          <t>Execujet Middle East</t>
        </is>
      </c>
      <c r="C232" t="inlineStr">
        <is>
          <t>OMDB</t>
        </is>
      </c>
      <c r="D232" t="inlineStr">
        <is>
          <t>Shakeer Hassan</t>
        </is>
      </c>
      <c r="E232" t="inlineStr">
        <is>
          <t>fbo.omdb@execujet-me.com</t>
        </is>
      </c>
      <c r="F232" s="20" t="inlineStr">
        <is>
          <t>+971 56 418 5636</t>
        </is>
      </c>
      <c r="G232" t="n">
        <v>0</v>
      </c>
    </row>
    <row r="233">
      <c r="A233" t="inlineStr">
        <is>
          <t>UAE</t>
        </is>
      </c>
      <c r="B233" t="inlineStr">
        <is>
          <t>Jet Aviation</t>
        </is>
      </c>
      <c r="C233" t="inlineStr">
        <is>
          <t>OMDB</t>
        </is>
      </c>
      <c r="D233" t="inlineStr">
        <is>
          <t>Thoufeeque</t>
        </is>
      </c>
      <c r="E233" t="inlineStr">
        <is>
          <t>dxbfbo@jetaviation.com</t>
        </is>
      </c>
      <c r="F233" s="20" t="inlineStr">
        <is>
          <t>+971505506122</t>
        </is>
      </c>
      <c r="G233" t="n">
        <v>17</v>
      </c>
    </row>
    <row r="234">
      <c r="A234" t="inlineStr">
        <is>
          <t>UAE</t>
        </is>
      </c>
      <c r="B234" t="inlineStr">
        <is>
          <t>ExecuJet</t>
        </is>
      </c>
      <c r="C234" t="inlineStr">
        <is>
          <t>OMDW</t>
        </is>
      </c>
      <c r="D234" t="inlineStr">
        <is>
          <t>Savio Dsouza</t>
        </is>
      </c>
      <c r="E234" t="inlineStr">
        <is>
          <t>fbo.omdb@execujet-me.com</t>
        </is>
      </c>
      <c r="F234" s="20" t="inlineStr">
        <is>
          <t>+971569919740</t>
        </is>
      </c>
      <c r="G234" t="n">
        <v>2</v>
      </c>
    </row>
    <row r="235">
      <c r="A235" t="inlineStr">
        <is>
          <t>UAE</t>
        </is>
      </c>
      <c r="B235" t="inlineStr">
        <is>
          <t>Execujet Middle East</t>
        </is>
      </c>
      <c r="C235" t="inlineStr">
        <is>
          <t>OMDW</t>
        </is>
      </c>
      <c r="D235" t="inlineStr">
        <is>
          <t>Tristan Bautista</t>
        </is>
      </c>
      <c r="E235" t="inlineStr">
        <is>
          <t>Tristan.Bautista@execujet-me.com</t>
        </is>
      </c>
      <c r="F235" s="20" t="inlineStr">
        <is>
          <t>+971569919740</t>
        </is>
      </c>
      <c r="G235" t="n">
        <v>4</v>
      </c>
    </row>
    <row r="236">
      <c r="A236" t="inlineStr">
        <is>
          <t>Oman</t>
        </is>
      </c>
      <c r="B236" t="inlineStr">
        <is>
          <t>Jetex</t>
        </is>
      </c>
      <c r="C236" t="inlineStr">
        <is>
          <t>OOMS</t>
        </is>
      </c>
      <c r="D236" t="inlineStr">
        <is>
          <t>Ibrahim Al Balushi</t>
        </is>
      </c>
      <c r="E236" t="inlineStr">
        <is>
          <t>missionplanning@jetex.com</t>
        </is>
      </c>
      <c r="F236" s="20" t="inlineStr">
        <is>
          <t>+968 9130 0323</t>
        </is>
      </c>
      <c r="G236" t="n">
        <v>0</v>
      </c>
    </row>
    <row r="237">
      <c r="A237" t="inlineStr">
        <is>
          <t>Oman</t>
        </is>
      </c>
      <c r="B237" t="inlineStr">
        <is>
          <t>Jetex</t>
        </is>
      </c>
      <c r="C237" t="inlineStr">
        <is>
          <t>OOSA</t>
        </is>
      </c>
      <c r="D237" t="inlineStr">
        <is>
          <t>Balaqis Labkheet Alamri</t>
        </is>
      </c>
      <c r="E237" t="inlineStr">
        <is>
          <t>fbo-sll@jetex.com</t>
        </is>
      </c>
      <c r="F237" s="20" t="inlineStr">
        <is>
          <t>+968 7159 6161</t>
        </is>
      </c>
      <c r="G237" t="n">
        <v>1</v>
      </c>
    </row>
    <row r="238">
      <c r="A238" t="inlineStr">
        <is>
          <t>Pakistan</t>
        </is>
      </c>
      <c r="B238" t="inlineStr">
        <is>
          <t>Princely Jets</t>
        </is>
      </c>
      <c r="C238" t="inlineStr">
        <is>
          <t>OPRN</t>
        </is>
      </c>
      <c r="D238" t="inlineStr">
        <is>
          <t>Noman Amir</t>
        </is>
      </c>
      <c r="E238" t="inlineStr">
        <is>
          <t>ops@princelyjets.com</t>
        </is>
      </c>
      <c r="F238" s="20" t="inlineStr">
        <is>
          <t>+3028117437</t>
        </is>
      </c>
      <c r="G238" t="n">
        <v>0</v>
      </c>
    </row>
    <row r="239">
      <c r="A239" t="inlineStr">
        <is>
          <t>Iraq</t>
        </is>
      </c>
      <c r="B239" t="inlineStr">
        <is>
          <t>Jet Business Solutions</t>
        </is>
      </c>
      <c r="C239" t="inlineStr">
        <is>
          <t>ORER</t>
        </is>
      </c>
      <c r="D239" t="inlineStr">
        <is>
          <t>Elie Freijy</t>
        </is>
      </c>
      <c r="E239" t="inlineStr">
        <is>
          <t>ops@jbs.aero</t>
        </is>
      </c>
      <c r="F239" s="20" t="inlineStr">
        <is>
          <t>+964 750 386 2363</t>
        </is>
      </c>
      <c r="G239" t="n">
        <v>0</v>
      </c>
    </row>
    <row r="240">
      <c r="A240" t="inlineStr">
        <is>
          <t>Qatar</t>
        </is>
      </c>
      <c r="B240" t="inlineStr">
        <is>
          <t>Blue Aviation</t>
        </is>
      </c>
      <c r="C240" t="inlineStr">
        <is>
          <t>OTBD</t>
        </is>
      </c>
      <c r="D240" t="inlineStr">
        <is>
          <t>Maria Cristina Regencia</t>
        </is>
      </c>
      <c r="E240" t="inlineStr">
        <is>
          <t>Maria@blue-aviation.com</t>
        </is>
      </c>
      <c r="F240" s="20" t="inlineStr">
        <is>
          <t>+974 5137-0222</t>
        </is>
      </c>
      <c r="G240" t="n">
        <v>2</v>
      </c>
    </row>
    <row r="241">
      <c r="A241" t="inlineStr">
        <is>
          <t>Yemen</t>
        </is>
      </c>
      <c r="B241" t="inlineStr">
        <is>
          <t>Bazara Corporation</t>
        </is>
      </c>
      <c r="C241" t="inlineStr">
        <is>
          <t>OYAA</t>
        </is>
      </c>
      <c r="D241" t="inlineStr">
        <is>
          <t>Wasfi Bazara</t>
        </is>
      </c>
      <c r="E241" t="inlineStr">
        <is>
          <t>BAZGRP@GMAIL.COM</t>
        </is>
      </c>
      <c r="F241" s="20" t="inlineStr">
        <is>
          <t>+967 711 730 800</t>
        </is>
      </c>
      <c r="G241" t="n">
        <v>0</v>
      </c>
    </row>
    <row r="242">
      <c r="A242" t="inlineStr">
        <is>
          <t>India</t>
        </is>
      </c>
      <c r="B242" t="inlineStr">
        <is>
          <t>Continuum</t>
        </is>
      </c>
      <c r="C242" t="inlineStr">
        <is>
          <t>VAAH</t>
        </is>
      </c>
      <c r="D242" t="inlineStr">
        <is>
          <t>Mohammad Mubin Shaikh</t>
        </is>
      </c>
      <c r="E242" t="inlineStr">
        <is>
          <t>mubin.shaikh@continuum-aviation.com</t>
        </is>
      </c>
      <c r="F242" s="20" t="inlineStr">
        <is>
          <t>+91-9773005944</t>
        </is>
      </c>
      <c r="G242" t="n">
        <v>0</v>
      </c>
    </row>
    <row r="243">
      <c r="A243" t="inlineStr">
        <is>
          <t>India</t>
        </is>
      </c>
      <c r="B243" t="inlineStr">
        <is>
          <t>Continuum</t>
        </is>
      </c>
      <c r="C243" t="inlineStr">
        <is>
          <t>VABB</t>
        </is>
      </c>
      <c r="D243" t="inlineStr">
        <is>
          <t>Kalpesh Talekar</t>
        </is>
      </c>
      <c r="E243" t="inlineStr">
        <is>
          <t>Kalpesh.talekar@continuum-aviation.com</t>
        </is>
      </c>
      <c r="F243" s="20" t="inlineStr">
        <is>
          <t>+91 9819749740</t>
        </is>
      </c>
      <c r="G243" t="n">
        <v>0</v>
      </c>
    </row>
    <row r="244">
      <c r="A244" t="inlineStr">
        <is>
          <t>India</t>
        </is>
      </c>
      <c r="B244" t="inlineStr">
        <is>
          <t>Continuum</t>
        </is>
      </c>
      <c r="C244" t="inlineStr">
        <is>
          <t>VEGY</t>
        </is>
      </c>
      <c r="D244" t="inlineStr">
        <is>
          <t>Kalpesh Talekar</t>
        </is>
      </c>
      <c r="E244" t="inlineStr">
        <is>
          <t>Kalpesh.talekar@continuum-aviation.com</t>
        </is>
      </c>
      <c r="F244" s="20" t="inlineStr">
        <is>
          <t>+91 9819749740</t>
        </is>
      </c>
      <c r="G244" t="n">
        <v>0</v>
      </c>
    </row>
    <row r="245">
      <c r="A245" t="inlineStr">
        <is>
          <t>India</t>
        </is>
      </c>
      <c r="B245" t="inlineStr">
        <is>
          <t>Continuum</t>
        </is>
      </c>
      <c r="C245" t="inlineStr">
        <is>
          <t>VIJO</t>
        </is>
      </c>
      <c r="D245" t="inlineStr">
        <is>
          <t>Sachin Kumar</t>
        </is>
      </c>
      <c r="E245" t="inlineStr">
        <is>
          <t>sachin.kumar@continuum-aviation.com</t>
        </is>
      </c>
      <c r="F245" s="20" t="inlineStr">
        <is>
          <t>+91 9650033359</t>
        </is>
      </c>
      <c r="G245" t="n">
        <v>0</v>
      </c>
    </row>
    <row r="246">
      <c r="A246" t="inlineStr">
        <is>
          <t>India</t>
        </is>
      </c>
      <c r="B246" t="inlineStr">
        <is>
          <t>Continuum</t>
        </is>
      </c>
      <c r="C246" t="inlineStr">
        <is>
          <t>VOCI</t>
        </is>
      </c>
      <c r="D246" t="inlineStr">
        <is>
          <t>Mohammad Mubin Shaikh</t>
        </is>
      </c>
      <c r="E246" t="inlineStr">
        <is>
          <t>mubin.shaikh@continuum-aviation.com</t>
        </is>
      </c>
      <c r="F246" s="20" t="inlineStr">
        <is>
          <t>+91-9773005944</t>
        </is>
      </c>
      <c r="G246" t="n">
        <v>0</v>
      </c>
    </row>
    <row r="247">
      <c r="A247" t="inlineStr">
        <is>
          <t>Maldives</t>
        </is>
      </c>
      <c r="B247" t="inlineStr">
        <is>
          <t>Continuum</t>
        </is>
      </c>
      <c r="C247" t="inlineStr">
        <is>
          <t>VRMM</t>
        </is>
      </c>
      <c r="D247" t="inlineStr">
        <is>
          <t>Mohamed Agleem</t>
        </is>
      </c>
      <c r="E247" t="inlineStr">
        <is>
          <t>mohamed.agleem@aviationzc.com</t>
        </is>
      </c>
      <c r="F247" s="20" t="inlineStr">
        <is>
          <t>+960 776667</t>
        </is>
      </c>
      <c r="G247" t="n">
        <v>1</v>
      </c>
    </row>
    <row r="248">
      <c r="A248" t="inlineStr">
        <is>
          <t>Thailand</t>
        </is>
      </c>
      <c r="B248" t="inlineStr">
        <is>
          <t>Mjets Limited</t>
        </is>
      </c>
      <c r="C248" t="inlineStr">
        <is>
          <t>VTBD</t>
        </is>
      </c>
      <c r="D248" t="inlineStr">
        <is>
          <t>Miss Jah</t>
        </is>
      </c>
      <c r="E248" t="inlineStr">
        <is>
          <t>ground@mjets.com</t>
        </is>
      </c>
      <c r="F248" s="20" t="inlineStr">
        <is>
          <t>+66 85 485 6623</t>
        </is>
      </c>
      <c r="G248" t="n">
        <v>0</v>
      </c>
    </row>
    <row r="249">
      <c r="F249" s="20" t="inlineStr"/>
    </row>
    <row r="250">
      <c r="F250" s="20" t="inlineStr"/>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Q80"/>
  <sheetViews>
    <sheetView workbookViewId="0">
      <pane ySplit="4" topLeftCell="A5" activePane="bottomLeft" state="frozen"/>
      <selection pane="bottomLeft" activeCell="A1" sqref="A1"/>
    </sheetView>
  </sheetViews>
  <sheetFormatPr baseColWidth="8" defaultRowHeight="14.4"/>
  <cols>
    <col width="32.44140625" customWidth="1" min="1" max="12"/>
    <col width="77.77734375" customWidth="1" min="13" max="13"/>
    <col width="32.44140625" customWidth="1" min="14" max="17"/>
  </cols>
  <sheetData>
    <row r="1" ht="18" customHeight="1">
      <c r="A1" s="44" t="inlineStr">
        <is>
          <t>COUNTRY REQUIREMENTS &amp; STATION INTEL — what each state demands, per request type</t>
        </is>
      </c>
    </row>
    <row r="2">
      <c r="A2" s="32" t="inlineStr">
        <is>
          <t>This is the institutional knowledge that normally lives in people's heads. One row per country (and optionally per station) per request type. Seeded from the INTEL sheet of the uploaded workbook — the rest needs sourcing from the AIP and from your own filing experience.</t>
        </is>
      </c>
    </row>
    <row r="4">
      <c r="A4" s="25" t="inlineStr">
        <is>
          <t>req_id</t>
        </is>
      </c>
      <c r="B4" s="25" t="inlineStr">
        <is>
          <t>country</t>
        </is>
      </c>
      <c r="C4" s="25" t="inlineStr">
        <is>
          <t>icao_scope</t>
        </is>
      </c>
      <c r="D4" s="25" t="inlineStr">
        <is>
          <t>request_type</t>
        </is>
      </c>
      <c r="E4" s="25" t="inlineStr">
        <is>
          <t>forms_required</t>
        </is>
      </c>
      <c r="F4" s="25" t="inlineStr">
        <is>
          <t>documents_required</t>
        </is>
      </c>
      <c r="G4" s="25" t="inlineStr">
        <is>
          <t>lead_time_hours</t>
        </is>
      </c>
      <c r="H4" s="25" t="inlineStr">
        <is>
          <t>authority_working_hours</t>
        </is>
      </c>
      <c r="I4" s="25" t="inlineStr">
        <is>
          <t>accepted_channels</t>
        </is>
      </c>
      <c r="J4" s="25" t="inlineStr">
        <is>
          <t>fee_structure</t>
        </is>
      </c>
      <c r="K4" s="25" t="inlineStr">
        <is>
          <t>local_agent_required</t>
        </is>
      </c>
      <c r="L4" s="25" t="inlineStr">
        <is>
          <t>caa_direct_account_required</t>
        </is>
      </c>
      <c r="M4" s="25" t="inlineStr">
        <is>
          <t>known_quirks_intel</t>
        </is>
      </c>
      <c r="N4" s="25" t="inlineStr">
        <is>
          <t>source</t>
        </is>
      </c>
      <c r="O4" s="25" t="inlineStr">
        <is>
          <t>verified_by</t>
        </is>
      </c>
      <c r="P4" s="25" t="inlineStr">
        <is>
          <t>verified_on</t>
        </is>
      </c>
      <c r="Q4" s="25" t="inlineStr">
        <is>
          <t>review_due</t>
        </is>
      </c>
    </row>
    <row r="5">
      <c r="A5" t="inlineStr">
        <is>
          <t>REQ-001</t>
        </is>
      </c>
      <c r="B5" t="inlineStr">
        <is>
          <t>Tanzania</t>
        </is>
      </c>
      <c r="D5" t="inlineStr">
        <is>
          <t>GROUND HANDLING</t>
        </is>
      </c>
      <c r="M5" t="inlineStr">
        <is>
          <t>All arrivals require supervisor meet and greet at terminal entrance.</t>
        </is>
      </c>
      <c r="N5" t="inlineStr">
        <is>
          <t>UAA INTEL sheet</t>
        </is>
      </c>
      <c r="P5" s="118" t="n">
        <v>46170</v>
      </c>
      <c r="Q5" s="118" t="n"/>
    </row>
    <row r="6">
      <c r="A6" t="inlineStr">
        <is>
          <t>REQ-002</t>
        </is>
      </c>
      <c r="B6" t="inlineStr">
        <is>
          <t>Egypt</t>
        </is>
      </c>
      <c r="D6" t="inlineStr">
        <is>
          <t>SECURITY</t>
        </is>
      </c>
      <c r="G6" t="n">
        <v>48</v>
      </c>
      <c r="M6" t="inlineStr">
        <is>
          <t>Security clearance must be requested 48h prior. No photography on ramp.</t>
        </is>
      </c>
      <c r="N6" t="inlineStr">
        <is>
          <t>UAA INTEL sheet</t>
        </is>
      </c>
      <c r="P6" s="118" t="n">
        <v>46170</v>
      </c>
      <c r="Q6" s="118" t="n"/>
    </row>
    <row r="7">
      <c r="P7" s="118" t="n"/>
      <c r="Q7" s="118" t="n"/>
    </row>
    <row r="8">
      <c r="P8" s="118" t="n"/>
      <c r="Q8" s="118" t="n"/>
    </row>
    <row r="9">
      <c r="P9" s="118" t="n"/>
      <c r="Q9" s="118" t="n"/>
    </row>
    <row r="10">
      <c r="P10" s="118" t="n"/>
      <c r="Q10" s="118" t="n"/>
    </row>
    <row r="11">
      <c r="P11" s="118" t="n"/>
      <c r="Q11" s="118" t="n"/>
    </row>
    <row r="12">
      <c r="P12" s="118" t="n"/>
      <c r="Q12" s="118" t="n"/>
    </row>
    <row r="13">
      <c r="P13" s="118" t="n"/>
      <c r="Q13" s="118" t="n"/>
    </row>
    <row r="14">
      <c r="P14" s="118" t="n"/>
      <c r="Q14" s="118" t="n"/>
    </row>
    <row r="15">
      <c r="P15" s="118" t="n"/>
      <c r="Q15" s="118" t="n"/>
    </row>
    <row r="16">
      <c r="P16" s="118" t="n"/>
      <c r="Q16" s="118" t="n"/>
    </row>
    <row r="17">
      <c r="P17" s="118" t="n"/>
      <c r="Q17" s="118" t="n"/>
    </row>
    <row r="18">
      <c r="P18" s="118" t="n"/>
      <c r="Q18" s="118" t="n"/>
    </row>
    <row r="19">
      <c r="P19" s="118" t="n"/>
      <c r="Q19" s="118" t="n"/>
    </row>
    <row r="20">
      <c r="P20" s="118" t="n"/>
      <c r="Q20" s="118" t="n"/>
    </row>
    <row r="21">
      <c r="P21" s="118" t="n"/>
      <c r="Q21" s="118" t="n"/>
    </row>
    <row r="22">
      <c r="P22" s="118" t="n"/>
      <c r="Q22" s="118" t="n"/>
    </row>
    <row r="23">
      <c r="P23" s="118" t="n"/>
      <c r="Q23" s="118" t="n"/>
    </row>
    <row r="24">
      <c r="P24" s="118" t="n"/>
      <c r="Q24" s="118" t="n"/>
    </row>
    <row r="25">
      <c r="P25" s="118" t="n"/>
      <c r="Q25" s="118" t="n"/>
    </row>
    <row r="26">
      <c r="P26" s="118" t="n"/>
      <c r="Q26" s="118" t="n"/>
    </row>
    <row r="27">
      <c r="P27" s="118" t="n"/>
      <c r="Q27" s="118" t="n"/>
    </row>
    <row r="28">
      <c r="P28" s="118" t="n"/>
      <c r="Q28" s="118" t="n"/>
    </row>
    <row r="29">
      <c r="P29" s="118" t="n"/>
      <c r="Q29" s="118" t="n"/>
    </row>
    <row r="30">
      <c r="P30" s="118" t="n"/>
      <c r="Q30" s="118" t="n"/>
    </row>
    <row r="31">
      <c r="P31" s="118" t="n"/>
      <c r="Q31" s="118" t="n"/>
    </row>
    <row r="32">
      <c r="P32" s="118" t="n"/>
      <c r="Q32" s="118" t="n"/>
    </row>
    <row r="33">
      <c r="P33" s="118" t="n"/>
      <c r="Q33" s="118" t="n"/>
    </row>
    <row r="34">
      <c r="P34" s="118" t="n"/>
      <c r="Q34" s="118" t="n"/>
    </row>
    <row r="35">
      <c r="P35" s="118" t="n"/>
      <c r="Q35" s="118" t="n"/>
    </row>
    <row r="36">
      <c r="P36" s="118" t="n"/>
      <c r="Q36" s="118" t="n"/>
    </row>
    <row r="37">
      <c r="P37" s="118" t="n"/>
      <c r="Q37" s="118" t="n"/>
    </row>
    <row r="38">
      <c r="P38" s="118" t="n"/>
      <c r="Q38" s="118" t="n"/>
    </row>
    <row r="39">
      <c r="P39" s="118" t="n"/>
      <c r="Q39" s="118" t="n"/>
    </row>
    <row r="40">
      <c r="P40" s="118" t="n"/>
      <c r="Q40" s="118" t="n"/>
    </row>
    <row r="41">
      <c r="P41" s="118" t="n"/>
      <c r="Q41" s="118" t="n"/>
    </row>
    <row r="42">
      <c r="P42" s="118" t="n"/>
      <c r="Q42" s="118" t="n"/>
    </row>
    <row r="43">
      <c r="P43" s="118" t="n"/>
      <c r="Q43" s="118" t="n"/>
    </row>
    <row r="44">
      <c r="P44" s="118" t="n"/>
      <c r="Q44" s="118" t="n"/>
    </row>
    <row r="45">
      <c r="P45" s="118" t="n"/>
      <c r="Q45" s="118" t="n"/>
    </row>
    <row r="46">
      <c r="P46" s="118" t="n"/>
      <c r="Q46" s="118" t="n"/>
    </row>
    <row r="47">
      <c r="P47" s="118" t="n"/>
      <c r="Q47" s="118" t="n"/>
    </row>
    <row r="48">
      <c r="P48" s="118" t="n"/>
      <c r="Q48" s="118" t="n"/>
    </row>
    <row r="49">
      <c r="P49" s="118" t="n"/>
      <c r="Q49" s="118" t="n"/>
    </row>
    <row r="50">
      <c r="P50" s="118" t="n"/>
      <c r="Q50" s="118" t="n"/>
    </row>
    <row r="51">
      <c r="P51" s="118" t="n"/>
      <c r="Q51" s="118" t="n"/>
    </row>
    <row r="52">
      <c r="P52" s="118" t="n"/>
      <c r="Q52" s="118" t="n"/>
    </row>
    <row r="53">
      <c r="P53" s="118" t="n"/>
      <c r="Q53" s="118" t="n"/>
    </row>
    <row r="54">
      <c r="P54" s="118" t="n"/>
      <c r="Q54" s="118" t="n"/>
    </row>
    <row r="55">
      <c r="P55" s="118" t="n"/>
      <c r="Q55" s="118" t="n"/>
    </row>
    <row r="56">
      <c r="P56" s="118" t="n"/>
      <c r="Q56" s="118" t="n"/>
    </row>
    <row r="57">
      <c r="P57" s="118" t="n"/>
      <c r="Q57" s="118" t="n"/>
    </row>
    <row r="58">
      <c r="P58" s="118" t="n"/>
      <c r="Q58" s="118" t="n"/>
    </row>
    <row r="59">
      <c r="P59" s="118" t="n"/>
      <c r="Q59" s="118" t="n"/>
    </row>
    <row r="60">
      <c r="P60" s="118" t="n"/>
      <c r="Q60" s="118" t="n"/>
    </row>
    <row r="61">
      <c r="P61" s="118" t="n"/>
      <c r="Q61" s="118" t="n"/>
    </row>
    <row r="62">
      <c r="P62" s="118" t="n"/>
      <c r="Q62" s="118" t="n"/>
    </row>
    <row r="63">
      <c r="P63" s="118" t="n"/>
      <c r="Q63" s="118" t="n"/>
    </row>
    <row r="64">
      <c r="P64" s="118" t="n"/>
      <c r="Q64" s="118" t="n"/>
    </row>
    <row r="65">
      <c r="P65" s="118" t="n"/>
      <c r="Q65" s="118" t="n"/>
    </row>
    <row r="66">
      <c r="P66" s="118" t="n"/>
      <c r="Q66" s="118" t="n"/>
    </row>
    <row r="67">
      <c r="P67" s="118" t="n"/>
      <c r="Q67" s="118" t="n"/>
    </row>
    <row r="68">
      <c r="P68" s="118" t="n"/>
      <c r="Q68" s="118" t="n"/>
    </row>
    <row r="69">
      <c r="P69" s="118" t="n"/>
      <c r="Q69" s="118" t="n"/>
    </row>
    <row r="70">
      <c r="P70" s="118" t="n"/>
      <c r="Q70" s="118" t="n"/>
    </row>
    <row r="71">
      <c r="P71" s="118" t="n"/>
      <c r="Q71" s="118" t="n"/>
    </row>
    <row r="72">
      <c r="P72" s="118" t="n"/>
      <c r="Q72" s="118" t="n"/>
    </row>
    <row r="73">
      <c r="P73" s="118" t="n"/>
      <c r="Q73" s="118" t="n"/>
    </row>
    <row r="74">
      <c r="P74" s="118" t="n"/>
      <c r="Q74" s="118" t="n"/>
    </row>
    <row r="75">
      <c r="P75" s="118" t="n"/>
      <c r="Q75" s="118" t="n"/>
    </row>
    <row r="76">
      <c r="P76" s="118" t="n"/>
      <c r="Q76" s="118" t="n"/>
    </row>
    <row r="77">
      <c r="P77" s="118" t="n"/>
      <c r="Q77" s="118" t="n"/>
    </row>
    <row r="78">
      <c r="P78" s="118" t="n"/>
      <c r="Q78" s="118" t="n"/>
    </row>
    <row r="79">
      <c r="P79" s="118" t="n"/>
      <c r="Q79" s="118" t="n"/>
    </row>
    <row r="80">
      <c r="P80" s="118" t="n"/>
      <c r="Q80" s="118" t="n"/>
    </row>
  </sheetData>
  <dataValidations count="1">
    <dataValidation sqref="D5:D80" showDropDown="0" showInputMessage="1" showErrorMessage="1" allowBlank="1" type="list">
      <formula1>"OVERFLIGHT PERMIT,LANDING PERMIT,GROUND HANDLING,FUEL,CATERING,SECURITY,SLOTS/PPR,CUSTOMS &amp; IMMIGRATION,CREW TRANSPORT,PAX TRANSPORT,CREW HOTEL,VISA,GENERAL"</formula1>
    </dataValidation>
  </dataValidation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N100"/>
  <sheetViews>
    <sheetView workbookViewId="0">
      <pane ySplit="6" topLeftCell="A7" activePane="bottomLeft" state="frozen"/>
      <selection pane="bottomLeft" activeCell="A1" sqref="A1"/>
    </sheetView>
  </sheetViews>
  <sheetFormatPr baseColWidth="8" defaultRowHeight="14.4"/>
  <cols>
    <col width="25.88671875" customWidth="1" min="1" max="2"/>
    <col width="35.21875" customWidth="1" min="3" max="3"/>
    <col width="25.88671875" customWidth="1" min="4" max="9"/>
    <col width="48.109375" customWidth="1" min="10" max="10"/>
    <col width="25.88671875" customWidth="1" min="11" max="11"/>
  </cols>
  <sheetData>
    <row r="1" ht="18" customHeight="1">
      <c r="A1" s="44" t="inlineStr">
        <is>
          <t>AIRCRAFT PERFORMANCE BY ICAO TYPE — drives range checks and technical-stop planning</t>
        </is>
      </c>
    </row>
    <row r="2">
      <c r="A2" s="73" t="inlineStr">
        <is>
          <t>INDICATIVE manufacturer published figures for planning only. They are NOT a substitute for the AFM or an operator's own performance data, and they ignore payload, temperature, altitude and wind. Verify every figure before using it to plan a real sector. verified = NO on every row until an engineer signs it off.</t>
        </is>
      </c>
    </row>
    <row r="4">
      <c r="A4" s="1" t="inlineStr">
        <is>
          <t>RESERVE / SAFETY MARGIN ON RANGE</t>
        </is>
      </c>
      <c r="B4" s="74">
        <f>admin!$B$17</f>
        <v/>
      </c>
    </row>
    <row r="6">
      <c r="A6" s="25" t="inlineStr">
        <is>
          <t>icao_type</t>
        </is>
      </c>
      <c r="B6" s="25" t="inlineStr">
        <is>
          <t>manufacturer</t>
        </is>
      </c>
      <c r="C6" s="25" t="inlineStr">
        <is>
          <t>model_series</t>
        </is>
      </c>
      <c r="D6" s="25" t="inlineStr">
        <is>
          <t>max_range_nm</t>
        </is>
      </c>
      <c r="E6" s="25" t="inlineStr">
        <is>
          <t>cruise_tas_kts</t>
        </is>
      </c>
      <c r="F6" s="25" t="inlineStr">
        <is>
          <t>fuel_burn_kg_hr</t>
        </is>
      </c>
      <c r="G6" s="25" t="inlineStr">
        <is>
          <t>max_pax</t>
        </is>
      </c>
      <c r="H6" s="25" t="inlineStr">
        <is>
          <t>mtow_kg</t>
        </is>
      </c>
      <c r="I6" s="25" t="inlineStr">
        <is>
          <t>practical_range_nm</t>
        </is>
      </c>
      <c r="J6" s="25" t="inlineStr">
        <is>
          <t>source</t>
        </is>
      </c>
      <c r="K6" s="25" t="inlineStr">
        <is>
          <t>verified</t>
        </is>
      </c>
      <c r="L6" s="1" t="inlineStr">
        <is>
          <t>verified_by</t>
        </is>
      </c>
      <c r="M6" s="1" t="inlineStr">
        <is>
          <t>verified_on</t>
        </is>
      </c>
      <c r="N6" s="1" t="inlineStr">
        <is>
          <t>planning_status</t>
        </is>
      </c>
    </row>
    <row r="7">
      <c r="A7" t="inlineStr">
        <is>
          <t>A319</t>
        </is>
      </c>
      <c r="B7" t="inlineStr">
        <is>
          <t>Airbus</t>
        </is>
      </c>
      <c r="C7" t="inlineStr">
        <is>
          <t>A319 / ACJ319</t>
        </is>
      </c>
      <c r="D7" s="116" t="n">
        <v>3750</v>
      </c>
      <c r="E7" s="116" t="n">
        <v>447</v>
      </c>
      <c r="F7" s="116" t="n">
        <v>2200</v>
      </c>
      <c r="G7" s="116" t="n">
        <v>39</v>
      </c>
      <c r="H7" s="116" t="n">
        <v>75500</v>
      </c>
      <c r="I7" s="116" t="n"/>
      <c r="J7" t="inlineStr">
        <is>
          <t>Manufacturer published - INDICATIVE</t>
        </is>
      </c>
      <c r="K7" s="54" t="inlineStr">
        <is>
          <t>NO</t>
        </is>
      </c>
      <c r="M7" s="118" t="n"/>
    </row>
    <row r="8">
      <c r="A8" t="inlineStr">
        <is>
          <t>A320</t>
        </is>
      </c>
      <c r="B8" t="inlineStr">
        <is>
          <t>Airbus</t>
        </is>
      </c>
      <c r="C8" t="inlineStr">
        <is>
          <t>A320-200</t>
        </is>
      </c>
      <c r="D8" s="116" t="n">
        <v>3300</v>
      </c>
      <c r="E8" s="116" t="n">
        <v>447</v>
      </c>
      <c r="F8" s="116" t="n">
        <v>2400</v>
      </c>
      <c r="G8" s="116" t="n">
        <v>180</v>
      </c>
      <c r="H8" s="116" t="n">
        <v>77000</v>
      </c>
      <c r="I8" s="116" t="n"/>
      <c r="J8" t="inlineStr">
        <is>
          <t>Manufacturer published - INDICATIVE</t>
        </is>
      </c>
      <c r="K8" s="54" t="inlineStr">
        <is>
          <t>NO</t>
        </is>
      </c>
      <c r="M8" s="118" t="n"/>
    </row>
    <row r="9">
      <c r="A9" t="inlineStr">
        <is>
          <t>A330</t>
        </is>
      </c>
      <c r="B9" t="inlineStr">
        <is>
          <t>Airbus</t>
        </is>
      </c>
      <c r="C9" t="inlineStr">
        <is>
          <t>A330-200</t>
        </is>
      </c>
      <c r="D9" s="116" t="n">
        <v>7250</v>
      </c>
      <c r="E9" s="116" t="n">
        <v>470</v>
      </c>
      <c r="F9" s="116" t="n">
        <v>5500</v>
      </c>
      <c r="G9" s="116" t="n">
        <v>345</v>
      </c>
      <c r="H9" s="116" t="n">
        <v>242000</v>
      </c>
      <c r="I9" s="116" t="n"/>
      <c r="J9" t="inlineStr">
        <is>
          <t>Manufacturer published - INDICATIVE</t>
        </is>
      </c>
      <c r="K9" s="54" t="inlineStr">
        <is>
          <t>NO</t>
        </is>
      </c>
      <c r="M9" s="118" t="n"/>
    </row>
    <row r="10">
      <c r="A10" t="inlineStr">
        <is>
          <t>A332</t>
        </is>
      </c>
      <c r="B10" t="inlineStr">
        <is>
          <t>Airbus</t>
        </is>
      </c>
      <c r="C10" t="inlineStr">
        <is>
          <t>A330-200F</t>
        </is>
      </c>
      <c r="D10" s="116" t="n">
        <v>4000</v>
      </c>
      <c r="E10" s="116" t="n">
        <v>470</v>
      </c>
      <c r="F10" s="116" t="n">
        <v>5600</v>
      </c>
      <c r="G10" s="116" t="n">
        <v>0</v>
      </c>
      <c r="H10" s="116" t="n">
        <v>233000</v>
      </c>
      <c r="I10" s="116" t="n"/>
      <c r="J10" t="inlineStr">
        <is>
          <t>Manufacturer published - INDICATIVE</t>
        </is>
      </c>
      <c r="K10" s="54" t="inlineStr">
        <is>
          <t>NO</t>
        </is>
      </c>
      <c r="M10" s="118" t="n"/>
    </row>
    <row r="11">
      <c r="A11" t="inlineStr">
        <is>
          <t>A346</t>
        </is>
      </c>
      <c r="B11" t="inlineStr">
        <is>
          <t>Airbus</t>
        </is>
      </c>
      <c r="C11" t="inlineStr">
        <is>
          <t>A340-600</t>
        </is>
      </c>
      <c r="D11" s="116" t="n">
        <v>7900</v>
      </c>
      <c r="E11" s="116" t="n">
        <v>483</v>
      </c>
      <c r="F11" s="116" t="n">
        <v>7000</v>
      </c>
      <c r="G11" s="116" t="n">
        <v>475</v>
      </c>
      <c r="H11" s="116" t="n">
        <v>380000</v>
      </c>
      <c r="I11" s="116" t="n"/>
      <c r="J11" t="inlineStr">
        <is>
          <t>Manufacturer published - INDICATIVE</t>
        </is>
      </c>
      <c r="K11" s="54" t="inlineStr">
        <is>
          <t>NO</t>
        </is>
      </c>
      <c r="M11" s="118" t="n"/>
    </row>
    <row r="12">
      <c r="A12" t="inlineStr">
        <is>
          <t>A359</t>
        </is>
      </c>
      <c r="B12" t="inlineStr">
        <is>
          <t>Airbus</t>
        </is>
      </c>
      <c r="C12" t="inlineStr">
        <is>
          <t>A350-900</t>
        </is>
      </c>
      <c r="D12" s="116" t="n">
        <v>8100</v>
      </c>
      <c r="E12" s="116" t="n">
        <v>488</v>
      </c>
      <c r="F12" s="116" t="n">
        <v>5800</v>
      </c>
      <c r="G12" s="116" t="n">
        <v>350</v>
      </c>
      <c r="H12" s="116" t="n">
        <v>280000</v>
      </c>
      <c r="I12" s="116" t="n"/>
      <c r="J12" t="inlineStr">
        <is>
          <t>Manufacturer published - INDICATIVE</t>
        </is>
      </c>
      <c r="K12" s="54" t="inlineStr">
        <is>
          <t>NO</t>
        </is>
      </c>
      <c r="M12" s="118" t="n"/>
    </row>
    <row r="13">
      <c r="A13" t="inlineStr">
        <is>
          <t>AT72</t>
        </is>
      </c>
      <c r="B13" t="inlineStr">
        <is>
          <t>ATR</t>
        </is>
      </c>
      <c r="C13" t="inlineStr">
        <is>
          <t>ATR 72-500 / 600</t>
        </is>
      </c>
      <c r="D13" s="116" t="n">
        <v>825</v>
      </c>
      <c r="E13" s="116" t="n">
        <v>275</v>
      </c>
      <c r="F13" s="116" t="n">
        <v>600</v>
      </c>
      <c r="G13" s="116" t="n">
        <v>78</v>
      </c>
      <c r="H13" s="116" t="n">
        <v>23000</v>
      </c>
      <c r="I13" s="116" t="n"/>
      <c r="J13" t="inlineStr">
        <is>
          <t>Manufacturer published - INDICATIVE</t>
        </is>
      </c>
      <c r="K13" s="54" t="inlineStr">
        <is>
          <t>NO</t>
        </is>
      </c>
      <c r="M13" s="118" t="n"/>
    </row>
    <row r="14">
      <c r="A14" t="inlineStr">
        <is>
          <t>AT76</t>
        </is>
      </c>
      <c r="B14" t="inlineStr">
        <is>
          <t>ATR</t>
        </is>
      </c>
      <c r="C14" t="inlineStr">
        <is>
          <t>ATR 72-600</t>
        </is>
      </c>
      <c r="D14" s="116" t="n">
        <v>825</v>
      </c>
      <c r="E14" s="116" t="n">
        <v>275</v>
      </c>
      <c r="F14" s="116" t="n">
        <v>600</v>
      </c>
      <c r="G14" s="116" t="n">
        <v>78</v>
      </c>
      <c r="H14" s="116" t="n">
        <v>23000</v>
      </c>
      <c r="I14" s="116" t="n"/>
      <c r="J14" t="inlineStr">
        <is>
          <t>Manufacturer published - INDICATIVE</t>
        </is>
      </c>
      <c r="K14" s="54" t="inlineStr">
        <is>
          <t>NO</t>
        </is>
      </c>
      <c r="M14" s="118" t="n"/>
    </row>
    <row r="15">
      <c r="A15" t="inlineStr">
        <is>
          <t>B350</t>
        </is>
      </c>
      <c r="B15" t="inlineStr">
        <is>
          <t>Beechcraft</t>
        </is>
      </c>
      <c r="C15" t="inlineStr">
        <is>
          <t>King Air 350</t>
        </is>
      </c>
      <c r="D15" s="116" t="n">
        <v>1800</v>
      </c>
      <c r="E15" s="116" t="n">
        <v>300</v>
      </c>
      <c r="F15" s="116" t="n">
        <v>250</v>
      </c>
      <c r="G15" s="116" t="n">
        <v>11</v>
      </c>
      <c r="H15" s="116" t="n">
        <v>6804</v>
      </c>
      <c r="I15" s="116" t="n"/>
      <c r="J15" t="inlineStr">
        <is>
          <t>Manufacturer published - INDICATIVE</t>
        </is>
      </c>
      <c r="K15" s="54" t="inlineStr">
        <is>
          <t>NO</t>
        </is>
      </c>
      <c r="M15" s="118" t="n"/>
    </row>
    <row r="16">
      <c r="A16" t="inlineStr">
        <is>
          <t>B732</t>
        </is>
      </c>
      <c r="B16" t="inlineStr">
        <is>
          <t>Boeing</t>
        </is>
      </c>
      <c r="C16" t="inlineStr">
        <is>
          <t>737-200</t>
        </is>
      </c>
      <c r="D16" s="116" t="n">
        <v>2600</v>
      </c>
      <c r="E16" s="116" t="n">
        <v>420</v>
      </c>
      <c r="F16" s="116" t="n">
        <v>3000</v>
      </c>
      <c r="G16" s="116" t="n">
        <v>136</v>
      </c>
      <c r="H16" s="116" t="n">
        <v>52400</v>
      </c>
      <c r="I16" s="116" t="n"/>
      <c r="J16" t="inlineStr">
        <is>
          <t>Manufacturer published - INDICATIVE</t>
        </is>
      </c>
      <c r="K16" s="54" t="inlineStr">
        <is>
          <t>NO</t>
        </is>
      </c>
      <c r="M16" s="118" t="n"/>
    </row>
    <row r="17">
      <c r="A17" t="inlineStr">
        <is>
          <t>B733</t>
        </is>
      </c>
      <c r="B17" t="inlineStr">
        <is>
          <t>Boeing</t>
        </is>
      </c>
      <c r="C17" t="inlineStr">
        <is>
          <t>737-300</t>
        </is>
      </c>
      <c r="D17" s="116" t="n">
        <v>2270</v>
      </c>
      <c r="E17" s="116" t="n">
        <v>430</v>
      </c>
      <c r="F17" s="116" t="n">
        <v>2600</v>
      </c>
      <c r="G17" s="116" t="n">
        <v>149</v>
      </c>
      <c r="H17" s="116" t="n">
        <v>61230</v>
      </c>
      <c r="I17" s="116" t="n"/>
      <c r="J17" t="inlineStr">
        <is>
          <t>Manufacturer published - INDICATIVE</t>
        </is>
      </c>
      <c r="K17" s="54" t="inlineStr">
        <is>
          <t>NO</t>
        </is>
      </c>
      <c r="M17" s="118" t="n"/>
    </row>
    <row r="18">
      <c r="A18" t="inlineStr">
        <is>
          <t>B737</t>
        </is>
      </c>
      <c r="B18" t="inlineStr">
        <is>
          <t>Boeing</t>
        </is>
      </c>
      <c r="C18" t="inlineStr">
        <is>
          <t>737-700</t>
        </is>
      </c>
      <c r="D18" s="116" t="n">
        <v>3010</v>
      </c>
      <c r="E18" s="116" t="n">
        <v>447</v>
      </c>
      <c r="F18" s="116" t="n">
        <v>2400</v>
      </c>
      <c r="G18" s="116" t="n">
        <v>149</v>
      </c>
      <c r="H18" s="116" t="n">
        <v>70080</v>
      </c>
      <c r="I18" s="116" t="n"/>
      <c r="J18" t="inlineStr">
        <is>
          <t>Manufacturer published - INDICATIVE</t>
        </is>
      </c>
      <c r="K18" s="54" t="inlineStr">
        <is>
          <t>NO</t>
        </is>
      </c>
      <c r="M18" s="118" t="n"/>
    </row>
    <row r="19">
      <c r="A19" t="inlineStr">
        <is>
          <t>B738</t>
        </is>
      </c>
      <c r="B19" t="inlineStr">
        <is>
          <t>Boeing</t>
        </is>
      </c>
      <c r="C19" t="inlineStr">
        <is>
          <t>737-800</t>
        </is>
      </c>
      <c r="D19" s="116" t="n">
        <v>2935</v>
      </c>
      <c r="E19" s="116" t="n">
        <v>447</v>
      </c>
      <c r="F19" s="116" t="n">
        <v>2500</v>
      </c>
      <c r="G19" s="116" t="n">
        <v>189</v>
      </c>
      <c r="H19" s="116" t="n">
        <v>79010</v>
      </c>
      <c r="I19" s="116" t="n"/>
      <c r="J19" t="inlineStr">
        <is>
          <t>Manufacturer published - INDICATIVE</t>
        </is>
      </c>
      <c r="K19" s="54" t="inlineStr">
        <is>
          <t>NO</t>
        </is>
      </c>
      <c r="M19" s="118" t="n"/>
    </row>
    <row r="20">
      <c r="A20" t="inlineStr">
        <is>
          <t>B744</t>
        </is>
      </c>
      <c r="B20" t="inlineStr">
        <is>
          <t>Boeing</t>
        </is>
      </c>
      <c r="C20" t="inlineStr">
        <is>
          <t>747-400</t>
        </is>
      </c>
      <c r="D20" s="116" t="n">
        <v>7260</v>
      </c>
      <c r="E20" s="116" t="n">
        <v>495</v>
      </c>
      <c r="F20" s="116" t="n">
        <v>10500</v>
      </c>
      <c r="G20" s="116" t="n">
        <v>524</v>
      </c>
      <c r="H20" s="116" t="n">
        <v>396893</v>
      </c>
      <c r="I20" s="116" t="n"/>
      <c r="J20" t="inlineStr">
        <is>
          <t>Manufacturer published - INDICATIVE</t>
        </is>
      </c>
      <c r="K20" s="54" t="inlineStr">
        <is>
          <t>NO</t>
        </is>
      </c>
      <c r="M20" s="118" t="n"/>
    </row>
    <row r="21">
      <c r="A21" t="inlineStr">
        <is>
          <t>B748</t>
        </is>
      </c>
      <c r="B21" t="inlineStr">
        <is>
          <t>Boeing</t>
        </is>
      </c>
      <c r="C21" t="inlineStr">
        <is>
          <t>747-8</t>
        </is>
      </c>
      <c r="D21" s="116" t="n">
        <v>7730</v>
      </c>
      <c r="E21" s="116" t="n">
        <v>495</v>
      </c>
      <c r="F21" s="116" t="n">
        <v>10500</v>
      </c>
      <c r="G21" s="116" t="n">
        <v>100</v>
      </c>
      <c r="H21" s="116" t="n">
        <v>447696</v>
      </c>
      <c r="I21" s="116" t="n"/>
      <c r="J21" t="inlineStr">
        <is>
          <t>Manufacturer published - INDICATIVE</t>
        </is>
      </c>
      <c r="K21" s="54" t="inlineStr">
        <is>
          <t>NO</t>
        </is>
      </c>
      <c r="M21" s="118" t="n"/>
    </row>
    <row r="22">
      <c r="A22" t="inlineStr">
        <is>
          <t>B762</t>
        </is>
      </c>
      <c r="B22" t="inlineStr">
        <is>
          <t>Boeing</t>
        </is>
      </c>
      <c r="C22" t="inlineStr">
        <is>
          <t>767-200</t>
        </is>
      </c>
      <c r="D22" s="116" t="n">
        <v>3900</v>
      </c>
      <c r="E22" s="116" t="n">
        <v>470</v>
      </c>
      <c r="F22" s="116" t="n">
        <v>4500</v>
      </c>
      <c r="G22" s="116" t="n">
        <v>245</v>
      </c>
      <c r="H22" s="116" t="n">
        <v>179170</v>
      </c>
      <c r="I22" s="116" t="n"/>
      <c r="J22" t="inlineStr">
        <is>
          <t>Manufacturer published - INDICATIVE</t>
        </is>
      </c>
      <c r="K22" s="54" t="inlineStr">
        <is>
          <t>NO</t>
        </is>
      </c>
      <c r="M22" s="118" t="n"/>
    </row>
    <row r="23">
      <c r="A23" t="inlineStr">
        <is>
          <t>B763</t>
        </is>
      </c>
      <c r="B23" t="inlineStr">
        <is>
          <t>Boeing</t>
        </is>
      </c>
      <c r="C23" t="inlineStr">
        <is>
          <t>767-300ER</t>
        </is>
      </c>
      <c r="D23" s="116" t="n">
        <v>5980</v>
      </c>
      <c r="E23" s="116" t="n">
        <v>470</v>
      </c>
      <c r="F23" s="116" t="n">
        <v>4800</v>
      </c>
      <c r="G23" s="116" t="n">
        <v>351</v>
      </c>
      <c r="H23" s="116" t="n">
        <v>186880</v>
      </c>
      <c r="I23" s="116" t="n"/>
      <c r="J23" t="inlineStr">
        <is>
          <t>Manufacturer published - INDICATIVE</t>
        </is>
      </c>
      <c r="K23" s="54" t="inlineStr">
        <is>
          <t>NO</t>
        </is>
      </c>
      <c r="M23" s="118" t="n"/>
    </row>
    <row r="24">
      <c r="A24" t="inlineStr">
        <is>
          <t>B77L</t>
        </is>
      </c>
      <c r="B24" t="inlineStr">
        <is>
          <t>Boeing</t>
        </is>
      </c>
      <c r="C24" t="inlineStr">
        <is>
          <t>777-200F</t>
        </is>
      </c>
      <c r="D24" s="116" t="n">
        <v>4970</v>
      </c>
      <c r="E24" s="116" t="n">
        <v>490</v>
      </c>
      <c r="F24" s="116" t="n">
        <v>7200</v>
      </c>
      <c r="G24" s="116" t="n">
        <v>0</v>
      </c>
      <c r="H24" s="116" t="n">
        <v>347450</v>
      </c>
      <c r="I24" s="116" t="n"/>
      <c r="J24" t="inlineStr">
        <is>
          <t>Manufacturer published - INDICATIVE</t>
        </is>
      </c>
      <c r="K24" s="54" t="inlineStr">
        <is>
          <t>NO</t>
        </is>
      </c>
      <c r="M24" s="118" t="n"/>
    </row>
    <row r="25">
      <c r="A25" t="inlineStr">
        <is>
          <t>B77W</t>
        </is>
      </c>
      <c r="B25" t="inlineStr">
        <is>
          <t>Boeing</t>
        </is>
      </c>
      <c r="C25" t="inlineStr">
        <is>
          <t>777-300ER</t>
        </is>
      </c>
      <c r="D25" s="116" t="n">
        <v>7370</v>
      </c>
      <c r="E25" s="116" t="n">
        <v>490</v>
      </c>
      <c r="F25" s="116" t="n">
        <v>7500</v>
      </c>
      <c r="G25" s="116" t="n">
        <v>396</v>
      </c>
      <c r="H25" s="116" t="n">
        <v>351534</v>
      </c>
      <c r="I25" s="116" t="n"/>
      <c r="J25" t="inlineStr">
        <is>
          <t>Manufacturer published - INDICATIVE</t>
        </is>
      </c>
      <c r="K25" s="54" t="inlineStr">
        <is>
          <t>NO</t>
        </is>
      </c>
      <c r="M25" s="118" t="n"/>
    </row>
    <row r="26">
      <c r="A26" t="inlineStr">
        <is>
          <t>B788</t>
        </is>
      </c>
      <c r="B26" t="inlineStr">
        <is>
          <t>Boeing</t>
        </is>
      </c>
      <c r="C26" t="inlineStr">
        <is>
          <t>787-8</t>
        </is>
      </c>
      <c r="D26" s="116" t="n">
        <v>7355</v>
      </c>
      <c r="E26" s="116" t="n">
        <v>488</v>
      </c>
      <c r="F26" s="116" t="n">
        <v>5400</v>
      </c>
      <c r="G26" s="116" t="n">
        <v>248</v>
      </c>
      <c r="H26" s="116" t="n">
        <v>227930</v>
      </c>
      <c r="I26" s="116" t="n"/>
      <c r="J26" t="inlineStr">
        <is>
          <t>Manufacturer published - INDICATIVE</t>
        </is>
      </c>
      <c r="K26" s="54" t="inlineStr">
        <is>
          <t>NO</t>
        </is>
      </c>
      <c r="M26" s="118" t="n"/>
    </row>
    <row r="27">
      <c r="A27" t="inlineStr">
        <is>
          <t>B789</t>
        </is>
      </c>
      <c r="B27" t="inlineStr">
        <is>
          <t>Boeing</t>
        </is>
      </c>
      <c r="C27" t="inlineStr">
        <is>
          <t>787-9</t>
        </is>
      </c>
      <c r="D27" s="116" t="n">
        <v>7635</v>
      </c>
      <c r="E27" s="116" t="n">
        <v>488</v>
      </c>
      <c r="F27" s="116" t="n">
        <v>5600</v>
      </c>
      <c r="G27" s="116" t="n">
        <v>296</v>
      </c>
      <c r="H27" s="116" t="n">
        <v>254011</v>
      </c>
      <c r="I27" s="116" t="n"/>
      <c r="J27" t="inlineStr">
        <is>
          <t>Manufacturer published - INDICATIVE</t>
        </is>
      </c>
      <c r="K27" s="54" t="inlineStr">
        <is>
          <t>NO</t>
        </is>
      </c>
      <c r="M27" s="118" t="n"/>
    </row>
    <row r="28">
      <c r="A28" t="inlineStr">
        <is>
          <t>BN2T</t>
        </is>
      </c>
      <c r="B28" t="inlineStr">
        <is>
          <t>Britten-Norman</t>
        </is>
      </c>
      <c r="C28" t="inlineStr">
        <is>
          <t>Islander BN-2T</t>
        </is>
      </c>
      <c r="D28" s="116" t="n">
        <v>750</v>
      </c>
      <c r="E28" s="116" t="n">
        <v>160</v>
      </c>
      <c r="F28" s="116" t="n">
        <v>120</v>
      </c>
      <c r="G28" s="116" t="n">
        <v>9</v>
      </c>
      <c r="H28" s="116" t="n">
        <v>3357</v>
      </c>
      <c r="I28" s="116" t="n"/>
      <c r="J28" t="inlineStr">
        <is>
          <t>Manufacturer published - INDICATIVE</t>
        </is>
      </c>
      <c r="K28" s="54" t="inlineStr">
        <is>
          <t>NO</t>
        </is>
      </c>
      <c r="M28" s="118" t="n"/>
    </row>
    <row r="29">
      <c r="A29" t="inlineStr">
        <is>
          <t>C172</t>
        </is>
      </c>
      <c r="B29" t="inlineStr">
        <is>
          <t>Cessna</t>
        </is>
      </c>
      <c r="C29" t="inlineStr">
        <is>
          <t>172 Skyhawk</t>
        </is>
      </c>
      <c r="D29" s="116" t="n">
        <v>640</v>
      </c>
      <c r="E29" s="116" t="n">
        <v>122</v>
      </c>
      <c r="F29" s="116" t="n">
        <v>32</v>
      </c>
      <c r="G29" s="116" t="n">
        <v>4</v>
      </c>
      <c r="H29" s="116" t="n">
        <v>1157</v>
      </c>
      <c r="I29" s="116" t="n"/>
      <c r="J29" t="inlineStr">
        <is>
          <t>Manufacturer published - INDICATIVE</t>
        </is>
      </c>
      <c r="K29" s="54" t="inlineStr">
        <is>
          <t>NO</t>
        </is>
      </c>
      <c r="M29" s="118" t="n"/>
    </row>
    <row r="30">
      <c r="A30" t="inlineStr">
        <is>
          <t>C208</t>
        </is>
      </c>
      <c r="B30" t="inlineStr">
        <is>
          <t>Cessna</t>
        </is>
      </c>
      <c r="C30" t="inlineStr">
        <is>
          <t>208 / 208B Caravan</t>
        </is>
      </c>
      <c r="D30" s="116" t="n">
        <v>1070</v>
      </c>
      <c r="E30" s="116" t="n">
        <v>175</v>
      </c>
      <c r="F30" s="116" t="n">
        <v>180</v>
      </c>
      <c r="G30" s="116" t="n">
        <v>14</v>
      </c>
      <c r="H30" s="116" t="n">
        <v>3970</v>
      </c>
      <c r="I30" s="116" t="n"/>
      <c r="J30" t="inlineStr">
        <is>
          <t>Manufacturer published - INDICATIVE</t>
        </is>
      </c>
      <c r="K30" s="54" t="inlineStr">
        <is>
          <t>NO</t>
        </is>
      </c>
      <c r="M30" s="118" t="n"/>
    </row>
    <row r="31">
      <c r="A31" t="inlineStr">
        <is>
          <t>C510</t>
        </is>
      </c>
      <c r="B31" t="inlineStr">
        <is>
          <t>Cessna</t>
        </is>
      </c>
      <c r="C31" t="inlineStr">
        <is>
          <t>Citation Mustang</t>
        </is>
      </c>
      <c r="D31" s="116" t="n">
        <v>1150</v>
      </c>
      <c r="E31" s="116" t="n">
        <v>340</v>
      </c>
      <c r="F31" s="116" t="n">
        <v>380</v>
      </c>
      <c r="G31" s="116" t="n">
        <v>5</v>
      </c>
      <c r="H31" s="116" t="n">
        <v>3674</v>
      </c>
      <c r="I31" s="116" t="n"/>
      <c r="J31" t="inlineStr">
        <is>
          <t>Manufacturer published - INDICATIVE</t>
        </is>
      </c>
      <c r="K31" s="54" t="inlineStr">
        <is>
          <t>NO</t>
        </is>
      </c>
      <c r="M31" s="118" t="n"/>
    </row>
    <row r="32">
      <c r="A32" t="inlineStr">
        <is>
          <t>C56X</t>
        </is>
      </c>
      <c r="B32" t="inlineStr">
        <is>
          <t>Cessna</t>
        </is>
      </c>
      <c r="C32" t="inlineStr">
        <is>
          <t>Citation XLS+</t>
        </is>
      </c>
      <c r="D32" s="116" t="n">
        <v>2100</v>
      </c>
      <c r="E32" s="116" t="n">
        <v>420</v>
      </c>
      <c r="F32" s="116" t="n">
        <v>600</v>
      </c>
      <c r="G32" s="116" t="n">
        <v>12</v>
      </c>
      <c r="H32" s="116" t="n">
        <v>9304</v>
      </c>
      <c r="I32" s="116" t="n"/>
      <c r="J32" t="inlineStr">
        <is>
          <t>Manufacturer published - INDICATIVE</t>
        </is>
      </c>
      <c r="K32" s="54" t="inlineStr">
        <is>
          <t>NO</t>
        </is>
      </c>
      <c r="M32" s="118" t="n"/>
    </row>
    <row r="33">
      <c r="A33" t="inlineStr">
        <is>
          <t>C700</t>
        </is>
      </c>
      <c r="B33" t="inlineStr">
        <is>
          <t>Cessna</t>
        </is>
      </c>
      <c r="C33" t="inlineStr">
        <is>
          <t>Citation Longitude</t>
        </is>
      </c>
      <c r="D33" s="116" t="n">
        <v>3500</v>
      </c>
      <c r="E33" s="116" t="n">
        <v>476</v>
      </c>
      <c r="F33" s="116" t="n">
        <v>800</v>
      </c>
      <c r="G33" s="116" t="n">
        <v>12</v>
      </c>
      <c r="H33" s="116" t="n">
        <v>17696</v>
      </c>
      <c r="I33" s="116" t="n"/>
      <c r="J33" t="inlineStr">
        <is>
          <t>Manufacturer published - INDICATIVE</t>
        </is>
      </c>
      <c r="K33" s="54" t="inlineStr">
        <is>
          <t>NO</t>
        </is>
      </c>
      <c r="M33" s="118" t="n"/>
    </row>
    <row r="34">
      <c r="A34" t="inlineStr">
        <is>
          <t>C750</t>
        </is>
      </c>
      <c r="B34" t="inlineStr">
        <is>
          <t>Cessna</t>
        </is>
      </c>
      <c r="C34" t="inlineStr">
        <is>
          <t>Citation X</t>
        </is>
      </c>
      <c r="D34" s="116" t="n">
        <v>3070</v>
      </c>
      <c r="E34" s="116" t="n">
        <v>500</v>
      </c>
      <c r="F34" s="116" t="n">
        <v>900</v>
      </c>
      <c r="G34" s="116" t="n">
        <v>12</v>
      </c>
      <c r="H34" s="116" t="n">
        <v>16375</v>
      </c>
      <c r="I34" s="116" t="n"/>
      <c r="J34" t="inlineStr">
        <is>
          <t>Manufacturer published - INDICATIVE</t>
        </is>
      </c>
      <c r="K34" s="54" t="inlineStr">
        <is>
          <t>NO</t>
        </is>
      </c>
      <c r="M34" s="118" t="n"/>
    </row>
    <row r="35">
      <c r="A35" t="inlineStr">
        <is>
          <t>CL35</t>
        </is>
      </c>
      <c r="B35" t="inlineStr">
        <is>
          <t>Bombardier</t>
        </is>
      </c>
      <c r="C35" t="inlineStr">
        <is>
          <t>Challenger 350</t>
        </is>
      </c>
      <c r="D35" s="116" t="n">
        <v>3200</v>
      </c>
      <c r="E35" s="116" t="n">
        <v>470</v>
      </c>
      <c r="F35" s="116" t="n">
        <v>900</v>
      </c>
      <c r="G35" s="116" t="n">
        <v>10</v>
      </c>
      <c r="H35" s="116" t="n">
        <v>18597</v>
      </c>
      <c r="I35" s="116" t="n"/>
      <c r="J35" t="inlineStr">
        <is>
          <t>Manufacturer published - INDICATIVE</t>
        </is>
      </c>
      <c r="K35" s="54" t="inlineStr">
        <is>
          <t>NO</t>
        </is>
      </c>
      <c r="M35" s="118" t="n"/>
    </row>
    <row r="36">
      <c r="A36" t="inlineStr">
        <is>
          <t>CRJ9</t>
        </is>
      </c>
      <c r="B36" t="inlineStr">
        <is>
          <t>Bombardier</t>
        </is>
      </c>
      <c r="C36" t="inlineStr">
        <is>
          <t>CRJ-900</t>
        </is>
      </c>
      <c r="D36" s="116" t="n">
        <v>1550</v>
      </c>
      <c r="E36" s="116" t="n">
        <v>447</v>
      </c>
      <c r="F36" s="116" t="n">
        <v>1400</v>
      </c>
      <c r="G36" s="116" t="n">
        <v>90</v>
      </c>
      <c r="H36" s="116" t="n">
        <v>36500</v>
      </c>
      <c r="I36" s="116" t="n"/>
      <c r="J36" t="inlineStr">
        <is>
          <t>Manufacturer published - INDICATIVE</t>
        </is>
      </c>
      <c r="K36" s="54" t="inlineStr">
        <is>
          <t>NO</t>
        </is>
      </c>
      <c r="M36" s="118" t="n"/>
    </row>
    <row r="37">
      <c r="A37" t="inlineStr">
        <is>
          <t>D228</t>
        </is>
      </c>
      <c r="B37" t="inlineStr">
        <is>
          <t>Dornier</t>
        </is>
      </c>
      <c r="C37" t="inlineStr">
        <is>
          <t>228</t>
        </is>
      </c>
      <c r="D37" s="116" t="n">
        <v>600</v>
      </c>
      <c r="E37" s="116" t="n">
        <v>200</v>
      </c>
      <c r="F37" s="116" t="n">
        <v>180</v>
      </c>
      <c r="G37" s="116" t="n">
        <v>19</v>
      </c>
      <c r="H37" s="116" t="n">
        <v>6400</v>
      </c>
      <c r="I37" s="116" t="n"/>
      <c r="J37" t="inlineStr">
        <is>
          <t>Manufacturer published - INDICATIVE</t>
        </is>
      </c>
      <c r="K37" s="54" t="inlineStr">
        <is>
          <t>NO</t>
        </is>
      </c>
      <c r="M37" s="118" t="n"/>
    </row>
    <row r="38">
      <c r="A38" t="inlineStr">
        <is>
          <t>DH8D</t>
        </is>
      </c>
      <c r="B38" t="inlineStr">
        <is>
          <t>De Havilland</t>
        </is>
      </c>
      <c r="C38" t="inlineStr">
        <is>
          <t>Dash 8 Q400</t>
        </is>
      </c>
      <c r="D38" s="116" t="n">
        <v>1100</v>
      </c>
      <c r="E38" s="116" t="n">
        <v>360</v>
      </c>
      <c r="F38" s="116" t="n">
        <v>700</v>
      </c>
      <c r="G38" s="116" t="n">
        <v>90</v>
      </c>
      <c r="H38" s="116" t="n">
        <v>29260</v>
      </c>
      <c r="I38" s="116" t="n"/>
      <c r="J38" t="inlineStr">
        <is>
          <t>Manufacturer published - INDICATIVE</t>
        </is>
      </c>
      <c r="K38" s="54" t="inlineStr">
        <is>
          <t>NO</t>
        </is>
      </c>
      <c r="M38" s="118" t="n"/>
    </row>
    <row r="39">
      <c r="A39" t="inlineStr">
        <is>
          <t>E190</t>
        </is>
      </c>
      <c r="B39" t="inlineStr">
        <is>
          <t>Embraer</t>
        </is>
      </c>
      <c r="C39" t="inlineStr">
        <is>
          <t>E-190</t>
        </is>
      </c>
      <c r="D39" s="116" t="n">
        <v>2450</v>
      </c>
      <c r="E39" s="116" t="n">
        <v>447</v>
      </c>
      <c r="F39" s="116" t="n">
        <v>1600</v>
      </c>
      <c r="G39" s="116" t="n">
        <v>114</v>
      </c>
      <c r="H39" s="116" t="n">
        <v>52290</v>
      </c>
      <c r="I39" s="116" t="n"/>
      <c r="J39" t="inlineStr">
        <is>
          <t>Manufacturer published - INDICATIVE</t>
        </is>
      </c>
      <c r="K39" s="54" t="inlineStr">
        <is>
          <t>NO</t>
        </is>
      </c>
      <c r="M39" s="118" t="n"/>
    </row>
    <row r="40">
      <c r="A40" t="inlineStr">
        <is>
          <t>E195</t>
        </is>
      </c>
      <c r="B40" t="inlineStr">
        <is>
          <t>Embraer</t>
        </is>
      </c>
      <c r="C40" t="inlineStr">
        <is>
          <t>E-195</t>
        </is>
      </c>
      <c r="D40" s="116" t="n">
        <v>2300</v>
      </c>
      <c r="E40" s="116" t="n">
        <v>447</v>
      </c>
      <c r="F40" s="116" t="n">
        <v>1650</v>
      </c>
      <c r="G40" s="116" t="n">
        <v>124</v>
      </c>
      <c r="H40" s="116" t="n">
        <v>52290</v>
      </c>
      <c r="I40" s="116" t="n"/>
      <c r="J40" t="inlineStr">
        <is>
          <t>Manufacturer published - INDICATIVE</t>
        </is>
      </c>
      <c r="K40" s="54" t="inlineStr">
        <is>
          <t>NO</t>
        </is>
      </c>
      <c r="M40" s="118" t="n"/>
    </row>
    <row r="41">
      <c r="A41" t="inlineStr">
        <is>
          <t>E290</t>
        </is>
      </c>
      <c r="B41" t="inlineStr">
        <is>
          <t>Embraer</t>
        </is>
      </c>
      <c r="C41" t="inlineStr">
        <is>
          <t>E190-E2</t>
        </is>
      </c>
      <c r="D41" s="116" t="n">
        <v>2850</v>
      </c>
      <c r="E41" s="116" t="n">
        <v>447</v>
      </c>
      <c r="F41" s="116" t="n">
        <v>1400</v>
      </c>
      <c r="G41" s="116" t="n">
        <v>114</v>
      </c>
      <c r="H41" s="116" t="n">
        <v>54000</v>
      </c>
      <c r="I41" s="116" t="n"/>
      <c r="J41" t="inlineStr">
        <is>
          <t>Manufacturer published - INDICATIVE</t>
        </is>
      </c>
      <c r="K41" s="54" t="inlineStr">
        <is>
          <t>NO</t>
        </is>
      </c>
      <c r="M41" s="118" t="n"/>
    </row>
    <row r="42">
      <c r="A42" t="inlineStr">
        <is>
          <t>F70</t>
        </is>
      </c>
      <c r="B42" t="inlineStr">
        <is>
          <t>Fokker</t>
        </is>
      </c>
      <c r="C42" t="inlineStr">
        <is>
          <t>Fokker 70</t>
        </is>
      </c>
      <c r="D42" s="116" t="n">
        <v>1900</v>
      </c>
      <c r="E42" s="116" t="n">
        <v>420</v>
      </c>
      <c r="F42" s="116" t="n">
        <v>1800</v>
      </c>
      <c r="G42" s="116" t="n">
        <v>85</v>
      </c>
      <c r="H42" s="116" t="n">
        <v>36741</v>
      </c>
      <c r="I42" s="116" t="n"/>
      <c r="J42" t="inlineStr">
        <is>
          <t>Manufacturer published - INDICATIVE</t>
        </is>
      </c>
      <c r="K42" s="54" t="inlineStr">
        <is>
          <t>NO</t>
        </is>
      </c>
      <c r="M42" s="118" t="n"/>
    </row>
    <row r="43">
      <c r="A43" t="inlineStr">
        <is>
          <t>FA50</t>
        </is>
      </c>
      <c r="B43" t="inlineStr">
        <is>
          <t>Dassault</t>
        </is>
      </c>
      <c r="C43" t="inlineStr">
        <is>
          <t>Falcon 50EX</t>
        </is>
      </c>
      <c r="D43" s="116" t="n">
        <v>3000</v>
      </c>
      <c r="E43" s="116" t="n">
        <v>450</v>
      </c>
      <c r="F43" s="116" t="n">
        <v>1000</v>
      </c>
      <c r="G43" s="116" t="n">
        <v>9</v>
      </c>
      <c r="H43" s="116" t="n">
        <v>17960</v>
      </c>
      <c r="I43" s="116" t="n"/>
      <c r="J43" t="inlineStr">
        <is>
          <t>Manufacturer published - INDICATIVE</t>
        </is>
      </c>
      <c r="K43" s="54" t="inlineStr">
        <is>
          <t>NO</t>
        </is>
      </c>
      <c r="M43" s="118" t="n"/>
    </row>
    <row r="44">
      <c r="A44" t="inlineStr">
        <is>
          <t>FA7X</t>
        </is>
      </c>
      <c r="B44" t="inlineStr">
        <is>
          <t>Dassault</t>
        </is>
      </c>
      <c r="C44" t="inlineStr">
        <is>
          <t>Falcon 7X</t>
        </is>
      </c>
      <c r="D44" s="116" t="n">
        <v>5950</v>
      </c>
      <c r="E44" s="116" t="n">
        <v>470</v>
      </c>
      <c r="F44" s="116" t="n">
        <v>1300</v>
      </c>
      <c r="G44" s="116" t="n">
        <v>19</v>
      </c>
      <c r="H44" s="116" t="n">
        <v>31751</v>
      </c>
      <c r="I44" s="116" t="n"/>
      <c r="J44" t="inlineStr">
        <is>
          <t>Manufacturer published - INDICATIVE</t>
        </is>
      </c>
      <c r="K44" s="54" t="inlineStr">
        <is>
          <t>NO</t>
        </is>
      </c>
      <c r="M44" s="118" t="n"/>
    </row>
    <row r="45">
      <c r="A45" t="inlineStr">
        <is>
          <t>FA8X</t>
        </is>
      </c>
      <c r="B45" t="inlineStr">
        <is>
          <t>Dassault</t>
        </is>
      </c>
      <c r="C45" t="inlineStr">
        <is>
          <t>Falcon 8X</t>
        </is>
      </c>
      <c r="D45" s="116" t="n">
        <v>6450</v>
      </c>
      <c r="E45" s="116" t="n">
        <v>470</v>
      </c>
      <c r="F45" s="116" t="n">
        <v>1350</v>
      </c>
      <c r="G45" s="116" t="n">
        <v>19</v>
      </c>
      <c r="H45" s="116" t="n">
        <v>33113</v>
      </c>
      <c r="I45" s="116" t="n"/>
      <c r="J45" t="inlineStr">
        <is>
          <t>Manufacturer published - INDICATIVE</t>
        </is>
      </c>
      <c r="K45" s="54" t="inlineStr">
        <is>
          <t>NO</t>
        </is>
      </c>
      <c r="M45" s="118" t="n"/>
    </row>
    <row r="46">
      <c r="A46" t="inlineStr">
        <is>
          <t>G280</t>
        </is>
      </c>
      <c r="B46" t="inlineStr">
        <is>
          <t>Gulfstream</t>
        </is>
      </c>
      <c r="C46" t="inlineStr">
        <is>
          <t>G280</t>
        </is>
      </c>
      <c r="D46" s="116" t="n">
        <v>3600</v>
      </c>
      <c r="E46" s="116" t="n">
        <v>460</v>
      </c>
      <c r="F46" s="116" t="n">
        <v>1000</v>
      </c>
      <c r="G46" s="116" t="n">
        <v>10</v>
      </c>
      <c r="H46" s="116" t="n">
        <v>17962</v>
      </c>
      <c r="I46" s="116" t="n"/>
      <c r="J46" t="inlineStr">
        <is>
          <t>Manufacturer published - INDICATIVE</t>
        </is>
      </c>
      <c r="K46" s="54" t="inlineStr">
        <is>
          <t>NO</t>
        </is>
      </c>
      <c r="M46" s="118" t="n"/>
    </row>
    <row r="47">
      <c r="A47" t="inlineStr">
        <is>
          <t>G450</t>
        </is>
      </c>
      <c r="B47" t="inlineStr">
        <is>
          <t>Gulfstream</t>
        </is>
      </c>
      <c r="C47" t="inlineStr">
        <is>
          <t>G450</t>
        </is>
      </c>
      <c r="D47" s="116" t="n">
        <v>4350</v>
      </c>
      <c r="E47" s="116" t="n">
        <v>470</v>
      </c>
      <c r="F47" s="116" t="n">
        <v>1450</v>
      </c>
      <c r="G47" s="116" t="n">
        <v>16</v>
      </c>
      <c r="H47" s="116" t="n">
        <v>33390</v>
      </c>
      <c r="I47" s="116" t="n"/>
      <c r="J47" t="inlineStr">
        <is>
          <t>Manufacturer published - INDICATIVE</t>
        </is>
      </c>
      <c r="K47" s="54" t="inlineStr">
        <is>
          <t>NO</t>
        </is>
      </c>
      <c r="M47" s="118" t="n"/>
    </row>
    <row r="48">
      <c r="A48" t="inlineStr">
        <is>
          <t>GLEX</t>
        </is>
      </c>
      <c r="B48" t="inlineStr">
        <is>
          <t>Bombardier</t>
        </is>
      </c>
      <c r="C48" t="inlineStr">
        <is>
          <t>Global 6000 / 7500</t>
        </is>
      </c>
      <c r="D48" s="116" t="n">
        <v>6600</v>
      </c>
      <c r="E48" s="116" t="n">
        <v>488</v>
      </c>
      <c r="F48" s="116" t="n">
        <v>1900</v>
      </c>
      <c r="G48" s="116" t="n">
        <v>19</v>
      </c>
      <c r="H48" s="116" t="n">
        <v>52157</v>
      </c>
      <c r="I48" s="116" t="n"/>
      <c r="J48" t="inlineStr">
        <is>
          <t>Manufacturer published - INDICATIVE</t>
        </is>
      </c>
      <c r="K48" s="54" t="inlineStr">
        <is>
          <t>NO</t>
        </is>
      </c>
      <c r="M48" s="118" t="n"/>
    </row>
    <row r="49">
      <c r="A49" t="inlineStr">
        <is>
          <t>GLF5</t>
        </is>
      </c>
      <c r="B49" t="inlineStr">
        <is>
          <t>Gulfstream</t>
        </is>
      </c>
      <c r="C49" t="inlineStr">
        <is>
          <t>G550</t>
        </is>
      </c>
      <c r="D49" s="116" t="n">
        <v>6750</v>
      </c>
      <c r="E49" s="116" t="n">
        <v>488</v>
      </c>
      <c r="F49" s="116" t="n">
        <v>1750</v>
      </c>
      <c r="G49" s="116" t="n">
        <v>19</v>
      </c>
      <c r="H49" s="116" t="n">
        <v>41277</v>
      </c>
      <c r="I49" s="116" t="n"/>
      <c r="J49" t="inlineStr">
        <is>
          <t>Manufacturer published - INDICATIVE</t>
        </is>
      </c>
      <c r="K49" s="54" t="inlineStr">
        <is>
          <t>NO</t>
        </is>
      </c>
      <c r="M49" s="118" t="n"/>
    </row>
    <row r="50">
      <c r="A50" t="inlineStr">
        <is>
          <t>GLF6</t>
        </is>
      </c>
      <c r="B50" t="inlineStr">
        <is>
          <t>Gulfstream</t>
        </is>
      </c>
      <c r="C50" t="inlineStr">
        <is>
          <t>G650 / G650ER</t>
        </is>
      </c>
      <c r="D50" s="116" t="n">
        <v>7500</v>
      </c>
      <c r="E50" s="116" t="n">
        <v>488</v>
      </c>
      <c r="F50" s="116" t="n">
        <v>1900</v>
      </c>
      <c r="G50" s="116" t="n">
        <v>19</v>
      </c>
      <c r="H50" s="116" t="n">
        <v>45178</v>
      </c>
      <c r="I50" s="116" t="n"/>
      <c r="J50" t="inlineStr">
        <is>
          <t>Manufacturer published - INDICATIVE</t>
        </is>
      </c>
      <c r="K50" s="54" t="inlineStr">
        <is>
          <t>NO</t>
        </is>
      </c>
      <c r="M50" s="118" t="n"/>
    </row>
    <row r="51">
      <c r="A51" t="inlineStr">
        <is>
          <t>PC12</t>
        </is>
      </c>
      <c r="B51" t="inlineStr">
        <is>
          <t>Pilatus</t>
        </is>
      </c>
      <c r="C51" t="inlineStr">
        <is>
          <t>PC-12 NG / NGX</t>
        </is>
      </c>
      <c r="D51" s="116" t="n">
        <v>1800</v>
      </c>
      <c r="E51" s="116" t="n">
        <v>280</v>
      </c>
      <c r="F51" s="116" t="n">
        <v>250</v>
      </c>
      <c r="G51" s="116" t="n">
        <v>9</v>
      </c>
      <c r="H51" s="116" t="n">
        <v>4740</v>
      </c>
      <c r="I51" s="116" t="n"/>
      <c r="J51" t="inlineStr">
        <is>
          <t>Manufacturer published - INDICATIVE</t>
        </is>
      </c>
      <c r="K51" s="54" t="inlineStr">
        <is>
          <t>NO</t>
        </is>
      </c>
      <c r="M51" s="118" t="n"/>
    </row>
    <row r="52">
      <c r="A52" t="inlineStr">
        <is>
          <t>PC24</t>
        </is>
      </c>
      <c r="B52" t="inlineStr">
        <is>
          <t>Pilatus</t>
        </is>
      </c>
      <c r="C52" t="inlineStr">
        <is>
          <t>PC-24</t>
        </is>
      </c>
      <c r="D52" s="116" t="n">
        <v>2000</v>
      </c>
      <c r="E52" s="116" t="n">
        <v>440</v>
      </c>
      <c r="F52" s="116" t="n">
        <v>450</v>
      </c>
      <c r="G52" s="116" t="n">
        <v>11</v>
      </c>
      <c r="H52" s="116" t="n">
        <v>8300</v>
      </c>
      <c r="I52" s="116" t="n"/>
      <c r="J52" t="inlineStr">
        <is>
          <t>Manufacturer published - INDICATIVE</t>
        </is>
      </c>
      <c r="K52" s="54" t="inlineStr">
        <is>
          <t>NO</t>
        </is>
      </c>
      <c r="M52" s="118" t="n"/>
    </row>
    <row r="53">
      <c r="D53" s="116" t="n"/>
      <c r="E53" s="116" t="n"/>
      <c r="F53" s="116" t="n"/>
      <c r="G53" s="116" t="n"/>
      <c r="H53" s="116" t="n"/>
      <c r="I53" s="116" t="n"/>
      <c r="K53" s="54" t="n"/>
    </row>
    <row r="54">
      <c r="D54" s="116" t="n"/>
      <c r="E54" s="116" t="n"/>
      <c r="F54" s="116" t="n"/>
      <c r="G54" s="116" t="n"/>
      <c r="H54" s="116" t="n"/>
      <c r="I54" s="116" t="n"/>
      <c r="K54" s="54" t="n"/>
    </row>
    <row r="55">
      <c r="D55" s="116" t="n"/>
      <c r="E55" s="116" t="n"/>
      <c r="F55" s="116" t="n"/>
      <c r="G55" s="116" t="n"/>
      <c r="H55" s="116" t="n"/>
      <c r="I55" s="116" t="n"/>
      <c r="K55" s="54" t="n"/>
    </row>
    <row r="56">
      <c r="D56" s="116" t="n"/>
      <c r="E56" s="116" t="n"/>
      <c r="F56" s="116" t="n"/>
      <c r="G56" s="116" t="n"/>
      <c r="H56" s="116" t="n"/>
      <c r="I56" s="116" t="n"/>
      <c r="K56" s="54" t="n"/>
    </row>
    <row r="57">
      <c r="D57" s="116" t="n"/>
      <c r="E57" s="116" t="n"/>
      <c r="F57" s="116" t="n"/>
      <c r="G57" s="116" t="n"/>
      <c r="H57" s="116" t="n"/>
      <c r="I57" s="116" t="n"/>
      <c r="K57" s="54" t="n"/>
    </row>
    <row r="58">
      <c r="D58" s="116" t="n"/>
      <c r="E58" s="116" t="n"/>
      <c r="F58" s="116" t="n"/>
      <c r="G58" s="116" t="n"/>
      <c r="H58" s="116" t="n"/>
      <c r="I58" s="116" t="n"/>
      <c r="K58" s="54" t="n"/>
    </row>
    <row r="59">
      <c r="D59" s="116" t="n"/>
      <c r="E59" s="116" t="n"/>
      <c r="F59" s="116" t="n"/>
      <c r="G59" s="116" t="n"/>
      <c r="H59" s="116" t="n"/>
      <c r="I59" s="116" t="n"/>
      <c r="K59" s="54" t="n"/>
    </row>
    <row r="60">
      <c r="D60" s="116" t="n"/>
      <c r="E60" s="116" t="n"/>
      <c r="F60" s="116" t="n"/>
      <c r="G60" s="116" t="n"/>
      <c r="H60" s="116" t="n"/>
      <c r="I60" s="116" t="n"/>
      <c r="K60" s="54" t="n"/>
    </row>
    <row r="61">
      <c r="D61" s="116" t="n"/>
      <c r="E61" s="116" t="n"/>
      <c r="F61" s="116" t="n"/>
      <c r="G61" s="116" t="n"/>
      <c r="H61" s="116" t="n"/>
      <c r="I61" s="116" t="n"/>
      <c r="K61" s="54" t="n"/>
    </row>
    <row r="62">
      <c r="D62" s="116" t="n"/>
      <c r="E62" s="116" t="n"/>
      <c r="F62" s="116" t="n"/>
      <c r="G62" s="116" t="n"/>
      <c r="H62" s="116" t="n"/>
      <c r="I62" s="116" t="n"/>
      <c r="K62" s="54" t="n"/>
    </row>
    <row r="63">
      <c r="D63" s="116" t="n"/>
      <c r="E63" s="116" t="n"/>
      <c r="F63" s="116" t="n"/>
      <c r="G63" s="116" t="n"/>
      <c r="H63" s="116" t="n"/>
      <c r="I63" s="116" t="n"/>
      <c r="K63" s="54" t="n"/>
    </row>
    <row r="64">
      <c r="D64" s="116" t="n"/>
      <c r="E64" s="116" t="n"/>
      <c r="F64" s="116" t="n"/>
      <c r="G64" s="116" t="n"/>
      <c r="H64" s="116" t="n"/>
      <c r="I64" s="116" t="n"/>
      <c r="K64" s="54" t="n"/>
    </row>
    <row r="65">
      <c r="D65" s="116" t="n"/>
      <c r="E65" s="116" t="n"/>
      <c r="F65" s="116" t="n"/>
      <c r="G65" s="116" t="n"/>
      <c r="H65" s="116" t="n"/>
      <c r="I65" s="116" t="n"/>
      <c r="K65" s="54" t="n"/>
    </row>
    <row r="66">
      <c r="D66" s="116" t="n"/>
      <c r="E66" s="116" t="n"/>
      <c r="F66" s="116" t="n"/>
      <c r="G66" s="116" t="n"/>
      <c r="H66" s="116" t="n"/>
      <c r="I66" s="116" t="n"/>
      <c r="K66" s="54" t="n"/>
    </row>
    <row r="67">
      <c r="D67" s="116" t="n"/>
      <c r="E67" s="116" t="n"/>
      <c r="F67" s="116" t="n"/>
      <c r="G67" s="116" t="n"/>
      <c r="H67" s="116" t="n"/>
      <c r="I67" s="116" t="n"/>
      <c r="K67" s="54" t="n"/>
    </row>
    <row r="68">
      <c r="D68" s="116" t="n"/>
      <c r="E68" s="116" t="n"/>
      <c r="F68" s="116" t="n"/>
      <c r="G68" s="116" t="n"/>
      <c r="H68" s="116" t="n"/>
      <c r="I68" s="116" t="n"/>
      <c r="K68" s="54" t="n"/>
    </row>
    <row r="69">
      <c r="D69" s="116" t="n"/>
      <c r="E69" s="116" t="n"/>
      <c r="F69" s="116" t="n"/>
      <c r="G69" s="116" t="n"/>
      <c r="H69" s="116" t="n"/>
      <c r="I69" s="116" t="n"/>
      <c r="K69" s="54" t="n"/>
    </row>
    <row r="70">
      <c r="D70" s="116" t="n"/>
      <c r="E70" s="116" t="n"/>
      <c r="F70" s="116" t="n"/>
      <c r="G70" s="116" t="n"/>
      <c r="H70" s="116" t="n"/>
      <c r="I70" s="116" t="n"/>
      <c r="K70" s="54" t="n"/>
    </row>
    <row r="71">
      <c r="D71" s="116" t="n"/>
      <c r="E71" s="116" t="n"/>
      <c r="F71" s="116" t="n"/>
      <c r="G71" s="116" t="n"/>
      <c r="H71" s="116" t="n"/>
      <c r="I71" s="116" t="n"/>
      <c r="K71" s="54" t="n"/>
    </row>
    <row r="72">
      <c r="D72" s="116" t="n"/>
      <c r="E72" s="116" t="n"/>
      <c r="F72" s="116" t="n"/>
      <c r="G72" s="116" t="n"/>
      <c r="H72" s="116" t="n"/>
      <c r="I72" s="116" t="n"/>
      <c r="K72" s="54" t="n"/>
    </row>
    <row r="73">
      <c r="D73" s="116" t="n"/>
      <c r="E73" s="116" t="n"/>
      <c r="F73" s="116" t="n"/>
      <c r="G73" s="116" t="n"/>
      <c r="H73" s="116" t="n"/>
      <c r="I73" s="116" t="n"/>
      <c r="K73" s="54" t="n"/>
    </row>
    <row r="74">
      <c r="D74" s="116" t="n"/>
      <c r="E74" s="116" t="n"/>
      <c r="F74" s="116" t="n"/>
      <c r="G74" s="116" t="n"/>
      <c r="H74" s="116" t="n"/>
      <c r="I74" s="116" t="n"/>
      <c r="K74" s="54" t="n"/>
    </row>
    <row r="75">
      <c r="D75" s="116" t="n"/>
      <c r="E75" s="116" t="n"/>
      <c r="F75" s="116" t="n"/>
      <c r="G75" s="116" t="n"/>
      <c r="H75" s="116" t="n"/>
      <c r="I75" s="116" t="n"/>
      <c r="K75" s="54" t="n"/>
    </row>
    <row r="76">
      <c r="D76" s="116" t="n"/>
      <c r="E76" s="116" t="n"/>
      <c r="F76" s="116" t="n"/>
      <c r="G76" s="116" t="n"/>
      <c r="H76" s="116" t="n"/>
      <c r="I76" s="116" t="n"/>
      <c r="K76" s="54" t="n"/>
    </row>
    <row r="77">
      <c r="D77" s="116" t="n"/>
      <c r="E77" s="116" t="n"/>
      <c r="F77" s="116" t="n"/>
      <c r="G77" s="116" t="n"/>
      <c r="H77" s="116" t="n"/>
      <c r="I77" s="116" t="n"/>
      <c r="K77" s="54" t="n"/>
    </row>
    <row r="78">
      <c r="D78" s="116" t="n"/>
      <c r="E78" s="116" t="n"/>
      <c r="F78" s="116" t="n"/>
      <c r="G78" s="116" t="n"/>
      <c r="H78" s="116" t="n"/>
      <c r="I78" s="116" t="n"/>
      <c r="K78" s="54" t="n"/>
    </row>
    <row r="79">
      <c r="D79" s="116" t="n"/>
      <c r="E79" s="116" t="n"/>
      <c r="F79" s="116" t="n"/>
      <c r="G79" s="116" t="n"/>
      <c r="H79" s="116" t="n"/>
      <c r="I79" s="116" t="n"/>
      <c r="K79" s="54" t="n"/>
    </row>
    <row r="80">
      <c r="D80" s="116" t="n"/>
      <c r="E80" s="116" t="n"/>
      <c r="F80" s="116" t="n"/>
      <c r="G80" s="116" t="n"/>
      <c r="H80" s="116" t="n"/>
      <c r="I80" s="116" t="n"/>
      <c r="K80" s="54" t="n"/>
    </row>
    <row r="81">
      <c r="D81" s="116" t="n"/>
      <c r="E81" s="116" t="n"/>
      <c r="F81" s="116" t="n"/>
      <c r="G81" s="116" t="n"/>
      <c r="H81" s="116" t="n"/>
      <c r="I81" s="116" t="n"/>
      <c r="K81" s="54" t="n"/>
    </row>
    <row r="82">
      <c r="D82" s="116" t="n"/>
      <c r="E82" s="116" t="n"/>
      <c r="F82" s="116" t="n"/>
      <c r="G82" s="116" t="n"/>
      <c r="H82" s="116" t="n"/>
      <c r="I82" s="116" t="n"/>
      <c r="K82" s="54" t="n"/>
    </row>
    <row r="83">
      <c r="D83" s="116" t="n"/>
      <c r="E83" s="116" t="n"/>
      <c r="F83" s="116" t="n"/>
      <c r="G83" s="116" t="n"/>
      <c r="H83" s="116" t="n"/>
      <c r="I83" s="116" t="n"/>
      <c r="K83" s="54" t="n"/>
    </row>
    <row r="84">
      <c r="D84" s="116" t="n"/>
      <c r="E84" s="116" t="n"/>
      <c r="F84" s="116" t="n"/>
      <c r="G84" s="116" t="n"/>
      <c r="H84" s="116" t="n"/>
      <c r="I84" s="116" t="n"/>
      <c r="K84" s="54" t="n"/>
    </row>
    <row r="85">
      <c r="D85" s="116" t="n"/>
      <c r="E85" s="116" t="n"/>
      <c r="F85" s="116" t="n"/>
      <c r="G85" s="116" t="n"/>
      <c r="H85" s="116" t="n"/>
      <c r="I85" s="116" t="n"/>
      <c r="K85" s="54" t="n"/>
    </row>
    <row r="86">
      <c r="D86" s="116" t="n"/>
      <c r="E86" s="116" t="n"/>
      <c r="F86" s="116" t="n"/>
      <c r="G86" s="116" t="n"/>
      <c r="H86" s="116" t="n"/>
      <c r="I86" s="116" t="n"/>
      <c r="K86" s="54" t="n"/>
    </row>
    <row r="87">
      <c r="D87" s="116" t="n"/>
      <c r="E87" s="116" t="n"/>
      <c r="F87" s="116" t="n"/>
      <c r="G87" s="116" t="n"/>
      <c r="H87" s="116" t="n"/>
      <c r="I87" s="116" t="n"/>
      <c r="K87" s="54" t="n"/>
    </row>
    <row r="88">
      <c r="D88" s="116" t="n"/>
      <c r="E88" s="116" t="n"/>
      <c r="F88" s="116" t="n"/>
      <c r="G88" s="116" t="n"/>
      <c r="H88" s="116" t="n"/>
      <c r="I88" s="116" t="n"/>
      <c r="K88" s="54" t="n"/>
    </row>
    <row r="89">
      <c r="D89" s="116" t="n"/>
      <c r="E89" s="116" t="n"/>
      <c r="F89" s="116" t="n"/>
      <c r="G89" s="116" t="n"/>
      <c r="H89" s="116" t="n"/>
      <c r="I89" s="116" t="n"/>
      <c r="K89" s="54" t="n"/>
    </row>
    <row r="90">
      <c r="D90" s="116" t="n"/>
      <c r="E90" s="116" t="n"/>
      <c r="F90" s="116" t="n"/>
      <c r="G90" s="116" t="n"/>
      <c r="H90" s="116" t="n"/>
      <c r="I90" s="116" t="n"/>
      <c r="K90" s="54" t="n"/>
    </row>
    <row r="91">
      <c r="D91" s="116" t="n"/>
      <c r="E91" s="116" t="n"/>
      <c r="F91" s="116" t="n"/>
      <c r="G91" s="116" t="n"/>
      <c r="H91" s="116" t="n"/>
      <c r="I91" s="116" t="n"/>
      <c r="K91" s="54" t="n"/>
    </row>
    <row r="92">
      <c r="D92" s="116" t="n"/>
      <c r="E92" s="116" t="n"/>
      <c r="F92" s="116" t="n"/>
      <c r="G92" s="116" t="n"/>
      <c r="H92" s="116" t="n"/>
      <c r="I92" s="116" t="n"/>
      <c r="K92" s="54" t="n"/>
    </row>
    <row r="93">
      <c r="D93" s="116" t="n"/>
      <c r="E93" s="116" t="n"/>
      <c r="F93" s="116" t="n"/>
      <c r="G93" s="116" t="n"/>
      <c r="H93" s="116" t="n"/>
      <c r="I93" s="116" t="n"/>
      <c r="K93" s="54" t="n"/>
    </row>
    <row r="94">
      <c r="D94" s="116" t="n"/>
      <c r="E94" s="116" t="n"/>
      <c r="F94" s="116" t="n"/>
      <c r="G94" s="116" t="n"/>
      <c r="H94" s="116" t="n"/>
      <c r="I94" s="116" t="n"/>
      <c r="K94" s="54" t="n"/>
    </row>
    <row r="95">
      <c r="D95" s="116" t="n"/>
      <c r="E95" s="116" t="n"/>
      <c r="F95" s="116" t="n"/>
      <c r="G95" s="116" t="n"/>
      <c r="H95" s="116" t="n"/>
      <c r="I95" s="116" t="n"/>
      <c r="K95" s="54" t="n"/>
    </row>
    <row r="96">
      <c r="D96" s="116" t="n"/>
      <c r="E96" s="116" t="n"/>
      <c r="F96" s="116" t="n"/>
      <c r="G96" s="116" t="n"/>
      <c r="H96" s="116" t="n"/>
      <c r="I96" s="116" t="n"/>
      <c r="K96" s="54" t="n"/>
    </row>
    <row r="97">
      <c r="D97" s="116" t="n"/>
      <c r="E97" s="116" t="n"/>
      <c r="F97" s="116" t="n"/>
      <c r="G97" s="116" t="n"/>
      <c r="H97" s="116" t="n"/>
      <c r="I97" s="116" t="n"/>
      <c r="K97" s="54" t="n"/>
    </row>
    <row r="98">
      <c r="D98" s="116" t="n"/>
      <c r="E98" s="116" t="n"/>
      <c r="F98" s="116" t="n"/>
      <c r="G98" s="116" t="n"/>
      <c r="H98" s="116" t="n"/>
      <c r="I98" s="116" t="n"/>
      <c r="K98" s="54" t="n"/>
    </row>
    <row r="99">
      <c r="D99" s="116" t="n"/>
      <c r="E99" s="116" t="n"/>
      <c r="F99" s="116" t="n"/>
      <c r="G99" s="116" t="n"/>
      <c r="H99" s="116" t="n"/>
      <c r="I99" s="116" t="n"/>
      <c r="K99" s="54" t="n"/>
    </row>
    <row r="100">
      <c r="D100" s="116" t="n"/>
      <c r="E100" s="116" t="n"/>
      <c r="F100" s="116" t="n"/>
      <c r="G100" s="116" t="n"/>
      <c r="H100" s="116" t="n"/>
      <c r="I100" s="116" t="n"/>
      <c r="K100" s="54" t="n"/>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G42"/>
  <sheetViews>
    <sheetView workbookViewId="0">
      <pane ySplit="4" topLeftCell="A5" activePane="bottomLeft" state="frozen"/>
      <selection pane="bottomLeft" activeCell="A1" sqref="A1"/>
    </sheetView>
  </sheetViews>
  <sheetFormatPr baseColWidth="8" defaultRowHeight="14.4"/>
  <cols>
    <col width="7.44140625" customWidth="1" min="1" max="1"/>
    <col width="61.109375" customWidth="1" min="2" max="2"/>
    <col width="20.33203125" customWidth="1" min="3" max="6"/>
    <col width="96.33203125" customWidth="1" min="7" max="7"/>
  </cols>
  <sheetData>
    <row r="1" ht="18" customHeight="1">
      <c r="A1" s="44" t="inlineStr">
        <is>
          <t>DATA READINESS — how much of the reference data is actually populated</t>
        </is>
      </c>
    </row>
    <row r="2">
      <c r="A2" s="32" t="inlineStr">
        <is>
          <t>Every figure below is a live formula over the source sheets. The app is only as good as these percentages. Anything under 100% on a BLOCKER row means that part of the product is scaffolding, not function.</t>
        </is>
      </c>
    </row>
    <row r="4">
      <c r="A4" s="25" t="inlineStr">
        <is>
          <t>#</t>
        </is>
      </c>
      <c r="B4" s="25" t="inlineStr">
        <is>
          <t>dataset / field</t>
        </is>
      </c>
      <c r="C4" s="25" t="inlineStr">
        <is>
          <t>populated</t>
        </is>
      </c>
      <c r="D4" s="25" t="inlineStr">
        <is>
          <t>total</t>
        </is>
      </c>
      <c r="E4" s="25" t="inlineStr">
        <is>
          <t>% complete</t>
        </is>
      </c>
      <c r="F4" s="25" t="inlineStr">
        <is>
          <t>criticality</t>
        </is>
      </c>
      <c r="G4" s="25" t="inlineStr">
        <is>
          <t>what it blocks</t>
        </is>
      </c>
    </row>
    <row r="5" ht="28.8" customHeight="1">
      <c r="A5" t="n">
        <v>1</v>
      </c>
      <c r="B5" t="inlineStr">
        <is>
          <t>Country permit lead times</t>
        </is>
      </c>
      <c r="C5" s="5">
        <f>COUNTIFS(countries!$I$2:$I$143,"&gt;0",countries!$Q$2:$Q$143,"&lt;&gt;",countries!$S$2:$S$143,"&lt;&gt;")</f>
        <v/>
      </c>
      <c r="D5" s="5">
        <f>COUNTIF(countries!$D$2:$D$143,"&lt;&gt;")</f>
        <v/>
      </c>
      <c r="E5" s="75">
        <f>IF($D5=0,"",$C5/$D5)</f>
        <v/>
      </c>
      <c r="F5" t="inlineStr">
        <is>
          <t>BLOCKER</t>
        </is>
      </c>
      <c r="G5" s="60" t="inlineStr">
        <is>
          <t>Every file-by deadline. Counts only states with a lead time AND a source AND a verification date — presence alone is not verification.</t>
        </is>
      </c>
    </row>
    <row r="6">
      <c r="A6" t="n">
        <v>2</v>
      </c>
      <c r="B6" t="inlineStr">
        <is>
          <t>Country permit flags VERIFIED against a source</t>
        </is>
      </c>
      <c r="C6" s="5">
        <f>COUNTIFS(countries!$O$2:$O$143,"&lt;&gt;",countries!$P$2:$P$143,"&lt;&gt;")</f>
        <v/>
      </c>
      <c r="D6" s="5">
        <f>COUNTIF(countries!$D$2:$D$143,"&lt;&gt;")</f>
        <v/>
      </c>
      <c r="E6" s="75">
        <f>IF($D6=0,"",$C6/$D6)</f>
        <v/>
      </c>
      <c r="F6" t="inlineStr">
        <is>
          <t>BLOCKER</t>
        </is>
      </c>
      <c r="G6" s="60" t="inlineStr">
        <is>
          <t>Whether a permit is raised at all. All 142 are bulk-seeded REQUIRED; none has a verification date or source yet.</t>
        </is>
      </c>
    </row>
    <row r="7">
      <c r="A7" t="n">
        <v>3</v>
      </c>
      <c r="B7" t="inlineStr">
        <is>
          <t>Country ground-handling policy</t>
        </is>
      </c>
      <c r="C7" s="5">
        <f>COUNTIFS(countries!$L$2:$L$143,"&lt;&gt;VERIFY",countries!$L$2:$L$143,"&lt;&gt;")</f>
        <v/>
      </c>
      <c r="D7" s="5">
        <f>COUNTIF(countries!$D$2:$D$143,"&lt;&gt;")</f>
        <v/>
      </c>
      <c r="E7" s="75">
        <f>IF($D7=0,"",$C7/$D7)</f>
        <v/>
      </c>
      <c r="F7" t="inlineStr">
        <is>
          <t>HIGH</t>
        </is>
      </c>
      <c r="G7" s="60" t="inlineStr">
        <is>
          <t>Mandatory vs self-handling decision at every stop.</t>
        </is>
      </c>
    </row>
    <row r="8">
      <c r="A8" t="n">
        <v>4</v>
      </c>
      <c r="B8" t="inlineStr">
        <is>
          <t>Visa matrix cells answered</t>
        </is>
      </c>
      <c r="C8" s="5">
        <f>COUNTA('VISA MATRIX'!$B$4:$FS$145)</f>
        <v/>
      </c>
      <c r="D8" s="5">
        <f>COUNTIF('VISA MATRIX'!$A$4:$A$145,"&lt;&gt;")*COUNTIF('VISA MATRIX'!$B$3:$FS$3,"&lt;&gt;")</f>
        <v/>
      </c>
      <c r="E8" s="75">
        <f>IF($D8=0,"",$C8/$D8)</f>
        <v/>
      </c>
      <c r="F8" t="inlineStr">
        <is>
          <t>HIGH</t>
        </is>
      </c>
      <c r="G8" s="60" t="inlineStr">
        <is>
          <t>The whole visa module. Blank fails safe as NOT ON FILE.</t>
        </is>
      </c>
    </row>
    <row r="9">
      <c r="A9" t="n">
        <v>5</v>
      </c>
      <c r="B9" t="inlineStr">
        <is>
          <t>Country requirements / intel records</t>
        </is>
      </c>
      <c r="C9" s="5">
        <f>COUNTIF('COUNTRY REQUIREMENTS'!$B$5:$B$80,"&lt;&gt;")</f>
        <v/>
      </c>
      <c r="D9" s="5">
        <f>COUNTIF(countries!$D$2:$D$143,"&lt;&gt;")</f>
        <v/>
      </c>
      <c r="E9" s="75">
        <f>IF($D9=0,"",$C9/$D9)</f>
        <v/>
      </c>
      <c r="F9" t="inlineStr">
        <is>
          <t>HIGH</t>
        </is>
      </c>
      <c r="G9" s="60" t="inlineStr">
        <is>
          <t>Request flows: forms, documents, channels, quirks.</t>
        </is>
      </c>
    </row>
    <row r="10" ht="28.8" customHeight="1">
      <c r="A10" t="n">
        <v>6</v>
      </c>
      <c r="B10" t="inlineStr">
        <is>
          <t>Operators with a name</t>
        </is>
      </c>
      <c r="C10" s="5">
        <f>COUNTIF(Operators!$AG$2:$AG$491,"ASSIGNABLE")</f>
        <v/>
      </c>
      <c r="D10" s="5">
        <f>COUNTIF(Operators!$A$2:$A$491,"&lt;&gt;")</f>
        <v/>
      </c>
      <c r="E10" s="75">
        <f>IF($D10=0,"",$C10/$D10)</f>
        <v/>
      </c>
      <c r="F10" t="inlineStr">
        <is>
          <t>BLOCKER</t>
        </is>
      </c>
      <c r="G10" s="60" t="inlineStr">
        <is>
          <t>Addressing permits and messages. Reads the derived ASSIGNABLE column on Operators — an operator with no name cannot be put on a trip.</t>
        </is>
      </c>
    </row>
    <row r="11">
      <c r="A11" t="n">
        <v>7</v>
      </c>
      <c r="B11" t="inlineStr">
        <is>
          <t>Aircraft with an operator</t>
        </is>
      </c>
      <c r="C11" s="5">
        <f>COUNTIFS(Aircraft!$B$2:$B$111,"&lt;&gt;",Aircraft!$N$2:$N$111,"&lt;&gt;")</f>
        <v/>
      </c>
      <c r="D11" s="5">
        <f>COUNTIF(Aircraft!$B$2:$B$111,"&lt;&gt;")</f>
        <v/>
      </c>
      <c r="E11" s="75">
        <f>IF($D11=0,"",$C11/$D11)</f>
        <v/>
      </c>
      <c r="F11" t="inlineStr">
        <is>
          <t>BLOCKER</t>
        </is>
      </c>
      <c r="G11" s="60" t="inlineStr">
        <is>
          <t>Every trip. An aircraft must belong to an operator.</t>
        </is>
      </c>
    </row>
    <row r="12">
      <c r="A12" t="n">
        <v>8</v>
      </c>
      <c r="B12" t="inlineStr">
        <is>
          <t>Aircraft types with performance data</t>
        </is>
      </c>
      <c r="C12" s="5">
        <f>COUNTIF('AIRCRAFT PERFORMANCE'!$D$7:$D$100,"&gt;0")</f>
        <v/>
      </c>
      <c r="D12" s="5">
        <f>COUNTIF('AIRCRAFT PERFORMANCE'!$A$7:$A$100,"&lt;&gt;")</f>
        <v/>
      </c>
      <c r="E12" s="75">
        <f>IF($D12=0,"",$C12/$D12)</f>
        <v/>
      </c>
      <c r="F12" t="inlineStr">
        <is>
          <t>HIGH</t>
        </is>
      </c>
      <c r="G12" s="60" t="inlineStr">
        <is>
          <t>Range checks and technical-stop insertion.</t>
        </is>
      </c>
    </row>
    <row r="13" ht="28.8" customHeight="1">
      <c r="A13" t="n">
        <v>9</v>
      </c>
      <c r="B13" t="inlineStr">
        <is>
          <t>Performance figures engineer-verified</t>
        </is>
      </c>
      <c r="C13" s="5">
        <f>COUNTIF('AIRCRAFT PERFORMANCE'!$N$7:$N$52,"APPROVED FOR PLANNING")</f>
        <v/>
      </c>
      <c r="D13" s="5">
        <f>COUNTIF('AIRCRAFT PERFORMANCE'!$A$7:$A$100,"&lt;&gt;")</f>
        <v/>
      </c>
      <c r="E13" s="75">
        <f>IF($D13=0,"",$C13/$D13)</f>
        <v/>
      </c>
      <c r="F13" t="inlineStr">
        <is>
          <t>BLOCKER</t>
        </is>
      </c>
      <c r="G13" s="60" t="inlineStr">
        <is>
          <t>Using published figures for real planning. Requires verified = YES plus a named verifier and a date; anything less stays ADVISORY ONLY.</t>
        </is>
      </c>
    </row>
    <row r="14">
      <c r="A14" t="n">
        <v>10</v>
      </c>
      <c r="B14" t="inlineStr">
        <is>
          <t>Airports with coordinates</t>
        </is>
      </c>
      <c r="C14" s="5">
        <f>COUNT(airports!$O$3:$O$382)</f>
        <v/>
      </c>
      <c r="D14" s="5">
        <f>COUNTIF(airports!$A$3:$A$382,"&lt;&gt;")</f>
        <v/>
      </c>
      <c r="E14" s="75">
        <f>IF($D14=0,"",$C14/$D14)</f>
        <v/>
      </c>
      <c r="F14" t="inlineStr">
        <is>
          <t>OK</t>
        </is>
      </c>
      <c r="G14" s="60" t="inlineStr">
        <is>
          <t>Routing. Only airports with coordinates can be flown to.</t>
        </is>
      </c>
    </row>
    <row r="15">
      <c r="A15" t="n">
        <v>11</v>
      </c>
      <c r="B15" t="inlineStr">
        <is>
          <t>Airports flagged airport of entry</t>
        </is>
      </c>
      <c r="C15" s="5">
        <f>COUNTIF(airports!$Y$3:$Y$382,"&lt;&gt;")</f>
        <v/>
      </c>
      <c r="D15" s="5">
        <f>COUNTIF(airports!$A$3:$A$382,"&lt;&gt;")</f>
        <v/>
      </c>
      <c r="E15" s="75">
        <f>IF($D15=0,"",$C15/$D15)</f>
        <v/>
      </c>
      <c r="F15" t="inlineStr">
        <is>
          <t>HIGH</t>
        </is>
      </c>
      <c r="G15" s="60" t="inlineStr">
        <is>
          <t>Choosing a technical stop that can clear customs.</t>
        </is>
      </c>
    </row>
    <row r="16">
      <c r="A16" t="n">
        <v>12</v>
      </c>
      <c r="B16" t="inlineStr">
        <is>
          <t>Airports with fuel availability</t>
        </is>
      </c>
      <c r="C16" s="5">
        <f>COUNTIF(airports!$AG$3:$AG$382,"&lt;&gt;")</f>
        <v/>
      </c>
      <c r="D16" s="5">
        <f>COUNTIF(airports!$A$3:$A$382,"&lt;&gt;")</f>
        <v/>
      </c>
      <c r="E16" s="75">
        <f>IF($D16=0,"",$C16/$D16)</f>
        <v/>
      </c>
      <c r="F16" t="inlineStr">
        <is>
          <t>HIGH</t>
        </is>
      </c>
      <c r="G16" s="60" t="inlineStr">
        <is>
          <t>Choosing a fuel stop.</t>
        </is>
      </c>
    </row>
    <row r="17">
      <c r="A17" t="n">
        <v>13</v>
      </c>
      <c r="B17" t="inlineStr">
        <is>
          <t>Airports with operating hours</t>
        </is>
      </c>
      <c r="C17" s="5">
        <f>COUNTIF(airports!$W$3:$W$382,"&lt;&gt;")</f>
        <v/>
      </c>
      <c r="D17" s="5">
        <f>COUNTIF(airports!$A$3:$A$382,"&lt;&gt;")</f>
        <v/>
      </c>
      <c r="E17" s="75">
        <f>IF($D17=0,"",$C17/$D17)</f>
        <v/>
      </c>
      <c r="F17" t="inlineStr">
        <is>
          <t>HIGH</t>
        </is>
      </c>
      <c r="G17" s="60" t="inlineStr">
        <is>
          <t>Validating an arrival time is even possible.</t>
        </is>
      </c>
    </row>
    <row r="18">
      <c r="A18" t="n">
        <v>14</v>
      </c>
      <c r="B18" t="inlineStr">
        <is>
          <t>Handler coverage by station</t>
        </is>
      </c>
      <c r="C18" s="5">
        <f>COUNTIF(HANDLERS!$C$4:$C$250,"&lt;&gt;")</f>
        <v/>
      </c>
      <c r="D18" s="5">
        <f>COUNTIF(HANDLERS!$C$4:$C$250,"&lt;&gt;")</f>
        <v/>
      </c>
      <c r="E18" s="75">
        <f>IF($D18=0,"",$C18/$D18)</f>
        <v/>
      </c>
      <c r="F18" t="inlineStr">
        <is>
          <t>OK</t>
        </is>
      </c>
      <c r="G18" s="60" t="inlineStr">
        <is>
          <t>Assigning a handler with a named contact.</t>
        </is>
      </c>
    </row>
    <row r="19">
      <c r="A19" t="n">
        <v>15</v>
      </c>
      <c r="B19" t="inlineStr">
        <is>
          <t>Vendors with an approved questionnaire</t>
        </is>
      </c>
      <c r="C19" s="5">
        <f>COUNTIF(Vendors!$AE$2:$AE$137,"APPROVED*")</f>
        <v/>
      </c>
      <c r="D19" s="5">
        <f>COUNTIF(Vendors!$A$2:$A$137,"&lt;&gt;")</f>
        <v/>
      </c>
      <c r="E19" s="75">
        <f>IF($D19=0,"",$C19/$D19)</f>
        <v/>
      </c>
      <c r="F19" t="inlineStr">
        <is>
          <t>HIGH</t>
        </is>
      </c>
      <c r="G19" s="60" t="inlineStr">
        <is>
          <t>Legitimately assignable vendors.</t>
        </is>
      </c>
    </row>
    <row r="20">
      <c r="A20" t="n">
        <v>16</v>
      </c>
      <c r="B20" t="inlineStr">
        <is>
          <t>Clients with billing details complete</t>
        </is>
      </c>
      <c r="C20" s="5">
        <f>COUNTIF(Clients!$S$3:$S$60,"OK")</f>
        <v/>
      </c>
      <c r="D20" s="5">
        <f>COUNTIF(Clients!$A$3:$A$60,"&lt;&gt;")</f>
        <v/>
      </c>
      <c r="E20" s="75">
        <f>IF($D20=0,"",$C20/$D20)</f>
        <v/>
      </c>
      <c r="F20" t="inlineStr">
        <is>
          <t>MEDIUM</t>
        </is>
      </c>
      <c r="G20" s="60" t="inlineStr">
        <is>
          <t>Invoicing.</t>
        </is>
      </c>
    </row>
    <row r="21">
      <c r="A21" t="n">
        <v>17</v>
      </c>
      <c r="B21" t="inlineStr">
        <is>
          <t>Crew/pax with a valid passport record</t>
        </is>
      </c>
      <c r="C21" s="5">
        <f>COUNTIF('PAX &amp; CREW'!$Q$3:$Q$62,"VALID")</f>
        <v/>
      </c>
      <c r="D21" s="5">
        <f>COUNTIF('PAX &amp; CREW'!$A$3:$A$62,"&lt;&gt;")</f>
        <v/>
      </c>
      <c r="E21" s="75">
        <f>IF($D21=0,"",$C21/$D21)</f>
        <v/>
      </c>
      <c r="F21" t="inlineStr">
        <is>
          <t>MEDIUM</t>
        </is>
      </c>
      <c r="G21" s="60" t="inlineStr">
        <is>
          <t>Document blocker on trip confirmation.</t>
        </is>
      </c>
    </row>
    <row r="22">
      <c r="A22" t="n">
        <v>18</v>
      </c>
      <c r="B22" t="inlineStr">
        <is>
          <t>Fleet documents on file</t>
        </is>
      </c>
      <c r="C22" s="5">
        <f>COUNTIF('FLEET DOCUMENTS'!$C$5:$C$60,"&lt;&gt;")</f>
        <v/>
      </c>
      <c r="D22" s="5">
        <f>COUNTIF('FLEET DOCUMENTS'!$C$5:$C$60,"&lt;&gt;")</f>
        <v/>
      </c>
      <c r="E22" s="75">
        <f>IF($D22=0,"",$C22/$D22)</f>
        <v/>
      </c>
      <c r="F22" t="inlineStr">
        <is>
          <t>MEDIUM</t>
        </is>
      </c>
      <c r="G22" s="60" t="inlineStr">
        <is>
          <t>Permit application attachments.</t>
        </is>
      </c>
    </row>
    <row r="23">
      <c r="A23" t="n">
        <v>19</v>
      </c>
      <c r="B23" t="inlineStr">
        <is>
          <t>Message templates active</t>
        </is>
      </c>
      <c r="C23" s="5">
        <f>COUNTIF('MESSAGE TEMPLATES'!$I$38:$I$44,"YES")</f>
        <v/>
      </c>
      <c r="D23" s="5">
        <f>COUNTIF('MESSAGE TEMPLATES'!$A$38:$A$44,"&lt;&gt;")</f>
        <v/>
      </c>
      <c r="E23" s="75">
        <f>IF($D23=0,"",$C23/$D23)</f>
        <v/>
      </c>
      <c r="F23" t="inlineStr">
        <is>
          <t>OK</t>
        </is>
      </c>
      <c r="G23" s="60" t="inlineStr">
        <is>
          <t>Outbound requests.</t>
        </is>
      </c>
    </row>
    <row r="24">
      <c r="A24" t="n">
        <v>20</v>
      </c>
      <c r="B24" t="inlineStr">
        <is>
          <t>Users with a role assigned</t>
        </is>
      </c>
      <c r="C24" s="5">
        <f>COUNTIFS('USERS &amp; SETTINGS'!$A$15:$A$19,"&lt;&gt;",'USERS &amp; SETTINGS'!$D$15:$D$19,"&lt;&gt;")</f>
        <v/>
      </c>
      <c r="D24" s="5">
        <f>COUNTIF('USERS &amp; SETTINGS'!$A$15:$A$19,"&lt;&gt;")</f>
        <v/>
      </c>
      <c r="E24" s="75">
        <f>IF($D24=0,"",$C24/$D24)</f>
        <v/>
      </c>
      <c r="F24" t="inlineStr">
        <is>
          <t>OK</t>
        </is>
      </c>
      <c r="G24" s="60" t="inlineStr">
        <is>
          <t>Access control.</t>
        </is>
      </c>
    </row>
    <row r="26" ht="15.6" customHeight="1">
      <c r="A26" s="76">
        <f t="array" ref="A26">"OVERALL: "&amp;TEXT(AVERAGE($E$5:$E$24),"0%")&amp;" of tracked reference data populated. "&amp;COUNTIF($F$5:$F$24,"BLOCKER")&amp;" blocker datasets, of which "&amp;SUMPRODUCT(($F$5:$F$24="BLOCKER")*($E$5:$E$24&lt;1))&amp;" are incomplete."</f>
        <v/>
      </c>
    </row>
    <row r="27">
      <c r="A27" s="111" t="inlineStr">
        <is>
          <t>READ THE TWO BLOCKS TOGETHER. Rows 5-24 measure POPULATION — is a value present at all. Rows 30-39 measure VERIFICATION — is that value backed by a source and a verification date. A dataset can be 100% populated and still fail its gate, which is the normal case for bulk-seeded reference data. The gates, not the percentages, decide whether V3 may leave pilot.</t>
        </is>
      </c>
    </row>
    <row r="28" ht="15.6" customHeight="1">
      <c r="A28" s="110" t="inlineStr">
        <is>
          <t>PILOT EXIT GATE — V3 may not leave pilot while any gate below reads BLOCKED</t>
        </is>
      </c>
    </row>
    <row r="29">
      <c r="A29" s="111" t="inlineStr">
        <is>
          <t>Each gate is a live count against the verification columns added to the reference sheets. A gate clears only on evidence — a source and a verification date — never on a value merely being present.</t>
        </is>
      </c>
    </row>
    <row r="30">
      <c r="B30" s="112" t="inlineStr">
        <is>
          <t>gate</t>
        </is>
      </c>
      <c r="C30" s="112" t="inlineStr">
        <is>
          <t>verified</t>
        </is>
      </c>
      <c r="D30" s="112" t="inlineStr">
        <is>
          <t>required</t>
        </is>
      </c>
      <c r="E30" s="112" t="inlineStr">
        <is>
          <t>gate status</t>
        </is>
      </c>
      <c r="G30" s="112" t="inlineStr">
        <is>
          <t>evidence column that clears it</t>
        </is>
      </c>
    </row>
    <row r="31">
      <c r="B31" t="inlineStr">
        <is>
          <t>Country permit lead times sourced &amp; verified</t>
        </is>
      </c>
      <c r="C31">
        <f>COUNTIF(countries!$U$2:$U$143,"VERIFIED")+COUNTIF(countries!$U$2:$U$143,"LEAD TIME OK*")</f>
        <v/>
      </c>
      <c r="D31">
        <f>COUNTIF(countries!$D$2:$D$143,"&lt;&gt;")</f>
        <v/>
      </c>
      <c r="E31">
        <f>IF($C31&gt;=$D31,"CLEAR","BLOCKED - "&amp;TEXT($D31-$C31,"#,##0")&amp;" outstanding")</f>
        <v/>
      </c>
      <c r="G31" t="inlineStr">
        <is>
          <t>countries Q/R/S — lead_time_source, verified_by, verified_on</t>
        </is>
      </c>
    </row>
    <row r="32">
      <c r="B32" t="inlineStr">
        <is>
          <t>Country permit flags verified against a source</t>
        </is>
      </c>
      <c r="C32">
        <f>COUNTIFS(countries!$O$2:$O$143,"&lt;&gt;",countries!$P$2:$P$143,"&lt;&gt;")</f>
        <v/>
      </c>
      <c r="D32">
        <f>COUNTIF(countries!$D$2:$D$143,"&lt;&gt;")</f>
        <v/>
      </c>
      <c r="E32">
        <f>IF($C32&gt;=$D32,"CLEAR","BLOCKED - "&amp;TEXT($D32-$C32,"#,##0")&amp;" outstanding")</f>
        <v/>
      </c>
      <c r="G32" t="inlineStr">
        <is>
          <t>countries O/P/T — permit_flags_verified_on, source, verified_by</t>
        </is>
      </c>
    </row>
    <row r="33">
      <c r="B33" t="inlineStr">
        <is>
          <t>Country ground-handling policy decided (not VERIFY)</t>
        </is>
      </c>
      <c r="C33">
        <f>COUNTIFS(countries!$L$2:$L$143,"&lt;&gt;VERIFY",countries!$L$2:$L$143,"&lt;&gt;")</f>
        <v/>
      </c>
      <c r="D33">
        <f>COUNTIF(countries!$D$2:$D$143,"&lt;&gt;")</f>
        <v/>
      </c>
      <c r="E33">
        <f>IF($C33&gt;=$D33,"CLEAR","BLOCKED - "&amp;TEXT($D33-$C33,"#,##0")&amp;" outstanding")</f>
        <v/>
      </c>
      <c r="G33" t="inlineStr">
        <is>
          <t>countries L/M — ground_handling_mandatory, self_handling_permitted</t>
        </is>
      </c>
    </row>
    <row r="34">
      <c r="B34" t="inlineStr">
        <is>
          <t>Operators assignable to a trip</t>
        </is>
      </c>
      <c r="C34">
        <f>COUNTIF(Operators!$AG$2:$AG$491,"ASSIGNABLE")</f>
        <v/>
      </c>
      <c r="D34">
        <f>COUNTIF(Operators!$A$2:$A$491,"&lt;&gt;")</f>
        <v/>
      </c>
      <c r="E34">
        <f>IF($C34&gt;=$D34,"CLEAR","BLOCKED - "&amp;TEXT($D34-$C34,"#,##0")&amp;" outstanding")</f>
        <v/>
      </c>
      <c r="G34" t="inlineStr">
        <is>
          <t>Operators AG — blocks any operator with no name</t>
        </is>
      </c>
    </row>
    <row r="35">
      <c r="B35" t="inlineStr">
        <is>
          <t>Aircraft types approved for planning (engineer sign-off)</t>
        </is>
      </c>
      <c r="C35">
        <f>COUNTIF('AIRCRAFT PERFORMANCE'!$N$7:$N$52,"APPROVED FOR PLANNING")</f>
        <v/>
      </c>
      <c r="D35">
        <f>COUNTIF('AIRCRAFT PERFORMANCE'!$A$7:$A$52,"&lt;&gt;")</f>
        <v/>
      </c>
      <c r="E35">
        <f>IF($C35&gt;=$D35,"CLEAR","BLOCKED - "&amp;TEXT($D35-$C35,"#,##0")&amp;" outstanding")</f>
        <v/>
      </c>
      <c r="G35" t="inlineStr">
        <is>
          <t>AIRCRAFT PERFORMANCE K/L/M — verified, verified_by, verified_on</t>
        </is>
      </c>
    </row>
    <row r="36">
      <c r="B36" t="inlineStr">
        <is>
          <t>Airports usable as a technical stop</t>
        </is>
      </c>
      <c r="C36">
        <f>COUNTIF(airports!$AY$3:$AY$382,"VERIFIED")</f>
        <v/>
      </c>
      <c r="D36">
        <f>COUNTIF(airports!$A$3:$A$382,"&lt;&gt;")</f>
        <v/>
      </c>
      <c r="E36">
        <f>IF($C36&gt;=$D36,"CLEAR","BLOCKED - "&amp;TEXT($D36-$C36,"#,##0")&amp;" outstanding")</f>
        <v/>
      </c>
      <c r="G36" t="inlineStr">
        <is>
          <t>airports X/Y/AG + AW/AX — hours, entry, fuel, source, verified_on</t>
        </is>
      </c>
    </row>
    <row r="37">
      <c r="B37" t="inlineStr">
        <is>
          <t>Visa matrix cells answered</t>
        </is>
      </c>
      <c r="C37">
        <f>COUNTA('VISA MATRIX'!$B$4:$FS$145)</f>
        <v/>
      </c>
      <c r="D37">
        <f>COUNTIF('VISA MATRIX'!$A$4:$A$145,"&lt;&gt;")*COUNTIF('VISA MATRIX'!$B$3:$FS$3,"&lt;&gt;")</f>
        <v/>
      </c>
      <c r="E37">
        <f>IF($C37&gt;=$D37,"CLEAR","BLOCKED - "&amp;TEXT($D37-$C37,"#,##0")&amp;" outstanding")</f>
        <v/>
      </c>
      <c r="G37" t="inlineStr">
        <is>
          <t>VISA MATRIX grid + VISA RULES override layer</t>
        </is>
      </c>
    </row>
    <row r="38">
      <c r="B38" t="inlineStr">
        <is>
          <t>Vendors with an approved capability questionnaire</t>
        </is>
      </c>
      <c r="C38">
        <f>COUNTIF(Vendors!$AE$2:$AE$137,"APPROVED*")</f>
        <v/>
      </c>
      <c r="D38">
        <f>COUNTIF(Vendors!$A$2:$A$137,"&lt;&gt;")</f>
        <v/>
      </c>
      <c r="E38">
        <f>IF($C38&gt;=$D38,"CLEAR","BLOCKED - "&amp;TEXT($D38-$C38,"#,##0")&amp;" outstanding")</f>
        <v/>
      </c>
      <c r="G38" t="inlineStr">
        <is>
          <t>Vendors X:AF — questionnaire dates, approved_by, capability_status</t>
        </is>
      </c>
    </row>
    <row r="39">
      <c r="B39" t="inlineStr">
        <is>
          <t>Country requirement / intel records captured</t>
        </is>
      </c>
      <c r="C39">
        <f>COUNTIF('COUNTRY REQUIREMENTS'!$B$5:$B$80,"&lt;&gt;")</f>
        <v/>
      </c>
      <c r="D39">
        <f>COUNTIF(countries!$D$2:$D$143,"&lt;&gt;")</f>
        <v/>
      </c>
      <c r="E39">
        <f>IF($C39&gt;=$D39,"CLEAR","BLOCKED - "&amp;TEXT($D39-$C39,"#,##0")&amp;" outstanding")</f>
        <v/>
      </c>
      <c r="G39" t="inlineStr">
        <is>
          <t>COUNTRY REQUIREMENTS — forms, documents, channels, quirks per state</t>
        </is>
      </c>
    </row>
    <row r="41">
      <c r="A41" s="1" t="inlineStr">
        <is>
          <t>GATE VERDICT</t>
        </is>
      </c>
      <c r="B41" s="105">
        <f t="array" ref="B41">IF(COUNTIF($E$31:$E$39,"CLEAR")=9,"ALL GATES CLEAR — V3 MAY LEAVE PILOT","PILOT ONLY — "&amp;SUMPRODUCT(--(LEFT($E$31:$E$39,7)="BLOCKED"))&amp;" of 9 gates blocked. Planning output must be treated as advisory.")</f>
        <v/>
      </c>
    </row>
    <row r="42">
      <c r="A42" t="inlineStr">
        <is>
          <t>Unverified data allowed for planning?</t>
        </is>
      </c>
      <c r="B42">
        <f>admin!$B$21&amp;" (set on admin!B21)"</f>
        <v/>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A149"/>
  <sheetViews>
    <sheetView workbookViewId="0">
      <selection activeCell="A1" sqref="A1"/>
    </sheetView>
  </sheetViews>
  <sheetFormatPr baseColWidth="8" defaultRowHeight="14.4"/>
  <cols>
    <col width="166.6640625" customWidth="1" min="1" max="1"/>
  </cols>
  <sheetData>
    <row r="1" ht="21" customHeight="1">
      <c r="A1" s="87" t="inlineStr">
        <is>
          <t>JETELIO V3 — MASTER REBUILD PROMPT</t>
        </is>
      </c>
    </row>
    <row r="2" ht="28.8" customHeight="1">
      <c r="A2" s="88" t="inlineStr">
        <is>
          <t>Copy everything from row 4 down and hand it to a coding agent (Claude Code, Cursor, Codex) or a development team. It is self-contained: it does not require the workbook, only the exported reference data. Source of truth for detail: the WEBAPP BRIEF sheet. Source of truth for what is actually populated: the DATA READINESS sheet.</t>
        </is>
      </c>
    </row>
    <row r="3">
      <c r="A3" s="63" t="n"/>
    </row>
    <row r="4">
      <c r="A4" s="89" t="inlineStr">
        <is>
          <t>## ROLE</t>
        </is>
      </c>
    </row>
    <row r="5" ht="43.2" customHeight="1">
      <c r="A5" s="63" t="inlineStr">
        <is>
          <t>You are a senior full-stack engineer building JETELIO V3 from scratch. Jetelio is a flight-support trip and permit planning platform for business-jet and charter operations across Africa, the Middle East, Europe and India. V1 was an Excel workbook. V2 was a first web port. V3 is the production system: one codebase, containerised, deterministic engines, real spatial data, real documents, real outbound messaging. The entire stack must come up with a single `docker compose up`. Do not ask me to run anything outside Docker.</t>
        </is>
      </c>
    </row>
    <row r="6">
      <c r="A6" s="63" t="n"/>
    </row>
    <row r="7">
      <c r="A7" s="89" t="inlineStr">
        <is>
          <t>## PRODUCT IN ONE PARAGRAPH</t>
        </is>
      </c>
    </row>
    <row r="8" ht="43.2" customHeight="1">
      <c r="A8" s="63" t="inlineStr">
        <is>
          <t>For every flight leg Jetelio must work out which states the aircraft overflies, which permits are required (overflight per en-route state, landing per destination state), which ground services are needed at each stop, what the filing deadlines are, whether crew and passengers hold valid documents and visas, whether the aircraft can physically fly the sector, who to send each request to and in what format, and who gets billed. The user types six things and gets twenty-five correct outputs. That is the whole product.</t>
        </is>
      </c>
    </row>
    <row r="9">
      <c r="A9" s="63" t="n"/>
    </row>
    <row r="10">
      <c r="A10" s="89" t="inlineStr">
        <is>
          <t>## WHAT MAKES V3 DIFFERENT FROM WHAT CAME BEFORE — NON-NEGOTIABLE</t>
        </is>
      </c>
    </row>
    <row r="11" ht="28.8" customHeight="1">
      <c r="A11" s="63" t="inlineStr">
        <is>
          <t>1. NO SCRATCH LAYER. The workbook's geo_grid, route_calc, permit_calc and fiq_calc tabs (~1,700 rows of formulas) become three pure functions and one PostGIS query. Do not port the 0.5-degree country raster; it is accurate to roughly 30 NM and was only a workaround for Excel's lack of spatial functions.</t>
        </is>
      </c>
    </row>
    <row r="12" ht="28.8" customHeight="1">
      <c r="A12" s="63" t="inlineStr">
        <is>
          <t>2. COMPUTE, DO NOT ASK. Visa requirement from the matrix, lead time from the state, handler from vendor coverage, permit type from the route, souls on board from the manifest, deadlines from lead times, technical stops from aircraft performance. Ask the human only for the route, the dates, the aircraft, the people and the commercial decisions.</t>
        </is>
      </c>
    </row>
    <row r="13" ht="28.8" customHeight="1">
      <c r="A13" s="63" t="inlineStr">
        <is>
          <t>3. DEFAULT AGGRESSIVELY, OVERRIDE EASILY. Every permit and service order is pre-generated in DRAFT with vendor, lead time and deadline filled. The common case is review-and-confirm, never build-from-scratch. Every default is visibly a default and one click from being changed.</t>
        </is>
      </c>
    </row>
    <row r="14">
      <c r="A14" s="63" t="inlineStr">
        <is>
          <t>4. ONE STATUS LANGUAGE everywhere: OK / PENDING / DUE SOON / URGENT / OVERDUE / BLOCKED, one blocked-reason list, colour AND text always.</t>
        </is>
      </c>
    </row>
    <row r="15">
      <c r="A15" s="63" t="inlineStr">
        <is>
          <t>5. ACTION-FIRST HOME SCREEN. Not a list of trips — a list of what needs doing today ordered by deadline: permits to file, documents expiring, vendors who have not acknowledged, visas not on file.</t>
        </is>
      </c>
    </row>
    <row r="16">
      <c r="A16" s="63" t="inlineStr">
        <is>
          <t>6. TWO ENTRY POINTS ONLY. Public Feasibility IQ and the internal console. Everything else is a view inside them. Resist a third surface.</t>
        </is>
      </c>
    </row>
    <row r="17">
      <c r="A17" s="63" t="inlineStr">
        <is>
          <t>7. NOTHING SILENTLY DEFAULTS. Any value derived from a fallback rather than verified reference data is rendered UNVERIFIED in the UI and carried as such in the API.</t>
        </is>
      </c>
    </row>
    <row r="18">
      <c r="A18" s="63" t="n"/>
    </row>
    <row r="19">
      <c r="A19" s="89" t="inlineStr">
        <is>
          <t>## DELIVERABLES</t>
        </is>
      </c>
    </row>
    <row r="20" ht="57.6" customHeight="1">
      <c r="A20" s="63" t="inlineStr">
        <is>
          <t>docker-compose.yml with healthchecks, named volumes and one shared network. A multi-stage non-root Dockerfile per service with pinned bases. .env.example documenting every variable, no secrets committed. Alembic migrations plus an idempotent seed/import script. Auto-generated OpenAPI 3 schema and a Bruno/Postman collection. README with quickstart, architecture diagram, env vars, tests and seed loading. Test suite: unit tests for the routing, permit, credential and performance engines; integration tests for the API; Playwright end-to-end for enquiry-to-trip, permit filing and document verification. Makefile: up / down / logs / migrate / seed / test / lint.</t>
        </is>
      </c>
    </row>
    <row r="21">
      <c r="A21" s="63" t="n"/>
    </row>
    <row r="22">
      <c r="A22" s="89" t="inlineStr">
        <is>
          <t>## SERVICES</t>
        </is>
      </c>
    </row>
    <row r="23" ht="43.2" customHeight="1">
      <c r="A23" s="63" t="inlineStr">
        <is>
          <t>db — PostgreSQL 16 + PostGIS. api — Python 3.12, FastAPI, SQLAlchemy 2, Pydantic v2, Alembic. worker — Celery or arq for deadline sweeps, OCR jobs, notifications, expiry alerts. redis — broker and cache. web — Next.js 14 App Router, TypeScript, Tailwind, TanStack Query. minio — S3-compatible object storage for documents and generated PDFs. mailhog in dev, SMTP relay by env in production. nginx — reverse proxy and TLS, /api to api, everything else to web.</t>
        </is>
      </c>
    </row>
    <row r="24">
      <c r="A24" s="63" t="n"/>
    </row>
    <row r="25">
      <c r="A25" s="89" t="inlineStr">
        <is>
          <t>## DOMAIN MODEL</t>
        </is>
      </c>
    </row>
    <row r="26" ht="43.2" customHeight="1">
      <c r="A26" s="63" t="inlineStr">
        <is>
          <t>airports (icao PK, iata, name, city, country_iso2, lat, lon, elevation, timezone, type, is_airport_of_entry, ppr_required, curfew, runway data, fuel grades, operating hours, handler notes). countries (iso3 PK, iso2, name, calling code, CAA, overflight_permit_required, landing_permit_required, standard_lead_time_hours, ground_handling_policy, region, verification source and date). country_geometry (iso3, MULTIPOLYGON, GiST index, Natural Earth 10m). fir_boundaries (icao_fir_code, name, MULTIPOLYGON) with fallback to state airspace where unmapped.</t>
        </is>
      </c>
    </row>
    <row r="27" ht="43.2" customHeight="1">
      <c r="A27" s="63" t="inlineStr">
        <is>
          <t>operators (name mandatory before use, AOC, designators, home base, contacts, occ and billing e-mail, currency, tax id, credit, status). aircraft (registration UNIQUE, icao_type, manufacturer, model_series, home base, mtow_kg, max_pax, serial, status, operator_id NOT NULL FK, cofa/insurance expiry, hours, landings). aircraft_performance (icao_type PK, max range, cruise TAS, fuel burn, max pax, MTOW, service ceiling, reserve and safety margin, verified_by, verified_on).</t>
        </is>
      </c>
    </row>
    <row r="28" ht="28.8" customHeight="1">
      <c r="A28" s="63" t="inlineStr">
        <is>
          <t>clients (operator_id FK, bill-to legal name, address, tax/VAT, billing contact, currency, payment terms, credit limit). An operator has MANY billing entities; a trip and each individual leg may point at a different one.</t>
        </is>
      </c>
    </row>
    <row r="29" ht="43.2" customHeight="1">
      <c r="A29" s="63" t="inlineStr">
        <is>
          <t>vendors plus vendor_coverage_airports (icao, is_primary_handler, fbo_name, sita, aftn, vhf, contacts with role and hours) and vendor_coverage_countries (country, has_caa_direct_account, service scope), plus questionnaire fields (sent_on, returned_on, approved_by, approved_on, capability_status, preference_rank). service_catalogue is ONE table, not two: id, name, code, description, category (PERMIT or GROUND), ground_grid_order, level (SERVICE or SUB-SERVICE), parent_service_id, mapping_audit — 17 services and 52 sub-services, parentage always re-derived from the code prefix.</t>
        </is>
      </c>
    </row>
    <row r="30" ht="57.6" customHeight="1">
      <c r="A30" s="63" t="inlineStr">
        <is>
          <t>trips (trip_ref UNIQUE, source JETELIO or FEASIBILITY IQ, status, owner, requester block, operator_id, bill_to_client_id, aircraft_id, feasibility verdict, version). legs (trip_id FK, leg_no, dep_icao, etd_utc, arr_icao, eta_utc, distance_nm, eet_hours, block_speed_kts, taxi_allowance, pax, crew, stop_type, avoid[], include[], route_check, bill_to_client_id, status, version). leg_countries materialised by the routing engine. permits. service_orders. people (CREW or PAX, applies_to_legs[], identity and document fields). documents (object key, hash, type, OCR payload, verification state). visa_rules. messages and message_templates. users, roles, audit_log, settings.</t>
        </is>
      </c>
    </row>
    <row r="31">
      <c r="A31" s="63" t="inlineStr">
        <is>
          <t>No leg cap. The workbook stopped at 8; V3 must not cap.</t>
        </is>
      </c>
    </row>
    <row r="32">
      <c r="A32" s="63" t="n"/>
    </row>
    <row r="33">
      <c r="A33" s="89" t="inlineStr">
        <is>
          <t>## ENGINE 1 — GREAT-CIRCLE ROUTE SAMPLING</t>
        </is>
      </c>
    </row>
    <row r="34" ht="28.8" customHeight="1">
      <c r="A34" s="63" t="inlineStr">
        <is>
          <t>Angular distance d = acos(sin(lat1)sin(lat2) + cos(lat1)cos(lat2)cos(lon2-lon1)); distance_nm = d * 3440.065. Intermediate point at fraction f: A = sin((1-f)d)/sin(d), B = sin(fd)/sin(d), x = A cos(lat1)cos(lon1) + B cos(lat2)cos(lon2), y = A cos(lat1)sin(lon1) + B cos(lat2)sin(lon2), z = A sin(lat1) + B sin(lat2), lat = atan2(z, sqrt(x^2+y^2)), lon = atan2(y, x).</t>
        </is>
      </c>
    </row>
    <row r="35" ht="43.2" customHeight="1">
      <c r="A35" s="63" t="inlineStr">
        <is>
          <t>Sample adaptively every 10 NM with a minimum of 50 points. Resolve each sample to a state with ST_Contains against country_geometry and to a FIR against fir_boundaries. Return the ordered de-duplicated list of states and FIRs with the sample index of first entry so ordering is chronological. EET = distance_nm / block_speed_kts + taxi and climb allowance; defaults 470 kts and 0.4 h, overridable per type and per leg. ETA = ETD + EET. Cache route results keyed on (dep_icao, arr_icao) — the same city pairs recur constantly.</t>
        </is>
      </c>
    </row>
    <row r="36">
      <c r="A36" s="63" t="n"/>
    </row>
    <row r="37">
      <c r="A37" s="89" t="inlineStr">
        <is>
          <t>## ENGINE 2 — PERMIT RULES (port exactly)</t>
        </is>
      </c>
    </row>
    <row r="38" ht="28.8" customHeight="1">
      <c r="A38" s="63" t="inlineStr">
        <is>
          <t>R1 OVERFLIGHT. Every state whose airspace the track enters needs an overflight permit EXCEPT the leg's departure state (clearance to depart already held) and the leg's destination state (covered by its landing permit). A state overflown on one leg and landed in on another still needs overflight permits for the overflight legs.</t>
        </is>
      </c>
    </row>
    <row r="39">
      <c r="A39" s="63" t="inlineStr">
        <is>
          <t>R2 LANDING. Each leg's destination state requires one landing permit. Landing in the same state twice on one trip requires two.</t>
        </is>
      </c>
    </row>
    <row r="40" ht="28.8" customHeight="1">
      <c r="A40" s="63" t="inlineStr">
        <is>
          <t>R3 GROUND HANDLING is ONE order per country per trip — not per airport, not per leg. A trip touching FALA and FAOR yields a single South Africa order listing both airports and both legs, due at the EARLIEST ground event in that country.</t>
        </is>
      </c>
    </row>
    <row r="41" ht="28.8" customHeight="1">
      <c r="A41" s="63" t="inlineStr">
        <is>
          <t>R4 OTHER SERVICES may be per stop or per country. Each carries a provider of JETELIO, OWN (client arranges) or THIRD PARTY. OWN and EXCLUDED drop out of the action list but stay visible on the trip as CLIENT ARRANGING.</t>
        </is>
      </c>
    </row>
    <row r="42" ht="28.8" customHeight="1">
      <c r="A42" s="63" t="inlineStr">
        <is>
          <t>R5 DEADLINES. file_by = reference_datetime - lead_time_hours, all UTC. Permit lead times from countries.standard_lead_time_hours with a configurable 72 h fallback (mark UNVERIFIED). Ground services default 24 h notice. Ladder: OVERDUE (&lt; now), URGENT (&lt; 24 h), DUE SOON (&lt; 72 h), PENDING.</t>
        </is>
      </c>
    </row>
    <row r="43" ht="43.2" customHeight="1">
      <c r="A43" s="63" t="inlineStr">
        <is>
          <t>R6 AVOID / INCLUDE. Accept ISO3 or country names. Track enters an avoided state -&gt; AVOID CONFLICT. Required state not on track -&gt; INCLUDE NOT ON TRACK. Then actually re-route: build a waypoint graph over the great-circle corridor, penalise or forbid excluded polygons, run A*, and return the alternative track with extra distance, extra time, extra fuel and the revised permit list for side-by-side comparison.</t>
        </is>
      </c>
    </row>
    <row r="44">
      <c r="A44" s="63" t="inlineStr">
        <is>
          <t>R7 VERDICT. NOT FEASIBLE if the earliest permit deadline has passed; NOT FEASIBLE AS ROUTED if any constraint is violated; TIGHT if the earliest deadline is inside 24 h; otherwise FEASIBLE.</t>
        </is>
      </c>
    </row>
    <row r="45">
      <c r="A45" s="63" t="n"/>
    </row>
    <row r="46">
      <c r="A46" s="89" t="inlineStr">
        <is>
          <t>## ENGINE 3 — AIRCRAFT CAPABILITY AND TECHNICAL STOPS</t>
        </is>
      </c>
    </row>
    <row r="47" ht="43.2" customHeight="1">
      <c r="A47" s="63" t="inlineStr">
        <is>
          <t>practical_range = max_range less reserve and safety margin (default 15%). Check every leg against the assigned type and flag EXCEEDS PRACTICAL RANGE — TECHNICAL STOP REQUIRED rather than planning it silently. Suggest tech stops filtered by: within practical range of both ends, runway length adequate, correct fuel grade available, airport-of-entry status where customs is needed, operating hours covering the planned arrival, political acceptability. Each inserted stop regenerates the permit and service picture for the whole trip.</t>
        </is>
      </c>
    </row>
    <row r="48" ht="43.2" customHeight="1">
      <c r="A48" s="63" t="inlineStr">
        <is>
          <t>SAFETY BOUNDARY. Published range and cruise figures ignore payload, temperature, altitude, wind and operator procedure. They are adequate to say a C208 cannot cross the Sahara and inadequate to say this sector is legal today. Label every unverified figure in the UI, require engineer or ops-manager sign-off before a type may be used for planning, and always present the range check as ADVISORY with a link to the AFM figures. A green tick here must never read as a performance calculation.</t>
        </is>
      </c>
    </row>
    <row r="49" ht="28.8" customHeight="1">
      <c r="A49" s="63" t="inlineStr">
        <is>
          <t>STOP TYPES on every ground stop: TURNAROUND, TECH STOP, RON, CREW REST, MAINTENANCE, DIVERSION. Stop type drives what is ordered and can change which permits apply — several states treat a technical stop differently from a commercial landing.</t>
        </is>
      </c>
    </row>
    <row r="50">
      <c r="A50" s="63" t="n"/>
    </row>
    <row r="51">
      <c r="A51" s="89" t="inlineStr">
        <is>
          <t>## ENGINE 4 — CREW, PAX AND CREDENTIALS</t>
        </is>
      </c>
    </row>
    <row r="52" ht="57.6" customHeight="1">
      <c r="A52" s="63" t="inlineStr">
        <is>
          <t>A person counts on a leg when applies_to_legs is ALL or names that leg. Compute per-leg crew, pax and souls on board and validate pax against aircraft.max_pax. Passport status against the trip's last arrival: MISSING / EXPIRES BEFORE TRIP / UNDER 6 MONTHS (within 180 days of trip end) / VALID. Visa status: N/A, MISSING, EXPIRED, VALID — resolved from visa_rules, never typed by a human. Crew licence and medical must both be present and unexpired at trip end. Person status rolls up to ACTION REQUIRED / CHECK / OK, and any ACTION REQUIRED blocks the trip reaching CONFIRMED unless a supervisor overrides with a logged reason.</t>
        </is>
      </c>
    </row>
    <row r="53">
      <c r="A53" s="63" t="n"/>
    </row>
    <row r="54">
      <c r="A54" s="89" t="inlineStr">
        <is>
          <t>## SURFACE A — FEASIBILITY IQ (public, unauthenticated, single leg)</t>
        </is>
      </c>
    </row>
    <row r="55" ht="57.6" customHeight="1">
      <c r="A55" s="63" t="inlineStr">
        <is>
          <t>Form: aircraft type, optional registration, departure ICAO with date/time and flexibility window, destination ICAO with optional date/time and flexibility, pax, crew, avoid and include states or FIRs, cargo or special requirements, plus requester company, name, e-mail, phone and their own reference. Collect role and nationality per person on board — never passport numbers from an unauthenticated form — so the visa answer comes back in the response. Returns live: route summary, distance, EET, ETD and ETA, states overflown by NAME, every permit and service with lead time and file-by, range check, and the verdict. REQUEST QUOTE converts it into a trip with status ENQUIRY and notifies ops. Rate-limit by IP, captcha, and never expose cost or vendor data.</t>
        </is>
      </c>
    </row>
    <row r="56">
      <c r="A56" s="63" t="n"/>
    </row>
    <row r="57">
      <c r="A57" s="89" t="inlineStr">
        <is>
          <t>## SURFACE B — TRIP MANAGER (authenticated console)</t>
        </is>
      </c>
    </row>
    <row r="58" ht="43.2" customHeight="1">
      <c r="A58" s="63" t="inlineStr">
        <is>
          <t>One Trip object with progressive disclosure, not nine flat sections: summary header then tabs — Route, Permits, Services, Crew &amp; Pax, Documents, Billing, Messages. Inline editing, optimistic updates, and a right-hand live deadline rail. THE REGISTER is one row per LEG, each repeating the identical trip block and carrying its own leg block; a ten-leg trip renders ten rows. Store normalised, expose flattened as a materialised view refreshed on write, with server-side filter, sort, saved views and CSV/XLSX export. Never duplicate trip data in storage.</t>
        </is>
      </c>
    </row>
    <row r="59" ht="28.8" customHeight="1">
      <c r="A59" s="63" t="inlineStr">
        <is>
          <t>Trip statuses: ENQUIRY, SUBMITTED, QUOTED, CONFIRMED, ACTIVE, IN PROGRESS, SUSPENDED, COMPLETED, CLOSED, CANCELLED, DECLINED. Leg statuses: ENQUIRY, PLANNED, PERMITS FILED, CLEARED, FLOWN, SUSPENDED, CANCELLED, CLOSED. Every change is audited with actor, timestamp, from, to and reason.</t>
        </is>
      </c>
    </row>
    <row r="60">
      <c r="A60" s="63" t="n"/>
    </row>
    <row r="61">
      <c r="A61" s="89" t="inlineStr">
        <is>
          <t>## DOCUMENTS — CAPTURE, OCR, HUMAN VERIFICATION</t>
        </is>
      </c>
    </row>
    <row r="62" ht="72" customHeight="1">
      <c r="A62" s="63" t="inlineStr">
        <is>
          <t>This replaces file-path columns entirely and is a first-class feature. STEP 1 choose type (PASSPORT, VISA, LICENCE, MEDICAL, CREW ID/ARC, INSURANCE, AOC, OTHER) — the type drives which fields are extracted and compared. STEP 2 upload by drag-drop or camera (PDF, JPG, PNG, HEIC); store the original immutably under a content-addressed key with uploader, timestamp, mime, size and SHA-256; reject duplicates by hash; virus-scan before it becomes visible. STEP 3 async OCR: parse the ICAO 9303 MRZ first because it is checksum-protected, fall back to a general engine (Tesseract self-hosted, or Textract / Document AI / Azure DI behind a provider interface); extract document number, surname, given names, nationality, DOB, sex, issuing state, issue and expiry dates with per-field confidence and bounding boxes.</t>
        </is>
      </c>
    </row>
    <row r="63" ht="57.6" customHeight="1">
      <c r="A63" s="63" t="inlineStr">
        <is>
          <t>STEP 4 human comparison: document image with detected fields highlighted on the left, OCR EXTRACTED versus ON FILE side by side on the right, each field marked MATCH / MISMATCH / NOT COMPARABLE with a summary line, and anything below the confidence threshold flagged even when it matches. STEP 5 decision, mandatory: ACCEPT OCR, KEEP ON FILE, CORRECTED MANUALLY, or REJECT DOCUMENT with a reason. Record reviewer and timestamp. NEVER auto-write OCR onto a person record. STEP 6 assign to the person and through them to the trip and legs; assignment state is explicit: AWAITING OCR, AWAITING HUMAN REVIEW, REVIEW INCOMPLETE, ASSIGNED, REJECTED.</t>
        </is>
      </c>
    </row>
    <row r="64" ht="43.2" customHeight="1">
      <c r="A64" s="63" t="inlineStr">
        <is>
          <t>Expiry drives the credential engine: a scheduled job re-evaluates every assigned document against every future trip and alerts at 180, 90, 30 and 7 days, and immediately when a new trip is created that ends after a document expires. Access is by presigned, short-lived, single-use URL, every view and download audited. Passport numbers, dates of birth and images are sensitive: encrypt at rest, redact in logs, retention policy with automatic purge, support subject erasure.</t>
        </is>
      </c>
    </row>
    <row r="65">
      <c r="A65" s="63" t="n"/>
    </row>
    <row r="66">
      <c r="A66" s="89" t="inlineStr">
        <is>
          <t>## FLEET DOCUMENTS</t>
        </is>
      </c>
    </row>
    <row r="67" ht="57.6" customHeight="1">
      <c r="A67" s="63" t="inlineStr">
        <is>
          <t>Preset types: Certificate of Registration, Certificate of Airworthiness, ARC, Insurance (hull, liability and war risk as separate concurrent policies), Noise Certificate, Weight and Balance, Radio Station Licence, AOC, Ops Specs, MEL, RVSM, RNP/PBN, Maintenance Programme, Other. Each carries issue date, expiry date and a separate review-due date. Derived status: VALID / EXPIRES WITHIN 90 DAYS / EXPIRES WITHIN 30 DAYS / REVIEW OVERDUE / EXPIRED / NO EXPIRY RECORDED, rolled up to the aircraft. A trip may not be confirmed if a required aircraft document expires before the last arrival, and permit applications pull their attachment set from this repository automatically.</t>
        </is>
      </c>
    </row>
    <row r="68">
      <c r="A68" s="63" t="n"/>
    </row>
    <row r="69">
      <c r="A69" s="89" t="inlineStr">
        <is>
          <t>## VISA REFERENCE DATA</t>
        </is>
      </c>
    </row>
    <row r="70" ht="43.2" customHeight="1">
      <c r="A70" s="63" t="inlineStr">
        <is>
          <t>A complete destination-state x nationality matrix, not a sparse exception list — 142 in-region states by 174 nationalities. Row shape: (country_iso3, nationality_iso3, requirement, visa_type, lead_time_days, max_stay_days, conditions, source, verified_by, verified_on, expires_on). Requirement values: NOT REQUIRED, REQUIRED, VISA ON ARRIVAL, eVISA, TRANSIT ONLY, TIWB. Resolution precedence: airport-specific override, then the exact (country, nationality) rule, then the matrix cell, then NOT ON FILE. Never guess and never silently default to NOT REQUIRED.</t>
        </is>
      </c>
    </row>
    <row r="71" ht="57.6" customHeight="1">
      <c r="A71" s="63" t="inlineStr">
        <is>
          <t>The matrix ships DELIBERATELY EMPTY rather than pre-filled from a public tourist-visa dataset. Crew, operational, transit-without-visa and airport-transit rules differ materially from tourist policy, and a wrong NOT REQUIRED in a flight-support system is an operational failure. Blank resolves to NOT ON FILE, which is visible and safe. If an authoritative feed is later licensed (Timatic is the industry standard) import it into a REFERENCE layer with its own provenance and effective date, keep the human-verified layer above it in precedence, show the user which layer answered, and never overwrite a verified rule with a feed value. Rules older than a configurable age render STALE and queue re-verification.</t>
        </is>
      </c>
    </row>
    <row r="72">
      <c r="A72" s="63" t="n"/>
    </row>
    <row r="73">
      <c r="A73" s="89" t="inlineStr">
        <is>
          <t>## MESSAGING AND OUTBOUND COMMUNICATION</t>
        </is>
      </c>
    </row>
    <row r="74" ht="28.8" customHeight="1">
      <c r="A74" s="63" t="inlineStr">
        <is>
          <t>Every service request, revision, cancellation and permit application is generated from a versioned template, never typed by hand. Start with SMTP (aiosmtplib behind a provider interface so SES/SendGrid/Postmark swap in without touching templates) and design the channel as an interface from day one so SITA, AFTN, fax gateway and vendor portals become adapters.</t>
        </is>
      </c>
    </row>
    <row r="75" ht="28.8" customHeight="1">
      <c r="A75" s="63" t="inlineStr">
        <is>
          <t>MESSAGING PREFERENCE lives on every counterparty — operator, client, vendor: preferred_channel (EMAIL / SITA / AFTN / FAX / PORTAL), messaging_to[], messaging_cc[], sita_address, aftn_address, message_format (PLAIN TEXT UPPERCASE / PLAIN TEXT / HTML) and sending_team_signature. Block sending with a clear error when the chosen channel has no address.</t>
        </is>
      </c>
    </row>
    <row r="76" ht="43.2" customHeight="1">
      <c r="A76" s="63" t="inlineStr">
        <is>
          <t>FORMAT MATTERS. Handlers and civil aviation authorities expect fixed-width, upper-case, teletype-style plain text with aligned columns and a strict block order: ATTN, REF (registry / type / captain / reference), ITINERARY, PLEASE SPECIFICALLY CONFIRM THE FOLLOWING, CHANGES, PENDING CONFIRMATION, CANCEL, ALL OTHER INFORMATION REMAINS UNCHANGED, acknowledgement request, legal block, signature, CONFIDENTIAL marker, REQUEST SENT TO, T/N, contact and teletype addresses. Do not send HTML to these recipients by default.</t>
        </is>
      </c>
    </row>
    <row r="77" ht="28.8" customHeight="1">
      <c r="A77" s="63" t="inlineStr">
        <is>
          <t>ITINERARY LINES render as DEPART &lt;STATION NAME&gt; / &lt;ICAO&gt;   &lt;DDMMM&gt;/&lt;HHMM&gt; UTC and ARRIVE likewise, local time appended only where the aircraft is on the ground. Always ICAO, always UTC first, dates DDMMM upper case.</t>
        </is>
      </c>
    </row>
    <row r="78" ht="43.2" customHeight="1">
      <c r="A78" s="63" t="inlineStr">
        <is>
          <t>TEMPLATES ARE DATABASE ROWS, not code: template_id, name, message_type, recipient_role, channel, subject_line, body with {{tokens}}, footer/legal block, active flag, version. Ship with handling request, handling revision, service cancellation, overflight permit request, landing permit request. Render with Jinja2 (autoescape off for plain text) and store the fully rendered body against the message record so what was sent is always reproducible.</t>
        </is>
      </c>
    </row>
    <row r="79" ht="28.8" customHeight="1">
      <c r="A79" s="63" t="inlineStr">
        <is>
          <t>REVISIONS ARE DIFFS: show PREVIOUS ITINERARY, NEW ITINERARY and a numbered CHANGES list computed automatically against the last version actually sent to that recipient. Never make an ops user hand-write what changed.</t>
        </is>
      </c>
    </row>
    <row r="80" ht="57.6" customHeight="1">
      <c r="A80" s="63" t="inlineStr">
        <is>
          <t>THREADING: one conversation thread per trip per counterparty, Message-ID and In-Reply-To set, plus-addressed reply address (ops+&lt;trip_ref&gt;.&lt;vendor_id&gt;@...) so inbound replies match to trip, vendor and service order automatically. Message state: DRAFT, QUEUED, SENT, DELIVERED, BOUNCED, ACKNOWLEDGED, CONFIRMED, DECLINED, with automatic chasing as the due time approaches. A template declares its required attachment set, pulls documents from the store, and refuses to send when one is missing or expired. Audit template and version, resolved tokens, recipients, channel, timestamps, provider message id, delivery events and the raw body.</t>
        </is>
      </c>
    </row>
    <row r="81" ht="43.2" customHeight="1">
      <c r="A81" s="63" t="inlineStr">
        <is>
          <t>PREVIEW AND APPROVAL: render exactly as it will be sent with token values highlighted and require an explicit send; supervisor approval for permit applications and for any first message to a new counterparty. BULK DISPATCH: one click sends every pending request for a trip using the correct template and channel per recipient, tracked on one acknowledgement board. INBOUND PARSING: extract permit numbers, approval references and refusals from replies, propose the update, and let a human confirm — the same accept/reject pattern as document OCR.</t>
        </is>
      </c>
    </row>
    <row r="82">
      <c r="A82" s="63" t="n"/>
    </row>
    <row r="83">
      <c r="A83" s="89" t="inlineStr">
        <is>
          <t>## OPERATIONAL REQUEST FLOWS AND COUNTRY REQUIREMENTS</t>
        </is>
      </c>
    </row>
    <row r="84" ht="57.6" customHeight="1">
      <c r="A84" s="63" t="inlineStr">
        <is>
          <t>Dedicated flows per airport location for overflight permit, landing permit, ground handling, fuel, crew ground transport, passenger transport, catering, security, slots and PPR, customs and immigration — each knowing its own required fields, lead time, template and recipient type. Behind them, a country requirements database: what each state demands per request type — forms, supporting documents, lead time, authority working hours, accepted channels, fee structure, whether a local agent or direct CAA account is required, and known quirks. Versioned and sourced; this is the institutional knowledge currently in people's heads.</t>
        </is>
      </c>
    </row>
    <row r="85" ht="28.8" customHeight="1">
      <c r="A85" s="63" t="inlineStr">
        <is>
          <t>Crew ground transport carries its own data: pick-up point, positioning commercial flight number and ETA, destination hotel, driver name, driver mobile, vehicle make, model and plate, and confirmation back to the crew member. Driver and vehicle details are required before the request can be marked confirmed.</t>
        </is>
      </c>
    </row>
    <row r="86" ht="28.8" customHeight="1">
      <c r="A86" s="63" t="inlineStr">
        <is>
          <t>GROUND HANDLING POLICY per state: MANDATORY / NOT MANDATORY / SELF-HANDLING PERMITTED, with an airport-level override, defaulting to VERIFY when unknown. Never assume handling can be skipped.</t>
        </is>
      </c>
    </row>
    <row r="87">
      <c r="A87" s="63" t="n"/>
    </row>
    <row r="88">
      <c r="A88" s="89" t="inlineStr">
        <is>
          <t>## VENDORS, SOURCING AND CONSOLIDATED INVOICING</t>
        </is>
      </c>
    </row>
    <row r="89" ht="43.2" customHeight="1">
      <c r="A89" s="63" t="inlineStr">
        <is>
          <t>Coverage at airport level (FBO name, SITA, AFTN, VHF, primary-handler flag, multiple named contacts each with role and hours) and country level (direct CAA account flag, service scope). Assignment resolves station-first, then country, then reports NO VENDOR ON FILE, and the trip sheet shows which layer answered. Rank candidates: preferred vendor for that operator or client, then primary handler at that airport, then direct CAA account in that state, then past performance and price — ranking shown, override logged.</t>
        </is>
      </c>
    </row>
    <row r="90" ht="28.8" customHeight="1">
      <c r="A90" s="63" t="inlineStr">
        <is>
          <t>CAPABILITY QUESTIONNAIRE: send a structured questionnaire by tokenised link covering services, stations, states with direct CAA accounts, hours, payment terms, currencies, insurance and certifications, escalation contacts. Answers stay pending until an admin approves; only then does the vendor become assignable. Track sent, returned and approved dates and re-send annually.</t>
        </is>
      </c>
    </row>
    <row r="91" ht="57.6" customHeight="1">
      <c r="A91" s="63" t="inlineStr">
        <is>
          <t>CONSOLIDATED INVOICING: Jetelio bills the client once per trip while paying many third parties. Model disbursements explicitly — CAA permit fees, nav and en-route charges, landing and parking, handling, fuel, catering, transport, hotels, airport charges. Every line carries cost, currency, FX rate and date, mark-up or handling fee, sell price, vendor invoice reference and supporting document. Roll up into one client invoice grouped by leg and service with disbursements at cost and the Jetelio fee shown separately. Support multi-currency, part-billing, credit notes, per-leg billing to different client accounts, and reconciliation flagging anything charged that was never ordered.</t>
        </is>
      </c>
    </row>
    <row r="92">
      <c r="A92" s="63" t="n"/>
    </row>
    <row r="93">
      <c r="A93" s="89" t="inlineStr">
        <is>
          <t>## ROLE-BASED ACCESS CONTROL AND SECURITY</t>
        </is>
      </c>
    </row>
    <row r="94" ht="43.2" customHeight="1">
      <c r="A94" s="63" t="inlineStr">
        <is>
          <t>Roles: SUPER ADMIN (full access including delete and reference data), OPERATIONS SPECIALIST (create, modify, permit management, trip suspension — explicitly NO delete), AUDITOR (read-only across everything including the audit log), CLIENT - MODIFY (own trips only, no delete, no cost visibility), CLIENT - VIEW ONLY, FINANCE (read all, edit billing fields only). Public feasibility is unauthenticated and sees no cost or vendor data.</t>
        </is>
      </c>
    </row>
    <row r="95" ht="57.6" customHeight="1">
      <c r="A95" s="63" t="inlineStr">
        <is>
          <t>Enforce at three layers: route guards so forbidden actions are not rendered, a permission decorator on every endpoint, and row-level security in the database so a client token cannot read another operator's trip even if the API is bypassed. Scope every client user to an operator_id and/or client_id. Deletion is soft with a retention window and an audit entry; only SUPER ADMIN sees restore and purge. Suspension is a reversible status change, deliberately not a delete. MFA mandatory for SUPER ADMIN, OPERATIONS SPECIALIST and FINANCE. Configurable session timeout, refresh-token rotation, immediate revocation on disable. Every permission denial is logged, never silently swallowed.</t>
        </is>
      </c>
    </row>
    <row r="96">
      <c r="A96" s="63" t="n"/>
    </row>
    <row r="97">
      <c r="A97" s="89" t="inlineStr">
        <is>
          <t>## PLATFORM SHAPE — INSTALLABLE PWA</t>
        </is>
      </c>
    </row>
    <row r="98" ht="43.2" customHeight="1">
      <c r="A98" s="63" t="inlineStr">
        <is>
          <t>Ship a PWA, not a desktop site that shrinks. Manifest with name, short_name, description, theme_color, background_color, display standalone, and a maskable icon set generated from the branding settings. Workbox service worker: app shell precached, reference data stale-while-revalidate, trip reads network-first with cache fallback, writes queued in IndexedDB via Background Sync. Explicit offline banner and pending-changes count; never fail silently.</t>
        </is>
      </c>
    </row>
    <row r="99" ht="43.2" customHeight="1">
      <c r="A99" s="63" t="inlineStr">
        <is>
          <t>MOBILE under 640px: single column, bottom tab bar (Trips, Permits, Services, Crew, More), cards not tables, sticky action bar, a trip sheet that reads well on a phone at an FBO desk. TABLET 640-1024: two-pane master/detail, collapsible rail, three key columns plus an expander. DESKTOP 1024+: full grid with frozen first column, multi-pane workspace, keyboard shortcuts, permanent deadline rail. Tables use a column-priority system (1 always, 2 tablet+, 3 desktop only) with a per-row expander — never horizontally scroll a permit list on a phone.</t>
        </is>
      </c>
    </row>
    <row r="100" ht="28.8" customHeight="1">
      <c r="A100" s="63" t="inlineStr">
        <is>
          <t>WCAG 2.2 AA, 44px minimum touch targets, contrast that survives sunlight on a ramp, full keyboard navigation, screen-reader labels on every status chip, respect prefers-reduced-motion and prefers-color-scheme. Add-to-home-screen prompt after the second session, Web Push (VAPID) for permit deadlines and vendor replies, and share-target support so crew can share a PDF straight into the uploader.</t>
        </is>
      </c>
    </row>
    <row r="101">
      <c r="A101" s="63" t="n"/>
    </row>
    <row r="102">
      <c r="A102" s="89" t="inlineStr">
        <is>
          <t>## BRANDING AND SETTINGS</t>
        </is>
      </c>
    </row>
    <row r="103" ht="72" customHeight="1">
      <c r="A103" s="63" t="inlineStr">
        <is>
          <t>An admin settings screen edits app_name, app_short_name, light and dark logos, favicon and PWA icons, SEO title/description/keywords/OG image, default theme and colour tokens — no deploy required. Settings are database rows read at runtime and consumed by the front end as CSS custom properties. Design language: red primary #C8102E, light grey surface #D9D9D9, black base #111111, with semantic success/warning/danger tokens layered on top. LIGHT and DARK are both first-class; DARK is the default because most ops work happens at night — respect the OS preference on first visit, remember an explicit choice afterwards. Validate and sanitise uploaded logos (SVG or PNG, size and dimension limits, SVG stripped of script), generate the full icon set from one upload, version and audit every settings change, and provide a preview-before-publish mode.</t>
        </is>
      </c>
    </row>
    <row r="104">
      <c r="A104" s="63" t="n"/>
    </row>
    <row r="105">
      <c r="A105" s="89" t="inlineStr">
        <is>
          <t>## DATA MIGRATION AND READINESS GATES</t>
        </is>
      </c>
    </row>
    <row r="106" ht="43.2" customHeight="1">
      <c r="A106" s="63" t="inlineStr">
        <is>
          <t>Write a one-shot idempotent importer that loads airports, countries, operators, aircraft, aircraft performance, clients, vendors and coverage, services and sub_services, handlers, visa rules, message templates, users, settings and any existing trips, legs and people, producing a written report of rows loaded, rows skipped and why. Load Natural Earth 10m polygons and a proper FIR dataset into PostGIS; do not port the raster.</t>
        </is>
      </c>
    </row>
    <row r="107" ht="86.40000000000001" customHeight="1">
      <c r="A107" s="63" t="inlineStr">
        <is>
          <t>FIX THESE DURING MIGRATION, DO NOT CARRY THEM OVER. (a) sub_services.service_id was historically shifted by one from SS-017 onward; the source workbook has now been merged into a single SERVICE CATALOGUE with parentage re-derived from the code prefix and a mapping_audit column recording every remap — re-derive on import anyway and fail loudly on anything unresolved. (b) 44 operator records exist as IDs only with no name; the workbook now derives an ASSIGNABLE TO A TRIP column that reads BLOCKED - OPERATOR NAME REQUIRED for each, and the importer must quarantine them identically. (c) Aircraft with no operator are quarantined; operator_id is NOT NULL. (d) Duplicate registrations are quarantined; registration is unique. (e) countries.standard_lead_time_hours is empty for all 142 states — the workbook now carries effective_lead_time_hours which falls back to a single labelled default and a reference_status column that reads UNVERIFIED - USING FALLBACK; carry both concepts into the schema. (f) Overflight and landing flags were bulk-seeded REQUIRED with no source for all 142 states; they stay unverified until a source and verification date exist.</t>
        </is>
      </c>
    </row>
    <row r="108" ht="43.2" customHeight="1">
      <c r="A108" s="63" t="inlineStr">
        <is>
          <t>SHIPPED AND USABLE TODAY: 380 airports with coordinates; 245 handler station records covering 204 ICAOs and 59 handlers with named contacts; 46 ICAO types with indicative performance; one SERVICE CATALOGUE of 17 services and 52 sub-services with the mapping defect corrected; 20 sending desks; 5 message templates; 6 roles and 33 branding settings; a 142 x 174 visa matrix structure with a separate VISA RULES override layer holding lead time, maximum stay, conditions and airport-level overrides.</t>
        </is>
      </c>
    </row>
    <row r="109" ht="43.2" customHeight="1">
      <c r="A109" s="63" t="inlineStr">
        <is>
          <t>STILL MISSING AND BLOCKING, measured live by the nine pilot-exit gates: per-state permit lead times (0 of 142 verified), permit-flag verification (0 of 142), ground-handling policy decided (0 of 142), operators assignable (446 of 490 — 44 blocked on a missing name), aircraft types approved for planning (0 of 46), airports usable as a technical stop (0 of 380), visa matrix cells answered (1 of 24,708), vendors with an approved questionnaire (0 of 136), country requirement records (2 of 142). All nine are blocked today. Treat every planning output as ADVISORY until they clear.</t>
        </is>
      </c>
    </row>
    <row r="110">
      <c r="A110" s="63" t="n"/>
    </row>
    <row r="111">
      <c r="A111" s="113" t="inlineStr">
        <is>
          <t>## THE VERIFICATION CONTRACT — THIS IS WHAT MAKES V3 OPERATIONALLY USABLE</t>
        </is>
      </c>
    </row>
    <row r="112">
      <c r="A112" s="63" t="inlineStr">
        <is>
          <t>V3 is not usable because its data is complete; it is usable because it can never present incomplete data as complete. Port this contract exactly — it is the difference between a planning tool and a liability.</t>
        </is>
      </c>
    </row>
    <row r="113" ht="43.2" customHeight="1">
      <c r="A113" s="63" t="inlineStr">
        <is>
          <t>1. EVERY FALLBACK IS A NAMED SETTING, NEVER A LITERAL. One settings table holds default_permit_lead_time_hours (72), default_ground_notice_hours (24), range_reserve_margin (0.15), passport_validity_buffer_days (180), document_expiry_alert_days (180/90/30/7), visa_rule_staleness_days (365) and allow_unverified_for_planning (default NO). No engine may contain a hard-coded number that a user could reasonably want to change.</t>
        </is>
      </c>
    </row>
    <row r="114" ht="43.2" customHeight="1">
      <c r="A114" s="63" t="inlineStr">
        <is>
          <t>2. EVERY REFERENCE FACT CARRIES PROVENANCE. Three columns minimum on any operationally significant field: source, verified_by, verified_on. A value with no provenance is UNVERIFIED, full stop — presence is not verification. Countries carry lead_time_source / verified_by / verified_on and permit_flags_source / verified_on / verified_by; aircraft performance carries source / verified / verified_by / verified_on; airports carry ops_data_source / ops_data_verified_on; visa rules carry source / verified_by / verified_on / expires_on.</t>
        </is>
      </c>
    </row>
    <row r="115" ht="57.6" customHeight="1">
      <c r="A115" s="63" t="inlineStr">
        <is>
          <t>3. EVERY DERIVED STATUS IS COMPUTED, NOT TYPED. countries.reference_status resolves to VERIFIED / LEAD TIME OK - FLAGS UNVERIFIED / UNVERIFIED - NO SOURCE / UNVERIFIED - USING FALLBACK. aircraft_performance.planning_status resolves to APPROVED FOR PLANNING only when verified = YES and both verified_by and verified_on are present, otherwise ADVISORY ONLY - NOT FOR PLANNING. airports.tech_stop_readiness resolves to INCOMPLETE - NOT SELECTABLE AS TECH STOP unless operating hours, airport-of-entry status and fuel grade are all populated, then UNVERIFIED - ADVISORY ONLY until sourced, then VERIFIED. operators.assignable resolves to BLOCKED - OPERATOR NAME REQUIRED whenever the name is blank.</t>
        </is>
      </c>
    </row>
    <row r="116" ht="43.2" customHeight="1">
      <c r="A116" s="63" t="inlineStr">
        <is>
          <t>4. UNVERIFIED DATA IS USABLE BUT NEVER SILENT. It renders with an explicit UNVERIFIED chip in the UI, carries the flag in the API payload, prints on the trip sheet and permit pack, and is refused outright when allow_unverified_for_planning is NO. A technical stop may never be auto-selected from an airport whose readiness is INCOMPLETE. An aircraft type may never drive a range verdict while its planning_status is ADVISORY ONLY.</t>
        </is>
      </c>
    </row>
    <row r="117" ht="57.6" customHeight="1">
      <c r="A117" s="63" t="inlineStr">
        <is>
          <t>5. THE PILOT-EXIT GATE IS CODE, NOT A SPREADSHEET. Implement nine gates as a single endpoint returning verified, required and status per gate plus an overall verdict: country lead times, permit flags, ground-handling policy, operators assignable, aircraft types approved, airports tech-stop ready, visa matrix cells, vendor questionnaires, country requirement records. A gate clears only on evidence. While any gate is blocked the app runs in PILOT mode: a persistent banner, ADVISORY watermarking on every generated PDF, and outbound permit applications requiring supervisor approval. The importer recomputes and prints all nine after every load.</t>
        </is>
      </c>
    </row>
    <row r="118" ht="57.6" customHeight="1">
      <c r="A118" s="63" t="inlineStr">
        <is>
          <t>6. THE FOUR THINGS NO SOFTWARE CAN SOURCE FOR YOU. Per-state permit lead times and flag verification must come from the AIPs or direct CAA confirmation. Aircraft performance figures must be signed off by an engineer or ops manager against the AFM. Airport of entry, fuel grade and operating hours must come from the AIP or Jeppesen. The visa matrix must be verified per (state, nationality) pair or licensed from an authoritative feed into a clearly separate REFERENCE layer. Do not generate, infer, or backfill any of these from a public dataset or a language model. A wrong lead time files a permit too late; a wrong NOT REQUIRED strands a passenger; a wrong range figure is a safety event.</t>
        </is>
      </c>
    </row>
    <row r="119">
      <c r="A119" s="63" t="n"/>
    </row>
    <row r="120">
      <c r="A120" s="89" t="inlineStr">
        <is>
          <t>## DISPLAY AND DATA CONVENTIONS</t>
        </is>
      </c>
    </row>
    <row r="121" ht="72" customHeight="1">
      <c r="A121" s="63" t="inlineStr">
        <is>
          <t>States: show the COUNTRY NAME always — 'Angola, Botswana, Central African Republic', never 'AGO, BWA, CAF'. ISO3 is a technical key in the API and database only. Free-text constraint fields accept either and resolve to the canonical name. Airports: ICAO is the primary identifier everywhere; IATA may appear as a bracketed secondary label in passenger-facing output only, and never keys a record. Times: everything UTC, rendered with a Z suffix (14-Aug-2026 09:00Z), local time optional as a greyed secondary using the airport timezone; never store naive datetimes. Aircraft: ICAO type designator first (GLF6, C510, B738), manufacturer and model series secondary, registration the unique airframe key. Dates dd-mmm-yyyy. Distances in NM, mass in kg, times in hours to two decimals. Money as integer minor units with an explicit currency column — never floats.</t>
        </is>
      </c>
    </row>
    <row r="122">
      <c r="A122" s="63" t="n"/>
    </row>
    <row r="123">
      <c r="A123" s="89" t="inlineStr">
        <is>
          <t>## ARCHITECTURE AND QUALITY BAR</t>
        </is>
      </c>
    </row>
    <row r="124" ht="43.2" customHeight="1">
      <c r="A124" s="63" t="inlineStr">
        <is>
          <t>Layered and testable: api routers -&gt; service layer (use cases) -&gt; domain (pure functions: routing, permits, deadlines, credentials, performance) -&gt; repositories -&gt; database. The domain layer imports nothing from FastAPI or SQLAlchemy and is unit-tested in isolation so results can be diffed against the workbook during parallel running. No business logic in route handlers, no SQL in the domain. Validate twice — Pydantic v2 at the boundary and Zod on the client, both generated from the same OpenAPI document so they cannot drift. Field-level errors, never a generic 'invalid input'.</t>
        </is>
      </c>
    </row>
    <row r="125" ht="43.2" customHeight="1">
      <c r="A125" s="63" t="inlineStr">
        <is>
          <t>Reject at the edge: unknown ICAO, aircraft without an operator, a bill-to account belonging to a different operator, pax above certified seats. Every mutating endpoint takes an Idempotency-Key; trips and legs carry a version for optimistic locking. Recompute is event-driven (LegCreated, LegRouteChanged, AircraftChanged, PersonAdded, DocumentVerified) touching only the affected aggregate. Log every route computation with inputs, outputs and a rule-engine version number so a permit list filed six months ago can be reproduced exactly.</t>
        </is>
      </c>
    </row>
    <row r="126" ht="72" customHeight="1">
      <c r="A126" s="63" t="inlineStr">
        <is>
          <t>Deterministic seed data: full airport and country tables, a sample fleet with documents, several operators each with multiple billing accounts, a vendor directory with coverage, and three trips in different states. Every screen demonstrable without a human typing anything first. Interface quality is aviation-grade: dense but calm, monospace for identifiers and teletype messages, tabular figures for times and distances, no decorative animation, status by colour AND text, optimistic feedback, destructive actions behind a confirm that names what will be affected. Structured JSON logs, OpenTelemetry traces, /health and /ready on every service, Sentry by env. Target: a ten-leg trip fully recomputed server-side in under 500 ms. Coverage gates on the domain layer, visual regression at three breakpoints, Lighthouse thresholds enforced in CI.</t>
        </is>
      </c>
    </row>
    <row r="127">
      <c r="A127" s="63" t="n"/>
    </row>
    <row r="128">
      <c r="A128" s="89" t="inlineStr">
        <is>
          <t>## ROADMAP ITEMS TO DESIGN FOR, EVEN IF BUILT LATER</t>
        </is>
      </c>
    </row>
    <row r="129" ht="57.6" customHeight="1">
      <c r="A129" s="63" t="inlineStr">
        <is>
          <t>Named what-if scenarios per trip (different aircraft, routing or dates) costed and compared with one promoted to live, plus an immutable revision history answering 'what did we file and when'. Webhooks and adapters for Leon, FL3XX and Schedaero, NOTAM and weather feeds, Eurocontrol B2B for European slots and route validation, ADS-B for actual movement times to close legs automatically, and Xero/QuickBooks/Sage for invoices. Crowdsourcing: whenever ops confirms a real lead time or visa outcome from a CAA response, offer to write it back to the reference tables with provenance so the dataset improves with use. A parallel-run harness that ingests a workbook trip and diffs computed permits, services and deadlines against the spreadsheet, run for a month before switchover.</t>
        </is>
      </c>
    </row>
    <row r="130">
      <c r="A130" s="63" t="n"/>
    </row>
    <row r="131">
      <c r="A131" s="89" t="inlineStr">
        <is>
          <t>## ACCEPTANCE TESTS — THESE MUST PASS</t>
        </is>
      </c>
    </row>
    <row r="132" ht="28.8" customHeight="1">
      <c r="A132" s="63" t="inlineStr">
        <is>
          <t>T1 FALA to FTTJ returns approximately 2,407 NM and enters Botswana, Namibia, Zambia, Angola, DR Congo, Republic of the Congo and Central African Republic; South Africa and Chad are excluded from overflight as departure and destination states.</t>
        </is>
      </c>
    </row>
    <row r="133" ht="28.8" customHeight="1">
      <c r="A133" s="63" t="inlineStr">
        <is>
          <t>T2 A four-leg trip FALA-FTTJ-HECA-GMAD-FAOR produces exactly four landing permits (Chad, Egypt, Morocco, South Africa) and exactly four ground-handling orders (South Africa, Chad, Egypt, Morocco), with South Africa's single order listing both FALA and FAOR.</t>
        </is>
      </c>
    </row>
    <row r="134">
      <c r="A134" s="63" t="inlineStr">
        <is>
          <t>T3 Setting a ground-handling provider to OWN removes it from the Jetelio action list but keeps it on the trip with status CLIENT ARRANGING.</t>
        </is>
      </c>
    </row>
    <row r="135" ht="28.8" customHeight="1">
      <c r="A135" s="63" t="inlineStr">
        <is>
          <t>T4 A leg with AVOID = Sudan, South Sudan on a HECA to FALA track returns AVOID CONFLICT and a verdict of NOT FEASIBLE AS ROUTED, and the re-router returns an alternative with the extra distance quantified.</t>
        </is>
      </c>
    </row>
    <row r="136">
      <c r="A136" s="63" t="inlineStr">
        <is>
          <t>T5 A passenger with no visa recorded for a state that requires one yields ACTION REQUIRED and blocks the trip from reaching CONFIRMED.</t>
        </is>
      </c>
    </row>
    <row r="137">
      <c r="A137" s="63" t="inlineStr">
        <is>
          <t>T6 A ten-leg trip renders exactly ten register rows, each repeating the identical trip block.</t>
        </is>
      </c>
    </row>
    <row r="138">
      <c r="A138" s="63" t="inlineStr">
        <is>
          <t>T7 Two legs billed to different client accounts under the same operator produce two separate billing lines with correct currencies and payment terms.</t>
        </is>
      </c>
    </row>
    <row r="139" ht="28.8" customHeight="1">
      <c r="A139" s="63" t="inlineStr">
        <is>
          <t>T8 A C208 assigned to FALA-FTTJ is flagged EXCEEDS PRACTICAL RANGE and the suggester returns at least one technical stop that is within range of both ends, has adequate runway and the correct fuel grade — and the permit list regenerates to include the new landing state.</t>
        </is>
      </c>
    </row>
    <row r="140">
      <c r="A140" s="63" t="inlineStr">
        <is>
          <t>T9 A permit computed from the 72-hour fallback rather than a per-state value is rendered UNVERIFIED in the UI and carries that flag in the API response.</t>
        </is>
      </c>
    </row>
    <row r="141">
      <c r="A141" s="63" t="inlineStr">
        <is>
          <t>T10 An uploaded passport with an MRZ that disagrees with the person record surfaces a MISMATCH in the side-by-side review and cannot write to the record without an explicit human decision.</t>
        </is>
      </c>
    </row>
    <row r="142">
      <c r="A142" s="63" t="inlineStr">
        <is>
          <t>T11 A handling request rendered for a SITA-preferred vendor with no SITA address on file is blocked before sending with a field-level error naming the missing address.</t>
        </is>
      </c>
    </row>
    <row r="143" ht="28.8" customHeight="1">
      <c r="A143" s="63" t="inlineStr">
        <is>
          <t>T12 A country with no lead_time_source resolves effective_lead_time_hours to the settings default, returns reference_status UNVERIFIED - USING FALLBACK, and every permit derived from it is flagged UNVERIFIED in both the UI and the API payload.</t>
        </is>
      </c>
    </row>
    <row r="144" ht="28.8" customHeight="1">
      <c r="A144" s="63" t="inlineStr">
        <is>
          <t>T13 A type whose planning_status is ADVISORY ONLY cannot produce a pass/fail range verdict — the endpoint returns ADVISORY with a link to the AFM figures — and an airport whose tech_stop_readiness is INCOMPLETE is never returned by the technical-stop suggester.</t>
        </is>
      </c>
    </row>
    <row r="145" ht="28.8" customHeight="1">
      <c r="A145" s="63" t="inlineStr">
        <is>
          <t>T14 The pilot-exit endpoint returns nine gates with verified, required and status; with any gate blocked the app reports PILOT mode, watermarks generated PDFs ADVISORY, and requires supervisor approval on outbound permit applications.</t>
        </is>
      </c>
    </row>
    <row r="146">
      <c r="A146" s="63" t="n"/>
    </row>
    <row r="147">
      <c r="A147" s="89" t="inlineStr">
        <is>
          <t>## BUILD ORDER</t>
        </is>
      </c>
    </row>
    <row r="148" ht="43.2" customHeight="1">
      <c r="A148" s="63" t="inlineStr">
        <is>
          <t>Phase 1 — compose skeleton, database, PostGIS geometry, migrations, importer with the readiness report, reference-data CRUD and API. Phase 2 — routing, permit, deadline and performance engines as pure functions with full unit tests. Phase 3 — Feasibility IQ public form. Phase 4 — Trip Manager console and the register. Phase 5 — documents with OCR and verification, visas, vendors and billing. Phase 6 — messaging engine, templates, bulk dispatch and inbound parsing. Phase 7 — PDF trip sheet and permit pack, notifications, audit, RBAC hardening, PWA and branding panel.</t>
        </is>
      </c>
    </row>
    <row r="149">
      <c r="A149" s="63" t="inlineStr">
        <is>
          <t>Begin by printing the file tree you intend to create and the docker-compose service list. Then build Phase 1 in full before moving on. Do not scaffold later phases as empty stubs.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Barnabas Minja</dc:creator>
  <dcterms:created xsi:type="dcterms:W3CDTF">2026-08-04T06:42:29Z</dcterms:created>
  <dcterms:modified xsi:type="dcterms:W3CDTF">2026-08-10T20:32:00Z</dcterms:modified>
  <cp:lastModifiedBy>Barnabas Minja</cp:lastModifiedBy>
</cp:coreProperties>
</file>

<file path=docProps/custom.xml><?xml version="1.0" encoding="utf-8"?>
<Properties xmlns:vt="http://schemas.openxmlformats.org/officeDocument/2006/docPropsVTypes" xmlns="http://schemas.openxmlformats.org/officeDocument/2006/custom-properties">
  <property name="MSIP_Label_dea67294-6e85-4b7c-9913-db8db5eb0f24_Enabled" fmtid="{D5CDD505-2E9C-101B-9397-08002B2CF9AE}" pid="2">
    <vt:lpwstr>true</vt:lpwstr>
  </property>
  <property name="MSIP_Label_dea67294-6e85-4b7c-9913-db8db5eb0f24_SetDate" fmtid="{D5CDD505-2E9C-101B-9397-08002B2CF9AE}" pid="3">
    <vt:lpwstr>2026-08-04T07:24:48Z</vt:lpwstr>
  </property>
  <property name="MSIP_Label_dea67294-6e85-4b7c-9913-db8db5eb0f24_Method" fmtid="{D5CDD505-2E9C-101B-9397-08002B2CF9AE}" pid="4">
    <vt:lpwstr>Standard</vt:lpwstr>
  </property>
  <property name="MSIP_Label_dea67294-6e85-4b7c-9913-db8db5eb0f24_Name" fmtid="{D5CDD505-2E9C-101B-9397-08002B2CF9AE}" pid="5">
    <vt:lpwstr>2024 - Internal Information</vt:lpwstr>
  </property>
  <property name="MSIP_Label_dea67294-6e85-4b7c-9913-db8db5eb0f24_SiteId" fmtid="{D5CDD505-2E9C-101B-9397-08002B2CF9AE}" pid="6">
    <vt:lpwstr>95e2a768-a0fd-4363-bde4-fbd963fc1153</vt:lpwstr>
  </property>
  <property name="MSIP_Label_dea67294-6e85-4b7c-9913-db8db5eb0f24_ActionId" fmtid="{D5CDD505-2E9C-101B-9397-08002B2CF9AE}" pid="7">
    <vt:lpwstr>09f1251d-9d28-4673-a2a6-8fe284ef8fcc</vt:lpwstr>
  </property>
  <property name="MSIP_Label_dea67294-6e85-4b7c-9913-db8db5eb0f24_ContentBits" fmtid="{D5CDD505-2E9C-101B-9397-08002B2CF9AE}" pid="8">
    <vt:lpwstr>0</vt:lpwstr>
  </property>
  <property name="MSIP_Label_dea67294-6e85-4b7c-9913-db8db5eb0f24_Tag" fmtid="{D5CDD505-2E9C-101B-9397-08002B2CF9AE}" pid="9">
    <vt:lpwstr>10, 3, 0, 1</vt:lpwstr>
  </property>
</Properties>
</file>